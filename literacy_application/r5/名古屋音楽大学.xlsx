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10.1.2.2\ファイルサーバ\131【名古屋音楽大学（専用）】\13_教務専用\12_資格\5_数理データサイエンスAI\申請書類\提出用\01_名古屋音楽大学_リテラシー\"/>
    </mc:Choice>
  </mc:AlternateContent>
  <xr:revisionPtr revIDLastSave="0" documentId="13_ncr:1_{B7A4B22F-9FCA-4055-9B4D-0AFCD375E70F}" xr6:coauthVersionLast="47" xr6:coauthVersionMax="47" xr10:uidLastSave="{00000000-0000-0000-0000-000000000000}"/>
  <bookViews>
    <workbookView xWindow="-28920" yWindow="-120" windowWidth="29040" windowHeight="164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12" i="40" l="1"/>
  <c r="I2" i="42"/>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<sst xmlns="http://schemas.openxmlformats.org/spreadsheetml/2006/main" count="313" uniqueCount="171">
  <si>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</si>
  <si>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</si>
  <si>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</si>
  <si>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</si>
  <si>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</si>
  <si>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</si>
  <si>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</si>
  <si>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</si>
  <si>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</si>
  <si>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</si>
  <si>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</si>
  <si>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</si>
  <si>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</si>
  <si>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</si>
  <si>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</si>
  <si>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</si>
  <si>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</si>
  <si>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</si>
  <si>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</si>
  <si>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</si>
  <si>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</si>
  <si>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</si>
  <si>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</si>
  <si>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</si>
  <si>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</si>
  <si>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</si>
  <si>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</si>
  <si>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</si>
  <si>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</si>
  <si>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</si>
  <si>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</si>
  <si>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</si>
  <si>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</si>
  <si>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</si>
  <si>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</si>
  <si>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</si>
  <si>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</si>
  <si>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</si>
  <si>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</si>
  <si>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</si>
  <si>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</si>
  <si>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</si>
  <si>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</si>
  <si>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</si>
  <si>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</si>
  <si>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</si>
  <si>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</si>
  <si>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</si>
  <si>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</si>
  <si>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</si>
  <si>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</si>
  <si>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</si>
  <si>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</si>
  <si>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</si>
  <si>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</si>
  <si>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</si>
  <si>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</si>
  <si>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</si>
  <si>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</si>
  <si>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</si>
  <si>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</si>
  <si>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</si>
  <si>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</si>
  <si>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</si>
  <si>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</si>
  <si>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</si>
  <si>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</si>
  <si>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</si>
  <si>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</si>
  <si>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</si>
  <si>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</si>
  <si>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</si>
  <si>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</si>
  <si>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</si>
  <si>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</si>
  <si>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</si>
  <si>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</si>
  <si>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</si>
  <si>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</si>
  <si>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</si>
  <si>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</si>
  <si>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</si>
  <si>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</si>
  <si>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</si>
  <si>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</si>
  <si>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</si>
  <si>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</si>
  <si>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</si>
  <si>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</si>
  <si>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</si>
  <si>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</si>
  <si>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</si>
  <si>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</si>
  <si>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</si>
  <si>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</si>
  <si>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</si>
  <si>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</si>
  <si>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</si>
  <si>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</si>
  <si>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</si>
  <si>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</si>
  <si>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</si>
  <si>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</si>
  <si>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</si>
  <si>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</si>
  <si>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</si>
  <si>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</si>
  <si>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</si>
  <si>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</si>
  <si>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</si>
  <si>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</si>
  <si>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</si>
  <si>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</si>
  <si>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</si>
  <si>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</si>
  <si>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</si>
  <si>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</si>
  <si>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</si>
  <si>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</si>
  <si>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</si>
  <si>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</si>
  <si>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</si>
  <si>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</si>
  <si>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</si>
  <si>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</si>
  <si>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</si>
  <si>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</si>
  <si>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名古屋音楽大学</t>
    <rPh sb="0" eb="7">
      <t>ナゴヤオンガクダイガク</t>
    </rPh>
    <phoneticPr fontId="1"/>
  </si>
  <si>
    <t>数理・データサイエンス・AI 教育プログラム</t>
    <phoneticPr fontId="1"/>
  </si>
  <si>
    <t>学部・学科によって、修了要件は相違しない</t>
  </si>
  <si>
    <t>数理・データサイエンス・AI入門</t>
    <phoneticPr fontId="1"/>
  </si>
  <si>
    <t>○</t>
  </si>
  <si>
    <t>音楽学部</t>
    <rPh sb="0" eb="4">
      <t>オンガクガクブ</t>
    </rPh>
    <phoneticPr fontId="1"/>
  </si>
  <si>
    <t>学務部長</t>
    <rPh sb="0" eb="4">
      <t>ガクムブチョウ</t>
    </rPh>
    <phoneticPr fontId="1"/>
  </si>
  <si>
    <t>学務部長</t>
    <phoneticPr fontId="1"/>
  </si>
  <si>
    <t>上田　仁</t>
    <rPh sb="0" eb="2">
      <t>ウエダ</t>
    </rPh>
    <rPh sb="3" eb="4">
      <t>ジン</t>
    </rPh>
    <phoneticPr fontId="1"/>
  </si>
  <si>
    <t>名古屋音楽大学ファカルティ・ディベロップメント委員会規程（委員会の設置規則）</t>
    <rPh sb="29" eb="32">
      <t>イインカイ</t>
    </rPh>
    <rPh sb="33" eb="37">
      <t>セッチキソク</t>
    </rPh>
    <phoneticPr fontId="1"/>
  </si>
  <si>
    <t>学修した数理・データサイエンス・AIに関する知識・技能をもとに人間中心の適切な判断ができ、不安なく自らの意志でAI等の恩恵を享受し、これらを説明し、活用できるようになる。</t>
    <phoneticPr fontId="1"/>
  </si>
  <si>
    <t>・AI等を活用した新しいビジネスモデル(シェアリングエコノミー、商品のレコメンデーションなど)「数理・データサイエンス・AI入門」（6回目）
・AI最新技術の活用例（深層生成モデル、強化学習など）「数理・データサイエンス・AI入門」（6回目）</t>
    <phoneticPr fontId="1"/>
  </si>
  <si>
    <t>・非構造化データ処理：言語処理、画像/動画処理、音声/音楽処理など「数理・データサイエンス・AI入門」（4回目）
・特化型AIと汎用AI、今のAIで出来ることと出来ないこと、AIとビッグデータ「数理・データサイエンス・AI入門」（4回目）
・認識技術、ルールベース、自動化技術「数理・データサイエンス・AI入門」（4回目）</t>
    <phoneticPr fontId="1"/>
  </si>
  <si>
    <t>・情報セキュリティ：機密性、完全性、可用性「数理・データサイエンス・AI入門」（7回目）
・匿名加工情報、暗号化、パスワード、悪意ある情報搾取「数理・データサイエンス・AI入門」（7回目）
・情報漏洩等によるセキュリティ事故の事例紹介「数理・データサイエンス・AI入門」（7回目）</t>
    <phoneticPr fontId="1"/>
  </si>
  <si>
    <t>・調査データ、実験データ、人の行動ログデータ、機械の稼働ログデータなど「数理・データサイエンス・AI入門」（2・7回目）
・1次データ、2次データ、データのメタ化「数理・データサイエンス・AI入門」（2回目）
・構造化データ、非構造化データ（文章、画像/動画、音声/音楽など）「数理・データサイエンス・AI入門」（2回目）
・データのオープン化（オープンデータ）「数理・データサイエンス・AI入門」（2回目）
・世論調査とデータ「情報社会B」（2回目）</t>
    <phoneticPr fontId="1"/>
  </si>
  <si>
    <t>・ビッグデータ、IoT、AI、ロボット「数理・データサイエンス・AI入門」（１回目）
・データ量の増加、計算機の処理性能の向上、AIの非連続的進化「数理・データサイエンス・AI入門」（１回目）
・第4次産業革命、Society 5.0、データ駆動型社会「数理・データサイエンス・AI入門」（１回目）
・データを起点としたものの見方、人間の知的活動を起点としたものの見方「数理・データサイエンス・AI入門」（１回目）
・ビッグデータ，第４次産業革命，人間の知的活動とAI「情報社会B」（1回目）</t>
    <phoneticPr fontId="1"/>
  </si>
  <si>
    <t>・データ・AI活用領域の広がり(生産、消費、文化活動など)「数理・データサイエンス・AI入門」（3回目）
・研究開発、調達、製造、物流、販売、マーケティング、サービスなど「数理・データサイエンス・AI入門」（3回目）
・世論調査とデータ「情報社会B」（2回目）
・心理学と統計「情報社会B」（5・6・7回目）
・AIについて「情報社会B」（8回目）
・国語学と情報社会「情報社会B」（14回目）</t>
    <phoneticPr fontId="1"/>
  </si>
  <si>
    <t>・データサイエンスのサイクル（課題抽出と定式化、データの取得・管理・加工）「数理・データサイエンス・AI入門」（5回目）
・流通、製造、金融、サービス、インフラ、公共、ヘルスケア等におけるデータ「数理・データサイエンス・AI入門」（5回目）
・AI利活用事例紹介「数理・データサイエンス・AI入門」（5回目）
・世論調査とデータ「情報社会B」（2回目）
・心理学と統計「情報社会B」（5回目）
・データを使ったグループディスカッション「情報社会B」（12回目）</t>
    <phoneticPr fontId="1"/>
  </si>
  <si>
    <t>・ELSI（Ethical, Legal and Social Issues）「数理・データサイエンス・AI入門」（15回目）
・個人情報保護、EU一般データ保護規則(GDPR)、忘れられる権利、オプトアウト「数理・データサイエンス・AI入門」（15回目）
・データ倫理：データのねつ造、改ざん、盗用、プライバシー保護「数理・データサイエンス・AI入門」（15回目）
・AI社会原則（公平性、説明責任、透明性、人間中心の判断）「数理・データサイエンス・AI入門」（15回目）
・データバイアス、アルゴリズムバイアス「数理・データサイエンス・AI入門」（15回目）
・文章や画像の利用と著作権「情報社会B」（10・11回目）</t>
    <phoneticPr fontId="1"/>
  </si>
  <si>
    <t>・データの種類（量的変数、質的変数）「数理・データサイエンス・AI入門」（8回目）
・クロス集計表「数理・データサイエンス・AI入門」（8回目）
・データの分布(ヒストグラム)「数理・データサイエンス・AI入門」（9回目）
・代表値（平均値、中央値、最頻値）「数理・データサイエンス・AI入門」（10回目）
・データのばらつき（分散、標準偏差、偏差値）「数理・データサイエンス・AI入門」（11回目）
・相関と因果（相関係数、相関関係）「数理・データサイエンス・AI入門」（12回目）
・グラフや表の見方「情報社会B」（3回目）
・グラフや表から言えることの文章化「情報社会B」（4回目）
・心理学と統計「情報社会B」（6回目）
・統計情報の正しい理解「情報社会B」（9回目）
・国語学と情報社会「情報社会B」（14回目）</t>
    <phoneticPr fontId="1"/>
  </si>
  <si>
    <t>・データ表現（棒グラフ、折線グラフ、散布図など）「数理・データサイエンス・AI入門」（9・14回目）
・データの図表表現（チャート化）「数理・データサイエンス・AI入門」（9・14回目）
・グラフや表から言えることの文章化「情報社会B」（4回目）
・データをまとめて報告「情報社会B」（13回目）</t>
    <rPh sb="145" eb="147">
      <t>カイメ</t>
    </rPh>
    <phoneticPr fontId="1"/>
  </si>
  <si>
    <t>・データの並び替え、ランキング「数理・データサイエンス・AI入門」（8・12・13回目）
・データの集計（和、平均）「数理・データサイエンス・AI入門」（10・11・12・13・14回目）
・心理学と統計「情報社会B」（7回目）
・データを使ったグループディスカッション「情報社会B」（12回目）
・データをまとめて報告「情報社会B」（13回目）
・国語学と情報社会「情報社会B」（14回目）</t>
    <phoneticPr fontId="1"/>
  </si>
  <si>
    <t>上田　仁</t>
    <phoneticPr fontId="1"/>
  </si>
  <si>
    <t>学務部長</t>
    <phoneticPr fontId="1"/>
  </si>
  <si>
    <t>本学では、本教育プログラム申請科目は、全学部・学科で履修可能であり、学部・学科に関係なく、全学生が履修できる体制となっている。</t>
    <rPh sb="26" eb="30">
      <t>リシュウカノウ</t>
    </rPh>
    <rPh sb="45" eb="48">
      <t>ゼンガクセイ</t>
    </rPh>
    <phoneticPr fontId="1"/>
  </si>
  <si>
    <t>本教育プログラムの基礎となる本学科目「数理・データサイエンス・AI入門」の履修方法を、現在の選択から、必修または選択必修とするカリキュラムの改編を検討し、本教育プログラムの履修率を向上する計画を推し進めていく。</t>
    <rPh sb="0" eb="3">
      <t>ホンキョウイク</t>
    </rPh>
    <rPh sb="9" eb="11">
      <t>キソ</t>
    </rPh>
    <rPh sb="14" eb="16">
      <t>ホンガク</t>
    </rPh>
    <rPh sb="16" eb="18">
      <t>カモク</t>
    </rPh>
    <rPh sb="37" eb="41">
      <t>リシュウホウホウ</t>
    </rPh>
    <rPh sb="43" eb="45">
      <t>ゲンザイ</t>
    </rPh>
    <rPh sb="46" eb="48">
      <t>センタク</t>
    </rPh>
    <rPh sb="51" eb="53">
      <t>ヒッシュウ</t>
    </rPh>
    <rPh sb="56" eb="58">
      <t>センタク</t>
    </rPh>
    <rPh sb="58" eb="60">
      <t>ヒッシュウ</t>
    </rPh>
    <rPh sb="70" eb="72">
      <t>カイヘン</t>
    </rPh>
    <rPh sb="73" eb="75">
      <t>ケントウ</t>
    </rPh>
    <rPh sb="86" eb="89">
      <t>リシュウリツ</t>
    </rPh>
    <rPh sb="90" eb="92">
      <t>コウジョウ</t>
    </rPh>
    <rPh sb="94" eb="96">
      <t>ケイカク</t>
    </rPh>
    <rPh sb="97" eb="98">
      <t>オ</t>
    </rPh>
    <rPh sb="99" eb="100">
      <t>スス</t>
    </rPh>
    <phoneticPr fontId="1"/>
  </si>
  <si>
    <t>５つの審査項目および、モデルカリキュラムの各項目を網羅した授業を開講することにより、数理・データサイエンス・ＡＩが現在の社会の中ででどのように活用されているか、どのような価値を創出できるのかを紹介し、数理・データサイエンス・AIを学ぶ楽しさと、学ぶことの意義を理解させている。</t>
    <rPh sb="3" eb="7">
      <t>シンサコウモク</t>
    </rPh>
    <rPh sb="21" eb="24">
      <t>カクコウモク</t>
    </rPh>
    <rPh sb="25" eb="27">
      <t>モウラ</t>
    </rPh>
    <rPh sb="29" eb="31">
      <t>ジュギョウ</t>
    </rPh>
    <rPh sb="32" eb="34">
      <t>カイコウ</t>
    </rPh>
    <rPh sb="57" eb="59">
      <t>ゲンザイ</t>
    </rPh>
    <rPh sb="63" eb="64">
      <t>ナカ</t>
    </rPh>
    <rPh sb="85" eb="87">
      <t>カチ</t>
    </rPh>
    <rPh sb="88" eb="90">
      <t>ソウシュツ</t>
    </rPh>
    <phoneticPr fontId="1"/>
  </si>
  <si>
    <t>データサイエンス教育に関しての連携協力企業からの意見を踏まえると、数理・データサイエンス・ＡＩに関しての技術や知識を期待されることは多くないため、現時点での技術や知識の習得を目指すのではなく、これらの概念を理解するとともに、これからの社会におけるこれらの役割について理解することを基本に据えることで、その活用能力の育成に重点を置くこととする。このことは、急速に変化変容していくであろうこれからの社会において、自分の意見を持ち、臆することなく提案を行っていける、そうした主体的に活躍できる人材の育成、自身の役割を自らが創出できる能力の育成へと繋がると考える。</t>
    <phoneticPr fontId="1"/>
  </si>
  <si>
    <t>本教育プログラムの基礎となる本学科目「数理・データサイエンス・AI入門」の履修方法を、現在の選択から、必修または選択必修とするカリキュラムの改編を検討し、履修率の向上に努める。</t>
    <rPh sb="77" eb="80">
      <t>リシュウリツ</t>
    </rPh>
    <rPh sb="81" eb="83">
      <t>コウジョウ</t>
    </rPh>
    <rPh sb="84" eb="85">
      <t>ツト</t>
    </rPh>
    <phoneticPr fontId="1"/>
  </si>
  <si>
    <t xml:space="preserve">本学では、学生の就職状況と本教育プログラムの修了状況を把握しているため、教育プログラム修了者の進路の調査を行うことは可能である。
また、本学キャリア支援センターが、従前より卒業生および卒業生の就職企業に対し、アンケート調査を実施しており、今後は教育プログラムに関わる調査項目を追加し、教育プログラムの効果（活躍状況や企業の評価）などを分析できるようにする予定である。
</t>
    <rPh sb="0" eb="2">
      <t>ホンガク</t>
    </rPh>
    <rPh sb="13" eb="16">
      <t>ホンキョウイク</t>
    </rPh>
    <rPh sb="24" eb="26">
      <t>ジョウキョウ</t>
    </rPh>
    <rPh sb="27" eb="29">
      <t>シュウシュウ</t>
    </rPh>
    <rPh sb="50" eb="52">
      <t>チョウサ</t>
    </rPh>
    <rPh sb="53" eb="54">
      <t>オコナ</t>
    </rPh>
    <rPh sb="58" eb="60">
      <t>カノウ</t>
    </rPh>
    <rPh sb="68" eb="70">
      <t>ホンガク</t>
    </rPh>
    <rPh sb="74" eb="76">
      <t>シエン</t>
    </rPh>
    <rPh sb="82" eb="84">
      <t>ジュウゼン</t>
    </rPh>
    <rPh sb="86" eb="89">
      <t>ソツギョウセイ</t>
    </rPh>
    <rPh sb="92" eb="95">
      <t>ソツギョウセイ</t>
    </rPh>
    <rPh sb="96" eb="100">
      <t>シュウショクキギョウ</t>
    </rPh>
    <rPh sb="101" eb="102">
      <t>タイ</t>
    </rPh>
    <rPh sb="109" eb="111">
      <t>チョウサ</t>
    </rPh>
    <rPh sb="112" eb="114">
      <t>ジッシ</t>
    </rPh>
    <rPh sb="138" eb="140">
      <t>ツイカ</t>
    </rPh>
    <rPh sb="142" eb="144">
      <t>キョウイク</t>
    </rPh>
    <rPh sb="150" eb="152">
      <t>コウカ</t>
    </rPh>
    <rPh sb="153" eb="157">
      <t>カツヤクジョウキョウ</t>
    </rPh>
    <rPh sb="158" eb="160">
      <t>キギョウ</t>
    </rPh>
    <rPh sb="161" eb="163">
      <t>ヒョウカ</t>
    </rPh>
    <rPh sb="167" eb="169">
      <t>ブンセキ</t>
    </rPh>
    <rPh sb="177" eb="179">
      <t>ヨテイ</t>
    </rPh>
    <phoneticPr fontId="1"/>
  </si>
  <si>
    <t>年度初めに新入生や在学生に行うガイダンスでの案内、学生用のWebサイトや学生便覧への掲載などで、学生に対して本教育プログラムの必要性・重要性の情報を広く提供する取り組みを行っている。</t>
    <rPh sb="5" eb="8">
      <t>シンニュウセイ</t>
    </rPh>
    <rPh sb="9" eb="12">
      <t>ザイガクセイ</t>
    </rPh>
    <rPh sb="13" eb="14">
      <t>オコナ</t>
    </rPh>
    <rPh sb="22" eb="24">
      <t>アンナイ</t>
    </rPh>
    <rPh sb="25" eb="28">
      <t>ガクセイヨウ</t>
    </rPh>
    <rPh sb="42" eb="44">
      <t>ケイサイ</t>
    </rPh>
    <rPh sb="48" eb="50">
      <t>ガクセイ</t>
    </rPh>
    <rPh sb="51" eb="52">
      <t>タイ</t>
    </rPh>
    <rPh sb="54" eb="55">
      <t>ホン</t>
    </rPh>
    <rPh sb="55" eb="57">
      <t>キョウイク</t>
    </rPh>
    <rPh sb="63" eb="66">
      <t>ヒツヨウセイ</t>
    </rPh>
    <rPh sb="67" eb="69">
      <t>ジュウヨウ</t>
    </rPh>
    <rPh sb="69" eb="70">
      <t>セイ</t>
    </rPh>
    <rPh sb="71" eb="73">
      <t>ジョウホウ</t>
    </rPh>
    <rPh sb="74" eb="75">
      <t>ヒロ</t>
    </rPh>
    <rPh sb="76" eb="78">
      <t>テイキョウ</t>
    </rPh>
    <rPh sb="80" eb="81">
      <t>ト</t>
    </rPh>
    <rPh sb="82" eb="83">
      <t>ク</t>
    </rPh>
    <rPh sb="85" eb="86">
      <t>オコナ</t>
    </rPh>
    <phoneticPr fontId="1"/>
  </si>
  <si>
    <t>専任教員によるアカデミック・アドバイザー制度を導入し、学生の履修や修学についての相談を受けている。また、事務窓口にて、事務職員による履修などのサポートを行っている。
さらに、本教育プログラムの科目である「数理・データサイエンス・AI入門」で使用しているマルチメディア教室を、課題などが取り組めるよう授業外の時間に解放したり、より多くの学生がより高度な知識を学べるよう設備の増強の検討を進めている。</t>
    <rPh sb="20" eb="22">
      <t>セイド</t>
    </rPh>
    <rPh sb="23" eb="25">
      <t>ドウニュウ</t>
    </rPh>
    <rPh sb="120" eb="122">
      <t>シヨウ</t>
    </rPh>
    <rPh sb="133" eb="135">
      <t>キョウシツ</t>
    </rPh>
    <rPh sb="149" eb="152">
      <t>ジュギョウガイ</t>
    </rPh>
    <rPh sb="153" eb="155">
      <t>ジカン</t>
    </rPh>
    <rPh sb="156" eb="158">
      <t>カイホウ</t>
    </rPh>
    <rPh sb="164" eb="165">
      <t>オオ</t>
    </rPh>
    <rPh sb="167" eb="169">
      <t>ガクセイ</t>
    </rPh>
    <rPh sb="172" eb="174">
      <t>コウド</t>
    </rPh>
    <rPh sb="175" eb="177">
      <t>チシキ</t>
    </rPh>
    <rPh sb="178" eb="179">
      <t>マナ</t>
    </rPh>
    <rPh sb="183" eb="185">
      <t>セツビ</t>
    </rPh>
    <rPh sb="186" eb="188">
      <t>ゾウキョウ</t>
    </rPh>
    <rPh sb="189" eb="191">
      <t>ケントウ</t>
    </rPh>
    <rPh sb="192" eb="193">
      <t>スス</t>
    </rPh>
    <phoneticPr fontId="1"/>
  </si>
  <si>
    <t>本学園は Microsoft 365包括ライセンス契約を締結しており、全学生及び教職員が、Microsoft社製の「Microsoft Teams」というグループウェアを使用することができる。本学では、Teams上にすべての科目にチームというグループが作成されており、担当教員および履修者がチームメンバーとして交流が取れる環境を構築している。</t>
    <rPh sb="0" eb="3">
      <t>ホンガクエン</t>
    </rPh>
    <rPh sb="18" eb="20">
      <t>ホウカツ</t>
    </rPh>
    <rPh sb="25" eb="27">
      <t>ケイヤク</t>
    </rPh>
    <rPh sb="28" eb="30">
      <t>テイケツ</t>
    </rPh>
    <rPh sb="35" eb="39">
      <t>ゼンガクセイオヨ</t>
    </rPh>
    <rPh sb="40" eb="43">
      <t>キョウショクイン</t>
    </rPh>
    <rPh sb="54" eb="56">
      <t>シャセイ</t>
    </rPh>
    <rPh sb="85" eb="87">
      <t>シヨウ</t>
    </rPh>
    <rPh sb="96" eb="98">
      <t>ホンガク</t>
    </rPh>
    <rPh sb="106" eb="107">
      <t>ジョウ</t>
    </rPh>
    <rPh sb="126" eb="128">
      <t>サクセイ</t>
    </rPh>
    <rPh sb="134" eb="138">
      <t>タントウキョウイン</t>
    </rPh>
    <rPh sb="141" eb="144">
      <t>リシュウシャ</t>
    </rPh>
    <rPh sb="155" eb="157">
      <t>コウリュウ</t>
    </rPh>
    <rPh sb="158" eb="159">
      <t>ト</t>
    </rPh>
    <rPh sb="161" eb="163">
      <t>カンキョウ</t>
    </rPh>
    <rPh sb="164" eb="166">
      <t>コウチク</t>
    </rPh>
    <phoneticPr fontId="1"/>
  </si>
  <si>
    <t>名古屋音楽大学ファカルティ・ディベロップメント委員会</t>
  </si>
  <si>
    <t>名古屋音楽大学ファカルティ・ディベロップメント委員会</t>
    <rPh sb="0" eb="3">
      <t>ナゴヤ</t>
    </rPh>
    <rPh sb="3" eb="5">
      <t>オンガク</t>
    </rPh>
    <rPh sb="5" eb="7">
      <t>ダイガク</t>
    </rPh>
    <rPh sb="23" eb="26">
      <t>イインカイ</t>
    </rPh>
    <phoneticPr fontId="1"/>
  </si>
  <si>
    <t>名古屋音楽大学ファカルティ・ディベロップメント委員会は、学校法人同朋学園の建学の理念及び名古屋音楽大学の教育理念・教育目標に基づき、教育方法の研究及び授業改善に資することを目的としており、「数理・データサイエンス・AI教育プログラム」においても、教育方法の研究及び授業改善に加え、全学的な普及、関連科目及び環境の整備について議論することを目的とする。</t>
    <rPh sb="137" eb="138">
      <t>クワ</t>
    </rPh>
    <rPh sb="147" eb="151">
      <t>カンレンカモク</t>
    </rPh>
    <rPh sb="151" eb="152">
      <t>オヨ</t>
    </rPh>
    <rPh sb="153" eb="155">
      <t>カンキョウ</t>
    </rPh>
    <rPh sb="156" eb="158">
      <t>セイビ</t>
    </rPh>
    <rPh sb="162" eb="164">
      <t>ギロン</t>
    </rPh>
    <rPh sb="169" eb="171">
      <t>モクテキ</t>
    </rPh>
    <phoneticPr fontId="1"/>
  </si>
  <si>
    <t>名古屋音楽大学ファカルティ・ディベロップメント委員会
委員長　猪狩　裕史（准教授）
委員　上田　仁（学務部長／准教授）
委員　清水　皇樹（学部長／教授）
委員　露木　薫（研究科長／教授）
委員　森　雅史（准教授）
委員　山口　真季子（講師）
委員　新美　万里（事務部長）
委員　加藤　佐和子（学務課長）</t>
    <rPh sb="77" eb="79">
      <t>イイン</t>
    </rPh>
    <rPh sb="80" eb="82">
      <t>ツユキ</t>
    </rPh>
    <rPh sb="83" eb="84">
      <t>カオル</t>
    </rPh>
    <rPh sb="85" eb="89">
      <t>ケンキュウカチョウ</t>
    </rPh>
    <rPh sb="90" eb="92">
      <t>キョウジュ</t>
    </rPh>
    <rPh sb="94" eb="96">
      <t>イイン</t>
    </rPh>
    <rPh sb="102" eb="105">
      <t>ジュンキョウジュ</t>
    </rPh>
    <rPh sb="107" eb="109">
      <t>イイン</t>
    </rPh>
    <rPh sb="117" eb="119">
      <t>コウシ</t>
    </rPh>
    <rPh sb="121" eb="123">
      <t>イイン</t>
    </rPh>
    <rPh sb="130" eb="134">
      <t>ジムブチョウ</t>
    </rPh>
    <rPh sb="136" eb="138">
      <t>イイン</t>
    </rPh>
    <rPh sb="142" eb="145">
      <t>サワコ</t>
    </rPh>
    <rPh sb="146" eb="150">
      <t>ガクムカチョウ</t>
    </rPh>
    <phoneticPr fontId="1"/>
  </si>
  <si>
    <t>名古屋音楽大学ファカルティ・ディベロップメント委員会において、プログラムの履修状況・単位取得状況を分析する。
また、授業支援システムから出席率等を把握したうえで修得状況の改善に活用する。</t>
    <rPh sb="68" eb="70">
      <t>シュッセキ</t>
    </rPh>
    <phoneticPr fontId="1"/>
  </si>
  <si>
    <t>名古屋音楽大学ファカルティ・ディベロップメント委員会において、全科目で行っている授業評価アンケート、および、本教育プログラム独自の授業理解度アンケートの回答内容の分析を行い、学生の全体的な理解度、修業意欲を把握し、授業内容や授業方法の改善を図る。</t>
    <rPh sb="31" eb="34">
      <t>ゼンカモク</t>
    </rPh>
    <rPh sb="35" eb="36">
      <t>オコナ</t>
    </rPh>
    <rPh sb="40" eb="42">
      <t>ジュギョウ</t>
    </rPh>
    <rPh sb="54" eb="57">
      <t>ホンキョウイク</t>
    </rPh>
    <rPh sb="62" eb="64">
      <t>ドクジ</t>
    </rPh>
    <rPh sb="76" eb="80">
      <t>カイトウナイヨウ</t>
    </rPh>
    <rPh sb="84" eb="85">
      <t>オコナ</t>
    </rPh>
    <rPh sb="87" eb="89">
      <t>ガクセイ</t>
    </rPh>
    <rPh sb="98" eb="100">
      <t>シュウギョウ</t>
    </rPh>
    <rPh sb="100" eb="102">
      <t>イヨク</t>
    </rPh>
    <phoneticPr fontId="1"/>
  </si>
  <si>
    <t>本教育プログラムの履修者全員に対して授業理解度アンケートを実施し、名古屋音楽大学ファカルティ・ディベロップメント委員会において学生の理解度を分析し、授業改善に活用する。</t>
  </si>
  <si>
    <t>全学的に実施している授業評価アンケートでは、後輩等他の学生への推奨度を問う項目は設定されていない。
今後、名古屋音楽大学ファカルティ・ディベロップメント委員会で本教育プログラム独自の授業理解度アンケートの実施を行い、後輩学生への推奨度等の調査を実施する。</t>
  </si>
  <si>
    <t>名古屋音楽大学ファカルティ・ディベロップメント委員会が全学的に実施している授業評価アンケートに加え、本教育プログラム独自の授業理解度アンケートを実施することで、学生の理解度を調査し、名古屋音楽大学ファカルティ・ディベロップメント委員会と各科目の担当教員による「分かりやすい」授業を模索していく。</t>
    <rPh sb="27" eb="30">
      <t>ゼンガクテキ</t>
    </rPh>
    <rPh sb="31" eb="33">
      <t>ジッシ</t>
    </rPh>
    <rPh sb="47" eb="48">
      <t>クワ</t>
    </rPh>
    <rPh sb="72" eb="74">
      <t>ジッシ</t>
    </rPh>
    <rPh sb="80" eb="82">
      <t>ガクセイ</t>
    </rPh>
    <rPh sb="83" eb="86">
      <t>リカイド</t>
    </rPh>
    <rPh sb="87" eb="89">
      <t>チョウサ</t>
    </rPh>
    <rPh sb="118" eb="121">
      <t>カクカモク</t>
    </rPh>
    <rPh sb="122" eb="126">
      <t>タントウキョウイン</t>
    </rPh>
    <rPh sb="130" eb="131">
      <t>ワ</t>
    </rPh>
    <rPh sb="137" eb="139">
      <t>ジュギョウ</t>
    </rPh>
    <rPh sb="140" eb="142">
      <t>モサク</t>
    </rPh>
    <phoneticPr fontId="1"/>
  </si>
  <si>
    <t>プログラムを構成する教養教育科目「数理・データサイエンス・AI入門」２単位、教養共通科目「情報社会B※」２単位の合計４単位以上を取得すること。
※同朋学園内大学間単位互換の協定により同朋大学の開設科目を履修。</t>
    <rPh sb="6" eb="8">
      <t>コウセイ</t>
    </rPh>
    <rPh sb="10" eb="16">
      <t>キョウヨウキョウイクカモク</t>
    </rPh>
    <rPh sb="17" eb="19">
      <t>スウリ</t>
    </rPh>
    <rPh sb="31" eb="33">
      <t>ニュウモン</t>
    </rPh>
    <rPh sb="35" eb="37">
      <t>タンイ</t>
    </rPh>
    <rPh sb="38" eb="44">
      <t>キョウヨウキョウツウカモク</t>
    </rPh>
    <rPh sb="45" eb="47">
      <t>ジョウホウ</t>
    </rPh>
    <rPh sb="47" eb="49">
      <t>シャカイ</t>
    </rPh>
    <rPh sb="53" eb="55">
      <t>タンイ</t>
    </rPh>
    <rPh sb="56" eb="58">
      <t>ゴウケイ</t>
    </rPh>
    <rPh sb="59" eb="61">
      <t>タンイ</t>
    </rPh>
    <rPh sb="61" eb="63">
      <t>イジョウ</t>
    </rPh>
    <rPh sb="64" eb="66">
      <t>シュトク</t>
    </rPh>
    <rPh sb="73" eb="77">
      <t>ドウホウガクエン</t>
    </rPh>
    <rPh sb="77" eb="78">
      <t>ナイ</t>
    </rPh>
    <rPh sb="78" eb="81">
      <t>ダイガクカン</t>
    </rPh>
    <rPh sb="81" eb="85">
      <t>タンイゴカン</t>
    </rPh>
    <rPh sb="86" eb="88">
      <t>キョウテイ</t>
    </rPh>
    <rPh sb="91" eb="95">
      <t>ドウホウダイガク</t>
    </rPh>
    <rPh sb="96" eb="100">
      <t>カイセツカモク</t>
    </rPh>
    <rPh sb="101" eb="103">
      <t>リシュウ</t>
    </rPh>
    <phoneticPr fontId="1"/>
  </si>
  <si>
    <t>情報社会B</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</si>
</sst>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60" xfId="0" applyFont="1" applyBorder="1" applyAlignment="1">
      <alignment horizontal="center"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3" fillId="0" borderId="36" xfId="0" applyFont="1" applyBorder="1" applyAlignment="1">
      <alignment vertical="center" wrapText="1" shrinkToFit="1"/>
    </xf>
    <xf numFmtId="0" fontId="3" fillId="0" borderId="36" xfId="0" applyFont="1" applyBorder="1" applyAlignment="1">
      <alignment vertical="center" shrinkToFit="1"/>
    </xf>
    <xf numFmtId="0" fontId="3" fillId="0" borderId="35" xfId="0" applyFont="1" applyBorder="1" applyAlignment="1">
      <alignment vertical="center" shrinkToFit="1"/>
    </xf>
    <xf numFmtId="0" fontId="3" fillId="0" borderId="6" xfId="0" applyFont="1" applyBorder="1" applyAlignment="1">
      <alignment vertical="center" wrapText="1" shrinkToFit="1"/>
    </xf>
    <xf numFmtId="0" fontId="3" fillId="0" borderId="6" xfId="0" applyFont="1" applyBorder="1" applyAlignment="1">
      <alignment vertical="center" shrinkToFit="1"/>
    </xf>
    <xf numFmtId="0" fontId="3" fillId="0" borderId="12" xfId="0" applyFont="1" applyBorder="1" applyAlignment="1">
      <alignment vertical="center" shrinkToFit="1"/>
    </xf>
    <xf numFmtId="0" fontId="3" fillId="0" borderId="8" xfId="0" applyFont="1" applyBorder="1" applyAlignment="1">
      <alignment horizontal="left" vertical="center" wrapText="1" shrinkToFit="1"/>
    </xf>
    <xf numFmtId="0" fontId="3" fillId="0" borderId="8" xfId="0" applyFont="1" applyBorder="1" applyAlignment="1">
      <alignment horizontal="left" vertical="center" shrinkToFit="1"/>
    </xf>
    <xf numFmtId="0" fontId="3"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3" fillId="0" borderId="22" xfId="0" applyFont="1" applyBorder="1" applyAlignment="1">
      <alignment horizontal="left" vertical="center" wrapText="1" shrinkToFit="1"/>
    </xf>
    <xf numFmtId="0" fontId="3" fillId="0" borderId="22" xfId="0" applyFont="1" applyBorder="1" applyAlignment="1">
      <alignment horizontal="left" vertical="center" shrinkToFit="1"/>
    </xf>
    <xf numFmtId="0" fontId="3" fillId="0" borderId="21" xfId="0" applyFont="1" applyBorder="1" applyAlignment="1">
      <alignment horizontal="left" vertical="center" shrinkToFit="1"/>
    </xf>
    <xf numFmtId="0" fontId="3" fillId="0" borderId="36" xfId="0" applyFont="1" applyBorder="1" applyAlignment="1">
      <alignment horizontal="left" vertical="center" wrapText="1" shrinkToFit="1"/>
    </xf>
    <xf numFmtId="0" fontId="3" fillId="0" borderId="36" xfId="0" applyFont="1" applyBorder="1" applyAlignment="1">
      <alignment horizontal="left" vertical="center" shrinkToFit="1"/>
    </xf>
    <xf numFmtId="0" fontId="3" fillId="0" borderId="35" xfId="0" applyFont="1" applyBorder="1" applyAlignment="1">
      <alignment horizontal="left" vertical="center" shrinkToFit="1"/>
    </xf>
    <xf numFmtId="0" fontId="3" fillId="0" borderId="6" xfId="0" applyFont="1" applyBorder="1" applyAlignment="1">
      <alignment horizontal="left" vertical="center" wrapText="1" shrinkToFit="1"/>
    </xf>
    <xf numFmtId="0" fontId="3" fillId="0" borderId="6" xfId="0" applyFont="1" applyBorder="1" applyAlignment="1">
      <alignment horizontal="left" vertical="center" shrinkToFit="1"/>
    </xf>
    <xf numFmtId="0" fontId="3" fillId="0" borderId="12" xfId="0" applyFont="1" applyBorder="1" applyAlignment="1">
      <alignment horizontal="left" vertical="center" shrinkToFit="1"/>
    </xf>
    <xf numFmtId="0" fontId="3" fillId="0" borderId="38" xfId="0" applyFont="1" applyBorder="1" applyAlignment="1">
      <alignment horizontal="left" vertical="center" wrapText="1" shrinkToFit="1"/>
    </xf>
    <xf numFmtId="0" fontId="3" fillId="0" borderId="38" xfId="0" applyFont="1" applyBorder="1" applyAlignment="1">
      <alignment horizontal="left" vertical="center" shrinkToFit="1"/>
    </xf>
    <xf numFmtId="0" fontId="3" fillId="0" borderId="39" xfId="0" applyFont="1" applyBorder="1" applyAlignment="1">
      <alignment horizontal="left" vertical="center" shrinkToFit="1"/>
    </xf>
    <xf numFmtId="0" fontId="3" fillId="0" borderId="19" xfId="0" applyFont="1" applyBorder="1" applyAlignment="1">
      <alignment vertical="center" wrapText="1"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45" zoomScaleNormal="100" zoomScaleSheetLayoutView="100" workbookViewId="0">
      <selection activeCell="B71" sqref="B71:D71"/>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0" t="s">
        <v>12</v>
      </c>
      <c r="S1" s="140"/>
      <c r="T1" s="2" t="s">
        <v>110</v>
      </c>
    </row>
    <row r="2" spans="1:22" ht="18.75" customHeight="1" x14ac:dyDescent="0.15">
      <c r="B2" s="34" t="s">
        <v>109</v>
      </c>
      <c r="C2" s="89" t="s">
        <v>127</v>
      </c>
      <c r="D2" s="90"/>
      <c r="E2" s="90"/>
      <c r="F2" s="90"/>
      <c r="G2" s="90"/>
      <c r="H2" s="90"/>
      <c r="I2" s="91"/>
      <c r="J2" s="35"/>
      <c r="K2" s="6"/>
      <c r="L2" s="6"/>
      <c r="M2" s="6"/>
      <c r="N2" s="6"/>
      <c r="O2" s="6"/>
      <c r="P2" s="6"/>
      <c r="Q2" s="6"/>
      <c r="R2" s="6"/>
      <c r="S2" s="6"/>
    </row>
    <row r="3" spans="1:22" ht="18.75" customHeight="1" x14ac:dyDescent="0.15">
      <c r="B3" s="34" t="s">
        <v>103</v>
      </c>
      <c r="C3" s="89" t="s">
        <v>128</v>
      </c>
      <c r="D3" s="90"/>
      <c r="E3" s="90"/>
      <c r="F3" s="90"/>
      <c r="G3" s="90"/>
      <c r="H3" s="90"/>
      <c r="I3" s="91"/>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44" t="s">
        <v>39</v>
      </c>
      <c r="B5" s="144"/>
      <c r="C5" s="144"/>
      <c r="D5" s="144"/>
      <c r="E5" s="144"/>
      <c r="F5" s="144"/>
      <c r="G5" s="144"/>
      <c r="H5" s="144"/>
      <c r="I5" s="144"/>
      <c r="J5" s="144"/>
      <c r="K5" s="144"/>
      <c r="L5" s="144"/>
      <c r="M5" s="144"/>
      <c r="N5" s="144"/>
      <c r="O5" s="144"/>
      <c r="P5" s="144"/>
      <c r="Q5" s="144"/>
      <c r="R5" s="144"/>
      <c r="S5" s="144"/>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54" t="s">
        <v>129</v>
      </c>
      <c r="L7" s="155"/>
      <c r="M7" s="155"/>
      <c r="N7" s="155"/>
      <c r="O7" s="155"/>
      <c r="P7" s="155"/>
      <c r="Q7" s="155"/>
      <c r="R7" s="155"/>
      <c r="S7" s="156"/>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57"/>
      <c r="C9" s="158"/>
      <c r="D9" s="158"/>
      <c r="E9" s="158"/>
      <c r="F9" s="158"/>
      <c r="G9" s="158"/>
      <c r="H9" s="158"/>
      <c r="I9" s="158"/>
      <c r="J9" s="158"/>
      <c r="K9" s="158"/>
      <c r="L9" s="158"/>
      <c r="M9" s="158"/>
      <c r="N9" s="158"/>
      <c r="O9" s="158"/>
      <c r="P9" s="158"/>
      <c r="Q9" s="158"/>
      <c r="R9" s="158"/>
      <c r="S9" s="159"/>
    </row>
    <row r="10" spans="1:22" ht="18" customHeight="1" x14ac:dyDescent="0.15">
      <c r="B10" s="160"/>
      <c r="C10" s="161"/>
      <c r="D10" s="161"/>
      <c r="E10" s="161"/>
      <c r="F10" s="161"/>
      <c r="G10" s="161"/>
      <c r="H10" s="161"/>
      <c r="I10" s="161"/>
      <c r="J10" s="161"/>
      <c r="K10" s="161"/>
      <c r="L10" s="161"/>
      <c r="M10" s="161"/>
      <c r="N10" s="161"/>
      <c r="O10" s="161"/>
      <c r="P10" s="161"/>
      <c r="Q10" s="161"/>
      <c r="R10" s="161"/>
      <c r="S10" s="16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45" t="s">
        <v>169</v>
      </c>
      <c r="C13" s="146"/>
      <c r="D13" s="146"/>
      <c r="E13" s="146"/>
      <c r="F13" s="146"/>
      <c r="G13" s="146"/>
      <c r="H13" s="146"/>
      <c r="I13" s="146"/>
      <c r="J13" s="146"/>
      <c r="K13" s="146"/>
      <c r="L13" s="146"/>
      <c r="M13" s="146"/>
      <c r="N13" s="146"/>
      <c r="O13" s="146"/>
      <c r="P13" s="146"/>
      <c r="Q13" s="146"/>
      <c r="R13" s="146"/>
      <c r="S13" s="147"/>
      <c r="V13" s="1" t="s">
        <v>104</v>
      </c>
    </row>
    <row r="14" spans="1:22" ht="18" customHeight="1" x14ac:dyDescent="0.15">
      <c r="B14" s="148"/>
      <c r="C14" s="149"/>
      <c r="D14" s="149"/>
      <c r="E14" s="149"/>
      <c r="F14" s="149"/>
      <c r="G14" s="149"/>
      <c r="H14" s="149"/>
      <c r="I14" s="149"/>
      <c r="J14" s="149"/>
      <c r="K14" s="149"/>
      <c r="L14" s="149"/>
      <c r="M14" s="149"/>
      <c r="N14" s="149"/>
      <c r="O14" s="149"/>
      <c r="P14" s="149"/>
      <c r="Q14" s="149"/>
      <c r="R14" s="149"/>
      <c r="S14" s="150"/>
      <c r="V14" s="1" t="s">
        <v>111</v>
      </c>
    </row>
    <row r="15" spans="1:22" ht="18" customHeight="1" x14ac:dyDescent="0.15">
      <c r="B15" s="148"/>
      <c r="C15" s="149"/>
      <c r="D15" s="149"/>
      <c r="E15" s="149"/>
      <c r="F15" s="149"/>
      <c r="G15" s="149"/>
      <c r="H15" s="149"/>
      <c r="I15" s="149"/>
      <c r="J15" s="149"/>
      <c r="K15" s="149"/>
      <c r="L15" s="149"/>
      <c r="M15" s="149"/>
      <c r="N15" s="149"/>
      <c r="O15" s="149"/>
      <c r="P15" s="149"/>
      <c r="Q15" s="149"/>
      <c r="R15" s="149"/>
      <c r="S15" s="150"/>
      <c r="V15" s="1" t="s">
        <v>124</v>
      </c>
    </row>
    <row r="16" spans="1:22" ht="18" customHeight="1" x14ac:dyDescent="0.15">
      <c r="B16" s="148"/>
      <c r="C16" s="149"/>
      <c r="D16" s="149"/>
      <c r="E16" s="149"/>
      <c r="F16" s="149"/>
      <c r="G16" s="149"/>
      <c r="H16" s="149"/>
      <c r="I16" s="149"/>
      <c r="J16" s="149"/>
      <c r="K16" s="149"/>
      <c r="L16" s="149"/>
      <c r="M16" s="149"/>
      <c r="N16" s="149"/>
      <c r="O16" s="149"/>
      <c r="P16" s="149"/>
      <c r="Q16" s="149"/>
      <c r="R16" s="149"/>
      <c r="S16" s="150"/>
      <c r="V16" s="1" t="s">
        <v>126</v>
      </c>
    </row>
    <row r="17" spans="1:19" ht="18" customHeight="1" x14ac:dyDescent="0.15">
      <c r="B17" s="148"/>
      <c r="C17" s="149"/>
      <c r="D17" s="149"/>
      <c r="E17" s="149"/>
      <c r="F17" s="149"/>
      <c r="G17" s="149"/>
      <c r="H17" s="149"/>
      <c r="I17" s="149"/>
      <c r="J17" s="149"/>
      <c r="K17" s="149"/>
      <c r="L17" s="149"/>
      <c r="M17" s="149"/>
      <c r="N17" s="149"/>
      <c r="O17" s="149"/>
      <c r="P17" s="149"/>
      <c r="Q17" s="149"/>
      <c r="R17" s="149"/>
      <c r="S17" s="150"/>
    </row>
    <row r="18" spans="1:19" ht="18" customHeight="1" x14ac:dyDescent="0.15">
      <c r="B18" s="151"/>
      <c r="C18" s="152"/>
      <c r="D18" s="152"/>
      <c r="E18" s="152"/>
      <c r="F18" s="152"/>
      <c r="G18" s="152"/>
      <c r="H18" s="152"/>
      <c r="I18" s="152"/>
      <c r="J18" s="152"/>
      <c r="K18" s="152"/>
      <c r="L18" s="152"/>
      <c r="M18" s="152"/>
      <c r="N18" s="152"/>
      <c r="O18" s="152"/>
      <c r="P18" s="152"/>
      <c r="Q18" s="152"/>
      <c r="R18" s="152"/>
      <c r="S18" s="153"/>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89">
        <v>4</v>
      </c>
      <c r="D20" s="91"/>
      <c r="E20" s="40" t="s">
        <v>96</v>
      </c>
      <c r="G20" s="10"/>
      <c r="H20" s="3"/>
      <c r="I20" s="3"/>
      <c r="J20" s="35" t="s">
        <v>122</v>
      </c>
      <c r="K20" s="141" t="s">
        <v>126</v>
      </c>
      <c r="L20" s="142"/>
      <c r="M20" s="142"/>
      <c r="N20" s="142"/>
      <c r="O20" s="142"/>
      <c r="P20" s="142"/>
      <c r="Q20" s="142"/>
      <c r="R20" s="142"/>
      <c r="S20" s="143"/>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114</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54</v>
      </c>
      <c r="C24" s="90"/>
      <c r="D24" s="90"/>
      <c r="E24" s="91"/>
      <c r="F24" s="61" t="s">
        <v>81</v>
      </c>
      <c r="G24" s="60" t="s">
        <v>85</v>
      </c>
      <c r="H24" s="22" t="s">
        <v>57</v>
      </c>
      <c r="I24" s="22" t="s">
        <v>60</v>
      </c>
      <c r="J24" s="89" t="s">
        <v>54</v>
      </c>
      <c r="K24" s="90"/>
      <c r="L24" s="90"/>
      <c r="M24" s="90"/>
      <c r="N24" s="90"/>
      <c r="O24" s="91"/>
      <c r="P24" s="61" t="s">
        <v>81</v>
      </c>
      <c r="Q24" s="60" t="s">
        <v>85</v>
      </c>
      <c r="R24" s="22" t="s">
        <v>57</v>
      </c>
      <c r="S24" s="22" t="s">
        <v>60</v>
      </c>
    </row>
    <row r="25" spans="1:19" ht="18" customHeight="1" x14ac:dyDescent="0.15">
      <c r="B25" s="83" t="s">
        <v>130</v>
      </c>
      <c r="C25" s="84"/>
      <c r="D25" s="84"/>
      <c r="E25" s="85"/>
      <c r="F25" s="23">
        <v>2</v>
      </c>
      <c r="G25" s="23" t="s">
        <v>131</v>
      </c>
      <c r="H25" s="23" t="s">
        <v>131</v>
      </c>
      <c r="I25" s="23" t="s">
        <v>131</v>
      </c>
      <c r="J25" s="83"/>
      <c r="K25" s="84"/>
      <c r="L25" s="84"/>
      <c r="M25" s="84"/>
      <c r="N25" s="84"/>
      <c r="O25" s="85"/>
      <c r="P25" s="23"/>
      <c r="Q25" s="23"/>
      <c r="R25" s="23"/>
      <c r="S25" s="23"/>
    </row>
    <row r="26" spans="1:19" ht="18" customHeight="1" x14ac:dyDescent="0.15">
      <c r="B26" s="86" t="s">
        <v>170</v>
      </c>
      <c r="C26" s="87"/>
      <c r="D26" s="87"/>
      <c r="E26" s="88"/>
      <c r="F26" s="82">
        <v>2</v>
      </c>
      <c r="G26" s="82" t="s">
        <v>131</v>
      </c>
      <c r="H26" s="82" t="s">
        <v>131</v>
      </c>
      <c r="I26" s="24"/>
      <c r="J26" s="86"/>
      <c r="K26" s="87"/>
      <c r="L26" s="87"/>
      <c r="M26" s="87"/>
      <c r="N26" s="87"/>
      <c r="O26" s="88"/>
      <c r="P26" s="24"/>
      <c r="Q26" s="24"/>
      <c r="R26" s="24"/>
      <c r="S26" s="24"/>
    </row>
    <row r="27" spans="1:19" ht="18" customHeight="1" x14ac:dyDescent="0.15">
      <c r="B27" s="86"/>
      <c r="C27" s="87"/>
      <c r="D27" s="87"/>
      <c r="E27" s="88"/>
      <c r="F27" s="24"/>
      <c r="G27" s="24"/>
      <c r="H27" s="24"/>
      <c r="I27" s="24"/>
      <c r="J27" s="86"/>
      <c r="K27" s="87"/>
      <c r="L27" s="87"/>
      <c r="M27" s="87"/>
      <c r="N27" s="87"/>
      <c r="O27" s="88"/>
      <c r="P27" s="24"/>
      <c r="Q27" s="24"/>
      <c r="R27" s="24"/>
      <c r="S27" s="24"/>
    </row>
    <row r="28" spans="1:19" ht="18" customHeight="1" x14ac:dyDescent="0.15">
      <c r="B28" s="86"/>
      <c r="C28" s="87"/>
      <c r="D28" s="87"/>
      <c r="E28" s="88"/>
      <c r="F28" s="24"/>
      <c r="G28" s="24"/>
      <c r="H28" s="24"/>
      <c r="I28" s="24"/>
      <c r="J28" s="86"/>
      <c r="K28" s="87"/>
      <c r="L28" s="87"/>
      <c r="M28" s="87"/>
      <c r="N28" s="87"/>
      <c r="O28" s="88"/>
      <c r="P28" s="24"/>
      <c r="Q28" s="24"/>
      <c r="R28" s="24"/>
      <c r="S28" s="24"/>
    </row>
    <row r="29" spans="1:19" ht="18" customHeight="1" x14ac:dyDescent="0.15">
      <c r="B29" s="86"/>
      <c r="C29" s="87"/>
      <c r="D29" s="87"/>
      <c r="E29" s="88"/>
      <c r="F29" s="24"/>
      <c r="G29" s="24"/>
      <c r="H29" s="24"/>
      <c r="I29" s="24"/>
      <c r="J29" s="86"/>
      <c r="K29" s="87"/>
      <c r="L29" s="87"/>
      <c r="M29" s="87"/>
      <c r="N29" s="87"/>
      <c r="O29" s="88"/>
      <c r="P29" s="24"/>
      <c r="Q29" s="24"/>
      <c r="R29" s="24"/>
      <c r="S29" s="24"/>
    </row>
    <row r="30" spans="1:19" ht="18" customHeight="1" x14ac:dyDescent="0.15">
      <c r="A30" s="3"/>
      <c r="B30" s="86"/>
      <c r="C30" s="87"/>
      <c r="D30" s="87"/>
      <c r="E30" s="88"/>
      <c r="F30" s="24"/>
      <c r="G30" s="24"/>
      <c r="H30" s="24"/>
      <c r="I30" s="24"/>
      <c r="J30" s="86"/>
      <c r="K30" s="87"/>
      <c r="L30" s="87"/>
      <c r="M30" s="87"/>
      <c r="N30" s="87"/>
      <c r="O30" s="88"/>
      <c r="P30" s="24"/>
      <c r="Q30" s="24"/>
      <c r="R30" s="24"/>
      <c r="S30" s="24"/>
    </row>
    <row r="31" spans="1:19" ht="18" customHeight="1" x14ac:dyDescent="0.15">
      <c r="A31" s="3"/>
      <c r="B31" s="92"/>
      <c r="C31" s="93"/>
      <c r="D31" s="93"/>
      <c r="E31" s="94"/>
      <c r="F31" s="25"/>
      <c r="G31" s="25"/>
      <c r="H31" s="26"/>
      <c r="I31" s="26"/>
      <c r="J31" s="92"/>
      <c r="K31" s="93"/>
      <c r="L31" s="93"/>
      <c r="M31" s="93"/>
      <c r="N31" s="93"/>
      <c r="O31" s="94"/>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115</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54</v>
      </c>
      <c r="C35" s="90"/>
      <c r="D35" s="90"/>
      <c r="E35" s="91"/>
      <c r="F35" s="61" t="s">
        <v>81</v>
      </c>
      <c r="G35" s="60" t="s">
        <v>85</v>
      </c>
      <c r="H35" s="22" t="s">
        <v>72</v>
      </c>
      <c r="I35" s="22" t="s">
        <v>73</v>
      </c>
      <c r="J35" s="89" t="s">
        <v>54</v>
      </c>
      <c r="K35" s="90"/>
      <c r="L35" s="90"/>
      <c r="M35" s="90"/>
      <c r="N35" s="90"/>
      <c r="O35" s="91"/>
      <c r="P35" s="61" t="s">
        <v>81</v>
      </c>
      <c r="Q35" s="60" t="s">
        <v>85</v>
      </c>
      <c r="R35" s="22" t="s">
        <v>72</v>
      </c>
      <c r="S35" s="22" t="s">
        <v>73</v>
      </c>
    </row>
    <row r="36" spans="1:19" ht="18" customHeight="1" x14ac:dyDescent="0.15">
      <c r="B36" s="83" t="s">
        <v>130</v>
      </c>
      <c r="C36" s="84"/>
      <c r="D36" s="84"/>
      <c r="E36" s="85"/>
      <c r="F36" s="23">
        <v>2</v>
      </c>
      <c r="G36" s="23" t="s">
        <v>131</v>
      </c>
      <c r="H36" s="23" t="s">
        <v>131</v>
      </c>
      <c r="I36" s="23" t="s">
        <v>131</v>
      </c>
      <c r="J36" s="83"/>
      <c r="K36" s="84"/>
      <c r="L36" s="84"/>
      <c r="M36" s="84"/>
      <c r="N36" s="84"/>
      <c r="O36" s="85"/>
      <c r="P36" s="23"/>
      <c r="Q36" s="23"/>
      <c r="R36" s="23"/>
      <c r="S36" s="23"/>
    </row>
    <row r="37" spans="1:19" ht="18" customHeight="1" x14ac:dyDescent="0.15">
      <c r="B37" s="86" t="s">
        <v>170</v>
      </c>
      <c r="C37" s="87"/>
      <c r="D37" s="87"/>
      <c r="E37" s="88"/>
      <c r="F37" s="24">
        <v>2</v>
      </c>
      <c r="G37" s="24" t="s">
        <v>131</v>
      </c>
      <c r="H37" s="24" t="s">
        <v>131</v>
      </c>
      <c r="I37" s="24" t="s">
        <v>131</v>
      </c>
      <c r="J37" s="86"/>
      <c r="K37" s="87"/>
      <c r="L37" s="87"/>
      <c r="M37" s="87"/>
      <c r="N37" s="87"/>
      <c r="O37" s="88"/>
      <c r="P37" s="24"/>
      <c r="Q37" s="24"/>
      <c r="R37" s="24"/>
      <c r="S37" s="24"/>
    </row>
    <row r="38" spans="1:19" ht="18" customHeight="1" x14ac:dyDescent="0.15">
      <c r="B38" s="86"/>
      <c r="C38" s="87"/>
      <c r="D38" s="87"/>
      <c r="E38" s="88"/>
      <c r="F38" s="24"/>
      <c r="G38" s="24"/>
      <c r="H38" s="24"/>
      <c r="I38" s="24"/>
      <c r="J38" s="86"/>
      <c r="K38" s="87"/>
      <c r="L38" s="87"/>
      <c r="M38" s="87"/>
      <c r="N38" s="87"/>
      <c r="O38" s="88"/>
      <c r="P38" s="24"/>
      <c r="Q38" s="24"/>
      <c r="R38" s="24"/>
      <c r="S38" s="24"/>
    </row>
    <row r="39" spans="1:19" ht="18" customHeight="1" x14ac:dyDescent="0.15">
      <c r="B39" s="86"/>
      <c r="C39" s="87"/>
      <c r="D39" s="87"/>
      <c r="E39" s="88"/>
      <c r="F39" s="24"/>
      <c r="G39" s="24"/>
      <c r="H39" s="24"/>
      <c r="I39" s="24"/>
      <c r="J39" s="86"/>
      <c r="K39" s="87"/>
      <c r="L39" s="87"/>
      <c r="M39" s="87"/>
      <c r="N39" s="87"/>
      <c r="O39" s="88"/>
      <c r="P39" s="24"/>
      <c r="Q39" s="24"/>
      <c r="R39" s="24"/>
      <c r="S39" s="24"/>
    </row>
    <row r="40" spans="1:19" ht="18" customHeight="1" x14ac:dyDescent="0.15">
      <c r="B40" s="86"/>
      <c r="C40" s="87"/>
      <c r="D40" s="87"/>
      <c r="E40" s="88"/>
      <c r="F40" s="24"/>
      <c r="G40" s="24"/>
      <c r="H40" s="24"/>
      <c r="I40" s="24"/>
      <c r="J40" s="86"/>
      <c r="K40" s="87"/>
      <c r="L40" s="87"/>
      <c r="M40" s="87"/>
      <c r="N40" s="87"/>
      <c r="O40" s="88"/>
      <c r="P40" s="24"/>
      <c r="Q40" s="24"/>
      <c r="R40" s="24"/>
      <c r="S40" s="24"/>
    </row>
    <row r="41" spans="1:19" ht="18" customHeight="1" x14ac:dyDescent="0.15">
      <c r="B41" s="86"/>
      <c r="C41" s="87"/>
      <c r="D41" s="87"/>
      <c r="E41" s="88"/>
      <c r="F41" s="24"/>
      <c r="G41" s="24"/>
      <c r="H41" s="24"/>
      <c r="I41" s="24"/>
      <c r="J41" s="86"/>
      <c r="K41" s="87"/>
      <c r="L41" s="87"/>
      <c r="M41" s="87"/>
      <c r="N41" s="87"/>
      <c r="O41" s="88"/>
      <c r="P41" s="24"/>
      <c r="Q41" s="24"/>
      <c r="R41" s="24"/>
      <c r="S41" s="24"/>
    </row>
    <row r="42" spans="1:19" ht="18" customHeight="1" x14ac:dyDescent="0.15">
      <c r="B42" s="92"/>
      <c r="C42" s="93"/>
      <c r="D42" s="93"/>
      <c r="E42" s="94"/>
      <c r="F42" s="25"/>
      <c r="G42" s="25"/>
      <c r="H42" s="26"/>
      <c r="I42" s="26"/>
      <c r="J42" s="92"/>
      <c r="K42" s="93"/>
      <c r="L42" s="93"/>
      <c r="M42" s="93"/>
      <c r="N42" s="93"/>
      <c r="O42" s="94"/>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116</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54</v>
      </c>
      <c r="C46" s="90"/>
      <c r="D46" s="90"/>
      <c r="E46" s="91"/>
      <c r="F46" s="61" t="s">
        <v>81</v>
      </c>
      <c r="G46" s="60" t="s">
        <v>85</v>
      </c>
      <c r="H46" s="22" t="s">
        <v>74</v>
      </c>
      <c r="I46" s="22" t="s">
        <v>75</v>
      </c>
      <c r="J46" s="89" t="s">
        <v>54</v>
      </c>
      <c r="K46" s="90"/>
      <c r="L46" s="90"/>
      <c r="M46" s="90"/>
      <c r="N46" s="90"/>
      <c r="O46" s="91"/>
      <c r="P46" s="61" t="s">
        <v>81</v>
      </c>
      <c r="Q46" s="60" t="s">
        <v>85</v>
      </c>
      <c r="R46" s="22" t="s">
        <v>74</v>
      </c>
      <c r="S46" s="22" t="s">
        <v>75</v>
      </c>
    </row>
    <row r="47" spans="1:19" ht="18" customHeight="1" x14ac:dyDescent="0.15">
      <c r="A47" s="3"/>
      <c r="B47" s="83" t="s">
        <v>130</v>
      </c>
      <c r="C47" s="84"/>
      <c r="D47" s="84"/>
      <c r="E47" s="85"/>
      <c r="F47" s="23">
        <v>2</v>
      </c>
      <c r="G47" s="23" t="s">
        <v>131</v>
      </c>
      <c r="H47" s="23" t="s">
        <v>131</v>
      </c>
      <c r="I47" s="23" t="s">
        <v>131</v>
      </c>
      <c r="J47" s="83"/>
      <c r="K47" s="84"/>
      <c r="L47" s="84"/>
      <c r="M47" s="84"/>
      <c r="N47" s="84"/>
      <c r="O47" s="85"/>
      <c r="P47" s="23"/>
      <c r="Q47" s="23"/>
      <c r="R47" s="23"/>
      <c r="S47" s="23"/>
    </row>
    <row r="48" spans="1:19" ht="18" customHeight="1" x14ac:dyDescent="0.15">
      <c r="A48" s="3"/>
      <c r="B48" s="86" t="s">
        <v>170</v>
      </c>
      <c r="C48" s="87"/>
      <c r="D48" s="87"/>
      <c r="E48" s="88"/>
      <c r="F48" s="82">
        <v>2</v>
      </c>
      <c r="G48" s="82" t="s">
        <v>131</v>
      </c>
      <c r="H48" s="82"/>
      <c r="I48" s="24" t="s">
        <v>131</v>
      </c>
      <c r="J48" s="86"/>
      <c r="K48" s="87"/>
      <c r="L48" s="87"/>
      <c r="M48" s="87"/>
      <c r="N48" s="87"/>
      <c r="O48" s="88"/>
      <c r="P48" s="24"/>
      <c r="Q48" s="24"/>
      <c r="R48" s="24"/>
      <c r="S48" s="24"/>
    </row>
    <row r="49" spans="1:19" ht="18" customHeight="1" x14ac:dyDescent="0.15">
      <c r="A49" s="3"/>
      <c r="B49" s="86"/>
      <c r="C49" s="87"/>
      <c r="D49" s="87"/>
      <c r="E49" s="88"/>
      <c r="F49" s="24"/>
      <c r="G49" s="24"/>
      <c r="H49" s="24"/>
      <c r="I49" s="24"/>
      <c r="J49" s="86"/>
      <c r="K49" s="87"/>
      <c r="L49" s="87"/>
      <c r="M49" s="87"/>
      <c r="N49" s="87"/>
      <c r="O49" s="88"/>
      <c r="P49" s="24"/>
      <c r="Q49" s="24"/>
      <c r="R49" s="24"/>
      <c r="S49" s="24"/>
    </row>
    <row r="50" spans="1:19" ht="18" customHeight="1" x14ac:dyDescent="0.15">
      <c r="A50" s="3"/>
      <c r="B50" s="86"/>
      <c r="C50" s="87"/>
      <c r="D50" s="87"/>
      <c r="E50" s="88"/>
      <c r="F50" s="24"/>
      <c r="G50" s="24"/>
      <c r="H50" s="24"/>
      <c r="I50" s="24"/>
      <c r="J50" s="86"/>
      <c r="K50" s="87"/>
      <c r="L50" s="87"/>
      <c r="M50" s="87"/>
      <c r="N50" s="87"/>
      <c r="O50" s="88"/>
      <c r="P50" s="24"/>
      <c r="Q50" s="24"/>
      <c r="R50" s="24"/>
      <c r="S50" s="24"/>
    </row>
    <row r="51" spans="1:19" ht="18" customHeight="1" x14ac:dyDescent="0.15">
      <c r="A51" s="3"/>
      <c r="B51" s="86"/>
      <c r="C51" s="87"/>
      <c r="D51" s="87"/>
      <c r="E51" s="88"/>
      <c r="F51" s="24"/>
      <c r="G51" s="24"/>
      <c r="H51" s="24"/>
      <c r="I51" s="24"/>
      <c r="J51" s="86"/>
      <c r="K51" s="87"/>
      <c r="L51" s="87"/>
      <c r="M51" s="87"/>
      <c r="N51" s="87"/>
      <c r="O51" s="88"/>
      <c r="P51" s="24"/>
      <c r="Q51" s="24"/>
      <c r="R51" s="24"/>
      <c r="S51" s="24"/>
    </row>
    <row r="52" spans="1:19" ht="18" customHeight="1" x14ac:dyDescent="0.15">
      <c r="A52" s="3"/>
      <c r="B52" s="86"/>
      <c r="C52" s="87"/>
      <c r="D52" s="87"/>
      <c r="E52" s="88"/>
      <c r="F52" s="24"/>
      <c r="G52" s="24"/>
      <c r="H52" s="24"/>
      <c r="I52" s="24"/>
      <c r="J52" s="86"/>
      <c r="K52" s="87"/>
      <c r="L52" s="87"/>
      <c r="M52" s="87"/>
      <c r="N52" s="87"/>
      <c r="O52" s="88"/>
      <c r="P52" s="24"/>
      <c r="Q52" s="24"/>
      <c r="R52" s="24"/>
      <c r="S52" s="24"/>
    </row>
    <row r="53" spans="1:19" ht="18" customHeight="1" x14ac:dyDescent="0.15">
      <c r="A53" s="3"/>
      <c r="B53" s="92"/>
      <c r="C53" s="93"/>
      <c r="D53" s="93"/>
      <c r="E53" s="94"/>
      <c r="F53" s="25"/>
      <c r="G53" s="25"/>
      <c r="H53" s="26"/>
      <c r="I53" s="26"/>
      <c r="J53" s="92"/>
      <c r="K53" s="93"/>
      <c r="L53" s="93"/>
      <c r="M53" s="93"/>
      <c r="N53" s="93"/>
      <c r="O53" s="94"/>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5" t="s">
        <v>117</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54</v>
      </c>
      <c r="C57" s="90"/>
      <c r="D57" s="90"/>
      <c r="E57" s="91"/>
      <c r="F57" s="61" t="s">
        <v>81</v>
      </c>
      <c r="G57" s="60" t="s">
        <v>85</v>
      </c>
      <c r="H57" s="22" t="s">
        <v>59</v>
      </c>
      <c r="I57" s="22" t="s">
        <v>61</v>
      </c>
      <c r="J57" s="89" t="s">
        <v>54</v>
      </c>
      <c r="K57" s="90"/>
      <c r="L57" s="90"/>
      <c r="M57" s="90"/>
      <c r="N57" s="90"/>
      <c r="O57" s="91"/>
      <c r="P57" s="61" t="s">
        <v>81</v>
      </c>
      <c r="Q57" s="60" t="s">
        <v>85</v>
      </c>
      <c r="R57" s="22" t="s">
        <v>59</v>
      </c>
      <c r="S57" s="22" t="s">
        <v>61</v>
      </c>
    </row>
    <row r="58" spans="1:19" ht="18" customHeight="1" x14ac:dyDescent="0.15">
      <c r="A58" s="3"/>
      <c r="B58" s="83" t="s">
        <v>130</v>
      </c>
      <c r="C58" s="84"/>
      <c r="D58" s="84"/>
      <c r="E58" s="85"/>
      <c r="F58" s="23">
        <v>2</v>
      </c>
      <c r="G58" s="23" t="s">
        <v>131</v>
      </c>
      <c r="H58" s="23" t="s">
        <v>131</v>
      </c>
      <c r="I58" s="23" t="s">
        <v>131</v>
      </c>
      <c r="J58" s="83"/>
      <c r="K58" s="84"/>
      <c r="L58" s="84"/>
      <c r="M58" s="84"/>
      <c r="N58" s="84"/>
      <c r="O58" s="85"/>
      <c r="P58" s="23"/>
      <c r="Q58" s="23"/>
      <c r="R58" s="23"/>
      <c r="S58" s="23"/>
    </row>
    <row r="59" spans="1:19" ht="18" customHeight="1" x14ac:dyDescent="0.15">
      <c r="A59" s="3"/>
      <c r="B59" s="86" t="s">
        <v>170</v>
      </c>
      <c r="C59" s="87"/>
      <c r="D59" s="87"/>
      <c r="E59" s="88"/>
      <c r="F59" s="82">
        <v>2</v>
      </c>
      <c r="G59" s="82" t="s">
        <v>131</v>
      </c>
      <c r="H59" s="82" t="s">
        <v>131</v>
      </c>
      <c r="I59" s="24"/>
      <c r="J59" s="86"/>
      <c r="K59" s="87"/>
      <c r="L59" s="87"/>
      <c r="M59" s="87"/>
      <c r="N59" s="87"/>
      <c r="O59" s="88"/>
      <c r="P59" s="24"/>
      <c r="Q59" s="24"/>
      <c r="R59" s="24"/>
      <c r="S59" s="24"/>
    </row>
    <row r="60" spans="1:19" ht="18" customHeight="1" x14ac:dyDescent="0.15">
      <c r="A60" s="3"/>
      <c r="B60" s="86"/>
      <c r="C60" s="87"/>
      <c r="D60" s="87"/>
      <c r="E60" s="88"/>
      <c r="F60" s="24"/>
      <c r="G60" s="24"/>
      <c r="H60" s="24"/>
      <c r="I60" s="24"/>
      <c r="J60" s="86"/>
      <c r="K60" s="87"/>
      <c r="L60" s="87"/>
      <c r="M60" s="87"/>
      <c r="N60" s="87"/>
      <c r="O60" s="88"/>
      <c r="P60" s="24"/>
      <c r="Q60" s="24"/>
      <c r="R60" s="24"/>
      <c r="S60" s="24"/>
    </row>
    <row r="61" spans="1:19" ht="18" customHeight="1" x14ac:dyDescent="0.15">
      <c r="A61" s="3"/>
      <c r="B61" s="86"/>
      <c r="C61" s="87"/>
      <c r="D61" s="87"/>
      <c r="E61" s="88"/>
      <c r="F61" s="24"/>
      <c r="G61" s="24"/>
      <c r="H61" s="24"/>
      <c r="I61" s="24"/>
      <c r="J61" s="86"/>
      <c r="K61" s="87"/>
      <c r="L61" s="87"/>
      <c r="M61" s="87"/>
      <c r="N61" s="87"/>
      <c r="O61" s="88"/>
      <c r="P61" s="24"/>
      <c r="Q61" s="24"/>
      <c r="R61" s="24"/>
      <c r="S61" s="24"/>
    </row>
    <row r="62" spans="1:19" ht="18" customHeight="1" x14ac:dyDescent="0.15">
      <c r="A62" s="3"/>
      <c r="B62" s="86"/>
      <c r="C62" s="87"/>
      <c r="D62" s="87"/>
      <c r="E62" s="88"/>
      <c r="F62" s="24"/>
      <c r="G62" s="24"/>
      <c r="H62" s="24"/>
      <c r="I62" s="24"/>
      <c r="J62" s="86"/>
      <c r="K62" s="87"/>
      <c r="L62" s="87"/>
      <c r="M62" s="87"/>
      <c r="N62" s="87"/>
      <c r="O62" s="88"/>
      <c r="P62" s="24"/>
      <c r="Q62" s="24"/>
      <c r="R62" s="24"/>
      <c r="S62" s="24"/>
    </row>
    <row r="63" spans="1:19" ht="18" customHeight="1" x14ac:dyDescent="0.15">
      <c r="A63" s="3"/>
      <c r="B63" s="86"/>
      <c r="C63" s="87"/>
      <c r="D63" s="87"/>
      <c r="E63" s="88"/>
      <c r="F63" s="24"/>
      <c r="G63" s="24"/>
      <c r="H63" s="24"/>
      <c r="I63" s="24"/>
      <c r="J63" s="86"/>
      <c r="K63" s="87"/>
      <c r="L63" s="87"/>
      <c r="M63" s="87"/>
      <c r="N63" s="87"/>
      <c r="O63" s="88"/>
      <c r="P63" s="24"/>
      <c r="Q63" s="24"/>
      <c r="R63" s="24"/>
      <c r="S63" s="24"/>
    </row>
    <row r="64" spans="1:19" ht="18" customHeight="1" x14ac:dyDescent="0.15">
      <c r="A64" s="3"/>
      <c r="B64" s="92"/>
      <c r="C64" s="93"/>
      <c r="D64" s="93"/>
      <c r="E64" s="94"/>
      <c r="F64" s="25"/>
      <c r="G64" s="25"/>
      <c r="H64" s="26"/>
      <c r="I64" s="26"/>
      <c r="J64" s="92"/>
      <c r="K64" s="93"/>
      <c r="L64" s="93"/>
      <c r="M64" s="93"/>
      <c r="N64" s="93"/>
      <c r="O64" s="94"/>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5" t="s">
        <v>118</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54</v>
      </c>
      <c r="C68" s="90"/>
      <c r="D68" s="90"/>
      <c r="E68" s="61" t="s">
        <v>81</v>
      </c>
      <c r="F68" s="60" t="s">
        <v>85</v>
      </c>
      <c r="G68" s="22" t="s">
        <v>102</v>
      </c>
      <c r="H68" s="22" t="s">
        <v>76</v>
      </c>
      <c r="I68" s="22" t="s">
        <v>77</v>
      </c>
      <c r="J68" s="89" t="s">
        <v>54</v>
      </c>
      <c r="K68" s="90"/>
      <c r="L68" s="90"/>
      <c r="M68" s="90"/>
      <c r="N68" s="91"/>
      <c r="O68" s="61" t="s">
        <v>81</v>
      </c>
      <c r="P68" s="60" t="s">
        <v>85</v>
      </c>
      <c r="Q68" s="22" t="s">
        <v>102</v>
      </c>
      <c r="R68" s="22" t="s">
        <v>76</v>
      </c>
      <c r="S68" s="22" t="s">
        <v>77</v>
      </c>
    </row>
    <row r="69" spans="1:19" ht="18" customHeight="1" x14ac:dyDescent="0.15">
      <c r="A69" s="3"/>
      <c r="B69" s="83" t="s">
        <v>130</v>
      </c>
      <c r="C69" s="84"/>
      <c r="D69" s="84"/>
      <c r="E69" s="23">
        <v>2</v>
      </c>
      <c r="F69" s="23" t="s">
        <v>131</v>
      </c>
      <c r="G69" s="23" t="s">
        <v>131</v>
      </c>
      <c r="H69" s="23" t="s">
        <v>131</v>
      </c>
      <c r="I69" s="23" t="s">
        <v>131</v>
      </c>
      <c r="J69" s="83"/>
      <c r="K69" s="84"/>
      <c r="L69" s="84"/>
      <c r="M69" s="84"/>
      <c r="N69" s="85"/>
      <c r="O69" s="23"/>
      <c r="P69" s="23"/>
      <c r="Q69" s="23"/>
      <c r="R69" s="23"/>
      <c r="S69" s="23"/>
    </row>
    <row r="70" spans="1:19" ht="18" customHeight="1" x14ac:dyDescent="0.15">
      <c r="A70" s="3"/>
      <c r="B70" s="86" t="s">
        <v>170</v>
      </c>
      <c r="C70" s="87"/>
      <c r="D70" s="87"/>
      <c r="E70" s="82">
        <v>2</v>
      </c>
      <c r="F70" s="82" t="s">
        <v>131</v>
      </c>
      <c r="G70" s="82" t="s">
        <v>131</v>
      </c>
      <c r="H70" s="82" t="s">
        <v>131</v>
      </c>
      <c r="I70" s="82" t="s">
        <v>131</v>
      </c>
      <c r="J70" s="86"/>
      <c r="K70" s="87"/>
      <c r="L70" s="87"/>
      <c r="M70" s="87"/>
      <c r="N70" s="88"/>
      <c r="O70" s="24"/>
      <c r="P70" s="24"/>
      <c r="Q70" s="24"/>
      <c r="R70" s="24"/>
      <c r="S70" s="24"/>
    </row>
    <row r="71" spans="1:19" ht="18" customHeight="1" x14ac:dyDescent="0.15">
      <c r="A71" s="3"/>
      <c r="B71" s="86"/>
      <c r="C71" s="87"/>
      <c r="D71" s="87"/>
      <c r="E71" s="24"/>
      <c r="F71" s="24"/>
      <c r="G71" s="24"/>
      <c r="H71" s="24"/>
      <c r="I71" s="24"/>
      <c r="J71" s="86"/>
      <c r="K71" s="87"/>
      <c r="L71" s="87"/>
      <c r="M71" s="87"/>
      <c r="N71" s="88"/>
      <c r="O71" s="24"/>
      <c r="P71" s="24"/>
      <c r="Q71" s="24"/>
      <c r="R71" s="24"/>
      <c r="S71" s="24"/>
    </row>
    <row r="72" spans="1:19" ht="18" customHeight="1" x14ac:dyDescent="0.15">
      <c r="A72" s="3"/>
      <c r="B72" s="86"/>
      <c r="C72" s="87"/>
      <c r="D72" s="87"/>
      <c r="E72" s="24"/>
      <c r="F72" s="24"/>
      <c r="G72" s="24"/>
      <c r="H72" s="24"/>
      <c r="I72" s="24"/>
      <c r="J72" s="86"/>
      <c r="K72" s="87"/>
      <c r="L72" s="87"/>
      <c r="M72" s="87"/>
      <c r="N72" s="88"/>
      <c r="O72" s="24"/>
      <c r="P72" s="24"/>
      <c r="Q72" s="24"/>
      <c r="R72" s="24"/>
      <c r="S72" s="24"/>
    </row>
    <row r="73" spans="1:19" ht="18" customHeight="1" x14ac:dyDescent="0.15">
      <c r="A73" s="3"/>
      <c r="B73" s="86"/>
      <c r="C73" s="87"/>
      <c r="D73" s="87"/>
      <c r="E73" s="24"/>
      <c r="F73" s="24"/>
      <c r="G73" s="24"/>
      <c r="H73" s="24"/>
      <c r="I73" s="24"/>
      <c r="J73" s="86"/>
      <c r="K73" s="87"/>
      <c r="L73" s="87"/>
      <c r="M73" s="87"/>
      <c r="N73" s="88"/>
      <c r="O73" s="24"/>
      <c r="P73" s="24"/>
      <c r="Q73" s="24"/>
      <c r="R73" s="24"/>
      <c r="S73" s="24"/>
    </row>
    <row r="74" spans="1:19" ht="18" customHeight="1" x14ac:dyDescent="0.15">
      <c r="A74" s="3"/>
      <c r="B74" s="86"/>
      <c r="C74" s="87"/>
      <c r="D74" s="87"/>
      <c r="E74" s="24"/>
      <c r="F74" s="24"/>
      <c r="G74" s="24"/>
      <c r="H74" s="24"/>
      <c r="I74" s="24"/>
      <c r="J74" s="86"/>
      <c r="K74" s="87"/>
      <c r="L74" s="87"/>
      <c r="M74" s="87"/>
      <c r="N74" s="88"/>
      <c r="O74" s="24"/>
      <c r="P74" s="24"/>
      <c r="Q74" s="24"/>
      <c r="R74" s="24"/>
      <c r="S74" s="24"/>
    </row>
    <row r="75" spans="1:19" ht="18" customHeight="1" x14ac:dyDescent="0.15">
      <c r="A75" s="3"/>
      <c r="B75" s="92"/>
      <c r="C75" s="93"/>
      <c r="D75" s="93"/>
      <c r="E75" s="25"/>
      <c r="F75" s="25"/>
      <c r="G75" s="26"/>
      <c r="H75" s="26"/>
      <c r="I75" s="26"/>
      <c r="J75" s="92"/>
      <c r="K75" s="93"/>
      <c r="L75" s="93"/>
      <c r="M75" s="93"/>
      <c r="N75" s="94"/>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89" t="s">
        <v>54</v>
      </c>
      <c r="C78" s="90"/>
      <c r="D78" s="90"/>
      <c r="E78" s="91"/>
      <c r="F78" s="89" t="s">
        <v>83</v>
      </c>
      <c r="G78" s="90"/>
      <c r="H78" s="90"/>
      <c r="I78" s="91"/>
      <c r="J78" s="116" t="s">
        <v>54</v>
      </c>
      <c r="K78" s="117"/>
      <c r="L78" s="117"/>
      <c r="M78" s="117"/>
      <c r="N78" s="117"/>
      <c r="O78" s="118"/>
      <c r="P78" s="89" t="s">
        <v>83</v>
      </c>
      <c r="Q78" s="90"/>
      <c r="R78" s="90"/>
      <c r="S78" s="91"/>
    </row>
    <row r="79" spans="1:19" ht="18" customHeight="1" x14ac:dyDescent="0.15">
      <c r="A79" s="3"/>
      <c r="B79" s="83"/>
      <c r="C79" s="84"/>
      <c r="D79" s="84"/>
      <c r="E79" s="85"/>
      <c r="F79" s="110"/>
      <c r="G79" s="111"/>
      <c r="H79" s="111"/>
      <c r="I79" s="112"/>
      <c r="J79" s="83"/>
      <c r="K79" s="84"/>
      <c r="L79" s="84"/>
      <c r="M79" s="84"/>
      <c r="N79" s="84"/>
      <c r="O79" s="85"/>
      <c r="P79" s="110"/>
      <c r="Q79" s="111"/>
      <c r="R79" s="111"/>
      <c r="S79" s="112"/>
    </row>
    <row r="80" spans="1:19" ht="18" customHeight="1" x14ac:dyDescent="0.15">
      <c r="A80" s="3"/>
      <c r="B80" s="86"/>
      <c r="C80" s="87"/>
      <c r="D80" s="87"/>
      <c r="E80" s="88"/>
      <c r="F80" s="113"/>
      <c r="G80" s="114"/>
      <c r="H80" s="114"/>
      <c r="I80" s="115"/>
      <c r="J80" s="86"/>
      <c r="K80" s="87"/>
      <c r="L80" s="87"/>
      <c r="M80" s="87"/>
      <c r="N80" s="87"/>
      <c r="O80" s="88"/>
      <c r="P80" s="113"/>
      <c r="Q80" s="114"/>
      <c r="R80" s="114"/>
      <c r="S80" s="115"/>
    </row>
    <row r="81" spans="1:19" ht="18" customHeight="1" x14ac:dyDescent="0.15">
      <c r="A81" s="3"/>
      <c r="B81" s="86"/>
      <c r="C81" s="87"/>
      <c r="D81" s="87"/>
      <c r="E81" s="88"/>
      <c r="F81" s="113"/>
      <c r="G81" s="114"/>
      <c r="H81" s="114"/>
      <c r="I81" s="115"/>
      <c r="J81" s="86"/>
      <c r="K81" s="87"/>
      <c r="L81" s="87"/>
      <c r="M81" s="87"/>
      <c r="N81" s="87"/>
      <c r="O81" s="88"/>
      <c r="P81" s="113"/>
      <c r="Q81" s="114"/>
      <c r="R81" s="114"/>
      <c r="S81" s="115"/>
    </row>
    <row r="82" spans="1:19" ht="18" customHeight="1" x14ac:dyDescent="0.15">
      <c r="A82" s="3"/>
      <c r="B82" s="86"/>
      <c r="C82" s="87"/>
      <c r="D82" s="87"/>
      <c r="E82" s="88"/>
      <c r="F82" s="113"/>
      <c r="G82" s="114"/>
      <c r="H82" s="114"/>
      <c r="I82" s="115"/>
      <c r="J82" s="86"/>
      <c r="K82" s="87"/>
      <c r="L82" s="87"/>
      <c r="M82" s="87"/>
      <c r="N82" s="87"/>
      <c r="O82" s="88"/>
      <c r="P82" s="113"/>
      <c r="Q82" s="114"/>
      <c r="R82" s="114"/>
      <c r="S82" s="115"/>
    </row>
    <row r="83" spans="1:19" ht="18" customHeight="1" x14ac:dyDescent="0.15">
      <c r="A83" s="3"/>
      <c r="B83" s="86"/>
      <c r="C83" s="87"/>
      <c r="D83" s="87"/>
      <c r="E83" s="88"/>
      <c r="F83" s="113"/>
      <c r="G83" s="114"/>
      <c r="H83" s="114"/>
      <c r="I83" s="115"/>
      <c r="J83" s="86"/>
      <c r="K83" s="87"/>
      <c r="L83" s="87"/>
      <c r="M83" s="87"/>
      <c r="N83" s="87"/>
      <c r="O83" s="88"/>
      <c r="P83" s="113"/>
      <c r="Q83" s="114"/>
      <c r="R83" s="114"/>
      <c r="S83" s="115"/>
    </row>
    <row r="84" spans="1:19" ht="18" customHeight="1" x14ac:dyDescent="0.15">
      <c r="A84" s="3"/>
      <c r="B84" s="86"/>
      <c r="C84" s="87"/>
      <c r="D84" s="87"/>
      <c r="E84" s="88"/>
      <c r="F84" s="113"/>
      <c r="G84" s="114"/>
      <c r="H84" s="114"/>
      <c r="I84" s="115"/>
      <c r="J84" s="86"/>
      <c r="K84" s="87"/>
      <c r="L84" s="87"/>
      <c r="M84" s="87"/>
      <c r="N84" s="87"/>
      <c r="O84" s="88"/>
      <c r="P84" s="113"/>
      <c r="Q84" s="114"/>
      <c r="R84" s="114"/>
      <c r="S84" s="115"/>
    </row>
    <row r="85" spans="1:19" ht="18" customHeight="1" x14ac:dyDescent="0.15">
      <c r="A85" s="3"/>
      <c r="B85" s="92"/>
      <c r="C85" s="93"/>
      <c r="D85" s="93"/>
      <c r="E85" s="94"/>
      <c r="F85" s="122"/>
      <c r="G85" s="123"/>
      <c r="H85" s="123"/>
      <c r="I85" s="124"/>
      <c r="J85" s="92"/>
      <c r="K85" s="93"/>
      <c r="L85" s="93"/>
      <c r="M85" s="93"/>
      <c r="N85" s="93"/>
      <c r="O85" s="94"/>
      <c r="P85" s="122"/>
      <c r="Q85" s="123"/>
      <c r="R85" s="123"/>
      <c r="S85" s="124"/>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08" t="s">
        <v>55</v>
      </c>
      <c r="C88" s="109"/>
      <c r="D88" s="90" t="s">
        <v>56</v>
      </c>
      <c r="E88" s="90"/>
      <c r="F88" s="90"/>
      <c r="G88" s="90"/>
      <c r="H88" s="90"/>
      <c r="I88" s="90"/>
      <c r="J88" s="90"/>
      <c r="K88" s="90"/>
      <c r="L88" s="90"/>
      <c r="M88" s="90"/>
      <c r="N88" s="90"/>
      <c r="O88" s="90"/>
      <c r="P88" s="90"/>
      <c r="Q88" s="90"/>
      <c r="R88" s="90"/>
      <c r="S88" s="91"/>
    </row>
    <row r="89" spans="1:19" ht="82.5" customHeight="1" x14ac:dyDescent="0.15">
      <c r="B89" s="96" t="s">
        <v>62</v>
      </c>
      <c r="C89" s="28" t="s">
        <v>57</v>
      </c>
      <c r="D89" s="105" t="s">
        <v>142</v>
      </c>
      <c r="E89" s="106"/>
      <c r="F89" s="106"/>
      <c r="G89" s="106"/>
      <c r="H89" s="106"/>
      <c r="I89" s="106"/>
      <c r="J89" s="106"/>
      <c r="K89" s="106"/>
      <c r="L89" s="106"/>
      <c r="M89" s="106"/>
      <c r="N89" s="106"/>
      <c r="O89" s="106"/>
      <c r="P89" s="106"/>
      <c r="Q89" s="106"/>
      <c r="R89" s="106"/>
      <c r="S89" s="107"/>
    </row>
    <row r="90" spans="1:19" ht="53.25" customHeight="1" x14ac:dyDescent="0.15">
      <c r="B90" s="97"/>
      <c r="C90" s="29" t="s">
        <v>78</v>
      </c>
      <c r="D90" s="125" t="s">
        <v>138</v>
      </c>
      <c r="E90" s="126"/>
      <c r="F90" s="126"/>
      <c r="G90" s="126"/>
      <c r="H90" s="126"/>
      <c r="I90" s="126"/>
      <c r="J90" s="126"/>
      <c r="K90" s="126"/>
      <c r="L90" s="126"/>
      <c r="M90" s="126"/>
      <c r="N90" s="126"/>
      <c r="O90" s="126"/>
      <c r="P90" s="126"/>
      <c r="Q90" s="126"/>
      <c r="R90" s="126"/>
      <c r="S90" s="127"/>
    </row>
    <row r="91" spans="1:19" ht="84" customHeight="1" x14ac:dyDescent="0.15">
      <c r="B91" s="96" t="s">
        <v>63</v>
      </c>
      <c r="C91" s="30" t="s">
        <v>72</v>
      </c>
      <c r="D91" s="128" t="s">
        <v>141</v>
      </c>
      <c r="E91" s="129"/>
      <c r="F91" s="129"/>
      <c r="G91" s="129"/>
      <c r="H91" s="129"/>
      <c r="I91" s="129"/>
      <c r="J91" s="129"/>
      <c r="K91" s="129"/>
      <c r="L91" s="129"/>
      <c r="M91" s="129"/>
      <c r="N91" s="129"/>
      <c r="O91" s="129"/>
      <c r="P91" s="129"/>
      <c r="Q91" s="129"/>
      <c r="R91" s="129"/>
      <c r="S91" s="130"/>
    </row>
    <row r="92" spans="1:19" ht="97.5" customHeight="1" x14ac:dyDescent="0.15">
      <c r="B92" s="98"/>
      <c r="C92" s="31" t="s">
        <v>73</v>
      </c>
      <c r="D92" s="134" t="s">
        <v>143</v>
      </c>
      <c r="E92" s="135"/>
      <c r="F92" s="135"/>
      <c r="G92" s="135"/>
      <c r="H92" s="135"/>
      <c r="I92" s="135"/>
      <c r="J92" s="135"/>
      <c r="K92" s="135"/>
      <c r="L92" s="135"/>
      <c r="M92" s="135"/>
      <c r="N92" s="135"/>
      <c r="O92" s="135"/>
      <c r="P92" s="135"/>
      <c r="Q92" s="135"/>
      <c r="R92" s="135"/>
      <c r="S92" s="136"/>
    </row>
    <row r="93" spans="1:19" ht="77.25" customHeight="1" x14ac:dyDescent="0.15">
      <c r="B93" s="96" t="s">
        <v>64</v>
      </c>
      <c r="C93" s="30" t="s">
        <v>74</v>
      </c>
      <c r="D93" s="128" t="s">
        <v>139</v>
      </c>
      <c r="E93" s="129"/>
      <c r="F93" s="129"/>
      <c r="G93" s="129"/>
      <c r="H93" s="129"/>
      <c r="I93" s="129"/>
      <c r="J93" s="129"/>
      <c r="K93" s="129"/>
      <c r="L93" s="129"/>
      <c r="M93" s="129"/>
      <c r="N93" s="129"/>
      <c r="O93" s="129"/>
      <c r="P93" s="129"/>
      <c r="Q93" s="129"/>
      <c r="R93" s="129"/>
      <c r="S93" s="130"/>
    </row>
    <row r="94" spans="1:19" ht="97.5" customHeight="1" x14ac:dyDescent="0.15">
      <c r="B94" s="98"/>
      <c r="C94" s="32" t="s">
        <v>75</v>
      </c>
      <c r="D94" s="131" t="s">
        <v>144</v>
      </c>
      <c r="E94" s="132"/>
      <c r="F94" s="132"/>
      <c r="G94" s="132"/>
      <c r="H94" s="132"/>
      <c r="I94" s="132"/>
      <c r="J94" s="132"/>
      <c r="K94" s="132"/>
      <c r="L94" s="132"/>
      <c r="M94" s="132"/>
      <c r="N94" s="132"/>
      <c r="O94" s="132"/>
      <c r="P94" s="132"/>
      <c r="Q94" s="132"/>
      <c r="R94" s="132"/>
      <c r="S94" s="133"/>
    </row>
    <row r="95" spans="1:19" ht="97.5" customHeight="1" x14ac:dyDescent="0.15">
      <c r="B95" s="96" t="s">
        <v>79</v>
      </c>
      <c r="C95" s="28" t="s">
        <v>59</v>
      </c>
      <c r="D95" s="105" t="s">
        <v>145</v>
      </c>
      <c r="E95" s="106"/>
      <c r="F95" s="106"/>
      <c r="G95" s="106"/>
      <c r="H95" s="106"/>
      <c r="I95" s="106"/>
      <c r="J95" s="106"/>
      <c r="K95" s="106"/>
      <c r="L95" s="106"/>
      <c r="M95" s="106"/>
      <c r="N95" s="106"/>
      <c r="O95" s="106"/>
      <c r="P95" s="106"/>
      <c r="Q95" s="106"/>
      <c r="R95" s="106"/>
      <c r="S95" s="107"/>
    </row>
    <row r="96" spans="1:19" ht="73.5" customHeight="1" x14ac:dyDescent="0.15">
      <c r="B96" s="98"/>
      <c r="C96" s="31" t="s">
        <v>61</v>
      </c>
      <c r="D96" s="134" t="s">
        <v>140</v>
      </c>
      <c r="E96" s="135"/>
      <c r="F96" s="135"/>
      <c r="G96" s="135"/>
      <c r="H96" s="135"/>
      <c r="I96" s="135"/>
      <c r="J96" s="135"/>
      <c r="K96" s="135"/>
      <c r="L96" s="135"/>
      <c r="M96" s="135"/>
      <c r="N96" s="135"/>
      <c r="O96" s="135"/>
      <c r="P96" s="135"/>
      <c r="Q96" s="135"/>
      <c r="R96" s="135"/>
      <c r="S96" s="136"/>
    </row>
    <row r="97" spans="1:19" ht="149.25" customHeight="1" x14ac:dyDescent="0.15">
      <c r="B97" s="96" t="s">
        <v>80</v>
      </c>
      <c r="C97" s="30" t="s">
        <v>58</v>
      </c>
      <c r="D97" s="99" t="s">
        <v>146</v>
      </c>
      <c r="E97" s="100"/>
      <c r="F97" s="100"/>
      <c r="G97" s="100"/>
      <c r="H97" s="100"/>
      <c r="I97" s="100"/>
      <c r="J97" s="100"/>
      <c r="K97" s="100"/>
      <c r="L97" s="100"/>
      <c r="M97" s="100"/>
      <c r="N97" s="100"/>
      <c r="O97" s="100"/>
      <c r="P97" s="100"/>
      <c r="Q97" s="100"/>
      <c r="R97" s="100"/>
      <c r="S97" s="101"/>
    </row>
    <row r="98" spans="1:19" ht="81" customHeight="1" x14ac:dyDescent="0.15">
      <c r="B98" s="97"/>
      <c r="C98" s="33" t="s">
        <v>76</v>
      </c>
      <c r="D98" s="137" t="s">
        <v>147</v>
      </c>
      <c r="E98" s="138"/>
      <c r="F98" s="138"/>
      <c r="G98" s="138"/>
      <c r="H98" s="138"/>
      <c r="I98" s="138"/>
      <c r="J98" s="138"/>
      <c r="K98" s="138"/>
      <c r="L98" s="138"/>
      <c r="M98" s="138"/>
      <c r="N98" s="138"/>
      <c r="O98" s="138"/>
      <c r="P98" s="138"/>
      <c r="Q98" s="138"/>
      <c r="R98" s="138"/>
      <c r="S98" s="139"/>
    </row>
    <row r="99" spans="1:19" ht="97.5" customHeight="1" x14ac:dyDescent="0.15">
      <c r="B99" s="98"/>
      <c r="C99" s="32" t="s">
        <v>77</v>
      </c>
      <c r="D99" s="102" t="s">
        <v>148</v>
      </c>
      <c r="E99" s="103"/>
      <c r="F99" s="103"/>
      <c r="G99" s="103"/>
      <c r="H99" s="103"/>
      <c r="I99" s="103"/>
      <c r="J99" s="103"/>
      <c r="K99" s="103"/>
      <c r="L99" s="103"/>
      <c r="M99" s="103"/>
      <c r="N99" s="103"/>
      <c r="O99" s="103"/>
      <c r="P99" s="103"/>
      <c r="Q99" s="103"/>
      <c r="R99" s="103"/>
      <c r="S99" s="104"/>
    </row>
    <row r="100" spans="1:19" ht="6" customHeight="1" x14ac:dyDescent="0.15"/>
    <row r="101" spans="1:19" ht="18.75" customHeight="1" x14ac:dyDescent="0.15">
      <c r="A101" s="1" t="s">
        <v>121</v>
      </c>
    </row>
    <row r="102" spans="1:19" ht="81.75" customHeight="1" x14ac:dyDescent="0.15">
      <c r="B102" s="119" t="s">
        <v>137</v>
      </c>
      <c r="C102" s="120"/>
      <c r="D102" s="120"/>
      <c r="E102" s="120"/>
      <c r="F102" s="120"/>
      <c r="G102" s="120"/>
      <c r="H102" s="120"/>
      <c r="I102" s="120"/>
      <c r="J102" s="120"/>
      <c r="K102" s="120"/>
      <c r="L102" s="120"/>
      <c r="M102" s="120"/>
      <c r="N102" s="120"/>
      <c r="O102" s="120"/>
      <c r="P102" s="120"/>
      <c r="Q102" s="120"/>
      <c r="R102" s="120"/>
      <c r="S102" s="121"/>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58:I64 Q25:S31 G25:I31 Q36:S42 P69:S75 Q47:S53 G36:I42 Q58:S64 G47:I53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W99" sqref="W99"/>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6" t="str">
        <f>'様式１　プログラムを構成する授業科目'!C2</f>
        <v>名古屋音楽大学</v>
      </c>
      <c r="AN2" s="166"/>
      <c r="AO2" s="166"/>
      <c r="AP2" s="166"/>
      <c r="AQ2" s="166"/>
    </row>
    <row r="3" spans="1:45" ht="18" customHeight="1" x14ac:dyDescent="0.15">
      <c r="A3" s="144" t="s">
        <v>48</v>
      </c>
      <c r="B3" s="144"/>
      <c r="C3" s="144"/>
      <c r="D3" s="144"/>
      <c r="E3" s="144"/>
      <c r="F3" s="144"/>
      <c r="G3" s="144"/>
      <c r="H3" s="144"/>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7">
        <v>2022</v>
      </c>
      <c r="D5" s="16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9" t="s">
        <v>45</v>
      </c>
      <c r="C9" s="184" t="s">
        <v>87</v>
      </c>
      <c r="D9" s="172" t="s">
        <v>47</v>
      </c>
      <c r="E9" s="175" t="s">
        <v>40</v>
      </c>
      <c r="F9" s="163" t="s">
        <v>86</v>
      </c>
      <c r="G9" s="163"/>
      <c r="H9" s="163"/>
      <c r="I9" s="163"/>
      <c r="J9" s="163"/>
      <c r="K9" s="163"/>
      <c r="L9" s="163" t="s">
        <v>49</v>
      </c>
      <c r="M9" s="163"/>
      <c r="N9" s="163"/>
      <c r="O9" s="163"/>
      <c r="P9" s="163"/>
      <c r="Q9" s="163"/>
      <c r="R9" s="163" t="s">
        <v>50</v>
      </c>
      <c r="S9" s="163"/>
      <c r="T9" s="163"/>
      <c r="U9" s="163"/>
      <c r="V9" s="163"/>
      <c r="W9" s="163"/>
      <c r="X9" s="163" t="s">
        <v>101</v>
      </c>
      <c r="Y9" s="163"/>
      <c r="Z9" s="163"/>
      <c r="AA9" s="163"/>
      <c r="AB9" s="163"/>
      <c r="AC9" s="163"/>
      <c r="AD9" s="163" t="s">
        <v>51</v>
      </c>
      <c r="AE9" s="163"/>
      <c r="AF9" s="163"/>
      <c r="AG9" s="163"/>
      <c r="AH9" s="163"/>
      <c r="AI9" s="163"/>
      <c r="AJ9" s="163" t="s">
        <v>52</v>
      </c>
      <c r="AK9" s="163"/>
      <c r="AL9" s="163"/>
      <c r="AM9" s="163"/>
      <c r="AN9" s="163"/>
      <c r="AO9" s="163"/>
      <c r="AP9" s="178" t="s">
        <v>35</v>
      </c>
      <c r="AQ9" s="181" t="s">
        <v>32</v>
      </c>
      <c r="AS9" s="2"/>
    </row>
    <row r="10" spans="1:45" ht="16.899999999999999" customHeight="1" x14ac:dyDescent="0.15">
      <c r="B10" s="170"/>
      <c r="C10" s="185"/>
      <c r="D10" s="173"/>
      <c r="E10" s="176"/>
      <c r="F10" s="164" t="s">
        <v>97</v>
      </c>
      <c r="G10" s="165"/>
      <c r="H10" s="165"/>
      <c r="I10" s="164" t="s">
        <v>29</v>
      </c>
      <c r="J10" s="165"/>
      <c r="K10" s="165"/>
      <c r="L10" s="164" t="s">
        <v>97</v>
      </c>
      <c r="M10" s="165"/>
      <c r="N10" s="165"/>
      <c r="O10" s="164" t="s">
        <v>29</v>
      </c>
      <c r="P10" s="165"/>
      <c r="Q10" s="165"/>
      <c r="R10" s="164" t="s">
        <v>97</v>
      </c>
      <c r="S10" s="165"/>
      <c r="T10" s="165"/>
      <c r="U10" s="164" t="s">
        <v>29</v>
      </c>
      <c r="V10" s="165"/>
      <c r="W10" s="165"/>
      <c r="X10" s="164" t="s">
        <v>97</v>
      </c>
      <c r="Y10" s="165"/>
      <c r="Z10" s="165"/>
      <c r="AA10" s="164" t="s">
        <v>29</v>
      </c>
      <c r="AB10" s="165"/>
      <c r="AC10" s="165"/>
      <c r="AD10" s="164" t="s">
        <v>97</v>
      </c>
      <c r="AE10" s="165"/>
      <c r="AF10" s="165"/>
      <c r="AG10" s="164" t="s">
        <v>29</v>
      </c>
      <c r="AH10" s="165"/>
      <c r="AI10" s="165"/>
      <c r="AJ10" s="164" t="s">
        <v>97</v>
      </c>
      <c r="AK10" s="165"/>
      <c r="AL10" s="165"/>
      <c r="AM10" s="164" t="s">
        <v>29</v>
      </c>
      <c r="AN10" s="165"/>
      <c r="AO10" s="165"/>
      <c r="AP10" s="179"/>
      <c r="AQ10" s="182"/>
      <c r="AS10" s="2"/>
    </row>
    <row r="11" spans="1:45" ht="18" customHeight="1" x14ac:dyDescent="0.15">
      <c r="B11" s="171"/>
      <c r="C11" s="186"/>
      <c r="D11" s="174"/>
      <c r="E11" s="177"/>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0"/>
      <c r="AQ11" s="183"/>
      <c r="AS11" s="2"/>
    </row>
    <row r="12" spans="1:45" ht="18" customHeight="1" x14ac:dyDescent="0.15">
      <c r="A12" s="6"/>
      <c r="B12" s="11" t="s">
        <v>132</v>
      </c>
      <c r="C12" s="62">
        <v>452</v>
      </c>
      <c r="D12" s="63">
        <v>120</v>
      </c>
      <c r="E12" s="64">
        <v>480</v>
      </c>
      <c r="F12" s="64">
        <f>G12+H12</f>
        <v>2</v>
      </c>
      <c r="G12" s="65">
        <v>1</v>
      </c>
      <c r="H12" s="66">
        <v>1</v>
      </c>
      <c r="I12" s="64">
        <f>J12+K12</f>
        <v>1</v>
      </c>
      <c r="J12" s="65">
        <v>0</v>
      </c>
      <c r="K12" s="66">
        <v>1</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2</v>
      </c>
      <c r="AQ12" s="21">
        <f>AP12/E12</f>
        <v>4.1666666666666666E-3</v>
      </c>
    </row>
    <row r="13" spans="1:45" ht="18" customHeight="1" x14ac:dyDescent="0.15">
      <c r="A13" s="6"/>
      <c r="B13" s="12"/>
      <c r="C13" s="67"/>
      <c r="D13" s="68"/>
      <c r="E13" s="69"/>
      <c r="F13" s="70">
        <f t="shared" ref="F13:F31" si="0">G13+H13</f>
        <v>0</v>
      </c>
      <c r="G13" s="71"/>
      <c r="H13" s="72"/>
      <c r="I13" s="70">
        <f t="shared" ref="I13:I31" si="1">J13+K13</f>
        <v>0</v>
      </c>
      <c r="J13" s="71"/>
      <c r="K13" s="72"/>
      <c r="L13" s="70">
        <f t="shared" ref="L13:L31" si="2">M13+N13</f>
        <v>0</v>
      </c>
      <c r="M13" s="71"/>
      <c r="N13" s="72"/>
      <c r="O13" s="70">
        <f t="shared" ref="O13:O31" si="3">P13+Q13</f>
        <v>0</v>
      </c>
      <c r="P13" s="71"/>
      <c r="Q13" s="72"/>
      <c r="R13" s="70">
        <f t="shared" ref="R13:R31" si="4">S13+T13</f>
        <v>0</v>
      </c>
      <c r="S13" s="71"/>
      <c r="T13" s="72"/>
      <c r="U13" s="70">
        <f t="shared" ref="U13:U31" si="5">V13+W13</f>
        <v>0</v>
      </c>
      <c r="V13" s="71"/>
      <c r="W13" s="72"/>
      <c r="X13" s="70">
        <f t="shared" ref="X13:X31" si="6">Y13+Z13</f>
        <v>0</v>
      </c>
      <c r="Y13" s="71"/>
      <c r="Z13" s="72"/>
      <c r="AA13" s="70">
        <f t="shared" ref="AA13:AA31" si="7">AB13+AC13</f>
        <v>0</v>
      </c>
      <c r="AB13" s="71"/>
      <c r="AC13" s="72"/>
      <c r="AD13" s="70">
        <f t="shared" ref="AD13:AD31" si="8">AE13+AF13</f>
        <v>0</v>
      </c>
      <c r="AE13" s="71"/>
      <c r="AF13" s="72"/>
      <c r="AG13" s="70">
        <f t="shared" ref="AG13:AG31" si="9">AH13+AI13</f>
        <v>0</v>
      </c>
      <c r="AH13" s="71"/>
      <c r="AI13" s="72"/>
      <c r="AJ13" s="70">
        <f t="shared" ref="AJ13:AJ31" si="10">AK13+AL13</f>
        <v>0</v>
      </c>
      <c r="AK13" s="71"/>
      <c r="AL13" s="72"/>
      <c r="AM13" s="70">
        <f t="shared" ref="AM13:AM31" si="11">AN13+AO13</f>
        <v>0</v>
      </c>
      <c r="AN13" s="71"/>
      <c r="AO13" s="72"/>
      <c r="AP13" s="68">
        <f t="shared" ref="AP13:AP31" si="12">F13+L13+R13+X13+AD13+AJ13</f>
        <v>0</v>
      </c>
      <c r="AQ13" s="20" t="e">
        <f t="shared" ref="AQ13:AQ32" si="13">AP13/E13</f>
        <v>#DIV/0!</v>
      </c>
    </row>
    <row r="14" spans="1:45" ht="18" customHeight="1" x14ac:dyDescent="0.15">
      <c r="A14" s="6"/>
      <c r="B14" s="12"/>
      <c r="C14" s="67"/>
      <c r="D14" s="68"/>
      <c r="E14" s="69"/>
      <c r="F14" s="70">
        <f t="shared" si="0"/>
        <v>0</v>
      </c>
      <c r="G14" s="71"/>
      <c r="H14" s="72"/>
      <c r="I14" s="70">
        <f t="shared" si="1"/>
        <v>0</v>
      </c>
      <c r="J14" s="71"/>
      <c r="K14" s="72"/>
      <c r="L14" s="70">
        <f t="shared" si="2"/>
        <v>0</v>
      </c>
      <c r="M14" s="71"/>
      <c r="N14" s="72"/>
      <c r="O14" s="70">
        <f t="shared" si="3"/>
        <v>0</v>
      </c>
      <c r="P14" s="71"/>
      <c r="Q14" s="72"/>
      <c r="R14" s="70">
        <f t="shared" si="4"/>
        <v>0</v>
      </c>
      <c r="S14" s="71"/>
      <c r="T14" s="72"/>
      <c r="U14" s="70">
        <f t="shared" si="5"/>
        <v>0</v>
      </c>
      <c r="V14" s="71"/>
      <c r="W14" s="72"/>
      <c r="X14" s="70">
        <f t="shared" si="6"/>
        <v>0</v>
      </c>
      <c r="Y14" s="71"/>
      <c r="Z14" s="72"/>
      <c r="AA14" s="70">
        <f t="shared" si="7"/>
        <v>0</v>
      </c>
      <c r="AB14" s="71"/>
      <c r="AC14" s="72"/>
      <c r="AD14" s="70">
        <f t="shared" si="8"/>
        <v>0</v>
      </c>
      <c r="AE14" s="71"/>
      <c r="AF14" s="72"/>
      <c r="AG14" s="70">
        <f t="shared" si="9"/>
        <v>0</v>
      </c>
      <c r="AH14" s="71"/>
      <c r="AI14" s="72"/>
      <c r="AJ14" s="70">
        <f t="shared" si="10"/>
        <v>0</v>
      </c>
      <c r="AK14" s="71"/>
      <c r="AL14" s="72"/>
      <c r="AM14" s="70">
        <f t="shared" si="11"/>
        <v>0</v>
      </c>
      <c r="AN14" s="71"/>
      <c r="AO14" s="72"/>
      <c r="AP14" s="68">
        <f t="shared" si="12"/>
        <v>0</v>
      </c>
      <c r="AQ14" s="8" t="e">
        <f t="shared" si="13"/>
        <v>#DIV/0!</v>
      </c>
    </row>
    <row r="15" spans="1:45" ht="18" customHeight="1" x14ac:dyDescent="0.15">
      <c r="A15" s="6"/>
      <c r="B15" s="12"/>
      <c r="C15" s="67"/>
      <c r="D15" s="68"/>
      <c r="E15" s="69"/>
      <c r="F15" s="70">
        <f t="shared" si="0"/>
        <v>0</v>
      </c>
      <c r="G15" s="71"/>
      <c r="H15" s="72"/>
      <c r="I15" s="70">
        <f t="shared" si="1"/>
        <v>0</v>
      </c>
      <c r="J15" s="71"/>
      <c r="K15" s="72"/>
      <c r="L15" s="70">
        <f t="shared" si="2"/>
        <v>0</v>
      </c>
      <c r="M15" s="71"/>
      <c r="N15" s="72"/>
      <c r="O15" s="70">
        <f t="shared" si="3"/>
        <v>0</v>
      </c>
      <c r="P15" s="71"/>
      <c r="Q15" s="72"/>
      <c r="R15" s="70">
        <f t="shared" si="4"/>
        <v>0</v>
      </c>
      <c r="S15" s="71"/>
      <c r="T15" s="72"/>
      <c r="U15" s="70">
        <f t="shared" si="5"/>
        <v>0</v>
      </c>
      <c r="V15" s="71"/>
      <c r="W15" s="72"/>
      <c r="X15" s="70">
        <f t="shared" si="6"/>
        <v>0</v>
      </c>
      <c r="Y15" s="71"/>
      <c r="Z15" s="72"/>
      <c r="AA15" s="70">
        <f t="shared" si="7"/>
        <v>0</v>
      </c>
      <c r="AB15" s="71"/>
      <c r="AC15" s="72"/>
      <c r="AD15" s="70">
        <f t="shared" si="8"/>
        <v>0</v>
      </c>
      <c r="AE15" s="71"/>
      <c r="AF15" s="72"/>
      <c r="AG15" s="70">
        <f t="shared" si="9"/>
        <v>0</v>
      </c>
      <c r="AH15" s="71"/>
      <c r="AI15" s="72"/>
      <c r="AJ15" s="70">
        <f t="shared" si="10"/>
        <v>0</v>
      </c>
      <c r="AK15" s="71"/>
      <c r="AL15" s="72"/>
      <c r="AM15" s="70">
        <f t="shared" si="11"/>
        <v>0</v>
      </c>
      <c r="AN15" s="71"/>
      <c r="AO15" s="72"/>
      <c r="AP15" s="68">
        <f t="shared" si="12"/>
        <v>0</v>
      </c>
      <c r="AQ15" s="8" t="e">
        <f t="shared" si="13"/>
        <v>#DIV/0!</v>
      </c>
    </row>
    <row r="16" spans="1:45" ht="18" customHeight="1" x14ac:dyDescent="0.15">
      <c r="A16" s="6"/>
      <c r="B16" s="12"/>
      <c r="C16" s="67"/>
      <c r="D16" s="68"/>
      <c r="E16" s="69"/>
      <c r="F16" s="70">
        <f t="shared" si="0"/>
        <v>0</v>
      </c>
      <c r="G16" s="71"/>
      <c r="H16" s="72"/>
      <c r="I16" s="70">
        <f t="shared" si="1"/>
        <v>0</v>
      </c>
      <c r="J16" s="71"/>
      <c r="K16" s="72"/>
      <c r="L16" s="70">
        <f t="shared" si="2"/>
        <v>0</v>
      </c>
      <c r="M16" s="71"/>
      <c r="N16" s="72"/>
      <c r="O16" s="70">
        <f t="shared" si="3"/>
        <v>0</v>
      </c>
      <c r="P16" s="71"/>
      <c r="Q16" s="72"/>
      <c r="R16" s="70">
        <f t="shared" si="4"/>
        <v>0</v>
      </c>
      <c r="S16" s="71"/>
      <c r="T16" s="72"/>
      <c r="U16" s="70">
        <f t="shared" si="5"/>
        <v>0</v>
      </c>
      <c r="V16" s="71"/>
      <c r="W16" s="72"/>
      <c r="X16" s="70">
        <f t="shared" si="6"/>
        <v>0</v>
      </c>
      <c r="Y16" s="71"/>
      <c r="Z16" s="72"/>
      <c r="AA16" s="70">
        <f t="shared" si="7"/>
        <v>0</v>
      </c>
      <c r="AB16" s="71"/>
      <c r="AC16" s="72"/>
      <c r="AD16" s="70">
        <f t="shared" si="8"/>
        <v>0</v>
      </c>
      <c r="AE16" s="71"/>
      <c r="AF16" s="72"/>
      <c r="AG16" s="70">
        <f t="shared" si="9"/>
        <v>0</v>
      </c>
      <c r="AH16" s="71"/>
      <c r="AI16" s="72"/>
      <c r="AJ16" s="70">
        <f t="shared" si="10"/>
        <v>0</v>
      </c>
      <c r="AK16" s="71"/>
      <c r="AL16" s="72"/>
      <c r="AM16" s="70">
        <f t="shared" si="11"/>
        <v>0</v>
      </c>
      <c r="AN16" s="71"/>
      <c r="AO16" s="72"/>
      <c r="AP16" s="68">
        <f t="shared" si="12"/>
        <v>0</v>
      </c>
      <c r="AQ16" s="8" t="e">
        <f t="shared" si="13"/>
        <v>#DIV/0!</v>
      </c>
    </row>
    <row r="17" spans="1:43" ht="18" customHeight="1" x14ac:dyDescent="0.15">
      <c r="A17" s="6"/>
      <c r="B17" s="12"/>
      <c r="C17" s="67"/>
      <c r="D17" s="68"/>
      <c r="E17" s="69"/>
      <c r="F17" s="70">
        <f t="shared" si="0"/>
        <v>0</v>
      </c>
      <c r="G17" s="71"/>
      <c r="H17" s="72"/>
      <c r="I17" s="70">
        <f t="shared" si="1"/>
        <v>0</v>
      </c>
      <c r="J17" s="71"/>
      <c r="K17" s="72"/>
      <c r="L17" s="70">
        <f t="shared" si="2"/>
        <v>0</v>
      </c>
      <c r="M17" s="71"/>
      <c r="N17" s="72"/>
      <c r="O17" s="70">
        <f t="shared" si="3"/>
        <v>0</v>
      </c>
      <c r="P17" s="71"/>
      <c r="Q17" s="72"/>
      <c r="R17" s="70">
        <f t="shared" si="4"/>
        <v>0</v>
      </c>
      <c r="S17" s="71"/>
      <c r="T17" s="72"/>
      <c r="U17" s="70">
        <f t="shared" si="5"/>
        <v>0</v>
      </c>
      <c r="V17" s="71"/>
      <c r="W17" s="72"/>
      <c r="X17" s="70">
        <f t="shared" si="6"/>
        <v>0</v>
      </c>
      <c r="Y17" s="71"/>
      <c r="Z17" s="72"/>
      <c r="AA17" s="70">
        <f t="shared" si="7"/>
        <v>0</v>
      </c>
      <c r="AB17" s="71"/>
      <c r="AC17" s="72"/>
      <c r="AD17" s="70">
        <f t="shared" si="8"/>
        <v>0</v>
      </c>
      <c r="AE17" s="71"/>
      <c r="AF17" s="72"/>
      <c r="AG17" s="70">
        <f t="shared" si="9"/>
        <v>0</v>
      </c>
      <c r="AH17" s="71"/>
      <c r="AI17" s="72"/>
      <c r="AJ17" s="70">
        <f t="shared" si="10"/>
        <v>0</v>
      </c>
      <c r="AK17" s="71"/>
      <c r="AL17" s="72"/>
      <c r="AM17" s="70">
        <f t="shared" si="11"/>
        <v>0</v>
      </c>
      <c r="AN17" s="71"/>
      <c r="AO17" s="72"/>
      <c r="AP17" s="68">
        <f t="shared" si="12"/>
        <v>0</v>
      </c>
      <c r="AQ17" s="8" t="e">
        <f t="shared" si="13"/>
        <v>#DIV/0!</v>
      </c>
    </row>
    <row r="18" spans="1:43" ht="18" customHeight="1" x14ac:dyDescent="0.15">
      <c r="A18" s="6"/>
      <c r="B18" s="12"/>
      <c r="C18" s="67"/>
      <c r="D18" s="68"/>
      <c r="E18" s="69"/>
      <c r="F18" s="70">
        <f t="shared" si="0"/>
        <v>0</v>
      </c>
      <c r="G18" s="71"/>
      <c r="H18" s="72"/>
      <c r="I18" s="70">
        <f t="shared" si="1"/>
        <v>0</v>
      </c>
      <c r="J18" s="71"/>
      <c r="K18" s="72"/>
      <c r="L18" s="70">
        <f t="shared" si="2"/>
        <v>0</v>
      </c>
      <c r="M18" s="71"/>
      <c r="N18" s="72"/>
      <c r="O18" s="70">
        <f t="shared" si="3"/>
        <v>0</v>
      </c>
      <c r="P18" s="71"/>
      <c r="Q18" s="72"/>
      <c r="R18" s="70">
        <f t="shared" si="4"/>
        <v>0</v>
      </c>
      <c r="S18" s="71"/>
      <c r="T18" s="72"/>
      <c r="U18" s="70">
        <f t="shared" si="5"/>
        <v>0</v>
      </c>
      <c r="V18" s="71"/>
      <c r="W18" s="72"/>
      <c r="X18" s="70">
        <f t="shared" si="6"/>
        <v>0</v>
      </c>
      <c r="Y18" s="71"/>
      <c r="Z18" s="72"/>
      <c r="AA18" s="70">
        <f t="shared" si="7"/>
        <v>0</v>
      </c>
      <c r="AB18" s="71"/>
      <c r="AC18" s="72"/>
      <c r="AD18" s="70">
        <f t="shared" si="8"/>
        <v>0</v>
      </c>
      <c r="AE18" s="71"/>
      <c r="AF18" s="72"/>
      <c r="AG18" s="70">
        <f t="shared" si="9"/>
        <v>0</v>
      </c>
      <c r="AH18" s="71"/>
      <c r="AI18" s="72"/>
      <c r="AJ18" s="70">
        <f t="shared" si="10"/>
        <v>0</v>
      </c>
      <c r="AK18" s="71"/>
      <c r="AL18" s="72"/>
      <c r="AM18" s="70">
        <f t="shared" si="11"/>
        <v>0</v>
      </c>
      <c r="AN18" s="71"/>
      <c r="AO18" s="72"/>
      <c r="AP18" s="68">
        <f t="shared" si="12"/>
        <v>0</v>
      </c>
      <c r="AQ18" s="8" t="e">
        <f t="shared" si="13"/>
        <v>#DIV/0!</v>
      </c>
    </row>
    <row r="19" spans="1:43" ht="18" customHeight="1" x14ac:dyDescent="0.15">
      <c r="A19" s="6"/>
      <c r="B19" s="12"/>
      <c r="C19" s="67"/>
      <c r="D19" s="68"/>
      <c r="E19" s="69"/>
      <c r="F19" s="70">
        <f t="shared" si="0"/>
        <v>0</v>
      </c>
      <c r="G19" s="71"/>
      <c r="H19" s="72"/>
      <c r="I19" s="70">
        <f t="shared" si="1"/>
        <v>0</v>
      </c>
      <c r="J19" s="71"/>
      <c r="K19" s="72"/>
      <c r="L19" s="70">
        <f t="shared" si="2"/>
        <v>0</v>
      </c>
      <c r="M19" s="71"/>
      <c r="N19" s="72"/>
      <c r="O19" s="70">
        <f t="shared" si="3"/>
        <v>0</v>
      </c>
      <c r="P19" s="71"/>
      <c r="Q19" s="72"/>
      <c r="R19" s="70">
        <f t="shared" si="4"/>
        <v>0</v>
      </c>
      <c r="S19" s="71"/>
      <c r="T19" s="72"/>
      <c r="U19" s="70">
        <f t="shared" si="5"/>
        <v>0</v>
      </c>
      <c r="V19" s="71"/>
      <c r="W19" s="72"/>
      <c r="X19" s="70">
        <f t="shared" si="6"/>
        <v>0</v>
      </c>
      <c r="Y19" s="71"/>
      <c r="Z19" s="72"/>
      <c r="AA19" s="70">
        <f t="shared" si="7"/>
        <v>0</v>
      </c>
      <c r="AB19" s="71"/>
      <c r="AC19" s="72"/>
      <c r="AD19" s="70">
        <f t="shared" si="8"/>
        <v>0</v>
      </c>
      <c r="AE19" s="71"/>
      <c r="AF19" s="72"/>
      <c r="AG19" s="70">
        <f t="shared" si="9"/>
        <v>0</v>
      </c>
      <c r="AH19" s="71"/>
      <c r="AI19" s="72"/>
      <c r="AJ19" s="70">
        <f t="shared" si="10"/>
        <v>0</v>
      </c>
      <c r="AK19" s="71"/>
      <c r="AL19" s="72"/>
      <c r="AM19" s="70">
        <f t="shared" si="11"/>
        <v>0</v>
      </c>
      <c r="AN19" s="71"/>
      <c r="AO19" s="72"/>
      <c r="AP19" s="68">
        <f t="shared" si="12"/>
        <v>0</v>
      </c>
      <c r="AQ19" s="8" t="e">
        <f t="shared" si="13"/>
        <v>#DIV/0!</v>
      </c>
    </row>
    <row r="20" spans="1:43" ht="18" customHeight="1" x14ac:dyDescent="0.15">
      <c r="A20" s="6"/>
      <c r="B20" s="12"/>
      <c r="C20" s="67"/>
      <c r="D20" s="68"/>
      <c r="E20" s="69"/>
      <c r="F20" s="70">
        <f t="shared" si="0"/>
        <v>0</v>
      </c>
      <c r="G20" s="71"/>
      <c r="H20" s="72"/>
      <c r="I20" s="70">
        <f t="shared" si="1"/>
        <v>0</v>
      </c>
      <c r="J20" s="71"/>
      <c r="K20" s="72"/>
      <c r="L20" s="70">
        <f t="shared" si="2"/>
        <v>0</v>
      </c>
      <c r="M20" s="71"/>
      <c r="N20" s="72"/>
      <c r="O20" s="70">
        <f t="shared" si="3"/>
        <v>0</v>
      </c>
      <c r="P20" s="71"/>
      <c r="Q20" s="72"/>
      <c r="R20" s="70">
        <f t="shared" si="4"/>
        <v>0</v>
      </c>
      <c r="S20" s="71"/>
      <c r="T20" s="72"/>
      <c r="U20" s="70">
        <f t="shared" si="5"/>
        <v>0</v>
      </c>
      <c r="V20" s="71"/>
      <c r="W20" s="72"/>
      <c r="X20" s="70">
        <f t="shared" si="6"/>
        <v>0</v>
      </c>
      <c r="Y20" s="71"/>
      <c r="Z20" s="72"/>
      <c r="AA20" s="70">
        <f t="shared" si="7"/>
        <v>0</v>
      </c>
      <c r="AB20" s="71"/>
      <c r="AC20" s="72"/>
      <c r="AD20" s="70">
        <f t="shared" si="8"/>
        <v>0</v>
      </c>
      <c r="AE20" s="71"/>
      <c r="AF20" s="72"/>
      <c r="AG20" s="70">
        <f t="shared" si="9"/>
        <v>0</v>
      </c>
      <c r="AH20" s="71"/>
      <c r="AI20" s="72"/>
      <c r="AJ20" s="70">
        <f t="shared" si="10"/>
        <v>0</v>
      </c>
      <c r="AK20" s="71"/>
      <c r="AL20" s="72"/>
      <c r="AM20" s="70">
        <f t="shared" si="11"/>
        <v>0</v>
      </c>
      <c r="AN20" s="71"/>
      <c r="AO20" s="72"/>
      <c r="AP20" s="68">
        <f t="shared" si="12"/>
        <v>0</v>
      </c>
      <c r="AQ20" s="8" t="e">
        <f t="shared" si="13"/>
        <v>#DIV/0!</v>
      </c>
    </row>
    <row r="21" spans="1:43" ht="18" customHeight="1" x14ac:dyDescent="0.15">
      <c r="A21" s="6"/>
      <c r="B21" s="12"/>
      <c r="C21" s="67"/>
      <c r="D21" s="68"/>
      <c r="E21" s="69"/>
      <c r="F21" s="70">
        <f t="shared" si="0"/>
        <v>0</v>
      </c>
      <c r="G21" s="71"/>
      <c r="H21" s="72"/>
      <c r="I21" s="70">
        <f t="shared" si="1"/>
        <v>0</v>
      </c>
      <c r="J21" s="71"/>
      <c r="K21" s="72"/>
      <c r="L21" s="70">
        <f t="shared" si="2"/>
        <v>0</v>
      </c>
      <c r="M21" s="71"/>
      <c r="N21" s="72"/>
      <c r="O21" s="70">
        <f t="shared" si="3"/>
        <v>0</v>
      </c>
      <c r="P21" s="71"/>
      <c r="Q21" s="72"/>
      <c r="R21" s="70">
        <f t="shared" si="4"/>
        <v>0</v>
      </c>
      <c r="S21" s="71"/>
      <c r="T21" s="72"/>
      <c r="U21" s="70">
        <f t="shared" si="5"/>
        <v>0</v>
      </c>
      <c r="V21" s="71"/>
      <c r="W21" s="72"/>
      <c r="X21" s="70">
        <f t="shared" si="6"/>
        <v>0</v>
      </c>
      <c r="Y21" s="71"/>
      <c r="Z21" s="72"/>
      <c r="AA21" s="70">
        <f t="shared" si="7"/>
        <v>0</v>
      </c>
      <c r="AB21" s="71"/>
      <c r="AC21" s="72"/>
      <c r="AD21" s="70">
        <f t="shared" si="8"/>
        <v>0</v>
      </c>
      <c r="AE21" s="71"/>
      <c r="AF21" s="72"/>
      <c r="AG21" s="70">
        <f t="shared" si="9"/>
        <v>0</v>
      </c>
      <c r="AH21" s="71"/>
      <c r="AI21" s="72"/>
      <c r="AJ21" s="70">
        <f t="shared" si="10"/>
        <v>0</v>
      </c>
      <c r="AK21" s="71"/>
      <c r="AL21" s="72"/>
      <c r="AM21" s="70">
        <f t="shared" si="11"/>
        <v>0</v>
      </c>
      <c r="AN21" s="71"/>
      <c r="AO21" s="72"/>
      <c r="AP21" s="68">
        <f t="shared" si="12"/>
        <v>0</v>
      </c>
      <c r="AQ21" s="8" t="e">
        <f t="shared" si="13"/>
        <v>#DIV/0!</v>
      </c>
    </row>
    <row r="22" spans="1:43" ht="18" customHeight="1" x14ac:dyDescent="0.15">
      <c r="A22" s="6"/>
      <c r="B22" s="12"/>
      <c r="C22" s="67"/>
      <c r="D22" s="68"/>
      <c r="E22" s="69"/>
      <c r="F22" s="70">
        <f t="shared" si="0"/>
        <v>0</v>
      </c>
      <c r="G22" s="71"/>
      <c r="H22" s="72"/>
      <c r="I22" s="70">
        <f t="shared" si="1"/>
        <v>0</v>
      </c>
      <c r="J22" s="71"/>
      <c r="K22" s="72"/>
      <c r="L22" s="70">
        <f t="shared" si="2"/>
        <v>0</v>
      </c>
      <c r="M22" s="71"/>
      <c r="N22" s="72"/>
      <c r="O22" s="70">
        <f t="shared" si="3"/>
        <v>0</v>
      </c>
      <c r="P22" s="71"/>
      <c r="Q22" s="72"/>
      <c r="R22" s="70">
        <f t="shared" si="4"/>
        <v>0</v>
      </c>
      <c r="S22" s="71"/>
      <c r="T22" s="72"/>
      <c r="U22" s="70">
        <f t="shared" si="5"/>
        <v>0</v>
      </c>
      <c r="V22" s="71"/>
      <c r="W22" s="72"/>
      <c r="X22" s="70">
        <f t="shared" si="6"/>
        <v>0</v>
      </c>
      <c r="Y22" s="71"/>
      <c r="Z22" s="72"/>
      <c r="AA22" s="70">
        <f t="shared" si="7"/>
        <v>0</v>
      </c>
      <c r="AB22" s="71"/>
      <c r="AC22" s="72"/>
      <c r="AD22" s="70">
        <f t="shared" si="8"/>
        <v>0</v>
      </c>
      <c r="AE22" s="71"/>
      <c r="AF22" s="72"/>
      <c r="AG22" s="70">
        <f t="shared" si="9"/>
        <v>0</v>
      </c>
      <c r="AH22" s="71"/>
      <c r="AI22" s="72"/>
      <c r="AJ22" s="70">
        <f t="shared" si="10"/>
        <v>0</v>
      </c>
      <c r="AK22" s="71"/>
      <c r="AL22" s="72"/>
      <c r="AM22" s="70">
        <f t="shared" si="11"/>
        <v>0</v>
      </c>
      <c r="AN22" s="71"/>
      <c r="AO22" s="72"/>
      <c r="AP22" s="68">
        <f t="shared" si="12"/>
        <v>0</v>
      </c>
      <c r="AQ22" s="8" t="e">
        <f t="shared" si="13"/>
        <v>#DIV/0!</v>
      </c>
    </row>
    <row r="23" spans="1:43" ht="18" customHeight="1" x14ac:dyDescent="0.15">
      <c r="A23" s="6"/>
      <c r="B23" s="12"/>
      <c r="C23" s="67"/>
      <c r="D23" s="68"/>
      <c r="E23" s="69"/>
      <c r="F23" s="70">
        <f t="shared" si="0"/>
        <v>0</v>
      </c>
      <c r="G23" s="71"/>
      <c r="H23" s="72"/>
      <c r="I23" s="70">
        <f t="shared" si="1"/>
        <v>0</v>
      </c>
      <c r="J23" s="71"/>
      <c r="K23" s="72"/>
      <c r="L23" s="70">
        <f t="shared" si="2"/>
        <v>0</v>
      </c>
      <c r="M23" s="71"/>
      <c r="N23" s="72"/>
      <c r="O23" s="70">
        <f t="shared" si="3"/>
        <v>0</v>
      </c>
      <c r="P23" s="71"/>
      <c r="Q23" s="72"/>
      <c r="R23" s="70">
        <f t="shared" si="4"/>
        <v>0</v>
      </c>
      <c r="S23" s="71"/>
      <c r="T23" s="72"/>
      <c r="U23" s="70">
        <f t="shared" si="5"/>
        <v>0</v>
      </c>
      <c r="V23" s="71"/>
      <c r="W23" s="72"/>
      <c r="X23" s="70">
        <f t="shared" si="6"/>
        <v>0</v>
      </c>
      <c r="Y23" s="71"/>
      <c r="Z23" s="72"/>
      <c r="AA23" s="70">
        <f t="shared" si="7"/>
        <v>0</v>
      </c>
      <c r="AB23" s="71"/>
      <c r="AC23" s="72"/>
      <c r="AD23" s="70">
        <f t="shared" si="8"/>
        <v>0</v>
      </c>
      <c r="AE23" s="71"/>
      <c r="AF23" s="72"/>
      <c r="AG23" s="70">
        <f t="shared" si="9"/>
        <v>0</v>
      </c>
      <c r="AH23" s="71"/>
      <c r="AI23" s="72"/>
      <c r="AJ23" s="70">
        <f t="shared" si="10"/>
        <v>0</v>
      </c>
      <c r="AK23" s="71"/>
      <c r="AL23" s="72"/>
      <c r="AM23" s="70">
        <f t="shared" si="11"/>
        <v>0</v>
      </c>
      <c r="AN23" s="71"/>
      <c r="AO23" s="72"/>
      <c r="AP23" s="68">
        <f t="shared" si="12"/>
        <v>0</v>
      </c>
      <c r="AQ23" s="8" t="e">
        <f t="shared" si="13"/>
        <v>#DIV/0!</v>
      </c>
    </row>
    <row r="24" spans="1:43" ht="18" customHeight="1" x14ac:dyDescent="0.15">
      <c r="A24" s="6"/>
      <c r="B24" s="12"/>
      <c r="C24" s="67"/>
      <c r="D24" s="68"/>
      <c r="E24" s="69"/>
      <c r="F24" s="70">
        <f t="shared" si="0"/>
        <v>0</v>
      </c>
      <c r="G24" s="71"/>
      <c r="H24" s="72"/>
      <c r="I24" s="70">
        <f t="shared" si="1"/>
        <v>0</v>
      </c>
      <c r="J24" s="71"/>
      <c r="K24" s="72"/>
      <c r="L24" s="70">
        <f t="shared" si="2"/>
        <v>0</v>
      </c>
      <c r="M24" s="71"/>
      <c r="N24" s="72"/>
      <c r="O24" s="70">
        <f t="shared" si="3"/>
        <v>0</v>
      </c>
      <c r="P24" s="71"/>
      <c r="Q24" s="72"/>
      <c r="R24" s="70">
        <f t="shared" si="4"/>
        <v>0</v>
      </c>
      <c r="S24" s="71"/>
      <c r="T24" s="72"/>
      <c r="U24" s="70">
        <f t="shared" si="5"/>
        <v>0</v>
      </c>
      <c r="V24" s="71"/>
      <c r="W24" s="72"/>
      <c r="X24" s="70">
        <f t="shared" si="6"/>
        <v>0</v>
      </c>
      <c r="Y24" s="71"/>
      <c r="Z24" s="72"/>
      <c r="AA24" s="70">
        <f t="shared" si="7"/>
        <v>0</v>
      </c>
      <c r="AB24" s="71"/>
      <c r="AC24" s="72"/>
      <c r="AD24" s="70">
        <f t="shared" si="8"/>
        <v>0</v>
      </c>
      <c r="AE24" s="71"/>
      <c r="AF24" s="72"/>
      <c r="AG24" s="70">
        <f t="shared" si="9"/>
        <v>0</v>
      </c>
      <c r="AH24" s="71"/>
      <c r="AI24" s="72"/>
      <c r="AJ24" s="70">
        <f t="shared" si="10"/>
        <v>0</v>
      </c>
      <c r="AK24" s="71"/>
      <c r="AL24" s="72"/>
      <c r="AM24" s="70">
        <f t="shared" si="11"/>
        <v>0</v>
      </c>
      <c r="AN24" s="71"/>
      <c r="AO24" s="72"/>
      <c r="AP24" s="68">
        <f t="shared" si="12"/>
        <v>0</v>
      </c>
      <c r="AQ24" s="8" t="e">
        <f t="shared" si="13"/>
        <v>#DIV/0!</v>
      </c>
    </row>
    <row r="25" spans="1:43" ht="18" customHeight="1" x14ac:dyDescent="0.15">
      <c r="A25" s="6"/>
      <c r="B25" s="12"/>
      <c r="C25" s="67"/>
      <c r="D25" s="68"/>
      <c r="E25" s="69"/>
      <c r="F25" s="70">
        <f t="shared" si="0"/>
        <v>0</v>
      </c>
      <c r="G25" s="71"/>
      <c r="H25" s="72"/>
      <c r="I25" s="70">
        <f t="shared" si="1"/>
        <v>0</v>
      </c>
      <c r="J25" s="71"/>
      <c r="K25" s="72"/>
      <c r="L25" s="70">
        <f t="shared" si="2"/>
        <v>0</v>
      </c>
      <c r="M25" s="71"/>
      <c r="N25" s="72"/>
      <c r="O25" s="70">
        <f t="shared" si="3"/>
        <v>0</v>
      </c>
      <c r="P25" s="71"/>
      <c r="Q25" s="72"/>
      <c r="R25" s="70">
        <f t="shared" si="4"/>
        <v>0</v>
      </c>
      <c r="S25" s="71"/>
      <c r="T25" s="72"/>
      <c r="U25" s="70">
        <f t="shared" si="5"/>
        <v>0</v>
      </c>
      <c r="V25" s="71"/>
      <c r="W25" s="72"/>
      <c r="X25" s="70">
        <f t="shared" si="6"/>
        <v>0</v>
      </c>
      <c r="Y25" s="71"/>
      <c r="Z25" s="72"/>
      <c r="AA25" s="70">
        <f t="shared" si="7"/>
        <v>0</v>
      </c>
      <c r="AB25" s="71"/>
      <c r="AC25" s="72"/>
      <c r="AD25" s="70">
        <f t="shared" si="8"/>
        <v>0</v>
      </c>
      <c r="AE25" s="71"/>
      <c r="AF25" s="72"/>
      <c r="AG25" s="70">
        <f t="shared" si="9"/>
        <v>0</v>
      </c>
      <c r="AH25" s="71"/>
      <c r="AI25" s="72"/>
      <c r="AJ25" s="70">
        <f t="shared" si="10"/>
        <v>0</v>
      </c>
      <c r="AK25" s="71"/>
      <c r="AL25" s="72"/>
      <c r="AM25" s="70">
        <f t="shared" si="11"/>
        <v>0</v>
      </c>
      <c r="AN25" s="71"/>
      <c r="AO25" s="72"/>
      <c r="AP25" s="68">
        <f t="shared" si="12"/>
        <v>0</v>
      </c>
      <c r="AQ25" s="8" t="e">
        <f t="shared" si="13"/>
        <v>#DIV/0!</v>
      </c>
    </row>
    <row r="26" spans="1:43" ht="18" customHeight="1" x14ac:dyDescent="0.15">
      <c r="A26" s="6"/>
      <c r="B26" s="12"/>
      <c r="C26" s="67"/>
      <c r="D26" s="68"/>
      <c r="E26" s="69"/>
      <c r="F26" s="70">
        <f t="shared" si="0"/>
        <v>0</v>
      </c>
      <c r="G26" s="71"/>
      <c r="H26" s="72"/>
      <c r="I26" s="70">
        <f t="shared" si="1"/>
        <v>0</v>
      </c>
      <c r="J26" s="71"/>
      <c r="K26" s="72"/>
      <c r="L26" s="70">
        <f t="shared" si="2"/>
        <v>0</v>
      </c>
      <c r="M26" s="71"/>
      <c r="N26" s="72"/>
      <c r="O26" s="70">
        <f t="shared" si="3"/>
        <v>0</v>
      </c>
      <c r="P26" s="71"/>
      <c r="Q26" s="72"/>
      <c r="R26" s="70">
        <f t="shared" si="4"/>
        <v>0</v>
      </c>
      <c r="S26" s="71"/>
      <c r="T26" s="72"/>
      <c r="U26" s="70">
        <f t="shared" si="5"/>
        <v>0</v>
      </c>
      <c r="V26" s="71"/>
      <c r="W26" s="72"/>
      <c r="X26" s="70">
        <f t="shared" si="6"/>
        <v>0</v>
      </c>
      <c r="Y26" s="71"/>
      <c r="Z26" s="72"/>
      <c r="AA26" s="70">
        <f t="shared" si="7"/>
        <v>0</v>
      </c>
      <c r="AB26" s="71"/>
      <c r="AC26" s="72"/>
      <c r="AD26" s="70">
        <f t="shared" si="8"/>
        <v>0</v>
      </c>
      <c r="AE26" s="71"/>
      <c r="AF26" s="72"/>
      <c r="AG26" s="70">
        <f t="shared" si="9"/>
        <v>0</v>
      </c>
      <c r="AH26" s="71"/>
      <c r="AI26" s="72"/>
      <c r="AJ26" s="70">
        <f t="shared" si="10"/>
        <v>0</v>
      </c>
      <c r="AK26" s="71"/>
      <c r="AL26" s="72"/>
      <c r="AM26" s="70">
        <f t="shared" si="11"/>
        <v>0</v>
      </c>
      <c r="AN26" s="71"/>
      <c r="AO26" s="72"/>
      <c r="AP26" s="68">
        <f t="shared" si="12"/>
        <v>0</v>
      </c>
      <c r="AQ26" s="8" t="e">
        <f t="shared" si="13"/>
        <v>#DIV/0!</v>
      </c>
    </row>
    <row r="27" spans="1:43" ht="18" customHeight="1" x14ac:dyDescent="0.15">
      <c r="A27" s="6"/>
      <c r="B27" s="12"/>
      <c r="C27" s="67"/>
      <c r="D27" s="68"/>
      <c r="E27" s="69"/>
      <c r="F27" s="70">
        <f t="shared" si="0"/>
        <v>0</v>
      </c>
      <c r="G27" s="71"/>
      <c r="H27" s="72"/>
      <c r="I27" s="70">
        <f t="shared" si="1"/>
        <v>0</v>
      </c>
      <c r="J27" s="71"/>
      <c r="K27" s="72"/>
      <c r="L27" s="70">
        <f t="shared" si="2"/>
        <v>0</v>
      </c>
      <c r="M27" s="71"/>
      <c r="N27" s="72"/>
      <c r="O27" s="70">
        <f t="shared" si="3"/>
        <v>0</v>
      </c>
      <c r="P27" s="71"/>
      <c r="Q27" s="72"/>
      <c r="R27" s="70">
        <f t="shared" si="4"/>
        <v>0</v>
      </c>
      <c r="S27" s="71"/>
      <c r="T27" s="72"/>
      <c r="U27" s="70">
        <f t="shared" si="5"/>
        <v>0</v>
      </c>
      <c r="V27" s="71"/>
      <c r="W27" s="72"/>
      <c r="X27" s="70">
        <f t="shared" si="6"/>
        <v>0</v>
      </c>
      <c r="Y27" s="71"/>
      <c r="Z27" s="72"/>
      <c r="AA27" s="70">
        <f t="shared" si="7"/>
        <v>0</v>
      </c>
      <c r="AB27" s="71"/>
      <c r="AC27" s="72"/>
      <c r="AD27" s="70">
        <f t="shared" si="8"/>
        <v>0</v>
      </c>
      <c r="AE27" s="71"/>
      <c r="AF27" s="72"/>
      <c r="AG27" s="70">
        <f t="shared" si="9"/>
        <v>0</v>
      </c>
      <c r="AH27" s="71"/>
      <c r="AI27" s="72"/>
      <c r="AJ27" s="70">
        <f t="shared" si="10"/>
        <v>0</v>
      </c>
      <c r="AK27" s="71"/>
      <c r="AL27" s="72"/>
      <c r="AM27" s="70">
        <f t="shared" si="11"/>
        <v>0</v>
      </c>
      <c r="AN27" s="71"/>
      <c r="AO27" s="72"/>
      <c r="AP27" s="68">
        <f t="shared" si="12"/>
        <v>0</v>
      </c>
      <c r="AQ27" s="8" t="e">
        <f t="shared" si="13"/>
        <v>#DIV/0!</v>
      </c>
    </row>
    <row r="28" spans="1:43" ht="18" customHeight="1" x14ac:dyDescent="0.15">
      <c r="A28" s="6"/>
      <c r="B28" s="12"/>
      <c r="C28" s="67"/>
      <c r="D28" s="68"/>
      <c r="E28" s="69"/>
      <c r="F28" s="70">
        <f t="shared" si="0"/>
        <v>0</v>
      </c>
      <c r="G28" s="71"/>
      <c r="H28" s="72"/>
      <c r="I28" s="70">
        <f t="shared" si="1"/>
        <v>0</v>
      </c>
      <c r="J28" s="71"/>
      <c r="K28" s="72"/>
      <c r="L28" s="70">
        <f t="shared" si="2"/>
        <v>0</v>
      </c>
      <c r="M28" s="71"/>
      <c r="N28" s="72"/>
      <c r="O28" s="70">
        <f t="shared" si="3"/>
        <v>0</v>
      </c>
      <c r="P28" s="71"/>
      <c r="Q28" s="72"/>
      <c r="R28" s="70">
        <f t="shared" si="4"/>
        <v>0</v>
      </c>
      <c r="S28" s="71"/>
      <c r="T28" s="72"/>
      <c r="U28" s="70">
        <f t="shared" si="5"/>
        <v>0</v>
      </c>
      <c r="V28" s="71"/>
      <c r="W28" s="72"/>
      <c r="X28" s="70">
        <f t="shared" si="6"/>
        <v>0</v>
      </c>
      <c r="Y28" s="71"/>
      <c r="Z28" s="72"/>
      <c r="AA28" s="70">
        <f t="shared" si="7"/>
        <v>0</v>
      </c>
      <c r="AB28" s="71"/>
      <c r="AC28" s="72"/>
      <c r="AD28" s="70">
        <f t="shared" si="8"/>
        <v>0</v>
      </c>
      <c r="AE28" s="71"/>
      <c r="AF28" s="72"/>
      <c r="AG28" s="70">
        <f t="shared" si="9"/>
        <v>0</v>
      </c>
      <c r="AH28" s="71"/>
      <c r="AI28" s="72"/>
      <c r="AJ28" s="70">
        <f t="shared" si="10"/>
        <v>0</v>
      </c>
      <c r="AK28" s="71"/>
      <c r="AL28" s="72"/>
      <c r="AM28" s="70">
        <f t="shared" si="11"/>
        <v>0</v>
      </c>
      <c r="AN28" s="71"/>
      <c r="AO28" s="72"/>
      <c r="AP28" s="68">
        <f t="shared" si="12"/>
        <v>0</v>
      </c>
      <c r="AQ28" s="8" t="e">
        <f t="shared" si="13"/>
        <v>#DIV/0!</v>
      </c>
    </row>
    <row r="29" spans="1:43" ht="18" customHeight="1" x14ac:dyDescent="0.15">
      <c r="A29" s="6"/>
      <c r="B29" s="12"/>
      <c r="C29" s="67"/>
      <c r="D29" s="73"/>
      <c r="E29" s="69"/>
      <c r="F29" s="70">
        <f t="shared" si="0"/>
        <v>0</v>
      </c>
      <c r="G29" s="71"/>
      <c r="H29" s="72"/>
      <c r="I29" s="70">
        <f t="shared" si="1"/>
        <v>0</v>
      </c>
      <c r="J29" s="71"/>
      <c r="K29" s="72"/>
      <c r="L29" s="70">
        <f t="shared" si="2"/>
        <v>0</v>
      </c>
      <c r="M29" s="71"/>
      <c r="N29" s="72"/>
      <c r="O29" s="70">
        <f t="shared" si="3"/>
        <v>0</v>
      </c>
      <c r="P29" s="71"/>
      <c r="Q29" s="72"/>
      <c r="R29" s="70">
        <f t="shared" si="4"/>
        <v>0</v>
      </c>
      <c r="S29" s="71"/>
      <c r="T29" s="72"/>
      <c r="U29" s="70">
        <f t="shared" si="5"/>
        <v>0</v>
      </c>
      <c r="V29" s="71"/>
      <c r="W29" s="72"/>
      <c r="X29" s="70">
        <f t="shared" si="6"/>
        <v>0</v>
      </c>
      <c r="Y29" s="71"/>
      <c r="Z29" s="72"/>
      <c r="AA29" s="70">
        <f t="shared" si="7"/>
        <v>0</v>
      </c>
      <c r="AB29" s="71"/>
      <c r="AC29" s="72"/>
      <c r="AD29" s="70">
        <f t="shared" si="8"/>
        <v>0</v>
      </c>
      <c r="AE29" s="71"/>
      <c r="AF29" s="72"/>
      <c r="AG29" s="70">
        <f t="shared" si="9"/>
        <v>0</v>
      </c>
      <c r="AH29" s="71"/>
      <c r="AI29" s="72"/>
      <c r="AJ29" s="70">
        <f t="shared" si="10"/>
        <v>0</v>
      </c>
      <c r="AK29" s="71"/>
      <c r="AL29" s="72"/>
      <c r="AM29" s="70">
        <f t="shared" si="11"/>
        <v>0</v>
      </c>
      <c r="AN29" s="71"/>
      <c r="AO29" s="72"/>
      <c r="AP29" s="73">
        <f t="shared" si="12"/>
        <v>0</v>
      </c>
      <c r="AQ29" s="8" t="e">
        <f t="shared" si="13"/>
        <v>#DIV/0!</v>
      </c>
    </row>
    <row r="30" spans="1:43" ht="18" customHeight="1" x14ac:dyDescent="0.15">
      <c r="A30" s="6"/>
      <c r="B30" s="12"/>
      <c r="C30" s="67"/>
      <c r="D30" s="73"/>
      <c r="E30" s="69"/>
      <c r="F30" s="70">
        <f t="shared" si="0"/>
        <v>0</v>
      </c>
      <c r="G30" s="71"/>
      <c r="H30" s="72"/>
      <c r="I30" s="70">
        <f t="shared" si="1"/>
        <v>0</v>
      </c>
      <c r="J30" s="71"/>
      <c r="K30" s="72"/>
      <c r="L30" s="70">
        <f t="shared" si="2"/>
        <v>0</v>
      </c>
      <c r="M30" s="71"/>
      <c r="N30" s="72"/>
      <c r="O30" s="70">
        <f t="shared" si="3"/>
        <v>0</v>
      </c>
      <c r="P30" s="71"/>
      <c r="Q30" s="72"/>
      <c r="R30" s="70">
        <f t="shared" si="4"/>
        <v>0</v>
      </c>
      <c r="S30" s="71"/>
      <c r="T30" s="72"/>
      <c r="U30" s="70">
        <f t="shared" si="5"/>
        <v>0</v>
      </c>
      <c r="V30" s="71"/>
      <c r="W30" s="72"/>
      <c r="X30" s="70">
        <f t="shared" si="6"/>
        <v>0</v>
      </c>
      <c r="Y30" s="71"/>
      <c r="Z30" s="72"/>
      <c r="AA30" s="70">
        <f t="shared" si="7"/>
        <v>0</v>
      </c>
      <c r="AB30" s="71"/>
      <c r="AC30" s="72"/>
      <c r="AD30" s="70">
        <f t="shared" si="8"/>
        <v>0</v>
      </c>
      <c r="AE30" s="71"/>
      <c r="AF30" s="72"/>
      <c r="AG30" s="70">
        <f t="shared" si="9"/>
        <v>0</v>
      </c>
      <c r="AH30" s="71"/>
      <c r="AI30" s="72"/>
      <c r="AJ30" s="70">
        <f t="shared" si="10"/>
        <v>0</v>
      </c>
      <c r="AK30" s="71"/>
      <c r="AL30" s="72"/>
      <c r="AM30" s="70">
        <f t="shared" si="11"/>
        <v>0</v>
      </c>
      <c r="AN30" s="71"/>
      <c r="AO30" s="72"/>
      <c r="AP30" s="73">
        <f t="shared" si="12"/>
        <v>0</v>
      </c>
      <c r="AQ30" s="8" t="e">
        <f t="shared" si="13"/>
        <v>#DIV/0!</v>
      </c>
    </row>
    <row r="31" spans="1:43" ht="18" customHeight="1" thickBot="1" x14ac:dyDescent="0.2">
      <c r="A31" s="6"/>
      <c r="B31" s="13"/>
      <c r="C31" s="62"/>
      <c r="D31" s="74"/>
      <c r="E31" s="64"/>
      <c r="F31" s="64">
        <f t="shared" si="0"/>
        <v>0</v>
      </c>
      <c r="G31" s="75"/>
      <c r="H31" s="76"/>
      <c r="I31" s="64">
        <f t="shared" si="1"/>
        <v>0</v>
      </c>
      <c r="J31" s="75"/>
      <c r="K31" s="76"/>
      <c r="L31" s="64">
        <f t="shared" si="2"/>
        <v>0</v>
      </c>
      <c r="M31" s="75"/>
      <c r="N31" s="76"/>
      <c r="O31" s="64">
        <f t="shared" si="3"/>
        <v>0</v>
      </c>
      <c r="P31" s="75"/>
      <c r="Q31" s="76"/>
      <c r="R31" s="64">
        <f t="shared" si="4"/>
        <v>0</v>
      </c>
      <c r="S31" s="75"/>
      <c r="T31" s="76"/>
      <c r="U31" s="64">
        <f t="shared" si="5"/>
        <v>0</v>
      </c>
      <c r="V31" s="75"/>
      <c r="W31" s="76"/>
      <c r="X31" s="64">
        <f t="shared" si="6"/>
        <v>0</v>
      </c>
      <c r="Y31" s="75"/>
      <c r="Z31" s="76"/>
      <c r="AA31" s="64">
        <f t="shared" si="7"/>
        <v>0</v>
      </c>
      <c r="AB31" s="75"/>
      <c r="AC31" s="76"/>
      <c r="AD31" s="64">
        <f t="shared" si="8"/>
        <v>0</v>
      </c>
      <c r="AE31" s="75"/>
      <c r="AF31" s="76"/>
      <c r="AG31" s="64">
        <f t="shared" si="9"/>
        <v>0</v>
      </c>
      <c r="AH31" s="75"/>
      <c r="AI31" s="76"/>
      <c r="AJ31" s="64">
        <f t="shared" si="10"/>
        <v>0</v>
      </c>
      <c r="AK31" s="75"/>
      <c r="AL31" s="76"/>
      <c r="AM31" s="64">
        <f t="shared" si="11"/>
        <v>0</v>
      </c>
      <c r="AN31" s="75"/>
      <c r="AO31" s="76"/>
      <c r="AP31" s="74">
        <f t="shared" si="12"/>
        <v>0</v>
      </c>
      <c r="AQ31" s="7" t="e">
        <f t="shared" si="13"/>
        <v>#DIV/0!</v>
      </c>
    </row>
    <row r="32" spans="1:43" ht="18" customHeight="1" thickTop="1" x14ac:dyDescent="0.15">
      <c r="B32" s="14" t="s">
        <v>33</v>
      </c>
      <c r="C32" s="77">
        <f t="shared" ref="C32:H32" si="14">SUM(C12:C31)</f>
        <v>452</v>
      </c>
      <c r="D32" s="78">
        <f t="shared" si="14"/>
        <v>120</v>
      </c>
      <c r="E32" s="79">
        <f t="shared" si="14"/>
        <v>480</v>
      </c>
      <c r="F32" s="79">
        <f t="shared" si="14"/>
        <v>2</v>
      </c>
      <c r="G32" s="80">
        <f t="shared" si="14"/>
        <v>1</v>
      </c>
      <c r="H32" s="81">
        <f t="shared" si="14"/>
        <v>1</v>
      </c>
      <c r="I32" s="79">
        <f t="shared" ref="I32:N32" si="15">SUM(I12:I31)</f>
        <v>1</v>
      </c>
      <c r="J32" s="80">
        <f t="shared" si="15"/>
        <v>0</v>
      </c>
      <c r="K32" s="81">
        <f t="shared" si="15"/>
        <v>1</v>
      </c>
      <c r="L32" s="79">
        <f t="shared" si="15"/>
        <v>0</v>
      </c>
      <c r="M32" s="80">
        <f t="shared" si="15"/>
        <v>0</v>
      </c>
      <c r="N32" s="81">
        <f t="shared" si="15"/>
        <v>0</v>
      </c>
      <c r="O32" s="79">
        <f t="shared" ref="O32:T32" si="16">SUM(O12:O31)</f>
        <v>0</v>
      </c>
      <c r="P32" s="80">
        <f t="shared" si="16"/>
        <v>0</v>
      </c>
      <c r="Q32" s="81">
        <f t="shared" si="16"/>
        <v>0</v>
      </c>
      <c r="R32" s="79">
        <f t="shared" si="16"/>
        <v>0</v>
      </c>
      <c r="S32" s="80">
        <f t="shared" si="16"/>
        <v>0</v>
      </c>
      <c r="T32" s="81">
        <f t="shared" si="16"/>
        <v>0</v>
      </c>
      <c r="U32" s="79">
        <f t="shared" ref="U32:AI32" si="17">SUM(U12:U31)</f>
        <v>0</v>
      </c>
      <c r="V32" s="80">
        <f t="shared" si="17"/>
        <v>0</v>
      </c>
      <c r="W32" s="81">
        <f t="shared" si="17"/>
        <v>0</v>
      </c>
      <c r="X32" s="79">
        <f t="shared" si="17"/>
        <v>0</v>
      </c>
      <c r="Y32" s="80">
        <f t="shared" si="17"/>
        <v>0</v>
      </c>
      <c r="Z32" s="81">
        <f t="shared" si="17"/>
        <v>0</v>
      </c>
      <c r="AA32" s="79">
        <f t="shared" si="17"/>
        <v>0</v>
      </c>
      <c r="AB32" s="80">
        <f t="shared" si="17"/>
        <v>0</v>
      </c>
      <c r="AC32" s="81">
        <f t="shared" si="17"/>
        <v>0</v>
      </c>
      <c r="AD32" s="79">
        <f t="shared" si="17"/>
        <v>0</v>
      </c>
      <c r="AE32" s="80">
        <f t="shared" si="17"/>
        <v>0</v>
      </c>
      <c r="AF32" s="81">
        <f t="shared" si="17"/>
        <v>0</v>
      </c>
      <c r="AG32" s="79">
        <f t="shared" si="17"/>
        <v>0</v>
      </c>
      <c r="AH32" s="80">
        <f t="shared" si="17"/>
        <v>0</v>
      </c>
      <c r="AI32" s="81">
        <f t="shared" si="17"/>
        <v>0</v>
      </c>
      <c r="AJ32" s="79">
        <f t="shared" ref="AJ32:AO32" si="18">SUM(AJ12:AJ31)</f>
        <v>0</v>
      </c>
      <c r="AK32" s="80">
        <f t="shared" si="18"/>
        <v>0</v>
      </c>
      <c r="AL32" s="81">
        <f t="shared" si="18"/>
        <v>0</v>
      </c>
      <c r="AM32" s="79">
        <f t="shared" si="18"/>
        <v>0</v>
      </c>
      <c r="AN32" s="80">
        <f t="shared" si="18"/>
        <v>0</v>
      </c>
      <c r="AO32" s="81">
        <f t="shared" si="18"/>
        <v>0</v>
      </c>
      <c r="AP32" s="78">
        <f>SUM(AP12:AP31)</f>
        <v>2</v>
      </c>
      <c r="AQ32" s="9">
        <f t="shared" si="13"/>
        <v>4.1666666666666666E-3</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23" zoomScaleNormal="100" zoomScaleSheetLayoutView="100" workbookViewId="0">
      <selection activeCell="B35" sqref="B35:I46"/>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89" t="str">
        <f>'様式１　プログラムを構成する授業科目'!C2</f>
        <v>名古屋音楽大学</v>
      </c>
      <c r="I2" s="91"/>
    </row>
    <row r="3" spans="1:9" ht="18.75" customHeight="1" x14ac:dyDescent="0.15">
      <c r="G3" s="35"/>
      <c r="H3" s="10"/>
      <c r="I3" s="10"/>
    </row>
    <row r="4" spans="1:9" ht="18.600000000000001" customHeight="1" x14ac:dyDescent="0.15">
      <c r="A4" s="144" t="s">
        <v>36</v>
      </c>
      <c r="B4" s="144"/>
      <c r="C4" s="144"/>
      <c r="D4" s="144"/>
      <c r="E4" s="144"/>
      <c r="F4" s="144"/>
      <c r="G4" s="144"/>
      <c r="H4" s="144"/>
      <c r="I4" s="144"/>
    </row>
    <row r="5" spans="1:9" ht="13.15" customHeight="1" x14ac:dyDescent="0.15">
      <c r="B5" s="3"/>
      <c r="C5" s="3"/>
      <c r="D5" s="3"/>
      <c r="E5" s="3"/>
      <c r="F5" s="3"/>
      <c r="G5" s="3"/>
      <c r="H5" s="3"/>
      <c r="I5" s="3"/>
    </row>
    <row r="6" spans="1:9" ht="18" customHeight="1" x14ac:dyDescent="0.15">
      <c r="A6" s="1" t="s">
        <v>0</v>
      </c>
      <c r="B6" s="10" t="s">
        <v>91</v>
      </c>
      <c r="C6" s="210" t="s">
        <v>92</v>
      </c>
      <c r="D6" s="210"/>
      <c r="E6" s="34">
        <v>23</v>
      </c>
      <c r="F6" s="3" t="s">
        <v>1</v>
      </c>
      <c r="G6" s="3" t="s">
        <v>2</v>
      </c>
      <c r="H6" s="34">
        <v>172</v>
      </c>
      <c r="I6" s="10" t="s">
        <v>1</v>
      </c>
    </row>
    <row r="7" spans="1:9" ht="12" customHeight="1" x14ac:dyDescent="0.15">
      <c r="C7" s="2"/>
      <c r="D7" s="2"/>
      <c r="E7" s="2"/>
      <c r="F7" s="2"/>
      <c r="G7" s="2"/>
      <c r="H7" s="2"/>
      <c r="I7" s="42"/>
    </row>
    <row r="8" spans="1:9" ht="18" customHeight="1" x14ac:dyDescent="0.15">
      <c r="A8" s="1" t="s">
        <v>3</v>
      </c>
      <c r="B8" s="10" t="s">
        <v>93</v>
      </c>
      <c r="E8" s="3"/>
      <c r="F8" s="3"/>
      <c r="G8" s="3"/>
      <c r="H8" s="34">
        <v>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05" t="s">
        <v>135</v>
      </c>
      <c r="D11" s="208"/>
      <c r="E11" s="209"/>
      <c r="F11" s="42"/>
      <c r="G11" s="35" t="s">
        <v>10</v>
      </c>
      <c r="H11" s="205" t="s">
        <v>133</v>
      </c>
      <c r="I11" s="209"/>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05" t="s">
        <v>161</v>
      </c>
      <c r="C14" s="206"/>
      <c r="D14" s="206"/>
      <c r="E14" s="206"/>
      <c r="F14" s="206"/>
      <c r="G14" s="206"/>
      <c r="H14" s="206"/>
      <c r="I14" s="207"/>
    </row>
    <row r="15" spans="1:9" ht="9" customHeight="1" x14ac:dyDescent="0.15">
      <c r="B15" s="3"/>
      <c r="C15" s="3"/>
      <c r="D15" s="3"/>
      <c r="E15" s="3"/>
      <c r="F15" s="3"/>
      <c r="G15" s="3"/>
      <c r="H15" s="3"/>
      <c r="I15" s="3"/>
    </row>
    <row r="16" spans="1:9" ht="18" customHeight="1" x14ac:dyDescent="0.15">
      <c r="B16" s="35" t="s">
        <v>43</v>
      </c>
      <c r="C16" s="205" t="s">
        <v>135</v>
      </c>
      <c r="D16" s="208"/>
      <c r="E16" s="209"/>
      <c r="F16" s="42"/>
      <c r="G16" s="35" t="s">
        <v>10</v>
      </c>
      <c r="H16" s="205" t="s">
        <v>134</v>
      </c>
      <c r="I16" s="209"/>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97" t="s">
        <v>136</v>
      </c>
      <c r="C19" s="198"/>
      <c r="D19" s="198"/>
      <c r="E19" s="198"/>
      <c r="F19" s="198"/>
      <c r="G19" s="198"/>
      <c r="H19" s="198"/>
      <c r="I19" s="199"/>
    </row>
    <row r="20" spans="1:9" ht="7.5" customHeight="1" x14ac:dyDescent="0.15">
      <c r="B20" s="3"/>
      <c r="C20" s="3"/>
      <c r="D20" s="3"/>
      <c r="E20" s="3"/>
      <c r="F20" s="3"/>
      <c r="G20" s="3"/>
      <c r="H20" s="3"/>
      <c r="I20" s="3"/>
    </row>
    <row r="21" spans="1:9" ht="18.75" customHeight="1" x14ac:dyDescent="0.15">
      <c r="A21" s="1" t="s">
        <v>8</v>
      </c>
      <c r="B21" s="1" t="s">
        <v>25</v>
      </c>
    </row>
    <row r="22" spans="1:9" ht="23.25" customHeight="1" x14ac:dyDescent="0.15">
      <c r="A22" s="15"/>
      <c r="B22" s="187" t="s">
        <v>162</v>
      </c>
      <c r="C22" s="188"/>
      <c r="D22" s="188"/>
      <c r="E22" s="188"/>
      <c r="F22" s="188"/>
      <c r="G22" s="188"/>
      <c r="H22" s="188"/>
      <c r="I22" s="189"/>
    </row>
    <row r="23" spans="1:9" ht="23.25" customHeight="1" x14ac:dyDescent="0.15">
      <c r="A23" s="15"/>
      <c r="B23" s="200"/>
      <c r="C23" s="201"/>
      <c r="D23" s="201"/>
      <c r="E23" s="201"/>
      <c r="F23" s="201"/>
      <c r="G23" s="201"/>
      <c r="H23" s="201"/>
      <c r="I23" s="192"/>
    </row>
    <row r="24" spans="1:9" ht="23.25" customHeight="1" x14ac:dyDescent="0.15">
      <c r="A24" s="15"/>
      <c r="B24" s="200"/>
      <c r="C24" s="201"/>
      <c r="D24" s="201"/>
      <c r="E24" s="201"/>
      <c r="F24" s="201"/>
      <c r="G24" s="201"/>
      <c r="H24" s="201"/>
      <c r="I24" s="192"/>
    </row>
    <row r="25" spans="1:9" ht="23.25" customHeight="1" x14ac:dyDescent="0.15">
      <c r="A25" s="15"/>
      <c r="B25" s="200"/>
      <c r="C25" s="201"/>
      <c r="D25" s="201"/>
      <c r="E25" s="201"/>
      <c r="F25" s="201"/>
      <c r="G25" s="201"/>
      <c r="H25" s="201"/>
      <c r="I25" s="192"/>
    </row>
    <row r="26" spans="1:9" ht="23.25" customHeight="1" x14ac:dyDescent="0.15">
      <c r="A26" s="15"/>
      <c r="B26" s="200"/>
      <c r="C26" s="201"/>
      <c r="D26" s="201"/>
      <c r="E26" s="201"/>
      <c r="F26" s="201"/>
      <c r="G26" s="201"/>
      <c r="H26" s="201"/>
      <c r="I26" s="192"/>
    </row>
    <row r="27" spans="1:9" ht="23.25" customHeight="1" x14ac:dyDescent="0.15">
      <c r="A27" s="15"/>
      <c r="B27" s="200"/>
      <c r="C27" s="201"/>
      <c r="D27" s="201"/>
      <c r="E27" s="201"/>
      <c r="F27" s="201"/>
      <c r="G27" s="201"/>
      <c r="H27" s="201"/>
      <c r="I27" s="192"/>
    </row>
    <row r="28" spans="1:9" ht="23.25" customHeight="1" x14ac:dyDescent="0.15">
      <c r="A28" s="15"/>
      <c r="B28" s="200"/>
      <c r="C28" s="201"/>
      <c r="D28" s="201"/>
      <c r="E28" s="201"/>
      <c r="F28" s="201"/>
      <c r="G28" s="201"/>
      <c r="H28" s="201"/>
      <c r="I28" s="192"/>
    </row>
    <row r="29" spans="1:9" ht="12" customHeight="1" x14ac:dyDescent="0.15">
      <c r="A29" s="15"/>
      <c r="B29" s="200"/>
      <c r="C29" s="201"/>
      <c r="D29" s="201"/>
      <c r="E29" s="201"/>
      <c r="F29" s="201"/>
      <c r="G29" s="201"/>
      <c r="H29" s="201"/>
      <c r="I29" s="192"/>
    </row>
    <row r="30" spans="1:9" ht="12" customHeight="1" x14ac:dyDescent="0.15">
      <c r="A30" s="15"/>
      <c r="B30" s="190"/>
      <c r="C30" s="191"/>
      <c r="D30" s="191"/>
      <c r="E30" s="191"/>
      <c r="F30" s="191"/>
      <c r="G30" s="191"/>
      <c r="H30" s="191"/>
      <c r="I30" s="192"/>
    </row>
    <row r="31" spans="1:9" ht="12" customHeight="1" x14ac:dyDescent="0.15">
      <c r="A31" s="15"/>
      <c r="B31" s="190"/>
      <c r="C31" s="191"/>
      <c r="D31" s="191"/>
      <c r="E31" s="191"/>
      <c r="F31" s="191"/>
      <c r="G31" s="191"/>
      <c r="H31" s="191"/>
      <c r="I31" s="192"/>
    </row>
    <row r="32" spans="1:9" ht="12" customHeight="1" x14ac:dyDescent="0.15">
      <c r="A32" s="15"/>
      <c r="B32" s="193"/>
      <c r="C32" s="194"/>
      <c r="D32" s="194"/>
      <c r="E32" s="194"/>
      <c r="F32" s="194"/>
      <c r="G32" s="194"/>
      <c r="H32" s="194"/>
      <c r="I32" s="195"/>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87" t="s">
        <v>163</v>
      </c>
      <c r="C35" s="188"/>
      <c r="D35" s="188"/>
      <c r="E35" s="188"/>
      <c r="F35" s="188"/>
      <c r="G35" s="188"/>
      <c r="H35" s="188"/>
      <c r="I35" s="189"/>
    </row>
    <row r="36" spans="1:9" ht="18.75" customHeight="1" x14ac:dyDescent="0.15">
      <c r="A36" s="15"/>
      <c r="B36" s="190"/>
      <c r="C36" s="191"/>
      <c r="D36" s="191"/>
      <c r="E36" s="191"/>
      <c r="F36" s="191"/>
      <c r="G36" s="191"/>
      <c r="H36" s="191"/>
      <c r="I36" s="192"/>
    </row>
    <row r="37" spans="1:9" ht="18.75" customHeight="1" x14ac:dyDescent="0.15">
      <c r="A37" s="15"/>
      <c r="B37" s="190"/>
      <c r="C37" s="191"/>
      <c r="D37" s="191"/>
      <c r="E37" s="191"/>
      <c r="F37" s="191"/>
      <c r="G37" s="191"/>
      <c r="H37" s="191"/>
      <c r="I37" s="192"/>
    </row>
    <row r="38" spans="1:9" ht="18.75" customHeight="1" x14ac:dyDescent="0.15">
      <c r="A38" s="15"/>
      <c r="B38" s="190"/>
      <c r="C38" s="191"/>
      <c r="D38" s="191"/>
      <c r="E38" s="191"/>
      <c r="F38" s="191"/>
      <c r="G38" s="191"/>
      <c r="H38" s="191"/>
      <c r="I38" s="192"/>
    </row>
    <row r="39" spans="1:9" ht="18.75" customHeight="1" x14ac:dyDescent="0.15">
      <c r="A39" s="15"/>
      <c r="B39" s="190"/>
      <c r="C39" s="191"/>
      <c r="D39" s="191"/>
      <c r="E39" s="191"/>
      <c r="F39" s="191"/>
      <c r="G39" s="191"/>
      <c r="H39" s="191"/>
      <c r="I39" s="192"/>
    </row>
    <row r="40" spans="1:9" ht="18.75" customHeight="1" x14ac:dyDescent="0.15">
      <c r="A40" s="15"/>
      <c r="B40" s="190"/>
      <c r="C40" s="191"/>
      <c r="D40" s="191"/>
      <c r="E40" s="191"/>
      <c r="F40" s="191"/>
      <c r="G40" s="191"/>
      <c r="H40" s="191"/>
      <c r="I40" s="192"/>
    </row>
    <row r="41" spans="1:9" ht="18.75" customHeight="1" x14ac:dyDescent="0.15">
      <c r="A41" s="15"/>
      <c r="B41" s="190"/>
      <c r="C41" s="191"/>
      <c r="D41" s="191"/>
      <c r="E41" s="191"/>
      <c r="F41" s="191"/>
      <c r="G41" s="191"/>
      <c r="H41" s="191"/>
      <c r="I41" s="192"/>
    </row>
    <row r="42" spans="1:9" ht="15.75" customHeight="1" x14ac:dyDescent="0.15">
      <c r="A42" s="15"/>
      <c r="B42" s="190"/>
      <c r="C42" s="191"/>
      <c r="D42" s="191"/>
      <c r="E42" s="191"/>
      <c r="F42" s="191"/>
      <c r="G42" s="191"/>
      <c r="H42" s="191"/>
      <c r="I42" s="192"/>
    </row>
    <row r="43" spans="1:9" ht="15.75" customHeight="1" x14ac:dyDescent="0.15">
      <c r="A43" s="15"/>
      <c r="B43" s="190"/>
      <c r="C43" s="191"/>
      <c r="D43" s="191"/>
      <c r="E43" s="191"/>
      <c r="F43" s="191"/>
      <c r="G43" s="191"/>
      <c r="H43" s="191"/>
      <c r="I43" s="192"/>
    </row>
    <row r="44" spans="1:9" ht="15.75" customHeight="1" x14ac:dyDescent="0.15">
      <c r="A44" s="15"/>
      <c r="B44" s="190"/>
      <c r="C44" s="191"/>
      <c r="D44" s="191"/>
      <c r="E44" s="191"/>
      <c r="F44" s="191"/>
      <c r="G44" s="191"/>
      <c r="H44" s="191"/>
      <c r="I44" s="192"/>
    </row>
    <row r="45" spans="1:9" ht="15.75" customHeight="1" x14ac:dyDescent="0.15">
      <c r="A45" s="15"/>
      <c r="B45" s="190"/>
      <c r="C45" s="191"/>
      <c r="D45" s="191"/>
      <c r="E45" s="191"/>
      <c r="F45" s="191"/>
      <c r="G45" s="191"/>
      <c r="H45" s="191"/>
      <c r="I45" s="192"/>
    </row>
    <row r="46" spans="1:9" ht="15.75" customHeight="1" x14ac:dyDescent="0.15">
      <c r="A46" s="15"/>
      <c r="B46" s="193"/>
      <c r="C46" s="194"/>
      <c r="D46" s="194"/>
      <c r="E46" s="194"/>
      <c r="F46" s="194"/>
      <c r="G46" s="194"/>
      <c r="H46" s="194"/>
      <c r="I46" s="195"/>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28">
        <f>'様式２ 履修者等数の実績'!AQ32</f>
        <v>4.1666666666666666E-3</v>
      </c>
      <c r="D49" s="228"/>
      <c r="E49" s="43" t="s">
        <v>66</v>
      </c>
      <c r="F49" s="228">
        <v>0.2</v>
      </c>
      <c r="G49" s="228"/>
      <c r="H49" s="43" t="s">
        <v>67</v>
      </c>
      <c r="I49" s="44">
        <v>0.4</v>
      </c>
      <c r="J49" s="1"/>
      <c r="M49" s="1"/>
      <c r="N49" s="45"/>
    </row>
    <row r="50" spans="1:15" s="3" customFormat="1" ht="18.75" customHeight="1" x14ac:dyDescent="0.15">
      <c r="B50" s="46" t="s">
        <v>68</v>
      </c>
      <c r="C50" s="211">
        <v>0.8</v>
      </c>
      <c r="D50" s="211"/>
      <c r="E50" s="46" t="s">
        <v>90</v>
      </c>
      <c r="F50" s="211">
        <v>1</v>
      </c>
      <c r="G50" s="211"/>
      <c r="H50" s="46" t="s">
        <v>69</v>
      </c>
      <c r="I50" s="47">
        <f>'様式２ 履修者等数の実績'!E32</f>
        <v>480</v>
      </c>
      <c r="J50" s="1"/>
      <c r="M50" s="1"/>
      <c r="N50" s="45"/>
    </row>
    <row r="51" spans="1:15" ht="18.75" customHeight="1" x14ac:dyDescent="0.15">
      <c r="A51" s="1"/>
      <c r="B51" s="202" t="s">
        <v>70</v>
      </c>
      <c r="C51" s="203"/>
      <c r="D51" s="203"/>
      <c r="E51" s="203"/>
      <c r="F51" s="203"/>
      <c r="G51" s="203"/>
      <c r="H51" s="203"/>
      <c r="I51" s="204"/>
      <c r="N51" s="45"/>
      <c r="O51" s="3"/>
    </row>
    <row r="52" spans="1:15" ht="18.75" customHeight="1" x14ac:dyDescent="0.15">
      <c r="A52" s="1"/>
      <c r="B52" s="229" t="s">
        <v>152</v>
      </c>
      <c r="C52" s="230"/>
      <c r="D52" s="230"/>
      <c r="E52" s="230"/>
      <c r="F52" s="230"/>
      <c r="G52" s="230"/>
      <c r="H52" s="230"/>
      <c r="I52" s="231"/>
      <c r="N52" s="45"/>
      <c r="O52" s="3"/>
    </row>
    <row r="53" spans="1:15" ht="18.75" customHeight="1" x14ac:dyDescent="0.15">
      <c r="A53" s="1"/>
      <c r="B53" s="232"/>
      <c r="C53" s="233"/>
      <c r="D53" s="233"/>
      <c r="E53" s="233"/>
      <c r="F53" s="233"/>
      <c r="G53" s="233"/>
      <c r="H53" s="233"/>
      <c r="I53" s="234"/>
      <c r="N53" s="45"/>
      <c r="O53" s="3"/>
    </row>
    <row r="54" spans="1:15" ht="18.75" customHeight="1" x14ac:dyDescent="0.15">
      <c r="A54" s="1"/>
      <c r="B54" s="232"/>
      <c r="C54" s="233"/>
      <c r="D54" s="233"/>
      <c r="E54" s="233"/>
      <c r="F54" s="233"/>
      <c r="G54" s="233"/>
      <c r="H54" s="233"/>
      <c r="I54" s="234"/>
    </row>
    <row r="55" spans="1:15" ht="18.75" customHeight="1" x14ac:dyDescent="0.15">
      <c r="A55" s="1"/>
      <c r="B55" s="232"/>
      <c r="C55" s="233"/>
      <c r="D55" s="233"/>
      <c r="E55" s="233"/>
      <c r="F55" s="233"/>
      <c r="G55" s="233"/>
      <c r="H55" s="233"/>
      <c r="I55" s="234"/>
    </row>
    <row r="56" spans="1:15" ht="18.75" customHeight="1" x14ac:dyDescent="0.15">
      <c r="A56" s="1"/>
      <c r="B56" s="232"/>
      <c r="C56" s="233"/>
      <c r="D56" s="233"/>
      <c r="E56" s="233"/>
      <c r="F56" s="233"/>
      <c r="G56" s="233"/>
      <c r="H56" s="233"/>
      <c r="I56" s="234"/>
    </row>
    <row r="57" spans="1:15" ht="18.75" customHeight="1" x14ac:dyDescent="0.15">
      <c r="A57" s="1"/>
      <c r="B57" s="232"/>
      <c r="C57" s="233"/>
      <c r="D57" s="233"/>
      <c r="E57" s="233"/>
      <c r="F57" s="233"/>
      <c r="G57" s="233"/>
      <c r="H57" s="233"/>
      <c r="I57" s="234"/>
    </row>
    <row r="58" spans="1:15" ht="18.75" customHeight="1" x14ac:dyDescent="0.15">
      <c r="A58" s="1"/>
      <c r="B58" s="232"/>
      <c r="C58" s="233"/>
      <c r="D58" s="233"/>
      <c r="E58" s="233"/>
      <c r="F58" s="233"/>
      <c r="G58" s="233"/>
      <c r="H58" s="233"/>
      <c r="I58" s="234"/>
    </row>
    <row r="59" spans="1:15" ht="18.75" customHeight="1" x14ac:dyDescent="0.15">
      <c r="A59" s="1"/>
      <c r="B59" s="232"/>
      <c r="C59" s="233"/>
      <c r="D59" s="233"/>
      <c r="E59" s="233"/>
      <c r="F59" s="233"/>
      <c r="G59" s="233"/>
      <c r="H59" s="233"/>
      <c r="I59" s="234"/>
    </row>
    <row r="60" spans="1:15" ht="18.75" customHeight="1" x14ac:dyDescent="0.15">
      <c r="A60" s="1"/>
      <c r="B60" s="232"/>
      <c r="C60" s="233"/>
      <c r="D60" s="233"/>
      <c r="E60" s="233"/>
      <c r="F60" s="233"/>
      <c r="G60" s="233"/>
      <c r="H60" s="233"/>
      <c r="I60" s="234"/>
    </row>
    <row r="61" spans="1:15" ht="18.75" customHeight="1" x14ac:dyDescent="0.15">
      <c r="A61" s="1"/>
      <c r="B61" s="232"/>
      <c r="C61" s="233"/>
      <c r="D61" s="233"/>
      <c r="E61" s="233"/>
      <c r="F61" s="233"/>
      <c r="G61" s="233"/>
      <c r="H61" s="233"/>
      <c r="I61" s="234"/>
    </row>
    <row r="62" spans="1:15" ht="18.75" customHeight="1" x14ac:dyDescent="0.15">
      <c r="A62" s="1"/>
      <c r="B62" s="232"/>
      <c r="C62" s="233"/>
      <c r="D62" s="233"/>
      <c r="E62" s="233"/>
      <c r="F62" s="233"/>
      <c r="G62" s="233"/>
      <c r="H62" s="233"/>
      <c r="I62" s="234"/>
    </row>
    <row r="63" spans="1:15" ht="18.75" customHeight="1" x14ac:dyDescent="0.15">
      <c r="A63" s="1"/>
      <c r="B63" s="235"/>
      <c r="C63" s="236"/>
      <c r="D63" s="236"/>
      <c r="E63" s="236"/>
      <c r="F63" s="236"/>
      <c r="G63" s="236"/>
      <c r="H63" s="236"/>
      <c r="I63" s="237"/>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12" t="s">
        <v>151</v>
      </c>
      <c r="C66" s="213"/>
      <c r="D66" s="213"/>
      <c r="E66" s="213"/>
      <c r="F66" s="213"/>
      <c r="G66" s="213"/>
      <c r="H66" s="213"/>
      <c r="I66" s="214"/>
    </row>
    <row r="67" spans="1:9" ht="18.75" customHeight="1" x14ac:dyDescent="0.15">
      <c r="A67" s="4"/>
      <c r="B67" s="215"/>
      <c r="C67" s="216"/>
      <c r="D67" s="216"/>
      <c r="E67" s="216"/>
      <c r="F67" s="216"/>
      <c r="G67" s="216"/>
      <c r="H67" s="216"/>
      <c r="I67" s="217"/>
    </row>
    <row r="68" spans="1:9" ht="18.75" customHeight="1" x14ac:dyDescent="0.15">
      <c r="A68" s="4"/>
      <c r="B68" s="215"/>
      <c r="C68" s="216"/>
      <c r="D68" s="216"/>
      <c r="E68" s="216"/>
      <c r="F68" s="216"/>
      <c r="G68" s="216"/>
      <c r="H68" s="216"/>
      <c r="I68" s="217"/>
    </row>
    <row r="69" spans="1:9" ht="18.75" customHeight="1" x14ac:dyDescent="0.15">
      <c r="A69" s="4"/>
      <c r="B69" s="215"/>
      <c r="C69" s="216"/>
      <c r="D69" s="216"/>
      <c r="E69" s="216"/>
      <c r="F69" s="216"/>
      <c r="G69" s="216"/>
      <c r="H69" s="216"/>
      <c r="I69" s="217"/>
    </row>
    <row r="70" spans="1:9" ht="18.75" customHeight="1" x14ac:dyDescent="0.15">
      <c r="A70" s="4"/>
      <c r="B70" s="215"/>
      <c r="C70" s="216"/>
      <c r="D70" s="216"/>
      <c r="E70" s="216"/>
      <c r="F70" s="216"/>
      <c r="G70" s="216"/>
      <c r="H70" s="216"/>
      <c r="I70" s="217"/>
    </row>
    <row r="71" spans="1:9" ht="18.75" customHeight="1" x14ac:dyDescent="0.15">
      <c r="A71" s="4"/>
      <c r="B71" s="215"/>
      <c r="C71" s="216"/>
      <c r="D71" s="216"/>
      <c r="E71" s="216"/>
      <c r="F71" s="216"/>
      <c r="G71" s="216"/>
      <c r="H71" s="216"/>
      <c r="I71" s="217"/>
    </row>
    <row r="72" spans="1:9" ht="18.75" customHeight="1" x14ac:dyDescent="0.15">
      <c r="A72" s="4"/>
      <c r="B72" s="215"/>
      <c r="C72" s="216"/>
      <c r="D72" s="216"/>
      <c r="E72" s="216"/>
      <c r="F72" s="216"/>
      <c r="G72" s="216"/>
      <c r="H72" s="216"/>
      <c r="I72" s="217"/>
    </row>
    <row r="73" spans="1:9" ht="18.75" customHeight="1" x14ac:dyDescent="0.15">
      <c r="A73" s="4"/>
      <c r="B73" s="215"/>
      <c r="C73" s="216"/>
      <c r="D73" s="216"/>
      <c r="E73" s="216"/>
      <c r="F73" s="216"/>
      <c r="G73" s="216"/>
      <c r="H73" s="216"/>
      <c r="I73" s="217"/>
    </row>
    <row r="74" spans="1:9" ht="18.75" customHeight="1" x14ac:dyDescent="0.15">
      <c r="A74" s="4"/>
      <c r="B74" s="215"/>
      <c r="C74" s="216"/>
      <c r="D74" s="216"/>
      <c r="E74" s="216"/>
      <c r="F74" s="216"/>
      <c r="G74" s="216"/>
      <c r="H74" s="216"/>
      <c r="I74" s="217"/>
    </row>
    <row r="75" spans="1:9" ht="18.75" customHeight="1" x14ac:dyDescent="0.15">
      <c r="A75" s="4"/>
      <c r="B75" s="215"/>
      <c r="C75" s="216"/>
      <c r="D75" s="216"/>
      <c r="E75" s="216"/>
      <c r="F75" s="216"/>
      <c r="G75" s="216"/>
      <c r="H75" s="216"/>
      <c r="I75" s="217"/>
    </row>
    <row r="76" spans="1:9" ht="18.75" customHeight="1" x14ac:dyDescent="0.15">
      <c r="A76" s="4"/>
      <c r="B76" s="215"/>
      <c r="C76" s="216"/>
      <c r="D76" s="216"/>
      <c r="E76" s="216"/>
      <c r="F76" s="216"/>
      <c r="G76" s="216"/>
      <c r="H76" s="216"/>
      <c r="I76" s="217"/>
    </row>
    <row r="77" spans="1:9" ht="18.75" customHeight="1" x14ac:dyDescent="0.15">
      <c r="A77" s="4"/>
      <c r="B77" s="218"/>
      <c r="C77" s="219"/>
      <c r="D77" s="219"/>
      <c r="E77" s="219"/>
      <c r="F77" s="219"/>
      <c r="G77" s="219"/>
      <c r="H77" s="219"/>
      <c r="I77" s="220"/>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12" t="s">
        <v>157</v>
      </c>
      <c r="C80" s="213"/>
      <c r="D80" s="213"/>
      <c r="E80" s="213"/>
      <c r="F80" s="213"/>
      <c r="G80" s="213"/>
      <c r="H80" s="213"/>
      <c r="I80" s="221"/>
    </row>
    <row r="81" spans="1:9" ht="18.75" customHeight="1" x14ac:dyDescent="0.15">
      <c r="A81" s="1"/>
      <c r="B81" s="222"/>
      <c r="C81" s="223"/>
      <c r="D81" s="223"/>
      <c r="E81" s="223"/>
      <c r="F81" s="223"/>
      <c r="G81" s="223"/>
      <c r="H81" s="223"/>
      <c r="I81" s="224"/>
    </row>
    <row r="82" spans="1:9" ht="18.75" customHeight="1" x14ac:dyDescent="0.15">
      <c r="A82" s="1"/>
      <c r="B82" s="222"/>
      <c r="C82" s="223"/>
      <c r="D82" s="223"/>
      <c r="E82" s="223"/>
      <c r="F82" s="223"/>
      <c r="G82" s="223"/>
      <c r="H82" s="223"/>
      <c r="I82" s="224"/>
    </row>
    <row r="83" spans="1:9" ht="18.75" customHeight="1" x14ac:dyDescent="0.15">
      <c r="A83" s="1"/>
      <c r="B83" s="222"/>
      <c r="C83" s="223"/>
      <c r="D83" s="223"/>
      <c r="E83" s="223"/>
      <c r="F83" s="223"/>
      <c r="G83" s="223"/>
      <c r="H83" s="223"/>
      <c r="I83" s="224"/>
    </row>
    <row r="84" spans="1:9" ht="18.75" customHeight="1" x14ac:dyDescent="0.15">
      <c r="A84" s="1"/>
      <c r="B84" s="222"/>
      <c r="C84" s="223"/>
      <c r="D84" s="223"/>
      <c r="E84" s="223"/>
      <c r="F84" s="223"/>
      <c r="G84" s="223"/>
      <c r="H84" s="223"/>
      <c r="I84" s="224"/>
    </row>
    <row r="85" spans="1:9" ht="18.75" customHeight="1" x14ac:dyDescent="0.15">
      <c r="A85" s="1"/>
      <c r="B85" s="222"/>
      <c r="C85" s="223"/>
      <c r="D85" s="223"/>
      <c r="E85" s="223"/>
      <c r="F85" s="223"/>
      <c r="G85" s="223"/>
      <c r="H85" s="223"/>
      <c r="I85" s="224"/>
    </row>
    <row r="86" spans="1:9" ht="18.75" customHeight="1" x14ac:dyDescent="0.15">
      <c r="A86" s="1"/>
      <c r="B86" s="222"/>
      <c r="C86" s="223"/>
      <c r="D86" s="223"/>
      <c r="E86" s="223"/>
      <c r="F86" s="223"/>
      <c r="G86" s="223"/>
      <c r="H86" s="223"/>
      <c r="I86" s="224"/>
    </row>
    <row r="87" spans="1:9" ht="18.75" customHeight="1" x14ac:dyDescent="0.15">
      <c r="A87" s="1"/>
      <c r="B87" s="222"/>
      <c r="C87" s="223"/>
      <c r="D87" s="223"/>
      <c r="E87" s="223"/>
      <c r="F87" s="223"/>
      <c r="G87" s="223"/>
      <c r="H87" s="223"/>
      <c r="I87" s="224"/>
    </row>
    <row r="88" spans="1:9" ht="18.75" customHeight="1" x14ac:dyDescent="0.15">
      <c r="A88" s="1"/>
      <c r="B88" s="222"/>
      <c r="C88" s="223"/>
      <c r="D88" s="223"/>
      <c r="E88" s="223"/>
      <c r="F88" s="223"/>
      <c r="G88" s="223"/>
      <c r="H88" s="223"/>
      <c r="I88" s="224"/>
    </row>
    <row r="89" spans="1:9" ht="18.75" customHeight="1" x14ac:dyDescent="0.15">
      <c r="A89" s="1"/>
      <c r="B89" s="222"/>
      <c r="C89" s="223"/>
      <c r="D89" s="223"/>
      <c r="E89" s="223"/>
      <c r="F89" s="223"/>
      <c r="G89" s="223"/>
      <c r="H89" s="223"/>
      <c r="I89" s="224"/>
    </row>
    <row r="90" spans="1:9" ht="18.75" customHeight="1" x14ac:dyDescent="0.15">
      <c r="A90" s="4"/>
      <c r="B90" s="222"/>
      <c r="C90" s="223"/>
      <c r="D90" s="223"/>
      <c r="E90" s="223"/>
      <c r="F90" s="223"/>
      <c r="G90" s="223"/>
      <c r="H90" s="223"/>
      <c r="I90" s="224"/>
    </row>
    <row r="91" spans="1:9" ht="18.75" customHeight="1" x14ac:dyDescent="0.15">
      <c r="A91" s="4"/>
      <c r="B91" s="225"/>
      <c r="C91" s="226"/>
      <c r="D91" s="226"/>
      <c r="E91" s="226"/>
      <c r="F91" s="226"/>
      <c r="G91" s="226"/>
      <c r="H91" s="226"/>
      <c r="I91" s="227"/>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87" t="s">
        <v>158</v>
      </c>
      <c r="C94" s="188"/>
      <c r="D94" s="188"/>
      <c r="E94" s="188"/>
      <c r="F94" s="188"/>
      <c r="G94" s="188"/>
      <c r="H94" s="188"/>
      <c r="I94" s="189"/>
    </row>
    <row r="95" spans="1:9" ht="18.75" customHeight="1" x14ac:dyDescent="0.15">
      <c r="A95" s="1"/>
      <c r="B95" s="190"/>
      <c r="C95" s="191"/>
      <c r="D95" s="191"/>
      <c r="E95" s="191"/>
      <c r="F95" s="191"/>
      <c r="G95" s="191"/>
      <c r="H95" s="191"/>
      <c r="I95" s="192"/>
    </row>
    <row r="96" spans="1:9" ht="18.75" customHeight="1" x14ac:dyDescent="0.15">
      <c r="A96" s="1"/>
      <c r="B96" s="190"/>
      <c r="C96" s="191"/>
      <c r="D96" s="191"/>
      <c r="E96" s="191"/>
      <c r="F96" s="191"/>
      <c r="G96" s="191"/>
      <c r="H96" s="191"/>
      <c r="I96" s="192"/>
    </row>
    <row r="97" spans="1:9" ht="18.75" customHeight="1" x14ac:dyDescent="0.15">
      <c r="A97" s="1"/>
      <c r="B97" s="190"/>
      <c r="C97" s="191"/>
      <c r="D97" s="191"/>
      <c r="E97" s="191"/>
      <c r="F97" s="191"/>
      <c r="G97" s="191"/>
      <c r="H97" s="191"/>
      <c r="I97" s="192"/>
    </row>
    <row r="98" spans="1:9" ht="18.75" customHeight="1" x14ac:dyDescent="0.15">
      <c r="A98" s="1"/>
      <c r="B98" s="190"/>
      <c r="C98" s="191"/>
      <c r="D98" s="191"/>
      <c r="E98" s="191"/>
      <c r="F98" s="191"/>
      <c r="G98" s="191"/>
      <c r="H98" s="191"/>
      <c r="I98" s="192"/>
    </row>
    <row r="99" spans="1:9" ht="18.75" customHeight="1" x14ac:dyDescent="0.15">
      <c r="A99" s="1"/>
      <c r="B99" s="190"/>
      <c r="C99" s="191"/>
      <c r="D99" s="191"/>
      <c r="E99" s="191"/>
      <c r="F99" s="191"/>
      <c r="G99" s="191"/>
      <c r="H99" s="191"/>
      <c r="I99" s="192"/>
    </row>
    <row r="100" spans="1:9" ht="18.75" customHeight="1" x14ac:dyDescent="0.15">
      <c r="A100" s="1"/>
      <c r="B100" s="190"/>
      <c r="C100" s="191"/>
      <c r="D100" s="191"/>
      <c r="E100" s="191"/>
      <c r="F100" s="191"/>
      <c r="G100" s="191"/>
      <c r="H100" s="191"/>
      <c r="I100" s="192"/>
    </row>
    <row r="101" spans="1:9" ht="18.75" customHeight="1" x14ac:dyDescent="0.15">
      <c r="A101" s="1"/>
      <c r="B101" s="190"/>
      <c r="C101" s="191"/>
      <c r="D101" s="191"/>
      <c r="E101" s="191"/>
      <c r="F101" s="191"/>
      <c r="G101" s="191"/>
      <c r="H101" s="191"/>
      <c r="I101" s="192"/>
    </row>
    <row r="102" spans="1:9" ht="18.75" customHeight="1" x14ac:dyDescent="0.15">
      <c r="A102" s="1"/>
      <c r="B102" s="190"/>
      <c r="C102" s="191"/>
      <c r="D102" s="191"/>
      <c r="E102" s="191"/>
      <c r="F102" s="191"/>
      <c r="G102" s="191"/>
      <c r="H102" s="191"/>
      <c r="I102" s="192"/>
    </row>
    <row r="103" spans="1:9" ht="18.75" customHeight="1" x14ac:dyDescent="0.15">
      <c r="A103" s="1"/>
      <c r="B103" s="190"/>
      <c r="C103" s="191"/>
      <c r="D103" s="191"/>
      <c r="E103" s="191"/>
      <c r="F103" s="191"/>
      <c r="G103" s="191"/>
      <c r="H103" s="191"/>
      <c r="I103" s="192"/>
    </row>
    <row r="104" spans="1:9" ht="18.75" customHeight="1" x14ac:dyDescent="0.15">
      <c r="A104" s="1"/>
      <c r="B104" s="190"/>
      <c r="C104" s="191"/>
      <c r="D104" s="191"/>
      <c r="E104" s="191"/>
      <c r="F104" s="191"/>
      <c r="G104" s="191"/>
      <c r="H104" s="191"/>
      <c r="I104" s="192"/>
    </row>
    <row r="105" spans="1:9" ht="18.75" customHeight="1" x14ac:dyDescent="0.15">
      <c r="A105" s="4"/>
      <c r="B105" s="193"/>
      <c r="C105" s="194"/>
      <c r="D105" s="194"/>
      <c r="E105" s="194"/>
      <c r="F105" s="194"/>
      <c r="G105" s="194"/>
      <c r="H105" s="194"/>
      <c r="I105" s="195"/>
    </row>
    <row r="106" spans="1:9" ht="7.5" customHeight="1" x14ac:dyDescent="0.15">
      <c r="A106" s="4"/>
      <c r="B106" s="4"/>
      <c r="C106" s="4"/>
      <c r="D106" s="4"/>
      <c r="E106" s="4"/>
      <c r="F106" s="4"/>
      <c r="G106" s="4"/>
      <c r="H106" s="4"/>
      <c r="I106" s="4"/>
    </row>
    <row r="107" spans="1:9" ht="18.75" customHeight="1" x14ac:dyDescent="0.15">
      <c r="A107" s="1" t="s">
        <v>30</v>
      </c>
      <c r="B107" s="196" t="s">
        <v>46</v>
      </c>
      <c r="C107" s="196"/>
      <c r="D107" s="196"/>
      <c r="E107" s="196"/>
      <c r="F107" s="196"/>
      <c r="G107" s="196"/>
      <c r="H107" s="196"/>
      <c r="I107" s="196"/>
    </row>
    <row r="108" spans="1:9" ht="18.75" customHeight="1" x14ac:dyDescent="0.15">
      <c r="A108" s="4"/>
      <c r="B108" s="187" t="s">
        <v>159</v>
      </c>
      <c r="C108" s="188"/>
      <c r="D108" s="188"/>
      <c r="E108" s="188"/>
      <c r="F108" s="188"/>
      <c r="G108" s="188"/>
      <c r="H108" s="188"/>
      <c r="I108" s="189"/>
    </row>
    <row r="109" spans="1:9" ht="18.75" customHeight="1" x14ac:dyDescent="0.15">
      <c r="A109" s="4"/>
      <c r="B109" s="190"/>
      <c r="C109" s="191"/>
      <c r="D109" s="191"/>
      <c r="E109" s="191"/>
      <c r="F109" s="191"/>
      <c r="G109" s="191"/>
      <c r="H109" s="191"/>
      <c r="I109" s="192"/>
    </row>
    <row r="110" spans="1:9" ht="18.75" customHeight="1" x14ac:dyDescent="0.15">
      <c r="A110" s="4"/>
      <c r="B110" s="190"/>
      <c r="C110" s="191"/>
      <c r="D110" s="191"/>
      <c r="E110" s="191"/>
      <c r="F110" s="191"/>
      <c r="G110" s="191"/>
      <c r="H110" s="191"/>
      <c r="I110" s="192"/>
    </row>
    <row r="111" spans="1:9" ht="18.75" customHeight="1" x14ac:dyDescent="0.15">
      <c r="A111" s="4"/>
      <c r="B111" s="190"/>
      <c r="C111" s="191"/>
      <c r="D111" s="191"/>
      <c r="E111" s="191"/>
      <c r="F111" s="191"/>
      <c r="G111" s="191"/>
      <c r="H111" s="191"/>
      <c r="I111" s="192"/>
    </row>
    <row r="112" spans="1:9" ht="18.75" customHeight="1" x14ac:dyDescent="0.15">
      <c r="A112" s="4"/>
      <c r="B112" s="190"/>
      <c r="C112" s="191"/>
      <c r="D112" s="191"/>
      <c r="E112" s="191"/>
      <c r="F112" s="191"/>
      <c r="G112" s="191"/>
      <c r="H112" s="191"/>
      <c r="I112" s="192"/>
    </row>
    <row r="113" spans="1:9" ht="18.75" customHeight="1" x14ac:dyDescent="0.15">
      <c r="A113" s="4"/>
      <c r="B113" s="190"/>
      <c r="C113" s="191"/>
      <c r="D113" s="191"/>
      <c r="E113" s="191"/>
      <c r="F113" s="191"/>
      <c r="G113" s="191"/>
      <c r="H113" s="191"/>
      <c r="I113" s="192"/>
    </row>
    <row r="114" spans="1:9" ht="18.75" customHeight="1" x14ac:dyDescent="0.15">
      <c r="A114" s="4"/>
      <c r="B114" s="190"/>
      <c r="C114" s="191"/>
      <c r="D114" s="191"/>
      <c r="E114" s="191"/>
      <c r="F114" s="191"/>
      <c r="G114" s="191"/>
      <c r="H114" s="191"/>
      <c r="I114" s="192"/>
    </row>
    <row r="115" spans="1:9" ht="18.75" customHeight="1" x14ac:dyDescent="0.15">
      <c r="A115" s="4"/>
      <c r="B115" s="190"/>
      <c r="C115" s="191"/>
      <c r="D115" s="191"/>
      <c r="E115" s="191"/>
      <c r="F115" s="191"/>
      <c r="G115" s="191"/>
      <c r="H115" s="191"/>
      <c r="I115" s="192"/>
    </row>
    <row r="116" spans="1:9" ht="18.75" customHeight="1" x14ac:dyDescent="0.15">
      <c r="A116" s="4"/>
      <c r="B116" s="190"/>
      <c r="C116" s="191"/>
      <c r="D116" s="191"/>
      <c r="E116" s="191"/>
      <c r="F116" s="191"/>
      <c r="G116" s="191"/>
      <c r="H116" s="191"/>
      <c r="I116" s="192"/>
    </row>
    <row r="117" spans="1:9" ht="18.75" customHeight="1" x14ac:dyDescent="0.15">
      <c r="A117" s="4"/>
      <c r="B117" s="190"/>
      <c r="C117" s="191"/>
      <c r="D117" s="191"/>
      <c r="E117" s="191"/>
      <c r="F117" s="191"/>
      <c r="G117" s="191"/>
      <c r="H117" s="191"/>
      <c r="I117" s="192"/>
    </row>
    <row r="118" spans="1:9" ht="18.75" customHeight="1" x14ac:dyDescent="0.15">
      <c r="A118" s="4"/>
      <c r="B118" s="190"/>
      <c r="C118" s="191"/>
      <c r="D118" s="191"/>
      <c r="E118" s="191"/>
      <c r="F118" s="191"/>
      <c r="G118" s="191"/>
      <c r="H118" s="191"/>
      <c r="I118" s="192"/>
    </row>
    <row r="119" spans="1:9" ht="18.75" customHeight="1" x14ac:dyDescent="0.15">
      <c r="A119" s="4"/>
      <c r="B119" s="193"/>
      <c r="C119" s="194"/>
      <c r="D119" s="194"/>
      <c r="E119" s="194"/>
      <c r="F119" s="194"/>
      <c r="G119" s="194"/>
      <c r="H119" s="194"/>
      <c r="I119" s="195"/>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85" zoomScaleNormal="85" zoomScaleSheetLayoutView="85" workbookViewId="0">
      <selection activeCell="P6" sqref="P6"/>
    </sheetView>
  </sheetViews>
  <sheetFormatPr defaultColWidth="11.375" defaultRowHeight="22.5" customHeight="1" x14ac:dyDescent="0.15"/>
  <cols>
    <col min="1" max="3" width="2.75" style="1" customWidth="1"/>
    <col min="4" max="4" width="22.25" style="1" customWidth="1"/>
    <col min="5" max="5" width="29" style="1" customWidth="1"/>
    <col min="6" max="7" width="7.75" style="1" customWidth="1"/>
    <col min="8" max="8" width="28.25" style="1" customWidth="1"/>
    <col min="9"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名古屋音楽大学</v>
      </c>
    </row>
    <row r="3" spans="1:9" ht="18.75" customHeight="1" x14ac:dyDescent="0.15">
      <c r="A3" s="144" t="s">
        <v>28</v>
      </c>
      <c r="B3" s="144"/>
      <c r="C3" s="144"/>
      <c r="D3" s="144"/>
      <c r="E3" s="144"/>
      <c r="F3" s="144"/>
      <c r="G3" s="144"/>
      <c r="H3" s="144"/>
      <c r="I3" s="144"/>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05" t="s">
        <v>160</v>
      </c>
      <c r="C6" s="245"/>
      <c r="D6" s="245"/>
      <c r="E6" s="245"/>
      <c r="F6" s="245"/>
      <c r="G6" s="245"/>
      <c r="H6" s="246"/>
      <c r="I6" s="3"/>
    </row>
    <row r="7" spans="1:9" ht="9" customHeight="1" x14ac:dyDescent="0.15">
      <c r="A7" s="5"/>
      <c r="B7" s="10"/>
      <c r="C7" s="10"/>
      <c r="D7" s="10"/>
      <c r="E7" s="10"/>
      <c r="F7" s="10"/>
      <c r="G7" s="10"/>
      <c r="H7" s="10"/>
      <c r="I7" s="3"/>
    </row>
    <row r="8" spans="1:9" ht="18.75" customHeight="1" x14ac:dyDescent="0.15">
      <c r="A8" s="5"/>
      <c r="B8" s="3"/>
      <c r="C8" s="3"/>
      <c r="D8" s="35" t="s">
        <v>43</v>
      </c>
      <c r="E8" s="36" t="s">
        <v>149</v>
      </c>
      <c r="F8" s="3"/>
      <c r="G8" s="35" t="s">
        <v>10</v>
      </c>
      <c r="H8" s="36" t="s">
        <v>150</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9" t="s">
        <v>24</v>
      </c>
      <c r="C11" s="90"/>
      <c r="D11" s="91"/>
      <c r="E11" s="90" t="s">
        <v>26</v>
      </c>
      <c r="F11" s="90"/>
      <c r="G11" s="90"/>
      <c r="H11" s="90"/>
      <c r="I11" s="91"/>
    </row>
    <row r="12" spans="1:9" ht="26.25" customHeight="1" x14ac:dyDescent="0.15">
      <c r="B12" s="50" t="s">
        <v>14</v>
      </c>
      <c r="C12" s="57"/>
      <c r="D12" s="51"/>
      <c r="E12" s="58"/>
      <c r="F12" s="58"/>
      <c r="G12" s="58"/>
      <c r="H12" s="58"/>
      <c r="I12" s="51"/>
    </row>
    <row r="13" spans="1:9" ht="210.75" customHeight="1" x14ac:dyDescent="0.15">
      <c r="B13" s="52"/>
      <c r="C13" s="243" t="s">
        <v>15</v>
      </c>
      <c r="D13" s="244"/>
      <c r="E13" s="240" t="s">
        <v>164</v>
      </c>
      <c r="F13" s="241"/>
      <c r="G13" s="241"/>
      <c r="H13" s="241"/>
      <c r="I13" s="242"/>
    </row>
    <row r="14" spans="1:9" ht="210.75" customHeight="1" x14ac:dyDescent="0.15">
      <c r="B14" s="52"/>
      <c r="C14" s="238" t="s">
        <v>16</v>
      </c>
      <c r="D14" s="239"/>
      <c r="E14" s="240" t="s">
        <v>165</v>
      </c>
      <c r="F14" s="241"/>
      <c r="G14" s="241"/>
      <c r="H14" s="241"/>
      <c r="I14" s="242"/>
    </row>
    <row r="15" spans="1:9" ht="210.75" customHeight="1" x14ac:dyDescent="0.15">
      <c r="B15" s="52"/>
      <c r="C15" s="243" t="s">
        <v>17</v>
      </c>
      <c r="D15" s="244"/>
      <c r="E15" s="240" t="s">
        <v>166</v>
      </c>
      <c r="F15" s="241"/>
      <c r="G15" s="241"/>
      <c r="H15" s="241"/>
      <c r="I15" s="242"/>
    </row>
    <row r="16" spans="1:9" ht="210.75" customHeight="1" x14ac:dyDescent="0.15">
      <c r="B16" s="52"/>
      <c r="C16" s="243" t="s">
        <v>18</v>
      </c>
      <c r="D16" s="244"/>
      <c r="E16" s="240" t="s">
        <v>167</v>
      </c>
      <c r="F16" s="241"/>
      <c r="G16" s="241"/>
      <c r="H16" s="241"/>
      <c r="I16" s="242"/>
    </row>
    <row r="17" spans="2:9" ht="210.75" customHeight="1" x14ac:dyDescent="0.15">
      <c r="B17" s="53"/>
      <c r="C17" s="247" t="s">
        <v>19</v>
      </c>
      <c r="D17" s="248"/>
      <c r="E17" s="249" t="s">
        <v>155</v>
      </c>
      <c r="F17" s="250"/>
      <c r="G17" s="250"/>
      <c r="H17" s="250"/>
      <c r="I17" s="251"/>
    </row>
    <row r="18" spans="2:9" ht="24" customHeight="1" x14ac:dyDescent="0.15">
      <c r="B18" s="50" t="s">
        <v>20</v>
      </c>
      <c r="C18" s="54"/>
      <c r="D18" s="55"/>
      <c r="E18" s="56"/>
      <c r="F18" s="56"/>
      <c r="G18" s="56"/>
      <c r="H18" s="56"/>
      <c r="I18" s="59"/>
    </row>
    <row r="19" spans="2:9" ht="218.25" customHeight="1" x14ac:dyDescent="0.15">
      <c r="B19" s="52"/>
      <c r="C19" s="243" t="s">
        <v>21</v>
      </c>
      <c r="D19" s="244"/>
      <c r="E19" s="241" t="s">
        <v>156</v>
      </c>
      <c r="F19" s="241"/>
      <c r="G19" s="241"/>
      <c r="H19" s="241"/>
      <c r="I19" s="242"/>
    </row>
    <row r="20" spans="2:9" ht="218.25" customHeight="1" x14ac:dyDescent="0.15">
      <c r="B20" s="53"/>
      <c r="C20" s="247" t="s">
        <v>22</v>
      </c>
      <c r="D20" s="248"/>
      <c r="E20" s="250" t="s">
        <v>154</v>
      </c>
      <c r="F20" s="250"/>
      <c r="G20" s="250"/>
      <c r="H20" s="250"/>
      <c r="I20" s="251"/>
    </row>
    <row r="21" spans="2:9" ht="218.25" customHeight="1" x14ac:dyDescent="0.15">
      <c r="B21" s="257" t="s">
        <v>23</v>
      </c>
      <c r="C21" s="258"/>
      <c r="D21" s="259"/>
      <c r="E21" s="260" t="s">
        <v>153</v>
      </c>
      <c r="F21" s="260"/>
      <c r="G21" s="260"/>
      <c r="H21" s="260"/>
      <c r="I21" s="261"/>
    </row>
    <row r="22" spans="2:9" ht="218.25" customHeight="1" x14ac:dyDescent="0.15">
      <c r="B22" s="252" t="s">
        <v>38</v>
      </c>
      <c r="C22" s="253"/>
      <c r="D22" s="254"/>
      <c r="E22" s="255" t="s">
        <v>168</v>
      </c>
      <c r="F22" s="255"/>
      <c r="G22" s="255"/>
      <c r="H22" s="255"/>
      <c r="I22" s="25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4"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林　裕起</cp:lastModifiedBy>
  <cp:lastPrinted>2023-05-12T01:21:43Z</cp:lastPrinted>
  <dcterms:created xsi:type="dcterms:W3CDTF">2011-06-14T05:32:50Z</dcterms:created>
  <dcterms:modified xsi:type="dcterms:W3CDTF">2023-07-12T07:43:01Z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