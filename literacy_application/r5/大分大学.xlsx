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33.37.208.86\kyosien\51 教養教育\2023年度（令和５年度）\02学内会議\04数理・データサイエンス専門部会\令和５年度「数理・データサイエンス・ＡＩ教育プログラム」の認定\0515申請書類\0501申請書類（修正後）\"/>
    </mc:Choice>
  </mc:AlternateContent>
  <bookViews>
    <workbookView xWindow="0" yWindow="0" windowWidth="28800" windowHeight="10860" tabRatio="885"/>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G32" i="40"/>
  <c r="H32" i="40"/>
  <c r="AP13" i="40"/>
  <c r="AP14" i="40"/>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<sst xmlns="http://schemas.openxmlformats.org/spreadsheetml/2006/main" count="436" uniqueCount="193">
  <si>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</si>
  <si>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</si>
  <si>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</si>
  <si>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</si>
  <si>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</si>
  <si>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</si>
  <si>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</si>
  <si>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</si>
  <si>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</si>
  <si>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</si>
  <si>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</si>
  <si>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</si>
  <si>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</si>
  <si>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</si>
  <si>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</si>
  <si>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</si>
  <si>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</si>
  <si>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</si>
  <si>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</si>
  <si>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</si>
  <si>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</si>
  <si>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</si>
  <si>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</si>
  <si>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</si>
  <si>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</si>
  <si>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</si>
  <si>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</si>
  <si>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</si>
  <si>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</si>
  <si>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</si>
  <si>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</si>
  <si>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</si>
  <si>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</si>
  <si>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</si>
  <si>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</si>
  <si>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</si>
  <si>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</si>
  <si>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</si>
  <si>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</si>
  <si>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</si>
  <si>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</si>
  <si>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</si>
  <si>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</si>
  <si>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</si>
  <si>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</si>
  <si>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</si>
  <si>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</si>
  <si>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</si>
  <si>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</si>
  <si>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</si>
  <si>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</si>
  <si>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</si>
  <si>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</si>
  <si>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</si>
  <si>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</si>
  <si>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</si>
  <si>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</si>
  <si>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</si>
  <si>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</si>
  <si>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</si>
  <si>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</si>
  <si>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</si>
  <si>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</si>
  <si>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</si>
  <si>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</si>
  <si>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</si>
  <si>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</si>
  <si>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</si>
  <si>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</si>
  <si>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</si>
  <si>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</si>
  <si>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</si>
  <si>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</si>
  <si>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</si>
  <si>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</si>
  <si>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</si>
  <si>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</si>
  <si>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</si>
  <si>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</si>
  <si>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</si>
  <si>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</si>
  <si>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</si>
  <si>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</si>
  <si>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</si>
  <si>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</si>
  <si>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</si>
  <si>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</si>
  <si>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</si>
  <si>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</si>
  <si>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</si>
  <si>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</si>
  <si>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</si>
  <si>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</si>
  <si>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</si>
  <si>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</si>
  <si>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</si>
  <si>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</si>
  <si>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</si>
  <si>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</si>
  <si>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</si>
  <si>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</si>
  <si>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</si>
  <si>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</si>
  <si>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</si>
  <si>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</si>
  <si>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</si>
  <si>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</si>
  <si>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</si>
  <si>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</si>
  <si>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</si>
  <si>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</si>
  <si>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</si>
  <si>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</si>
  <si>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</si>
  <si>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</si>
  <si>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</si>
  <si>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</si>
  <si>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</si>
  <si>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</si>
  <si>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</si>
  <si>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</si>
  <si>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</si>
  <si>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</si>
  <si>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</si>
  <si>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</si>
  <si>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</si>
  <si>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大分大学</t>
    <rPh sb="0" eb="2">
      <t>オオイタ</t>
    </rPh>
    <rPh sb="2" eb="4">
      <t>ダイガク</t>
    </rPh>
    <phoneticPr fontId="1"/>
  </si>
  <si>
    <t>データサイエンス基礎教育プログラム</t>
    <phoneticPr fontId="1"/>
  </si>
  <si>
    <t>学部・学科によって、修了要件は相違する</t>
  </si>
  <si>
    <t>データサイエンス入門</t>
    <rPh sb="8" eb="10">
      <t>ニュウモン</t>
    </rPh>
    <phoneticPr fontId="1"/>
  </si>
  <si>
    <t>教育データサイエンス入門</t>
    <rPh sb="0" eb="2">
      <t>キョウイク</t>
    </rPh>
    <rPh sb="10" eb="12">
      <t>ニュウモン</t>
    </rPh>
    <phoneticPr fontId="1"/>
  </si>
  <si>
    <t>○</t>
  </si>
  <si>
    <t>データサイエンス入門</t>
    <phoneticPr fontId="1"/>
  </si>
  <si>
    <t>教育データサイエンス入門</t>
    <phoneticPr fontId="1"/>
  </si>
  <si>
    <t>教育学部</t>
    <rPh sb="0" eb="2">
      <t>キョウイク</t>
    </rPh>
    <rPh sb="2" eb="4">
      <t>ガクブ</t>
    </rPh>
    <phoneticPr fontId="1"/>
  </si>
  <si>
    <t>経済学部</t>
    <rPh sb="0" eb="2">
      <t>ケイザイ</t>
    </rPh>
    <rPh sb="2" eb="4">
      <t>ガクブ</t>
    </rPh>
    <phoneticPr fontId="1"/>
  </si>
  <si>
    <t>医学部</t>
    <rPh sb="0" eb="2">
      <t>イガク</t>
    </rPh>
    <rPh sb="2" eb="3">
      <t>ブ</t>
    </rPh>
    <phoneticPr fontId="1"/>
  </si>
  <si>
    <t>理工学部</t>
    <rPh sb="0" eb="2">
      <t>リコウ</t>
    </rPh>
    <rPh sb="2" eb="4">
      <t>ガクブ</t>
    </rPh>
    <phoneticPr fontId="1"/>
  </si>
  <si>
    <t>福祉健康科学部</t>
    <rPh sb="0" eb="7">
      <t>フクシケンコウカガクブ</t>
    </rPh>
    <phoneticPr fontId="1"/>
  </si>
  <si>
    <t>上白木　悦子</t>
    <phoneticPr fontId="1"/>
  </si>
  <si>
    <t>小畑　経史</t>
    <phoneticPr fontId="1"/>
  </si>
  <si>
    <t>数理データサイエンス専門部会長　理工学部　准教授　小畑　経史
教育学部　教授　市原　靖士
経済学部　准教授　金子　　創
医学部　教授　谷川　雅人
理工学部　講師　原　恭彦
福祉健康科学部　准教授　中里　直樹
基盤教育センター長，学長補佐（教養教育・生涯学習担当）　教授　上白木　悦子
教学マネジメント室長，学長特命補佐（教育，教学IR担当）　教授　中島　誠
教養教育，教育コーディネーター　教授　劉　孝宏
教学マネジメント室　准教授　鈴木　雄清</t>
    <rPh sb="0" eb="2">
      <t>スウリ</t>
    </rPh>
    <rPh sb="10" eb="14">
      <t>センモンブカイ</t>
    </rPh>
    <rPh sb="14" eb="15">
      <t>チョウ</t>
    </rPh>
    <phoneticPr fontId="1"/>
  </si>
  <si>
    <t>大分大学教育マネジメント機構基盤教育センター教養教育委員会数理データサイエンス専門部会</t>
    <rPh sb="29" eb="31">
      <t>スウリ</t>
    </rPh>
    <rPh sb="39" eb="41">
      <t/>
    </rPh>
    <phoneticPr fontId="1"/>
  </si>
  <si>
    <t>大分大学教育マネジメント機構基盤教育センター教養教育委員会内規
大分大学教育マネジメント機構基盤教育センター教養教育委員会専門部会内規</t>
    <rPh sb="29" eb="31">
      <t>ナイキ</t>
    </rPh>
    <phoneticPr fontId="1"/>
  </si>
  <si>
    <t>様式１－２</t>
    <rPh sb="0" eb="2">
      <t>ヨウシキ</t>
    </rPh>
    <phoneticPr fontId="1"/>
  </si>
  <si>
    <t>様式１－１</t>
    <rPh sb="0" eb="2">
      <t>ヨウシキ</t>
    </rPh>
    <phoneticPr fontId="1"/>
  </si>
  <si>
    <t>教養教育科目「データサイエンス入門」１単位を修得すること。</t>
    <rPh sb="0" eb="6">
      <t>キョウヨウキョウイクカモク</t>
    </rPh>
    <rPh sb="15" eb="17">
      <t>ニュウモン</t>
    </rPh>
    <rPh sb="19" eb="21">
      <t>タンイ</t>
    </rPh>
    <rPh sb="22" eb="24">
      <t>シュウトク</t>
    </rPh>
    <phoneticPr fontId="1"/>
  </si>
  <si>
    <t>教養教育科目「教育データサイエンス入門」１単位を修得すること。</t>
    <rPh sb="0" eb="6">
      <t>キョウヨウキョウイクカモク</t>
    </rPh>
    <rPh sb="7" eb="9">
      <t>キョウイク</t>
    </rPh>
    <rPh sb="17" eb="19">
      <t>ニュウモン</t>
    </rPh>
    <rPh sb="21" eb="23">
      <t>タンイ</t>
    </rPh>
    <rPh sb="24" eb="26">
      <t>シュウトク</t>
    </rPh>
    <phoneticPr fontId="1"/>
  </si>
  <si>
    <t>社会におけるデータ・AI利活用④（「データサイエンス入門」第４回）：データ解析の種類</t>
    <rPh sb="26" eb="28">
      <t>ニュウモン</t>
    </rPh>
    <rPh sb="29" eb="30">
      <t>ダイ</t>
    </rPh>
    <rPh sb="31" eb="32">
      <t>カイ</t>
    </rPh>
    <rPh sb="37" eb="39">
      <t>カイセキ</t>
    </rPh>
    <rPh sb="40" eb="42">
      <t>シュルイ</t>
    </rPh>
    <phoneticPr fontId="1"/>
  </si>
  <si>
    <t>社会におけるデータ・AI利活用④（「教育データサイエンス入門」第４回）：データ解析の種類</t>
    <rPh sb="18" eb="20">
      <t>キョウイク</t>
    </rPh>
    <rPh sb="28" eb="30">
      <t>ニュウモン</t>
    </rPh>
    <rPh sb="31" eb="32">
      <t>ダイ</t>
    </rPh>
    <rPh sb="33" eb="34">
      <t>カイ</t>
    </rPh>
    <rPh sb="39" eb="41">
      <t>カイセキ</t>
    </rPh>
    <rPh sb="42" eb="44">
      <t>シュルイ</t>
    </rPh>
    <phoneticPr fontId="1"/>
  </si>
  <si>
    <t>基盤教育センター長</t>
    <rPh sb="0" eb="2">
      <t>キバン</t>
    </rPh>
    <rPh sb="2" eb="4">
      <t>キョウイク</t>
    </rPh>
    <rPh sb="8" eb="9">
      <t>チョウ</t>
    </rPh>
    <phoneticPr fontId="1"/>
  </si>
  <si>
    <t>数理データサイエンス専門部会部会長</t>
    <phoneticPr fontId="1"/>
  </si>
  <si>
    <t>大分大学教育マネジメント機構基盤教育センター教養教育委員会</t>
    <phoneticPr fontId="1"/>
  </si>
  <si>
    <t>藤井　弘也</t>
    <rPh sb="0" eb="2">
      <t>フジイ</t>
    </rPh>
    <rPh sb="3" eb="5">
      <t>ヒロヤ</t>
    </rPh>
    <phoneticPr fontId="1"/>
  </si>
  <si>
    <t>教養教育委員会委員長，
理事（教育，入試，学生・留学生支援担当）</t>
    <rPh sb="0" eb="2">
      <t>キョウヨウ</t>
    </rPh>
    <rPh sb="2" eb="4">
      <t>キョウイク</t>
    </rPh>
    <rPh sb="4" eb="7">
      <t>イインカイ</t>
    </rPh>
    <rPh sb="7" eb="10">
      <t>イインチョウ</t>
    </rPh>
    <phoneticPr fontId="1"/>
  </si>
  <si>
    <t>経済学部、医学部、理工学部、福祉健康科学部</t>
    <rPh sb="0" eb="3">
      <t>ケイザイガク</t>
    </rPh>
    <rPh sb="3" eb="4">
      <t>ブ</t>
    </rPh>
    <rPh sb="5" eb="7">
      <t>イガク</t>
    </rPh>
    <rPh sb="7" eb="8">
      <t>ブ</t>
    </rPh>
    <rPh sb="9" eb="11">
      <t>リコウ</t>
    </rPh>
    <rPh sb="11" eb="13">
      <t>ガクブ</t>
    </rPh>
    <rPh sb="14" eb="21">
      <t>フクシケンコウカガクブ</t>
    </rPh>
    <phoneticPr fontId="1"/>
  </si>
  <si>
    <t>社会におけるデータ・AI利活用①（「データサイエンス入門」第１回）：ビックデータ、検索エンジンとSNS、デジタル社会の提唱、AIの脅威的発達、人間の知的活動とAI</t>
    <rPh sb="26" eb="28">
      <t>ニュウモン</t>
    </rPh>
    <rPh sb="29" eb="30">
      <t>ダイ</t>
    </rPh>
    <rPh sb="31" eb="32">
      <t>カイ</t>
    </rPh>
    <rPh sb="41" eb="43">
      <t>ケンサク</t>
    </rPh>
    <rPh sb="56" eb="58">
      <t>シャカイ</t>
    </rPh>
    <rPh sb="59" eb="61">
      <t>テイショウ</t>
    </rPh>
    <rPh sb="65" eb="67">
      <t>キョウイ</t>
    </rPh>
    <rPh sb="67" eb="68">
      <t>テキ</t>
    </rPh>
    <rPh sb="68" eb="70">
      <t>ハッタツ</t>
    </rPh>
    <rPh sb="71" eb="73">
      <t>ニンゲン</t>
    </rPh>
    <rPh sb="74" eb="76">
      <t>チテキ</t>
    </rPh>
    <rPh sb="76" eb="78">
      <t>カツドウ</t>
    </rPh>
    <phoneticPr fontId="1"/>
  </si>
  <si>
    <t>社会におけるデータ・AI利活用②（「データサイエンス入門」第２回）：AI等を活用した新しいビジネスモデル、AI最新技術の活用例</t>
    <rPh sb="26" eb="28">
      <t>ニュウモン</t>
    </rPh>
    <rPh sb="29" eb="30">
      <t>ダイ</t>
    </rPh>
    <rPh sb="31" eb="32">
      <t>カイ</t>
    </rPh>
    <rPh sb="36" eb="37">
      <t>トウ</t>
    </rPh>
    <rPh sb="38" eb="40">
      <t>カツヨウ</t>
    </rPh>
    <rPh sb="42" eb="43">
      <t>アタラ</t>
    </rPh>
    <rPh sb="55" eb="57">
      <t>サイシン</t>
    </rPh>
    <rPh sb="57" eb="59">
      <t>ギジュツ</t>
    </rPh>
    <rPh sb="60" eb="62">
      <t>カツヨウ</t>
    </rPh>
    <rPh sb="62" eb="63">
      <t>レイ</t>
    </rPh>
    <phoneticPr fontId="1"/>
  </si>
  <si>
    <t>社会におけるデータ・AI利活用③（「データサイエンス入門」第３回）：GDP統計の利用、人口データの利用</t>
    <rPh sb="26" eb="28">
      <t>ニュウモン</t>
    </rPh>
    <rPh sb="29" eb="30">
      <t>ダイ</t>
    </rPh>
    <rPh sb="31" eb="32">
      <t>カイ</t>
    </rPh>
    <rPh sb="37" eb="39">
      <t>トウケイ</t>
    </rPh>
    <rPh sb="40" eb="42">
      <t>リヨウ</t>
    </rPh>
    <rPh sb="43" eb="45">
      <t>ジンコウ</t>
    </rPh>
    <rPh sb="49" eb="51">
      <t>リヨウ</t>
    </rPh>
    <phoneticPr fontId="1"/>
  </si>
  <si>
    <t>社会におけるデータ・AI利活用④（「データサイエンス入門」第４回）：データとAIの活用領域、事業活動におけるデータ・AI活用の広がり、活用目的ごとのデータ・AI活用の広がり</t>
    <rPh sb="26" eb="28">
      <t>ニュウモン</t>
    </rPh>
    <rPh sb="29" eb="30">
      <t>ダイ</t>
    </rPh>
    <rPh sb="31" eb="32">
      <t>カイ</t>
    </rPh>
    <phoneticPr fontId="1"/>
  </si>
  <si>
    <t>社会におけるデータ・AI利活用②（「データサイエンス入門」第２回）：日本におけるコンピュータ化と仕事の未来、データサイエンスの重要性、データサイエンスの習得による職種・技術、社会を変えるビックデータの使い方、スマート排除雪実証の実験、AI開発を進める重点領域、観光庁が進めるビックデータを活用した観光行動研究の流れ、RESAS</t>
    <rPh sb="26" eb="28">
      <t>ニュウモン</t>
    </rPh>
    <rPh sb="29" eb="30">
      <t>ダイ</t>
    </rPh>
    <rPh sb="31" eb="32">
      <t>カイ</t>
    </rPh>
    <rPh sb="34" eb="36">
      <t>ニホン</t>
    </rPh>
    <rPh sb="46" eb="47">
      <t>カ</t>
    </rPh>
    <rPh sb="48" eb="50">
      <t>シゴト</t>
    </rPh>
    <rPh sb="51" eb="53">
      <t>ミライ</t>
    </rPh>
    <rPh sb="63" eb="66">
      <t>ジュウヨウセイ</t>
    </rPh>
    <rPh sb="76" eb="78">
      <t>シュウトク</t>
    </rPh>
    <rPh sb="81" eb="83">
      <t>ショクシュ</t>
    </rPh>
    <rPh sb="84" eb="86">
      <t>ギジュツ</t>
    </rPh>
    <rPh sb="87" eb="89">
      <t>シャカイ</t>
    </rPh>
    <rPh sb="90" eb="91">
      <t>カ</t>
    </rPh>
    <rPh sb="100" eb="101">
      <t>ツカ</t>
    </rPh>
    <rPh sb="102" eb="103">
      <t>カタ</t>
    </rPh>
    <rPh sb="108" eb="110">
      <t>ハイジョ</t>
    </rPh>
    <rPh sb="110" eb="111">
      <t>ユキ</t>
    </rPh>
    <rPh sb="111" eb="113">
      <t>ジッショウ</t>
    </rPh>
    <rPh sb="114" eb="116">
      <t>ジッケン</t>
    </rPh>
    <rPh sb="119" eb="121">
      <t>カイハツ</t>
    </rPh>
    <rPh sb="122" eb="123">
      <t>スス</t>
    </rPh>
    <rPh sb="125" eb="127">
      <t>ジュウテン</t>
    </rPh>
    <rPh sb="127" eb="129">
      <t>リョウイキ</t>
    </rPh>
    <rPh sb="134" eb="135">
      <t>スス</t>
    </rPh>
    <rPh sb="144" eb="146">
      <t>カツヨウ</t>
    </rPh>
    <rPh sb="148" eb="150">
      <t>カンコウ</t>
    </rPh>
    <rPh sb="150" eb="152">
      <t>コウドウ</t>
    </rPh>
    <rPh sb="152" eb="154">
      <t>ケンキュウ</t>
    </rPh>
    <rPh sb="155" eb="156">
      <t>ナガ</t>
    </rPh>
    <phoneticPr fontId="1"/>
  </si>
  <si>
    <t>データ・AI利活用における留意事項①（「データサイエンス入門」第７回）：ELSI、一般データ保護規則のGDPR、十分性認定、AI倫理、AI脅威論、ブラックボックス化、説明可能性、アカウンタビリティ、透明性、トラスト、公平性、データの悪用・目的外利用、フラッシュクラッシュ</t>
    <rPh sb="41" eb="43">
      <t>イッパン</t>
    </rPh>
    <rPh sb="46" eb="48">
      <t>ホゴ</t>
    </rPh>
    <rPh sb="48" eb="50">
      <t>キソク</t>
    </rPh>
    <rPh sb="56" eb="58">
      <t>ジュウブン</t>
    </rPh>
    <rPh sb="58" eb="59">
      <t>セイ</t>
    </rPh>
    <rPh sb="59" eb="61">
      <t>ニンテイ</t>
    </rPh>
    <rPh sb="64" eb="66">
      <t>リンリ</t>
    </rPh>
    <rPh sb="69" eb="72">
      <t>キョウイロン</t>
    </rPh>
    <rPh sb="81" eb="82">
      <t>カ</t>
    </rPh>
    <rPh sb="83" eb="85">
      <t>セツメイ</t>
    </rPh>
    <rPh sb="85" eb="88">
      <t>カノウセイ</t>
    </rPh>
    <rPh sb="99" eb="102">
      <t>トウメイセイ</t>
    </rPh>
    <rPh sb="108" eb="111">
      <t>コウヘイセイ</t>
    </rPh>
    <rPh sb="116" eb="118">
      <t>アクヨウ</t>
    </rPh>
    <rPh sb="119" eb="121">
      <t>モクテキ</t>
    </rPh>
    <rPh sb="121" eb="122">
      <t>ガイ</t>
    </rPh>
    <rPh sb="122" eb="124">
      <t>リヨウ</t>
    </rPh>
    <phoneticPr fontId="1"/>
  </si>
  <si>
    <t>データ・AI利活用における留意事項②（「データサイエンス入門」第８回）：データを守る上での留意事項、データサイエンスにおけるセキュリティとプライバシー、データサイエンスと情報セキュリティ、情報資産を脅かす要因（脅威）、情報セキュリティと効用のトレードオフ、悪意のある情報搾取の事例、データサイエンスとプライバシー、個人情報とは、個人情報の活用と成約、仮名化と匿名化、プライバシー侵害の事例、プライバシー・バイ・デザイン</t>
    <rPh sb="40" eb="41">
      <t>マモ</t>
    </rPh>
    <rPh sb="42" eb="43">
      <t>ウエ</t>
    </rPh>
    <rPh sb="45" eb="47">
      <t>リュウイ</t>
    </rPh>
    <rPh sb="47" eb="49">
      <t>ジコウ</t>
    </rPh>
    <rPh sb="85" eb="87">
      <t>ジョウホウ</t>
    </rPh>
    <rPh sb="94" eb="96">
      <t>ジョウホウ</t>
    </rPh>
    <rPh sb="96" eb="98">
      <t>シサン</t>
    </rPh>
    <rPh sb="99" eb="100">
      <t>オビヤ</t>
    </rPh>
    <rPh sb="102" eb="104">
      <t>ヨウイン</t>
    </rPh>
    <rPh sb="105" eb="107">
      <t>キョウイ</t>
    </rPh>
    <rPh sb="109" eb="111">
      <t>ジョウホウ</t>
    </rPh>
    <rPh sb="118" eb="120">
      <t>コウヨウ</t>
    </rPh>
    <rPh sb="128" eb="130">
      <t>アクイ</t>
    </rPh>
    <rPh sb="133" eb="135">
      <t>ジョウホウ</t>
    </rPh>
    <rPh sb="135" eb="137">
      <t>サクシュ</t>
    </rPh>
    <rPh sb="138" eb="140">
      <t>ジレイ</t>
    </rPh>
    <rPh sb="157" eb="159">
      <t>コジン</t>
    </rPh>
    <rPh sb="159" eb="161">
      <t>ジョウホウ</t>
    </rPh>
    <rPh sb="164" eb="166">
      <t>コジン</t>
    </rPh>
    <rPh sb="166" eb="168">
      <t>ジョウホウ</t>
    </rPh>
    <rPh sb="169" eb="171">
      <t>カツヨウ</t>
    </rPh>
    <rPh sb="172" eb="174">
      <t>セイヤク</t>
    </rPh>
    <rPh sb="175" eb="176">
      <t>カリ</t>
    </rPh>
    <rPh sb="176" eb="177">
      <t>メイ</t>
    </rPh>
    <rPh sb="177" eb="178">
      <t>カ</t>
    </rPh>
    <rPh sb="179" eb="181">
      <t>トクメイ</t>
    </rPh>
    <rPh sb="181" eb="182">
      <t>カ</t>
    </rPh>
    <rPh sb="189" eb="191">
      <t>シンガイ</t>
    </rPh>
    <rPh sb="192" eb="194">
      <t>ジレイ</t>
    </rPh>
    <phoneticPr fontId="1"/>
  </si>
  <si>
    <t>データリテラシー①（「データサイエンス入門」第５回）：データを読む、変数と尺度、データの分布と代表値、データのばらつきと偏り、データの整形、相関関係、全数調査と標本調査、統計情報の正しい理解</t>
    <rPh sb="31" eb="32">
      <t>ヨ</t>
    </rPh>
    <rPh sb="34" eb="36">
      <t>ヘンスウ</t>
    </rPh>
    <rPh sb="37" eb="39">
      <t>シャクド</t>
    </rPh>
    <rPh sb="44" eb="46">
      <t>ブンプ</t>
    </rPh>
    <rPh sb="47" eb="49">
      <t>ダイヒョウ</t>
    </rPh>
    <rPh sb="49" eb="50">
      <t>チ</t>
    </rPh>
    <rPh sb="60" eb="61">
      <t>カタヨ</t>
    </rPh>
    <rPh sb="67" eb="69">
      <t>セイケイ</t>
    </rPh>
    <rPh sb="70" eb="72">
      <t>ソウカン</t>
    </rPh>
    <rPh sb="72" eb="74">
      <t>カンケイ</t>
    </rPh>
    <rPh sb="75" eb="76">
      <t>ゼン</t>
    </rPh>
    <rPh sb="76" eb="77">
      <t>スウ</t>
    </rPh>
    <rPh sb="77" eb="79">
      <t>チョウサ</t>
    </rPh>
    <rPh sb="80" eb="82">
      <t>ヒョウホン</t>
    </rPh>
    <rPh sb="82" eb="84">
      <t>チョウサ</t>
    </rPh>
    <rPh sb="85" eb="87">
      <t>トウケイ</t>
    </rPh>
    <rPh sb="87" eb="89">
      <t>ジョウホウ</t>
    </rPh>
    <rPh sb="90" eb="91">
      <t>タダ</t>
    </rPh>
    <rPh sb="93" eb="95">
      <t>リカイ</t>
    </rPh>
    <phoneticPr fontId="1"/>
  </si>
  <si>
    <t>データリテラシー②（「データサイエンス入門」第６回）：データを説明する、データの表現法、データの比較、不適切なグラフ表現</t>
    <rPh sb="31" eb="33">
      <t>セツメイ</t>
    </rPh>
    <rPh sb="40" eb="43">
      <t>ヒョウゲンホウ</t>
    </rPh>
    <rPh sb="48" eb="50">
      <t>ヒカク</t>
    </rPh>
    <rPh sb="51" eb="54">
      <t>フテキセツ</t>
    </rPh>
    <rPh sb="58" eb="60">
      <t>ヒョウゲン</t>
    </rPh>
    <phoneticPr fontId="1"/>
  </si>
  <si>
    <t>データリテラシー②（「データサイエンス入門」第６回）：表形式のデータ、データを扱うためのソフトウェア、Excelによるデータの取り扱い、Excelを用いたデータ処理の実際</t>
    <rPh sb="27" eb="30">
      <t>ヒョウケイシキ</t>
    </rPh>
    <rPh sb="39" eb="40">
      <t>アツカ</t>
    </rPh>
    <rPh sb="63" eb="64">
      <t>ト</t>
    </rPh>
    <rPh sb="65" eb="66">
      <t>アツカ</t>
    </rPh>
    <rPh sb="74" eb="75">
      <t>モチ</t>
    </rPh>
    <rPh sb="80" eb="82">
      <t>ショリ</t>
    </rPh>
    <rPh sb="83" eb="85">
      <t>ジッサイ</t>
    </rPh>
    <phoneticPr fontId="1"/>
  </si>
  <si>
    <t>データ・AIによって、社会および日常生活が大きく変化していることを説明できる。
データ・AI活用領域の広がりを理解し、データ・AIを活用する価値を説明できる。
データの特徴を読み解き、起きている事象の背景や意味合いを説明できる。
適切なデータ可視化手法を選択し、他者にデータを説明できる。
データ・AIを利活用する際に求められるモラルや倫理について説明できる。
個人のデータを守るために留意すべき事項を説明できる。</t>
  </si>
  <si>
    <t>社会におけるデータ・AI利活用①（「教育データサイエンス入門」第１回）：ビックデータ、検索エンジンとSNS、デジタル社会の提唱、AIの脅威的発達、人間の知的活動とAI</t>
    <rPh sb="18" eb="20">
      <t>キョウイク</t>
    </rPh>
    <rPh sb="28" eb="30">
      <t>ニュウモン</t>
    </rPh>
    <rPh sb="31" eb="32">
      <t>ダイ</t>
    </rPh>
    <rPh sb="33" eb="34">
      <t>カイ</t>
    </rPh>
    <rPh sb="43" eb="45">
      <t>ケンサク</t>
    </rPh>
    <rPh sb="58" eb="60">
      <t>シャカイ</t>
    </rPh>
    <rPh sb="61" eb="63">
      <t>テイショウ</t>
    </rPh>
    <rPh sb="67" eb="69">
      <t>キョウイ</t>
    </rPh>
    <rPh sb="69" eb="70">
      <t>テキ</t>
    </rPh>
    <rPh sb="70" eb="72">
      <t>ハッタツ</t>
    </rPh>
    <rPh sb="73" eb="75">
      <t>ニンゲン</t>
    </rPh>
    <rPh sb="76" eb="78">
      <t>チテキ</t>
    </rPh>
    <rPh sb="78" eb="80">
      <t>カツドウ</t>
    </rPh>
    <phoneticPr fontId="1"/>
  </si>
  <si>
    <t>社会におけるデータ・AI利活用②（「教育データサイエンス入門」第２回）：AI等を活用した新しいビジネスモデル、AI最新技術の活用例</t>
    <rPh sb="18" eb="20">
      <t>キョウイク</t>
    </rPh>
    <rPh sb="28" eb="30">
      <t>ニュウモン</t>
    </rPh>
    <rPh sb="31" eb="32">
      <t>ダイ</t>
    </rPh>
    <rPh sb="33" eb="34">
      <t>カイ</t>
    </rPh>
    <rPh sb="38" eb="39">
      <t>トウ</t>
    </rPh>
    <rPh sb="40" eb="42">
      <t>カツヨウ</t>
    </rPh>
    <rPh sb="44" eb="45">
      <t>アタラ</t>
    </rPh>
    <rPh sb="57" eb="59">
      <t>サイシン</t>
    </rPh>
    <rPh sb="59" eb="61">
      <t>ギジュツ</t>
    </rPh>
    <rPh sb="62" eb="64">
      <t>カツヨウ</t>
    </rPh>
    <rPh sb="64" eb="65">
      <t>レイ</t>
    </rPh>
    <phoneticPr fontId="1"/>
  </si>
  <si>
    <t>社会におけるデータ・AI利活用③（「教育データサイエンス入門」第３回）：GDP統計の利用、人口データの利用</t>
    <rPh sb="18" eb="20">
      <t>キョウイク</t>
    </rPh>
    <rPh sb="28" eb="30">
      <t>ニュウモン</t>
    </rPh>
    <rPh sb="31" eb="32">
      <t>ダイ</t>
    </rPh>
    <rPh sb="33" eb="34">
      <t>カイ</t>
    </rPh>
    <rPh sb="39" eb="41">
      <t>トウケイ</t>
    </rPh>
    <rPh sb="42" eb="44">
      <t>リヨウ</t>
    </rPh>
    <rPh sb="45" eb="47">
      <t>ジンコウ</t>
    </rPh>
    <rPh sb="51" eb="53">
      <t>リヨウ</t>
    </rPh>
    <phoneticPr fontId="1"/>
  </si>
  <si>
    <t>社会におけるデータ・AI利活用④（「教育データサイエンス入門」第４回）：データとAIの活用領域、事業活動におけるデータ・AI活用の広がり、活用目的ごとのデータ・AI活用の広がり</t>
    <rPh sb="18" eb="20">
      <t>キョウイク</t>
    </rPh>
    <rPh sb="28" eb="30">
      <t>ニュウモン</t>
    </rPh>
    <rPh sb="31" eb="32">
      <t>ダイ</t>
    </rPh>
    <rPh sb="33" eb="34">
      <t>カイ</t>
    </rPh>
    <phoneticPr fontId="1"/>
  </si>
  <si>
    <t>社会におけるデータ・AI利活用②（「教育データサイエンス入門」第２回）：日本におけるコンピュータ化と仕事の未来、データサイエンスの重要性、データサイエンスの習得による職種・技術、社会を変えるビックデータの使い方、スマート排除雪実証の実験、AI開発を進める重点領域、観光庁が進めるビックデータを活用した観光行動研究の流れ、RESAS</t>
    <rPh sb="18" eb="20">
      <t>キョウイク</t>
    </rPh>
    <rPh sb="28" eb="30">
      <t>ニュウモン</t>
    </rPh>
    <rPh sb="31" eb="32">
      <t>ダイ</t>
    </rPh>
    <rPh sb="33" eb="34">
      <t>カイ</t>
    </rPh>
    <rPh sb="36" eb="38">
      <t>ニホン</t>
    </rPh>
    <rPh sb="48" eb="49">
      <t>カ</t>
    </rPh>
    <rPh sb="50" eb="52">
      <t>シゴト</t>
    </rPh>
    <rPh sb="53" eb="55">
      <t>ミライ</t>
    </rPh>
    <rPh sb="65" eb="68">
      <t>ジュウヨウセイ</t>
    </rPh>
    <rPh sb="78" eb="80">
      <t>シュウトク</t>
    </rPh>
    <rPh sb="83" eb="85">
      <t>ショクシュ</t>
    </rPh>
    <rPh sb="86" eb="88">
      <t>ギジュツ</t>
    </rPh>
    <rPh sb="89" eb="91">
      <t>シャカイ</t>
    </rPh>
    <rPh sb="92" eb="93">
      <t>カ</t>
    </rPh>
    <rPh sb="102" eb="103">
      <t>ツカ</t>
    </rPh>
    <rPh sb="104" eb="105">
      <t>カタ</t>
    </rPh>
    <rPh sb="110" eb="112">
      <t>ハイジョ</t>
    </rPh>
    <rPh sb="112" eb="113">
      <t>ユキ</t>
    </rPh>
    <rPh sb="113" eb="115">
      <t>ジッショウ</t>
    </rPh>
    <rPh sb="116" eb="118">
      <t>ジッケン</t>
    </rPh>
    <rPh sb="121" eb="123">
      <t>カイハツ</t>
    </rPh>
    <rPh sb="124" eb="125">
      <t>スス</t>
    </rPh>
    <rPh sb="127" eb="129">
      <t>ジュウテン</t>
    </rPh>
    <rPh sb="129" eb="131">
      <t>リョウイキ</t>
    </rPh>
    <rPh sb="136" eb="137">
      <t>スス</t>
    </rPh>
    <rPh sb="146" eb="148">
      <t>カツヨウ</t>
    </rPh>
    <rPh sb="150" eb="152">
      <t>カンコウ</t>
    </rPh>
    <rPh sb="152" eb="154">
      <t>コウドウ</t>
    </rPh>
    <rPh sb="154" eb="156">
      <t>ケンキュウ</t>
    </rPh>
    <rPh sb="157" eb="158">
      <t>ナガ</t>
    </rPh>
    <phoneticPr fontId="1"/>
  </si>
  <si>
    <t>データ・AI利活用における留意事項①（「教育データサイエンス入門」第７回）：ELSI、一般データ保護規則のGDPR、十分性認定、AI倫理、AI脅威論、ブラックボックス化、説明可能性、アカウンタビリティ、透明性、トラスト、公平性、データの悪用・目的外利用、フラッシュクラッシュ</t>
    <rPh sb="43" eb="45">
      <t>イッパン</t>
    </rPh>
    <rPh sb="48" eb="50">
      <t>ホゴ</t>
    </rPh>
    <rPh sb="50" eb="52">
      <t>キソク</t>
    </rPh>
    <rPh sb="58" eb="60">
      <t>ジュウブン</t>
    </rPh>
    <rPh sb="60" eb="61">
      <t>セイ</t>
    </rPh>
    <rPh sb="61" eb="63">
      <t>ニンテイ</t>
    </rPh>
    <rPh sb="66" eb="68">
      <t>リンリ</t>
    </rPh>
    <rPh sb="71" eb="74">
      <t>キョウイロン</t>
    </rPh>
    <rPh sb="83" eb="84">
      <t>カ</t>
    </rPh>
    <rPh sb="85" eb="87">
      <t>セツメイ</t>
    </rPh>
    <rPh sb="87" eb="90">
      <t>カノウセイ</t>
    </rPh>
    <rPh sb="101" eb="104">
      <t>トウメイセイ</t>
    </rPh>
    <rPh sb="110" eb="113">
      <t>コウヘイセイ</t>
    </rPh>
    <rPh sb="118" eb="120">
      <t>アクヨウ</t>
    </rPh>
    <rPh sb="121" eb="123">
      <t>モクテキ</t>
    </rPh>
    <rPh sb="123" eb="124">
      <t>ガイ</t>
    </rPh>
    <rPh sb="124" eb="126">
      <t>リヨウ</t>
    </rPh>
    <phoneticPr fontId="1"/>
  </si>
  <si>
    <t>データ・AI利活用における留意事項②（「教育データサイエンス入門」第８回）：データを守る上での留意事項、データサイエンスにおけるセキュリティとプライバシー、データサイエンスと情報セキュリティ、情報資産を脅かす要因（脅威）、情報セキュリティと効用のトレードオフ、悪意のある情報搾取の事例、データサイエンスとプライバシー、個人情報とは、個人情報の活用と成約、仮名化と匿名化、プライバシー侵害の事例、プライバシー・バイ・デザイン</t>
    <rPh sb="42" eb="43">
      <t>マモ</t>
    </rPh>
    <rPh sb="44" eb="45">
      <t>ウエ</t>
    </rPh>
    <rPh sb="47" eb="49">
      <t>リュウイ</t>
    </rPh>
    <rPh sb="49" eb="51">
      <t>ジコウ</t>
    </rPh>
    <rPh sb="87" eb="89">
      <t>ジョウホウ</t>
    </rPh>
    <rPh sb="96" eb="98">
      <t>ジョウホウ</t>
    </rPh>
    <rPh sb="98" eb="100">
      <t>シサン</t>
    </rPh>
    <rPh sb="101" eb="102">
      <t>オビヤ</t>
    </rPh>
    <rPh sb="104" eb="106">
      <t>ヨウイン</t>
    </rPh>
    <rPh sb="107" eb="109">
      <t>キョウイ</t>
    </rPh>
    <rPh sb="111" eb="113">
      <t>ジョウホウ</t>
    </rPh>
    <rPh sb="120" eb="122">
      <t>コウヨウ</t>
    </rPh>
    <rPh sb="130" eb="132">
      <t>アクイ</t>
    </rPh>
    <rPh sb="135" eb="137">
      <t>ジョウホウ</t>
    </rPh>
    <rPh sb="137" eb="139">
      <t>サクシュ</t>
    </rPh>
    <rPh sb="140" eb="142">
      <t>ジレイ</t>
    </rPh>
    <rPh sb="159" eb="161">
      <t>コジン</t>
    </rPh>
    <rPh sb="161" eb="163">
      <t>ジョウホウ</t>
    </rPh>
    <rPh sb="166" eb="168">
      <t>コジン</t>
    </rPh>
    <rPh sb="168" eb="170">
      <t>ジョウホウ</t>
    </rPh>
    <rPh sb="171" eb="173">
      <t>カツヨウ</t>
    </rPh>
    <rPh sb="174" eb="176">
      <t>セイヤク</t>
    </rPh>
    <rPh sb="177" eb="178">
      <t>カリ</t>
    </rPh>
    <rPh sb="178" eb="179">
      <t>メイ</t>
    </rPh>
    <rPh sb="179" eb="180">
      <t>カ</t>
    </rPh>
    <rPh sb="181" eb="183">
      <t>トクメイ</t>
    </rPh>
    <rPh sb="183" eb="184">
      <t>カ</t>
    </rPh>
    <rPh sb="191" eb="193">
      <t>シンガイ</t>
    </rPh>
    <rPh sb="194" eb="196">
      <t>ジレイ</t>
    </rPh>
    <phoneticPr fontId="1"/>
  </si>
  <si>
    <t>データリテラシー①（「教育データサイエンス入門」第５回）：データを読む、変数と尺度、データの分布と代表値、データのばらつきと偏り、データの整形、相関関係、全数調査と標本調査、統計情報の正しい理解</t>
    <rPh sb="33" eb="34">
      <t>ヨ</t>
    </rPh>
    <rPh sb="36" eb="38">
      <t>ヘンスウ</t>
    </rPh>
    <rPh sb="39" eb="41">
      <t>シャクド</t>
    </rPh>
    <rPh sb="46" eb="48">
      <t>ブンプ</t>
    </rPh>
    <rPh sb="49" eb="51">
      <t>ダイヒョウ</t>
    </rPh>
    <rPh sb="51" eb="52">
      <t>チ</t>
    </rPh>
    <rPh sb="62" eb="63">
      <t>カタヨ</t>
    </rPh>
    <rPh sb="69" eb="71">
      <t>セイケイ</t>
    </rPh>
    <rPh sb="72" eb="74">
      <t>ソウカン</t>
    </rPh>
    <rPh sb="74" eb="76">
      <t>カンケイ</t>
    </rPh>
    <rPh sb="77" eb="78">
      <t>ゼン</t>
    </rPh>
    <rPh sb="78" eb="79">
      <t>スウ</t>
    </rPh>
    <rPh sb="79" eb="81">
      <t>チョウサ</t>
    </rPh>
    <rPh sb="82" eb="84">
      <t>ヒョウホン</t>
    </rPh>
    <rPh sb="84" eb="86">
      <t>チョウサ</t>
    </rPh>
    <rPh sb="87" eb="89">
      <t>トウケイ</t>
    </rPh>
    <rPh sb="89" eb="91">
      <t>ジョウホウ</t>
    </rPh>
    <rPh sb="92" eb="93">
      <t>タダ</t>
    </rPh>
    <rPh sb="95" eb="97">
      <t>リカイ</t>
    </rPh>
    <phoneticPr fontId="1"/>
  </si>
  <si>
    <t>データリテラシー②（「教育データサイエンス入門」第６回）：データを説明する、データの表現法、データの比較、不適切なグラフ表現</t>
    <rPh sb="33" eb="35">
      <t>セツメイ</t>
    </rPh>
    <rPh sb="42" eb="45">
      <t>ヒョウゲンホウ</t>
    </rPh>
    <rPh sb="50" eb="52">
      <t>ヒカク</t>
    </rPh>
    <rPh sb="53" eb="56">
      <t>フテキセツ</t>
    </rPh>
    <rPh sb="60" eb="62">
      <t>ヒョウゲン</t>
    </rPh>
    <phoneticPr fontId="1"/>
  </si>
  <si>
    <t>データリテラシー②（「教育データサイエンス入門」第６回）：表形式のデータ、データを扱うためのソフトウェア、Excelによるデータの取り扱い、Excelを用いたデータ処理の実際</t>
    <rPh sb="29" eb="32">
      <t>ヒョウケイシキ</t>
    </rPh>
    <rPh sb="41" eb="42">
      <t>アツカ</t>
    </rPh>
    <rPh sb="65" eb="66">
      <t>ト</t>
    </rPh>
    <rPh sb="67" eb="68">
      <t>アツカ</t>
    </rPh>
    <rPh sb="76" eb="77">
      <t>モチ</t>
    </rPh>
    <rPh sb="82" eb="84">
      <t>ショリ</t>
    </rPh>
    <rPh sb="85" eb="87">
      <t>ジッサイ</t>
    </rPh>
    <phoneticPr fontId="1"/>
  </si>
  <si>
    <t>データ・AIによって、学校教育および日常生活が大きく変化していることを説明できる 。
データ・AI 活用領域の広がりを理解し、データ・AIを活用する価値を説明できる。
データの特徴を読み解き、起きている事象の背景や意味合いを説明できる 。
適切なデータ可視化手法を選択し、他者に説明できる 。
学校教育におけるデータ・ AI を利活用する際に求められモラルや倫理について 説明できる 。
児童生徒及び教職員のデータを 守るために留意すべき事項を説明できる 。</t>
  </si>
  <si>
    <t xml:space="preserve">大分大学教育マネジメント機構基盤教育センター教養教育委員会数理データサイエンス専門部会は、全学的な数理・データサイエンス教育の浸透を図ることにより、教育の質の向上に資することを目的として設置している。
本専門部会は、数理・データサイエンス教育に関係する科目に関し、企画及び運営のための検討及び調整を行う。
また、大分大学教育マネジメント機構基盤教育センター教養教育委員会においては、学部間連携による専門教育の実施に関すること、教育内容及び教育方法の改善実施に関すること及び、教育の評価事項の実施に関することを審議する。
</t>
    <rPh sb="45" eb="48">
      <t>ゼンガクテキ</t>
    </rPh>
    <rPh sb="49" eb="51">
      <t>スウリ</t>
    </rPh>
    <rPh sb="60" eb="62">
      <t>キョウイク</t>
    </rPh>
    <rPh sb="63" eb="65">
      <t>シントウ</t>
    </rPh>
    <rPh sb="66" eb="67">
      <t>ハカ</t>
    </rPh>
    <rPh sb="74" eb="76">
      <t>キョウイク</t>
    </rPh>
    <rPh sb="77" eb="78">
      <t>シツ</t>
    </rPh>
    <rPh sb="79" eb="81">
      <t>コウジョウ</t>
    </rPh>
    <rPh sb="82" eb="83">
      <t>シ</t>
    </rPh>
    <rPh sb="88" eb="90">
      <t>モクテキ</t>
    </rPh>
    <rPh sb="93" eb="95">
      <t>セッチ</t>
    </rPh>
    <rPh sb="101" eb="102">
      <t>ホン</t>
    </rPh>
    <rPh sb="102" eb="104">
      <t>センモン</t>
    </rPh>
    <rPh sb="104" eb="106">
      <t>ブカイ</t>
    </rPh>
    <rPh sb="108" eb="110">
      <t>スウリ</t>
    </rPh>
    <rPh sb="119" eb="121">
      <t>キョウイク</t>
    </rPh>
    <rPh sb="122" eb="124">
      <t>カンケイ</t>
    </rPh>
    <rPh sb="126" eb="128">
      <t>カモク</t>
    </rPh>
    <rPh sb="129" eb="130">
      <t>カン</t>
    </rPh>
    <rPh sb="132" eb="134">
      <t>キカク</t>
    </rPh>
    <rPh sb="134" eb="135">
      <t>オヨ</t>
    </rPh>
    <rPh sb="136" eb="138">
      <t>ウンエイ</t>
    </rPh>
    <rPh sb="142" eb="144">
      <t>ケントウ</t>
    </rPh>
    <rPh sb="144" eb="145">
      <t>オヨ</t>
    </rPh>
    <rPh sb="146" eb="148">
      <t>チョウセイ</t>
    </rPh>
    <rPh sb="149" eb="150">
      <t>オコナ</t>
    </rPh>
    <rPh sb="234" eb="235">
      <t>オヨ</t>
    </rPh>
    <rPh sb="254" eb="256">
      <t>シンギ</t>
    </rPh>
    <phoneticPr fontId="1"/>
  </si>
  <si>
    <t>令和４年度時点で、全５学部のうち、教育学部及び医学部については、必修科目とし履修率１００％である。理工学部及び福祉健康科学部については、令和５年度より必修科目とする。経済学部においても、令和６年度に必修化を予定している。令和６年度以降の入学生については、履修率１００％になる予定である。</t>
    <rPh sb="0" eb="2">
      <t>レイワ</t>
    </rPh>
    <rPh sb="3" eb="5">
      <t>ネンド</t>
    </rPh>
    <rPh sb="5" eb="7">
      <t>ジテン</t>
    </rPh>
    <rPh sb="9" eb="10">
      <t>ゼン</t>
    </rPh>
    <rPh sb="11" eb="13">
      <t>ガクブ</t>
    </rPh>
    <rPh sb="17" eb="19">
      <t>キョウイク</t>
    </rPh>
    <rPh sb="19" eb="21">
      <t>ガクブ</t>
    </rPh>
    <rPh sb="21" eb="22">
      <t>オヨ</t>
    </rPh>
    <rPh sb="23" eb="25">
      <t>イガク</t>
    </rPh>
    <rPh sb="25" eb="26">
      <t>ブ</t>
    </rPh>
    <rPh sb="32" eb="34">
      <t>ヒッシュウ</t>
    </rPh>
    <rPh sb="34" eb="36">
      <t>カモク</t>
    </rPh>
    <rPh sb="38" eb="40">
      <t>リシュウ</t>
    </rPh>
    <rPh sb="40" eb="41">
      <t>リツ</t>
    </rPh>
    <rPh sb="49" eb="51">
      <t>リコウ</t>
    </rPh>
    <rPh sb="51" eb="53">
      <t>ガクブ</t>
    </rPh>
    <rPh sb="55" eb="62">
      <t>フクシケンコウカガクブ</t>
    </rPh>
    <rPh sb="68" eb="70">
      <t>レイワ</t>
    </rPh>
    <rPh sb="71" eb="73">
      <t>ネンド</t>
    </rPh>
    <rPh sb="75" eb="77">
      <t>ヒッシュウ</t>
    </rPh>
    <rPh sb="77" eb="79">
      <t>カモク</t>
    </rPh>
    <rPh sb="83" eb="85">
      <t>ケイザイ</t>
    </rPh>
    <rPh sb="85" eb="87">
      <t>ガクブ</t>
    </rPh>
    <rPh sb="93" eb="95">
      <t>レイワ</t>
    </rPh>
    <rPh sb="96" eb="98">
      <t>ネンド</t>
    </rPh>
    <rPh sb="99" eb="102">
      <t>ヒッシュウカ</t>
    </rPh>
    <rPh sb="103" eb="105">
      <t>ヨテイ</t>
    </rPh>
    <rPh sb="110" eb="112">
      <t>レイワ</t>
    </rPh>
    <rPh sb="113" eb="115">
      <t>ネンド</t>
    </rPh>
    <rPh sb="115" eb="117">
      <t>イコウ</t>
    </rPh>
    <rPh sb="118" eb="121">
      <t>ニュウガクセイ</t>
    </rPh>
    <rPh sb="127" eb="129">
      <t>リシュウ</t>
    </rPh>
    <rPh sb="129" eb="130">
      <t>リツ</t>
    </rPh>
    <rPh sb="137" eb="139">
      <t>ヨテイ</t>
    </rPh>
    <phoneticPr fontId="1"/>
  </si>
  <si>
    <t>時間割は学部ごとに調整を行っている。経済学部、医学部、理工学部及び福祉健康科学においては、オンデマンド授業として実施している。</t>
    <rPh sb="24" eb="26">
      <t>キョウイク</t>
    </rPh>
    <rPh sb="34" eb="36">
      <t>キョウザイ</t>
    </rPh>
    <rPh sb="37" eb="38">
      <t>モチ</t>
    </rPh>
    <rPh sb="40" eb="42">
      <t>タイメン</t>
    </rPh>
    <rPh sb="42" eb="44">
      <t>ジュギョウ</t>
    </rPh>
    <rPh sb="45" eb="47">
      <t>ジッシ</t>
    </rPh>
    <rPh sb="55" eb="57">
      <t>キボウ</t>
    </rPh>
    <rPh sb="59" eb="61">
      <t>ガクセイ</t>
    </rPh>
    <rPh sb="61" eb="63">
      <t>ゼンイン</t>
    </rPh>
    <phoneticPr fontId="1"/>
  </si>
  <si>
    <t>必修化した学部以外については、入学後のガイダンスや履修指導等にて、全ての新入生に対して履修を強く推奨する取組を行っている。</t>
    <rPh sb="0" eb="3">
      <t>ヒッシュウカ</t>
    </rPh>
    <rPh sb="5" eb="7">
      <t>ガクブ</t>
    </rPh>
    <rPh sb="7" eb="9">
      <t>イガイ</t>
    </rPh>
    <rPh sb="17" eb="18">
      <t>ゴ</t>
    </rPh>
    <rPh sb="25" eb="27">
      <t>リシュウ</t>
    </rPh>
    <rPh sb="27" eb="29">
      <t>シドウ</t>
    </rPh>
    <rPh sb="29" eb="30">
      <t>トウ</t>
    </rPh>
    <rPh sb="43" eb="45">
      <t>リシュウ</t>
    </rPh>
    <rPh sb="46" eb="47">
      <t>ツヨ</t>
    </rPh>
    <rPh sb="48" eb="50">
      <t>スイショウ</t>
    </rPh>
    <rPh sb="52" eb="54">
      <t>トリクミ</t>
    </rPh>
    <rPh sb="55" eb="56">
      <t>オコナ</t>
    </rPh>
    <phoneticPr fontId="1"/>
  </si>
  <si>
    <t>「データサイエンス入門」は、オンデマンドで授業を実施しているため、学習を進めるうえでの受講スケジュールを各学部ごとに設定し、LMS上で周知するとともに、各学部の担当教員が学生の受講状況を都度確認している。学生からの質問については、担当者間のメーリングリストで共有し、学生へのフィードバックを随時行っている。
また、各学部の受講スケジュール（最終受講回）に併せて、メール及び掲示板で課題締切を通知して、受講期限を守れるようにサポートも行っている。
なお、科目開講前に、在学生（２年生以上）による、科目のモニター受講を実施し、多くの学生が修得できるように、授業コンテンツや小テストの改善点を洗い出して、適正化を行っている。</t>
    <rPh sb="9" eb="11">
      <t>ニュウモン</t>
    </rPh>
    <rPh sb="24" eb="26">
      <t>ジッシ</t>
    </rPh>
    <rPh sb="43" eb="45">
      <t>ジュコウ</t>
    </rPh>
    <rPh sb="65" eb="66">
      <t>ジョウ</t>
    </rPh>
    <rPh sb="67" eb="69">
      <t>シュウチ</t>
    </rPh>
    <rPh sb="88" eb="90">
      <t>ジュコウ</t>
    </rPh>
    <rPh sb="102" eb="104">
      <t>ガクセイ</t>
    </rPh>
    <rPh sb="107" eb="109">
      <t>シツモン</t>
    </rPh>
    <rPh sb="115" eb="118">
      <t>タントウシャ</t>
    </rPh>
    <rPh sb="118" eb="119">
      <t>カン</t>
    </rPh>
    <rPh sb="129" eb="131">
      <t>キョウユウ</t>
    </rPh>
    <rPh sb="133" eb="135">
      <t>ガクセイ</t>
    </rPh>
    <rPh sb="145" eb="147">
      <t>ズイジ</t>
    </rPh>
    <rPh sb="147" eb="148">
      <t>オコナ</t>
    </rPh>
    <rPh sb="200" eb="202">
      <t>ジュコウ</t>
    </rPh>
    <rPh sb="202" eb="204">
      <t>キゲン</t>
    </rPh>
    <rPh sb="205" eb="206">
      <t>マモ</t>
    </rPh>
    <rPh sb="216" eb="217">
      <t>オコナ</t>
    </rPh>
    <rPh sb="226" eb="228">
      <t>カモク</t>
    </rPh>
    <rPh sb="228" eb="230">
      <t>カイコウ</t>
    </rPh>
    <rPh sb="230" eb="231">
      <t>マエ</t>
    </rPh>
    <rPh sb="233" eb="236">
      <t>ザイガクセイ</t>
    </rPh>
    <rPh sb="238" eb="240">
      <t>ネンセイ</t>
    </rPh>
    <rPh sb="240" eb="242">
      <t>イジョウ</t>
    </rPh>
    <rPh sb="247" eb="249">
      <t>カモク</t>
    </rPh>
    <rPh sb="254" eb="256">
      <t>ジュコウ</t>
    </rPh>
    <rPh sb="257" eb="259">
      <t>ジッシ</t>
    </rPh>
    <rPh sb="261" eb="262">
      <t>オオ</t>
    </rPh>
    <rPh sb="264" eb="266">
      <t>ガクセイ</t>
    </rPh>
    <rPh sb="267" eb="269">
      <t>シュウトク</t>
    </rPh>
    <rPh sb="276" eb="278">
      <t>ジュギョウ</t>
    </rPh>
    <rPh sb="284" eb="285">
      <t>ショウ</t>
    </rPh>
    <rPh sb="289" eb="291">
      <t>カイゼン</t>
    </rPh>
    <rPh sb="291" eb="292">
      <t>テン</t>
    </rPh>
    <rPh sb="293" eb="294">
      <t>アラ</t>
    </rPh>
    <rPh sb="295" eb="296">
      <t>ダ</t>
    </rPh>
    <rPh sb="299" eb="302">
      <t>テキセイカ</t>
    </rPh>
    <rPh sb="303" eb="304">
      <t>オコナ</t>
    </rPh>
    <phoneticPr fontId="1"/>
  </si>
  <si>
    <t>学生の質問に速やかに答える仕組みとして、学生からの質問を受け付けるメーリングリストに送られた質問に、教材を作成した教員も含めて複数の担当者が随時対応している。また、必要に応じて、各学部の教務委員が学生の学習指導をおこなっている。</t>
    <rPh sb="60" eb="61">
      <t>フク</t>
    </rPh>
    <rPh sb="63" eb="65">
      <t>フクスウ</t>
    </rPh>
    <rPh sb="66" eb="69">
      <t>タントウシャ</t>
    </rPh>
    <rPh sb="70" eb="72">
      <t>ズイジ</t>
    </rPh>
    <rPh sb="89" eb="92">
      <t>カクガクブ</t>
    </rPh>
    <rPh sb="93" eb="95">
      <t>キョウム</t>
    </rPh>
    <rPh sb="98" eb="100">
      <t>ガクセイ</t>
    </rPh>
    <rPh sb="101" eb="103">
      <t>ガクシュウ</t>
    </rPh>
    <rPh sb="103" eb="105">
      <t>シドウ</t>
    </rPh>
    <phoneticPr fontId="1"/>
  </si>
  <si>
    <t>数理データサイエンス専門部会において、授業実施期間中にプログラムの履修・進捗状況を都度確認している。必要に応じ、本マネジメント機構の教養教育委員会で報告を行い、各学部の履修・修得状況に関する提言を各学部教務委員長に対して行っている。
その結果、令和４年度においては、履修者1016名のうち修了者995名（修了率97.9％）を達成した。</t>
    <rPh sb="0" eb="2">
      <t>スウリ</t>
    </rPh>
    <rPh sb="10" eb="14">
      <t>センモンブカイ</t>
    </rPh>
    <rPh sb="19" eb="21">
      <t>ジュギョウ</t>
    </rPh>
    <rPh sb="21" eb="23">
      <t>ジッシ</t>
    </rPh>
    <rPh sb="23" eb="25">
      <t>キカン</t>
    </rPh>
    <rPh sb="25" eb="26">
      <t>チュウ</t>
    </rPh>
    <rPh sb="33" eb="35">
      <t>リシュウ</t>
    </rPh>
    <rPh sb="36" eb="38">
      <t>シンチョク</t>
    </rPh>
    <rPh sb="38" eb="40">
      <t>ジョウキョウ</t>
    </rPh>
    <rPh sb="41" eb="43">
      <t>ツド</t>
    </rPh>
    <rPh sb="43" eb="45">
      <t>カクニン</t>
    </rPh>
    <rPh sb="119" eb="121">
      <t>ケッカ</t>
    </rPh>
    <rPh sb="122" eb="124">
      <t>レイワ</t>
    </rPh>
    <rPh sb="125" eb="127">
      <t>ネンド</t>
    </rPh>
    <rPh sb="133" eb="135">
      <t>リシュウ</t>
    </rPh>
    <rPh sb="135" eb="136">
      <t>シャ</t>
    </rPh>
    <rPh sb="140" eb="141">
      <t>メイ</t>
    </rPh>
    <rPh sb="144" eb="147">
      <t>シュウリョウシャ</t>
    </rPh>
    <rPh sb="150" eb="151">
      <t>メイ</t>
    </rPh>
    <rPh sb="152" eb="154">
      <t>シュウリョウ</t>
    </rPh>
    <rPh sb="154" eb="155">
      <t>リツ</t>
    </rPh>
    <rPh sb="162" eb="164">
      <t>タッセイ</t>
    </rPh>
    <phoneticPr fontId="1"/>
  </si>
  <si>
    <t xml:space="preserve">本教育プログラムの学習到達目標として設定されている学修成果は、各シラバスに学修到達目標として、各授業回の課題でその達成度を確認している。
また、教学マネジメント室及び基盤教育センターで各学部の単位取得状況や成績分布を確認しており、不合格者の割合が高い場合は、その原因と対策を報告する体制を整えている。
本教育プログラムの履修者全員を対象に「授業改善のためのアンケート調査（学生による授業評価）」実施し、「これからの社会で生きていく中でデータサイエンスが大切であることが分かったこと。データの処理の仕方やデータの読み取り方など将来役に立つことが学べたこと。」、「デジタル技術の発展や、AI導入による社会への影響などを学ぶことができた。」などの意見を得られた。
</t>
    <rPh sb="0" eb="1">
      <t>ホン</t>
    </rPh>
    <rPh sb="1" eb="3">
      <t>キョウイク</t>
    </rPh>
    <rPh sb="9" eb="11">
      <t>ガクシュウ</t>
    </rPh>
    <rPh sb="11" eb="13">
      <t>トウタツ</t>
    </rPh>
    <rPh sb="13" eb="15">
      <t>モクヒョウ</t>
    </rPh>
    <rPh sb="18" eb="20">
      <t>セッテイ</t>
    </rPh>
    <rPh sb="25" eb="27">
      <t>ガクシュウ</t>
    </rPh>
    <rPh sb="27" eb="29">
      <t>セイカ</t>
    </rPh>
    <rPh sb="31" eb="32">
      <t>カク</t>
    </rPh>
    <rPh sb="37" eb="39">
      <t>ガクシュウ</t>
    </rPh>
    <rPh sb="39" eb="41">
      <t>トウタツ</t>
    </rPh>
    <rPh sb="41" eb="43">
      <t>モクヒョウ</t>
    </rPh>
    <rPh sb="47" eb="50">
      <t>カクジュギョウ</t>
    </rPh>
    <rPh sb="50" eb="51">
      <t>カイ</t>
    </rPh>
    <rPh sb="52" eb="54">
      <t>カダイ</t>
    </rPh>
    <rPh sb="57" eb="59">
      <t>タッセイ</t>
    </rPh>
    <rPh sb="59" eb="60">
      <t>ド</t>
    </rPh>
    <rPh sb="61" eb="63">
      <t>カクニン</t>
    </rPh>
    <rPh sb="96" eb="98">
      <t>タンイ</t>
    </rPh>
    <rPh sb="98" eb="100">
      <t>シュトク</t>
    </rPh>
    <rPh sb="100" eb="102">
      <t>ジョウキョウ</t>
    </rPh>
    <rPh sb="103" eb="105">
      <t>セイセキ</t>
    </rPh>
    <rPh sb="105" eb="107">
      <t>ブンプ</t>
    </rPh>
    <rPh sb="108" eb="110">
      <t>カクニン</t>
    </rPh>
    <rPh sb="115" eb="118">
      <t>フゴウカク</t>
    </rPh>
    <rPh sb="118" eb="119">
      <t>シャ</t>
    </rPh>
    <rPh sb="120" eb="122">
      <t>ワリアイ</t>
    </rPh>
    <rPh sb="123" eb="124">
      <t>タカ</t>
    </rPh>
    <rPh sb="125" eb="127">
      <t>バアイ</t>
    </rPh>
    <rPh sb="131" eb="133">
      <t>ゲンイン</t>
    </rPh>
    <rPh sb="134" eb="136">
      <t>タイサク</t>
    </rPh>
    <rPh sb="137" eb="139">
      <t>ホウコク</t>
    </rPh>
    <rPh sb="141" eb="143">
      <t>タイセイ</t>
    </rPh>
    <rPh sb="144" eb="145">
      <t>トトノ</t>
    </rPh>
    <rPh sb="197" eb="199">
      <t>ジッシ</t>
    </rPh>
    <rPh sb="207" eb="209">
      <t>シャカイ</t>
    </rPh>
    <rPh sb="210" eb="211">
      <t>イ</t>
    </rPh>
    <rPh sb="215" eb="216">
      <t>ナカ</t>
    </rPh>
    <rPh sb="226" eb="228">
      <t>タイセツ</t>
    </rPh>
    <rPh sb="234" eb="235">
      <t>ワ</t>
    </rPh>
    <rPh sb="245" eb="247">
      <t>ショリ</t>
    </rPh>
    <rPh sb="248" eb="250">
      <t>シカタ</t>
    </rPh>
    <rPh sb="255" eb="256">
      <t>ヨ</t>
    </rPh>
    <rPh sb="257" eb="258">
      <t>ト</t>
    </rPh>
    <rPh sb="259" eb="260">
      <t>カタ</t>
    </rPh>
    <rPh sb="262" eb="264">
      <t>ショウライ</t>
    </rPh>
    <rPh sb="264" eb="265">
      <t>ヤク</t>
    </rPh>
    <rPh sb="266" eb="267">
      <t>タ</t>
    </rPh>
    <rPh sb="271" eb="272">
      <t>マナ</t>
    </rPh>
    <rPh sb="284" eb="286">
      <t>ギジュツ</t>
    </rPh>
    <rPh sb="287" eb="289">
      <t>ハッテン</t>
    </rPh>
    <rPh sb="293" eb="295">
      <t>ドウニュウ</t>
    </rPh>
    <rPh sb="298" eb="300">
      <t>シャカイ</t>
    </rPh>
    <rPh sb="302" eb="304">
      <t>エイキョウ</t>
    </rPh>
    <rPh sb="307" eb="308">
      <t>マナ</t>
    </rPh>
    <rPh sb="320" eb="322">
      <t>イケン</t>
    </rPh>
    <rPh sb="323" eb="324">
      <t>エ</t>
    </rPh>
    <phoneticPr fontId="1"/>
  </si>
  <si>
    <t xml:space="preserve">本教育プログラムの履修者全員を対象に「授業改善のためのアンケート調査（学生による授業評価）」を実施した。授業のわかりやすさ、授業の量が適切であったか等をアンケート項目とし、授業のわかりやすさについては『どちらかというとそう思う』、『そう思う』の回答が87.9％であり、評価は好評であった。また、成績評価に関しては、Ａ以上の割合が93.4％と授業の理解度が高い結果が得られた。
教学マネジメント室及び教養基盤センターで学生アンケート結果を確認・分析し、教育マネジメント機構基盤教育センター教養教育委員会において報告を行い、授業改善に向けた取り組みを行っている。
</t>
    <rPh sb="0" eb="1">
      <t>ホン</t>
    </rPh>
    <rPh sb="1" eb="3">
      <t>キョウイク</t>
    </rPh>
    <rPh sb="9" eb="11">
      <t>リシュウ</t>
    </rPh>
    <rPh sb="11" eb="12">
      <t>シャ</t>
    </rPh>
    <rPh sb="12" eb="14">
      <t>ゼンイン</t>
    </rPh>
    <rPh sb="15" eb="17">
      <t>タイショウ</t>
    </rPh>
    <rPh sb="47" eb="49">
      <t>ジッシ</t>
    </rPh>
    <rPh sb="52" eb="54">
      <t>ジュギョウ</t>
    </rPh>
    <rPh sb="62" eb="64">
      <t>ジュギョウ</t>
    </rPh>
    <rPh sb="65" eb="66">
      <t>リョウ</t>
    </rPh>
    <rPh sb="67" eb="69">
      <t>テキセツ</t>
    </rPh>
    <rPh sb="74" eb="75">
      <t>トウ</t>
    </rPh>
    <rPh sb="81" eb="83">
      <t>コウモク</t>
    </rPh>
    <rPh sb="86" eb="88">
      <t>ジュギョウ</t>
    </rPh>
    <rPh sb="111" eb="112">
      <t>オモ</t>
    </rPh>
    <rPh sb="118" eb="119">
      <t>オモ</t>
    </rPh>
    <rPh sb="122" eb="124">
      <t>カイトウ</t>
    </rPh>
    <rPh sb="134" eb="136">
      <t>ヒョウカ</t>
    </rPh>
    <rPh sb="137" eb="139">
      <t>コウヒョウ</t>
    </rPh>
    <rPh sb="147" eb="149">
      <t>セイセキ</t>
    </rPh>
    <rPh sb="149" eb="151">
      <t>ヒョウカ</t>
    </rPh>
    <rPh sb="152" eb="153">
      <t>カン</t>
    </rPh>
    <rPh sb="158" eb="160">
      <t>イジョウ</t>
    </rPh>
    <rPh sb="161" eb="163">
      <t>ワリアイ</t>
    </rPh>
    <rPh sb="170" eb="172">
      <t>ジュギョウ</t>
    </rPh>
    <rPh sb="173" eb="176">
      <t>リカイド</t>
    </rPh>
    <rPh sb="188" eb="190">
      <t>キョウガク</t>
    </rPh>
    <rPh sb="196" eb="197">
      <t>シツ</t>
    </rPh>
    <rPh sb="197" eb="198">
      <t>オヨ</t>
    </rPh>
    <rPh sb="199" eb="201">
      <t>キョウヨウ</t>
    </rPh>
    <rPh sb="201" eb="203">
      <t>キバン</t>
    </rPh>
    <rPh sb="208" eb="210">
      <t>ガクセイ</t>
    </rPh>
    <rPh sb="215" eb="217">
      <t>ケッカ</t>
    </rPh>
    <rPh sb="218" eb="220">
      <t>カクニン</t>
    </rPh>
    <rPh sb="221" eb="223">
      <t>ブンセキ</t>
    </rPh>
    <rPh sb="254" eb="256">
      <t>ホウコク</t>
    </rPh>
    <rPh sb="257" eb="258">
      <t>オコナ</t>
    </rPh>
    <rPh sb="260" eb="262">
      <t>ジュギョウ</t>
    </rPh>
    <rPh sb="262" eb="264">
      <t>カイゼン</t>
    </rPh>
    <rPh sb="265" eb="266">
      <t>ム</t>
    </rPh>
    <rPh sb="268" eb="269">
      <t>ト</t>
    </rPh>
    <rPh sb="270" eb="271">
      <t>ク</t>
    </rPh>
    <rPh sb="273" eb="274">
      <t>オコナ</t>
    </rPh>
    <phoneticPr fontId="1"/>
  </si>
  <si>
    <t xml:space="preserve">本教育プログラムについては、入学後のガイダンスや履修指導にて履修を推奨するとともに、履修後のアンケート調査では「データサイエンスについての基礎知識を学ぶことができてよかった」、「今までただ見たり聞いたりするだけであった「データ」について、様々な種類があることや、その特徴や扱い方などについて詳細に学ぶことができた点がよかった。」等の意見があり、全学部を通じて、授業満足度87.2％と高い結果が得られたことから、後輩等への推奨度は高いと考えられる。
</t>
    <rPh sb="0" eb="1">
      <t>ホン</t>
    </rPh>
    <rPh sb="1" eb="3">
      <t>キョウイク</t>
    </rPh>
    <rPh sb="14" eb="16">
      <t>ニュウガク</t>
    </rPh>
    <rPh sb="16" eb="17">
      <t>ゴ</t>
    </rPh>
    <rPh sb="24" eb="26">
      <t>リシュウ</t>
    </rPh>
    <rPh sb="26" eb="28">
      <t>シドウ</t>
    </rPh>
    <rPh sb="42" eb="44">
      <t>リシュウ</t>
    </rPh>
    <rPh sb="44" eb="45">
      <t>ゴ</t>
    </rPh>
    <rPh sb="51" eb="53">
      <t>チョウサ</t>
    </rPh>
    <rPh sb="164" eb="165">
      <t>トウ</t>
    </rPh>
    <rPh sb="166" eb="168">
      <t>イケン</t>
    </rPh>
    <rPh sb="172" eb="174">
      <t>ゼンガク</t>
    </rPh>
    <rPh sb="174" eb="175">
      <t>ブ</t>
    </rPh>
    <rPh sb="176" eb="177">
      <t>ツウ</t>
    </rPh>
    <rPh sb="180" eb="182">
      <t>ジュギョウ</t>
    </rPh>
    <rPh sb="205" eb="207">
      <t>コウハイ</t>
    </rPh>
    <rPh sb="207" eb="208">
      <t>トウ</t>
    </rPh>
    <rPh sb="210" eb="212">
      <t>スイショウ</t>
    </rPh>
    <rPh sb="212" eb="213">
      <t>ド</t>
    </rPh>
    <rPh sb="214" eb="215">
      <t>タカ</t>
    </rPh>
    <rPh sb="217" eb="218">
      <t>カンガ</t>
    </rPh>
    <phoneticPr fontId="1"/>
  </si>
  <si>
    <t>令和４年度時点で、全５学部のうち、教育学部、医学部については、必修科目とし履修率１００％である。選択科目として実施した他３学部における履修率は91.6％である。なお、理工学部、福祉健康科学部については、令和５年度より必修科目とし、経済学部においては、令和６年度に必修化を予定している。
これにより、令和６年度以降の入学生の履修率は１００％になる予定である。</t>
    <rPh sb="48" eb="50">
      <t>センタク</t>
    </rPh>
    <rPh sb="50" eb="52">
      <t>カモク</t>
    </rPh>
    <rPh sb="55" eb="57">
      <t>ジッシ</t>
    </rPh>
    <rPh sb="154" eb="156">
      <t>イコウ</t>
    </rPh>
    <phoneticPr fontId="1"/>
  </si>
  <si>
    <t>本教育プログラムの修了生は、卒業していないため、進路・活躍状況や企業などの評価は把握できていないが、これまでに定期的に実施している卒業生・修了生・就職先アンケートにおいても、本教育プログラムの修了生の状況について把握する予定である。</t>
    <rPh sb="0" eb="3">
      <t>ホンキョウイク</t>
    </rPh>
    <rPh sb="9" eb="12">
      <t>シュウリョウセイ</t>
    </rPh>
    <rPh sb="14" eb="16">
      <t>ソツギョウ</t>
    </rPh>
    <rPh sb="24" eb="26">
      <t>シンロ</t>
    </rPh>
    <rPh sb="27" eb="29">
      <t>カツヤク</t>
    </rPh>
    <rPh sb="29" eb="31">
      <t>ジョウキョウ</t>
    </rPh>
    <rPh sb="32" eb="34">
      <t>キギョウ</t>
    </rPh>
    <rPh sb="37" eb="39">
      <t>ヒョウカ</t>
    </rPh>
    <rPh sb="40" eb="42">
      <t>ハアク</t>
    </rPh>
    <rPh sb="55" eb="57">
      <t>テイキ</t>
    </rPh>
    <rPh sb="57" eb="58">
      <t>テキ</t>
    </rPh>
    <rPh sb="59" eb="61">
      <t>ジッシ</t>
    </rPh>
    <rPh sb="65" eb="68">
      <t>ソツギョウセイ</t>
    </rPh>
    <rPh sb="69" eb="71">
      <t>シュウリョウ</t>
    </rPh>
    <rPh sb="71" eb="72">
      <t>セイ</t>
    </rPh>
    <rPh sb="73" eb="75">
      <t>シュウショク</t>
    </rPh>
    <rPh sb="75" eb="76">
      <t>サキ</t>
    </rPh>
    <rPh sb="87" eb="88">
      <t>ホン</t>
    </rPh>
    <rPh sb="88" eb="90">
      <t>キョウイク</t>
    </rPh>
    <rPh sb="96" eb="99">
      <t>シュウリョウセイ</t>
    </rPh>
    <rPh sb="100" eb="102">
      <t>ジョウキョウ</t>
    </rPh>
    <rPh sb="106" eb="108">
      <t>ハアク</t>
    </rPh>
    <rPh sb="110" eb="112">
      <t>ヨテイ</t>
    </rPh>
    <phoneticPr fontId="1"/>
  </si>
  <si>
    <t>授業コンテンツ作成時に、各学部の専門性に合わせた適用例や地域の課題に直接結びついた実用例を学習内容に含めることで、今後の自分にとって関係の深い重要な内容として学習意欲の向上に繋がっている。
また、産業界における数理・データサイエンス・AI教育のニーズについて、おおいた地域連携プラットフォームを通じて県内企業106社に対して調査を実施し、現在及び将来重視するスキルとして、『統計・データ分析スキル』45.3%、『AI活用スキル』24.5%、に高いニーズがあることを確かめた。また、産業界での日常業務において、Excel等のツールの高度な活用スキルの要求が高いことが示唆された。</t>
    <rPh sb="0" eb="2">
      <t>ジュギョウ</t>
    </rPh>
    <rPh sb="7" eb="9">
      <t>サクセイ</t>
    </rPh>
    <rPh sb="9" eb="10">
      <t>ジ</t>
    </rPh>
    <rPh sb="12" eb="15">
      <t>カクガクブ</t>
    </rPh>
    <rPh sb="16" eb="19">
      <t>センモンセイ</t>
    </rPh>
    <rPh sb="20" eb="21">
      <t>ア</t>
    </rPh>
    <rPh sb="24" eb="26">
      <t>テキヨウ</t>
    </rPh>
    <rPh sb="26" eb="27">
      <t>レイ</t>
    </rPh>
    <rPh sb="28" eb="30">
      <t>チイキ</t>
    </rPh>
    <rPh sb="31" eb="33">
      <t>カダイ</t>
    </rPh>
    <rPh sb="34" eb="36">
      <t>チョクセツ</t>
    </rPh>
    <rPh sb="36" eb="37">
      <t>ムス</t>
    </rPh>
    <rPh sb="41" eb="43">
      <t>ジツヨウ</t>
    </rPh>
    <rPh sb="43" eb="44">
      <t>レイ</t>
    </rPh>
    <rPh sb="45" eb="47">
      <t>ガクシュウ</t>
    </rPh>
    <rPh sb="47" eb="49">
      <t>ナイヨウ</t>
    </rPh>
    <rPh sb="50" eb="51">
      <t>フク</t>
    </rPh>
    <rPh sb="57" eb="59">
      <t>コンゴ</t>
    </rPh>
    <rPh sb="60" eb="62">
      <t>ジブン</t>
    </rPh>
    <rPh sb="66" eb="68">
      <t>カンケイ</t>
    </rPh>
    <rPh sb="69" eb="70">
      <t>フカ</t>
    </rPh>
    <rPh sb="71" eb="73">
      <t>ジュウヨウ</t>
    </rPh>
    <rPh sb="74" eb="76">
      <t>ナイヨウ</t>
    </rPh>
    <rPh sb="79" eb="83">
      <t>ガクシュウイヨク</t>
    </rPh>
    <rPh sb="84" eb="86">
      <t>コウジョウ</t>
    </rPh>
    <rPh sb="87" eb="88">
      <t>ツナ</t>
    </rPh>
    <rPh sb="99" eb="101">
      <t>レンケイ</t>
    </rPh>
    <rPh sb="116" eb="117">
      <t>ツウ</t>
    </rPh>
    <rPh sb="119" eb="121">
      <t>ケンナイ</t>
    </rPh>
    <rPh sb="121" eb="123">
      <t>キギョウ</t>
    </rPh>
    <rPh sb="126" eb="127">
      <t>シャ</t>
    </rPh>
    <rPh sb="128" eb="129">
      <t>タイ</t>
    </rPh>
    <rPh sb="131" eb="133">
      <t>チョウサ</t>
    </rPh>
    <rPh sb="134" eb="136">
      <t>ジッシ</t>
    </rPh>
    <rPh sb="141" eb="143">
      <t>ケッカ</t>
    </rPh>
    <rPh sb="144" eb="146">
      <t>トウケイ</t>
    </rPh>
    <rPh sb="159" eb="161">
      <t>カツヨウ</t>
    </rPh>
    <rPh sb="175" eb="177">
      <t>ジュウシ</t>
    </rPh>
    <rPh sb="195" eb="196">
      <t>タシ</t>
    </rPh>
    <rPh sb="208" eb="209">
      <t>トウ</t>
    </rPh>
    <rPh sb="214" eb="216">
      <t>カツヨウ</t>
    </rPh>
    <rPh sb="220" eb="222">
      <t>ヨウキュウ</t>
    </rPh>
    <rPh sb="223" eb="224">
      <t>タカ</t>
    </rPh>
    <rPh sb="228" eb="230">
      <t>シサ</t>
    </rPh>
    <rPh sb="240" eb="243">
      <t>サンギョウカイ</t>
    </rPh>
    <rPh sb="245" eb="247">
      <t>ニチジョウ</t>
    </rPh>
    <rPh sb="247" eb="249">
      <t>ギョウム</t>
    </rPh>
    <rPh sb="265" eb="267">
      <t>コウド</t>
    </rPh>
    <phoneticPr fontId="1"/>
  </si>
  <si>
    <t>各学部の授業コンテンツ作成担当者が、各学部分野特有の事例を紹介することで、専門性に合わせた事例や、地域の課題に直接結びついた事例等を学習内容に含めることが可能になった。どの学部の学生にも、今後の自分にとって関係の深い重要な内容だと感じさせることで、学習意欲の向上に繋げることができる。
なお、履修後のアンケート調査では、『興味あるものであった』80.7％、『意欲的に取り組んだ』92.5％と高い結果が得られた。</t>
    <rPh sb="0" eb="3">
      <t>カクガクブ</t>
    </rPh>
    <rPh sb="4" eb="6">
      <t>ジュギョウ</t>
    </rPh>
    <rPh sb="11" eb="13">
      <t>サクセイ</t>
    </rPh>
    <rPh sb="13" eb="16">
      <t>タントウシャ</t>
    </rPh>
    <rPh sb="18" eb="21">
      <t>カクガクブ</t>
    </rPh>
    <rPh sb="21" eb="23">
      <t>ブンヤ</t>
    </rPh>
    <rPh sb="23" eb="25">
      <t>トクユウ</t>
    </rPh>
    <rPh sb="26" eb="28">
      <t>ジレイ</t>
    </rPh>
    <rPh sb="29" eb="31">
      <t>ショウカイ</t>
    </rPh>
    <rPh sb="37" eb="40">
      <t>センモンセイ</t>
    </rPh>
    <rPh sb="41" eb="42">
      <t>ア</t>
    </rPh>
    <rPh sb="45" eb="47">
      <t>ジレイ</t>
    </rPh>
    <rPh sb="49" eb="51">
      <t>チイキ</t>
    </rPh>
    <rPh sb="52" eb="54">
      <t>カダイ</t>
    </rPh>
    <rPh sb="55" eb="57">
      <t>チョクセツ</t>
    </rPh>
    <rPh sb="57" eb="58">
      <t>ムス</t>
    </rPh>
    <rPh sb="62" eb="64">
      <t>ジレイ</t>
    </rPh>
    <rPh sb="64" eb="65">
      <t>トウ</t>
    </rPh>
    <rPh sb="66" eb="68">
      <t>ガクシュウ</t>
    </rPh>
    <rPh sb="68" eb="70">
      <t>ナイヨウ</t>
    </rPh>
    <rPh sb="71" eb="72">
      <t>フク</t>
    </rPh>
    <rPh sb="77" eb="79">
      <t>カノウ</t>
    </rPh>
    <rPh sb="86" eb="88">
      <t>ガクブ</t>
    </rPh>
    <rPh sb="89" eb="91">
      <t>ガクセイ</t>
    </rPh>
    <rPh sb="94" eb="96">
      <t>コンゴ</t>
    </rPh>
    <rPh sb="97" eb="99">
      <t>ジブン</t>
    </rPh>
    <rPh sb="103" eb="105">
      <t>カンケイ</t>
    </rPh>
    <rPh sb="106" eb="107">
      <t>フカ</t>
    </rPh>
    <rPh sb="108" eb="110">
      <t>ジュウヨウ</t>
    </rPh>
    <rPh sb="111" eb="113">
      <t>ナイヨウ</t>
    </rPh>
    <rPh sb="115" eb="116">
      <t>カン</t>
    </rPh>
    <rPh sb="124" eb="128">
      <t>ガクシュウイヨク</t>
    </rPh>
    <rPh sb="129" eb="131">
      <t>コウジョウ</t>
    </rPh>
    <rPh sb="132" eb="133">
      <t>ツナ</t>
    </rPh>
    <rPh sb="146" eb="148">
      <t>リシュウ</t>
    </rPh>
    <rPh sb="148" eb="149">
      <t>ゴ</t>
    </rPh>
    <rPh sb="155" eb="157">
      <t>チョウサ</t>
    </rPh>
    <rPh sb="161" eb="163">
      <t>キョウミ</t>
    </rPh>
    <rPh sb="179" eb="182">
      <t>イヨクテキ</t>
    </rPh>
    <rPh sb="183" eb="184">
      <t>ト</t>
    </rPh>
    <rPh sb="185" eb="186">
      <t>ク</t>
    </rPh>
    <rPh sb="195" eb="196">
      <t>タカ</t>
    </rPh>
    <rPh sb="197" eb="199">
      <t>ケッカ</t>
    </rPh>
    <rPh sb="200" eb="201">
      <t>エ</t>
    </rPh>
    <phoneticPr fontId="1"/>
  </si>
  <si>
    <t>毎年度、授業開講前に、学生モニターによる事前チェックに基づいた、授業コンテンツ等の改善を実施し、授業の質向上を行うこととしている。さらに、令和５年度からは、授業回ごとのアンケートの実施結果をうけて、閉講後・開講前点検をコンテンツ作成者担当者間で行い、次年度以降の授業内容・水準の向上に取り組んでいる。授業コンテンツはオンデマンド配信し、繰り返し視聴により、学生は理解できるまで受講することができる。水準を維持するために、各回の小テストについて一定の成績以上を取得しないと、次の回の授業コンテンツを受講できない設定としている。また、授業等に関する質問をメールで問い合わせることができ、複数名の教員が対応している。</t>
    <rPh sb="0" eb="3">
      <t>ホンキョウイク</t>
    </rPh>
    <rPh sb="14" eb="16">
      <t>ソツギョウ</t>
    </rPh>
    <rPh sb="24" eb="26">
      <t>シンロ</t>
    </rPh>
    <rPh sb="27" eb="29">
      <t>カツヤク</t>
    </rPh>
    <rPh sb="29" eb="31">
      <t>ジョウキョウ</t>
    </rPh>
    <rPh sb="32" eb="34">
      <t>キギョウ</t>
    </rPh>
    <rPh sb="37" eb="39">
      <t>ヒョウカ</t>
    </rPh>
    <rPh sb="40" eb="42">
      <t>ハアク</t>
    </rPh>
    <rPh sb="54" eb="56">
      <t>テイキ</t>
    </rPh>
    <rPh sb="56" eb="57">
      <t>テキ</t>
    </rPh>
    <rPh sb="58" eb="60">
      <t>ジッシ</t>
    </rPh>
    <rPh sb="70" eb="71">
      <t>セイ</t>
    </rPh>
    <rPh sb="72" eb="74">
      <t>シュウショク</t>
    </rPh>
    <rPh sb="74" eb="75">
      <t>サキ</t>
    </rPh>
    <rPh sb="86" eb="87">
      <t>ホン</t>
    </rPh>
    <rPh sb="87" eb="89">
      <t>キョウイク</t>
    </rPh>
    <rPh sb="95" eb="98">
      <t>シュウリョウセイ</t>
    </rPh>
    <rPh sb="99" eb="101">
      <t>ジョウキョウ</t>
    </rPh>
    <rPh sb="105" eb="107">
      <t>ハアク</t>
    </rPh>
    <rPh sb="109" eb="111">
      <t>ヨテイ</t>
    </rPh>
    <rPh sb="150" eb="152">
      <t>ジュギョウ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</si>
</sst>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trike/>
      <sz val="12"/>
      <color theme="1"/>
      <name val="ＭＳ Ｐゴシック"/>
      <family val="3"/>
      <charset val="128"/>
      <scheme val="minor"/>
    </font>
    <font>
      <sz val="12"/>
      <color theme="3" tint="0.3999755851924192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top style="thin">
        <color auto="1"/>
      </top>
      <bottom/>
      <diagonal style="thin">
        <color auto="1"/>
      </diagonal>
    </border>
    <border diagonalUp="1">
      <left style="hair">
        <color auto="1"/>
      </left>
      <right style="thin">
        <color auto="1"/>
      </right>
      <top style="thin">
        <color auto="1"/>
      </top>
      <bottom/>
      <diagonal style="thin">
        <color auto="1"/>
      </diagonal>
    </border>
    <border diagonalUp="1">
      <left style="dotted">
        <color auto="1"/>
      </left>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38" fontId="2" fillId="0" borderId="60"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0" fontId="2" fillId="0" borderId="1" xfId="0" applyFont="1" applyBorder="1" applyAlignment="1">
      <alignment horizontal="left" vertical="center"/>
    </xf>
    <xf numFmtId="0" fontId="13" fillId="0" borderId="0" xfId="0" applyFont="1">
      <alignment vertical="center"/>
    </xf>
    <xf numFmtId="0" fontId="2" fillId="0" borderId="0" xfId="0" applyFont="1" applyAlignment="1">
      <alignment vertical="top" wrapText="1" shrinkToFit="1"/>
    </xf>
    <xf numFmtId="0" fontId="11" fillId="0" borderId="0" xfId="0" applyFont="1">
      <alignment vertical="center"/>
    </xf>
    <xf numFmtId="0" fontId="7" fillId="0" borderId="1"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35" xfId="0" applyFont="1" applyBorder="1" applyAlignment="1">
      <alignment vertical="center" wrapText="1" shrinkToFit="1"/>
    </xf>
    <xf numFmtId="0" fontId="2" fillId="0" borderId="34"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30"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5"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19" xfId="0" applyFont="1" applyBorder="1" applyAlignment="1">
      <alignment vertical="top" wrapText="1" shrinkToFit="1"/>
    </xf>
    <xf numFmtId="0" fontId="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2" xfId="0" applyFont="1" applyBorder="1" applyAlignment="1">
      <alignment horizontal="left" vertical="center" wrapText="1"/>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2"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4" xfId="0" applyFont="1" applyBorder="1" applyAlignment="1">
      <alignment horizontal="left" vertical="center"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1" zoomScaleNormal="100" zoomScaleSheetLayoutView="100" workbookViewId="0">
      <selection activeCell="T94" sqref="T9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9" t="s">
        <v>145</v>
      </c>
      <c r="S1" s="109"/>
      <c r="T1" s="2" t="s">
        <v>109</v>
      </c>
    </row>
    <row r="2" spans="1:22" ht="18.75" customHeight="1" x14ac:dyDescent="0.15">
      <c r="B2" s="34" t="s">
        <v>108</v>
      </c>
      <c r="C2" s="102" t="s">
        <v>126</v>
      </c>
      <c r="D2" s="103"/>
      <c r="E2" s="103"/>
      <c r="F2" s="103"/>
      <c r="G2" s="103"/>
      <c r="H2" s="103"/>
      <c r="I2" s="104"/>
      <c r="J2" s="35"/>
      <c r="K2" s="6"/>
      <c r="L2" s="6"/>
      <c r="M2" s="6"/>
      <c r="N2" s="6"/>
      <c r="O2" s="6"/>
      <c r="P2" s="6"/>
      <c r="Q2" s="6"/>
      <c r="R2" s="6"/>
      <c r="S2" s="6"/>
    </row>
    <row r="3" spans="1:22" ht="18.75" customHeight="1" x14ac:dyDescent="0.15">
      <c r="B3" s="34" t="s">
        <v>102</v>
      </c>
      <c r="C3" s="102" t="s">
        <v>127</v>
      </c>
      <c r="D3" s="103"/>
      <c r="E3" s="103"/>
      <c r="F3" s="103"/>
      <c r="G3" s="103"/>
      <c r="H3" s="103"/>
      <c r="I3" s="104"/>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3" t="s">
        <v>38</v>
      </c>
      <c r="B5" s="113"/>
      <c r="C5" s="113"/>
      <c r="D5" s="113"/>
      <c r="E5" s="113"/>
      <c r="F5" s="113"/>
      <c r="G5" s="113"/>
      <c r="H5" s="113"/>
      <c r="I5" s="113"/>
      <c r="J5" s="113"/>
      <c r="K5" s="113"/>
      <c r="L5" s="113"/>
      <c r="M5" s="113"/>
      <c r="N5" s="113"/>
      <c r="O5" s="113"/>
      <c r="P5" s="113"/>
      <c r="Q5" s="113"/>
      <c r="R5" s="113"/>
      <c r="S5" s="11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23" t="s">
        <v>128</v>
      </c>
      <c r="L7" s="124"/>
      <c r="M7" s="124"/>
      <c r="N7" s="124"/>
      <c r="O7" s="124"/>
      <c r="P7" s="124"/>
      <c r="Q7" s="124"/>
      <c r="R7" s="124"/>
      <c r="S7" s="12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90" t="s">
        <v>155</v>
      </c>
      <c r="C9" s="91"/>
      <c r="D9" s="91"/>
      <c r="E9" s="91"/>
      <c r="F9" s="91"/>
      <c r="G9" s="91"/>
      <c r="H9" s="91"/>
      <c r="I9" s="91"/>
      <c r="J9" s="91"/>
      <c r="K9" s="91"/>
      <c r="L9" s="91"/>
      <c r="M9" s="91"/>
      <c r="N9" s="91"/>
      <c r="O9" s="91"/>
      <c r="P9" s="91"/>
      <c r="Q9" s="91"/>
      <c r="R9" s="91"/>
      <c r="S9" s="92"/>
    </row>
    <row r="10" spans="1:22" ht="18" customHeight="1" x14ac:dyDescent="0.15">
      <c r="B10" s="93"/>
      <c r="C10" s="94"/>
      <c r="D10" s="94"/>
      <c r="E10" s="94"/>
      <c r="F10" s="94"/>
      <c r="G10" s="94"/>
      <c r="H10" s="94"/>
      <c r="I10" s="94"/>
      <c r="J10" s="94"/>
      <c r="K10" s="94"/>
      <c r="L10" s="94"/>
      <c r="M10" s="94"/>
      <c r="N10" s="94"/>
      <c r="O10" s="94"/>
      <c r="P10" s="94"/>
      <c r="Q10" s="94"/>
      <c r="R10" s="94"/>
      <c r="S10" s="9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8"/>
      <c r="L12" s="38"/>
      <c r="M12" s="38"/>
      <c r="N12" s="38"/>
      <c r="O12" s="38"/>
      <c r="P12" s="38"/>
      <c r="Q12" s="38"/>
      <c r="R12" s="38"/>
      <c r="S12" s="38"/>
    </row>
    <row r="13" spans="1:22" ht="18" customHeight="1" x14ac:dyDescent="0.15">
      <c r="B13" s="114" t="s">
        <v>146</v>
      </c>
      <c r="C13" s="115"/>
      <c r="D13" s="115"/>
      <c r="E13" s="115"/>
      <c r="F13" s="115"/>
      <c r="G13" s="115"/>
      <c r="H13" s="115"/>
      <c r="I13" s="115"/>
      <c r="J13" s="115"/>
      <c r="K13" s="115"/>
      <c r="L13" s="115"/>
      <c r="M13" s="115"/>
      <c r="N13" s="115"/>
      <c r="O13" s="115"/>
      <c r="P13" s="115"/>
      <c r="Q13" s="115"/>
      <c r="R13" s="115"/>
      <c r="S13" s="116"/>
      <c r="V13" s="1" t="s">
        <v>103</v>
      </c>
    </row>
    <row r="14" spans="1:22" ht="18" customHeight="1" x14ac:dyDescent="0.15">
      <c r="B14" s="117"/>
      <c r="C14" s="118"/>
      <c r="D14" s="118"/>
      <c r="E14" s="118"/>
      <c r="F14" s="118"/>
      <c r="G14" s="118"/>
      <c r="H14" s="118"/>
      <c r="I14" s="118"/>
      <c r="J14" s="118"/>
      <c r="K14" s="118"/>
      <c r="L14" s="118"/>
      <c r="M14" s="118"/>
      <c r="N14" s="118"/>
      <c r="O14" s="118"/>
      <c r="P14" s="118"/>
      <c r="Q14" s="118"/>
      <c r="R14" s="118"/>
      <c r="S14" s="119"/>
      <c r="V14" s="1" t="s">
        <v>110</v>
      </c>
    </row>
    <row r="15" spans="1:22" ht="18" customHeight="1" x14ac:dyDescent="0.15">
      <c r="B15" s="117"/>
      <c r="C15" s="118"/>
      <c r="D15" s="118"/>
      <c r="E15" s="118"/>
      <c r="F15" s="118"/>
      <c r="G15" s="118"/>
      <c r="H15" s="118"/>
      <c r="I15" s="118"/>
      <c r="J15" s="118"/>
      <c r="K15" s="118"/>
      <c r="L15" s="118"/>
      <c r="M15" s="118"/>
      <c r="N15" s="118"/>
      <c r="O15" s="118"/>
      <c r="P15" s="118"/>
      <c r="Q15" s="118"/>
      <c r="R15" s="118"/>
      <c r="S15" s="119"/>
      <c r="V15" s="1" t="s">
        <v>123</v>
      </c>
    </row>
    <row r="16" spans="1:22" ht="18" customHeight="1" x14ac:dyDescent="0.15">
      <c r="B16" s="117"/>
      <c r="C16" s="118"/>
      <c r="D16" s="118"/>
      <c r="E16" s="118"/>
      <c r="F16" s="118"/>
      <c r="G16" s="118"/>
      <c r="H16" s="118"/>
      <c r="I16" s="118"/>
      <c r="J16" s="118"/>
      <c r="K16" s="118"/>
      <c r="L16" s="118"/>
      <c r="M16" s="118"/>
      <c r="N16" s="118"/>
      <c r="O16" s="118"/>
      <c r="P16" s="118"/>
      <c r="Q16" s="118"/>
      <c r="R16" s="118"/>
      <c r="S16" s="119"/>
      <c r="V16" s="1" t="s">
        <v>125</v>
      </c>
    </row>
    <row r="17" spans="1:19" ht="18" customHeight="1" x14ac:dyDescent="0.15">
      <c r="B17" s="117"/>
      <c r="C17" s="118"/>
      <c r="D17" s="118"/>
      <c r="E17" s="118"/>
      <c r="F17" s="118"/>
      <c r="G17" s="118"/>
      <c r="H17" s="118"/>
      <c r="I17" s="118"/>
      <c r="J17" s="118"/>
      <c r="K17" s="118"/>
      <c r="L17" s="118"/>
      <c r="M17" s="118"/>
      <c r="N17" s="118"/>
      <c r="O17" s="118"/>
      <c r="P17" s="118"/>
      <c r="Q17" s="118"/>
      <c r="R17" s="118"/>
      <c r="S17" s="119"/>
    </row>
    <row r="18" spans="1:19" ht="18"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02">
        <v>1</v>
      </c>
      <c r="D20" s="104"/>
      <c r="E20" s="39" t="s">
        <v>95</v>
      </c>
      <c r="G20" s="10"/>
      <c r="H20" s="3"/>
      <c r="I20" s="3"/>
      <c r="J20" s="35" t="s">
        <v>121</v>
      </c>
      <c r="K20" s="110" t="s">
        <v>123</v>
      </c>
      <c r="L20" s="111"/>
      <c r="M20" s="111"/>
      <c r="N20" s="111"/>
      <c r="O20" s="111"/>
      <c r="P20" s="111"/>
      <c r="Q20" s="111"/>
      <c r="R20" s="111"/>
      <c r="S20" s="11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5" t="s">
        <v>113</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B24" s="102" t="s">
        <v>53</v>
      </c>
      <c r="C24" s="103"/>
      <c r="D24" s="103"/>
      <c r="E24" s="104"/>
      <c r="F24" s="60" t="s">
        <v>80</v>
      </c>
      <c r="G24" s="59" t="s">
        <v>84</v>
      </c>
      <c r="H24" s="22" t="s">
        <v>56</v>
      </c>
      <c r="I24" s="22" t="s">
        <v>59</v>
      </c>
      <c r="J24" s="102" t="s">
        <v>53</v>
      </c>
      <c r="K24" s="103"/>
      <c r="L24" s="103"/>
      <c r="M24" s="103"/>
      <c r="N24" s="103"/>
      <c r="O24" s="104"/>
      <c r="P24" s="60" t="s">
        <v>80</v>
      </c>
      <c r="Q24" s="59" t="s">
        <v>84</v>
      </c>
      <c r="R24" s="22" t="s">
        <v>56</v>
      </c>
      <c r="S24" s="22" t="s">
        <v>59</v>
      </c>
    </row>
    <row r="25" spans="1:19" ht="18" customHeight="1" x14ac:dyDescent="0.15">
      <c r="B25" s="106" t="s">
        <v>129</v>
      </c>
      <c r="C25" s="107"/>
      <c r="D25" s="107"/>
      <c r="E25" s="108"/>
      <c r="F25" s="23">
        <v>1</v>
      </c>
      <c r="G25" s="23" t="s">
        <v>131</v>
      </c>
      <c r="H25" s="23" t="s">
        <v>131</v>
      </c>
      <c r="I25" s="23" t="s">
        <v>131</v>
      </c>
      <c r="J25" s="106"/>
      <c r="K25" s="107"/>
      <c r="L25" s="107"/>
      <c r="M25" s="107"/>
      <c r="N25" s="107"/>
      <c r="O25" s="108"/>
      <c r="P25" s="23"/>
      <c r="Q25" s="23"/>
      <c r="R25" s="23"/>
      <c r="S25" s="23"/>
    </row>
    <row r="26" spans="1:19" ht="18" customHeight="1" x14ac:dyDescent="0.15">
      <c r="B26" s="96"/>
      <c r="C26" s="97"/>
      <c r="D26" s="97"/>
      <c r="E26" s="98"/>
      <c r="F26" s="24"/>
      <c r="G26" s="24"/>
      <c r="H26" s="24"/>
      <c r="I26" s="24"/>
      <c r="J26" s="96"/>
      <c r="K26" s="97"/>
      <c r="L26" s="97"/>
      <c r="M26" s="97"/>
      <c r="N26" s="97"/>
      <c r="O26" s="98"/>
      <c r="P26" s="24"/>
      <c r="Q26" s="24"/>
      <c r="R26" s="24"/>
      <c r="S26" s="24"/>
    </row>
    <row r="27" spans="1:19" ht="18" customHeight="1" x14ac:dyDescent="0.15">
      <c r="B27" s="96"/>
      <c r="C27" s="97"/>
      <c r="D27" s="97"/>
      <c r="E27" s="98"/>
      <c r="F27" s="24"/>
      <c r="G27" s="24"/>
      <c r="H27" s="24"/>
      <c r="I27" s="24"/>
      <c r="J27" s="96"/>
      <c r="K27" s="97"/>
      <c r="L27" s="97"/>
      <c r="M27" s="97"/>
      <c r="N27" s="97"/>
      <c r="O27" s="98"/>
      <c r="P27" s="24"/>
      <c r="Q27" s="24"/>
      <c r="R27" s="24"/>
      <c r="S27" s="24"/>
    </row>
    <row r="28" spans="1:19" ht="18" customHeight="1" x14ac:dyDescent="0.15">
      <c r="B28" s="96"/>
      <c r="C28" s="97"/>
      <c r="D28" s="97"/>
      <c r="E28" s="98"/>
      <c r="F28" s="24"/>
      <c r="G28" s="24"/>
      <c r="H28" s="24"/>
      <c r="I28" s="24"/>
      <c r="J28" s="96"/>
      <c r="K28" s="97"/>
      <c r="L28" s="97"/>
      <c r="M28" s="97"/>
      <c r="N28" s="97"/>
      <c r="O28" s="98"/>
      <c r="P28" s="24"/>
      <c r="Q28" s="24"/>
      <c r="R28" s="24"/>
      <c r="S28" s="24"/>
    </row>
    <row r="29" spans="1:19" ht="18" customHeight="1" x14ac:dyDescent="0.15">
      <c r="B29" s="96"/>
      <c r="C29" s="97"/>
      <c r="D29" s="97"/>
      <c r="E29" s="98"/>
      <c r="F29" s="24"/>
      <c r="G29" s="24"/>
      <c r="H29" s="24"/>
      <c r="I29" s="24"/>
      <c r="J29" s="96"/>
      <c r="K29" s="97"/>
      <c r="L29" s="97"/>
      <c r="M29" s="97"/>
      <c r="N29" s="97"/>
      <c r="O29" s="98"/>
      <c r="P29" s="24"/>
      <c r="Q29" s="24"/>
      <c r="R29" s="24"/>
      <c r="S29" s="24"/>
    </row>
    <row r="30" spans="1:19" ht="18" customHeight="1" x14ac:dyDescent="0.15">
      <c r="A30" s="3"/>
      <c r="B30" s="96"/>
      <c r="C30" s="97"/>
      <c r="D30" s="97"/>
      <c r="E30" s="98"/>
      <c r="F30" s="24"/>
      <c r="G30" s="24"/>
      <c r="H30" s="24"/>
      <c r="I30" s="24"/>
      <c r="J30" s="96"/>
      <c r="K30" s="97"/>
      <c r="L30" s="97"/>
      <c r="M30" s="97"/>
      <c r="N30" s="97"/>
      <c r="O30" s="98"/>
      <c r="P30" s="24"/>
      <c r="Q30" s="24"/>
      <c r="R30" s="24"/>
      <c r="S30" s="24"/>
    </row>
    <row r="31" spans="1:19" ht="18" customHeight="1" x14ac:dyDescent="0.15">
      <c r="A31" s="3"/>
      <c r="B31" s="99"/>
      <c r="C31" s="100"/>
      <c r="D31" s="100"/>
      <c r="E31" s="101"/>
      <c r="F31" s="25"/>
      <c r="G31" s="25"/>
      <c r="H31" s="26"/>
      <c r="I31" s="26"/>
      <c r="J31" s="99"/>
      <c r="K31" s="100"/>
      <c r="L31" s="100"/>
      <c r="M31" s="100"/>
      <c r="N31" s="100"/>
      <c r="O31" s="101"/>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5" t="s">
        <v>114</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B35" s="102" t="s">
        <v>53</v>
      </c>
      <c r="C35" s="103"/>
      <c r="D35" s="103"/>
      <c r="E35" s="104"/>
      <c r="F35" s="60" t="s">
        <v>80</v>
      </c>
      <c r="G35" s="59" t="s">
        <v>84</v>
      </c>
      <c r="H35" s="22" t="s">
        <v>71</v>
      </c>
      <c r="I35" s="22" t="s">
        <v>72</v>
      </c>
      <c r="J35" s="102" t="s">
        <v>53</v>
      </c>
      <c r="K35" s="103"/>
      <c r="L35" s="103"/>
      <c r="M35" s="103"/>
      <c r="N35" s="103"/>
      <c r="O35" s="104"/>
      <c r="P35" s="60" t="s">
        <v>80</v>
      </c>
      <c r="Q35" s="59" t="s">
        <v>84</v>
      </c>
      <c r="R35" s="22" t="s">
        <v>71</v>
      </c>
      <c r="S35" s="22" t="s">
        <v>72</v>
      </c>
    </row>
    <row r="36" spans="1:19" ht="18" customHeight="1" x14ac:dyDescent="0.15">
      <c r="B36" s="106" t="s">
        <v>129</v>
      </c>
      <c r="C36" s="107"/>
      <c r="D36" s="107"/>
      <c r="E36" s="108"/>
      <c r="F36" s="23">
        <v>1</v>
      </c>
      <c r="G36" s="23" t="s">
        <v>131</v>
      </c>
      <c r="H36" s="23" t="s">
        <v>131</v>
      </c>
      <c r="I36" s="23" t="s">
        <v>131</v>
      </c>
      <c r="J36" s="106"/>
      <c r="K36" s="107"/>
      <c r="L36" s="107"/>
      <c r="M36" s="107"/>
      <c r="N36" s="107"/>
      <c r="O36" s="108"/>
      <c r="P36" s="23"/>
      <c r="Q36" s="23"/>
      <c r="R36" s="23"/>
      <c r="S36" s="23"/>
    </row>
    <row r="37" spans="1:19" ht="18" customHeight="1" x14ac:dyDescent="0.15">
      <c r="B37" s="96"/>
      <c r="C37" s="97"/>
      <c r="D37" s="97"/>
      <c r="E37" s="98"/>
      <c r="F37" s="24"/>
      <c r="G37" s="24"/>
      <c r="H37" s="24"/>
      <c r="I37" s="24"/>
      <c r="J37" s="96"/>
      <c r="K37" s="97"/>
      <c r="L37" s="97"/>
      <c r="M37" s="97"/>
      <c r="N37" s="97"/>
      <c r="O37" s="98"/>
      <c r="P37" s="24"/>
      <c r="Q37" s="24"/>
      <c r="R37" s="24"/>
      <c r="S37" s="24"/>
    </row>
    <row r="38" spans="1:19" ht="18" customHeight="1" x14ac:dyDescent="0.15">
      <c r="B38" s="96"/>
      <c r="C38" s="97"/>
      <c r="D38" s="97"/>
      <c r="E38" s="98"/>
      <c r="F38" s="24"/>
      <c r="G38" s="24"/>
      <c r="H38" s="24"/>
      <c r="I38" s="24"/>
      <c r="J38" s="96"/>
      <c r="K38" s="97"/>
      <c r="L38" s="97"/>
      <c r="M38" s="97"/>
      <c r="N38" s="97"/>
      <c r="O38" s="98"/>
      <c r="P38" s="24"/>
      <c r="Q38" s="24"/>
      <c r="R38" s="24"/>
      <c r="S38" s="24"/>
    </row>
    <row r="39" spans="1:19" ht="18" customHeight="1" x14ac:dyDescent="0.15">
      <c r="B39" s="96"/>
      <c r="C39" s="97"/>
      <c r="D39" s="97"/>
      <c r="E39" s="98"/>
      <c r="F39" s="24"/>
      <c r="G39" s="24"/>
      <c r="H39" s="24"/>
      <c r="I39" s="24"/>
      <c r="J39" s="96"/>
      <c r="K39" s="97"/>
      <c r="L39" s="97"/>
      <c r="M39" s="97"/>
      <c r="N39" s="97"/>
      <c r="O39" s="98"/>
      <c r="P39" s="24"/>
      <c r="Q39" s="24"/>
      <c r="R39" s="24"/>
      <c r="S39" s="24"/>
    </row>
    <row r="40" spans="1:19" ht="18" customHeight="1" x14ac:dyDescent="0.15">
      <c r="B40" s="96"/>
      <c r="C40" s="97"/>
      <c r="D40" s="97"/>
      <c r="E40" s="98"/>
      <c r="F40" s="24"/>
      <c r="G40" s="24"/>
      <c r="H40" s="24"/>
      <c r="I40" s="24"/>
      <c r="J40" s="96"/>
      <c r="K40" s="97"/>
      <c r="L40" s="97"/>
      <c r="M40" s="97"/>
      <c r="N40" s="97"/>
      <c r="O40" s="98"/>
      <c r="P40" s="24"/>
      <c r="Q40" s="24"/>
      <c r="R40" s="24"/>
      <c r="S40" s="24"/>
    </row>
    <row r="41" spans="1:19" ht="18" customHeight="1" x14ac:dyDescent="0.15">
      <c r="B41" s="96"/>
      <c r="C41" s="97"/>
      <c r="D41" s="97"/>
      <c r="E41" s="98"/>
      <c r="F41" s="24"/>
      <c r="G41" s="24"/>
      <c r="H41" s="24"/>
      <c r="I41" s="24"/>
      <c r="J41" s="96"/>
      <c r="K41" s="97"/>
      <c r="L41" s="97"/>
      <c r="M41" s="97"/>
      <c r="N41" s="97"/>
      <c r="O41" s="98"/>
      <c r="P41" s="24"/>
      <c r="Q41" s="24"/>
      <c r="R41" s="24"/>
      <c r="S41" s="24"/>
    </row>
    <row r="42" spans="1:19" ht="18" customHeight="1" x14ac:dyDescent="0.15">
      <c r="B42" s="99"/>
      <c r="C42" s="100"/>
      <c r="D42" s="100"/>
      <c r="E42" s="101"/>
      <c r="F42" s="25"/>
      <c r="G42" s="25"/>
      <c r="H42" s="26"/>
      <c r="I42" s="26"/>
      <c r="J42" s="99"/>
      <c r="K42" s="100"/>
      <c r="L42" s="100"/>
      <c r="M42" s="100"/>
      <c r="N42" s="100"/>
      <c r="O42" s="101"/>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5" t="s">
        <v>115</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B46" s="102" t="s">
        <v>53</v>
      </c>
      <c r="C46" s="103"/>
      <c r="D46" s="103"/>
      <c r="E46" s="104"/>
      <c r="F46" s="60" t="s">
        <v>80</v>
      </c>
      <c r="G46" s="59" t="s">
        <v>84</v>
      </c>
      <c r="H46" s="22" t="s">
        <v>73</v>
      </c>
      <c r="I46" s="22" t="s">
        <v>74</v>
      </c>
      <c r="J46" s="102" t="s">
        <v>53</v>
      </c>
      <c r="K46" s="103"/>
      <c r="L46" s="103"/>
      <c r="M46" s="103"/>
      <c r="N46" s="103"/>
      <c r="O46" s="104"/>
      <c r="P46" s="60" t="s">
        <v>80</v>
      </c>
      <c r="Q46" s="59" t="s">
        <v>84</v>
      </c>
      <c r="R46" s="22" t="s">
        <v>73</v>
      </c>
      <c r="S46" s="22" t="s">
        <v>74</v>
      </c>
    </row>
    <row r="47" spans="1:19" ht="18" customHeight="1" x14ac:dyDescent="0.15">
      <c r="A47" s="3"/>
      <c r="B47" s="106" t="s">
        <v>129</v>
      </c>
      <c r="C47" s="107"/>
      <c r="D47" s="107"/>
      <c r="E47" s="108"/>
      <c r="F47" s="23">
        <v>1</v>
      </c>
      <c r="G47" s="23" t="s">
        <v>131</v>
      </c>
      <c r="H47" s="23" t="s">
        <v>131</v>
      </c>
      <c r="I47" s="23" t="s">
        <v>131</v>
      </c>
      <c r="J47" s="106"/>
      <c r="K47" s="107"/>
      <c r="L47" s="107"/>
      <c r="M47" s="107"/>
      <c r="N47" s="107"/>
      <c r="O47" s="108"/>
      <c r="P47" s="23"/>
      <c r="Q47" s="23"/>
      <c r="R47" s="23"/>
      <c r="S47" s="23"/>
    </row>
    <row r="48" spans="1:19" ht="18" customHeight="1" x14ac:dyDescent="0.15">
      <c r="A48" s="3"/>
      <c r="B48" s="96"/>
      <c r="C48" s="97"/>
      <c r="D48" s="97"/>
      <c r="E48" s="98"/>
      <c r="F48" s="24"/>
      <c r="G48" s="24"/>
      <c r="H48" s="24"/>
      <c r="I48" s="24"/>
      <c r="J48" s="96"/>
      <c r="K48" s="97"/>
      <c r="L48" s="97"/>
      <c r="M48" s="97"/>
      <c r="N48" s="97"/>
      <c r="O48" s="98"/>
      <c r="P48" s="24"/>
      <c r="Q48" s="24"/>
      <c r="R48" s="24"/>
      <c r="S48" s="24"/>
    </row>
    <row r="49" spans="1:19" ht="18" customHeight="1" x14ac:dyDescent="0.15">
      <c r="A49" s="3"/>
      <c r="B49" s="96"/>
      <c r="C49" s="97"/>
      <c r="D49" s="97"/>
      <c r="E49" s="98"/>
      <c r="F49" s="24"/>
      <c r="G49" s="24"/>
      <c r="H49" s="24"/>
      <c r="I49" s="24"/>
      <c r="J49" s="96"/>
      <c r="K49" s="97"/>
      <c r="L49" s="97"/>
      <c r="M49" s="97"/>
      <c r="N49" s="97"/>
      <c r="O49" s="98"/>
      <c r="P49" s="24"/>
      <c r="Q49" s="24"/>
      <c r="R49" s="24"/>
      <c r="S49" s="24"/>
    </row>
    <row r="50" spans="1:19" ht="18" customHeight="1" x14ac:dyDescent="0.15">
      <c r="A50" s="3"/>
      <c r="B50" s="96"/>
      <c r="C50" s="97"/>
      <c r="D50" s="97"/>
      <c r="E50" s="98"/>
      <c r="F50" s="24"/>
      <c r="G50" s="24"/>
      <c r="H50" s="24"/>
      <c r="I50" s="24"/>
      <c r="J50" s="96"/>
      <c r="K50" s="97"/>
      <c r="L50" s="97"/>
      <c r="M50" s="97"/>
      <c r="N50" s="97"/>
      <c r="O50" s="98"/>
      <c r="P50" s="24"/>
      <c r="Q50" s="24"/>
      <c r="R50" s="24"/>
      <c r="S50" s="24"/>
    </row>
    <row r="51" spans="1:19" ht="18" customHeight="1" x14ac:dyDescent="0.15">
      <c r="A51" s="3"/>
      <c r="B51" s="96"/>
      <c r="C51" s="97"/>
      <c r="D51" s="97"/>
      <c r="E51" s="98"/>
      <c r="F51" s="24"/>
      <c r="G51" s="24"/>
      <c r="H51" s="24"/>
      <c r="I51" s="24"/>
      <c r="J51" s="96"/>
      <c r="K51" s="97"/>
      <c r="L51" s="97"/>
      <c r="M51" s="97"/>
      <c r="N51" s="97"/>
      <c r="O51" s="98"/>
      <c r="P51" s="24"/>
      <c r="Q51" s="24"/>
      <c r="R51" s="24"/>
      <c r="S51" s="24"/>
    </row>
    <row r="52" spans="1:19" ht="18" customHeight="1" x14ac:dyDescent="0.15">
      <c r="A52" s="3"/>
      <c r="B52" s="96"/>
      <c r="C52" s="97"/>
      <c r="D52" s="97"/>
      <c r="E52" s="98"/>
      <c r="F52" s="24"/>
      <c r="G52" s="24"/>
      <c r="H52" s="24"/>
      <c r="I52" s="24"/>
      <c r="J52" s="96"/>
      <c r="K52" s="97"/>
      <c r="L52" s="97"/>
      <c r="M52" s="97"/>
      <c r="N52" s="97"/>
      <c r="O52" s="98"/>
      <c r="P52" s="24"/>
      <c r="Q52" s="24"/>
      <c r="R52" s="24"/>
      <c r="S52" s="24"/>
    </row>
    <row r="53" spans="1:19" ht="18" customHeight="1" x14ac:dyDescent="0.15">
      <c r="A53" s="3"/>
      <c r="B53" s="99"/>
      <c r="C53" s="100"/>
      <c r="D53" s="100"/>
      <c r="E53" s="101"/>
      <c r="F53" s="25"/>
      <c r="G53" s="25"/>
      <c r="H53" s="26"/>
      <c r="I53" s="26"/>
      <c r="J53" s="99"/>
      <c r="K53" s="100"/>
      <c r="L53" s="100"/>
      <c r="M53" s="100"/>
      <c r="N53" s="100"/>
      <c r="O53" s="101"/>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5" t="s">
        <v>116</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B57" s="102" t="s">
        <v>53</v>
      </c>
      <c r="C57" s="103"/>
      <c r="D57" s="103"/>
      <c r="E57" s="104"/>
      <c r="F57" s="60" t="s">
        <v>80</v>
      </c>
      <c r="G57" s="59" t="s">
        <v>84</v>
      </c>
      <c r="H57" s="22" t="s">
        <v>58</v>
      </c>
      <c r="I57" s="22" t="s">
        <v>60</v>
      </c>
      <c r="J57" s="102" t="s">
        <v>53</v>
      </c>
      <c r="K57" s="103"/>
      <c r="L57" s="103"/>
      <c r="M57" s="103"/>
      <c r="N57" s="103"/>
      <c r="O57" s="104"/>
      <c r="P57" s="60" t="s">
        <v>80</v>
      </c>
      <c r="Q57" s="59" t="s">
        <v>84</v>
      </c>
      <c r="R57" s="22" t="s">
        <v>58</v>
      </c>
      <c r="S57" s="22" t="s">
        <v>60</v>
      </c>
    </row>
    <row r="58" spans="1:19" ht="18" customHeight="1" x14ac:dyDescent="0.15">
      <c r="A58" s="3"/>
      <c r="B58" s="106" t="s">
        <v>129</v>
      </c>
      <c r="C58" s="107"/>
      <c r="D58" s="107"/>
      <c r="E58" s="108"/>
      <c r="F58" s="23">
        <v>1</v>
      </c>
      <c r="G58" s="23" t="s">
        <v>131</v>
      </c>
      <c r="H58" s="23" t="s">
        <v>131</v>
      </c>
      <c r="I58" s="23" t="s">
        <v>131</v>
      </c>
      <c r="J58" s="106"/>
      <c r="K58" s="107"/>
      <c r="L58" s="107"/>
      <c r="M58" s="107"/>
      <c r="N58" s="107"/>
      <c r="O58" s="108"/>
      <c r="P58" s="23"/>
      <c r="Q58" s="23"/>
      <c r="R58" s="23"/>
      <c r="S58" s="23"/>
    </row>
    <row r="59" spans="1:19" ht="18" customHeight="1" x14ac:dyDescent="0.15">
      <c r="A59" s="3"/>
      <c r="B59" s="96"/>
      <c r="C59" s="97"/>
      <c r="D59" s="97"/>
      <c r="E59" s="98"/>
      <c r="F59" s="24"/>
      <c r="G59" s="24"/>
      <c r="H59" s="24"/>
      <c r="I59" s="24"/>
      <c r="J59" s="96"/>
      <c r="K59" s="97"/>
      <c r="L59" s="97"/>
      <c r="M59" s="97"/>
      <c r="N59" s="97"/>
      <c r="O59" s="98"/>
      <c r="P59" s="24"/>
      <c r="Q59" s="24"/>
      <c r="R59" s="24"/>
      <c r="S59" s="24"/>
    </row>
    <row r="60" spans="1:19" ht="18" customHeight="1" x14ac:dyDescent="0.15">
      <c r="A60" s="3"/>
      <c r="B60" s="96"/>
      <c r="C60" s="97"/>
      <c r="D60" s="97"/>
      <c r="E60" s="98"/>
      <c r="F60" s="24"/>
      <c r="G60" s="24"/>
      <c r="H60" s="24"/>
      <c r="I60" s="24"/>
      <c r="J60" s="96"/>
      <c r="K60" s="97"/>
      <c r="L60" s="97"/>
      <c r="M60" s="97"/>
      <c r="N60" s="97"/>
      <c r="O60" s="98"/>
      <c r="P60" s="24"/>
      <c r="Q60" s="24"/>
      <c r="R60" s="24"/>
      <c r="S60" s="24"/>
    </row>
    <row r="61" spans="1:19" ht="18" customHeight="1" x14ac:dyDescent="0.15">
      <c r="A61" s="3"/>
      <c r="B61" s="96"/>
      <c r="C61" s="97"/>
      <c r="D61" s="97"/>
      <c r="E61" s="98"/>
      <c r="F61" s="24"/>
      <c r="G61" s="24"/>
      <c r="H61" s="24"/>
      <c r="I61" s="24"/>
      <c r="J61" s="96"/>
      <c r="K61" s="97"/>
      <c r="L61" s="97"/>
      <c r="M61" s="97"/>
      <c r="N61" s="97"/>
      <c r="O61" s="98"/>
      <c r="P61" s="24"/>
      <c r="Q61" s="24"/>
      <c r="R61" s="24"/>
      <c r="S61" s="24"/>
    </row>
    <row r="62" spans="1:19" ht="18" customHeight="1" x14ac:dyDescent="0.15">
      <c r="A62" s="3"/>
      <c r="B62" s="96"/>
      <c r="C62" s="97"/>
      <c r="D62" s="97"/>
      <c r="E62" s="98"/>
      <c r="F62" s="24"/>
      <c r="G62" s="24"/>
      <c r="H62" s="24"/>
      <c r="I62" s="24"/>
      <c r="J62" s="96"/>
      <c r="K62" s="97"/>
      <c r="L62" s="97"/>
      <c r="M62" s="97"/>
      <c r="N62" s="97"/>
      <c r="O62" s="98"/>
      <c r="P62" s="24"/>
      <c r="Q62" s="24"/>
      <c r="R62" s="24"/>
      <c r="S62" s="24"/>
    </row>
    <row r="63" spans="1:19" ht="18" customHeight="1" x14ac:dyDescent="0.15">
      <c r="A63" s="3"/>
      <c r="B63" s="96"/>
      <c r="C63" s="97"/>
      <c r="D63" s="97"/>
      <c r="E63" s="98"/>
      <c r="F63" s="24"/>
      <c r="G63" s="24"/>
      <c r="H63" s="24"/>
      <c r="I63" s="24"/>
      <c r="J63" s="96"/>
      <c r="K63" s="97"/>
      <c r="L63" s="97"/>
      <c r="M63" s="97"/>
      <c r="N63" s="97"/>
      <c r="O63" s="98"/>
      <c r="P63" s="24"/>
      <c r="Q63" s="24"/>
      <c r="R63" s="24"/>
      <c r="S63" s="24"/>
    </row>
    <row r="64" spans="1:19" ht="18" customHeight="1" x14ac:dyDescent="0.15">
      <c r="A64" s="3"/>
      <c r="B64" s="99"/>
      <c r="C64" s="100"/>
      <c r="D64" s="100"/>
      <c r="E64" s="101"/>
      <c r="F64" s="25"/>
      <c r="G64" s="25"/>
      <c r="H64" s="26"/>
      <c r="I64" s="26"/>
      <c r="J64" s="99"/>
      <c r="K64" s="100"/>
      <c r="L64" s="100"/>
      <c r="M64" s="100"/>
      <c r="N64" s="100"/>
      <c r="O64" s="101"/>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5" t="s">
        <v>117</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B68" s="102" t="s">
        <v>53</v>
      </c>
      <c r="C68" s="103"/>
      <c r="D68" s="103"/>
      <c r="E68" s="60" t="s">
        <v>80</v>
      </c>
      <c r="F68" s="59" t="s">
        <v>84</v>
      </c>
      <c r="G68" s="22" t="s">
        <v>101</v>
      </c>
      <c r="H68" s="22" t="s">
        <v>75</v>
      </c>
      <c r="I68" s="22" t="s">
        <v>76</v>
      </c>
      <c r="J68" s="102" t="s">
        <v>53</v>
      </c>
      <c r="K68" s="103"/>
      <c r="L68" s="103"/>
      <c r="M68" s="103"/>
      <c r="N68" s="104"/>
      <c r="O68" s="60" t="s">
        <v>80</v>
      </c>
      <c r="P68" s="59" t="s">
        <v>84</v>
      </c>
      <c r="Q68" s="22" t="s">
        <v>101</v>
      </c>
      <c r="R68" s="22" t="s">
        <v>75</v>
      </c>
      <c r="S68" s="22" t="s">
        <v>76</v>
      </c>
    </row>
    <row r="69" spans="1:19" ht="18" customHeight="1" x14ac:dyDescent="0.15">
      <c r="A69" s="3"/>
      <c r="B69" s="106" t="s">
        <v>132</v>
      </c>
      <c r="C69" s="107"/>
      <c r="D69" s="108"/>
      <c r="E69" s="23">
        <v>1</v>
      </c>
      <c r="F69" s="23" t="s">
        <v>131</v>
      </c>
      <c r="G69" s="23" t="s">
        <v>131</v>
      </c>
      <c r="H69" s="23" t="s">
        <v>131</v>
      </c>
      <c r="I69" s="23" t="s">
        <v>131</v>
      </c>
      <c r="J69" s="106"/>
      <c r="K69" s="107"/>
      <c r="L69" s="107"/>
      <c r="M69" s="107"/>
      <c r="N69" s="108"/>
      <c r="O69" s="23"/>
      <c r="P69" s="23"/>
      <c r="Q69" s="23"/>
      <c r="R69" s="23"/>
      <c r="S69" s="23"/>
    </row>
    <row r="70" spans="1:19" ht="18" customHeight="1" x14ac:dyDescent="0.15">
      <c r="A70" s="3"/>
      <c r="B70" s="96"/>
      <c r="C70" s="97"/>
      <c r="D70" s="98"/>
      <c r="E70" s="24"/>
      <c r="F70" s="24"/>
      <c r="G70" s="24"/>
      <c r="H70" s="24"/>
      <c r="I70" s="24"/>
      <c r="J70" s="96"/>
      <c r="K70" s="97"/>
      <c r="L70" s="97"/>
      <c r="M70" s="97"/>
      <c r="N70" s="98"/>
      <c r="O70" s="24"/>
      <c r="P70" s="24"/>
      <c r="Q70" s="24"/>
      <c r="R70" s="24"/>
      <c r="S70" s="24"/>
    </row>
    <row r="71" spans="1:19" ht="18" customHeight="1" x14ac:dyDescent="0.15">
      <c r="A71" s="3"/>
      <c r="B71" s="96"/>
      <c r="C71" s="97"/>
      <c r="D71" s="97"/>
      <c r="E71" s="24"/>
      <c r="F71" s="24"/>
      <c r="G71" s="24"/>
      <c r="H71" s="24"/>
      <c r="I71" s="24"/>
      <c r="J71" s="96"/>
      <c r="K71" s="97"/>
      <c r="L71" s="97"/>
      <c r="M71" s="97"/>
      <c r="N71" s="98"/>
      <c r="O71" s="24"/>
      <c r="P71" s="24"/>
      <c r="Q71" s="24"/>
      <c r="R71" s="24"/>
      <c r="S71" s="24"/>
    </row>
    <row r="72" spans="1:19" ht="18" customHeight="1" x14ac:dyDescent="0.15">
      <c r="A72" s="3"/>
      <c r="B72" s="96"/>
      <c r="C72" s="97"/>
      <c r="D72" s="97"/>
      <c r="E72" s="24"/>
      <c r="F72" s="24"/>
      <c r="G72" s="24"/>
      <c r="H72" s="24"/>
      <c r="I72" s="24"/>
      <c r="J72" s="96"/>
      <c r="K72" s="97"/>
      <c r="L72" s="97"/>
      <c r="M72" s="97"/>
      <c r="N72" s="98"/>
      <c r="O72" s="24"/>
      <c r="P72" s="24"/>
      <c r="Q72" s="24"/>
      <c r="R72" s="24"/>
      <c r="S72" s="24"/>
    </row>
    <row r="73" spans="1:19" ht="18" customHeight="1" x14ac:dyDescent="0.15">
      <c r="A73" s="3"/>
      <c r="B73" s="96"/>
      <c r="C73" s="97"/>
      <c r="D73" s="97"/>
      <c r="E73" s="24"/>
      <c r="F73" s="24"/>
      <c r="G73" s="24"/>
      <c r="H73" s="24"/>
      <c r="I73" s="24"/>
      <c r="J73" s="96"/>
      <c r="K73" s="97"/>
      <c r="L73" s="97"/>
      <c r="M73" s="97"/>
      <c r="N73" s="98"/>
      <c r="O73" s="24"/>
      <c r="P73" s="24"/>
      <c r="Q73" s="24"/>
      <c r="R73" s="24"/>
      <c r="S73" s="24"/>
    </row>
    <row r="74" spans="1:19" ht="18" customHeight="1" x14ac:dyDescent="0.15">
      <c r="A74" s="3"/>
      <c r="B74" s="96"/>
      <c r="C74" s="97"/>
      <c r="D74" s="97"/>
      <c r="E74" s="24"/>
      <c r="F74" s="24"/>
      <c r="G74" s="24"/>
      <c r="H74" s="24"/>
      <c r="I74" s="24"/>
      <c r="J74" s="96"/>
      <c r="K74" s="97"/>
      <c r="L74" s="97"/>
      <c r="M74" s="97"/>
      <c r="N74" s="98"/>
      <c r="O74" s="24"/>
      <c r="P74" s="24"/>
      <c r="Q74" s="24"/>
      <c r="R74" s="24"/>
      <c r="S74" s="24"/>
    </row>
    <row r="75" spans="1:19" ht="18" customHeight="1" x14ac:dyDescent="0.15">
      <c r="A75" s="3"/>
      <c r="B75" s="99"/>
      <c r="C75" s="100"/>
      <c r="D75" s="100"/>
      <c r="E75" s="25"/>
      <c r="F75" s="25"/>
      <c r="G75" s="26"/>
      <c r="H75" s="26"/>
      <c r="I75" s="26"/>
      <c r="J75" s="99"/>
      <c r="K75" s="100"/>
      <c r="L75" s="100"/>
      <c r="M75" s="100"/>
      <c r="N75" s="101"/>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02" t="s">
        <v>53</v>
      </c>
      <c r="C78" s="103"/>
      <c r="D78" s="103"/>
      <c r="E78" s="104"/>
      <c r="F78" s="102" t="s">
        <v>82</v>
      </c>
      <c r="G78" s="103"/>
      <c r="H78" s="103"/>
      <c r="I78" s="104"/>
      <c r="J78" s="139" t="s">
        <v>53</v>
      </c>
      <c r="K78" s="140"/>
      <c r="L78" s="140"/>
      <c r="M78" s="140"/>
      <c r="N78" s="140"/>
      <c r="O78" s="141"/>
      <c r="P78" s="102" t="s">
        <v>82</v>
      </c>
      <c r="Q78" s="103"/>
      <c r="R78" s="103"/>
      <c r="S78" s="104"/>
    </row>
    <row r="79" spans="1:19" ht="18" customHeight="1" x14ac:dyDescent="0.15">
      <c r="A79" s="3"/>
      <c r="B79" s="106"/>
      <c r="C79" s="107"/>
      <c r="D79" s="107"/>
      <c r="E79" s="108"/>
      <c r="F79" s="147"/>
      <c r="G79" s="148"/>
      <c r="H79" s="148"/>
      <c r="I79" s="149"/>
      <c r="J79" s="106"/>
      <c r="K79" s="107"/>
      <c r="L79" s="107"/>
      <c r="M79" s="107"/>
      <c r="N79" s="107"/>
      <c r="O79" s="108"/>
      <c r="P79" s="147"/>
      <c r="Q79" s="148"/>
      <c r="R79" s="148"/>
      <c r="S79" s="149"/>
    </row>
    <row r="80" spans="1:19" ht="18" customHeight="1" x14ac:dyDescent="0.15">
      <c r="A80" s="3"/>
      <c r="B80" s="96"/>
      <c r="C80" s="97"/>
      <c r="D80" s="97"/>
      <c r="E80" s="98"/>
      <c r="F80" s="132"/>
      <c r="G80" s="133"/>
      <c r="H80" s="133"/>
      <c r="I80" s="134"/>
      <c r="J80" s="96"/>
      <c r="K80" s="97"/>
      <c r="L80" s="97"/>
      <c r="M80" s="97"/>
      <c r="N80" s="97"/>
      <c r="O80" s="98"/>
      <c r="P80" s="132"/>
      <c r="Q80" s="133"/>
      <c r="R80" s="133"/>
      <c r="S80" s="134"/>
    </row>
    <row r="81" spans="1:19" ht="18" customHeight="1" x14ac:dyDescent="0.15">
      <c r="A81" s="3"/>
      <c r="B81" s="96"/>
      <c r="C81" s="97"/>
      <c r="D81" s="97"/>
      <c r="E81" s="98"/>
      <c r="F81" s="132"/>
      <c r="G81" s="133"/>
      <c r="H81" s="133"/>
      <c r="I81" s="134"/>
      <c r="J81" s="96"/>
      <c r="K81" s="97"/>
      <c r="L81" s="97"/>
      <c r="M81" s="97"/>
      <c r="N81" s="97"/>
      <c r="O81" s="98"/>
      <c r="P81" s="132"/>
      <c r="Q81" s="133"/>
      <c r="R81" s="133"/>
      <c r="S81" s="134"/>
    </row>
    <row r="82" spans="1:19" ht="18" customHeight="1" x14ac:dyDescent="0.15">
      <c r="A82" s="3"/>
      <c r="B82" s="96"/>
      <c r="C82" s="97"/>
      <c r="D82" s="97"/>
      <c r="E82" s="98"/>
      <c r="F82" s="132"/>
      <c r="G82" s="133"/>
      <c r="H82" s="133"/>
      <c r="I82" s="134"/>
      <c r="J82" s="96"/>
      <c r="K82" s="97"/>
      <c r="L82" s="97"/>
      <c r="M82" s="97"/>
      <c r="N82" s="97"/>
      <c r="O82" s="98"/>
      <c r="P82" s="132"/>
      <c r="Q82" s="133"/>
      <c r="R82" s="133"/>
      <c r="S82" s="134"/>
    </row>
    <row r="83" spans="1:19" ht="18" customHeight="1" x14ac:dyDescent="0.15">
      <c r="A83" s="3"/>
      <c r="B83" s="96"/>
      <c r="C83" s="97"/>
      <c r="D83" s="97"/>
      <c r="E83" s="98"/>
      <c r="F83" s="132"/>
      <c r="G83" s="133"/>
      <c r="H83" s="133"/>
      <c r="I83" s="134"/>
      <c r="J83" s="96"/>
      <c r="K83" s="97"/>
      <c r="L83" s="97"/>
      <c r="M83" s="97"/>
      <c r="N83" s="97"/>
      <c r="O83" s="98"/>
      <c r="P83" s="132"/>
      <c r="Q83" s="133"/>
      <c r="R83" s="133"/>
      <c r="S83" s="134"/>
    </row>
    <row r="84" spans="1:19" ht="18" customHeight="1" x14ac:dyDescent="0.15">
      <c r="A84" s="3"/>
      <c r="B84" s="96"/>
      <c r="C84" s="97"/>
      <c r="D84" s="97"/>
      <c r="E84" s="98"/>
      <c r="F84" s="132"/>
      <c r="G84" s="133"/>
      <c r="H84" s="133"/>
      <c r="I84" s="134"/>
      <c r="J84" s="96"/>
      <c r="K84" s="97"/>
      <c r="L84" s="97"/>
      <c r="M84" s="97"/>
      <c r="N84" s="97"/>
      <c r="O84" s="98"/>
      <c r="P84" s="132"/>
      <c r="Q84" s="133"/>
      <c r="R84" s="133"/>
      <c r="S84" s="134"/>
    </row>
    <row r="85" spans="1:19" ht="18" customHeight="1" x14ac:dyDescent="0.15">
      <c r="A85" s="3"/>
      <c r="B85" s="99"/>
      <c r="C85" s="100"/>
      <c r="D85" s="100"/>
      <c r="E85" s="101"/>
      <c r="F85" s="129"/>
      <c r="G85" s="130"/>
      <c r="H85" s="130"/>
      <c r="I85" s="131"/>
      <c r="J85" s="99"/>
      <c r="K85" s="100"/>
      <c r="L85" s="100"/>
      <c r="M85" s="100"/>
      <c r="N85" s="100"/>
      <c r="O85" s="101"/>
      <c r="P85" s="129"/>
      <c r="Q85" s="130"/>
      <c r="R85" s="130"/>
      <c r="S85" s="13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45" t="s">
        <v>54</v>
      </c>
      <c r="C88" s="146"/>
      <c r="D88" s="103" t="s">
        <v>55</v>
      </c>
      <c r="E88" s="103"/>
      <c r="F88" s="103"/>
      <c r="G88" s="103"/>
      <c r="H88" s="103"/>
      <c r="I88" s="103"/>
      <c r="J88" s="103"/>
      <c r="K88" s="103"/>
      <c r="L88" s="103"/>
      <c r="M88" s="103"/>
      <c r="N88" s="103"/>
      <c r="O88" s="103"/>
      <c r="P88" s="103"/>
      <c r="Q88" s="103"/>
      <c r="R88" s="103"/>
      <c r="S88" s="104"/>
    </row>
    <row r="89" spans="1:19" ht="97.5" customHeight="1" x14ac:dyDescent="0.15">
      <c r="B89" s="142" t="s">
        <v>61</v>
      </c>
      <c r="C89" s="28" t="s">
        <v>56</v>
      </c>
      <c r="D89" s="135" t="s">
        <v>156</v>
      </c>
      <c r="E89" s="135"/>
      <c r="F89" s="135"/>
      <c r="G89" s="135"/>
      <c r="H89" s="135"/>
      <c r="I89" s="135"/>
      <c r="J89" s="135"/>
      <c r="K89" s="135"/>
      <c r="L89" s="135"/>
      <c r="M89" s="135"/>
      <c r="N89" s="135"/>
      <c r="O89" s="135"/>
      <c r="P89" s="135"/>
      <c r="Q89" s="135"/>
      <c r="R89" s="135"/>
      <c r="S89" s="136"/>
    </row>
    <row r="90" spans="1:19" ht="97.5" customHeight="1" x14ac:dyDescent="0.15">
      <c r="B90" s="144"/>
      <c r="C90" s="29" t="s">
        <v>77</v>
      </c>
      <c r="D90" s="135" t="s">
        <v>157</v>
      </c>
      <c r="E90" s="135"/>
      <c r="F90" s="135"/>
      <c r="G90" s="135"/>
      <c r="H90" s="135"/>
      <c r="I90" s="135"/>
      <c r="J90" s="135"/>
      <c r="K90" s="135"/>
      <c r="L90" s="135"/>
      <c r="M90" s="135"/>
      <c r="N90" s="135"/>
      <c r="O90" s="135"/>
      <c r="P90" s="135"/>
      <c r="Q90" s="135"/>
      <c r="R90" s="135"/>
      <c r="S90" s="136"/>
    </row>
    <row r="91" spans="1:19" ht="97.5" customHeight="1" x14ac:dyDescent="0.15">
      <c r="B91" s="142" t="s">
        <v>62</v>
      </c>
      <c r="C91" s="30" t="s">
        <v>71</v>
      </c>
      <c r="D91" s="135" t="s">
        <v>158</v>
      </c>
      <c r="E91" s="135"/>
      <c r="F91" s="135"/>
      <c r="G91" s="135"/>
      <c r="H91" s="135"/>
      <c r="I91" s="135"/>
      <c r="J91" s="135"/>
      <c r="K91" s="135"/>
      <c r="L91" s="135"/>
      <c r="M91" s="135"/>
      <c r="N91" s="135"/>
      <c r="O91" s="135"/>
      <c r="P91" s="135"/>
      <c r="Q91" s="135"/>
      <c r="R91" s="135"/>
      <c r="S91" s="136"/>
    </row>
    <row r="92" spans="1:19" ht="97.5" customHeight="1" x14ac:dyDescent="0.15">
      <c r="B92" s="143"/>
      <c r="C92" s="31" t="s">
        <v>72</v>
      </c>
      <c r="D92" s="135" t="s">
        <v>159</v>
      </c>
      <c r="E92" s="135"/>
      <c r="F92" s="135"/>
      <c r="G92" s="135"/>
      <c r="H92" s="135"/>
      <c r="I92" s="135"/>
      <c r="J92" s="135"/>
      <c r="K92" s="135"/>
      <c r="L92" s="135"/>
      <c r="M92" s="135"/>
      <c r="N92" s="135"/>
      <c r="O92" s="135"/>
      <c r="P92" s="135"/>
      <c r="Q92" s="135"/>
      <c r="R92" s="135"/>
      <c r="S92" s="136"/>
    </row>
    <row r="93" spans="1:19" ht="97.5" customHeight="1" x14ac:dyDescent="0.15">
      <c r="B93" s="142" t="s">
        <v>63</v>
      </c>
      <c r="C93" s="30" t="s">
        <v>73</v>
      </c>
      <c r="D93" s="135" t="s">
        <v>148</v>
      </c>
      <c r="E93" s="135"/>
      <c r="F93" s="135"/>
      <c r="G93" s="135"/>
      <c r="H93" s="135"/>
      <c r="I93" s="135"/>
      <c r="J93" s="135"/>
      <c r="K93" s="135"/>
      <c r="L93" s="135"/>
      <c r="M93" s="135"/>
      <c r="N93" s="135"/>
      <c r="O93" s="135"/>
      <c r="P93" s="135"/>
      <c r="Q93" s="135"/>
      <c r="R93" s="135"/>
      <c r="S93" s="136"/>
    </row>
    <row r="94" spans="1:19" ht="97.5" customHeight="1" x14ac:dyDescent="0.15">
      <c r="B94" s="143"/>
      <c r="C94" s="32" t="s">
        <v>74</v>
      </c>
      <c r="D94" s="254" t="s">
        <v>160</v>
      </c>
      <c r="E94" s="255"/>
      <c r="F94" s="255"/>
      <c r="G94" s="255"/>
      <c r="H94" s="255"/>
      <c r="I94" s="255"/>
      <c r="J94" s="255"/>
      <c r="K94" s="255"/>
      <c r="L94" s="255"/>
      <c r="M94" s="255"/>
      <c r="N94" s="255"/>
      <c r="O94" s="255"/>
      <c r="P94" s="255"/>
      <c r="Q94" s="255"/>
      <c r="R94" s="255"/>
      <c r="S94" s="256"/>
    </row>
    <row r="95" spans="1:19" ht="97.5" customHeight="1" x14ac:dyDescent="0.15">
      <c r="B95" s="142" t="s">
        <v>78</v>
      </c>
      <c r="C95" s="28" t="s">
        <v>58</v>
      </c>
      <c r="D95" s="135" t="s">
        <v>161</v>
      </c>
      <c r="E95" s="135"/>
      <c r="F95" s="135"/>
      <c r="G95" s="135"/>
      <c r="H95" s="135"/>
      <c r="I95" s="135"/>
      <c r="J95" s="135"/>
      <c r="K95" s="135"/>
      <c r="L95" s="135"/>
      <c r="M95" s="135"/>
      <c r="N95" s="135"/>
      <c r="O95" s="135"/>
      <c r="P95" s="135"/>
      <c r="Q95" s="135"/>
      <c r="R95" s="135"/>
      <c r="S95" s="136"/>
    </row>
    <row r="96" spans="1:19" ht="97.5" customHeight="1" x14ac:dyDescent="0.15">
      <c r="B96" s="143"/>
      <c r="C96" s="31" t="s">
        <v>60</v>
      </c>
      <c r="D96" s="135" t="s">
        <v>162</v>
      </c>
      <c r="E96" s="135"/>
      <c r="F96" s="135"/>
      <c r="G96" s="135"/>
      <c r="H96" s="135"/>
      <c r="I96" s="135"/>
      <c r="J96" s="135"/>
      <c r="K96" s="135"/>
      <c r="L96" s="135"/>
      <c r="M96" s="135"/>
      <c r="N96" s="135"/>
      <c r="O96" s="135"/>
      <c r="P96" s="135"/>
      <c r="Q96" s="135"/>
      <c r="R96" s="135"/>
      <c r="S96" s="136"/>
    </row>
    <row r="97" spans="1:19" ht="97.5" customHeight="1" x14ac:dyDescent="0.15">
      <c r="B97" s="142" t="s">
        <v>79</v>
      </c>
      <c r="C97" s="30" t="s">
        <v>57</v>
      </c>
      <c r="D97" s="137" t="s">
        <v>163</v>
      </c>
      <c r="E97" s="137"/>
      <c r="F97" s="137"/>
      <c r="G97" s="137"/>
      <c r="H97" s="137"/>
      <c r="I97" s="137"/>
      <c r="J97" s="137"/>
      <c r="K97" s="137"/>
      <c r="L97" s="137"/>
      <c r="M97" s="137"/>
      <c r="N97" s="137"/>
      <c r="O97" s="137"/>
      <c r="P97" s="137"/>
      <c r="Q97" s="137"/>
      <c r="R97" s="137"/>
      <c r="S97" s="138"/>
    </row>
    <row r="98" spans="1:19" ht="97.5" customHeight="1" x14ac:dyDescent="0.15">
      <c r="B98" s="144"/>
      <c r="C98" s="33" t="s">
        <v>75</v>
      </c>
      <c r="D98" s="137" t="s">
        <v>164</v>
      </c>
      <c r="E98" s="137"/>
      <c r="F98" s="137"/>
      <c r="G98" s="137"/>
      <c r="H98" s="137"/>
      <c r="I98" s="137"/>
      <c r="J98" s="137"/>
      <c r="K98" s="137"/>
      <c r="L98" s="137"/>
      <c r="M98" s="137"/>
      <c r="N98" s="137"/>
      <c r="O98" s="137"/>
      <c r="P98" s="137"/>
      <c r="Q98" s="137"/>
      <c r="R98" s="137"/>
      <c r="S98" s="138"/>
    </row>
    <row r="99" spans="1:19" ht="97.5" customHeight="1" x14ac:dyDescent="0.15">
      <c r="B99" s="143"/>
      <c r="C99" s="32" t="s">
        <v>76</v>
      </c>
      <c r="D99" s="137" t="s">
        <v>165</v>
      </c>
      <c r="E99" s="137"/>
      <c r="F99" s="137"/>
      <c r="G99" s="137"/>
      <c r="H99" s="137"/>
      <c r="I99" s="137"/>
      <c r="J99" s="137"/>
      <c r="K99" s="137"/>
      <c r="L99" s="137"/>
      <c r="M99" s="137"/>
      <c r="N99" s="137"/>
      <c r="O99" s="137"/>
      <c r="P99" s="137"/>
      <c r="Q99" s="137"/>
      <c r="R99" s="137"/>
      <c r="S99" s="138"/>
    </row>
    <row r="100" spans="1:19" ht="6" customHeight="1" x14ac:dyDescent="0.15"/>
    <row r="101" spans="1:19" ht="18.75" customHeight="1" x14ac:dyDescent="0.15">
      <c r="A101" s="1" t="s">
        <v>120</v>
      </c>
    </row>
    <row r="102" spans="1:19" ht="90" customHeight="1" x14ac:dyDescent="0.15">
      <c r="B102" s="126" t="s">
        <v>166</v>
      </c>
      <c r="C102" s="127"/>
      <c r="D102" s="127"/>
      <c r="E102" s="127"/>
      <c r="F102" s="127"/>
      <c r="G102" s="127"/>
      <c r="H102" s="127"/>
      <c r="I102" s="127"/>
      <c r="J102" s="127"/>
      <c r="K102" s="127"/>
      <c r="L102" s="127"/>
      <c r="M102" s="127"/>
      <c r="N102" s="127"/>
      <c r="O102" s="127"/>
      <c r="P102" s="127"/>
      <c r="Q102" s="127"/>
      <c r="R102" s="127"/>
      <c r="S102" s="128"/>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4" zoomScaleNormal="100" zoomScaleSheetLayoutView="100" workbookViewId="0">
      <selection activeCell="D97" sqref="D97:S97"/>
    </sheetView>
  </sheetViews>
  <sheetFormatPr defaultColWidth="9" defaultRowHeight="18.75" customHeight="1" x14ac:dyDescent="0.15"/>
  <cols>
    <col min="1" max="1" width="2.5" style="1" customWidth="1"/>
    <col min="2" max="2" width="16.5" style="1" customWidth="1"/>
    <col min="3" max="9" width="5.625" style="1" customWidth="1"/>
    <col min="10" max="10" width="5.75" style="1" customWidth="1"/>
    <col min="11"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9" t="s">
        <v>144</v>
      </c>
      <c r="S1" s="109"/>
      <c r="T1" s="2" t="s">
        <v>109</v>
      </c>
    </row>
    <row r="2" spans="1:22" ht="18.75" customHeight="1" x14ac:dyDescent="0.15">
      <c r="B2" s="34" t="s">
        <v>108</v>
      </c>
      <c r="C2" s="102" t="s">
        <v>126</v>
      </c>
      <c r="D2" s="103"/>
      <c r="E2" s="103"/>
      <c r="F2" s="103"/>
      <c r="G2" s="103"/>
      <c r="H2" s="103"/>
      <c r="I2" s="104"/>
      <c r="J2" s="35"/>
      <c r="K2" s="6"/>
      <c r="L2" s="6"/>
      <c r="M2" s="6"/>
      <c r="N2" s="6"/>
      <c r="O2" s="6"/>
      <c r="P2" s="6"/>
      <c r="Q2" s="6"/>
      <c r="R2" s="6"/>
      <c r="S2" s="6"/>
    </row>
    <row r="3" spans="1:22" ht="18.75" customHeight="1" x14ac:dyDescent="0.15">
      <c r="B3" s="34" t="s">
        <v>102</v>
      </c>
      <c r="C3" s="102" t="s">
        <v>127</v>
      </c>
      <c r="D3" s="103"/>
      <c r="E3" s="103"/>
      <c r="F3" s="103"/>
      <c r="G3" s="103"/>
      <c r="H3" s="103"/>
      <c r="I3" s="104"/>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13" t="s">
        <v>38</v>
      </c>
      <c r="B5" s="113"/>
      <c r="C5" s="113"/>
      <c r="D5" s="113"/>
      <c r="E5" s="113"/>
      <c r="F5" s="113"/>
      <c r="G5" s="113"/>
      <c r="H5" s="113"/>
      <c r="I5" s="113"/>
      <c r="J5" s="113"/>
      <c r="K5" s="113"/>
      <c r="L5" s="113"/>
      <c r="M5" s="113"/>
      <c r="N5" s="113"/>
      <c r="O5" s="113"/>
      <c r="P5" s="113"/>
      <c r="Q5" s="113"/>
      <c r="R5" s="113"/>
      <c r="S5" s="11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23" t="s">
        <v>128</v>
      </c>
      <c r="L7" s="124"/>
      <c r="M7" s="124"/>
      <c r="N7" s="124"/>
      <c r="O7" s="124"/>
      <c r="P7" s="124"/>
      <c r="Q7" s="124"/>
      <c r="R7" s="124"/>
      <c r="S7" s="12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90" t="s">
        <v>134</v>
      </c>
      <c r="C9" s="91"/>
      <c r="D9" s="91"/>
      <c r="E9" s="91"/>
      <c r="F9" s="91"/>
      <c r="G9" s="91"/>
      <c r="H9" s="91"/>
      <c r="I9" s="91"/>
      <c r="J9" s="91"/>
      <c r="K9" s="91"/>
      <c r="L9" s="91"/>
      <c r="M9" s="91"/>
      <c r="N9" s="91"/>
      <c r="O9" s="91"/>
      <c r="P9" s="91"/>
      <c r="Q9" s="91"/>
      <c r="R9" s="91"/>
      <c r="S9" s="92"/>
    </row>
    <row r="10" spans="1:22" ht="18" customHeight="1" x14ac:dyDescent="0.15">
      <c r="B10" s="93"/>
      <c r="C10" s="94"/>
      <c r="D10" s="94"/>
      <c r="E10" s="94"/>
      <c r="F10" s="94"/>
      <c r="G10" s="94"/>
      <c r="H10" s="94"/>
      <c r="I10" s="94"/>
      <c r="J10" s="94"/>
      <c r="K10" s="94"/>
      <c r="L10" s="94"/>
      <c r="M10" s="94"/>
      <c r="N10" s="94"/>
      <c r="O10" s="94"/>
      <c r="P10" s="94"/>
      <c r="Q10" s="94"/>
      <c r="R10" s="94"/>
      <c r="S10" s="95"/>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111</v>
      </c>
      <c r="B12" s="3"/>
      <c r="C12" s="3"/>
      <c r="D12" s="35"/>
      <c r="E12" s="35"/>
      <c r="F12" s="35"/>
      <c r="G12" s="35"/>
      <c r="H12" s="35"/>
      <c r="I12" s="35"/>
      <c r="J12" s="35"/>
      <c r="K12" s="38"/>
      <c r="L12" s="38"/>
      <c r="M12" s="38"/>
      <c r="N12" s="38"/>
      <c r="O12" s="38"/>
      <c r="P12" s="38"/>
      <c r="Q12" s="38"/>
      <c r="R12" s="38"/>
      <c r="S12" s="38"/>
    </row>
    <row r="13" spans="1:22" ht="18" customHeight="1" x14ac:dyDescent="0.15">
      <c r="B13" s="114" t="s">
        <v>147</v>
      </c>
      <c r="C13" s="115"/>
      <c r="D13" s="115"/>
      <c r="E13" s="115"/>
      <c r="F13" s="115"/>
      <c r="G13" s="115"/>
      <c r="H13" s="115"/>
      <c r="I13" s="115"/>
      <c r="J13" s="115"/>
      <c r="K13" s="115"/>
      <c r="L13" s="115"/>
      <c r="M13" s="115"/>
      <c r="N13" s="115"/>
      <c r="O13" s="115"/>
      <c r="P13" s="115"/>
      <c r="Q13" s="115"/>
      <c r="R13" s="115"/>
      <c r="S13" s="116"/>
      <c r="V13" s="1" t="s">
        <v>103</v>
      </c>
    </row>
    <row r="14" spans="1:22" ht="18" customHeight="1" x14ac:dyDescent="0.15">
      <c r="B14" s="117"/>
      <c r="C14" s="118"/>
      <c r="D14" s="118"/>
      <c r="E14" s="118"/>
      <c r="F14" s="118"/>
      <c r="G14" s="118"/>
      <c r="H14" s="118"/>
      <c r="I14" s="118"/>
      <c r="J14" s="118"/>
      <c r="K14" s="118"/>
      <c r="L14" s="118"/>
      <c r="M14" s="118"/>
      <c r="N14" s="118"/>
      <c r="O14" s="118"/>
      <c r="P14" s="118"/>
      <c r="Q14" s="118"/>
      <c r="R14" s="118"/>
      <c r="S14" s="119"/>
      <c r="V14" s="1" t="s">
        <v>110</v>
      </c>
    </row>
    <row r="15" spans="1:22" ht="18" customHeight="1" x14ac:dyDescent="0.15">
      <c r="B15" s="117"/>
      <c r="C15" s="118"/>
      <c r="D15" s="118"/>
      <c r="E15" s="118"/>
      <c r="F15" s="118"/>
      <c r="G15" s="118"/>
      <c r="H15" s="118"/>
      <c r="I15" s="118"/>
      <c r="J15" s="118"/>
      <c r="K15" s="118"/>
      <c r="L15" s="118"/>
      <c r="M15" s="118"/>
      <c r="N15" s="118"/>
      <c r="O15" s="118"/>
      <c r="P15" s="118"/>
      <c r="Q15" s="118"/>
      <c r="R15" s="118"/>
      <c r="S15" s="119"/>
      <c r="V15" s="1" t="s">
        <v>123</v>
      </c>
    </row>
    <row r="16" spans="1:22" ht="18" customHeight="1" x14ac:dyDescent="0.15">
      <c r="B16" s="117"/>
      <c r="C16" s="118"/>
      <c r="D16" s="118"/>
      <c r="E16" s="118"/>
      <c r="F16" s="118"/>
      <c r="G16" s="118"/>
      <c r="H16" s="118"/>
      <c r="I16" s="118"/>
      <c r="J16" s="118"/>
      <c r="K16" s="118"/>
      <c r="L16" s="118"/>
      <c r="M16" s="118"/>
      <c r="N16" s="118"/>
      <c r="O16" s="118"/>
      <c r="P16" s="118"/>
      <c r="Q16" s="118"/>
      <c r="R16" s="118"/>
      <c r="S16" s="119"/>
      <c r="V16" s="1" t="s">
        <v>125</v>
      </c>
    </row>
    <row r="17" spans="1:19" ht="18" customHeight="1" x14ac:dyDescent="0.15">
      <c r="B17" s="117"/>
      <c r="C17" s="118"/>
      <c r="D17" s="118"/>
      <c r="E17" s="118"/>
      <c r="F17" s="118"/>
      <c r="G17" s="118"/>
      <c r="H17" s="118"/>
      <c r="I17" s="118"/>
      <c r="J17" s="118"/>
      <c r="K17" s="118"/>
      <c r="L17" s="118"/>
      <c r="M17" s="118"/>
      <c r="N17" s="118"/>
      <c r="O17" s="118"/>
      <c r="P17" s="118"/>
      <c r="Q17" s="118"/>
      <c r="R17" s="118"/>
      <c r="S17" s="119"/>
    </row>
    <row r="18" spans="1:19" ht="18" customHeight="1" x14ac:dyDescent="0.15">
      <c r="B18" s="120"/>
      <c r="C18" s="121"/>
      <c r="D18" s="121"/>
      <c r="E18" s="121"/>
      <c r="F18" s="121"/>
      <c r="G18" s="121"/>
      <c r="H18" s="121"/>
      <c r="I18" s="121"/>
      <c r="J18" s="121"/>
      <c r="K18" s="121"/>
      <c r="L18" s="121"/>
      <c r="M18" s="121"/>
      <c r="N18" s="121"/>
      <c r="O18" s="121"/>
      <c r="P18" s="121"/>
      <c r="Q18" s="121"/>
      <c r="R18" s="121"/>
      <c r="S18" s="122"/>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02">
        <v>1</v>
      </c>
      <c r="D20" s="104"/>
      <c r="E20" s="39" t="s">
        <v>95</v>
      </c>
      <c r="G20" s="10"/>
      <c r="H20" s="3"/>
      <c r="I20" s="3"/>
      <c r="J20" s="35" t="s">
        <v>121</v>
      </c>
      <c r="K20" s="110" t="s">
        <v>110</v>
      </c>
      <c r="L20" s="111"/>
      <c r="M20" s="111"/>
      <c r="N20" s="111"/>
      <c r="O20" s="111"/>
      <c r="P20" s="111"/>
      <c r="Q20" s="111"/>
      <c r="R20" s="111"/>
      <c r="S20" s="112"/>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5" t="s">
        <v>113</v>
      </c>
      <c r="B22" s="105"/>
      <c r="C22" s="105"/>
      <c r="D22" s="105"/>
      <c r="E22" s="105"/>
      <c r="F22" s="105"/>
      <c r="G22" s="105"/>
      <c r="H22" s="105"/>
      <c r="I22" s="105"/>
      <c r="J22" s="105"/>
      <c r="K22" s="105"/>
      <c r="L22" s="105"/>
      <c r="M22" s="105"/>
      <c r="N22" s="105"/>
      <c r="O22" s="105"/>
      <c r="P22" s="105"/>
      <c r="Q22" s="105"/>
      <c r="R22" s="105"/>
      <c r="S22" s="105"/>
    </row>
    <row r="23" spans="1:19" ht="18" customHeight="1" x14ac:dyDescent="0.15">
      <c r="A23" s="105"/>
      <c r="B23" s="105"/>
      <c r="C23" s="105"/>
      <c r="D23" s="105"/>
      <c r="E23" s="105"/>
      <c r="F23" s="105"/>
      <c r="G23" s="105"/>
      <c r="H23" s="105"/>
      <c r="I23" s="105"/>
      <c r="J23" s="105"/>
      <c r="K23" s="105"/>
      <c r="L23" s="105"/>
      <c r="M23" s="105"/>
      <c r="N23" s="105"/>
      <c r="O23" s="105"/>
      <c r="P23" s="105"/>
      <c r="Q23" s="105"/>
      <c r="R23" s="105"/>
      <c r="S23" s="105"/>
    </row>
    <row r="24" spans="1:19" ht="18" customHeight="1" x14ac:dyDescent="0.15">
      <c r="B24" s="102" t="s">
        <v>53</v>
      </c>
      <c r="C24" s="103"/>
      <c r="D24" s="103"/>
      <c r="E24" s="104"/>
      <c r="F24" s="60" t="s">
        <v>80</v>
      </c>
      <c r="G24" s="59" t="s">
        <v>84</v>
      </c>
      <c r="H24" s="22" t="s">
        <v>56</v>
      </c>
      <c r="I24" s="22" t="s">
        <v>59</v>
      </c>
      <c r="J24" s="102" t="s">
        <v>53</v>
      </c>
      <c r="K24" s="103"/>
      <c r="L24" s="103"/>
      <c r="M24" s="103"/>
      <c r="N24" s="103"/>
      <c r="O24" s="104"/>
      <c r="P24" s="60" t="s">
        <v>80</v>
      </c>
      <c r="Q24" s="59" t="s">
        <v>84</v>
      </c>
      <c r="R24" s="22" t="s">
        <v>56</v>
      </c>
      <c r="S24" s="22" t="s">
        <v>59</v>
      </c>
    </row>
    <row r="25" spans="1:19" ht="18" customHeight="1" x14ac:dyDescent="0.15">
      <c r="B25" s="96" t="s">
        <v>130</v>
      </c>
      <c r="C25" s="97"/>
      <c r="D25" s="97"/>
      <c r="E25" s="98"/>
      <c r="F25" s="24">
        <v>1</v>
      </c>
      <c r="G25" s="24" t="s">
        <v>131</v>
      </c>
      <c r="H25" s="24" t="s">
        <v>131</v>
      </c>
      <c r="I25" s="24" t="s">
        <v>131</v>
      </c>
      <c r="J25" s="106"/>
      <c r="K25" s="107"/>
      <c r="L25" s="107"/>
      <c r="M25" s="107"/>
      <c r="N25" s="107"/>
      <c r="O25" s="108"/>
      <c r="P25" s="23"/>
      <c r="Q25" s="23"/>
      <c r="R25" s="23"/>
      <c r="S25" s="23"/>
    </row>
    <row r="26" spans="1:19" ht="18" customHeight="1" x14ac:dyDescent="0.15">
      <c r="B26" s="96"/>
      <c r="C26" s="97"/>
      <c r="D26" s="97"/>
      <c r="E26" s="98"/>
      <c r="F26" s="24"/>
      <c r="G26" s="24"/>
      <c r="H26" s="24"/>
      <c r="I26" s="24"/>
      <c r="J26" s="96"/>
      <c r="K26" s="97"/>
      <c r="L26" s="97"/>
      <c r="M26" s="97"/>
      <c r="N26" s="97"/>
      <c r="O26" s="98"/>
      <c r="P26" s="24"/>
      <c r="Q26" s="24"/>
      <c r="R26" s="24"/>
      <c r="S26" s="24"/>
    </row>
    <row r="27" spans="1:19" ht="18" customHeight="1" x14ac:dyDescent="0.15">
      <c r="B27" s="96"/>
      <c r="C27" s="97"/>
      <c r="D27" s="97"/>
      <c r="E27" s="98"/>
      <c r="F27" s="24"/>
      <c r="G27" s="24"/>
      <c r="H27" s="24"/>
      <c r="I27" s="24"/>
      <c r="J27" s="96"/>
      <c r="K27" s="97"/>
      <c r="L27" s="97"/>
      <c r="M27" s="97"/>
      <c r="N27" s="97"/>
      <c r="O27" s="98"/>
      <c r="P27" s="24"/>
      <c r="Q27" s="24"/>
      <c r="R27" s="24"/>
      <c r="S27" s="24"/>
    </row>
    <row r="28" spans="1:19" ht="18" customHeight="1" x14ac:dyDescent="0.15">
      <c r="B28" s="96"/>
      <c r="C28" s="97"/>
      <c r="D28" s="97"/>
      <c r="E28" s="98"/>
      <c r="F28" s="24"/>
      <c r="G28" s="24"/>
      <c r="H28" s="24"/>
      <c r="I28" s="24"/>
      <c r="J28" s="96"/>
      <c r="K28" s="97"/>
      <c r="L28" s="97"/>
      <c r="M28" s="97"/>
      <c r="N28" s="97"/>
      <c r="O28" s="98"/>
      <c r="P28" s="24"/>
      <c r="Q28" s="24"/>
      <c r="R28" s="24"/>
      <c r="S28" s="24"/>
    </row>
    <row r="29" spans="1:19" ht="18" customHeight="1" x14ac:dyDescent="0.15">
      <c r="B29" s="96"/>
      <c r="C29" s="97"/>
      <c r="D29" s="97"/>
      <c r="E29" s="98"/>
      <c r="F29" s="24"/>
      <c r="G29" s="24"/>
      <c r="H29" s="24"/>
      <c r="I29" s="24"/>
      <c r="J29" s="96"/>
      <c r="K29" s="97"/>
      <c r="L29" s="97"/>
      <c r="M29" s="97"/>
      <c r="N29" s="97"/>
      <c r="O29" s="98"/>
      <c r="P29" s="24"/>
      <c r="Q29" s="24"/>
      <c r="R29" s="24"/>
      <c r="S29" s="24"/>
    </row>
    <row r="30" spans="1:19" ht="18" customHeight="1" x14ac:dyDescent="0.15">
      <c r="A30" s="3"/>
      <c r="B30" s="96"/>
      <c r="C30" s="97"/>
      <c r="D30" s="97"/>
      <c r="E30" s="98"/>
      <c r="F30" s="24"/>
      <c r="G30" s="24"/>
      <c r="H30" s="24"/>
      <c r="I30" s="24"/>
      <c r="J30" s="96"/>
      <c r="K30" s="97"/>
      <c r="L30" s="97"/>
      <c r="M30" s="97"/>
      <c r="N30" s="97"/>
      <c r="O30" s="98"/>
      <c r="P30" s="24"/>
      <c r="Q30" s="24"/>
      <c r="R30" s="24"/>
      <c r="S30" s="24"/>
    </row>
    <row r="31" spans="1:19" ht="18" customHeight="1" x14ac:dyDescent="0.15">
      <c r="A31" s="3"/>
      <c r="B31" s="99"/>
      <c r="C31" s="100"/>
      <c r="D31" s="100"/>
      <c r="E31" s="101"/>
      <c r="F31" s="25"/>
      <c r="G31" s="25"/>
      <c r="H31" s="26"/>
      <c r="I31" s="26"/>
      <c r="J31" s="99"/>
      <c r="K31" s="100"/>
      <c r="L31" s="100"/>
      <c r="M31" s="100"/>
      <c r="N31" s="100"/>
      <c r="O31" s="101"/>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5" t="s">
        <v>114</v>
      </c>
      <c r="B33" s="105"/>
      <c r="C33" s="105"/>
      <c r="D33" s="105"/>
      <c r="E33" s="105"/>
      <c r="F33" s="105"/>
      <c r="G33" s="105"/>
      <c r="H33" s="105"/>
      <c r="I33" s="105"/>
      <c r="J33" s="105"/>
      <c r="K33" s="105"/>
      <c r="L33" s="105"/>
      <c r="M33" s="105"/>
      <c r="N33" s="105"/>
      <c r="O33" s="105"/>
      <c r="P33" s="105"/>
      <c r="Q33" s="105"/>
      <c r="R33" s="105"/>
      <c r="S33" s="105"/>
    </row>
    <row r="34" spans="1:19" ht="18" customHeight="1" x14ac:dyDescent="0.15">
      <c r="A34" s="105"/>
      <c r="B34" s="105"/>
      <c r="C34" s="105"/>
      <c r="D34" s="105"/>
      <c r="E34" s="105"/>
      <c r="F34" s="105"/>
      <c r="G34" s="105"/>
      <c r="H34" s="105"/>
      <c r="I34" s="105"/>
      <c r="J34" s="105"/>
      <c r="K34" s="105"/>
      <c r="L34" s="105"/>
      <c r="M34" s="105"/>
      <c r="N34" s="105"/>
      <c r="O34" s="105"/>
      <c r="P34" s="105"/>
      <c r="Q34" s="105"/>
      <c r="R34" s="105"/>
      <c r="S34" s="105"/>
    </row>
    <row r="35" spans="1:19" ht="18" customHeight="1" x14ac:dyDescent="0.15">
      <c r="B35" s="102" t="s">
        <v>53</v>
      </c>
      <c r="C35" s="103"/>
      <c r="D35" s="103"/>
      <c r="E35" s="104"/>
      <c r="F35" s="60" t="s">
        <v>80</v>
      </c>
      <c r="G35" s="59" t="s">
        <v>84</v>
      </c>
      <c r="H35" s="22" t="s">
        <v>71</v>
      </c>
      <c r="I35" s="22" t="s">
        <v>72</v>
      </c>
      <c r="J35" s="102" t="s">
        <v>53</v>
      </c>
      <c r="K35" s="103"/>
      <c r="L35" s="103"/>
      <c r="M35" s="103"/>
      <c r="N35" s="103"/>
      <c r="O35" s="104"/>
      <c r="P35" s="60" t="s">
        <v>80</v>
      </c>
      <c r="Q35" s="59" t="s">
        <v>84</v>
      </c>
      <c r="R35" s="22" t="s">
        <v>71</v>
      </c>
      <c r="S35" s="22" t="s">
        <v>72</v>
      </c>
    </row>
    <row r="36" spans="1:19" ht="18" customHeight="1" x14ac:dyDescent="0.15">
      <c r="B36" s="96" t="s">
        <v>130</v>
      </c>
      <c r="C36" s="97"/>
      <c r="D36" s="97"/>
      <c r="E36" s="98"/>
      <c r="F36" s="23">
        <v>1</v>
      </c>
      <c r="G36" s="23" t="s">
        <v>131</v>
      </c>
      <c r="H36" s="23" t="s">
        <v>131</v>
      </c>
      <c r="I36" s="23" t="s">
        <v>131</v>
      </c>
      <c r="J36" s="106"/>
      <c r="K36" s="107"/>
      <c r="L36" s="107"/>
      <c r="M36" s="107"/>
      <c r="N36" s="107"/>
      <c r="O36" s="108"/>
      <c r="P36" s="23"/>
      <c r="Q36" s="23"/>
      <c r="R36" s="23"/>
      <c r="S36" s="23"/>
    </row>
    <row r="37" spans="1:19" ht="18" customHeight="1" x14ac:dyDescent="0.15">
      <c r="B37" s="96"/>
      <c r="C37" s="97"/>
      <c r="D37" s="97"/>
      <c r="E37" s="98"/>
      <c r="F37" s="24"/>
      <c r="G37" s="24"/>
      <c r="H37" s="24"/>
      <c r="I37" s="24"/>
      <c r="J37" s="96"/>
      <c r="K37" s="97"/>
      <c r="L37" s="97"/>
      <c r="M37" s="97"/>
      <c r="N37" s="97"/>
      <c r="O37" s="98"/>
      <c r="P37" s="24"/>
      <c r="Q37" s="24"/>
      <c r="R37" s="24"/>
      <c r="S37" s="24"/>
    </row>
    <row r="38" spans="1:19" ht="18" customHeight="1" x14ac:dyDescent="0.15">
      <c r="B38" s="96"/>
      <c r="C38" s="97"/>
      <c r="D38" s="97"/>
      <c r="E38" s="98"/>
      <c r="F38" s="24"/>
      <c r="G38" s="24"/>
      <c r="H38" s="24"/>
      <c r="I38" s="24"/>
      <c r="J38" s="96"/>
      <c r="K38" s="97"/>
      <c r="L38" s="97"/>
      <c r="M38" s="97"/>
      <c r="N38" s="97"/>
      <c r="O38" s="98"/>
      <c r="P38" s="24"/>
      <c r="Q38" s="24"/>
      <c r="R38" s="24"/>
      <c r="S38" s="24"/>
    </row>
    <row r="39" spans="1:19" ht="18" customHeight="1" x14ac:dyDescent="0.15">
      <c r="B39" s="96"/>
      <c r="C39" s="97"/>
      <c r="D39" s="97"/>
      <c r="E39" s="98"/>
      <c r="F39" s="24"/>
      <c r="G39" s="24"/>
      <c r="H39" s="24"/>
      <c r="I39" s="24"/>
      <c r="J39" s="96"/>
      <c r="K39" s="97"/>
      <c r="L39" s="97"/>
      <c r="M39" s="97"/>
      <c r="N39" s="97"/>
      <c r="O39" s="98"/>
      <c r="P39" s="24"/>
      <c r="Q39" s="24"/>
      <c r="R39" s="24"/>
      <c r="S39" s="24"/>
    </row>
    <row r="40" spans="1:19" ht="18" customHeight="1" x14ac:dyDescent="0.15">
      <c r="B40" s="96"/>
      <c r="C40" s="97"/>
      <c r="D40" s="97"/>
      <c r="E40" s="98"/>
      <c r="F40" s="24"/>
      <c r="G40" s="24"/>
      <c r="H40" s="24"/>
      <c r="I40" s="24"/>
      <c r="J40" s="96"/>
      <c r="K40" s="97"/>
      <c r="L40" s="97"/>
      <c r="M40" s="97"/>
      <c r="N40" s="97"/>
      <c r="O40" s="98"/>
      <c r="P40" s="24"/>
      <c r="Q40" s="24"/>
      <c r="R40" s="24"/>
      <c r="S40" s="24"/>
    </row>
    <row r="41" spans="1:19" ht="18" customHeight="1" x14ac:dyDescent="0.15">
      <c r="B41" s="96"/>
      <c r="C41" s="97"/>
      <c r="D41" s="97"/>
      <c r="E41" s="98"/>
      <c r="F41" s="24"/>
      <c r="G41" s="24"/>
      <c r="H41" s="24"/>
      <c r="I41" s="24"/>
      <c r="J41" s="96"/>
      <c r="K41" s="97"/>
      <c r="L41" s="97"/>
      <c r="M41" s="97"/>
      <c r="N41" s="97"/>
      <c r="O41" s="98"/>
      <c r="P41" s="24"/>
      <c r="Q41" s="24"/>
      <c r="R41" s="24"/>
      <c r="S41" s="24"/>
    </row>
    <row r="42" spans="1:19" ht="18" customHeight="1" x14ac:dyDescent="0.15">
      <c r="B42" s="99"/>
      <c r="C42" s="100"/>
      <c r="D42" s="100"/>
      <c r="E42" s="101"/>
      <c r="F42" s="25"/>
      <c r="G42" s="25"/>
      <c r="H42" s="26"/>
      <c r="I42" s="26"/>
      <c r="J42" s="99"/>
      <c r="K42" s="100"/>
      <c r="L42" s="100"/>
      <c r="M42" s="100"/>
      <c r="N42" s="100"/>
      <c r="O42" s="101"/>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5" t="s">
        <v>115</v>
      </c>
      <c r="B44" s="105"/>
      <c r="C44" s="105"/>
      <c r="D44" s="105"/>
      <c r="E44" s="105"/>
      <c r="F44" s="105"/>
      <c r="G44" s="105"/>
      <c r="H44" s="105"/>
      <c r="I44" s="105"/>
      <c r="J44" s="105"/>
      <c r="K44" s="105"/>
      <c r="L44" s="105"/>
      <c r="M44" s="105"/>
      <c r="N44" s="105"/>
      <c r="O44" s="105"/>
      <c r="P44" s="105"/>
      <c r="Q44" s="105"/>
      <c r="R44" s="105"/>
      <c r="S44" s="105"/>
    </row>
    <row r="45" spans="1:19" ht="18" customHeight="1" x14ac:dyDescent="0.15">
      <c r="A45" s="105"/>
      <c r="B45" s="105"/>
      <c r="C45" s="105"/>
      <c r="D45" s="105"/>
      <c r="E45" s="105"/>
      <c r="F45" s="105"/>
      <c r="G45" s="105"/>
      <c r="H45" s="105"/>
      <c r="I45" s="105"/>
      <c r="J45" s="105"/>
      <c r="K45" s="105"/>
      <c r="L45" s="105"/>
      <c r="M45" s="105"/>
      <c r="N45" s="105"/>
      <c r="O45" s="105"/>
      <c r="P45" s="105"/>
      <c r="Q45" s="105"/>
      <c r="R45" s="105"/>
      <c r="S45" s="105"/>
    </row>
    <row r="46" spans="1:19" ht="18" customHeight="1" x14ac:dyDescent="0.15">
      <c r="B46" s="102" t="s">
        <v>53</v>
      </c>
      <c r="C46" s="103"/>
      <c r="D46" s="103"/>
      <c r="E46" s="104"/>
      <c r="F46" s="60" t="s">
        <v>80</v>
      </c>
      <c r="G46" s="59" t="s">
        <v>84</v>
      </c>
      <c r="H46" s="22" t="s">
        <v>73</v>
      </c>
      <c r="I46" s="22" t="s">
        <v>74</v>
      </c>
      <c r="J46" s="102" t="s">
        <v>53</v>
      </c>
      <c r="K46" s="103"/>
      <c r="L46" s="103"/>
      <c r="M46" s="103"/>
      <c r="N46" s="103"/>
      <c r="O46" s="104"/>
      <c r="P46" s="60" t="s">
        <v>80</v>
      </c>
      <c r="Q46" s="59" t="s">
        <v>84</v>
      </c>
      <c r="R46" s="22" t="s">
        <v>73</v>
      </c>
      <c r="S46" s="22" t="s">
        <v>74</v>
      </c>
    </row>
    <row r="47" spans="1:19" ht="18" customHeight="1" x14ac:dyDescent="0.15">
      <c r="A47" s="3"/>
      <c r="B47" s="96" t="s">
        <v>130</v>
      </c>
      <c r="C47" s="97"/>
      <c r="D47" s="97"/>
      <c r="E47" s="98"/>
      <c r="F47" s="23">
        <v>1</v>
      </c>
      <c r="G47" s="23" t="s">
        <v>131</v>
      </c>
      <c r="H47" s="23" t="s">
        <v>131</v>
      </c>
      <c r="I47" s="23" t="s">
        <v>131</v>
      </c>
      <c r="J47" s="106"/>
      <c r="K47" s="107"/>
      <c r="L47" s="107"/>
      <c r="M47" s="107"/>
      <c r="N47" s="107"/>
      <c r="O47" s="108"/>
      <c r="P47" s="23"/>
      <c r="Q47" s="23"/>
      <c r="R47" s="23"/>
      <c r="S47" s="23"/>
    </row>
    <row r="48" spans="1:19" ht="18" customHeight="1" x14ac:dyDescent="0.15">
      <c r="A48" s="3"/>
      <c r="B48" s="96"/>
      <c r="C48" s="97"/>
      <c r="D48" s="97"/>
      <c r="E48" s="98"/>
      <c r="F48" s="24"/>
      <c r="G48" s="24"/>
      <c r="H48" s="24"/>
      <c r="I48" s="24"/>
      <c r="J48" s="96"/>
      <c r="K48" s="97"/>
      <c r="L48" s="97"/>
      <c r="M48" s="97"/>
      <c r="N48" s="97"/>
      <c r="O48" s="98"/>
      <c r="P48" s="24"/>
      <c r="Q48" s="24"/>
      <c r="R48" s="24"/>
      <c r="S48" s="24"/>
    </row>
    <row r="49" spans="1:19" ht="18" customHeight="1" x14ac:dyDescent="0.15">
      <c r="A49" s="3"/>
      <c r="B49" s="96"/>
      <c r="C49" s="97"/>
      <c r="D49" s="97"/>
      <c r="E49" s="98"/>
      <c r="F49" s="24"/>
      <c r="G49" s="24"/>
      <c r="H49" s="24"/>
      <c r="I49" s="24"/>
      <c r="J49" s="96"/>
      <c r="K49" s="97"/>
      <c r="L49" s="97"/>
      <c r="M49" s="97"/>
      <c r="N49" s="97"/>
      <c r="O49" s="98"/>
      <c r="P49" s="24"/>
      <c r="Q49" s="24"/>
      <c r="R49" s="24"/>
      <c r="S49" s="24"/>
    </row>
    <row r="50" spans="1:19" ht="18" customHeight="1" x14ac:dyDescent="0.15">
      <c r="A50" s="3"/>
      <c r="B50" s="96"/>
      <c r="C50" s="97"/>
      <c r="D50" s="97"/>
      <c r="E50" s="98"/>
      <c r="F50" s="24"/>
      <c r="G50" s="24"/>
      <c r="H50" s="24"/>
      <c r="I50" s="24"/>
      <c r="J50" s="96"/>
      <c r="K50" s="97"/>
      <c r="L50" s="97"/>
      <c r="M50" s="97"/>
      <c r="N50" s="97"/>
      <c r="O50" s="98"/>
      <c r="P50" s="24"/>
      <c r="Q50" s="24"/>
      <c r="R50" s="24"/>
      <c r="S50" s="24"/>
    </row>
    <row r="51" spans="1:19" ht="18" customHeight="1" x14ac:dyDescent="0.15">
      <c r="A51" s="3"/>
      <c r="B51" s="96"/>
      <c r="C51" s="97"/>
      <c r="D51" s="97"/>
      <c r="E51" s="98"/>
      <c r="F51" s="24"/>
      <c r="G51" s="24"/>
      <c r="H51" s="24"/>
      <c r="I51" s="24"/>
      <c r="J51" s="96"/>
      <c r="K51" s="97"/>
      <c r="L51" s="97"/>
      <c r="M51" s="97"/>
      <c r="N51" s="97"/>
      <c r="O51" s="98"/>
      <c r="P51" s="24"/>
      <c r="Q51" s="24"/>
      <c r="R51" s="24"/>
      <c r="S51" s="24"/>
    </row>
    <row r="52" spans="1:19" ht="18" customHeight="1" x14ac:dyDescent="0.15">
      <c r="A52" s="3"/>
      <c r="B52" s="96"/>
      <c r="C52" s="97"/>
      <c r="D52" s="97"/>
      <c r="E52" s="98"/>
      <c r="F52" s="24"/>
      <c r="G52" s="24"/>
      <c r="H52" s="24"/>
      <c r="I52" s="24"/>
      <c r="J52" s="96"/>
      <c r="K52" s="97"/>
      <c r="L52" s="97"/>
      <c r="M52" s="97"/>
      <c r="N52" s="97"/>
      <c r="O52" s="98"/>
      <c r="P52" s="24"/>
      <c r="Q52" s="24"/>
      <c r="R52" s="24"/>
      <c r="S52" s="24"/>
    </row>
    <row r="53" spans="1:19" ht="18" customHeight="1" x14ac:dyDescent="0.15">
      <c r="A53" s="3"/>
      <c r="B53" s="99"/>
      <c r="C53" s="100"/>
      <c r="D53" s="100"/>
      <c r="E53" s="101"/>
      <c r="F53" s="25"/>
      <c r="G53" s="25"/>
      <c r="H53" s="26"/>
      <c r="I53" s="26"/>
      <c r="J53" s="99"/>
      <c r="K53" s="100"/>
      <c r="L53" s="100"/>
      <c r="M53" s="100"/>
      <c r="N53" s="100"/>
      <c r="O53" s="101"/>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5" t="s">
        <v>116</v>
      </c>
      <c r="B55" s="105"/>
      <c r="C55" s="105"/>
      <c r="D55" s="105"/>
      <c r="E55" s="105"/>
      <c r="F55" s="105"/>
      <c r="G55" s="105"/>
      <c r="H55" s="105"/>
      <c r="I55" s="105"/>
      <c r="J55" s="105"/>
      <c r="K55" s="105"/>
      <c r="L55" s="105"/>
      <c r="M55" s="105"/>
      <c r="N55" s="105"/>
      <c r="O55" s="105"/>
      <c r="P55" s="105"/>
      <c r="Q55" s="105"/>
      <c r="R55" s="105"/>
      <c r="S55" s="105"/>
    </row>
    <row r="56" spans="1:19" ht="18" customHeight="1" x14ac:dyDescent="0.15">
      <c r="A56" s="105"/>
      <c r="B56" s="105"/>
      <c r="C56" s="105"/>
      <c r="D56" s="105"/>
      <c r="E56" s="105"/>
      <c r="F56" s="105"/>
      <c r="G56" s="105"/>
      <c r="H56" s="105"/>
      <c r="I56" s="105"/>
      <c r="J56" s="105"/>
      <c r="K56" s="105"/>
      <c r="L56" s="105"/>
      <c r="M56" s="105"/>
      <c r="N56" s="105"/>
      <c r="O56" s="105"/>
      <c r="P56" s="105"/>
      <c r="Q56" s="105"/>
      <c r="R56" s="105"/>
      <c r="S56" s="105"/>
    </row>
    <row r="57" spans="1:19" ht="18" customHeight="1" x14ac:dyDescent="0.15">
      <c r="B57" s="102" t="s">
        <v>53</v>
      </c>
      <c r="C57" s="103"/>
      <c r="D57" s="103"/>
      <c r="E57" s="104"/>
      <c r="F57" s="60" t="s">
        <v>80</v>
      </c>
      <c r="G57" s="59" t="s">
        <v>84</v>
      </c>
      <c r="H57" s="22" t="s">
        <v>58</v>
      </c>
      <c r="I57" s="22" t="s">
        <v>60</v>
      </c>
      <c r="J57" s="102" t="s">
        <v>53</v>
      </c>
      <c r="K57" s="103"/>
      <c r="L57" s="103"/>
      <c r="M57" s="103"/>
      <c r="N57" s="103"/>
      <c r="O57" s="104"/>
      <c r="P57" s="60" t="s">
        <v>80</v>
      </c>
      <c r="Q57" s="59" t="s">
        <v>84</v>
      </c>
      <c r="R57" s="22" t="s">
        <v>58</v>
      </c>
      <c r="S57" s="22" t="s">
        <v>60</v>
      </c>
    </row>
    <row r="58" spans="1:19" ht="18" customHeight="1" x14ac:dyDescent="0.15">
      <c r="A58" s="3"/>
      <c r="B58" s="96" t="s">
        <v>130</v>
      </c>
      <c r="C58" s="97"/>
      <c r="D58" s="97"/>
      <c r="E58" s="98"/>
      <c r="F58" s="23">
        <v>1</v>
      </c>
      <c r="G58" s="23" t="s">
        <v>131</v>
      </c>
      <c r="H58" s="23" t="s">
        <v>131</v>
      </c>
      <c r="I58" s="23" t="s">
        <v>131</v>
      </c>
      <c r="J58" s="106"/>
      <c r="K58" s="107"/>
      <c r="L58" s="107"/>
      <c r="M58" s="107"/>
      <c r="N58" s="107"/>
      <c r="O58" s="108"/>
      <c r="P58" s="23"/>
      <c r="Q58" s="23"/>
      <c r="R58" s="23"/>
      <c r="S58" s="23"/>
    </row>
    <row r="59" spans="1:19" ht="18" customHeight="1" x14ac:dyDescent="0.15">
      <c r="A59" s="3"/>
      <c r="B59" s="96"/>
      <c r="C59" s="97"/>
      <c r="D59" s="97"/>
      <c r="E59" s="98"/>
      <c r="F59" s="24"/>
      <c r="G59" s="24"/>
      <c r="H59" s="24"/>
      <c r="I59" s="24"/>
      <c r="J59" s="96"/>
      <c r="K59" s="97"/>
      <c r="L59" s="97"/>
      <c r="M59" s="97"/>
      <c r="N59" s="97"/>
      <c r="O59" s="98"/>
      <c r="P59" s="24"/>
      <c r="Q59" s="24"/>
      <c r="R59" s="24"/>
      <c r="S59" s="24"/>
    </row>
    <row r="60" spans="1:19" ht="18" customHeight="1" x14ac:dyDescent="0.15">
      <c r="A60" s="3"/>
      <c r="B60" s="96"/>
      <c r="C60" s="97"/>
      <c r="D60" s="97"/>
      <c r="E60" s="98"/>
      <c r="F60" s="24"/>
      <c r="G60" s="24"/>
      <c r="H60" s="24"/>
      <c r="I60" s="24"/>
      <c r="J60" s="96"/>
      <c r="K60" s="97"/>
      <c r="L60" s="97"/>
      <c r="M60" s="97"/>
      <c r="N60" s="97"/>
      <c r="O60" s="98"/>
      <c r="P60" s="24"/>
      <c r="Q60" s="24"/>
      <c r="R60" s="24"/>
      <c r="S60" s="24"/>
    </row>
    <row r="61" spans="1:19" ht="18" customHeight="1" x14ac:dyDescent="0.15">
      <c r="A61" s="3"/>
      <c r="B61" s="96"/>
      <c r="C61" s="97"/>
      <c r="D61" s="97"/>
      <c r="E61" s="98"/>
      <c r="F61" s="24"/>
      <c r="G61" s="24"/>
      <c r="H61" s="24"/>
      <c r="I61" s="24"/>
      <c r="J61" s="96"/>
      <c r="K61" s="97"/>
      <c r="L61" s="97"/>
      <c r="M61" s="97"/>
      <c r="N61" s="97"/>
      <c r="O61" s="98"/>
      <c r="P61" s="24"/>
      <c r="Q61" s="24"/>
      <c r="R61" s="24"/>
      <c r="S61" s="24"/>
    </row>
    <row r="62" spans="1:19" ht="18" customHeight="1" x14ac:dyDescent="0.15">
      <c r="A62" s="3"/>
      <c r="B62" s="96"/>
      <c r="C62" s="97"/>
      <c r="D62" s="97"/>
      <c r="E62" s="98"/>
      <c r="F62" s="24"/>
      <c r="G62" s="24"/>
      <c r="H62" s="24"/>
      <c r="I62" s="24"/>
      <c r="J62" s="96"/>
      <c r="K62" s="97"/>
      <c r="L62" s="97"/>
      <c r="M62" s="97"/>
      <c r="N62" s="97"/>
      <c r="O62" s="98"/>
      <c r="P62" s="24"/>
      <c r="Q62" s="24"/>
      <c r="R62" s="24"/>
      <c r="S62" s="24"/>
    </row>
    <row r="63" spans="1:19" ht="18" customHeight="1" x14ac:dyDescent="0.15">
      <c r="A63" s="3"/>
      <c r="B63" s="96"/>
      <c r="C63" s="97"/>
      <c r="D63" s="97"/>
      <c r="E63" s="98"/>
      <c r="F63" s="24"/>
      <c r="G63" s="24"/>
      <c r="H63" s="24"/>
      <c r="I63" s="24"/>
      <c r="J63" s="96"/>
      <c r="K63" s="97"/>
      <c r="L63" s="97"/>
      <c r="M63" s="97"/>
      <c r="N63" s="97"/>
      <c r="O63" s="98"/>
      <c r="P63" s="24"/>
      <c r="Q63" s="24"/>
      <c r="R63" s="24"/>
      <c r="S63" s="24"/>
    </row>
    <row r="64" spans="1:19" ht="18" customHeight="1" x14ac:dyDescent="0.15">
      <c r="A64" s="3"/>
      <c r="B64" s="99"/>
      <c r="C64" s="100"/>
      <c r="D64" s="100"/>
      <c r="E64" s="101"/>
      <c r="F64" s="25"/>
      <c r="G64" s="25"/>
      <c r="H64" s="26"/>
      <c r="I64" s="26"/>
      <c r="J64" s="99"/>
      <c r="K64" s="100"/>
      <c r="L64" s="100"/>
      <c r="M64" s="100"/>
      <c r="N64" s="100"/>
      <c r="O64" s="101"/>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5" t="s">
        <v>117</v>
      </c>
      <c r="B66" s="105"/>
      <c r="C66" s="105"/>
      <c r="D66" s="105"/>
      <c r="E66" s="105"/>
      <c r="F66" s="105"/>
      <c r="G66" s="105"/>
      <c r="H66" s="105"/>
      <c r="I66" s="105"/>
      <c r="J66" s="105"/>
      <c r="K66" s="105"/>
      <c r="L66" s="105"/>
      <c r="M66" s="105"/>
      <c r="N66" s="105"/>
      <c r="O66" s="105"/>
      <c r="P66" s="105"/>
      <c r="Q66" s="105"/>
      <c r="R66" s="105"/>
      <c r="S66" s="105"/>
    </row>
    <row r="67" spans="1:19" ht="18" customHeight="1" x14ac:dyDescent="0.15">
      <c r="A67" s="105"/>
      <c r="B67" s="105"/>
      <c r="C67" s="105"/>
      <c r="D67" s="105"/>
      <c r="E67" s="105"/>
      <c r="F67" s="105"/>
      <c r="G67" s="105"/>
      <c r="H67" s="105"/>
      <c r="I67" s="105"/>
      <c r="J67" s="105"/>
      <c r="K67" s="105"/>
      <c r="L67" s="105"/>
      <c r="M67" s="105"/>
      <c r="N67" s="105"/>
      <c r="O67" s="105"/>
      <c r="P67" s="105"/>
      <c r="Q67" s="105"/>
      <c r="R67" s="105"/>
      <c r="S67" s="105"/>
    </row>
    <row r="68" spans="1:19" ht="18" customHeight="1" x14ac:dyDescent="0.15">
      <c r="B68" s="102" t="s">
        <v>53</v>
      </c>
      <c r="C68" s="103"/>
      <c r="D68" s="103"/>
      <c r="E68" s="60" t="s">
        <v>80</v>
      </c>
      <c r="F68" s="59" t="s">
        <v>84</v>
      </c>
      <c r="G68" s="22" t="s">
        <v>101</v>
      </c>
      <c r="H68" s="22" t="s">
        <v>75</v>
      </c>
      <c r="I68" s="22" t="s">
        <v>76</v>
      </c>
      <c r="J68" s="102" t="s">
        <v>53</v>
      </c>
      <c r="K68" s="103"/>
      <c r="L68" s="103"/>
      <c r="M68" s="103"/>
      <c r="N68" s="104"/>
      <c r="O68" s="60" t="s">
        <v>80</v>
      </c>
      <c r="P68" s="59" t="s">
        <v>84</v>
      </c>
      <c r="Q68" s="22" t="s">
        <v>101</v>
      </c>
      <c r="R68" s="22" t="s">
        <v>75</v>
      </c>
      <c r="S68" s="22" t="s">
        <v>76</v>
      </c>
    </row>
    <row r="69" spans="1:19" ht="18" customHeight="1" x14ac:dyDescent="0.15">
      <c r="A69" s="3"/>
      <c r="B69" s="96" t="s">
        <v>133</v>
      </c>
      <c r="C69" s="97"/>
      <c r="D69" s="98"/>
      <c r="E69" s="23">
        <v>1</v>
      </c>
      <c r="F69" s="23" t="s">
        <v>131</v>
      </c>
      <c r="G69" s="23" t="s">
        <v>131</v>
      </c>
      <c r="H69" s="23" t="s">
        <v>131</v>
      </c>
      <c r="I69" s="23" t="s">
        <v>131</v>
      </c>
      <c r="J69" s="106"/>
      <c r="K69" s="107"/>
      <c r="L69" s="107"/>
      <c r="M69" s="107"/>
      <c r="N69" s="108"/>
      <c r="O69" s="23"/>
      <c r="P69" s="23"/>
      <c r="Q69" s="23"/>
      <c r="R69" s="23"/>
      <c r="S69" s="23"/>
    </row>
    <row r="70" spans="1:19" ht="18" customHeight="1" x14ac:dyDescent="0.15">
      <c r="A70" s="3"/>
      <c r="B70" s="96"/>
      <c r="C70" s="97"/>
      <c r="D70" s="98"/>
      <c r="E70" s="24"/>
      <c r="F70" s="24"/>
      <c r="G70" s="24"/>
      <c r="H70" s="24"/>
      <c r="I70" s="24"/>
      <c r="J70" s="96"/>
      <c r="K70" s="97"/>
      <c r="L70" s="97"/>
      <c r="M70" s="97"/>
      <c r="N70" s="98"/>
      <c r="O70" s="24"/>
      <c r="P70" s="24"/>
      <c r="Q70" s="24"/>
      <c r="R70" s="24"/>
      <c r="S70" s="24"/>
    </row>
    <row r="71" spans="1:19" ht="18" customHeight="1" x14ac:dyDescent="0.15">
      <c r="A71" s="3"/>
      <c r="B71" s="96"/>
      <c r="C71" s="97"/>
      <c r="D71" s="97"/>
      <c r="E71" s="24"/>
      <c r="F71" s="24"/>
      <c r="G71" s="24"/>
      <c r="H71" s="24"/>
      <c r="I71" s="24"/>
      <c r="J71" s="96"/>
      <c r="K71" s="97"/>
      <c r="L71" s="97"/>
      <c r="M71" s="97"/>
      <c r="N71" s="98"/>
      <c r="O71" s="24"/>
      <c r="P71" s="24"/>
      <c r="Q71" s="24"/>
      <c r="R71" s="24"/>
      <c r="S71" s="24"/>
    </row>
    <row r="72" spans="1:19" ht="18" customHeight="1" x14ac:dyDescent="0.15">
      <c r="A72" s="3"/>
      <c r="B72" s="96"/>
      <c r="C72" s="97"/>
      <c r="D72" s="97"/>
      <c r="E72" s="24"/>
      <c r="F72" s="24"/>
      <c r="G72" s="24"/>
      <c r="H72" s="24"/>
      <c r="I72" s="24"/>
      <c r="J72" s="96"/>
      <c r="K72" s="97"/>
      <c r="L72" s="97"/>
      <c r="M72" s="97"/>
      <c r="N72" s="98"/>
      <c r="O72" s="24"/>
      <c r="P72" s="24"/>
      <c r="Q72" s="24"/>
      <c r="R72" s="24"/>
      <c r="S72" s="24"/>
    </row>
    <row r="73" spans="1:19" ht="18" customHeight="1" x14ac:dyDescent="0.15">
      <c r="A73" s="3"/>
      <c r="B73" s="96"/>
      <c r="C73" s="97"/>
      <c r="D73" s="97"/>
      <c r="E73" s="24"/>
      <c r="F73" s="24"/>
      <c r="G73" s="24"/>
      <c r="H73" s="24"/>
      <c r="I73" s="24"/>
      <c r="J73" s="96"/>
      <c r="K73" s="97"/>
      <c r="L73" s="97"/>
      <c r="M73" s="97"/>
      <c r="N73" s="98"/>
      <c r="O73" s="24"/>
      <c r="P73" s="24"/>
      <c r="Q73" s="24"/>
      <c r="R73" s="24"/>
      <c r="S73" s="24"/>
    </row>
    <row r="74" spans="1:19" ht="18" customHeight="1" x14ac:dyDescent="0.15">
      <c r="A74" s="3"/>
      <c r="B74" s="96"/>
      <c r="C74" s="97"/>
      <c r="D74" s="97"/>
      <c r="E74" s="24"/>
      <c r="F74" s="24"/>
      <c r="G74" s="24"/>
      <c r="H74" s="24"/>
      <c r="I74" s="24"/>
      <c r="J74" s="96"/>
      <c r="K74" s="97"/>
      <c r="L74" s="97"/>
      <c r="M74" s="97"/>
      <c r="N74" s="98"/>
      <c r="O74" s="24"/>
      <c r="P74" s="24"/>
      <c r="Q74" s="24"/>
      <c r="R74" s="24"/>
      <c r="S74" s="24"/>
    </row>
    <row r="75" spans="1:19" ht="18" customHeight="1" x14ac:dyDescent="0.15">
      <c r="A75" s="3"/>
      <c r="B75" s="99"/>
      <c r="C75" s="100"/>
      <c r="D75" s="100"/>
      <c r="E75" s="25"/>
      <c r="F75" s="25"/>
      <c r="G75" s="26"/>
      <c r="H75" s="26"/>
      <c r="I75" s="26"/>
      <c r="J75" s="99"/>
      <c r="K75" s="100"/>
      <c r="L75" s="100"/>
      <c r="M75" s="100"/>
      <c r="N75" s="101"/>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118</v>
      </c>
      <c r="H77" s="3"/>
      <c r="I77" s="3"/>
      <c r="J77" s="3"/>
      <c r="K77" s="3"/>
      <c r="L77" s="3"/>
      <c r="M77" s="3"/>
      <c r="N77" s="3"/>
      <c r="O77" s="3"/>
      <c r="P77" s="3"/>
      <c r="Q77" s="3"/>
      <c r="R77" s="3"/>
      <c r="S77" s="3"/>
    </row>
    <row r="78" spans="1:19" ht="18" customHeight="1" x14ac:dyDescent="0.15">
      <c r="B78" s="102" t="s">
        <v>53</v>
      </c>
      <c r="C78" s="103"/>
      <c r="D78" s="103"/>
      <c r="E78" s="104"/>
      <c r="F78" s="102" t="s">
        <v>82</v>
      </c>
      <c r="G78" s="103"/>
      <c r="H78" s="103"/>
      <c r="I78" s="104"/>
      <c r="J78" s="139" t="s">
        <v>53</v>
      </c>
      <c r="K78" s="140"/>
      <c r="L78" s="140"/>
      <c r="M78" s="140"/>
      <c r="N78" s="140"/>
      <c r="O78" s="141"/>
      <c r="P78" s="102" t="s">
        <v>82</v>
      </c>
      <c r="Q78" s="103"/>
      <c r="R78" s="103"/>
      <c r="S78" s="104"/>
    </row>
    <row r="79" spans="1:19" ht="18" customHeight="1" x14ac:dyDescent="0.15">
      <c r="A79" s="3"/>
      <c r="B79" s="106"/>
      <c r="C79" s="107"/>
      <c r="D79" s="107"/>
      <c r="E79" s="108"/>
      <c r="F79" s="147"/>
      <c r="G79" s="148"/>
      <c r="H79" s="148"/>
      <c r="I79" s="149"/>
      <c r="J79" s="106"/>
      <c r="K79" s="107"/>
      <c r="L79" s="107"/>
      <c r="M79" s="107"/>
      <c r="N79" s="107"/>
      <c r="O79" s="108"/>
      <c r="P79" s="147"/>
      <c r="Q79" s="148"/>
      <c r="R79" s="148"/>
      <c r="S79" s="149"/>
    </row>
    <row r="80" spans="1:19" ht="18" customHeight="1" x14ac:dyDescent="0.15">
      <c r="A80" s="3"/>
      <c r="B80" s="96"/>
      <c r="C80" s="97"/>
      <c r="D80" s="97"/>
      <c r="E80" s="98"/>
      <c r="F80" s="132"/>
      <c r="G80" s="133"/>
      <c r="H80" s="133"/>
      <c r="I80" s="134"/>
      <c r="J80" s="96"/>
      <c r="K80" s="97"/>
      <c r="L80" s="97"/>
      <c r="M80" s="97"/>
      <c r="N80" s="97"/>
      <c r="O80" s="98"/>
      <c r="P80" s="132"/>
      <c r="Q80" s="133"/>
      <c r="R80" s="133"/>
      <c r="S80" s="134"/>
    </row>
    <row r="81" spans="1:19" ht="18" customHeight="1" x14ac:dyDescent="0.15">
      <c r="A81" s="3"/>
      <c r="B81" s="96"/>
      <c r="C81" s="97"/>
      <c r="D81" s="97"/>
      <c r="E81" s="98"/>
      <c r="F81" s="132"/>
      <c r="G81" s="133"/>
      <c r="H81" s="133"/>
      <c r="I81" s="134"/>
      <c r="J81" s="96"/>
      <c r="K81" s="97"/>
      <c r="L81" s="97"/>
      <c r="M81" s="97"/>
      <c r="N81" s="97"/>
      <c r="O81" s="98"/>
      <c r="P81" s="132"/>
      <c r="Q81" s="133"/>
      <c r="R81" s="133"/>
      <c r="S81" s="134"/>
    </row>
    <row r="82" spans="1:19" ht="18" customHeight="1" x14ac:dyDescent="0.15">
      <c r="A82" s="3"/>
      <c r="B82" s="96"/>
      <c r="C82" s="97"/>
      <c r="D82" s="97"/>
      <c r="E82" s="98"/>
      <c r="F82" s="132"/>
      <c r="G82" s="133"/>
      <c r="H82" s="133"/>
      <c r="I82" s="134"/>
      <c r="J82" s="96"/>
      <c r="K82" s="97"/>
      <c r="L82" s="97"/>
      <c r="M82" s="97"/>
      <c r="N82" s="97"/>
      <c r="O82" s="98"/>
      <c r="P82" s="132"/>
      <c r="Q82" s="133"/>
      <c r="R82" s="133"/>
      <c r="S82" s="134"/>
    </row>
    <row r="83" spans="1:19" ht="18" customHeight="1" x14ac:dyDescent="0.15">
      <c r="A83" s="3"/>
      <c r="B83" s="96"/>
      <c r="C83" s="97"/>
      <c r="D83" s="97"/>
      <c r="E83" s="98"/>
      <c r="F83" s="132"/>
      <c r="G83" s="133"/>
      <c r="H83" s="133"/>
      <c r="I83" s="134"/>
      <c r="J83" s="96"/>
      <c r="K83" s="97"/>
      <c r="L83" s="97"/>
      <c r="M83" s="97"/>
      <c r="N83" s="97"/>
      <c r="O83" s="98"/>
      <c r="P83" s="132"/>
      <c r="Q83" s="133"/>
      <c r="R83" s="133"/>
      <c r="S83" s="134"/>
    </row>
    <row r="84" spans="1:19" ht="18" customHeight="1" x14ac:dyDescent="0.15">
      <c r="A84" s="3"/>
      <c r="B84" s="96"/>
      <c r="C84" s="97"/>
      <c r="D84" s="97"/>
      <c r="E84" s="98"/>
      <c r="F84" s="132"/>
      <c r="G84" s="133"/>
      <c r="H84" s="133"/>
      <c r="I84" s="134"/>
      <c r="J84" s="96"/>
      <c r="K84" s="97"/>
      <c r="L84" s="97"/>
      <c r="M84" s="97"/>
      <c r="N84" s="97"/>
      <c r="O84" s="98"/>
      <c r="P84" s="132"/>
      <c r="Q84" s="133"/>
      <c r="R84" s="133"/>
      <c r="S84" s="134"/>
    </row>
    <row r="85" spans="1:19" ht="18" customHeight="1" x14ac:dyDescent="0.15">
      <c r="A85" s="3"/>
      <c r="B85" s="99"/>
      <c r="C85" s="100"/>
      <c r="D85" s="100"/>
      <c r="E85" s="101"/>
      <c r="F85" s="129"/>
      <c r="G85" s="130"/>
      <c r="H85" s="130"/>
      <c r="I85" s="131"/>
      <c r="J85" s="99"/>
      <c r="K85" s="100"/>
      <c r="L85" s="100"/>
      <c r="M85" s="100"/>
      <c r="N85" s="100"/>
      <c r="O85" s="101"/>
      <c r="P85" s="129"/>
      <c r="Q85" s="130"/>
      <c r="R85" s="130"/>
      <c r="S85" s="13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119</v>
      </c>
    </row>
    <row r="88" spans="1:19" ht="18.75" customHeight="1" x14ac:dyDescent="0.15">
      <c r="B88" s="145" t="s">
        <v>54</v>
      </c>
      <c r="C88" s="146"/>
      <c r="D88" s="103" t="s">
        <v>55</v>
      </c>
      <c r="E88" s="103"/>
      <c r="F88" s="103"/>
      <c r="G88" s="103"/>
      <c r="H88" s="103"/>
      <c r="I88" s="103"/>
      <c r="J88" s="103"/>
      <c r="K88" s="103"/>
      <c r="L88" s="103"/>
      <c r="M88" s="103"/>
      <c r="N88" s="103"/>
      <c r="O88" s="103"/>
      <c r="P88" s="103"/>
      <c r="Q88" s="103"/>
      <c r="R88" s="103"/>
      <c r="S88" s="104"/>
    </row>
    <row r="89" spans="1:19" ht="97.5" customHeight="1" x14ac:dyDescent="0.15">
      <c r="B89" s="142" t="s">
        <v>61</v>
      </c>
      <c r="C89" s="28" t="s">
        <v>56</v>
      </c>
      <c r="D89" s="135" t="s">
        <v>167</v>
      </c>
      <c r="E89" s="135"/>
      <c r="F89" s="135"/>
      <c r="G89" s="135"/>
      <c r="H89" s="135"/>
      <c r="I89" s="135"/>
      <c r="J89" s="135"/>
      <c r="K89" s="135"/>
      <c r="L89" s="135"/>
      <c r="M89" s="135"/>
      <c r="N89" s="135"/>
      <c r="O89" s="135"/>
      <c r="P89" s="135"/>
      <c r="Q89" s="135"/>
      <c r="R89" s="135"/>
      <c r="S89" s="136"/>
    </row>
    <row r="90" spans="1:19" ht="97.5" customHeight="1" x14ac:dyDescent="0.15">
      <c r="B90" s="144"/>
      <c r="C90" s="29" t="s">
        <v>77</v>
      </c>
      <c r="D90" s="135" t="s">
        <v>168</v>
      </c>
      <c r="E90" s="135"/>
      <c r="F90" s="135"/>
      <c r="G90" s="135"/>
      <c r="H90" s="135"/>
      <c r="I90" s="135"/>
      <c r="J90" s="135"/>
      <c r="K90" s="135"/>
      <c r="L90" s="135"/>
      <c r="M90" s="135"/>
      <c r="N90" s="135"/>
      <c r="O90" s="135"/>
      <c r="P90" s="135"/>
      <c r="Q90" s="135"/>
      <c r="R90" s="135"/>
      <c r="S90" s="136"/>
    </row>
    <row r="91" spans="1:19" ht="97.5" customHeight="1" x14ac:dyDescent="0.15">
      <c r="B91" s="142" t="s">
        <v>62</v>
      </c>
      <c r="C91" s="30" t="s">
        <v>71</v>
      </c>
      <c r="D91" s="135" t="s">
        <v>169</v>
      </c>
      <c r="E91" s="135"/>
      <c r="F91" s="135"/>
      <c r="G91" s="135"/>
      <c r="H91" s="135"/>
      <c r="I91" s="135"/>
      <c r="J91" s="135"/>
      <c r="K91" s="135"/>
      <c r="L91" s="135"/>
      <c r="M91" s="135"/>
      <c r="N91" s="135"/>
      <c r="O91" s="135"/>
      <c r="P91" s="135"/>
      <c r="Q91" s="135"/>
      <c r="R91" s="135"/>
      <c r="S91" s="136"/>
    </row>
    <row r="92" spans="1:19" ht="97.5" customHeight="1" x14ac:dyDescent="0.15">
      <c r="B92" s="143"/>
      <c r="C92" s="31" t="s">
        <v>72</v>
      </c>
      <c r="D92" s="135" t="s">
        <v>170</v>
      </c>
      <c r="E92" s="135"/>
      <c r="F92" s="135"/>
      <c r="G92" s="135"/>
      <c r="H92" s="135"/>
      <c r="I92" s="135"/>
      <c r="J92" s="135"/>
      <c r="K92" s="135"/>
      <c r="L92" s="135"/>
      <c r="M92" s="135"/>
      <c r="N92" s="135"/>
      <c r="O92" s="135"/>
      <c r="P92" s="135"/>
      <c r="Q92" s="135"/>
      <c r="R92" s="135"/>
      <c r="S92" s="136"/>
    </row>
    <row r="93" spans="1:19" ht="97.5" customHeight="1" x14ac:dyDescent="0.15">
      <c r="B93" s="142" t="s">
        <v>63</v>
      </c>
      <c r="C93" s="30" t="s">
        <v>73</v>
      </c>
      <c r="D93" s="135" t="s">
        <v>149</v>
      </c>
      <c r="E93" s="135"/>
      <c r="F93" s="135"/>
      <c r="G93" s="135"/>
      <c r="H93" s="135"/>
      <c r="I93" s="135"/>
      <c r="J93" s="135"/>
      <c r="K93" s="135"/>
      <c r="L93" s="135"/>
      <c r="M93" s="135"/>
      <c r="N93" s="135"/>
      <c r="O93" s="135"/>
      <c r="P93" s="135"/>
      <c r="Q93" s="135"/>
      <c r="R93" s="135"/>
      <c r="S93" s="136"/>
    </row>
    <row r="94" spans="1:19" ht="97.5" customHeight="1" x14ac:dyDescent="0.15">
      <c r="B94" s="143"/>
      <c r="C94" s="32" t="s">
        <v>74</v>
      </c>
      <c r="D94" s="254" t="s">
        <v>171</v>
      </c>
      <c r="E94" s="255"/>
      <c r="F94" s="255"/>
      <c r="G94" s="255"/>
      <c r="H94" s="255"/>
      <c r="I94" s="255"/>
      <c r="J94" s="255"/>
      <c r="K94" s="255"/>
      <c r="L94" s="255"/>
      <c r="M94" s="255"/>
      <c r="N94" s="255"/>
      <c r="O94" s="255"/>
      <c r="P94" s="255"/>
      <c r="Q94" s="255"/>
      <c r="R94" s="255"/>
      <c r="S94" s="256"/>
    </row>
    <row r="95" spans="1:19" ht="97.5" customHeight="1" x14ac:dyDescent="0.15">
      <c r="B95" s="142" t="s">
        <v>78</v>
      </c>
      <c r="C95" s="28" t="s">
        <v>58</v>
      </c>
      <c r="D95" s="135" t="s">
        <v>172</v>
      </c>
      <c r="E95" s="135"/>
      <c r="F95" s="135"/>
      <c r="G95" s="135"/>
      <c r="H95" s="135"/>
      <c r="I95" s="135"/>
      <c r="J95" s="135"/>
      <c r="K95" s="135"/>
      <c r="L95" s="135"/>
      <c r="M95" s="135"/>
      <c r="N95" s="135"/>
      <c r="O95" s="135"/>
      <c r="P95" s="135"/>
      <c r="Q95" s="135"/>
      <c r="R95" s="135"/>
      <c r="S95" s="136"/>
    </row>
    <row r="96" spans="1:19" ht="97.5" customHeight="1" x14ac:dyDescent="0.15">
      <c r="B96" s="143"/>
      <c r="C96" s="31" t="s">
        <v>60</v>
      </c>
      <c r="D96" s="135" t="s">
        <v>173</v>
      </c>
      <c r="E96" s="135"/>
      <c r="F96" s="135"/>
      <c r="G96" s="135"/>
      <c r="H96" s="135"/>
      <c r="I96" s="135"/>
      <c r="J96" s="135"/>
      <c r="K96" s="135"/>
      <c r="L96" s="135"/>
      <c r="M96" s="135"/>
      <c r="N96" s="135"/>
      <c r="O96" s="135"/>
      <c r="P96" s="135"/>
      <c r="Q96" s="135"/>
      <c r="R96" s="135"/>
      <c r="S96" s="136"/>
    </row>
    <row r="97" spans="1:19" ht="97.5" customHeight="1" x14ac:dyDescent="0.15">
      <c r="B97" s="142" t="s">
        <v>79</v>
      </c>
      <c r="C97" s="30" t="s">
        <v>57</v>
      </c>
      <c r="D97" s="137" t="s">
        <v>174</v>
      </c>
      <c r="E97" s="137"/>
      <c r="F97" s="137"/>
      <c r="G97" s="137"/>
      <c r="H97" s="137"/>
      <c r="I97" s="137"/>
      <c r="J97" s="137"/>
      <c r="K97" s="137"/>
      <c r="L97" s="137"/>
      <c r="M97" s="137"/>
      <c r="N97" s="137"/>
      <c r="O97" s="137"/>
      <c r="P97" s="137"/>
      <c r="Q97" s="137"/>
      <c r="R97" s="137"/>
      <c r="S97" s="138"/>
    </row>
    <row r="98" spans="1:19" ht="97.5" customHeight="1" x14ac:dyDescent="0.15">
      <c r="B98" s="144"/>
      <c r="C98" s="33" t="s">
        <v>75</v>
      </c>
      <c r="D98" s="137" t="s">
        <v>175</v>
      </c>
      <c r="E98" s="137"/>
      <c r="F98" s="137"/>
      <c r="G98" s="137"/>
      <c r="H98" s="137"/>
      <c r="I98" s="137"/>
      <c r="J98" s="137"/>
      <c r="K98" s="137"/>
      <c r="L98" s="137"/>
      <c r="M98" s="137"/>
      <c r="N98" s="137"/>
      <c r="O98" s="137"/>
      <c r="P98" s="137"/>
      <c r="Q98" s="137"/>
      <c r="R98" s="137"/>
      <c r="S98" s="138"/>
    </row>
    <row r="99" spans="1:19" ht="97.5" customHeight="1" x14ac:dyDescent="0.15">
      <c r="B99" s="143"/>
      <c r="C99" s="32" t="s">
        <v>76</v>
      </c>
      <c r="D99" s="137" t="s">
        <v>176</v>
      </c>
      <c r="E99" s="137"/>
      <c r="F99" s="137"/>
      <c r="G99" s="137"/>
      <c r="H99" s="137"/>
      <c r="I99" s="137"/>
      <c r="J99" s="137"/>
      <c r="K99" s="137"/>
      <c r="L99" s="137"/>
      <c r="M99" s="137"/>
      <c r="N99" s="137"/>
      <c r="O99" s="137"/>
      <c r="P99" s="137"/>
      <c r="Q99" s="137"/>
      <c r="R99" s="137"/>
      <c r="S99" s="138"/>
    </row>
    <row r="100" spans="1:19" ht="6" customHeight="1" x14ac:dyDescent="0.15"/>
    <row r="101" spans="1:19" ht="18.75" customHeight="1" x14ac:dyDescent="0.15">
      <c r="A101" s="1" t="s">
        <v>120</v>
      </c>
    </row>
    <row r="102" spans="1:19" ht="90" customHeight="1" x14ac:dyDescent="0.15">
      <c r="B102" s="126" t="s">
        <v>177</v>
      </c>
      <c r="C102" s="127"/>
      <c r="D102" s="127"/>
      <c r="E102" s="127"/>
      <c r="F102" s="127"/>
      <c r="G102" s="127"/>
      <c r="H102" s="127"/>
      <c r="I102" s="127"/>
      <c r="J102" s="127"/>
      <c r="K102" s="127"/>
      <c r="L102" s="127"/>
      <c r="M102" s="127"/>
      <c r="N102" s="127"/>
      <c r="O102" s="127"/>
      <c r="P102" s="127"/>
      <c r="Q102" s="127"/>
      <c r="R102" s="127"/>
      <c r="S102" s="128"/>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P69:S75 Q25:S31 G36:I42 Q36:S42 G47:I53 Q47:S53 G58:I64 Q58:S64 F69:I75 G25:I31">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B1" zoomScaleNormal="100" zoomScaleSheetLayoutView="100" workbookViewId="0">
      <selection activeCell="D19" sqref="D19"/>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5"/>
      <c r="Q2" s="35"/>
      <c r="W2" s="35"/>
      <c r="AC2" s="35"/>
      <c r="AI2" s="35"/>
      <c r="AL2" s="35" t="s">
        <v>108</v>
      </c>
      <c r="AM2" s="153" t="str">
        <f>'様式１－１　プログラムを構成する授業科目'!C2</f>
        <v>大分大学</v>
      </c>
      <c r="AN2" s="153"/>
      <c r="AO2" s="153"/>
      <c r="AP2" s="153"/>
      <c r="AQ2" s="153"/>
    </row>
    <row r="3" spans="1:45" ht="18" customHeight="1" x14ac:dyDescent="0.15">
      <c r="A3" s="113" t="s">
        <v>47</v>
      </c>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54">
        <v>2022</v>
      </c>
      <c r="D5" s="155"/>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56" t="s">
        <v>44</v>
      </c>
      <c r="C9" s="171" t="s">
        <v>86</v>
      </c>
      <c r="D9" s="159" t="s">
        <v>46</v>
      </c>
      <c r="E9" s="162" t="s">
        <v>39</v>
      </c>
      <c r="F9" s="152" t="s">
        <v>85</v>
      </c>
      <c r="G9" s="152"/>
      <c r="H9" s="152"/>
      <c r="I9" s="152"/>
      <c r="J9" s="152"/>
      <c r="K9" s="152"/>
      <c r="L9" s="152" t="s">
        <v>48</v>
      </c>
      <c r="M9" s="152"/>
      <c r="N9" s="152"/>
      <c r="O9" s="152"/>
      <c r="P9" s="152"/>
      <c r="Q9" s="152"/>
      <c r="R9" s="152" t="s">
        <v>49</v>
      </c>
      <c r="S9" s="152"/>
      <c r="T9" s="152"/>
      <c r="U9" s="152"/>
      <c r="V9" s="152"/>
      <c r="W9" s="152"/>
      <c r="X9" s="152" t="s">
        <v>100</v>
      </c>
      <c r="Y9" s="152"/>
      <c r="Z9" s="152"/>
      <c r="AA9" s="152"/>
      <c r="AB9" s="152"/>
      <c r="AC9" s="152"/>
      <c r="AD9" s="152" t="s">
        <v>50</v>
      </c>
      <c r="AE9" s="152"/>
      <c r="AF9" s="152"/>
      <c r="AG9" s="152"/>
      <c r="AH9" s="152"/>
      <c r="AI9" s="152"/>
      <c r="AJ9" s="152" t="s">
        <v>51</v>
      </c>
      <c r="AK9" s="152"/>
      <c r="AL9" s="152"/>
      <c r="AM9" s="152"/>
      <c r="AN9" s="152"/>
      <c r="AO9" s="152"/>
      <c r="AP9" s="165" t="s">
        <v>34</v>
      </c>
      <c r="AQ9" s="168" t="s">
        <v>31</v>
      </c>
      <c r="AS9" s="2"/>
    </row>
    <row r="10" spans="1:45" ht="16.899999999999999" customHeight="1" x14ac:dyDescent="0.15">
      <c r="B10" s="157"/>
      <c r="C10" s="172"/>
      <c r="D10" s="160"/>
      <c r="E10" s="163"/>
      <c r="F10" s="150" t="s">
        <v>96</v>
      </c>
      <c r="G10" s="151"/>
      <c r="H10" s="151"/>
      <c r="I10" s="150" t="s">
        <v>28</v>
      </c>
      <c r="J10" s="151"/>
      <c r="K10" s="151"/>
      <c r="L10" s="150" t="s">
        <v>96</v>
      </c>
      <c r="M10" s="151"/>
      <c r="N10" s="151"/>
      <c r="O10" s="150" t="s">
        <v>28</v>
      </c>
      <c r="P10" s="151"/>
      <c r="Q10" s="151"/>
      <c r="R10" s="150" t="s">
        <v>96</v>
      </c>
      <c r="S10" s="151"/>
      <c r="T10" s="151"/>
      <c r="U10" s="150" t="s">
        <v>28</v>
      </c>
      <c r="V10" s="151"/>
      <c r="W10" s="151"/>
      <c r="X10" s="150" t="s">
        <v>96</v>
      </c>
      <c r="Y10" s="151"/>
      <c r="Z10" s="151"/>
      <c r="AA10" s="150" t="s">
        <v>28</v>
      </c>
      <c r="AB10" s="151"/>
      <c r="AC10" s="151"/>
      <c r="AD10" s="150" t="s">
        <v>96</v>
      </c>
      <c r="AE10" s="151"/>
      <c r="AF10" s="151"/>
      <c r="AG10" s="150" t="s">
        <v>28</v>
      </c>
      <c r="AH10" s="151"/>
      <c r="AI10" s="151"/>
      <c r="AJ10" s="150" t="s">
        <v>96</v>
      </c>
      <c r="AK10" s="151"/>
      <c r="AL10" s="151"/>
      <c r="AM10" s="150" t="s">
        <v>28</v>
      </c>
      <c r="AN10" s="151"/>
      <c r="AO10" s="151"/>
      <c r="AP10" s="166"/>
      <c r="AQ10" s="169"/>
      <c r="AS10" s="2"/>
    </row>
    <row r="11" spans="1:45" ht="18" customHeight="1" x14ac:dyDescent="0.15">
      <c r="B11" s="158"/>
      <c r="C11" s="173"/>
      <c r="D11" s="161"/>
      <c r="E11" s="164"/>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67"/>
      <c r="AQ11" s="170"/>
      <c r="AS11" s="2"/>
    </row>
    <row r="12" spans="1:45" ht="18" customHeight="1" x14ac:dyDescent="0.15">
      <c r="A12" s="6"/>
      <c r="B12" s="11" t="s">
        <v>134</v>
      </c>
      <c r="C12" s="61">
        <v>560</v>
      </c>
      <c r="D12" s="62">
        <v>135</v>
      </c>
      <c r="E12" s="63">
        <v>540</v>
      </c>
      <c r="F12" s="63">
        <v>135</v>
      </c>
      <c r="G12" s="81"/>
      <c r="H12" s="82"/>
      <c r="I12" s="63">
        <v>135</v>
      </c>
      <c r="J12" s="81"/>
      <c r="K12" s="82"/>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135</v>
      </c>
      <c r="AQ12" s="21">
        <f t="shared" ref="AQ12:AQ32" si="0">AP12/E12</f>
        <v>0.25</v>
      </c>
    </row>
    <row r="13" spans="1:45" ht="18" customHeight="1" x14ac:dyDescent="0.15">
      <c r="A13" s="6"/>
      <c r="B13" s="12" t="s">
        <v>135</v>
      </c>
      <c r="C13" s="66">
        <v>1230</v>
      </c>
      <c r="D13" s="67">
        <v>290</v>
      </c>
      <c r="E13" s="68">
        <v>1180</v>
      </c>
      <c r="F13" s="69">
        <v>291</v>
      </c>
      <c r="G13" s="83"/>
      <c r="H13" s="84"/>
      <c r="I13" s="69">
        <v>283</v>
      </c>
      <c r="J13" s="83"/>
      <c r="K13" s="84"/>
      <c r="L13" s="69">
        <f t="shared" ref="L13:L31" si="1">M13+N13</f>
        <v>0</v>
      </c>
      <c r="M13" s="70"/>
      <c r="N13" s="71"/>
      <c r="O13" s="69">
        <f t="shared" ref="O13:O31" si="2">P13+Q13</f>
        <v>0</v>
      </c>
      <c r="P13" s="70"/>
      <c r="Q13" s="71"/>
      <c r="R13" s="69">
        <f t="shared" ref="R13:R31" si="3">S13+T13</f>
        <v>0</v>
      </c>
      <c r="S13" s="70"/>
      <c r="T13" s="71"/>
      <c r="U13" s="69">
        <f t="shared" ref="U13:U31" si="4">V13+W13</f>
        <v>0</v>
      </c>
      <c r="V13" s="70"/>
      <c r="W13" s="71"/>
      <c r="X13" s="69">
        <f t="shared" ref="X13:X31" si="5">Y13+Z13</f>
        <v>0</v>
      </c>
      <c r="Y13" s="70"/>
      <c r="Z13" s="71"/>
      <c r="AA13" s="69">
        <f t="shared" ref="AA13:AA31" si="6">AB13+AC13</f>
        <v>0</v>
      </c>
      <c r="AB13" s="70"/>
      <c r="AC13" s="71"/>
      <c r="AD13" s="69">
        <f t="shared" ref="AD13:AD31" si="7">AE13+AF13</f>
        <v>0</v>
      </c>
      <c r="AE13" s="70"/>
      <c r="AF13" s="71"/>
      <c r="AG13" s="69">
        <f t="shared" ref="AG13:AG31" si="8">AH13+AI13</f>
        <v>0</v>
      </c>
      <c r="AH13" s="70"/>
      <c r="AI13" s="71"/>
      <c r="AJ13" s="69">
        <f t="shared" ref="AJ13:AJ31" si="9">AK13+AL13</f>
        <v>0</v>
      </c>
      <c r="AK13" s="70"/>
      <c r="AL13" s="71"/>
      <c r="AM13" s="69">
        <f t="shared" ref="AM13:AM31" si="10">AN13+AO13</f>
        <v>0</v>
      </c>
      <c r="AN13" s="70"/>
      <c r="AO13" s="71"/>
      <c r="AP13" s="67">
        <f t="shared" ref="AP13:AP31" si="11">F13+L13+R13+X13+AD13+AJ13</f>
        <v>291</v>
      </c>
      <c r="AQ13" s="20">
        <f t="shared" si="0"/>
        <v>0.24661016949152542</v>
      </c>
    </row>
    <row r="14" spans="1:45" ht="18" customHeight="1" x14ac:dyDescent="0.15">
      <c r="A14" s="6"/>
      <c r="B14" s="12" t="s">
        <v>136</v>
      </c>
      <c r="C14" s="66">
        <v>903</v>
      </c>
      <c r="D14" s="67">
        <v>160</v>
      </c>
      <c r="E14" s="68">
        <v>902</v>
      </c>
      <c r="F14" s="69">
        <v>160</v>
      </c>
      <c r="G14" s="83"/>
      <c r="H14" s="84"/>
      <c r="I14" s="69">
        <v>160</v>
      </c>
      <c r="J14" s="83"/>
      <c r="K14" s="84"/>
      <c r="L14" s="69">
        <f t="shared" si="1"/>
        <v>0</v>
      </c>
      <c r="M14" s="70"/>
      <c r="N14" s="71"/>
      <c r="O14" s="69">
        <f t="shared" si="2"/>
        <v>0</v>
      </c>
      <c r="P14" s="70"/>
      <c r="Q14" s="71"/>
      <c r="R14" s="69">
        <f t="shared" si="3"/>
        <v>0</v>
      </c>
      <c r="S14" s="70"/>
      <c r="T14" s="71"/>
      <c r="U14" s="69">
        <f t="shared" si="4"/>
        <v>0</v>
      </c>
      <c r="V14" s="70"/>
      <c r="W14" s="71"/>
      <c r="X14" s="69">
        <f t="shared" si="5"/>
        <v>0</v>
      </c>
      <c r="Y14" s="70"/>
      <c r="Z14" s="71"/>
      <c r="AA14" s="69">
        <f t="shared" si="6"/>
        <v>0</v>
      </c>
      <c r="AB14" s="70"/>
      <c r="AC14" s="71"/>
      <c r="AD14" s="69">
        <f t="shared" si="7"/>
        <v>0</v>
      </c>
      <c r="AE14" s="70"/>
      <c r="AF14" s="71"/>
      <c r="AG14" s="69">
        <f t="shared" si="8"/>
        <v>0</v>
      </c>
      <c r="AH14" s="70"/>
      <c r="AI14" s="71"/>
      <c r="AJ14" s="69">
        <f t="shared" si="9"/>
        <v>0</v>
      </c>
      <c r="AK14" s="70"/>
      <c r="AL14" s="71"/>
      <c r="AM14" s="69">
        <f t="shared" si="10"/>
        <v>0</v>
      </c>
      <c r="AN14" s="70"/>
      <c r="AO14" s="71"/>
      <c r="AP14" s="67">
        <f t="shared" si="11"/>
        <v>160</v>
      </c>
      <c r="AQ14" s="8">
        <f t="shared" si="0"/>
        <v>0.17738359201773837</v>
      </c>
    </row>
    <row r="15" spans="1:45" ht="18" customHeight="1" x14ac:dyDescent="0.15">
      <c r="A15" s="6"/>
      <c r="B15" s="12" t="s">
        <v>137</v>
      </c>
      <c r="C15" s="66">
        <v>1652</v>
      </c>
      <c r="D15" s="67">
        <v>385</v>
      </c>
      <c r="E15" s="68">
        <v>1560</v>
      </c>
      <c r="F15" s="69">
        <v>379</v>
      </c>
      <c r="G15" s="83"/>
      <c r="H15" s="84"/>
      <c r="I15" s="69">
        <v>370</v>
      </c>
      <c r="J15" s="83"/>
      <c r="K15" s="84"/>
      <c r="L15" s="69">
        <f t="shared" si="1"/>
        <v>0</v>
      </c>
      <c r="M15" s="70"/>
      <c r="N15" s="71"/>
      <c r="O15" s="69">
        <f t="shared" si="2"/>
        <v>0</v>
      </c>
      <c r="P15" s="70"/>
      <c r="Q15" s="71"/>
      <c r="R15" s="69">
        <f t="shared" si="3"/>
        <v>0</v>
      </c>
      <c r="S15" s="70"/>
      <c r="T15" s="71"/>
      <c r="U15" s="69">
        <f t="shared" si="4"/>
        <v>0</v>
      </c>
      <c r="V15" s="70"/>
      <c r="W15" s="71"/>
      <c r="X15" s="69">
        <f t="shared" si="5"/>
        <v>0</v>
      </c>
      <c r="Y15" s="70"/>
      <c r="Z15" s="71"/>
      <c r="AA15" s="69">
        <f t="shared" si="6"/>
        <v>0</v>
      </c>
      <c r="AB15" s="70"/>
      <c r="AC15" s="71"/>
      <c r="AD15" s="69">
        <f t="shared" si="7"/>
        <v>0</v>
      </c>
      <c r="AE15" s="70"/>
      <c r="AF15" s="71"/>
      <c r="AG15" s="69">
        <f t="shared" si="8"/>
        <v>0</v>
      </c>
      <c r="AH15" s="70"/>
      <c r="AI15" s="71"/>
      <c r="AJ15" s="69">
        <f t="shared" si="9"/>
        <v>0</v>
      </c>
      <c r="AK15" s="70"/>
      <c r="AL15" s="71"/>
      <c r="AM15" s="69">
        <f t="shared" si="10"/>
        <v>0</v>
      </c>
      <c r="AN15" s="70"/>
      <c r="AO15" s="71"/>
      <c r="AP15" s="67">
        <f t="shared" si="11"/>
        <v>379</v>
      </c>
      <c r="AQ15" s="8">
        <f t="shared" si="0"/>
        <v>0.24294871794871795</v>
      </c>
    </row>
    <row r="16" spans="1:45" ht="18" customHeight="1" x14ac:dyDescent="0.15">
      <c r="A16" s="6"/>
      <c r="B16" s="12" t="s">
        <v>138</v>
      </c>
      <c r="C16" s="66">
        <v>421</v>
      </c>
      <c r="D16" s="67">
        <v>100</v>
      </c>
      <c r="E16" s="68">
        <v>400</v>
      </c>
      <c r="F16" s="69">
        <v>51</v>
      </c>
      <c r="G16" s="83"/>
      <c r="H16" s="84"/>
      <c r="I16" s="69">
        <v>47</v>
      </c>
      <c r="J16" s="83"/>
      <c r="K16" s="84"/>
      <c r="L16" s="69">
        <f t="shared" si="1"/>
        <v>0</v>
      </c>
      <c r="M16" s="70"/>
      <c r="N16" s="71"/>
      <c r="O16" s="69">
        <f t="shared" si="2"/>
        <v>0</v>
      </c>
      <c r="P16" s="70"/>
      <c r="Q16" s="71"/>
      <c r="R16" s="69">
        <f t="shared" si="3"/>
        <v>0</v>
      </c>
      <c r="S16" s="70"/>
      <c r="T16" s="71"/>
      <c r="U16" s="69">
        <f t="shared" si="4"/>
        <v>0</v>
      </c>
      <c r="V16" s="70"/>
      <c r="W16" s="71"/>
      <c r="X16" s="69">
        <f t="shared" si="5"/>
        <v>0</v>
      </c>
      <c r="Y16" s="70"/>
      <c r="Z16" s="71"/>
      <c r="AA16" s="69">
        <f t="shared" si="6"/>
        <v>0</v>
      </c>
      <c r="AB16" s="70"/>
      <c r="AC16" s="71"/>
      <c r="AD16" s="69">
        <f t="shared" si="7"/>
        <v>0</v>
      </c>
      <c r="AE16" s="70"/>
      <c r="AF16" s="71"/>
      <c r="AG16" s="69">
        <f t="shared" si="8"/>
        <v>0</v>
      </c>
      <c r="AH16" s="70"/>
      <c r="AI16" s="71"/>
      <c r="AJ16" s="69">
        <f t="shared" si="9"/>
        <v>0</v>
      </c>
      <c r="AK16" s="70"/>
      <c r="AL16" s="71"/>
      <c r="AM16" s="69">
        <f t="shared" si="10"/>
        <v>0</v>
      </c>
      <c r="AN16" s="70"/>
      <c r="AO16" s="71"/>
      <c r="AP16" s="67">
        <f t="shared" si="11"/>
        <v>51</v>
      </c>
      <c r="AQ16" s="8">
        <f t="shared" si="0"/>
        <v>0.1275</v>
      </c>
    </row>
    <row r="17" spans="1:43" ht="18" customHeight="1" x14ac:dyDescent="0.15">
      <c r="A17" s="6"/>
      <c r="B17" s="12"/>
      <c r="C17" s="66"/>
      <c r="D17" s="67"/>
      <c r="E17" s="68"/>
      <c r="F17" s="69">
        <f t="shared" ref="F17:F31" si="12">G17+H17</f>
        <v>0</v>
      </c>
      <c r="G17" s="70"/>
      <c r="H17" s="71"/>
      <c r="I17" s="69">
        <f t="shared" ref="I17:I31" si="13">J17+K17</f>
        <v>0</v>
      </c>
      <c r="J17" s="70"/>
      <c r="K17" s="71"/>
      <c r="L17" s="69">
        <f t="shared" si="1"/>
        <v>0</v>
      </c>
      <c r="M17" s="70"/>
      <c r="N17" s="71"/>
      <c r="O17" s="69">
        <f t="shared" si="2"/>
        <v>0</v>
      </c>
      <c r="P17" s="70"/>
      <c r="Q17" s="71"/>
      <c r="R17" s="69">
        <f t="shared" si="3"/>
        <v>0</v>
      </c>
      <c r="S17" s="70"/>
      <c r="T17" s="71"/>
      <c r="U17" s="69">
        <f t="shared" si="4"/>
        <v>0</v>
      </c>
      <c r="V17" s="70"/>
      <c r="W17" s="71"/>
      <c r="X17" s="69">
        <f t="shared" si="5"/>
        <v>0</v>
      </c>
      <c r="Y17" s="70"/>
      <c r="Z17" s="71"/>
      <c r="AA17" s="69">
        <f t="shared" si="6"/>
        <v>0</v>
      </c>
      <c r="AB17" s="70"/>
      <c r="AC17" s="71"/>
      <c r="AD17" s="69">
        <f t="shared" si="7"/>
        <v>0</v>
      </c>
      <c r="AE17" s="70"/>
      <c r="AF17" s="71"/>
      <c r="AG17" s="69">
        <f t="shared" si="8"/>
        <v>0</v>
      </c>
      <c r="AH17" s="70"/>
      <c r="AI17" s="71"/>
      <c r="AJ17" s="69">
        <f t="shared" si="9"/>
        <v>0</v>
      </c>
      <c r="AK17" s="70"/>
      <c r="AL17" s="71"/>
      <c r="AM17" s="69">
        <f t="shared" si="10"/>
        <v>0</v>
      </c>
      <c r="AN17" s="70"/>
      <c r="AO17" s="71"/>
      <c r="AP17" s="67">
        <f t="shared" si="11"/>
        <v>0</v>
      </c>
      <c r="AQ17" s="8" t="e">
        <f t="shared" si="0"/>
        <v>#DIV/0!</v>
      </c>
    </row>
    <row r="18" spans="1:43" ht="18" customHeight="1" x14ac:dyDescent="0.15">
      <c r="A18" s="6"/>
      <c r="B18" s="12"/>
      <c r="C18" s="66"/>
      <c r="D18" s="67"/>
      <c r="E18" s="68"/>
      <c r="F18" s="69">
        <f t="shared" si="12"/>
        <v>0</v>
      </c>
      <c r="G18" s="70"/>
      <c r="H18" s="71"/>
      <c r="I18" s="69">
        <f t="shared" si="13"/>
        <v>0</v>
      </c>
      <c r="J18" s="70"/>
      <c r="K18" s="71"/>
      <c r="L18" s="69">
        <f t="shared" si="1"/>
        <v>0</v>
      </c>
      <c r="M18" s="70"/>
      <c r="N18" s="71"/>
      <c r="O18" s="69">
        <f t="shared" si="2"/>
        <v>0</v>
      </c>
      <c r="P18" s="70"/>
      <c r="Q18" s="71"/>
      <c r="R18" s="69">
        <f t="shared" si="3"/>
        <v>0</v>
      </c>
      <c r="S18" s="70"/>
      <c r="T18" s="71"/>
      <c r="U18" s="69">
        <f t="shared" si="4"/>
        <v>0</v>
      </c>
      <c r="V18" s="70"/>
      <c r="W18" s="71"/>
      <c r="X18" s="69">
        <f t="shared" si="5"/>
        <v>0</v>
      </c>
      <c r="Y18" s="70"/>
      <c r="Z18" s="71"/>
      <c r="AA18" s="69">
        <f t="shared" si="6"/>
        <v>0</v>
      </c>
      <c r="AB18" s="70"/>
      <c r="AC18" s="71"/>
      <c r="AD18" s="69">
        <f t="shared" si="7"/>
        <v>0</v>
      </c>
      <c r="AE18" s="70"/>
      <c r="AF18" s="71"/>
      <c r="AG18" s="69">
        <f t="shared" si="8"/>
        <v>0</v>
      </c>
      <c r="AH18" s="70"/>
      <c r="AI18" s="71"/>
      <c r="AJ18" s="69">
        <f t="shared" si="9"/>
        <v>0</v>
      </c>
      <c r="AK18" s="70"/>
      <c r="AL18" s="71"/>
      <c r="AM18" s="69">
        <f t="shared" si="10"/>
        <v>0</v>
      </c>
      <c r="AN18" s="70"/>
      <c r="AO18" s="71"/>
      <c r="AP18" s="67">
        <f t="shared" si="11"/>
        <v>0</v>
      </c>
      <c r="AQ18" s="8" t="e">
        <f t="shared" si="0"/>
        <v>#DIV/0!</v>
      </c>
    </row>
    <row r="19" spans="1:43" ht="18" customHeight="1" x14ac:dyDescent="0.15">
      <c r="A19" s="6"/>
      <c r="B19" s="12"/>
      <c r="C19" s="66"/>
      <c r="D19" s="67"/>
      <c r="E19" s="68"/>
      <c r="F19" s="69">
        <f t="shared" si="12"/>
        <v>0</v>
      </c>
      <c r="G19" s="70"/>
      <c r="H19" s="71"/>
      <c r="I19" s="69">
        <f t="shared" si="13"/>
        <v>0</v>
      </c>
      <c r="J19" s="70"/>
      <c r="K19" s="71"/>
      <c r="L19" s="69">
        <f t="shared" si="1"/>
        <v>0</v>
      </c>
      <c r="M19" s="70"/>
      <c r="N19" s="71"/>
      <c r="O19" s="69">
        <f t="shared" si="2"/>
        <v>0</v>
      </c>
      <c r="P19" s="70"/>
      <c r="Q19" s="71"/>
      <c r="R19" s="69">
        <f t="shared" si="3"/>
        <v>0</v>
      </c>
      <c r="S19" s="70"/>
      <c r="T19" s="71"/>
      <c r="U19" s="69">
        <f t="shared" si="4"/>
        <v>0</v>
      </c>
      <c r="V19" s="70"/>
      <c r="W19" s="71"/>
      <c r="X19" s="69">
        <f t="shared" si="5"/>
        <v>0</v>
      </c>
      <c r="Y19" s="70"/>
      <c r="Z19" s="71"/>
      <c r="AA19" s="69">
        <f t="shared" si="6"/>
        <v>0</v>
      </c>
      <c r="AB19" s="70"/>
      <c r="AC19" s="71"/>
      <c r="AD19" s="69">
        <f t="shared" si="7"/>
        <v>0</v>
      </c>
      <c r="AE19" s="70"/>
      <c r="AF19" s="71"/>
      <c r="AG19" s="69">
        <f t="shared" si="8"/>
        <v>0</v>
      </c>
      <c r="AH19" s="70"/>
      <c r="AI19" s="71"/>
      <c r="AJ19" s="69">
        <f t="shared" si="9"/>
        <v>0</v>
      </c>
      <c r="AK19" s="70"/>
      <c r="AL19" s="71"/>
      <c r="AM19" s="69">
        <f t="shared" si="10"/>
        <v>0</v>
      </c>
      <c r="AN19" s="70"/>
      <c r="AO19" s="71"/>
      <c r="AP19" s="67">
        <f t="shared" si="11"/>
        <v>0</v>
      </c>
      <c r="AQ19" s="8" t="e">
        <f t="shared" si="0"/>
        <v>#DIV/0!</v>
      </c>
    </row>
    <row r="20" spans="1:43" ht="18" customHeight="1" x14ac:dyDescent="0.15">
      <c r="A20" s="6"/>
      <c r="B20" s="12"/>
      <c r="C20" s="66"/>
      <c r="D20" s="67"/>
      <c r="E20" s="68"/>
      <c r="F20" s="69">
        <f t="shared" si="12"/>
        <v>0</v>
      </c>
      <c r="G20" s="70"/>
      <c r="H20" s="71"/>
      <c r="I20" s="69">
        <f t="shared" si="13"/>
        <v>0</v>
      </c>
      <c r="J20" s="70"/>
      <c r="K20" s="71"/>
      <c r="L20" s="69">
        <f t="shared" si="1"/>
        <v>0</v>
      </c>
      <c r="M20" s="70"/>
      <c r="N20" s="71"/>
      <c r="O20" s="69">
        <f t="shared" si="2"/>
        <v>0</v>
      </c>
      <c r="P20" s="70"/>
      <c r="Q20" s="71"/>
      <c r="R20" s="69">
        <f t="shared" si="3"/>
        <v>0</v>
      </c>
      <c r="S20" s="70"/>
      <c r="T20" s="71"/>
      <c r="U20" s="69">
        <f t="shared" si="4"/>
        <v>0</v>
      </c>
      <c r="V20" s="70"/>
      <c r="W20" s="71"/>
      <c r="X20" s="69">
        <f t="shared" si="5"/>
        <v>0</v>
      </c>
      <c r="Y20" s="70"/>
      <c r="Z20" s="71"/>
      <c r="AA20" s="69">
        <f t="shared" si="6"/>
        <v>0</v>
      </c>
      <c r="AB20" s="70"/>
      <c r="AC20" s="71"/>
      <c r="AD20" s="69">
        <f t="shared" si="7"/>
        <v>0</v>
      </c>
      <c r="AE20" s="70"/>
      <c r="AF20" s="71"/>
      <c r="AG20" s="69">
        <f t="shared" si="8"/>
        <v>0</v>
      </c>
      <c r="AH20" s="70"/>
      <c r="AI20" s="71"/>
      <c r="AJ20" s="69">
        <f t="shared" si="9"/>
        <v>0</v>
      </c>
      <c r="AK20" s="70"/>
      <c r="AL20" s="71"/>
      <c r="AM20" s="69">
        <f t="shared" si="10"/>
        <v>0</v>
      </c>
      <c r="AN20" s="70"/>
      <c r="AO20" s="71"/>
      <c r="AP20" s="67">
        <f t="shared" si="11"/>
        <v>0</v>
      </c>
      <c r="AQ20" s="8" t="e">
        <f t="shared" si="0"/>
        <v>#DIV/0!</v>
      </c>
    </row>
    <row r="21" spans="1:43" ht="18" customHeight="1" x14ac:dyDescent="0.15">
      <c r="A21" s="6"/>
      <c r="B21" s="12"/>
      <c r="C21" s="66"/>
      <c r="D21" s="67"/>
      <c r="E21" s="68"/>
      <c r="F21" s="69">
        <f t="shared" si="12"/>
        <v>0</v>
      </c>
      <c r="G21" s="70"/>
      <c r="H21" s="71"/>
      <c r="I21" s="69">
        <f t="shared" si="13"/>
        <v>0</v>
      </c>
      <c r="J21" s="70"/>
      <c r="K21" s="71"/>
      <c r="L21" s="69">
        <f t="shared" si="1"/>
        <v>0</v>
      </c>
      <c r="M21" s="70"/>
      <c r="N21" s="71"/>
      <c r="O21" s="69">
        <f t="shared" si="2"/>
        <v>0</v>
      </c>
      <c r="P21" s="70"/>
      <c r="Q21" s="71"/>
      <c r="R21" s="69">
        <f t="shared" si="3"/>
        <v>0</v>
      </c>
      <c r="S21" s="70"/>
      <c r="T21" s="71"/>
      <c r="U21" s="69">
        <f t="shared" si="4"/>
        <v>0</v>
      </c>
      <c r="V21" s="70"/>
      <c r="W21" s="71"/>
      <c r="X21" s="69">
        <f t="shared" si="5"/>
        <v>0</v>
      </c>
      <c r="Y21" s="70"/>
      <c r="Z21" s="71"/>
      <c r="AA21" s="69">
        <f t="shared" si="6"/>
        <v>0</v>
      </c>
      <c r="AB21" s="70"/>
      <c r="AC21" s="71"/>
      <c r="AD21" s="69">
        <f t="shared" si="7"/>
        <v>0</v>
      </c>
      <c r="AE21" s="70"/>
      <c r="AF21" s="71"/>
      <c r="AG21" s="69">
        <f t="shared" si="8"/>
        <v>0</v>
      </c>
      <c r="AH21" s="70"/>
      <c r="AI21" s="71"/>
      <c r="AJ21" s="69">
        <f t="shared" si="9"/>
        <v>0</v>
      </c>
      <c r="AK21" s="70"/>
      <c r="AL21" s="71"/>
      <c r="AM21" s="69">
        <f t="shared" si="10"/>
        <v>0</v>
      </c>
      <c r="AN21" s="70"/>
      <c r="AO21" s="71"/>
      <c r="AP21" s="67">
        <f t="shared" si="11"/>
        <v>0</v>
      </c>
      <c r="AQ21" s="8" t="e">
        <f t="shared" si="0"/>
        <v>#DIV/0!</v>
      </c>
    </row>
    <row r="22" spans="1:43" ht="18" customHeight="1" x14ac:dyDescent="0.15">
      <c r="A22" s="6"/>
      <c r="B22" s="12"/>
      <c r="C22" s="66"/>
      <c r="D22" s="67"/>
      <c r="E22" s="68"/>
      <c r="F22" s="69">
        <f t="shared" si="12"/>
        <v>0</v>
      </c>
      <c r="G22" s="70"/>
      <c r="H22" s="71"/>
      <c r="I22" s="69">
        <f t="shared" si="13"/>
        <v>0</v>
      </c>
      <c r="J22" s="70"/>
      <c r="K22" s="71"/>
      <c r="L22" s="69">
        <f t="shared" si="1"/>
        <v>0</v>
      </c>
      <c r="M22" s="70"/>
      <c r="N22" s="71"/>
      <c r="O22" s="69">
        <f t="shared" si="2"/>
        <v>0</v>
      </c>
      <c r="P22" s="70"/>
      <c r="Q22" s="71"/>
      <c r="R22" s="69">
        <f t="shared" si="3"/>
        <v>0</v>
      </c>
      <c r="S22" s="70"/>
      <c r="T22" s="71"/>
      <c r="U22" s="69">
        <f t="shared" si="4"/>
        <v>0</v>
      </c>
      <c r="V22" s="70"/>
      <c r="W22" s="71"/>
      <c r="X22" s="69">
        <f t="shared" si="5"/>
        <v>0</v>
      </c>
      <c r="Y22" s="70"/>
      <c r="Z22" s="71"/>
      <c r="AA22" s="69">
        <f t="shared" si="6"/>
        <v>0</v>
      </c>
      <c r="AB22" s="70"/>
      <c r="AC22" s="71"/>
      <c r="AD22" s="69">
        <f t="shared" si="7"/>
        <v>0</v>
      </c>
      <c r="AE22" s="70"/>
      <c r="AF22" s="71"/>
      <c r="AG22" s="69">
        <f t="shared" si="8"/>
        <v>0</v>
      </c>
      <c r="AH22" s="70"/>
      <c r="AI22" s="71"/>
      <c r="AJ22" s="69">
        <f t="shared" si="9"/>
        <v>0</v>
      </c>
      <c r="AK22" s="70"/>
      <c r="AL22" s="71"/>
      <c r="AM22" s="69">
        <f t="shared" si="10"/>
        <v>0</v>
      </c>
      <c r="AN22" s="70"/>
      <c r="AO22" s="71"/>
      <c r="AP22" s="67">
        <f t="shared" si="11"/>
        <v>0</v>
      </c>
      <c r="AQ22" s="8" t="e">
        <f t="shared" si="0"/>
        <v>#DIV/0!</v>
      </c>
    </row>
    <row r="23" spans="1:43" ht="18" customHeight="1" x14ac:dyDescent="0.15">
      <c r="A23" s="6"/>
      <c r="B23" s="12"/>
      <c r="C23" s="66"/>
      <c r="D23" s="67"/>
      <c r="E23" s="68"/>
      <c r="F23" s="69">
        <f t="shared" si="12"/>
        <v>0</v>
      </c>
      <c r="G23" s="70"/>
      <c r="H23" s="71"/>
      <c r="I23" s="69">
        <f t="shared" si="13"/>
        <v>0</v>
      </c>
      <c r="J23" s="70"/>
      <c r="K23" s="71"/>
      <c r="L23" s="69">
        <f t="shared" si="1"/>
        <v>0</v>
      </c>
      <c r="M23" s="70"/>
      <c r="N23" s="71"/>
      <c r="O23" s="69">
        <f t="shared" si="2"/>
        <v>0</v>
      </c>
      <c r="P23" s="70"/>
      <c r="Q23" s="71"/>
      <c r="R23" s="69">
        <f t="shared" si="3"/>
        <v>0</v>
      </c>
      <c r="S23" s="70"/>
      <c r="T23" s="71"/>
      <c r="U23" s="69">
        <f t="shared" si="4"/>
        <v>0</v>
      </c>
      <c r="V23" s="70"/>
      <c r="W23" s="71"/>
      <c r="X23" s="69">
        <f t="shared" si="5"/>
        <v>0</v>
      </c>
      <c r="Y23" s="70"/>
      <c r="Z23" s="71"/>
      <c r="AA23" s="69">
        <f t="shared" si="6"/>
        <v>0</v>
      </c>
      <c r="AB23" s="70"/>
      <c r="AC23" s="71"/>
      <c r="AD23" s="69">
        <f t="shared" si="7"/>
        <v>0</v>
      </c>
      <c r="AE23" s="70"/>
      <c r="AF23" s="71"/>
      <c r="AG23" s="69">
        <f t="shared" si="8"/>
        <v>0</v>
      </c>
      <c r="AH23" s="70"/>
      <c r="AI23" s="71"/>
      <c r="AJ23" s="69">
        <f t="shared" si="9"/>
        <v>0</v>
      </c>
      <c r="AK23" s="70"/>
      <c r="AL23" s="71"/>
      <c r="AM23" s="69">
        <f t="shared" si="10"/>
        <v>0</v>
      </c>
      <c r="AN23" s="70"/>
      <c r="AO23" s="71"/>
      <c r="AP23" s="67">
        <f t="shared" si="11"/>
        <v>0</v>
      </c>
      <c r="AQ23" s="8" t="e">
        <f t="shared" si="0"/>
        <v>#DIV/0!</v>
      </c>
    </row>
    <row r="24" spans="1:43" ht="18" customHeight="1" x14ac:dyDescent="0.15">
      <c r="A24" s="6"/>
      <c r="B24" s="12"/>
      <c r="C24" s="66"/>
      <c r="D24" s="67"/>
      <c r="E24" s="68"/>
      <c r="F24" s="69">
        <f t="shared" si="12"/>
        <v>0</v>
      </c>
      <c r="G24" s="70"/>
      <c r="H24" s="71"/>
      <c r="I24" s="69">
        <f t="shared" si="13"/>
        <v>0</v>
      </c>
      <c r="J24" s="70"/>
      <c r="K24" s="71"/>
      <c r="L24" s="69">
        <f t="shared" si="1"/>
        <v>0</v>
      </c>
      <c r="M24" s="70"/>
      <c r="N24" s="71"/>
      <c r="O24" s="69">
        <f t="shared" si="2"/>
        <v>0</v>
      </c>
      <c r="P24" s="70"/>
      <c r="Q24" s="71"/>
      <c r="R24" s="69">
        <f t="shared" si="3"/>
        <v>0</v>
      </c>
      <c r="S24" s="70"/>
      <c r="T24" s="71"/>
      <c r="U24" s="69">
        <f t="shared" si="4"/>
        <v>0</v>
      </c>
      <c r="V24" s="70"/>
      <c r="W24" s="71"/>
      <c r="X24" s="69">
        <f t="shared" si="5"/>
        <v>0</v>
      </c>
      <c r="Y24" s="70"/>
      <c r="Z24" s="71"/>
      <c r="AA24" s="69">
        <f t="shared" si="6"/>
        <v>0</v>
      </c>
      <c r="AB24" s="70"/>
      <c r="AC24" s="71"/>
      <c r="AD24" s="69">
        <f t="shared" si="7"/>
        <v>0</v>
      </c>
      <c r="AE24" s="70"/>
      <c r="AF24" s="71"/>
      <c r="AG24" s="69">
        <f t="shared" si="8"/>
        <v>0</v>
      </c>
      <c r="AH24" s="70"/>
      <c r="AI24" s="71"/>
      <c r="AJ24" s="69">
        <f t="shared" si="9"/>
        <v>0</v>
      </c>
      <c r="AK24" s="70"/>
      <c r="AL24" s="71"/>
      <c r="AM24" s="69">
        <f t="shared" si="10"/>
        <v>0</v>
      </c>
      <c r="AN24" s="70"/>
      <c r="AO24" s="71"/>
      <c r="AP24" s="67">
        <f t="shared" si="11"/>
        <v>0</v>
      </c>
      <c r="AQ24" s="8" t="e">
        <f t="shared" si="0"/>
        <v>#DIV/0!</v>
      </c>
    </row>
    <row r="25" spans="1:43" ht="18" customHeight="1" x14ac:dyDescent="0.15">
      <c r="A25" s="6"/>
      <c r="B25" s="12"/>
      <c r="C25" s="66"/>
      <c r="D25" s="67"/>
      <c r="E25" s="68"/>
      <c r="F25" s="69">
        <f t="shared" si="12"/>
        <v>0</v>
      </c>
      <c r="G25" s="70"/>
      <c r="H25" s="71"/>
      <c r="I25" s="69">
        <f t="shared" si="13"/>
        <v>0</v>
      </c>
      <c r="J25" s="70"/>
      <c r="K25" s="71"/>
      <c r="L25" s="69">
        <f t="shared" si="1"/>
        <v>0</v>
      </c>
      <c r="M25" s="70"/>
      <c r="N25" s="71"/>
      <c r="O25" s="69">
        <f t="shared" si="2"/>
        <v>0</v>
      </c>
      <c r="P25" s="70"/>
      <c r="Q25" s="71"/>
      <c r="R25" s="69">
        <f t="shared" si="3"/>
        <v>0</v>
      </c>
      <c r="S25" s="70"/>
      <c r="T25" s="71"/>
      <c r="U25" s="69">
        <f t="shared" si="4"/>
        <v>0</v>
      </c>
      <c r="V25" s="70"/>
      <c r="W25" s="71"/>
      <c r="X25" s="69">
        <f t="shared" si="5"/>
        <v>0</v>
      </c>
      <c r="Y25" s="70"/>
      <c r="Z25" s="71"/>
      <c r="AA25" s="69">
        <f t="shared" si="6"/>
        <v>0</v>
      </c>
      <c r="AB25" s="70"/>
      <c r="AC25" s="71"/>
      <c r="AD25" s="69">
        <f t="shared" si="7"/>
        <v>0</v>
      </c>
      <c r="AE25" s="70"/>
      <c r="AF25" s="71"/>
      <c r="AG25" s="69">
        <f t="shared" si="8"/>
        <v>0</v>
      </c>
      <c r="AH25" s="70"/>
      <c r="AI25" s="71"/>
      <c r="AJ25" s="69">
        <f t="shared" si="9"/>
        <v>0</v>
      </c>
      <c r="AK25" s="70"/>
      <c r="AL25" s="71"/>
      <c r="AM25" s="69">
        <f t="shared" si="10"/>
        <v>0</v>
      </c>
      <c r="AN25" s="70"/>
      <c r="AO25" s="71"/>
      <c r="AP25" s="67">
        <f t="shared" si="11"/>
        <v>0</v>
      </c>
      <c r="AQ25" s="8" t="e">
        <f t="shared" si="0"/>
        <v>#DIV/0!</v>
      </c>
    </row>
    <row r="26" spans="1:43" ht="18" customHeight="1" x14ac:dyDescent="0.15">
      <c r="A26" s="6"/>
      <c r="B26" s="12"/>
      <c r="C26" s="66"/>
      <c r="D26" s="67"/>
      <c r="E26" s="68"/>
      <c r="F26" s="69">
        <f t="shared" si="12"/>
        <v>0</v>
      </c>
      <c r="G26" s="70"/>
      <c r="H26" s="71"/>
      <c r="I26" s="69">
        <f t="shared" si="13"/>
        <v>0</v>
      </c>
      <c r="J26" s="70"/>
      <c r="K26" s="71"/>
      <c r="L26" s="69">
        <f t="shared" si="1"/>
        <v>0</v>
      </c>
      <c r="M26" s="70"/>
      <c r="N26" s="71"/>
      <c r="O26" s="69">
        <f t="shared" si="2"/>
        <v>0</v>
      </c>
      <c r="P26" s="70"/>
      <c r="Q26" s="71"/>
      <c r="R26" s="69">
        <f t="shared" si="3"/>
        <v>0</v>
      </c>
      <c r="S26" s="70"/>
      <c r="T26" s="71"/>
      <c r="U26" s="69">
        <f t="shared" si="4"/>
        <v>0</v>
      </c>
      <c r="V26" s="70"/>
      <c r="W26" s="71"/>
      <c r="X26" s="69">
        <f t="shared" si="5"/>
        <v>0</v>
      </c>
      <c r="Y26" s="70"/>
      <c r="Z26" s="71"/>
      <c r="AA26" s="69">
        <f t="shared" si="6"/>
        <v>0</v>
      </c>
      <c r="AB26" s="70"/>
      <c r="AC26" s="71"/>
      <c r="AD26" s="69">
        <f t="shared" si="7"/>
        <v>0</v>
      </c>
      <c r="AE26" s="70"/>
      <c r="AF26" s="71"/>
      <c r="AG26" s="69">
        <f t="shared" si="8"/>
        <v>0</v>
      </c>
      <c r="AH26" s="70"/>
      <c r="AI26" s="71"/>
      <c r="AJ26" s="69">
        <f t="shared" si="9"/>
        <v>0</v>
      </c>
      <c r="AK26" s="70"/>
      <c r="AL26" s="71"/>
      <c r="AM26" s="69">
        <f t="shared" si="10"/>
        <v>0</v>
      </c>
      <c r="AN26" s="70"/>
      <c r="AO26" s="71"/>
      <c r="AP26" s="67">
        <f t="shared" si="11"/>
        <v>0</v>
      </c>
      <c r="AQ26" s="8" t="e">
        <f t="shared" si="0"/>
        <v>#DIV/0!</v>
      </c>
    </row>
    <row r="27" spans="1:43" ht="18" customHeight="1" x14ac:dyDescent="0.15">
      <c r="A27" s="6"/>
      <c r="B27" s="12"/>
      <c r="C27" s="66"/>
      <c r="D27" s="67"/>
      <c r="E27" s="68"/>
      <c r="F27" s="69">
        <f t="shared" si="12"/>
        <v>0</v>
      </c>
      <c r="G27" s="70"/>
      <c r="H27" s="71"/>
      <c r="I27" s="69">
        <f t="shared" si="13"/>
        <v>0</v>
      </c>
      <c r="J27" s="70"/>
      <c r="K27" s="71"/>
      <c r="L27" s="69">
        <f t="shared" si="1"/>
        <v>0</v>
      </c>
      <c r="M27" s="70"/>
      <c r="N27" s="71"/>
      <c r="O27" s="69">
        <f t="shared" si="2"/>
        <v>0</v>
      </c>
      <c r="P27" s="70"/>
      <c r="Q27" s="71"/>
      <c r="R27" s="69">
        <f t="shared" si="3"/>
        <v>0</v>
      </c>
      <c r="S27" s="70"/>
      <c r="T27" s="71"/>
      <c r="U27" s="69">
        <f t="shared" si="4"/>
        <v>0</v>
      </c>
      <c r="V27" s="70"/>
      <c r="W27" s="71"/>
      <c r="X27" s="69">
        <f t="shared" si="5"/>
        <v>0</v>
      </c>
      <c r="Y27" s="70"/>
      <c r="Z27" s="71"/>
      <c r="AA27" s="69">
        <f t="shared" si="6"/>
        <v>0</v>
      </c>
      <c r="AB27" s="70"/>
      <c r="AC27" s="71"/>
      <c r="AD27" s="69">
        <f t="shared" si="7"/>
        <v>0</v>
      </c>
      <c r="AE27" s="70"/>
      <c r="AF27" s="71"/>
      <c r="AG27" s="69">
        <f t="shared" si="8"/>
        <v>0</v>
      </c>
      <c r="AH27" s="70"/>
      <c r="AI27" s="71"/>
      <c r="AJ27" s="69">
        <f t="shared" si="9"/>
        <v>0</v>
      </c>
      <c r="AK27" s="70"/>
      <c r="AL27" s="71"/>
      <c r="AM27" s="69">
        <f t="shared" si="10"/>
        <v>0</v>
      </c>
      <c r="AN27" s="70"/>
      <c r="AO27" s="71"/>
      <c r="AP27" s="67">
        <f t="shared" si="11"/>
        <v>0</v>
      </c>
      <c r="AQ27" s="8" t="e">
        <f t="shared" si="0"/>
        <v>#DIV/0!</v>
      </c>
    </row>
    <row r="28" spans="1:43" ht="18" customHeight="1" x14ac:dyDescent="0.15">
      <c r="A28" s="6"/>
      <c r="B28" s="12"/>
      <c r="C28" s="66"/>
      <c r="D28" s="67"/>
      <c r="E28" s="68"/>
      <c r="F28" s="69">
        <f t="shared" si="12"/>
        <v>0</v>
      </c>
      <c r="G28" s="70"/>
      <c r="H28" s="71"/>
      <c r="I28" s="69">
        <f t="shared" si="13"/>
        <v>0</v>
      </c>
      <c r="J28" s="70"/>
      <c r="K28" s="71"/>
      <c r="L28" s="69">
        <f t="shared" si="1"/>
        <v>0</v>
      </c>
      <c r="M28" s="70"/>
      <c r="N28" s="71"/>
      <c r="O28" s="69">
        <f t="shared" si="2"/>
        <v>0</v>
      </c>
      <c r="P28" s="70"/>
      <c r="Q28" s="71"/>
      <c r="R28" s="69">
        <f t="shared" si="3"/>
        <v>0</v>
      </c>
      <c r="S28" s="70"/>
      <c r="T28" s="71"/>
      <c r="U28" s="69">
        <f t="shared" si="4"/>
        <v>0</v>
      </c>
      <c r="V28" s="70"/>
      <c r="W28" s="71"/>
      <c r="X28" s="69">
        <f t="shared" si="5"/>
        <v>0</v>
      </c>
      <c r="Y28" s="70"/>
      <c r="Z28" s="71"/>
      <c r="AA28" s="69">
        <f t="shared" si="6"/>
        <v>0</v>
      </c>
      <c r="AB28" s="70"/>
      <c r="AC28" s="71"/>
      <c r="AD28" s="69">
        <f t="shared" si="7"/>
        <v>0</v>
      </c>
      <c r="AE28" s="70"/>
      <c r="AF28" s="71"/>
      <c r="AG28" s="69">
        <f t="shared" si="8"/>
        <v>0</v>
      </c>
      <c r="AH28" s="70"/>
      <c r="AI28" s="71"/>
      <c r="AJ28" s="69">
        <f t="shared" si="9"/>
        <v>0</v>
      </c>
      <c r="AK28" s="70"/>
      <c r="AL28" s="71"/>
      <c r="AM28" s="69">
        <f t="shared" si="10"/>
        <v>0</v>
      </c>
      <c r="AN28" s="70"/>
      <c r="AO28" s="71"/>
      <c r="AP28" s="67">
        <f t="shared" si="11"/>
        <v>0</v>
      </c>
      <c r="AQ28" s="8" t="e">
        <f t="shared" si="0"/>
        <v>#DIV/0!</v>
      </c>
    </row>
    <row r="29" spans="1:43" ht="18" customHeight="1" x14ac:dyDescent="0.15">
      <c r="A29" s="6"/>
      <c r="B29" s="12"/>
      <c r="C29" s="66"/>
      <c r="D29" s="72"/>
      <c r="E29" s="68"/>
      <c r="F29" s="69">
        <f t="shared" si="12"/>
        <v>0</v>
      </c>
      <c r="G29" s="70"/>
      <c r="H29" s="71"/>
      <c r="I29" s="69">
        <f t="shared" si="13"/>
        <v>0</v>
      </c>
      <c r="J29" s="70"/>
      <c r="K29" s="71"/>
      <c r="L29" s="69">
        <f t="shared" si="1"/>
        <v>0</v>
      </c>
      <c r="M29" s="70"/>
      <c r="N29" s="71"/>
      <c r="O29" s="69">
        <f t="shared" si="2"/>
        <v>0</v>
      </c>
      <c r="P29" s="70"/>
      <c r="Q29" s="71"/>
      <c r="R29" s="69">
        <f t="shared" si="3"/>
        <v>0</v>
      </c>
      <c r="S29" s="70"/>
      <c r="T29" s="71"/>
      <c r="U29" s="69">
        <f t="shared" si="4"/>
        <v>0</v>
      </c>
      <c r="V29" s="70"/>
      <c r="W29" s="71"/>
      <c r="X29" s="69">
        <f t="shared" si="5"/>
        <v>0</v>
      </c>
      <c r="Y29" s="70"/>
      <c r="Z29" s="71"/>
      <c r="AA29" s="69">
        <f t="shared" si="6"/>
        <v>0</v>
      </c>
      <c r="AB29" s="70"/>
      <c r="AC29" s="71"/>
      <c r="AD29" s="69">
        <f t="shared" si="7"/>
        <v>0</v>
      </c>
      <c r="AE29" s="70"/>
      <c r="AF29" s="71"/>
      <c r="AG29" s="69">
        <f t="shared" si="8"/>
        <v>0</v>
      </c>
      <c r="AH29" s="70"/>
      <c r="AI29" s="71"/>
      <c r="AJ29" s="69">
        <f t="shared" si="9"/>
        <v>0</v>
      </c>
      <c r="AK29" s="70"/>
      <c r="AL29" s="71"/>
      <c r="AM29" s="69">
        <f t="shared" si="10"/>
        <v>0</v>
      </c>
      <c r="AN29" s="70"/>
      <c r="AO29" s="71"/>
      <c r="AP29" s="72">
        <f t="shared" si="11"/>
        <v>0</v>
      </c>
      <c r="AQ29" s="8" t="e">
        <f t="shared" si="0"/>
        <v>#DIV/0!</v>
      </c>
    </row>
    <row r="30" spans="1:43" ht="18" customHeight="1" x14ac:dyDescent="0.15">
      <c r="A30" s="6"/>
      <c r="B30" s="12"/>
      <c r="C30" s="66"/>
      <c r="D30" s="72"/>
      <c r="E30" s="68"/>
      <c r="F30" s="69">
        <f t="shared" si="12"/>
        <v>0</v>
      </c>
      <c r="G30" s="70"/>
      <c r="H30" s="71"/>
      <c r="I30" s="69">
        <f t="shared" si="13"/>
        <v>0</v>
      </c>
      <c r="J30" s="70"/>
      <c r="K30" s="71"/>
      <c r="L30" s="69">
        <f t="shared" si="1"/>
        <v>0</v>
      </c>
      <c r="M30" s="70"/>
      <c r="N30" s="71"/>
      <c r="O30" s="69">
        <f t="shared" si="2"/>
        <v>0</v>
      </c>
      <c r="P30" s="70"/>
      <c r="Q30" s="71"/>
      <c r="R30" s="69">
        <f t="shared" si="3"/>
        <v>0</v>
      </c>
      <c r="S30" s="70"/>
      <c r="T30" s="71"/>
      <c r="U30" s="69">
        <f t="shared" si="4"/>
        <v>0</v>
      </c>
      <c r="V30" s="70"/>
      <c r="W30" s="71"/>
      <c r="X30" s="69">
        <f t="shared" si="5"/>
        <v>0</v>
      </c>
      <c r="Y30" s="70"/>
      <c r="Z30" s="71"/>
      <c r="AA30" s="69">
        <f t="shared" si="6"/>
        <v>0</v>
      </c>
      <c r="AB30" s="70"/>
      <c r="AC30" s="71"/>
      <c r="AD30" s="69">
        <f t="shared" si="7"/>
        <v>0</v>
      </c>
      <c r="AE30" s="70"/>
      <c r="AF30" s="71"/>
      <c r="AG30" s="69">
        <f t="shared" si="8"/>
        <v>0</v>
      </c>
      <c r="AH30" s="70"/>
      <c r="AI30" s="71"/>
      <c r="AJ30" s="69">
        <f t="shared" si="9"/>
        <v>0</v>
      </c>
      <c r="AK30" s="70"/>
      <c r="AL30" s="71"/>
      <c r="AM30" s="69">
        <f t="shared" si="10"/>
        <v>0</v>
      </c>
      <c r="AN30" s="70"/>
      <c r="AO30" s="71"/>
      <c r="AP30" s="72">
        <f t="shared" si="11"/>
        <v>0</v>
      </c>
      <c r="AQ30" s="8" t="e">
        <f t="shared" si="0"/>
        <v>#DIV/0!</v>
      </c>
    </row>
    <row r="31" spans="1:43" ht="18" customHeight="1" thickBot="1" x14ac:dyDescent="0.2">
      <c r="A31" s="6"/>
      <c r="B31" s="13"/>
      <c r="C31" s="61"/>
      <c r="D31" s="73"/>
      <c r="E31" s="63"/>
      <c r="F31" s="63">
        <f t="shared" si="12"/>
        <v>0</v>
      </c>
      <c r="G31" s="74"/>
      <c r="H31" s="75"/>
      <c r="I31" s="63">
        <f t="shared" si="13"/>
        <v>0</v>
      </c>
      <c r="J31" s="74"/>
      <c r="K31" s="75"/>
      <c r="L31" s="63">
        <f t="shared" si="1"/>
        <v>0</v>
      </c>
      <c r="M31" s="74"/>
      <c r="N31" s="75"/>
      <c r="O31" s="63">
        <f t="shared" si="2"/>
        <v>0</v>
      </c>
      <c r="P31" s="74"/>
      <c r="Q31" s="75"/>
      <c r="R31" s="63">
        <f t="shared" si="3"/>
        <v>0</v>
      </c>
      <c r="S31" s="74"/>
      <c r="T31" s="75"/>
      <c r="U31" s="63">
        <f t="shared" si="4"/>
        <v>0</v>
      </c>
      <c r="V31" s="74"/>
      <c r="W31" s="75"/>
      <c r="X31" s="63">
        <f t="shared" si="5"/>
        <v>0</v>
      </c>
      <c r="Y31" s="74"/>
      <c r="Z31" s="75"/>
      <c r="AA31" s="63">
        <f t="shared" si="6"/>
        <v>0</v>
      </c>
      <c r="AB31" s="74"/>
      <c r="AC31" s="75"/>
      <c r="AD31" s="63">
        <f t="shared" si="7"/>
        <v>0</v>
      </c>
      <c r="AE31" s="74"/>
      <c r="AF31" s="75"/>
      <c r="AG31" s="63">
        <f t="shared" si="8"/>
        <v>0</v>
      </c>
      <c r="AH31" s="74"/>
      <c r="AI31" s="75"/>
      <c r="AJ31" s="63">
        <f t="shared" si="9"/>
        <v>0</v>
      </c>
      <c r="AK31" s="74"/>
      <c r="AL31" s="75"/>
      <c r="AM31" s="63">
        <f t="shared" si="10"/>
        <v>0</v>
      </c>
      <c r="AN31" s="74"/>
      <c r="AO31" s="75"/>
      <c r="AP31" s="73">
        <f t="shared" si="11"/>
        <v>0</v>
      </c>
      <c r="AQ31" s="7" t="e">
        <f t="shared" si="0"/>
        <v>#DIV/0!</v>
      </c>
    </row>
    <row r="32" spans="1:43" ht="18" customHeight="1" thickTop="1" x14ac:dyDescent="0.15">
      <c r="B32" s="14" t="s">
        <v>32</v>
      </c>
      <c r="C32" s="76">
        <f t="shared" ref="C32" si="14">SUM(C12:C31)</f>
        <v>4766</v>
      </c>
      <c r="D32" s="77">
        <f t="shared" ref="D32:AP32" si="15">SUM(D12:D31)</f>
        <v>1070</v>
      </c>
      <c r="E32" s="78">
        <f t="shared" si="15"/>
        <v>4582</v>
      </c>
      <c r="F32" s="78">
        <f t="shared" si="15"/>
        <v>1016</v>
      </c>
      <c r="G32" s="79">
        <f t="shared" si="15"/>
        <v>0</v>
      </c>
      <c r="H32" s="80">
        <f t="shared" si="15"/>
        <v>0</v>
      </c>
      <c r="I32" s="78">
        <f>SUM(I12:I31)</f>
        <v>995</v>
      </c>
      <c r="J32" s="79">
        <f t="shared" ref="J32:N32" si="16">SUM(J12:J31)</f>
        <v>0</v>
      </c>
      <c r="K32" s="80">
        <f t="shared" si="16"/>
        <v>0</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1016</v>
      </c>
      <c r="AQ32" s="9">
        <f t="shared" si="0"/>
        <v>0.22173723264949805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52" zoomScaleNormal="100" zoomScaleSheetLayoutView="100" workbookViewId="0">
      <selection activeCell="B52" sqref="B52:I63"/>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64</v>
      </c>
      <c r="I1" s="35" t="s">
        <v>105</v>
      </c>
    </row>
    <row r="2" spans="1:9" ht="18.75" customHeight="1" x14ac:dyDescent="0.15">
      <c r="G2" s="35" t="s">
        <v>108</v>
      </c>
      <c r="H2" s="102" t="str">
        <f>'様式１－１　プログラムを構成する授業科目'!C2</f>
        <v>大分大学</v>
      </c>
      <c r="I2" s="104"/>
    </row>
    <row r="3" spans="1:9" ht="18.75" customHeight="1" x14ac:dyDescent="0.15">
      <c r="G3" s="35"/>
      <c r="H3" s="10"/>
      <c r="I3" s="10"/>
    </row>
    <row r="4" spans="1:9" ht="18.600000000000001" customHeight="1" x14ac:dyDescent="0.15">
      <c r="A4" s="113" t="s">
        <v>35</v>
      </c>
      <c r="B4" s="113"/>
      <c r="C4" s="113"/>
      <c r="D4" s="113"/>
      <c r="E4" s="113"/>
      <c r="F4" s="113"/>
      <c r="G4" s="113"/>
      <c r="H4" s="113"/>
      <c r="I4" s="113"/>
    </row>
    <row r="5" spans="1:9" ht="13.15" customHeight="1" x14ac:dyDescent="0.15">
      <c r="B5" s="3"/>
      <c r="C5" s="3"/>
      <c r="D5" s="3"/>
      <c r="E5" s="3"/>
      <c r="F5" s="3"/>
      <c r="G5" s="3"/>
      <c r="H5" s="3"/>
      <c r="I5" s="3"/>
    </row>
    <row r="6" spans="1:9" ht="18" customHeight="1" x14ac:dyDescent="0.15">
      <c r="A6" s="1" t="s">
        <v>0</v>
      </c>
      <c r="B6" s="10" t="s">
        <v>90</v>
      </c>
      <c r="C6" s="228" t="s">
        <v>91</v>
      </c>
      <c r="D6" s="228"/>
      <c r="E6" s="34">
        <v>629</v>
      </c>
      <c r="F6" s="3" t="s">
        <v>1</v>
      </c>
      <c r="G6" s="3" t="s">
        <v>2</v>
      </c>
      <c r="H6" s="34">
        <v>276</v>
      </c>
      <c r="I6" s="10" t="s">
        <v>1</v>
      </c>
    </row>
    <row r="7" spans="1:9" ht="12" customHeight="1" x14ac:dyDescent="0.15">
      <c r="C7" s="2"/>
      <c r="D7" s="2"/>
      <c r="E7" s="2"/>
      <c r="F7" s="2"/>
      <c r="G7" s="2"/>
      <c r="H7" s="2"/>
      <c r="I7" s="41"/>
    </row>
    <row r="8" spans="1:9" ht="18" customHeight="1" x14ac:dyDescent="0.15">
      <c r="A8" s="1" t="s">
        <v>3</v>
      </c>
      <c r="B8" s="10" t="s">
        <v>92</v>
      </c>
      <c r="E8" s="3"/>
      <c r="F8" s="3"/>
      <c r="G8" s="3"/>
      <c r="H8" s="34">
        <v>14</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5" t="s">
        <v>42</v>
      </c>
      <c r="C11" s="221" t="s">
        <v>139</v>
      </c>
      <c r="D11" s="226"/>
      <c r="E11" s="227"/>
      <c r="F11" s="41"/>
      <c r="G11" s="35" t="s">
        <v>10</v>
      </c>
      <c r="H11" s="221" t="s">
        <v>150</v>
      </c>
      <c r="I11" s="227"/>
    </row>
    <row r="12" spans="1:9" ht="10.15" customHeight="1" x14ac:dyDescent="0.15">
      <c r="B12" s="35"/>
      <c r="C12" s="10"/>
      <c r="D12" s="41"/>
      <c r="E12" s="41"/>
      <c r="F12" s="41"/>
      <c r="G12" s="35"/>
      <c r="H12" s="10"/>
      <c r="I12" s="41"/>
    </row>
    <row r="13" spans="1:9" ht="18" customHeight="1" x14ac:dyDescent="0.15">
      <c r="A13" s="1" t="s">
        <v>7</v>
      </c>
      <c r="B13" s="10" t="s">
        <v>87</v>
      </c>
      <c r="C13" s="3"/>
      <c r="D13" s="3"/>
      <c r="E13" s="3"/>
      <c r="F13" s="3"/>
      <c r="G13" s="3"/>
      <c r="H13" s="3"/>
      <c r="I13" s="3"/>
    </row>
    <row r="14" spans="1:9" ht="18" customHeight="1" x14ac:dyDescent="0.15">
      <c r="B14" s="218" t="s">
        <v>142</v>
      </c>
      <c r="C14" s="219"/>
      <c r="D14" s="219"/>
      <c r="E14" s="219"/>
      <c r="F14" s="219"/>
      <c r="G14" s="219"/>
      <c r="H14" s="219"/>
      <c r="I14" s="220"/>
    </row>
    <row r="15" spans="1:9" ht="9" customHeight="1" x14ac:dyDescent="0.15">
      <c r="B15" s="3"/>
      <c r="C15" s="3"/>
      <c r="D15" s="3"/>
      <c r="E15" s="3"/>
      <c r="F15" s="3"/>
      <c r="G15" s="3"/>
      <c r="H15" s="3"/>
      <c r="I15" s="3"/>
    </row>
    <row r="16" spans="1:9" ht="18" customHeight="1" x14ac:dyDescent="0.15">
      <c r="B16" s="35" t="s">
        <v>42</v>
      </c>
      <c r="C16" s="221" t="s">
        <v>140</v>
      </c>
      <c r="D16" s="222"/>
      <c r="E16" s="223"/>
      <c r="F16" s="41"/>
      <c r="G16" s="35" t="s">
        <v>10</v>
      </c>
      <c r="H16" s="224" t="s">
        <v>151</v>
      </c>
      <c r="I16" s="225"/>
    </row>
    <row r="17" spans="1:9" ht="18" customHeight="1" x14ac:dyDescent="0.15">
      <c r="B17" s="3"/>
      <c r="C17" s="3"/>
      <c r="D17" s="3"/>
      <c r="E17" s="3"/>
      <c r="F17" s="3"/>
      <c r="G17" s="3"/>
      <c r="H17" s="3"/>
      <c r="I17" s="3"/>
    </row>
    <row r="18" spans="1:9" ht="18.75" customHeight="1" x14ac:dyDescent="0.15">
      <c r="A18" s="1" t="s">
        <v>5</v>
      </c>
      <c r="B18" s="1" t="s">
        <v>41</v>
      </c>
      <c r="I18" s="3"/>
    </row>
    <row r="19" spans="1:9" ht="30" customHeight="1" x14ac:dyDescent="0.15">
      <c r="A19" s="1"/>
      <c r="B19" s="126" t="s">
        <v>143</v>
      </c>
      <c r="C19" s="211"/>
      <c r="D19" s="211"/>
      <c r="E19" s="211"/>
      <c r="F19" s="211"/>
      <c r="G19" s="211"/>
      <c r="H19" s="211"/>
      <c r="I19" s="212"/>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01" t="s">
        <v>178</v>
      </c>
      <c r="C22" s="202"/>
      <c r="D22" s="202"/>
      <c r="E22" s="202"/>
      <c r="F22" s="202"/>
      <c r="G22" s="202"/>
      <c r="H22" s="202"/>
      <c r="I22" s="203"/>
    </row>
    <row r="23" spans="1:9" ht="18.75" customHeight="1" x14ac:dyDescent="0.15">
      <c r="A23" s="15"/>
      <c r="B23" s="213"/>
      <c r="C23" s="214"/>
      <c r="D23" s="214"/>
      <c r="E23" s="214"/>
      <c r="F23" s="214"/>
      <c r="G23" s="214"/>
      <c r="H23" s="214"/>
      <c r="I23" s="206"/>
    </row>
    <row r="24" spans="1:9" ht="18.75" customHeight="1" x14ac:dyDescent="0.15">
      <c r="A24" s="15"/>
      <c r="B24" s="213"/>
      <c r="C24" s="214"/>
      <c r="D24" s="214"/>
      <c r="E24" s="214"/>
      <c r="F24" s="214"/>
      <c r="G24" s="214"/>
      <c r="H24" s="214"/>
      <c r="I24" s="206"/>
    </row>
    <row r="25" spans="1:9" ht="18.75" customHeight="1" x14ac:dyDescent="0.15">
      <c r="A25" s="15"/>
      <c r="B25" s="213"/>
      <c r="C25" s="214"/>
      <c r="D25" s="214"/>
      <c r="E25" s="214"/>
      <c r="F25" s="214"/>
      <c r="G25" s="214"/>
      <c r="H25" s="214"/>
      <c r="I25" s="206"/>
    </row>
    <row r="26" spans="1:9" ht="18.75" customHeight="1" x14ac:dyDescent="0.15">
      <c r="A26" s="15"/>
      <c r="B26" s="213"/>
      <c r="C26" s="214"/>
      <c r="D26" s="214"/>
      <c r="E26" s="214"/>
      <c r="F26" s="214"/>
      <c r="G26" s="214"/>
      <c r="H26" s="214"/>
      <c r="I26" s="206"/>
    </row>
    <row r="27" spans="1:9" ht="18.75" customHeight="1" x14ac:dyDescent="0.15">
      <c r="A27" s="15"/>
      <c r="B27" s="213"/>
      <c r="C27" s="214"/>
      <c r="D27" s="214"/>
      <c r="E27" s="214"/>
      <c r="F27" s="214"/>
      <c r="G27" s="214"/>
      <c r="H27" s="214"/>
      <c r="I27" s="206"/>
    </row>
    <row r="28" spans="1:9" ht="18.75" customHeight="1" x14ac:dyDescent="0.15">
      <c r="A28" s="15"/>
      <c r="B28" s="213"/>
      <c r="C28" s="214"/>
      <c r="D28" s="214"/>
      <c r="E28" s="214"/>
      <c r="F28" s="214"/>
      <c r="G28" s="214"/>
      <c r="H28" s="214"/>
      <c r="I28" s="206"/>
    </row>
    <row r="29" spans="1:9" ht="18.75" customHeight="1" x14ac:dyDescent="0.15">
      <c r="A29" s="15"/>
      <c r="B29" s="213"/>
      <c r="C29" s="214"/>
      <c r="D29" s="214"/>
      <c r="E29" s="214"/>
      <c r="F29" s="214"/>
      <c r="G29" s="214"/>
      <c r="H29" s="214"/>
      <c r="I29" s="206"/>
    </row>
    <row r="30" spans="1:9" ht="18.75" customHeight="1" x14ac:dyDescent="0.15">
      <c r="A30" s="15"/>
      <c r="B30" s="204"/>
      <c r="C30" s="205"/>
      <c r="D30" s="205"/>
      <c r="E30" s="205"/>
      <c r="F30" s="205"/>
      <c r="G30" s="205"/>
      <c r="H30" s="205"/>
      <c r="I30" s="206"/>
    </row>
    <row r="31" spans="1:9" ht="18.75" customHeight="1" x14ac:dyDescent="0.15">
      <c r="A31" s="15"/>
      <c r="B31" s="204"/>
      <c r="C31" s="205"/>
      <c r="D31" s="205"/>
      <c r="E31" s="205"/>
      <c r="F31" s="205"/>
      <c r="G31" s="205"/>
      <c r="H31" s="205"/>
      <c r="I31" s="206"/>
    </row>
    <row r="32" spans="1:9" ht="18.75" customHeight="1" x14ac:dyDescent="0.15">
      <c r="A32" s="15"/>
      <c r="B32" s="207"/>
      <c r="C32" s="208"/>
      <c r="D32" s="208"/>
      <c r="E32" s="208"/>
      <c r="F32" s="208"/>
      <c r="G32" s="208"/>
      <c r="H32" s="208"/>
      <c r="I32" s="209"/>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1" t="s">
        <v>141</v>
      </c>
      <c r="C35" s="202"/>
      <c r="D35" s="202"/>
      <c r="E35" s="202"/>
      <c r="F35" s="202"/>
      <c r="G35" s="202"/>
      <c r="H35" s="202"/>
      <c r="I35" s="203"/>
    </row>
    <row r="36" spans="1:9" ht="18.75" customHeight="1" x14ac:dyDescent="0.15">
      <c r="A36" s="15"/>
      <c r="B36" s="204"/>
      <c r="C36" s="205"/>
      <c r="D36" s="205"/>
      <c r="E36" s="205"/>
      <c r="F36" s="205"/>
      <c r="G36" s="205"/>
      <c r="H36" s="205"/>
      <c r="I36" s="206"/>
    </row>
    <row r="37" spans="1:9" ht="18.75" customHeight="1" x14ac:dyDescent="0.15">
      <c r="A37" s="15"/>
      <c r="B37" s="204"/>
      <c r="C37" s="205"/>
      <c r="D37" s="205"/>
      <c r="E37" s="205"/>
      <c r="F37" s="205"/>
      <c r="G37" s="205"/>
      <c r="H37" s="205"/>
      <c r="I37" s="206"/>
    </row>
    <row r="38" spans="1:9" ht="18.75" customHeight="1" x14ac:dyDescent="0.15">
      <c r="A38" s="15"/>
      <c r="B38" s="204"/>
      <c r="C38" s="205"/>
      <c r="D38" s="205"/>
      <c r="E38" s="205"/>
      <c r="F38" s="205"/>
      <c r="G38" s="205"/>
      <c r="H38" s="205"/>
      <c r="I38" s="206"/>
    </row>
    <row r="39" spans="1:9" ht="18.75" customHeight="1" x14ac:dyDescent="0.15">
      <c r="A39" s="15"/>
      <c r="B39" s="204"/>
      <c r="C39" s="205"/>
      <c r="D39" s="205"/>
      <c r="E39" s="205"/>
      <c r="F39" s="205"/>
      <c r="G39" s="205"/>
      <c r="H39" s="205"/>
      <c r="I39" s="206"/>
    </row>
    <row r="40" spans="1:9" ht="18.75" customHeight="1" x14ac:dyDescent="0.15">
      <c r="A40" s="15"/>
      <c r="B40" s="204"/>
      <c r="C40" s="205"/>
      <c r="D40" s="205"/>
      <c r="E40" s="205"/>
      <c r="F40" s="205"/>
      <c r="G40" s="205"/>
      <c r="H40" s="205"/>
      <c r="I40" s="206"/>
    </row>
    <row r="41" spans="1:9" ht="18.75" customHeight="1" x14ac:dyDescent="0.15">
      <c r="A41" s="15"/>
      <c r="B41" s="204"/>
      <c r="C41" s="205"/>
      <c r="D41" s="205"/>
      <c r="E41" s="205"/>
      <c r="F41" s="205"/>
      <c r="G41" s="205"/>
      <c r="H41" s="205"/>
      <c r="I41" s="206"/>
    </row>
    <row r="42" spans="1:9" ht="18.75" customHeight="1" x14ac:dyDescent="0.15">
      <c r="A42" s="15"/>
      <c r="B42" s="204"/>
      <c r="C42" s="205"/>
      <c r="D42" s="205"/>
      <c r="E42" s="205"/>
      <c r="F42" s="205"/>
      <c r="G42" s="205"/>
      <c r="H42" s="205"/>
      <c r="I42" s="206"/>
    </row>
    <row r="43" spans="1:9" ht="18.75" customHeight="1" x14ac:dyDescent="0.15">
      <c r="A43" s="15"/>
      <c r="B43" s="204"/>
      <c r="C43" s="205"/>
      <c r="D43" s="205"/>
      <c r="E43" s="205"/>
      <c r="F43" s="205"/>
      <c r="G43" s="205"/>
      <c r="H43" s="205"/>
      <c r="I43" s="206"/>
    </row>
    <row r="44" spans="1:9" ht="18.75" customHeight="1" x14ac:dyDescent="0.15">
      <c r="A44" s="15"/>
      <c r="B44" s="204"/>
      <c r="C44" s="205"/>
      <c r="D44" s="205"/>
      <c r="E44" s="205"/>
      <c r="F44" s="205"/>
      <c r="G44" s="205"/>
      <c r="H44" s="205"/>
      <c r="I44" s="206"/>
    </row>
    <row r="45" spans="1:9" ht="18.75" customHeight="1" x14ac:dyDescent="0.15">
      <c r="A45" s="15"/>
      <c r="B45" s="204"/>
      <c r="C45" s="205"/>
      <c r="D45" s="205"/>
      <c r="E45" s="205"/>
      <c r="F45" s="205"/>
      <c r="G45" s="205"/>
      <c r="H45" s="205"/>
      <c r="I45" s="206"/>
    </row>
    <row r="46" spans="1:9" ht="18.75" customHeight="1" x14ac:dyDescent="0.15">
      <c r="A46" s="15"/>
      <c r="B46" s="207"/>
      <c r="C46" s="208"/>
      <c r="D46" s="208"/>
      <c r="E46" s="208"/>
      <c r="F46" s="208"/>
      <c r="G46" s="208"/>
      <c r="H46" s="208"/>
      <c r="I46" s="209"/>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2" t="s">
        <v>88</v>
      </c>
      <c r="C49" s="190">
        <f>'様式２ 履修者等数の実績'!AQ32</f>
        <v>0.22173723264949805</v>
      </c>
      <c r="D49" s="190"/>
      <c r="E49" s="42" t="s">
        <v>65</v>
      </c>
      <c r="F49" s="190">
        <v>0.45</v>
      </c>
      <c r="G49" s="190"/>
      <c r="H49" s="42" t="s">
        <v>66</v>
      </c>
      <c r="I49" s="43">
        <v>0.69</v>
      </c>
      <c r="J49" s="1"/>
      <c r="M49" s="1"/>
      <c r="N49" s="44"/>
    </row>
    <row r="50" spans="1:15" s="3" customFormat="1" ht="18.75" customHeight="1" x14ac:dyDescent="0.15">
      <c r="B50" s="45" t="s">
        <v>67</v>
      </c>
      <c r="C50" s="191">
        <v>0.92</v>
      </c>
      <c r="D50" s="191"/>
      <c r="E50" s="45" t="s">
        <v>89</v>
      </c>
      <c r="F50" s="191">
        <v>0.98</v>
      </c>
      <c r="G50" s="191"/>
      <c r="H50" s="45" t="s">
        <v>68</v>
      </c>
      <c r="I50" s="46">
        <f>'様式２ 履修者等数の実績'!E32</f>
        <v>4582</v>
      </c>
      <c r="J50" s="1"/>
      <c r="M50" s="1"/>
      <c r="N50" s="44"/>
    </row>
    <row r="51" spans="1:15" ht="18.75" customHeight="1" x14ac:dyDescent="0.15">
      <c r="A51" s="1"/>
      <c r="B51" s="215" t="s">
        <v>69</v>
      </c>
      <c r="C51" s="216"/>
      <c r="D51" s="216"/>
      <c r="E51" s="216"/>
      <c r="F51" s="216"/>
      <c r="G51" s="216"/>
      <c r="H51" s="216"/>
      <c r="I51" s="217"/>
      <c r="N51" s="44"/>
      <c r="O51" s="3"/>
    </row>
    <row r="52" spans="1:15" ht="18.75" customHeight="1" x14ac:dyDescent="0.15">
      <c r="A52" s="1"/>
      <c r="B52" s="192" t="s">
        <v>179</v>
      </c>
      <c r="C52" s="193"/>
      <c r="D52" s="193"/>
      <c r="E52" s="193"/>
      <c r="F52" s="193"/>
      <c r="G52" s="193"/>
      <c r="H52" s="193"/>
      <c r="I52" s="194"/>
      <c r="N52" s="44"/>
      <c r="O52" s="3"/>
    </row>
    <row r="53" spans="1:15" ht="18.75" customHeight="1" x14ac:dyDescent="0.15">
      <c r="A53" s="1"/>
      <c r="B53" s="195"/>
      <c r="C53" s="196"/>
      <c r="D53" s="196"/>
      <c r="E53" s="196"/>
      <c r="F53" s="196"/>
      <c r="G53" s="196"/>
      <c r="H53" s="196"/>
      <c r="I53" s="197"/>
      <c r="N53" s="44"/>
      <c r="O53" s="3"/>
    </row>
    <row r="54" spans="1:15" ht="18.75" customHeight="1" x14ac:dyDescent="0.15">
      <c r="A54" s="1"/>
      <c r="B54" s="195"/>
      <c r="C54" s="196"/>
      <c r="D54" s="196"/>
      <c r="E54" s="196"/>
      <c r="F54" s="196"/>
      <c r="G54" s="196"/>
      <c r="H54" s="196"/>
      <c r="I54" s="197"/>
    </row>
    <row r="55" spans="1:15" ht="18.75" customHeight="1" x14ac:dyDescent="0.15">
      <c r="A55" s="1"/>
      <c r="B55" s="195"/>
      <c r="C55" s="196"/>
      <c r="D55" s="196"/>
      <c r="E55" s="196"/>
      <c r="F55" s="196"/>
      <c r="G55" s="196"/>
      <c r="H55" s="196"/>
      <c r="I55" s="197"/>
    </row>
    <row r="56" spans="1:15" ht="18.75" customHeight="1" x14ac:dyDescent="0.15">
      <c r="A56" s="1"/>
      <c r="B56" s="195"/>
      <c r="C56" s="196"/>
      <c r="D56" s="196"/>
      <c r="E56" s="196"/>
      <c r="F56" s="196"/>
      <c r="G56" s="196"/>
      <c r="H56" s="196"/>
      <c r="I56" s="197"/>
    </row>
    <row r="57" spans="1:15" ht="18.75" customHeight="1" x14ac:dyDescent="0.15">
      <c r="A57" s="1"/>
      <c r="B57" s="195"/>
      <c r="C57" s="196"/>
      <c r="D57" s="196"/>
      <c r="E57" s="196"/>
      <c r="F57" s="196"/>
      <c r="G57" s="196"/>
      <c r="H57" s="196"/>
      <c r="I57" s="197"/>
    </row>
    <row r="58" spans="1:15" ht="18.75" customHeight="1" x14ac:dyDescent="0.15">
      <c r="A58" s="1"/>
      <c r="B58" s="195"/>
      <c r="C58" s="196"/>
      <c r="D58" s="196"/>
      <c r="E58" s="196"/>
      <c r="F58" s="196"/>
      <c r="G58" s="196"/>
      <c r="H58" s="196"/>
      <c r="I58" s="197"/>
    </row>
    <row r="59" spans="1:15" ht="18.75" customHeight="1" x14ac:dyDescent="0.15">
      <c r="A59" s="1"/>
      <c r="B59" s="195"/>
      <c r="C59" s="196"/>
      <c r="D59" s="196"/>
      <c r="E59" s="196"/>
      <c r="F59" s="196"/>
      <c r="G59" s="196"/>
      <c r="H59" s="196"/>
      <c r="I59" s="197"/>
    </row>
    <row r="60" spans="1:15" ht="18.75" customHeight="1" x14ac:dyDescent="0.15">
      <c r="A60" s="1"/>
      <c r="B60" s="195"/>
      <c r="C60" s="196"/>
      <c r="D60" s="196"/>
      <c r="E60" s="196"/>
      <c r="F60" s="196"/>
      <c r="G60" s="196"/>
      <c r="H60" s="196"/>
      <c r="I60" s="197"/>
    </row>
    <row r="61" spans="1:15" ht="18.75" customHeight="1" x14ac:dyDescent="0.15">
      <c r="A61" s="1"/>
      <c r="B61" s="195"/>
      <c r="C61" s="196"/>
      <c r="D61" s="196"/>
      <c r="E61" s="196"/>
      <c r="F61" s="196"/>
      <c r="G61" s="196"/>
      <c r="H61" s="196"/>
      <c r="I61" s="197"/>
    </row>
    <row r="62" spans="1:15" ht="18.75" customHeight="1" x14ac:dyDescent="0.15">
      <c r="A62" s="1"/>
      <c r="B62" s="195"/>
      <c r="C62" s="196"/>
      <c r="D62" s="196"/>
      <c r="E62" s="196"/>
      <c r="F62" s="196"/>
      <c r="G62" s="196"/>
      <c r="H62" s="196"/>
      <c r="I62" s="197"/>
    </row>
    <row r="63" spans="1:15" ht="18.75" customHeight="1" x14ac:dyDescent="0.15">
      <c r="A63" s="1"/>
      <c r="B63" s="198"/>
      <c r="C63" s="199"/>
      <c r="D63" s="199"/>
      <c r="E63" s="199"/>
      <c r="F63" s="199"/>
      <c r="G63" s="199"/>
      <c r="H63" s="199"/>
      <c r="I63" s="200"/>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174" t="s">
        <v>180</v>
      </c>
      <c r="C66" s="175"/>
      <c r="D66" s="175"/>
      <c r="E66" s="175"/>
      <c r="F66" s="175"/>
      <c r="G66" s="175"/>
      <c r="H66" s="175"/>
      <c r="I66" s="176"/>
    </row>
    <row r="67" spans="1:9" ht="18.75" customHeight="1" x14ac:dyDescent="0.15">
      <c r="A67" s="4"/>
      <c r="B67" s="177"/>
      <c r="C67" s="178"/>
      <c r="D67" s="178"/>
      <c r="E67" s="178"/>
      <c r="F67" s="178"/>
      <c r="G67" s="178"/>
      <c r="H67" s="178"/>
      <c r="I67" s="179"/>
    </row>
    <row r="68" spans="1:9" ht="18.75" customHeight="1" x14ac:dyDescent="0.15">
      <c r="A68" s="4"/>
      <c r="B68" s="177"/>
      <c r="C68" s="178"/>
      <c r="D68" s="178"/>
      <c r="E68" s="178"/>
      <c r="F68" s="178"/>
      <c r="G68" s="178"/>
      <c r="H68" s="178"/>
      <c r="I68" s="179"/>
    </row>
    <row r="69" spans="1:9" ht="18.75" customHeight="1" x14ac:dyDescent="0.15">
      <c r="A69" s="4"/>
      <c r="B69" s="177"/>
      <c r="C69" s="178"/>
      <c r="D69" s="178"/>
      <c r="E69" s="178"/>
      <c r="F69" s="178"/>
      <c r="G69" s="178"/>
      <c r="H69" s="178"/>
      <c r="I69" s="179"/>
    </row>
    <row r="70" spans="1:9" ht="18.75" customHeight="1" x14ac:dyDescent="0.15">
      <c r="A70" s="4"/>
      <c r="B70" s="177"/>
      <c r="C70" s="178"/>
      <c r="D70" s="178"/>
      <c r="E70" s="178"/>
      <c r="F70" s="178"/>
      <c r="G70" s="178"/>
      <c r="H70" s="178"/>
      <c r="I70" s="179"/>
    </row>
    <row r="71" spans="1:9" ht="18.75" customHeight="1" x14ac:dyDescent="0.15">
      <c r="A71" s="4"/>
      <c r="B71" s="177"/>
      <c r="C71" s="178"/>
      <c r="D71" s="178"/>
      <c r="E71" s="178"/>
      <c r="F71" s="178"/>
      <c r="G71" s="178"/>
      <c r="H71" s="178"/>
      <c r="I71" s="179"/>
    </row>
    <row r="72" spans="1:9" ht="18.75" customHeight="1" x14ac:dyDescent="0.15">
      <c r="A72" s="4"/>
      <c r="B72" s="177"/>
      <c r="C72" s="178"/>
      <c r="D72" s="178"/>
      <c r="E72" s="178"/>
      <c r="F72" s="178"/>
      <c r="G72" s="178"/>
      <c r="H72" s="178"/>
      <c r="I72" s="179"/>
    </row>
    <row r="73" spans="1:9" ht="18.75" customHeight="1" x14ac:dyDescent="0.15">
      <c r="A73" s="4"/>
      <c r="B73" s="177"/>
      <c r="C73" s="178"/>
      <c r="D73" s="178"/>
      <c r="E73" s="178"/>
      <c r="F73" s="178"/>
      <c r="G73" s="178"/>
      <c r="H73" s="178"/>
      <c r="I73" s="179"/>
    </row>
    <row r="74" spans="1:9" ht="18.75" customHeight="1" x14ac:dyDescent="0.15">
      <c r="A74" s="4"/>
      <c r="B74" s="177"/>
      <c r="C74" s="178"/>
      <c r="D74" s="178"/>
      <c r="E74" s="178"/>
      <c r="F74" s="178"/>
      <c r="G74" s="178"/>
      <c r="H74" s="178"/>
      <c r="I74" s="179"/>
    </row>
    <row r="75" spans="1:9" ht="18.75" customHeight="1" x14ac:dyDescent="0.15">
      <c r="A75" s="4"/>
      <c r="B75" s="177"/>
      <c r="C75" s="178"/>
      <c r="D75" s="178"/>
      <c r="E75" s="178"/>
      <c r="F75" s="178"/>
      <c r="G75" s="178"/>
      <c r="H75" s="178"/>
      <c r="I75" s="179"/>
    </row>
    <row r="76" spans="1:9" ht="18.75" customHeight="1" x14ac:dyDescent="0.15">
      <c r="A76" s="4"/>
      <c r="B76" s="177"/>
      <c r="C76" s="178"/>
      <c r="D76" s="178"/>
      <c r="E76" s="178"/>
      <c r="F76" s="178"/>
      <c r="G76" s="178"/>
      <c r="H76" s="178"/>
      <c r="I76" s="179"/>
    </row>
    <row r="77" spans="1:9" ht="18.75" customHeight="1" x14ac:dyDescent="0.15">
      <c r="A77" s="4"/>
      <c r="B77" s="180"/>
      <c r="C77" s="181"/>
      <c r="D77" s="181"/>
      <c r="E77" s="181"/>
      <c r="F77" s="181"/>
      <c r="G77" s="181"/>
      <c r="H77" s="181"/>
      <c r="I77" s="182"/>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74" t="s">
        <v>181</v>
      </c>
      <c r="C80" s="175"/>
      <c r="D80" s="175"/>
      <c r="E80" s="175"/>
      <c r="F80" s="175"/>
      <c r="G80" s="175"/>
      <c r="H80" s="175"/>
      <c r="I80" s="183"/>
    </row>
    <row r="81" spans="1:9" ht="18.75" customHeight="1" x14ac:dyDescent="0.15">
      <c r="A81" s="1"/>
      <c r="B81" s="184"/>
      <c r="C81" s="185"/>
      <c r="D81" s="185"/>
      <c r="E81" s="185"/>
      <c r="F81" s="185"/>
      <c r="G81" s="185"/>
      <c r="H81" s="185"/>
      <c r="I81" s="186"/>
    </row>
    <row r="82" spans="1:9" ht="18.75" customHeight="1" x14ac:dyDescent="0.15">
      <c r="A82" s="1"/>
      <c r="B82" s="184"/>
      <c r="C82" s="185"/>
      <c r="D82" s="185"/>
      <c r="E82" s="185"/>
      <c r="F82" s="185"/>
      <c r="G82" s="185"/>
      <c r="H82" s="185"/>
      <c r="I82" s="186"/>
    </row>
    <row r="83" spans="1:9" ht="18.75" customHeight="1" x14ac:dyDescent="0.15">
      <c r="A83" s="1"/>
      <c r="B83" s="184"/>
      <c r="C83" s="185"/>
      <c r="D83" s="185"/>
      <c r="E83" s="185"/>
      <c r="F83" s="185"/>
      <c r="G83" s="185"/>
      <c r="H83" s="185"/>
      <c r="I83" s="186"/>
    </row>
    <row r="84" spans="1:9" ht="18.75" customHeight="1" x14ac:dyDescent="0.15">
      <c r="A84" s="1"/>
      <c r="B84" s="184"/>
      <c r="C84" s="185"/>
      <c r="D84" s="185"/>
      <c r="E84" s="185"/>
      <c r="F84" s="185"/>
      <c r="G84" s="185"/>
      <c r="H84" s="185"/>
      <c r="I84" s="186"/>
    </row>
    <row r="85" spans="1:9" ht="18.75" customHeight="1" x14ac:dyDescent="0.15">
      <c r="A85" s="1"/>
      <c r="B85" s="184"/>
      <c r="C85" s="185"/>
      <c r="D85" s="185"/>
      <c r="E85" s="185"/>
      <c r="F85" s="185"/>
      <c r="G85" s="185"/>
      <c r="H85" s="185"/>
      <c r="I85" s="186"/>
    </row>
    <row r="86" spans="1:9" ht="18.75" customHeight="1" x14ac:dyDescent="0.15">
      <c r="A86" s="1"/>
      <c r="B86" s="184"/>
      <c r="C86" s="185"/>
      <c r="D86" s="185"/>
      <c r="E86" s="185"/>
      <c r="F86" s="185"/>
      <c r="G86" s="185"/>
      <c r="H86" s="185"/>
      <c r="I86" s="186"/>
    </row>
    <row r="87" spans="1:9" ht="18.75" customHeight="1" x14ac:dyDescent="0.15">
      <c r="A87" s="1"/>
      <c r="B87" s="184"/>
      <c r="C87" s="185"/>
      <c r="D87" s="185"/>
      <c r="E87" s="185"/>
      <c r="F87" s="185"/>
      <c r="G87" s="185"/>
      <c r="H87" s="185"/>
      <c r="I87" s="186"/>
    </row>
    <row r="88" spans="1:9" ht="18.75" customHeight="1" x14ac:dyDescent="0.15">
      <c r="A88" s="1"/>
      <c r="B88" s="184"/>
      <c r="C88" s="185"/>
      <c r="D88" s="185"/>
      <c r="E88" s="185"/>
      <c r="F88" s="185"/>
      <c r="G88" s="185"/>
      <c r="H88" s="185"/>
      <c r="I88" s="186"/>
    </row>
    <row r="89" spans="1:9" ht="18.75" customHeight="1" x14ac:dyDescent="0.15">
      <c r="A89" s="1"/>
      <c r="B89" s="184"/>
      <c r="C89" s="185"/>
      <c r="D89" s="185"/>
      <c r="E89" s="185"/>
      <c r="F89" s="185"/>
      <c r="G89" s="185"/>
      <c r="H89" s="185"/>
      <c r="I89" s="186"/>
    </row>
    <row r="90" spans="1:9" ht="18.75" customHeight="1" x14ac:dyDescent="0.15">
      <c r="A90" s="4"/>
      <c r="B90" s="184"/>
      <c r="C90" s="185"/>
      <c r="D90" s="185"/>
      <c r="E90" s="185"/>
      <c r="F90" s="185"/>
      <c r="G90" s="185"/>
      <c r="H90" s="185"/>
      <c r="I90" s="186"/>
    </row>
    <row r="91" spans="1:9" ht="18.75" customHeight="1" x14ac:dyDescent="0.15">
      <c r="A91" s="4"/>
      <c r="B91" s="187"/>
      <c r="C91" s="188"/>
      <c r="D91" s="188"/>
      <c r="E91" s="188"/>
      <c r="F91" s="188"/>
      <c r="G91" s="188"/>
      <c r="H91" s="188"/>
      <c r="I91" s="189"/>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01" t="s">
        <v>182</v>
      </c>
      <c r="C94" s="202"/>
      <c r="D94" s="202"/>
      <c r="E94" s="202"/>
      <c r="F94" s="202"/>
      <c r="G94" s="202"/>
      <c r="H94" s="202"/>
      <c r="I94" s="203"/>
    </row>
    <row r="95" spans="1:9" ht="18.75" customHeight="1" x14ac:dyDescent="0.15">
      <c r="A95" s="1"/>
      <c r="B95" s="204"/>
      <c r="C95" s="205"/>
      <c r="D95" s="205"/>
      <c r="E95" s="205"/>
      <c r="F95" s="205"/>
      <c r="G95" s="205"/>
      <c r="H95" s="205"/>
      <c r="I95" s="206"/>
    </row>
    <row r="96" spans="1:9" ht="18.75" customHeight="1" x14ac:dyDescent="0.15">
      <c r="A96" s="1"/>
      <c r="B96" s="204"/>
      <c r="C96" s="205"/>
      <c r="D96" s="205"/>
      <c r="E96" s="205"/>
      <c r="F96" s="205"/>
      <c r="G96" s="205"/>
      <c r="H96" s="205"/>
      <c r="I96" s="206"/>
    </row>
    <row r="97" spans="1:9" ht="18.75" customHeight="1" x14ac:dyDescent="0.15">
      <c r="A97" s="1"/>
      <c r="B97" s="204"/>
      <c r="C97" s="205"/>
      <c r="D97" s="205"/>
      <c r="E97" s="205"/>
      <c r="F97" s="205"/>
      <c r="G97" s="205"/>
      <c r="H97" s="205"/>
      <c r="I97" s="206"/>
    </row>
    <row r="98" spans="1:9" ht="18.75" customHeight="1" x14ac:dyDescent="0.15">
      <c r="A98" s="1"/>
      <c r="B98" s="204"/>
      <c r="C98" s="205"/>
      <c r="D98" s="205"/>
      <c r="E98" s="205"/>
      <c r="F98" s="205"/>
      <c r="G98" s="205"/>
      <c r="H98" s="205"/>
      <c r="I98" s="206"/>
    </row>
    <row r="99" spans="1:9" ht="18.75" customHeight="1" x14ac:dyDescent="0.15">
      <c r="A99" s="1"/>
      <c r="B99" s="204"/>
      <c r="C99" s="205"/>
      <c r="D99" s="205"/>
      <c r="E99" s="205"/>
      <c r="F99" s="205"/>
      <c r="G99" s="205"/>
      <c r="H99" s="205"/>
      <c r="I99" s="206"/>
    </row>
    <row r="100" spans="1:9" ht="18.75" customHeight="1" x14ac:dyDescent="0.15">
      <c r="A100" s="1"/>
      <c r="B100" s="204"/>
      <c r="C100" s="205"/>
      <c r="D100" s="205"/>
      <c r="E100" s="205"/>
      <c r="F100" s="205"/>
      <c r="G100" s="205"/>
      <c r="H100" s="205"/>
      <c r="I100" s="206"/>
    </row>
    <row r="101" spans="1:9" ht="18.75" customHeight="1" x14ac:dyDescent="0.15">
      <c r="A101" s="1"/>
      <c r="B101" s="204"/>
      <c r="C101" s="205"/>
      <c r="D101" s="205"/>
      <c r="E101" s="205"/>
      <c r="F101" s="205"/>
      <c r="G101" s="205"/>
      <c r="H101" s="205"/>
      <c r="I101" s="206"/>
    </row>
    <row r="102" spans="1:9" ht="18.75" customHeight="1" x14ac:dyDescent="0.15">
      <c r="A102" s="1"/>
      <c r="B102" s="204"/>
      <c r="C102" s="205"/>
      <c r="D102" s="205"/>
      <c r="E102" s="205"/>
      <c r="F102" s="205"/>
      <c r="G102" s="205"/>
      <c r="H102" s="205"/>
      <c r="I102" s="206"/>
    </row>
    <row r="103" spans="1:9" ht="18.75" customHeight="1" x14ac:dyDescent="0.15">
      <c r="A103" s="1"/>
      <c r="B103" s="204"/>
      <c r="C103" s="205"/>
      <c r="D103" s="205"/>
      <c r="E103" s="205"/>
      <c r="F103" s="205"/>
      <c r="G103" s="205"/>
      <c r="H103" s="205"/>
      <c r="I103" s="206"/>
    </row>
    <row r="104" spans="1:9" ht="18.75" customHeight="1" x14ac:dyDescent="0.15">
      <c r="A104" s="1"/>
      <c r="B104" s="204"/>
      <c r="C104" s="205"/>
      <c r="D104" s="205"/>
      <c r="E104" s="205"/>
      <c r="F104" s="205"/>
      <c r="G104" s="205"/>
      <c r="H104" s="205"/>
      <c r="I104" s="206"/>
    </row>
    <row r="105" spans="1:9" ht="18.75" customHeight="1" x14ac:dyDescent="0.15">
      <c r="A105" s="4"/>
      <c r="B105" s="207"/>
      <c r="C105" s="208"/>
      <c r="D105" s="208"/>
      <c r="E105" s="208"/>
      <c r="F105" s="208"/>
      <c r="G105" s="208"/>
      <c r="H105" s="208"/>
      <c r="I105" s="209"/>
    </row>
    <row r="106" spans="1:9" ht="7.5" customHeight="1" x14ac:dyDescent="0.15">
      <c r="A106" s="4"/>
      <c r="B106" s="4"/>
      <c r="C106" s="4"/>
      <c r="D106" s="4"/>
      <c r="E106" s="4"/>
      <c r="F106" s="4"/>
      <c r="G106" s="4"/>
      <c r="H106" s="4"/>
      <c r="I106" s="4"/>
    </row>
    <row r="107" spans="1:9" ht="18.75" customHeight="1" x14ac:dyDescent="0.15">
      <c r="A107" s="1" t="s">
        <v>29</v>
      </c>
      <c r="B107" s="210" t="s">
        <v>45</v>
      </c>
      <c r="C107" s="210"/>
      <c r="D107" s="210"/>
      <c r="E107" s="210"/>
      <c r="F107" s="210"/>
      <c r="G107" s="210"/>
      <c r="H107" s="210"/>
      <c r="I107" s="210"/>
    </row>
    <row r="108" spans="1:9" ht="18.75" customHeight="1" x14ac:dyDescent="0.15">
      <c r="A108" s="4"/>
      <c r="B108" s="201" t="s">
        <v>183</v>
      </c>
      <c r="C108" s="202"/>
      <c r="D108" s="202"/>
      <c r="E108" s="202"/>
      <c r="F108" s="202"/>
      <c r="G108" s="202"/>
      <c r="H108" s="202"/>
      <c r="I108" s="203"/>
    </row>
    <row r="109" spans="1:9" ht="18.75" customHeight="1" x14ac:dyDescent="0.15">
      <c r="A109" s="4"/>
      <c r="B109" s="204"/>
      <c r="C109" s="205"/>
      <c r="D109" s="205"/>
      <c r="E109" s="205"/>
      <c r="F109" s="205"/>
      <c r="G109" s="205"/>
      <c r="H109" s="205"/>
      <c r="I109" s="206"/>
    </row>
    <row r="110" spans="1:9" ht="18.75" customHeight="1" x14ac:dyDescent="0.15">
      <c r="A110" s="4"/>
      <c r="B110" s="204"/>
      <c r="C110" s="205"/>
      <c r="D110" s="205"/>
      <c r="E110" s="205"/>
      <c r="F110" s="205"/>
      <c r="G110" s="205"/>
      <c r="H110" s="205"/>
      <c r="I110" s="206"/>
    </row>
    <row r="111" spans="1:9" ht="18.75" customHeight="1" x14ac:dyDescent="0.15">
      <c r="A111" s="4"/>
      <c r="B111" s="204"/>
      <c r="C111" s="205"/>
      <c r="D111" s="205"/>
      <c r="E111" s="205"/>
      <c r="F111" s="205"/>
      <c r="G111" s="205"/>
      <c r="H111" s="205"/>
      <c r="I111" s="206"/>
    </row>
    <row r="112" spans="1:9" ht="18.75" customHeight="1" x14ac:dyDescent="0.15">
      <c r="A112" s="4"/>
      <c r="B112" s="204"/>
      <c r="C112" s="205"/>
      <c r="D112" s="205"/>
      <c r="E112" s="205"/>
      <c r="F112" s="205"/>
      <c r="G112" s="205"/>
      <c r="H112" s="205"/>
      <c r="I112" s="206"/>
    </row>
    <row r="113" spans="1:9" ht="18.75" customHeight="1" x14ac:dyDescent="0.15">
      <c r="A113" s="4"/>
      <c r="B113" s="204"/>
      <c r="C113" s="205"/>
      <c r="D113" s="205"/>
      <c r="E113" s="205"/>
      <c r="F113" s="205"/>
      <c r="G113" s="205"/>
      <c r="H113" s="205"/>
      <c r="I113" s="206"/>
    </row>
    <row r="114" spans="1:9" ht="18.75" customHeight="1" x14ac:dyDescent="0.15">
      <c r="A114" s="4"/>
      <c r="B114" s="204"/>
      <c r="C114" s="205"/>
      <c r="D114" s="205"/>
      <c r="E114" s="205"/>
      <c r="F114" s="205"/>
      <c r="G114" s="205"/>
      <c r="H114" s="205"/>
      <c r="I114" s="206"/>
    </row>
    <row r="115" spans="1:9" ht="18.75" customHeight="1" x14ac:dyDescent="0.15">
      <c r="A115" s="4"/>
      <c r="B115" s="204"/>
      <c r="C115" s="205"/>
      <c r="D115" s="205"/>
      <c r="E115" s="205"/>
      <c r="F115" s="205"/>
      <c r="G115" s="205"/>
      <c r="H115" s="205"/>
      <c r="I115" s="206"/>
    </row>
    <row r="116" spans="1:9" ht="18.75" customHeight="1" x14ac:dyDescent="0.15">
      <c r="A116" s="4"/>
      <c r="B116" s="204"/>
      <c r="C116" s="205"/>
      <c r="D116" s="205"/>
      <c r="E116" s="205"/>
      <c r="F116" s="205"/>
      <c r="G116" s="205"/>
      <c r="H116" s="205"/>
      <c r="I116" s="206"/>
    </row>
    <row r="117" spans="1:9" ht="18.75" customHeight="1" x14ac:dyDescent="0.15">
      <c r="A117" s="4"/>
      <c r="B117" s="204"/>
      <c r="C117" s="205"/>
      <c r="D117" s="205"/>
      <c r="E117" s="205"/>
      <c r="F117" s="205"/>
      <c r="G117" s="205"/>
      <c r="H117" s="205"/>
      <c r="I117" s="206"/>
    </row>
    <row r="118" spans="1:9" ht="18.75" customHeight="1" x14ac:dyDescent="0.15">
      <c r="A118" s="4"/>
      <c r="B118" s="204"/>
      <c r="C118" s="205"/>
      <c r="D118" s="205"/>
      <c r="E118" s="205"/>
      <c r="F118" s="205"/>
      <c r="G118" s="205"/>
      <c r="H118" s="205"/>
      <c r="I118" s="206"/>
    </row>
    <row r="119" spans="1:9" ht="18.75" customHeight="1" x14ac:dyDescent="0.15">
      <c r="A119" s="4"/>
      <c r="B119" s="207"/>
      <c r="C119" s="208"/>
      <c r="D119" s="208"/>
      <c r="E119" s="208"/>
      <c r="F119" s="208"/>
      <c r="G119" s="208"/>
      <c r="H119" s="208"/>
      <c r="I119" s="209"/>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
  <sheetViews>
    <sheetView showZeros="0" zoomScaleNormal="100" zoomScaleSheetLayoutView="126"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5" ht="18.75" customHeight="1" x14ac:dyDescent="0.15">
      <c r="A1" s="1" t="s">
        <v>70</v>
      </c>
      <c r="I1" s="35" t="s">
        <v>104</v>
      </c>
    </row>
    <row r="2" spans="1:15" ht="18.75" customHeight="1" x14ac:dyDescent="0.15">
      <c r="H2" s="35" t="s">
        <v>108</v>
      </c>
      <c r="I2" s="34" t="str">
        <f>'様式１－１　プログラムを構成する授業科目'!C2</f>
        <v>大分大学</v>
      </c>
    </row>
    <row r="3" spans="1:15" ht="18.75" customHeight="1" x14ac:dyDescent="0.15">
      <c r="A3" s="113" t="s">
        <v>27</v>
      </c>
      <c r="B3" s="113"/>
      <c r="C3" s="113"/>
      <c r="D3" s="113"/>
      <c r="E3" s="113"/>
      <c r="F3" s="113"/>
      <c r="G3" s="113"/>
      <c r="H3" s="113"/>
      <c r="I3" s="113"/>
    </row>
    <row r="4" spans="1:15" ht="18.75" customHeight="1" x14ac:dyDescent="0.15">
      <c r="A4" s="5"/>
      <c r="B4" s="5"/>
      <c r="C4" s="5"/>
      <c r="D4" s="5"/>
      <c r="E4" s="5"/>
      <c r="F4" s="5"/>
      <c r="G4" s="5"/>
      <c r="H4" s="5"/>
      <c r="I4" s="5"/>
    </row>
    <row r="5" spans="1:15" ht="18.75" customHeight="1" x14ac:dyDescent="0.15">
      <c r="A5" s="1" t="s">
        <v>0</v>
      </c>
      <c r="B5" s="10" t="s">
        <v>94</v>
      </c>
      <c r="C5" s="5"/>
      <c r="D5" s="5"/>
      <c r="E5" s="5"/>
      <c r="F5" s="5"/>
      <c r="G5" s="5"/>
      <c r="H5" s="5"/>
      <c r="I5" s="5"/>
    </row>
    <row r="6" spans="1:15" ht="34.5" customHeight="1" x14ac:dyDescent="0.15">
      <c r="A6" s="5"/>
      <c r="B6" s="251" t="s">
        <v>152</v>
      </c>
      <c r="C6" s="252"/>
      <c r="D6" s="252"/>
      <c r="E6" s="252"/>
      <c r="F6" s="252"/>
      <c r="G6" s="252"/>
      <c r="H6" s="253"/>
      <c r="I6" s="3"/>
    </row>
    <row r="7" spans="1:15" ht="9" customHeight="1" x14ac:dyDescent="0.15">
      <c r="A7" s="5"/>
      <c r="B7" s="10"/>
      <c r="C7" s="10"/>
      <c r="D7" s="10"/>
      <c r="E7" s="10"/>
      <c r="F7" s="10"/>
      <c r="G7" s="10"/>
      <c r="H7" s="10"/>
      <c r="I7" s="3"/>
    </row>
    <row r="8" spans="1:15" ht="33.75" customHeight="1" x14ac:dyDescent="0.15">
      <c r="A8" s="5"/>
      <c r="B8" s="3"/>
      <c r="C8" s="3"/>
      <c r="D8" s="35" t="s">
        <v>42</v>
      </c>
      <c r="E8" s="85" t="s">
        <v>153</v>
      </c>
      <c r="F8" s="3"/>
      <c r="G8" s="35" t="s">
        <v>10</v>
      </c>
      <c r="H8" s="89" t="s">
        <v>154</v>
      </c>
      <c r="I8" s="3"/>
    </row>
    <row r="9" spans="1:15" ht="7.5" customHeight="1" x14ac:dyDescent="0.15">
      <c r="A9" s="5"/>
      <c r="B9" s="5"/>
      <c r="C9" s="5"/>
      <c r="D9" s="5"/>
      <c r="E9" s="5"/>
      <c r="F9" s="5"/>
      <c r="G9" s="5"/>
      <c r="H9" s="5"/>
      <c r="I9" s="5"/>
    </row>
    <row r="10" spans="1:15" ht="18.75" customHeight="1" x14ac:dyDescent="0.15">
      <c r="A10" s="1" t="s">
        <v>3</v>
      </c>
      <c r="B10" s="1" t="s">
        <v>26</v>
      </c>
      <c r="C10" s="4"/>
      <c r="D10" s="4"/>
      <c r="E10" s="4"/>
      <c r="F10" s="4"/>
      <c r="G10" s="4"/>
      <c r="H10" s="4"/>
      <c r="I10" s="4"/>
    </row>
    <row r="11" spans="1:15" ht="18.75" customHeight="1" x14ac:dyDescent="0.15">
      <c r="B11" s="102" t="s">
        <v>23</v>
      </c>
      <c r="C11" s="103"/>
      <c r="D11" s="104"/>
      <c r="E11" s="103" t="s">
        <v>25</v>
      </c>
      <c r="F11" s="103"/>
      <c r="G11" s="103"/>
      <c r="H11" s="103"/>
      <c r="I11" s="104"/>
    </row>
    <row r="12" spans="1:15" ht="26.25" customHeight="1" x14ac:dyDescent="0.15">
      <c r="B12" s="49" t="s">
        <v>13</v>
      </c>
      <c r="C12" s="56"/>
      <c r="D12" s="50"/>
      <c r="E12" s="57"/>
      <c r="F12" s="57"/>
      <c r="G12" s="57"/>
      <c r="H12" s="57"/>
      <c r="I12" s="50"/>
    </row>
    <row r="13" spans="1:15" ht="210.75" customHeight="1" x14ac:dyDescent="0.15">
      <c r="B13" s="51"/>
      <c r="C13" s="234" t="s">
        <v>14</v>
      </c>
      <c r="D13" s="235"/>
      <c r="E13" s="247" t="s">
        <v>184</v>
      </c>
      <c r="F13" s="236"/>
      <c r="G13" s="236"/>
      <c r="H13" s="236"/>
      <c r="I13" s="237"/>
      <c r="K13" s="87"/>
      <c r="L13" s="87"/>
      <c r="M13" s="87"/>
      <c r="N13" s="87"/>
      <c r="O13" s="87"/>
    </row>
    <row r="14" spans="1:15" ht="210.75" customHeight="1" x14ac:dyDescent="0.15">
      <c r="B14" s="51"/>
      <c r="C14" s="249" t="s">
        <v>15</v>
      </c>
      <c r="D14" s="250"/>
      <c r="E14" s="247" t="s">
        <v>185</v>
      </c>
      <c r="F14" s="236"/>
      <c r="G14" s="236"/>
      <c r="H14" s="236"/>
      <c r="I14" s="237"/>
    </row>
    <row r="15" spans="1:15" ht="210.75" customHeight="1" x14ac:dyDescent="0.15">
      <c r="B15" s="51"/>
      <c r="C15" s="234" t="s">
        <v>16</v>
      </c>
      <c r="D15" s="235"/>
      <c r="E15" s="247" t="s">
        <v>186</v>
      </c>
      <c r="F15" s="236"/>
      <c r="G15" s="236"/>
      <c r="H15" s="236"/>
      <c r="I15" s="237"/>
      <c r="K15" s="86"/>
    </row>
    <row r="16" spans="1:15" ht="210.75" customHeight="1" x14ac:dyDescent="0.15">
      <c r="B16" s="51"/>
      <c r="C16" s="234" t="s">
        <v>17</v>
      </c>
      <c r="D16" s="235"/>
      <c r="E16" s="247" t="s">
        <v>187</v>
      </c>
      <c r="F16" s="236"/>
      <c r="G16" s="236"/>
      <c r="H16" s="236"/>
      <c r="I16" s="237"/>
      <c r="K16" s="86"/>
    </row>
    <row r="17" spans="2:11" ht="210.75" customHeight="1" x14ac:dyDescent="0.15">
      <c r="B17" s="52"/>
      <c r="C17" s="238" t="s">
        <v>18</v>
      </c>
      <c r="D17" s="239"/>
      <c r="E17" s="248" t="s">
        <v>188</v>
      </c>
      <c r="F17" s="240"/>
      <c r="G17" s="240"/>
      <c r="H17" s="240"/>
      <c r="I17" s="241"/>
    </row>
    <row r="18" spans="2:11" ht="24" customHeight="1" x14ac:dyDescent="0.15">
      <c r="B18" s="49" t="s">
        <v>19</v>
      </c>
      <c r="C18" s="53"/>
      <c r="D18" s="54"/>
      <c r="E18" s="55"/>
      <c r="F18" s="55"/>
      <c r="G18" s="55"/>
      <c r="H18" s="55"/>
      <c r="I18" s="58"/>
    </row>
    <row r="19" spans="2:11" ht="218.25" customHeight="1" x14ac:dyDescent="0.15">
      <c r="B19" s="51"/>
      <c r="C19" s="234" t="s">
        <v>20</v>
      </c>
      <c r="D19" s="235"/>
      <c r="E19" s="236" t="s">
        <v>189</v>
      </c>
      <c r="F19" s="236"/>
      <c r="G19" s="236"/>
      <c r="H19" s="236"/>
      <c r="I19" s="237"/>
    </row>
    <row r="20" spans="2:11" ht="218.25" customHeight="1" x14ac:dyDescent="0.15">
      <c r="B20" s="52"/>
      <c r="C20" s="238" t="s">
        <v>21</v>
      </c>
      <c r="D20" s="239"/>
      <c r="E20" s="240" t="s">
        <v>190</v>
      </c>
      <c r="F20" s="240"/>
      <c r="G20" s="240"/>
      <c r="H20" s="240"/>
      <c r="I20" s="241"/>
      <c r="K20" s="86"/>
    </row>
    <row r="21" spans="2:11" ht="218.25" customHeight="1" x14ac:dyDescent="0.15">
      <c r="B21" s="242" t="s">
        <v>22</v>
      </c>
      <c r="C21" s="243"/>
      <c r="D21" s="244"/>
      <c r="E21" s="245" t="s">
        <v>191</v>
      </c>
      <c r="F21" s="245"/>
      <c r="G21" s="245"/>
      <c r="H21" s="245"/>
      <c r="I21" s="246"/>
      <c r="K21" s="86"/>
    </row>
    <row r="22" spans="2:11" ht="218.25" customHeight="1" x14ac:dyDescent="0.15">
      <c r="B22" s="229" t="s">
        <v>37</v>
      </c>
      <c r="C22" s="230"/>
      <c r="D22" s="231"/>
      <c r="E22" s="232" t="s">
        <v>192</v>
      </c>
      <c r="F22" s="232"/>
      <c r="G22" s="232"/>
      <c r="H22" s="232"/>
      <c r="I22" s="233"/>
      <c r="K22" s="88"/>
    </row>
    <row r="23" spans="2:11" ht="22.5" customHeight="1" x14ac:dyDescent="0.15">
      <c r="B23" s="4"/>
      <c r="C23" s="4"/>
      <c r="D23" s="4"/>
      <c r="E23" s="4"/>
      <c r="F23" s="4"/>
      <c r="G23" s="4"/>
      <c r="H23" s="4"/>
      <c r="I23" s="4"/>
    </row>
    <row r="24" spans="2:11" ht="22.5" customHeight="1" x14ac:dyDescent="0.15">
      <c r="B24" s="4"/>
      <c r="C24" s="4"/>
      <c r="D24" s="4"/>
      <c r="E24" s="4"/>
      <c r="F24" s="4"/>
      <c r="G24" s="4"/>
      <c r="H24" s="4"/>
      <c r="I24" s="4"/>
    </row>
    <row r="25" spans="2:11" ht="22.5" customHeight="1" x14ac:dyDescent="0.15">
      <c r="B25" s="4"/>
      <c r="C25" s="4"/>
      <c r="D25" s="4"/>
      <c r="E25" s="4"/>
      <c r="F25" s="4"/>
      <c r="G25" s="4"/>
      <c r="H25" s="4"/>
      <c r="I25" s="4"/>
    </row>
    <row r="26" spans="2:11" ht="22.5" customHeight="1" x14ac:dyDescent="0.15">
      <c r="B26" s="4"/>
      <c r="C26" s="4"/>
      <c r="D26" s="4"/>
      <c r="E26" s="4"/>
      <c r="F26" s="4"/>
      <c r="G26" s="4"/>
      <c r="H26" s="4"/>
      <c r="I26" s="4"/>
    </row>
    <row r="27" spans="2:11" ht="22.5" customHeight="1" x14ac:dyDescent="0.15">
      <c r="B27" s="4"/>
      <c r="C27" s="4"/>
      <c r="D27" s="4"/>
      <c r="E27" s="4"/>
      <c r="F27" s="4"/>
      <c r="G27" s="4"/>
      <c r="H27" s="4"/>
      <c r="I27" s="4"/>
    </row>
    <row r="28" spans="2:11" ht="22.5" customHeight="1" x14ac:dyDescent="0.15">
      <c r="B28" s="15"/>
      <c r="C28" s="15"/>
      <c r="D28" s="15"/>
      <c r="E28" s="15"/>
      <c r="F28" s="15"/>
      <c r="G28" s="15"/>
      <c r="H28" s="15"/>
      <c r="I28" s="15"/>
    </row>
    <row r="29" spans="2:11" ht="22.5" customHeight="1" x14ac:dyDescent="0.15">
      <c r="B29" s="15"/>
      <c r="C29" s="15"/>
      <c r="D29" s="15"/>
      <c r="E29" s="15"/>
      <c r="F29" s="15"/>
      <c r="G29" s="15"/>
      <c r="H29" s="15"/>
      <c r="I29" s="15"/>
    </row>
    <row r="30" spans="2:11"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国立大学法人　大分大学</cp:lastModifiedBy>
  <cp:lastPrinted>2023-05-01T04:56:12Z</cp:lastPrinted>
  <dcterms:created xsi:type="dcterms:W3CDTF">2011-06-14T05:32:50Z</dcterms:created>
  <dcterms:modified xsi:type="dcterms:W3CDTF">2023-05-01T04:56:24Z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