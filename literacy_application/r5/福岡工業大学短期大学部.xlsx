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aoki-mina\Desktop\北村さん\R5\"/>
    </mc:Choice>
  </mc:AlternateContent>
  <xr:revisionPtr revIDLastSave="0" documentId="13_ncr:1_{E7740202-0F72-450A-A705-FF6D1FF7223B}" xr6:coauthVersionLast="47" xr6:coauthVersionMax="47" xr10:uidLastSave="{00000000-0000-0000-0000-000000000000}"/>
  <bookViews>
    <workbookView xWindow="-120" yWindow="-120" windowWidth="29040" windowHeight="1572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AQ13" i="40" s="1"/>
  <c r="F14" i="40"/>
  <c r="AP14" i="40" s="1"/>
  <c r="AQ14" i="40" s="1"/>
  <c r="F15" i="40"/>
  <c r="AP15" i="40" s="1"/>
  <c r="AQ15" i="40" s="1"/>
  <c r="F16" i="40"/>
  <c r="AP16" i="40" s="1"/>
  <c r="AQ16" i="40" s="1"/>
  <c r="F17" i="40"/>
  <c r="AP17" i="40" s="1"/>
  <c r="AQ17" i="40" s="1"/>
  <c r="F18" i="40"/>
  <c r="AP18" i="40" s="1"/>
  <c r="AQ18" i="40" s="1"/>
  <c r="F19" i="40"/>
  <c r="AP19" i="40" s="1"/>
  <c r="AQ19" i="40" s="1"/>
  <c r="F20" i="40"/>
  <c r="AP20" i="40" s="1"/>
  <c r="AQ20" i="40" s="1"/>
  <c r="F21" i="40"/>
  <c r="AP21" i="40" s="1"/>
  <c r="AQ21" i="40" s="1"/>
  <c r="F22" i="40"/>
  <c r="AP22" i="40" s="1"/>
  <c r="AQ22" i="40" s="1"/>
  <c r="F23" i="40"/>
  <c r="AP23" i="40" s="1"/>
  <c r="AQ23" i="40" s="1"/>
  <c r="F24" i="40"/>
  <c r="AP24" i="40" s="1"/>
  <c r="AQ24" i="40" s="1"/>
  <c r="F25" i="40"/>
  <c r="AP25" i="40" s="1"/>
  <c r="AQ25" i="40" s="1"/>
  <c r="F26" i="40"/>
  <c r="AP26" i="40" s="1"/>
  <c r="AQ26" i="40" s="1"/>
  <c r="F27" i="40"/>
  <c r="AP27" i="40" s="1"/>
  <c r="AQ27" i="40" s="1"/>
  <c r="F28" i="40"/>
  <c r="AP28" i="40" s="1"/>
  <c r="AQ28" i="40" s="1"/>
  <c r="F29" i="40"/>
  <c r="AP29" i="40" s="1"/>
  <c r="AQ29" i="40" s="1"/>
  <c r="F30" i="40"/>
  <c r="AP30" i="40" s="1"/>
  <c r="AQ30" i="40" s="1"/>
  <c r="F31" i="40"/>
  <c r="AP31" i="40" s="1"/>
  <c r="AQ31" i="40" s="1"/>
  <c r="F12" i="40"/>
  <c r="AP12" i="40" s="1"/>
  <c r="AQ12" i="40" s="1"/>
  <c r="C32" i="40"/>
  <c r="I32" i="40" l="1"/>
  <c r="F32" i="40" l="1"/>
  <c r="E32" i="40"/>
  <c r="I50" i="41" s="1"/>
  <c r="D32" i="40"/>
  <c r="AP32" i="40" l="1"/>
  <c r="AQ32" i="40" s="1"/>
  <c r="C49" i="41" s="1"/>
</calcChain>
</file>

<file path=xl/sharedStrings.xml><?xml version="1.0" encoding="utf-8"?>
<sst xmlns="http://schemas.openxmlformats.org/spreadsheetml/2006/main" count="327" uniqueCount="185">
  <si>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</si>
  <si>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</si>
  <si>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</si>
  <si>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福岡工業大学短期大学部</t>
    <rPh sb="0" eb="6">
      <t>フクオカコウギョウダイガク</t>
    </rPh>
    <rPh sb="6" eb="11">
      <t>タンキダイガクブ</t>
    </rPh>
    <phoneticPr fontId="1"/>
  </si>
  <si>
    <t>プログラム名</t>
    <rPh sb="5" eb="6">
      <t>メイ</t>
    </rPh>
    <phoneticPr fontId="1"/>
  </si>
  <si>
    <t>数理・データサイエンス・AI教育プログラム</t>
    <rPh sb="0" eb="2">
      <t>スウリ</t>
    </rPh>
    <rPh sb="14" eb="16">
      <t>キョウイク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</si>
  <si>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</si>
  <si>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</si>
  <si>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</si>
  <si>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</si>
  <si>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</si>
  <si>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</si>
  <si>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</si>
  <si>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</si>
  <si>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</si>
  <si>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</si>
  <si>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</si>
  <si>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</si>
  <si>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</si>
  <si>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</si>
  <si>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</si>
  <si>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</si>
  <si>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</si>
  <si>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</si>
  <si>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データサイエンス基礎</t>
    <rPh sb="8" eb="10">
      <t>キソ</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</si>
  <si>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</si>
  <si>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</si>
  <si>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</si>
  <si>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</si>
  <si>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</si>
  <si>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</si>
  <si>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</si>
  <si>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</si>
  <si>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</si>
  <si>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</si>
  <si>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情報処理概論</t>
    <rPh sb="0" eb="2">
      <t>ジョウホウ</t>
    </rPh>
    <rPh sb="2" eb="6">
      <t>ショリガイロン</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</si>
  <si>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</si>
  <si>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</si>
  <si>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</si>
  <si>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</si>
  <si>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情報処理演習Ⅰ</t>
    <rPh sb="0" eb="4">
      <t>ジョウホウショリ</t>
    </rPh>
    <rPh sb="4" eb="6">
      <t>エンシュウ</t>
    </rPh>
    <phoneticPr fontId="1"/>
  </si>
  <si>
    <t>情報処理演習Ⅱ</t>
    <rPh sb="0" eb="4">
      <t>ジョウホウショリ</t>
    </rPh>
    <rPh sb="4" eb="6">
      <t>エンシュウ</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</si>
  <si>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</si>
  <si>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</si>
  <si>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線形代数Ⅰ</t>
    <rPh sb="0" eb="4">
      <t>センケイダイスウ</t>
    </rPh>
    <phoneticPr fontId="1"/>
  </si>
  <si>
    <t>4-1統計および数理基礎</t>
  </si>
  <si>
    <t>データ構造Ⅰ</t>
    <rPh sb="3" eb="5">
      <t>コウゾウ</t>
    </rPh>
    <phoneticPr fontId="1"/>
  </si>
  <si>
    <t>4‐3データ構造とプログラミング基礎</t>
  </si>
  <si>
    <t>微分積分学Ⅰ</t>
    <rPh sb="0" eb="5">
      <t>ビブンセキブンガク</t>
    </rPh>
    <phoneticPr fontId="1"/>
  </si>
  <si>
    <t>データベース概論</t>
    <rPh sb="6" eb="8">
      <t>ガイロン</t>
    </rPh>
    <phoneticPr fontId="1"/>
  </si>
  <si>
    <t>4‐7データハンドリング</t>
  </si>
  <si>
    <t>情報数学</t>
    <rPh sb="0" eb="2">
      <t>ジョウホウ</t>
    </rPh>
    <rPh sb="2" eb="4">
      <t>スウガク</t>
    </rPh>
    <phoneticPr fontId="1"/>
  </si>
  <si>
    <t>人工知能基礎</t>
    <rPh sb="0" eb="4">
      <t>ジンコウチノウ</t>
    </rPh>
    <rPh sb="4" eb="6">
      <t>キソ</t>
    </rPh>
    <phoneticPr fontId="1"/>
  </si>
  <si>
    <t>4‐8データ活用実践（教師あり学習）</t>
  </si>
  <si>
    <t>線形代数Ⅱ</t>
    <rPh sb="0" eb="4">
      <t>センケイダイスウ</t>
    </rPh>
    <phoneticPr fontId="1"/>
  </si>
  <si>
    <t>微分積分学Ⅱ</t>
    <rPh sb="0" eb="5">
      <t>ビブンセキブンガク</t>
    </rPh>
    <phoneticPr fontId="1"/>
  </si>
  <si>
    <t>統計学</t>
    <rPh sb="0" eb="3">
      <t>トウケイガク</t>
    </rPh>
    <phoneticPr fontId="1"/>
  </si>
  <si>
    <t>プログラミング基礎</t>
    <rPh sb="7" eb="9">
      <t>キソ</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</si>
  <si>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</si>
  <si>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</si>
  <si>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</si>
  <si>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</si>
  <si>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</si>
  <si>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</si>
  <si>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</si>
  <si>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</si>
  <si>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</si>
  <si>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</si>
  <si>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</si>
  <si>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社会においてどのようにデータが利活用されているかについて理解し、データを読む、処理する、説明するなどの数理・ データサイエンス・ＡIに関する基礎的な知識と技能を身につける。</t>
    <phoneticPr fontId="1"/>
  </si>
  <si>
    <t>様式２</t>
    <phoneticPr fontId="1"/>
  </si>
  <si>
    <t>プログラムの履修者数等の実績について</t>
    <phoneticPr fontId="1"/>
  </si>
  <si>
    <t>①プログラム開設年度</t>
    <rPh sb="6" eb="8">
      <t>カイセツ</t>
    </rPh>
    <rPh sb="8" eb="10">
      <t>ネンド</t>
    </rPh>
    <phoneticPr fontId="1"/>
  </si>
  <si>
    <t>令和４</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</si>
  <si>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</si>
  <si>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</si>
  <si>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</si>
  <si>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</si>
  <si>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</si>
  <si>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</si>
  <si>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</si>
  <si>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</si>
  <si>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</si>
  <si>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</si>
  <si>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</si>
  <si>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</si>
  <si>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</si>
  <si>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</si>
  <si>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</si>
  <si>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</si>
  <si>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</si>
  <si>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</si>
  <si>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</si>
  <si>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情報メディア学科</t>
    <rPh sb="0" eb="2">
      <t>ジョウホウ</t>
    </rPh>
    <rPh sb="6" eb="8">
      <t>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</si>
  <si>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</si>
  <si>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</si>
  <si>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</si>
  <si>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</si>
  <si>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</si>
  <si>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</si>
  <si>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</si>
  <si>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</si>
  <si>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</si>
  <si>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</si>
  <si>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</si>
  <si>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</si>
  <si>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</si>
  <si>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</si>
  <si>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下村 輝夫</t>
    <rPh sb="0" eb="2">
      <t>シモムラ</t>
    </rPh>
    <rPh sb="3" eb="5">
      <t>テルオ</t>
    </rPh>
    <phoneticPr fontId="1"/>
  </si>
  <si>
    <t>（役職名）</t>
    <rPh sb="1" eb="4">
      <t>ヤクショクメイ</t>
    </rPh>
    <phoneticPr fontId="1"/>
  </si>
  <si>
    <t>学長</t>
    <rPh sb="0" eb="2">
      <t>ガクチョウ</t>
    </rPh>
    <phoneticPr fontId="1"/>
  </si>
  <si>
    <t>④</t>
    <phoneticPr fontId="1"/>
  </si>
  <si>
    <t>プログラムを改善・進化させるための体制（委員会・組織等）</t>
    <phoneticPr fontId="1"/>
  </si>
  <si>
    <t>数理・データサイエンス・AI教育推進機構</t>
    <rPh sb="0" eb="2">
      <t>スウリ</t>
    </rPh>
    <rPh sb="14" eb="16">
      <t>キョウイク</t>
    </rPh>
    <rPh sb="16" eb="18">
      <t>スイシン</t>
    </rPh>
    <rPh sb="18" eb="20">
      <t>キコウ</t>
    </rPh>
    <phoneticPr fontId="1"/>
  </si>
  <si>
    <t>⑤</t>
    <phoneticPr fontId="1"/>
  </si>
  <si>
    <t>プログラムを改善・進化させるための体制を定める規則名称</t>
    <phoneticPr fontId="1"/>
  </si>
  <si>
    <t>数理・データサイエンス・AI教育推進機構規定</t>
    <rPh sb="0" eb="2">
      <t>スウリ</t>
    </rPh>
    <rPh sb="14" eb="16">
      <t>キョウイク</t>
    </rPh>
    <rPh sb="16" eb="18">
      <t>スイシン</t>
    </rPh>
    <rPh sb="18" eb="20">
      <t>キコウ</t>
    </rPh>
    <rPh sb="20" eb="22">
      <t>キテイ</t>
    </rPh>
    <phoneticPr fontId="1"/>
  </si>
  <si>
    <t>⑥</t>
    <phoneticPr fontId="1"/>
  </si>
  <si>
    <t>体制の目的</t>
    <rPh sb="0" eb="2">
      <t>タイセイ</t>
    </rPh>
    <rPh sb="3" eb="5">
      <t>モクテキ</t>
    </rPh>
    <phoneticPr fontId="1"/>
  </si>
  <si>
    <t>本機構は、数理・データサイエンス・ＡＩ教育を導入及び推進することを目的とする。本学の次の委員会が協力して機構を構成し、導入・推進に係る具体的審議や実施・運営を行う。
（１）運営委員会
数理・データサイエンス・ＡＩ教育の取り組み全体の調整、取りまとめ（評価）、決定に関すること。
（２）教務委員会
数理・データサイエンス・ＡＩ教育の具体的な教育課程の立案に関すること。
（３）教育推進委員会
数理・データサイエンス・ＡＩ教育に関する有効な学修成果を得るための授業方法等の検討、各種データ分析・提供に関すること。</t>
    <rPh sb="0" eb="3">
      <t xml:space="preserve">ホンキコウ </t>
    </rPh>
    <rPh sb="33" eb="35">
      <t xml:space="preserve">モクテキ </t>
    </rPh>
    <rPh sb="39" eb="41">
      <t xml:space="preserve">ホンガク </t>
    </rPh>
    <rPh sb="42" eb="43">
      <t xml:space="preserve">ツギ </t>
    </rPh>
    <rPh sb="59" eb="61">
      <t xml:space="preserve">ドウニュウ </t>
    </rPh>
    <rPh sb="62" eb="64">
      <t xml:space="preserve">スイシン </t>
    </rPh>
    <rPh sb="65" eb="66">
      <t xml:space="preserve">カカル </t>
    </rPh>
    <rPh sb="67" eb="70">
      <t xml:space="preserve">グタイテキ </t>
    </rPh>
    <rPh sb="70" eb="72">
      <t xml:space="preserve">シンギ </t>
    </rPh>
    <rPh sb="73" eb="75">
      <t xml:space="preserve">ジッシ </t>
    </rPh>
    <rPh sb="76" eb="78">
      <t xml:space="preserve">ウンエイ </t>
    </rPh>
    <rPh sb="79" eb="80">
      <t xml:space="preserve">オコナウ </t>
    </rPh>
    <rPh sb="242" eb="244">
      <t xml:space="preserve">ブンセキ </t>
    </rPh>
    <rPh sb="245" eb="247">
      <t xml:space="preserve">テイキョウ </t>
    </rPh>
    <phoneticPr fontId="1"/>
  </si>
  <si>
    <t>⑦</t>
    <phoneticPr fontId="1"/>
  </si>
  <si>
    <t>具体的な構成員</t>
    <rPh sb="0" eb="3">
      <t>グタイテキ</t>
    </rPh>
    <rPh sb="4" eb="7">
      <t>コウセイイン</t>
    </rPh>
    <phoneticPr fontId="1"/>
  </si>
  <si>
    <t>数理・データサイエンス・AI推進機構長／運営委員長　学長　下村 輝夫
教務委員長／教育推進委員長／教務部長　教授　藤井 厚紀
教授　平岡 茂夫
教授　西村 靖司
教授　石塚 丈晴
准教授　高橋 昌也
准教授　矢野 健太郎
助教　窪田　涼介
助教　石田　琢朗</t>
    <rPh sb="0" eb="2">
      <t>スウリ</t>
    </rPh>
    <rPh sb="14" eb="16">
      <t>スイシン</t>
    </rPh>
    <rPh sb="20" eb="22">
      <t xml:space="preserve">ウンエイイイ </t>
    </rPh>
    <rPh sb="22" eb="25">
      <t xml:space="preserve">イインチョウ </t>
    </rPh>
    <rPh sb="29" eb="31">
      <t>シモムラ</t>
    </rPh>
    <rPh sb="32" eb="34">
      <t>テルオ</t>
    </rPh>
    <rPh sb="35" eb="40">
      <t xml:space="preserve">キョウムイインチョウ </t>
    </rPh>
    <rPh sb="49" eb="53">
      <t xml:space="preserve">キョウムブチョウ </t>
    </rPh>
    <rPh sb="63" eb="65">
      <t>キョウジュ</t>
    </rPh>
    <rPh sb="66" eb="68">
      <t>ヒラオカ</t>
    </rPh>
    <rPh sb="69" eb="71">
      <t>シゲオ</t>
    </rPh>
    <rPh sb="84" eb="86">
      <t>イシヅカ</t>
    </rPh>
    <rPh sb="87" eb="89">
      <t>タケハル</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</si>
  <si>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</si>
  <si>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</si>
  <si>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</si>
  <si>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</si>
  <si>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</si>
  <si>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</si>
  <si>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</si>
  <si>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</si>
  <si>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</si>
  <si>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履修にあたっては、入学時オリエンテーションおよび初年次のゼミナールにおいて履修指導を行うとともに、同科目の学修到達目標、授業内容、成績評価方法等に関してシラバスに明記し、学生に公開・周知している。本教育プログラムの開設科目のうち「データサイエンス基礎」は、本学学則上では選択科目として設定されているが、将来（令和７年度）には必修科目にする予定である。本教育プログラムのコア科目については確実に修得してもらえるよう支援するため、「数学」および「情報」の学力に不安のある学生に対するリメディアル教育（課外講座）を実施している。このような取り組みを通して、令和７年度の履修率を100%になるように目指す。また、本学のプログラミングに関する科目（例：「プログラミングⅠ・Ⅱ」）についても将来的には本教育プログラムの構成科目に追加する予定である。</t>
    <rPh sb="99" eb="101">
      <t>キョウイク</t>
    </rPh>
    <rPh sb="128" eb="130">
      <t>ホンガク</t>
    </rPh>
    <rPh sb="130" eb="132">
      <t>ガクソク</t>
    </rPh>
    <rPh sb="132" eb="133">
      <t>ジョウ</t>
    </rPh>
    <rPh sb="206" eb="208">
      <t>シエン</t>
    </rPh>
    <rPh sb="214" eb="216">
      <t>スウガク</t>
    </rPh>
    <rPh sb="221" eb="223">
      <t>ジョウホウ</t>
    </rPh>
    <rPh sb="225" eb="227">
      <t>ガクリョク</t>
    </rPh>
    <rPh sb="228" eb="230">
      <t>フアン</t>
    </rPh>
    <rPh sb="233" eb="235">
      <t>ガクセイ</t>
    </rPh>
    <rPh sb="236" eb="237">
      <t>タイ</t>
    </rPh>
    <rPh sb="245" eb="247">
      <t>キョウイク</t>
    </rPh>
    <rPh sb="254" eb="256">
      <t>ジッシ</t>
    </rPh>
    <rPh sb="271" eb="272">
      <t>トオ</t>
    </rPh>
    <rPh sb="302" eb="304">
      <t>ホンガク</t>
    </rPh>
    <rPh sb="313" eb="314">
      <t>カン</t>
    </rPh>
    <rPh sb="316" eb="318">
      <t>カモク</t>
    </rPh>
    <rPh sb="319" eb="320">
      <t>タト</t>
    </rPh>
    <rPh sb="339" eb="341">
      <t>ショウライ</t>
    </rPh>
    <rPh sb="341" eb="342">
      <t>テキ</t>
    </rPh>
    <rPh sb="344" eb="347">
      <t>ホンキョウイク</t>
    </rPh>
    <rPh sb="353" eb="355">
      <t>コウセイ</t>
    </rPh>
    <rPh sb="355" eb="357">
      <t>カモク</t>
    </rPh>
    <rPh sb="358" eb="360">
      <t>ツイカ</t>
    </rPh>
    <rPh sb="362" eb="364">
      <t>ヨテイ</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</si>
  <si>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</si>
  <si>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</si>
  <si>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学は単一の学科で構成されており、少人数のクラス単位による時間割を編成しているため、本教育プログラムの履修を希望する学生は全員受講することが可能である。また、コア科目と選択科目の一部においては、授業内容を動画コンテンツに起こしたものをオンデマンド配信しており、授業内外を問わず自主的に予習・復習ができる体制を整えている。このような学修環境のもとで全学的な履修を促している。</t>
    <rPh sb="17" eb="20">
      <t>ショウニンズウ</t>
    </rPh>
    <rPh sb="24" eb="26">
      <t xml:space="preserve">タンイ </t>
    </rPh>
    <rPh sb="29" eb="32">
      <t xml:space="preserve">ジカンワリ </t>
    </rPh>
    <rPh sb="33" eb="35">
      <t xml:space="preserve">ヘンセイ </t>
    </rPh>
    <rPh sb="42" eb="43">
      <t>ホン</t>
    </rPh>
    <rPh sb="43" eb="45">
      <t>キョウイク</t>
    </rPh>
    <rPh sb="51" eb="53">
      <t>リシュウ</t>
    </rPh>
    <rPh sb="70" eb="72">
      <t xml:space="preserve">カノウ </t>
    </rPh>
    <rPh sb="81" eb="83">
      <t>カモク</t>
    </rPh>
    <rPh sb="84" eb="88">
      <t>センタクカモク</t>
    </rPh>
    <rPh sb="89" eb="91">
      <t>イチブ</t>
    </rPh>
    <rPh sb="97" eb="99">
      <t>ジュギョウ</t>
    </rPh>
    <rPh sb="99" eb="101">
      <t>ナイヨウ</t>
    </rPh>
    <rPh sb="102" eb="104">
      <t>ドウガ</t>
    </rPh>
    <rPh sb="110" eb="111">
      <t>オ</t>
    </rPh>
    <rPh sb="123" eb="125">
      <t>ハイシン</t>
    </rPh>
    <rPh sb="130" eb="132">
      <t>ジュギョウ</t>
    </rPh>
    <rPh sb="132" eb="134">
      <t>ナイガイ</t>
    </rPh>
    <rPh sb="135" eb="136">
      <t>ト</t>
    </rPh>
    <rPh sb="138" eb="141">
      <t>ジシュテキ</t>
    </rPh>
    <rPh sb="142" eb="144">
      <t>ヨシュウ</t>
    </rPh>
    <rPh sb="145" eb="147">
      <t>フクシュウ</t>
    </rPh>
    <rPh sb="151" eb="153">
      <t>タイセイ</t>
    </rPh>
    <rPh sb="154" eb="155">
      <t>トトノ</t>
    </rPh>
    <rPh sb="165" eb="167">
      <t>📚</t>
    </rPh>
    <rPh sb="167" eb="169">
      <t>カンキョウ</t>
    </rPh>
    <rPh sb="180" eb="181">
      <t>ウナガ</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</si>
  <si>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</si>
  <si>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</si>
  <si>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入生オリエンテーションにおける説明をはじめとして、ゼミナールにおける周知と履修指導および本学のWEBサイトにも本教育プログラムに関する内容を公開しており、学生が情報を受け取りやすい環境を整備している。</t>
    <phoneticPr fontId="1"/>
  </si>
  <si>
    <t>⑪</t>
    <phoneticPr fontId="1"/>
  </si>
  <si>
    <t>できる限り多くの学生が履修・修得できるようなサポート体制</t>
    <rPh sb="26" eb="28">
      <t>タイセイ</t>
    </rPh>
    <phoneticPr fontId="1"/>
  </si>
  <si>
    <t>本学では、15人規模を1ユニットとした複数クラスによる少人数教育を実施している。演習系の授業においては、受講生の規模に応じてSA(スチューデント・アシスタント)を配置し、学生の演習中の取り組みを支援している。また、「データサイエンス基礎」や「プログラミング基礎」等の授業においては、LMSを用いた反転授業を実施しており、個々の受講生のペースに合わせた学習を可能としている。また、課外講座として「基礎数学」、「情報基礎」を開講しており、数学や情報を苦手としている学生にも本教育プログラムを履修できるよう支援している。</t>
    <rPh sb="171" eb="172">
      <t>ア</t>
    </rPh>
    <phoneticPr fontId="1"/>
  </si>
  <si>
    <t>⑫</t>
    <phoneticPr fontId="1"/>
  </si>
  <si>
    <t>授業時間内外で学習指導、質問を受け付ける具体的な仕組み</t>
    <rPh sb="20" eb="23">
      <t>グタイテキ</t>
    </rPh>
    <phoneticPr fontId="1"/>
  </si>
  <si>
    <t>本教育プログラムの履修状況および進捗はLMSを用いて管理している。学修目標の達成に向けて、本プログラムの授業科目を担当する教員はオフィスアワーを開設し、学生からの学習上の質問や悩みなどの相談にのり、適切な指導助言を行っている。また、各期の途中で出席率が一定の基準に満たない学生には、クラスアドバイザー（CA)が本人との面談、場合によっては保護者への連絡または保護者からの連絡により現状の把握、今後の対応などを話し合っている。また対面での助言指導だけでなく、学生は授業時間以外に不明点等があれば、LMSまたはオンラインミーティングツールを通じていつでも質問できる体制を整備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</si>
  <si>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</si>
  <si>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</si>
  <si>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</si>
  <si>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</si>
  <si>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数理・データサイエンス・AI教育推進機構</t>
    <rPh sb="0" eb="2">
      <t xml:space="preserve">スウリ </t>
    </rPh>
    <rPh sb="14" eb="16">
      <t xml:space="preserve">キョウイク </t>
    </rPh>
    <rPh sb="16" eb="20">
      <t xml:space="preserve">スイシンキコウ </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</si>
  <si>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</si>
  <si>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</si>
  <si>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</si>
  <si>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</si>
  <si>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</si>
  <si>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</si>
  <si>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本学教育推進委員会が実施している学生授業評価アンケートにより、本教育プログラムの科目に関する学生の理解度および満足度を把握することができる。また同アンケートでは、授業評価に関する自由記述欄を設けており、教員が開発した教材や授業方法等に対する評価を把握できる。同委員会では、 入学時における数学・情報のプレースメントテストの実施、GPA分布の分析や講義PDCAのレビュー等を行っている。それぞれの結果については、学科会議や教授会において報告しており、本教育プログラムの評価や改善に活用している。</t>
    <rPh sb="81" eb="83">
      <t xml:space="preserve">ジュギョウ </t>
    </rPh>
    <rPh sb="83" eb="85">
      <t xml:space="preserve">ヒョウカ </t>
    </rPh>
    <rPh sb="86" eb="87">
      <t xml:space="preserve">カンスル </t>
    </rPh>
    <rPh sb="129" eb="130">
      <t>ドウ</t>
    </rPh>
    <rPh sb="130" eb="133">
      <t>イインカイ</t>
    </rPh>
    <rPh sb="147" eb="149">
      <t>ジョウホウ</t>
    </rPh>
    <rPh sb="161" eb="163">
      <t>ジッシ</t>
    </rPh>
    <rPh sb="167" eb="169">
      <t>ブンプ</t>
    </rPh>
    <rPh sb="170" eb="172">
      <t>ブンセキ</t>
    </rPh>
    <rPh sb="173" eb="175">
      <t>コウギ</t>
    </rPh>
    <rPh sb="184" eb="185">
      <t>トウ</t>
    </rPh>
    <rPh sb="186" eb="187">
      <t>オコナ</t>
    </rPh>
    <rPh sb="197" eb="199">
      <t>ケッカ</t>
    </rPh>
    <rPh sb="205" eb="207">
      <t>ガッカ</t>
    </rPh>
    <rPh sb="207" eb="209">
      <t>カイギ</t>
    </rPh>
    <rPh sb="210" eb="213">
      <t>キョウジュカイ</t>
    </rPh>
    <rPh sb="217" eb="219">
      <t>ホウコク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</si>
  <si>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</si>
  <si>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の教育推進委員会が実施している学生授業評価アンケートにより、本教育プログラムの科目に関する学生の理解度および満足度を把握している。いずれの指標も４件法による評価(1点：「低い」～4点：「高い」）を行っており、本学のFD目標として2.5点以上を設定している。令和４年度においては、本プログラムを構成するほぼ全ての科目が理解度・満足度ともに目標値を達成した。以上のことから、内容の理解度は良好であると評価している。</t>
    <rPh sb="71" eb="73">
      <t xml:space="preserve">シヒョウ </t>
    </rPh>
    <rPh sb="76" eb="77">
      <t xml:space="preserve">ホウ </t>
    </rPh>
    <rPh sb="80" eb="82">
      <t xml:space="preserve">ヒョウカ </t>
    </rPh>
    <rPh sb="84" eb="85">
      <t xml:space="preserve">テン </t>
    </rPh>
    <rPh sb="87" eb="88">
      <t xml:space="preserve">ヒクイ </t>
    </rPh>
    <rPh sb="92" eb="93">
      <t xml:space="preserve">テン </t>
    </rPh>
    <rPh sb="95" eb="96">
      <t xml:space="preserve">タカイ </t>
    </rPh>
    <rPh sb="100" eb="101">
      <t xml:space="preserve">オコナッテ </t>
    </rPh>
    <rPh sb="106" eb="108">
      <t xml:space="preserve">ホンガク </t>
    </rPh>
    <rPh sb="111" eb="113">
      <t xml:space="preserve">モクヒョウ </t>
    </rPh>
    <rPh sb="119" eb="120">
      <t xml:space="preserve">テン </t>
    </rPh>
    <rPh sb="120" eb="122">
      <t xml:space="preserve">イジョウ </t>
    </rPh>
    <rPh sb="123" eb="125">
      <t xml:space="preserve">セッテイ </t>
    </rPh>
    <rPh sb="130" eb="132">
      <t xml:space="preserve">レイワ </t>
    </rPh>
    <rPh sb="133" eb="135">
      <t xml:space="preserve">ネンド </t>
    </rPh>
    <rPh sb="141" eb="142">
      <t xml:space="preserve">ホン </t>
    </rPh>
    <rPh sb="148" eb="150">
      <t>👩‍⚖️</t>
    </rPh>
    <rPh sb="154" eb="155">
      <t xml:space="preserve">スベテ </t>
    </rPh>
    <rPh sb="157" eb="159">
      <t xml:space="preserve">カモク </t>
    </rPh>
    <rPh sb="160" eb="163">
      <t xml:space="preserve">リカイド </t>
    </rPh>
    <rPh sb="164" eb="167">
      <t xml:space="preserve">マンゾクド </t>
    </rPh>
    <rPh sb="170" eb="172">
      <t xml:space="preserve">モクヒョウ </t>
    </rPh>
    <rPh sb="172" eb="173">
      <t xml:space="preserve">チ </t>
    </rPh>
    <rPh sb="174" eb="176">
      <t xml:space="preserve">タッセイ </t>
    </rPh>
    <rPh sb="179" eb="181">
      <t xml:space="preserve">イジョウ </t>
    </rPh>
    <rPh sb="187" eb="189">
      <t xml:space="preserve">ナイヨウ </t>
    </rPh>
    <rPh sb="190" eb="193">
      <t xml:space="preserve">リカイド </t>
    </rPh>
    <rPh sb="194" eb="196">
      <t xml:space="preserve">リョウコウ </t>
    </rPh>
    <rPh sb="200" eb="202">
      <t xml:space="preserve">ヒョウカ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</si>
  <si>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</si>
  <si>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授業評価アンケートに付随して、シラバス上に後輩学生に対する履修上のアドバイスを学生が記入できる機会を設けている。本教育プログラムの科目群に対するコメント内容には、「面白いので是非履修をしてください」、「予習・復習を欠かせないこと」、「実践的な力が身につきます」などが多く占めており、学生への推奨度は良好であると評価できる。</t>
    <rPh sb="0" eb="2">
      <t>ガクセイ</t>
    </rPh>
    <rPh sb="2" eb="4">
      <t>ジュギョウ</t>
    </rPh>
    <rPh sb="4" eb="6">
      <t>ヒョウカ</t>
    </rPh>
    <rPh sb="12" eb="14">
      <t>フズイ</t>
    </rPh>
    <rPh sb="21" eb="22">
      <t>ジョウ</t>
    </rPh>
    <rPh sb="23" eb="25">
      <t>コウハイ</t>
    </rPh>
    <rPh sb="25" eb="27">
      <t>ガクセイ</t>
    </rPh>
    <rPh sb="28" eb="29">
      <t>タイ</t>
    </rPh>
    <rPh sb="31" eb="34">
      <t>リシュウジョウ</t>
    </rPh>
    <rPh sb="41" eb="43">
      <t>ガクセイ</t>
    </rPh>
    <rPh sb="44" eb="46">
      <t>キニュウ</t>
    </rPh>
    <rPh sb="49" eb="51">
      <t>キカイ</t>
    </rPh>
    <rPh sb="52" eb="53">
      <t>モウ</t>
    </rPh>
    <rPh sb="84" eb="86">
      <t>オモシロ</t>
    </rPh>
    <rPh sb="89" eb="91">
      <t>ゼヒ</t>
    </rPh>
    <rPh sb="91" eb="93">
      <t>リシュウ</t>
    </rPh>
    <rPh sb="103" eb="105">
      <t>ヨシュウ</t>
    </rPh>
    <rPh sb="106" eb="108">
      <t>フクシュウ</t>
    </rPh>
    <rPh sb="109" eb="110">
      <t>カ</t>
    </rPh>
    <rPh sb="119" eb="122">
      <t>ジッセンテキ</t>
    </rPh>
    <rPh sb="123" eb="124">
      <t>チカラ</t>
    </rPh>
    <rPh sb="125" eb="126">
      <t>ミ</t>
    </rPh>
    <rPh sb="135" eb="136">
      <t>オオ</t>
    </rPh>
    <rPh sb="137" eb="138">
      <t>シ</t>
    </rPh>
    <rPh sb="157" eb="159">
      <t>ヒョウカ</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</si>
  <si>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</si>
  <si>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の履修者数の向上に向けては、科目の必修化やオリエンテーション等での説明のみならず、先輩学生からの勧めを促すことや、モデルとなる学生を一人でも多く社会に輩出することが必要である。そのため現在、本教育プログラムを履修している学生を「実践型インターンシップ」を代表とする各種就業実習プログラムに派遣し、本プログラムで得た知識やスキルを具体的に活用できる機会を積極的に設けている。</t>
    <rPh sb="9" eb="12">
      <t>リシュウシャ</t>
    </rPh>
    <rPh sb="12" eb="13">
      <t>スウ</t>
    </rPh>
    <rPh sb="14" eb="16">
      <t>コウジョウ</t>
    </rPh>
    <rPh sb="17" eb="18">
      <t>ム</t>
    </rPh>
    <rPh sb="22" eb="24">
      <t>カモク</t>
    </rPh>
    <rPh sb="25" eb="28">
      <t>ヒッシュウカ</t>
    </rPh>
    <rPh sb="38" eb="39">
      <t>トウ</t>
    </rPh>
    <rPh sb="41" eb="43">
      <t>セツメイ</t>
    </rPh>
    <rPh sb="49" eb="51">
      <t>センパイ</t>
    </rPh>
    <rPh sb="51" eb="53">
      <t>ガクセイ</t>
    </rPh>
    <rPh sb="56" eb="57">
      <t>スス</t>
    </rPh>
    <rPh sb="59" eb="60">
      <t>ウナガ</t>
    </rPh>
    <rPh sb="71" eb="73">
      <t>ガクセイ</t>
    </rPh>
    <rPh sb="74" eb="76">
      <t>ヒトリ</t>
    </rPh>
    <rPh sb="78" eb="79">
      <t>オオ</t>
    </rPh>
    <rPh sb="80" eb="82">
      <t>シャカイ</t>
    </rPh>
    <rPh sb="83" eb="85">
      <t>ハイシュツ</t>
    </rPh>
    <rPh sb="90" eb="92">
      <t>ヒツヨウ</t>
    </rPh>
    <rPh sb="100" eb="101">
      <t>ゲン</t>
    </rPh>
    <rPh sb="101" eb="102">
      <t>ザイ</t>
    </rPh>
    <rPh sb="103" eb="104">
      <t>ホン</t>
    </rPh>
    <rPh sb="104" eb="106">
      <t>キョウイク</t>
    </rPh>
    <rPh sb="112" eb="114">
      <t>リシュウ</t>
    </rPh>
    <rPh sb="118" eb="120">
      <t>ガクセイ</t>
    </rPh>
    <rPh sb="122" eb="124">
      <t>ジッセン</t>
    </rPh>
    <rPh sb="124" eb="125">
      <t>ガタ</t>
    </rPh>
    <rPh sb="135" eb="137">
      <t>ダイヒョウ</t>
    </rPh>
    <rPh sb="140" eb="142">
      <t>カクシュ</t>
    </rPh>
    <rPh sb="142" eb="144">
      <t>シュウギョウ</t>
    </rPh>
    <rPh sb="144" eb="146">
      <t>ジッシュウ</t>
    </rPh>
    <rPh sb="152" eb="154">
      <t>ハケン</t>
    </rPh>
    <rPh sb="156" eb="157">
      <t>ホン</t>
    </rPh>
    <rPh sb="163" eb="164">
      <t>エ</t>
    </rPh>
    <rPh sb="165" eb="167">
      <t>チシキ</t>
    </rPh>
    <rPh sb="172" eb="175">
      <t>グタイテキ</t>
    </rPh>
    <rPh sb="176" eb="178">
      <t>カツヨウ</t>
    </rPh>
    <rPh sb="181" eb="183">
      <t>キカイ</t>
    </rPh>
    <rPh sb="184" eb="187">
      <t>セッキョクテキ</t>
    </rPh>
    <rPh sb="188" eb="189">
      <t>モウ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</si>
  <si>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</si>
  <si>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</si>
  <si>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教育プログラムを修了し卒業した学生はまだいないが、今後、修了生が出た後には、本学が毎年実施している「卒業生アンケート」、「卒業生在籍企業アンケート調査」および「企業との教育課程に関する意見交換会」の開催により意見聴取を行い、その結果をもとに定期的に点検・評価を行うことを計画している。</t>
    <rPh sb="0" eb="1">
      <t>ホン</t>
    </rPh>
    <rPh sb="1" eb="3">
      <t>キョウイク</t>
    </rPh>
    <rPh sb="9" eb="11">
      <t>シュウリョウ</t>
    </rPh>
    <rPh sb="12" eb="14">
      <t>ソツギョウ</t>
    </rPh>
    <rPh sb="16" eb="18">
      <t>ガクセイ</t>
    </rPh>
    <rPh sb="26" eb="28">
      <t>コンゴ</t>
    </rPh>
    <rPh sb="29" eb="32">
      <t>シュウリョウセイ</t>
    </rPh>
    <rPh sb="33" eb="34">
      <t>デ</t>
    </rPh>
    <rPh sb="35" eb="36">
      <t>ノチ</t>
    </rPh>
    <rPh sb="39" eb="41">
      <t>ホンガク</t>
    </rPh>
    <rPh sb="42" eb="44">
      <t>マイトシ</t>
    </rPh>
    <rPh sb="44" eb="46">
      <t>ジッシ</t>
    </rPh>
    <rPh sb="51" eb="54">
      <t>ソツギョウセイ</t>
    </rPh>
    <rPh sb="128" eb="130">
      <t>ヒョウカ</t>
    </rPh>
    <rPh sb="131" eb="132">
      <t>オコナ</t>
    </rPh>
    <rPh sb="136" eb="138">
      <t>ケイカク</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</si>
  <si>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</si>
  <si>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教育プログラムの内容や方法等が地域・社会の要請に応えているかについては、「企業との教育課程に関する意見交換会」の実施により意見聴取を行っており、その結果をもとに定期的に点検し、必要に応じて改善を行うよう努力している。令和４年度の開催においては、本教育プログラムを含む本学の教育課程に対して概ね良好な評価をいただいており、本プログラムの推進に向けた体制は整っているといえる。</t>
    <rPh sb="12" eb="14">
      <t>ホウホウ</t>
    </rPh>
    <rPh sb="14" eb="15">
      <t>トウ</t>
    </rPh>
    <rPh sb="109" eb="111">
      <t>レイワ</t>
    </rPh>
    <rPh sb="112" eb="114">
      <t>ネンド</t>
    </rPh>
    <rPh sb="115" eb="117">
      <t>カイサイ</t>
    </rPh>
    <rPh sb="123" eb="124">
      <t>ホン</t>
    </rPh>
    <rPh sb="124" eb="126">
      <t>キョウイク</t>
    </rPh>
    <rPh sb="132" eb="133">
      <t>フク</t>
    </rPh>
    <rPh sb="134" eb="136">
      <t>ホンガク</t>
    </rPh>
    <rPh sb="137" eb="139">
      <t>キョウイク</t>
    </rPh>
    <rPh sb="139" eb="141">
      <t>カテイ</t>
    </rPh>
    <rPh sb="142" eb="143">
      <t>タイ</t>
    </rPh>
    <rPh sb="145" eb="146">
      <t>オオム</t>
    </rPh>
    <rPh sb="147" eb="149">
      <t>リョウコウ</t>
    </rPh>
    <rPh sb="150" eb="152">
      <t>ヒョウカ</t>
    </rPh>
    <rPh sb="161" eb="162">
      <t>ホン</t>
    </rPh>
    <rPh sb="168" eb="170">
      <t>スイシン</t>
    </rPh>
    <rPh sb="171" eb="172">
      <t>ム</t>
    </rPh>
    <rPh sb="174" eb="176">
      <t>タイセイ</t>
    </rPh>
    <rPh sb="177" eb="178">
      <t>トトノ</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</si>
  <si>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</si>
  <si>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教育プログラムを構成する「データサイエンス基礎」や「人工知能基礎」をはじめとする科目において、演習課題を豊富に取り入れており、受講生には、数理・データサイエンス・AIを学ぶ楽しさや意義について可能な限り体験的に理解してもらえるよう努めている。１年生の夏季休暇中には「実践型インターンシップ」を実施しており、提携している企業・地域における実課題に沿った学修や活動を行う機会を設けている。また、2年生の卒業研究では、数理・データサイエンス・AIの各分野に関する研究が行われているが、その発表の場においては、1年生も任意に参加できるようにしており、本教育プログラムを学ぶ楽しさや意義について理解を促す機会を設けている。</t>
    <rPh sb="0" eb="3">
      <t>ホンキョウイク</t>
    </rPh>
    <rPh sb="9" eb="11">
      <t>コウセイ</t>
    </rPh>
    <rPh sb="22" eb="24">
      <t>キソ</t>
    </rPh>
    <rPh sb="27" eb="31">
      <t>ジンコウチノウ</t>
    </rPh>
    <rPh sb="31" eb="33">
      <t>キソ</t>
    </rPh>
    <rPh sb="41" eb="43">
      <t>カモク</t>
    </rPh>
    <rPh sb="48" eb="50">
      <t>エンシュウ</t>
    </rPh>
    <rPh sb="50" eb="52">
      <t>カダイ</t>
    </rPh>
    <rPh sb="53" eb="55">
      <t>ホウフ</t>
    </rPh>
    <rPh sb="56" eb="57">
      <t>ト</t>
    </rPh>
    <rPh sb="58" eb="59">
      <t>イ</t>
    </rPh>
    <rPh sb="64" eb="67">
      <t xml:space="preserve">ジュコウセイ </t>
    </rPh>
    <rPh sb="70" eb="72">
      <t>スウリ</t>
    </rPh>
    <rPh sb="85" eb="86">
      <t>マナ</t>
    </rPh>
    <rPh sb="87" eb="88">
      <t>タノ</t>
    </rPh>
    <rPh sb="91" eb="93">
      <t>イギ</t>
    </rPh>
    <rPh sb="97" eb="99">
      <t>カノウ</t>
    </rPh>
    <rPh sb="100" eb="101">
      <t>カギ</t>
    </rPh>
    <rPh sb="110" eb="111">
      <t>ツト</t>
    </rPh>
    <rPh sb="179" eb="181">
      <t>カツドウ</t>
    </rPh>
    <rPh sb="197" eb="199">
      <t>ネンセイ</t>
    </rPh>
    <rPh sb="201" eb="203">
      <t>ハッピョウ</t>
    </rPh>
    <rPh sb="242" eb="243">
      <t>バ</t>
    </rPh>
    <rPh sb="247" eb="249">
      <t>ネンセイ</t>
    </rPh>
    <rPh sb="250" eb="252">
      <t>ニンイ</t>
    </rPh>
    <rPh sb="253" eb="255">
      <t>サンカ</t>
    </rPh>
    <rPh sb="266" eb="267">
      <t>ホン</t>
    </rPh>
    <rPh sb="267" eb="269">
      <t>キョウイク</t>
    </rPh>
    <rPh sb="275" eb="276">
      <t>マナ</t>
    </rPh>
    <rPh sb="277" eb="278">
      <t>タノ</t>
    </rPh>
    <rPh sb="281" eb="283">
      <t>イギ</t>
    </rPh>
    <rPh sb="287" eb="289">
      <t>リカイ</t>
    </rPh>
    <rPh sb="290" eb="291">
      <t>ウナガ</t>
    </rPh>
    <rPh sb="292" eb="293">
      <t>キカイ</t>
    </rPh>
    <rPh sb="293" eb="295">
      <t xml:space="preserve">リカイ </t>
    </rPh>
    <rPh sb="296" eb="297">
      <t xml:space="preserve">ウナガス </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</si>
  <si>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</si>
  <si>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教育プログラムの内容については、学生委員（学生会メンバー）をはじめとして、企業の方や卒業生にも定期的にアンケート調査やヒアリングを実施しており、その結果を踏まえて本プログラムの教育内容の水準の維持・向上に役立てている。より分かりやすい授業を展開していくために、本学教育推進委員会が中心となって、FD研修会の実施や教育系の学会への参加・発表を行っており、教育方法の開発・改善に努めている。各学期末に行われる学生授業評価アンケートでは、本学の教育内容や方法に対しては概ね肯定的な評価をいただいており、本教育プログラムにおける教育の質の維持・向上の状況は良好と判断される。</t>
    <rPh sb="0" eb="3">
      <t>ホンキョウイク</t>
    </rPh>
    <rPh sb="9" eb="11">
      <t>ナイヨウ</t>
    </rPh>
    <rPh sb="17" eb="19">
      <t>ガクセイ</t>
    </rPh>
    <rPh sb="19" eb="21">
      <t>イイン</t>
    </rPh>
    <rPh sb="22" eb="24">
      <t>ガクセイ</t>
    </rPh>
    <rPh sb="24" eb="25">
      <t>カイ</t>
    </rPh>
    <rPh sb="38" eb="40">
      <t>キギョウ</t>
    </rPh>
    <rPh sb="41" eb="42">
      <t>カタ</t>
    </rPh>
    <rPh sb="43" eb="46">
      <t>ソツギョウセイ</t>
    </rPh>
    <rPh sb="48" eb="51">
      <t>テイキテキ</t>
    </rPh>
    <rPh sb="57" eb="59">
      <t>チョウサ</t>
    </rPh>
    <rPh sb="66" eb="68">
      <t>ジッシ</t>
    </rPh>
    <rPh sb="75" eb="77">
      <t>ケッカ</t>
    </rPh>
    <rPh sb="78" eb="79">
      <t>フ</t>
    </rPh>
    <rPh sb="82" eb="83">
      <t xml:space="preserve">ホン </t>
    </rPh>
    <rPh sb="89" eb="91">
      <t xml:space="preserve">キョウイク </t>
    </rPh>
    <rPh sb="91" eb="93">
      <t xml:space="preserve">ナイヨウ </t>
    </rPh>
    <rPh sb="94" eb="96">
      <t>スイジュン</t>
    </rPh>
    <rPh sb="97" eb="99">
      <t>イジ</t>
    </rPh>
    <rPh sb="100" eb="102">
      <t>コウジョウ</t>
    </rPh>
    <rPh sb="103" eb="105">
      <t>ヤクダ</t>
    </rPh>
    <rPh sb="131" eb="133">
      <t>ホンガク</t>
    </rPh>
    <rPh sb="133" eb="135">
      <t>キョウイク</t>
    </rPh>
    <rPh sb="135" eb="137">
      <t>スイシン</t>
    </rPh>
    <rPh sb="137" eb="140">
      <t>イインカイ</t>
    </rPh>
    <rPh sb="141" eb="143">
      <t>チュウシン</t>
    </rPh>
    <rPh sb="150" eb="153">
      <t>ケンシュウカイ</t>
    </rPh>
    <rPh sb="154" eb="156">
      <t>ジッシ</t>
    </rPh>
    <rPh sb="157" eb="159">
      <t>キョウイク</t>
    </rPh>
    <rPh sb="159" eb="160">
      <t>ケイ</t>
    </rPh>
    <rPh sb="161" eb="163">
      <t>ガッカイ</t>
    </rPh>
    <rPh sb="165" eb="167">
      <t>サンカ</t>
    </rPh>
    <rPh sb="168" eb="170">
      <t>ハッピョウ</t>
    </rPh>
    <rPh sb="171" eb="172">
      <t>オコナ</t>
    </rPh>
    <rPh sb="177" eb="181">
      <t>キョウイクホウホウ</t>
    </rPh>
    <rPh sb="182" eb="184">
      <t>カイハツ</t>
    </rPh>
    <rPh sb="185" eb="187">
      <t>カイゼン</t>
    </rPh>
    <rPh sb="188" eb="189">
      <t>ツト</t>
    </rPh>
    <rPh sb="194" eb="195">
      <t>カク</t>
    </rPh>
    <rPh sb="195" eb="198">
      <t>ガッキマツ</t>
    </rPh>
    <rPh sb="199" eb="200">
      <t>オコナ</t>
    </rPh>
    <rPh sb="203" eb="205">
      <t>ガクセイ</t>
    </rPh>
    <rPh sb="205" eb="207">
      <t>ジュギョウ</t>
    </rPh>
    <rPh sb="207" eb="209">
      <t>ヒョウカ</t>
    </rPh>
    <rPh sb="217" eb="219">
      <t>ホンガク</t>
    </rPh>
    <rPh sb="220" eb="222">
      <t>キョウイク</t>
    </rPh>
    <rPh sb="222" eb="224">
      <t>ナイヨウ</t>
    </rPh>
    <rPh sb="225" eb="227">
      <t>ホウホウ</t>
    </rPh>
    <rPh sb="228" eb="229">
      <t>タイ</t>
    </rPh>
    <rPh sb="232" eb="233">
      <t>オオム</t>
    </rPh>
    <rPh sb="234" eb="237">
      <t>コウテイテキ</t>
    </rPh>
    <rPh sb="238" eb="240">
      <t>ヒョウカ</t>
    </rPh>
    <rPh sb="249" eb="252">
      <t>ホンキョウイク</t>
    </rPh>
    <rPh sb="261" eb="263">
      <t>キョウイク</t>
    </rPh>
    <rPh sb="264" eb="265">
      <t>シツ</t>
    </rPh>
    <rPh sb="266" eb="268">
      <t>イジ</t>
    </rPh>
    <rPh sb="269" eb="271">
      <t>コウジョウ</t>
    </rPh>
    <rPh sb="272" eb="274">
      <t>ジョウキョウ</t>
    </rPh>
    <rPh sb="275" eb="277">
      <t>リョウコウ</t>
    </rPh>
    <rPh sb="278" eb="280">
      <t>ハンダン</t>
    </rPh>
    <phoneticPr fontId="1"/>
  </si>
  <si>
    <t>プログラムを構成する「コア科目群（下記１～３）」の全て（６単位）を取得し、「選択科目群（下記４～１４）」から４単位以上、合計１０単位以上を取得すること。
【コア科目群】１．データサイエンス基礎、２．情報処理概論、３．情報処理演習Ⅰ　
【選択科目群】４．線形代数Ⅰ、５．微分積分学Ⅰ、６．情報数学、７．線形代数Ⅱ、８．微分積分学Ⅱ、９．統計学、１０．プログラミング基礎、１１．データ構造Ⅰ、１２．データベース概論、１３．情報処理演習Ⅱ、１４．人工知能基礎</t>
    <phoneticPr fontId="1"/>
  </si>
  <si>
    <t>本教育プログラム開設の初年度（令和４年度）における履修状況は、リテラシーレベルは４８％（令和４年度入学生に限定すると８５％）、応用基礎レベルは２％（令和４年度入学生に限定すると３％）であり、リテラシーレベルの履修率は当初の見込みよりも高かった。その要因として、新入生オリエンテーションや在学生オリエンテーション等において、数理・データサイエンス・AIに関する社会的ニーズと情報系短大である本学の特色について学生に説明したことが影響しているものと推察される。応用基礎レベルについては、今後、２年次科目の履修や１年次科目の再履修によって履修率は向上することが期待される。また、修得状況については、令和４年度末においてリテラシーレベルは３８％（履修者数に対する割合は７８％）、応用基礎レベルは１％（履修者数に対する割合は４０％）であった。以上の点から、本教育プログラムの履修・修得状況は概ね良好な水準にあると評価している。</t>
    <rPh sb="0" eb="1">
      <t>ホン</t>
    </rPh>
    <rPh sb="1" eb="3">
      <t>キョウイク</t>
    </rPh>
    <rPh sb="8" eb="10">
      <t>カイセツ</t>
    </rPh>
    <rPh sb="11" eb="14">
      <t>ショネンド</t>
    </rPh>
    <rPh sb="15" eb="17">
      <t>レイワ</t>
    </rPh>
    <rPh sb="18" eb="20">
      <t>ネンド</t>
    </rPh>
    <rPh sb="25" eb="27">
      <t>リシュウ</t>
    </rPh>
    <rPh sb="27" eb="29">
      <t>ジョウキョウ</t>
    </rPh>
    <rPh sb="44" eb="46">
      <t>レイワ</t>
    </rPh>
    <rPh sb="47" eb="49">
      <t>ネンド</t>
    </rPh>
    <rPh sb="49" eb="52">
      <t>ニュウガクセイ</t>
    </rPh>
    <rPh sb="53" eb="55">
      <t>ゲンテイ</t>
    </rPh>
    <rPh sb="63" eb="67">
      <t xml:space="preserve">オウヨウキソ </t>
    </rPh>
    <rPh sb="75" eb="77">
      <t>トウショ</t>
    </rPh>
    <rPh sb="78" eb="80">
      <t>ミトオ</t>
    </rPh>
    <rPh sb="84" eb="85">
      <t>タカ</t>
    </rPh>
    <rPh sb="104" eb="107">
      <t xml:space="preserve">リシュウリツハ </t>
    </rPh>
    <rPh sb="108" eb="110">
      <t xml:space="preserve">トウショ </t>
    </rPh>
    <rPh sb="111" eb="113">
      <t>ミコ</t>
    </rPh>
    <rPh sb="117" eb="118">
      <t xml:space="preserve">タカカッタ </t>
    </rPh>
    <rPh sb="122" eb="126">
      <t xml:space="preserve">オウヨウキソ </t>
    </rPh>
    <rPh sb="139" eb="142">
      <t>ザイガクセイ</t>
    </rPh>
    <rPh sb="150" eb="151">
      <t>トウ</t>
    </rPh>
    <rPh sb="156" eb="158">
      <t>スウリ</t>
    </rPh>
    <rPh sb="170" eb="171">
      <t>カン</t>
    </rPh>
    <rPh sb="173" eb="175">
      <t>シャカイ</t>
    </rPh>
    <rPh sb="175" eb="176">
      <t>テキ</t>
    </rPh>
    <rPh sb="180" eb="182">
      <t>ジョウホウ</t>
    </rPh>
    <rPh sb="182" eb="183">
      <t>ケイ</t>
    </rPh>
    <rPh sb="183" eb="185">
      <t>タンダイ</t>
    </rPh>
    <rPh sb="188" eb="190">
      <t>ホンガク</t>
    </rPh>
    <rPh sb="191" eb="193">
      <t xml:space="preserve">トクショク </t>
    </rPh>
    <rPh sb="200" eb="202">
      <t>セツメイ</t>
    </rPh>
    <rPh sb="207" eb="209">
      <t>エイキョウ</t>
    </rPh>
    <rPh sb="216" eb="218">
      <t>スイサツ</t>
    </rPh>
    <rPh sb="225" eb="227">
      <t>シュウトク</t>
    </rPh>
    <rPh sb="227" eb="229">
      <t>ジョウキョウ</t>
    </rPh>
    <rPh sb="235" eb="237">
      <t>レイワ</t>
    </rPh>
    <rPh sb="238" eb="240">
      <t>ネンド</t>
    </rPh>
    <rPh sb="240" eb="241">
      <t>マツ</t>
    </rPh>
    <rPh sb="241" eb="243">
      <t>コンゴ</t>
    </rPh>
    <rPh sb="252" eb="255">
      <t>リシュウシャ</t>
    </rPh>
    <rPh sb="255" eb="256">
      <t>スウ</t>
    </rPh>
    <rPh sb="257" eb="258">
      <t>タイ</t>
    </rPh>
    <rPh sb="260" eb="262">
      <t>ワリアイ</t>
    </rPh>
    <rPh sb="269" eb="271">
      <t>オウヨウ</t>
    </rPh>
    <rPh sb="271" eb="273">
      <t>キソ</t>
    </rPh>
    <rPh sb="299" eb="301">
      <t>オウヨウ</t>
    </rPh>
    <rPh sb="301" eb="303">
      <t>キソ</t>
    </rPh>
    <rPh sb="311" eb="312">
      <t>テイチョウ</t>
    </rPh>
    <rPh sb="318" eb="328">
      <t>サイリシュウ</t>
    </rPh>
    <rPh sb="333" eb="336">
      <t xml:space="preserve">リシュウリツ </t>
    </rPh>
    <rPh sb="337" eb="338">
      <t>コウジョウ</t>
    </rPh>
    <rPh sb="349" eb="351">
      <t>イジョウ</t>
    </rPh>
    <rPh sb="352" eb="353">
      <t>テン</t>
    </rPh>
    <rPh sb="364" eb="366">
      <t>リシュウ</t>
    </rPh>
    <rPh sb="367" eb="369">
      <t>シュウトク</t>
    </rPh>
    <rPh sb="369" eb="371">
      <t>ジョウキョウ</t>
    </rPh>
    <rPh sb="372" eb="373">
      <t>オオム</t>
    </rPh>
    <rPh sb="374" eb="376">
      <t>リョウコウ</t>
    </rPh>
    <rPh sb="377" eb="379">
      <t>スイジュン</t>
    </rPh>
    <rPh sb="383" eb="385">
      <t xml:space="preserve">ヒョウカ </t>
    </rPh>
    <phoneticPr fontId="1"/>
  </si>
  <si>
    <t xml:space="preserve">・ビッグデータ、IoT、AI、データ量の増加、計算機の処理性能の向上、AIの非連続的進化、第４次産業革命（１回目）「データサイエンス基礎」
</t>
    <phoneticPr fontId="1"/>
  </si>
  <si>
    <t>・AI最新技術の活用例（深層生成モデル、敵対的生成ネットワーク、強化学習、転移学習など）（５回目）「データサイエンス基礎」</t>
    <phoneticPr fontId="1"/>
  </si>
  <si>
    <t xml:space="preserve">・調査データ、実験データ、人の行動ログデータ、機械の稼働ログデータ、１次データ、２次データ、データのメタ化、構造化データ、非構造化データ、データのオープン化（１回目）「データサイエンス基礎」
</t>
    <phoneticPr fontId="1"/>
  </si>
  <si>
    <t>・データ・AI活用領域の広がり(生産，消費，文化活動など)、研究開発、調達、製造、物流、販売、マーケティング、研究開発、仮説検証、知識発見、原因究明、計画策定、判断支援、活動代替、新規生成（２回目）「データサイエンス基礎」</t>
    <phoneticPr fontId="1"/>
  </si>
  <si>
    <t>・データ解析（予測、グルーピング、最適化）、データ可視化（複合グラフ、２軸グラフ、多次元の可視化、地図上の可視化、挙動・軌跡の可視化）（３回目）「データサイエンス基礎」</t>
    <phoneticPr fontId="1"/>
  </si>
  <si>
    <t>・流通、製造、サービス、インフラ、公共等におけるデータ・AI利活用事例紹介、探索的データ解析（４回目）「データサイエンス基礎」</t>
    <phoneticPr fontId="1"/>
  </si>
  <si>
    <t>・データの集計、表形式のデータ(csv)（１２回目）「データサイエンス基礎」
・データの集計に係る基礎的関数（８回目）「情報処理演習Ⅰ」
・データベース機能（１２回目）「情報処理演習Ⅰ」
・ピボットテーブルを用いた売上集計（８回目）、アンケートデータの集計（１０回目）、VLOOKUP関数による効率的なデータ処理（１４回目）「情報処理演習Ⅱ」</t>
    <rPh sb="104" eb="105">
      <t>モチ</t>
    </rPh>
    <rPh sb="107" eb="109">
      <t>ウリアゲ</t>
    </rPh>
    <rPh sb="109" eb="111">
      <t>シュウケイ</t>
    </rPh>
    <rPh sb="113" eb="115">
      <t>カイメ</t>
    </rPh>
    <rPh sb="126" eb="128">
      <t>シュウケイ</t>
    </rPh>
    <rPh sb="131" eb="133">
      <t>カイメ</t>
    </rPh>
    <rPh sb="142" eb="144">
      <t>カンスウ</t>
    </rPh>
    <rPh sb="147" eb="150">
      <t>コウリツテキ</t>
    </rPh>
    <rPh sb="154" eb="156">
      <t>ショリ</t>
    </rPh>
    <rPh sb="159" eb="161">
      <t>カイメ</t>
    </rPh>
    <rPh sb="163" eb="167">
      <t>ジョウホウショリ</t>
    </rPh>
    <rPh sb="167" eb="169">
      <t>エンシュウ</t>
    </rPh>
    <phoneticPr fontId="1"/>
  </si>
  <si>
    <t xml:space="preserve">・データ表現（棒グラフ、折れ線グラフ、散布図）、不適切なグラフ表現（８回目）「データサイエンス基礎」
・データの図表表現（９回目）「データサイエンス基礎」
・各種グラフの作成（１１回目）「情報処理演習Ⅰ」
・複合グラフの作成（９回目）、積み上げグラフの作成（１１回目）「情報処理演習Ⅱ」
</t>
    <rPh sb="79" eb="81">
      <t>カクシュ</t>
    </rPh>
    <rPh sb="104" eb="106">
      <t>フクゴウ</t>
    </rPh>
    <rPh sb="110" eb="112">
      <t>サクセイ</t>
    </rPh>
    <rPh sb="114" eb="116">
      <t>カイメ</t>
    </rPh>
    <rPh sb="135" eb="139">
      <t>ジョウホウショリ</t>
    </rPh>
    <rPh sb="139" eb="141">
      <t>エンシュウ</t>
    </rPh>
    <phoneticPr fontId="1"/>
  </si>
  <si>
    <t>・ELSI、EU一般データ保護規則、データ倫理（データの捏造、改ざん、盗用、プライバシー保護）、AI社会原則(公平性、説明責任、透明性)、データバイアス、アルゴリズムバイアス（１１回目）「データサイエンス基礎」</t>
    <phoneticPr fontId="1"/>
  </si>
  <si>
    <t>・情報セキュリティ（機密性、完全生、可用性）、情報漏洩などによるセキュリティ事故の事例紹介（１１回目）「データサイエンス基礎」
・情報セキュリティ、コンピュータウイルス、暗号化（１３回目）「情報処理概論」</t>
    <rPh sb="87" eb="88">
      <t>カ</t>
    </rPh>
    <phoneticPr fontId="1"/>
  </si>
  <si>
    <t>・データの種類（量的変数、質的変数）、データの分布（ヒストグラム）と代表値（平均値、中央値、最頻値）、代表値の性質の違い（６回目）「データサイエンス基礎」
・データのばらつき（分散、標準偏差、偏差値）、相関と因果（相関係数）（７回目）「データサイエンス基礎」
・質的変数とクロス集計表（１０回目）「情報処理演習Ⅱ」</t>
    <rPh sb="115" eb="117">
      <t xml:space="preserve">ソウカン </t>
    </rPh>
    <rPh sb="118" eb="120">
      <t xml:space="preserve">インガ </t>
    </rPh>
    <rPh sb="121" eb="125">
      <t xml:space="preserve">ソウカンケイスウ </t>
    </rPh>
    <rPh sb="131" eb="133">
      <t>シツテキ</t>
    </rPh>
    <rPh sb="133" eb="135">
      <t>ヘンスウ</t>
    </rPh>
    <rPh sb="139" eb="141">
      <t>シュウケイ</t>
    </rPh>
    <rPh sb="141" eb="142">
      <t>ヒョウ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</si>
</sst>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4"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0" t="s">
        <v>0</v>
      </c>
      <c r="S1" s="100"/>
      <c r="T1" s="2" t="s">
        <v>1</v>
      </c>
    </row>
    <row r="2" spans="1:22" ht="18.75" customHeight="1" x14ac:dyDescent="0.15">
      <c r="B2" s="32" t="s">
        <v>2</v>
      </c>
      <c r="C2" s="93" t="s">
        <v>3</v>
      </c>
      <c r="D2" s="94"/>
      <c r="E2" s="94"/>
      <c r="F2" s="94"/>
      <c r="G2" s="94"/>
      <c r="H2" s="94"/>
      <c r="I2" s="95"/>
      <c r="J2" s="33"/>
      <c r="K2" s="6"/>
      <c r="L2" s="6"/>
      <c r="M2" s="6"/>
      <c r="N2" s="6"/>
      <c r="O2" s="6"/>
      <c r="P2" s="6"/>
      <c r="Q2" s="6"/>
      <c r="R2" s="6"/>
      <c r="S2" s="6"/>
    </row>
    <row r="3" spans="1:22" ht="18.75" customHeight="1" x14ac:dyDescent="0.15">
      <c r="B3" s="32" t="s">
        <v>4</v>
      </c>
      <c r="C3" s="93" t="s">
        <v>5</v>
      </c>
      <c r="D3" s="94"/>
      <c r="E3" s="94"/>
      <c r="F3" s="94"/>
      <c r="G3" s="94"/>
      <c r="H3" s="94"/>
      <c r="I3" s="95"/>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04" t="s">
        <v>6</v>
      </c>
      <c r="B5" s="104"/>
      <c r="C5" s="104"/>
      <c r="D5" s="104"/>
      <c r="E5" s="104"/>
      <c r="F5" s="104"/>
      <c r="G5" s="104"/>
      <c r="H5" s="104"/>
      <c r="I5" s="104"/>
      <c r="J5" s="104"/>
      <c r="K5" s="104"/>
      <c r="L5" s="104"/>
      <c r="M5" s="104"/>
      <c r="N5" s="104"/>
      <c r="O5" s="104"/>
      <c r="P5" s="104"/>
      <c r="Q5" s="104"/>
      <c r="R5" s="104"/>
      <c r="S5" s="10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6" t="s">
        <v>8</v>
      </c>
      <c r="K7" s="114" t="s">
        <v>9</v>
      </c>
      <c r="L7" s="115"/>
      <c r="M7" s="115"/>
      <c r="N7" s="115"/>
      <c r="O7" s="115"/>
      <c r="P7" s="115"/>
      <c r="Q7" s="115"/>
      <c r="R7" s="115"/>
      <c r="S7" s="11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1"/>
      <c r="C9" s="82"/>
      <c r="D9" s="82"/>
      <c r="E9" s="82"/>
      <c r="F9" s="82"/>
      <c r="G9" s="82"/>
      <c r="H9" s="82"/>
      <c r="I9" s="82"/>
      <c r="J9" s="82"/>
      <c r="K9" s="82"/>
      <c r="L9" s="82"/>
      <c r="M9" s="82"/>
      <c r="N9" s="82"/>
      <c r="O9" s="82"/>
      <c r="P9" s="82"/>
      <c r="Q9" s="82"/>
      <c r="R9" s="82"/>
      <c r="S9" s="83"/>
    </row>
    <row r="10" spans="1:22" ht="18" customHeight="1" x14ac:dyDescent="0.15">
      <c r="B10" s="84"/>
      <c r="C10" s="85"/>
      <c r="D10" s="85"/>
      <c r="E10" s="85"/>
      <c r="F10" s="85"/>
      <c r="G10" s="85"/>
      <c r="H10" s="85"/>
      <c r="I10" s="85"/>
      <c r="J10" s="85"/>
      <c r="K10" s="85"/>
      <c r="L10" s="85"/>
      <c r="M10" s="85"/>
      <c r="N10" s="85"/>
      <c r="O10" s="85"/>
      <c r="P10" s="85"/>
      <c r="Q10" s="85"/>
      <c r="R10" s="85"/>
      <c r="S10" s="8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10</v>
      </c>
      <c r="B12" s="3"/>
      <c r="C12" s="3"/>
      <c r="D12" s="33"/>
      <c r="E12" s="33"/>
      <c r="F12" s="33"/>
      <c r="G12" s="33"/>
      <c r="H12" s="33"/>
      <c r="I12" s="33"/>
      <c r="J12" s="33"/>
      <c r="K12" s="37"/>
      <c r="L12" s="37"/>
      <c r="M12" s="37"/>
      <c r="N12" s="37"/>
      <c r="O12" s="37"/>
      <c r="P12" s="37"/>
      <c r="Q12" s="37"/>
      <c r="R12" s="37"/>
      <c r="S12" s="37"/>
    </row>
    <row r="13" spans="1:22" ht="18" customHeight="1" x14ac:dyDescent="0.15">
      <c r="B13" s="105" t="s">
        <v>172</v>
      </c>
      <c r="C13" s="106"/>
      <c r="D13" s="106"/>
      <c r="E13" s="106"/>
      <c r="F13" s="106"/>
      <c r="G13" s="106"/>
      <c r="H13" s="106"/>
      <c r="I13" s="106"/>
      <c r="J13" s="106"/>
      <c r="K13" s="106"/>
      <c r="L13" s="106"/>
      <c r="M13" s="106"/>
      <c r="N13" s="106"/>
      <c r="O13" s="106"/>
      <c r="P13" s="106"/>
      <c r="Q13" s="106"/>
      <c r="R13" s="106"/>
      <c r="S13" s="107"/>
      <c r="V13" s="1" t="s">
        <v>11</v>
      </c>
    </row>
    <row r="14" spans="1:22" ht="18" customHeight="1" x14ac:dyDescent="0.15">
      <c r="B14" s="108"/>
      <c r="C14" s="109"/>
      <c r="D14" s="109"/>
      <c r="E14" s="109"/>
      <c r="F14" s="109"/>
      <c r="G14" s="109"/>
      <c r="H14" s="109"/>
      <c r="I14" s="109"/>
      <c r="J14" s="109"/>
      <c r="K14" s="109"/>
      <c r="L14" s="109"/>
      <c r="M14" s="109"/>
      <c r="N14" s="109"/>
      <c r="O14" s="109"/>
      <c r="P14" s="109"/>
      <c r="Q14" s="109"/>
      <c r="R14" s="109"/>
      <c r="S14" s="110"/>
      <c r="V14" s="1" t="s">
        <v>12</v>
      </c>
    </row>
    <row r="15" spans="1:22" ht="18" customHeight="1" x14ac:dyDescent="0.15">
      <c r="B15" s="108"/>
      <c r="C15" s="109"/>
      <c r="D15" s="109"/>
      <c r="E15" s="109"/>
      <c r="F15" s="109"/>
      <c r="G15" s="109"/>
      <c r="H15" s="109"/>
      <c r="I15" s="109"/>
      <c r="J15" s="109"/>
      <c r="K15" s="109"/>
      <c r="L15" s="109"/>
      <c r="M15" s="109"/>
      <c r="N15" s="109"/>
      <c r="O15" s="109"/>
      <c r="P15" s="109"/>
      <c r="Q15" s="109"/>
      <c r="R15" s="109"/>
      <c r="S15" s="110"/>
      <c r="V15" s="1" t="s">
        <v>13</v>
      </c>
    </row>
    <row r="16" spans="1:22" ht="18" customHeight="1" x14ac:dyDescent="0.15">
      <c r="B16" s="108"/>
      <c r="C16" s="109"/>
      <c r="D16" s="109"/>
      <c r="E16" s="109"/>
      <c r="F16" s="109"/>
      <c r="G16" s="109"/>
      <c r="H16" s="109"/>
      <c r="I16" s="109"/>
      <c r="J16" s="109"/>
      <c r="K16" s="109"/>
      <c r="L16" s="109"/>
      <c r="M16" s="109"/>
      <c r="N16" s="109"/>
      <c r="O16" s="109"/>
      <c r="P16" s="109"/>
      <c r="Q16" s="109"/>
      <c r="R16" s="109"/>
      <c r="S16" s="110"/>
      <c r="V16" s="1" t="s">
        <v>14</v>
      </c>
    </row>
    <row r="17" spans="1:19" ht="18" customHeight="1" x14ac:dyDescent="0.15">
      <c r="B17" s="108"/>
      <c r="C17" s="109"/>
      <c r="D17" s="109"/>
      <c r="E17" s="109"/>
      <c r="F17" s="109"/>
      <c r="G17" s="109"/>
      <c r="H17" s="109"/>
      <c r="I17" s="109"/>
      <c r="J17" s="109"/>
      <c r="K17" s="109"/>
      <c r="L17" s="109"/>
      <c r="M17" s="109"/>
      <c r="N17" s="109"/>
      <c r="O17" s="109"/>
      <c r="P17" s="109"/>
      <c r="Q17" s="109"/>
      <c r="R17" s="109"/>
      <c r="S17" s="110"/>
    </row>
    <row r="18" spans="1:19" ht="18" customHeight="1" x14ac:dyDescent="0.15">
      <c r="B18" s="111"/>
      <c r="C18" s="112"/>
      <c r="D18" s="112"/>
      <c r="E18" s="112"/>
      <c r="F18" s="112"/>
      <c r="G18" s="112"/>
      <c r="H18" s="112"/>
      <c r="I18" s="112"/>
      <c r="J18" s="112"/>
      <c r="K18" s="112"/>
      <c r="L18" s="112"/>
      <c r="M18" s="112"/>
      <c r="N18" s="112"/>
      <c r="O18" s="112"/>
      <c r="P18" s="112"/>
      <c r="Q18" s="112"/>
      <c r="R18" s="112"/>
      <c r="S18" s="113"/>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15</v>
      </c>
      <c r="C20" s="93">
        <v>10</v>
      </c>
      <c r="D20" s="95"/>
      <c r="E20" s="38" t="s">
        <v>16</v>
      </c>
      <c r="G20" s="10"/>
      <c r="H20" s="3"/>
      <c r="I20" s="3"/>
      <c r="J20" s="33" t="s">
        <v>17</v>
      </c>
      <c r="K20" s="101" t="s">
        <v>13</v>
      </c>
      <c r="L20" s="102"/>
      <c r="M20" s="102"/>
      <c r="N20" s="102"/>
      <c r="O20" s="102"/>
      <c r="P20" s="102"/>
      <c r="Q20" s="102"/>
      <c r="R20" s="102"/>
      <c r="S20" s="10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18</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3" t="s">
        <v>19</v>
      </c>
      <c r="C24" s="94"/>
      <c r="D24" s="94"/>
      <c r="E24" s="95"/>
      <c r="F24" s="59" t="s">
        <v>20</v>
      </c>
      <c r="G24" s="58" t="s">
        <v>21</v>
      </c>
      <c r="H24" s="20" t="s">
        <v>22</v>
      </c>
      <c r="I24" s="20" t="s">
        <v>23</v>
      </c>
      <c r="J24" s="93" t="s">
        <v>19</v>
      </c>
      <c r="K24" s="94"/>
      <c r="L24" s="94"/>
      <c r="M24" s="94"/>
      <c r="N24" s="94"/>
      <c r="O24" s="95"/>
      <c r="P24" s="59" t="s">
        <v>20</v>
      </c>
      <c r="Q24" s="58" t="s">
        <v>21</v>
      </c>
      <c r="R24" s="20" t="s">
        <v>22</v>
      </c>
      <c r="S24" s="20" t="s">
        <v>23</v>
      </c>
    </row>
    <row r="25" spans="1:19" ht="18" customHeight="1" x14ac:dyDescent="0.15">
      <c r="B25" s="97" t="s">
        <v>24</v>
      </c>
      <c r="C25" s="98"/>
      <c r="D25" s="98"/>
      <c r="E25" s="99"/>
      <c r="F25" s="21">
        <v>2</v>
      </c>
      <c r="G25" s="21" t="s">
        <v>25</v>
      </c>
      <c r="H25" s="21" t="s">
        <v>25</v>
      </c>
      <c r="I25" s="21" t="s">
        <v>25</v>
      </c>
      <c r="J25" s="97"/>
      <c r="K25" s="98"/>
      <c r="L25" s="98"/>
      <c r="M25" s="98"/>
      <c r="N25" s="98"/>
      <c r="O25" s="99"/>
      <c r="P25" s="21"/>
      <c r="Q25" s="21"/>
      <c r="R25" s="21"/>
      <c r="S25" s="21"/>
    </row>
    <row r="26" spans="1:19" ht="18" customHeight="1" x14ac:dyDescent="0.15">
      <c r="B26" s="87"/>
      <c r="C26" s="88"/>
      <c r="D26" s="88"/>
      <c r="E26" s="89"/>
      <c r="F26" s="22"/>
      <c r="G26" s="22"/>
      <c r="H26" s="22"/>
      <c r="I26" s="22"/>
      <c r="J26" s="87"/>
      <c r="K26" s="88"/>
      <c r="L26" s="88"/>
      <c r="M26" s="88"/>
      <c r="N26" s="88"/>
      <c r="O26" s="89"/>
      <c r="P26" s="22"/>
      <c r="Q26" s="22"/>
      <c r="R26" s="22"/>
      <c r="S26" s="22"/>
    </row>
    <row r="27" spans="1:19" ht="18" customHeight="1" x14ac:dyDescent="0.15">
      <c r="B27" s="87"/>
      <c r="C27" s="88"/>
      <c r="D27" s="88"/>
      <c r="E27" s="89"/>
      <c r="F27" s="22"/>
      <c r="G27" s="22"/>
      <c r="H27" s="22"/>
      <c r="I27" s="22"/>
      <c r="J27" s="87"/>
      <c r="K27" s="88"/>
      <c r="L27" s="88"/>
      <c r="M27" s="88"/>
      <c r="N27" s="88"/>
      <c r="O27" s="89"/>
      <c r="P27" s="22"/>
      <c r="Q27" s="22"/>
      <c r="R27" s="22"/>
      <c r="S27" s="22"/>
    </row>
    <row r="28" spans="1:19" ht="18" customHeight="1" x14ac:dyDescent="0.15">
      <c r="B28" s="87"/>
      <c r="C28" s="88"/>
      <c r="D28" s="88"/>
      <c r="E28" s="89"/>
      <c r="F28" s="22"/>
      <c r="G28" s="22"/>
      <c r="H28" s="22"/>
      <c r="I28" s="22"/>
      <c r="J28" s="87"/>
      <c r="K28" s="88"/>
      <c r="L28" s="88"/>
      <c r="M28" s="88"/>
      <c r="N28" s="88"/>
      <c r="O28" s="89"/>
      <c r="P28" s="22"/>
      <c r="Q28" s="22"/>
      <c r="R28" s="22"/>
      <c r="S28" s="22"/>
    </row>
    <row r="29" spans="1:19" ht="18" customHeight="1" x14ac:dyDescent="0.15">
      <c r="B29" s="87"/>
      <c r="C29" s="88"/>
      <c r="D29" s="88"/>
      <c r="E29" s="89"/>
      <c r="F29" s="22"/>
      <c r="G29" s="22"/>
      <c r="H29" s="22"/>
      <c r="I29" s="22"/>
      <c r="J29" s="87"/>
      <c r="K29" s="88"/>
      <c r="L29" s="88"/>
      <c r="M29" s="88"/>
      <c r="N29" s="88"/>
      <c r="O29" s="89"/>
      <c r="P29" s="22"/>
      <c r="Q29" s="22"/>
      <c r="R29" s="22"/>
      <c r="S29" s="22"/>
    </row>
    <row r="30" spans="1:19" ht="18" customHeight="1" x14ac:dyDescent="0.15">
      <c r="A30" s="3"/>
      <c r="B30" s="87"/>
      <c r="C30" s="88"/>
      <c r="D30" s="88"/>
      <c r="E30" s="89"/>
      <c r="F30" s="22"/>
      <c r="G30" s="22"/>
      <c r="H30" s="22"/>
      <c r="I30" s="22"/>
      <c r="J30" s="87"/>
      <c r="K30" s="88"/>
      <c r="L30" s="88"/>
      <c r="M30" s="88"/>
      <c r="N30" s="88"/>
      <c r="O30" s="89"/>
      <c r="P30" s="22"/>
      <c r="Q30" s="22"/>
      <c r="R30" s="22"/>
      <c r="S30" s="22"/>
    </row>
    <row r="31" spans="1:19" ht="18" customHeight="1" x14ac:dyDescent="0.15">
      <c r="A31" s="3"/>
      <c r="B31" s="90"/>
      <c r="C31" s="91"/>
      <c r="D31" s="91"/>
      <c r="E31" s="92"/>
      <c r="F31" s="23"/>
      <c r="G31" s="23"/>
      <c r="H31" s="24"/>
      <c r="I31" s="24"/>
      <c r="J31" s="90"/>
      <c r="K31" s="91"/>
      <c r="L31" s="91"/>
      <c r="M31" s="91"/>
      <c r="N31" s="91"/>
      <c r="O31" s="92"/>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26</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3" t="s">
        <v>19</v>
      </c>
      <c r="C35" s="94"/>
      <c r="D35" s="94"/>
      <c r="E35" s="95"/>
      <c r="F35" s="59" t="s">
        <v>20</v>
      </c>
      <c r="G35" s="58" t="s">
        <v>21</v>
      </c>
      <c r="H35" s="20" t="s">
        <v>27</v>
      </c>
      <c r="I35" s="20" t="s">
        <v>28</v>
      </c>
      <c r="J35" s="93" t="s">
        <v>19</v>
      </c>
      <c r="K35" s="94"/>
      <c r="L35" s="94"/>
      <c r="M35" s="94"/>
      <c r="N35" s="94"/>
      <c r="O35" s="95"/>
      <c r="P35" s="59" t="s">
        <v>20</v>
      </c>
      <c r="Q35" s="58" t="s">
        <v>21</v>
      </c>
      <c r="R35" s="20" t="s">
        <v>27</v>
      </c>
      <c r="S35" s="20" t="s">
        <v>28</v>
      </c>
    </row>
    <row r="36" spans="1:19" ht="18" customHeight="1" x14ac:dyDescent="0.15">
      <c r="B36" s="97" t="s">
        <v>24</v>
      </c>
      <c r="C36" s="98"/>
      <c r="D36" s="98"/>
      <c r="E36" s="99"/>
      <c r="F36" s="21">
        <v>2</v>
      </c>
      <c r="G36" s="21" t="s">
        <v>25</v>
      </c>
      <c r="H36" s="21" t="s">
        <v>25</v>
      </c>
      <c r="I36" s="21" t="s">
        <v>25</v>
      </c>
      <c r="J36" s="97"/>
      <c r="K36" s="98"/>
      <c r="L36" s="98"/>
      <c r="M36" s="98"/>
      <c r="N36" s="98"/>
      <c r="O36" s="99"/>
      <c r="P36" s="21"/>
      <c r="Q36" s="21"/>
      <c r="R36" s="21"/>
      <c r="S36" s="21"/>
    </row>
    <row r="37" spans="1:19" ht="18" customHeight="1" x14ac:dyDescent="0.15">
      <c r="B37" s="87"/>
      <c r="C37" s="88"/>
      <c r="D37" s="88"/>
      <c r="E37" s="89"/>
      <c r="F37" s="22"/>
      <c r="G37" s="22"/>
      <c r="H37" s="22"/>
      <c r="I37" s="22"/>
      <c r="J37" s="87"/>
      <c r="K37" s="88"/>
      <c r="L37" s="88"/>
      <c r="M37" s="88"/>
      <c r="N37" s="88"/>
      <c r="O37" s="89"/>
      <c r="P37" s="22"/>
      <c r="Q37" s="22"/>
      <c r="R37" s="22"/>
      <c r="S37" s="22"/>
    </row>
    <row r="38" spans="1:19" ht="18" customHeight="1" x14ac:dyDescent="0.15">
      <c r="B38" s="87"/>
      <c r="C38" s="88"/>
      <c r="D38" s="88"/>
      <c r="E38" s="89"/>
      <c r="F38" s="22"/>
      <c r="G38" s="22"/>
      <c r="H38" s="22"/>
      <c r="I38" s="22"/>
      <c r="J38" s="87"/>
      <c r="K38" s="88"/>
      <c r="L38" s="88"/>
      <c r="M38" s="88"/>
      <c r="N38" s="88"/>
      <c r="O38" s="89"/>
      <c r="P38" s="22"/>
      <c r="Q38" s="22"/>
      <c r="R38" s="22"/>
      <c r="S38" s="22"/>
    </row>
    <row r="39" spans="1:19" ht="18" customHeight="1" x14ac:dyDescent="0.15">
      <c r="B39" s="87"/>
      <c r="C39" s="88"/>
      <c r="D39" s="88"/>
      <c r="E39" s="89"/>
      <c r="F39" s="22"/>
      <c r="G39" s="22"/>
      <c r="H39" s="22"/>
      <c r="I39" s="22"/>
      <c r="J39" s="87"/>
      <c r="K39" s="88"/>
      <c r="L39" s="88"/>
      <c r="M39" s="88"/>
      <c r="N39" s="88"/>
      <c r="O39" s="89"/>
      <c r="P39" s="22"/>
      <c r="Q39" s="22"/>
      <c r="R39" s="22"/>
      <c r="S39" s="22"/>
    </row>
    <row r="40" spans="1:19" ht="18" customHeight="1" x14ac:dyDescent="0.15">
      <c r="B40" s="87"/>
      <c r="C40" s="88"/>
      <c r="D40" s="88"/>
      <c r="E40" s="89"/>
      <c r="F40" s="22"/>
      <c r="G40" s="22"/>
      <c r="H40" s="22"/>
      <c r="I40" s="22"/>
      <c r="J40" s="87"/>
      <c r="K40" s="88"/>
      <c r="L40" s="88"/>
      <c r="M40" s="88"/>
      <c r="N40" s="88"/>
      <c r="O40" s="89"/>
      <c r="P40" s="22"/>
      <c r="Q40" s="22"/>
      <c r="R40" s="22"/>
      <c r="S40" s="22"/>
    </row>
    <row r="41" spans="1:19" ht="18" customHeight="1" x14ac:dyDescent="0.15">
      <c r="B41" s="87"/>
      <c r="C41" s="88"/>
      <c r="D41" s="88"/>
      <c r="E41" s="89"/>
      <c r="F41" s="22"/>
      <c r="G41" s="22"/>
      <c r="H41" s="22"/>
      <c r="I41" s="22"/>
      <c r="J41" s="87"/>
      <c r="K41" s="88"/>
      <c r="L41" s="88"/>
      <c r="M41" s="88"/>
      <c r="N41" s="88"/>
      <c r="O41" s="89"/>
      <c r="P41" s="22"/>
      <c r="Q41" s="22"/>
      <c r="R41" s="22"/>
      <c r="S41" s="22"/>
    </row>
    <row r="42" spans="1:19" ht="18" customHeight="1" x14ac:dyDescent="0.15">
      <c r="B42" s="90"/>
      <c r="C42" s="91"/>
      <c r="D42" s="91"/>
      <c r="E42" s="92"/>
      <c r="F42" s="23"/>
      <c r="G42" s="23"/>
      <c r="H42" s="24"/>
      <c r="I42" s="24"/>
      <c r="J42" s="90"/>
      <c r="K42" s="91"/>
      <c r="L42" s="91"/>
      <c r="M42" s="91"/>
      <c r="N42" s="91"/>
      <c r="O42" s="92"/>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29</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3" t="s">
        <v>19</v>
      </c>
      <c r="C46" s="94"/>
      <c r="D46" s="94"/>
      <c r="E46" s="95"/>
      <c r="F46" s="59" t="s">
        <v>20</v>
      </c>
      <c r="G46" s="58" t="s">
        <v>21</v>
      </c>
      <c r="H46" s="20" t="s">
        <v>30</v>
      </c>
      <c r="I46" s="20" t="s">
        <v>31</v>
      </c>
      <c r="J46" s="93" t="s">
        <v>19</v>
      </c>
      <c r="K46" s="94"/>
      <c r="L46" s="94"/>
      <c r="M46" s="94"/>
      <c r="N46" s="94"/>
      <c r="O46" s="95"/>
      <c r="P46" s="59" t="s">
        <v>20</v>
      </c>
      <c r="Q46" s="58" t="s">
        <v>21</v>
      </c>
      <c r="R46" s="20" t="s">
        <v>30</v>
      </c>
      <c r="S46" s="20" t="s">
        <v>31</v>
      </c>
    </row>
    <row r="47" spans="1:19" ht="18" customHeight="1" x14ac:dyDescent="0.15">
      <c r="A47" s="3"/>
      <c r="B47" s="97" t="s">
        <v>24</v>
      </c>
      <c r="C47" s="98"/>
      <c r="D47" s="98"/>
      <c r="E47" s="99"/>
      <c r="F47" s="21">
        <v>2</v>
      </c>
      <c r="G47" s="21" t="s">
        <v>25</v>
      </c>
      <c r="H47" s="21" t="s">
        <v>25</v>
      </c>
      <c r="I47" s="21" t="s">
        <v>25</v>
      </c>
      <c r="J47" s="97"/>
      <c r="K47" s="98"/>
      <c r="L47" s="98"/>
      <c r="M47" s="98"/>
      <c r="N47" s="98"/>
      <c r="O47" s="99"/>
      <c r="P47" s="21"/>
      <c r="Q47" s="21"/>
      <c r="R47" s="21"/>
      <c r="S47" s="21"/>
    </row>
    <row r="48" spans="1:19" ht="18" customHeight="1" x14ac:dyDescent="0.15">
      <c r="A48" s="3"/>
      <c r="B48" s="87"/>
      <c r="C48" s="88"/>
      <c r="D48" s="88"/>
      <c r="E48" s="89"/>
      <c r="F48" s="22"/>
      <c r="G48" s="22"/>
      <c r="H48" s="22"/>
      <c r="I48" s="22"/>
      <c r="J48" s="87"/>
      <c r="K48" s="88"/>
      <c r="L48" s="88"/>
      <c r="M48" s="88"/>
      <c r="N48" s="88"/>
      <c r="O48" s="89"/>
      <c r="P48" s="22"/>
      <c r="Q48" s="22"/>
      <c r="R48" s="22"/>
      <c r="S48" s="22"/>
    </row>
    <row r="49" spans="1:19" ht="18" customHeight="1" x14ac:dyDescent="0.15">
      <c r="A49" s="3"/>
      <c r="B49" s="87"/>
      <c r="C49" s="88"/>
      <c r="D49" s="88"/>
      <c r="E49" s="89"/>
      <c r="F49" s="22"/>
      <c r="G49" s="22"/>
      <c r="H49" s="22"/>
      <c r="I49" s="22"/>
      <c r="J49" s="87"/>
      <c r="K49" s="88"/>
      <c r="L49" s="88"/>
      <c r="M49" s="88"/>
      <c r="N49" s="88"/>
      <c r="O49" s="89"/>
      <c r="P49" s="22"/>
      <c r="Q49" s="22"/>
      <c r="R49" s="22"/>
      <c r="S49" s="22"/>
    </row>
    <row r="50" spans="1:19" ht="18" customHeight="1" x14ac:dyDescent="0.15">
      <c r="A50" s="3"/>
      <c r="B50" s="87"/>
      <c r="C50" s="88"/>
      <c r="D50" s="88"/>
      <c r="E50" s="89"/>
      <c r="F50" s="22"/>
      <c r="G50" s="22"/>
      <c r="H50" s="22"/>
      <c r="I50" s="22"/>
      <c r="J50" s="87"/>
      <c r="K50" s="88"/>
      <c r="L50" s="88"/>
      <c r="M50" s="88"/>
      <c r="N50" s="88"/>
      <c r="O50" s="89"/>
      <c r="P50" s="22"/>
      <c r="Q50" s="22"/>
      <c r="R50" s="22"/>
      <c r="S50" s="22"/>
    </row>
    <row r="51" spans="1:19" ht="18" customHeight="1" x14ac:dyDescent="0.15">
      <c r="A51" s="3"/>
      <c r="B51" s="87"/>
      <c r="C51" s="88"/>
      <c r="D51" s="88"/>
      <c r="E51" s="89"/>
      <c r="F51" s="22"/>
      <c r="G51" s="22"/>
      <c r="H51" s="22"/>
      <c r="I51" s="22"/>
      <c r="J51" s="87"/>
      <c r="K51" s="88"/>
      <c r="L51" s="88"/>
      <c r="M51" s="88"/>
      <c r="N51" s="88"/>
      <c r="O51" s="89"/>
      <c r="P51" s="22"/>
      <c r="Q51" s="22"/>
      <c r="R51" s="22"/>
      <c r="S51" s="22"/>
    </row>
    <row r="52" spans="1:19" ht="18" customHeight="1" x14ac:dyDescent="0.15">
      <c r="A52" s="3"/>
      <c r="B52" s="87"/>
      <c r="C52" s="88"/>
      <c r="D52" s="88"/>
      <c r="E52" s="89"/>
      <c r="F52" s="22"/>
      <c r="G52" s="22"/>
      <c r="H52" s="22"/>
      <c r="I52" s="22"/>
      <c r="J52" s="87"/>
      <c r="K52" s="88"/>
      <c r="L52" s="88"/>
      <c r="M52" s="88"/>
      <c r="N52" s="88"/>
      <c r="O52" s="89"/>
      <c r="P52" s="22"/>
      <c r="Q52" s="22"/>
      <c r="R52" s="22"/>
      <c r="S52" s="22"/>
    </row>
    <row r="53" spans="1:19" ht="18" customHeight="1" x14ac:dyDescent="0.15">
      <c r="A53" s="3"/>
      <c r="B53" s="90"/>
      <c r="C53" s="91"/>
      <c r="D53" s="91"/>
      <c r="E53" s="92"/>
      <c r="F53" s="23"/>
      <c r="G53" s="23"/>
      <c r="H53" s="24"/>
      <c r="I53" s="24"/>
      <c r="J53" s="90"/>
      <c r="K53" s="91"/>
      <c r="L53" s="91"/>
      <c r="M53" s="91"/>
      <c r="N53" s="91"/>
      <c r="O53" s="92"/>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32</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3" t="s">
        <v>19</v>
      </c>
      <c r="C57" s="94"/>
      <c r="D57" s="94"/>
      <c r="E57" s="95"/>
      <c r="F57" s="59" t="s">
        <v>20</v>
      </c>
      <c r="G57" s="58" t="s">
        <v>21</v>
      </c>
      <c r="H57" s="20" t="s">
        <v>33</v>
      </c>
      <c r="I57" s="20" t="s">
        <v>34</v>
      </c>
      <c r="J57" s="93" t="s">
        <v>19</v>
      </c>
      <c r="K57" s="94"/>
      <c r="L57" s="94"/>
      <c r="M57" s="94"/>
      <c r="N57" s="94"/>
      <c r="O57" s="95"/>
      <c r="P57" s="59" t="s">
        <v>20</v>
      </c>
      <c r="Q57" s="58" t="s">
        <v>21</v>
      </c>
      <c r="R57" s="20" t="s">
        <v>33</v>
      </c>
      <c r="S57" s="20" t="s">
        <v>34</v>
      </c>
    </row>
    <row r="58" spans="1:19" ht="18" customHeight="1" x14ac:dyDescent="0.15">
      <c r="A58" s="3"/>
      <c r="B58" s="97" t="s">
        <v>24</v>
      </c>
      <c r="C58" s="98"/>
      <c r="D58" s="98"/>
      <c r="E58" s="99"/>
      <c r="F58" s="21">
        <v>2</v>
      </c>
      <c r="G58" s="21" t="s">
        <v>25</v>
      </c>
      <c r="H58" s="21" t="s">
        <v>25</v>
      </c>
      <c r="I58" s="21" t="s">
        <v>25</v>
      </c>
      <c r="J58" s="97"/>
      <c r="K58" s="98"/>
      <c r="L58" s="98"/>
      <c r="M58" s="98"/>
      <c r="N58" s="98"/>
      <c r="O58" s="99"/>
      <c r="P58" s="21"/>
      <c r="Q58" s="21"/>
      <c r="R58" s="21"/>
      <c r="S58" s="21"/>
    </row>
    <row r="59" spans="1:19" ht="18" customHeight="1" x14ac:dyDescent="0.15">
      <c r="A59" s="3"/>
      <c r="B59" s="87" t="s">
        <v>35</v>
      </c>
      <c r="C59" s="88"/>
      <c r="D59" s="88"/>
      <c r="E59" s="89"/>
      <c r="F59" s="22">
        <v>2</v>
      </c>
      <c r="G59" s="22" t="s">
        <v>25</v>
      </c>
      <c r="H59" s="22"/>
      <c r="I59" s="22" t="s">
        <v>25</v>
      </c>
      <c r="J59" s="87"/>
      <c r="K59" s="88"/>
      <c r="L59" s="88"/>
      <c r="M59" s="88"/>
      <c r="N59" s="88"/>
      <c r="O59" s="89"/>
      <c r="P59" s="22"/>
      <c r="Q59" s="22"/>
      <c r="R59" s="22"/>
      <c r="S59" s="22"/>
    </row>
    <row r="60" spans="1:19" ht="18" customHeight="1" x14ac:dyDescent="0.15">
      <c r="A60" s="3"/>
      <c r="B60" s="87"/>
      <c r="C60" s="88"/>
      <c r="D60" s="88"/>
      <c r="E60" s="89"/>
      <c r="F60" s="22"/>
      <c r="G60" s="22"/>
      <c r="H60" s="22"/>
      <c r="I60" s="22"/>
      <c r="J60" s="87"/>
      <c r="K60" s="88"/>
      <c r="L60" s="88"/>
      <c r="M60" s="88"/>
      <c r="N60" s="88"/>
      <c r="O60" s="89"/>
      <c r="P60" s="22"/>
      <c r="Q60" s="22"/>
      <c r="R60" s="22"/>
      <c r="S60" s="22"/>
    </row>
    <row r="61" spans="1:19" ht="18" customHeight="1" x14ac:dyDescent="0.15">
      <c r="A61" s="3"/>
      <c r="B61" s="87"/>
      <c r="C61" s="88"/>
      <c r="D61" s="88"/>
      <c r="E61" s="89"/>
      <c r="F61" s="22"/>
      <c r="G61" s="22"/>
      <c r="H61" s="22"/>
      <c r="I61" s="22"/>
      <c r="J61" s="87"/>
      <c r="K61" s="88"/>
      <c r="L61" s="88"/>
      <c r="M61" s="88"/>
      <c r="N61" s="88"/>
      <c r="O61" s="89"/>
      <c r="P61" s="22"/>
      <c r="Q61" s="22"/>
      <c r="R61" s="22"/>
      <c r="S61" s="22"/>
    </row>
    <row r="62" spans="1:19" ht="18" customHeight="1" x14ac:dyDescent="0.15">
      <c r="A62" s="3"/>
      <c r="B62" s="87"/>
      <c r="C62" s="88"/>
      <c r="D62" s="88"/>
      <c r="E62" s="89"/>
      <c r="F62" s="22"/>
      <c r="G62" s="22"/>
      <c r="H62" s="22"/>
      <c r="I62" s="22"/>
      <c r="J62" s="87"/>
      <c r="K62" s="88"/>
      <c r="L62" s="88"/>
      <c r="M62" s="88"/>
      <c r="N62" s="88"/>
      <c r="O62" s="89"/>
      <c r="P62" s="22"/>
      <c r="Q62" s="22"/>
      <c r="R62" s="22"/>
      <c r="S62" s="22"/>
    </row>
    <row r="63" spans="1:19" ht="18" customHeight="1" x14ac:dyDescent="0.15">
      <c r="A63" s="3"/>
      <c r="B63" s="87"/>
      <c r="C63" s="88"/>
      <c r="D63" s="88"/>
      <c r="E63" s="89"/>
      <c r="F63" s="22"/>
      <c r="G63" s="22"/>
      <c r="H63" s="22"/>
      <c r="I63" s="22"/>
      <c r="J63" s="87"/>
      <c r="K63" s="88"/>
      <c r="L63" s="88"/>
      <c r="M63" s="88"/>
      <c r="N63" s="88"/>
      <c r="O63" s="89"/>
      <c r="P63" s="22"/>
      <c r="Q63" s="22"/>
      <c r="R63" s="22"/>
      <c r="S63" s="22"/>
    </row>
    <row r="64" spans="1:19" ht="18" customHeight="1" x14ac:dyDescent="0.15">
      <c r="A64" s="3"/>
      <c r="B64" s="90"/>
      <c r="C64" s="91"/>
      <c r="D64" s="91"/>
      <c r="E64" s="92"/>
      <c r="F64" s="23"/>
      <c r="G64" s="23"/>
      <c r="H64" s="24"/>
      <c r="I64" s="24"/>
      <c r="J64" s="90"/>
      <c r="K64" s="91"/>
      <c r="L64" s="91"/>
      <c r="M64" s="91"/>
      <c r="N64" s="91"/>
      <c r="O64" s="92"/>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36</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3" t="s">
        <v>19</v>
      </c>
      <c r="C68" s="94"/>
      <c r="D68" s="94"/>
      <c r="E68" s="59" t="s">
        <v>20</v>
      </c>
      <c r="F68" s="58" t="s">
        <v>21</v>
      </c>
      <c r="G68" s="20" t="s">
        <v>37</v>
      </c>
      <c r="H68" s="20" t="s">
        <v>38</v>
      </c>
      <c r="I68" s="20" t="s">
        <v>39</v>
      </c>
      <c r="J68" s="93" t="s">
        <v>19</v>
      </c>
      <c r="K68" s="94"/>
      <c r="L68" s="94"/>
      <c r="M68" s="94"/>
      <c r="N68" s="95"/>
      <c r="O68" s="59" t="s">
        <v>20</v>
      </c>
      <c r="P68" s="58" t="s">
        <v>21</v>
      </c>
      <c r="Q68" s="20" t="s">
        <v>37</v>
      </c>
      <c r="R68" s="20" t="s">
        <v>38</v>
      </c>
      <c r="S68" s="20" t="s">
        <v>39</v>
      </c>
    </row>
    <row r="69" spans="1:19" ht="18" customHeight="1" x14ac:dyDescent="0.15">
      <c r="A69" s="3"/>
      <c r="B69" s="97" t="s">
        <v>24</v>
      </c>
      <c r="C69" s="98"/>
      <c r="D69" s="98"/>
      <c r="E69" s="21">
        <v>2</v>
      </c>
      <c r="F69" s="21" t="s">
        <v>25</v>
      </c>
      <c r="G69" s="21" t="s">
        <v>25</v>
      </c>
      <c r="H69" s="21" t="s">
        <v>25</v>
      </c>
      <c r="I69" s="21" t="s">
        <v>25</v>
      </c>
      <c r="J69" s="97"/>
      <c r="K69" s="98"/>
      <c r="L69" s="98"/>
      <c r="M69" s="98"/>
      <c r="N69" s="99"/>
      <c r="O69" s="21"/>
      <c r="P69" s="21"/>
      <c r="Q69" s="21"/>
      <c r="R69" s="21"/>
      <c r="S69" s="21"/>
    </row>
    <row r="70" spans="1:19" ht="18" customHeight="1" x14ac:dyDescent="0.15">
      <c r="A70" s="3"/>
      <c r="B70" s="87" t="s">
        <v>40</v>
      </c>
      <c r="C70" s="88"/>
      <c r="D70" s="88"/>
      <c r="E70" s="22">
        <v>2</v>
      </c>
      <c r="F70" s="22" t="s">
        <v>25</v>
      </c>
      <c r="G70" s="22"/>
      <c r="H70" s="22" t="s">
        <v>25</v>
      </c>
      <c r="I70" s="22" t="s">
        <v>25</v>
      </c>
      <c r="J70" s="87"/>
      <c r="K70" s="88"/>
      <c r="L70" s="88"/>
      <c r="M70" s="88"/>
      <c r="N70" s="89"/>
      <c r="O70" s="22"/>
      <c r="P70" s="22"/>
      <c r="Q70" s="22"/>
      <c r="R70" s="22"/>
      <c r="S70" s="22"/>
    </row>
    <row r="71" spans="1:19" ht="18" customHeight="1" x14ac:dyDescent="0.15">
      <c r="A71" s="3"/>
      <c r="B71" s="87" t="s">
        <v>41</v>
      </c>
      <c r="C71" s="88"/>
      <c r="D71" s="88"/>
      <c r="E71" s="22">
        <v>2</v>
      </c>
      <c r="F71" s="22"/>
      <c r="G71" s="22" t="s">
        <v>25</v>
      </c>
      <c r="H71" s="22" t="s">
        <v>25</v>
      </c>
      <c r="I71" s="22" t="s">
        <v>25</v>
      </c>
      <c r="J71" s="87"/>
      <c r="K71" s="88"/>
      <c r="L71" s="88"/>
      <c r="M71" s="88"/>
      <c r="N71" s="89"/>
      <c r="O71" s="22"/>
      <c r="P71" s="22"/>
      <c r="Q71" s="22"/>
      <c r="R71" s="22"/>
      <c r="S71" s="22"/>
    </row>
    <row r="72" spans="1:19" ht="18" customHeight="1" x14ac:dyDescent="0.15">
      <c r="A72" s="3"/>
      <c r="B72" s="87"/>
      <c r="C72" s="88"/>
      <c r="D72" s="88"/>
      <c r="E72" s="22"/>
      <c r="F72" s="22"/>
      <c r="G72" s="22"/>
      <c r="H72" s="22"/>
      <c r="I72" s="22"/>
      <c r="J72" s="87"/>
      <c r="K72" s="88"/>
      <c r="L72" s="88"/>
      <c r="M72" s="88"/>
      <c r="N72" s="89"/>
      <c r="O72" s="22"/>
      <c r="P72" s="22"/>
      <c r="Q72" s="22"/>
      <c r="R72" s="22"/>
      <c r="S72" s="22"/>
    </row>
    <row r="73" spans="1:19" ht="18" customHeight="1" x14ac:dyDescent="0.15">
      <c r="A73" s="3"/>
      <c r="B73" s="87"/>
      <c r="C73" s="88"/>
      <c r="D73" s="88"/>
      <c r="E73" s="22"/>
      <c r="F73" s="22"/>
      <c r="G73" s="22"/>
      <c r="H73" s="22"/>
      <c r="I73" s="22"/>
      <c r="J73" s="87"/>
      <c r="K73" s="88"/>
      <c r="L73" s="88"/>
      <c r="M73" s="88"/>
      <c r="N73" s="89"/>
      <c r="O73" s="22"/>
      <c r="P73" s="22"/>
      <c r="Q73" s="22"/>
      <c r="R73" s="22"/>
      <c r="S73" s="22"/>
    </row>
    <row r="74" spans="1:19" ht="18" customHeight="1" x14ac:dyDescent="0.15">
      <c r="A74" s="3"/>
      <c r="B74" s="87"/>
      <c r="C74" s="88"/>
      <c r="D74" s="88"/>
      <c r="E74" s="22"/>
      <c r="F74" s="22"/>
      <c r="G74" s="22"/>
      <c r="H74" s="22"/>
      <c r="I74" s="22"/>
      <c r="J74" s="87"/>
      <c r="K74" s="88"/>
      <c r="L74" s="88"/>
      <c r="M74" s="88"/>
      <c r="N74" s="89"/>
      <c r="O74" s="22"/>
      <c r="P74" s="22"/>
      <c r="Q74" s="22"/>
      <c r="R74" s="22"/>
      <c r="S74" s="22"/>
    </row>
    <row r="75" spans="1:19" ht="18" customHeight="1" x14ac:dyDescent="0.15">
      <c r="A75" s="3"/>
      <c r="B75" s="90"/>
      <c r="C75" s="91"/>
      <c r="D75" s="91"/>
      <c r="E75" s="23"/>
      <c r="F75" s="23"/>
      <c r="G75" s="24"/>
      <c r="H75" s="24"/>
      <c r="I75" s="24"/>
      <c r="J75" s="90"/>
      <c r="K75" s="91"/>
      <c r="L75" s="91"/>
      <c r="M75" s="91"/>
      <c r="N75" s="92"/>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93" t="s">
        <v>19</v>
      </c>
      <c r="C78" s="94"/>
      <c r="D78" s="94"/>
      <c r="E78" s="95"/>
      <c r="F78" s="93" t="s">
        <v>43</v>
      </c>
      <c r="G78" s="94"/>
      <c r="H78" s="94"/>
      <c r="I78" s="95"/>
      <c r="J78" s="140" t="s">
        <v>19</v>
      </c>
      <c r="K78" s="141"/>
      <c r="L78" s="141"/>
      <c r="M78" s="141"/>
      <c r="N78" s="141"/>
      <c r="O78" s="142"/>
      <c r="P78" s="93" t="s">
        <v>43</v>
      </c>
      <c r="Q78" s="94"/>
      <c r="R78" s="94"/>
      <c r="S78" s="95"/>
    </row>
    <row r="79" spans="1:19" ht="18" customHeight="1" x14ac:dyDescent="0.15">
      <c r="A79" s="3"/>
      <c r="B79" s="97" t="s">
        <v>44</v>
      </c>
      <c r="C79" s="98"/>
      <c r="D79" s="98"/>
      <c r="E79" s="99"/>
      <c r="F79" s="155" t="s">
        <v>45</v>
      </c>
      <c r="G79" s="156"/>
      <c r="H79" s="156"/>
      <c r="I79" s="157"/>
      <c r="J79" s="97" t="s">
        <v>46</v>
      </c>
      <c r="K79" s="98"/>
      <c r="L79" s="98"/>
      <c r="M79" s="98"/>
      <c r="N79" s="98"/>
      <c r="O79" s="99"/>
      <c r="P79" s="155" t="s">
        <v>47</v>
      </c>
      <c r="Q79" s="156"/>
      <c r="R79" s="156"/>
      <c r="S79" s="157"/>
    </row>
    <row r="80" spans="1:19" ht="18" customHeight="1" x14ac:dyDescent="0.15">
      <c r="A80" s="3"/>
      <c r="B80" s="87" t="s">
        <v>48</v>
      </c>
      <c r="C80" s="88"/>
      <c r="D80" s="88"/>
      <c r="E80" s="89"/>
      <c r="F80" s="123" t="s">
        <v>45</v>
      </c>
      <c r="G80" s="124"/>
      <c r="H80" s="124"/>
      <c r="I80" s="125"/>
      <c r="J80" s="87" t="s">
        <v>49</v>
      </c>
      <c r="K80" s="88"/>
      <c r="L80" s="88"/>
      <c r="M80" s="88"/>
      <c r="N80" s="88"/>
      <c r="O80" s="89"/>
      <c r="P80" s="123" t="s">
        <v>50</v>
      </c>
      <c r="Q80" s="124"/>
      <c r="R80" s="124"/>
      <c r="S80" s="125"/>
    </row>
    <row r="81" spans="1:19" ht="18" customHeight="1" x14ac:dyDescent="0.15">
      <c r="A81" s="3"/>
      <c r="B81" s="87" t="s">
        <v>51</v>
      </c>
      <c r="C81" s="88"/>
      <c r="D81" s="88"/>
      <c r="E81" s="89"/>
      <c r="F81" s="123" t="s">
        <v>45</v>
      </c>
      <c r="G81" s="124"/>
      <c r="H81" s="124"/>
      <c r="I81" s="125"/>
      <c r="J81" s="87" t="s">
        <v>52</v>
      </c>
      <c r="K81" s="88"/>
      <c r="L81" s="88"/>
      <c r="M81" s="88"/>
      <c r="N81" s="88"/>
      <c r="O81" s="89"/>
      <c r="P81" s="123" t="s">
        <v>53</v>
      </c>
      <c r="Q81" s="124"/>
      <c r="R81" s="124"/>
      <c r="S81" s="125"/>
    </row>
    <row r="82" spans="1:19" ht="18" customHeight="1" x14ac:dyDescent="0.15">
      <c r="A82" s="3"/>
      <c r="B82" s="87" t="s">
        <v>54</v>
      </c>
      <c r="C82" s="88"/>
      <c r="D82" s="88"/>
      <c r="E82" s="89"/>
      <c r="F82" s="123" t="s">
        <v>45</v>
      </c>
      <c r="G82" s="124"/>
      <c r="H82" s="124"/>
      <c r="I82" s="125"/>
      <c r="J82" s="87"/>
      <c r="K82" s="88"/>
      <c r="L82" s="88"/>
      <c r="M82" s="88"/>
      <c r="N82" s="88"/>
      <c r="O82" s="89"/>
      <c r="P82" s="123"/>
      <c r="Q82" s="124"/>
      <c r="R82" s="124"/>
      <c r="S82" s="125"/>
    </row>
    <row r="83" spans="1:19" ht="18" customHeight="1" x14ac:dyDescent="0.15">
      <c r="A83" s="3"/>
      <c r="B83" s="87" t="s">
        <v>55</v>
      </c>
      <c r="C83" s="88"/>
      <c r="D83" s="88"/>
      <c r="E83" s="89"/>
      <c r="F83" s="123" t="s">
        <v>45</v>
      </c>
      <c r="G83" s="124"/>
      <c r="H83" s="124"/>
      <c r="I83" s="125"/>
      <c r="J83" s="87"/>
      <c r="K83" s="88"/>
      <c r="L83" s="88"/>
      <c r="M83" s="88"/>
      <c r="N83" s="88"/>
      <c r="O83" s="89"/>
      <c r="P83" s="123"/>
      <c r="Q83" s="124"/>
      <c r="R83" s="124"/>
      <c r="S83" s="125"/>
    </row>
    <row r="84" spans="1:19" ht="18" customHeight="1" x14ac:dyDescent="0.15">
      <c r="A84" s="3"/>
      <c r="B84" s="87" t="s">
        <v>56</v>
      </c>
      <c r="C84" s="88"/>
      <c r="D84" s="88"/>
      <c r="E84" s="89"/>
      <c r="F84" s="123" t="s">
        <v>45</v>
      </c>
      <c r="G84" s="124"/>
      <c r="H84" s="124"/>
      <c r="I84" s="125"/>
      <c r="J84" s="87"/>
      <c r="K84" s="88"/>
      <c r="L84" s="88"/>
      <c r="M84" s="88"/>
      <c r="N84" s="88"/>
      <c r="O84" s="89"/>
      <c r="P84" s="123"/>
      <c r="Q84" s="124"/>
      <c r="R84" s="124"/>
      <c r="S84" s="125"/>
    </row>
    <row r="85" spans="1:19" ht="18" customHeight="1" x14ac:dyDescent="0.15">
      <c r="A85" s="3"/>
      <c r="B85" s="90" t="s">
        <v>57</v>
      </c>
      <c r="C85" s="91"/>
      <c r="D85" s="91"/>
      <c r="E85" s="92"/>
      <c r="F85" s="120" t="s">
        <v>47</v>
      </c>
      <c r="G85" s="121"/>
      <c r="H85" s="121"/>
      <c r="I85" s="122"/>
      <c r="J85" s="90"/>
      <c r="K85" s="91"/>
      <c r="L85" s="91"/>
      <c r="M85" s="91"/>
      <c r="N85" s="91"/>
      <c r="O85" s="92"/>
      <c r="P85" s="120"/>
      <c r="Q85" s="121"/>
      <c r="R85" s="121"/>
      <c r="S85" s="122"/>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58</v>
      </c>
    </row>
    <row r="88" spans="1:19" ht="18.75" customHeight="1" x14ac:dyDescent="0.15">
      <c r="B88" s="153" t="s">
        <v>59</v>
      </c>
      <c r="C88" s="154"/>
      <c r="D88" s="94" t="s">
        <v>60</v>
      </c>
      <c r="E88" s="94"/>
      <c r="F88" s="94"/>
      <c r="G88" s="94"/>
      <c r="H88" s="94"/>
      <c r="I88" s="94"/>
      <c r="J88" s="94"/>
      <c r="K88" s="94"/>
      <c r="L88" s="94"/>
      <c r="M88" s="94"/>
      <c r="N88" s="94"/>
      <c r="O88" s="94"/>
      <c r="P88" s="94"/>
      <c r="Q88" s="94"/>
      <c r="R88" s="94"/>
      <c r="S88" s="95"/>
    </row>
    <row r="89" spans="1:19" ht="97.5" customHeight="1" x14ac:dyDescent="0.15">
      <c r="B89" s="143" t="s">
        <v>61</v>
      </c>
      <c r="C89" s="26" t="s">
        <v>22</v>
      </c>
      <c r="D89" s="150" t="s">
        <v>174</v>
      </c>
      <c r="E89" s="151"/>
      <c r="F89" s="151"/>
      <c r="G89" s="151"/>
      <c r="H89" s="151"/>
      <c r="I89" s="151"/>
      <c r="J89" s="151"/>
      <c r="K89" s="151"/>
      <c r="L89" s="151"/>
      <c r="M89" s="151"/>
      <c r="N89" s="151"/>
      <c r="O89" s="151"/>
      <c r="P89" s="151"/>
      <c r="Q89" s="151"/>
      <c r="R89" s="151"/>
      <c r="S89" s="152"/>
    </row>
    <row r="90" spans="1:19" ht="97.5" customHeight="1" x14ac:dyDescent="0.15">
      <c r="B90" s="145"/>
      <c r="C90" s="27" t="s">
        <v>62</v>
      </c>
      <c r="D90" s="126" t="s">
        <v>175</v>
      </c>
      <c r="E90" s="127"/>
      <c r="F90" s="127"/>
      <c r="G90" s="127"/>
      <c r="H90" s="127"/>
      <c r="I90" s="127"/>
      <c r="J90" s="127"/>
      <c r="K90" s="127"/>
      <c r="L90" s="127"/>
      <c r="M90" s="127"/>
      <c r="N90" s="127"/>
      <c r="O90" s="127"/>
      <c r="P90" s="127"/>
      <c r="Q90" s="127"/>
      <c r="R90" s="127"/>
      <c r="S90" s="128"/>
    </row>
    <row r="91" spans="1:19" ht="97.5" customHeight="1" x14ac:dyDescent="0.15">
      <c r="B91" s="143" t="s">
        <v>63</v>
      </c>
      <c r="C91" s="28" t="s">
        <v>27</v>
      </c>
      <c r="D91" s="129" t="s">
        <v>176</v>
      </c>
      <c r="E91" s="130"/>
      <c r="F91" s="130"/>
      <c r="G91" s="130"/>
      <c r="H91" s="130"/>
      <c r="I91" s="130"/>
      <c r="J91" s="130"/>
      <c r="K91" s="130"/>
      <c r="L91" s="130"/>
      <c r="M91" s="130"/>
      <c r="N91" s="130"/>
      <c r="O91" s="130"/>
      <c r="P91" s="130"/>
      <c r="Q91" s="130"/>
      <c r="R91" s="130"/>
      <c r="S91" s="131"/>
    </row>
    <row r="92" spans="1:19" ht="97.5" customHeight="1" x14ac:dyDescent="0.15">
      <c r="B92" s="144"/>
      <c r="C92" s="29" t="s">
        <v>28</v>
      </c>
      <c r="D92" s="135" t="s">
        <v>177</v>
      </c>
      <c r="E92" s="136"/>
      <c r="F92" s="136"/>
      <c r="G92" s="136"/>
      <c r="H92" s="136"/>
      <c r="I92" s="136"/>
      <c r="J92" s="136"/>
      <c r="K92" s="136"/>
      <c r="L92" s="136"/>
      <c r="M92" s="136"/>
      <c r="N92" s="136"/>
      <c r="O92" s="136"/>
      <c r="P92" s="136"/>
      <c r="Q92" s="136"/>
      <c r="R92" s="136"/>
      <c r="S92" s="137"/>
    </row>
    <row r="93" spans="1:19" ht="97.5" customHeight="1" x14ac:dyDescent="0.15">
      <c r="B93" s="143" t="s">
        <v>64</v>
      </c>
      <c r="C93" s="28" t="s">
        <v>30</v>
      </c>
      <c r="D93" s="138" t="s">
        <v>178</v>
      </c>
      <c r="E93" s="130"/>
      <c r="F93" s="130"/>
      <c r="G93" s="130"/>
      <c r="H93" s="130"/>
      <c r="I93" s="130"/>
      <c r="J93" s="130"/>
      <c r="K93" s="130"/>
      <c r="L93" s="130"/>
      <c r="M93" s="130"/>
      <c r="N93" s="130"/>
      <c r="O93" s="130"/>
      <c r="P93" s="130"/>
      <c r="Q93" s="130"/>
      <c r="R93" s="130"/>
      <c r="S93" s="131"/>
    </row>
    <row r="94" spans="1:19" ht="97.5" customHeight="1" x14ac:dyDescent="0.15">
      <c r="B94" s="144"/>
      <c r="C94" s="30" t="s">
        <v>31</v>
      </c>
      <c r="D94" s="132" t="s">
        <v>179</v>
      </c>
      <c r="E94" s="133"/>
      <c r="F94" s="133"/>
      <c r="G94" s="133"/>
      <c r="H94" s="133"/>
      <c r="I94" s="133"/>
      <c r="J94" s="133"/>
      <c r="K94" s="133"/>
      <c r="L94" s="133"/>
      <c r="M94" s="133"/>
      <c r="N94" s="133"/>
      <c r="O94" s="133"/>
      <c r="P94" s="133"/>
      <c r="Q94" s="133"/>
      <c r="R94" s="133"/>
      <c r="S94" s="134"/>
    </row>
    <row r="95" spans="1:19" ht="97.5" customHeight="1" x14ac:dyDescent="0.15">
      <c r="B95" s="143" t="s">
        <v>65</v>
      </c>
      <c r="C95" s="26" t="s">
        <v>33</v>
      </c>
      <c r="D95" s="150" t="s">
        <v>182</v>
      </c>
      <c r="E95" s="151"/>
      <c r="F95" s="151"/>
      <c r="G95" s="151"/>
      <c r="H95" s="151"/>
      <c r="I95" s="151"/>
      <c r="J95" s="151"/>
      <c r="K95" s="151"/>
      <c r="L95" s="151"/>
      <c r="M95" s="151"/>
      <c r="N95" s="151"/>
      <c r="O95" s="151"/>
      <c r="P95" s="151"/>
      <c r="Q95" s="151"/>
      <c r="R95" s="151"/>
      <c r="S95" s="152"/>
    </row>
    <row r="96" spans="1:19" ht="97.5" customHeight="1" x14ac:dyDescent="0.15">
      <c r="B96" s="144"/>
      <c r="C96" s="29" t="s">
        <v>34</v>
      </c>
      <c r="D96" s="135" t="s">
        <v>183</v>
      </c>
      <c r="E96" s="136"/>
      <c r="F96" s="136"/>
      <c r="G96" s="136"/>
      <c r="H96" s="136"/>
      <c r="I96" s="136"/>
      <c r="J96" s="136"/>
      <c r="K96" s="136"/>
      <c r="L96" s="136"/>
      <c r="M96" s="136"/>
      <c r="N96" s="136"/>
      <c r="O96" s="136"/>
      <c r="P96" s="136"/>
      <c r="Q96" s="136"/>
      <c r="R96" s="136"/>
      <c r="S96" s="137"/>
    </row>
    <row r="97" spans="1:19" ht="97.5" customHeight="1" x14ac:dyDescent="0.15">
      <c r="B97" s="143" t="s">
        <v>66</v>
      </c>
      <c r="C97" s="28" t="s">
        <v>67</v>
      </c>
      <c r="D97" s="146" t="s">
        <v>184</v>
      </c>
      <c r="E97" s="98"/>
      <c r="F97" s="98"/>
      <c r="G97" s="98"/>
      <c r="H97" s="98"/>
      <c r="I97" s="98"/>
      <c r="J97" s="98"/>
      <c r="K97" s="98"/>
      <c r="L97" s="98"/>
      <c r="M97" s="98"/>
      <c r="N97" s="98"/>
      <c r="O97" s="98"/>
      <c r="P97" s="98"/>
      <c r="Q97" s="98"/>
      <c r="R97" s="98"/>
      <c r="S97" s="99"/>
    </row>
    <row r="98" spans="1:19" ht="97.5" customHeight="1" x14ac:dyDescent="0.15">
      <c r="B98" s="145"/>
      <c r="C98" s="31" t="s">
        <v>38</v>
      </c>
      <c r="D98" s="139" t="s">
        <v>181</v>
      </c>
      <c r="E98" s="88"/>
      <c r="F98" s="88"/>
      <c r="G98" s="88"/>
      <c r="H98" s="88"/>
      <c r="I98" s="88"/>
      <c r="J98" s="88"/>
      <c r="K98" s="88"/>
      <c r="L98" s="88"/>
      <c r="M98" s="88"/>
      <c r="N98" s="88"/>
      <c r="O98" s="88"/>
      <c r="P98" s="88"/>
      <c r="Q98" s="88"/>
      <c r="R98" s="88"/>
      <c r="S98" s="89"/>
    </row>
    <row r="99" spans="1:19" ht="97.5" customHeight="1" x14ac:dyDescent="0.15">
      <c r="B99" s="144"/>
      <c r="C99" s="30" t="s">
        <v>39</v>
      </c>
      <c r="D99" s="147" t="s">
        <v>180</v>
      </c>
      <c r="E99" s="148"/>
      <c r="F99" s="148"/>
      <c r="G99" s="148"/>
      <c r="H99" s="148"/>
      <c r="I99" s="148"/>
      <c r="J99" s="148"/>
      <c r="K99" s="148"/>
      <c r="L99" s="148"/>
      <c r="M99" s="148"/>
      <c r="N99" s="148"/>
      <c r="O99" s="148"/>
      <c r="P99" s="148"/>
      <c r="Q99" s="148"/>
      <c r="R99" s="148"/>
      <c r="S99" s="149"/>
    </row>
    <row r="100" spans="1:19" ht="6" customHeight="1" x14ac:dyDescent="0.15"/>
    <row r="101" spans="1:19" ht="18.75" customHeight="1" x14ac:dyDescent="0.15">
      <c r="A101" s="1" t="s">
        <v>68</v>
      </c>
    </row>
    <row r="102" spans="1:19" ht="81.75" customHeight="1" x14ac:dyDescent="0.15">
      <c r="B102" s="117" t="s">
        <v>69</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Q79:S80 G79:I80 G83:I86 Q83:S86 P79:P86"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A2" zoomScaleNormal="100" zoomScaleSheetLayoutView="100" workbookViewId="0">
      <selection activeCell="B1" sqref="B1"/>
    </sheetView>
  </sheetViews>
  <sheetFormatPr defaultColWidth="9" defaultRowHeight="18.75" customHeight="1" x14ac:dyDescent="0.15"/>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x14ac:dyDescent="0.15">
      <c r="AQ1" s="1" t="s">
        <v>70</v>
      </c>
    </row>
    <row r="2" spans="1:45" ht="18" customHeight="1" x14ac:dyDescent="0.15">
      <c r="K2" s="33"/>
      <c r="Q2" s="33"/>
      <c r="W2" s="33"/>
      <c r="AC2" s="33"/>
      <c r="AI2" s="33"/>
      <c r="AL2" s="33" t="s">
        <v>2</v>
      </c>
      <c r="AM2" s="161" t="str">
        <f>'様式１　プログラムを構成する授業科目'!C2</f>
        <v>福岡工業大学短期大学部</v>
      </c>
      <c r="AN2" s="161"/>
      <c r="AO2" s="161"/>
      <c r="AP2" s="161"/>
      <c r="AQ2" s="161"/>
    </row>
    <row r="3" spans="1:45" ht="18" customHeight="1" x14ac:dyDescent="0.15">
      <c r="A3" s="104" t="s">
        <v>71</v>
      </c>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72</v>
      </c>
      <c r="C5" s="162" t="s">
        <v>73</v>
      </c>
      <c r="D5" s="163"/>
      <c r="E5" s="3" t="s">
        <v>74</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76</v>
      </c>
      <c r="C9" s="179" t="s">
        <v>77</v>
      </c>
      <c r="D9" s="167" t="s">
        <v>78</v>
      </c>
      <c r="E9" s="170" t="s">
        <v>79</v>
      </c>
      <c r="F9" s="160" t="s">
        <v>80</v>
      </c>
      <c r="G9" s="160"/>
      <c r="H9" s="160"/>
      <c r="I9" s="160"/>
      <c r="J9" s="160"/>
      <c r="K9" s="160"/>
      <c r="L9" s="160" t="s">
        <v>81</v>
      </c>
      <c r="M9" s="160"/>
      <c r="N9" s="160"/>
      <c r="O9" s="160"/>
      <c r="P9" s="160"/>
      <c r="Q9" s="160"/>
      <c r="R9" s="160" t="s">
        <v>82</v>
      </c>
      <c r="S9" s="160"/>
      <c r="T9" s="160"/>
      <c r="U9" s="160"/>
      <c r="V9" s="160"/>
      <c r="W9" s="160"/>
      <c r="X9" s="160" t="s">
        <v>83</v>
      </c>
      <c r="Y9" s="160"/>
      <c r="Z9" s="160"/>
      <c r="AA9" s="160"/>
      <c r="AB9" s="160"/>
      <c r="AC9" s="160"/>
      <c r="AD9" s="160" t="s">
        <v>84</v>
      </c>
      <c r="AE9" s="160"/>
      <c r="AF9" s="160"/>
      <c r="AG9" s="160"/>
      <c r="AH9" s="160"/>
      <c r="AI9" s="160"/>
      <c r="AJ9" s="160" t="s">
        <v>85</v>
      </c>
      <c r="AK9" s="160"/>
      <c r="AL9" s="160"/>
      <c r="AM9" s="160"/>
      <c r="AN9" s="160"/>
      <c r="AO9" s="160"/>
      <c r="AP9" s="173" t="s">
        <v>86</v>
      </c>
      <c r="AQ9" s="176" t="s">
        <v>87</v>
      </c>
      <c r="AS9" s="2"/>
    </row>
    <row r="10" spans="1:45" ht="17.100000000000001" customHeight="1" x14ac:dyDescent="0.15">
      <c r="B10" s="165"/>
      <c r="C10" s="180"/>
      <c r="D10" s="168"/>
      <c r="E10" s="171"/>
      <c r="F10" s="158" t="s">
        <v>88</v>
      </c>
      <c r="G10" s="159"/>
      <c r="H10" s="159"/>
      <c r="I10" s="158" t="s">
        <v>89</v>
      </c>
      <c r="J10" s="159"/>
      <c r="K10" s="159"/>
      <c r="L10" s="158" t="s">
        <v>88</v>
      </c>
      <c r="M10" s="159"/>
      <c r="N10" s="159"/>
      <c r="O10" s="158" t="s">
        <v>89</v>
      </c>
      <c r="P10" s="159"/>
      <c r="Q10" s="159"/>
      <c r="R10" s="158" t="s">
        <v>88</v>
      </c>
      <c r="S10" s="159"/>
      <c r="T10" s="159"/>
      <c r="U10" s="158" t="s">
        <v>89</v>
      </c>
      <c r="V10" s="159"/>
      <c r="W10" s="159"/>
      <c r="X10" s="158" t="s">
        <v>88</v>
      </c>
      <c r="Y10" s="159"/>
      <c r="Z10" s="159"/>
      <c r="AA10" s="158" t="s">
        <v>89</v>
      </c>
      <c r="AB10" s="159"/>
      <c r="AC10" s="159"/>
      <c r="AD10" s="158" t="s">
        <v>88</v>
      </c>
      <c r="AE10" s="159"/>
      <c r="AF10" s="159"/>
      <c r="AG10" s="158" t="s">
        <v>89</v>
      </c>
      <c r="AH10" s="159"/>
      <c r="AI10" s="159"/>
      <c r="AJ10" s="158" t="s">
        <v>88</v>
      </c>
      <c r="AK10" s="159"/>
      <c r="AL10" s="159"/>
      <c r="AM10" s="158" t="s">
        <v>89</v>
      </c>
      <c r="AN10" s="159"/>
      <c r="AO10" s="159"/>
      <c r="AP10" s="174"/>
      <c r="AQ10" s="177"/>
      <c r="AS10" s="2"/>
    </row>
    <row r="11" spans="1:45" ht="18" customHeight="1" x14ac:dyDescent="0.15">
      <c r="B11" s="166"/>
      <c r="C11" s="181"/>
      <c r="D11" s="169"/>
      <c r="E11" s="172"/>
      <c r="F11" s="17" t="s">
        <v>90</v>
      </c>
      <c r="G11" s="18" t="s">
        <v>91</v>
      </c>
      <c r="H11" s="19" t="s">
        <v>92</v>
      </c>
      <c r="I11" s="17" t="s">
        <v>90</v>
      </c>
      <c r="J11" s="18" t="s">
        <v>91</v>
      </c>
      <c r="K11" s="19" t="s">
        <v>92</v>
      </c>
      <c r="L11" s="17" t="s">
        <v>90</v>
      </c>
      <c r="M11" s="18" t="s">
        <v>91</v>
      </c>
      <c r="N11" s="19" t="s">
        <v>92</v>
      </c>
      <c r="O11" s="17" t="s">
        <v>90</v>
      </c>
      <c r="P11" s="18" t="s">
        <v>91</v>
      </c>
      <c r="Q11" s="19" t="s">
        <v>92</v>
      </c>
      <c r="R11" s="17" t="s">
        <v>90</v>
      </c>
      <c r="S11" s="18" t="s">
        <v>91</v>
      </c>
      <c r="T11" s="19" t="s">
        <v>92</v>
      </c>
      <c r="U11" s="17" t="s">
        <v>90</v>
      </c>
      <c r="V11" s="18" t="s">
        <v>91</v>
      </c>
      <c r="W11" s="19" t="s">
        <v>92</v>
      </c>
      <c r="X11" s="17" t="s">
        <v>90</v>
      </c>
      <c r="Y11" s="18" t="s">
        <v>91</v>
      </c>
      <c r="Z11" s="19" t="s">
        <v>92</v>
      </c>
      <c r="AA11" s="17" t="s">
        <v>90</v>
      </c>
      <c r="AB11" s="18" t="s">
        <v>91</v>
      </c>
      <c r="AC11" s="19" t="s">
        <v>92</v>
      </c>
      <c r="AD11" s="17" t="s">
        <v>90</v>
      </c>
      <c r="AE11" s="18" t="s">
        <v>91</v>
      </c>
      <c r="AF11" s="19" t="s">
        <v>92</v>
      </c>
      <c r="AG11" s="17" t="s">
        <v>90</v>
      </c>
      <c r="AH11" s="18" t="s">
        <v>91</v>
      </c>
      <c r="AI11" s="19" t="s">
        <v>92</v>
      </c>
      <c r="AJ11" s="17" t="s">
        <v>90</v>
      </c>
      <c r="AK11" s="18" t="s">
        <v>91</v>
      </c>
      <c r="AL11" s="19" t="s">
        <v>92</v>
      </c>
      <c r="AM11" s="17" t="s">
        <v>90</v>
      </c>
      <c r="AN11" s="18" t="s">
        <v>91</v>
      </c>
      <c r="AO11" s="19" t="s">
        <v>92</v>
      </c>
      <c r="AP11" s="175"/>
      <c r="AQ11" s="178"/>
      <c r="AS11" s="2"/>
    </row>
    <row r="12" spans="1:45" ht="18" customHeight="1" x14ac:dyDescent="0.15">
      <c r="A12" s="6"/>
      <c r="B12" s="11" t="s">
        <v>93</v>
      </c>
      <c r="C12" s="60">
        <v>381</v>
      </c>
      <c r="D12" s="61">
        <v>160</v>
      </c>
      <c r="E12" s="62">
        <v>320</v>
      </c>
      <c r="F12" s="62">
        <f>G12+H12</f>
        <v>153</v>
      </c>
      <c r="G12" s="63">
        <v>116</v>
      </c>
      <c r="H12" s="64">
        <v>37</v>
      </c>
      <c r="I12" s="62">
        <f>J12+K12</f>
        <v>120</v>
      </c>
      <c r="J12" s="63">
        <v>90</v>
      </c>
      <c r="K12" s="64">
        <v>30</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153</v>
      </c>
      <c r="AQ12" s="80">
        <f>AP12/E12</f>
        <v>0.47812500000000002</v>
      </c>
    </row>
    <row r="13" spans="1:45" ht="18" customHeight="1" x14ac:dyDescent="0.15">
      <c r="A13" s="6"/>
      <c r="B13" s="12"/>
      <c r="C13" s="65"/>
      <c r="D13" s="66"/>
      <c r="E13" s="67"/>
      <c r="F13" s="68">
        <f t="shared" ref="F13:F31" si="0">G13+H13</f>
        <v>0</v>
      </c>
      <c r="G13" s="69"/>
      <c r="H13" s="70"/>
      <c r="I13" s="68">
        <f t="shared" ref="I13:I31" si="1">J13+K13</f>
        <v>0</v>
      </c>
      <c r="J13" s="69"/>
      <c r="K13" s="70"/>
      <c r="L13" s="68">
        <f t="shared" ref="L13:L31"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0</v>
      </c>
      <c r="AQ13" s="8" t="str">
        <f>IFERROR(AP13/E13,"")</f>
        <v/>
      </c>
    </row>
    <row r="14" spans="1:45" ht="18" customHeight="1" x14ac:dyDescent="0.15">
      <c r="A14" s="6"/>
      <c r="B14" s="12"/>
      <c r="C14" s="65"/>
      <c r="D14" s="66"/>
      <c r="E14" s="67"/>
      <c r="F14" s="68">
        <f t="shared" si="0"/>
        <v>0</v>
      </c>
      <c r="G14" s="69"/>
      <c r="H14" s="70"/>
      <c r="I14" s="68">
        <f t="shared" si="1"/>
        <v>0</v>
      </c>
      <c r="J14" s="69"/>
      <c r="K14" s="70"/>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0</v>
      </c>
      <c r="AQ14" s="8" t="str">
        <f t="shared" ref="AQ14:AQ31" si="13">IFERROR(AP14/E14,"")</f>
        <v/>
      </c>
    </row>
    <row r="15" spans="1:45" ht="18" customHeight="1" x14ac:dyDescent="0.15">
      <c r="A15" s="6"/>
      <c r="B15" s="12"/>
      <c r="C15" s="65"/>
      <c r="D15" s="66"/>
      <c r="E15" s="67"/>
      <c r="F15" s="68">
        <f t="shared" si="0"/>
        <v>0</v>
      </c>
      <c r="G15" s="69"/>
      <c r="H15" s="70"/>
      <c r="I15" s="68">
        <f t="shared" si="1"/>
        <v>0</v>
      </c>
      <c r="J15" s="69"/>
      <c r="K15" s="70"/>
      <c r="L15" s="68">
        <f t="shared" si="2"/>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0</v>
      </c>
      <c r="AQ15" s="8" t="str">
        <f t="shared" si="13"/>
        <v/>
      </c>
    </row>
    <row r="16" spans="1:45" ht="18" customHeight="1" x14ac:dyDescent="0.15">
      <c r="A16" s="6"/>
      <c r="B16" s="12"/>
      <c r="C16" s="65"/>
      <c r="D16" s="66"/>
      <c r="E16" s="67"/>
      <c r="F16" s="68">
        <f t="shared" si="0"/>
        <v>0</v>
      </c>
      <c r="G16" s="69"/>
      <c r="H16" s="70"/>
      <c r="I16" s="68">
        <f t="shared" si="1"/>
        <v>0</v>
      </c>
      <c r="J16" s="69"/>
      <c r="K16" s="70"/>
      <c r="L16" s="68">
        <f t="shared" si="2"/>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0</v>
      </c>
      <c r="AQ16" s="8" t="str">
        <f t="shared" si="13"/>
        <v/>
      </c>
    </row>
    <row r="17" spans="1:43" ht="18" customHeight="1" x14ac:dyDescent="0.15">
      <c r="A17" s="6"/>
      <c r="B17" s="12"/>
      <c r="C17" s="65"/>
      <c r="D17" s="66"/>
      <c r="E17" s="67"/>
      <c r="F17" s="68">
        <f t="shared" si="0"/>
        <v>0</v>
      </c>
      <c r="G17" s="69"/>
      <c r="H17" s="70"/>
      <c r="I17" s="68">
        <f t="shared" si="1"/>
        <v>0</v>
      </c>
      <c r="J17" s="69"/>
      <c r="K17" s="70"/>
      <c r="L17" s="68">
        <f t="shared" si="2"/>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0</v>
      </c>
      <c r="AQ17" s="8" t="str">
        <f t="shared" si="13"/>
        <v/>
      </c>
    </row>
    <row r="18" spans="1:43" ht="18" customHeight="1" x14ac:dyDescent="0.15">
      <c r="A18" s="6"/>
      <c r="B18" s="12"/>
      <c r="C18" s="65"/>
      <c r="D18" s="66"/>
      <c r="E18" s="67"/>
      <c r="F18" s="68">
        <f t="shared" si="0"/>
        <v>0</v>
      </c>
      <c r="G18" s="69"/>
      <c r="H18" s="70"/>
      <c r="I18" s="68">
        <f t="shared" si="1"/>
        <v>0</v>
      </c>
      <c r="J18" s="69"/>
      <c r="K18" s="70"/>
      <c r="L18" s="68">
        <f t="shared" si="2"/>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str">
        <f t="shared" si="13"/>
        <v/>
      </c>
    </row>
    <row r="19" spans="1:43" ht="18" customHeight="1" x14ac:dyDescent="0.15">
      <c r="A19" s="6"/>
      <c r="B19" s="12"/>
      <c r="C19" s="65"/>
      <c r="D19" s="66"/>
      <c r="E19" s="67"/>
      <c r="F19" s="68">
        <f t="shared" si="0"/>
        <v>0</v>
      </c>
      <c r="G19" s="69"/>
      <c r="H19" s="70"/>
      <c r="I19" s="68">
        <f t="shared" si="1"/>
        <v>0</v>
      </c>
      <c r="J19" s="69"/>
      <c r="K19" s="70"/>
      <c r="L19" s="68">
        <f t="shared" si="2"/>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str">
        <f t="shared" si="13"/>
        <v/>
      </c>
    </row>
    <row r="20" spans="1:43" ht="18" customHeight="1" x14ac:dyDescent="0.15">
      <c r="A20" s="6"/>
      <c r="B20" s="12"/>
      <c r="C20" s="65"/>
      <c r="D20" s="66"/>
      <c r="E20" s="67"/>
      <c r="F20" s="68">
        <f t="shared" si="0"/>
        <v>0</v>
      </c>
      <c r="G20" s="69"/>
      <c r="H20" s="70"/>
      <c r="I20" s="68">
        <f t="shared" si="1"/>
        <v>0</v>
      </c>
      <c r="J20" s="69"/>
      <c r="K20" s="70"/>
      <c r="L20" s="68">
        <f t="shared" si="2"/>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str">
        <f t="shared" si="13"/>
        <v/>
      </c>
    </row>
    <row r="21" spans="1:43" ht="18" customHeight="1" x14ac:dyDescent="0.15">
      <c r="A21" s="6"/>
      <c r="B21" s="12"/>
      <c r="C21" s="65"/>
      <c r="D21" s="66"/>
      <c r="E21" s="67"/>
      <c r="F21" s="68">
        <f t="shared" si="0"/>
        <v>0</v>
      </c>
      <c r="G21" s="69"/>
      <c r="H21" s="70"/>
      <c r="I21" s="68">
        <f t="shared" si="1"/>
        <v>0</v>
      </c>
      <c r="J21" s="69"/>
      <c r="K21" s="70"/>
      <c r="L21" s="68">
        <f t="shared" si="2"/>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str">
        <f t="shared" si="13"/>
        <v/>
      </c>
    </row>
    <row r="22" spans="1:43" ht="18" customHeight="1" x14ac:dyDescent="0.15">
      <c r="A22" s="6"/>
      <c r="B22" s="12"/>
      <c r="C22" s="65"/>
      <c r="D22" s="66"/>
      <c r="E22" s="67"/>
      <c r="F22" s="68">
        <f t="shared" si="0"/>
        <v>0</v>
      </c>
      <c r="G22" s="69"/>
      <c r="H22" s="70"/>
      <c r="I22" s="68">
        <f t="shared" si="1"/>
        <v>0</v>
      </c>
      <c r="J22" s="69"/>
      <c r="K22" s="70"/>
      <c r="L22" s="68">
        <f t="shared" si="2"/>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str">
        <f t="shared" si="13"/>
        <v/>
      </c>
    </row>
    <row r="23" spans="1:43" ht="18" customHeight="1" x14ac:dyDescent="0.15">
      <c r="A23" s="6"/>
      <c r="B23" s="12"/>
      <c r="C23" s="65"/>
      <c r="D23" s="66"/>
      <c r="E23" s="67"/>
      <c r="F23" s="68">
        <f t="shared" si="0"/>
        <v>0</v>
      </c>
      <c r="G23" s="69"/>
      <c r="H23" s="70"/>
      <c r="I23" s="68">
        <f t="shared" si="1"/>
        <v>0</v>
      </c>
      <c r="J23" s="69"/>
      <c r="K23" s="70"/>
      <c r="L23" s="68">
        <f t="shared" si="2"/>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str">
        <f t="shared" si="13"/>
        <v/>
      </c>
    </row>
    <row r="24" spans="1:43" ht="18" customHeight="1" x14ac:dyDescent="0.15">
      <c r="A24" s="6"/>
      <c r="B24" s="12"/>
      <c r="C24" s="65"/>
      <c r="D24" s="66"/>
      <c r="E24" s="67"/>
      <c r="F24" s="68">
        <f t="shared" si="0"/>
        <v>0</v>
      </c>
      <c r="G24" s="69"/>
      <c r="H24" s="70"/>
      <c r="I24" s="68">
        <f t="shared" si="1"/>
        <v>0</v>
      </c>
      <c r="J24" s="69"/>
      <c r="K24" s="70"/>
      <c r="L24" s="68">
        <f t="shared" si="2"/>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str">
        <f t="shared" si="13"/>
        <v/>
      </c>
    </row>
    <row r="25" spans="1:43" ht="18" customHeight="1" x14ac:dyDescent="0.15">
      <c r="A25" s="6"/>
      <c r="B25" s="12"/>
      <c r="C25" s="65"/>
      <c r="D25" s="66"/>
      <c r="E25" s="67"/>
      <c r="F25" s="68">
        <f t="shared" si="0"/>
        <v>0</v>
      </c>
      <c r="G25" s="69"/>
      <c r="H25" s="70"/>
      <c r="I25" s="68">
        <f t="shared" si="1"/>
        <v>0</v>
      </c>
      <c r="J25" s="69"/>
      <c r="K25" s="70"/>
      <c r="L25" s="68">
        <f t="shared" si="2"/>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str">
        <f t="shared" si="13"/>
        <v/>
      </c>
    </row>
    <row r="26" spans="1:43" ht="18" customHeight="1" x14ac:dyDescent="0.15">
      <c r="A26" s="6"/>
      <c r="B26" s="12"/>
      <c r="C26" s="65"/>
      <c r="D26" s="66"/>
      <c r="E26" s="67"/>
      <c r="F26" s="68">
        <f t="shared" si="0"/>
        <v>0</v>
      </c>
      <c r="G26" s="69"/>
      <c r="H26" s="70"/>
      <c r="I26" s="68">
        <f t="shared" si="1"/>
        <v>0</v>
      </c>
      <c r="J26" s="69"/>
      <c r="K26" s="70"/>
      <c r="L26" s="68">
        <f t="shared" si="2"/>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str">
        <f t="shared" si="13"/>
        <v/>
      </c>
    </row>
    <row r="27" spans="1:43" ht="18" customHeight="1" x14ac:dyDescent="0.15">
      <c r="A27" s="6"/>
      <c r="B27" s="12"/>
      <c r="C27" s="65"/>
      <c r="D27" s="66"/>
      <c r="E27" s="67"/>
      <c r="F27" s="68">
        <f t="shared" si="0"/>
        <v>0</v>
      </c>
      <c r="G27" s="69"/>
      <c r="H27" s="70"/>
      <c r="I27" s="68">
        <f t="shared" si="1"/>
        <v>0</v>
      </c>
      <c r="J27" s="69"/>
      <c r="K27" s="70"/>
      <c r="L27" s="68">
        <f t="shared" si="2"/>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str">
        <f t="shared" si="13"/>
        <v/>
      </c>
    </row>
    <row r="28" spans="1:43" ht="18" customHeight="1" x14ac:dyDescent="0.15">
      <c r="A28" s="6"/>
      <c r="B28" s="12"/>
      <c r="C28" s="65"/>
      <c r="D28" s="66"/>
      <c r="E28" s="67"/>
      <c r="F28" s="68">
        <f t="shared" si="0"/>
        <v>0</v>
      </c>
      <c r="G28" s="69"/>
      <c r="H28" s="70"/>
      <c r="I28" s="68">
        <f t="shared" si="1"/>
        <v>0</v>
      </c>
      <c r="J28" s="69"/>
      <c r="K28" s="70"/>
      <c r="L28" s="68">
        <f t="shared" si="2"/>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str">
        <f t="shared" si="13"/>
        <v/>
      </c>
    </row>
    <row r="29" spans="1:43" ht="18" customHeight="1" x14ac:dyDescent="0.15">
      <c r="A29" s="6"/>
      <c r="B29" s="12"/>
      <c r="C29" s="65"/>
      <c r="D29" s="71"/>
      <c r="E29" s="67"/>
      <c r="F29" s="68">
        <f t="shared" si="0"/>
        <v>0</v>
      </c>
      <c r="G29" s="69"/>
      <c r="H29" s="70"/>
      <c r="I29" s="68">
        <f t="shared" si="1"/>
        <v>0</v>
      </c>
      <c r="J29" s="69"/>
      <c r="K29" s="70"/>
      <c r="L29" s="68">
        <f t="shared" si="2"/>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str">
        <f t="shared" si="13"/>
        <v/>
      </c>
    </row>
    <row r="30" spans="1:43" ht="18" customHeight="1" x14ac:dyDescent="0.15">
      <c r="A30" s="6"/>
      <c r="B30" s="12"/>
      <c r="C30" s="65"/>
      <c r="D30" s="71"/>
      <c r="E30" s="67"/>
      <c r="F30" s="68">
        <f t="shared" si="0"/>
        <v>0</v>
      </c>
      <c r="G30" s="69"/>
      <c r="H30" s="70"/>
      <c r="I30" s="68">
        <f t="shared" si="1"/>
        <v>0</v>
      </c>
      <c r="J30" s="69"/>
      <c r="K30" s="70"/>
      <c r="L30" s="68">
        <f t="shared" si="2"/>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str">
        <f t="shared" si="13"/>
        <v/>
      </c>
    </row>
    <row r="31" spans="1:43" ht="18" customHeight="1" thickBot="1" x14ac:dyDescent="0.2">
      <c r="A31" s="6"/>
      <c r="B31" s="13"/>
      <c r="C31" s="60"/>
      <c r="D31" s="72"/>
      <c r="E31" s="62"/>
      <c r="F31" s="62">
        <f t="shared" si="0"/>
        <v>0</v>
      </c>
      <c r="G31" s="73"/>
      <c r="H31" s="74"/>
      <c r="I31" s="62">
        <f t="shared" si="1"/>
        <v>0</v>
      </c>
      <c r="J31" s="73"/>
      <c r="K31" s="74"/>
      <c r="L31" s="62">
        <f t="shared" si="2"/>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str">
        <f t="shared" si="13"/>
        <v/>
      </c>
    </row>
    <row r="32" spans="1:43" ht="18" customHeight="1" thickTop="1" x14ac:dyDescent="0.15">
      <c r="B32" s="14" t="s">
        <v>94</v>
      </c>
      <c r="C32" s="75">
        <f t="shared" ref="C32" si="14">SUM(C12:C31)</f>
        <v>381</v>
      </c>
      <c r="D32" s="76">
        <f t="shared" ref="D32:AP32" si="15">SUM(D12:D31)</f>
        <v>160</v>
      </c>
      <c r="E32" s="77">
        <f t="shared" si="15"/>
        <v>320</v>
      </c>
      <c r="F32" s="77">
        <f t="shared" si="15"/>
        <v>153</v>
      </c>
      <c r="G32" s="78">
        <f t="shared" si="15"/>
        <v>116</v>
      </c>
      <c r="H32" s="79">
        <f t="shared" si="15"/>
        <v>37</v>
      </c>
      <c r="I32" s="77">
        <f t="shared" ref="I32:N32" si="16">SUM(I12:I31)</f>
        <v>120</v>
      </c>
      <c r="J32" s="78">
        <f t="shared" si="16"/>
        <v>90</v>
      </c>
      <c r="K32" s="79">
        <f t="shared" si="16"/>
        <v>30</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153</v>
      </c>
      <c r="AQ32" s="9">
        <f t="shared" ref="AQ32" si="20">AP32/E32</f>
        <v>0.47812500000000002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B78" sqref="B78"/>
    </sheetView>
  </sheetViews>
  <sheetFormatPr defaultColWidth="11.375" defaultRowHeight="18.75" customHeight="1" x14ac:dyDescent="0.15"/>
  <cols>
    <col min="1" max="1" width="2.625" style="3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95</v>
      </c>
      <c r="I1" s="33" t="s">
        <v>96</v>
      </c>
    </row>
    <row r="2" spans="1:9" ht="18.75" customHeight="1" x14ac:dyDescent="0.15">
      <c r="G2" s="33" t="s">
        <v>2</v>
      </c>
      <c r="H2" s="93" t="str">
        <f>'様式１　プログラムを構成する授業科目'!C2</f>
        <v>福岡工業大学短期大学部</v>
      </c>
      <c r="I2" s="95"/>
    </row>
    <row r="3" spans="1:9" ht="18.75" customHeight="1" x14ac:dyDescent="0.15">
      <c r="G3" s="33"/>
      <c r="H3" s="10"/>
      <c r="I3" s="10"/>
    </row>
    <row r="4" spans="1:9" ht="18.600000000000001" customHeight="1" x14ac:dyDescent="0.15">
      <c r="A4" s="104" t="s">
        <v>97</v>
      </c>
      <c r="B4" s="104"/>
      <c r="C4" s="104"/>
      <c r="D4" s="104"/>
      <c r="E4" s="104"/>
      <c r="F4" s="104"/>
      <c r="G4" s="104"/>
      <c r="H4" s="104"/>
      <c r="I4" s="104"/>
    </row>
    <row r="5" spans="1:9" ht="13.35" customHeight="1" x14ac:dyDescent="0.15">
      <c r="B5" s="3"/>
      <c r="C5" s="3"/>
      <c r="D5" s="3"/>
      <c r="E5" s="3"/>
      <c r="F5" s="3"/>
      <c r="G5" s="3"/>
      <c r="H5" s="3"/>
      <c r="I5" s="3"/>
    </row>
    <row r="6" spans="1:9" ht="18" customHeight="1" x14ac:dyDescent="0.15">
      <c r="A6" s="1" t="s">
        <v>98</v>
      </c>
      <c r="B6" s="10" t="s">
        <v>99</v>
      </c>
      <c r="C6" s="232" t="s">
        <v>100</v>
      </c>
      <c r="D6" s="232"/>
      <c r="E6" s="32">
        <v>15</v>
      </c>
      <c r="F6" s="3" t="s">
        <v>101</v>
      </c>
      <c r="G6" s="3" t="s">
        <v>102</v>
      </c>
      <c r="H6" s="32">
        <v>15</v>
      </c>
      <c r="I6" s="10" t="s">
        <v>101</v>
      </c>
    </row>
    <row r="7" spans="1:9" ht="12" customHeight="1" x14ac:dyDescent="0.15">
      <c r="C7" s="2"/>
      <c r="D7" s="2"/>
      <c r="E7" s="2"/>
      <c r="F7" s="2"/>
      <c r="G7" s="2"/>
      <c r="H7" s="2"/>
      <c r="I7" s="40"/>
    </row>
    <row r="8" spans="1:9" ht="18" customHeight="1" x14ac:dyDescent="0.15">
      <c r="A8" s="1" t="s">
        <v>103</v>
      </c>
      <c r="B8" s="10" t="s">
        <v>104</v>
      </c>
      <c r="E8" s="3"/>
      <c r="F8" s="3"/>
      <c r="G8" s="3"/>
      <c r="H8" s="32">
        <v>10</v>
      </c>
      <c r="I8" s="10" t="s">
        <v>101</v>
      </c>
    </row>
    <row r="9" spans="1:9" ht="9" customHeight="1" x14ac:dyDescent="0.15">
      <c r="B9" s="3"/>
      <c r="C9" s="3"/>
      <c r="D9" s="3"/>
      <c r="E9" s="3"/>
      <c r="F9" s="3"/>
      <c r="G9" s="3"/>
      <c r="H9" s="3"/>
      <c r="I9" s="3"/>
    </row>
    <row r="10" spans="1:9" ht="18" customHeight="1" x14ac:dyDescent="0.15">
      <c r="A10" s="1" t="s">
        <v>105</v>
      </c>
      <c r="B10" s="10" t="s">
        <v>106</v>
      </c>
      <c r="C10" s="3"/>
      <c r="D10" s="3"/>
      <c r="E10" s="3"/>
      <c r="F10" s="3"/>
      <c r="G10" s="3"/>
      <c r="H10" s="3"/>
      <c r="I10" s="3"/>
    </row>
    <row r="11" spans="1:9" ht="18" customHeight="1" x14ac:dyDescent="0.15">
      <c r="B11" s="33" t="s">
        <v>107</v>
      </c>
      <c r="C11" s="227" t="s">
        <v>108</v>
      </c>
      <c r="D11" s="230"/>
      <c r="E11" s="231"/>
      <c r="F11" s="40"/>
      <c r="G11" s="33" t="s">
        <v>109</v>
      </c>
      <c r="H11" s="227" t="s">
        <v>110</v>
      </c>
      <c r="I11" s="231"/>
    </row>
    <row r="12" spans="1:9" ht="10.35" customHeight="1" x14ac:dyDescent="0.15">
      <c r="B12" s="33"/>
      <c r="C12" s="10"/>
      <c r="D12" s="40"/>
      <c r="E12" s="40"/>
      <c r="F12" s="40"/>
      <c r="G12" s="33"/>
      <c r="H12" s="10"/>
      <c r="I12" s="40"/>
    </row>
    <row r="13" spans="1:9" ht="18" customHeight="1" x14ac:dyDescent="0.15">
      <c r="A13" s="1" t="s">
        <v>111</v>
      </c>
      <c r="B13" s="10" t="s">
        <v>112</v>
      </c>
      <c r="C13" s="3"/>
      <c r="D13" s="3"/>
      <c r="E13" s="3"/>
      <c r="F13" s="3"/>
      <c r="G13" s="3"/>
      <c r="H13" s="3"/>
      <c r="I13" s="3"/>
    </row>
    <row r="14" spans="1:9" ht="18" customHeight="1" x14ac:dyDescent="0.15">
      <c r="B14" s="227" t="s">
        <v>113</v>
      </c>
      <c r="C14" s="228"/>
      <c r="D14" s="228"/>
      <c r="E14" s="228"/>
      <c r="F14" s="228"/>
      <c r="G14" s="228"/>
      <c r="H14" s="228"/>
      <c r="I14" s="229"/>
    </row>
    <row r="15" spans="1:9" ht="9" customHeight="1" x14ac:dyDescent="0.15">
      <c r="B15" s="3"/>
      <c r="C15" s="3"/>
      <c r="D15" s="3"/>
      <c r="E15" s="3"/>
      <c r="F15" s="3"/>
      <c r="G15" s="3"/>
      <c r="H15" s="3"/>
      <c r="I15" s="3"/>
    </row>
    <row r="16" spans="1:9" ht="18" customHeight="1" x14ac:dyDescent="0.15">
      <c r="B16" s="33" t="s">
        <v>107</v>
      </c>
      <c r="C16" s="227" t="s">
        <v>108</v>
      </c>
      <c r="D16" s="230"/>
      <c r="E16" s="231"/>
      <c r="F16" s="40"/>
      <c r="G16" s="33" t="s">
        <v>109</v>
      </c>
      <c r="H16" s="227" t="s">
        <v>110</v>
      </c>
      <c r="I16" s="231"/>
    </row>
    <row r="17" spans="1:9" ht="18" customHeight="1" x14ac:dyDescent="0.15">
      <c r="B17" s="3"/>
      <c r="C17" s="3"/>
      <c r="D17" s="3"/>
      <c r="E17" s="3"/>
      <c r="F17" s="3"/>
      <c r="G17" s="3"/>
      <c r="H17" s="3"/>
      <c r="I17" s="3"/>
    </row>
    <row r="18" spans="1:9" ht="18.75" customHeight="1" x14ac:dyDescent="0.15">
      <c r="A18" s="1" t="s">
        <v>114</v>
      </c>
      <c r="B18" s="1" t="s">
        <v>115</v>
      </c>
      <c r="I18" s="3"/>
    </row>
    <row r="19" spans="1:9" ht="18.75" customHeight="1" x14ac:dyDescent="0.15">
      <c r="A19" s="1"/>
      <c r="B19" s="219" t="s">
        <v>116</v>
      </c>
      <c r="C19" s="220"/>
      <c r="D19" s="220"/>
      <c r="E19" s="220"/>
      <c r="F19" s="220"/>
      <c r="G19" s="220"/>
      <c r="H19" s="220"/>
      <c r="I19" s="221"/>
    </row>
    <row r="20" spans="1:9" ht="7.5" customHeight="1" x14ac:dyDescent="0.15">
      <c r="B20" s="3"/>
      <c r="C20" s="3"/>
      <c r="D20" s="3"/>
      <c r="E20" s="3"/>
      <c r="F20" s="3"/>
      <c r="G20" s="3"/>
      <c r="H20" s="3"/>
      <c r="I20" s="3"/>
    </row>
    <row r="21" spans="1:9" ht="18.75" customHeight="1" x14ac:dyDescent="0.15">
      <c r="A21" s="1" t="s">
        <v>117</v>
      </c>
      <c r="B21" s="1" t="s">
        <v>118</v>
      </c>
    </row>
    <row r="22" spans="1:9" ht="18.75" customHeight="1" x14ac:dyDescent="0.15">
      <c r="A22" s="15"/>
      <c r="B22" s="209" t="s">
        <v>119</v>
      </c>
      <c r="C22" s="210"/>
      <c r="D22" s="210"/>
      <c r="E22" s="210"/>
      <c r="F22" s="210"/>
      <c r="G22" s="210"/>
      <c r="H22" s="210"/>
      <c r="I22" s="211"/>
    </row>
    <row r="23" spans="1:9" ht="18.75" customHeight="1" x14ac:dyDescent="0.15">
      <c r="A23" s="15"/>
      <c r="B23" s="222"/>
      <c r="C23" s="223"/>
      <c r="D23" s="223"/>
      <c r="E23" s="223"/>
      <c r="F23" s="223"/>
      <c r="G23" s="223"/>
      <c r="H23" s="223"/>
      <c r="I23" s="214"/>
    </row>
    <row r="24" spans="1:9" ht="18.75" customHeight="1" x14ac:dyDescent="0.15">
      <c r="A24" s="15"/>
      <c r="B24" s="222"/>
      <c r="C24" s="223"/>
      <c r="D24" s="223"/>
      <c r="E24" s="223"/>
      <c r="F24" s="223"/>
      <c r="G24" s="223"/>
      <c r="H24" s="223"/>
      <c r="I24" s="214"/>
    </row>
    <row r="25" spans="1:9" ht="18.75" customHeight="1" x14ac:dyDescent="0.15">
      <c r="A25" s="15"/>
      <c r="B25" s="222"/>
      <c r="C25" s="223"/>
      <c r="D25" s="223"/>
      <c r="E25" s="223"/>
      <c r="F25" s="223"/>
      <c r="G25" s="223"/>
      <c r="H25" s="223"/>
      <c r="I25" s="214"/>
    </row>
    <row r="26" spans="1:9" ht="18.75" customHeight="1" x14ac:dyDescent="0.15">
      <c r="A26" s="15"/>
      <c r="B26" s="222"/>
      <c r="C26" s="223"/>
      <c r="D26" s="223"/>
      <c r="E26" s="223"/>
      <c r="F26" s="223"/>
      <c r="G26" s="223"/>
      <c r="H26" s="223"/>
      <c r="I26" s="214"/>
    </row>
    <row r="27" spans="1:9" ht="18.75" customHeight="1" x14ac:dyDescent="0.15">
      <c r="A27" s="15"/>
      <c r="B27" s="222"/>
      <c r="C27" s="223"/>
      <c r="D27" s="223"/>
      <c r="E27" s="223"/>
      <c r="F27" s="223"/>
      <c r="G27" s="223"/>
      <c r="H27" s="223"/>
      <c r="I27" s="214"/>
    </row>
    <row r="28" spans="1:9" ht="18.75" customHeight="1" x14ac:dyDescent="0.15">
      <c r="A28" s="15"/>
      <c r="B28" s="222"/>
      <c r="C28" s="223"/>
      <c r="D28" s="223"/>
      <c r="E28" s="223"/>
      <c r="F28" s="223"/>
      <c r="G28" s="223"/>
      <c r="H28" s="223"/>
      <c r="I28" s="214"/>
    </row>
    <row r="29" spans="1:9" ht="18.75" customHeight="1" x14ac:dyDescent="0.15">
      <c r="A29" s="15"/>
      <c r="B29" s="222"/>
      <c r="C29" s="223"/>
      <c r="D29" s="223"/>
      <c r="E29" s="223"/>
      <c r="F29" s="223"/>
      <c r="G29" s="223"/>
      <c r="H29" s="223"/>
      <c r="I29" s="214"/>
    </row>
    <row r="30" spans="1:9" ht="18.75" customHeight="1" x14ac:dyDescent="0.15">
      <c r="A30" s="15"/>
      <c r="B30" s="212"/>
      <c r="C30" s="213"/>
      <c r="D30" s="213"/>
      <c r="E30" s="213"/>
      <c r="F30" s="213"/>
      <c r="G30" s="213"/>
      <c r="H30" s="213"/>
      <c r="I30" s="214"/>
    </row>
    <row r="31" spans="1:9" ht="18.75" customHeight="1" x14ac:dyDescent="0.15">
      <c r="A31" s="15"/>
      <c r="B31" s="212"/>
      <c r="C31" s="213"/>
      <c r="D31" s="213"/>
      <c r="E31" s="213"/>
      <c r="F31" s="213"/>
      <c r="G31" s="213"/>
      <c r="H31" s="213"/>
      <c r="I31" s="214"/>
    </row>
    <row r="32" spans="1:9" ht="18.75" customHeight="1" x14ac:dyDescent="0.15">
      <c r="A32" s="15"/>
      <c r="B32" s="215"/>
      <c r="C32" s="216"/>
      <c r="D32" s="216"/>
      <c r="E32" s="216"/>
      <c r="F32" s="216"/>
      <c r="G32" s="216"/>
      <c r="H32" s="216"/>
      <c r="I32" s="217"/>
    </row>
    <row r="33" spans="1:9" ht="7.5" customHeight="1" x14ac:dyDescent="0.15">
      <c r="A33" s="15"/>
      <c r="B33" s="15"/>
      <c r="C33" s="15"/>
      <c r="D33" s="15"/>
      <c r="E33" s="15"/>
      <c r="F33" s="15"/>
      <c r="G33" s="15"/>
      <c r="H33" s="15"/>
      <c r="I33" s="15"/>
    </row>
    <row r="34" spans="1:9" ht="18.75" customHeight="1" x14ac:dyDescent="0.15">
      <c r="A34" s="16" t="s">
        <v>120</v>
      </c>
      <c r="B34" s="16" t="s">
        <v>121</v>
      </c>
      <c r="C34" s="10"/>
      <c r="D34" s="16"/>
      <c r="E34" s="16"/>
      <c r="F34" s="16"/>
      <c r="G34" s="16"/>
      <c r="H34" s="16"/>
      <c r="I34" s="16"/>
    </row>
    <row r="35" spans="1:9" ht="18.75" customHeight="1" x14ac:dyDescent="0.15">
      <c r="A35" s="15"/>
      <c r="B35" s="209" t="s">
        <v>122</v>
      </c>
      <c r="C35" s="210"/>
      <c r="D35" s="210"/>
      <c r="E35" s="210"/>
      <c r="F35" s="210"/>
      <c r="G35" s="210"/>
      <c r="H35" s="210"/>
      <c r="I35" s="211"/>
    </row>
    <row r="36" spans="1:9" ht="18.75" customHeight="1" x14ac:dyDescent="0.15">
      <c r="A36" s="15"/>
      <c r="B36" s="212"/>
      <c r="C36" s="213"/>
      <c r="D36" s="213"/>
      <c r="E36" s="213"/>
      <c r="F36" s="213"/>
      <c r="G36" s="213"/>
      <c r="H36" s="213"/>
      <c r="I36" s="214"/>
    </row>
    <row r="37" spans="1:9" ht="18.75" customHeight="1" x14ac:dyDescent="0.15">
      <c r="A37" s="15"/>
      <c r="B37" s="212"/>
      <c r="C37" s="213"/>
      <c r="D37" s="213"/>
      <c r="E37" s="213"/>
      <c r="F37" s="213"/>
      <c r="G37" s="213"/>
      <c r="H37" s="213"/>
      <c r="I37" s="214"/>
    </row>
    <row r="38" spans="1:9" ht="18.75" customHeight="1" x14ac:dyDescent="0.15">
      <c r="A38" s="15"/>
      <c r="B38" s="212"/>
      <c r="C38" s="213"/>
      <c r="D38" s="213"/>
      <c r="E38" s="213"/>
      <c r="F38" s="213"/>
      <c r="G38" s="213"/>
      <c r="H38" s="213"/>
      <c r="I38" s="214"/>
    </row>
    <row r="39" spans="1:9" ht="18.75" customHeight="1" x14ac:dyDescent="0.15">
      <c r="A39" s="15"/>
      <c r="B39" s="212"/>
      <c r="C39" s="213"/>
      <c r="D39" s="213"/>
      <c r="E39" s="213"/>
      <c r="F39" s="213"/>
      <c r="G39" s="213"/>
      <c r="H39" s="213"/>
      <c r="I39" s="214"/>
    </row>
    <row r="40" spans="1:9" ht="18.75" customHeight="1" x14ac:dyDescent="0.15">
      <c r="A40" s="15"/>
      <c r="B40" s="212"/>
      <c r="C40" s="213"/>
      <c r="D40" s="213"/>
      <c r="E40" s="213"/>
      <c r="F40" s="213"/>
      <c r="G40" s="213"/>
      <c r="H40" s="213"/>
      <c r="I40" s="214"/>
    </row>
    <row r="41" spans="1:9" ht="18.75" customHeight="1" x14ac:dyDescent="0.15">
      <c r="A41" s="15"/>
      <c r="B41" s="212"/>
      <c r="C41" s="213"/>
      <c r="D41" s="213"/>
      <c r="E41" s="213"/>
      <c r="F41" s="213"/>
      <c r="G41" s="213"/>
      <c r="H41" s="213"/>
      <c r="I41" s="214"/>
    </row>
    <row r="42" spans="1:9" ht="18.75" customHeight="1" x14ac:dyDescent="0.15">
      <c r="A42" s="15"/>
      <c r="B42" s="212"/>
      <c r="C42" s="213"/>
      <c r="D42" s="213"/>
      <c r="E42" s="213"/>
      <c r="F42" s="213"/>
      <c r="G42" s="213"/>
      <c r="H42" s="213"/>
      <c r="I42" s="214"/>
    </row>
    <row r="43" spans="1:9" ht="18.75" customHeight="1" x14ac:dyDescent="0.15">
      <c r="A43" s="15"/>
      <c r="B43" s="212"/>
      <c r="C43" s="213"/>
      <c r="D43" s="213"/>
      <c r="E43" s="213"/>
      <c r="F43" s="213"/>
      <c r="G43" s="213"/>
      <c r="H43" s="213"/>
      <c r="I43" s="214"/>
    </row>
    <row r="44" spans="1:9" ht="18.75" customHeight="1" x14ac:dyDescent="0.15">
      <c r="A44" s="15"/>
      <c r="B44" s="212"/>
      <c r="C44" s="213"/>
      <c r="D44" s="213"/>
      <c r="E44" s="213"/>
      <c r="F44" s="213"/>
      <c r="G44" s="213"/>
      <c r="H44" s="213"/>
      <c r="I44" s="214"/>
    </row>
    <row r="45" spans="1:9" ht="18.75" customHeight="1" x14ac:dyDescent="0.15">
      <c r="A45" s="15"/>
      <c r="B45" s="212"/>
      <c r="C45" s="213"/>
      <c r="D45" s="213"/>
      <c r="E45" s="213"/>
      <c r="F45" s="213"/>
      <c r="G45" s="213"/>
      <c r="H45" s="213"/>
      <c r="I45" s="214"/>
    </row>
    <row r="46" spans="1:9" ht="18.75" customHeight="1" x14ac:dyDescent="0.15">
      <c r="A46" s="15"/>
      <c r="B46" s="215"/>
      <c r="C46" s="216"/>
      <c r="D46" s="216"/>
      <c r="E46" s="216"/>
      <c r="F46" s="216"/>
      <c r="G46" s="216"/>
      <c r="H46" s="216"/>
      <c r="I46" s="217"/>
    </row>
    <row r="47" spans="1:9" ht="7.5" customHeight="1" x14ac:dyDescent="0.15">
      <c r="A47" s="4"/>
      <c r="B47" s="4"/>
      <c r="C47" s="4"/>
      <c r="D47" s="4"/>
      <c r="E47" s="4"/>
      <c r="F47" s="4"/>
      <c r="G47" s="4"/>
      <c r="H47" s="4"/>
      <c r="I47" s="4"/>
    </row>
    <row r="48" spans="1:9" ht="18.75" customHeight="1" x14ac:dyDescent="0.15">
      <c r="A48" s="1" t="s">
        <v>123</v>
      </c>
      <c r="B48" s="1" t="s">
        <v>124</v>
      </c>
    </row>
    <row r="49" spans="1:15" s="3" customFormat="1" ht="18.75" customHeight="1" x14ac:dyDescent="0.15">
      <c r="B49" s="41" t="s">
        <v>125</v>
      </c>
      <c r="C49" s="198">
        <f>'様式２ 履修者等数の実績'!AQ32</f>
        <v>0.47812500000000002</v>
      </c>
      <c r="D49" s="198"/>
      <c r="E49" s="41" t="s">
        <v>126</v>
      </c>
      <c r="F49" s="198">
        <v>0.6</v>
      </c>
      <c r="G49" s="198"/>
      <c r="H49" s="41" t="s">
        <v>127</v>
      </c>
      <c r="I49" s="42">
        <v>0.8</v>
      </c>
      <c r="J49" s="1"/>
      <c r="M49" s="1"/>
      <c r="N49" s="43"/>
    </row>
    <row r="50" spans="1:15" s="3" customFormat="1" ht="18.75" customHeight="1" x14ac:dyDescent="0.15">
      <c r="B50" s="44" t="s">
        <v>128</v>
      </c>
      <c r="C50" s="199">
        <v>1</v>
      </c>
      <c r="D50" s="199"/>
      <c r="E50" s="44" t="s">
        <v>129</v>
      </c>
      <c r="F50" s="199">
        <v>1</v>
      </c>
      <c r="G50" s="199"/>
      <c r="H50" s="44" t="s">
        <v>130</v>
      </c>
      <c r="I50" s="45">
        <f>'様式２ 履修者等数の実績'!E32</f>
        <v>320</v>
      </c>
      <c r="J50" s="1"/>
      <c r="M50" s="1"/>
      <c r="N50" s="43"/>
    </row>
    <row r="51" spans="1:15" ht="18.75" customHeight="1" x14ac:dyDescent="0.15">
      <c r="A51" s="1"/>
      <c r="B51" s="224" t="s">
        <v>131</v>
      </c>
      <c r="C51" s="225"/>
      <c r="D51" s="225"/>
      <c r="E51" s="225"/>
      <c r="F51" s="225"/>
      <c r="G51" s="225"/>
      <c r="H51" s="225"/>
      <c r="I51" s="226"/>
      <c r="N51" s="43"/>
      <c r="O51" s="3"/>
    </row>
    <row r="52" spans="1:15" ht="18.75" customHeight="1" x14ac:dyDescent="0.15">
      <c r="A52" s="1"/>
      <c r="B52" s="200" t="s">
        <v>132</v>
      </c>
      <c r="C52" s="201"/>
      <c r="D52" s="201"/>
      <c r="E52" s="201"/>
      <c r="F52" s="201"/>
      <c r="G52" s="201"/>
      <c r="H52" s="201"/>
      <c r="I52" s="202"/>
      <c r="N52" s="43"/>
      <c r="O52" s="3"/>
    </row>
    <row r="53" spans="1:15" ht="18.75" customHeight="1" x14ac:dyDescent="0.15">
      <c r="A53" s="1"/>
      <c r="B53" s="203"/>
      <c r="C53" s="204"/>
      <c r="D53" s="204"/>
      <c r="E53" s="204"/>
      <c r="F53" s="204"/>
      <c r="G53" s="204"/>
      <c r="H53" s="204"/>
      <c r="I53" s="205"/>
      <c r="N53" s="43"/>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5"/>
      <c r="B64" s="15"/>
      <c r="C64" s="15"/>
      <c r="D64" s="15"/>
      <c r="E64" s="15"/>
      <c r="F64" s="15"/>
      <c r="G64" s="15"/>
      <c r="H64" s="15"/>
      <c r="I64" s="15"/>
    </row>
    <row r="65" spans="1:9" ht="18.75" customHeight="1" x14ac:dyDescent="0.15">
      <c r="A65" s="16" t="s">
        <v>133</v>
      </c>
      <c r="B65" s="1" t="s">
        <v>134</v>
      </c>
      <c r="I65" s="16"/>
    </row>
    <row r="66" spans="1:9" ht="18.75" customHeight="1" x14ac:dyDescent="0.15">
      <c r="A66" s="4"/>
      <c r="B66" s="182" t="s">
        <v>135</v>
      </c>
      <c r="C66" s="183"/>
      <c r="D66" s="183"/>
      <c r="E66" s="183"/>
      <c r="F66" s="183"/>
      <c r="G66" s="183"/>
      <c r="H66" s="183"/>
      <c r="I66" s="184"/>
    </row>
    <row r="67" spans="1:9" ht="18.75" customHeight="1" x14ac:dyDescent="0.15">
      <c r="A67" s="4"/>
      <c r="B67" s="185"/>
      <c r="C67" s="186"/>
      <c r="D67" s="186"/>
      <c r="E67" s="186"/>
      <c r="F67" s="186"/>
      <c r="G67" s="186"/>
      <c r="H67" s="186"/>
      <c r="I67" s="187"/>
    </row>
    <row r="68" spans="1:9" ht="18.75" customHeight="1" x14ac:dyDescent="0.15">
      <c r="A68" s="4"/>
      <c r="B68" s="185"/>
      <c r="C68" s="186"/>
      <c r="D68" s="186"/>
      <c r="E68" s="186"/>
      <c r="F68" s="186"/>
      <c r="G68" s="186"/>
      <c r="H68" s="186"/>
      <c r="I68" s="187"/>
    </row>
    <row r="69" spans="1:9" ht="18.75" customHeight="1" x14ac:dyDescent="0.15">
      <c r="A69" s="4"/>
      <c r="B69" s="185"/>
      <c r="C69" s="186"/>
      <c r="D69" s="186"/>
      <c r="E69" s="186"/>
      <c r="F69" s="186"/>
      <c r="G69" s="186"/>
      <c r="H69" s="186"/>
      <c r="I69" s="187"/>
    </row>
    <row r="70" spans="1:9" ht="18.75" customHeight="1" x14ac:dyDescent="0.15">
      <c r="A70" s="4"/>
      <c r="B70" s="185"/>
      <c r="C70" s="186"/>
      <c r="D70" s="186"/>
      <c r="E70" s="186"/>
      <c r="F70" s="186"/>
      <c r="G70" s="186"/>
      <c r="H70" s="186"/>
      <c r="I70" s="187"/>
    </row>
    <row r="71" spans="1:9" ht="18.75" customHeight="1" x14ac:dyDescent="0.15">
      <c r="A71" s="4"/>
      <c r="B71" s="185"/>
      <c r="C71" s="186"/>
      <c r="D71" s="186"/>
      <c r="E71" s="186"/>
      <c r="F71" s="186"/>
      <c r="G71" s="186"/>
      <c r="H71" s="186"/>
      <c r="I71" s="187"/>
    </row>
    <row r="72" spans="1:9" ht="18.75" customHeight="1" x14ac:dyDescent="0.15">
      <c r="A72" s="4"/>
      <c r="B72" s="185"/>
      <c r="C72" s="186"/>
      <c r="D72" s="186"/>
      <c r="E72" s="186"/>
      <c r="F72" s="186"/>
      <c r="G72" s="186"/>
      <c r="H72" s="186"/>
      <c r="I72" s="187"/>
    </row>
    <row r="73" spans="1:9" ht="18.75" customHeight="1" x14ac:dyDescent="0.15">
      <c r="A73" s="4"/>
      <c r="B73" s="185"/>
      <c r="C73" s="186"/>
      <c r="D73" s="186"/>
      <c r="E73" s="186"/>
      <c r="F73" s="186"/>
      <c r="G73" s="186"/>
      <c r="H73" s="186"/>
      <c r="I73" s="187"/>
    </row>
    <row r="74" spans="1:9" ht="18.75" customHeight="1" x14ac:dyDescent="0.15">
      <c r="A74" s="4"/>
      <c r="B74" s="185"/>
      <c r="C74" s="186"/>
      <c r="D74" s="186"/>
      <c r="E74" s="186"/>
      <c r="F74" s="186"/>
      <c r="G74" s="186"/>
      <c r="H74" s="186"/>
      <c r="I74" s="187"/>
    </row>
    <row r="75" spans="1:9" ht="18.75" customHeight="1" x14ac:dyDescent="0.15">
      <c r="A75" s="4"/>
      <c r="B75" s="185"/>
      <c r="C75" s="186"/>
      <c r="D75" s="186"/>
      <c r="E75" s="186"/>
      <c r="F75" s="186"/>
      <c r="G75" s="186"/>
      <c r="H75" s="186"/>
      <c r="I75" s="187"/>
    </row>
    <row r="76" spans="1:9" ht="18.75" customHeight="1" x14ac:dyDescent="0.15">
      <c r="A76" s="4"/>
      <c r="B76" s="185"/>
      <c r="C76" s="186"/>
      <c r="D76" s="186"/>
      <c r="E76" s="186"/>
      <c r="F76" s="186"/>
      <c r="G76" s="186"/>
      <c r="H76" s="186"/>
      <c r="I76" s="187"/>
    </row>
    <row r="77" spans="1:9" ht="18.75" customHeight="1" x14ac:dyDescent="0.15">
      <c r="A77" s="4"/>
      <c r="B77" s="188"/>
      <c r="C77" s="189"/>
      <c r="D77" s="189"/>
      <c r="E77" s="189"/>
      <c r="F77" s="189"/>
      <c r="G77" s="189"/>
      <c r="H77" s="189"/>
      <c r="I77" s="190"/>
    </row>
    <row r="78" spans="1:9" ht="7.5" customHeight="1" x14ac:dyDescent="0.15">
      <c r="A78" s="4"/>
      <c r="B78" s="4"/>
      <c r="C78" s="4"/>
      <c r="D78" s="4"/>
      <c r="E78" s="4"/>
      <c r="F78" s="4"/>
      <c r="G78" s="4"/>
      <c r="H78" s="4"/>
      <c r="I78" s="4"/>
    </row>
    <row r="79" spans="1:9" ht="18.75" customHeight="1" x14ac:dyDescent="0.15">
      <c r="A79" s="1" t="s">
        <v>136</v>
      </c>
      <c r="B79" s="1" t="s">
        <v>137</v>
      </c>
    </row>
    <row r="80" spans="1:9" ht="18.75" customHeight="1" x14ac:dyDescent="0.15">
      <c r="A80" s="1"/>
      <c r="B80" s="182" t="s">
        <v>138</v>
      </c>
      <c r="C80" s="183"/>
      <c r="D80" s="183"/>
      <c r="E80" s="183"/>
      <c r="F80" s="183"/>
      <c r="G80" s="183"/>
      <c r="H80" s="183"/>
      <c r="I80" s="191"/>
    </row>
    <row r="81" spans="1:9" ht="18.75" customHeight="1" x14ac:dyDescent="0.15">
      <c r="A81" s="1"/>
      <c r="B81" s="192"/>
      <c r="C81" s="193"/>
      <c r="D81" s="193"/>
      <c r="E81" s="193"/>
      <c r="F81" s="193"/>
      <c r="G81" s="193"/>
      <c r="H81" s="193"/>
      <c r="I81" s="194"/>
    </row>
    <row r="82" spans="1:9" ht="18.75" customHeight="1" x14ac:dyDescent="0.15">
      <c r="A82" s="1"/>
      <c r="B82" s="192"/>
      <c r="C82" s="193"/>
      <c r="D82" s="193"/>
      <c r="E82" s="193"/>
      <c r="F82" s="193"/>
      <c r="G82" s="193"/>
      <c r="H82" s="193"/>
      <c r="I82" s="194"/>
    </row>
    <row r="83" spans="1:9" ht="18.75" customHeight="1" x14ac:dyDescent="0.15">
      <c r="A83" s="1"/>
      <c r="B83" s="192"/>
      <c r="C83" s="193"/>
      <c r="D83" s="193"/>
      <c r="E83" s="193"/>
      <c r="F83" s="193"/>
      <c r="G83" s="193"/>
      <c r="H83" s="193"/>
      <c r="I83" s="194"/>
    </row>
    <row r="84" spans="1:9" ht="18.75" customHeight="1" x14ac:dyDescent="0.15">
      <c r="A84" s="1"/>
      <c r="B84" s="192"/>
      <c r="C84" s="193"/>
      <c r="D84" s="193"/>
      <c r="E84" s="193"/>
      <c r="F84" s="193"/>
      <c r="G84" s="193"/>
      <c r="H84" s="193"/>
      <c r="I84" s="194"/>
    </row>
    <row r="85" spans="1:9" ht="18.75" customHeight="1" x14ac:dyDescent="0.15">
      <c r="A85" s="1"/>
      <c r="B85" s="192"/>
      <c r="C85" s="193"/>
      <c r="D85" s="193"/>
      <c r="E85" s="193"/>
      <c r="F85" s="193"/>
      <c r="G85" s="193"/>
      <c r="H85" s="193"/>
      <c r="I85" s="194"/>
    </row>
    <row r="86" spans="1:9" ht="18.75" customHeight="1" x14ac:dyDescent="0.15">
      <c r="A86" s="1"/>
      <c r="B86" s="192"/>
      <c r="C86" s="193"/>
      <c r="D86" s="193"/>
      <c r="E86" s="193"/>
      <c r="F86" s="193"/>
      <c r="G86" s="193"/>
      <c r="H86" s="193"/>
      <c r="I86" s="194"/>
    </row>
    <row r="87" spans="1:9" ht="18.75" customHeight="1" x14ac:dyDescent="0.15">
      <c r="A87" s="1"/>
      <c r="B87" s="192"/>
      <c r="C87" s="193"/>
      <c r="D87" s="193"/>
      <c r="E87" s="193"/>
      <c r="F87" s="193"/>
      <c r="G87" s="193"/>
      <c r="H87" s="193"/>
      <c r="I87" s="194"/>
    </row>
    <row r="88" spans="1:9" ht="18.75" customHeight="1" x14ac:dyDescent="0.15">
      <c r="A88" s="1"/>
      <c r="B88" s="192"/>
      <c r="C88" s="193"/>
      <c r="D88" s="193"/>
      <c r="E88" s="193"/>
      <c r="F88" s="193"/>
      <c r="G88" s="193"/>
      <c r="H88" s="193"/>
      <c r="I88" s="194"/>
    </row>
    <row r="89" spans="1:9" ht="18.75" customHeight="1" x14ac:dyDescent="0.15">
      <c r="A89" s="1"/>
      <c r="B89" s="192"/>
      <c r="C89" s="193"/>
      <c r="D89" s="193"/>
      <c r="E89" s="193"/>
      <c r="F89" s="193"/>
      <c r="G89" s="193"/>
      <c r="H89" s="193"/>
      <c r="I89" s="194"/>
    </row>
    <row r="90" spans="1:9" ht="18.75" customHeight="1" x14ac:dyDescent="0.15">
      <c r="A90" s="4"/>
      <c r="B90" s="192"/>
      <c r="C90" s="193"/>
      <c r="D90" s="193"/>
      <c r="E90" s="193"/>
      <c r="F90" s="193"/>
      <c r="G90" s="193"/>
      <c r="H90" s="193"/>
      <c r="I90" s="194"/>
    </row>
    <row r="91" spans="1:9" ht="18.75" customHeight="1" x14ac:dyDescent="0.15">
      <c r="A91" s="4"/>
      <c r="B91" s="195"/>
      <c r="C91" s="196"/>
      <c r="D91" s="196"/>
      <c r="E91" s="196"/>
      <c r="F91" s="196"/>
      <c r="G91" s="196"/>
      <c r="H91" s="196"/>
      <c r="I91" s="197"/>
    </row>
    <row r="92" spans="1:9" ht="7.5" customHeight="1" x14ac:dyDescent="0.15">
      <c r="A92" s="4"/>
      <c r="B92" s="4"/>
      <c r="C92" s="4"/>
      <c r="D92" s="4"/>
      <c r="E92" s="4"/>
      <c r="F92" s="4"/>
      <c r="G92" s="4"/>
      <c r="H92" s="4"/>
      <c r="I92" s="4"/>
    </row>
    <row r="93" spans="1:9" ht="18.75" customHeight="1" x14ac:dyDescent="0.15">
      <c r="A93" s="1" t="s">
        <v>139</v>
      </c>
      <c r="B93" s="1" t="s">
        <v>140</v>
      </c>
    </row>
    <row r="94" spans="1:9" ht="18.75" customHeight="1" x14ac:dyDescent="0.15">
      <c r="A94" s="1"/>
      <c r="B94" s="209" t="s">
        <v>141</v>
      </c>
      <c r="C94" s="210"/>
      <c r="D94" s="210"/>
      <c r="E94" s="210"/>
      <c r="F94" s="210"/>
      <c r="G94" s="210"/>
      <c r="H94" s="210"/>
      <c r="I94" s="211"/>
    </row>
    <row r="95" spans="1:9" ht="18.75" customHeight="1" x14ac:dyDescent="0.15">
      <c r="A95" s="1"/>
      <c r="B95" s="212"/>
      <c r="C95" s="213"/>
      <c r="D95" s="213"/>
      <c r="E95" s="213"/>
      <c r="F95" s="213"/>
      <c r="G95" s="213"/>
      <c r="H95" s="213"/>
      <c r="I95" s="214"/>
    </row>
    <row r="96" spans="1:9" ht="18.75" customHeight="1" x14ac:dyDescent="0.15">
      <c r="A96" s="1"/>
      <c r="B96" s="212"/>
      <c r="C96" s="213"/>
      <c r="D96" s="213"/>
      <c r="E96" s="213"/>
      <c r="F96" s="213"/>
      <c r="G96" s="213"/>
      <c r="H96" s="213"/>
      <c r="I96" s="214"/>
    </row>
    <row r="97" spans="1:9" ht="18.75" customHeight="1" x14ac:dyDescent="0.15">
      <c r="A97" s="1"/>
      <c r="B97" s="212"/>
      <c r="C97" s="213"/>
      <c r="D97" s="213"/>
      <c r="E97" s="213"/>
      <c r="F97" s="213"/>
      <c r="G97" s="213"/>
      <c r="H97" s="213"/>
      <c r="I97" s="214"/>
    </row>
    <row r="98" spans="1:9" ht="18.75" customHeight="1" x14ac:dyDescent="0.15">
      <c r="A98" s="1"/>
      <c r="B98" s="212"/>
      <c r="C98" s="213"/>
      <c r="D98" s="213"/>
      <c r="E98" s="213"/>
      <c r="F98" s="213"/>
      <c r="G98" s="213"/>
      <c r="H98" s="213"/>
      <c r="I98" s="214"/>
    </row>
    <row r="99" spans="1:9" ht="18.75" customHeight="1" x14ac:dyDescent="0.15">
      <c r="A99" s="1"/>
      <c r="B99" s="212"/>
      <c r="C99" s="213"/>
      <c r="D99" s="213"/>
      <c r="E99" s="213"/>
      <c r="F99" s="213"/>
      <c r="G99" s="213"/>
      <c r="H99" s="213"/>
      <c r="I99" s="214"/>
    </row>
    <row r="100" spans="1:9" ht="18.75" customHeight="1" x14ac:dyDescent="0.15">
      <c r="A100" s="1"/>
      <c r="B100" s="212"/>
      <c r="C100" s="213"/>
      <c r="D100" s="213"/>
      <c r="E100" s="213"/>
      <c r="F100" s="213"/>
      <c r="G100" s="213"/>
      <c r="H100" s="213"/>
      <c r="I100" s="214"/>
    </row>
    <row r="101" spans="1:9" ht="18.75" customHeight="1" x14ac:dyDescent="0.15">
      <c r="A101" s="1"/>
      <c r="B101" s="212"/>
      <c r="C101" s="213"/>
      <c r="D101" s="213"/>
      <c r="E101" s="213"/>
      <c r="F101" s="213"/>
      <c r="G101" s="213"/>
      <c r="H101" s="213"/>
      <c r="I101" s="214"/>
    </row>
    <row r="102" spans="1:9" ht="18.75" customHeight="1" x14ac:dyDescent="0.15">
      <c r="A102" s="1"/>
      <c r="B102" s="212"/>
      <c r="C102" s="213"/>
      <c r="D102" s="213"/>
      <c r="E102" s="213"/>
      <c r="F102" s="213"/>
      <c r="G102" s="213"/>
      <c r="H102" s="213"/>
      <c r="I102" s="214"/>
    </row>
    <row r="103" spans="1:9" ht="18.75" customHeight="1" x14ac:dyDescent="0.15">
      <c r="A103" s="1"/>
      <c r="B103" s="212"/>
      <c r="C103" s="213"/>
      <c r="D103" s="213"/>
      <c r="E103" s="213"/>
      <c r="F103" s="213"/>
      <c r="G103" s="213"/>
      <c r="H103" s="213"/>
      <c r="I103" s="214"/>
    </row>
    <row r="104" spans="1:9" ht="18.75" customHeight="1" x14ac:dyDescent="0.15">
      <c r="A104" s="1"/>
      <c r="B104" s="212"/>
      <c r="C104" s="213"/>
      <c r="D104" s="213"/>
      <c r="E104" s="213"/>
      <c r="F104" s="213"/>
      <c r="G104" s="213"/>
      <c r="H104" s="213"/>
      <c r="I104" s="214"/>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142</v>
      </c>
      <c r="B107" s="218" t="s">
        <v>143</v>
      </c>
      <c r="C107" s="218"/>
      <c r="D107" s="218"/>
      <c r="E107" s="218"/>
      <c r="F107" s="218"/>
      <c r="G107" s="218"/>
      <c r="H107" s="218"/>
      <c r="I107" s="218"/>
    </row>
    <row r="108" spans="1:9" ht="18.75" customHeight="1" x14ac:dyDescent="0.15">
      <c r="A108" s="4"/>
      <c r="B108" s="209" t="s">
        <v>144</v>
      </c>
      <c r="C108" s="210"/>
      <c r="D108" s="210"/>
      <c r="E108" s="210"/>
      <c r="F108" s="210"/>
      <c r="G108" s="210"/>
      <c r="H108" s="210"/>
      <c r="I108" s="211"/>
    </row>
    <row r="109" spans="1:9" ht="18.75" customHeight="1" x14ac:dyDescent="0.15">
      <c r="A109" s="4"/>
      <c r="B109" s="212"/>
      <c r="C109" s="213"/>
      <c r="D109" s="213"/>
      <c r="E109" s="213"/>
      <c r="F109" s="213"/>
      <c r="G109" s="213"/>
      <c r="H109" s="213"/>
      <c r="I109" s="214"/>
    </row>
    <row r="110" spans="1:9" ht="18.75" customHeight="1" x14ac:dyDescent="0.15">
      <c r="A110" s="4"/>
      <c r="B110" s="212"/>
      <c r="C110" s="213"/>
      <c r="D110" s="213"/>
      <c r="E110" s="213"/>
      <c r="F110" s="213"/>
      <c r="G110" s="213"/>
      <c r="H110" s="213"/>
      <c r="I110" s="214"/>
    </row>
    <row r="111" spans="1:9" ht="18.75" customHeight="1" x14ac:dyDescent="0.15">
      <c r="A111" s="4"/>
      <c r="B111" s="212"/>
      <c r="C111" s="213"/>
      <c r="D111" s="213"/>
      <c r="E111" s="213"/>
      <c r="F111" s="213"/>
      <c r="G111" s="213"/>
      <c r="H111" s="213"/>
      <c r="I111" s="214"/>
    </row>
    <row r="112" spans="1:9" ht="18.75" customHeight="1" x14ac:dyDescent="0.15">
      <c r="A112" s="4"/>
      <c r="B112" s="212"/>
      <c r="C112" s="213"/>
      <c r="D112" s="213"/>
      <c r="E112" s="213"/>
      <c r="F112" s="213"/>
      <c r="G112" s="213"/>
      <c r="H112" s="213"/>
      <c r="I112" s="214"/>
    </row>
    <row r="113" spans="1:9" ht="18.75" customHeight="1" x14ac:dyDescent="0.15">
      <c r="A113" s="4"/>
      <c r="B113" s="212"/>
      <c r="C113" s="213"/>
      <c r="D113" s="213"/>
      <c r="E113" s="213"/>
      <c r="F113" s="213"/>
      <c r="G113" s="213"/>
      <c r="H113" s="213"/>
      <c r="I113" s="214"/>
    </row>
    <row r="114" spans="1:9" ht="18.75" customHeight="1" x14ac:dyDescent="0.15">
      <c r="A114" s="4"/>
      <c r="B114" s="212"/>
      <c r="C114" s="213"/>
      <c r="D114" s="213"/>
      <c r="E114" s="213"/>
      <c r="F114" s="213"/>
      <c r="G114" s="213"/>
      <c r="H114" s="213"/>
      <c r="I114" s="214"/>
    </row>
    <row r="115" spans="1:9" ht="18.75" customHeight="1" x14ac:dyDescent="0.15">
      <c r="A115" s="4"/>
      <c r="B115" s="212"/>
      <c r="C115" s="213"/>
      <c r="D115" s="213"/>
      <c r="E115" s="213"/>
      <c r="F115" s="213"/>
      <c r="G115" s="213"/>
      <c r="H115" s="213"/>
      <c r="I115" s="214"/>
    </row>
    <row r="116" spans="1:9" ht="18.75" customHeight="1" x14ac:dyDescent="0.15">
      <c r="A116" s="4"/>
      <c r="B116" s="212"/>
      <c r="C116" s="213"/>
      <c r="D116" s="213"/>
      <c r="E116" s="213"/>
      <c r="F116" s="213"/>
      <c r="G116" s="213"/>
      <c r="H116" s="213"/>
      <c r="I116" s="214"/>
    </row>
    <row r="117" spans="1:9" ht="18.75" customHeight="1" x14ac:dyDescent="0.15">
      <c r="A117" s="4"/>
      <c r="B117" s="212"/>
      <c r="C117" s="213"/>
      <c r="D117" s="213"/>
      <c r="E117" s="213"/>
      <c r="F117" s="213"/>
      <c r="G117" s="213"/>
      <c r="H117" s="213"/>
      <c r="I117" s="214"/>
    </row>
    <row r="118" spans="1:9" ht="18.75" customHeight="1" x14ac:dyDescent="0.15">
      <c r="A118" s="4"/>
      <c r="B118" s="212"/>
      <c r="C118" s="213"/>
      <c r="D118" s="213"/>
      <c r="E118" s="213"/>
      <c r="F118" s="213"/>
      <c r="G118" s="213"/>
      <c r="H118" s="213"/>
      <c r="I118" s="214"/>
    </row>
    <row r="119" spans="1:9" ht="18.75" customHeight="1" x14ac:dyDescent="0.15">
      <c r="A119" s="4"/>
      <c r="B119" s="215"/>
      <c r="C119" s="216"/>
      <c r="D119" s="216"/>
      <c r="E119" s="216"/>
      <c r="F119" s="216"/>
      <c r="G119" s="216"/>
      <c r="H119" s="216"/>
      <c r="I119" s="217"/>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tabSelected="1" view="pageBreakPreview" zoomScaleNormal="100" zoomScaleSheetLayoutView="100" workbookViewId="0">
      <selection activeCell="E14" sqref="E14:I14"/>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145</v>
      </c>
      <c r="I1" s="33" t="s">
        <v>146</v>
      </c>
    </row>
    <row r="2" spans="1:9" ht="18.75" customHeight="1" x14ac:dyDescent="0.15">
      <c r="H2" s="33" t="s">
        <v>2</v>
      </c>
      <c r="I2" s="32" t="str">
        <f>'様式１　プログラムを構成する授業科目'!C2</f>
        <v>福岡工業大学短期大学部</v>
      </c>
    </row>
    <row r="3" spans="1:9" ht="18.75" customHeight="1" x14ac:dyDescent="0.15">
      <c r="A3" s="104" t="s">
        <v>147</v>
      </c>
      <c r="B3" s="104"/>
      <c r="C3" s="104"/>
      <c r="D3" s="104"/>
      <c r="E3" s="104"/>
      <c r="F3" s="104"/>
      <c r="G3" s="104"/>
      <c r="H3" s="104"/>
      <c r="I3" s="104"/>
    </row>
    <row r="4" spans="1:9" ht="18.75" customHeight="1" x14ac:dyDescent="0.15">
      <c r="A4" s="5"/>
      <c r="B4" s="5"/>
      <c r="C4" s="5"/>
      <c r="D4" s="5"/>
      <c r="E4" s="5"/>
      <c r="F4" s="5"/>
      <c r="G4" s="5"/>
      <c r="H4" s="5"/>
      <c r="I4" s="5"/>
    </row>
    <row r="5" spans="1:9" ht="18.75" customHeight="1" x14ac:dyDescent="0.15">
      <c r="A5" s="1" t="s">
        <v>98</v>
      </c>
      <c r="B5" s="10" t="s">
        <v>148</v>
      </c>
      <c r="C5" s="5"/>
      <c r="D5" s="5"/>
      <c r="E5" s="5"/>
      <c r="F5" s="5"/>
      <c r="G5" s="5"/>
      <c r="H5" s="5"/>
      <c r="I5" s="5"/>
    </row>
    <row r="6" spans="1:9" ht="26.25" customHeight="1" x14ac:dyDescent="0.15">
      <c r="A6" s="5"/>
      <c r="B6" s="227" t="s">
        <v>149</v>
      </c>
      <c r="C6" s="255"/>
      <c r="D6" s="255"/>
      <c r="E6" s="255"/>
      <c r="F6" s="255"/>
      <c r="G6" s="255"/>
      <c r="H6" s="256"/>
      <c r="I6" s="3"/>
    </row>
    <row r="7" spans="1:9" ht="9" customHeight="1" x14ac:dyDescent="0.15">
      <c r="A7" s="5"/>
      <c r="B7" s="10"/>
      <c r="C7" s="10"/>
      <c r="D7" s="10"/>
      <c r="E7" s="10"/>
      <c r="F7" s="10"/>
      <c r="G7" s="10"/>
      <c r="H7" s="10"/>
      <c r="I7" s="3"/>
    </row>
    <row r="8" spans="1:9" ht="18.75" customHeight="1" x14ac:dyDescent="0.15">
      <c r="A8" s="5"/>
      <c r="B8" s="3"/>
      <c r="C8" s="3"/>
      <c r="D8" s="33" t="s">
        <v>107</v>
      </c>
      <c r="E8" s="34" t="s">
        <v>108</v>
      </c>
      <c r="F8" s="3"/>
      <c r="G8" s="33" t="s">
        <v>109</v>
      </c>
      <c r="H8" s="34" t="s">
        <v>110</v>
      </c>
      <c r="I8" s="3"/>
    </row>
    <row r="9" spans="1:9" ht="7.5" customHeight="1" x14ac:dyDescent="0.15">
      <c r="A9" s="5"/>
      <c r="B9" s="5"/>
      <c r="C9" s="5"/>
      <c r="D9" s="5"/>
      <c r="E9" s="5"/>
      <c r="F9" s="5"/>
      <c r="G9" s="5"/>
      <c r="H9" s="5"/>
      <c r="I9" s="5"/>
    </row>
    <row r="10" spans="1:9" ht="18.75" customHeight="1" x14ac:dyDescent="0.15">
      <c r="A10" s="1" t="s">
        <v>103</v>
      </c>
      <c r="B10" s="1" t="s">
        <v>150</v>
      </c>
      <c r="C10" s="4"/>
      <c r="D10" s="4"/>
      <c r="E10" s="4"/>
      <c r="F10" s="4"/>
      <c r="G10" s="4"/>
      <c r="H10" s="4"/>
      <c r="I10" s="4"/>
    </row>
    <row r="11" spans="1:9" ht="18.75" customHeight="1" x14ac:dyDescent="0.15">
      <c r="B11" s="93" t="s">
        <v>151</v>
      </c>
      <c r="C11" s="94"/>
      <c r="D11" s="95"/>
      <c r="E11" s="94" t="s">
        <v>152</v>
      </c>
      <c r="F11" s="94"/>
      <c r="G11" s="94"/>
      <c r="H11" s="94"/>
      <c r="I11" s="95"/>
    </row>
    <row r="12" spans="1:9" ht="26.25" customHeight="1" x14ac:dyDescent="0.15">
      <c r="B12" s="48" t="s">
        <v>153</v>
      </c>
      <c r="C12" s="55"/>
      <c r="D12" s="49"/>
      <c r="E12" s="56"/>
      <c r="F12" s="56"/>
      <c r="G12" s="56"/>
      <c r="H12" s="56"/>
      <c r="I12" s="49"/>
    </row>
    <row r="13" spans="1:9" ht="210.75" customHeight="1" x14ac:dyDescent="0.15">
      <c r="B13" s="50"/>
      <c r="C13" s="238" t="s">
        <v>154</v>
      </c>
      <c r="D13" s="239"/>
      <c r="E13" s="251" t="s">
        <v>173</v>
      </c>
      <c r="F13" s="240"/>
      <c r="G13" s="240"/>
      <c r="H13" s="240"/>
      <c r="I13" s="241"/>
    </row>
    <row r="14" spans="1:9" ht="210.75" customHeight="1" x14ac:dyDescent="0.15">
      <c r="B14" s="50"/>
      <c r="C14" s="253" t="s">
        <v>155</v>
      </c>
      <c r="D14" s="254"/>
      <c r="E14" s="251" t="s">
        <v>156</v>
      </c>
      <c r="F14" s="240"/>
      <c r="G14" s="240"/>
      <c r="H14" s="240"/>
      <c r="I14" s="241"/>
    </row>
    <row r="15" spans="1:9" ht="210.75" customHeight="1" x14ac:dyDescent="0.15">
      <c r="B15" s="50"/>
      <c r="C15" s="238" t="s">
        <v>157</v>
      </c>
      <c r="D15" s="239"/>
      <c r="E15" s="251" t="s">
        <v>158</v>
      </c>
      <c r="F15" s="240"/>
      <c r="G15" s="240"/>
      <c r="H15" s="240"/>
      <c r="I15" s="241"/>
    </row>
    <row r="16" spans="1:9" ht="210.75" customHeight="1" x14ac:dyDescent="0.15">
      <c r="B16" s="50"/>
      <c r="C16" s="238" t="s">
        <v>159</v>
      </c>
      <c r="D16" s="239"/>
      <c r="E16" s="251" t="s">
        <v>160</v>
      </c>
      <c r="F16" s="240"/>
      <c r="G16" s="240"/>
      <c r="H16" s="240"/>
      <c r="I16" s="241"/>
    </row>
    <row r="17" spans="2:9" ht="210.75" customHeight="1" x14ac:dyDescent="0.15">
      <c r="B17" s="51"/>
      <c r="C17" s="242" t="s">
        <v>161</v>
      </c>
      <c r="D17" s="243"/>
      <c r="E17" s="252" t="s">
        <v>162</v>
      </c>
      <c r="F17" s="244"/>
      <c r="G17" s="244"/>
      <c r="H17" s="244"/>
      <c r="I17" s="245"/>
    </row>
    <row r="18" spans="2:9" ht="24" customHeight="1" x14ac:dyDescent="0.15">
      <c r="B18" s="48" t="s">
        <v>163</v>
      </c>
      <c r="C18" s="52"/>
      <c r="D18" s="53"/>
      <c r="E18" s="54"/>
      <c r="F18" s="54"/>
      <c r="G18" s="54"/>
      <c r="H18" s="54"/>
      <c r="I18" s="57"/>
    </row>
    <row r="19" spans="2:9" ht="218.25" customHeight="1" x14ac:dyDescent="0.15">
      <c r="B19" s="50"/>
      <c r="C19" s="238" t="s">
        <v>164</v>
      </c>
      <c r="D19" s="239"/>
      <c r="E19" s="240" t="s">
        <v>165</v>
      </c>
      <c r="F19" s="240"/>
      <c r="G19" s="240"/>
      <c r="H19" s="240"/>
      <c r="I19" s="241"/>
    </row>
    <row r="20" spans="2:9" ht="218.25" customHeight="1" x14ac:dyDescent="0.15">
      <c r="B20" s="51"/>
      <c r="C20" s="242" t="s">
        <v>166</v>
      </c>
      <c r="D20" s="243"/>
      <c r="E20" s="244" t="s">
        <v>167</v>
      </c>
      <c r="F20" s="244"/>
      <c r="G20" s="244"/>
      <c r="H20" s="244"/>
      <c r="I20" s="245"/>
    </row>
    <row r="21" spans="2:9" ht="218.25" customHeight="1" x14ac:dyDescent="0.15">
      <c r="B21" s="246" t="s">
        <v>168</v>
      </c>
      <c r="C21" s="247"/>
      <c r="D21" s="248"/>
      <c r="E21" s="249" t="s">
        <v>169</v>
      </c>
      <c r="F21" s="249"/>
      <c r="G21" s="249"/>
      <c r="H21" s="249"/>
      <c r="I21" s="250"/>
    </row>
    <row r="22" spans="2:9" ht="218.25" customHeight="1" x14ac:dyDescent="0.15">
      <c r="B22" s="233" t="s">
        <v>170</v>
      </c>
      <c r="C22" s="234"/>
      <c r="D22" s="235"/>
      <c r="E22" s="236" t="s">
        <v>171</v>
      </c>
      <c r="F22" s="236"/>
      <c r="G22" s="236"/>
      <c r="H22" s="236"/>
      <c r="I22" s="23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青木美南</cp:lastModifiedBy>
  <cp:revision/>
  <cp:lastPrinted>2023-07-13T09:12:36Z</cp:lastPrinted>
  <dcterms:created xsi:type="dcterms:W3CDTF">2011-06-14T05:32:50Z</dcterms:created>
  <dcterms:modified xsi:type="dcterms:W3CDTF">2026-06-23T02:50:54Z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