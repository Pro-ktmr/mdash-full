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defaultThemeVersion="124226"/>
  <mc:AlternateContent xmlns:mc="http://schemas.openxmlformats.org/markup-compatibility/2006">
    <mc:Choice Requires="x15">
      <x15ac:absPath xmlns:x15ac="http://schemas.microsoft.com/office/spreadsheetml/2010/11/ac" url="Y:\教務部\01_各種委員会\05_各種専門部会\08_数理・データサイエンス・AI教育専門部会(22～）\2023\数理・データサイエンス・ＡＩ教育プログラム認定制度（リテラシーレベル）\R5\提出資料\20230513提出資料\0705修正連絡\★再提出\"/>
    </mc:Choice>
  </mc:AlternateContent>
  <xr:revisionPtr revIDLastSave="0" documentId="13_ncr:1_{B58BDACB-428E-4014-A6C3-C8AEE8482CE6}" xr6:coauthVersionLast="47" xr6:coauthVersionMax="47" xr10:uidLastSave="{00000000-0000-0000-0000-000000000000}"/>
  <bookViews>
    <workbookView xWindow="-120" yWindow="-120" windowWidth="29040" windowHeight="15840" tabRatio="885" xr2:uid="{00000000-000D-0000-FFFF-FFFF00000000}"/>
  </bookViews>
  <sheets>
    <sheet name="様式１　プログラムを構成する授業科目 " sheetId="43"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 '!$V$14:$V$16</definedName>
    <definedName name="_xlnm._FilterDatabase" localSheetId="1" hidden="1">'様式２ 履修者等数の実績'!#REF!</definedName>
    <definedName name="_xlnm.Print_Area" localSheetId="0">'様式１　プログラムを構成する授業科目 '!$A$1:$S$102</definedName>
    <definedName name="_xlnm.Print_Area" localSheetId="1">'様式２ 履修者等数の実績'!$A$1:$AQ$32</definedName>
    <definedName name="_xlnm.Print_Area" localSheetId="2">'様式３ 教育の質・履修者数を向上させるための体制・計画'!$A$1:$I$117</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I49" i="41" l="1"/>
  <c r="F16" i="40" l="1"/>
  <c r="I16" i="40"/>
  <c r="F17" i="40"/>
  <c r="I17" i="40"/>
  <c r="F18" i="40"/>
  <c r="I18" i="40"/>
  <c r="F19" i="40"/>
  <c r="I19" i="40"/>
  <c r="F20" i="40"/>
  <c r="I20" i="40"/>
  <c r="I14" i="40" l="1"/>
  <c r="I13" i="40"/>
  <c r="I1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15" i="40"/>
  <c r="G32" i="40"/>
  <c r="H32" i="40"/>
  <c r="AP13" i="40"/>
  <c r="AP14" i="40"/>
  <c r="F15" i="40"/>
  <c r="AP15" i="40" s="1"/>
  <c r="AP16" i="40"/>
  <c r="AP17" i="40"/>
  <c r="AP18" i="40"/>
  <c r="AP19" i="40"/>
  <c r="AP20" i="40"/>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D32" i="40"/>
  <c r="AQ31" i="40"/>
  <c r="AQ30" i="40"/>
  <c r="AQ29" i="40"/>
  <c r="AQ28" i="40"/>
  <c r="AQ27" i="40"/>
  <c r="AQ26" i="40"/>
  <c r="AQ25" i="40"/>
  <c r="AQ24" i="40"/>
  <c r="AQ23" i="40"/>
  <c r="AQ22" i="40"/>
  <c r="AQ21" i="40"/>
  <c r="AQ20" i="40"/>
  <c r="AQ19" i="40"/>
  <c r="AQ18" i="40"/>
  <c r="AQ17" i="40"/>
  <c r="AQ16" i="40"/>
  <c r="AQ15" i="40"/>
  <c r="AQ14" i="40"/>
  <c r="AQ13" i="40"/>
  <c r="AP32" i="40" l="1"/>
  <c r="AQ32" i="40" s="1"/>
  <c r="C48" i="41" s="1"/>
</calcChain>
</file>

<file path=xl/sharedStrings.xml><?xml version="1.0" encoding="utf-8"?>
<sst xmlns="http://schemas.openxmlformats.org/spreadsheetml/2006/main" count="299" uniqueCount="174">
  <si>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</si>
  <si>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</si>
  <si>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</si>
  <si>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</si>
  <si>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</si>
  <si>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</si>
  <si>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</si>
  <si>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</si>
  <si>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</si>
  <si>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</si>
  <si>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</si>
  <si>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</si>
  <si>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</si>
  <si>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</si>
  <si>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</si>
  <si>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</si>
  <si>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</si>
  <si>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</si>
  <si>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</si>
  <si>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</si>
  <si>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</si>
  <si>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</si>
  <si>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</si>
  <si>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</si>
  <si>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</si>
  <si>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</si>
  <si>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</si>
  <si>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</si>
  <si>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</si>
  <si>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</si>
  <si>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</si>
  <si>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</si>
  <si>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</si>
  <si>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</si>
  <si>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</si>
  <si>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</si>
  <si>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</si>
  <si>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</si>
  <si>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</si>
  <si>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</si>
  <si>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</si>
  <si>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</si>
  <si>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</si>
  <si>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</si>
  <si>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</si>
  <si>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</si>
  <si>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</si>
  <si>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</si>
  <si>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</si>
  <si>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</si>
  <si>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</si>
  <si>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</si>
  <si>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</si>
  <si>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</si>
  <si>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</si>
  <si>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</si>
  <si>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</si>
  <si>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</si>
  <si>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</si>
  <si>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</si>
  <si>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</si>
  <si>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</si>
  <si>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</si>
  <si>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</si>
  <si>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</si>
  <si>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</si>
  <si>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</si>
  <si>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</si>
  <si>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</si>
  <si>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</si>
  <si>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</si>
  <si>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</si>
  <si>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</si>
  <si>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</si>
  <si>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</si>
  <si>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</si>
  <si>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</si>
  <si>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</si>
  <si>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</si>
  <si>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</si>
  <si>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</si>
  <si>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</si>
  <si>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</si>
  <si>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</si>
  <si>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</si>
  <si>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</si>
  <si>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</si>
  <si>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</si>
  <si>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</si>
  <si>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</si>
  <si>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</si>
  <si>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</si>
  <si>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</si>
  <si>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</si>
  <si>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</si>
  <si>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</si>
  <si>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</si>
  <si>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</si>
  <si>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</si>
  <si>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</si>
  <si>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</si>
  <si>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</si>
  <si>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</si>
  <si>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</si>
  <si>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</si>
  <si>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</si>
  <si>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</si>
  <si>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</si>
  <si>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</si>
  <si>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</si>
  <si>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</si>
  <si>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</si>
  <si>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</si>
  <si>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</si>
  <si>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</si>
  <si>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</si>
  <si>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</si>
  <si>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</si>
  <si>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</si>
  <si>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</si>
  <si>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</si>
  <si>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</si>
  <si>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</si>
  <si>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</si>
  <si>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</si>
  <si>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</si>
  <si>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流通科学大学</t>
    <rPh sb="0" eb="6">
      <t>リュウツウカガクダイガク</t>
    </rPh>
    <phoneticPr fontId="1"/>
  </si>
  <si>
    <t>学部・学科によって、修了要件は相違しない</t>
  </si>
  <si>
    <t>デジタル社会の基礎知識</t>
    <rPh sb="4" eb="6">
      <t>シャカイ</t>
    </rPh>
    <rPh sb="7" eb="11">
      <t>キソチシキ</t>
    </rPh>
    <phoneticPr fontId="1"/>
  </si>
  <si>
    <t>○</t>
  </si>
  <si>
    <t>パソコンの基礎を入れると専任８、非常勤４</t>
    <rPh sb="5" eb="7">
      <t>キソ</t>
    </rPh>
    <rPh sb="8" eb="9">
      <t>イ</t>
    </rPh>
    <rPh sb="12" eb="14">
      <t>センニン</t>
    </rPh>
    <rPh sb="16" eb="19">
      <t>ヒジョウキン</t>
    </rPh>
    <phoneticPr fontId="1"/>
  </si>
  <si>
    <t>藤井啓吾</t>
    <rPh sb="0" eb="2">
      <t>フジイ</t>
    </rPh>
    <rPh sb="2" eb="4">
      <t>ケイゴ</t>
    </rPh>
    <phoneticPr fontId="1"/>
  </si>
  <si>
    <t>学長</t>
    <rPh sb="0" eb="2">
      <t>ガクチョウ</t>
    </rPh>
    <phoneticPr fontId="1"/>
  </si>
  <si>
    <t>福田司文</t>
    <rPh sb="0" eb="2">
      <t>フクダ</t>
    </rPh>
    <rPh sb="2" eb="3">
      <t>ツカサ</t>
    </rPh>
    <rPh sb="3" eb="4">
      <t>ブン</t>
    </rPh>
    <phoneticPr fontId="1"/>
  </si>
  <si>
    <t>副学長　教務委員長</t>
    <rPh sb="0" eb="3">
      <t>フクガクチョウ</t>
    </rPh>
    <rPh sb="4" eb="9">
      <t>キョウムイインチョウ</t>
    </rPh>
    <phoneticPr fontId="1"/>
  </si>
  <si>
    <t>「デジタル社会の基礎知識」科目は全学共通科目全学基礎科目（専門基礎選択必修科目）として、所属学部・学科に関係なく履修することができる科目である。また、合計8コマ、同内容の科目として開講し、学生が履修すべき曜日時限を指定することにより、適正人数での受講ができるように工夫を施している。</t>
    <rPh sb="44" eb="48">
      <t>ショゾクガクブ</t>
    </rPh>
    <rPh sb="49" eb="51">
      <t>ガッカ</t>
    </rPh>
    <rPh sb="52" eb="54">
      <t>カンケイ</t>
    </rPh>
    <rPh sb="56" eb="58">
      <t>リシュウ</t>
    </rPh>
    <rPh sb="66" eb="68">
      <t>カモク</t>
    </rPh>
    <rPh sb="75" eb="77">
      <t>ゴウケイ</t>
    </rPh>
    <rPh sb="81" eb="84">
      <t>ドウナイヨウ</t>
    </rPh>
    <rPh sb="85" eb="87">
      <t>カモク</t>
    </rPh>
    <rPh sb="90" eb="92">
      <t>カイコウ</t>
    </rPh>
    <rPh sb="94" eb="96">
      <t>ガクセイ</t>
    </rPh>
    <rPh sb="97" eb="99">
      <t>リシュウ</t>
    </rPh>
    <rPh sb="102" eb="104">
      <t>ヨウビ</t>
    </rPh>
    <rPh sb="104" eb="106">
      <t>ジゲン</t>
    </rPh>
    <rPh sb="107" eb="109">
      <t>シテイ</t>
    </rPh>
    <rPh sb="117" eb="121">
      <t>テキセイニンズウ</t>
    </rPh>
    <rPh sb="123" eb="125">
      <t>ジュコウ</t>
    </rPh>
    <rPh sb="132" eb="134">
      <t>クフウ</t>
    </rPh>
    <rPh sb="135" eb="136">
      <t>ホドコ</t>
    </rPh>
    <phoneticPr fontId="1"/>
  </si>
  <si>
    <t>授業時間内に質問を受け付けるほか、オフィスアワーを設け、受講生が直接教員の研究室を訪ねて指導が受けられるようにしている。また、いつでも担当教員にメールで相談することが可能である。</t>
    <rPh sb="0" eb="5">
      <t>ジュギョウジカンナイ</t>
    </rPh>
    <rPh sb="6" eb="8">
      <t>シツモン</t>
    </rPh>
    <rPh sb="9" eb="10">
      <t>ウ</t>
    </rPh>
    <rPh sb="11" eb="12">
      <t>ツ</t>
    </rPh>
    <rPh sb="25" eb="26">
      <t>モウ</t>
    </rPh>
    <rPh sb="28" eb="31">
      <t>ジュコウセイ</t>
    </rPh>
    <rPh sb="32" eb="34">
      <t>チョクセツ</t>
    </rPh>
    <rPh sb="34" eb="36">
      <t>キョウイン</t>
    </rPh>
    <rPh sb="37" eb="40">
      <t>ケンキュウシツ</t>
    </rPh>
    <rPh sb="41" eb="42">
      <t>タズ</t>
    </rPh>
    <rPh sb="44" eb="46">
      <t>シドウ</t>
    </rPh>
    <rPh sb="47" eb="48">
      <t>ウ</t>
    </rPh>
    <rPh sb="67" eb="69">
      <t>タントウ</t>
    </rPh>
    <rPh sb="69" eb="71">
      <t>キョウイン</t>
    </rPh>
    <rPh sb="76" eb="78">
      <t>ソウダン</t>
    </rPh>
    <rPh sb="83" eb="85">
      <t>カノウ</t>
    </rPh>
    <phoneticPr fontId="1"/>
  </si>
  <si>
    <t>学修成果の把握に関しては、授業時の課題提出物および学生による授業改善アンケートにより学生の理解度を把握することができ、授業内容や授業方法の改善を図っている。また、本教育プログラムを終了した学生がその後どのような科目を履修して、どのような成績を修めたか、卒業後にどのような進路に進んだかなどを経時的に調査し、幅広い視点で改善していく予定である。</t>
    <rPh sb="0" eb="4">
      <t>ガクシュウセイカ</t>
    </rPh>
    <rPh sb="5" eb="7">
      <t>ハアク</t>
    </rPh>
    <rPh sb="8" eb="9">
      <t>カン</t>
    </rPh>
    <rPh sb="13" eb="16">
      <t>ジュギョウジ</t>
    </rPh>
    <rPh sb="17" eb="22">
      <t>カダイテイシュツブツ</t>
    </rPh>
    <rPh sb="25" eb="27">
      <t>ガクセイ</t>
    </rPh>
    <rPh sb="30" eb="34">
      <t>ジュギョウカイゼン</t>
    </rPh>
    <rPh sb="42" eb="44">
      <t>ガクセイ</t>
    </rPh>
    <rPh sb="45" eb="48">
      <t>リカイド</t>
    </rPh>
    <rPh sb="49" eb="51">
      <t>ハアク</t>
    </rPh>
    <rPh sb="59" eb="63">
      <t>ジュギョウナイヨウ</t>
    </rPh>
    <rPh sb="64" eb="68">
      <t>ジュギョウホウホウ</t>
    </rPh>
    <rPh sb="69" eb="71">
      <t>カイゼン</t>
    </rPh>
    <rPh sb="72" eb="73">
      <t>ハカ</t>
    </rPh>
    <phoneticPr fontId="1"/>
  </si>
  <si>
    <t>授業改善アンケートに「この科目を他の学生に薦めたいと思いますか」という設問を作り、科目ごとに学生の回答状況を分析している。科目担当教員にフィードバックされ、授業内容および指導方法の改善に活かされている。なお、本学では大学全体の授業評価アンケートの集計結果を科目区分ごとに整理して大学ホームページで公表しており、教育の質保証に関して、社会に対する説明責任を遂行するよう努めている。</t>
    <rPh sb="0" eb="4">
      <t>ジュギョウカイゼン</t>
    </rPh>
    <rPh sb="13" eb="15">
      <t>カモク</t>
    </rPh>
    <rPh sb="16" eb="17">
      <t>ホカ</t>
    </rPh>
    <rPh sb="18" eb="20">
      <t>ガクセイ</t>
    </rPh>
    <rPh sb="21" eb="22">
      <t>スス</t>
    </rPh>
    <rPh sb="26" eb="27">
      <t>オモ</t>
    </rPh>
    <rPh sb="35" eb="37">
      <t>セツモン</t>
    </rPh>
    <rPh sb="38" eb="39">
      <t>ツク</t>
    </rPh>
    <rPh sb="41" eb="43">
      <t>カモク</t>
    </rPh>
    <rPh sb="46" eb="48">
      <t>ガクセイ</t>
    </rPh>
    <rPh sb="49" eb="53">
      <t>カイトウジョウキョウ</t>
    </rPh>
    <rPh sb="54" eb="56">
      <t>ブンセキ</t>
    </rPh>
    <rPh sb="61" eb="67">
      <t>カモクタントウキョウイン</t>
    </rPh>
    <rPh sb="78" eb="82">
      <t>ジュギョウナイヨウ</t>
    </rPh>
    <rPh sb="85" eb="89">
      <t>シドウホウホウ</t>
    </rPh>
    <rPh sb="90" eb="92">
      <t>カイゼン</t>
    </rPh>
    <rPh sb="93" eb="94">
      <t>イ</t>
    </rPh>
    <rPh sb="104" eb="106">
      <t>ホンガク</t>
    </rPh>
    <rPh sb="108" eb="112">
      <t>ダイガクゼンタイ</t>
    </rPh>
    <rPh sb="113" eb="117">
      <t>ジュギョウヒョウカ</t>
    </rPh>
    <rPh sb="123" eb="127">
      <t>シュウケイケッカ</t>
    </rPh>
    <rPh sb="128" eb="132">
      <t>カモククブン</t>
    </rPh>
    <rPh sb="135" eb="137">
      <t>セイリ</t>
    </rPh>
    <rPh sb="139" eb="141">
      <t>ダイガク</t>
    </rPh>
    <rPh sb="148" eb="150">
      <t>コウヒョウ</t>
    </rPh>
    <rPh sb="155" eb="157">
      <t>キョウイク</t>
    </rPh>
    <rPh sb="158" eb="159">
      <t>シツ</t>
    </rPh>
    <rPh sb="159" eb="161">
      <t>ホショウ</t>
    </rPh>
    <rPh sb="162" eb="163">
      <t>カン</t>
    </rPh>
    <rPh sb="166" eb="168">
      <t>シャカイ</t>
    </rPh>
    <rPh sb="169" eb="170">
      <t>タイ</t>
    </rPh>
    <rPh sb="172" eb="176">
      <t>セツメイセキニン</t>
    </rPh>
    <rPh sb="177" eb="179">
      <t>スイコウ</t>
    </rPh>
    <rPh sb="183" eb="184">
      <t>ツト</t>
    </rPh>
    <phoneticPr fontId="1"/>
  </si>
  <si>
    <t>令和4年度から開講した科目であるため、修了者の進路、活躍状況、企業の評価は調査されていない。今後、就職部や同窓会組織と連携し、卒業生調査を行うことを予定している。また、個別企業へのヒアリング等を行い、意見聴取することも予定している。</t>
    <rPh sb="0" eb="2">
      <t>レイワ</t>
    </rPh>
    <rPh sb="3" eb="5">
      <t>ネンド</t>
    </rPh>
    <rPh sb="7" eb="9">
      <t>カイコウ</t>
    </rPh>
    <rPh sb="11" eb="13">
      <t>カモク</t>
    </rPh>
    <rPh sb="19" eb="22">
      <t>シュウリョウシャ</t>
    </rPh>
    <rPh sb="23" eb="25">
      <t>シンロ</t>
    </rPh>
    <rPh sb="26" eb="30">
      <t>カツヤクジョウキョウ</t>
    </rPh>
    <rPh sb="31" eb="33">
      <t>キギョウ</t>
    </rPh>
    <rPh sb="34" eb="36">
      <t>ヒョウカ</t>
    </rPh>
    <rPh sb="37" eb="39">
      <t>チョウサ</t>
    </rPh>
    <rPh sb="46" eb="48">
      <t>コンゴ</t>
    </rPh>
    <rPh sb="49" eb="52">
      <t>シュウショクブ</t>
    </rPh>
    <rPh sb="53" eb="58">
      <t>ドウソウカイソシキ</t>
    </rPh>
    <rPh sb="59" eb="61">
      <t>レンケイ</t>
    </rPh>
    <rPh sb="63" eb="68">
      <t>ソツギョウセイチョウサ</t>
    </rPh>
    <rPh sb="69" eb="70">
      <t>オコナ</t>
    </rPh>
    <rPh sb="74" eb="76">
      <t>ヨテイ</t>
    </rPh>
    <rPh sb="84" eb="88">
      <t>コベツキギョウ</t>
    </rPh>
    <rPh sb="95" eb="96">
      <t>トウ</t>
    </rPh>
    <rPh sb="97" eb="98">
      <t>オコナ</t>
    </rPh>
    <rPh sb="100" eb="104">
      <t>イケンチョウシュ</t>
    </rPh>
    <rPh sb="109" eb="111">
      <t>ヨテイ</t>
    </rPh>
    <phoneticPr fontId="1"/>
  </si>
  <si>
    <t>本学の外部評議員や情報系の就職先企業等にヒアリングを行い、企業の求める人材像に近づけるようプログラムの改善を継続して行う。</t>
    <rPh sb="0" eb="2">
      <t>ホンガク</t>
    </rPh>
    <rPh sb="3" eb="5">
      <t>ガイブ</t>
    </rPh>
    <rPh sb="5" eb="8">
      <t>ヒョウギイン</t>
    </rPh>
    <rPh sb="9" eb="12">
      <t>ジョウホウケイ</t>
    </rPh>
    <rPh sb="13" eb="16">
      <t>シュウショクサキ</t>
    </rPh>
    <rPh sb="16" eb="19">
      <t>キギョウトウ</t>
    </rPh>
    <rPh sb="26" eb="27">
      <t>オコナ</t>
    </rPh>
    <rPh sb="29" eb="31">
      <t>キギョウ</t>
    </rPh>
    <rPh sb="32" eb="33">
      <t>モト</t>
    </rPh>
    <rPh sb="35" eb="37">
      <t>ジンザイ</t>
    </rPh>
    <rPh sb="37" eb="38">
      <t>ゾウ</t>
    </rPh>
    <rPh sb="39" eb="40">
      <t>チカ</t>
    </rPh>
    <rPh sb="51" eb="53">
      <t>カイゼン</t>
    </rPh>
    <rPh sb="54" eb="56">
      <t>ケイゾク</t>
    </rPh>
    <rPh sb="58" eb="59">
      <t>オコナ</t>
    </rPh>
    <phoneticPr fontId="1"/>
  </si>
  <si>
    <t xml:space="preserve">課題発見・課題解決に必要な情報を見定め、適切な手段を用いて収集・調査、整理することができる情報収集力、収集した個々の情報を多角的に分析し、現状を正確に把握することができる情報分析力。
これらの収集・分析力を基に、現象や事実のなかに隠れている問題点やその要因を発見し、解決すべき課題を設定することができる課題発見力を養う。加えて、さまざまな条件・制約を考慮して、解決策を吟味・選択肢、課題の解決に向けた道筋や段取りを明らかにした上で、具体化することができる構想力を養い、論理的思考力を持つことを目指す。
本教育プログラムを通して、情報が社会にどのような変化をもたらしてきたのかを振り返り、IoTとビッグデータとの関わりと我々の生活への影響、AIがもたらすライフスタイルの変革を身近に捉え、今後の社会のあり方、社会の課題解決につながる活用方法について考える。
また、日常生活の中の疑問を統計の視点から見直すことで、データの基本的な扱い方を知り、新しい観点を養い、それらが日常生活や社会の課題解決の糸口になり得ること、新たな価値を創出できることを知る。
社会の変化とそれにともなうリスクや配慮事項を理解し、自身や周囲の安全を守るために必要な知識を学ぶこととする。
</t>
    <rPh sb="251" eb="254">
      <t>ホンキョウイク</t>
    </rPh>
    <rPh sb="260" eb="261">
      <t>トオ</t>
    </rPh>
    <rPh sb="264" eb="266">
      <t>ジョウホウ</t>
    </rPh>
    <rPh sb="267" eb="269">
      <t>シャカイ</t>
    </rPh>
    <rPh sb="275" eb="277">
      <t>ヘンカ</t>
    </rPh>
    <rPh sb="288" eb="289">
      <t>フ</t>
    </rPh>
    <rPh sb="290" eb="291">
      <t>カエ</t>
    </rPh>
    <rPh sb="305" eb="306">
      <t>カカワ</t>
    </rPh>
    <rPh sb="309" eb="311">
      <t>ワレワレ</t>
    </rPh>
    <rPh sb="312" eb="314">
      <t>セイカツ</t>
    </rPh>
    <rPh sb="316" eb="318">
      <t>エイキョウ</t>
    </rPh>
    <rPh sb="334" eb="336">
      <t>ヘンカク</t>
    </rPh>
    <rPh sb="337" eb="339">
      <t>ミヂカ</t>
    </rPh>
    <rPh sb="340" eb="341">
      <t>トラ</t>
    </rPh>
    <rPh sb="343" eb="345">
      <t>コンゴ</t>
    </rPh>
    <rPh sb="346" eb="348">
      <t>シャカイ</t>
    </rPh>
    <rPh sb="351" eb="352">
      <t>カタ</t>
    </rPh>
    <rPh sb="353" eb="355">
      <t>シャカイ</t>
    </rPh>
    <rPh sb="356" eb="358">
      <t>カダイ</t>
    </rPh>
    <rPh sb="358" eb="360">
      <t>カイケツ</t>
    </rPh>
    <rPh sb="365" eb="367">
      <t>カツヨウ</t>
    </rPh>
    <rPh sb="367" eb="369">
      <t>ホウホウ</t>
    </rPh>
    <rPh sb="373" eb="374">
      <t>カンガ</t>
    </rPh>
    <rPh sb="381" eb="385">
      <t>ニチジョウセイカツ</t>
    </rPh>
    <rPh sb="386" eb="387">
      <t>ナカ</t>
    </rPh>
    <rPh sb="388" eb="390">
      <t>ギモン</t>
    </rPh>
    <rPh sb="391" eb="393">
      <t>トウケイ</t>
    </rPh>
    <rPh sb="394" eb="396">
      <t>シテン</t>
    </rPh>
    <rPh sb="398" eb="400">
      <t>ミナオ</t>
    </rPh>
    <rPh sb="409" eb="412">
      <t>キホンテキ</t>
    </rPh>
    <rPh sb="413" eb="414">
      <t>アツカ</t>
    </rPh>
    <rPh sb="415" eb="416">
      <t>カタ</t>
    </rPh>
    <rPh sb="417" eb="418">
      <t>シ</t>
    </rPh>
    <rPh sb="420" eb="421">
      <t>アタラ</t>
    </rPh>
    <rPh sb="423" eb="425">
      <t>カンテン</t>
    </rPh>
    <rPh sb="426" eb="427">
      <t>ヤシナ</t>
    </rPh>
    <rPh sb="433" eb="437">
      <t>ニチジョウセイカツ</t>
    </rPh>
    <rPh sb="438" eb="440">
      <t>シャカイ</t>
    </rPh>
    <rPh sb="441" eb="445">
      <t>カダイカイケツ</t>
    </rPh>
    <rPh sb="446" eb="448">
      <t>イトグチ</t>
    </rPh>
    <rPh sb="451" eb="452">
      <t>ウ</t>
    </rPh>
    <rPh sb="456" eb="457">
      <t>アラ</t>
    </rPh>
    <rPh sb="459" eb="461">
      <t>カチ</t>
    </rPh>
    <rPh sb="462" eb="464">
      <t>ソウシュツ</t>
    </rPh>
    <rPh sb="470" eb="471">
      <t>シ</t>
    </rPh>
    <rPh sb="474" eb="476">
      <t>シャカイ</t>
    </rPh>
    <rPh sb="477" eb="479">
      <t>ヘンカ</t>
    </rPh>
    <rPh sb="491" eb="495">
      <t>ハイリョジコウ</t>
    </rPh>
    <rPh sb="496" eb="498">
      <t>リカイ</t>
    </rPh>
    <rPh sb="500" eb="502">
      <t>ジシン</t>
    </rPh>
    <rPh sb="503" eb="505">
      <t>シュウイ</t>
    </rPh>
    <rPh sb="506" eb="508">
      <t>アンゼン</t>
    </rPh>
    <rPh sb="509" eb="510">
      <t>マモ</t>
    </rPh>
    <rPh sb="514" eb="516">
      <t>ヒツヨウ</t>
    </rPh>
    <rPh sb="517" eb="519">
      <t>チシキ</t>
    </rPh>
    <rPh sb="520" eb="521">
      <t>マナキョウインジョウキョウキョウユウシュウトクジョウキョウカダイガクセイタイキョウインカツヨウタイセイコウチク</t>
    </rPh>
    <phoneticPr fontId="1"/>
  </si>
  <si>
    <t>商学部</t>
    <rPh sb="0" eb="1">
      <t>ショウ</t>
    </rPh>
    <rPh sb="1" eb="3">
      <t>ガクブ</t>
    </rPh>
    <phoneticPr fontId="1"/>
  </si>
  <si>
    <t>経済学部</t>
    <rPh sb="0" eb="2">
      <t>ケイザイ</t>
    </rPh>
    <rPh sb="2" eb="4">
      <t>ガクブ</t>
    </rPh>
    <phoneticPr fontId="1"/>
  </si>
  <si>
    <t>人間社会学部</t>
    <rPh sb="0" eb="2">
      <t>ニンゲン</t>
    </rPh>
    <rPh sb="2" eb="4">
      <t>シャカイ</t>
    </rPh>
    <rPh sb="4" eb="6">
      <t>ガクブ</t>
    </rPh>
    <phoneticPr fontId="1"/>
  </si>
  <si>
    <t>令和４年度</t>
    <rPh sb="0" eb="2">
      <t>レイワ</t>
    </rPh>
    <rPh sb="3" eb="5">
      <t>ネンド</t>
    </rPh>
    <phoneticPr fontId="1"/>
  </si>
  <si>
    <t>教務委員会／数理・データサイエンス・AI教育専門部会</t>
    <rPh sb="0" eb="5">
      <t>キョウムイインカイ</t>
    </rPh>
    <rPh sb="6" eb="8">
      <t>スウリ</t>
    </rPh>
    <rPh sb="20" eb="26">
      <t>キョウイクセンモンブカイ</t>
    </rPh>
    <phoneticPr fontId="1"/>
  </si>
  <si>
    <t>数理・データサイエンス・AI教育プログラム</t>
    <rPh sb="0" eb="2">
      <t>スウリ</t>
    </rPh>
    <rPh sb="14" eb="16">
      <t>キョウイク</t>
    </rPh>
    <phoneticPr fontId="1"/>
  </si>
  <si>
    <t>「デジタル社会の基礎知識」科目は全学共通科目全学基礎科目（専門基礎選択必修科目）として、1年次に配当し、合計8コマを同じ内容の科目として開講しており、1年生全員が受講できる体制を整えている。また、2～4年次においても履修可能なクラスを設けており、卒業までに広く履修の機会を提供している。</t>
    <rPh sb="5" eb="7">
      <t>シャカイ</t>
    </rPh>
    <rPh sb="8" eb="12">
      <t>キソチシキ</t>
    </rPh>
    <rPh sb="13" eb="15">
      <t>カモク</t>
    </rPh>
    <rPh sb="16" eb="18">
      <t>ゼンガク</t>
    </rPh>
    <rPh sb="18" eb="22">
      <t>キョウツウカモク</t>
    </rPh>
    <rPh sb="22" eb="28">
      <t>ゼンガクキソカモク</t>
    </rPh>
    <rPh sb="29" eb="33">
      <t>センモンキソ</t>
    </rPh>
    <rPh sb="33" eb="35">
      <t>センタク</t>
    </rPh>
    <rPh sb="35" eb="39">
      <t>ヒッシュウカモク</t>
    </rPh>
    <rPh sb="45" eb="47">
      <t>ネンジ</t>
    </rPh>
    <rPh sb="48" eb="50">
      <t>ハイトウ</t>
    </rPh>
    <rPh sb="52" eb="54">
      <t>ゴウケイ</t>
    </rPh>
    <rPh sb="63" eb="65">
      <t>カモク</t>
    </rPh>
    <rPh sb="68" eb="70">
      <t>カイコウ</t>
    </rPh>
    <rPh sb="76" eb="80">
      <t>ネンセイゼンイン</t>
    </rPh>
    <rPh sb="81" eb="83">
      <t>ジュコウ</t>
    </rPh>
    <rPh sb="86" eb="88">
      <t>タイセイ</t>
    </rPh>
    <rPh sb="89" eb="90">
      <t>トトノ</t>
    </rPh>
    <rPh sb="101" eb="103">
      <t>ネンジ</t>
    </rPh>
    <rPh sb="108" eb="110">
      <t>リシュウ</t>
    </rPh>
    <rPh sb="110" eb="112">
      <t>カノウ</t>
    </rPh>
    <rPh sb="117" eb="118">
      <t>モウ</t>
    </rPh>
    <rPh sb="123" eb="125">
      <t>ソツギョウ</t>
    </rPh>
    <rPh sb="128" eb="129">
      <t>ヒロ</t>
    </rPh>
    <rPh sb="130" eb="132">
      <t>リシュウ</t>
    </rPh>
    <rPh sb="133" eb="135">
      <t>キカイ</t>
    </rPh>
    <rPh sb="136" eb="138">
      <t>テイキョウ</t>
    </rPh>
    <phoneticPr fontId="1"/>
  </si>
  <si>
    <t>全学的な履修者数、履修率向上に向けた取り組みとしては、「デジタル社会の基礎知識」科目は全学共通科目全学基礎科目（専門基礎選択必修科目）として、1年次に配当し、合計8コマを同じ内容の科目として開講し、1年次生全員が受講できる体制を整えている。学生が履修すべき曜日時限を指定することにより、適正人数での受講ができるように工夫を施している。
今後、履修証明のデジタルバッジを発行することで、さらなる履修率の向上が期待できる。今後も、教務委員会数理・DS・AI教育専門部会の運営により、専門領域に特化したカリキュラム検討ワーキンググループを定期的に開催し、学生にとって魅力的な教育プログラムを構成するために、日進月歩の技術革新に対応した数理・データサイエンス・AI関連教育の充実を図っていく。</t>
    <rPh sb="0" eb="3">
      <t>ゼンガクテキ</t>
    </rPh>
    <rPh sb="4" eb="8">
      <t>リシュウシャスウ</t>
    </rPh>
    <rPh sb="9" eb="12">
      <t>リシュウリツ</t>
    </rPh>
    <rPh sb="12" eb="14">
      <t>コウジョウ</t>
    </rPh>
    <rPh sb="15" eb="16">
      <t>ム</t>
    </rPh>
    <rPh sb="18" eb="19">
      <t>ト</t>
    </rPh>
    <rPh sb="20" eb="21">
      <t>ク</t>
    </rPh>
    <phoneticPr fontId="1"/>
  </si>
  <si>
    <t>教育審議会／教務委員会／数理・データサイエンス・AI専門部会</t>
    <rPh sb="0" eb="2">
      <t>キョウイク</t>
    </rPh>
    <rPh sb="2" eb="5">
      <t>シンギカイ</t>
    </rPh>
    <rPh sb="6" eb="8">
      <t>キョウム</t>
    </rPh>
    <rPh sb="8" eb="11">
      <t>イインカイ</t>
    </rPh>
    <rPh sb="12" eb="14">
      <t>スウリ</t>
    </rPh>
    <rPh sb="26" eb="28">
      <t>センモン</t>
    </rPh>
    <rPh sb="28" eb="30">
      <t>ブカイ</t>
    </rPh>
    <phoneticPr fontId="1"/>
  </si>
  <si>
    <t>学長、教育審議会議長</t>
    <rPh sb="0" eb="2">
      <t>ガクチョウ</t>
    </rPh>
    <rPh sb="3" eb="5">
      <t>キョウイク</t>
    </rPh>
    <rPh sb="5" eb="8">
      <t>シンギカイ</t>
    </rPh>
    <rPh sb="8" eb="10">
      <t>ギチョウ</t>
    </rPh>
    <phoneticPr fontId="1"/>
  </si>
  <si>
    <t>全学基礎科目・専門基礎「デジタル社会の基礎知識」2単位を取得すること。</t>
    <rPh sb="0" eb="2">
      <t>ゼンガク</t>
    </rPh>
    <rPh sb="2" eb="6">
      <t>キソカモク</t>
    </rPh>
    <rPh sb="7" eb="11">
      <t>センモンキソ</t>
    </rPh>
    <rPh sb="16" eb="18">
      <t>シャカイ</t>
    </rPh>
    <rPh sb="19" eb="23">
      <t>キソチシキ</t>
    </rPh>
    <rPh sb="25" eb="27">
      <t>タンイ</t>
    </rPh>
    <rPh sb="28" eb="30">
      <t>シュトク</t>
    </rPh>
    <phoneticPr fontId="1"/>
  </si>
  <si>
    <t>教務委員会下の数理・データサイエンス・AI教育専門部会により、本プログラムの履修者数・履修率の向上に向けた計画、学部・学科に関係なく希望する学生全員が受講可能となるような体制・取り組み、できる限り多くの学生が履修できるような具体的な周知方法・取り組み、サポート体制の構築、授業時間内外で学習指導、質問を受け付ける具体的な仕組みについて検討、改善を行う。また、本学の情報処理教育全般の改善、進化および自己点検を行う。</t>
    <rPh sb="0" eb="5">
      <t>キョウムイインカイ</t>
    </rPh>
    <rPh sb="5" eb="6">
      <t>シタ</t>
    </rPh>
    <rPh sb="7" eb="9">
      <t>スウリ</t>
    </rPh>
    <rPh sb="21" eb="27">
      <t>キョウイクセンモンブカイ</t>
    </rPh>
    <rPh sb="31" eb="32">
      <t>ホン</t>
    </rPh>
    <rPh sb="38" eb="42">
      <t>リシュウシャスウ</t>
    </rPh>
    <rPh sb="43" eb="46">
      <t>リシュウリツ</t>
    </rPh>
    <rPh sb="47" eb="49">
      <t>コウジョウ</t>
    </rPh>
    <rPh sb="50" eb="51">
      <t>ム</t>
    </rPh>
    <rPh sb="53" eb="55">
      <t>ケイカク</t>
    </rPh>
    <rPh sb="56" eb="58">
      <t>ガクブ</t>
    </rPh>
    <rPh sb="59" eb="61">
      <t>ガッカ</t>
    </rPh>
    <rPh sb="62" eb="64">
      <t>カンケイ</t>
    </rPh>
    <rPh sb="66" eb="68">
      <t>キボウ</t>
    </rPh>
    <rPh sb="70" eb="74">
      <t>ガクセイゼンイン</t>
    </rPh>
    <rPh sb="75" eb="79">
      <t>ジュコウカノウ</t>
    </rPh>
    <rPh sb="85" eb="87">
      <t>タイセイ</t>
    </rPh>
    <rPh sb="88" eb="89">
      <t>ト</t>
    </rPh>
    <rPh sb="90" eb="91">
      <t>ク</t>
    </rPh>
    <rPh sb="96" eb="97">
      <t>カギ</t>
    </rPh>
    <rPh sb="98" eb="99">
      <t>オオ</t>
    </rPh>
    <rPh sb="101" eb="103">
      <t>ガクセイ</t>
    </rPh>
    <rPh sb="104" eb="106">
      <t>リシュウ</t>
    </rPh>
    <rPh sb="112" eb="115">
      <t>グタイテキ</t>
    </rPh>
    <rPh sb="116" eb="120">
      <t>シュウチホウホウ</t>
    </rPh>
    <rPh sb="121" eb="122">
      <t>ト</t>
    </rPh>
    <rPh sb="123" eb="124">
      <t>ク</t>
    </rPh>
    <rPh sb="130" eb="132">
      <t>タイセイ</t>
    </rPh>
    <rPh sb="133" eb="135">
      <t>コウチク</t>
    </rPh>
    <rPh sb="136" eb="142">
      <t>ジュギョウジカンナイガイ</t>
    </rPh>
    <rPh sb="143" eb="147">
      <t>ガクシュウシドウ</t>
    </rPh>
    <rPh sb="148" eb="150">
      <t>シツモン</t>
    </rPh>
    <rPh sb="151" eb="152">
      <t>ウ</t>
    </rPh>
    <rPh sb="153" eb="154">
      <t>ツ</t>
    </rPh>
    <rPh sb="156" eb="159">
      <t>グタイテキ</t>
    </rPh>
    <rPh sb="160" eb="162">
      <t>シク</t>
    </rPh>
    <rPh sb="167" eb="169">
      <t>ケントウ</t>
    </rPh>
    <rPh sb="170" eb="172">
      <t>カイゼン</t>
    </rPh>
    <rPh sb="173" eb="174">
      <t>オコナ</t>
    </rPh>
    <rPh sb="179" eb="181">
      <t>ホンガク</t>
    </rPh>
    <rPh sb="182" eb="188">
      <t>ジョウホウショリキョウイク</t>
    </rPh>
    <rPh sb="188" eb="190">
      <t>ゼンパン</t>
    </rPh>
    <rPh sb="191" eb="193">
      <t>カイゼン</t>
    </rPh>
    <rPh sb="194" eb="196">
      <t>シンカ</t>
    </rPh>
    <rPh sb="199" eb="203">
      <t>ジコテンケン</t>
    </rPh>
    <rPh sb="204" eb="205">
      <t>オコナ</t>
    </rPh>
    <phoneticPr fontId="1"/>
  </si>
  <si>
    <t>・教務委員長（数理・データサイエンス・AI教育専門部会長
　　流通科学大学　副学長・商学部経営学科　教授　福田司文
・高等教育推進センター長
　　流通科学大学　商学部　 マーケティング学科　教授　南木睦彦 
・流通科学大学教務部長　柴田智英
・その他、数理・データサイエンス・AI教育専門部会長が指名する者
　　流通科学大学商学部　商学部長　教授　持田信治
　　流通科学大学経済学部　経済情報学科　准教授　関　陽
　　流通科学大学商学部　マーケティング学科　特任講師　宇佐美美紀子
　　流通科学大学商学部　経営学科　講師　森口文博
　　流通科学大学商学部　経営学科　講師　保田　洋
　　流通科学大学経済学部　経済情報学科　准教授　吉川　満
　　流通科学大学教務部次長　近藤　敦
　　流通科学大学教務部係長　横山　靖弘　
　　流通科学大学情報システム室担当　操野祐典</t>
    <rPh sb="1" eb="6">
      <t>キョウムイインチョウ</t>
    </rPh>
    <rPh sb="7" eb="9">
      <t>スウリ</t>
    </rPh>
    <rPh sb="21" eb="23">
      <t>キョウイク</t>
    </rPh>
    <rPh sb="23" eb="28">
      <t>センモンブカイチョウ</t>
    </rPh>
    <rPh sb="31" eb="37">
      <t>リュウツウカガクダイガク</t>
    </rPh>
    <rPh sb="38" eb="41">
      <t>フクガクチョウ</t>
    </rPh>
    <rPh sb="42" eb="45">
      <t>ショウガクブ</t>
    </rPh>
    <rPh sb="45" eb="49">
      <t>ケイエイガッカ</t>
    </rPh>
    <rPh sb="50" eb="52">
      <t>キョウジュ</t>
    </rPh>
    <rPh sb="53" eb="55">
      <t>フクダ</t>
    </rPh>
    <rPh sb="55" eb="56">
      <t>ツカサ</t>
    </rPh>
    <rPh sb="56" eb="57">
      <t>ブン</t>
    </rPh>
    <rPh sb="59" eb="63">
      <t>コウトウキョウイク</t>
    </rPh>
    <rPh sb="63" eb="65">
      <t>スイシン</t>
    </rPh>
    <rPh sb="69" eb="70">
      <t>チョウ</t>
    </rPh>
    <rPh sb="73" eb="79">
      <t>リュウツウカガクダイガク</t>
    </rPh>
    <rPh sb="80" eb="81">
      <t>ショウ</t>
    </rPh>
    <rPh sb="81" eb="83">
      <t>ガクブ</t>
    </rPh>
    <rPh sb="98" eb="100">
      <t>ミナミキ</t>
    </rPh>
    <rPh sb="100" eb="102">
      <t>ムツヒコ</t>
    </rPh>
    <rPh sb="105" eb="111">
      <t>リュウツウカガクダイガク</t>
    </rPh>
    <rPh sb="111" eb="115">
      <t>キョウムブチョウ</t>
    </rPh>
    <rPh sb="116" eb="118">
      <t>シバタ</t>
    </rPh>
    <rPh sb="118" eb="120">
      <t>トモヒデ</t>
    </rPh>
    <rPh sb="124" eb="125">
      <t>タ</t>
    </rPh>
    <rPh sb="126" eb="128">
      <t>スウリ</t>
    </rPh>
    <rPh sb="140" eb="142">
      <t>キョウイク</t>
    </rPh>
    <rPh sb="142" eb="147">
      <t>センモンブカイチョウ</t>
    </rPh>
    <rPh sb="148" eb="150">
      <t>シメイ</t>
    </rPh>
    <rPh sb="152" eb="153">
      <t>モノ</t>
    </rPh>
    <rPh sb="181" eb="187">
      <t>リュウツウカガクダイガク</t>
    </rPh>
    <rPh sb="187" eb="191">
      <t>ケイザイガクブ</t>
    </rPh>
    <rPh sb="192" eb="198">
      <t>ケイザイジョウホウガッカ</t>
    </rPh>
    <rPh sb="199" eb="202">
      <t>ジュンキョウジュ</t>
    </rPh>
    <rPh sb="203" eb="204">
      <t>セキ</t>
    </rPh>
    <rPh sb="209" eb="215">
      <t>リュウツウカガクダイガク</t>
    </rPh>
    <rPh sb="215" eb="218">
      <t>ショウガクブ</t>
    </rPh>
    <rPh sb="226" eb="228">
      <t>ガッカ</t>
    </rPh>
    <rPh sb="229" eb="233">
      <t>トクニンコウシ</t>
    </rPh>
    <rPh sb="234" eb="237">
      <t>ウサミ</t>
    </rPh>
    <rPh sb="237" eb="240">
      <t>ミキコ</t>
    </rPh>
    <rPh sb="243" eb="249">
      <t>リュウツウカガクダイガク</t>
    </rPh>
    <rPh sb="249" eb="252">
      <t>ショウガクブ</t>
    </rPh>
    <rPh sb="253" eb="257">
      <t>ケイエイガッカ</t>
    </rPh>
    <rPh sb="258" eb="260">
      <t>コウシ</t>
    </rPh>
    <rPh sb="261" eb="263">
      <t>モリグチ</t>
    </rPh>
    <rPh sb="263" eb="265">
      <t>フミヒロ</t>
    </rPh>
    <rPh sb="268" eb="277">
      <t>リュウツウカガクダイガクショウガクブ</t>
    </rPh>
    <rPh sb="278" eb="282">
      <t>ケイエイガッカ</t>
    </rPh>
    <rPh sb="283" eb="285">
      <t>コウシ</t>
    </rPh>
    <rPh sb="286" eb="288">
      <t>ヤスダ</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</si>
  <si>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</si>
  <si>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毎年、全学生に配布している履修の手引きにおいて、「デジタル社会の基礎知識」のプログラムについて掲載している。また、学年別に実施している教務ガイダンスの中で、本プログラムについて説明し、履修を促している。適宜、授業内においても本プログラムについて紹介、説明することで、学生がプログラムの趣旨、内容を理解し、履修するような周知を行っている。
その他、履修要項、時間割表。履修管理システム等を用いて、履修に必要な情報が確認できるようにしていることに加え、大学のHPでも本プログラムの趣旨や内容を発信している（https://www.umds.ac.jp/facility/data-science/）。</t>
    <rPh sb="0" eb="2">
      <t>マイトシ</t>
    </rPh>
    <rPh sb="3" eb="6">
      <t>ゼンガクセイ</t>
    </rPh>
    <rPh sb="7" eb="9">
      <t>ハイフ</t>
    </rPh>
    <rPh sb="13" eb="15">
      <t>リシュウ</t>
    </rPh>
    <rPh sb="16" eb="18">
      <t>テビ</t>
    </rPh>
    <rPh sb="29" eb="31">
      <t>シャカイ</t>
    </rPh>
    <rPh sb="32" eb="36">
      <t>キソチシキ</t>
    </rPh>
    <rPh sb="47" eb="49">
      <t>ケイサイ</t>
    </rPh>
    <rPh sb="57" eb="60">
      <t>ガクネンベツ</t>
    </rPh>
    <rPh sb="61" eb="63">
      <t>ジッシ</t>
    </rPh>
    <rPh sb="67" eb="69">
      <t>キョウム</t>
    </rPh>
    <rPh sb="75" eb="76">
      <t>ナカ</t>
    </rPh>
    <rPh sb="78" eb="79">
      <t>ホン</t>
    </rPh>
    <rPh sb="88" eb="90">
      <t>セツメイ</t>
    </rPh>
    <rPh sb="92" eb="94">
      <t>リシュウ</t>
    </rPh>
    <rPh sb="95" eb="96">
      <t>ウナガ</t>
    </rPh>
    <rPh sb="101" eb="103">
      <t>テキギ</t>
    </rPh>
    <rPh sb="104" eb="107">
      <t>ジュギョウナイ</t>
    </rPh>
    <rPh sb="112" eb="113">
      <t>ホン</t>
    </rPh>
    <rPh sb="122" eb="124">
      <t>ショウカイ</t>
    </rPh>
    <rPh sb="125" eb="127">
      <t>セツメイ</t>
    </rPh>
    <rPh sb="133" eb="135">
      <t>ガクセイ</t>
    </rPh>
    <rPh sb="142" eb="144">
      <t>シュシ</t>
    </rPh>
    <rPh sb="145" eb="147">
      <t>ナイヨウ</t>
    </rPh>
    <rPh sb="148" eb="150">
      <t>リカイ</t>
    </rPh>
    <rPh sb="152" eb="154">
      <t>リシュウ</t>
    </rPh>
    <rPh sb="159" eb="161">
      <t>シュウチ</t>
    </rPh>
    <rPh sb="162" eb="163">
      <t>オコナ</t>
    </rPh>
    <rPh sb="171" eb="172">
      <t>タ</t>
    </rPh>
    <rPh sb="173" eb="177">
      <t>リシュウヨウコウ</t>
    </rPh>
    <rPh sb="178" eb="182">
      <t>ジカンワリヒョウ</t>
    </rPh>
    <rPh sb="183" eb="187">
      <t>リシュウカンリ</t>
    </rPh>
    <rPh sb="191" eb="192">
      <t>トウ</t>
    </rPh>
    <rPh sb="193" eb="194">
      <t>モチ</t>
    </rPh>
    <rPh sb="197" eb="199">
      <t>リシュウ</t>
    </rPh>
    <rPh sb="200" eb="202">
      <t>ヒツヨウ</t>
    </rPh>
    <rPh sb="203" eb="205">
      <t>ジョウホウ</t>
    </rPh>
    <rPh sb="206" eb="208">
      <t>カクニン</t>
    </rPh>
    <rPh sb="221" eb="222">
      <t>クワ</t>
    </rPh>
    <rPh sb="224" eb="226">
      <t>ダイガク</t>
    </rPh>
    <rPh sb="231" eb="232">
      <t>ホン</t>
    </rPh>
    <rPh sb="238" eb="240">
      <t>シュシ</t>
    </rPh>
    <rPh sb="241" eb="243">
      <t>ナイヨウ</t>
    </rPh>
    <rPh sb="244" eb="246">
      <t>ハッシン</t>
    </rPh>
    <phoneticPr fontId="1"/>
  </si>
  <si>
    <t>専任の指導教員を配置して、学生の履修や修学についての相談を受け付けている。また教務部において、履修登録のサポートを行っている。
学内ポータルサイトや、学修支援システムの使用方法、ネットワーク設定等のサポートを行い、円滑に学修をすすめられる体制を整えている。
学内にメディアセンターおよびコンピューター演習室合わせて約４６０台の常設PCを完備しており、予習・復習・レポート作成が可能となっており、オンデマンド講義の視聴も可能である。
また、図書館において関連分野の学生向け書籍を整備し、プログラミング体験コーナーを設けるなど、学生の興味・関心を高める取り組みを行い、修得をサポートしている。</t>
    <rPh sb="0" eb="2">
      <t>センニン</t>
    </rPh>
    <rPh sb="3" eb="7">
      <t>シドウキョウイン</t>
    </rPh>
    <rPh sb="8" eb="10">
      <t>ハイチ</t>
    </rPh>
    <rPh sb="13" eb="15">
      <t>ガクセイ</t>
    </rPh>
    <rPh sb="16" eb="18">
      <t>リシュウ</t>
    </rPh>
    <rPh sb="19" eb="21">
      <t>シュウガク</t>
    </rPh>
    <rPh sb="26" eb="28">
      <t>ソウダン</t>
    </rPh>
    <rPh sb="29" eb="30">
      <t>ウ</t>
    </rPh>
    <rPh sb="31" eb="32">
      <t>ツ</t>
    </rPh>
    <rPh sb="39" eb="42">
      <t>キョウムブ</t>
    </rPh>
    <rPh sb="47" eb="49">
      <t>リシュウ</t>
    </rPh>
    <rPh sb="49" eb="51">
      <t>トウロク</t>
    </rPh>
    <rPh sb="57" eb="58">
      <t>オコナ</t>
    </rPh>
    <rPh sb="64" eb="66">
      <t>ガクナイ</t>
    </rPh>
    <rPh sb="75" eb="77">
      <t>ガクシュウ</t>
    </rPh>
    <rPh sb="77" eb="79">
      <t>シエン</t>
    </rPh>
    <rPh sb="84" eb="88">
      <t>シヨウホウホウ</t>
    </rPh>
    <rPh sb="95" eb="97">
      <t>セッテイ</t>
    </rPh>
    <rPh sb="97" eb="98">
      <t>トウ</t>
    </rPh>
    <rPh sb="104" eb="105">
      <t>オコナ</t>
    </rPh>
    <rPh sb="107" eb="109">
      <t>エンカツ</t>
    </rPh>
    <rPh sb="110" eb="112">
      <t>ガクシュウ</t>
    </rPh>
    <rPh sb="119" eb="121">
      <t>タイセイ</t>
    </rPh>
    <rPh sb="122" eb="123">
      <t>トトノ</t>
    </rPh>
    <rPh sb="129" eb="131">
      <t>ガクナイ</t>
    </rPh>
    <rPh sb="150" eb="153">
      <t>エンシュウシツ</t>
    </rPh>
    <rPh sb="153" eb="154">
      <t>ア</t>
    </rPh>
    <rPh sb="157" eb="158">
      <t>ヤク</t>
    </rPh>
    <rPh sb="161" eb="162">
      <t>ダイ</t>
    </rPh>
    <rPh sb="163" eb="165">
      <t>ジョウセツ</t>
    </rPh>
    <rPh sb="168" eb="170">
      <t>カンビ</t>
    </rPh>
    <rPh sb="175" eb="177">
      <t>ヨシュウ</t>
    </rPh>
    <rPh sb="178" eb="180">
      <t>フクシュウ</t>
    </rPh>
    <rPh sb="185" eb="187">
      <t>サクセイ</t>
    </rPh>
    <rPh sb="188" eb="190">
      <t>カノウ</t>
    </rPh>
    <rPh sb="203" eb="205">
      <t>コウギ</t>
    </rPh>
    <rPh sb="206" eb="208">
      <t>シチョウ</t>
    </rPh>
    <rPh sb="209" eb="211">
      <t>カノウ</t>
    </rPh>
    <rPh sb="219" eb="222">
      <t>トショカン</t>
    </rPh>
    <rPh sb="226" eb="230">
      <t>カンレンブンヤ</t>
    </rPh>
    <rPh sb="231" eb="234">
      <t>ガクセイム</t>
    </rPh>
    <rPh sb="235" eb="237">
      <t>ショセキ</t>
    </rPh>
    <rPh sb="238" eb="240">
      <t>セイビ</t>
    </rPh>
    <rPh sb="249" eb="251">
      <t>タイケン</t>
    </rPh>
    <rPh sb="256" eb="257">
      <t>モウ</t>
    </rPh>
    <rPh sb="262" eb="264">
      <t>ガクセイ</t>
    </rPh>
    <rPh sb="265" eb="267">
      <t>キョウミ</t>
    </rPh>
    <rPh sb="268" eb="270">
      <t>カンシン</t>
    </rPh>
    <rPh sb="271" eb="272">
      <t>タカ</t>
    </rPh>
    <rPh sb="274" eb="275">
      <t>ト</t>
    </rPh>
    <rPh sb="276" eb="277">
      <t>ク</t>
    </rPh>
    <rPh sb="279" eb="280">
      <t>オコナ</t>
    </rPh>
    <rPh sb="282" eb="284">
      <t>シュウトク</t>
    </rPh>
    <phoneticPr fontId="1"/>
  </si>
  <si>
    <t>本教育プログラム開始初年度である2022年度の「デジタル社会の基礎知識」の履修者は６２９名であり、このうち修了した学生は４８４名であった。履修者の学部別の内訳は、商学部２９９名、経済学部１６３名、人間社会学部１６７名であった。対象としたすべての学部の学生から本教育プログラムの履修があったことがわかり、概ね成果が上げられた。また、学内ポータルサイトおよびマイクロソフト社Office365のTeams、Formsやクリッカーｒｅｓｐｏｎ等を活用し、履修者の課題提出状況は取りまとめられている。さらに、履修者の授業への出席状況は学内の教務システムにて管理され、教員にその状況は共有されている。修得状況に課題のある学生に対しては、教員のオフィスアワーを活用してフォローできる体制を構築している。</t>
    <rPh sb="0" eb="3">
      <t>ホンキョウイク</t>
    </rPh>
    <rPh sb="8" eb="10">
      <t>カイシ</t>
    </rPh>
    <rPh sb="10" eb="13">
      <t>ショネンド</t>
    </rPh>
    <rPh sb="20" eb="22">
      <t>ネンド</t>
    </rPh>
    <rPh sb="28" eb="30">
      <t>シャカイ</t>
    </rPh>
    <rPh sb="31" eb="33">
      <t>キソ</t>
    </rPh>
    <rPh sb="33" eb="35">
      <t>チシキ</t>
    </rPh>
    <rPh sb="37" eb="40">
      <t>リシュウシャ</t>
    </rPh>
    <rPh sb="44" eb="45">
      <t>メイ</t>
    </rPh>
    <rPh sb="53" eb="55">
      <t>シュウリョウ</t>
    </rPh>
    <rPh sb="57" eb="59">
      <t>ガクセイ</t>
    </rPh>
    <rPh sb="63" eb="64">
      <t>メイ</t>
    </rPh>
    <rPh sb="69" eb="72">
      <t>リシュウシャ</t>
    </rPh>
    <rPh sb="73" eb="76">
      <t>ガクブベツ</t>
    </rPh>
    <rPh sb="77" eb="79">
      <t>ウチワケ</t>
    </rPh>
    <rPh sb="81" eb="84">
      <t>ショウガクブ</t>
    </rPh>
    <rPh sb="87" eb="88">
      <t>メイ</t>
    </rPh>
    <rPh sb="89" eb="93">
      <t>ケイザイガクブ</t>
    </rPh>
    <rPh sb="96" eb="97">
      <t>メイ</t>
    </rPh>
    <rPh sb="98" eb="104">
      <t>ニンゲンシャカイガクブ</t>
    </rPh>
    <rPh sb="107" eb="108">
      <t>メイ</t>
    </rPh>
    <rPh sb="113" eb="115">
      <t>タイショウ</t>
    </rPh>
    <rPh sb="122" eb="124">
      <t>ガクブ</t>
    </rPh>
    <rPh sb="125" eb="127">
      <t>ガクセイ</t>
    </rPh>
    <rPh sb="129" eb="132">
      <t>ホンキョウイク</t>
    </rPh>
    <rPh sb="138" eb="140">
      <t>リシュウ</t>
    </rPh>
    <rPh sb="151" eb="152">
      <t>オオム</t>
    </rPh>
    <rPh sb="153" eb="155">
      <t>セイカ</t>
    </rPh>
    <rPh sb="156" eb="157">
      <t>ア</t>
    </rPh>
    <rPh sb="165" eb="167">
      <t>ガクナイ</t>
    </rPh>
    <rPh sb="184" eb="185">
      <t>シャ</t>
    </rPh>
    <rPh sb="218" eb="219">
      <t>トウ</t>
    </rPh>
    <rPh sb="220" eb="222">
      <t>カツヨウ</t>
    </rPh>
    <rPh sb="224" eb="227">
      <t>リシュウシャ</t>
    </rPh>
    <rPh sb="228" eb="234">
      <t>カダイテイシュツジョウキョウ</t>
    </rPh>
    <rPh sb="235" eb="236">
      <t>ト</t>
    </rPh>
    <rPh sb="250" eb="253">
      <t>リシュウシャ</t>
    </rPh>
    <rPh sb="254" eb="256">
      <t>ジュギョウ</t>
    </rPh>
    <rPh sb="258" eb="262">
      <t>シュッセキジョウキョウ</t>
    </rPh>
    <rPh sb="263" eb="265">
      <t>ガクナイ</t>
    </rPh>
    <rPh sb="266" eb="268">
      <t>キョウム</t>
    </rPh>
    <rPh sb="274" eb="276">
      <t>カンリ</t>
    </rPh>
    <rPh sb="279" eb="281">
      <t>キョウイン</t>
    </rPh>
    <rPh sb="284" eb="286">
      <t>ジョウキョウ</t>
    </rPh>
    <rPh sb="287" eb="289">
      <t>キョウユウ</t>
    </rPh>
    <rPh sb="295" eb="299">
      <t>シュウトクジョウキョウ</t>
    </rPh>
    <rPh sb="300" eb="302">
      <t>カダイ</t>
    </rPh>
    <rPh sb="305" eb="307">
      <t>ガクセイ</t>
    </rPh>
    <rPh sb="308" eb="309">
      <t>タイ</t>
    </rPh>
    <rPh sb="313" eb="315">
      <t>キョウイン</t>
    </rPh>
    <rPh sb="324" eb="326">
      <t>カツヨウ</t>
    </rPh>
    <rPh sb="335" eb="337">
      <t>タイセイ</t>
    </rPh>
    <rPh sb="338" eb="340">
      <t>コウチク</t>
    </rPh>
    <phoneticPr fontId="1"/>
  </si>
  <si>
    <t>毎年、「授業改善アンケート」を年2回（7月、2月）実施しており、学生の理解度について確認している。具体的には、「あなたは講義概要（シラバス）記載の目標に到達したと思いますか？」という項目に対して「そう思う」「どちらかといえばそう思う」「どちらともいえない」「どちらかといえばそう思わない」「そう思わない」の5段階評価により、学生がそれぞれの科目の到達目標に対してどの程度達成できたと考えているのか確認している。
また、授業時においても、「授業改善アンケート」とは別に、初回授業と最終回授業でアンケートを実施し、5段階評価で確認している。具体的には、本プログラムの受講前後で、データリテラシーに関する意識がどのように変化したかを確認した。質問は合計10問で、1問は変化がなかったが、9問については受講前後で平均点が高まる結果となった。特に、「この授業によって、分析したデータを自分なりにまとめる力が身についたと思う」「この授業によって、まとめたデータを用いて、誰かに説明したり説得する力が身についたと思う 」という分析し、まとめることに対する平均点がそれぞれ0.77ポイント、0.59ポイント受講前後で大きく向上した。また、「この授業によって、なぜ大学が本授業の履修を勧めているのか、友人・知人等に説明することができる」という本プログラム開講の趣旨に関する質問についても、0.68ポイント受講前後で大きく向上する結果となり、学生にも本プログラム開講の趣旨が伝わったことが確認できた。</t>
    <rPh sb="0" eb="2">
      <t>マイトシ</t>
    </rPh>
    <rPh sb="4" eb="8">
      <t>ジュギョウカイゼン</t>
    </rPh>
    <rPh sb="15" eb="16">
      <t>ネン</t>
    </rPh>
    <rPh sb="17" eb="18">
      <t>カイ</t>
    </rPh>
    <rPh sb="20" eb="21">
      <t>ガツ</t>
    </rPh>
    <rPh sb="23" eb="24">
      <t>ガツ</t>
    </rPh>
    <rPh sb="25" eb="27">
      <t>ジッシ</t>
    </rPh>
    <rPh sb="32" eb="34">
      <t>ガクセイ</t>
    </rPh>
    <rPh sb="35" eb="38">
      <t>リカイド</t>
    </rPh>
    <rPh sb="42" eb="44">
      <t>カクニン</t>
    </rPh>
    <rPh sb="49" eb="52">
      <t>グタイテキ</t>
    </rPh>
    <rPh sb="60" eb="64">
      <t>コウギガイヨウ</t>
    </rPh>
    <rPh sb="70" eb="72">
      <t>キサイ</t>
    </rPh>
    <rPh sb="73" eb="75">
      <t>モクヒョウ</t>
    </rPh>
    <rPh sb="76" eb="78">
      <t>トウタツ</t>
    </rPh>
    <rPh sb="81" eb="82">
      <t>オモ</t>
    </rPh>
    <rPh sb="91" eb="93">
      <t>コウモク</t>
    </rPh>
    <rPh sb="94" eb="95">
      <t>タイ</t>
    </rPh>
    <rPh sb="100" eb="101">
      <t>オモ</t>
    </rPh>
    <rPh sb="114" eb="115">
      <t>オモ</t>
    </rPh>
    <rPh sb="139" eb="140">
      <t>オモ</t>
    </rPh>
    <rPh sb="147" eb="148">
      <t>オモ</t>
    </rPh>
    <rPh sb="154" eb="156">
      <t>ダンカイ</t>
    </rPh>
    <rPh sb="156" eb="158">
      <t>ヒョウカ</t>
    </rPh>
    <rPh sb="162" eb="164">
      <t>ガクセイ</t>
    </rPh>
    <rPh sb="170" eb="172">
      <t>カモク</t>
    </rPh>
    <rPh sb="173" eb="175">
      <t>トウタツ</t>
    </rPh>
    <rPh sb="175" eb="177">
      <t>モクヒョウ</t>
    </rPh>
    <rPh sb="178" eb="179">
      <t>タイ</t>
    </rPh>
    <rPh sb="183" eb="185">
      <t>テイド</t>
    </rPh>
    <rPh sb="185" eb="187">
      <t>タッセイ</t>
    </rPh>
    <rPh sb="191" eb="192">
      <t>カンガ</t>
    </rPh>
    <rPh sb="198" eb="200">
      <t>カクニン</t>
    </rPh>
    <rPh sb="209" eb="211">
      <t>コウギ</t>
    </rPh>
    <rPh sb="211" eb="212">
      <t>ジ</t>
    </rPh>
    <rPh sb="231" eb="232">
      <t>ベツ</t>
    </rPh>
    <rPh sb="234" eb="236">
      <t>ショカイ</t>
    </rPh>
    <rPh sb="236" eb="238">
      <t>ジュギョウ</t>
    </rPh>
    <rPh sb="239" eb="244">
      <t>サイシュウカイジュギョウ</t>
    </rPh>
    <rPh sb="251" eb="253">
      <t>ジッシ</t>
    </rPh>
    <rPh sb="268" eb="271">
      <t>グタイテキ</t>
    </rPh>
    <rPh sb="307" eb="309">
      <t>ヘンカ</t>
    </rPh>
    <rPh sb="313" eb="315">
      <t>カクニン</t>
    </rPh>
    <rPh sb="321" eb="323">
      <t>ゴウケイ</t>
    </rPh>
    <rPh sb="329" eb="330">
      <t>モン</t>
    </rPh>
    <rPh sb="331" eb="333">
      <t>ヘンカ</t>
    </rPh>
    <rPh sb="341" eb="342">
      <t>モン</t>
    </rPh>
    <rPh sb="347" eb="351">
      <t>ジュコウゼンゴ</t>
    </rPh>
    <rPh sb="352" eb="355">
      <t>ヘイキンテン</t>
    </rPh>
    <rPh sb="356" eb="357">
      <t>タカ</t>
    </rPh>
    <rPh sb="359" eb="361">
      <t>ケッカ</t>
    </rPh>
    <rPh sb="366" eb="367">
      <t>トク</t>
    </rPh>
    <rPh sb="456" eb="458">
      <t>ブンセキ</t>
    </rPh>
    <rPh sb="467" eb="468">
      <t>タイ</t>
    </rPh>
    <rPh sb="470" eb="473">
      <t>ヘイキンテン</t>
    </rPh>
    <rPh sb="500" eb="501">
      <t>オオ</t>
    </rPh>
    <rPh sb="503" eb="505">
      <t>コウジョウ</t>
    </rPh>
    <rPh sb="562" eb="563">
      <t>ホン</t>
    </rPh>
    <rPh sb="568" eb="570">
      <t>カイコウ</t>
    </rPh>
    <rPh sb="571" eb="573">
      <t>シュシ</t>
    </rPh>
    <rPh sb="574" eb="575">
      <t>カン</t>
    </rPh>
    <rPh sb="577" eb="579">
      <t>シツモン</t>
    </rPh>
    <rPh sb="593" eb="597">
      <t>ジュコウゼンゴ</t>
    </rPh>
    <rPh sb="598" eb="599">
      <t>オオ</t>
    </rPh>
    <rPh sb="601" eb="603">
      <t>コウジョウ</t>
    </rPh>
    <rPh sb="605" eb="607">
      <t>ケッカ</t>
    </rPh>
    <rPh sb="611" eb="613">
      <t>ガクセイ</t>
    </rPh>
    <rPh sb="615" eb="616">
      <t>ホン</t>
    </rPh>
    <rPh sb="621" eb="623">
      <t>カイコウ</t>
    </rPh>
    <rPh sb="624" eb="626">
      <t>シュシ</t>
    </rPh>
    <rPh sb="627" eb="628">
      <t>ツタ</t>
    </rPh>
    <rPh sb="634" eb="636">
      <t>カクニン</t>
    </rPh>
    <phoneticPr fontId="1"/>
  </si>
  <si>
    <t xml:space="preserve">本プログラムを担当する教員4名が分担して、数理・データサイエンス・ＡＩに関する知識・技能（リテラシーレベル）を盛り込んだ15回分のテキストを独自に作成している。4名の教員相互にテキストの内容・水準を検証したうえで、教科書として履修者全員に配布した。テキストは、学生にとって身近で分かりやすい事例やイラストを多く導入し、教員が兵庫県内に拠点を置く画像認識・AI・業務システム企業へ出向いて取材をおこない、資料提供を受けたものを取り入れるなど、学生の関心が高まる内容となるよう工夫した。
また、オンラインで視聴可能な動画教材として、本学商学部マーケティング学科教員による「流通・小売企業におけるAI活用の実例」、経済情報学科教員による「情報推薦システムの仕組み」、商学部経営学科教員による、兵庫県内に拠点を置く情報処理機器開発企業から資料提供を受けた「画像認識システムとその活用例」を作成した。授業時の課題提出物および学生による授業改善アンケート等から、学生の理解度を把握し、テキストおよび動画教材の見直し、講義の内容・実施方法の検討を行うこととしている。
本学では、全学的一斉授業公開制度を設けている。前・後期各セメスター内の約3週間を公開授業の推奨期間とし、教員相互に評価し合い授業改善を図っている。学生に親しみをもたせ、より分かりやすい授業となるよう、学内の連携を取り、企業等の協力を得ていく予定である。引き続き、FD活動を含めて、授業内容の水準の維持、向上に繋げていく。
</t>
    <rPh sb="603" eb="604">
      <t>ヒ</t>
    </rPh>
    <rPh sb="605" eb="606">
      <t>ツヅ</t>
    </rPh>
    <rPh sb="610" eb="612">
      <t>カツドウ</t>
    </rPh>
    <rPh sb="613" eb="614">
      <t>フク</t>
    </rPh>
    <rPh sb="617" eb="621">
      <t>ジュギョウナイヨウ</t>
    </rPh>
    <rPh sb="622" eb="624">
      <t>スイジュン</t>
    </rPh>
    <rPh sb="625" eb="627">
      <t>イジ</t>
    </rPh>
    <rPh sb="628" eb="630">
      <t>コウジョウ</t>
    </rPh>
    <rPh sb="631" eb="632">
      <t>ツナ</t>
    </rPh>
    <phoneticPr fontId="1"/>
  </si>
  <si>
    <t>流通科学大学教務委員会規程</t>
    <rPh sb="0" eb="6">
      <t>リュウツウカガクダイガク</t>
    </rPh>
    <rPh sb="6" eb="11">
      <t>キョウムイインカイ</t>
    </rPh>
    <rPh sb="11" eb="13">
      <t>キテイ</t>
    </rPh>
    <phoneticPr fontId="1"/>
  </si>
  <si>
    <t>・データサイエンス・AIが社会にもたらした変化について説明できる。
・データ・AI活用領域の広がりを理解し、データ・AIの活用事例およびデータ・AIを活用する価値を説明できる。
・データの特徴を読み解き，適切な可視化手法を選択し、他者にデータを説明できる。
・スプレッドシート等を用いて、小規模データの集計・加工ができる。
・データ駆動型社会におけるリスクについて理解し、データの利活用に当たり留意すべき事項について説明できる。
・情報資産を守るための留意事項、データ・AIを利活用する際に求められるモラルや倫理について理解する。</t>
    <rPh sb="41" eb="45">
      <t>カツヨウリョウイキ</t>
    </rPh>
    <rPh sb="46" eb="47">
      <t>ヒロ</t>
    </rPh>
    <rPh sb="50" eb="52">
      <t>リカイ</t>
    </rPh>
    <rPh sb="75" eb="77">
      <t>カツヨウ</t>
    </rPh>
    <rPh sb="79" eb="81">
      <t>カチ</t>
    </rPh>
    <rPh sb="82" eb="84">
      <t>セツメイ</t>
    </rPh>
    <rPh sb="102" eb="104">
      <t>テキセツ</t>
    </rPh>
    <rPh sb="105" eb="110">
      <t>カシカシュホウ</t>
    </rPh>
    <rPh sb="111" eb="113">
      <t>センタク</t>
    </rPh>
    <rPh sb="115" eb="117">
      <t>タシャ</t>
    </rPh>
    <rPh sb="122" eb="124">
      <t>セツメイ</t>
    </rPh>
    <rPh sb="138" eb="139">
      <t>トウ</t>
    </rPh>
    <rPh sb="140" eb="141">
      <t>モチ</t>
    </rPh>
    <rPh sb="144" eb="147">
      <t>ショウキボ</t>
    </rPh>
    <rPh sb="151" eb="153">
      <t>シュウケイ</t>
    </rPh>
    <rPh sb="154" eb="156">
      <t>カコウ</t>
    </rPh>
    <rPh sb="166" eb="171">
      <t>クドウガタシャカイ</t>
    </rPh>
    <rPh sb="182" eb="184">
      <t>リカイ</t>
    </rPh>
    <rPh sb="216" eb="220">
      <t>ジョウホウシサン</t>
    </rPh>
    <rPh sb="221" eb="222">
      <t>マモ</t>
    </rPh>
    <rPh sb="226" eb="228">
      <t>リュウイ</t>
    </rPh>
    <rPh sb="228" eb="230">
      <t>ジコウ</t>
    </rPh>
    <rPh sb="238" eb="241">
      <t>リカツヨウ</t>
    </rPh>
    <rPh sb="243" eb="244">
      <t>サイ</t>
    </rPh>
    <rPh sb="245" eb="246">
      <t>モト</t>
    </rPh>
    <rPh sb="254" eb="256">
      <t>リンリ</t>
    </rPh>
    <rPh sb="260" eb="262">
      <t>リカイ</t>
    </rPh>
    <phoneticPr fontId="1"/>
  </si>
  <si>
    <t>2-3. データを扱う
・オープンデータの利用
・表形式のデータ（リスト）
・データクレンジング
・データの集計（和、平均）
・データの抽出（AND/OR、複数条件）
・データの並び替え、ランキング　
※データ解析ツール（スプレッドシート）を用いた演習
・統計情報の正しい理解　「デジタル社会の基礎知識」（第11回）</t>
    <rPh sb="21" eb="23">
      <t>リヨウ</t>
    </rPh>
    <rPh sb="25" eb="26">
      <t>ヒョウ</t>
    </rPh>
    <rPh sb="26" eb="28">
      <t>ケイシキ</t>
    </rPh>
    <rPh sb="54" eb="56">
      <t>シュウケイ</t>
    </rPh>
    <rPh sb="57" eb="58">
      <t>ワ</t>
    </rPh>
    <rPh sb="59" eb="61">
      <t>ヘイキン</t>
    </rPh>
    <rPh sb="68" eb="70">
      <t>チュウシュツ</t>
    </rPh>
    <rPh sb="78" eb="82">
      <t>フクスウジョウケン</t>
    </rPh>
    <rPh sb="89" eb="90">
      <t>ナラ</t>
    </rPh>
    <rPh sb="91" eb="92">
      <t>カ</t>
    </rPh>
    <rPh sb="105" eb="107">
      <t>カイセキ</t>
    </rPh>
    <rPh sb="121" eb="122">
      <t>モチ</t>
    </rPh>
    <rPh sb="124" eb="126">
      <t>エンシュウ</t>
    </rPh>
    <phoneticPr fontId="1"/>
  </si>
  <si>
    <t>2-2. データを説明する
・グラフの種類と使い分け
・適切なデータ表現（棒グラフ、折線グラフ、散布図による関係性の可視化、複合グラフ）
・不適切なグラフ表現の例（不必要な視覚的要素）　
・データの可視化によって得られる新たな気づき、データの可視化事例の紹介（年代ごとのメディアの平均利用時間の推移、売上と天候・気温の関係性から）　「デジタル社会の基礎知識」（第9回）</t>
    <rPh sb="19" eb="21">
      <t>シュルイ</t>
    </rPh>
    <rPh sb="22" eb="23">
      <t>ツカ</t>
    </rPh>
    <rPh sb="24" eb="25">
      <t>ワ</t>
    </rPh>
    <rPh sb="28" eb="30">
      <t>テキセツ</t>
    </rPh>
    <rPh sb="34" eb="36">
      <t>ヒョウゲン</t>
    </rPh>
    <rPh sb="37" eb="38">
      <t>ボウ</t>
    </rPh>
    <rPh sb="42" eb="43">
      <t>オ</t>
    </rPh>
    <rPh sb="43" eb="44">
      <t>セン</t>
    </rPh>
    <rPh sb="48" eb="51">
      <t>サンプズ</t>
    </rPh>
    <rPh sb="54" eb="57">
      <t>カンケイセイ</t>
    </rPh>
    <rPh sb="58" eb="61">
      <t>カシカ</t>
    </rPh>
    <rPh sb="62" eb="64">
      <t>フクゴウ</t>
    </rPh>
    <rPh sb="99" eb="102">
      <t>カシカ</t>
    </rPh>
    <rPh sb="106" eb="107">
      <t>エ</t>
    </rPh>
    <rPh sb="110" eb="111">
      <t>アラ</t>
    </rPh>
    <rPh sb="113" eb="114">
      <t>キ</t>
    </rPh>
    <rPh sb="121" eb="124">
      <t>カシカ</t>
    </rPh>
    <rPh sb="124" eb="126">
      <t>ジレイ</t>
    </rPh>
    <rPh sb="127" eb="129">
      <t>ショウカイ</t>
    </rPh>
    <rPh sb="130" eb="132">
      <t>ネンダイ</t>
    </rPh>
    <rPh sb="150" eb="151">
      <t>ウ</t>
    </rPh>
    <rPh sb="151" eb="152">
      <t>ア</t>
    </rPh>
    <rPh sb="153" eb="155">
      <t>テンコウ</t>
    </rPh>
    <rPh sb="156" eb="158">
      <t>キオン</t>
    </rPh>
    <rPh sb="159" eb="161">
      <t>カンケイ</t>
    </rPh>
    <rPh sb="161" eb="162">
      <t>セイ</t>
    </rPh>
    <rPh sb="171" eb="173">
      <t>シャカイ</t>
    </rPh>
    <rPh sb="174" eb="178">
      <t>キソチシキ</t>
    </rPh>
    <rPh sb="180" eb="181">
      <t>ダイ</t>
    </rPh>
    <rPh sb="182" eb="183">
      <t>カイ</t>
    </rPh>
    <phoneticPr fontId="1"/>
  </si>
  <si>
    <t>2-1. データを読む
データ解析の手法
　・データの種類（量的変数と質的変数）　　
　・代表値（平均値、中央値、最頻値）の性質の違い　　
　・データの分布（度数とヒストグラム）　
　※スプレッドシートを用いた演習　「デジタル社会の基礎知識」（第8回）
　・クロス集計表（属性クロス集計、設問間クロス集計）
　・定量分析と定性分析、構造化データと非構造化データ
　・テキストマイニング　※ニュース記事、商品レビューなど身近な題材を用いた演習　
　・データのばらつき（分散と標準偏差、偏差値）　
　※スプレッドシートを用いた演習　「デジタル社会の基礎知識」（第10回）
　・共分散と相関係数　
　・相関と因果、疑似相関の例
　※スプレッドシートを用いた演習　「デジタル社会の基礎知識」（第12回）
　・母集団と標本抽出（全数調査（国勢調査）と標本調査（アンケート調査、世論調査）の違い）
　・単純無作為抽出、層別抽出、多段抽出の利用場面　「デジタル社会の基礎知識」（第13回）
統計情報の正しい理解　「デジタル社会の基礎知識」（第11回）</t>
    <rPh sb="9" eb="10">
      <t>ヨ</t>
    </rPh>
    <rPh sb="27" eb="29">
      <t>シュルイ</t>
    </rPh>
    <rPh sb="62" eb="64">
      <t>セイシツ</t>
    </rPh>
    <rPh sb="65" eb="66">
      <t>チガ</t>
    </rPh>
    <rPh sb="122" eb="123">
      <t>ダイ</t>
    </rPh>
    <rPh sb="380" eb="382">
      <t>チョウサ</t>
    </rPh>
    <rPh sb="383" eb="385">
      <t>ヨロン</t>
    </rPh>
    <rPh sb="438" eb="442">
      <t>トウケイジョウホウ</t>
    </rPh>
    <rPh sb="443" eb="444">
      <t>タダ</t>
    </rPh>
    <rPh sb="446" eb="448">
      <t>リカイ</t>
    </rPh>
    <rPh sb="454" eb="456">
      <t>シャカイ</t>
    </rPh>
    <rPh sb="457" eb="461">
      <t>キソチシキ</t>
    </rPh>
    <rPh sb="463" eb="464">
      <t>ダイ</t>
    </rPh>
    <rPh sb="466" eb="467">
      <t>カイ</t>
    </rPh>
    <phoneticPr fontId="1"/>
  </si>
  <si>
    <t>3-2. データを守る上での留意事項
情報資産のリスクと脅威
・情報資産を脅かす脅威と情報セキュリティレベル
・情報漏洩等によるセキュリティ事故の事例紹介　
・情報セキュリティの3要素（機密性、完全性、可用性）
・データの守秘（強いパスワード、暗号化と復号）
・個人識別符号と個人関連情報
・匿名加工情報と仮名加工情報　　「デジタル社会の基礎知識」　（第14回）</t>
    <rPh sb="43" eb="45">
      <t>ジョウホウ</t>
    </rPh>
    <rPh sb="114" eb="115">
      <t>ツヨ</t>
    </rPh>
    <phoneticPr fontId="1"/>
  </si>
  <si>
    <t>3-1. データ・AI利活用における留意事項
個人情報と情報資産の保護
・個人情報の第三者提供、オプトアウト
・個人情報保護法
・データ倫理（プライバシー保護、ねつ造・改ざん・盗用のリスク）
・EU一般データ保護規則（GDPR）、十分性認定、忘れられる権利　　「デジタル社会の基礎知識」　（第14回）
AI社会で求められる倫理観
・ELSI（Ethical,Legal and Social Issues）
・AI社会原則（Fairness公平性、Accountability説明責任、Transparency透明性、人間中心の判断）
・サンプリングバイアス、データバイアス、アルゴリズムバイアス、測定バイアス、確証バイアス、認知バイアス）
・AIサービスの責任論（自動運転、医療現場の例）
・データ・AI活用における負の事例紹介（ディープフェイクニュース、人材採用・翻訳ツールに見られる差別など）
※レポート課題　「デジタル社会の基礎知識」　（第15回）</t>
    <rPh sb="23" eb="27">
      <t>コジンジョウホウ</t>
    </rPh>
    <rPh sb="28" eb="32">
      <t>ジョウホウシサン</t>
    </rPh>
    <rPh sb="33" eb="35">
      <t>ホゴ</t>
    </rPh>
    <rPh sb="37" eb="41">
      <t>コジンジョウホウ</t>
    </rPh>
    <rPh sb="42" eb="47">
      <t>ダイサンシャテイキョウ</t>
    </rPh>
    <rPh sb="62" eb="63">
      <t>ホウ</t>
    </rPh>
    <rPh sb="68" eb="70">
      <t>リンリ</t>
    </rPh>
    <rPh sb="77" eb="79">
      <t>ホゴ</t>
    </rPh>
    <rPh sb="82" eb="83">
      <t>ゾウ</t>
    </rPh>
    <rPh sb="84" eb="85">
      <t>カイ</t>
    </rPh>
    <rPh sb="88" eb="90">
      <t>トウヨウ</t>
    </rPh>
    <rPh sb="99" eb="101">
      <t>イッパン</t>
    </rPh>
    <rPh sb="104" eb="108">
      <t>ホゴキソク</t>
    </rPh>
    <rPh sb="207" eb="209">
      <t>シャカイ</t>
    </rPh>
    <rPh sb="220" eb="223">
      <t>コウヘイセイ</t>
    </rPh>
    <rPh sb="238" eb="242">
      <t>セツメイセキニン</t>
    </rPh>
    <rPh sb="255" eb="258">
      <t>トウメイセイ</t>
    </rPh>
    <rPh sb="264" eb="266">
      <t>ハンダン</t>
    </rPh>
    <rPh sb="299" eb="301">
      <t>ソクテイ</t>
    </rPh>
    <rPh sb="306" eb="308">
      <t>カクショウ</t>
    </rPh>
    <rPh sb="313" eb="315">
      <t>ニンチ</t>
    </rPh>
    <rPh sb="363" eb="365">
      <t>ショウカイ</t>
    </rPh>
    <rPh sb="379" eb="383">
      <t>ジンザイサイヨウ</t>
    </rPh>
    <rPh sb="384" eb="386">
      <t>ホンヤク</t>
    </rPh>
    <rPh sb="390" eb="391">
      <t>ミ</t>
    </rPh>
    <rPh sb="394" eb="396">
      <t>サベツ</t>
    </rPh>
    <phoneticPr fontId="1"/>
  </si>
  <si>
    <t>1-5. データ・AI利活用の現場
・商品のレコメンデーションの仕組み
・流通業における顧客サービス
・製造、販促活動・マーケティングでの画像認識技術の活用例
※レポート課題　　「デジタル社会の基礎知識」　（第５回）
・製造、販売、小売業の現場での画像認識技術　
・小売、観光業、サービス業でのダイナミックプライシング
・交通インフラ建設でのデータ活用
・スポーツでの挙動のトラッキング
・医療・ヘルスケア分野でのAI・データの活用事例
※レポート課題　「デジタル社会の基礎知識」　（第6回）
・AIが導き出した結果の共有と伝達、社会の課題抽出と課題解決に向けた提案　「デジタル社会の基礎知識」（第7回）（第15回）</t>
    <rPh sb="52" eb="54">
      <t>セイゾウ</t>
    </rPh>
    <rPh sb="71" eb="73">
      <t>ニンシキ</t>
    </rPh>
    <rPh sb="110" eb="112">
      <t>セイゾウ</t>
    </rPh>
    <rPh sb="116" eb="119">
      <t>コウリギョウ</t>
    </rPh>
    <rPh sb="136" eb="139">
      <t>カンコウギョウ</t>
    </rPh>
    <rPh sb="144" eb="145">
      <t>ギョウ</t>
    </rPh>
    <rPh sb="161" eb="163">
      <t>コウツウ</t>
    </rPh>
    <rPh sb="167" eb="169">
      <t>ケンセツ</t>
    </rPh>
    <rPh sb="174" eb="176">
      <t>カツヨウ</t>
    </rPh>
    <rPh sb="184" eb="186">
      <t>キョドウ</t>
    </rPh>
    <rPh sb="195" eb="197">
      <t>イリョウ</t>
    </rPh>
    <rPh sb="203" eb="205">
      <t>ブンヤ</t>
    </rPh>
    <rPh sb="270" eb="272">
      <t>チュウシュツ</t>
    </rPh>
    <rPh sb="273" eb="275">
      <t>カダイ</t>
    </rPh>
    <phoneticPr fontId="1"/>
  </si>
  <si>
    <t>1-4. データ・AI利活用のための技術
・コンピュータプログラムとAIの違い
・特化型AIと汎用AI、身近なAIの活用例
・機械学習、深層学習
・強いAIと弱いAI（今のAIで出来ることと出来ないこと）
・製造、販売現場での画像認識技術　「デジタル社会の基礎知識」（第6回）
・スポーツでの挙動・軌跡の可視化などAI・データの活用例  「デジタル社会の基礎知識」（第5回）
・AIの浸透と社会の変化、AIとビッグデータ　「デジタル社会の基礎知識」（第7回）
・データの予測、シミュレーション（少子高齢化社会のデータから）　「デジタル社会の基礎知識」（第7回）　
・データ解析の手法（ABC分析：データ解析、RFM分析：グルーピング、バスケット分析：パターン発見）　「デジタル社会の基礎知識」（第12回）
・適切なデータ表現（棒グラフ、折線グラフ、散布図による関係性の可視化、複合グラフ）　「デジタル社会の基礎知識」（第9回）</t>
    <rPh sb="41" eb="44">
      <t>トッカガタ</t>
    </rPh>
    <rPh sb="47" eb="49">
      <t>ハンヨウ</t>
    </rPh>
    <rPh sb="52" eb="54">
      <t>ミヂカ</t>
    </rPh>
    <rPh sb="74" eb="75">
      <t>ツヨ</t>
    </rPh>
    <rPh sb="79" eb="80">
      <t>ヨワ</t>
    </rPh>
    <rPh sb="84" eb="85">
      <t>イマ</t>
    </rPh>
    <rPh sb="89" eb="91">
      <t>デキ</t>
    </rPh>
    <rPh sb="95" eb="97">
      <t>デキ</t>
    </rPh>
    <rPh sb="174" eb="176">
      <t>シャカイ</t>
    </rPh>
    <rPh sb="177" eb="181">
      <t>キソチシキ</t>
    </rPh>
    <rPh sb="183" eb="184">
      <t>ダイ</t>
    </rPh>
    <rPh sb="185" eb="186">
      <t>カイ</t>
    </rPh>
    <rPh sb="254" eb="256">
      <t>ヨソク</t>
    </rPh>
    <rPh sb="266" eb="271">
      <t>ショウシコウレイカ</t>
    </rPh>
    <rPh sb="271" eb="273">
      <t>シャカイ</t>
    </rPh>
    <rPh sb="305" eb="307">
      <t>カイセキ</t>
    </rPh>
    <rPh sb="308" eb="310">
      <t>シュホウ</t>
    </rPh>
    <rPh sb="314" eb="316">
      <t>ブンセキ</t>
    </rPh>
    <rPh sb="320" eb="322">
      <t>カイセキ</t>
    </rPh>
    <rPh sb="338" eb="340">
      <t>ブンセキ</t>
    </rPh>
    <rPh sb="345" eb="347">
      <t>ハッケン</t>
    </rPh>
    <phoneticPr fontId="1"/>
  </si>
  <si>
    <t>1-3. データ・AIの活用領域
・製造・販促活動・マーケティングでの画像認識技術の活用例　「デジタル社会の基礎知識」（第５回）
・小売、観光、サービス業でのダイナミックプライシング
・製造、販売、小売業の現場での画像認識技術　「デジタル社会の基礎知識」（第6回）
・位置情報と気象情報を用いた物流
・人の意思決定と判断支援、仮説検証、計画策定
・データ・AI活用領域の広がりを確かめる（日常生活でデータ・AIを活用している場面や身近な例を探索）
※レポート課題　「デジタル社会の基礎知識」（第7回）</t>
    <rPh sb="18" eb="20">
      <t>セイゾウ</t>
    </rPh>
    <rPh sb="69" eb="71">
      <t>カンコウ</t>
    </rPh>
    <rPh sb="76" eb="77">
      <t>ギョウ</t>
    </rPh>
    <rPh sb="93" eb="95">
      <t>セイゾウ</t>
    </rPh>
    <rPh sb="99" eb="102">
      <t>コウリギョウ</t>
    </rPh>
    <rPh sb="109" eb="111">
      <t>ニンシキ</t>
    </rPh>
    <rPh sb="147" eb="151">
      <t>カセツケンショウ</t>
    </rPh>
    <phoneticPr fontId="1"/>
  </si>
  <si>
    <t>1-2. 社会で活用されているデータ
・意図しない発信データの収集、人の行動ログデータ　
・モノが発信するデータの収集、機械の稼働ログデータ　「デジタル社会の基礎知識」（第3回）
・構造化データと非構造化データ（文章、画像/動画、音声/音楽）　「デジタル社会の基礎知識」（第4回）
・IoTとビッグデータ　「デジタル社会の基礎知識」（第4回）
・生活の中で目にするデータ活用（調査データ、観測データ、実験データ）　「デジタル社会の基礎知識」（第8回）
・オープンデータの利用　「デジタル社会の基礎知識」（第11回）</t>
    <rPh sb="20" eb="22">
      <t>イト</t>
    </rPh>
    <rPh sb="25" eb="27">
      <t>ハッシン</t>
    </rPh>
    <rPh sb="31" eb="33">
      <t>シュウシュウ</t>
    </rPh>
    <rPh sb="34" eb="35">
      <t>ヒト</t>
    </rPh>
    <rPh sb="36" eb="38">
      <t>コウドウ</t>
    </rPh>
    <rPh sb="57" eb="59">
      <t>シュウシュウ</t>
    </rPh>
    <rPh sb="60" eb="62">
      <t>キカイ</t>
    </rPh>
    <rPh sb="63" eb="65">
      <t>カドウ</t>
    </rPh>
    <rPh sb="85" eb="86">
      <t>ダイ</t>
    </rPh>
    <rPh sb="91" eb="94">
      <t>コウゾウカ</t>
    </rPh>
    <rPh sb="98" eb="102">
      <t>ヒコウゾウカ</t>
    </rPh>
    <rPh sb="106" eb="108">
      <t>ブンショウ</t>
    </rPh>
    <rPh sb="109" eb="111">
      <t>ガゾウ</t>
    </rPh>
    <rPh sb="112" eb="114">
      <t>ドウガ</t>
    </rPh>
    <rPh sb="115" eb="117">
      <t>オンセイ</t>
    </rPh>
    <rPh sb="118" eb="120">
      <t>オンガク</t>
    </rPh>
    <rPh sb="136" eb="137">
      <t>ダイ</t>
    </rPh>
    <rPh sb="188" eb="190">
      <t>チョウサ</t>
    </rPh>
    <rPh sb="194" eb="196">
      <t>カンソク</t>
    </rPh>
    <rPh sb="200" eb="202">
      <t>ジッケン</t>
    </rPh>
    <rPh sb="212" eb="214">
      <t>シャカイ</t>
    </rPh>
    <rPh sb="215" eb="219">
      <t>キソチシキ</t>
    </rPh>
    <rPh sb="221" eb="222">
      <t>ダイ</t>
    </rPh>
    <rPh sb="223" eb="224">
      <t>カイ</t>
    </rPh>
    <rPh sb="235" eb="237">
      <t>リヨウ</t>
    </rPh>
    <phoneticPr fontId="1"/>
  </si>
  <si>
    <t>1-6.データ・AI利活用の最新動向
AI等を活用した新しいビジネスモデル
・商品のレコメンデーション
・動画共有サイトでの推薦システム
・位置情報と気象情報を用いた物流
・AIの学習（教師あり、ディープラーニング、強化学習）　「デジタル社会の基礎知識」（第6回）</t>
    <rPh sb="21" eb="22">
      <t>トウ</t>
    </rPh>
    <rPh sb="23" eb="25">
      <t>カツヨウ</t>
    </rPh>
    <rPh sb="27" eb="28">
      <t>アタラ</t>
    </rPh>
    <rPh sb="53" eb="57">
      <t>ドウガキョウユウ</t>
    </rPh>
    <rPh sb="62" eb="64">
      <t>スイセン</t>
    </rPh>
    <phoneticPr fontId="1"/>
  </si>
  <si>
    <t>1-1.社会で起きている変化
・身近なコミュニケーションツール、仕事、商品サービスの変化
・計算機の処理性能の向上と通信ネットワークの向上、データ量の増加　「デジタル社会の基礎知識」（第1回）
・第4次産業革命、Society5.0、データ駆動型社会とライフスタイルの変化　「デジタル社会の基礎知識」（第2回）
・IoTが活かされる場面、ビッグデータ　「デジタル社会の基礎知識」（第4回）
・社会の課題解決につながるAI、ロボット技術の活用　「デジタル社会の基礎知識」（第7回）
・データを起点としたものの見方　「デジタル社会の基礎知識」（第8回）</t>
    <rPh sb="42" eb="44">
      <t>ヘンカ</t>
    </rPh>
    <rPh sb="46" eb="49">
      <t>ケイサンキ</t>
    </rPh>
    <rPh sb="55" eb="57">
      <t>コウジョウ</t>
    </rPh>
    <rPh sb="73" eb="74">
      <t>リョウ</t>
    </rPh>
    <rPh sb="75" eb="77">
      <t>ゾウカ</t>
    </rPh>
    <rPh sb="98" eb="99">
      <t>ダイ</t>
    </rPh>
    <rPh sb="100" eb="101">
      <t>ジ</t>
    </rPh>
    <rPh sb="101" eb="105">
      <t>サンギョウカクメイ</t>
    </rPh>
    <rPh sb="134" eb="136">
      <t>ヘンカ</t>
    </rPh>
    <rPh sb="201" eb="203">
      <t>カイケツ</t>
    </rPh>
    <rPh sb="245" eb="247">
      <t>キテン</t>
    </rPh>
    <rPh sb="253" eb="255">
      <t>ミカタ</t>
    </rPh>
    <rPh sb="270" eb="271">
      <t>ダイ</t>
    </rPh>
    <rPh sb="272" eb="273">
      <t>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</si>
</sst>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4"/>
      <color rgb="FFFF0000"/>
      <name val="ＭＳ Ｐゴシック"/>
      <family val="3"/>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6"/>
      <name val="ＭＳ Ｐゴシック"/>
      <family val="3"/>
      <charset val="128"/>
      <scheme val="minor"/>
    </font>
    <font>
      <sz val="12"/>
      <name val="ＭＳ Ｐゴシック"/>
      <family val="3"/>
      <charset val="128"/>
    </font>
    <font>
      <sz val="9"/>
      <name val="ＭＳ Ｐゴシック"/>
      <family val="3"/>
      <charset val="128"/>
    </font>
    <font>
      <sz val="10"/>
      <name val="ＭＳ Ｐゴシック"/>
      <family val="3"/>
      <charset val="128"/>
    </font>
    <font>
      <sz val="11"/>
      <name val="ＭＳ Ｐゴシック"/>
      <family val="3"/>
      <charset val="128"/>
    </font>
    <font>
      <sz val="14"/>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3" fillId="0" borderId="0" applyFont="0" applyFill="0" applyBorder="0" applyAlignment="0" applyProtection="0">
      <alignment vertical="center"/>
    </xf>
    <xf numFmtId="38" fontId="3" fillId="0" borderId="0" applyFont="0" applyFill="0" applyBorder="0" applyAlignment="0" applyProtection="0">
      <alignment vertical="center"/>
    </xf>
  </cellStyleXfs>
  <cellXfs count="279">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7" fillId="0" borderId="11" xfId="0" applyFont="1" applyBorder="1" applyAlignment="1">
      <alignment horizontal="center" vertical="center"/>
    </xf>
    <xf numFmtId="0" fontId="7" fillId="0" borderId="52" xfId="0" applyFont="1" applyBorder="1" applyAlignment="1">
      <alignment horizontal="center" vertical="center"/>
    </xf>
    <xf numFmtId="0" fontId="7"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0" xfId="0" applyFont="1" applyAlignment="1">
      <alignment horizontal="right" vertical="center"/>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9" fillId="0" borderId="5" xfId="2" applyFont="1" applyBorder="1" applyAlignment="1">
      <alignment vertical="center" shrinkToFit="1"/>
    </xf>
    <xf numFmtId="38" fontId="9" fillId="0" borderId="54" xfId="2" applyFont="1" applyBorder="1" applyAlignment="1">
      <alignment vertical="center" shrinkToFit="1"/>
    </xf>
    <xf numFmtId="38" fontId="9" fillId="0" borderId="30" xfId="2" applyFont="1" applyBorder="1" applyAlignment="1">
      <alignment vertical="center" shrinkToFit="1"/>
    </xf>
    <xf numFmtId="38" fontId="9" fillId="0" borderId="57" xfId="2" applyFont="1" applyBorder="1" applyAlignment="1">
      <alignment vertical="center" shrinkToFit="1"/>
    </xf>
    <xf numFmtId="38" fontId="9" fillId="0" borderId="55" xfId="2" applyFont="1" applyBorder="1" applyAlignment="1">
      <alignment vertical="center" shrinkToFit="1"/>
    </xf>
    <xf numFmtId="38" fontId="9" fillId="0" borderId="32" xfId="2" applyFont="1" applyBorder="1" applyAlignment="1">
      <alignment vertical="center" shrinkToFit="1"/>
    </xf>
    <xf numFmtId="0" fontId="9" fillId="0" borderId="0" xfId="0" applyFont="1">
      <alignment vertical="center"/>
    </xf>
    <xf numFmtId="0" fontId="9" fillId="0" borderId="0" xfId="0" applyFont="1" applyAlignment="1">
      <alignment horizontal="right" vertical="center"/>
    </xf>
    <xf numFmtId="0" fontId="10" fillId="0" borderId="0" xfId="0" applyFont="1">
      <alignment vertical="center"/>
    </xf>
    <xf numFmtId="0" fontId="9" fillId="0" borderId="1" xfId="0" applyFont="1" applyBorder="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vertical="center" wrapText="1"/>
    </xf>
    <xf numFmtId="0" fontId="9" fillId="0" borderId="0" xfId="0" applyFont="1" applyAlignment="1">
      <alignment vertical="top" wrapText="1"/>
    </xf>
    <xf numFmtId="0" fontId="12" fillId="0" borderId="0" xfId="0" applyFont="1">
      <alignment vertical="center"/>
    </xf>
    <xf numFmtId="0" fontId="10" fillId="0" borderId="0" xfId="0" applyFont="1" applyAlignment="1">
      <alignment horizontal="left" vertical="center"/>
    </xf>
    <xf numFmtId="0" fontId="12" fillId="0" borderId="0" xfId="0" applyFont="1" applyAlignment="1">
      <alignment vertical="top" wrapText="1"/>
    </xf>
    <xf numFmtId="0" fontId="9" fillId="0" borderId="1" xfId="0" applyFont="1" applyBorder="1" applyAlignment="1">
      <alignment horizontal="center" vertical="center" wrapText="1" shrinkToFit="1"/>
    </xf>
    <xf numFmtId="9" fontId="9" fillId="0" borderId="1" xfId="0" applyNumberFormat="1" applyFont="1" applyBorder="1" applyAlignment="1">
      <alignment horizontal="center" vertical="center" shrinkToFit="1"/>
    </xf>
    <xf numFmtId="9" fontId="9" fillId="0" borderId="0" xfId="1" applyFont="1" applyAlignment="1">
      <alignment horizontal="center" vertical="center"/>
    </xf>
    <xf numFmtId="0" fontId="9" fillId="0" borderId="1" xfId="0" applyFont="1" applyBorder="1" applyAlignment="1">
      <alignment horizontal="center" vertical="center" shrinkToFit="1"/>
    </xf>
    <xf numFmtId="176" fontId="9" fillId="0" borderId="1" xfId="0" applyNumberFormat="1" applyFont="1" applyBorder="1" applyAlignment="1">
      <alignment horizontal="center" vertical="center" shrinkToFit="1"/>
    </xf>
    <xf numFmtId="0" fontId="12" fillId="0" borderId="0" xfId="0" applyFont="1" applyAlignment="1">
      <alignment vertical="top" shrinkToFit="1"/>
    </xf>
    <xf numFmtId="0" fontId="12" fillId="0" borderId="0" xfId="0" applyFont="1" applyAlignment="1">
      <alignment vertical="center" wrapText="1"/>
    </xf>
    <xf numFmtId="0" fontId="9" fillId="0" borderId="1" xfId="0" applyFont="1" applyBorder="1" applyAlignment="1">
      <alignment horizontal="left" vertical="center"/>
    </xf>
    <xf numFmtId="0" fontId="9" fillId="2" borderId="5" xfId="0" applyFont="1" applyFill="1" applyBorder="1">
      <alignment vertical="center"/>
    </xf>
    <xf numFmtId="0" fontId="12" fillId="2" borderId="0" xfId="0" applyFont="1" applyFill="1" applyAlignment="1">
      <alignment vertical="top" wrapText="1"/>
    </xf>
    <xf numFmtId="0" fontId="12" fillId="2" borderId="10" xfId="0" applyFont="1" applyFill="1" applyBorder="1" applyAlignment="1">
      <alignment vertical="top" wrapText="1"/>
    </xf>
    <xf numFmtId="0" fontId="9" fillId="2" borderId="0" xfId="0" applyFont="1" applyFill="1">
      <alignment vertical="center"/>
    </xf>
    <xf numFmtId="0" fontId="12" fillId="2" borderId="5" xfId="0" applyFont="1" applyFill="1" applyBorder="1" applyAlignment="1">
      <alignment vertical="top" wrapText="1"/>
    </xf>
    <xf numFmtId="0" fontId="12" fillId="2" borderId="11" xfId="0" applyFont="1" applyFill="1" applyBorder="1" applyAlignment="1">
      <alignment vertical="top" wrapText="1"/>
    </xf>
    <xf numFmtId="0" fontId="12" fillId="2" borderId="42" xfId="0" applyFont="1" applyFill="1" applyBorder="1" applyAlignment="1">
      <alignment vertical="top" wrapText="1"/>
    </xf>
    <xf numFmtId="0" fontId="12" fillId="2" borderId="43" xfId="0" applyFont="1" applyFill="1" applyBorder="1" applyAlignment="1">
      <alignment vertical="top" wrapText="1"/>
    </xf>
    <xf numFmtId="0" fontId="12" fillId="2" borderId="42" xfId="0" applyFont="1" applyFill="1" applyBorder="1" applyAlignment="1">
      <alignment vertical="top" shrinkToFit="1"/>
    </xf>
    <xf numFmtId="0" fontId="12" fillId="2" borderId="43" xfId="0" applyFont="1" applyFill="1" applyBorder="1" applyAlignment="1">
      <alignment vertical="top" shrinkToFit="1"/>
    </xf>
    <xf numFmtId="0" fontId="14" fillId="0" borderId="0" xfId="0" applyFont="1">
      <alignment vertical="center"/>
    </xf>
    <xf numFmtId="49" fontId="15" fillId="0" borderId="47" xfId="0" applyNumberFormat="1" applyFont="1" applyBorder="1" applyAlignment="1">
      <alignment horizontal="center" vertical="center"/>
    </xf>
    <xf numFmtId="49" fontId="15" fillId="0" borderId="32" xfId="0" applyNumberFormat="1" applyFont="1" applyBorder="1" applyAlignment="1">
      <alignment horizontal="center" vertical="center"/>
    </xf>
    <xf numFmtId="49" fontId="15" fillId="0" borderId="44" xfId="0" applyNumberFormat="1" applyFont="1" applyBorder="1" applyAlignment="1">
      <alignment horizontal="center" vertical="center"/>
    </xf>
    <xf numFmtId="49" fontId="15" fillId="0" borderId="29" xfId="0" applyNumberFormat="1" applyFont="1" applyBorder="1" applyAlignment="1">
      <alignment horizontal="center" vertical="center"/>
    </xf>
    <xf numFmtId="49" fontId="15" fillId="0" borderId="48" xfId="0" applyNumberFormat="1" applyFont="1" applyBorder="1" applyAlignment="1">
      <alignment horizontal="center" vertical="center"/>
    </xf>
    <xf numFmtId="49" fontId="15" fillId="0" borderId="49" xfId="0" applyNumberFormat="1" applyFont="1" applyBorder="1" applyAlignment="1">
      <alignment horizontal="center" vertical="center"/>
    </xf>
    <xf numFmtId="0" fontId="14" fillId="0" borderId="0" xfId="0" applyFont="1" applyAlignment="1">
      <alignment horizontal="center" vertical="center" shrinkToFit="1"/>
    </xf>
    <xf numFmtId="0" fontId="14" fillId="0" borderId="0" xfId="0" applyFont="1" applyAlignment="1">
      <alignment vertical="center" shrinkToFit="1"/>
    </xf>
    <xf numFmtId="0" fontId="14" fillId="0" borderId="0" xfId="0" applyFont="1" applyAlignment="1">
      <alignment horizontal="center" vertical="center"/>
    </xf>
    <xf numFmtId="0" fontId="14" fillId="0" borderId="0" xfId="0" applyFont="1" applyAlignment="1">
      <alignment vertical="top" wrapText="1"/>
    </xf>
    <xf numFmtId="0" fontId="14" fillId="0" borderId="40" xfId="0" applyFont="1" applyBorder="1" applyAlignment="1">
      <alignment horizontal="center" vertical="center" shrinkToFit="1"/>
    </xf>
    <xf numFmtId="0" fontId="14" fillId="0" borderId="13" xfId="0" applyFont="1" applyBorder="1" applyAlignment="1">
      <alignment horizontal="center" vertical="center" shrinkToFit="1"/>
    </xf>
    <xf numFmtId="0" fontId="14" fillId="0" borderId="23" xfId="0" applyFont="1" applyBorder="1" applyAlignment="1">
      <alignment horizontal="center" vertical="center" shrinkToFit="1"/>
    </xf>
    <xf numFmtId="0" fontId="14" fillId="0" borderId="14" xfId="0" applyFont="1" applyBorder="1" applyAlignment="1">
      <alignment horizontal="center" vertical="center" shrinkToFit="1"/>
    </xf>
    <xf numFmtId="49" fontId="15" fillId="0" borderId="1" xfId="0" applyNumberFormat="1" applyFont="1" applyBorder="1" applyAlignment="1">
      <alignment horizontal="center" vertical="center"/>
    </xf>
    <xf numFmtId="0" fontId="15" fillId="0" borderId="4" xfId="0" applyFont="1" applyBorder="1" applyAlignment="1">
      <alignment horizontal="center" vertical="center" shrinkToFit="1"/>
    </xf>
    <xf numFmtId="0" fontId="15" fillId="0" borderId="1" xfId="0" applyFont="1" applyBorder="1" applyAlignment="1">
      <alignment horizontal="center" vertical="center" shrinkToFit="1"/>
    </xf>
    <xf numFmtId="0" fontId="14" fillId="0" borderId="0" xfId="0" applyFont="1" applyAlignment="1">
      <alignment horizontal="right" vertical="center"/>
    </xf>
    <xf numFmtId="0" fontId="14" fillId="0" borderId="0" xfId="0" applyFont="1" applyAlignment="1">
      <alignment horizontal="left" vertical="center"/>
    </xf>
    <xf numFmtId="0" fontId="14" fillId="0" borderId="5" xfId="0" applyFont="1" applyBorder="1">
      <alignment vertical="center"/>
    </xf>
    <xf numFmtId="0" fontId="17" fillId="0" borderId="0" xfId="0" applyFont="1" applyAlignment="1">
      <alignment horizontal="center" vertical="center"/>
    </xf>
    <xf numFmtId="0" fontId="14" fillId="0" borderId="10" xfId="0" applyFont="1" applyBorder="1" applyAlignment="1">
      <alignment horizontal="right" vertical="center"/>
    </xf>
    <xf numFmtId="0" fontId="14" fillId="0" borderId="0" xfId="0" applyFont="1" applyAlignment="1">
      <alignment horizontal="left" vertical="center" shrinkToFit="1"/>
    </xf>
    <xf numFmtId="0" fontId="14" fillId="0" borderId="1" xfId="0" applyFont="1" applyBorder="1" applyAlignment="1">
      <alignment horizontal="center" vertical="center"/>
    </xf>
    <xf numFmtId="0" fontId="17" fillId="0" borderId="0" xfId="0" applyFont="1">
      <alignment vertical="center"/>
    </xf>
    <xf numFmtId="0" fontId="14" fillId="0" borderId="0" xfId="0" applyFont="1" applyAlignment="1">
      <alignment horizontal="right"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8" fillId="0" borderId="0" xfId="0" applyFont="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1" xfId="0" applyFont="1" applyBorder="1" applyAlignment="1">
      <alignment horizontal="left" vertical="center" wrapText="1"/>
    </xf>
    <xf numFmtId="0" fontId="14" fillId="0" borderId="6" xfId="0" applyFont="1" applyBorder="1" applyAlignment="1">
      <alignment horizontal="left" vertical="center" wrapText="1"/>
    </xf>
    <xf numFmtId="0" fontId="14" fillId="0" borderId="12" xfId="0" applyFont="1" applyBorder="1" applyAlignment="1">
      <alignment horizontal="left" vertical="center" wrapText="1"/>
    </xf>
    <xf numFmtId="0" fontId="14" fillId="0" borderId="7" xfId="0" applyFont="1" applyBorder="1" applyAlignment="1">
      <alignment horizontal="left" vertical="top" wrapText="1" shrinkToFit="1"/>
    </xf>
    <xf numFmtId="0" fontId="14" fillId="0" borderId="8" xfId="0" applyFont="1" applyBorder="1" applyAlignment="1">
      <alignment horizontal="left" vertical="top" wrapText="1" shrinkToFit="1"/>
    </xf>
    <xf numFmtId="0" fontId="14" fillId="0" borderId="9" xfId="0" applyFont="1" applyBorder="1" applyAlignment="1">
      <alignment horizontal="left" vertical="top" wrapText="1" shrinkToFit="1"/>
    </xf>
    <xf numFmtId="0" fontId="14" fillId="0" borderId="5" xfId="0" applyFont="1" applyBorder="1" applyAlignment="1">
      <alignment horizontal="left" vertical="top" wrapText="1" shrinkToFit="1"/>
    </xf>
    <xf numFmtId="0" fontId="14" fillId="0" borderId="0" xfId="0" applyFont="1" applyAlignment="1">
      <alignment horizontal="left" vertical="top" wrapText="1" shrinkToFit="1"/>
    </xf>
    <xf numFmtId="0" fontId="14" fillId="0" borderId="10" xfId="0" applyFont="1" applyBorder="1" applyAlignment="1">
      <alignment horizontal="left" vertical="top" wrapText="1" shrinkToFit="1"/>
    </xf>
    <xf numFmtId="0" fontId="14" fillId="0" borderId="11" xfId="0" applyFont="1" applyBorder="1" applyAlignment="1">
      <alignment horizontal="left" vertical="top" wrapText="1" shrinkToFit="1"/>
    </xf>
    <xf numFmtId="0" fontId="14" fillId="0" borderId="6" xfId="0" applyFont="1" applyBorder="1" applyAlignment="1">
      <alignment horizontal="left" vertical="top" wrapText="1" shrinkToFit="1"/>
    </xf>
    <xf numFmtId="0" fontId="14" fillId="0" borderId="12" xfId="0" applyFont="1" applyBorder="1" applyAlignment="1">
      <alignment horizontal="left" vertical="top" wrapText="1" shrinkToFit="1"/>
    </xf>
    <xf numFmtId="0" fontId="17" fillId="0" borderId="2" xfId="0" applyFont="1" applyBorder="1" applyAlignment="1">
      <alignment horizontal="center" vertical="center" shrinkToFit="1"/>
    </xf>
    <xf numFmtId="0" fontId="17" fillId="0" borderId="3" xfId="0" applyFont="1" applyBorder="1" applyAlignment="1">
      <alignment horizontal="center" vertical="center" shrinkToFit="1"/>
    </xf>
    <xf numFmtId="0" fontId="17" fillId="0" borderId="4" xfId="0" applyFont="1" applyBorder="1" applyAlignment="1">
      <alignment horizontal="center" vertical="center" shrinkToFit="1"/>
    </xf>
    <xf numFmtId="0" fontId="14" fillId="0" borderId="0" xfId="0" applyFont="1" applyAlignment="1">
      <alignment vertical="center" wrapText="1"/>
    </xf>
    <xf numFmtId="0" fontId="14" fillId="0" borderId="34" xfId="0" applyFont="1" applyBorder="1" applyAlignment="1">
      <alignment vertical="center" shrinkToFit="1"/>
    </xf>
    <xf numFmtId="0" fontId="14" fillId="0" borderId="36" xfId="0" applyFont="1" applyBorder="1" applyAlignment="1">
      <alignment vertical="center" shrinkToFit="1"/>
    </xf>
    <xf numFmtId="0" fontId="14" fillId="0" borderId="35" xfId="0" applyFont="1" applyBorder="1" applyAlignment="1">
      <alignment vertical="center" shrinkToFit="1"/>
    </xf>
    <xf numFmtId="0" fontId="14" fillId="0" borderId="19" xfId="0" applyFont="1" applyBorder="1" applyAlignment="1">
      <alignment vertical="center" shrinkToFit="1"/>
    </xf>
    <xf numFmtId="0" fontId="14" fillId="0" borderId="20" xfId="0" applyFont="1" applyBorder="1" applyAlignment="1">
      <alignment vertical="center" shrinkToFit="1"/>
    </xf>
    <xf numFmtId="0" fontId="14" fillId="0" borderId="18" xfId="0" applyFont="1" applyBorder="1" applyAlignment="1">
      <alignment vertical="center" shrinkToFit="1"/>
    </xf>
    <xf numFmtId="0" fontId="14" fillId="0" borderId="37" xfId="0" applyFont="1" applyBorder="1" applyAlignment="1">
      <alignment vertical="center" shrinkToFit="1"/>
    </xf>
    <xf numFmtId="0" fontId="14" fillId="0" borderId="38" xfId="0" applyFont="1" applyBorder="1" applyAlignment="1">
      <alignment vertical="center" shrinkToFit="1"/>
    </xf>
    <xf numFmtId="0" fontId="14" fillId="0" borderId="39" xfId="0" applyFont="1" applyBorder="1" applyAlignment="1">
      <alignment vertical="center" shrinkToFit="1"/>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4" xfId="0" applyFont="1" applyBorder="1" applyAlignment="1">
      <alignment horizontal="center" vertical="center" shrinkToFit="1"/>
    </xf>
    <xf numFmtId="0" fontId="14" fillId="0" borderId="36" xfId="0" applyFont="1" applyBorder="1" applyAlignment="1">
      <alignment horizontal="center" vertical="center" shrinkToFit="1"/>
    </xf>
    <xf numFmtId="0" fontId="14" fillId="0" borderId="35" xfId="0" applyFont="1" applyBorder="1" applyAlignment="1">
      <alignment horizontal="center" vertical="center" shrinkToFit="1"/>
    </xf>
    <xf numFmtId="0" fontId="14" fillId="0" borderId="19" xfId="0" applyFont="1" applyBorder="1" applyAlignment="1">
      <alignment horizontal="center" vertical="center" shrinkToFit="1"/>
    </xf>
    <xf numFmtId="0" fontId="14" fillId="0" borderId="20" xfId="0" applyFont="1" applyBorder="1" applyAlignment="1">
      <alignment horizontal="center" vertical="center" shrinkToFit="1"/>
    </xf>
    <xf numFmtId="0" fontId="14" fillId="0" borderId="18" xfId="0" applyFont="1" applyBorder="1" applyAlignment="1">
      <alignment horizontal="center" vertical="center" shrinkToFit="1"/>
    </xf>
    <xf numFmtId="0" fontId="14" fillId="0" borderId="37" xfId="0" applyFont="1" applyBorder="1" applyAlignment="1">
      <alignment horizontal="center" vertical="center" shrinkToFit="1"/>
    </xf>
    <xf numFmtId="0" fontId="14" fillId="0" borderId="38" xfId="0" applyFont="1" applyBorder="1" applyAlignment="1">
      <alignment horizontal="center" vertical="center" shrinkToFit="1"/>
    </xf>
    <xf numFmtId="0" fontId="14" fillId="0" borderId="39" xfId="0" applyFont="1" applyBorder="1" applyAlignment="1">
      <alignment horizontal="center" vertical="center" shrinkToFit="1"/>
    </xf>
    <xf numFmtId="0" fontId="14" fillId="0" borderId="38" xfId="0" applyFont="1" applyBorder="1" applyAlignment="1">
      <alignment horizontal="left" vertical="center" wrapText="1" shrinkToFit="1"/>
    </xf>
    <xf numFmtId="0" fontId="14" fillId="0" borderId="38" xfId="0" applyFont="1" applyBorder="1" applyAlignment="1">
      <alignment horizontal="left" vertical="center" shrinkToFit="1"/>
    </xf>
    <xf numFmtId="0" fontId="14" fillId="0" borderId="39" xfId="0" applyFont="1" applyBorder="1" applyAlignment="1">
      <alignment horizontal="left" vertical="center" shrinkToFi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15" fillId="0" borderId="45" xfId="0" applyFont="1" applyBorder="1" applyAlignment="1">
      <alignment vertical="center" wrapText="1"/>
    </xf>
    <xf numFmtId="0" fontId="15" fillId="0" borderId="31" xfId="0" applyFont="1" applyBorder="1" applyAlignment="1">
      <alignment vertical="center" wrapText="1"/>
    </xf>
    <xf numFmtId="0" fontId="14" fillId="0" borderId="8" xfId="0" applyFont="1" applyBorder="1" applyAlignment="1">
      <alignment horizontal="left" vertical="center" wrapText="1" shrinkToFit="1"/>
    </xf>
    <xf numFmtId="0" fontId="14" fillId="0" borderId="8" xfId="0" applyFont="1" applyBorder="1" applyAlignment="1">
      <alignment horizontal="left" vertical="center" shrinkToFit="1"/>
    </xf>
    <xf numFmtId="0" fontId="14" fillId="0" borderId="9" xfId="0" applyFont="1" applyBorder="1" applyAlignment="1">
      <alignment horizontal="left" vertical="center" shrinkToFit="1"/>
    </xf>
    <xf numFmtId="0" fontId="14" fillId="0" borderId="22" xfId="0" applyFont="1" applyBorder="1" applyAlignment="1">
      <alignment horizontal="left" vertical="center" wrapText="1" shrinkToFit="1"/>
    </xf>
    <xf numFmtId="0" fontId="14" fillId="0" borderId="21" xfId="0" applyFont="1" applyBorder="1" applyAlignment="1">
      <alignment horizontal="left" vertical="center" wrapText="1" shrinkToFit="1"/>
    </xf>
    <xf numFmtId="0" fontId="15" fillId="0" borderId="46" xfId="0" applyFont="1" applyBorder="1" applyAlignment="1">
      <alignment vertical="center" wrapText="1"/>
    </xf>
    <xf numFmtId="0" fontId="14" fillId="0" borderId="36" xfId="0" applyFont="1" applyBorder="1" applyAlignment="1">
      <alignment horizontal="left" vertical="center" wrapText="1" shrinkToFit="1"/>
    </xf>
    <xf numFmtId="0" fontId="14" fillId="0" borderId="36" xfId="0" applyFont="1" applyBorder="1" applyAlignment="1">
      <alignment horizontal="left" vertical="center" shrinkToFit="1"/>
    </xf>
    <xf numFmtId="0" fontId="14" fillId="0" borderId="35" xfId="0" applyFont="1" applyBorder="1" applyAlignment="1">
      <alignment horizontal="left" vertical="center" shrinkToFit="1"/>
    </xf>
    <xf numFmtId="0" fontId="14" fillId="0" borderId="36" xfId="0" applyFont="1" applyBorder="1" applyAlignment="1">
      <alignment vertical="center" wrapText="1" shrinkToFit="1"/>
    </xf>
    <xf numFmtId="0" fontId="14" fillId="0" borderId="19" xfId="0" applyFont="1" applyBorder="1" applyAlignment="1">
      <alignment vertical="center" wrapText="1" shrinkToFit="1"/>
    </xf>
    <xf numFmtId="0" fontId="14" fillId="0" borderId="6" xfId="0" applyFont="1" applyBorder="1" applyAlignment="1">
      <alignment vertical="center" wrapText="1" shrinkToFit="1"/>
    </xf>
    <xf numFmtId="0" fontId="14" fillId="0" borderId="6" xfId="0" applyFont="1" applyBorder="1" applyAlignment="1">
      <alignment vertical="center" shrinkToFit="1"/>
    </xf>
    <xf numFmtId="0" fontId="14" fillId="0" borderId="12" xfId="0" applyFont="1" applyBorder="1" applyAlignment="1">
      <alignment vertical="center" shrinkToFit="1"/>
    </xf>
    <xf numFmtId="0" fontId="14" fillId="0" borderId="2" xfId="0" applyFont="1" applyBorder="1" applyAlignment="1">
      <alignment vertical="center" wrapText="1" shrinkToFit="1"/>
    </xf>
    <xf numFmtId="0" fontId="14" fillId="0" borderId="3" xfId="0" applyFont="1" applyBorder="1" applyAlignment="1">
      <alignment vertical="center" wrapText="1" shrinkToFit="1"/>
    </xf>
    <xf numFmtId="0" fontId="14" fillId="0" borderId="4" xfId="0" applyFont="1" applyBorder="1" applyAlignment="1">
      <alignment vertical="center" wrapText="1" shrinkToFit="1"/>
    </xf>
    <xf numFmtId="0" fontId="14" fillId="0" borderId="6" xfId="0" applyFont="1" applyBorder="1" applyAlignment="1">
      <alignment horizontal="left" vertical="center" wrapText="1" shrinkToFit="1"/>
    </xf>
    <xf numFmtId="0" fontId="14" fillId="0" borderId="6" xfId="0" applyFont="1" applyBorder="1" applyAlignment="1">
      <alignment horizontal="left" vertical="center" shrinkToFit="1"/>
    </xf>
    <xf numFmtId="0" fontId="14" fillId="0" borderId="12" xfId="0" applyFont="1" applyBorder="1" applyAlignment="1">
      <alignment horizontal="left" vertical="center" shrinkToFit="1"/>
    </xf>
    <xf numFmtId="0" fontId="4" fillId="0" borderId="16" xfId="0" applyFont="1" applyBorder="1" applyAlignment="1">
      <alignment horizontal="center" vertical="center"/>
    </xf>
    <xf numFmtId="0" fontId="4"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8"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6" xfId="0" applyFont="1" applyBorder="1" applyAlignment="1">
      <alignment horizontal="center" vertical="center"/>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xf>
    <xf numFmtId="0" fontId="6" fillId="0" borderId="15"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13"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2" xfId="0" applyFont="1" applyBorder="1" applyAlignment="1">
      <alignment horizontal="center" vertical="center"/>
    </xf>
    <xf numFmtId="0" fontId="5" fillId="0" borderId="15" xfId="0" applyFont="1" applyBorder="1" applyAlignment="1">
      <alignment horizontal="center" vertical="center" wrapText="1"/>
    </xf>
    <xf numFmtId="0" fontId="5" fillId="0" borderId="50" xfId="0" applyFont="1" applyBorder="1" applyAlignment="1">
      <alignment horizontal="center" vertical="center" wrapText="1"/>
    </xf>
    <xf numFmtId="0" fontId="5" fillId="0" borderId="13" xfId="0" applyFont="1" applyBorder="1" applyAlignment="1">
      <alignment horizontal="center" vertical="center"/>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9" fillId="0" borderId="9" xfId="0" applyFont="1" applyBorder="1" applyAlignment="1">
      <alignment vertical="top"/>
    </xf>
    <xf numFmtId="0" fontId="9" fillId="0" borderId="5" xfId="0" applyFont="1" applyBorder="1" applyAlignment="1">
      <alignment vertical="top"/>
    </xf>
    <xf numFmtId="0" fontId="9" fillId="0" borderId="0" xfId="0" applyFont="1" applyAlignment="1">
      <alignment vertical="top"/>
    </xf>
    <xf numFmtId="0" fontId="9" fillId="0" borderId="10" xfId="0" applyFont="1" applyBorder="1" applyAlignment="1">
      <alignment vertical="top"/>
    </xf>
    <xf numFmtId="0" fontId="9" fillId="0" borderId="11" xfId="0" applyFont="1" applyBorder="1" applyAlignment="1">
      <alignment vertical="top"/>
    </xf>
    <xf numFmtId="0" fontId="9" fillId="0" borderId="6" xfId="0" applyFont="1" applyBorder="1" applyAlignment="1">
      <alignment vertical="top"/>
    </xf>
    <xf numFmtId="0" fontId="9" fillId="0" borderId="12" xfId="0" applyFont="1" applyBorder="1" applyAlignment="1">
      <alignment vertical="top"/>
    </xf>
    <xf numFmtId="9" fontId="9" fillId="0" borderId="1" xfId="0" applyNumberFormat="1" applyFont="1" applyBorder="1" applyAlignment="1">
      <alignment horizontal="center" vertical="center" wrapText="1" shrinkToFit="1"/>
    </xf>
    <xf numFmtId="9" fontId="9" fillId="0" borderId="1" xfId="0" applyNumberFormat="1" applyFont="1" applyBorder="1" applyAlignment="1">
      <alignment horizontal="center" vertical="center" shrinkToFi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0" xfId="0" applyFont="1">
      <alignment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11" fillId="0" borderId="0" xfId="0" applyFont="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5" xfId="0" applyFont="1" applyBorder="1" applyAlignment="1">
      <alignment vertical="top" wrapText="1" shrinkToFit="1"/>
    </xf>
    <xf numFmtId="0" fontId="9" fillId="0" borderId="0" xfId="0" applyFont="1" applyAlignment="1">
      <alignment vertical="top" wrapText="1" shrinkToFit="1"/>
    </xf>
    <xf numFmtId="0" fontId="9" fillId="2" borderId="5" xfId="0" applyFont="1" applyFill="1" applyBorder="1" applyAlignment="1">
      <alignment horizontal="center" vertical="center" shrinkToFit="1"/>
    </xf>
    <xf numFmtId="0" fontId="9" fillId="2" borderId="0" xfId="0" applyFont="1" applyFill="1" applyAlignment="1">
      <alignment horizontal="center" vertical="center" shrinkToFit="1"/>
    </xf>
    <xf numFmtId="0" fontId="9" fillId="2" borderId="10" xfId="0" applyFont="1" applyFill="1" applyBorder="1" applyAlignment="1">
      <alignment horizontal="center" vertical="center" shrinkToFit="1"/>
    </xf>
    <xf numFmtId="0" fontId="9" fillId="0" borderId="2" xfId="0" applyFont="1" applyBorder="1" applyAlignment="1">
      <alignment horizontal="left" vertical="center"/>
    </xf>
    <xf numFmtId="0" fontId="10" fillId="0" borderId="3" xfId="0" applyFont="1" applyBorder="1">
      <alignment vertical="center"/>
    </xf>
    <xf numFmtId="0" fontId="10" fillId="0" borderId="4" xfId="0" applyFont="1" applyBorder="1">
      <alignmen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9" fillId="0" borderId="0" xfId="0" applyFont="1" applyAlignment="1">
      <alignment horizontal="center" vertical="center"/>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9" fillId="0" borderId="17" xfId="0" applyFont="1" applyBorder="1" applyAlignment="1">
      <alignment vertical="center" wrapText="1"/>
    </xf>
    <xf numFmtId="0" fontId="9" fillId="0" borderId="18" xfId="0" applyFont="1" applyBorder="1" applyAlignment="1">
      <alignment vertical="center" wrapText="1"/>
    </xf>
    <xf numFmtId="0" fontId="9" fillId="0" borderId="20" xfId="0" applyFont="1" applyBorder="1" applyAlignment="1">
      <alignment vertical="top" wrapText="1" shrinkToFit="1"/>
    </xf>
    <xf numFmtId="0" fontId="9" fillId="0" borderId="18" xfId="0" applyFont="1" applyBorder="1" applyAlignment="1">
      <alignment vertical="top" wrapText="1" shrinkToFit="1"/>
    </xf>
    <xf numFmtId="0" fontId="9" fillId="0" borderId="59" xfId="0" applyFont="1" applyBorder="1" applyAlignment="1">
      <alignment vertical="center" wrapText="1"/>
    </xf>
    <xf numFmtId="0" fontId="9" fillId="0" borderId="39" xfId="0" applyFont="1" applyBorder="1" applyAlignment="1">
      <alignment vertical="center" wrapText="1"/>
    </xf>
    <xf numFmtId="0" fontId="9" fillId="0" borderId="38" xfId="0" applyFont="1" applyBorder="1" applyAlignment="1">
      <alignment vertical="top" wrapText="1" shrinkToFit="1"/>
    </xf>
    <xf numFmtId="0" fontId="9" fillId="0" borderId="39" xfId="0" applyFont="1" applyBorder="1" applyAlignment="1">
      <alignment vertical="top" wrapText="1" shrinkToFit="1"/>
    </xf>
    <xf numFmtId="0" fontId="9" fillId="0" borderId="41" xfId="0" applyFont="1" applyBorder="1" applyAlignment="1">
      <alignment vertical="center" wrapText="1"/>
    </xf>
    <xf numFmtId="0" fontId="9" fillId="0" borderId="42" xfId="0" applyFont="1" applyBorder="1" applyAlignment="1">
      <alignment vertical="center" wrapText="1"/>
    </xf>
    <xf numFmtId="0" fontId="9" fillId="0" borderId="43" xfId="0" applyFont="1" applyBorder="1" applyAlignment="1">
      <alignment vertical="center" wrapText="1"/>
    </xf>
    <xf numFmtId="0" fontId="9" fillId="0" borderId="42" xfId="0" applyFont="1" applyBorder="1" applyAlignment="1">
      <alignment vertical="top" wrapText="1" shrinkToFit="1"/>
    </xf>
    <xf numFmtId="0" fontId="9" fillId="0" borderId="43" xfId="0" applyFont="1" applyBorder="1" applyAlignment="1">
      <alignment vertical="top" wrapText="1" shrinkToFit="1"/>
    </xf>
    <xf numFmtId="0" fontId="9" fillId="0" borderId="19" xfId="0" applyFont="1" applyBorder="1" applyAlignment="1">
      <alignment vertical="top" wrapText="1" shrinkToFit="1"/>
    </xf>
    <xf numFmtId="0" fontId="9" fillId="0" borderId="37" xfId="0" applyFont="1" applyBorder="1" applyAlignment="1">
      <alignment vertical="top" wrapText="1" shrinkToFit="1"/>
    </xf>
    <xf numFmtId="0" fontId="9" fillId="0" borderId="17" xfId="0" applyFont="1" applyBorder="1">
      <alignment vertical="center"/>
    </xf>
    <xf numFmtId="0" fontId="10" fillId="0" borderId="18" xfId="0" applyFont="1" applyBorder="1">
      <alignment vertical="center"/>
    </xf>
    <xf numFmtId="0" fontId="9" fillId="0" borderId="3" xfId="0" applyFont="1" applyBorder="1" applyAlignment="1">
      <alignment horizontal="center" vertical="center"/>
    </xf>
    <xf numFmtId="0" fontId="9" fillId="0" borderId="3" xfId="0" applyFont="1" applyBorder="1" applyAlignment="1">
      <alignment horizontal="left" vertical="center"/>
    </xf>
    <xf numFmtId="0" fontId="9"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A9A7-658D-41A3-8ECD-50E389DE920F}">
  <sheetPr>
    <tabColor rgb="FFFF0000"/>
    <pageSetUpPr fitToPage="1"/>
  </sheetPr>
  <dimension ref="A1:V110"/>
  <sheetViews>
    <sheetView showZeros="0" tabSelected="1" view="pageBreakPreview" zoomScale="93" zoomScaleNormal="100" zoomScaleSheetLayoutView="93" workbookViewId="0">
      <selection activeCell="W19" sqref="W19"/>
    </sheetView>
  </sheetViews>
  <sheetFormatPr defaultColWidth="8.5" defaultRowHeight="18.75" customHeight="1" x14ac:dyDescent="0.15"/>
  <cols>
    <col min="1" max="1" width="2.375" style="74" customWidth="1"/>
    <col min="2" max="2" width="15.5" style="74" customWidth="1"/>
    <col min="3" max="19" width="5.25" style="74" customWidth="1"/>
    <col min="20" max="20" width="8.5" style="74"/>
    <col min="21" max="21" width="3.375" style="74" customWidth="1"/>
    <col min="22" max="22" width="45.625" style="74" hidden="1" customWidth="1"/>
    <col min="23" max="16384" width="8.5" style="74"/>
  </cols>
  <sheetData>
    <row r="1" spans="1:22" ht="18.75" customHeight="1" x14ac:dyDescent="0.15">
      <c r="R1" s="100" t="s">
        <v>12</v>
      </c>
      <c r="S1" s="100"/>
      <c r="T1" s="99" t="s">
        <v>110</v>
      </c>
    </row>
    <row r="2" spans="1:22" ht="18.75" customHeight="1" x14ac:dyDescent="0.15">
      <c r="B2" s="98" t="s">
        <v>109</v>
      </c>
      <c r="C2" s="101" t="s">
        <v>126</v>
      </c>
      <c r="D2" s="102"/>
      <c r="E2" s="102"/>
      <c r="F2" s="102"/>
      <c r="G2" s="102"/>
      <c r="H2" s="102"/>
      <c r="I2" s="103"/>
      <c r="J2" s="92"/>
      <c r="K2" s="82"/>
      <c r="L2" s="82"/>
      <c r="M2" s="82"/>
      <c r="N2" s="82"/>
      <c r="O2" s="82"/>
      <c r="P2" s="82"/>
      <c r="Q2" s="82"/>
      <c r="R2" s="82"/>
      <c r="S2" s="82"/>
    </row>
    <row r="3" spans="1:22" ht="18.75" customHeight="1" x14ac:dyDescent="0.15">
      <c r="B3" s="98" t="s">
        <v>103</v>
      </c>
      <c r="C3" s="101" t="s">
        <v>147</v>
      </c>
      <c r="D3" s="102"/>
      <c r="E3" s="102"/>
      <c r="F3" s="102"/>
      <c r="G3" s="102"/>
      <c r="H3" s="102"/>
      <c r="I3" s="103"/>
      <c r="J3" s="92"/>
      <c r="K3" s="82"/>
      <c r="L3" s="82"/>
      <c r="M3" s="82"/>
      <c r="N3" s="82"/>
      <c r="O3" s="82"/>
      <c r="P3" s="82"/>
      <c r="Q3" s="82"/>
      <c r="R3" s="82"/>
      <c r="S3" s="82"/>
    </row>
    <row r="4" spans="1:22" ht="12.75" customHeight="1" x14ac:dyDescent="0.15">
      <c r="K4" s="92"/>
      <c r="L4" s="97"/>
      <c r="M4" s="97"/>
      <c r="N4" s="97"/>
      <c r="O4" s="97"/>
      <c r="P4" s="97"/>
      <c r="Q4" s="97"/>
      <c r="R4" s="97"/>
      <c r="S4" s="97"/>
    </row>
    <row r="5" spans="1:22" ht="18" customHeight="1" x14ac:dyDescent="0.15">
      <c r="A5" s="104" t="s">
        <v>39</v>
      </c>
      <c r="B5" s="104"/>
      <c r="C5" s="104"/>
      <c r="D5" s="104"/>
      <c r="E5" s="104"/>
      <c r="F5" s="104"/>
      <c r="G5" s="104"/>
      <c r="H5" s="104"/>
      <c r="I5" s="104"/>
      <c r="J5" s="104"/>
      <c r="K5" s="104"/>
      <c r="L5" s="104"/>
      <c r="M5" s="104"/>
      <c r="N5" s="104"/>
      <c r="O5" s="104"/>
      <c r="P5" s="104"/>
      <c r="Q5" s="104"/>
      <c r="R5" s="104"/>
      <c r="S5" s="104"/>
    </row>
    <row r="6" spans="1:22" ht="11.25" customHeight="1" x14ac:dyDescent="0.15">
      <c r="B6" s="83"/>
      <c r="C6" s="83"/>
      <c r="D6" s="83"/>
      <c r="E6" s="83"/>
      <c r="F6" s="83"/>
      <c r="G6" s="83"/>
      <c r="H6" s="83"/>
      <c r="I6" s="83"/>
      <c r="J6" s="83"/>
      <c r="K6" s="83"/>
      <c r="L6" s="83"/>
      <c r="M6" s="83"/>
      <c r="N6" s="83"/>
      <c r="O6" s="83"/>
      <c r="P6" s="83"/>
      <c r="Q6" s="83"/>
      <c r="R6" s="83"/>
      <c r="S6" s="83"/>
    </row>
    <row r="7" spans="1:22" ht="18" customHeight="1" x14ac:dyDescent="0.15">
      <c r="A7" s="74" t="s">
        <v>124</v>
      </c>
      <c r="C7" s="83"/>
      <c r="J7" s="96" t="s">
        <v>108</v>
      </c>
      <c r="K7" s="105" t="s">
        <v>127</v>
      </c>
      <c r="L7" s="106"/>
      <c r="M7" s="106"/>
      <c r="N7" s="106"/>
      <c r="O7" s="106"/>
      <c r="P7" s="106"/>
      <c r="Q7" s="106"/>
      <c r="R7" s="106"/>
      <c r="S7" s="107"/>
    </row>
    <row r="8" spans="1:22" ht="6" customHeight="1" x14ac:dyDescent="0.15">
      <c r="B8" s="83"/>
      <c r="C8" s="83"/>
      <c r="D8" s="83"/>
      <c r="E8" s="83"/>
      <c r="F8" s="83"/>
      <c r="G8" s="83"/>
      <c r="H8" s="83"/>
      <c r="I8" s="83"/>
      <c r="J8" s="83"/>
      <c r="K8" s="93"/>
      <c r="L8" s="83"/>
      <c r="M8" s="83"/>
      <c r="N8" s="83"/>
      <c r="O8" s="83"/>
      <c r="P8" s="83"/>
      <c r="Q8" s="83"/>
      <c r="R8" s="83"/>
      <c r="S8" s="83"/>
    </row>
    <row r="9" spans="1:22" ht="17.100000000000001" customHeight="1" x14ac:dyDescent="0.15">
      <c r="B9" s="108"/>
      <c r="C9" s="109"/>
      <c r="D9" s="109"/>
      <c r="E9" s="109"/>
      <c r="F9" s="109"/>
      <c r="G9" s="109"/>
      <c r="H9" s="109"/>
      <c r="I9" s="109"/>
      <c r="J9" s="109"/>
      <c r="K9" s="109"/>
      <c r="L9" s="109"/>
      <c r="M9" s="109"/>
      <c r="N9" s="109"/>
      <c r="O9" s="109"/>
      <c r="P9" s="109"/>
      <c r="Q9" s="109"/>
      <c r="R9" s="109"/>
      <c r="S9" s="110"/>
    </row>
    <row r="10" spans="1:22" ht="17.100000000000001" customHeight="1" x14ac:dyDescent="0.15">
      <c r="B10" s="111"/>
      <c r="C10" s="112"/>
      <c r="D10" s="112"/>
      <c r="E10" s="112"/>
      <c r="F10" s="112"/>
      <c r="G10" s="112"/>
      <c r="H10" s="112"/>
      <c r="I10" s="112"/>
      <c r="J10" s="112"/>
      <c r="K10" s="112"/>
      <c r="L10" s="112"/>
      <c r="M10" s="112"/>
      <c r="N10" s="112"/>
      <c r="O10" s="112"/>
      <c r="P10" s="112"/>
      <c r="Q10" s="112"/>
      <c r="R10" s="112"/>
      <c r="S10" s="113"/>
    </row>
    <row r="11" spans="1:22" ht="6" customHeight="1" x14ac:dyDescent="0.15">
      <c r="B11" s="83"/>
      <c r="C11" s="83"/>
      <c r="D11" s="83"/>
      <c r="E11" s="83"/>
      <c r="F11" s="83"/>
      <c r="G11" s="83"/>
      <c r="H11" s="83"/>
      <c r="I11" s="83"/>
      <c r="J11" s="83"/>
      <c r="K11" s="93"/>
      <c r="L11" s="83"/>
      <c r="M11" s="83"/>
      <c r="N11" s="83"/>
      <c r="O11" s="83"/>
      <c r="P11" s="83"/>
      <c r="Q11" s="83"/>
      <c r="R11" s="83"/>
      <c r="S11" s="83"/>
    </row>
    <row r="12" spans="1:22" ht="14.25" customHeight="1" x14ac:dyDescent="0.15">
      <c r="A12" s="74" t="s">
        <v>112</v>
      </c>
      <c r="B12" s="83"/>
      <c r="C12" s="83"/>
      <c r="D12" s="92"/>
      <c r="E12" s="92"/>
      <c r="F12" s="92"/>
      <c r="G12" s="92"/>
      <c r="H12" s="92"/>
      <c r="I12" s="92"/>
      <c r="J12" s="92"/>
      <c r="K12" s="95"/>
      <c r="L12" s="95"/>
      <c r="M12" s="95"/>
      <c r="N12" s="95"/>
      <c r="O12" s="95"/>
      <c r="P12" s="95"/>
      <c r="Q12" s="95"/>
      <c r="R12" s="95"/>
      <c r="S12" s="95"/>
    </row>
    <row r="13" spans="1:22" ht="16.350000000000001" customHeight="1" x14ac:dyDescent="0.15">
      <c r="B13" s="114" t="s">
        <v>152</v>
      </c>
      <c r="C13" s="115"/>
      <c r="D13" s="115"/>
      <c r="E13" s="115"/>
      <c r="F13" s="115"/>
      <c r="G13" s="115"/>
      <c r="H13" s="115"/>
      <c r="I13" s="115"/>
      <c r="J13" s="115"/>
      <c r="K13" s="115"/>
      <c r="L13" s="115"/>
      <c r="M13" s="115"/>
      <c r="N13" s="115"/>
      <c r="O13" s="115"/>
      <c r="P13" s="115"/>
      <c r="Q13" s="115"/>
      <c r="R13" s="115"/>
      <c r="S13" s="116"/>
      <c r="V13" s="74" t="s">
        <v>104</v>
      </c>
    </row>
    <row r="14" spans="1:22" ht="16.350000000000001" customHeight="1" x14ac:dyDescent="0.15">
      <c r="B14" s="117"/>
      <c r="C14" s="118"/>
      <c r="D14" s="118"/>
      <c r="E14" s="118"/>
      <c r="F14" s="118"/>
      <c r="G14" s="118"/>
      <c r="H14" s="118"/>
      <c r="I14" s="118"/>
      <c r="J14" s="118"/>
      <c r="K14" s="118"/>
      <c r="L14" s="118"/>
      <c r="M14" s="118"/>
      <c r="N14" s="118"/>
      <c r="O14" s="118"/>
      <c r="P14" s="118"/>
      <c r="Q14" s="118"/>
      <c r="R14" s="118"/>
      <c r="S14" s="119"/>
      <c r="V14" s="74" t="s">
        <v>111</v>
      </c>
    </row>
    <row r="15" spans="1:22" ht="16.350000000000001" customHeight="1" x14ac:dyDescent="0.15">
      <c r="B15" s="117"/>
      <c r="C15" s="118"/>
      <c r="D15" s="118"/>
      <c r="E15" s="118"/>
      <c r="F15" s="118"/>
      <c r="G15" s="118"/>
      <c r="H15" s="118"/>
      <c r="I15" s="118"/>
      <c r="J15" s="118"/>
      <c r="K15" s="118"/>
      <c r="L15" s="118"/>
      <c r="M15" s="118"/>
      <c r="N15" s="118"/>
      <c r="O15" s="118"/>
      <c r="P15" s="118"/>
      <c r="Q15" s="118"/>
      <c r="R15" s="118"/>
      <c r="S15" s="119"/>
      <c r="V15" s="74" t="s">
        <v>123</v>
      </c>
    </row>
    <row r="16" spans="1:22" ht="16.350000000000001" customHeight="1" x14ac:dyDescent="0.15">
      <c r="B16" s="117"/>
      <c r="C16" s="118"/>
      <c r="D16" s="118"/>
      <c r="E16" s="118"/>
      <c r="F16" s="118"/>
      <c r="G16" s="118"/>
      <c r="H16" s="118"/>
      <c r="I16" s="118"/>
      <c r="J16" s="118"/>
      <c r="K16" s="118"/>
      <c r="L16" s="118"/>
      <c r="M16" s="118"/>
      <c r="N16" s="118"/>
      <c r="O16" s="118"/>
      <c r="P16" s="118"/>
      <c r="Q16" s="118"/>
      <c r="R16" s="118"/>
      <c r="S16" s="119"/>
      <c r="V16" s="74" t="s">
        <v>125</v>
      </c>
    </row>
    <row r="17" spans="1:19" ht="16.350000000000001" customHeight="1" x14ac:dyDescent="0.15">
      <c r="B17" s="117"/>
      <c r="C17" s="118"/>
      <c r="D17" s="118"/>
      <c r="E17" s="118"/>
      <c r="F17" s="118"/>
      <c r="G17" s="118"/>
      <c r="H17" s="118"/>
      <c r="I17" s="118"/>
      <c r="J17" s="118"/>
      <c r="K17" s="118"/>
      <c r="L17" s="118"/>
      <c r="M17" s="118"/>
      <c r="N17" s="118"/>
      <c r="O17" s="118"/>
      <c r="P17" s="118"/>
      <c r="Q17" s="118"/>
      <c r="R17" s="118"/>
      <c r="S17" s="119"/>
    </row>
    <row r="18" spans="1:19" ht="16.350000000000001" customHeight="1" x14ac:dyDescent="0.15">
      <c r="B18" s="120"/>
      <c r="C18" s="121"/>
      <c r="D18" s="121"/>
      <c r="E18" s="121"/>
      <c r="F18" s="121"/>
      <c r="G18" s="121"/>
      <c r="H18" s="121"/>
      <c r="I18" s="121"/>
      <c r="J18" s="121"/>
      <c r="K18" s="121"/>
      <c r="L18" s="121"/>
      <c r="M18" s="121"/>
      <c r="N18" s="121"/>
      <c r="O18" s="121"/>
      <c r="P18" s="121"/>
      <c r="Q18" s="121"/>
      <c r="R18" s="121"/>
      <c r="S18" s="122"/>
    </row>
    <row r="19" spans="1:19" ht="7.5" customHeight="1" x14ac:dyDescent="0.15">
      <c r="B19" s="83"/>
      <c r="C19" s="83"/>
      <c r="D19" s="83"/>
      <c r="E19" s="83"/>
      <c r="F19" s="83"/>
      <c r="G19" s="83"/>
      <c r="H19" s="83"/>
      <c r="I19" s="83"/>
      <c r="J19" s="83"/>
      <c r="K19" s="83"/>
      <c r="L19" s="83"/>
      <c r="M19" s="83"/>
      <c r="N19" s="83"/>
      <c r="O19" s="83"/>
      <c r="P19" s="83"/>
      <c r="Q19" s="83"/>
      <c r="R19" s="83"/>
      <c r="S19" s="83"/>
    </row>
    <row r="20" spans="1:19" ht="16.5" customHeight="1" x14ac:dyDescent="0.15">
      <c r="B20" s="74" t="s">
        <v>113</v>
      </c>
      <c r="C20" s="101">
        <v>2</v>
      </c>
      <c r="D20" s="103"/>
      <c r="E20" s="94" t="s">
        <v>96</v>
      </c>
      <c r="G20" s="93"/>
      <c r="H20" s="83"/>
      <c r="I20" s="83"/>
      <c r="J20" s="92" t="s">
        <v>122</v>
      </c>
      <c r="K20" s="123" t="s">
        <v>125</v>
      </c>
      <c r="L20" s="124"/>
      <c r="M20" s="124"/>
      <c r="N20" s="124"/>
      <c r="O20" s="124"/>
      <c r="P20" s="124"/>
      <c r="Q20" s="124"/>
      <c r="R20" s="124"/>
      <c r="S20" s="125"/>
    </row>
    <row r="21" spans="1:19" ht="7.5" customHeight="1" x14ac:dyDescent="0.15">
      <c r="B21" s="83"/>
      <c r="C21" s="83"/>
      <c r="D21" s="83"/>
      <c r="E21" s="83"/>
      <c r="F21" s="83"/>
      <c r="G21" s="83"/>
      <c r="H21" s="83"/>
      <c r="I21" s="83"/>
      <c r="J21" s="83"/>
      <c r="K21" s="83"/>
      <c r="L21" s="83"/>
      <c r="M21" s="83"/>
      <c r="N21" s="83"/>
      <c r="O21" s="83"/>
      <c r="P21" s="83"/>
      <c r="Q21" s="83"/>
      <c r="R21" s="83"/>
      <c r="S21" s="83"/>
    </row>
    <row r="22" spans="1:19" ht="18" customHeight="1" x14ac:dyDescent="0.15">
      <c r="A22" s="126" t="s">
        <v>114</v>
      </c>
      <c r="B22" s="126"/>
      <c r="C22" s="126"/>
      <c r="D22" s="126"/>
      <c r="E22" s="126"/>
      <c r="F22" s="126"/>
      <c r="G22" s="126"/>
      <c r="H22" s="126"/>
      <c r="I22" s="126"/>
      <c r="J22" s="126"/>
      <c r="K22" s="126"/>
      <c r="L22" s="126"/>
      <c r="M22" s="126"/>
      <c r="N22" s="126"/>
      <c r="O22" s="126"/>
      <c r="P22" s="126"/>
      <c r="Q22" s="126"/>
      <c r="R22" s="126"/>
      <c r="S22" s="126"/>
    </row>
    <row r="23" spans="1:19" ht="18" customHeight="1" x14ac:dyDescent="0.15">
      <c r="A23" s="126"/>
      <c r="B23" s="126"/>
      <c r="C23" s="126"/>
      <c r="D23" s="126"/>
      <c r="E23" s="126"/>
      <c r="F23" s="126"/>
      <c r="G23" s="126"/>
      <c r="H23" s="126"/>
      <c r="I23" s="126"/>
      <c r="J23" s="126"/>
      <c r="K23" s="126"/>
      <c r="L23" s="126"/>
      <c r="M23" s="126"/>
      <c r="N23" s="126"/>
      <c r="O23" s="126"/>
      <c r="P23" s="126"/>
      <c r="Q23" s="126"/>
      <c r="R23" s="126"/>
      <c r="S23" s="126"/>
    </row>
    <row r="24" spans="1:19" ht="18" customHeight="1" x14ac:dyDescent="0.15">
      <c r="B24" s="101" t="s">
        <v>54</v>
      </c>
      <c r="C24" s="102"/>
      <c r="D24" s="102"/>
      <c r="E24" s="103"/>
      <c r="F24" s="91" t="s">
        <v>81</v>
      </c>
      <c r="G24" s="90" t="s">
        <v>85</v>
      </c>
      <c r="H24" s="89" t="s">
        <v>57</v>
      </c>
      <c r="I24" s="89" t="s">
        <v>60</v>
      </c>
      <c r="J24" s="101" t="s">
        <v>54</v>
      </c>
      <c r="K24" s="102"/>
      <c r="L24" s="102"/>
      <c r="M24" s="102"/>
      <c r="N24" s="102"/>
      <c r="O24" s="103"/>
      <c r="P24" s="91" t="s">
        <v>81</v>
      </c>
      <c r="Q24" s="90" t="s">
        <v>85</v>
      </c>
      <c r="R24" s="89" t="s">
        <v>57</v>
      </c>
      <c r="S24" s="89" t="s">
        <v>60</v>
      </c>
    </row>
    <row r="25" spans="1:19" ht="18" customHeight="1" x14ac:dyDescent="0.15">
      <c r="B25" s="127" t="s">
        <v>128</v>
      </c>
      <c r="C25" s="128"/>
      <c r="D25" s="128"/>
      <c r="E25" s="129"/>
      <c r="F25" s="88">
        <v>2</v>
      </c>
      <c r="G25" s="88" t="s">
        <v>129</v>
      </c>
      <c r="H25" s="88" t="s">
        <v>129</v>
      </c>
      <c r="I25" s="88" t="s">
        <v>129</v>
      </c>
      <c r="J25" s="127"/>
      <c r="K25" s="128"/>
      <c r="L25" s="128"/>
      <c r="M25" s="128"/>
      <c r="N25" s="128"/>
      <c r="O25" s="129"/>
      <c r="P25" s="88"/>
      <c r="Q25" s="88"/>
      <c r="R25" s="88"/>
      <c r="S25" s="88"/>
    </row>
    <row r="26" spans="1:19" ht="18" customHeight="1" x14ac:dyDescent="0.15">
      <c r="B26" s="130"/>
      <c r="C26" s="131"/>
      <c r="D26" s="131"/>
      <c r="E26" s="132"/>
      <c r="F26" s="87"/>
      <c r="G26" s="87"/>
      <c r="H26" s="87"/>
      <c r="I26" s="87"/>
      <c r="J26" s="130"/>
      <c r="K26" s="131"/>
      <c r="L26" s="131"/>
      <c r="M26" s="131"/>
      <c r="N26" s="131"/>
      <c r="O26" s="132"/>
      <c r="P26" s="87"/>
      <c r="Q26" s="87"/>
      <c r="R26" s="87"/>
      <c r="S26" s="87"/>
    </row>
    <row r="27" spans="1:19" ht="18" customHeight="1" x14ac:dyDescent="0.15">
      <c r="B27" s="130"/>
      <c r="C27" s="131"/>
      <c r="D27" s="131"/>
      <c r="E27" s="132"/>
      <c r="F27" s="87"/>
      <c r="G27" s="87"/>
      <c r="H27" s="87"/>
      <c r="I27" s="87"/>
      <c r="J27" s="130"/>
      <c r="K27" s="131"/>
      <c r="L27" s="131"/>
      <c r="M27" s="131"/>
      <c r="N27" s="131"/>
      <c r="O27" s="132"/>
      <c r="P27" s="87"/>
      <c r="Q27" s="87"/>
      <c r="R27" s="87"/>
      <c r="S27" s="87"/>
    </row>
    <row r="28" spans="1:19" ht="18" customHeight="1" x14ac:dyDescent="0.15">
      <c r="B28" s="130"/>
      <c r="C28" s="131"/>
      <c r="D28" s="131"/>
      <c r="E28" s="132"/>
      <c r="F28" s="87"/>
      <c r="G28" s="87"/>
      <c r="H28" s="87"/>
      <c r="I28" s="87"/>
      <c r="J28" s="130"/>
      <c r="K28" s="131"/>
      <c r="L28" s="131"/>
      <c r="M28" s="131"/>
      <c r="N28" s="131"/>
      <c r="O28" s="132"/>
      <c r="P28" s="87"/>
      <c r="Q28" s="87"/>
      <c r="R28" s="87"/>
      <c r="S28" s="87"/>
    </row>
    <row r="29" spans="1:19" ht="18" customHeight="1" x14ac:dyDescent="0.15">
      <c r="B29" s="130"/>
      <c r="C29" s="131"/>
      <c r="D29" s="131"/>
      <c r="E29" s="132"/>
      <c r="F29" s="87"/>
      <c r="G29" s="87"/>
      <c r="H29" s="87"/>
      <c r="I29" s="87"/>
      <c r="J29" s="130"/>
      <c r="K29" s="131"/>
      <c r="L29" s="131"/>
      <c r="M29" s="131"/>
      <c r="N29" s="131"/>
      <c r="O29" s="132"/>
      <c r="P29" s="87"/>
      <c r="Q29" s="87"/>
      <c r="R29" s="87"/>
      <c r="S29" s="87"/>
    </row>
    <row r="30" spans="1:19" ht="18" customHeight="1" x14ac:dyDescent="0.15">
      <c r="A30" s="83"/>
      <c r="B30" s="130"/>
      <c r="C30" s="131"/>
      <c r="D30" s="131"/>
      <c r="E30" s="132"/>
      <c r="F30" s="87"/>
      <c r="G30" s="87"/>
      <c r="H30" s="87"/>
      <c r="I30" s="87"/>
      <c r="J30" s="130"/>
      <c r="K30" s="131"/>
      <c r="L30" s="131"/>
      <c r="M30" s="131"/>
      <c r="N30" s="131"/>
      <c r="O30" s="132"/>
      <c r="P30" s="87"/>
      <c r="Q30" s="87"/>
      <c r="R30" s="87"/>
      <c r="S30" s="87"/>
    </row>
    <row r="31" spans="1:19" ht="18" customHeight="1" x14ac:dyDescent="0.15">
      <c r="A31" s="83"/>
      <c r="B31" s="133"/>
      <c r="C31" s="134"/>
      <c r="D31" s="134"/>
      <c r="E31" s="135"/>
      <c r="F31" s="86"/>
      <c r="G31" s="86"/>
      <c r="H31" s="85"/>
      <c r="I31" s="85"/>
      <c r="J31" s="133"/>
      <c r="K31" s="134"/>
      <c r="L31" s="134"/>
      <c r="M31" s="134"/>
      <c r="N31" s="134"/>
      <c r="O31" s="135"/>
      <c r="P31" s="86"/>
      <c r="Q31" s="86"/>
      <c r="R31" s="85"/>
      <c r="S31" s="85"/>
    </row>
    <row r="32" spans="1:19" ht="7.5" customHeight="1" x14ac:dyDescent="0.15">
      <c r="A32" s="83"/>
      <c r="B32" s="82"/>
      <c r="C32" s="82"/>
      <c r="D32" s="83"/>
      <c r="E32" s="83"/>
      <c r="F32" s="83"/>
      <c r="G32" s="83"/>
      <c r="H32" s="82"/>
      <c r="I32" s="82"/>
      <c r="J32" s="82"/>
      <c r="K32" s="82"/>
      <c r="L32" s="82"/>
      <c r="M32" s="82"/>
      <c r="N32" s="82"/>
      <c r="O32" s="82"/>
      <c r="P32" s="82"/>
      <c r="Q32" s="82"/>
      <c r="R32" s="82"/>
      <c r="S32" s="83"/>
    </row>
    <row r="33" spans="1:19" ht="18" customHeight="1" x14ac:dyDescent="0.15">
      <c r="A33" s="126" t="s">
        <v>115</v>
      </c>
      <c r="B33" s="126"/>
      <c r="C33" s="126"/>
      <c r="D33" s="126"/>
      <c r="E33" s="126"/>
      <c r="F33" s="126"/>
      <c r="G33" s="126"/>
      <c r="H33" s="126"/>
      <c r="I33" s="126"/>
      <c r="J33" s="126"/>
      <c r="K33" s="126"/>
      <c r="L33" s="126"/>
      <c r="M33" s="126"/>
      <c r="N33" s="126"/>
      <c r="O33" s="126"/>
      <c r="P33" s="126"/>
      <c r="Q33" s="126"/>
      <c r="R33" s="126"/>
      <c r="S33" s="126"/>
    </row>
    <row r="34" spans="1:19" ht="18" customHeight="1" x14ac:dyDescent="0.15">
      <c r="A34" s="126"/>
      <c r="B34" s="126"/>
      <c r="C34" s="126"/>
      <c r="D34" s="126"/>
      <c r="E34" s="126"/>
      <c r="F34" s="126"/>
      <c r="G34" s="126"/>
      <c r="H34" s="126"/>
      <c r="I34" s="126"/>
      <c r="J34" s="126"/>
      <c r="K34" s="126"/>
      <c r="L34" s="126"/>
      <c r="M34" s="126"/>
      <c r="N34" s="126"/>
      <c r="O34" s="126"/>
      <c r="P34" s="126"/>
      <c r="Q34" s="126"/>
      <c r="R34" s="126"/>
      <c r="S34" s="126"/>
    </row>
    <row r="35" spans="1:19" ht="18" customHeight="1" x14ac:dyDescent="0.15">
      <c r="B35" s="101" t="s">
        <v>54</v>
      </c>
      <c r="C35" s="102"/>
      <c r="D35" s="102"/>
      <c r="E35" s="103"/>
      <c r="F35" s="91" t="s">
        <v>81</v>
      </c>
      <c r="G35" s="90" t="s">
        <v>85</v>
      </c>
      <c r="H35" s="89" t="s">
        <v>72</v>
      </c>
      <c r="I35" s="89" t="s">
        <v>73</v>
      </c>
      <c r="J35" s="101" t="s">
        <v>54</v>
      </c>
      <c r="K35" s="102"/>
      <c r="L35" s="102"/>
      <c r="M35" s="102"/>
      <c r="N35" s="102"/>
      <c r="O35" s="103"/>
      <c r="P35" s="91" t="s">
        <v>81</v>
      </c>
      <c r="Q35" s="90" t="s">
        <v>85</v>
      </c>
      <c r="R35" s="89" t="s">
        <v>72</v>
      </c>
      <c r="S35" s="89" t="s">
        <v>73</v>
      </c>
    </row>
    <row r="36" spans="1:19" ht="18" customHeight="1" x14ac:dyDescent="0.15">
      <c r="B36" s="127" t="s">
        <v>128</v>
      </c>
      <c r="C36" s="128"/>
      <c r="D36" s="128"/>
      <c r="E36" s="129"/>
      <c r="F36" s="88">
        <v>2</v>
      </c>
      <c r="G36" s="88" t="s">
        <v>129</v>
      </c>
      <c r="H36" s="88" t="s">
        <v>129</v>
      </c>
      <c r="I36" s="88" t="s">
        <v>129</v>
      </c>
      <c r="J36" s="127"/>
      <c r="K36" s="128"/>
      <c r="L36" s="128"/>
      <c r="M36" s="128"/>
      <c r="N36" s="128"/>
      <c r="O36" s="129"/>
      <c r="P36" s="88"/>
      <c r="Q36" s="88"/>
      <c r="R36" s="88"/>
      <c r="S36" s="88"/>
    </row>
    <row r="37" spans="1:19" ht="18" customHeight="1" x14ac:dyDescent="0.15">
      <c r="B37" s="130"/>
      <c r="C37" s="131"/>
      <c r="D37" s="131"/>
      <c r="E37" s="132"/>
      <c r="F37" s="87"/>
      <c r="G37" s="87"/>
      <c r="H37" s="87"/>
      <c r="I37" s="87"/>
      <c r="J37" s="130"/>
      <c r="K37" s="131"/>
      <c r="L37" s="131"/>
      <c r="M37" s="131"/>
      <c r="N37" s="131"/>
      <c r="O37" s="132"/>
      <c r="P37" s="87"/>
      <c r="Q37" s="87"/>
      <c r="R37" s="87"/>
      <c r="S37" s="87"/>
    </row>
    <row r="38" spans="1:19" ht="18" customHeight="1" x14ac:dyDescent="0.15">
      <c r="B38" s="130"/>
      <c r="C38" s="131"/>
      <c r="D38" s="131"/>
      <c r="E38" s="132"/>
      <c r="F38" s="87"/>
      <c r="G38" s="87"/>
      <c r="H38" s="87"/>
      <c r="I38" s="87"/>
      <c r="J38" s="130"/>
      <c r="K38" s="131"/>
      <c r="L38" s="131"/>
      <c r="M38" s="131"/>
      <c r="N38" s="131"/>
      <c r="O38" s="132"/>
      <c r="P38" s="87"/>
      <c r="Q38" s="87"/>
      <c r="R38" s="87"/>
      <c r="S38" s="87"/>
    </row>
    <row r="39" spans="1:19" ht="18" customHeight="1" x14ac:dyDescent="0.15">
      <c r="B39" s="130"/>
      <c r="C39" s="131"/>
      <c r="D39" s="131"/>
      <c r="E39" s="132"/>
      <c r="F39" s="87"/>
      <c r="G39" s="87"/>
      <c r="H39" s="87"/>
      <c r="I39" s="87"/>
      <c r="J39" s="130"/>
      <c r="K39" s="131"/>
      <c r="L39" s="131"/>
      <c r="M39" s="131"/>
      <c r="N39" s="131"/>
      <c r="O39" s="132"/>
      <c r="P39" s="87"/>
      <c r="Q39" s="87"/>
      <c r="R39" s="87"/>
      <c r="S39" s="87"/>
    </row>
    <row r="40" spans="1:19" ht="18" customHeight="1" x14ac:dyDescent="0.15">
      <c r="B40" s="130"/>
      <c r="C40" s="131"/>
      <c r="D40" s="131"/>
      <c r="E40" s="132"/>
      <c r="F40" s="87"/>
      <c r="G40" s="87"/>
      <c r="H40" s="87"/>
      <c r="I40" s="87"/>
      <c r="J40" s="130"/>
      <c r="K40" s="131"/>
      <c r="L40" s="131"/>
      <c r="M40" s="131"/>
      <c r="N40" s="131"/>
      <c r="O40" s="132"/>
      <c r="P40" s="87"/>
      <c r="Q40" s="87"/>
      <c r="R40" s="87"/>
      <c r="S40" s="87"/>
    </row>
    <row r="41" spans="1:19" ht="18" customHeight="1" x14ac:dyDescent="0.15">
      <c r="B41" s="130"/>
      <c r="C41" s="131"/>
      <c r="D41" s="131"/>
      <c r="E41" s="132"/>
      <c r="F41" s="87"/>
      <c r="G41" s="87"/>
      <c r="H41" s="87"/>
      <c r="I41" s="87"/>
      <c r="J41" s="130"/>
      <c r="K41" s="131"/>
      <c r="L41" s="131"/>
      <c r="M41" s="131"/>
      <c r="N41" s="131"/>
      <c r="O41" s="132"/>
      <c r="P41" s="87"/>
      <c r="Q41" s="87"/>
      <c r="R41" s="87"/>
      <c r="S41" s="87"/>
    </row>
    <row r="42" spans="1:19" ht="18" customHeight="1" x14ac:dyDescent="0.15">
      <c r="B42" s="133"/>
      <c r="C42" s="134"/>
      <c r="D42" s="134"/>
      <c r="E42" s="135"/>
      <c r="F42" s="86"/>
      <c r="G42" s="86"/>
      <c r="H42" s="85"/>
      <c r="I42" s="85"/>
      <c r="J42" s="133"/>
      <c r="K42" s="134"/>
      <c r="L42" s="134"/>
      <c r="M42" s="134"/>
      <c r="N42" s="134"/>
      <c r="O42" s="135"/>
      <c r="P42" s="86"/>
      <c r="Q42" s="86"/>
      <c r="R42" s="85"/>
      <c r="S42" s="85"/>
    </row>
    <row r="43" spans="1:19" ht="7.5" customHeight="1" x14ac:dyDescent="0.15">
      <c r="A43" s="83"/>
      <c r="B43" s="82"/>
      <c r="C43" s="82"/>
      <c r="D43" s="83"/>
      <c r="E43" s="83"/>
      <c r="F43" s="83"/>
      <c r="G43" s="83"/>
      <c r="H43" s="82"/>
      <c r="I43" s="82"/>
      <c r="J43" s="82"/>
      <c r="K43" s="82"/>
      <c r="L43" s="82"/>
      <c r="M43" s="82"/>
      <c r="N43" s="82"/>
      <c r="O43" s="82"/>
      <c r="P43" s="82"/>
      <c r="Q43" s="82"/>
      <c r="R43" s="82"/>
      <c r="S43" s="83"/>
    </row>
    <row r="44" spans="1:19" ht="18" customHeight="1" x14ac:dyDescent="0.15">
      <c r="A44" s="126" t="s">
        <v>116</v>
      </c>
      <c r="B44" s="126"/>
      <c r="C44" s="126"/>
      <c r="D44" s="126"/>
      <c r="E44" s="126"/>
      <c r="F44" s="126"/>
      <c r="G44" s="126"/>
      <c r="H44" s="126"/>
      <c r="I44" s="126"/>
      <c r="J44" s="126"/>
      <c r="K44" s="126"/>
      <c r="L44" s="126"/>
      <c r="M44" s="126"/>
      <c r="N44" s="126"/>
      <c r="O44" s="126"/>
      <c r="P44" s="126"/>
      <c r="Q44" s="126"/>
      <c r="R44" s="126"/>
      <c r="S44" s="126"/>
    </row>
    <row r="45" spans="1:19" ht="18" customHeight="1" x14ac:dyDescent="0.15">
      <c r="A45" s="126"/>
      <c r="B45" s="126"/>
      <c r="C45" s="126"/>
      <c r="D45" s="126"/>
      <c r="E45" s="126"/>
      <c r="F45" s="126"/>
      <c r="G45" s="126"/>
      <c r="H45" s="126"/>
      <c r="I45" s="126"/>
      <c r="J45" s="126"/>
      <c r="K45" s="126"/>
      <c r="L45" s="126"/>
      <c r="M45" s="126"/>
      <c r="N45" s="126"/>
      <c r="O45" s="126"/>
      <c r="P45" s="126"/>
      <c r="Q45" s="126"/>
      <c r="R45" s="126"/>
      <c r="S45" s="126"/>
    </row>
    <row r="46" spans="1:19" ht="18" customHeight="1" x14ac:dyDescent="0.15">
      <c r="B46" s="101" t="s">
        <v>54</v>
      </c>
      <c r="C46" s="102"/>
      <c r="D46" s="102"/>
      <c r="E46" s="103"/>
      <c r="F46" s="91" t="s">
        <v>81</v>
      </c>
      <c r="G46" s="90" t="s">
        <v>85</v>
      </c>
      <c r="H46" s="89" t="s">
        <v>74</v>
      </c>
      <c r="I46" s="89" t="s">
        <v>75</v>
      </c>
      <c r="J46" s="101" t="s">
        <v>54</v>
      </c>
      <c r="K46" s="102"/>
      <c r="L46" s="102"/>
      <c r="M46" s="102"/>
      <c r="N46" s="102"/>
      <c r="O46" s="103"/>
      <c r="P46" s="91" t="s">
        <v>81</v>
      </c>
      <c r="Q46" s="90" t="s">
        <v>85</v>
      </c>
      <c r="R46" s="89" t="s">
        <v>74</v>
      </c>
      <c r="S46" s="89" t="s">
        <v>75</v>
      </c>
    </row>
    <row r="47" spans="1:19" ht="18" customHeight="1" x14ac:dyDescent="0.15">
      <c r="A47" s="83"/>
      <c r="B47" s="127" t="s">
        <v>128</v>
      </c>
      <c r="C47" s="128"/>
      <c r="D47" s="128"/>
      <c r="E47" s="129"/>
      <c r="F47" s="88">
        <v>2</v>
      </c>
      <c r="G47" s="88" t="s">
        <v>129</v>
      </c>
      <c r="H47" s="88" t="s">
        <v>129</v>
      </c>
      <c r="I47" s="88" t="s">
        <v>129</v>
      </c>
      <c r="J47" s="127"/>
      <c r="K47" s="128"/>
      <c r="L47" s="128"/>
      <c r="M47" s="128"/>
      <c r="N47" s="128"/>
      <c r="O47" s="129"/>
      <c r="P47" s="88"/>
      <c r="Q47" s="88"/>
      <c r="R47" s="88"/>
      <c r="S47" s="88"/>
    </row>
    <row r="48" spans="1:19" ht="18" customHeight="1" x14ac:dyDescent="0.15">
      <c r="A48" s="83"/>
      <c r="B48" s="130"/>
      <c r="C48" s="131"/>
      <c r="D48" s="131"/>
      <c r="E48" s="132"/>
      <c r="F48" s="87"/>
      <c r="G48" s="87"/>
      <c r="H48" s="87"/>
      <c r="I48" s="87"/>
      <c r="J48" s="130"/>
      <c r="K48" s="131"/>
      <c r="L48" s="131"/>
      <c r="M48" s="131"/>
      <c r="N48" s="131"/>
      <c r="O48" s="132"/>
      <c r="P48" s="87"/>
      <c r="Q48" s="87"/>
      <c r="R48" s="87"/>
      <c r="S48" s="87"/>
    </row>
    <row r="49" spans="1:19" ht="18" customHeight="1" x14ac:dyDescent="0.15">
      <c r="A49" s="83"/>
      <c r="B49" s="130"/>
      <c r="C49" s="131"/>
      <c r="D49" s="131"/>
      <c r="E49" s="132"/>
      <c r="F49" s="87"/>
      <c r="G49" s="87"/>
      <c r="H49" s="87"/>
      <c r="I49" s="87"/>
      <c r="J49" s="130"/>
      <c r="K49" s="131"/>
      <c r="L49" s="131"/>
      <c r="M49" s="131"/>
      <c r="N49" s="131"/>
      <c r="O49" s="132"/>
      <c r="P49" s="87"/>
      <c r="Q49" s="87"/>
      <c r="R49" s="87"/>
      <c r="S49" s="87"/>
    </row>
    <row r="50" spans="1:19" ht="18" customHeight="1" x14ac:dyDescent="0.15">
      <c r="A50" s="83"/>
      <c r="B50" s="130"/>
      <c r="C50" s="131"/>
      <c r="D50" s="131"/>
      <c r="E50" s="132"/>
      <c r="F50" s="87"/>
      <c r="G50" s="87"/>
      <c r="H50" s="87"/>
      <c r="I50" s="87"/>
      <c r="J50" s="130"/>
      <c r="K50" s="131"/>
      <c r="L50" s="131"/>
      <c r="M50" s="131"/>
      <c r="N50" s="131"/>
      <c r="O50" s="132"/>
      <c r="P50" s="87"/>
      <c r="Q50" s="87"/>
      <c r="R50" s="87"/>
      <c r="S50" s="87"/>
    </row>
    <row r="51" spans="1:19" ht="18" customHeight="1" x14ac:dyDescent="0.15">
      <c r="A51" s="83"/>
      <c r="B51" s="130"/>
      <c r="C51" s="131"/>
      <c r="D51" s="131"/>
      <c r="E51" s="132"/>
      <c r="F51" s="87"/>
      <c r="G51" s="87"/>
      <c r="H51" s="87"/>
      <c r="I51" s="87"/>
      <c r="J51" s="130"/>
      <c r="K51" s="131"/>
      <c r="L51" s="131"/>
      <c r="M51" s="131"/>
      <c r="N51" s="131"/>
      <c r="O51" s="132"/>
      <c r="P51" s="87"/>
      <c r="Q51" s="87"/>
      <c r="R51" s="87"/>
      <c r="S51" s="87"/>
    </row>
    <row r="52" spans="1:19" ht="18" customHeight="1" x14ac:dyDescent="0.15">
      <c r="A52" s="83"/>
      <c r="B52" s="130"/>
      <c r="C52" s="131"/>
      <c r="D52" s="131"/>
      <c r="E52" s="132"/>
      <c r="F52" s="87"/>
      <c r="G52" s="87"/>
      <c r="H52" s="87"/>
      <c r="I52" s="87"/>
      <c r="J52" s="130"/>
      <c r="K52" s="131"/>
      <c r="L52" s="131"/>
      <c r="M52" s="131"/>
      <c r="N52" s="131"/>
      <c r="O52" s="132"/>
      <c r="P52" s="87"/>
      <c r="Q52" s="87"/>
      <c r="R52" s="87"/>
      <c r="S52" s="87"/>
    </row>
    <row r="53" spans="1:19" ht="18" customHeight="1" x14ac:dyDescent="0.15">
      <c r="A53" s="83"/>
      <c r="B53" s="133"/>
      <c r="C53" s="134"/>
      <c r="D53" s="134"/>
      <c r="E53" s="135"/>
      <c r="F53" s="86"/>
      <c r="G53" s="86"/>
      <c r="H53" s="85"/>
      <c r="I53" s="85"/>
      <c r="J53" s="133"/>
      <c r="K53" s="134"/>
      <c r="L53" s="134"/>
      <c r="M53" s="134"/>
      <c r="N53" s="134"/>
      <c r="O53" s="135"/>
      <c r="P53" s="86"/>
      <c r="Q53" s="86"/>
      <c r="R53" s="85"/>
      <c r="S53" s="85"/>
    </row>
    <row r="54" spans="1:19" ht="7.5" customHeight="1" x14ac:dyDescent="0.15">
      <c r="B54" s="84"/>
      <c r="C54" s="84"/>
      <c r="D54" s="84"/>
      <c r="E54" s="84"/>
      <c r="F54" s="84"/>
      <c r="G54" s="84"/>
      <c r="H54" s="84"/>
      <c r="I54" s="84"/>
      <c r="J54" s="84"/>
      <c r="K54" s="84"/>
      <c r="L54" s="84"/>
      <c r="M54" s="84"/>
      <c r="N54" s="84"/>
      <c r="O54" s="84"/>
      <c r="P54" s="84"/>
      <c r="Q54" s="84"/>
      <c r="R54" s="84"/>
    </row>
    <row r="55" spans="1:19" ht="18" customHeight="1" x14ac:dyDescent="0.15">
      <c r="A55" s="126" t="s">
        <v>117</v>
      </c>
      <c r="B55" s="126"/>
      <c r="C55" s="126"/>
      <c r="D55" s="126"/>
      <c r="E55" s="126"/>
      <c r="F55" s="126"/>
      <c r="G55" s="126"/>
      <c r="H55" s="126"/>
      <c r="I55" s="126"/>
      <c r="J55" s="126"/>
      <c r="K55" s="126"/>
      <c r="L55" s="126"/>
      <c r="M55" s="126"/>
      <c r="N55" s="126"/>
      <c r="O55" s="126"/>
      <c r="P55" s="126"/>
      <c r="Q55" s="126"/>
      <c r="R55" s="126"/>
      <c r="S55" s="126"/>
    </row>
    <row r="56" spans="1:19" ht="18" customHeight="1" x14ac:dyDescent="0.15">
      <c r="A56" s="126"/>
      <c r="B56" s="126"/>
      <c r="C56" s="126"/>
      <c r="D56" s="126"/>
      <c r="E56" s="126"/>
      <c r="F56" s="126"/>
      <c r="G56" s="126"/>
      <c r="H56" s="126"/>
      <c r="I56" s="126"/>
      <c r="J56" s="126"/>
      <c r="K56" s="126"/>
      <c r="L56" s="126"/>
      <c r="M56" s="126"/>
      <c r="N56" s="126"/>
      <c r="O56" s="126"/>
      <c r="P56" s="126"/>
      <c r="Q56" s="126"/>
      <c r="R56" s="126"/>
      <c r="S56" s="126"/>
    </row>
    <row r="57" spans="1:19" ht="18" customHeight="1" x14ac:dyDescent="0.15">
      <c r="B57" s="101" t="s">
        <v>54</v>
      </c>
      <c r="C57" s="102"/>
      <c r="D57" s="102"/>
      <c r="E57" s="103"/>
      <c r="F57" s="91" t="s">
        <v>81</v>
      </c>
      <c r="G57" s="90" t="s">
        <v>85</v>
      </c>
      <c r="H57" s="89" t="s">
        <v>59</v>
      </c>
      <c r="I57" s="89" t="s">
        <v>61</v>
      </c>
      <c r="J57" s="101" t="s">
        <v>54</v>
      </c>
      <c r="K57" s="102"/>
      <c r="L57" s="102"/>
      <c r="M57" s="102"/>
      <c r="N57" s="102"/>
      <c r="O57" s="103"/>
      <c r="P57" s="91" t="s">
        <v>81</v>
      </c>
      <c r="Q57" s="90" t="s">
        <v>85</v>
      </c>
      <c r="R57" s="89" t="s">
        <v>59</v>
      </c>
      <c r="S57" s="89" t="s">
        <v>61</v>
      </c>
    </row>
    <row r="58" spans="1:19" ht="18" customHeight="1" x14ac:dyDescent="0.15">
      <c r="A58" s="83"/>
      <c r="B58" s="127" t="s">
        <v>128</v>
      </c>
      <c r="C58" s="128"/>
      <c r="D58" s="128"/>
      <c r="E58" s="129"/>
      <c r="F58" s="88">
        <v>2</v>
      </c>
      <c r="G58" s="88" t="s">
        <v>129</v>
      </c>
      <c r="H58" s="88" t="s">
        <v>129</v>
      </c>
      <c r="I58" s="88" t="s">
        <v>129</v>
      </c>
      <c r="J58" s="127"/>
      <c r="K58" s="128"/>
      <c r="L58" s="128"/>
      <c r="M58" s="128"/>
      <c r="N58" s="128"/>
      <c r="O58" s="129"/>
      <c r="P58" s="88"/>
      <c r="Q58" s="88"/>
      <c r="R58" s="88"/>
      <c r="S58" s="88"/>
    </row>
    <row r="59" spans="1:19" ht="18" customHeight="1" x14ac:dyDescent="0.15">
      <c r="A59" s="83"/>
      <c r="B59" s="130"/>
      <c r="C59" s="131"/>
      <c r="D59" s="131"/>
      <c r="E59" s="132"/>
      <c r="F59" s="87"/>
      <c r="G59" s="87"/>
      <c r="H59" s="87"/>
      <c r="I59" s="87"/>
      <c r="J59" s="130"/>
      <c r="K59" s="131"/>
      <c r="L59" s="131"/>
      <c r="M59" s="131"/>
      <c r="N59" s="131"/>
      <c r="O59" s="132"/>
      <c r="P59" s="87"/>
      <c r="Q59" s="87"/>
      <c r="R59" s="87"/>
      <c r="S59" s="87"/>
    </row>
    <row r="60" spans="1:19" ht="18" customHeight="1" x14ac:dyDescent="0.15">
      <c r="A60" s="83"/>
      <c r="B60" s="130"/>
      <c r="C60" s="131"/>
      <c r="D60" s="131"/>
      <c r="E60" s="132"/>
      <c r="F60" s="87"/>
      <c r="G60" s="87"/>
      <c r="H60" s="87"/>
      <c r="I60" s="87"/>
      <c r="J60" s="130"/>
      <c r="K60" s="131"/>
      <c r="L60" s="131"/>
      <c r="M60" s="131"/>
      <c r="N60" s="131"/>
      <c r="O60" s="132"/>
      <c r="P60" s="87"/>
      <c r="Q60" s="87"/>
      <c r="R60" s="87"/>
      <c r="S60" s="87"/>
    </row>
    <row r="61" spans="1:19" ht="18" customHeight="1" x14ac:dyDescent="0.15">
      <c r="A61" s="83"/>
      <c r="B61" s="130"/>
      <c r="C61" s="131"/>
      <c r="D61" s="131"/>
      <c r="E61" s="132"/>
      <c r="F61" s="87"/>
      <c r="G61" s="87"/>
      <c r="H61" s="87"/>
      <c r="I61" s="87"/>
      <c r="J61" s="130"/>
      <c r="K61" s="131"/>
      <c r="L61" s="131"/>
      <c r="M61" s="131"/>
      <c r="N61" s="131"/>
      <c r="O61" s="132"/>
      <c r="P61" s="87"/>
      <c r="Q61" s="87"/>
      <c r="R61" s="87"/>
      <c r="S61" s="87"/>
    </row>
    <row r="62" spans="1:19" ht="18" customHeight="1" x14ac:dyDescent="0.15">
      <c r="A62" s="83"/>
      <c r="B62" s="130"/>
      <c r="C62" s="131"/>
      <c r="D62" s="131"/>
      <c r="E62" s="132"/>
      <c r="F62" s="87"/>
      <c r="G62" s="87"/>
      <c r="H62" s="87"/>
      <c r="I62" s="87"/>
      <c r="J62" s="130"/>
      <c r="K62" s="131"/>
      <c r="L62" s="131"/>
      <c r="M62" s="131"/>
      <c r="N62" s="131"/>
      <c r="O62" s="132"/>
      <c r="P62" s="87"/>
      <c r="Q62" s="87"/>
      <c r="R62" s="87"/>
      <c r="S62" s="87"/>
    </row>
    <row r="63" spans="1:19" ht="18" customHeight="1" x14ac:dyDescent="0.15">
      <c r="A63" s="83"/>
      <c r="B63" s="130"/>
      <c r="C63" s="131"/>
      <c r="D63" s="131"/>
      <c r="E63" s="132"/>
      <c r="F63" s="87"/>
      <c r="G63" s="87"/>
      <c r="H63" s="87"/>
      <c r="I63" s="87"/>
      <c r="J63" s="130"/>
      <c r="K63" s="131"/>
      <c r="L63" s="131"/>
      <c r="M63" s="131"/>
      <c r="N63" s="131"/>
      <c r="O63" s="132"/>
      <c r="P63" s="87"/>
      <c r="Q63" s="87"/>
      <c r="R63" s="87"/>
      <c r="S63" s="87"/>
    </row>
    <row r="64" spans="1:19" ht="18" customHeight="1" x14ac:dyDescent="0.15">
      <c r="A64" s="83"/>
      <c r="B64" s="133"/>
      <c r="C64" s="134"/>
      <c r="D64" s="134"/>
      <c r="E64" s="135"/>
      <c r="F64" s="86"/>
      <c r="G64" s="86"/>
      <c r="H64" s="85"/>
      <c r="I64" s="85"/>
      <c r="J64" s="133"/>
      <c r="K64" s="134"/>
      <c r="L64" s="134"/>
      <c r="M64" s="134"/>
      <c r="N64" s="134"/>
      <c r="O64" s="135"/>
      <c r="P64" s="86"/>
      <c r="Q64" s="86"/>
      <c r="R64" s="85"/>
      <c r="S64" s="85"/>
    </row>
    <row r="65" spans="1:19" ht="7.5" customHeight="1" x14ac:dyDescent="0.15">
      <c r="B65" s="84"/>
      <c r="C65" s="84"/>
      <c r="D65" s="84"/>
      <c r="E65" s="84"/>
      <c r="F65" s="84"/>
      <c r="G65" s="84"/>
      <c r="H65" s="84"/>
      <c r="I65" s="84"/>
      <c r="J65" s="84"/>
      <c r="K65" s="84"/>
      <c r="L65" s="84"/>
      <c r="M65" s="84"/>
      <c r="N65" s="84"/>
      <c r="O65" s="84"/>
      <c r="P65" s="84"/>
      <c r="Q65" s="84"/>
      <c r="R65" s="84"/>
    </row>
    <row r="66" spans="1:19" ht="18" customHeight="1" x14ac:dyDescent="0.15">
      <c r="A66" s="126" t="s">
        <v>118</v>
      </c>
      <c r="B66" s="126"/>
      <c r="C66" s="126"/>
      <c r="D66" s="126"/>
      <c r="E66" s="126"/>
      <c r="F66" s="126"/>
      <c r="G66" s="126"/>
      <c r="H66" s="126"/>
      <c r="I66" s="126"/>
      <c r="J66" s="126"/>
      <c r="K66" s="126"/>
      <c r="L66" s="126"/>
      <c r="M66" s="126"/>
      <c r="N66" s="126"/>
      <c r="O66" s="126"/>
      <c r="P66" s="126"/>
      <c r="Q66" s="126"/>
      <c r="R66" s="126"/>
      <c r="S66" s="126"/>
    </row>
    <row r="67" spans="1:19" ht="18" customHeight="1" x14ac:dyDescent="0.15">
      <c r="A67" s="126"/>
      <c r="B67" s="126"/>
      <c r="C67" s="126"/>
      <c r="D67" s="126"/>
      <c r="E67" s="126"/>
      <c r="F67" s="126"/>
      <c r="G67" s="126"/>
      <c r="H67" s="126"/>
      <c r="I67" s="126"/>
      <c r="J67" s="126"/>
      <c r="K67" s="126"/>
      <c r="L67" s="126"/>
      <c r="M67" s="126"/>
      <c r="N67" s="126"/>
      <c r="O67" s="126"/>
      <c r="P67" s="126"/>
      <c r="Q67" s="126"/>
      <c r="R67" s="126"/>
      <c r="S67" s="126"/>
    </row>
    <row r="68" spans="1:19" ht="18" customHeight="1" x14ac:dyDescent="0.15">
      <c r="B68" s="101" t="s">
        <v>54</v>
      </c>
      <c r="C68" s="102"/>
      <c r="D68" s="102"/>
      <c r="E68" s="91" t="s">
        <v>81</v>
      </c>
      <c r="F68" s="90" t="s">
        <v>85</v>
      </c>
      <c r="G68" s="89" t="s">
        <v>102</v>
      </c>
      <c r="H68" s="89" t="s">
        <v>76</v>
      </c>
      <c r="I68" s="89" t="s">
        <v>77</v>
      </c>
      <c r="J68" s="101" t="s">
        <v>54</v>
      </c>
      <c r="K68" s="102"/>
      <c r="L68" s="102"/>
      <c r="M68" s="102"/>
      <c r="N68" s="103"/>
      <c r="O68" s="91" t="s">
        <v>81</v>
      </c>
      <c r="P68" s="90" t="s">
        <v>85</v>
      </c>
      <c r="Q68" s="89" t="s">
        <v>102</v>
      </c>
      <c r="R68" s="89" t="s">
        <v>76</v>
      </c>
      <c r="S68" s="89" t="s">
        <v>77</v>
      </c>
    </row>
    <row r="69" spans="1:19" ht="18" customHeight="1" x14ac:dyDescent="0.15">
      <c r="A69" s="83"/>
      <c r="B69" s="127" t="s">
        <v>128</v>
      </c>
      <c r="C69" s="128"/>
      <c r="D69" s="128"/>
      <c r="E69" s="88">
        <v>2</v>
      </c>
      <c r="F69" s="88" t="s">
        <v>129</v>
      </c>
      <c r="G69" s="88" t="s">
        <v>129</v>
      </c>
      <c r="H69" s="88" t="s">
        <v>129</v>
      </c>
      <c r="I69" s="88" t="s">
        <v>129</v>
      </c>
      <c r="J69" s="127"/>
      <c r="K69" s="128"/>
      <c r="L69" s="128"/>
      <c r="M69" s="128"/>
      <c r="N69" s="129"/>
      <c r="O69" s="88"/>
      <c r="P69" s="88"/>
      <c r="Q69" s="88"/>
      <c r="R69" s="88"/>
      <c r="S69" s="88"/>
    </row>
    <row r="70" spans="1:19" ht="18" customHeight="1" x14ac:dyDescent="0.15">
      <c r="A70" s="83"/>
      <c r="B70" s="130"/>
      <c r="C70" s="131"/>
      <c r="D70" s="131"/>
      <c r="E70" s="87"/>
      <c r="F70" s="87"/>
      <c r="G70" s="87"/>
      <c r="H70" s="87"/>
      <c r="I70" s="87"/>
      <c r="J70" s="130"/>
      <c r="K70" s="131"/>
      <c r="L70" s="131"/>
      <c r="M70" s="131"/>
      <c r="N70" s="132"/>
      <c r="O70" s="87"/>
      <c r="P70" s="87"/>
      <c r="Q70" s="87"/>
      <c r="R70" s="87"/>
      <c r="S70" s="87"/>
    </row>
    <row r="71" spans="1:19" ht="18" customHeight="1" x14ac:dyDescent="0.15">
      <c r="A71" s="83"/>
      <c r="B71" s="130"/>
      <c r="C71" s="131"/>
      <c r="D71" s="131"/>
      <c r="E71" s="87"/>
      <c r="F71" s="87"/>
      <c r="G71" s="87"/>
      <c r="H71" s="87"/>
      <c r="I71" s="87"/>
      <c r="J71" s="130"/>
      <c r="K71" s="131"/>
      <c r="L71" s="131"/>
      <c r="M71" s="131"/>
      <c r="N71" s="132"/>
      <c r="O71" s="87"/>
      <c r="P71" s="87"/>
      <c r="Q71" s="87"/>
      <c r="R71" s="87"/>
      <c r="S71" s="87"/>
    </row>
    <row r="72" spans="1:19" ht="18" customHeight="1" x14ac:dyDescent="0.15">
      <c r="A72" s="83"/>
      <c r="B72" s="130"/>
      <c r="C72" s="131"/>
      <c r="D72" s="131"/>
      <c r="E72" s="87"/>
      <c r="F72" s="87"/>
      <c r="G72" s="87"/>
      <c r="H72" s="87"/>
      <c r="I72" s="87"/>
      <c r="J72" s="130"/>
      <c r="K72" s="131"/>
      <c r="L72" s="131"/>
      <c r="M72" s="131"/>
      <c r="N72" s="132"/>
      <c r="O72" s="87"/>
      <c r="P72" s="87"/>
      <c r="Q72" s="87"/>
      <c r="R72" s="87"/>
      <c r="S72" s="87"/>
    </row>
    <row r="73" spans="1:19" ht="18" customHeight="1" x14ac:dyDescent="0.15">
      <c r="A73" s="83"/>
      <c r="B73" s="130"/>
      <c r="C73" s="131"/>
      <c r="D73" s="131"/>
      <c r="E73" s="87"/>
      <c r="F73" s="87"/>
      <c r="G73" s="87"/>
      <c r="H73" s="87"/>
      <c r="I73" s="87"/>
      <c r="J73" s="130"/>
      <c r="K73" s="131"/>
      <c r="L73" s="131"/>
      <c r="M73" s="131"/>
      <c r="N73" s="132"/>
      <c r="O73" s="87"/>
      <c r="P73" s="87"/>
      <c r="Q73" s="87"/>
      <c r="R73" s="87"/>
      <c r="S73" s="87"/>
    </row>
    <row r="74" spans="1:19" ht="18" customHeight="1" x14ac:dyDescent="0.15">
      <c r="A74" s="83"/>
      <c r="B74" s="130"/>
      <c r="C74" s="131"/>
      <c r="D74" s="131"/>
      <c r="E74" s="87"/>
      <c r="F74" s="87"/>
      <c r="G74" s="87"/>
      <c r="H74" s="87"/>
      <c r="I74" s="87"/>
      <c r="J74" s="130"/>
      <c r="K74" s="131"/>
      <c r="L74" s="131"/>
      <c r="M74" s="131"/>
      <c r="N74" s="132"/>
      <c r="O74" s="87"/>
      <c r="P74" s="87"/>
      <c r="Q74" s="87"/>
      <c r="R74" s="87"/>
      <c r="S74" s="87"/>
    </row>
    <row r="75" spans="1:19" ht="18" customHeight="1" x14ac:dyDescent="0.15">
      <c r="A75" s="83"/>
      <c r="B75" s="133"/>
      <c r="C75" s="134"/>
      <c r="D75" s="134"/>
      <c r="E75" s="86"/>
      <c r="F75" s="86"/>
      <c r="G75" s="85"/>
      <c r="H75" s="85"/>
      <c r="I75" s="85"/>
      <c r="J75" s="133"/>
      <c r="K75" s="134"/>
      <c r="L75" s="134"/>
      <c r="M75" s="134"/>
      <c r="N75" s="135"/>
      <c r="O75" s="86"/>
      <c r="P75" s="86"/>
      <c r="Q75" s="85"/>
      <c r="R75" s="85"/>
      <c r="S75" s="85"/>
    </row>
    <row r="76" spans="1:19" ht="7.5" customHeight="1" x14ac:dyDescent="0.15">
      <c r="B76" s="84"/>
      <c r="C76" s="84"/>
      <c r="D76" s="84"/>
      <c r="E76" s="84"/>
      <c r="F76" s="84"/>
      <c r="G76" s="84"/>
      <c r="H76" s="84"/>
      <c r="I76" s="84"/>
      <c r="J76" s="84"/>
      <c r="K76" s="84"/>
      <c r="L76" s="84"/>
      <c r="M76" s="84"/>
      <c r="N76" s="84"/>
      <c r="O76" s="84"/>
      <c r="P76" s="84"/>
      <c r="Q76" s="84"/>
      <c r="R76" s="84"/>
    </row>
    <row r="77" spans="1:19" ht="18" customHeight="1" x14ac:dyDescent="0.15">
      <c r="A77" s="74" t="s">
        <v>119</v>
      </c>
      <c r="H77" s="83"/>
      <c r="I77" s="83"/>
      <c r="J77" s="83"/>
      <c r="K77" s="83"/>
      <c r="L77" s="83"/>
      <c r="M77" s="83"/>
      <c r="N77" s="83"/>
      <c r="O77" s="83"/>
      <c r="P77" s="83"/>
      <c r="Q77" s="83"/>
      <c r="R77" s="83"/>
      <c r="S77" s="83"/>
    </row>
    <row r="78" spans="1:19" ht="18" customHeight="1" x14ac:dyDescent="0.15">
      <c r="B78" s="101" t="s">
        <v>54</v>
      </c>
      <c r="C78" s="102"/>
      <c r="D78" s="102"/>
      <c r="E78" s="103"/>
      <c r="F78" s="101" t="s">
        <v>83</v>
      </c>
      <c r="G78" s="102"/>
      <c r="H78" s="102"/>
      <c r="I78" s="103"/>
      <c r="J78" s="136" t="s">
        <v>54</v>
      </c>
      <c r="K78" s="137"/>
      <c r="L78" s="137"/>
      <c r="M78" s="137"/>
      <c r="N78" s="137"/>
      <c r="O78" s="138"/>
      <c r="P78" s="101" t="s">
        <v>83</v>
      </c>
      <c r="Q78" s="102"/>
      <c r="R78" s="102"/>
      <c r="S78" s="103"/>
    </row>
    <row r="79" spans="1:19" ht="18" customHeight="1" x14ac:dyDescent="0.15">
      <c r="A79" s="83"/>
      <c r="B79" s="127"/>
      <c r="C79" s="128"/>
      <c r="D79" s="128"/>
      <c r="E79" s="129"/>
      <c r="F79" s="139"/>
      <c r="G79" s="140"/>
      <c r="H79" s="140"/>
      <c r="I79" s="141"/>
      <c r="J79" s="127"/>
      <c r="K79" s="128"/>
      <c r="L79" s="128"/>
      <c r="M79" s="128"/>
      <c r="N79" s="128"/>
      <c r="O79" s="129"/>
      <c r="P79" s="139"/>
      <c r="Q79" s="140"/>
      <c r="R79" s="140"/>
      <c r="S79" s="141"/>
    </row>
    <row r="80" spans="1:19" ht="18" customHeight="1" x14ac:dyDescent="0.15">
      <c r="A80" s="83"/>
      <c r="B80" s="130"/>
      <c r="C80" s="131"/>
      <c r="D80" s="131"/>
      <c r="E80" s="132"/>
      <c r="F80" s="142"/>
      <c r="G80" s="143"/>
      <c r="H80" s="143"/>
      <c r="I80" s="144"/>
      <c r="J80" s="130"/>
      <c r="K80" s="131"/>
      <c r="L80" s="131"/>
      <c r="M80" s="131"/>
      <c r="N80" s="131"/>
      <c r="O80" s="132"/>
      <c r="P80" s="142"/>
      <c r="Q80" s="143"/>
      <c r="R80" s="143"/>
      <c r="S80" s="144"/>
    </row>
    <row r="81" spans="1:19" ht="18" customHeight="1" x14ac:dyDescent="0.15">
      <c r="A81" s="83"/>
      <c r="B81" s="130"/>
      <c r="C81" s="131"/>
      <c r="D81" s="131"/>
      <c r="E81" s="132"/>
      <c r="F81" s="142"/>
      <c r="G81" s="143"/>
      <c r="H81" s="143"/>
      <c r="I81" s="144"/>
      <c r="J81" s="130"/>
      <c r="K81" s="131"/>
      <c r="L81" s="131"/>
      <c r="M81" s="131"/>
      <c r="N81" s="131"/>
      <c r="O81" s="132"/>
      <c r="P81" s="142"/>
      <c r="Q81" s="143"/>
      <c r="R81" s="143"/>
      <c r="S81" s="144"/>
    </row>
    <row r="82" spans="1:19" ht="18" customHeight="1" x14ac:dyDescent="0.15">
      <c r="A82" s="83"/>
      <c r="B82" s="130"/>
      <c r="C82" s="131"/>
      <c r="D82" s="131"/>
      <c r="E82" s="132"/>
      <c r="F82" s="142"/>
      <c r="G82" s="143"/>
      <c r="H82" s="143"/>
      <c r="I82" s="144"/>
      <c r="J82" s="130"/>
      <c r="K82" s="131"/>
      <c r="L82" s="131"/>
      <c r="M82" s="131"/>
      <c r="N82" s="131"/>
      <c r="O82" s="132"/>
      <c r="P82" s="142"/>
      <c r="Q82" s="143"/>
      <c r="R82" s="143"/>
      <c r="S82" s="144"/>
    </row>
    <row r="83" spans="1:19" ht="18" customHeight="1" x14ac:dyDescent="0.15">
      <c r="A83" s="83"/>
      <c r="B83" s="130"/>
      <c r="C83" s="131"/>
      <c r="D83" s="131"/>
      <c r="E83" s="132"/>
      <c r="F83" s="142"/>
      <c r="G83" s="143"/>
      <c r="H83" s="143"/>
      <c r="I83" s="144"/>
      <c r="J83" s="130"/>
      <c r="K83" s="131"/>
      <c r="L83" s="131"/>
      <c r="M83" s="131"/>
      <c r="N83" s="131"/>
      <c r="O83" s="132"/>
      <c r="P83" s="142"/>
      <c r="Q83" s="143"/>
      <c r="R83" s="143"/>
      <c r="S83" s="144"/>
    </row>
    <row r="84" spans="1:19" ht="18" customHeight="1" x14ac:dyDescent="0.15">
      <c r="A84" s="83"/>
      <c r="B84" s="130"/>
      <c r="C84" s="131"/>
      <c r="D84" s="131"/>
      <c r="E84" s="132"/>
      <c r="F84" s="142"/>
      <c r="G84" s="143"/>
      <c r="H84" s="143"/>
      <c r="I84" s="144"/>
      <c r="J84" s="130"/>
      <c r="K84" s="131"/>
      <c r="L84" s="131"/>
      <c r="M84" s="131"/>
      <c r="N84" s="131"/>
      <c r="O84" s="132"/>
      <c r="P84" s="142"/>
      <c r="Q84" s="143"/>
      <c r="R84" s="143"/>
      <c r="S84" s="144"/>
    </row>
    <row r="85" spans="1:19" ht="18" customHeight="1" x14ac:dyDescent="0.15">
      <c r="A85" s="83"/>
      <c r="B85" s="133"/>
      <c r="C85" s="134"/>
      <c r="D85" s="134"/>
      <c r="E85" s="135"/>
      <c r="F85" s="145"/>
      <c r="G85" s="146"/>
      <c r="H85" s="146"/>
      <c r="I85" s="147"/>
      <c r="J85" s="133"/>
      <c r="K85" s="134"/>
      <c r="L85" s="134"/>
      <c r="M85" s="134"/>
      <c r="N85" s="134"/>
      <c r="O85" s="135"/>
      <c r="P85" s="145"/>
      <c r="Q85" s="146"/>
      <c r="R85" s="146"/>
      <c r="S85" s="147"/>
    </row>
    <row r="86" spans="1:19" ht="18" customHeight="1" x14ac:dyDescent="0.15">
      <c r="A86" s="83"/>
      <c r="B86" s="82"/>
      <c r="C86" s="82"/>
      <c r="D86" s="82"/>
      <c r="E86" s="82"/>
      <c r="F86" s="81"/>
      <c r="G86" s="81"/>
      <c r="H86" s="81"/>
      <c r="I86" s="81"/>
      <c r="J86" s="82"/>
      <c r="K86" s="82"/>
      <c r="L86" s="82"/>
      <c r="M86" s="82"/>
      <c r="N86" s="82"/>
      <c r="O86" s="82"/>
      <c r="P86" s="81"/>
      <c r="Q86" s="81"/>
      <c r="R86" s="81"/>
      <c r="S86" s="81"/>
    </row>
    <row r="87" spans="1:19" ht="18.75" customHeight="1" x14ac:dyDescent="0.15">
      <c r="A87" s="74" t="s">
        <v>120</v>
      </c>
    </row>
    <row r="88" spans="1:19" ht="18.75" customHeight="1" x14ac:dyDescent="0.15">
      <c r="B88" s="151" t="s">
        <v>55</v>
      </c>
      <c r="C88" s="152"/>
      <c r="D88" s="102" t="s">
        <v>56</v>
      </c>
      <c r="E88" s="102"/>
      <c r="F88" s="102"/>
      <c r="G88" s="102"/>
      <c r="H88" s="102"/>
      <c r="I88" s="102"/>
      <c r="J88" s="102"/>
      <c r="K88" s="102"/>
      <c r="L88" s="102"/>
      <c r="M88" s="102"/>
      <c r="N88" s="102"/>
      <c r="O88" s="102"/>
      <c r="P88" s="102"/>
      <c r="Q88" s="102"/>
      <c r="R88" s="102"/>
      <c r="S88" s="103"/>
    </row>
    <row r="89" spans="1:19" ht="141.4" customHeight="1" x14ac:dyDescent="0.15">
      <c r="B89" s="153" t="s">
        <v>62</v>
      </c>
      <c r="C89" s="79" t="s">
        <v>57</v>
      </c>
      <c r="D89" s="155" t="s">
        <v>173</v>
      </c>
      <c r="E89" s="156"/>
      <c r="F89" s="156"/>
      <c r="G89" s="156"/>
      <c r="H89" s="156"/>
      <c r="I89" s="156"/>
      <c r="J89" s="156"/>
      <c r="K89" s="156"/>
      <c r="L89" s="156"/>
      <c r="M89" s="156"/>
      <c r="N89" s="156"/>
      <c r="O89" s="156"/>
      <c r="P89" s="156"/>
      <c r="Q89" s="156"/>
      <c r="R89" s="156"/>
      <c r="S89" s="157"/>
    </row>
    <row r="90" spans="1:19" ht="105" customHeight="1" x14ac:dyDescent="0.15">
      <c r="B90" s="154"/>
      <c r="C90" s="80" t="s">
        <v>78</v>
      </c>
      <c r="D90" s="158" t="s">
        <v>172</v>
      </c>
      <c r="E90" s="158"/>
      <c r="F90" s="158"/>
      <c r="G90" s="158"/>
      <c r="H90" s="158"/>
      <c r="I90" s="158"/>
      <c r="J90" s="158"/>
      <c r="K90" s="158"/>
      <c r="L90" s="158"/>
      <c r="M90" s="158"/>
      <c r="N90" s="158"/>
      <c r="O90" s="158"/>
      <c r="P90" s="158"/>
      <c r="Q90" s="158"/>
      <c r="R90" s="158"/>
      <c r="S90" s="159"/>
    </row>
    <row r="91" spans="1:19" ht="143.25" customHeight="1" x14ac:dyDescent="0.15">
      <c r="B91" s="153" t="s">
        <v>63</v>
      </c>
      <c r="C91" s="77" t="s">
        <v>72</v>
      </c>
      <c r="D91" s="161" t="s">
        <v>171</v>
      </c>
      <c r="E91" s="162"/>
      <c r="F91" s="162"/>
      <c r="G91" s="162"/>
      <c r="H91" s="162"/>
      <c r="I91" s="162"/>
      <c r="J91" s="162"/>
      <c r="K91" s="162"/>
      <c r="L91" s="162"/>
      <c r="M91" s="162"/>
      <c r="N91" s="162"/>
      <c r="O91" s="162"/>
      <c r="P91" s="162"/>
      <c r="Q91" s="162"/>
      <c r="R91" s="162"/>
      <c r="S91" s="163"/>
    </row>
    <row r="92" spans="1:19" ht="149.65" customHeight="1" x14ac:dyDescent="0.15">
      <c r="B92" s="160"/>
      <c r="C92" s="78" t="s">
        <v>73</v>
      </c>
      <c r="D92" s="148" t="s">
        <v>170</v>
      </c>
      <c r="E92" s="149"/>
      <c r="F92" s="149"/>
      <c r="G92" s="149"/>
      <c r="H92" s="149"/>
      <c r="I92" s="149"/>
      <c r="J92" s="149"/>
      <c r="K92" s="149"/>
      <c r="L92" s="149"/>
      <c r="M92" s="149"/>
      <c r="N92" s="149"/>
      <c r="O92" s="149"/>
      <c r="P92" s="149"/>
      <c r="Q92" s="149"/>
      <c r="R92" s="149"/>
      <c r="S92" s="150"/>
    </row>
    <row r="93" spans="1:19" ht="215.65" customHeight="1" x14ac:dyDescent="0.15">
      <c r="B93" s="153" t="s">
        <v>64</v>
      </c>
      <c r="C93" s="77" t="s">
        <v>74</v>
      </c>
      <c r="D93" s="161" t="s">
        <v>169</v>
      </c>
      <c r="E93" s="162"/>
      <c r="F93" s="162"/>
      <c r="G93" s="162"/>
      <c r="H93" s="162"/>
      <c r="I93" s="162"/>
      <c r="J93" s="162"/>
      <c r="K93" s="162"/>
      <c r="L93" s="162"/>
      <c r="M93" s="162"/>
      <c r="N93" s="162"/>
      <c r="O93" s="162"/>
      <c r="P93" s="162"/>
      <c r="Q93" s="162"/>
      <c r="R93" s="162"/>
      <c r="S93" s="163"/>
    </row>
    <row r="94" spans="1:19" ht="203.65" customHeight="1" x14ac:dyDescent="0.15">
      <c r="B94" s="160"/>
      <c r="C94" s="75" t="s">
        <v>75</v>
      </c>
      <c r="D94" s="172" t="s">
        <v>168</v>
      </c>
      <c r="E94" s="173"/>
      <c r="F94" s="173"/>
      <c r="G94" s="173"/>
      <c r="H94" s="173"/>
      <c r="I94" s="173"/>
      <c r="J94" s="173"/>
      <c r="K94" s="173"/>
      <c r="L94" s="173"/>
      <c r="M94" s="173"/>
      <c r="N94" s="173"/>
      <c r="O94" s="173"/>
      <c r="P94" s="173"/>
      <c r="Q94" s="173"/>
      <c r="R94" s="173"/>
      <c r="S94" s="174"/>
    </row>
    <row r="95" spans="1:19" ht="241.9" customHeight="1" x14ac:dyDescent="0.15">
      <c r="B95" s="153" t="s">
        <v>79</v>
      </c>
      <c r="C95" s="79" t="s">
        <v>59</v>
      </c>
      <c r="D95" s="155" t="s">
        <v>167</v>
      </c>
      <c r="E95" s="156"/>
      <c r="F95" s="156"/>
      <c r="G95" s="156"/>
      <c r="H95" s="156"/>
      <c r="I95" s="156"/>
      <c r="J95" s="156"/>
      <c r="K95" s="156"/>
      <c r="L95" s="156"/>
      <c r="M95" s="156"/>
      <c r="N95" s="156"/>
      <c r="O95" s="156"/>
      <c r="P95" s="156"/>
      <c r="Q95" s="156"/>
      <c r="R95" s="156"/>
      <c r="S95" s="157"/>
    </row>
    <row r="96" spans="1:19" ht="130.9" customHeight="1" x14ac:dyDescent="0.15">
      <c r="B96" s="160"/>
      <c r="C96" s="78" t="s">
        <v>61</v>
      </c>
      <c r="D96" s="148" t="s">
        <v>166</v>
      </c>
      <c r="E96" s="149"/>
      <c r="F96" s="149"/>
      <c r="G96" s="149"/>
      <c r="H96" s="149"/>
      <c r="I96" s="149"/>
      <c r="J96" s="149"/>
      <c r="K96" s="149"/>
      <c r="L96" s="149"/>
      <c r="M96" s="149"/>
      <c r="N96" s="149"/>
      <c r="O96" s="149"/>
      <c r="P96" s="149"/>
      <c r="Q96" s="149"/>
      <c r="R96" s="149"/>
      <c r="S96" s="150"/>
    </row>
    <row r="97" spans="1:19" ht="255.75" customHeight="1" x14ac:dyDescent="0.15">
      <c r="B97" s="153" t="s">
        <v>80</v>
      </c>
      <c r="C97" s="77" t="s">
        <v>58</v>
      </c>
      <c r="D97" s="164" t="s">
        <v>165</v>
      </c>
      <c r="E97" s="128"/>
      <c r="F97" s="128"/>
      <c r="G97" s="128"/>
      <c r="H97" s="128"/>
      <c r="I97" s="128"/>
      <c r="J97" s="128"/>
      <c r="K97" s="128"/>
      <c r="L97" s="128"/>
      <c r="M97" s="128"/>
      <c r="N97" s="128"/>
      <c r="O97" s="128"/>
      <c r="P97" s="128"/>
      <c r="Q97" s="128"/>
      <c r="R97" s="128"/>
      <c r="S97" s="129"/>
    </row>
    <row r="98" spans="1:19" ht="107.25" customHeight="1" x14ac:dyDescent="0.15">
      <c r="B98" s="154"/>
      <c r="C98" s="76" t="s">
        <v>76</v>
      </c>
      <c r="D98" s="165" t="s">
        <v>164</v>
      </c>
      <c r="E98" s="131"/>
      <c r="F98" s="131"/>
      <c r="G98" s="131"/>
      <c r="H98" s="131"/>
      <c r="I98" s="131"/>
      <c r="J98" s="131"/>
      <c r="K98" s="131"/>
      <c r="L98" s="131"/>
      <c r="M98" s="131"/>
      <c r="N98" s="131"/>
      <c r="O98" s="131"/>
      <c r="P98" s="131"/>
      <c r="Q98" s="131"/>
      <c r="R98" s="131"/>
      <c r="S98" s="132"/>
    </row>
    <row r="99" spans="1:19" ht="144" customHeight="1" x14ac:dyDescent="0.15">
      <c r="B99" s="160"/>
      <c r="C99" s="75" t="s">
        <v>77</v>
      </c>
      <c r="D99" s="166" t="s">
        <v>163</v>
      </c>
      <c r="E99" s="167"/>
      <c r="F99" s="167"/>
      <c r="G99" s="167"/>
      <c r="H99" s="167"/>
      <c r="I99" s="167"/>
      <c r="J99" s="167"/>
      <c r="K99" s="167"/>
      <c r="L99" s="167"/>
      <c r="M99" s="167"/>
      <c r="N99" s="167"/>
      <c r="O99" s="167"/>
      <c r="P99" s="167"/>
      <c r="Q99" s="167"/>
      <c r="R99" s="167"/>
      <c r="S99" s="168"/>
    </row>
    <row r="100" spans="1:19" ht="24.4" customHeight="1" x14ac:dyDescent="0.15"/>
    <row r="101" spans="1:19" ht="18.75" customHeight="1" x14ac:dyDescent="0.15">
      <c r="A101" s="74" t="s">
        <v>121</v>
      </c>
    </row>
    <row r="102" spans="1:19" ht="126.4" customHeight="1" x14ac:dyDescent="0.15">
      <c r="B102" s="169" t="s">
        <v>162</v>
      </c>
      <c r="C102" s="170"/>
      <c r="D102" s="170"/>
      <c r="E102" s="170"/>
      <c r="F102" s="170"/>
      <c r="G102" s="170"/>
      <c r="H102" s="170"/>
      <c r="I102" s="170"/>
      <c r="J102" s="170"/>
      <c r="K102" s="170"/>
      <c r="L102" s="170"/>
      <c r="M102" s="170"/>
      <c r="N102" s="170"/>
      <c r="O102" s="170"/>
      <c r="P102" s="170"/>
      <c r="Q102" s="170"/>
      <c r="R102" s="170"/>
      <c r="S102" s="171"/>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B84:E84"/>
    <mergeCell ref="F84:I84"/>
    <mergeCell ref="J84:O84"/>
    <mergeCell ref="P84:S84"/>
    <mergeCell ref="B85:E85"/>
    <mergeCell ref="F85:I85"/>
    <mergeCell ref="J85:O85"/>
    <mergeCell ref="P85:S85"/>
    <mergeCell ref="D96:S96"/>
    <mergeCell ref="B88:C88"/>
    <mergeCell ref="D88:S88"/>
    <mergeCell ref="B89:B90"/>
    <mergeCell ref="D89:S89"/>
    <mergeCell ref="D90:S90"/>
    <mergeCell ref="B91:B92"/>
    <mergeCell ref="D91:S91"/>
    <mergeCell ref="D92:S92"/>
    <mergeCell ref="B81:E81"/>
    <mergeCell ref="F81:I81"/>
    <mergeCell ref="J81:O81"/>
    <mergeCell ref="P81:S81"/>
    <mergeCell ref="B82:E82"/>
    <mergeCell ref="F82:I82"/>
    <mergeCell ref="J82:O82"/>
    <mergeCell ref="P82:S82"/>
    <mergeCell ref="B83:E83"/>
    <mergeCell ref="F83:I83"/>
    <mergeCell ref="J83:O83"/>
    <mergeCell ref="P83:S83"/>
    <mergeCell ref="B78:E78"/>
    <mergeCell ref="F78:I78"/>
    <mergeCell ref="J78:O78"/>
    <mergeCell ref="P78:S78"/>
    <mergeCell ref="B79:E79"/>
    <mergeCell ref="F79:I79"/>
    <mergeCell ref="J79:O79"/>
    <mergeCell ref="P79:S79"/>
    <mergeCell ref="B80:E80"/>
    <mergeCell ref="F80:I80"/>
    <mergeCell ref="J80:O80"/>
    <mergeCell ref="P80:S80"/>
    <mergeCell ref="B71:D71"/>
    <mergeCell ref="J71:N71"/>
    <mergeCell ref="B72:D72"/>
    <mergeCell ref="J72:N72"/>
    <mergeCell ref="B73:D73"/>
    <mergeCell ref="J73:N73"/>
    <mergeCell ref="B74:D74"/>
    <mergeCell ref="J74:N74"/>
    <mergeCell ref="B75:D75"/>
    <mergeCell ref="J75:N75"/>
    <mergeCell ref="B64:E64"/>
    <mergeCell ref="J64:O64"/>
    <mergeCell ref="A66:S67"/>
    <mergeCell ref="B68:D68"/>
    <mergeCell ref="J68:N68"/>
    <mergeCell ref="B69:D69"/>
    <mergeCell ref="J69:N69"/>
    <mergeCell ref="B70:D70"/>
    <mergeCell ref="J70:N70"/>
    <mergeCell ref="B59:E59"/>
    <mergeCell ref="J59:O59"/>
    <mergeCell ref="B60:E60"/>
    <mergeCell ref="J60:O60"/>
    <mergeCell ref="B61:E61"/>
    <mergeCell ref="J61:O61"/>
    <mergeCell ref="B62:E62"/>
    <mergeCell ref="J62:O62"/>
    <mergeCell ref="B63:E63"/>
    <mergeCell ref="J63:O63"/>
    <mergeCell ref="B52:E52"/>
    <mergeCell ref="J52:O52"/>
    <mergeCell ref="B53:E53"/>
    <mergeCell ref="J53:O53"/>
    <mergeCell ref="A55:S56"/>
    <mergeCell ref="B57:E57"/>
    <mergeCell ref="J57:O57"/>
    <mergeCell ref="B58:E58"/>
    <mergeCell ref="J58:O58"/>
    <mergeCell ref="B47:E47"/>
    <mergeCell ref="J47:O47"/>
    <mergeCell ref="B48:E48"/>
    <mergeCell ref="J48:O48"/>
    <mergeCell ref="B49:E49"/>
    <mergeCell ref="J49:O49"/>
    <mergeCell ref="B50:E50"/>
    <mergeCell ref="J50:O50"/>
    <mergeCell ref="B51:E51"/>
    <mergeCell ref="J51:O51"/>
    <mergeCell ref="B40:E40"/>
    <mergeCell ref="J40:O40"/>
    <mergeCell ref="B41:E41"/>
    <mergeCell ref="J41:O41"/>
    <mergeCell ref="B42:E42"/>
    <mergeCell ref="J42:O42"/>
    <mergeCell ref="A44:S45"/>
    <mergeCell ref="B46:E46"/>
    <mergeCell ref="J46:O46"/>
    <mergeCell ref="B35:E35"/>
    <mergeCell ref="J35:O35"/>
    <mergeCell ref="B36:E36"/>
    <mergeCell ref="J36:O36"/>
    <mergeCell ref="B37:E37"/>
    <mergeCell ref="J37:O37"/>
    <mergeCell ref="B38:E38"/>
    <mergeCell ref="J38:O38"/>
    <mergeCell ref="B39:E39"/>
    <mergeCell ref="J39:O39"/>
    <mergeCell ref="B28:E28"/>
    <mergeCell ref="J28:O28"/>
    <mergeCell ref="B29:E29"/>
    <mergeCell ref="J29:O29"/>
    <mergeCell ref="B30:E30"/>
    <mergeCell ref="J30:O30"/>
    <mergeCell ref="B31:E31"/>
    <mergeCell ref="J31:O31"/>
    <mergeCell ref="A33:S34"/>
    <mergeCell ref="A22:S23"/>
    <mergeCell ref="B24:E24"/>
    <mergeCell ref="J24:O24"/>
    <mergeCell ref="B25:E25"/>
    <mergeCell ref="J25:O25"/>
    <mergeCell ref="B26:E26"/>
    <mergeCell ref="J26:O26"/>
    <mergeCell ref="B27:E27"/>
    <mergeCell ref="J27:O27"/>
    <mergeCell ref="R1:S1"/>
    <mergeCell ref="C2:I2"/>
    <mergeCell ref="C3:I3"/>
    <mergeCell ref="A5:S5"/>
    <mergeCell ref="K7:S7"/>
    <mergeCell ref="B9:S10"/>
    <mergeCell ref="B13:S18"/>
    <mergeCell ref="C20:D20"/>
    <mergeCell ref="K20:S2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3415AADD-DAFD-413A-832F-98EF88BE6CF8}">
      <formula1>"○"</formula1>
    </dataValidation>
    <dataValidation type="list" allowBlank="1" showInputMessage="1" showErrorMessage="1" sqref="S32 S43 D32:G32 D43:G43" xr:uid="{83F306F3-0D3B-4DDA-AD21-58777646648B}">
      <formula1>"全学開講,一部開講"</formula1>
    </dataValidation>
    <dataValidation type="list" allowBlank="1" showInputMessage="1" showErrorMessage="1" sqref="K7 K12" xr:uid="{D9451DAA-3C98-4EE6-9C01-3F5DEBE0B304}">
      <formula1>"学部・学科によって、修了要件は相違する,学部・学科によって、修了要件は相違しない"</formula1>
    </dataValidation>
    <dataValidation type="list" allowBlank="1" showInputMessage="1" showErrorMessage="1" sqref="F79:F86 P79:P86 G79:I80 G83:I86 Q83:S86 Q79:S80" xr:uid="{3BDAAE70-C289-4634-BB04-E3E828CEAB4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E08D734E-74DD-455A-9A26-39DBAA176303}">
      <formula1>$V$14:$V$16</formula1>
    </dataValidation>
  </dataValidations>
  <printOptions horizontalCentered="1"/>
  <pageMargins left="0.78740157480314965" right="0.78740157480314965" top="0.78740157480314965" bottom="0.19685039370078741" header="0.31496062992125984" footer="0.19685039370078741"/>
  <pageSetup paperSize="9" scale="81" fitToHeight="0" orientation="portrait" r:id="rId1"/>
  <headerFooter>
    <oddHeader>&amp;C数理・データサイエンス・AI教育プログラム認定制度【リテラシーレベル】</oddHeader>
  </headerFooter>
  <rowBreaks count="4" manualBreakCount="4">
    <brk id="54" max="18" man="1"/>
    <brk id="90" max="18" man="1"/>
    <brk id="94" max="18" man="1"/>
    <brk id="100"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zoomScaleNormal="100" zoomScaleSheetLayoutView="100" workbookViewId="0">
      <selection activeCell="AM2" sqref="AM2:AQ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17"/>
      <c r="Q2" s="17"/>
      <c r="W2" s="17"/>
      <c r="AC2" s="17"/>
      <c r="AI2" s="17"/>
      <c r="AL2" s="17" t="s">
        <v>109</v>
      </c>
      <c r="AM2" s="178" t="str">
        <f>'様式１　プログラムを構成する授業科目 '!C2</f>
        <v>流通科学大学</v>
      </c>
      <c r="AN2" s="178"/>
      <c r="AO2" s="178"/>
      <c r="AP2" s="178"/>
      <c r="AQ2" s="178"/>
    </row>
    <row r="3" spans="1:45" ht="18" customHeight="1" x14ac:dyDescent="0.15">
      <c r="A3" s="179" t="s">
        <v>48</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80" t="s">
        <v>145</v>
      </c>
      <c r="D5" s="181"/>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4"/>
      <c r="AQ5" s="4"/>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2" t="s">
        <v>45</v>
      </c>
      <c r="C9" s="197" t="s">
        <v>87</v>
      </c>
      <c r="D9" s="185" t="s">
        <v>47</v>
      </c>
      <c r="E9" s="188" t="s">
        <v>40</v>
      </c>
      <c r="F9" s="177" t="s">
        <v>86</v>
      </c>
      <c r="G9" s="177"/>
      <c r="H9" s="177"/>
      <c r="I9" s="177"/>
      <c r="J9" s="177"/>
      <c r="K9" s="177"/>
      <c r="L9" s="177" t="s">
        <v>49</v>
      </c>
      <c r="M9" s="177"/>
      <c r="N9" s="177"/>
      <c r="O9" s="177"/>
      <c r="P9" s="177"/>
      <c r="Q9" s="177"/>
      <c r="R9" s="177" t="s">
        <v>50</v>
      </c>
      <c r="S9" s="177"/>
      <c r="T9" s="177"/>
      <c r="U9" s="177"/>
      <c r="V9" s="177"/>
      <c r="W9" s="177"/>
      <c r="X9" s="177" t="s">
        <v>101</v>
      </c>
      <c r="Y9" s="177"/>
      <c r="Z9" s="177"/>
      <c r="AA9" s="177"/>
      <c r="AB9" s="177"/>
      <c r="AC9" s="177"/>
      <c r="AD9" s="177" t="s">
        <v>51</v>
      </c>
      <c r="AE9" s="177"/>
      <c r="AF9" s="177"/>
      <c r="AG9" s="177"/>
      <c r="AH9" s="177"/>
      <c r="AI9" s="177"/>
      <c r="AJ9" s="177" t="s">
        <v>52</v>
      </c>
      <c r="AK9" s="177"/>
      <c r="AL9" s="177"/>
      <c r="AM9" s="177"/>
      <c r="AN9" s="177"/>
      <c r="AO9" s="177"/>
      <c r="AP9" s="191" t="s">
        <v>35</v>
      </c>
      <c r="AQ9" s="194" t="s">
        <v>32</v>
      </c>
      <c r="AS9" s="2"/>
    </row>
    <row r="10" spans="1:45" ht="17.100000000000001" customHeight="1" x14ac:dyDescent="0.15">
      <c r="B10" s="183"/>
      <c r="C10" s="198"/>
      <c r="D10" s="186"/>
      <c r="E10" s="189"/>
      <c r="F10" s="175" t="s">
        <v>97</v>
      </c>
      <c r="G10" s="176"/>
      <c r="H10" s="176"/>
      <c r="I10" s="175" t="s">
        <v>29</v>
      </c>
      <c r="J10" s="176"/>
      <c r="K10" s="176"/>
      <c r="L10" s="175" t="s">
        <v>97</v>
      </c>
      <c r="M10" s="176"/>
      <c r="N10" s="176"/>
      <c r="O10" s="175" t="s">
        <v>29</v>
      </c>
      <c r="P10" s="176"/>
      <c r="Q10" s="176"/>
      <c r="R10" s="175" t="s">
        <v>97</v>
      </c>
      <c r="S10" s="176"/>
      <c r="T10" s="176"/>
      <c r="U10" s="175" t="s">
        <v>29</v>
      </c>
      <c r="V10" s="176"/>
      <c r="W10" s="176"/>
      <c r="X10" s="175" t="s">
        <v>97</v>
      </c>
      <c r="Y10" s="176"/>
      <c r="Z10" s="176"/>
      <c r="AA10" s="175" t="s">
        <v>29</v>
      </c>
      <c r="AB10" s="176"/>
      <c r="AC10" s="176"/>
      <c r="AD10" s="175" t="s">
        <v>97</v>
      </c>
      <c r="AE10" s="176"/>
      <c r="AF10" s="176"/>
      <c r="AG10" s="175" t="s">
        <v>29</v>
      </c>
      <c r="AH10" s="176"/>
      <c r="AI10" s="176"/>
      <c r="AJ10" s="175" t="s">
        <v>97</v>
      </c>
      <c r="AK10" s="176"/>
      <c r="AL10" s="176"/>
      <c r="AM10" s="175" t="s">
        <v>29</v>
      </c>
      <c r="AN10" s="176"/>
      <c r="AO10" s="176"/>
      <c r="AP10" s="192"/>
      <c r="AQ10" s="195"/>
      <c r="AS10" s="2"/>
    </row>
    <row r="11" spans="1:45" ht="18" customHeight="1" x14ac:dyDescent="0.15">
      <c r="B11" s="184"/>
      <c r="C11" s="199"/>
      <c r="D11" s="187"/>
      <c r="E11" s="190"/>
      <c r="F11" s="12" t="s">
        <v>98</v>
      </c>
      <c r="G11" s="13" t="s">
        <v>99</v>
      </c>
      <c r="H11" s="14" t="s">
        <v>100</v>
      </c>
      <c r="I11" s="12" t="s">
        <v>98</v>
      </c>
      <c r="J11" s="13" t="s">
        <v>99</v>
      </c>
      <c r="K11" s="14" t="s">
        <v>100</v>
      </c>
      <c r="L11" s="12" t="s">
        <v>98</v>
      </c>
      <c r="M11" s="13" t="s">
        <v>99</v>
      </c>
      <c r="N11" s="14" t="s">
        <v>100</v>
      </c>
      <c r="O11" s="12" t="s">
        <v>98</v>
      </c>
      <c r="P11" s="13" t="s">
        <v>99</v>
      </c>
      <c r="Q11" s="14" t="s">
        <v>100</v>
      </c>
      <c r="R11" s="12" t="s">
        <v>98</v>
      </c>
      <c r="S11" s="13" t="s">
        <v>99</v>
      </c>
      <c r="T11" s="14" t="s">
        <v>100</v>
      </c>
      <c r="U11" s="12" t="s">
        <v>98</v>
      </c>
      <c r="V11" s="13" t="s">
        <v>99</v>
      </c>
      <c r="W11" s="14" t="s">
        <v>100</v>
      </c>
      <c r="X11" s="12" t="s">
        <v>98</v>
      </c>
      <c r="Y11" s="13" t="s">
        <v>99</v>
      </c>
      <c r="Z11" s="14" t="s">
        <v>100</v>
      </c>
      <c r="AA11" s="12" t="s">
        <v>98</v>
      </c>
      <c r="AB11" s="13" t="s">
        <v>99</v>
      </c>
      <c r="AC11" s="14" t="s">
        <v>100</v>
      </c>
      <c r="AD11" s="12" t="s">
        <v>98</v>
      </c>
      <c r="AE11" s="13" t="s">
        <v>99</v>
      </c>
      <c r="AF11" s="14" t="s">
        <v>100</v>
      </c>
      <c r="AG11" s="12" t="s">
        <v>98</v>
      </c>
      <c r="AH11" s="13" t="s">
        <v>99</v>
      </c>
      <c r="AI11" s="14" t="s">
        <v>100</v>
      </c>
      <c r="AJ11" s="12" t="s">
        <v>98</v>
      </c>
      <c r="AK11" s="13" t="s">
        <v>99</v>
      </c>
      <c r="AL11" s="14" t="s">
        <v>100</v>
      </c>
      <c r="AM11" s="12" t="s">
        <v>98</v>
      </c>
      <c r="AN11" s="13" t="s">
        <v>99</v>
      </c>
      <c r="AO11" s="14" t="s">
        <v>100</v>
      </c>
      <c r="AP11" s="193"/>
      <c r="AQ11" s="196"/>
      <c r="AS11" s="2"/>
    </row>
    <row r="12" spans="1:45" ht="18" customHeight="1" x14ac:dyDescent="0.15">
      <c r="A12" s="4"/>
      <c r="B12" s="8" t="s">
        <v>142</v>
      </c>
      <c r="C12" s="18">
        <v>1900</v>
      </c>
      <c r="D12" s="19">
        <v>450</v>
      </c>
      <c r="E12" s="20">
        <v>1800</v>
      </c>
      <c r="F12" s="38">
        <v>299</v>
      </c>
      <c r="G12" s="39">
        <v>232</v>
      </c>
      <c r="H12" s="40">
        <v>67</v>
      </c>
      <c r="I12" s="41">
        <f t="shared" ref="I12:I14" si="0">J12+K12</f>
        <v>205</v>
      </c>
      <c r="J12" s="39">
        <v>152</v>
      </c>
      <c r="K12" s="40">
        <v>53</v>
      </c>
      <c r="L12" s="20">
        <f>M12+N12</f>
        <v>0</v>
      </c>
      <c r="M12" s="21"/>
      <c r="N12" s="22"/>
      <c r="O12" s="20">
        <f>P12+Q12</f>
        <v>0</v>
      </c>
      <c r="P12" s="21"/>
      <c r="Q12" s="22"/>
      <c r="R12" s="20">
        <f>S12+T12</f>
        <v>0</v>
      </c>
      <c r="S12" s="21"/>
      <c r="T12" s="22"/>
      <c r="U12" s="20">
        <f>V12+W12</f>
        <v>0</v>
      </c>
      <c r="V12" s="21"/>
      <c r="W12" s="22"/>
      <c r="X12" s="20">
        <f>Y12+Z12</f>
        <v>0</v>
      </c>
      <c r="Y12" s="21"/>
      <c r="Z12" s="22"/>
      <c r="AA12" s="20">
        <f>AB12+AC12</f>
        <v>0</v>
      </c>
      <c r="AB12" s="21"/>
      <c r="AC12" s="22"/>
      <c r="AD12" s="20">
        <f>AE12+AF12</f>
        <v>0</v>
      </c>
      <c r="AE12" s="21"/>
      <c r="AF12" s="22"/>
      <c r="AG12" s="20">
        <f>AH12+AI12</f>
        <v>0</v>
      </c>
      <c r="AH12" s="21"/>
      <c r="AI12" s="22"/>
      <c r="AJ12" s="20">
        <f>AK12+AL12</f>
        <v>0</v>
      </c>
      <c r="AK12" s="21"/>
      <c r="AL12" s="22"/>
      <c r="AM12" s="20">
        <f>AN12+AO12</f>
        <v>0</v>
      </c>
      <c r="AN12" s="21"/>
      <c r="AO12" s="22"/>
      <c r="AP12" s="19">
        <f>F12+L12+R12+X12+AD12+AJ12</f>
        <v>299</v>
      </c>
      <c r="AQ12" s="16">
        <f t="shared" ref="AQ12:AQ32" si="1">AP12/E12</f>
        <v>0.1661111111111111</v>
      </c>
    </row>
    <row r="13" spans="1:45" ht="18" customHeight="1" x14ac:dyDescent="0.15">
      <c r="A13" s="4"/>
      <c r="B13" s="9" t="s">
        <v>143</v>
      </c>
      <c r="C13" s="23">
        <v>887</v>
      </c>
      <c r="D13" s="24">
        <v>200</v>
      </c>
      <c r="E13" s="25">
        <v>800</v>
      </c>
      <c r="F13" s="41">
        <v>163</v>
      </c>
      <c r="G13" s="42">
        <v>138</v>
      </c>
      <c r="H13" s="43">
        <v>25</v>
      </c>
      <c r="I13" s="41">
        <f t="shared" si="0"/>
        <v>137</v>
      </c>
      <c r="J13" s="42">
        <v>112</v>
      </c>
      <c r="K13" s="43">
        <v>25</v>
      </c>
      <c r="L13" s="26">
        <f t="shared" ref="L13:L31" si="2">M13+N13</f>
        <v>0</v>
      </c>
      <c r="M13" s="27"/>
      <c r="N13" s="28"/>
      <c r="O13" s="26">
        <f t="shared" ref="O13:O31" si="3">P13+Q13</f>
        <v>0</v>
      </c>
      <c r="P13" s="27"/>
      <c r="Q13" s="28"/>
      <c r="R13" s="26">
        <f t="shared" ref="R13:R31" si="4">S13+T13</f>
        <v>0</v>
      </c>
      <c r="S13" s="27"/>
      <c r="T13" s="28"/>
      <c r="U13" s="26">
        <f t="shared" ref="U13:U31" si="5">V13+W13</f>
        <v>0</v>
      </c>
      <c r="V13" s="27"/>
      <c r="W13" s="28"/>
      <c r="X13" s="26">
        <f t="shared" ref="X13:X31" si="6">Y13+Z13</f>
        <v>0</v>
      </c>
      <c r="Y13" s="27"/>
      <c r="Z13" s="28"/>
      <c r="AA13" s="26">
        <f t="shared" ref="AA13:AA31" si="7">AB13+AC13</f>
        <v>0</v>
      </c>
      <c r="AB13" s="27"/>
      <c r="AC13" s="28"/>
      <c r="AD13" s="26">
        <f t="shared" ref="AD13:AD31" si="8">AE13+AF13</f>
        <v>0</v>
      </c>
      <c r="AE13" s="27"/>
      <c r="AF13" s="28"/>
      <c r="AG13" s="26">
        <f t="shared" ref="AG13:AG31" si="9">AH13+AI13</f>
        <v>0</v>
      </c>
      <c r="AH13" s="27"/>
      <c r="AI13" s="28"/>
      <c r="AJ13" s="26">
        <f t="shared" ref="AJ13:AJ31" si="10">AK13+AL13</f>
        <v>0</v>
      </c>
      <c r="AK13" s="27"/>
      <c r="AL13" s="28"/>
      <c r="AM13" s="26">
        <f t="shared" ref="AM13:AM31" si="11">AN13+AO13</f>
        <v>0</v>
      </c>
      <c r="AN13" s="27"/>
      <c r="AO13" s="28"/>
      <c r="AP13" s="24">
        <f t="shared" ref="AP13:AP31" si="12">F13+L13+R13+X13+AD13+AJ13</f>
        <v>163</v>
      </c>
      <c r="AQ13" s="15">
        <f t="shared" si="1"/>
        <v>0.20374999999999999</v>
      </c>
    </row>
    <row r="14" spans="1:45" ht="18" customHeight="1" x14ac:dyDescent="0.15">
      <c r="A14" s="4"/>
      <c r="B14" s="9" t="s">
        <v>144</v>
      </c>
      <c r="C14" s="23">
        <v>1049</v>
      </c>
      <c r="D14" s="24">
        <v>250</v>
      </c>
      <c r="E14" s="25">
        <v>1000</v>
      </c>
      <c r="F14" s="41">
        <v>167</v>
      </c>
      <c r="G14" s="42">
        <v>105</v>
      </c>
      <c r="H14" s="43">
        <v>62</v>
      </c>
      <c r="I14" s="41">
        <f t="shared" si="0"/>
        <v>142</v>
      </c>
      <c r="J14" s="42">
        <v>87</v>
      </c>
      <c r="K14" s="43">
        <v>55</v>
      </c>
      <c r="L14" s="26">
        <f t="shared" si="2"/>
        <v>0</v>
      </c>
      <c r="M14" s="27"/>
      <c r="N14" s="28"/>
      <c r="O14" s="26">
        <f t="shared" si="3"/>
        <v>0</v>
      </c>
      <c r="P14" s="27"/>
      <c r="Q14" s="28"/>
      <c r="R14" s="26">
        <f t="shared" si="4"/>
        <v>0</v>
      </c>
      <c r="S14" s="27"/>
      <c r="T14" s="28"/>
      <c r="U14" s="26">
        <f t="shared" si="5"/>
        <v>0</v>
      </c>
      <c r="V14" s="27"/>
      <c r="W14" s="28"/>
      <c r="X14" s="26">
        <f t="shared" si="6"/>
        <v>0</v>
      </c>
      <c r="Y14" s="27"/>
      <c r="Z14" s="28"/>
      <c r="AA14" s="26">
        <f t="shared" si="7"/>
        <v>0</v>
      </c>
      <c r="AB14" s="27"/>
      <c r="AC14" s="28"/>
      <c r="AD14" s="26">
        <f t="shared" si="8"/>
        <v>0</v>
      </c>
      <c r="AE14" s="27"/>
      <c r="AF14" s="28"/>
      <c r="AG14" s="26">
        <f t="shared" si="9"/>
        <v>0</v>
      </c>
      <c r="AH14" s="27"/>
      <c r="AI14" s="28"/>
      <c r="AJ14" s="26">
        <f t="shared" si="10"/>
        <v>0</v>
      </c>
      <c r="AK14" s="27"/>
      <c r="AL14" s="28"/>
      <c r="AM14" s="26">
        <f t="shared" si="11"/>
        <v>0</v>
      </c>
      <c r="AN14" s="27"/>
      <c r="AO14" s="28"/>
      <c r="AP14" s="24">
        <f t="shared" si="12"/>
        <v>167</v>
      </c>
      <c r="AQ14" s="6">
        <f t="shared" si="1"/>
        <v>0.16700000000000001</v>
      </c>
    </row>
    <row r="15" spans="1:45" ht="18" customHeight="1" x14ac:dyDescent="0.15">
      <c r="A15" s="4"/>
      <c r="B15" s="9"/>
      <c r="C15" s="23"/>
      <c r="D15" s="24"/>
      <c r="E15" s="25"/>
      <c r="F15" s="26">
        <f t="shared" ref="F15:F31" si="13">G15+H15</f>
        <v>0</v>
      </c>
      <c r="G15" s="27"/>
      <c r="H15" s="28"/>
      <c r="I15" s="26">
        <f t="shared" ref="I15:I31" si="14">J15+K15</f>
        <v>0</v>
      </c>
      <c r="J15" s="27"/>
      <c r="K15" s="28"/>
      <c r="L15" s="26">
        <f t="shared" si="2"/>
        <v>0</v>
      </c>
      <c r="M15" s="27"/>
      <c r="N15" s="28"/>
      <c r="O15" s="26">
        <f t="shared" si="3"/>
        <v>0</v>
      </c>
      <c r="P15" s="27"/>
      <c r="Q15" s="28"/>
      <c r="R15" s="26">
        <f t="shared" si="4"/>
        <v>0</v>
      </c>
      <c r="S15" s="27"/>
      <c r="T15" s="28"/>
      <c r="U15" s="26">
        <f t="shared" si="5"/>
        <v>0</v>
      </c>
      <c r="V15" s="27"/>
      <c r="W15" s="28"/>
      <c r="X15" s="26">
        <f t="shared" si="6"/>
        <v>0</v>
      </c>
      <c r="Y15" s="27"/>
      <c r="Z15" s="28"/>
      <c r="AA15" s="26">
        <f t="shared" si="7"/>
        <v>0</v>
      </c>
      <c r="AB15" s="27"/>
      <c r="AC15" s="28"/>
      <c r="AD15" s="26">
        <f t="shared" si="8"/>
        <v>0</v>
      </c>
      <c r="AE15" s="27"/>
      <c r="AF15" s="28"/>
      <c r="AG15" s="26">
        <f t="shared" si="9"/>
        <v>0</v>
      </c>
      <c r="AH15" s="27"/>
      <c r="AI15" s="28"/>
      <c r="AJ15" s="26">
        <f t="shared" si="10"/>
        <v>0</v>
      </c>
      <c r="AK15" s="27"/>
      <c r="AL15" s="28"/>
      <c r="AM15" s="26">
        <f t="shared" si="11"/>
        <v>0</v>
      </c>
      <c r="AN15" s="27"/>
      <c r="AO15" s="28"/>
      <c r="AP15" s="24">
        <f t="shared" si="12"/>
        <v>0</v>
      </c>
      <c r="AQ15" s="6" t="e">
        <f t="shared" si="1"/>
        <v>#DIV/0!</v>
      </c>
    </row>
    <row r="16" spans="1:45" ht="18" customHeight="1" x14ac:dyDescent="0.15">
      <c r="A16" s="4"/>
      <c r="B16" s="9"/>
      <c r="C16" s="23"/>
      <c r="D16" s="24"/>
      <c r="E16" s="25"/>
      <c r="F16" s="26">
        <f t="shared" ref="F16:F20" si="15">G16+H16</f>
        <v>0</v>
      </c>
      <c r="G16" s="27"/>
      <c r="H16" s="28"/>
      <c r="I16" s="26">
        <f t="shared" ref="I16:I20" si="16">J16+K16</f>
        <v>0</v>
      </c>
      <c r="J16" s="27"/>
      <c r="K16" s="28"/>
      <c r="L16" s="26">
        <f t="shared" si="2"/>
        <v>0</v>
      </c>
      <c r="M16" s="27"/>
      <c r="N16" s="28"/>
      <c r="O16" s="26">
        <f t="shared" si="3"/>
        <v>0</v>
      </c>
      <c r="P16" s="27"/>
      <c r="Q16" s="28"/>
      <c r="R16" s="26">
        <f t="shared" si="4"/>
        <v>0</v>
      </c>
      <c r="S16" s="27"/>
      <c r="T16" s="28"/>
      <c r="U16" s="26">
        <f t="shared" si="5"/>
        <v>0</v>
      </c>
      <c r="V16" s="27"/>
      <c r="W16" s="28"/>
      <c r="X16" s="26">
        <f t="shared" si="6"/>
        <v>0</v>
      </c>
      <c r="Y16" s="27"/>
      <c r="Z16" s="28"/>
      <c r="AA16" s="26">
        <f t="shared" si="7"/>
        <v>0</v>
      </c>
      <c r="AB16" s="27"/>
      <c r="AC16" s="28"/>
      <c r="AD16" s="26">
        <f t="shared" si="8"/>
        <v>0</v>
      </c>
      <c r="AE16" s="27"/>
      <c r="AF16" s="28"/>
      <c r="AG16" s="26">
        <f t="shared" si="9"/>
        <v>0</v>
      </c>
      <c r="AH16" s="27"/>
      <c r="AI16" s="28"/>
      <c r="AJ16" s="26">
        <f t="shared" si="10"/>
        <v>0</v>
      </c>
      <c r="AK16" s="27"/>
      <c r="AL16" s="28"/>
      <c r="AM16" s="26">
        <f t="shared" si="11"/>
        <v>0</v>
      </c>
      <c r="AN16" s="27"/>
      <c r="AO16" s="28"/>
      <c r="AP16" s="24">
        <f t="shared" si="12"/>
        <v>0</v>
      </c>
      <c r="AQ16" s="6" t="e">
        <f t="shared" si="1"/>
        <v>#DIV/0!</v>
      </c>
    </row>
    <row r="17" spans="1:43" ht="18" customHeight="1" x14ac:dyDescent="0.15">
      <c r="A17" s="4"/>
      <c r="B17" s="9"/>
      <c r="C17" s="23"/>
      <c r="D17" s="24"/>
      <c r="E17" s="25"/>
      <c r="F17" s="26">
        <f t="shared" si="15"/>
        <v>0</v>
      </c>
      <c r="G17" s="27"/>
      <c r="H17" s="28"/>
      <c r="I17" s="26">
        <f t="shared" si="16"/>
        <v>0</v>
      </c>
      <c r="J17" s="27"/>
      <c r="K17" s="28"/>
      <c r="L17" s="26">
        <f t="shared" si="2"/>
        <v>0</v>
      </c>
      <c r="M17" s="27"/>
      <c r="N17" s="28"/>
      <c r="O17" s="26">
        <f t="shared" si="3"/>
        <v>0</v>
      </c>
      <c r="P17" s="27"/>
      <c r="Q17" s="28"/>
      <c r="R17" s="26">
        <f t="shared" si="4"/>
        <v>0</v>
      </c>
      <c r="S17" s="27"/>
      <c r="T17" s="28"/>
      <c r="U17" s="26">
        <f t="shared" si="5"/>
        <v>0</v>
      </c>
      <c r="V17" s="27"/>
      <c r="W17" s="28"/>
      <c r="X17" s="26">
        <f t="shared" si="6"/>
        <v>0</v>
      </c>
      <c r="Y17" s="27"/>
      <c r="Z17" s="28"/>
      <c r="AA17" s="26">
        <f t="shared" si="7"/>
        <v>0</v>
      </c>
      <c r="AB17" s="27"/>
      <c r="AC17" s="28"/>
      <c r="AD17" s="26">
        <f t="shared" si="8"/>
        <v>0</v>
      </c>
      <c r="AE17" s="27"/>
      <c r="AF17" s="28"/>
      <c r="AG17" s="26">
        <f t="shared" si="9"/>
        <v>0</v>
      </c>
      <c r="AH17" s="27"/>
      <c r="AI17" s="28"/>
      <c r="AJ17" s="26">
        <f t="shared" si="10"/>
        <v>0</v>
      </c>
      <c r="AK17" s="27"/>
      <c r="AL17" s="28"/>
      <c r="AM17" s="26">
        <f t="shared" si="11"/>
        <v>0</v>
      </c>
      <c r="AN17" s="27"/>
      <c r="AO17" s="28"/>
      <c r="AP17" s="24">
        <f t="shared" si="12"/>
        <v>0</v>
      </c>
      <c r="AQ17" s="6" t="e">
        <f t="shared" si="1"/>
        <v>#DIV/0!</v>
      </c>
    </row>
    <row r="18" spans="1:43" ht="18" customHeight="1" x14ac:dyDescent="0.15">
      <c r="A18" s="4"/>
      <c r="B18" s="9"/>
      <c r="C18" s="23"/>
      <c r="D18" s="24"/>
      <c r="E18" s="25"/>
      <c r="F18" s="26">
        <f t="shared" si="15"/>
        <v>0</v>
      </c>
      <c r="G18" s="27"/>
      <c r="H18" s="28"/>
      <c r="I18" s="26">
        <f t="shared" si="16"/>
        <v>0</v>
      </c>
      <c r="J18" s="27"/>
      <c r="K18" s="28"/>
      <c r="L18" s="26">
        <f t="shared" si="2"/>
        <v>0</v>
      </c>
      <c r="M18" s="27"/>
      <c r="N18" s="28"/>
      <c r="O18" s="26">
        <f t="shared" si="3"/>
        <v>0</v>
      </c>
      <c r="P18" s="27"/>
      <c r="Q18" s="28"/>
      <c r="R18" s="26">
        <f t="shared" si="4"/>
        <v>0</v>
      </c>
      <c r="S18" s="27"/>
      <c r="T18" s="28"/>
      <c r="U18" s="26">
        <f t="shared" si="5"/>
        <v>0</v>
      </c>
      <c r="V18" s="27"/>
      <c r="W18" s="28"/>
      <c r="X18" s="26">
        <f t="shared" si="6"/>
        <v>0</v>
      </c>
      <c r="Y18" s="27"/>
      <c r="Z18" s="28"/>
      <c r="AA18" s="26">
        <f t="shared" si="7"/>
        <v>0</v>
      </c>
      <c r="AB18" s="27"/>
      <c r="AC18" s="28"/>
      <c r="AD18" s="26">
        <f t="shared" si="8"/>
        <v>0</v>
      </c>
      <c r="AE18" s="27"/>
      <c r="AF18" s="28"/>
      <c r="AG18" s="26">
        <f t="shared" si="9"/>
        <v>0</v>
      </c>
      <c r="AH18" s="27"/>
      <c r="AI18" s="28"/>
      <c r="AJ18" s="26">
        <f t="shared" si="10"/>
        <v>0</v>
      </c>
      <c r="AK18" s="27"/>
      <c r="AL18" s="28"/>
      <c r="AM18" s="26">
        <f t="shared" si="11"/>
        <v>0</v>
      </c>
      <c r="AN18" s="27"/>
      <c r="AO18" s="28"/>
      <c r="AP18" s="24">
        <f t="shared" si="12"/>
        <v>0</v>
      </c>
      <c r="AQ18" s="6" t="e">
        <f t="shared" si="1"/>
        <v>#DIV/0!</v>
      </c>
    </row>
    <row r="19" spans="1:43" ht="18" customHeight="1" x14ac:dyDescent="0.15">
      <c r="A19" s="4"/>
      <c r="B19" s="9"/>
      <c r="C19" s="23"/>
      <c r="D19" s="24"/>
      <c r="E19" s="25"/>
      <c r="F19" s="26">
        <f t="shared" si="15"/>
        <v>0</v>
      </c>
      <c r="G19" s="27"/>
      <c r="H19" s="28"/>
      <c r="I19" s="26">
        <f t="shared" si="16"/>
        <v>0</v>
      </c>
      <c r="J19" s="27"/>
      <c r="K19" s="28"/>
      <c r="L19" s="26">
        <f t="shared" si="2"/>
        <v>0</v>
      </c>
      <c r="M19" s="27"/>
      <c r="N19" s="28"/>
      <c r="O19" s="26">
        <f t="shared" si="3"/>
        <v>0</v>
      </c>
      <c r="P19" s="27"/>
      <c r="Q19" s="28"/>
      <c r="R19" s="26">
        <f t="shared" si="4"/>
        <v>0</v>
      </c>
      <c r="S19" s="27"/>
      <c r="T19" s="28"/>
      <c r="U19" s="26">
        <f t="shared" si="5"/>
        <v>0</v>
      </c>
      <c r="V19" s="27"/>
      <c r="W19" s="28"/>
      <c r="X19" s="26">
        <f t="shared" si="6"/>
        <v>0</v>
      </c>
      <c r="Y19" s="27"/>
      <c r="Z19" s="28"/>
      <c r="AA19" s="26">
        <f t="shared" si="7"/>
        <v>0</v>
      </c>
      <c r="AB19" s="27"/>
      <c r="AC19" s="28"/>
      <c r="AD19" s="26">
        <f t="shared" si="8"/>
        <v>0</v>
      </c>
      <c r="AE19" s="27"/>
      <c r="AF19" s="28"/>
      <c r="AG19" s="26">
        <f t="shared" si="9"/>
        <v>0</v>
      </c>
      <c r="AH19" s="27"/>
      <c r="AI19" s="28"/>
      <c r="AJ19" s="26">
        <f t="shared" si="10"/>
        <v>0</v>
      </c>
      <c r="AK19" s="27"/>
      <c r="AL19" s="28"/>
      <c r="AM19" s="26">
        <f t="shared" si="11"/>
        <v>0</v>
      </c>
      <c r="AN19" s="27"/>
      <c r="AO19" s="28"/>
      <c r="AP19" s="24">
        <f t="shared" si="12"/>
        <v>0</v>
      </c>
      <c r="AQ19" s="6" t="e">
        <f t="shared" si="1"/>
        <v>#DIV/0!</v>
      </c>
    </row>
    <row r="20" spans="1:43" ht="18" customHeight="1" x14ac:dyDescent="0.15">
      <c r="A20" s="4"/>
      <c r="B20" s="9"/>
      <c r="C20" s="23"/>
      <c r="D20" s="24"/>
      <c r="E20" s="25"/>
      <c r="F20" s="26">
        <f t="shared" si="15"/>
        <v>0</v>
      </c>
      <c r="G20" s="27"/>
      <c r="H20" s="28"/>
      <c r="I20" s="26">
        <f t="shared" si="16"/>
        <v>0</v>
      </c>
      <c r="J20" s="27"/>
      <c r="K20" s="28"/>
      <c r="L20" s="26">
        <f t="shared" si="2"/>
        <v>0</v>
      </c>
      <c r="M20" s="27"/>
      <c r="N20" s="28"/>
      <c r="O20" s="26">
        <f t="shared" si="3"/>
        <v>0</v>
      </c>
      <c r="P20" s="27"/>
      <c r="Q20" s="28"/>
      <c r="R20" s="26">
        <f t="shared" si="4"/>
        <v>0</v>
      </c>
      <c r="S20" s="27"/>
      <c r="T20" s="28"/>
      <c r="U20" s="26">
        <f t="shared" si="5"/>
        <v>0</v>
      </c>
      <c r="V20" s="27"/>
      <c r="W20" s="28"/>
      <c r="X20" s="26">
        <f t="shared" si="6"/>
        <v>0</v>
      </c>
      <c r="Y20" s="27"/>
      <c r="Z20" s="28"/>
      <c r="AA20" s="26">
        <f t="shared" si="7"/>
        <v>0</v>
      </c>
      <c r="AB20" s="27"/>
      <c r="AC20" s="28"/>
      <c r="AD20" s="26">
        <f t="shared" si="8"/>
        <v>0</v>
      </c>
      <c r="AE20" s="27"/>
      <c r="AF20" s="28"/>
      <c r="AG20" s="26">
        <f t="shared" si="9"/>
        <v>0</v>
      </c>
      <c r="AH20" s="27"/>
      <c r="AI20" s="28"/>
      <c r="AJ20" s="26">
        <f t="shared" si="10"/>
        <v>0</v>
      </c>
      <c r="AK20" s="27"/>
      <c r="AL20" s="28"/>
      <c r="AM20" s="26">
        <f t="shared" si="11"/>
        <v>0</v>
      </c>
      <c r="AN20" s="27"/>
      <c r="AO20" s="28"/>
      <c r="AP20" s="24">
        <f t="shared" si="12"/>
        <v>0</v>
      </c>
      <c r="AQ20" s="6" t="e">
        <f t="shared" si="1"/>
        <v>#DIV/0!</v>
      </c>
    </row>
    <row r="21" spans="1:43" ht="18" customHeight="1" x14ac:dyDescent="0.15">
      <c r="A21" s="4"/>
      <c r="B21" s="9"/>
      <c r="C21" s="23"/>
      <c r="D21" s="24"/>
      <c r="E21" s="25"/>
      <c r="F21" s="26">
        <f t="shared" si="13"/>
        <v>0</v>
      </c>
      <c r="G21" s="27"/>
      <c r="H21" s="28"/>
      <c r="I21" s="26">
        <f t="shared" si="14"/>
        <v>0</v>
      </c>
      <c r="J21" s="27"/>
      <c r="K21" s="28"/>
      <c r="L21" s="26">
        <f t="shared" si="2"/>
        <v>0</v>
      </c>
      <c r="M21" s="27"/>
      <c r="N21" s="28"/>
      <c r="O21" s="26">
        <f t="shared" si="3"/>
        <v>0</v>
      </c>
      <c r="P21" s="27"/>
      <c r="Q21" s="28"/>
      <c r="R21" s="26">
        <f t="shared" si="4"/>
        <v>0</v>
      </c>
      <c r="S21" s="27"/>
      <c r="T21" s="28"/>
      <c r="U21" s="26">
        <f t="shared" si="5"/>
        <v>0</v>
      </c>
      <c r="V21" s="27"/>
      <c r="W21" s="28"/>
      <c r="X21" s="26">
        <f t="shared" si="6"/>
        <v>0</v>
      </c>
      <c r="Y21" s="27"/>
      <c r="Z21" s="28"/>
      <c r="AA21" s="26">
        <f t="shared" si="7"/>
        <v>0</v>
      </c>
      <c r="AB21" s="27"/>
      <c r="AC21" s="28"/>
      <c r="AD21" s="26">
        <f t="shared" si="8"/>
        <v>0</v>
      </c>
      <c r="AE21" s="27"/>
      <c r="AF21" s="28"/>
      <c r="AG21" s="26">
        <f t="shared" si="9"/>
        <v>0</v>
      </c>
      <c r="AH21" s="27"/>
      <c r="AI21" s="28"/>
      <c r="AJ21" s="26">
        <f t="shared" si="10"/>
        <v>0</v>
      </c>
      <c r="AK21" s="27"/>
      <c r="AL21" s="28"/>
      <c r="AM21" s="26">
        <f t="shared" si="11"/>
        <v>0</v>
      </c>
      <c r="AN21" s="27"/>
      <c r="AO21" s="28"/>
      <c r="AP21" s="24">
        <f t="shared" si="12"/>
        <v>0</v>
      </c>
      <c r="AQ21" s="6" t="e">
        <f t="shared" si="1"/>
        <v>#DIV/0!</v>
      </c>
    </row>
    <row r="22" spans="1:43" ht="18" customHeight="1" x14ac:dyDescent="0.15">
      <c r="A22" s="4"/>
      <c r="B22" s="9"/>
      <c r="C22" s="23"/>
      <c r="D22" s="24"/>
      <c r="E22" s="25"/>
      <c r="F22" s="26">
        <f t="shared" si="13"/>
        <v>0</v>
      </c>
      <c r="G22" s="27"/>
      <c r="H22" s="28"/>
      <c r="I22" s="26">
        <f t="shared" si="14"/>
        <v>0</v>
      </c>
      <c r="J22" s="27"/>
      <c r="K22" s="28"/>
      <c r="L22" s="26">
        <f t="shared" si="2"/>
        <v>0</v>
      </c>
      <c r="M22" s="27"/>
      <c r="N22" s="28"/>
      <c r="O22" s="26">
        <f t="shared" si="3"/>
        <v>0</v>
      </c>
      <c r="P22" s="27"/>
      <c r="Q22" s="28"/>
      <c r="R22" s="26">
        <f t="shared" si="4"/>
        <v>0</v>
      </c>
      <c r="S22" s="27"/>
      <c r="T22" s="28"/>
      <c r="U22" s="26">
        <f t="shared" si="5"/>
        <v>0</v>
      </c>
      <c r="V22" s="27"/>
      <c r="W22" s="28"/>
      <c r="X22" s="26">
        <f t="shared" si="6"/>
        <v>0</v>
      </c>
      <c r="Y22" s="27"/>
      <c r="Z22" s="28"/>
      <c r="AA22" s="26">
        <f t="shared" si="7"/>
        <v>0</v>
      </c>
      <c r="AB22" s="27"/>
      <c r="AC22" s="28"/>
      <c r="AD22" s="26">
        <f t="shared" si="8"/>
        <v>0</v>
      </c>
      <c r="AE22" s="27"/>
      <c r="AF22" s="28"/>
      <c r="AG22" s="26">
        <f t="shared" si="9"/>
        <v>0</v>
      </c>
      <c r="AH22" s="27"/>
      <c r="AI22" s="28"/>
      <c r="AJ22" s="26">
        <f t="shared" si="10"/>
        <v>0</v>
      </c>
      <c r="AK22" s="27"/>
      <c r="AL22" s="28"/>
      <c r="AM22" s="26">
        <f t="shared" si="11"/>
        <v>0</v>
      </c>
      <c r="AN22" s="27"/>
      <c r="AO22" s="28"/>
      <c r="AP22" s="24">
        <f t="shared" si="12"/>
        <v>0</v>
      </c>
      <c r="AQ22" s="6" t="e">
        <f t="shared" si="1"/>
        <v>#DIV/0!</v>
      </c>
    </row>
    <row r="23" spans="1:43" ht="18" customHeight="1" x14ac:dyDescent="0.15">
      <c r="A23" s="4"/>
      <c r="B23" s="9"/>
      <c r="C23" s="23"/>
      <c r="D23" s="24"/>
      <c r="E23" s="25"/>
      <c r="F23" s="26">
        <f t="shared" si="13"/>
        <v>0</v>
      </c>
      <c r="G23" s="27"/>
      <c r="H23" s="28"/>
      <c r="I23" s="26">
        <f t="shared" si="14"/>
        <v>0</v>
      </c>
      <c r="J23" s="27"/>
      <c r="K23" s="28"/>
      <c r="L23" s="26">
        <f t="shared" si="2"/>
        <v>0</v>
      </c>
      <c r="M23" s="27"/>
      <c r="N23" s="28"/>
      <c r="O23" s="26">
        <f t="shared" si="3"/>
        <v>0</v>
      </c>
      <c r="P23" s="27"/>
      <c r="Q23" s="28"/>
      <c r="R23" s="26">
        <f t="shared" si="4"/>
        <v>0</v>
      </c>
      <c r="S23" s="27"/>
      <c r="T23" s="28"/>
      <c r="U23" s="26">
        <f t="shared" si="5"/>
        <v>0</v>
      </c>
      <c r="V23" s="27"/>
      <c r="W23" s="28"/>
      <c r="X23" s="26">
        <f t="shared" si="6"/>
        <v>0</v>
      </c>
      <c r="Y23" s="27"/>
      <c r="Z23" s="28"/>
      <c r="AA23" s="26">
        <f t="shared" si="7"/>
        <v>0</v>
      </c>
      <c r="AB23" s="27"/>
      <c r="AC23" s="28"/>
      <c r="AD23" s="26">
        <f t="shared" si="8"/>
        <v>0</v>
      </c>
      <c r="AE23" s="27"/>
      <c r="AF23" s="28"/>
      <c r="AG23" s="26">
        <f t="shared" si="9"/>
        <v>0</v>
      </c>
      <c r="AH23" s="27"/>
      <c r="AI23" s="28"/>
      <c r="AJ23" s="26">
        <f t="shared" si="10"/>
        <v>0</v>
      </c>
      <c r="AK23" s="27"/>
      <c r="AL23" s="28"/>
      <c r="AM23" s="26">
        <f t="shared" si="11"/>
        <v>0</v>
      </c>
      <c r="AN23" s="27"/>
      <c r="AO23" s="28"/>
      <c r="AP23" s="24">
        <f t="shared" si="12"/>
        <v>0</v>
      </c>
      <c r="AQ23" s="6" t="e">
        <f t="shared" si="1"/>
        <v>#DIV/0!</v>
      </c>
    </row>
    <row r="24" spans="1:43" ht="18" customHeight="1" x14ac:dyDescent="0.15">
      <c r="A24" s="4"/>
      <c r="B24" s="9"/>
      <c r="C24" s="23"/>
      <c r="D24" s="24"/>
      <c r="E24" s="25"/>
      <c r="F24" s="26">
        <f t="shared" si="13"/>
        <v>0</v>
      </c>
      <c r="G24" s="27"/>
      <c r="H24" s="28"/>
      <c r="I24" s="26">
        <f t="shared" si="14"/>
        <v>0</v>
      </c>
      <c r="J24" s="27"/>
      <c r="K24" s="28"/>
      <c r="L24" s="26">
        <f t="shared" si="2"/>
        <v>0</v>
      </c>
      <c r="M24" s="27"/>
      <c r="N24" s="28"/>
      <c r="O24" s="26">
        <f t="shared" si="3"/>
        <v>0</v>
      </c>
      <c r="P24" s="27"/>
      <c r="Q24" s="28"/>
      <c r="R24" s="26">
        <f t="shared" si="4"/>
        <v>0</v>
      </c>
      <c r="S24" s="27"/>
      <c r="T24" s="28"/>
      <c r="U24" s="26">
        <f t="shared" si="5"/>
        <v>0</v>
      </c>
      <c r="V24" s="27"/>
      <c r="W24" s="28"/>
      <c r="X24" s="26">
        <f t="shared" si="6"/>
        <v>0</v>
      </c>
      <c r="Y24" s="27"/>
      <c r="Z24" s="28"/>
      <c r="AA24" s="26">
        <f t="shared" si="7"/>
        <v>0</v>
      </c>
      <c r="AB24" s="27"/>
      <c r="AC24" s="28"/>
      <c r="AD24" s="26">
        <f t="shared" si="8"/>
        <v>0</v>
      </c>
      <c r="AE24" s="27"/>
      <c r="AF24" s="28"/>
      <c r="AG24" s="26">
        <f t="shared" si="9"/>
        <v>0</v>
      </c>
      <c r="AH24" s="27"/>
      <c r="AI24" s="28"/>
      <c r="AJ24" s="26">
        <f t="shared" si="10"/>
        <v>0</v>
      </c>
      <c r="AK24" s="27"/>
      <c r="AL24" s="28"/>
      <c r="AM24" s="26">
        <f t="shared" si="11"/>
        <v>0</v>
      </c>
      <c r="AN24" s="27"/>
      <c r="AO24" s="28"/>
      <c r="AP24" s="24">
        <f t="shared" si="12"/>
        <v>0</v>
      </c>
      <c r="AQ24" s="6" t="e">
        <f t="shared" si="1"/>
        <v>#DIV/0!</v>
      </c>
    </row>
    <row r="25" spans="1:43" ht="18" customHeight="1" x14ac:dyDescent="0.15">
      <c r="A25" s="4"/>
      <c r="B25" s="9"/>
      <c r="C25" s="23"/>
      <c r="D25" s="24"/>
      <c r="E25" s="25"/>
      <c r="F25" s="26">
        <f t="shared" si="13"/>
        <v>0</v>
      </c>
      <c r="G25" s="27"/>
      <c r="H25" s="28"/>
      <c r="I25" s="26">
        <f t="shared" si="14"/>
        <v>0</v>
      </c>
      <c r="J25" s="27"/>
      <c r="K25" s="28"/>
      <c r="L25" s="26">
        <f t="shared" si="2"/>
        <v>0</v>
      </c>
      <c r="M25" s="27"/>
      <c r="N25" s="28"/>
      <c r="O25" s="26">
        <f t="shared" si="3"/>
        <v>0</v>
      </c>
      <c r="P25" s="27"/>
      <c r="Q25" s="28"/>
      <c r="R25" s="26">
        <f t="shared" si="4"/>
        <v>0</v>
      </c>
      <c r="S25" s="27"/>
      <c r="T25" s="28"/>
      <c r="U25" s="26">
        <f t="shared" si="5"/>
        <v>0</v>
      </c>
      <c r="V25" s="27"/>
      <c r="W25" s="28"/>
      <c r="X25" s="26">
        <f t="shared" si="6"/>
        <v>0</v>
      </c>
      <c r="Y25" s="27"/>
      <c r="Z25" s="28"/>
      <c r="AA25" s="26">
        <f t="shared" si="7"/>
        <v>0</v>
      </c>
      <c r="AB25" s="27"/>
      <c r="AC25" s="28"/>
      <c r="AD25" s="26">
        <f t="shared" si="8"/>
        <v>0</v>
      </c>
      <c r="AE25" s="27"/>
      <c r="AF25" s="28"/>
      <c r="AG25" s="26">
        <f t="shared" si="9"/>
        <v>0</v>
      </c>
      <c r="AH25" s="27"/>
      <c r="AI25" s="28"/>
      <c r="AJ25" s="26">
        <f t="shared" si="10"/>
        <v>0</v>
      </c>
      <c r="AK25" s="27"/>
      <c r="AL25" s="28"/>
      <c r="AM25" s="26">
        <f t="shared" si="11"/>
        <v>0</v>
      </c>
      <c r="AN25" s="27"/>
      <c r="AO25" s="28"/>
      <c r="AP25" s="24">
        <f t="shared" si="12"/>
        <v>0</v>
      </c>
      <c r="AQ25" s="6" t="e">
        <f t="shared" si="1"/>
        <v>#DIV/0!</v>
      </c>
    </row>
    <row r="26" spans="1:43" ht="18" customHeight="1" x14ac:dyDescent="0.15">
      <c r="A26" s="4"/>
      <c r="B26" s="9"/>
      <c r="C26" s="23"/>
      <c r="D26" s="24"/>
      <c r="E26" s="25"/>
      <c r="F26" s="26">
        <f t="shared" si="13"/>
        <v>0</v>
      </c>
      <c r="G26" s="27"/>
      <c r="H26" s="28"/>
      <c r="I26" s="26">
        <f t="shared" si="14"/>
        <v>0</v>
      </c>
      <c r="J26" s="27"/>
      <c r="K26" s="28"/>
      <c r="L26" s="26">
        <f t="shared" si="2"/>
        <v>0</v>
      </c>
      <c r="M26" s="27"/>
      <c r="N26" s="28"/>
      <c r="O26" s="26">
        <f t="shared" si="3"/>
        <v>0</v>
      </c>
      <c r="P26" s="27"/>
      <c r="Q26" s="28"/>
      <c r="R26" s="26">
        <f t="shared" si="4"/>
        <v>0</v>
      </c>
      <c r="S26" s="27"/>
      <c r="T26" s="28"/>
      <c r="U26" s="26">
        <f t="shared" si="5"/>
        <v>0</v>
      </c>
      <c r="V26" s="27"/>
      <c r="W26" s="28"/>
      <c r="X26" s="26">
        <f t="shared" si="6"/>
        <v>0</v>
      </c>
      <c r="Y26" s="27"/>
      <c r="Z26" s="28"/>
      <c r="AA26" s="26">
        <f t="shared" si="7"/>
        <v>0</v>
      </c>
      <c r="AB26" s="27"/>
      <c r="AC26" s="28"/>
      <c r="AD26" s="26">
        <f t="shared" si="8"/>
        <v>0</v>
      </c>
      <c r="AE26" s="27"/>
      <c r="AF26" s="28"/>
      <c r="AG26" s="26">
        <f t="shared" si="9"/>
        <v>0</v>
      </c>
      <c r="AH26" s="27"/>
      <c r="AI26" s="28"/>
      <c r="AJ26" s="26">
        <f t="shared" si="10"/>
        <v>0</v>
      </c>
      <c r="AK26" s="27"/>
      <c r="AL26" s="28"/>
      <c r="AM26" s="26">
        <f t="shared" si="11"/>
        <v>0</v>
      </c>
      <c r="AN26" s="27"/>
      <c r="AO26" s="28"/>
      <c r="AP26" s="24">
        <f t="shared" si="12"/>
        <v>0</v>
      </c>
      <c r="AQ26" s="6" t="e">
        <f t="shared" si="1"/>
        <v>#DIV/0!</v>
      </c>
    </row>
    <row r="27" spans="1:43" ht="18" customHeight="1" x14ac:dyDescent="0.15">
      <c r="A27" s="4"/>
      <c r="B27" s="9"/>
      <c r="C27" s="23"/>
      <c r="D27" s="24"/>
      <c r="E27" s="25"/>
      <c r="F27" s="26">
        <f t="shared" si="13"/>
        <v>0</v>
      </c>
      <c r="G27" s="27"/>
      <c r="H27" s="28"/>
      <c r="I27" s="26">
        <f t="shared" si="14"/>
        <v>0</v>
      </c>
      <c r="J27" s="27"/>
      <c r="K27" s="28"/>
      <c r="L27" s="26">
        <f t="shared" si="2"/>
        <v>0</v>
      </c>
      <c r="M27" s="27"/>
      <c r="N27" s="28"/>
      <c r="O27" s="26">
        <f t="shared" si="3"/>
        <v>0</v>
      </c>
      <c r="P27" s="27"/>
      <c r="Q27" s="28"/>
      <c r="R27" s="26">
        <f t="shared" si="4"/>
        <v>0</v>
      </c>
      <c r="S27" s="27"/>
      <c r="T27" s="28"/>
      <c r="U27" s="26">
        <f t="shared" si="5"/>
        <v>0</v>
      </c>
      <c r="V27" s="27"/>
      <c r="W27" s="28"/>
      <c r="X27" s="26">
        <f t="shared" si="6"/>
        <v>0</v>
      </c>
      <c r="Y27" s="27"/>
      <c r="Z27" s="28"/>
      <c r="AA27" s="26">
        <f t="shared" si="7"/>
        <v>0</v>
      </c>
      <c r="AB27" s="27"/>
      <c r="AC27" s="28"/>
      <c r="AD27" s="26">
        <f t="shared" si="8"/>
        <v>0</v>
      </c>
      <c r="AE27" s="27"/>
      <c r="AF27" s="28"/>
      <c r="AG27" s="26">
        <f t="shared" si="9"/>
        <v>0</v>
      </c>
      <c r="AH27" s="27"/>
      <c r="AI27" s="28"/>
      <c r="AJ27" s="26">
        <f t="shared" si="10"/>
        <v>0</v>
      </c>
      <c r="AK27" s="27"/>
      <c r="AL27" s="28"/>
      <c r="AM27" s="26">
        <f t="shared" si="11"/>
        <v>0</v>
      </c>
      <c r="AN27" s="27"/>
      <c r="AO27" s="28"/>
      <c r="AP27" s="24">
        <f t="shared" si="12"/>
        <v>0</v>
      </c>
      <c r="AQ27" s="6" t="e">
        <f t="shared" si="1"/>
        <v>#DIV/0!</v>
      </c>
    </row>
    <row r="28" spans="1:43" ht="18" customHeight="1" x14ac:dyDescent="0.15">
      <c r="A28" s="4"/>
      <c r="B28" s="9"/>
      <c r="C28" s="23"/>
      <c r="D28" s="24"/>
      <c r="E28" s="25"/>
      <c r="F28" s="26">
        <f t="shared" si="13"/>
        <v>0</v>
      </c>
      <c r="G28" s="27"/>
      <c r="H28" s="28"/>
      <c r="I28" s="26">
        <f t="shared" si="14"/>
        <v>0</v>
      </c>
      <c r="J28" s="27"/>
      <c r="K28" s="28"/>
      <c r="L28" s="26">
        <f t="shared" si="2"/>
        <v>0</v>
      </c>
      <c r="M28" s="27"/>
      <c r="N28" s="28"/>
      <c r="O28" s="26">
        <f t="shared" si="3"/>
        <v>0</v>
      </c>
      <c r="P28" s="27"/>
      <c r="Q28" s="28"/>
      <c r="R28" s="26">
        <f t="shared" si="4"/>
        <v>0</v>
      </c>
      <c r="S28" s="27"/>
      <c r="T28" s="28"/>
      <c r="U28" s="26">
        <f t="shared" si="5"/>
        <v>0</v>
      </c>
      <c r="V28" s="27"/>
      <c r="W28" s="28"/>
      <c r="X28" s="26">
        <f t="shared" si="6"/>
        <v>0</v>
      </c>
      <c r="Y28" s="27"/>
      <c r="Z28" s="28"/>
      <c r="AA28" s="26">
        <f t="shared" si="7"/>
        <v>0</v>
      </c>
      <c r="AB28" s="27"/>
      <c r="AC28" s="28"/>
      <c r="AD28" s="26">
        <f t="shared" si="8"/>
        <v>0</v>
      </c>
      <c r="AE28" s="27"/>
      <c r="AF28" s="28"/>
      <c r="AG28" s="26">
        <f t="shared" si="9"/>
        <v>0</v>
      </c>
      <c r="AH28" s="27"/>
      <c r="AI28" s="28"/>
      <c r="AJ28" s="26">
        <f t="shared" si="10"/>
        <v>0</v>
      </c>
      <c r="AK28" s="27"/>
      <c r="AL28" s="28"/>
      <c r="AM28" s="26">
        <f t="shared" si="11"/>
        <v>0</v>
      </c>
      <c r="AN28" s="27"/>
      <c r="AO28" s="28"/>
      <c r="AP28" s="24">
        <f t="shared" si="12"/>
        <v>0</v>
      </c>
      <c r="AQ28" s="6" t="e">
        <f t="shared" si="1"/>
        <v>#DIV/0!</v>
      </c>
    </row>
    <row r="29" spans="1:43" ht="18" customHeight="1" x14ac:dyDescent="0.15">
      <c r="A29" s="4"/>
      <c r="B29" s="9"/>
      <c r="C29" s="23"/>
      <c r="D29" s="29"/>
      <c r="E29" s="25"/>
      <c r="F29" s="26">
        <f t="shared" si="13"/>
        <v>0</v>
      </c>
      <c r="G29" s="27"/>
      <c r="H29" s="28"/>
      <c r="I29" s="26">
        <f t="shared" si="14"/>
        <v>0</v>
      </c>
      <c r="J29" s="27"/>
      <c r="K29" s="28"/>
      <c r="L29" s="26">
        <f t="shared" si="2"/>
        <v>0</v>
      </c>
      <c r="M29" s="27"/>
      <c r="N29" s="28"/>
      <c r="O29" s="26">
        <f t="shared" si="3"/>
        <v>0</v>
      </c>
      <c r="P29" s="27"/>
      <c r="Q29" s="28"/>
      <c r="R29" s="26">
        <f t="shared" si="4"/>
        <v>0</v>
      </c>
      <c r="S29" s="27"/>
      <c r="T29" s="28"/>
      <c r="U29" s="26">
        <f t="shared" si="5"/>
        <v>0</v>
      </c>
      <c r="V29" s="27"/>
      <c r="W29" s="28"/>
      <c r="X29" s="26">
        <f t="shared" si="6"/>
        <v>0</v>
      </c>
      <c r="Y29" s="27"/>
      <c r="Z29" s="28"/>
      <c r="AA29" s="26">
        <f t="shared" si="7"/>
        <v>0</v>
      </c>
      <c r="AB29" s="27"/>
      <c r="AC29" s="28"/>
      <c r="AD29" s="26">
        <f t="shared" si="8"/>
        <v>0</v>
      </c>
      <c r="AE29" s="27"/>
      <c r="AF29" s="28"/>
      <c r="AG29" s="26">
        <f t="shared" si="9"/>
        <v>0</v>
      </c>
      <c r="AH29" s="27"/>
      <c r="AI29" s="28"/>
      <c r="AJ29" s="26">
        <f t="shared" si="10"/>
        <v>0</v>
      </c>
      <c r="AK29" s="27"/>
      <c r="AL29" s="28"/>
      <c r="AM29" s="26">
        <f t="shared" si="11"/>
        <v>0</v>
      </c>
      <c r="AN29" s="27"/>
      <c r="AO29" s="28"/>
      <c r="AP29" s="29">
        <f t="shared" si="12"/>
        <v>0</v>
      </c>
      <c r="AQ29" s="6" t="e">
        <f t="shared" si="1"/>
        <v>#DIV/0!</v>
      </c>
    </row>
    <row r="30" spans="1:43" ht="18" customHeight="1" x14ac:dyDescent="0.15">
      <c r="A30" s="4"/>
      <c r="B30" s="9"/>
      <c r="C30" s="23"/>
      <c r="D30" s="29"/>
      <c r="E30" s="25"/>
      <c r="F30" s="26">
        <f t="shared" si="13"/>
        <v>0</v>
      </c>
      <c r="G30" s="27"/>
      <c r="H30" s="28"/>
      <c r="I30" s="26">
        <f t="shared" si="14"/>
        <v>0</v>
      </c>
      <c r="J30" s="27"/>
      <c r="K30" s="28"/>
      <c r="L30" s="26">
        <f t="shared" si="2"/>
        <v>0</v>
      </c>
      <c r="M30" s="27"/>
      <c r="N30" s="28"/>
      <c r="O30" s="26">
        <f t="shared" si="3"/>
        <v>0</v>
      </c>
      <c r="P30" s="27"/>
      <c r="Q30" s="28"/>
      <c r="R30" s="26">
        <f t="shared" si="4"/>
        <v>0</v>
      </c>
      <c r="S30" s="27"/>
      <c r="T30" s="28"/>
      <c r="U30" s="26">
        <f t="shared" si="5"/>
        <v>0</v>
      </c>
      <c r="V30" s="27"/>
      <c r="W30" s="28"/>
      <c r="X30" s="26">
        <f t="shared" si="6"/>
        <v>0</v>
      </c>
      <c r="Y30" s="27"/>
      <c r="Z30" s="28"/>
      <c r="AA30" s="26">
        <f t="shared" si="7"/>
        <v>0</v>
      </c>
      <c r="AB30" s="27"/>
      <c r="AC30" s="28"/>
      <c r="AD30" s="26">
        <f t="shared" si="8"/>
        <v>0</v>
      </c>
      <c r="AE30" s="27"/>
      <c r="AF30" s="28"/>
      <c r="AG30" s="26">
        <f t="shared" si="9"/>
        <v>0</v>
      </c>
      <c r="AH30" s="27"/>
      <c r="AI30" s="28"/>
      <c r="AJ30" s="26">
        <f t="shared" si="10"/>
        <v>0</v>
      </c>
      <c r="AK30" s="27"/>
      <c r="AL30" s="28"/>
      <c r="AM30" s="26">
        <f t="shared" si="11"/>
        <v>0</v>
      </c>
      <c r="AN30" s="27"/>
      <c r="AO30" s="28"/>
      <c r="AP30" s="29">
        <f t="shared" si="12"/>
        <v>0</v>
      </c>
      <c r="AQ30" s="6" t="e">
        <f t="shared" si="1"/>
        <v>#DIV/0!</v>
      </c>
    </row>
    <row r="31" spans="1:43" ht="18" customHeight="1" thickBot="1" x14ac:dyDescent="0.2">
      <c r="A31" s="4"/>
      <c r="B31" s="10"/>
      <c r="C31" s="18"/>
      <c r="D31" s="30"/>
      <c r="E31" s="20"/>
      <c r="F31" s="20">
        <f t="shared" si="13"/>
        <v>0</v>
      </c>
      <c r="G31" s="31"/>
      <c r="H31" s="32"/>
      <c r="I31" s="20">
        <f t="shared" si="14"/>
        <v>0</v>
      </c>
      <c r="J31" s="31"/>
      <c r="K31" s="32"/>
      <c r="L31" s="20">
        <f t="shared" si="2"/>
        <v>0</v>
      </c>
      <c r="M31" s="31"/>
      <c r="N31" s="32"/>
      <c r="O31" s="20">
        <f t="shared" si="3"/>
        <v>0</v>
      </c>
      <c r="P31" s="31"/>
      <c r="Q31" s="32"/>
      <c r="R31" s="20">
        <f t="shared" si="4"/>
        <v>0</v>
      </c>
      <c r="S31" s="31"/>
      <c r="T31" s="32"/>
      <c r="U31" s="20">
        <f t="shared" si="5"/>
        <v>0</v>
      </c>
      <c r="V31" s="31"/>
      <c r="W31" s="32"/>
      <c r="X31" s="20">
        <f t="shared" si="6"/>
        <v>0</v>
      </c>
      <c r="Y31" s="31"/>
      <c r="Z31" s="32"/>
      <c r="AA31" s="20">
        <f t="shared" si="7"/>
        <v>0</v>
      </c>
      <c r="AB31" s="31"/>
      <c r="AC31" s="32"/>
      <c r="AD31" s="20">
        <f t="shared" si="8"/>
        <v>0</v>
      </c>
      <c r="AE31" s="31"/>
      <c r="AF31" s="32"/>
      <c r="AG31" s="20">
        <f t="shared" si="9"/>
        <v>0</v>
      </c>
      <c r="AH31" s="31"/>
      <c r="AI31" s="32"/>
      <c r="AJ31" s="20">
        <f t="shared" si="10"/>
        <v>0</v>
      </c>
      <c r="AK31" s="31"/>
      <c r="AL31" s="32"/>
      <c r="AM31" s="20">
        <f t="shared" si="11"/>
        <v>0</v>
      </c>
      <c r="AN31" s="31"/>
      <c r="AO31" s="32"/>
      <c r="AP31" s="30">
        <f t="shared" si="12"/>
        <v>0</v>
      </c>
      <c r="AQ31" s="5" t="e">
        <f t="shared" si="1"/>
        <v>#DIV/0!</v>
      </c>
    </row>
    <row r="32" spans="1:43" ht="18" customHeight="1" thickTop="1" x14ac:dyDescent="0.15">
      <c r="B32" s="11" t="s">
        <v>33</v>
      </c>
      <c r="C32" s="33">
        <f t="shared" ref="C32" si="17">SUM(C12:C31)</f>
        <v>3836</v>
      </c>
      <c r="D32" s="34">
        <f t="shared" ref="D32:AP32" si="18">SUM(D12:D31)</f>
        <v>900</v>
      </c>
      <c r="E32" s="35">
        <f t="shared" si="18"/>
        <v>3600</v>
      </c>
      <c r="F32" s="35">
        <f t="shared" si="18"/>
        <v>629</v>
      </c>
      <c r="G32" s="36">
        <f t="shared" si="18"/>
        <v>475</v>
      </c>
      <c r="H32" s="37">
        <f t="shared" si="18"/>
        <v>154</v>
      </c>
      <c r="I32" s="35">
        <f t="shared" ref="I32:N32" si="19">SUM(I12:I31)</f>
        <v>484</v>
      </c>
      <c r="J32" s="36">
        <f t="shared" si="19"/>
        <v>351</v>
      </c>
      <c r="K32" s="37">
        <f t="shared" si="19"/>
        <v>133</v>
      </c>
      <c r="L32" s="35">
        <f t="shared" si="19"/>
        <v>0</v>
      </c>
      <c r="M32" s="36">
        <f t="shared" si="19"/>
        <v>0</v>
      </c>
      <c r="N32" s="37">
        <f t="shared" si="19"/>
        <v>0</v>
      </c>
      <c r="O32" s="35">
        <f t="shared" ref="O32:T32" si="20">SUM(O12:O31)</f>
        <v>0</v>
      </c>
      <c r="P32" s="36">
        <f t="shared" si="20"/>
        <v>0</v>
      </c>
      <c r="Q32" s="37">
        <f t="shared" si="20"/>
        <v>0</v>
      </c>
      <c r="R32" s="35">
        <f t="shared" si="20"/>
        <v>0</v>
      </c>
      <c r="S32" s="36">
        <f t="shared" si="20"/>
        <v>0</v>
      </c>
      <c r="T32" s="37">
        <f t="shared" si="20"/>
        <v>0</v>
      </c>
      <c r="U32" s="35">
        <f t="shared" ref="U32:AI32" si="21">SUM(U12:U31)</f>
        <v>0</v>
      </c>
      <c r="V32" s="36">
        <f t="shared" si="21"/>
        <v>0</v>
      </c>
      <c r="W32" s="37">
        <f t="shared" si="21"/>
        <v>0</v>
      </c>
      <c r="X32" s="35">
        <f t="shared" si="21"/>
        <v>0</v>
      </c>
      <c r="Y32" s="36">
        <f t="shared" si="21"/>
        <v>0</v>
      </c>
      <c r="Z32" s="37">
        <f t="shared" si="21"/>
        <v>0</v>
      </c>
      <c r="AA32" s="35">
        <f t="shared" si="21"/>
        <v>0</v>
      </c>
      <c r="AB32" s="36">
        <f t="shared" si="21"/>
        <v>0</v>
      </c>
      <c r="AC32" s="37">
        <f t="shared" si="21"/>
        <v>0</v>
      </c>
      <c r="AD32" s="35">
        <f t="shared" si="21"/>
        <v>0</v>
      </c>
      <c r="AE32" s="36">
        <f t="shared" si="21"/>
        <v>0</v>
      </c>
      <c r="AF32" s="37">
        <f t="shared" si="21"/>
        <v>0</v>
      </c>
      <c r="AG32" s="35">
        <f t="shared" si="21"/>
        <v>0</v>
      </c>
      <c r="AH32" s="36">
        <f t="shared" si="21"/>
        <v>0</v>
      </c>
      <c r="AI32" s="37">
        <f t="shared" si="21"/>
        <v>0</v>
      </c>
      <c r="AJ32" s="35">
        <f t="shared" ref="AJ32:AO32" si="22">SUM(AJ12:AJ31)</f>
        <v>0</v>
      </c>
      <c r="AK32" s="36">
        <f t="shared" si="22"/>
        <v>0</v>
      </c>
      <c r="AL32" s="37">
        <f t="shared" si="22"/>
        <v>0</v>
      </c>
      <c r="AM32" s="35">
        <f t="shared" si="22"/>
        <v>0</v>
      </c>
      <c r="AN32" s="36">
        <f t="shared" si="22"/>
        <v>0</v>
      </c>
      <c r="AO32" s="37">
        <f t="shared" si="22"/>
        <v>0</v>
      </c>
      <c r="AP32" s="34">
        <f t="shared" si="18"/>
        <v>629</v>
      </c>
      <c r="AQ32" s="7">
        <f t="shared" si="1"/>
        <v>0.17472222222222222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O131"/>
  <sheetViews>
    <sheetView showZeros="0" view="pageBreakPreview" zoomScaleNormal="100" zoomScaleSheetLayoutView="100" workbookViewId="0">
      <selection activeCell="H3" sqref="H3"/>
    </sheetView>
  </sheetViews>
  <sheetFormatPr defaultColWidth="11.375" defaultRowHeight="18.75" customHeight="1" x14ac:dyDescent="0.15"/>
  <cols>
    <col min="1" max="1" width="2.75" style="53" customWidth="1"/>
    <col min="2" max="2" width="16.625" style="44" customWidth="1"/>
    <col min="3" max="3" width="8.875" style="44" customWidth="1"/>
    <col min="4" max="4" width="2.25" style="44" customWidth="1"/>
    <col min="5" max="5" width="16.625" style="44" customWidth="1"/>
    <col min="6" max="6" width="4.375" style="44" customWidth="1"/>
    <col min="7" max="7" width="9" style="44" customWidth="1"/>
    <col min="8" max="8" width="16.625" style="44" customWidth="1"/>
    <col min="9" max="9" width="12.125" style="44" customWidth="1"/>
    <col min="10" max="16384" width="11.375" style="44"/>
  </cols>
  <sheetData>
    <row r="1" spans="1:9" ht="18.75" customHeight="1" x14ac:dyDescent="0.15">
      <c r="A1" s="53" t="s">
        <v>65</v>
      </c>
      <c r="I1" s="45" t="s">
        <v>106</v>
      </c>
    </row>
    <row r="2" spans="1:9" ht="18.75" customHeight="1" x14ac:dyDescent="0.15">
      <c r="G2" s="45" t="s">
        <v>109</v>
      </c>
      <c r="H2" s="237" t="str">
        <f>'様式１　プログラムを構成する授業科目 '!C2</f>
        <v>流通科学大学</v>
      </c>
      <c r="I2" s="238"/>
    </row>
    <row r="3" spans="1:9" ht="18.75" customHeight="1" x14ac:dyDescent="0.15">
      <c r="G3" s="45"/>
      <c r="H3" s="50"/>
      <c r="I3" s="50"/>
    </row>
    <row r="4" spans="1:9" ht="18.75" customHeight="1" x14ac:dyDescent="0.15">
      <c r="A4" s="239" t="s">
        <v>36</v>
      </c>
      <c r="B4" s="239"/>
      <c r="C4" s="239"/>
      <c r="D4" s="239"/>
      <c r="E4" s="239"/>
      <c r="F4" s="239"/>
      <c r="G4" s="239"/>
      <c r="H4" s="239"/>
      <c r="I4" s="239"/>
    </row>
    <row r="5" spans="1:9" ht="13.35" customHeight="1" x14ac:dyDescent="0.15">
      <c r="B5" s="49"/>
      <c r="C5" s="49"/>
      <c r="D5" s="49"/>
      <c r="E5" s="49"/>
      <c r="F5" s="49"/>
      <c r="G5" s="49"/>
      <c r="H5" s="49"/>
      <c r="I5" s="49"/>
    </row>
    <row r="6" spans="1:9" ht="18" customHeight="1" x14ac:dyDescent="0.15">
      <c r="A6" s="44" t="s">
        <v>0</v>
      </c>
      <c r="B6" s="50" t="s">
        <v>91</v>
      </c>
      <c r="C6" s="253" t="s">
        <v>92</v>
      </c>
      <c r="D6" s="253"/>
      <c r="E6" s="47">
        <v>104</v>
      </c>
      <c r="F6" s="49" t="s">
        <v>1</v>
      </c>
      <c r="G6" s="49" t="s">
        <v>2</v>
      </c>
      <c r="H6" s="47">
        <v>97</v>
      </c>
      <c r="I6" s="50" t="s">
        <v>1</v>
      </c>
    </row>
    <row r="7" spans="1:9" ht="12" customHeight="1" x14ac:dyDescent="0.15">
      <c r="C7" s="46"/>
      <c r="D7" s="46"/>
      <c r="E7" s="46"/>
      <c r="F7" s="46"/>
      <c r="G7" s="46"/>
      <c r="H7" s="46"/>
      <c r="I7" s="54"/>
    </row>
    <row r="8" spans="1:9" ht="18" customHeight="1" x14ac:dyDescent="0.15">
      <c r="A8" s="44" t="s">
        <v>3</v>
      </c>
      <c r="B8" s="50" t="s">
        <v>93</v>
      </c>
      <c r="E8" s="49"/>
      <c r="F8" s="49"/>
      <c r="G8" s="49"/>
      <c r="H8" s="47">
        <v>4</v>
      </c>
      <c r="I8" s="50" t="s">
        <v>1</v>
      </c>
    </row>
    <row r="9" spans="1:9" ht="9" customHeight="1" x14ac:dyDescent="0.15">
      <c r="B9" s="49"/>
      <c r="C9" s="49"/>
      <c r="D9" s="49"/>
      <c r="E9" s="49"/>
      <c r="F9" s="49"/>
      <c r="G9" s="49"/>
      <c r="H9" s="49"/>
      <c r="I9" s="49"/>
    </row>
    <row r="10" spans="1:9" ht="18" customHeight="1" x14ac:dyDescent="0.15">
      <c r="A10" s="44" t="s">
        <v>4</v>
      </c>
      <c r="B10" s="50" t="s">
        <v>94</v>
      </c>
      <c r="C10" s="49"/>
      <c r="D10" s="49"/>
      <c r="E10" s="49"/>
      <c r="F10" s="49"/>
      <c r="G10" s="49"/>
      <c r="H10" s="49" t="s">
        <v>130</v>
      </c>
      <c r="I10" s="49"/>
    </row>
    <row r="11" spans="1:9" ht="18" customHeight="1" x14ac:dyDescent="0.15">
      <c r="B11" s="45" t="s">
        <v>43</v>
      </c>
      <c r="C11" s="248" t="s">
        <v>131</v>
      </c>
      <c r="D11" s="251"/>
      <c r="E11" s="252"/>
      <c r="F11" s="54"/>
      <c r="G11" s="45" t="s">
        <v>10</v>
      </c>
      <c r="H11" s="248" t="s">
        <v>132</v>
      </c>
      <c r="I11" s="252"/>
    </row>
    <row r="12" spans="1:9" ht="10.35" customHeight="1" x14ac:dyDescent="0.15">
      <c r="B12" s="45"/>
      <c r="C12" s="50"/>
      <c r="D12" s="54"/>
      <c r="E12" s="54"/>
      <c r="F12" s="54"/>
      <c r="G12" s="45"/>
      <c r="H12" s="50"/>
      <c r="I12" s="54"/>
    </row>
    <row r="13" spans="1:9" ht="18" customHeight="1" x14ac:dyDescent="0.15">
      <c r="A13" s="44" t="s">
        <v>7</v>
      </c>
      <c r="B13" s="50" t="s">
        <v>88</v>
      </c>
      <c r="C13" s="49"/>
      <c r="D13" s="49"/>
      <c r="E13" s="49"/>
      <c r="F13" s="49"/>
      <c r="G13" s="49"/>
      <c r="H13" s="49"/>
      <c r="I13" s="49"/>
    </row>
    <row r="14" spans="1:9" ht="18" customHeight="1" x14ac:dyDescent="0.15">
      <c r="B14" s="248" t="s">
        <v>146</v>
      </c>
      <c r="C14" s="249"/>
      <c r="D14" s="249"/>
      <c r="E14" s="249"/>
      <c r="F14" s="249"/>
      <c r="G14" s="249"/>
      <c r="H14" s="249"/>
      <c r="I14" s="250"/>
    </row>
    <row r="15" spans="1:9" ht="9" customHeight="1" x14ac:dyDescent="0.15">
      <c r="B15" s="49"/>
      <c r="C15" s="49"/>
      <c r="D15" s="49"/>
      <c r="E15" s="49"/>
      <c r="F15" s="49"/>
      <c r="G15" s="49"/>
      <c r="H15" s="49"/>
      <c r="I15" s="49"/>
    </row>
    <row r="16" spans="1:9" ht="18" customHeight="1" x14ac:dyDescent="0.15">
      <c r="B16" s="45" t="s">
        <v>43</v>
      </c>
      <c r="C16" s="248" t="s">
        <v>133</v>
      </c>
      <c r="D16" s="251"/>
      <c r="E16" s="252"/>
      <c r="F16" s="54"/>
      <c r="G16" s="45" t="s">
        <v>10</v>
      </c>
      <c r="H16" s="248" t="s">
        <v>134</v>
      </c>
      <c r="I16" s="252"/>
    </row>
    <row r="17" spans="1:9" ht="18" customHeight="1" x14ac:dyDescent="0.15">
      <c r="B17" s="49"/>
      <c r="C17" s="49"/>
      <c r="D17" s="49"/>
      <c r="E17" s="49"/>
      <c r="F17" s="49"/>
      <c r="G17" s="49"/>
      <c r="H17" s="49"/>
      <c r="I17" s="49"/>
    </row>
    <row r="18" spans="1:9" ht="18.75" customHeight="1" x14ac:dyDescent="0.15">
      <c r="A18" s="44" t="s">
        <v>5</v>
      </c>
      <c r="B18" s="44" t="s">
        <v>42</v>
      </c>
      <c r="I18" s="49"/>
    </row>
    <row r="19" spans="1:9" ht="18.75" customHeight="1" x14ac:dyDescent="0.15">
      <c r="A19" s="44"/>
      <c r="B19" s="240" t="s">
        <v>161</v>
      </c>
      <c r="C19" s="241"/>
      <c r="D19" s="241"/>
      <c r="E19" s="241"/>
      <c r="F19" s="241"/>
      <c r="G19" s="241"/>
      <c r="H19" s="241"/>
      <c r="I19" s="242"/>
    </row>
    <row r="20" spans="1:9" ht="7.5" customHeight="1" x14ac:dyDescent="0.15">
      <c r="B20" s="49"/>
      <c r="C20" s="49"/>
      <c r="D20" s="49"/>
      <c r="E20" s="49"/>
      <c r="F20" s="49"/>
      <c r="G20" s="49"/>
      <c r="H20" s="49"/>
      <c r="I20" s="49"/>
    </row>
    <row r="21" spans="1:9" ht="18.75" customHeight="1" x14ac:dyDescent="0.15">
      <c r="A21" s="44" t="s">
        <v>8</v>
      </c>
      <c r="B21" s="44" t="s">
        <v>25</v>
      </c>
    </row>
    <row r="22" spans="1:9" ht="18.75" customHeight="1" x14ac:dyDescent="0.15">
      <c r="A22" s="52"/>
      <c r="B22" s="227" t="s">
        <v>153</v>
      </c>
      <c r="C22" s="228"/>
      <c r="D22" s="228"/>
      <c r="E22" s="228"/>
      <c r="F22" s="228"/>
      <c r="G22" s="228"/>
      <c r="H22" s="228"/>
      <c r="I22" s="229"/>
    </row>
    <row r="23" spans="1:9" ht="18.75" customHeight="1" x14ac:dyDescent="0.15">
      <c r="A23" s="52"/>
      <c r="B23" s="243"/>
      <c r="C23" s="244"/>
      <c r="D23" s="244"/>
      <c r="E23" s="244"/>
      <c r="F23" s="244"/>
      <c r="G23" s="244"/>
      <c r="H23" s="244"/>
      <c r="I23" s="232"/>
    </row>
    <row r="24" spans="1:9" ht="18.75" customHeight="1" x14ac:dyDescent="0.15">
      <c r="A24" s="52"/>
      <c r="B24" s="243"/>
      <c r="C24" s="244"/>
      <c r="D24" s="244"/>
      <c r="E24" s="244"/>
      <c r="F24" s="244"/>
      <c r="G24" s="244"/>
      <c r="H24" s="244"/>
      <c r="I24" s="232"/>
    </row>
    <row r="25" spans="1:9" ht="18.75" customHeight="1" x14ac:dyDescent="0.15">
      <c r="A25" s="52"/>
      <c r="B25" s="243"/>
      <c r="C25" s="244"/>
      <c r="D25" s="244"/>
      <c r="E25" s="244"/>
      <c r="F25" s="244"/>
      <c r="G25" s="244"/>
      <c r="H25" s="244"/>
      <c r="I25" s="232"/>
    </row>
    <row r="26" spans="1:9" ht="15" customHeight="1" x14ac:dyDescent="0.15">
      <c r="A26" s="52"/>
      <c r="B26" s="243"/>
      <c r="C26" s="244"/>
      <c r="D26" s="244"/>
      <c r="E26" s="244"/>
      <c r="F26" s="244"/>
      <c r="G26" s="244"/>
      <c r="H26" s="244"/>
      <c r="I26" s="232"/>
    </row>
    <row r="27" spans="1:9" ht="15" customHeight="1" x14ac:dyDescent="0.15">
      <c r="A27" s="52"/>
      <c r="B27" s="243"/>
      <c r="C27" s="244"/>
      <c r="D27" s="244"/>
      <c r="E27" s="244"/>
      <c r="F27" s="244"/>
      <c r="G27" s="244"/>
      <c r="H27" s="244"/>
      <c r="I27" s="232"/>
    </row>
    <row r="28" spans="1:9" ht="15" customHeight="1" x14ac:dyDescent="0.15">
      <c r="A28" s="52"/>
      <c r="B28" s="243"/>
      <c r="C28" s="244"/>
      <c r="D28" s="244"/>
      <c r="E28" s="244"/>
      <c r="F28" s="244"/>
      <c r="G28" s="244"/>
      <c r="H28" s="244"/>
      <c r="I28" s="232"/>
    </row>
    <row r="29" spans="1:9" ht="15" customHeight="1" x14ac:dyDescent="0.15">
      <c r="A29" s="52"/>
      <c r="B29" s="230"/>
      <c r="C29" s="231"/>
      <c r="D29" s="231"/>
      <c r="E29" s="231"/>
      <c r="F29" s="231"/>
      <c r="G29" s="231"/>
      <c r="H29" s="231"/>
      <c r="I29" s="232"/>
    </row>
    <row r="30" spans="1:9" ht="18.75" customHeight="1" x14ac:dyDescent="0.15">
      <c r="A30" s="52"/>
      <c r="B30" s="230"/>
      <c r="C30" s="231"/>
      <c r="D30" s="231"/>
      <c r="E30" s="231"/>
      <c r="F30" s="231"/>
      <c r="G30" s="231"/>
      <c r="H30" s="231"/>
      <c r="I30" s="232"/>
    </row>
    <row r="31" spans="1:9" ht="18.75" customHeight="1" x14ac:dyDescent="0.15">
      <c r="A31" s="52"/>
      <c r="B31" s="233"/>
      <c r="C31" s="234"/>
      <c r="D31" s="234"/>
      <c r="E31" s="234"/>
      <c r="F31" s="234"/>
      <c r="G31" s="234"/>
      <c r="H31" s="234"/>
      <c r="I31" s="235"/>
    </row>
    <row r="32" spans="1:9" ht="7.5" customHeight="1" x14ac:dyDescent="0.15">
      <c r="A32" s="52"/>
      <c r="B32" s="52"/>
      <c r="C32" s="52"/>
      <c r="D32" s="52"/>
      <c r="E32" s="52"/>
      <c r="F32" s="52"/>
      <c r="G32" s="52"/>
      <c r="H32" s="52"/>
      <c r="I32" s="52"/>
    </row>
    <row r="33" spans="1:14" ht="18.75" customHeight="1" x14ac:dyDescent="0.15">
      <c r="A33" s="51" t="s">
        <v>6</v>
      </c>
      <c r="B33" s="51" t="s">
        <v>9</v>
      </c>
      <c r="C33" s="50"/>
      <c r="D33" s="51"/>
      <c r="E33" s="51"/>
      <c r="F33" s="51"/>
      <c r="G33" s="51"/>
      <c r="H33" s="51"/>
      <c r="I33" s="51"/>
    </row>
    <row r="34" spans="1:14" ht="18.75" customHeight="1" x14ac:dyDescent="0.15">
      <c r="A34" s="52"/>
      <c r="B34" s="227" t="s">
        <v>154</v>
      </c>
      <c r="C34" s="228"/>
      <c r="D34" s="228"/>
      <c r="E34" s="228"/>
      <c r="F34" s="228"/>
      <c r="G34" s="228"/>
      <c r="H34" s="228"/>
      <c r="I34" s="229"/>
    </row>
    <row r="35" spans="1:14" ht="18.75" customHeight="1" x14ac:dyDescent="0.15">
      <c r="A35" s="52"/>
      <c r="B35" s="230"/>
      <c r="C35" s="231"/>
      <c r="D35" s="231"/>
      <c r="E35" s="231"/>
      <c r="F35" s="231"/>
      <c r="G35" s="231"/>
      <c r="H35" s="231"/>
      <c r="I35" s="232"/>
    </row>
    <row r="36" spans="1:14" ht="18.75" customHeight="1" x14ac:dyDescent="0.15">
      <c r="A36" s="52"/>
      <c r="B36" s="230"/>
      <c r="C36" s="231"/>
      <c r="D36" s="231"/>
      <c r="E36" s="231"/>
      <c r="F36" s="231"/>
      <c r="G36" s="231"/>
      <c r="H36" s="231"/>
      <c r="I36" s="232"/>
    </row>
    <row r="37" spans="1:14" ht="18.75" customHeight="1" x14ac:dyDescent="0.15">
      <c r="A37" s="52"/>
      <c r="B37" s="230"/>
      <c r="C37" s="231"/>
      <c r="D37" s="231"/>
      <c r="E37" s="231"/>
      <c r="F37" s="231"/>
      <c r="G37" s="231"/>
      <c r="H37" s="231"/>
      <c r="I37" s="232"/>
    </row>
    <row r="38" spans="1:14" ht="18.75" customHeight="1" x14ac:dyDescent="0.15">
      <c r="A38" s="52"/>
      <c r="B38" s="230"/>
      <c r="C38" s="231"/>
      <c r="D38" s="231"/>
      <c r="E38" s="231"/>
      <c r="F38" s="231"/>
      <c r="G38" s="231"/>
      <c r="H38" s="231"/>
      <c r="I38" s="232"/>
    </row>
    <row r="39" spans="1:14" ht="18.75" customHeight="1" x14ac:dyDescent="0.15">
      <c r="A39" s="52"/>
      <c r="B39" s="230"/>
      <c r="C39" s="231"/>
      <c r="D39" s="231"/>
      <c r="E39" s="231"/>
      <c r="F39" s="231"/>
      <c r="G39" s="231"/>
      <c r="H39" s="231"/>
      <c r="I39" s="232"/>
    </row>
    <row r="40" spans="1:14" ht="18.75" customHeight="1" x14ac:dyDescent="0.15">
      <c r="A40" s="52"/>
      <c r="B40" s="230"/>
      <c r="C40" s="231"/>
      <c r="D40" s="231"/>
      <c r="E40" s="231"/>
      <c r="F40" s="231"/>
      <c r="G40" s="231"/>
      <c r="H40" s="231"/>
      <c r="I40" s="232"/>
    </row>
    <row r="41" spans="1:14" ht="18.75" customHeight="1" x14ac:dyDescent="0.15">
      <c r="A41" s="52"/>
      <c r="B41" s="230"/>
      <c r="C41" s="231"/>
      <c r="D41" s="231"/>
      <c r="E41" s="231"/>
      <c r="F41" s="231"/>
      <c r="G41" s="231"/>
      <c r="H41" s="231"/>
      <c r="I41" s="232"/>
    </row>
    <row r="42" spans="1:14" ht="18.75" customHeight="1" x14ac:dyDescent="0.15">
      <c r="A42" s="52"/>
      <c r="B42" s="230"/>
      <c r="C42" s="231"/>
      <c r="D42" s="231"/>
      <c r="E42" s="231"/>
      <c r="F42" s="231"/>
      <c r="G42" s="231"/>
      <c r="H42" s="231"/>
      <c r="I42" s="232"/>
    </row>
    <row r="43" spans="1:14" ht="18.75" customHeight="1" x14ac:dyDescent="0.15">
      <c r="A43" s="52"/>
      <c r="B43" s="230"/>
      <c r="C43" s="231"/>
      <c r="D43" s="231"/>
      <c r="E43" s="231"/>
      <c r="F43" s="231"/>
      <c r="G43" s="231"/>
      <c r="H43" s="231"/>
      <c r="I43" s="232"/>
    </row>
    <row r="44" spans="1:14" ht="18.75" customHeight="1" x14ac:dyDescent="0.15">
      <c r="A44" s="52"/>
      <c r="B44" s="230"/>
      <c r="C44" s="231"/>
      <c r="D44" s="231"/>
      <c r="E44" s="231"/>
      <c r="F44" s="231"/>
      <c r="G44" s="231"/>
      <c r="H44" s="231"/>
      <c r="I44" s="232"/>
    </row>
    <row r="45" spans="1:14" ht="35.25" customHeight="1" x14ac:dyDescent="0.15">
      <c r="A45" s="52"/>
      <c r="B45" s="233"/>
      <c r="C45" s="234"/>
      <c r="D45" s="234"/>
      <c r="E45" s="234"/>
      <c r="F45" s="234"/>
      <c r="G45" s="234"/>
      <c r="H45" s="234"/>
      <c r="I45" s="235"/>
    </row>
    <row r="46" spans="1:14" ht="16.5" customHeight="1" x14ac:dyDescent="0.15">
      <c r="A46" s="55"/>
      <c r="B46" s="55"/>
      <c r="C46" s="55"/>
      <c r="D46" s="55"/>
      <c r="E46" s="55"/>
      <c r="F46" s="55"/>
      <c r="G46" s="55"/>
      <c r="H46" s="55"/>
      <c r="I46" s="55"/>
    </row>
    <row r="47" spans="1:14" ht="18.75" customHeight="1" x14ac:dyDescent="0.15">
      <c r="A47" s="44" t="s">
        <v>31</v>
      </c>
      <c r="B47" s="44" t="s">
        <v>155</v>
      </c>
    </row>
    <row r="48" spans="1:14" s="49" customFormat="1" ht="18.75" customHeight="1" x14ac:dyDescent="0.15">
      <c r="B48" s="56" t="s">
        <v>89</v>
      </c>
      <c r="C48" s="216">
        <f>'様式２ 履修者等数の実績'!AQ32</f>
        <v>0.17472222222222222</v>
      </c>
      <c r="D48" s="216"/>
      <c r="E48" s="56" t="s">
        <v>66</v>
      </c>
      <c r="F48" s="216">
        <v>0.32</v>
      </c>
      <c r="G48" s="216"/>
      <c r="H48" s="56" t="s">
        <v>67</v>
      </c>
      <c r="I48" s="57">
        <v>0.37</v>
      </c>
      <c r="J48" s="44"/>
      <c r="M48" s="44"/>
      <c r="N48" s="58"/>
    </row>
    <row r="49" spans="1:15" s="49" customFormat="1" ht="18.75" customHeight="1" x14ac:dyDescent="0.15">
      <c r="B49" s="59" t="s">
        <v>68</v>
      </c>
      <c r="C49" s="217">
        <v>0.51</v>
      </c>
      <c r="D49" s="217"/>
      <c r="E49" s="59" t="s">
        <v>90</v>
      </c>
      <c r="F49" s="217">
        <v>0.57999999999999996</v>
      </c>
      <c r="G49" s="217"/>
      <c r="H49" s="59" t="s">
        <v>69</v>
      </c>
      <c r="I49" s="60">
        <f>'様式２ 履修者等数の実績'!E32</f>
        <v>3600</v>
      </c>
      <c r="J49" s="44"/>
      <c r="M49" s="44"/>
      <c r="N49" s="58"/>
    </row>
    <row r="50" spans="1:15" ht="18.75" customHeight="1" x14ac:dyDescent="0.15">
      <c r="A50" s="44"/>
      <c r="B50" s="245" t="s">
        <v>70</v>
      </c>
      <c r="C50" s="246"/>
      <c r="D50" s="246"/>
      <c r="E50" s="246"/>
      <c r="F50" s="246"/>
      <c r="G50" s="246"/>
      <c r="H50" s="246"/>
      <c r="I50" s="247"/>
      <c r="N50" s="58"/>
      <c r="O50" s="49"/>
    </row>
    <row r="51" spans="1:15" ht="18.75" customHeight="1" x14ac:dyDescent="0.15">
      <c r="A51" s="44"/>
      <c r="B51" s="218" t="s">
        <v>148</v>
      </c>
      <c r="C51" s="219"/>
      <c r="D51" s="219"/>
      <c r="E51" s="219"/>
      <c r="F51" s="219"/>
      <c r="G51" s="219"/>
      <c r="H51" s="219"/>
      <c r="I51" s="220"/>
      <c r="N51" s="58"/>
      <c r="O51" s="49"/>
    </row>
    <row r="52" spans="1:15" ht="18.75" customHeight="1" x14ac:dyDescent="0.15">
      <c r="A52" s="44"/>
      <c r="B52" s="221"/>
      <c r="C52" s="222"/>
      <c r="D52" s="222"/>
      <c r="E52" s="222"/>
      <c r="F52" s="222"/>
      <c r="G52" s="222"/>
      <c r="H52" s="222"/>
      <c r="I52" s="223"/>
      <c r="N52" s="58"/>
      <c r="O52" s="49"/>
    </row>
    <row r="53" spans="1:15" ht="18.75" customHeight="1" x14ac:dyDescent="0.15">
      <c r="A53" s="44"/>
      <c r="B53" s="221"/>
      <c r="C53" s="222"/>
      <c r="D53" s="222"/>
      <c r="E53" s="222"/>
      <c r="F53" s="222"/>
      <c r="G53" s="222"/>
      <c r="H53" s="222"/>
      <c r="I53" s="223"/>
    </row>
    <row r="54" spans="1:15" ht="18.75" customHeight="1" x14ac:dyDescent="0.15">
      <c r="A54" s="44"/>
      <c r="B54" s="221"/>
      <c r="C54" s="222"/>
      <c r="D54" s="222"/>
      <c r="E54" s="222"/>
      <c r="F54" s="222"/>
      <c r="G54" s="222"/>
      <c r="H54" s="222"/>
      <c r="I54" s="223"/>
    </row>
    <row r="55" spans="1:15" ht="18.75" customHeight="1" x14ac:dyDescent="0.15">
      <c r="A55" s="44"/>
      <c r="B55" s="221"/>
      <c r="C55" s="222"/>
      <c r="D55" s="222"/>
      <c r="E55" s="222"/>
      <c r="F55" s="222"/>
      <c r="G55" s="222"/>
      <c r="H55" s="222"/>
      <c r="I55" s="223"/>
    </row>
    <row r="56" spans="1:15" ht="18.75" customHeight="1" x14ac:dyDescent="0.15">
      <c r="A56" s="44"/>
      <c r="B56" s="221"/>
      <c r="C56" s="222"/>
      <c r="D56" s="222"/>
      <c r="E56" s="222"/>
      <c r="F56" s="222"/>
      <c r="G56" s="222"/>
      <c r="H56" s="222"/>
      <c r="I56" s="223"/>
    </row>
    <row r="57" spans="1:15" ht="18.75" customHeight="1" x14ac:dyDescent="0.15">
      <c r="A57" s="44"/>
      <c r="B57" s="221"/>
      <c r="C57" s="222"/>
      <c r="D57" s="222"/>
      <c r="E57" s="222"/>
      <c r="F57" s="222"/>
      <c r="G57" s="222"/>
      <c r="H57" s="222"/>
      <c r="I57" s="223"/>
    </row>
    <row r="58" spans="1:15" ht="18.75" customHeight="1" x14ac:dyDescent="0.15">
      <c r="A58" s="44"/>
      <c r="B58" s="221"/>
      <c r="C58" s="222"/>
      <c r="D58" s="222"/>
      <c r="E58" s="222"/>
      <c r="F58" s="222"/>
      <c r="G58" s="222"/>
      <c r="H58" s="222"/>
      <c r="I58" s="223"/>
    </row>
    <row r="59" spans="1:15" ht="18.75" customHeight="1" x14ac:dyDescent="0.15">
      <c r="A59" s="44"/>
      <c r="B59" s="221"/>
      <c r="C59" s="222"/>
      <c r="D59" s="222"/>
      <c r="E59" s="222"/>
      <c r="F59" s="222"/>
      <c r="G59" s="222"/>
      <c r="H59" s="222"/>
      <c r="I59" s="223"/>
    </row>
    <row r="60" spans="1:15" ht="18.75" customHeight="1" x14ac:dyDescent="0.15">
      <c r="A60" s="44"/>
      <c r="B60" s="221"/>
      <c r="C60" s="222"/>
      <c r="D60" s="222"/>
      <c r="E60" s="222"/>
      <c r="F60" s="222"/>
      <c r="G60" s="222"/>
      <c r="H60" s="222"/>
      <c r="I60" s="223"/>
    </row>
    <row r="61" spans="1:15" ht="18.75" customHeight="1" x14ac:dyDescent="0.15">
      <c r="A61" s="44"/>
      <c r="B61" s="221"/>
      <c r="C61" s="222"/>
      <c r="D61" s="222"/>
      <c r="E61" s="222"/>
      <c r="F61" s="222"/>
      <c r="G61" s="222"/>
      <c r="H61" s="222"/>
      <c r="I61" s="223"/>
    </row>
    <row r="62" spans="1:15" ht="18.75" customHeight="1" x14ac:dyDescent="0.15">
      <c r="A62" s="44"/>
      <c r="B62" s="224"/>
      <c r="C62" s="225"/>
      <c r="D62" s="225"/>
      <c r="E62" s="225"/>
      <c r="F62" s="225"/>
      <c r="G62" s="225"/>
      <c r="H62" s="225"/>
      <c r="I62" s="226"/>
    </row>
    <row r="63" spans="1:15" ht="7.5" customHeight="1" x14ac:dyDescent="0.15">
      <c r="A63" s="52"/>
      <c r="B63" s="52"/>
      <c r="C63" s="52"/>
      <c r="D63" s="52"/>
      <c r="E63" s="52"/>
      <c r="F63" s="52"/>
      <c r="G63" s="52"/>
      <c r="H63" s="52"/>
      <c r="I63" s="52"/>
    </row>
    <row r="64" spans="1:15" ht="18.75" customHeight="1" x14ac:dyDescent="0.15">
      <c r="A64" s="51" t="s">
        <v>34</v>
      </c>
      <c r="B64" s="44" t="s">
        <v>37</v>
      </c>
      <c r="I64" s="51"/>
    </row>
    <row r="65" spans="1:9" ht="18.75" customHeight="1" x14ac:dyDescent="0.15">
      <c r="A65" s="55"/>
      <c r="B65" s="200" t="s">
        <v>135</v>
      </c>
      <c r="C65" s="201"/>
      <c r="D65" s="201"/>
      <c r="E65" s="201"/>
      <c r="F65" s="201"/>
      <c r="G65" s="201"/>
      <c r="H65" s="201"/>
      <c r="I65" s="202"/>
    </row>
    <row r="66" spans="1:9" ht="18.75" customHeight="1" x14ac:dyDescent="0.15">
      <c r="A66" s="55"/>
      <c r="B66" s="203"/>
      <c r="C66" s="204"/>
      <c r="D66" s="204"/>
      <c r="E66" s="204"/>
      <c r="F66" s="204"/>
      <c r="G66" s="204"/>
      <c r="H66" s="204"/>
      <c r="I66" s="205"/>
    </row>
    <row r="67" spans="1:9" ht="18.75" customHeight="1" x14ac:dyDescent="0.15">
      <c r="A67" s="55"/>
      <c r="B67" s="203"/>
      <c r="C67" s="204"/>
      <c r="D67" s="204"/>
      <c r="E67" s="204"/>
      <c r="F67" s="204"/>
      <c r="G67" s="204"/>
      <c r="H67" s="204"/>
      <c r="I67" s="205"/>
    </row>
    <row r="68" spans="1:9" ht="18.75" customHeight="1" x14ac:dyDescent="0.15">
      <c r="A68" s="55"/>
      <c r="B68" s="203"/>
      <c r="C68" s="204"/>
      <c r="D68" s="204"/>
      <c r="E68" s="204"/>
      <c r="F68" s="204"/>
      <c r="G68" s="204"/>
      <c r="H68" s="204"/>
      <c r="I68" s="205"/>
    </row>
    <row r="69" spans="1:9" ht="18.75" customHeight="1" x14ac:dyDescent="0.15">
      <c r="A69" s="55"/>
      <c r="B69" s="203"/>
      <c r="C69" s="204"/>
      <c r="D69" s="204"/>
      <c r="E69" s="204"/>
      <c r="F69" s="204"/>
      <c r="G69" s="204"/>
      <c r="H69" s="204"/>
      <c r="I69" s="205"/>
    </row>
    <row r="70" spans="1:9" ht="18.75" customHeight="1" x14ac:dyDescent="0.15">
      <c r="A70" s="55"/>
      <c r="B70" s="203"/>
      <c r="C70" s="204"/>
      <c r="D70" s="204"/>
      <c r="E70" s="204"/>
      <c r="F70" s="204"/>
      <c r="G70" s="204"/>
      <c r="H70" s="204"/>
      <c r="I70" s="205"/>
    </row>
    <row r="71" spans="1:9" ht="18.75" customHeight="1" x14ac:dyDescent="0.15">
      <c r="A71" s="55"/>
      <c r="B71" s="203"/>
      <c r="C71" s="204"/>
      <c r="D71" s="204"/>
      <c r="E71" s="204"/>
      <c r="F71" s="204"/>
      <c r="G71" s="204"/>
      <c r="H71" s="204"/>
      <c r="I71" s="205"/>
    </row>
    <row r="72" spans="1:9" ht="18.75" customHeight="1" x14ac:dyDescent="0.15">
      <c r="A72" s="55"/>
      <c r="B72" s="203"/>
      <c r="C72" s="204"/>
      <c r="D72" s="204"/>
      <c r="E72" s="204"/>
      <c r="F72" s="204"/>
      <c r="G72" s="204"/>
      <c r="H72" s="204"/>
      <c r="I72" s="205"/>
    </row>
    <row r="73" spans="1:9" ht="18.75" customHeight="1" x14ac:dyDescent="0.15">
      <c r="A73" s="55"/>
      <c r="B73" s="203"/>
      <c r="C73" s="204"/>
      <c r="D73" s="204"/>
      <c r="E73" s="204"/>
      <c r="F73" s="204"/>
      <c r="G73" s="204"/>
      <c r="H73" s="204"/>
      <c r="I73" s="205"/>
    </row>
    <row r="74" spans="1:9" ht="18.75" customHeight="1" x14ac:dyDescent="0.15">
      <c r="A74" s="55"/>
      <c r="B74" s="203"/>
      <c r="C74" s="204"/>
      <c r="D74" s="204"/>
      <c r="E74" s="204"/>
      <c r="F74" s="204"/>
      <c r="G74" s="204"/>
      <c r="H74" s="204"/>
      <c r="I74" s="205"/>
    </row>
    <row r="75" spans="1:9" ht="18.75" customHeight="1" x14ac:dyDescent="0.15">
      <c r="A75" s="55"/>
      <c r="B75" s="206"/>
      <c r="C75" s="207"/>
      <c r="D75" s="207"/>
      <c r="E75" s="207"/>
      <c r="F75" s="207"/>
      <c r="G75" s="207"/>
      <c r="H75" s="207"/>
      <c r="I75" s="208"/>
    </row>
    <row r="76" spans="1:9" ht="7.5" customHeight="1" x14ac:dyDescent="0.15">
      <c r="A76" s="55"/>
      <c r="B76" s="55"/>
      <c r="C76" s="55"/>
      <c r="D76" s="55"/>
      <c r="E76" s="55"/>
      <c r="F76" s="55"/>
      <c r="G76" s="55"/>
      <c r="H76" s="55"/>
      <c r="I76" s="55"/>
    </row>
    <row r="77" spans="1:9" ht="18.75" customHeight="1" x14ac:dyDescent="0.15">
      <c r="A77" s="44" t="s">
        <v>11</v>
      </c>
      <c r="B77" s="44" t="s">
        <v>41</v>
      </c>
    </row>
    <row r="78" spans="1:9" ht="18.75" customHeight="1" x14ac:dyDescent="0.15">
      <c r="A78" s="44"/>
      <c r="B78" s="200" t="s">
        <v>156</v>
      </c>
      <c r="C78" s="201"/>
      <c r="D78" s="201"/>
      <c r="E78" s="201"/>
      <c r="F78" s="201"/>
      <c r="G78" s="201"/>
      <c r="H78" s="201"/>
      <c r="I78" s="209"/>
    </row>
    <row r="79" spans="1:9" ht="18.75" customHeight="1" x14ac:dyDescent="0.15">
      <c r="A79" s="44"/>
      <c r="B79" s="210"/>
      <c r="C79" s="211"/>
      <c r="D79" s="211"/>
      <c r="E79" s="211"/>
      <c r="F79" s="211"/>
      <c r="G79" s="211"/>
      <c r="H79" s="211"/>
      <c r="I79" s="212"/>
    </row>
    <row r="80" spans="1:9" ht="18.75" customHeight="1" x14ac:dyDescent="0.15">
      <c r="A80" s="44"/>
      <c r="B80" s="210"/>
      <c r="C80" s="211"/>
      <c r="D80" s="211"/>
      <c r="E80" s="211"/>
      <c r="F80" s="211"/>
      <c r="G80" s="211"/>
      <c r="H80" s="211"/>
      <c r="I80" s="212"/>
    </row>
    <row r="81" spans="1:9" ht="18.75" customHeight="1" x14ac:dyDescent="0.15">
      <c r="A81" s="44"/>
      <c r="B81" s="210"/>
      <c r="C81" s="211"/>
      <c r="D81" s="211"/>
      <c r="E81" s="211"/>
      <c r="F81" s="211"/>
      <c r="G81" s="211"/>
      <c r="H81" s="211"/>
      <c r="I81" s="212"/>
    </row>
    <row r="82" spans="1:9" ht="18.75" customHeight="1" x14ac:dyDescent="0.15">
      <c r="A82" s="44"/>
      <c r="B82" s="210"/>
      <c r="C82" s="211"/>
      <c r="D82" s="211"/>
      <c r="E82" s="211"/>
      <c r="F82" s="211"/>
      <c r="G82" s="211"/>
      <c r="H82" s="211"/>
      <c r="I82" s="212"/>
    </row>
    <row r="83" spans="1:9" ht="18.75" customHeight="1" x14ac:dyDescent="0.15">
      <c r="A83" s="44"/>
      <c r="B83" s="210"/>
      <c r="C83" s="211"/>
      <c r="D83" s="211"/>
      <c r="E83" s="211"/>
      <c r="F83" s="211"/>
      <c r="G83" s="211"/>
      <c r="H83" s="211"/>
      <c r="I83" s="212"/>
    </row>
    <row r="84" spans="1:9" ht="18.75" customHeight="1" x14ac:dyDescent="0.15">
      <c r="A84" s="44"/>
      <c r="B84" s="210"/>
      <c r="C84" s="211"/>
      <c r="D84" s="211"/>
      <c r="E84" s="211"/>
      <c r="F84" s="211"/>
      <c r="G84" s="211"/>
      <c r="H84" s="211"/>
      <c r="I84" s="212"/>
    </row>
    <row r="85" spans="1:9" ht="18.75" customHeight="1" x14ac:dyDescent="0.15">
      <c r="A85" s="44"/>
      <c r="B85" s="210"/>
      <c r="C85" s="211"/>
      <c r="D85" s="211"/>
      <c r="E85" s="211"/>
      <c r="F85" s="211"/>
      <c r="G85" s="211"/>
      <c r="H85" s="211"/>
      <c r="I85" s="212"/>
    </row>
    <row r="86" spans="1:9" ht="18.75" customHeight="1" x14ac:dyDescent="0.15">
      <c r="A86" s="44"/>
      <c r="B86" s="210"/>
      <c r="C86" s="211"/>
      <c r="D86" s="211"/>
      <c r="E86" s="211"/>
      <c r="F86" s="211"/>
      <c r="G86" s="211"/>
      <c r="H86" s="211"/>
      <c r="I86" s="212"/>
    </row>
    <row r="87" spans="1:9" ht="18.75" customHeight="1" x14ac:dyDescent="0.15">
      <c r="A87" s="55"/>
      <c r="B87" s="210"/>
      <c r="C87" s="211"/>
      <c r="D87" s="211"/>
      <c r="E87" s="211"/>
      <c r="F87" s="211"/>
      <c r="G87" s="211"/>
      <c r="H87" s="211"/>
      <c r="I87" s="212"/>
    </row>
    <row r="88" spans="1:9" ht="18.75" customHeight="1" x14ac:dyDescent="0.15">
      <c r="A88" s="55"/>
      <c r="B88" s="213"/>
      <c r="C88" s="214"/>
      <c r="D88" s="214"/>
      <c r="E88" s="214"/>
      <c r="F88" s="214"/>
      <c r="G88" s="214"/>
      <c r="H88" s="214"/>
      <c r="I88" s="215"/>
    </row>
    <row r="89" spans="1:9" ht="7.5" customHeight="1" x14ac:dyDescent="0.15">
      <c r="A89" s="55"/>
      <c r="B89" s="55"/>
      <c r="C89" s="55"/>
      <c r="D89" s="55"/>
      <c r="E89" s="55"/>
      <c r="F89" s="55"/>
      <c r="G89" s="55"/>
      <c r="H89" s="55"/>
      <c r="I89" s="55"/>
    </row>
    <row r="90" spans="1:9" ht="18.75" customHeight="1" x14ac:dyDescent="0.15">
      <c r="A90" s="44" t="s">
        <v>44</v>
      </c>
      <c r="B90" s="44" t="s">
        <v>13</v>
      </c>
    </row>
    <row r="91" spans="1:9" ht="18.75" customHeight="1" x14ac:dyDescent="0.15">
      <c r="A91" s="44"/>
      <c r="B91" s="227" t="s">
        <v>157</v>
      </c>
      <c r="C91" s="228"/>
      <c r="D91" s="228"/>
      <c r="E91" s="228"/>
      <c r="F91" s="228"/>
      <c r="G91" s="228"/>
      <c r="H91" s="228"/>
      <c r="I91" s="229"/>
    </row>
    <row r="92" spans="1:9" ht="18.75" customHeight="1" x14ac:dyDescent="0.15">
      <c r="A92" s="44"/>
      <c r="B92" s="230"/>
      <c r="C92" s="231"/>
      <c r="D92" s="231"/>
      <c r="E92" s="231"/>
      <c r="F92" s="231"/>
      <c r="G92" s="231"/>
      <c r="H92" s="231"/>
      <c r="I92" s="232"/>
    </row>
    <row r="93" spans="1:9" ht="18.75" customHeight="1" x14ac:dyDescent="0.15">
      <c r="A93" s="44"/>
      <c r="B93" s="230"/>
      <c r="C93" s="231"/>
      <c r="D93" s="231"/>
      <c r="E93" s="231"/>
      <c r="F93" s="231"/>
      <c r="G93" s="231"/>
      <c r="H93" s="231"/>
      <c r="I93" s="232"/>
    </row>
    <row r="94" spans="1:9" ht="18.75" customHeight="1" x14ac:dyDescent="0.15">
      <c r="A94" s="44"/>
      <c r="B94" s="230"/>
      <c r="C94" s="231"/>
      <c r="D94" s="231"/>
      <c r="E94" s="231"/>
      <c r="F94" s="231"/>
      <c r="G94" s="231"/>
      <c r="H94" s="231"/>
      <c r="I94" s="232"/>
    </row>
    <row r="95" spans="1:9" ht="18.75" customHeight="1" x14ac:dyDescent="0.15">
      <c r="A95" s="44"/>
      <c r="B95" s="230"/>
      <c r="C95" s="231"/>
      <c r="D95" s="231"/>
      <c r="E95" s="231"/>
      <c r="F95" s="231"/>
      <c r="G95" s="231"/>
      <c r="H95" s="231"/>
      <c r="I95" s="232"/>
    </row>
    <row r="96" spans="1:9" ht="18.75" customHeight="1" x14ac:dyDescent="0.15">
      <c r="A96" s="44"/>
      <c r="B96" s="230"/>
      <c r="C96" s="231"/>
      <c r="D96" s="231"/>
      <c r="E96" s="231"/>
      <c r="F96" s="231"/>
      <c r="G96" s="231"/>
      <c r="H96" s="231"/>
      <c r="I96" s="232"/>
    </row>
    <row r="97" spans="1:9" ht="18.75" customHeight="1" x14ac:dyDescent="0.15">
      <c r="A97" s="44"/>
      <c r="B97" s="230"/>
      <c r="C97" s="231"/>
      <c r="D97" s="231"/>
      <c r="E97" s="231"/>
      <c r="F97" s="231"/>
      <c r="G97" s="231"/>
      <c r="H97" s="231"/>
      <c r="I97" s="232"/>
    </row>
    <row r="98" spans="1:9" ht="18.75" customHeight="1" x14ac:dyDescent="0.15">
      <c r="A98" s="44"/>
      <c r="B98" s="230"/>
      <c r="C98" s="231"/>
      <c r="D98" s="231"/>
      <c r="E98" s="231"/>
      <c r="F98" s="231"/>
      <c r="G98" s="231"/>
      <c r="H98" s="231"/>
      <c r="I98" s="232"/>
    </row>
    <row r="99" spans="1:9" ht="18.75" customHeight="1" x14ac:dyDescent="0.15">
      <c r="A99" s="44"/>
      <c r="B99" s="230"/>
      <c r="C99" s="231"/>
      <c r="D99" s="231"/>
      <c r="E99" s="231"/>
      <c r="F99" s="231"/>
      <c r="G99" s="231"/>
      <c r="H99" s="231"/>
      <c r="I99" s="232"/>
    </row>
    <row r="100" spans="1:9" ht="18.75" customHeight="1" x14ac:dyDescent="0.15">
      <c r="A100" s="44"/>
      <c r="B100" s="230"/>
      <c r="C100" s="231"/>
      <c r="D100" s="231"/>
      <c r="E100" s="231"/>
      <c r="F100" s="231"/>
      <c r="G100" s="231"/>
      <c r="H100" s="231"/>
      <c r="I100" s="232"/>
    </row>
    <row r="101" spans="1:9" ht="18.75" customHeight="1" x14ac:dyDescent="0.15">
      <c r="A101" s="44"/>
      <c r="B101" s="230"/>
      <c r="C101" s="231"/>
      <c r="D101" s="231"/>
      <c r="E101" s="231"/>
      <c r="F101" s="231"/>
      <c r="G101" s="231"/>
      <c r="H101" s="231"/>
      <c r="I101" s="232"/>
    </row>
    <row r="102" spans="1:9" ht="18.75" customHeight="1" x14ac:dyDescent="0.15">
      <c r="A102" s="55"/>
      <c r="B102" s="233"/>
      <c r="C102" s="234"/>
      <c r="D102" s="234"/>
      <c r="E102" s="234"/>
      <c r="F102" s="234"/>
      <c r="G102" s="234"/>
      <c r="H102" s="234"/>
      <c r="I102" s="235"/>
    </row>
    <row r="103" spans="1:9" ht="7.5" customHeight="1" x14ac:dyDescent="0.15">
      <c r="A103" s="55"/>
      <c r="B103" s="55"/>
      <c r="C103" s="55"/>
      <c r="D103" s="55"/>
      <c r="E103" s="55"/>
      <c r="F103" s="55"/>
      <c r="G103" s="55"/>
      <c r="H103" s="55"/>
      <c r="I103" s="55"/>
    </row>
    <row r="104" spans="1:9" ht="18.75" customHeight="1" x14ac:dyDescent="0.15">
      <c r="A104" s="44" t="s">
        <v>30</v>
      </c>
      <c r="B104" s="236" t="s">
        <v>46</v>
      </c>
      <c r="C104" s="236"/>
      <c r="D104" s="236"/>
      <c r="E104" s="236"/>
      <c r="F104" s="236"/>
      <c r="G104" s="236"/>
      <c r="H104" s="236"/>
      <c r="I104" s="236"/>
    </row>
    <row r="105" spans="1:9" ht="18.75" customHeight="1" x14ac:dyDescent="0.15">
      <c r="A105" s="55"/>
      <c r="B105" s="227" t="s">
        <v>136</v>
      </c>
      <c r="C105" s="228"/>
      <c r="D105" s="228"/>
      <c r="E105" s="228"/>
      <c r="F105" s="228"/>
      <c r="G105" s="228"/>
      <c r="H105" s="228"/>
      <c r="I105" s="229"/>
    </row>
    <row r="106" spans="1:9" ht="18.75" customHeight="1" x14ac:dyDescent="0.15">
      <c r="A106" s="55"/>
      <c r="B106" s="230"/>
      <c r="C106" s="231"/>
      <c r="D106" s="231"/>
      <c r="E106" s="231"/>
      <c r="F106" s="231"/>
      <c r="G106" s="231"/>
      <c r="H106" s="231"/>
      <c r="I106" s="232"/>
    </row>
    <row r="107" spans="1:9" ht="18.75" customHeight="1" x14ac:dyDescent="0.15">
      <c r="A107" s="55"/>
      <c r="B107" s="230"/>
      <c r="C107" s="231"/>
      <c r="D107" s="231"/>
      <c r="E107" s="231"/>
      <c r="F107" s="231"/>
      <c r="G107" s="231"/>
      <c r="H107" s="231"/>
      <c r="I107" s="232"/>
    </row>
    <row r="108" spans="1:9" ht="18.75" customHeight="1" x14ac:dyDescent="0.15">
      <c r="A108" s="55"/>
      <c r="B108" s="230"/>
      <c r="C108" s="231"/>
      <c r="D108" s="231"/>
      <c r="E108" s="231"/>
      <c r="F108" s="231"/>
      <c r="G108" s="231"/>
      <c r="H108" s="231"/>
      <c r="I108" s="232"/>
    </row>
    <row r="109" spans="1:9" ht="18.75" customHeight="1" x14ac:dyDescent="0.15">
      <c r="A109" s="55"/>
      <c r="B109" s="230"/>
      <c r="C109" s="231"/>
      <c r="D109" s="231"/>
      <c r="E109" s="231"/>
      <c r="F109" s="231"/>
      <c r="G109" s="231"/>
      <c r="H109" s="231"/>
      <c r="I109" s="232"/>
    </row>
    <row r="110" spans="1:9" ht="18.75" customHeight="1" x14ac:dyDescent="0.15">
      <c r="A110" s="55"/>
      <c r="B110" s="230"/>
      <c r="C110" s="231"/>
      <c r="D110" s="231"/>
      <c r="E110" s="231"/>
      <c r="F110" s="231"/>
      <c r="G110" s="231"/>
      <c r="H110" s="231"/>
      <c r="I110" s="232"/>
    </row>
    <row r="111" spans="1:9" ht="18.75" customHeight="1" x14ac:dyDescent="0.15">
      <c r="A111" s="55"/>
      <c r="B111" s="230"/>
      <c r="C111" s="231"/>
      <c r="D111" s="231"/>
      <c r="E111" s="231"/>
      <c r="F111" s="231"/>
      <c r="G111" s="231"/>
      <c r="H111" s="231"/>
      <c r="I111" s="232"/>
    </row>
    <row r="112" spans="1:9" ht="18.75" customHeight="1" x14ac:dyDescent="0.15">
      <c r="A112" s="55"/>
      <c r="B112" s="230"/>
      <c r="C112" s="231"/>
      <c r="D112" s="231"/>
      <c r="E112" s="231"/>
      <c r="F112" s="231"/>
      <c r="G112" s="231"/>
      <c r="H112" s="231"/>
      <c r="I112" s="232"/>
    </row>
    <row r="113" spans="1:9" ht="18.75" customHeight="1" x14ac:dyDescent="0.15">
      <c r="A113" s="55"/>
      <c r="B113" s="230"/>
      <c r="C113" s="231"/>
      <c r="D113" s="231"/>
      <c r="E113" s="231"/>
      <c r="F113" s="231"/>
      <c r="G113" s="231"/>
      <c r="H113" s="231"/>
      <c r="I113" s="232"/>
    </row>
    <row r="114" spans="1:9" ht="18.75" customHeight="1" x14ac:dyDescent="0.15">
      <c r="A114" s="55"/>
      <c r="B114" s="230"/>
      <c r="C114" s="231"/>
      <c r="D114" s="231"/>
      <c r="E114" s="231"/>
      <c r="F114" s="231"/>
      <c r="G114" s="231"/>
      <c r="H114" s="231"/>
      <c r="I114" s="232"/>
    </row>
    <row r="115" spans="1:9" ht="18.75" customHeight="1" x14ac:dyDescent="0.15">
      <c r="A115" s="55"/>
      <c r="B115" s="230"/>
      <c r="C115" s="231"/>
      <c r="D115" s="231"/>
      <c r="E115" s="231"/>
      <c r="F115" s="231"/>
      <c r="G115" s="231"/>
      <c r="H115" s="231"/>
      <c r="I115" s="232"/>
    </row>
    <row r="116" spans="1:9" ht="18.75" customHeight="1" x14ac:dyDescent="0.15">
      <c r="A116" s="55"/>
      <c r="B116" s="233"/>
      <c r="C116" s="234"/>
      <c r="D116" s="234"/>
      <c r="E116" s="234"/>
      <c r="F116" s="234"/>
      <c r="G116" s="234"/>
      <c r="H116" s="234"/>
      <c r="I116" s="235"/>
    </row>
    <row r="117" spans="1:9" ht="7.5" customHeight="1" x14ac:dyDescent="0.15">
      <c r="A117" s="55"/>
      <c r="B117" s="61"/>
      <c r="C117" s="61"/>
      <c r="D117" s="61"/>
      <c r="E117" s="61"/>
      <c r="F117" s="61"/>
      <c r="G117" s="61"/>
      <c r="H117" s="61"/>
      <c r="I117" s="61"/>
    </row>
    <row r="118" spans="1:9" ht="18.75" customHeight="1" x14ac:dyDescent="0.15">
      <c r="A118" s="55"/>
      <c r="B118" s="55"/>
      <c r="C118" s="55"/>
      <c r="D118" s="55"/>
      <c r="E118" s="55"/>
      <c r="F118" s="55"/>
      <c r="G118" s="55"/>
      <c r="H118" s="55"/>
      <c r="I118" s="55"/>
    </row>
    <row r="119" spans="1:9" ht="18.75" customHeight="1" x14ac:dyDescent="0.15">
      <c r="A119" s="55"/>
      <c r="B119" s="55"/>
      <c r="C119" s="55"/>
      <c r="D119" s="55"/>
      <c r="E119" s="55"/>
      <c r="F119" s="55"/>
      <c r="G119" s="55"/>
      <c r="H119" s="55"/>
      <c r="I119" s="55"/>
    </row>
    <row r="120" spans="1:9" ht="18.75" customHeight="1" x14ac:dyDescent="0.15">
      <c r="A120" s="55"/>
      <c r="B120" s="55"/>
      <c r="C120" s="55"/>
      <c r="D120" s="55"/>
      <c r="E120" s="55"/>
      <c r="F120" s="55"/>
      <c r="G120" s="55"/>
      <c r="H120" s="55"/>
      <c r="I120" s="55"/>
    </row>
    <row r="121" spans="1:9" ht="18.75" customHeight="1" x14ac:dyDescent="0.15">
      <c r="A121" s="55"/>
      <c r="B121" s="55"/>
      <c r="C121" s="55"/>
      <c r="D121" s="55"/>
      <c r="E121" s="55"/>
      <c r="F121" s="55"/>
      <c r="G121" s="55"/>
      <c r="H121" s="55"/>
      <c r="I121" s="55"/>
    </row>
    <row r="122" spans="1:9" ht="18.75" customHeight="1" x14ac:dyDescent="0.15">
      <c r="A122" s="55"/>
      <c r="B122" s="55"/>
      <c r="C122" s="55"/>
      <c r="D122" s="55"/>
      <c r="E122" s="55"/>
      <c r="F122" s="55"/>
      <c r="G122" s="55"/>
      <c r="H122" s="55"/>
      <c r="I122" s="55"/>
    </row>
    <row r="123" spans="1:9" ht="18.75" customHeight="1" x14ac:dyDescent="0.15">
      <c r="A123" s="55"/>
      <c r="B123" s="55"/>
      <c r="C123" s="55"/>
      <c r="D123" s="55"/>
      <c r="E123" s="55"/>
      <c r="F123" s="55"/>
      <c r="G123" s="55"/>
      <c r="H123" s="55"/>
      <c r="I123" s="55"/>
    </row>
    <row r="124" spans="1:9" ht="18.75" customHeight="1" x14ac:dyDescent="0.15">
      <c r="A124" s="55"/>
      <c r="B124" s="55"/>
      <c r="C124" s="55"/>
      <c r="D124" s="55"/>
      <c r="E124" s="55"/>
      <c r="F124" s="55"/>
      <c r="G124" s="55"/>
      <c r="H124" s="55"/>
      <c r="I124" s="55"/>
    </row>
    <row r="125" spans="1:9" ht="18.75" customHeight="1" x14ac:dyDescent="0.15">
      <c r="A125" s="55"/>
      <c r="B125" s="55"/>
      <c r="C125" s="55"/>
      <c r="D125" s="55"/>
      <c r="E125" s="55"/>
      <c r="F125" s="55"/>
      <c r="G125" s="55"/>
      <c r="H125" s="55"/>
      <c r="I125" s="55"/>
    </row>
    <row r="126" spans="1:9" ht="18.75" customHeight="1" x14ac:dyDescent="0.15">
      <c r="A126" s="55"/>
      <c r="B126" s="55"/>
      <c r="C126" s="55"/>
      <c r="D126" s="55"/>
      <c r="E126" s="55"/>
      <c r="F126" s="55"/>
      <c r="G126" s="55"/>
      <c r="H126" s="55"/>
      <c r="I126" s="55"/>
    </row>
    <row r="127" spans="1:9" ht="18.75" customHeight="1" x14ac:dyDescent="0.15">
      <c r="A127" s="55"/>
      <c r="B127" s="55"/>
      <c r="C127" s="55"/>
      <c r="D127" s="55"/>
      <c r="E127" s="55"/>
      <c r="F127" s="55"/>
      <c r="G127" s="55"/>
      <c r="H127" s="55"/>
      <c r="I127" s="55"/>
    </row>
    <row r="128" spans="1:9" ht="18.75" customHeight="1" x14ac:dyDescent="0.15">
      <c r="A128" s="55"/>
      <c r="B128" s="55"/>
      <c r="C128" s="55"/>
      <c r="D128" s="55"/>
      <c r="E128" s="55"/>
      <c r="F128" s="55"/>
      <c r="G128" s="55"/>
      <c r="H128" s="55"/>
      <c r="I128" s="55"/>
    </row>
    <row r="129" spans="1:9" ht="18.75" customHeight="1" x14ac:dyDescent="0.15">
      <c r="A129" s="55"/>
      <c r="B129" s="55"/>
      <c r="C129" s="55"/>
      <c r="D129" s="55"/>
      <c r="E129" s="55"/>
      <c r="F129" s="55"/>
      <c r="G129" s="55"/>
      <c r="H129" s="55"/>
      <c r="I129" s="55"/>
    </row>
    <row r="130" spans="1:9" ht="14.25" x14ac:dyDescent="0.15">
      <c r="A130" s="55"/>
      <c r="B130" s="55"/>
      <c r="C130" s="55"/>
      <c r="D130" s="55"/>
      <c r="E130" s="55"/>
      <c r="F130" s="55"/>
      <c r="G130" s="55"/>
      <c r="H130" s="55"/>
      <c r="I130" s="55"/>
    </row>
    <row r="131" spans="1:9" ht="7.5" customHeight="1" x14ac:dyDescent="0.15">
      <c r="A131" s="62"/>
      <c r="B131" s="62"/>
      <c r="C131" s="62"/>
      <c r="D131" s="62"/>
      <c r="E131" s="62"/>
      <c r="F131" s="62"/>
      <c r="G131" s="62"/>
      <c r="H131" s="62"/>
      <c r="I131" s="62"/>
    </row>
  </sheetData>
  <mergeCells count="22">
    <mergeCell ref="B91:I102"/>
    <mergeCell ref="B104:I104"/>
    <mergeCell ref="B105:I116"/>
    <mergeCell ref="H2:I2"/>
    <mergeCell ref="A4:I4"/>
    <mergeCell ref="B19:I19"/>
    <mergeCell ref="B22:I31"/>
    <mergeCell ref="B34:I45"/>
    <mergeCell ref="B50:I50"/>
    <mergeCell ref="B14:I14"/>
    <mergeCell ref="C16:E16"/>
    <mergeCell ref="H16:I16"/>
    <mergeCell ref="C11:E11"/>
    <mergeCell ref="H11:I11"/>
    <mergeCell ref="C6:D6"/>
    <mergeCell ref="F49:G49"/>
    <mergeCell ref="B65:I75"/>
    <mergeCell ref="B78:I88"/>
    <mergeCell ref="C48:D48"/>
    <mergeCell ref="C49:D49"/>
    <mergeCell ref="F48:G48"/>
    <mergeCell ref="B51:I62"/>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6" max="9" man="1"/>
    <brk id="89"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Normal="100" zoomScaleSheetLayoutView="100" workbookViewId="0">
      <selection activeCell="P12" sqref="P12"/>
    </sheetView>
  </sheetViews>
  <sheetFormatPr defaultColWidth="11.375" defaultRowHeight="22.5" customHeight="1" x14ac:dyDescent="0.15"/>
  <cols>
    <col min="1" max="3" width="2.75" style="44" customWidth="1"/>
    <col min="4" max="4" width="22.25" style="44" customWidth="1"/>
    <col min="5" max="5" width="30.75" style="44" customWidth="1"/>
    <col min="6" max="7" width="7.75" style="44" customWidth="1"/>
    <col min="8" max="9" width="30.75" style="44" customWidth="1"/>
    <col min="10" max="10" width="4.125" style="44" customWidth="1"/>
    <col min="11" max="16384" width="11.375" style="44"/>
  </cols>
  <sheetData>
    <row r="1" spans="1:9" ht="18.75" customHeight="1" x14ac:dyDescent="0.15">
      <c r="A1" s="44" t="s">
        <v>71</v>
      </c>
      <c r="I1" s="45" t="s">
        <v>105</v>
      </c>
    </row>
    <row r="2" spans="1:9" ht="18.75" customHeight="1" x14ac:dyDescent="0.15">
      <c r="H2" s="45" t="s">
        <v>109</v>
      </c>
      <c r="I2" s="47" t="str">
        <f>'様式１　プログラムを構成する授業科目 '!C2</f>
        <v>流通科学大学</v>
      </c>
    </row>
    <row r="3" spans="1:9" ht="18.75" customHeight="1" x14ac:dyDescent="0.15">
      <c r="A3" s="239" t="s">
        <v>28</v>
      </c>
      <c r="B3" s="239"/>
      <c r="C3" s="239"/>
      <c r="D3" s="239"/>
      <c r="E3" s="239"/>
      <c r="F3" s="239"/>
      <c r="G3" s="239"/>
      <c r="H3" s="239"/>
      <c r="I3" s="239"/>
    </row>
    <row r="4" spans="1:9" ht="18.75" customHeight="1" x14ac:dyDescent="0.15">
      <c r="A4" s="48"/>
      <c r="B4" s="48"/>
      <c r="C4" s="48"/>
      <c r="D4" s="48"/>
      <c r="E4" s="48"/>
      <c r="F4" s="48"/>
      <c r="G4" s="48"/>
      <c r="H4" s="48"/>
      <c r="I4" s="48"/>
    </row>
    <row r="5" spans="1:9" ht="18.75" customHeight="1" x14ac:dyDescent="0.15">
      <c r="A5" s="44" t="s">
        <v>0</v>
      </c>
      <c r="B5" s="50" t="s">
        <v>95</v>
      </c>
      <c r="C5" s="48"/>
      <c r="D5" s="48"/>
      <c r="E5" s="48"/>
      <c r="F5" s="48"/>
      <c r="G5" s="48"/>
      <c r="H5" s="48"/>
      <c r="I5" s="48"/>
    </row>
    <row r="6" spans="1:9" ht="26.25" customHeight="1" x14ac:dyDescent="0.15">
      <c r="A6" s="48"/>
      <c r="B6" s="248" t="s">
        <v>150</v>
      </c>
      <c r="C6" s="277"/>
      <c r="D6" s="277"/>
      <c r="E6" s="277"/>
      <c r="F6" s="277"/>
      <c r="G6" s="277"/>
      <c r="H6" s="278"/>
      <c r="I6" s="49"/>
    </row>
    <row r="7" spans="1:9" ht="9" customHeight="1" x14ac:dyDescent="0.15">
      <c r="A7" s="48"/>
      <c r="B7" s="50"/>
      <c r="C7" s="50"/>
      <c r="D7" s="50"/>
      <c r="E7" s="50"/>
      <c r="F7" s="50"/>
      <c r="G7" s="50"/>
      <c r="H7" s="50"/>
      <c r="I7" s="49"/>
    </row>
    <row r="8" spans="1:9" ht="18.75" customHeight="1" x14ac:dyDescent="0.15">
      <c r="A8" s="48"/>
      <c r="B8" s="49"/>
      <c r="C8" s="49"/>
      <c r="D8" s="45" t="s">
        <v>43</v>
      </c>
      <c r="E8" s="63" t="s">
        <v>131</v>
      </c>
      <c r="F8" s="49"/>
      <c r="G8" s="45" t="s">
        <v>10</v>
      </c>
      <c r="H8" s="63" t="s">
        <v>151</v>
      </c>
      <c r="I8" s="49"/>
    </row>
    <row r="9" spans="1:9" ht="7.5" customHeight="1" x14ac:dyDescent="0.15">
      <c r="A9" s="48"/>
      <c r="B9" s="48"/>
      <c r="C9" s="48"/>
      <c r="D9" s="48"/>
      <c r="E9" s="48"/>
      <c r="F9" s="48"/>
      <c r="G9" s="48"/>
      <c r="H9" s="48"/>
      <c r="I9" s="48"/>
    </row>
    <row r="10" spans="1:9" ht="18.75" customHeight="1" x14ac:dyDescent="0.15">
      <c r="A10" s="44" t="s">
        <v>3</v>
      </c>
      <c r="B10" s="44" t="s">
        <v>27</v>
      </c>
      <c r="C10" s="55"/>
      <c r="D10" s="55"/>
      <c r="E10" s="55"/>
      <c r="F10" s="55"/>
      <c r="G10" s="55"/>
      <c r="H10" s="55"/>
      <c r="I10" s="55"/>
    </row>
    <row r="11" spans="1:9" ht="18.75" customHeight="1" x14ac:dyDescent="0.15">
      <c r="B11" s="237" t="s">
        <v>24</v>
      </c>
      <c r="C11" s="276"/>
      <c r="D11" s="238"/>
      <c r="E11" s="276" t="s">
        <v>26</v>
      </c>
      <c r="F11" s="276"/>
      <c r="G11" s="276"/>
      <c r="H11" s="276"/>
      <c r="I11" s="238"/>
    </row>
    <row r="12" spans="1:9" ht="26.25" customHeight="1" x14ac:dyDescent="0.15">
      <c r="B12" s="64" t="s">
        <v>14</v>
      </c>
      <c r="C12" s="65"/>
      <c r="D12" s="66"/>
      <c r="E12" s="67"/>
      <c r="F12" s="67"/>
      <c r="G12" s="67"/>
      <c r="H12" s="67"/>
      <c r="I12" s="66"/>
    </row>
    <row r="13" spans="1:9" ht="210.75" customHeight="1" x14ac:dyDescent="0.15">
      <c r="B13" s="68"/>
      <c r="C13" s="259" t="s">
        <v>15</v>
      </c>
      <c r="D13" s="260"/>
      <c r="E13" s="272" t="s">
        <v>158</v>
      </c>
      <c r="F13" s="261"/>
      <c r="G13" s="261"/>
      <c r="H13" s="261"/>
      <c r="I13" s="262"/>
    </row>
    <row r="14" spans="1:9" ht="210.75" customHeight="1" x14ac:dyDescent="0.15">
      <c r="B14" s="68"/>
      <c r="C14" s="274" t="s">
        <v>16</v>
      </c>
      <c r="D14" s="275"/>
      <c r="E14" s="272" t="s">
        <v>137</v>
      </c>
      <c r="F14" s="261"/>
      <c r="G14" s="261"/>
      <c r="H14" s="261"/>
      <c r="I14" s="262"/>
    </row>
    <row r="15" spans="1:9" ht="210.75" customHeight="1" x14ac:dyDescent="0.15">
      <c r="B15" s="68"/>
      <c r="C15" s="259" t="s">
        <v>17</v>
      </c>
      <c r="D15" s="260"/>
      <c r="E15" s="272" t="s">
        <v>159</v>
      </c>
      <c r="F15" s="261"/>
      <c r="G15" s="261"/>
      <c r="H15" s="261"/>
      <c r="I15" s="262"/>
    </row>
    <row r="16" spans="1:9" ht="210.75" customHeight="1" x14ac:dyDescent="0.15">
      <c r="B16" s="68"/>
      <c r="C16" s="259" t="s">
        <v>18</v>
      </c>
      <c r="D16" s="260"/>
      <c r="E16" s="272" t="s">
        <v>138</v>
      </c>
      <c r="F16" s="261"/>
      <c r="G16" s="261"/>
      <c r="H16" s="261"/>
      <c r="I16" s="262"/>
    </row>
    <row r="17" spans="2:9" ht="210.75" customHeight="1" x14ac:dyDescent="0.15">
      <c r="B17" s="69"/>
      <c r="C17" s="263" t="s">
        <v>19</v>
      </c>
      <c r="D17" s="264"/>
      <c r="E17" s="273" t="s">
        <v>149</v>
      </c>
      <c r="F17" s="265"/>
      <c r="G17" s="265"/>
      <c r="H17" s="265"/>
      <c r="I17" s="266"/>
    </row>
    <row r="18" spans="2:9" ht="24" customHeight="1" x14ac:dyDescent="0.15">
      <c r="B18" s="64" t="s">
        <v>20</v>
      </c>
      <c r="C18" s="70"/>
      <c r="D18" s="71"/>
      <c r="E18" s="72"/>
      <c r="F18" s="72"/>
      <c r="G18" s="72"/>
      <c r="H18" s="72"/>
      <c r="I18" s="73"/>
    </row>
    <row r="19" spans="2:9" ht="218.25" customHeight="1" x14ac:dyDescent="0.15">
      <c r="B19" s="68"/>
      <c r="C19" s="259" t="s">
        <v>21</v>
      </c>
      <c r="D19" s="260"/>
      <c r="E19" s="261" t="s">
        <v>139</v>
      </c>
      <c r="F19" s="261"/>
      <c r="G19" s="261"/>
      <c r="H19" s="261"/>
      <c r="I19" s="262"/>
    </row>
    <row r="20" spans="2:9" ht="218.25" customHeight="1" x14ac:dyDescent="0.15">
      <c r="B20" s="69"/>
      <c r="C20" s="263" t="s">
        <v>22</v>
      </c>
      <c r="D20" s="264"/>
      <c r="E20" s="265" t="s">
        <v>140</v>
      </c>
      <c r="F20" s="265"/>
      <c r="G20" s="265"/>
      <c r="H20" s="265"/>
      <c r="I20" s="266"/>
    </row>
    <row r="21" spans="2:9" ht="218.25" customHeight="1" x14ac:dyDescent="0.15">
      <c r="B21" s="267" t="s">
        <v>23</v>
      </c>
      <c r="C21" s="268"/>
      <c r="D21" s="269"/>
      <c r="E21" s="270" t="s">
        <v>141</v>
      </c>
      <c r="F21" s="270"/>
      <c r="G21" s="270"/>
      <c r="H21" s="270"/>
      <c r="I21" s="271"/>
    </row>
    <row r="22" spans="2:9" ht="218.25" customHeight="1" x14ac:dyDescent="0.15">
      <c r="B22" s="254" t="s">
        <v>38</v>
      </c>
      <c r="C22" s="255"/>
      <c r="D22" s="256"/>
      <c r="E22" s="257" t="s">
        <v>160</v>
      </c>
      <c r="F22" s="257"/>
      <c r="G22" s="257"/>
      <c r="H22" s="257"/>
      <c r="I22" s="258"/>
    </row>
    <row r="23" spans="2:9" ht="22.5" customHeight="1" x14ac:dyDescent="0.15">
      <c r="B23" s="55"/>
      <c r="C23" s="55"/>
      <c r="D23" s="55"/>
      <c r="E23" s="55"/>
      <c r="F23" s="55"/>
      <c r="G23" s="55"/>
      <c r="H23" s="55"/>
      <c r="I23" s="55"/>
    </row>
    <row r="24" spans="2:9" ht="22.5" customHeight="1" x14ac:dyDescent="0.15">
      <c r="B24" s="55"/>
      <c r="C24" s="55"/>
      <c r="D24" s="55"/>
      <c r="E24" s="55"/>
      <c r="F24" s="55"/>
      <c r="G24" s="55"/>
      <c r="H24" s="55"/>
      <c r="I24" s="55"/>
    </row>
    <row r="25" spans="2:9" ht="22.5" customHeight="1" x14ac:dyDescent="0.15">
      <c r="B25" s="55"/>
      <c r="C25" s="55"/>
      <c r="D25" s="55"/>
      <c r="E25" s="55"/>
      <c r="F25" s="55"/>
      <c r="G25" s="55"/>
      <c r="H25" s="55"/>
      <c r="I25" s="55"/>
    </row>
    <row r="26" spans="2:9" ht="22.5" customHeight="1" x14ac:dyDescent="0.15">
      <c r="B26" s="55"/>
      <c r="C26" s="55"/>
      <c r="D26" s="55"/>
      <c r="E26" s="55"/>
      <c r="F26" s="55"/>
      <c r="G26" s="55"/>
      <c r="H26" s="55"/>
      <c r="I26" s="55"/>
    </row>
    <row r="27" spans="2:9" ht="22.5" customHeight="1" x14ac:dyDescent="0.15">
      <c r="B27" s="55"/>
      <c r="C27" s="55"/>
      <c r="D27" s="55"/>
      <c r="E27" s="55"/>
      <c r="F27" s="55"/>
      <c r="G27" s="55"/>
      <c r="H27" s="55"/>
      <c r="I27" s="55"/>
    </row>
    <row r="28" spans="2:9" ht="22.5" customHeight="1" x14ac:dyDescent="0.15">
      <c r="B28" s="52"/>
      <c r="C28" s="52"/>
      <c r="D28" s="52"/>
      <c r="E28" s="52"/>
      <c r="F28" s="52"/>
      <c r="G28" s="52"/>
      <c r="H28" s="52"/>
      <c r="I28" s="52"/>
    </row>
    <row r="29" spans="2:9" ht="22.5" customHeight="1" x14ac:dyDescent="0.15">
      <c r="B29" s="52"/>
      <c r="C29" s="52"/>
      <c r="D29" s="52"/>
      <c r="E29" s="52"/>
      <c r="F29" s="52"/>
      <c r="G29" s="52"/>
      <c r="H29" s="52"/>
      <c r="I29" s="52"/>
    </row>
    <row r="30" spans="2:9" ht="22.5" customHeight="1" x14ac:dyDescent="0.15">
      <c r="B30" s="52"/>
      <c r="C30" s="52"/>
      <c r="D30" s="52"/>
      <c r="E30" s="52"/>
      <c r="F30" s="52"/>
      <c r="G30" s="52"/>
      <c r="H30" s="52"/>
      <c r="I30" s="52"/>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 </vt:lpstr>
      <vt:lpstr>様式２ 履修者等数の実績</vt:lpstr>
      <vt:lpstr>様式３ 教育の質・履修者数を向上させるための体制・計画</vt:lpstr>
      <vt:lpstr>様式４　自己点検・評価</vt:lpstr>
      <vt:lpstr>'様式１　プログラムを構成する授業科目 '!Print_Area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2023-03-28T09:14:16Z</cp:lastPrinted>
  <dcterms:created xsi:type="dcterms:W3CDTF">2011-06-14T05:32:50Z</dcterms:created>
  <dcterms:modified xsi:type="dcterms:W3CDTF">2023-07-10T06:24:15Z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