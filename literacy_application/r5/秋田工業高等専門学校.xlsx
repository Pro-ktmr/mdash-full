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24226"/>
  <mc:AlternateContent xmlns:mc="http://schemas.openxmlformats.org/markup-compatibility/2006">
    <mc:Choice Requires="x15">
      <x15ac:absPath xmlns:x15ac="http://schemas.microsoft.com/office/spreadsheetml/2010/11/ac" url="Z:\共有ファイル\★数理・データサイエンス・AI教育プログラム\"/>
    </mc:Choice>
  </mc:AlternateContent>
  <xr:revisionPtr revIDLastSave="0" documentId="13_ncr:1_{D62C8BC9-8EA7-42A8-B6D1-F315BAFC6DAC}" xr6:coauthVersionLast="36" xr6:coauthVersionMax="47" xr10:uidLastSave="{00000000-0000-0000-0000-000000000000}"/>
  <bookViews>
    <workbookView xWindow="0" yWindow="0" windowWidth="28800" windowHeight="1161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workbook>
</file>

<file path=xl/calcChain.xml><?xml version="1.0" encoding="utf-8"?>
<calcChain xmlns="http://schemas.openxmlformats.org/spreadsheetml/2006/main">
  <c r="I2" i="42" l="1"/>
  <c r="H2" i="41" l="1"/>
  <c r="AM2" i="40"/>
  <c r="AO32" i="40"/>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c r="AA32" i="40"/>
  <c r="AJ32" i="40"/>
  <c r="AM32" i="40"/>
  <c r="AG32" i="40"/>
  <c r="AD32" i="40"/>
  <c r="X32" i="40"/>
  <c r="R32" i="40"/>
  <c r="U32" i="40"/>
  <c r="L32" i="40"/>
  <c r="K32" i="40"/>
  <c r="J32" i="40"/>
  <c r="I31" i="40"/>
  <c r="I30" i="40"/>
  <c r="I29" i="40"/>
  <c r="I28" i="40"/>
  <c r="I27" i="40"/>
  <c r="I26" i="40"/>
  <c r="I25" i="40"/>
  <c r="I24" i="40"/>
  <c r="I23" i="40"/>
  <c r="I22" i="40"/>
  <c r="I21" i="40"/>
  <c r="I20" i="40"/>
  <c r="I19" i="40"/>
  <c r="I18" i="40"/>
  <c r="I17" i="40"/>
  <c r="I16" i="40"/>
  <c r="I15" i="40"/>
  <c r="I14" i="40"/>
  <c r="I13" i="40"/>
  <c r="I12" i="40"/>
  <c r="G32" i="40"/>
  <c r="H32" i="40"/>
  <c r="F13" i="40"/>
  <c r="AP13" i="40"/>
  <c r="F14" i="40"/>
  <c r="AP14" i="40"/>
  <c r="F15" i="40"/>
  <c r="AP15" i="40"/>
  <c r="F16" i="40"/>
  <c r="AP16" i="40"/>
  <c r="F17" i="40"/>
  <c r="AP17" i="40"/>
  <c r="F18" i="40"/>
  <c r="AP18" i="40"/>
  <c r="F19" i="40"/>
  <c r="AP19" i="40"/>
  <c r="F20" i="40"/>
  <c r="AP20" i="40"/>
  <c r="F21" i="40"/>
  <c r="AP21" i="40"/>
  <c r="F22" i="40"/>
  <c r="AP22" i="40"/>
  <c r="F23" i="40"/>
  <c r="AP23" i="40"/>
  <c r="F24" i="40"/>
  <c r="AP24" i="40"/>
  <c r="F25" i="40"/>
  <c r="AP25" i="40"/>
  <c r="F26" i="40"/>
  <c r="AP26" i="40"/>
  <c r="F27" i="40"/>
  <c r="AP27" i="40"/>
  <c r="F28" i="40"/>
  <c r="AP28" i="40"/>
  <c r="F29" i="40"/>
  <c r="AP29" i="40"/>
  <c r="F30" i="40"/>
  <c r="AP30" i="40"/>
  <c r="F31" i="40"/>
  <c r="AP31" i="40"/>
  <c r="F12" i="40"/>
  <c r="AP12" i="40"/>
  <c r="AQ12" i="40"/>
  <c r="C32" i="40"/>
  <c r="I32" i="40"/>
  <c r="F32" i="40"/>
  <c r="E32" i="40"/>
  <c r="I50" i="41"/>
  <c r="D32" i="40"/>
  <c r="AQ31" i="40"/>
  <c r="AQ30" i="40"/>
  <c r="AQ29" i="40"/>
  <c r="AQ28" i="40"/>
  <c r="AQ27" i="40"/>
  <c r="AQ26" i="40"/>
  <c r="AQ25" i="40"/>
  <c r="AQ24" i="40"/>
  <c r="AQ23" i="40"/>
  <c r="AQ22" i="40"/>
  <c r="AQ21" i="40"/>
  <c r="AQ20" i="40"/>
  <c r="AQ19" i="40"/>
  <c r="AQ18" i="40"/>
  <c r="AQ17" i="40"/>
  <c r="AQ16" i="40"/>
  <c r="AQ15" i="40"/>
  <c r="AQ14" i="40"/>
  <c r="AQ13" i="40"/>
  <c r="AP32" i="40"/>
  <c r="AQ32" i="40"/>
  <c r="C49" i="41" s="1"/>
</calcChain>
</file>

<file path=xl/sharedStrings.xml><?xml version="1.0" encoding="utf-8"?>
<sst xmlns="http://schemas.openxmlformats.org/spreadsheetml/2006/main" count="305" uniqueCount="176">
  <si>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</si>
  <si>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</si>
  <si>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</si>
  <si>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秋田工業高等専門学校</t>
    <rPh sb="0" eb="4">
      <t>アキタコウギョウ</t>
    </rPh>
    <rPh sb="4" eb="8">
      <t>コウトウセンモン</t>
    </rPh>
    <rPh sb="8" eb="10">
      <t>ガッコウ</t>
    </rPh>
    <phoneticPr fontId="1"/>
  </si>
  <si>
    <t>プログラム名</t>
    <rPh sb="5" eb="6">
      <t>メイ</t>
    </rPh>
    <phoneticPr fontId="1"/>
  </si>
  <si>
    <t>秋田工業高等専門学校 数理・データサイエンス・AI 教育プログラム (リテラシーレベル)</t>
    <rPh sb="0" eb="2">
      <t>アキタ</t>
    </rPh>
    <rPh sb="2" eb="4">
      <t>コウギョウ</t>
    </rPh>
    <rPh sb="4" eb="6">
      <t>コウトウ</t>
    </rPh>
    <rPh sb="6" eb="8">
      <t>センモン</t>
    </rPh>
    <rPh sb="8" eb="10">
      <t>ガッコウ</t>
    </rPh>
    <rPh sb="11" eb="13">
      <t>スウリ</t>
    </rPh>
    <rPh sb="26" eb="28">
      <t>キョウイク</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</si>
  <si>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</si>
  <si>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</si>
  <si>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</si>
  <si>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</si>
  <si>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創造システム工学科</t>
    <rPh sb="0" eb="2">
      <t>ソウゾウ</t>
    </rPh>
    <rPh sb="6" eb="9">
      <t>コウガクカ</t>
    </rPh>
    <phoneticPr fontId="1"/>
  </si>
  <si>
    <t>③ 修了要件</t>
    <phoneticPr fontId="1"/>
  </si>
  <si>
    <t>本教育プログラムを構成する下記の科目 4 単位 すべてを修得していること。
「情報基礎」 (1年生・必修科目)   2 単位
「数学ⅢB」 (3年生・必修科目) 　2 単位</t>
    <rPh sb="0" eb="1">
      <t>ホン</t>
    </rPh>
    <rPh sb="1" eb="3">
      <t>キョウイク</t>
    </rPh>
    <rPh sb="9" eb="11">
      <t>コウセイ</t>
    </rPh>
    <rPh sb="13" eb="15">
      <t>カキ</t>
    </rPh>
    <rPh sb="16" eb="18">
      <t>カモク</t>
    </rPh>
    <rPh sb="21" eb="23">
      <t>タンイ</t>
    </rPh>
    <rPh sb="28" eb="30">
      <t>シュウトク</t>
    </rPh>
    <rPh sb="40" eb="44">
      <t>ジョウホウキソ</t>
    </rPh>
    <rPh sb="48" eb="50">
      <t>ネンセイ</t>
    </rPh>
    <rPh sb="51" eb="55">
      <t>ヒッシュウカモク</t>
    </rPh>
    <rPh sb="61" eb="63">
      <t>タンイ</t>
    </rPh>
    <rPh sb="65" eb="67">
      <t>スウガク</t>
    </rPh>
    <rPh sb="73" eb="75">
      <t>ネンセイ</t>
    </rPh>
    <rPh sb="76" eb="80">
      <t>ヒッシュウカモク</t>
    </rPh>
    <rPh sb="85" eb="87">
      <t>タンイ</t>
    </rPh>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</si>
  <si>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</si>
  <si>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</si>
  <si>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</si>
  <si>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</si>
  <si>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</si>
  <si>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</si>
  <si>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</si>
  <si>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</si>
  <si>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</si>
  <si>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</si>
  <si>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</si>
  <si>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</si>
  <si>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</si>
  <si>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情報基礎</t>
    <rPh sb="0" eb="4">
      <t>ジョウホウキソ</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</si>
  <si>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</si>
  <si>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</si>
  <si>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</si>
  <si>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</si>
  <si>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</si>
  <si>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</si>
  <si>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</si>
  <si>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</si>
  <si>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</si>
  <si>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</si>
  <si>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</si>
  <si>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</si>
  <si>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</si>
  <si>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</si>
  <si>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数学ⅢB</t>
    <rPh sb="0" eb="2">
      <t>スウガク</t>
    </rPh>
    <phoneticPr fontId="1"/>
  </si>
  <si>
    <t>情報基礎</t>
    <rPh sb="0" eb="2">
      <t>ジョウホウ</t>
    </rPh>
    <rPh sb="2" eb="4">
      <t>キソ</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</si>
  <si>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</si>
  <si>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</si>
  <si>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</si>
  <si>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</si>
  <si>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</si>
  <si>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</si>
  <si>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</si>
  <si>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</si>
  <si>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「情報基礎」(2 または 8 回目)
・データ量の増加、計算機の処理性能の向上、AI の非連続的進化 (2 または 8 回目)
・第4次産業革命、Society 5.0、AI、データ駆動型社会 「情報基礎」(2 または 8 回目)
・複数技術を組み合わせた AI サービス 「情報基礎」(2 または 8 回目)
・人間の知的活動と AI の関係性 「情報基礎」(2 または 8 回目)
・データを起点としたものの見方、人間の知的活動を起点としたものの見方 「情報基礎」(2 または 8 回目)</t>
    <rPh sb="21" eb="25">
      <t>ジョウホウキソ</t>
    </rPh>
    <rPh sb="35" eb="37">
      <t>カイメ</t>
    </rPh>
    <rPh sb="43" eb="44">
      <t>リョウ</t>
    </rPh>
    <rPh sb="45" eb="47">
      <t>ゾウカ</t>
    </rPh>
    <rPh sb="48" eb="51">
      <t>ケイサンキ</t>
    </rPh>
    <rPh sb="52" eb="56">
      <t>ショリセイノウ</t>
    </rPh>
    <rPh sb="57" eb="59">
      <t>コウジョウ</t>
    </rPh>
    <rPh sb="64" eb="68">
      <t>ヒレンゾクテキ</t>
    </rPh>
    <rPh sb="68" eb="70">
      <t>シンカ</t>
    </rPh>
    <rPh sb="85" eb="86">
      <t>ダイ</t>
    </rPh>
    <rPh sb="87" eb="88">
      <t>ジ</t>
    </rPh>
    <rPh sb="111" eb="114">
      <t>クドウガタ</t>
    </rPh>
    <rPh sb="114" eb="116">
      <t>シャカイ</t>
    </rPh>
    <rPh sb="137" eb="139">
      <t>フクスウ</t>
    </rPh>
    <rPh sb="139" eb="141">
      <t>ギジュツ</t>
    </rPh>
    <rPh sb="142" eb="143">
      <t>ク</t>
    </rPh>
    <rPh sb="144" eb="145">
      <t>ア</t>
    </rPh>
    <rPh sb="177" eb="179">
      <t>ニンゲン</t>
    </rPh>
    <rPh sb="180" eb="184">
      <t>チテキカツドウ</t>
    </rPh>
    <rPh sb="190" eb="193">
      <t>カンケイセイ</t>
    </rPh>
    <rPh sb="218" eb="220">
      <t>キテン</t>
    </rPh>
    <rPh sb="226" eb="228">
      <t>ミカタ</t>
    </rPh>
    <rPh sb="229" eb="231">
      <t>ニンゲン</t>
    </rPh>
    <rPh sb="232" eb="236">
      <t>チテキカツドウ</t>
    </rPh>
    <phoneticPr fontId="1"/>
  </si>
  <si>
    <t>1-6</t>
    <phoneticPr fontId="1"/>
  </si>
  <si>
    <t>・AI等を活用した新しいビジネスモデル(シェアリングエコノミー、商品のレコメンデーションなど) 「情報基礎」(2 または 8 回目)
・AI最新技術の活用例（深層生成モデル、敵対的生成ネットワーク、強化学習、転移学習など）「情報基礎」(2 または 8 回目)</t>
    <rPh sb="49" eb="51">
      <t>ジョウホウ</t>
    </rPh>
    <rPh sb="51" eb="53">
      <t>キソ</t>
    </rPh>
    <rPh sb="63" eb="65">
      <t>カイメ</t>
    </rPh>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</si>
  <si>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</si>
  <si>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「情報基礎」(2,3 または 8,9 回目)
・1次データ、2次データ、データのメタ化「情報基礎」(2,3 または 8,9 回目)
・構造化データ、非構造化データ（文章、画像/動画、音声/音楽など）「情報基礎」(2,3 または 8,9 回目)
・データ作成（ビッグデータとアノテーション）「情報基礎」(2,3 または 8,9 回目)
・データのオープン化（オープンデータ）「情報基礎」(2,3 または 8,9 回目)</t>
    <phoneticPr fontId="1"/>
  </si>
  <si>
    <t>・データ・AI活用領域の広がり(生産、消費、文化活動など) 「情報基礎」(2,3 または 8,9 回目)
・研究開発、調達、製造、物流、販売、マーケティング、サービスなど 「情報基礎」(2,3 または 8,9 回目)
・仮説検証、知識発見、原因究明、計画策定、判断支援、活動代替、新規生成など 「情報基礎」(2,3 または 8,9 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</si>
  <si>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</si>
  <si>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・データ解析：予測、グルーピング、パターン発見、最適化、シミュレーション・データ同化など「情報基礎」(3 または 9 回目)
・データ可視化：複合グラフ、2軸グラフ、多次元の可視化、関係性の可視化、地図上の可視化、「情報基礎」(3 または 9 回目)
挙動・軌跡の可視化、リアルタイム可視化など「情報基礎」(3 または 9 回目)
・非構造化データ処理：言語処理、画像/動画処理、音声/音楽処理など「情報基礎」(3 または 9 回目)
・特化型AIと汎用AI、今のAIで出来ることと出来ないこと、AIとビッグデータ「情報基礎」(3 または 9 回目)
・認識技術、ルールベース、自動化技術</t>
    <phoneticPr fontId="1"/>
  </si>
  <si>
    <t>・データサイエンスのサイクル（課題抽出と定式化、データの取得・管理・加工、探索的データ解析、データ解析と推論、結果の共有・伝達、課題解決に向けた提案）　「情報基礎」(3 または 9 回目)
・流通、製造、金融、サービス、インフラ、公共、ヘルスケア等におけるデータ・AI利活用事例紹介「情報基礎」(3 または 9 回目)</t>
    <phoneticPr fontId="1"/>
  </si>
  <si>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</si>
  <si>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Issues）「情報基礎」(1 回目)
・個人情報保護、EU一般データ保護規則(GDPR)、忘れられる権利、オプトアウト「情報基礎」(1 回目)
・データ倫理：データのねつ造、改ざん、盗用、プライバシー保護「情報基礎」(1 回目)
・AI社会原則（公平性、説明責任、透明性、人間中心の判断）「情報基礎」(1 回目)
・データバイアス、アルゴリズムバイアス「情報基礎」(1 回目)
・AIサービスの責任論「情報基礎」(1 回目)
・データ・AI活用における負の事例紹介「情報基礎」(1 回目)</t>
    <phoneticPr fontId="1"/>
  </si>
  <si>
    <t>・情報セキュリティ：機密性、完全性、可用性「情報基礎」(1 回目)
・匿名加工情報、暗号化、パスワード、悪意ある情報搾取「情報基礎」(1 回目)
・情報漏洩等によるセキュリティ事故の事例紹介「情報基礎」(1 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</si>
  <si>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</si>
  <si>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</si>
  <si>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・データの種類（量的変数、質的変数）「数学ⅢB」(17回目)
・データの分布(ヒストグラム)と代表値（平均値、中央値、最頻値）「数学ⅢB」(17回目)
・代表値の性質の違い（実社会では平均値＝最頻値でないことが多い） 「数学ⅢB」(17回目)
・データのばらつき（分散、標準偏差、偏差値）「数学ⅢB」(17回目)
・観測データに含まれる誤差の扱い 「数学ⅢB」(17回目)
・相関と因果（相関係数、擬似相関、交絡） 「数学ⅢB」(19回目)
・母集団と標本抽出（国勢調査、アンケート調査、全数調査、単純無作為抽出、層別抽出、多段抽出） 「数学ⅢB」(19回目)</t>
    <rPh sb="19" eb="21">
      <t>スウガク</t>
    </rPh>
    <rPh sb="27" eb="29">
      <t>カイメ</t>
    </rPh>
    <phoneticPr fontId="1"/>
  </si>
  <si>
    <t>・データ表現（棒グラフ、折線グラフ、散布図、ヒートマップ）「情報基礎」(4 または 11回目) 「数学ⅢB」(18回目)
・データの図表表現（チャート化）「情報基礎」(4または11回目)
・データの比較（条件をそろえた比較、処理の前後での比較、A/Bテスト) 「情報基礎」(4または11回目)
・不適切なグラフ表現（チャートジャンク、不必要な視覚的要素） 「情報基礎」(4または11回目)
・優れた可視化事例の紹介（可視化することによって新たな気づきがあった事例など） 「情報基礎」(4または11回目)</t>
    <rPh sb="30" eb="32">
      <t>ジョウホウ</t>
    </rPh>
    <rPh sb="32" eb="34">
      <t>キソ</t>
    </rPh>
    <rPh sb="44" eb="46">
      <t>カイメ</t>
    </rPh>
    <rPh sb="49" eb="51">
      <t>スウガク</t>
    </rPh>
    <rPh sb="57" eb="59">
      <t>カイメ</t>
    </rPh>
    <phoneticPr fontId="1"/>
  </si>
  <si>
    <t>・データの集計（和、平均）「数学ⅢB」(17, 18回目) 「情報基礎」(4 または 11回目)
・データ解析ツール（エクセル）  「数学ⅢB」(18, 20回目)</t>
    <rPh sb="31" eb="35">
      <t>ジョウホウキソ</t>
    </rPh>
    <rPh sb="45" eb="47">
      <t>カイメ</t>
    </rPh>
    <phoneticPr fontId="1"/>
  </si>
  <si>
    <t>⑪ プログラムの学修成果（学生等が身に付けられる能力等）</t>
    <phoneticPr fontId="1"/>
  </si>
  <si>
    <t>・現代社会におけるデータおよびAIの利活用に関する知識
・データを分析した結果から問題等を発見する能力</t>
    <rPh sb="1" eb="3">
      <t>ゲンダイ</t>
    </rPh>
    <rPh sb="3" eb="5">
      <t>シャカイ</t>
    </rPh>
    <rPh sb="18" eb="21">
      <t>リカツヨウ</t>
    </rPh>
    <rPh sb="22" eb="23">
      <t>カン</t>
    </rPh>
    <rPh sb="25" eb="27">
      <t>チシキ</t>
    </rPh>
    <rPh sb="33" eb="35">
      <t>ブンセキ</t>
    </rPh>
    <rPh sb="37" eb="39">
      <t>ケッカ</t>
    </rPh>
    <rPh sb="41" eb="43">
      <t>モンダイ</t>
    </rPh>
    <rPh sb="43" eb="44">
      <t>トウ</t>
    </rPh>
    <rPh sb="45" eb="47">
      <t>ハッケン</t>
    </rPh>
    <rPh sb="49" eb="51">
      <t>ノウリョク</t>
    </rPh>
    <phoneticPr fontId="1"/>
  </si>
  <si>
    <t>様式２</t>
    <phoneticPr fontId="1"/>
  </si>
  <si>
    <t>プログラムの履修者数等の実績について</t>
    <phoneticPr fontId="1"/>
  </si>
  <si>
    <t>①プログラム開設年度</t>
    <rPh sb="6" eb="8">
      <t>カイセツ</t>
    </rPh>
    <rPh sb="8" eb="10">
      <t>ネンド</t>
    </rPh>
    <phoneticPr fontId="1"/>
  </si>
  <si>
    <t>令和４</t>
  </si>
  <si>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</si>
  <si>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</si>
  <si>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</si>
  <si>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</si>
  <si>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</si>
  <si>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</si>
  <si>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</si>
  <si>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</si>
  <si>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</si>
  <si>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</si>
  <si>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</si>
  <si>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</si>
  <si>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</si>
  <si>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</si>
  <si>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</si>
  <si>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</si>
  <si>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</si>
  <si>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</si>
  <si>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</si>
  <si>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創造システム工学科</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</si>
  <si>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</si>
  <si>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</si>
  <si>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</si>
  <si>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</si>
  <si>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</si>
  <si>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</si>
  <si>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</si>
  <si>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</si>
  <si>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</si>
  <si>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</si>
  <si>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</si>
  <si>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</si>
  <si>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</si>
  <si>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</si>
  <si>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高橋雅之</t>
    <rPh sb="0" eb="2">
      <t>タカハシ</t>
    </rPh>
    <rPh sb="2" eb="4">
      <t>マサユキ</t>
    </rPh>
    <phoneticPr fontId="1"/>
  </si>
  <si>
    <t>（役職名）</t>
    <rPh sb="1" eb="4">
      <t>ヤクショクメイ</t>
    </rPh>
    <phoneticPr fontId="1"/>
  </si>
  <si>
    <t>校長</t>
    <rPh sb="0" eb="2">
      <t>コウチョウ</t>
    </rPh>
    <phoneticPr fontId="1"/>
  </si>
  <si>
    <t>④</t>
    <phoneticPr fontId="1"/>
  </si>
  <si>
    <t>プログラムを改善・進化させるための体制（委員会・組織等）</t>
    <phoneticPr fontId="1"/>
  </si>
  <si>
    <t>秋田工業高等専門学校 教務委員会</t>
    <rPh sb="0" eb="4">
      <t>アキタコウギョウ</t>
    </rPh>
    <rPh sb="4" eb="8">
      <t>コウトウセンモン</t>
    </rPh>
    <rPh sb="8" eb="10">
      <t>ガッコウ</t>
    </rPh>
    <rPh sb="11" eb="13">
      <t>キョウム</t>
    </rPh>
    <rPh sb="13" eb="16">
      <t>イインカイ</t>
    </rPh>
    <phoneticPr fontId="1"/>
  </si>
  <si>
    <t>榊　秀次郎</t>
    <rPh sb="0" eb="1">
      <t>サカキ</t>
    </rPh>
    <rPh sb="2" eb="5">
      <t>シュウジロウ</t>
    </rPh>
    <phoneticPr fontId="1"/>
  </si>
  <si>
    <t>副校長・教務主事</t>
    <rPh sb="0" eb="3">
      <t>フクコウチョウ</t>
    </rPh>
    <rPh sb="4" eb="8">
      <t>キョウムシュジ</t>
    </rPh>
    <phoneticPr fontId="1"/>
  </si>
  <si>
    <t>⑤</t>
    <phoneticPr fontId="1"/>
  </si>
  <si>
    <t>プログラムを改善・進化させるための体制を定める規則名称</t>
    <phoneticPr fontId="1"/>
  </si>
  <si>
    <t>教務委員会規則： 秋田工業高等専門学校数理・データサイエンス・AI教育プログラム(リテラシーレベル)規則</t>
    <rPh sb="0" eb="5">
      <t>キョウムイインカイ</t>
    </rPh>
    <rPh sb="5" eb="7">
      <t>キソク</t>
    </rPh>
    <rPh sb="9" eb="13">
      <t>アキタコウギョウ</t>
    </rPh>
    <rPh sb="13" eb="19">
      <t>コウトウセンモンガッコウ</t>
    </rPh>
    <rPh sb="19" eb="21">
      <t>スウリ</t>
    </rPh>
    <rPh sb="33" eb="35">
      <t>キョウイク</t>
    </rPh>
    <rPh sb="50" eb="52">
      <t>キソク</t>
    </rPh>
    <phoneticPr fontId="1"/>
  </si>
  <si>
    <t>⑥</t>
    <phoneticPr fontId="1"/>
  </si>
  <si>
    <t>体制の目的</t>
    <rPh sb="0" eb="2">
      <t>タイセイ</t>
    </rPh>
    <rPh sb="3" eb="5">
      <t>モクテキ</t>
    </rPh>
    <phoneticPr fontId="1"/>
  </si>
  <si>
    <t>本校の教育課程の編成及び実施に関する事項を審議するために教務委員会が設置されている。教務委員会は本教育プログラム (数理・データサイエンス・AI教育プログラム) を改善・進化させるための事項を取り扱う。</t>
    <phoneticPr fontId="1"/>
  </si>
  <si>
    <t>⑦</t>
    <phoneticPr fontId="1"/>
  </si>
  <si>
    <t>具体的な構成員</t>
    <rPh sb="0" eb="3">
      <t>グタイテキ</t>
    </rPh>
    <rPh sb="4" eb="7">
      <t>コウセイイン</t>
    </rPh>
    <phoneticPr fontId="1"/>
  </si>
  <si>
    <t>2022年度の教務委員会の構成員は下記の通りである。
教　授　榊 秀次郎 (教務主事・委員長)、
教　授　菅原 隆行 (副教務主事・副委員長 兼 一般教科人文科学系 教務委員　)、
教　授　伊藤 桂一 (専攻長)、　　准教授　山添 誠隆 (副専攻長 兼 土木・建築系 教務委員)、
准教授　上田　学 (教務主事補)、　　准教授　田中 将樹 (教務主事補)、
准教授　野澤 正和　(機械系 教務委員)、　准教授　小林 義和 (機械系 教務委員)、
准教授　坂本 文人 (電気・電子・情報系 教務委員)、　
講　師　菅原 英子 (電気・電子・情報系 教務委員)、
准教授　石塚 眞治 (物質・生物系 教務委員)、准教授　横山 保夫  (物質・生物系 教務委員)、
准教授　葛西　誠  (土木・建築系 教務委員)、
准教授　長井 栄二 (一般教科人文科学系 教務委員)
准教授　三浦 大介  (一般教科自然科学系 教務委員)、
講　師　上林 一彦  (一般教科自然科学系 教務委員)
学生課長　葛西 一宏</t>
    <rPh sb="4" eb="6">
      <t>ネンド</t>
    </rPh>
    <rPh sb="7" eb="12">
      <t>キョウムイインカイ</t>
    </rPh>
    <rPh sb="13" eb="16">
      <t>コウセイイン</t>
    </rPh>
    <rPh sb="17" eb="19">
      <t>カキ</t>
    </rPh>
    <rPh sb="20" eb="21">
      <t>トオ</t>
    </rPh>
    <rPh sb="38" eb="42">
      <t>キョウムシュジ</t>
    </rPh>
    <rPh sb="43" eb="45">
      <t>イイン</t>
    </rPh>
    <rPh sb="45" eb="46">
      <t>チョウ</t>
    </rPh>
    <rPh sb="60" eb="65">
      <t>フクキョウムシュジ</t>
    </rPh>
    <rPh sb="67" eb="70">
      <t>イインチョウ</t>
    </rPh>
    <rPh sb="71" eb="72">
      <t>ケン</t>
    </rPh>
    <rPh sb="73" eb="77">
      <t>イッパンキョウカ</t>
    </rPh>
    <rPh sb="77" eb="82">
      <t>ジンブンカガクケイ</t>
    </rPh>
    <rPh sb="83" eb="87">
      <t>キョウムイイン</t>
    </rPh>
    <rPh sb="102" eb="105">
      <t>センコウチョウ</t>
    </rPh>
    <rPh sb="109" eb="112">
      <t>ジュンキョウジュ</t>
    </rPh>
    <rPh sb="120" eb="124">
      <t>フクセンコウチョウ</t>
    </rPh>
    <rPh sb="125" eb="126">
      <t>ケン</t>
    </rPh>
    <rPh sb="127" eb="129">
      <t>ドボク</t>
    </rPh>
    <rPh sb="130" eb="133">
      <t>ケンチクケイ</t>
    </rPh>
    <rPh sb="134" eb="136">
      <t>キョウム</t>
    </rPh>
    <rPh sb="136" eb="138">
      <t>イイン</t>
    </rPh>
    <rPh sb="141" eb="144">
      <t>ジュンキョウジュ</t>
    </rPh>
    <rPh sb="151" eb="156">
      <t>キョウムシュジホ</t>
    </rPh>
    <rPh sb="160" eb="163">
      <t>ジュンキョウジュ</t>
    </rPh>
    <rPh sb="171" eb="176">
      <t>キョウムシュジホ</t>
    </rPh>
    <rPh sb="179" eb="182">
      <t>ジュンキョウジュ</t>
    </rPh>
    <rPh sb="190" eb="193">
      <t>キカイケイ</t>
    </rPh>
    <rPh sb="194" eb="198">
      <t>キョウムイイン</t>
    </rPh>
    <rPh sb="201" eb="204">
      <t>ジュンキョウジュ</t>
    </rPh>
    <rPh sb="223" eb="226">
      <t>ジュンキョウジュ</t>
    </rPh>
    <rPh sb="227" eb="229">
      <t>サカモト</t>
    </rPh>
    <rPh sb="230" eb="232">
      <t>フミト</t>
    </rPh>
    <rPh sb="234" eb="236">
      <t>デンキ</t>
    </rPh>
    <rPh sb="237" eb="239">
      <t>デンシ</t>
    </rPh>
    <rPh sb="240" eb="243">
      <t>ジョウホウケイ</t>
    </rPh>
    <rPh sb="244" eb="246">
      <t>キョウム</t>
    </rPh>
    <rPh sb="246" eb="248">
      <t>イイン</t>
    </rPh>
    <rPh sb="280" eb="283">
      <t>ジュンキョウジュ</t>
    </rPh>
    <rPh sb="291" eb="293">
      <t>ブッシツ</t>
    </rPh>
    <rPh sb="294" eb="296">
      <t>セイブツ</t>
    </rPh>
    <rPh sb="296" eb="297">
      <t>ケイ</t>
    </rPh>
    <rPh sb="298" eb="302">
      <t>キョウムイイン</t>
    </rPh>
    <rPh sb="304" eb="307">
      <t>ジュンキョウジュ</t>
    </rPh>
    <rPh sb="308" eb="310">
      <t>ヨコヤマ</t>
    </rPh>
    <rPh sb="311" eb="313">
      <t>ヤスオ</t>
    </rPh>
    <rPh sb="330" eb="333">
      <t>ジュンキョウジュ</t>
    </rPh>
    <rPh sb="341" eb="343">
      <t>ドボク</t>
    </rPh>
    <rPh sb="344" eb="346">
      <t>ケンチク</t>
    </rPh>
    <rPh sb="355" eb="358">
      <t>ジュンキョウジュ</t>
    </rPh>
    <rPh sb="366" eb="370">
      <t>イッパンキョウカ</t>
    </rPh>
    <rPh sb="370" eb="375">
      <t>ジンブンカガクケイ</t>
    </rPh>
    <rPh sb="376" eb="378">
      <t>キョウム</t>
    </rPh>
    <rPh sb="378" eb="380">
      <t>イイン</t>
    </rPh>
    <rPh sb="382" eb="385">
      <t>ジュンキョウジュ</t>
    </rPh>
    <rPh sb="398" eb="400">
      <t>シゼン</t>
    </rPh>
    <rPh sb="427" eb="429">
      <t>シゼン</t>
    </rPh>
    <rPh sb="444" eb="446">
      <t>カサイ</t>
    </rPh>
    <rPh sb="447" eb="449">
      <t>カズヒロ</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</si>
  <si>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</si>
  <si>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</si>
  <si>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</si>
  <si>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</si>
  <si>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</si>
  <si>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</si>
  <si>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</si>
  <si>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</si>
  <si>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</si>
  <si>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本プログラムはすべて必修科目から構成されているため、留学生・編入生を除く全学生がそれらの授業を履修する。そのため、現時点では履修者数・履修率の向上に向けた計画は用意していない。</t>
    <rPh sb="26" eb="29">
      <t>リュウガクセイ</t>
    </rPh>
    <rPh sb="30" eb="33">
      <t>ヘンニュウセイ</t>
    </rPh>
    <rPh sb="34" eb="35">
      <t>ノゾ</t>
    </rPh>
    <rPh sb="44" eb="46">
      <t>ジュギョウ</t>
    </rPh>
    <rPh sb="57" eb="60">
      <t>ゲンジテン</t>
    </rPh>
    <rPh sb="62" eb="66">
      <t>リシュウシャスウ</t>
    </rPh>
    <rPh sb="67" eb="70">
      <t>リシュウリツ</t>
    </rPh>
    <rPh sb="71" eb="73">
      <t>コウジョウ</t>
    </rPh>
    <rPh sb="74" eb="75">
      <t>ム</t>
    </rPh>
    <rPh sb="77" eb="79">
      <t>ケイカク</t>
    </rPh>
    <rPh sb="80" eb="82">
      <t>ヨウイ</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</si>
  <si>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</si>
  <si>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</si>
  <si>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を構成する科目は全学系・全コースにおいて必修科目として開講されている。また、ディプロマポリシーにおいて必修科目の修得を求めている。したがって、本校を卒業する学生は必ず本プログラムに関わる授業を履修し、単位を取得している（ただし、留学生・編入生を除く）。</t>
    <rPh sb="0" eb="1">
      <t>ホン</t>
    </rPh>
    <rPh sb="7" eb="9">
      <t>コウセイ</t>
    </rPh>
    <rPh sb="11" eb="13">
      <t>カモク</t>
    </rPh>
    <rPh sb="14" eb="15">
      <t>ゼン</t>
    </rPh>
    <rPh sb="15" eb="17">
      <t>ガクケイ</t>
    </rPh>
    <rPh sb="18" eb="19">
      <t>ゼン</t>
    </rPh>
    <rPh sb="26" eb="28">
      <t>ヒッシュウ</t>
    </rPh>
    <rPh sb="28" eb="30">
      <t>カモク</t>
    </rPh>
    <rPh sb="33" eb="35">
      <t>カイコウ</t>
    </rPh>
    <rPh sb="57" eb="61">
      <t>ヒッシュウカモク</t>
    </rPh>
    <rPh sb="62" eb="64">
      <t>シュウトク</t>
    </rPh>
    <rPh sb="65" eb="66">
      <t>モト</t>
    </rPh>
    <rPh sb="77" eb="79">
      <t>ホンコウ</t>
    </rPh>
    <rPh sb="80" eb="82">
      <t>ソツギョウ</t>
    </rPh>
    <rPh sb="84" eb="86">
      <t>ガクセイ</t>
    </rPh>
    <rPh sb="87" eb="88">
      <t>カナラ</t>
    </rPh>
    <rPh sb="89" eb="90">
      <t>ホン</t>
    </rPh>
    <rPh sb="96" eb="97">
      <t>カカ</t>
    </rPh>
    <rPh sb="99" eb="101">
      <t>ジュギョウ</t>
    </rPh>
    <rPh sb="102" eb="104">
      <t>リシュウ</t>
    </rPh>
    <rPh sb="106" eb="108">
      <t>タンイ</t>
    </rPh>
    <rPh sb="109" eb="111">
      <t>シュトク</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</si>
  <si>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</si>
  <si>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</si>
  <si>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プログラムは必修科目で構成されているため、全学生が履修する。一方、学習意欲を高め効率よく学修できるように、当該科目の最初の授業において本プログラムについて説明し、その意義や目的についての理解を促進する。また、本学ホームページにおいて本プログラムについての情報を掲載し、保護者をはじめとして地域住民にも周知と理解を図る。</t>
    <rPh sb="154" eb="156">
      <t>リカイ</t>
    </rPh>
    <phoneticPr fontId="1"/>
  </si>
  <si>
    <t>⑪</t>
    <phoneticPr fontId="1"/>
  </si>
  <si>
    <t>できる限り多くの学生が履修・修得できるようなサポート体制</t>
    <rPh sb="26" eb="28">
      <t>タイセイ</t>
    </rPh>
    <phoneticPr fontId="1"/>
  </si>
  <si>
    <t>本プログラムは必修科目で構成されているため、全学生が履修する。学修にあたっては、コミュニケーションツール Teams の活用や、授業時間外においてスチューデントアシスタント  (本科 ４，５年生、専攻科生を雇用) による質問の受付などにより自学自習を促進し、修得に向けた支援を行う。</t>
  </si>
  <si>
    <t>⑫</t>
    <phoneticPr fontId="1"/>
  </si>
  <si>
    <t>授業時間内外で学習指導、質問を受け付ける具体的な仕組み</t>
    <rPh sb="20" eb="23">
      <t>グタイテキ</t>
    </rPh>
    <phoneticPr fontId="1"/>
  </si>
  <si>
    <t>各教員には週１時間以上の「オフィスアワー」が義務付けられており、学生が授業以外で質問できる時間帯が設けられている。コミュニケーションツールとしてMicrosoft Teamsを整備しており，対面以外でも質問を受け付けることができる。また，教員以外にも本科上級生（４，５年生），専攻科生を「スチューデントアシスタント (SA)」として雇用する制度があり，学習指導を受けることができる。</t>
    <rPh sb="0" eb="1">
      <t>カク</t>
    </rPh>
    <rPh sb="1" eb="3">
      <t>キョウイン</t>
    </rPh>
    <rPh sb="5" eb="6">
      <t>シュウ</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</si>
  <si>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</si>
  <si>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</si>
  <si>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</si>
  <si>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</si>
  <si>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秋田工業高等専門学校 分析評価委員会及び自己点検・評価委員会</t>
    <rPh sb="0" eb="2">
      <t>アキタ</t>
    </rPh>
    <rPh sb="2" eb="4">
      <t>コウギョウ</t>
    </rPh>
    <rPh sb="4" eb="6">
      <t>コウトウ</t>
    </rPh>
    <rPh sb="6" eb="10">
      <t>センモンガッコウ</t>
    </rPh>
    <rPh sb="11" eb="13">
      <t>ブンセキ</t>
    </rPh>
    <rPh sb="13" eb="15">
      <t>ヒョウカ</t>
    </rPh>
    <rPh sb="15" eb="18">
      <t>イインカイ</t>
    </rPh>
    <rPh sb="18" eb="19">
      <t>オヨ</t>
    </rPh>
    <rPh sb="20" eb="24">
      <t>ジコテンケン</t>
    </rPh>
    <rPh sb="25" eb="30">
      <t>ヒョウカイインカイ</t>
    </rPh>
    <phoneticPr fontId="1"/>
  </si>
  <si>
    <t>高橋　雅之</t>
    <rPh sb="0" eb="2">
      <t>タカハシ</t>
    </rPh>
    <rPh sb="3" eb="5">
      <t>マサユキ</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</si>
  <si>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</si>
  <si>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</si>
  <si>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</si>
  <si>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</si>
  <si>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</si>
  <si>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プログラムの対応科目である「情報基礎（1年）：2単位」および「数学ⅢB（3年）：2単位」は必修科目のため全学生が履修している。修得状況（単位取得状況）は教務委員会（成績判定会議）において把握している。令和4年度の履修および修得状況は次のとおりである。
・情報基礎：履修者数167名、修得者数167名
・数学ⅢB：履修者数168名、修得者数157名</t>
    <rPh sb="0" eb="1">
      <t>ホン</t>
    </rPh>
    <rPh sb="25" eb="27">
      <t>タンイ</t>
    </rPh>
    <rPh sb="32" eb="34">
      <t>スウガク</t>
    </rPh>
    <rPh sb="38" eb="39">
      <t>ネン</t>
    </rPh>
    <rPh sb="42" eb="44">
      <t>タンイ</t>
    </rPh>
    <rPh sb="46" eb="48">
      <t>ヒッシュウ</t>
    </rPh>
    <rPh sb="48" eb="50">
      <t>カモク</t>
    </rPh>
    <rPh sb="53" eb="54">
      <t>ゼン</t>
    </rPh>
    <rPh sb="54" eb="56">
      <t>ガクセイ</t>
    </rPh>
    <rPh sb="57" eb="59">
      <t>リシュウ</t>
    </rPh>
    <rPh sb="69" eb="71">
      <t>タンイ</t>
    </rPh>
    <rPh sb="71" eb="73">
      <t>シュトク</t>
    </rPh>
    <rPh sb="73" eb="75">
      <t>ジョウキョウ</t>
    </rPh>
    <rPh sb="83" eb="85">
      <t>セイセキ</t>
    </rPh>
    <rPh sb="85" eb="87">
      <t>ハンテイ</t>
    </rPh>
    <rPh sb="87" eb="89">
      <t>カイギ</t>
    </rPh>
    <rPh sb="101" eb="103">
      <t>レイワ</t>
    </rPh>
    <rPh sb="104" eb="106">
      <t>ネンド</t>
    </rPh>
    <rPh sb="107" eb="109">
      <t>リシュウ</t>
    </rPh>
    <rPh sb="112" eb="114">
      <t>シュウトク</t>
    </rPh>
    <rPh sb="114" eb="116">
      <t>ジョウキョウ</t>
    </rPh>
    <rPh sb="117" eb="118">
      <t>ツギ</t>
    </rPh>
    <rPh sb="133" eb="137">
      <t>リシュウシャスウ</t>
    </rPh>
    <rPh sb="140" eb="141">
      <t>メイ</t>
    </rPh>
    <rPh sb="142" eb="144">
      <t>シュウトク</t>
    </rPh>
    <rPh sb="144" eb="145">
      <t>シャ</t>
    </rPh>
    <rPh sb="145" eb="146">
      <t>スウ</t>
    </rPh>
    <rPh sb="149" eb="150">
      <t>メイ</t>
    </rPh>
    <phoneticPr fontId="1"/>
  </si>
  <si>
    <t>学修成果</t>
    <rPh sb="0" eb="2">
      <t>ガクシュウ</t>
    </rPh>
    <rPh sb="2" eb="4">
      <t>セイカ</t>
    </rPh>
    <phoneticPr fontId="1"/>
  </si>
  <si>
    <t>本プログラムの学修成果は、対応科目の成績により把握している。令和4年度の全学生の成績（平均）は次のとおりで、”良（79～60点）”に区分されることから、十分な学修成果が得られている。
・情報基礎：良（79点～60点）
・数学ⅢB：良（79点～60点）
（合格点は50点以上）</t>
    <rPh sb="7" eb="9">
      <t>ガクシュウ</t>
    </rPh>
    <rPh sb="9" eb="11">
      <t>セイカ</t>
    </rPh>
    <rPh sb="13" eb="15">
      <t>タイオウ</t>
    </rPh>
    <rPh sb="15" eb="17">
      <t>カモク</t>
    </rPh>
    <rPh sb="18" eb="20">
      <t>セイセキ</t>
    </rPh>
    <rPh sb="23" eb="25">
      <t>ハアク</t>
    </rPh>
    <rPh sb="30" eb="32">
      <t>レイワ</t>
    </rPh>
    <rPh sb="33" eb="35">
      <t>ネンド</t>
    </rPh>
    <rPh sb="36" eb="37">
      <t>ゼン</t>
    </rPh>
    <rPh sb="40" eb="42">
      <t>セイセキ</t>
    </rPh>
    <rPh sb="43" eb="45">
      <t>ヘイキン</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</si>
  <si>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</si>
  <si>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年度内に計2回（前期末および学年末）、本プログラムの対応科目を含む全開講科目について授業アンケートを実施しており、アンケート結果は授業担当教員にフィードバックされる体制となっている。また、分析評価委員会においてもアンケート結果より学生の理解度を把握・分析している。加えて、教務委員会においても対応科目の単位取得状況より学生の理解度を把握している。令和4年度の対応科目の授業アンケートでは、学生の理解を確認しながら授業を進めていたか、また授業の進め方について適切だったかという設問について、85%以上の学生が「とてもそう思う」「ある程度そう思う」と回答しており、十分な理解度が得られている。</t>
    <rPh sb="173" eb="175">
      <t>レイワ</t>
    </rPh>
    <rPh sb="176" eb="178">
      <t>ネンド</t>
    </rPh>
    <rPh sb="184" eb="186">
      <t>ジュギョウ</t>
    </rPh>
    <rPh sb="194" eb="196">
      <t>ガクセイ</t>
    </rPh>
    <rPh sb="197" eb="199">
      <t>リカイ</t>
    </rPh>
    <rPh sb="200" eb="202">
      <t>カクニン</t>
    </rPh>
    <rPh sb="206" eb="208">
      <t>ジュギョウ</t>
    </rPh>
    <rPh sb="209" eb="210">
      <t>スス</t>
    </rPh>
    <rPh sb="237" eb="239">
      <t>セツモン</t>
    </rPh>
    <rPh sb="259" eb="260">
      <t>オモ</t>
    </rPh>
    <rPh sb="265" eb="267">
      <t>テイド</t>
    </rPh>
    <rPh sb="269" eb="270">
      <t>オモ</t>
    </rPh>
    <rPh sb="273" eb="275">
      <t>カイトウ</t>
    </rPh>
    <rPh sb="280" eb="282">
      <t>ジュウブン</t>
    </rPh>
    <rPh sb="283" eb="285">
      <t>リカイ</t>
    </rPh>
    <rPh sb="285" eb="286">
      <t>ド</t>
    </rPh>
    <rPh sb="287" eb="288">
      <t>エ</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</si>
  <si>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</si>
  <si>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本プログラムの対応科目である「情報基礎」および「数学ⅢB」はともに必修科目のため、後輩等他の学生への推奨は不要である。</t>
    <rPh sb="53" eb="55">
      <t>フヨウ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</si>
  <si>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</si>
  <si>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本プログラムの対応科目である「情報基礎」および「数学ⅢB」は必修科目のため、履修率は100%である。</t>
    <rPh sb="38" eb="41">
      <t>リシュウリツ</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</si>
  <si>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</si>
  <si>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</si>
  <si>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5年3月時点で本プログラムを修了した学生はいないが、令和4年3月の卒業生・修了生の進路は、進学が42.9%、就職が54.0%であった。進路先は各系の理工系分野、専門企業となっており、数理・データサイエンス・AIのいずれか、または全てを活用している。また、卒後5年に卒業生および修了生、並びに進路先関係者に対象としたアンケートを実施しており、本プログラム修了者の活躍状況や企業等の評価を調査する予定である。</t>
    <rPh sb="9" eb="10">
      <t>ホン</t>
    </rPh>
    <rPh sb="20" eb="22">
      <t>ガクセイ</t>
    </rPh>
    <rPh sb="39" eb="42">
      <t>シュウリョウセイ</t>
    </rPh>
    <rPh sb="47" eb="49">
      <t>シンガク</t>
    </rPh>
    <rPh sb="56" eb="58">
      <t>シュウショク</t>
    </rPh>
    <rPh sb="69" eb="71">
      <t>シンロ</t>
    </rPh>
    <rPh sb="71" eb="72">
      <t>サキ</t>
    </rPh>
    <rPh sb="76" eb="79">
      <t>リコウケイ</t>
    </rPh>
    <rPh sb="129" eb="131">
      <t>ソツゴ</t>
    </rPh>
    <rPh sb="132" eb="133">
      <t>ネン</t>
    </rPh>
    <rPh sb="134" eb="137">
      <t>ソツギョウセイ</t>
    </rPh>
    <rPh sb="140" eb="143">
      <t>シュウリョウセイ</t>
    </rPh>
    <rPh sb="144" eb="145">
      <t>ナラ</t>
    </rPh>
    <rPh sb="147" eb="150">
      <t>シンロサキ</t>
    </rPh>
    <rPh sb="150" eb="153">
      <t>カンケイシャ</t>
    </rPh>
    <rPh sb="154" eb="156">
      <t>タイショウ</t>
    </rPh>
    <rPh sb="165" eb="167">
      <t>ジッシ</t>
    </rPh>
    <rPh sb="172" eb="173">
      <t>ホン</t>
    </rPh>
    <rPh sb="178" eb="180">
      <t>シュウリョウ</t>
    </rPh>
    <rPh sb="180" eb="181">
      <t>シャ</t>
    </rPh>
    <rPh sb="182" eb="184">
      <t>カツヤク</t>
    </rPh>
    <rPh sb="184" eb="186">
      <t>ジョウキョウ</t>
    </rPh>
    <rPh sb="187" eb="189">
      <t>キギョウ</t>
    </rPh>
    <rPh sb="189" eb="190">
      <t>トウ</t>
    </rPh>
    <rPh sb="191" eb="193">
      <t>ヒョウカ</t>
    </rPh>
    <rPh sb="194" eb="196">
      <t>チョウサ</t>
    </rPh>
    <rPh sb="198" eb="200">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</si>
  <si>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</si>
  <si>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プログラムを開始して間もなく、産業界からの意見は特にはない。今後については、外部有識者で構成される運営協議会や進路先関係者などのアンケートを通じて、産業界から意見を収集し、本プログラムの改善を行っていく予定である。</t>
    <rPh sb="0" eb="1">
      <t>ホン</t>
    </rPh>
    <rPh sb="11" eb="12">
      <t>マ</t>
    </rPh>
    <rPh sb="56" eb="59">
      <t>シンロサキ</t>
    </rPh>
    <rPh sb="59" eb="62">
      <t>カンケイシャ</t>
    </rPh>
    <rPh sb="83" eb="85">
      <t>シュウシュウ</t>
    </rPh>
    <rPh sb="87" eb="88">
      <t>ホン</t>
    </rPh>
    <rPh sb="94" eb="96">
      <t>カイゼン</t>
    </rPh>
    <rPh sb="97" eb="98">
      <t>オコナ</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</si>
  <si>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</si>
  <si>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プログラムの対応科目についての授業アンケートの設問には新しい技術・知識の修得に関する項目や自由記述がある。アンケート結果を踏まえ、最新の技術・知識や学生の要望が授業に反映され、学生の満足度および学ぶ意義が高まる仕組みとなっている。その結果、令和4年度の授業アンケートにおいて、満足度や意義についての設問で90%程度以上の学生が「とてもそう思う」「ある程度そう思う」と回答している。</t>
    <rPh sb="24" eb="26">
      <t>セツモン</t>
    </rPh>
    <rPh sb="28" eb="29">
      <t>アタラ</t>
    </rPh>
    <rPh sb="31" eb="33">
      <t>ギジュツ</t>
    </rPh>
    <rPh sb="34" eb="36">
      <t>チシキ</t>
    </rPh>
    <rPh sb="37" eb="39">
      <t>シュウトク</t>
    </rPh>
    <rPh sb="40" eb="41">
      <t>カン</t>
    </rPh>
    <rPh sb="43" eb="45">
      <t>コウモク</t>
    </rPh>
    <rPh sb="46" eb="48">
      <t>ジユウ</t>
    </rPh>
    <rPh sb="48" eb="50">
      <t>キジュツ</t>
    </rPh>
    <rPh sb="59" eb="61">
      <t>ケッカ</t>
    </rPh>
    <rPh sb="62" eb="63">
      <t>フ</t>
    </rPh>
    <rPh sb="66" eb="68">
      <t>サイシン</t>
    </rPh>
    <rPh sb="69" eb="71">
      <t>ギジュツ</t>
    </rPh>
    <rPh sb="72" eb="74">
      <t>チシキ</t>
    </rPh>
    <rPh sb="75" eb="77">
      <t>ガクセイ</t>
    </rPh>
    <rPh sb="78" eb="80">
      <t>ヨウボウ</t>
    </rPh>
    <rPh sb="81" eb="83">
      <t>ジュギョウ</t>
    </rPh>
    <rPh sb="84" eb="86">
      <t>ハンエイ</t>
    </rPh>
    <rPh sb="89" eb="91">
      <t>ガクセイ</t>
    </rPh>
    <rPh sb="92" eb="95">
      <t>マンゾクド</t>
    </rPh>
    <rPh sb="98" eb="99">
      <t>マナ</t>
    </rPh>
    <rPh sb="100" eb="102">
      <t>イギ</t>
    </rPh>
    <rPh sb="103" eb="104">
      <t>タカ</t>
    </rPh>
    <rPh sb="106" eb="108">
      <t>シク</t>
    </rPh>
    <rPh sb="121" eb="123">
      <t>レイワ</t>
    </rPh>
    <rPh sb="124" eb="126">
      <t>ネンド</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</si>
  <si>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</si>
  <si>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生の「分かりやすさ」の観点に沿った複数の設問を含む授業アンケートを実施し、その結果を授業担当教員にフィードバックし改善を求めることによって、講義・実習の内容・実施方法の見直しを年度毎に行っている。また、授業アンケートとは別に、教員間でシラバスの内容や試験レベルの適切性などを年度毎に相互点検し、修正・改善を図っている。その結果、令和4年度の授業アンケートでは、分かりやすさに関連する設問において80%程度以上の学生が「とてもそう思う」「ある程度そう思う」と回答している。</t>
    <rPh sb="0" eb="2">
      <t>ガクセイ</t>
    </rPh>
    <rPh sb="4" eb="5">
      <t>ワ</t>
    </rPh>
    <rPh sb="12" eb="14">
      <t>カンテン</t>
    </rPh>
    <rPh sb="15" eb="16">
      <t>ソ</t>
    </rPh>
    <rPh sb="18" eb="20">
      <t>フクスウ</t>
    </rPh>
    <rPh sb="21" eb="23">
      <t>セツモン</t>
    </rPh>
    <rPh sb="24" eb="25">
      <t>フク</t>
    </rPh>
    <rPh sb="26" eb="28">
      <t>ジュギョウ</t>
    </rPh>
    <rPh sb="34" eb="36">
      <t>ジッシ</t>
    </rPh>
    <rPh sb="40" eb="42">
      <t>ケッカ</t>
    </rPh>
    <rPh sb="43" eb="45">
      <t>ジュギョウ</t>
    </rPh>
    <rPh sb="45" eb="47">
      <t>タントウ</t>
    </rPh>
    <rPh sb="47" eb="49">
      <t>キョウイン</t>
    </rPh>
    <rPh sb="58" eb="60">
      <t>カイゼン</t>
    </rPh>
    <rPh sb="61" eb="62">
      <t>モト</t>
    </rPh>
    <rPh sb="71" eb="73">
      <t>コウギ</t>
    </rPh>
    <rPh sb="74" eb="76">
      <t>ジッシュウ</t>
    </rPh>
    <rPh sb="77" eb="79">
      <t>ナイヨウ</t>
    </rPh>
    <rPh sb="80" eb="82">
      <t>ジッシ</t>
    </rPh>
    <rPh sb="82" eb="84">
      <t>ホウホウ</t>
    </rPh>
    <rPh sb="85" eb="87">
      <t>ミナオ</t>
    </rPh>
    <rPh sb="89" eb="91">
      <t>ネンド</t>
    </rPh>
    <rPh sb="91" eb="92">
      <t>ゴト</t>
    </rPh>
    <rPh sb="93" eb="94">
      <t>オコナ</t>
    </rPh>
    <rPh sb="102" eb="104">
      <t>ジュギョウ</t>
    </rPh>
    <rPh sb="111" eb="112">
      <t>ベツ</t>
    </rPh>
    <rPh sb="114" eb="116">
      <t>キョウイン</t>
    </rPh>
    <rPh sb="116" eb="117">
      <t>アイダ</t>
    </rPh>
    <rPh sb="123" eb="125">
      <t>ナイヨウ</t>
    </rPh>
    <rPh sb="126" eb="128">
      <t>シケン</t>
    </rPh>
    <rPh sb="132" eb="135">
      <t>テキセツセイ</t>
    </rPh>
    <rPh sb="138" eb="141">
      <t>ネンドゴト</t>
    </rPh>
    <rPh sb="142" eb="144">
      <t>ソウゴ</t>
    </rPh>
    <rPh sb="144" eb="146">
      <t>テンケン</t>
    </rPh>
    <rPh sb="148" eb="150">
      <t>シュウセイ</t>
    </rPh>
    <rPh sb="151" eb="153">
      <t>カイゼン</t>
    </rPh>
    <rPh sb="154" eb="155">
      <t>ハカ</t>
    </rPh>
    <rPh sb="162" eb="164">
      <t>ケッカ</t>
    </rPh>
    <rPh sb="181" eb="182">
      <t>ワ</t>
    </rPh>
    <rPh sb="188" eb="190">
      <t>カンレン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</si>
</sst>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6" fillId="0" borderId="0" xfId="0" applyFont="1" applyAlignment="1">
      <alignment horizontal="center" vertical="center"/>
    </xf>
    <xf numFmtId="0" fontId="11" fillId="0" borderId="1" xfId="0" applyFont="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5" fillId="0" borderId="22" xfId="0" applyFont="1" applyBorder="1" applyAlignment="1">
      <alignment horizontal="left" vertical="top" wrapText="1" shrinkToFit="1"/>
    </xf>
    <xf numFmtId="0" fontId="5" fillId="0" borderId="22" xfId="0" applyFont="1" applyBorder="1" applyAlignment="1">
      <alignment horizontal="left" vertical="top" shrinkToFit="1"/>
    </xf>
    <xf numFmtId="0" fontId="5" fillId="0" borderId="21" xfId="0" applyFont="1" applyBorder="1" applyAlignment="1">
      <alignment horizontal="left" vertical="top" shrinkToFit="1"/>
    </xf>
    <xf numFmtId="0" fontId="5" fillId="0" borderId="36" xfId="0" applyFont="1" applyBorder="1" applyAlignment="1">
      <alignment horizontal="left" vertical="top" wrapText="1" shrinkToFit="1"/>
    </xf>
    <xf numFmtId="0" fontId="5" fillId="0" borderId="36" xfId="0" applyFont="1" applyBorder="1" applyAlignment="1">
      <alignment horizontal="left" vertical="top" shrinkToFit="1"/>
    </xf>
    <xf numFmtId="0" fontId="5" fillId="0" borderId="35" xfId="0" applyFont="1" applyBorder="1" applyAlignment="1">
      <alignment horizontal="left" vertical="top" shrinkToFit="1"/>
    </xf>
    <xf numFmtId="0" fontId="5" fillId="0" borderId="6" xfId="0" applyFont="1" applyBorder="1" applyAlignment="1">
      <alignment horizontal="left" vertical="top" wrapText="1" shrinkToFit="1"/>
    </xf>
    <xf numFmtId="0" fontId="5" fillId="0" borderId="6" xfId="0" applyFont="1" applyBorder="1" applyAlignment="1">
      <alignment horizontal="left" vertical="top" shrinkToFit="1"/>
    </xf>
    <xf numFmtId="0" fontId="5" fillId="0" borderId="12" xfId="0" applyFont="1" applyBorder="1" applyAlignment="1">
      <alignment horizontal="left" vertical="top" shrinkToFit="1"/>
    </xf>
    <xf numFmtId="0" fontId="5" fillId="0" borderId="38" xfId="0" applyFont="1" applyBorder="1" applyAlignment="1">
      <alignment horizontal="left" vertical="top" wrapText="1" shrinkToFit="1"/>
    </xf>
    <xf numFmtId="0" fontId="5" fillId="0" borderId="38" xfId="0" applyFont="1" applyBorder="1" applyAlignment="1">
      <alignment horizontal="left" vertical="top" shrinkToFit="1"/>
    </xf>
    <xf numFmtId="0" fontId="5" fillId="0" borderId="39" xfId="0" applyFont="1" applyBorder="1" applyAlignment="1">
      <alignment horizontal="left" vertical="top" shrinkToFit="1"/>
    </xf>
    <xf numFmtId="0" fontId="7" fillId="0" borderId="36" xfId="0" applyFont="1" applyBorder="1" applyAlignment="1">
      <alignment horizontal="left" vertical="center" wrapText="1" shrinkToFit="1"/>
    </xf>
    <xf numFmtId="0" fontId="7" fillId="0" borderId="35" xfId="0" applyFont="1" applyBorder="1" applyAlignment="1">
      <alignment horizontal="left" vertical="center" wrapText="1" shrinkToFit="1"/>
    </xf>
    <xf numFmtId="0" fontId="5" fillId="0" borderId="19" xfId="0" applyFont="1" applyBorder="1" applyAlignment="1">
      <alignment vertical="top" wrapText="1" shrinkToFit="1"/>
    </xf>
    <xf numFmtId="0" fontId="5" fillId="0" borderId="20" xfId="0" applyFont="1" applyBorder="1" applyAlignment="1">
      <alignment vertical="top" shrinkToFit="1"/>
    </xf>
    <xf numFmtId="0" fontId="5" fillId="0" borderId="18" xfId="0" applyFont="1" applyBorder="1" applyAlignment="1">
      <alignment vertical="top"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36" xfId="0" applyFont="1" applyBorder="1" applyAlignment="1">
      <alignment vertical="center" wrapText="1" shrinkToFit="1"/>
    </xf>
    <xf numFmtId="0" fontId="7" fillId="0" borderId="36" xfId="0" applyFont="1" applyBorder="1" applyAlignment="1">
      <alignment vertical="center" shrinkToFit="1"/>
    </xf>
    <xf numFmtId="0" fontId="7" fillId="0" borderId="35" xfId="0" applyFont="1" applyBorder="1" applyAlignment="1">
      <alignment vertical="center" shrinkToFit="1"/>
    </xf>
    <xf numFmtId="0" fontId="5" fillId="0" borderId="6" xfId="0" applyFont="1" applyBorder="1" applyAlignment="1">
      <alignment vertical="top" wrapText="1"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5" fillId="0" borderId="8" xfId="0" applyFont="1" applyBorder="1" applyAlignment="1">
      <alignment horizontal="left" vertical="top" wrapText="1" shrinkToFit="1"/>
    </xf>
    <xf numFmtId="0" fontId="5" fillId="0" borderId="8" xfId="0" applyFont="1" applyBorder="1" applyAlignment="1">
      <alignment horizontal="left" vertical="top" shrinkToFit="1"/>
    </xf>
    <xf numFmtId="0" fontId="5" fillId="0" borderId="9" xfId="0" applyFont="1" applyBorder="1" applyAlignment="1">
      <alignment horizontal="left" vertical="top"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pplyAlignment="1">
      <alignment vertical="center"/>
    </xf>
    <xf numFmtId="0" fontId="5" fillId="0" borderId="18" xfId="0" applyFont="1" applyBorder="1" applyAlignment="1">
      <alignmen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52" zoomScale="115" zoomScaleNormal="100" zoomScaleSheetLayoutView="115" workbookViewId="0">
      <selection activeCell="J72" sqref="J72:N7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3" t="s">
        <v>0</v>
      </c>
      <c r="S1" s="103"/>
      <c r="T1" s="2" t="s">
        <v>1</v>
      </c>
    </row>
    <row r="2" spans="1:22" ht="18.75" customHeight="1" x14ac:dyDescent="0.15">
      <c r="B2" s="33" t="s">
        <v>2</v>
      </c>
      <c r="C2" s="96" t="s">
        <v>3</v>
      </c>
      <c r="D2" s="97"/>
      <c r="E2" s="97"/>
      <c r="F2" s="97"/>
      <c r="G2" s="97"/>
      <c r="H2" s="97"/>
      <c r="I2" s="98"/>
      <c r="J2" s="34"/>
      <c r="K2" s="5"/>
      <c r="L2" s="5"/>
      <c r="M2" s="5"/>
      <c r="N2" s="5"/>
      <c r="O2" s="5"/>
      <c r="P2" s="5"/>
      <c r="Q2" s="5"/>
      <c r="R2" s="5"/>
      <c r="S2" s="5"/>
    </row>
    <row r="3" spans="1:22" ht="18.75" customHeight="1" x14ac:dyDescent="0.15">
      <c r="B3" s="33" t="s">
        <v>4</v>
      </c>
      <c r="C3" s="107" t="s">
        <v>5</v>
      </c>
      <c r="D3" s="108"/>
      <c r="E3" s="108"/>
      <c r="F3" s="108"/>
      <c r="G3" s="108"/>
      <c r="H3" s="108"/>
      <c r="I3" s="109"/>
      <c r="J3" s="34"/>
      <c r="K3" s="5"/>
      <c r="L3" s="5"/>
      <c r="M3" s="5"/>
      <c r="N3" s="5"/>
      <c r="O3" s="5"/>
      <c r="P3" s="5"/>
      <c r="Q3" s="5"/>
      <c r="R3" s="5"/>
      <c r="S3" s="5"/>
    </row>
    <row r="4" spans="1:22" ht="15" customHeight="1" x14ac:dyDescent="0.15">
      <c r="K4" s="34"/>
      <c r="L4" s="35"/>
      <c r="M4" s="35"/>
      <c r="N4" s="35"/>
      <c r="O4" s="35"/>
      <c r="P4" s="35"/>
      <c r="Q4" s="35"/>
      <c r="R4" s="35"/>
      <c r="S4" s="35"/>
    </row>
    <row r="5" spans="1:22" ht="18" customHeight="1" x14ac:dyDescent="0.15">
      <c r="A5" s="110" t="s">
        <v>6</v>
      </c>
      <c r="B5" s="110"/>
      <c r="C5" s="110"/>
      <c r="D5" s="110"/>
      <c r="E5" s="110"/>
      <c r="F5" s="110"/>
      <c r="G5" s="110"/>
      <c r="H5" s="110"/>
      <c r="I5" s="110"/>
      <c r="J5" s="110"/>
      <c r="K5" s="110"/>
      <c r="L5" s="110"/>
      <c r="M5" s="110"/>
      <c r="N5" s="110"/>
      <c r="O5" s="110"/>
      <c r="P5" s="110"/>
      <c r="Q5" s="110"/>
      <c r="R5" s="110"/>
      <c r="S5" s="11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20" t="s">
        <v>9</v>
      </c>
      <c r="L7" s="121"/>
      <c r="M7" s="121"/>
      <c r="N7" s="121"/>
      <c r="O7" s="121"/>
      <c r="P7" s="121"/>
      <c r="Q7" s="121"/>
      <c r="R7" s="121"/>
      <c r="S7" s="122"/>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84" t="s">
        <v>10</v>
      </c>
      <c r="C9" s="85"/>
      <c r="D9" s="85"/>
      <c r="E9" s="85"/>
      <c r="F9" s="85"/>
      <c r="G9" s="85"/>
      <c r="H9" s="85"/>
      <c r="I9" s="85"/>
      <c r="J9" s="85"/>
      <c r="K9" s="85"/>
      <c r="L9" s="85"/>
      <c r="M9" s="85"/>
      <c r="N9" s="85"/>
      <c r="O9" s="85"/>
      <c r="P9" s="85"/>
      <c r="Q9" s="85"/>
      <c r="R9" s="85"/>
      <c r="S9" s="86"/>
    </row>
    <row r="10" spans="1:22" ht="18" customHeight="1" x14ac:dyDescent="0.15">
      <c r="B10" s="87"/>
      <c r="C10" s="88"/>
      <c r="D10" s="88"/>
      <c r="E10" s="88"/>
      <c r="F10" s="88"/>
      <c r="G10" s="88"/>
      <c r="H10" s="88"/>
      <c r="I10" s="88"/>
      <c r="J10" s="88"/>
      <c r="K10" s="88"/>
      <c r="L10" s="88"/>
      <c r="M10" s="88"/>
      <c r="N10" s="88"/>
      <c r="O10" s="88"/>
      <c r="P10" s="88"/>
      <c r="Q10" s="88"/>
      <c r="R10" s="88"/>
      <c r="S10" s="8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v>
      </c>
      <c r="B12" s="3"/>
      <c r="C12" s="3"/>
      <c r="D12" s="34"/>
      <c r="E12" s="34"/>
      <c r="F12" s="34"/>
      <c r="G12" s="34"/>
      <c r="H12" s="34"/>
      <c r="I12" s="34"/>
      <c r="J12" s="34"/>
      <c r="K12" s="37"/>
      <c r="L12" s="37"/>
      <c r="M12" s="37"/>
      <c r="N12" s="37"/>
      <c r="O12" s="37"/>
      <c r="P12" s="37"/>
      <c r="Q12" s="37"/>
      <c r="R12" s="37"/>
      <c r="S12" s="37"/>
    </row>
    <row r="13" spans="1:22" ht="18" customHeight="1" x14ac:dyDescent="0.15">
      <c r="B13" s="111" t="s">
        <v>12</v>
      </c>
      <c r="C13" s="112"/>
      <c r="D13" s="112"/>
      <c r="E13" s="112"/>
      <c r="F13" s="112"/>
      <c r="G13" s="112"/>
      <c r="H13" s="112"/>
      <c r="I13" s="112"/>
      <c r="J13" s="112"/>
      <c r="K13" s="112"/>
      <c r="L13" s="112"/>
      <c r="M13" s="112"/>
      <c r="N13" s="112"/>
      <c r="O13" s="112"/>
      <c r="P13" s="112"/>
      <c r="Q13" s="112"/>
      <c r="R13" s="112"/>
      <c r="S13" s="113"/>
      <c r="V13" s="1" t="s">
        <v>13</v>
      </c>
    </row>
    <row r="14" spans="1:22" ht="18" customHeight="1" x14ac:dyDescent="0.15">
      <c r="B14" s="114"/>
      <c r="C14" s="115"/>
      <c r="D14" s="115"/>
      <c r="E14" s="115"/>
      <c r="F14" s="115"/>
      <c r="G14" s="115"/>
      <c r="H14" s="115"/>
      <c r="I14" s="115"/>
      <c r="J14" s="115"/>
      <c r="K14" s="115"/>
      <c r="L14" s="115"/>
      <c r="M14" s="115"/>
      <c r="N14" s="115"/>
      <c r="O14" s="115"/>
      <c r="P14" s="115"/>
      <c r="Q14" s="115"/>
      <c r="R14" s="115"/>
      <c r="S14" s="116"/>
      <c r="V14" s="1" t="s">
        <v>14</v>
      </c>
    </row>
    <row r="15" spans="1:22" ht="18" customHeight="1" x14ac:dyDescent="0.15">
      <c r="B15" s="114"/>
      <c r="C15" s="115"/>
      <c r="D15" s="115"/>
      <c r="E15" s="115"/>
      <c r="F15" s="115"/>
      <c r="G15" s="115"/>
      <c r="H15" s="115"/>
      <c r="I15" s="115"/>
      <c r="J15" s="115"/>
      <c r="K15" s="115"/>
      <c r="L15" s="115"/>
      <c r="M15" s="115"/>
      <c r="N15" s="115"/>
      <c r="O15" s="115"/>
      <c r="P15" s="115"/>
      <c r="Q15" s="115"/>
      <c r="R15" s="115"/>
      <c r="S15" s="116"/>
      <c r="V15" s="1" t="s">
        <v>15</v>
      </c>
    </row>
    <row r="16" spans="1:22" ht="18" customHeight="1" x14ac:dyDescent="0.15">
      <c r="B16" s="114"/>
      <c r="C16" s="115"/>
      <c r="D16" s="115"/>
      <c r="E16" s="115"/>
      <c r="F16" s="115"/>
      <c r="G16" s="115"/>
      <c r="H16" s="115"/>
      <c r="I16" s="115"/>
      <c r="J16" s="115"/>
      <c r="K16" s="115"/>
      <c r="L16" s="115"/>
      <c r="M16" s="115"/>
      <c r="N16" s="115"/>
      <c r="O16" s="115"/>
      <c r="P16" s="115"/>
      <c r="Q16" s="115"/>
      <c r="R16" s="115"/>
      <c r="S16" s="116"/>
      <c r="V16" s="1" t="s">
        <v>16</v>
      </c>
    </row>
    <row r="17" spans="1:19" ht="18" customHeight="1" x14ac:dyDescent="0.15">
      <c r="B17" s="114"/>
      <c r="C17" s="115"/>
      <c r="D17" s="115"/>
      <c r="E17" s="115"/>
      <c r="F17" s="115"/>
      <c r="G17" s="115"/>
      <c r="H17" s="115"/>
      <c r="I17" s="115"/>
      <c r="J17" s="115"/>
      <c r="K17" s="115"/>
      <c r="L17" s="115"/>
      <c r="M17" s="115"/>
      <c r="N17" s="115"/>
      <c r="O17" s="115"/>
      <c r="P17" s="115"/>
      <c r="Q17" s="115"/>
      <c r="R17" s="115"/>
      <c r="S17" s="116"/>
    </row>
    <row r="18" spans="1:19" ht="18" customHeight="1" x14ac:dyDescent="0.15">
      <c r="B18" s="117"/>
      <c r="C18" s="118"/>
      <c r="D18" s="118"/>
      <c r="E18" s="118"/>
      <c r="F18" s="118"/>
      <c r="G18" s="118"/>
      <c r="H18" s="118"/>
      <c r="I18" s="118"/>
      <c r="J18" s="118"/>
      <c r="K18" s="118"/>
      <c r="L18" s="118"/>
      <c r="M18" s="118"/>
      <c r="N18" s="118"/>
      <c r="O18" s="118"/>
      <c r="P18" s="118"/>
      <c r="Q18" s="118"/>
      <c r="R18" s="118"/>
      <c r="S18" s="11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17</v>
      </c>
      <c r="C20" s="96">
        <v>4</v>
      </c>
      <c r="D20" s="98"/>
      <c r="E20" s="38" t="s">
        <v>18</v>
      </c>
      <c r="G20" s="9"/>
      <c r="H20" s="3"/>
      <c r="I20" s="3"/>
      <c r="J20" s="34" t="s">
        <v>19</v>
      </c>
      <c r="K20" s="104" t="s">
        <v>14</v>
      </c>
      <c r="L20" s="105"/>
      <c r="M20" s="105"/>
      <c r="N20" s="105"/>
      <c r="O20" s="105"/>
      <c r="P20" s="105"/>
      <c r="Q20" s="105"/>
      <c r="R20" s="105"/>
      <c r="S20" s="10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9" t="s">
        <v>20</v>
      </c>
      <c r="B22" s="99"/>
      <c r="C22" s="99"/>
      <c r="D22" s="99"/>
      <c r="E22" s="99"/>
      <c r="F22" s="99"/>
      <c r="G22" s="99"/>
      <c r="H22" s="99"/>
      <c r="I22" s="99"/>
      <c r="J22" s="99"/>
      <c r="K22" s="99"/>
      <c r="L22" s="99"/>
      <c r="M22" s="99"/>
      <c r="N22" s="99"/>
      <c r="O22" s="99"/>
      <c r="P22" s="99"/>
      <c r="Q22" s="99"/>
      <c r="R22" s="99"/>
      <c r="S22" s="99"/>
    </row>
    <row r="23" spans="1:19" ht="18" customHeight="1" x14ac:dyDescent="0.15">
      <c r="A23" s="99"/>
      <c r="B23" s="99"/>
      <c r="C23" s="99"/>
      <c r="D23" s="99"/>
      <c r="E23" s="99"/>
      <c r="F23" s="99"/>
      <c r="G23" s="99"/>
      <c r="H23" s="99"/>
      <c r="I23" s="99"/>
      <c r="J23" s="99"/>
      <c r="K23" s="99"/>
      <c r="L23" s="99"/>
      <c r="M23" s="99"/>
      <c r="N23" s="99"/>
      <c r="O23" s="99"/>
      <c r="P23" s="99"/>
      <c r="Q23" s="99"/>
      <c r="R23" s="99"/>
      <c r="S23" s="99"/>
    </row>
    <row r="24" spans="1:19" ht="18" customHeight="1" x14ac:dyDescent="0.15">
      <c r="B24" s="96" t="s">
        <v>21</v>
      </c>
      <c r="C24" s="97"/>
      <c r="D24" s="97"/>
      <c r="E24" s="98"/>
      <c r="F24" s="59" t="s">
        <v>22</v>
      </c>
      <c r="G24" s="58" t="s">
        <v>23</v>
      </c>
      <c r="H24" s="21" t="s">
        <v>24</v>
      </c>
      <c r="I24" s="21" t="s">
        <v>25</v>
      </c>
      <c r="J24" s="96" t="s">
        <v>21</v>
      </c>
      <c r="K24" s="97"/>
      <c r="L24" s="97"/>
      <c r="M24" s="97"/>
      <c r="N24" s="97"/>
      <c r="O24" s="98"/>
      <c r="P24" s="59" t="s">
        <v>22</v>
      </c>
      <c r="Q24" s="58" t="s">
        <v>23</v>
      </c>
      <c r="R24" s="21" t="s">
        <v>24</v>
      </c>
      <c r="S24" s="21" t="s">
        <v>25</v>
      </c>
    </row>
    <row r="25" spans="1:19" ht="18" customHeight="1" x14ac:dyDescent="0.15">
      <c r="B25" s="100" t="s">
        <v>26</v>
      </c>
      <c r="C25" s="101"/>
      <c r="D25" s="101"/>
      <c r="E25" s="102"/>
      <c r="F25" s="22">
        <v>2</v>
      </c>
      <c r="G25" s="22" t="s">
        <v>27</v>
      </c>
      <c r="H25" s="22" t="s">
        <v>27</v>
      </c>
      <c r="I25" s="22" t="s">
        <v>27</v>
      </c>
      <c r="J25" s="100"/>
      <c r="K25" s="101"/>
      <c r="L25" s="101"/>
      <c r="M25" s="101"/>
      <c r="N25" s="101"/>
      <c r="O25" s="102"/>
      <c r="P25" s="22"/>
      <c r="Q25" s="22"/>
      <c r="R25" s="22"/>
      <c r="S25" s="22"/>
    </row>
    <row r="26" spans="1:19" ht="18" customHeight="1" x14ac:dyDescent="0.15">
      <c r="B26" s="90"/>
      <c r="C26" s="91"/>
      <c r="D26" s="91"/>
      <c r="E26" s="92"/>
      <c r="F26" s="23"/>
      <c r="G26" s="23"/>
      <c r="H26" s="23"/>
      <c r="I26" s="23"/>
      <c r="J26" s="90"/>
      <c r="K26" s="91"/>
      <c r="L26" s="91"/>
      <c r="M26" s="91"/>
      <c r="N26" s="91"/>
      <c r="O26" s="92"/>
      <c r="P26" s="23"/>
      <c r="Q26" s="23"/>
      <c r="R26" s="23"/>
      <c r="S26" s="23"/>
    </row>
    <row r="27" spans="1:19" ht="18" customHeight="1" x14ac:dyDescent="0.15">
      <c r="B27" s="90"/>
      <c r="C27" s="91"/>
      <c r="D27" s="91"/>
      <c r="E27" s="92"/>
      <c r="F27" s="23"/>
      <c r="G27" s="23"/>
      <c r="H27" s="23"/>
      <c r="I27" s="23"/>
      <c r="J27" s="90"/>
      <c r="K27" s="91"/>
      <c r="L27" s="91"/>
      <c r="M27" s="91"/>
      <c r="N27" s="91"/>
      <c r="O27" s="92"/>
      <c r="P27" s="23"/>
      <c r="Q27" s="23"/>
      <c r="R27" s="23"/>
      <c r="S27" s="23"/>
    </row>
    <row r="28" spans="1:19" ht="18" customHeight="1" x14ac:dyDescent="0.15">
      <c r="B28" s="90"/>
      <c r="C28" s="91"/>
      <c r="D28" s="91"/>
      <c r="E28" s="92"/>
      <c r="F28" s="23"/>
      <c r="G28" s="23"/>
      <c r="H28" s="23"/>
      <c r="I28" s="23"/>
      <c r="J28" s="90"/>
      <c r="K28" s="91"/>
      <c r="L28" s="91"/>
      <c r="M28" s="91"/>
      <c r="N28" s="91"/>
      <c r="O28" s="92"/>
      <c r="P28" s="23"/>
      <c r="Q28" s="23"/>
      <c r="R28" s="23"/>
      <c r="S28" s="23"/>
    </row>
    <row r="29" spans="1:19" ht="18" customHeight="1" x14ac:dyDescent="0.15">
      <c r="B29" s="90"/>
      <c r="C29" s="91"/>
      <c r="D29" s="91"/>
      <c r="E29" s="92"/>
      <c r="F29" s="23"/>
      <c r="G29" s="23"/>
      <c r="H29" s="23"/>
      <c r="I29" s="23"/>
      <c r="J29" s="90"/>
      <c r="K29" s="91"/>
      <c r="L29" s="91"/>
      <c r="M29" s="91"/>
      <c r="N29" s="91"/>
      <c r="O29" s="92"/>
      <c r="P29" s="23"/>
      <c r="Q29" s="23"/>
      <c r="R29" s="23"/>
      <c r="S29" s="23"/>
    </row>
    <row r="30" spans="1:19" ht="18" customHeight="1" x14ac:dyDescent="0.15">
      <c r="A30" s="3"/>
      <c r="B30" s="90"/>
      <c r="C30" s="91"/>
      <c r="D30" s="91"/>
      <c r="E30" s="92"/>
      <c r="F30" s="23"/>
      <c r="G30" s="23"/>
      <c r="H30" s="23"/>
      <c r="I30" s="23"/>
      <c r="J30" s="90"/>
      <c r="K30" s="91"/>
      <c r="L30" s="91"/>
      <c r="M30" s="91"/>
      <c r="N30" s="91"/>
      <c r="O30" s="92"/>
      <c r="P30" s="23"/>
      <c r="Q30" s="23"/>
      <c r="R30" s="23"/>
      <c r="S30" s="23"/>
    </row>
    <row r="31" spans="1:19" ht="18" customHeight="1" x14ac:dyDescent="0.15">
      <c r="A31" s="3"/>
      <c r="B31" s="93"/>
      <c r="C31" s="94"/>
      <c r="D31" s="94"/>
      <c r="E31" s="95"/>
      <c r="F31" s="24"/>
      <c r="G31" s="24"/>
      <c r="H31" s="25"/>
      <c r="I31" s="25"/>
      <c r="J31" s="93"/>
      <c r="K31" s="94"/>
      <c r="L31" s="94"/>
      <c r="M31" s="94"/>
      <c r="N31" s="94"/>
      <c r="O31" s="95"/>
      <c r="P31" s="24"/>
      <c r="Q31" s="24"/>
      <c r="R31" s="25"/>
      <c r="S31" s="25"/>
    </row>
    <row r="32" spans="1:19" ht="7.5" customHeight="1" x14ac:dyDescent="0.15">
      <c r="A32" s="3"/>
      <c r="B32" s="5"/>
      <c r="C32" s="5"/>
      <c r="D32" s="3"/>
      <c r="E32" s="3"/>
      <c r="F32" s="3"/>
      <c r="G32" s="3"/>
      <c r="H32" s="5"/>
      <c r="I32" s="5"/>
      <c r="J32" s="5"/>
      <c r="K32" s="5"/>
      <c r="L32" s="5"/>
      <c r="M32" s="5"/>
      <c r="N32" s="5"/>
      <c r="O32" s="5"/>
      <c r="P32" s="5"/>
      <c r="Q32" s="5"/>
      <c r="R32" s="5"/>
      <c r="S32" s="3"/>
    </row>
    <row r="33" spans="1:19" ht="18" customHeight="1" x14ac:dyDescent="0.15">
      <c r="A33" s="99" t="s">
        <v>28</v>
      </c>
      <c r="B33" s="99"/>
      <c r="C33" s="99"/>
      <c r="D33" s="99"/>
      <c r="E33" s="99"/>
      <c r="F33" s="99"/>
      <c r="G33" s="99"/>
      <c r="H33" s="99"/>
      <c r="I33" s="99"/>
      <c r="J33" s="99"/>
      <c r="K33" s="99"/>
      <c r="L33" s="99"/>
      <c r="M33" s="99"/>
      <c r="N33" s="99"/>
      <c r="O33" s="99"/>
      <c r="P33" s="99"/>
      <c r="Q33" s="99"/>
      <c r="R33" s="99"/>
      <c r="S33" s="99"/>
    </row>
    <row r="34" spans="1:19" ht="18" customHeight="1" x14ac:dyDescent="0.15">
      <c r="A34" s="99"/>
      <c r="B34" s="99"/>
      <c r="C34" s="99"/>
      <c r="D34" s="99"/>
      <c r="E34" s="99"/>
      <c r="F34" s="99"/>
      <c r="G34" s="99"/>
      <c r="H34" s="99"/>
      <c r="I34" s="99"/>
      <c r="J34" s="99"/>
      <c r="K34" s="99"/>
      <c r="L34" s="99"/>
      <c r="M34" s="99"/>
      <c r="N34" s="99"/>
      <c r="O34" s="99"/>
      <c r="P34" s="99"/>
      <c r="Q34" s="99"/>
      <c r="R34" s="99"/>
      <c r="S34" s="99"/>
    </row>
    <row r="35" spans="1:19" ht="18" customHeight="1" x14ac:dyDescent="0.15">
      <c r="B35" s="96" t="s">
        <v>21</v>
      </c>
      <c r="C35" s="97"/>
      <c r="D35" s="97"/>
      <c r="E35" s="98"/>
      <c r="F35" s="59" t="s">
        <v>22</v>
      </c>
      <c r="G35" s="58" t="s">
        <v>23</v>
      </c>
      <c r="H35" s="21" t="s">
        <v>29</v>
      </c>
      <c r="I35" s="21" t="s">
        <v>30</v>
      </c>
      <c r="J35" s="96" t="s">
        <v>21</v>
      </c>
      <c r="K35" s="97"/>
      <c r="L35" s="97"/>
      <c r="M35" s="97"/>
      <c r="N35" s="97"/>
      <c r="O35" s="98"/>
      <c r="P35" s="59" t="s">
        <v>22</v>
      </c>
      <c r="Q35" s="58" t="s">
        <v>23</v>
      </c>
      <c r="R35" s="21" t="s">
        <v>29</v>
      </c>
      <c r="S35" s="21" t="s">
        <v>30</v>
      </c>
    </row>
    <row r="36" spans="1:19" ht="18" customHeight="1" x14ac:dyDescent="0.15">
      <c r="B36" s="100" t="s">
        <v>26</v>
      </c>
      <c r="C36" s="101"/>
      <c r="D36" s="101"/>
      <c r="E36" s="102"/>
      <c r="F36" s="22">
        <v>2</v>
      </c>
      <c r="G36" s="22" t="s">
        <v>27</v>
      </c>
      <c r="H36" s="22" t="s">
        <v>27</v>
      </c>
      <c r="I36" s="22" t="s">
        <v>27</v>
      </c>
      <c r="J36" s="100"/>
      <c r="K36" s="101"/>
      <c r="L36" s="101"/>
      <c r="M36" s="101"/>
      <c r="N36" s="101"/>
      <c r="O36" s="102"/>
      <c r="P36" s="22"/>
      <c r="Q36" s="22"/>
      <c r="R36" s="22"/>
      <c r="S36" s="22"/>
    </row>
    <row r="37" spans="1:19" ht="18" customHeight="1" x14ac:dyDescent="0.15">
      <c r="B37" s="90"/>
      <c r="C37" s="91"/>
      <c r="D37" s="91"/>
      <c r="E37" s="92"/>
      <c r="F37" s="23"/>
      <c r="G37" s="23"/>
      <c r="H37" s="23"/>
      <c r="I37" s="23"/>
      <c r="J37" s="90"/>
      <c r="K37" s="91"/>
      <c r="L37" s="91"/>
      <c r="M37" s="91"/>
      <c r="N37" s="91"/>
      <c r="O37" s="92"/>
      <c r="P37" s="23"/>
      <c r="Q37" s="23"/>
      <c r="R37" s="23"/>
      <c r="S37" s="23"/>
    </row>
    <row r="38" spans="1:19" ht="18" customHeight="1" x14ac:dyDescent="0.15">
      <c r="B38" s="90"/>
      <c r="C38" s="91"/>
      <c r="D38" s="91"/>
      <c r="E38" s="92"/>
      <c r="F38" s="23"/>
      <c r="G38" s="23"/>
      <c r="H38" s="23"/>
      <c r="I38" s="23"/>
      <c r="J38" s="90"/>
      <c r="K38" s="91"/>
      <c r="L38" s="91"/>
      <c r="M38" s="91"/>
      <c r="N38" s="91"/>
      <c r="O38" s="92"/>
      <c r="P38" s="23"/>
      <c r="Q38" s="23"/>
      <c r="R38" s="23"/>
      <c r="S38" s="23"/>
    </row>
    <row r="39" spans="1:19" ht="18" customHeight="1" x14ac:dyDescent="0.15">
      <c r="B39" s="90"/>
      <c r="C39" s="91"/>
      <c r="D39" s="91"/>
      <c r="E39" s="92"/>
      <c r="F39" s="23"/>
      <c r="G39" s="23"/>
      <c r="H39" s="23"/>
      <c r="I39" s="23"/>
      <c r="J39" s="90"/>
      <c r="K39" s="91"/>
      <c r="L39" s="91"/>
      <c r="M39" s="91"/>
      <c r="N39" s="91"/>
      <c r="O39" s="92"/>
      <c r="P39" s="23"/>
      <c r="Q39" s="23"/>
      <c r="R39" s="23"/>
      <c r="S39" s="23"/>
    </row>
    <row r="40" spans="1:19" ht="18" customHeight="1" x14ac:dyDescent="0.15">
      <c r="B40" s="90"/>
      <c r="C40" s="91"/>
      <c r="D40" s="91"/>
      <c r="E40" s="92"/>
      <c r="F40" s="23"/>
      <c r="G40" s="23"/>
      <c r="H40" s="23"/>
      <c r="I40" s="23"/>
      <c r="J40" s="90"/>
      <c r="K40" s="91"/>
      <c r="L40" s="91"/>
      <c r="M40" s="91"/>
      <c r="N40" s="91"/>
      <c r="O40" s="92"/>
      <c r="P40" s="23"/>
      <c r="Q40" s="23"/>
      <c r="R40" s="23"/>
      <c r="S40" s="23"/>
    </row>
    <row r="41" spans="1:19" ht="18" customHeight="1" x14ac:dyDescent="0.15">
      <c r="B41" s="90"/>
      <c r="C41" s="91"/>
      <c r="D41" s="91"/>
      <c r="E41" s="92"/>
      <c r="F41" s="23"/>
      <c r="G41" s="23"/>
      <c r="H41" s="23"/>
      <c r="I41" s="23"/>
      <c r="J41" s="90"/>
      <c r="K41" s="91"/>
      <c r="L41" s="91"/>
      <c r="M41" s="91"/>
      <c r="N41" s="91"/>
      <c r="O41" s="92"/>
      <c r="P41" s="23"/>
      <c r="Q41" s="23"/>
      <c r="R41" s="23"/>
      <c r="S41" s="23"/>
    </row>
    <row r="42" spans="1:19" ht="18" customHeight="1" x14ac:dyDescent="0.15">
      <c r="B42" s="93"/>
      <c r="C42" s="94"/>
      <c r="D42" s="94"/>
      <c r="E42" s="95"/>
      <c r="F42" s="24"/>
      <c r="G42" s="24"/>
      <c r="H42" s="25"/>
      <c r="I42" s="25"/>
      <c r="J42" s="93"/>
      <c r="K42" s="94"/>
      <c r="L42" s="94"/>
      <c r="M42" s="94"/>
      <c r="N42" s="94"/>
      <c r="O42" s="95"/>
      <c r="P42" s="24"/>
      <c r="Q42" s="24"/>
      <c r="R42" s="25"/>
      <c r="S42" s="25"/>
    </row>
    <row r="43" spans="1:19" ht="7.5" customHeight="1" x14ac:dyDescent="0.15">
      <c r="A43" s="3"/>
      <c r="B43" s="5"/>
      <c r="C43" s="5"/>
      <c r="D43" s="3"/>
      <c r="E43" s="3"/>
      <c r="F43" s="3"/>
      <c r="G43" s="3"/>
      <c r="H43" s="5"/>
      <c r="I43" s="5"/>
      <c r="J43" s="5"/>
      <c r="K43" s="5"/>
      <c r="L43" s="5"/>
      <c r="M43" s="5"/>
      <c r="N43" s="5"/>
      <c r="O43" s="5"/>
      <c r="P43" s="5"/>
      <c r="Q43" s="5"/>
      <c r="R43" s="5"/>
      <c r="S43" s="3"/>
    </row>
    <row r="44" spans="1:19" ht="18" customHeight="1" x14ac:dyDescent="0.15">
      <c r="A44" s="99" t="s">
        <v>31</v>
      </c>
      <c r="B44" s="99"/>
      <c r="C44" s="99"/>
      <c r="D44" s="99"/>
      <c r="E44" s="99"/>
      <c r="F44" s="99"/>
      <c r="G44" s="99"/>
      <c r="H44" s="99"/>
      <c r="I44" s="99"/>
      <c r="J44" s="99"/>
      <c r="K44" s="99"/>
      <c r="L44" s="99"/>
      <c r="M44" s="99"/>
      <c r="N44" s="99"/>
      <c r="O44" s="99"/>
      <c r="P44" s="99"/>
      <c r="Q44" s="99"/>
      <c r="R44" s="99"/>
      <c r="S44" s="99"/>
    </row>
    <row r="45" spans="1:19" ht="18" customHeight="1" x14ac:dyDescent="0.15">
      <c r="A45" s="99"/>
      <c r="B45" s="99"/>
      <c r="C45" s="99"/>
      <c r="D45" s="99"/>
      <c r="E45" s="99"/>
      <c r="F45" s="99"/>
      <c r="G45" s="99"/>
      <c r="H45" s="99"/>
      <c r="I45" s="99"/>
      <c r="J45" s="99"/>
      <c r="K45" s="99"/>
      <c r="L45" s="99"/>
      <c r="M45" s="99"/>
      <c r="N45" s="99"/>
      <c r="O45" s="99"/>
      <c r="P45" s="99"/>
      <c r="Q45" s="99"/>
      <c r="R45" s="99"/>
      <c r="S45" s="99"/>
    </row>
    <row r="46" spans="1:19" ht="18" customHeight="1" x14ac:dyDescent="0.15">
      <c r="B46" s="96" t="s">
        <v>21</v>
      </c>
      <c r="C46" s="97"/>
      <c r="D46" s="97"/>
      <c r="E46" s="98"/>
      <c r="F46" s="59" t="s">
        <v>22</v>
      </c>
      <c r="G46" s="58" t="s">
        <v>23</v>
      </c>
      <c r="H46" s="21" t="s">
        <v>32</v>
      </c>
      <c r="I46" s="21" t="s">
        <v>33</v>
      </c>
      <c r="J46" s="96" t="s">
        <v>21</v>
      </c>
      <c r="K46" s="97"/>
      <c r="L46" s="97"/>
      <c r="M46" s="97"/>
      <c r="N46" s="97"/>
      <c r="O46" s="98"/>
      <c r="P46" s="59" t="s">
        <v>22</v>
      </c>
      <c r="Q46" s="58" t="s">
        <v>23</v>
      </c>
      <c r="R46" s="21" t="s">
        <v>32</v>
      </c>
      <c r="S46" s="21" t="s">
        <v>33</v>
      </c>
    </row>
    <row r="47" spans="1:19" ht="18" customHeight="1" x14ac:dyDescent="0.15">
      <c r="A47" s="3"/>
      <c r="B47" s="100" t="s">
        <v>26</v>
      </c>
      <c r="C47" s="101"/>
      <c r="D47" s="101"/>
      <c r="E47" s="102"/>
      <c r="F47" s="22">
        <v>2</v>
      </c>
      <c r="G47" s="22" t="s">
        <v>27</v>
      </c>
      <c r="H47" s="22" t="s">
        <v>27</v>
      </c>
      <c r="I47" s="22" t="s">
        <v>27</v>
      </c>
      <c r="J47" s="100"/>
      <c r="K47" s="101"/>
      <c r="L47" s="101"/>
      <c r="M47" s="101"/>
      <c r="N47" s="101"/>
      <c r="O47" s="102"/>
      <c r="P47" s="22"/>
      <c r="Q47" s="22"/>
      <c r="R47" s="22"/>
      <c r="S47" s="22"/>
    </row>
    <row r="48" spans="1:19" ht="18" customHeight="1" x14ac:dyDescent="0.15">
      <c r="A48" s="3"/>
      <c r="B48" s="90"/>
      <c r="C48" s="91"/>
      <c r="D48" s="91"/>
      <c r="E48" s="92"/>
      <c r="F48" s="23"/>
      <c r="G48" s="23"/>
      <c r="H48" s="23"/>
      <c r="I48" s="23"/>
      <c r="J48" s="90"/>
      <c r="K48" s="91"/>
      <c r="L48" s="91"/>
      <c r="M48" s="91"/>
      <c r="N48" s="91"/>
      <c r="O48" s="92"/>
      <c r="P48" s="23"/>
      <c r="Q48" s="23"/>
      <c r="R48" s="23"/>
      <c r="S48" s="23"/>
    </row>
    <row r="49" spans="1:19" ht="18" customHeight="1" x14ac:dyDescent="0.15">
      <c r="A49" s="3"/>
      <c r="B49" s="90"/>
      <c r="C49" s="91"/>
      <c r="D49" s="91"/>
      <c r="E49" s="92"/>
      <c r="F49" s="23"/>
      <c r="G49" s="23"/>
      <c r="H49" s="23"/>
      <c r="I49" s="23"/>
      <c r="J49" s="90"/>
      <c r="K49" s="91"/>
      <c r="L49" s="91"/>
      <c r="M49" s="91"/>
      <c r="N49" s="91"/>
      <c r="O49" s="92"/>
      <c r="P49" s="23"/>
      <c r="Q49" s="23"/>
      <c r="R49" s="23"/>
      <c r="S49" s="23"/>
    </row>
    <row r="50" spans="1:19" ht="18" customHeight="1" x14ac:dyDescent="0.15">
      <c r="A50" s="3"/>
      <c r="B50" s="90"/>
      <c r="C50" s="91"/>
      <c r="D50" s="91"/>
      <c r="E50" s="92"/>
      <c r="F50" s="23"/>
      <c r="G50" s="23"/>
      <c r="H50" s="23"/>
      <c r="I50" s="23"/>
      <c r="J50" s="90"/>
      <c r="K50" s="91"/>
      <c r="L50" s="91"/>
      <c r="M50" s="91"/>
      <c r="N50" s="91"/>
      <c r="O50" s="92"/>
      <c r="P50" s="23"/>
      <c r="Q50" s="23"/>
      <c r="R50" s="23"/>
      <c r="S50" s="23"/>
    </row>
    <row r="51" spans="1:19" ht="18" customHeight="1" x14ac:dyDescent="0.15">
      <c r="A51" s="3"/>
      <c r="B51" s="90"/>
      <c r="C51" s="91"/>
      <c r="D51" s="91"/>
      <c r="E51" s="92"/>
      <c r="F51" s="23"/>
      <c r="G51" s="23"/>
      <c r="H51" s="23"/>
      <c r="I51" s="23"/>
      <c r="J51" s="90"/>
      <c r="K51" s="91"/>
      <c r="L51" s="91"/>
      <c r="M51" s="91"/>
      <c r="N51" s="91"/>
      <c r="O51" s="92"/>
      <c r="P51" s="23"/>
      <c r="Q51" s="23"/>
      <c r="R51" s="23"/>
      <c r="S51" s="23"/>
    </row>
    <row r="52" spans="1:19" ht="18" customHeight="1" x14ac:dyDescent="0.15">
      <c r="A52" s="3"/>
      <c r="B52" s="90"/>
      <c r="C52" s="91"/>
      <c r="D52" s="91"/>
      <c r="E52" s="92"/>
      <c r="F52" s="23"/>
      <c r="G52" s="23"/>
      <c r="H52" s="23"/>
      <c r="I52" s="23"/>
      <c r="J52" s="90"/>
      <c r="K52" s="91"/>
      <c r="L52" s="91"/>
      <c r="M52" s="91"/>
      <c r="N52" s="91"/>
      <c r="O52" s="92"/>
      <c r="P52" s="23"/>
      <c r="Q52" s="23"/>
      <c r="R52" s="23"/>
      <c r="S52" s="23"/>
    </row>
    <row r="53" spans="1:19" ht="18" customHeight="1" x14ac:dyDescent="0.15">
      <c r="A53" s="3"/>
      <c r="B53" s="93"/>
      <c r="C53" s="94"/>
      <c r="D53" s="94"/>
      <c r="E53" s="95"/>
      <c r="F53" s="24"/>
      <c r="G53" s="24"/>
      <c r="H53" s="25"/>
      <c r="I53" s="25"/>
      <c r="J53" s="93"/>
      <c r="K53" s="94"/>
      <c r="L53" s="94"/>
      <c r="M53" s="94"/>
      <c r="N53" s="94"/>
      <c r="O53" s="95"/>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9" t="s">
        <v>34</v>
      </c>
      <c r="B55" s="99"/>
      <c r="C55" s="99"/>
      <c r="D55" s="99"/>
      <c r="E55" s="99"/>
      <c r="F55" s="99"/>
      <c r="G55" s="99"/>
      <c r="H55" s="99"/>
      <c r="I55" s="99"/>
      <c r="J55" s="99"/>
      <c r="K55" s="99"/>
      <c r="L55" s="99"/>
      <c r="M55" s="99"/>
      <c r="N55" s="99"/>
      <c r="O55" s="99"/>
      <c r="P55" s="99"/>
      <c r="Q55" s="99"/>
      <c r="R55" s="99"/>
      <c r="S55" s="99"/>
    </row>
    <row r="56" spans="1:19" ht="18" customHeight="1" x14ac:dyDescent="0.15">
      <c r="A56" s="99"/>
      <c r="B56" s="99"/>
      <c r="C56" s="99"/>
      <c r="D56" s="99"/>
      <c r="E56" s="99"/>
      <c r="F56" s="99"/>
      <c r="G56" s="99"/>
      <c r="H56" s="99"/>
      <c r="I56" s="99"/>
      <c r="J56" s="99"/>
      <c r="K56" s="99"/>
      <c r="L56" s="99"/>
      <c r="M56" s="99"/>
      <c r="N56" s="99"/>
      <c r="O56" s="99"/>
      <c r="P56" s="99"/>
      <c r="Q56" s="99"/>
      <c r="R56" s="99"/>
      <c r="S56" s="99"/>
    </row>
    <row r="57" spans="1:19" ht="18" customHeight="1" x14ac:dyDescent="0.15">
      <c r="B57" s="96" t="s">
        <v>21</v>
      </c>
      <c r="C57" s="97"/>
      <c r="D57" s="97"/>
      <c r="E57" s="98"/>
      <c r="F57" s="59" t="s">
        <v>22</v>
      </c>
      <c r="G57" s="58" t="s">
        <v>23</v>
      </c>
      <c r="H57" s="21" t="s">
        <v>35</v>
      </c>
      <c r="I57" s="21" t="s">
        <v>36</v>
      </c>
      <c r="J57" s="96" t="s">
        <v>21</v>
      </c>
      <c r="K57" s="97"/>
      <c r="L57" s="97"/>
      <c r="M57" s="97"/>
      <c r="N57" s="97"/>
      <c r="O57" s="98"/>
      <c r="P57" s="59" t="s">
        <v>22</v>
      </c>
      <c r="Q57" s="58" t="s">
        <v>23</v>
      </c>
      <c r="R57" s="21" t="s">
        <v>35</v>
      </c>
      <c r="S57" s="21" t="s">
        <v>36</v>
      </c>
    </row>
    <row r="58" spans="1:19" ht="18" customHeight="1" x14ac:dyDescent="0.15">
      <c r="A58" s="3"/>
      <c r="B58" s="100" t="s">
        <v>26</v>
      </c>
      <c r="C58" s="101"/>
      <c r="D58" s="101"/>
      <c r="E58" s="102"/>
      <c r="F58" s="22">
        <v>2</v>
      </c>
      <c r="G58" s="22" t="s">
        <v>27</v>
      </c>
      <c r="H58" s="22" t="s">
        <v>27</v>
      </c>
      <c r="I58" s="22" t="s">
        <v>27</v>
      </c>
      <c r="J58" s="100"/>
      <c r="K58" s="101"/>
      <c r="L58" s="101"/>
      <c r="M58" s="101"/>
      <c r="N58" s="101"/>
      <c r="O58" s="102"/>
      <c r="P58" s="22"/>
      <c r="Q58" s="22"/>
      <c r="R58" s="22"/>
      <c r="S58" s="22"/>
    </row>
    <row r="59" spans="1:19" ht="18" customHeight="1" x14ac:dyDescent="0.15">
      <c r="A59" s="3"/>
      <c r="B59" s="90"/>
      <c r="C59" s="91"/>
      <c r="D59" s="91"/>
      <c r="E59" s="92"/>
      <c r="F59" s="23"/>
      <c r="G59" s="23"/>
      <c r="H59" s="23"/>
      <c r="I59" s="23"/>
      <c r="J59" s="90"/>
      <c r="K59" s="91"/>
      <c r="L59" s="91"/>
      <c r="M59" s="91"/>
      <c r="N59" s="91"/>
      <c r="O59" s="92"/>
      <c r="P59" s="23"/>
      <c r="Q59" s="23"/>
      <c r="R59" s="23"/>
      <c r="S59" s="23"/>
    </row>
    <row r="60" spans="1:19" ht="18" customHeight="1" x14ac:dyDescent="0.15">
      <c r="A60" s="3"/>
      <c r="B60" s="90"/>
      <c r="C60" s="91"/>
      <c r="D60" s="91"/>
      <c r="E60" s="92"/>
      <c r="F60" s="23"/>
      <c r="G60" s="23"/>
      <c r="H60" s="23"/>
      <c r="I60" s="23"/>
      <c r="J60" s="90"/>
      <c r="K60" s="91"/>
      <c r="L60" s="91"/>
      <c r="M60" s="91"/>
      <c r="N60" s="91"/>
      <c r="O60" s="92"/>
      <c r="P60" s="23"/>
      <c r="Q60" s="23"/>
      <c r="R60" s="23"/>
      <c r="S60" s="23"/>
    </row>
    <row r="61" spans="1:19" ht="18" customHeight="1" x14ac:dyDescent="0.15">
      <c r="A61" s="3"/>
      <c r="B61" s="90"/>
      <c r="C61" s="91"/>
      <c r="D61" s="91"/>
      <c r="E61" s="92"/>
      <c r="F61" s="23"/>
      <c r="G61" s="23"/>
      <c r="H61" s="23"/>
      <c r="I61" s="23"/>
      <c r="J61" s="90"/>
      <c r="K61" s="91"/>
      <c r="L61" s="91"/>
      <c r="M61" s="91"/>
      <c r="N61" s="91"/>
      <c r="O61" s="92"/>
      <c r="P61" s="23"/>
      <c r="Q61" s="23"/>
      <c r="R61" s="23"/>
      <c r="S61" s="23"/>
    </row>
    <row r="62" spans="1:19" ht="18" customHeight="1" x14ac:dyDescent="0.15">
      <c r="A62" s="3"/>
      <c r="B62" s="90"/>
      <c r="C62" s="91"/>
      <c r="D62" s="91"/>
      <c r="E62" s="92"/>
      <c r="F62" s="23"/>
      <c r="G62" s="23"/>
      <c r="H62" s="23"/>
      <c r="I62" s="23"/>
      <c r="J62" s="90"/>
      <c r="K62" s="91"/>
      <c r="L62" s="91"/>
      <c r="M62" s="91"/>
      <c r="N62" s="91"/>
      <c r="O62" s="92"/>
      <c r="P62" s="23"/>
      <c r="Q62" s="23"/>
      <c r="R62" s="23"/>
      <c r="S62" s="23"/>
    </row>
    <row r="63" spans="1:19" ht="18" customHeight="1" x14ac:dyDescent="0.15">
      <c r="A63" s="3"/>
      <c r="B63" s="90"/>
      <c r="C63" s="91"/>
      <c r="D63" s="91"/>
      <c r="E63" s="92"/>
      <c r="F63" s="23"/>
      <c r="G63" s="23"/>
      <c r="H63" s="23"/>
      <c r="I63" s="23"/>
      <c r="J63" s="90"/>
      <c r="K63" s="91"/>
      <c r="L63" s="91"/>
      <c r="M63" s="91"/>
      <c r="N63" s="91"/>
      <c r="O63" s="92"/>
      <c r="P63" s="23"/>
      <c r="Q63" s="23"/>
      <c r="R63" s="23"/>
      <c r="S63" s="23"/>
    </row>
    <row r="64" spans="1:19" ht="18" customHeight="1" x14ac:dyDescent="0.15">
      <c r="A64" s="3"/>
      <c r="B64" s="93"/>
      <c r="C64" s="94"/>
      <c r="D64" s="94"/>
      <c r="E64" s="95"/>
      <c r="F64" s="24"/>
      <c r="G64" s="24"/>
      <c r="H64" s="25"/>
      <c r="I64" s="25"/>
      <c r="J64" s="93"/>
      <c r="K64" s="94"/>
      <c r="L64" s="94"/>
      <c r="M64" s="94"/>
      <c r="N64" s="94"/>
      <c r="O64" s="95"/>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9" t="s">
        <v>37</v>
      </c>
      <c r="B66" s="99"/>
      <c r="C66" s="99"/>
      <c r="D66" s="99"/>
      <c r="E66" s="99"/>
      <c r="F66" s="99"/>
      <c r="G66" s="99"/>
      <c r="H66" s="99"/>
      <c r="I66" s="99"/>
      <c r="J66" s="99"/>
      <c r="K66" s="99"/>
      <c r="L66" s="99"/>
      <c r="M66" s="99"/>
      <c r="N66" s="99"/>
      <c r="O66" s="99"/>
      <c r="P66" s="99"/>
      <c r="Q66" s="99"/>
      <c r="R66" s="99"/>
      <c r="S66" s="99"/>
    </row>
    <row r="67" spans="1:19" ht="18" customHeight="1" x14ac:dyDescent="0.15">
      <c r="A67" s="99"/>
      <c r="B67" s="99"/>
      <c r="C67" s="99"/>
      <c r="D67" s="99"/>
      <c r="E67" s="99"/>
      <c r="F67" s="99"/>
      <c r="G67" s="99"/>
      <c r="H67" s="99"/>
      <c r="I67" s="99"/>
      <c r="J67" s="99"/>
      <c r="K67" s="99"/>
      <c r="L67" s="99"/>
      <c r="M67" s="99"/>
      <c r="N67" s="99"/>
      <c r="O67" s="99"/>
      <c r="P67" s="99"/>
      <c r="Q67" s="99"/>
      <c r="R67" s="99"/>
      <c r="S67" s="99"/>
    </row>
    <row r="68" spans="1:19" ht="18" customHeight="1" x14ac:dyDescent="0.15">
      <c r="B68" s="96" t="s">
        <v>21</v>
      </c>
      <c r="C68" s="97"/>
      <c r="D68" s="97"/>
      <c r="E68" s="59" t="s">
        <v>22</v>
      </c>
      <c r="F68" s="58" t="s">
        <v>23</v>
      </c>
      <c r="G68" s="21" t="s">
        <v>38</v>
      </c>
      <c r="H68" s="21" t="s">
        <v>39</v>
      </c>
      <c r="I68" s="21" t="s">
        <v>40</v>
      </c>
      <c r="J68" s="96" t="s">
        <v>21</v>
      </c>
      <c r="K68" s="97"/>
      <c r="L68" s="97"/>
      <c r="M68" s="97"/>
      <c r="N68" s="98"/>
      <c r="O68" s="59" t="s">
        <v>22</v>
      </c>
      <c r="P68" s="58" t="s">
        <v>23</v>
      </c>
      <c r="Q68" s="21" t="s">
        <v>38</v>
      </c>
      <c r="R68" s="21" t="s">
        <v>39</v>
      </c>
      <c r="S68" s="21" t="s">
        <v>40</v>
      </c>
    </row>
    <row r="69" spans="1:19" ht="18" customHeight="1" x14ac:dyDescent="0.15">
      <c r="A69" s="3"/>
      <c r="B69" s="100" t="s">
        <v>41</v>
      </c>
      <c r="C69" s="101"/>
      <c r="D69" s="101"/>
      <c r="E69" s="22">
        <v>2</v>
      </c>
      <c r="F69" s="22" t="s">
        <v>27</v>
      </c>
      <c r="G69" s="22" t="s">
        <v>27</v>
      </c>
      <c r="H69" s="22" t="s">
        <v>27</v>
      </c>
      <c r="I69" s="22" t="s">
        <v>27</v>
      </c>
      <c r="J69" s="100"/>
      <c r="K69" s="101"/>
      <c r="L69" s="101"/>
      <c r="M69" s="101"/>
      <c r="N69" s="102"/>
      <c r="O69" s="22"/>
      <c r="P69" s="22"/>
      <c r="Q69" s="22"/>
      <c r="R69" s="22"/>
      <c r="S69" s="22"/>
    </row>
    <row r="70" spans="1:19" ht="18" customHeight="1" x14ac:dyDescent="0.15">
      <c r="A70" s="3"/>
      <c r="B70" s="90" t="s">
        <v>42</v>
      </c>
      <c r="C70" s="91"/>
      <c r="D70" s="91"/>
      <c r="E70" s="23">
        <v>2</v>
      </c>
      <c r="F70" s="23" t="s">
        <v>27</v>
      </c>
      <c r="G70" s="23"/>
      <c r="H70" s="23" t="s">
        <v>27</v>
      </c>
      <c r="I70" s="23" t="s">
        <v>27</v>
      </c>
      <c r="J70" s="90"/>
      <c r="K70" s="91"/>
      <c r="L70" s="91"/>
      <c r="M70" s="91"/>
      <c r="N70" s="92"/>
      <c r="O70" s="23"/>
      <c r="P70" s="23"/>
      <c r="Q70" s="23"/>
      <c r="R70" s="23"/>
      <c r="S70" s="23"/>
    </row>
    <row r="71" spans="1:19" ht="18" customHeight="1" x14ac:dyDescent="0.15">
      <c r="A71" s="3"/>
      <c r="B71" s="90"/>
      <c r="C71" s="91"/>
      <c r="D71" s="91"/>
      <c r="E71" s="23"/>
      <c r="F71" s="23"/>
      <c r="G71" s="23"/>
      <c r="H71" s="23"/>
      <c r="I71" s="23"/>
      <c r="J71" s="90"/>
      <c r="K71" s="91"/>
      <c r="L71" s="91"/>
      <c r="M71" s="91"/>
      <c r="N71" s="92"/>
      <c r="O71" s="23"/>
      <c r="P71" s="23"/>
      <c r="Q71" s="23"/>
      <c r="R71" s="23"/>
      <c r="S71" s="23"/>
    </row>
    <row r="72" spans="1:19" ht="18" customHeight="1" x14ac:dyDescent="0.15">
      <c r="A72" s="3"/>
      <c r="B72" s="90"/>
      <c r="C72" s="91"/>
      <c r="D72" s="91"/>
      <c r="E72" s="23"/>
      <c r="F72" s="23"/>
      <c r="G72" s="23"/>
      <c r="H72" s="23"/>
      <c r="I72" s="23"/>
      <c r="J72" s="90"/>
      <c r="K72" s="91"/>
      <c r="L72" s="91"/>
      <c r="M72" s="91"/>
      <c r="N72" s="92"/>
      <c r="O72" s="23"/>
      <c r="P72" s="23"/>
      <c r="Q72" s="23"/>
      <c r="R72" s="23"/>
      <c r="S72" s="23"/>
    </row>
    <row r="73" spans="1:19" ht="18" customHeight="1" x14ac:dyDescent="0.15">
      <c r="A73" s="3"/>
      <c r="B73" s="90"/>
      <c r="C73" s="91"/>
      <c r="D73" s="91"/>
      <c r="E73" s="23"/>
      <c r="F73" s="23"/>
      <c r="G73" s="23"/>
      <c r="H73" s="23"/>
      <c r="I73" s="23"/>
      <c r="J73" s="90"/>
      <c r="K73" s="91"/>
      <c r="L73" s="91"/>
      <c r="M73" s="91"/>
      <c r="N73" s="92"/>
      <c r="O73" s="23"/>
      <c r="P73" s="23"/>
      <c r="Q73" s="23"/>
      <c r="R73" s="23"/>
      <c r="S73" s="23"/>
    </row>
    <row r="74" spans="1:19" ht="18" customHeight="1" x14ac:dyDescent="0.15">
      <c r="A74" s="3"/>
      <c r="B74" s="90"/>
      <c r="C74" s="91"/>
      <c r="D74" s="91"/>
      <c r="E74" s="23"/>
      <c r="F74" s="23"/>
      <c r="G74" s="23"/>
      <c r="H74" s="23"/>
      <c r="I74" s="23"/>
      <c r="J74" s="90"/>
      <c r="K74" s="91"/>
      <c r="L74" s="91"/>
      <c r="M74" s="91"/>
      <c r="N74" s="92"/>
      <c r="O74" s="23"/>
      <c r="P74" s="23"/>
      <c r="Q74" s="23"/>
      <c r="R74" s="23"/>
      <c r="S74" s="23"/>
    </row>
    <row r="75" spans="1:19" ht="18" customHeight="1" x14ac:dyDescent="0.15">
      <c r="A75" s="3"/>
      <c r="B75" s="93"/>
      <c r="C75" s="94"/>
      <c r="D75" s="94"/>
      <c r="E75" s="24"/>
      <c r="F75" s="24"/>
      <c r="G75" s="25"/>
      <c r="H75" s="25"/>
      <c r="I75" s="25"/>
      <c r="J75" s="93"/>
      <c r="K75" s="94"/>
      <c r="L75" s="94"/>
      <c r="M75" s="94"/>
      <c r="N75" s="95"/>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43</v>
      </c>
      <c r="H77" s="3"/>
      <c r="I77" s="3"/>
      <c r="J77" s="3"/>
      <c r="K77" s="3"/>
      <c r="L77" s="3"/>
      <c r="M77" s="3"/>
      <c r="N77" s="3"/>
      <c r="O77" s="3"/>
      <c r="P77" s="3"/>
      <c r="Q77" s="3"/>
      <c r="R77" s="3"/>
      <c r="S77" s="3"/>
    </row>
    <row r="78" spans="1:19" ht="18" customHeight="1" x14ac:dyDescent="0.15">
      <c r="B78" s="96" t="s">
        <v>21</v>
      </c>
      <c r="C78" s="97"/>
      <c r="D78" s="97"/>
      <c r="E78" s="98"/>
      <c r="F78" s="96" t="s">
        <v>44</v>
      </c>
      <c r="G78" s="97"/>
      <c r="H78" s="97"/>
      <c r="I78" s="98"/>
      <c r="J78" s="149" t="s">
        <v>21</v>
      </c>
      <c r="K78" s="150"/>
      <c r="L78" s="150"/>
      <c r="M78" s="150"/>
      <c r="N78" s="150"/>
      <c r="O78" s="151"/>
      <c r="P78" s="96" t="s">
        <v>44</v>
      </c>
      <c r="Q78" s="97"/>
      <c r="R78" s="97"/>
      <c r="S78" s="98"/>
    </row>
    <row r="79" spans="1:19" ht="18" customHeight="1" x14ac:dyDescent="0.15">
      <c r="A79" s="3"/>
      <c r="B79" s="100" t="s">
        <v>41</v>
      </c>
      <c r="C79" s="101"/>
      <c r="D79" s="101"/>
      <c r="E79" s="102"/>
      <c r="F79" s="169" t="s">
        <v>45</v>
      </c>
      <c r="G79" s="170"/>
      <c r="H79" s="170"/>
      <c r="I79" s="171"/>
      <c r="J79" s="100"/>
      <c r="K79" s="101"/>
      <c r="L79" s="101"/>
      <c r="M79" s="101"/>
      <c r="N79" s="101"/>
      <c r="O79" s="102"/>
      <c r="P79" s="169"/>
      <c r="Q79" s="170"/>
      <c r="R79" s="170"/>
      <c r="S79" s="171"/>
    </row>
    <row r="80" spans="1:19" ht="18" customHeight="1" x14ac:dyDescent="0.15">
      <c r="A80" s="3"/>
      <c r="B80" s="90" t="s">
        <v>42</v>
      </c>
      <c r="C80" s="91"/>
      <c r="D80" s="91"/>
      <c r="E80" s="92"/>
      <c r="F80" s="129" t="s">
        <v>46</v>
      </c>
      <c r="G80" s="130"/>
      <c r="H80" s="130"/>
      <c r="I80" s="131"/>
      <c r="J80" s="90"/>
      <c r="K80" s="91"/>
      <c r="L80" s="91"/>
      <c r="M80" s="91"/>
      <c r="N80" s="91"/>
      <c r="O80" s="92"/>
      <c r="P80" s="129"/>
      <c r="Q80" s="130"/>
      <c r="R80" s="130"/>
      <c r="S80" s="131"/>
    </row>
    <row r="81" spans="1:19" ht="18" customHeight="1" x14ac:dyDescent="0.15">
      <c r="A81" s="3"/>
      <c r="B81" s="90"/>
      <c r="C81" s="91"/>
      <c r="D81" s="91"/>
      <c r="E81" s="92"/>
      <c r="F81" s="129"/>
      <c r="G81" s="130"/>
      <c r="H81" s="130"/>
      <c r="I81" s="131"/>
      <c r="J81" s="90"/>
      <c r="K81" s="91"/>
      <c r="L81" s="91"/>
      <c r="M81" s="91"/>
      <c r="N81" s="91"/>
      <c r="O81" s="92"/>
      <c r="P81" s="129"/>
      <c r="Q81" s="130"/>
      <c r="R81" s="130"/>
      <c r="S81" s="131"/>
    </row>
    <row r="82" spans="1:19" ht="18" customHeight="1" x14ac:dyDescent="0.15">
      <c r="A82" s="3"/>
      <c r="B82" s="90"/>
      <c r="C82" s="91"/>
      <c r="D82" s="91"/>
      <c r="E82" s="92"/>
      <c r="F82" s="129"/>
      <c r="G82" s="130"/>
      <c r="H82" s="130"/>
      <c r="I82" s="131"/>
      <c r="J82" s="90"/>
      <c r="K82" s="91"/>
      <c r="L82" s="91"/>
      <c r="M82" s="91"/>
      <c r="N82" s="91"/>
      <c r="O82" s="92"/>
      <c r="P82" s="129"/>
      <c r="Q82" s="130"/>
      <c r="R82" s="130"/>
      <c r="S82" s="131"/>
    </row>
    <row r="83" spans="1:19" ht="18" customHeight="1" x14ac:dyDescent="0.15">
      <c r="A83" s="3"/>
      <c r="B83" s="90"/>
      <c r="C83" s="91"/>
      <c r="D83" s="91"/>
      <c r="E83" s="92"/>
      <c r="F83" s="129"/>
      <c r="G83" s="130"/>
      <c r="H83" s="130"/>
      <c r="I83" s="131"/>
      <c r="J83" s="90"/>
      <c r="K83" s="91"/>
      <c r="L83" s="91"/>
      <c r="M83" s="91"/>
      <c r="N83" s="91"/>
      <c r="O83" s="92"/>
      <c r="P83" s="129"/>
      <c r="Q83" s="130"/>
      <c r="R83" s="130"/>
      <c r="S83" s="131"/>
    </row>
    <row r="84" spans="1:19" ht="18" customHeight="1" x14ac:dyDescent="0.15">
      <c r="A84" s="3"/>
      <c r="B84" s="90"/>
      <c r="C84" s="91"/>
      <c r="D84" s="91"/>
      <c r="E84" s="92"/>
      <c r="F84" s="129"/>
      <c r="G84" s="130"/>
      <c r="H84" s="130"/>
      <c r="I84" s="131"/>
      <c r="J84" s="90"/>
      <c r="K84" s="91"/>
      <c r="L84" s="91"/>
      <c r="M84" s="91"/>
      <c r="N84" s="91"/>
      <c r="O84" s="92"/>
      <c r="P84" s="129"/>
      <c r="Q84" s="130"/>
      <c r="R84" s="130"/>
      <c r="S84" s="131"/>
    </row>
    <row r="85" spans="1:19" ht="18" customHeight="1" x14ac:dyDescent="0.15">
      <c r="A85" s="3"/>
      <c r="B85" s="93"/>
      <c r="C85" s="94"/>
      <c r="D85" s="94"/>
      <c r="E85" s="95"/>
      <c r="F85" s="126"/>
      <c r="G85" s="127"/>
      <c r="H85" s="127"/>
      <c r="I85" s="128"/>
      <c r="J85" s="93"/>
      <c r="K85" s="94"/>
      <c r="L85" s="94"/>
      <c r="M85" s="94"/>
      <c r="N85" s="94"/>
      <c r="O85" s="95"/>
      <c r="P85" s="126"/>
      <c r="Q85" s="127"/>
      <c r="R85" s="127"/>
      <c r="S85" s="128"/>
    </row>
    <row r="86" spans="1:19" ht="18" customHeight="1" x14ac:dyDescent="0.15">
      <c r="A86" s="3"/>
      <c r="B86" s="5"/>
      <c r="C86" s="5"/>
      <c r="D86" s="5"/>
      <c r="E86" s="5"/>
      <c r="F86" s="26"/>
      <c r="G86" s="26"/>
      <c r="H86" s="26"/>
      <c r="I86" s="26"/>
      <c r="J86" s="5"/>
      <c r="K86" s="5"/>
      <c r="L86" s="5"/>
      <c r="M86" s="5"/>
      <c r="N86" s="5"/>
      <c r="O86" s="5"/>
      <c r="P86" s="26"/>
      <c r="Q86" s="26"/>
      <c r="R86" s="26"/>
      <c r="S86" s="26"/>
    </row>
    <row r="87" spans="1:19" ht="18.75" customHeight="1" x14ac:dyDescent="0.15">
      <c r="A87" s="1" t="s">
        <v>47</v>
      </c>
    </row>
    <row r="88" spans="1:19" ht="18.75" customHeight="1" x14ac:dyDescent="0.15">
      <c r="B88" s="164" t="s">
        <v>48</v>
      </c>
      <c r="C88" s="165"/>
      <c r="D88" s="97" t="s">
        <v>49</v>
      </c>
      <c r="E88" s="97"/>
      <c r="F88" s="97"/>
      <c r="G88" s="97"/>
      <c r="H88" s="97"/>
      <c r="I88" s="97"/>
      <c r="J88" s="97"/>
      <c r="K88" s="97"/>
      <c r="L88" s="97"/>
      <c r="M88" s="97"/>
      <c r="N88" s="97"/>
      <c r="O88" s="97"/>
      <c r="P88" s="97"/>
      <c r="Q88" s="97"/>
      <c r="R88" s="97"/>
      <c r="S88" s="98"/>
    </row>
    <row r="89" spans="1:19" ht="97.5" customHeight="1" x14ac:dyDescent="0.15">
      <c r="B89" s="152" t="s">
        <v>50</v>
      </c>
      <c r="C89" s="27" t="s">
        <v>24</v>
      </c>
      <c r="D89" s="166" t="s">
        <v>51</v>
      </c>
      <c r="E89" s="167"/>
      <c r="F89" s="167"/>
      <c r="G89" s="167"/>
      <c r="H89" s="167"/>
      <c r="I89" s="167"/>
      <c r="J89" s="167"/>
      <c r="K89" s="167"/>
      <c r="L89" s="167"/>
      <c r="M89" s="167"/>
      <c r="N89" s="167"/>
      <c r="O89" s="167"/>
      <c r="P89" s="167"/>
      <c r="Q89" s="167"/>
      <c r="R89" s="167"/>
      <c r="S89" s="168"/>
    </row>
    <row r="90" spans="1:19" ht="97.5" customHeight="1" x14ac:dyDescent="0.15">
      <c r="B90" s="154"/>
      <c r="C90" s="28" t="s">
        <v>52</v>
      </c>
      <c r="D90" s="132" t="s">
        <v>53</v>
      </c>
      <c r="E90" s="133"/>
      <c r="F90" s="133"/>
      <c r="G90" s="133"/>
      <c r="H90" s="133"/>
      <c r="I90" s="133"/>
      <c r="J90" s="133"/>
      <c r="K90" s="133"/>
      <c r="L90" s="133"/>
      <c r="M90" s="133"/>
      <c r="N90" s="133"/>
      <c r="O90" s="133"/>
      <c r="P90" s="133"/>
      <c r="Q90" s="133"/>
      <c r="R90" s="133"/>
      <c r="S90" s="134"/>
    </row>
    <row r="91" spans="1:19" ht="97.5" customHeight="1" x14ac:dyDescent="0.15">
      <c r="B91" s="152" t="s">
        <v>54</v>
      </c>
      <c r="C91" s="29" t="s">
        <v>29</v>
      </c>
      <c r="D91" s="135" t="s">
        <v>55</v>
      </c>
      <c r="E91" s="136"/>
      <c r="F91" s="136"/>
      <c r="G91" s="136"/>
      <c r="H91" s="136"/>
      <c r="I91" s="136"/>
      <c r="J91" s="136"/>
      <c r="K91" s="136"/>
      <c r="L91" s="136"/>
      <c r="M91" s="136"/>
      <c r="N91" s="136"/>
      <c r="O91" s="136"/>
      <c r="P91" s="136"/>
      <c r="Q91" s="136"/>
      <c r="R91" s="136"/>
      <c r="S91" s="137"/>
    </row>
    <row r="92" spans="1:19" ht="97.5" customHeight="1" x14ac:dyDescent="0.15">
      <c r="B92" s="153"/>
      <c r="C92" s="30" t="s">
        <v>30</v>
      </c>
      <c r="D92" s="141" t="s">
        <v>56</v>
      </c>
      <c r="E92" s="142"/>
      <c r="F92" s="142"/>
      <c r="G92" s="142"/>
      <c r="H92" s="142"/>
      <c r="I92" s="142"/>
      <c r="J92" s="142"/>
      <c r="K92" s="142"/>
      <c r="L92" s="142"/>
      <c r="M92" s="142"/>
      <c r="N92" s="142"/>
      <c r="O92" s="142"/>
      <c r="P92" s="142"/>
      <c r="Q92" s="142"/>
      <c r="R92" s="142"/>
      <c r="S92" s="143"/>
    </row>
    <row r="93" spans="1:19" ht="97.5" customHeight="1" x14ac:dyDescent="0.15">
      <c r="B93" s="152" t="s">
        <v>57</v>
      </c>
      <c r="C93" s="29" t="s">
        <v>32</v>
      </c>
      <c r="D93" s="144" t="s">
        <v>58</v>
      </c>
      <c r="E93" s="144"/>
      <c r="F93" s="144"/>
      <c r="G93" s="144"/>
      <c r="H93" s="144"/>
      <c r="I93" s="144"/>
      <c r="J93" s="144"/>
      <c r="K93" s="144"/>
      <c r="L93" s="144"/>
      <c r="M93" s="144"/>
      <c r="N93" s="144"/>
      <c r="O93" s="144"/>
      <c r="P93" s="144"/>
      <c r="Q93" s="144"/>
      <c r="R93" s="144"/>
      <c r="S93" s="145"/>
    </row>
    <row r="94" spans="1:19" ht="97.5" customHeight="1" x14ac:dyDescent="0.15">
      <c r="B94" s="153"/>
      <c r="C94" s="31" t="s">
        <v>33</v>
      </c>
      <c r="D94" s="138" t="s">
        <v>59</v>
      </c>
      <c r="E94" s="139"/>
      <c r="F94" s="139"/>
      <c r="G94" s="139"/>
      <c r="H94" s="139"/>
      <c r="I94" s="139"/>
      <c r="J94" s="139"/>
      <c r="K94" s="139"/>
      <c r="L94" s="139"/>
      <c r="M94" s="139"/>
      <c r="N94" s="139"/>
      <c r="O94" s="139"/>
      <c r="P94" s="139"/>
      <c r="Q94" s="139"/>
      <c r="R94" s="139"/>
      <c r="S94" s="140"/>
    </row>
    <row r="95" spans="1:19" ht="97.5" customHeight="1" x14ac:dyDescent="0.15">
      <c r="B95" s="152" t="s">
        <v>60</v>
      </c>
      <c r="C95" s="27" t="s">
        <v>35</v>
      </c>
      <c r="D95" s="161" t="s">
        <v>61</v>
      </c>
      <c r="E95" s="162"/>
      <c r="F95" s="162"/>
      <c r="G95" s="162"/>
      <c r="H95" s="162"/>
      <c r="I95" s="162"/>
      <c r="J95" s="162"/>
      <c r="K95" s="162"/>
      <c r="L95" s="162"/>
      <c r="M95" s="162"/>
      <c r="N95" s="162"/>
      <c r="O95" s="162"/>
      <c r="P95" s="162"/>
      <c r="Q95" s="162"/>
      <c r="R95" s="162"/>
      <c r="S95" s="163"/>
    </row>
    <row r="96" spans="1:19" ht="97.5" customHeight="1" x14ac:dyDescent="0.15">
      <c r="B96" s="153"/>
      <c r="C96" s="30" t="s">
        <v>36</v>
      </c>
      <c r="D96" s="141" t="s">
        <v>62</v>
      </c>
      <c r="E96" s="142"/>
      <c r="F96" s="142"/>
      <c r="G96" s="142"/>
      <c r="H96" s="142"/>
      <c r="I96" s="142"/>
      <c r="J96" s="142"/>
      <c r="K96" s="142"/>
      <c r="L96" s="142"/>
      <c r="M96" s="142"/>
      <c r="N96" s="142"/>
      <c r="O96" s="142"/>
      <c r="P96" s="142"/>
      <c r="Q96" s="142"/>
      <c r="R96" s="142"/>
      <c r="S96" s="143"/>
    </row>
    <row r="97" spans="1:19" ht="97.5" customHeight="1" x14ac:dyDescent="0.15">
      <c r="B97" s="152" t="s">
        <v>63</v>
      </c>
      <c r="C97" s="29" t="s">
        <v>64</v>
      </c>
      <c r="D97" s="155" t="s">
        <v>65</v>
      </c>
      <c r="E97" s="156"/>
      <c r="F97" s="156"/>
      <c r="G97" s="156"/>
      <c r="H97" s="156"/>
      <c r="I97" s="156"/>
      <c r="J97" s="156"/>
      <c r="K97" s="156"/>
      <c r="L97" s="156"/>
      <c r="M97" s="156"/>
      <c r="N97" s="156"/>
      <c r="O97" s="156"/>
      <c r="P97" s="156"/>
      <c r="Q97" s="156"/>
      <c r="R97" s="156"/>
      <c r="S97" s="157"/>
    </row>
    <row r="98" spans="1:19" ht="97.5" customHeight="1" x14ac:dyDescent="0.15">
      <c r="B98" s="154"/>
      <c r="C98" s="32" t="s">
        <v>39</v>
      </c>
      <c r="D98" s="146" t="s">
        <v>66</v>
      </c>
      <c r="E98" s="147"/>
      <c r="F98" s="147"/>
      <c r="G98" s="147"/>
      <c r="H98" s="147"/>
      <c r="I98" s="147"/>
      <c r="J98" s="147"/>
      <c r="K98" s="147"/>
      <c r="L98" s="147"/>
      <c r="M98" s="147"/>
      <c r="N98" s="147"/>
      <c r="O98" s="147"/>
      <c r="P98" s="147"/>
      <c r="Q98" s="147"/>
      <c r="R98" s="147"/>
      <c r="S98" s="148"/>
    </row>
    <row r="99" spans="1:19" ht="97.5" customHeight="1" x14ac:dyDescent="0.15">
      <c r="B99" s="153"/>
      <c r="C99" s="31" t="s">
        <v>40</v>
      </c>
      <c r="D99" s="158" t="s">
        <v>67</v>
      </c>
      <c r="E99" s="159"/>
      <c r="F99" s="159"/>
      <c r="G99" s="159"/>
      <c r="H99" s="159"/>
      <c r="I99" s="159"/>
      <c r="J99" s="159"/>
      <c r="K99" s="159"/>
      <c r="L99" s="159"/>
      <c r="M99" s="159"/>
      <c r="N99" s="159"/>
      <c r="O99" s="159"/>
      <c r="P99" s="159"/>
      <c r="Q99" s="159"/>
      <c r="R99" s="159"/>
      <c r="S99" s="160"/>
    </row>
    <row r="100" spans="1:19" ht="6" customHeight="1" x14ac:dyDescent="0.15"/>
    <row r="101" spans="1:19" ht="18.75" customHeight="1" x14ac:dyDescent="0.15">
      <c r="A101" s="1" t="s">
        <v>68</v>
      </c>
    </row>
    <row r="102" spans="1:19" ht="81.75" customHeight="1" x14ac:dyDescent="0.15">
      <c r="B102" s="123" t="s">
        <v>69</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tabSelected="1" view="pageBreakPreview" zoomScaleNormal="100" zoomScaleSheetLayoutView="100" workbookViewId="0">
      <selection activeCell="C13" sqref="C1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70</v>
      </c>
    </row>
    <row r="2" spans="1:45" ht="18" customHeight="1" x14ac:dyDescent="0.15">
      <c r="K2" s="34"/>
      <c r="Q2" s="34"/>
      <c r="W2" s="34"/>
      <c r="AC2" s="34"/>
      <c r="AI2" s="34"/>
      <c r="AL2" s="34" t="s">
        <v>2</v>
      </c>
      <c r="AM2" s="175" t="str">
        <f>'様式１　プログラムを構成する授業科目'!C2</f>
        <v>秋田工業高等専門学校</v>
      </c>
      <c r="AN2" s="175"/>
      <c r="AO2" s="175"/>
      <c r="AP2" s="175"/>
      <c r="AQ2" s="175"/>
    </row>
    <row r="3" spans="1:45" ht="18" customHeight="1" x14ac:dyDescent="0.15">
      <c r="A3" s="110" t="s">
        <v>71</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72</v>
      </c>
      <c r="C5" s="107" t="s">
        <v>73</v>
      </c>
      <c r="D5" s="109"/>
      <c r="E5" s="3" t="s">
        <v>74</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75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6" t="s">
        <v>76</v>
      </c>
      <c r="C9" s="191" t="s">
        <v>77</v>
      </c>
      <c r="D9" s="179" t="s">
        <v>78</v>
      </c>
      <c r="E9" s="182" t="s">
        <v>79</v>
      </c>
      <c r="F9" s="174" t="s">
        <v>80</v>
      </c>
      <c r="G9" s="174"/>
      <c r="H9" s="174"/>
      <c r="I9" s="174"/>
      <c r="J9" s="174"/>
      <c r="K9" s="174"/>
      <c r="L9" s="174" t="s">
        <v>81</v>
      </c>
      <c r="M9" s="174"/>
      <c r="N9" s="174"/>
      <c r="O9" s="174"/>
      <c r="P9" s="174"/>
      <c r="Q9" s="174"/>
      <c r="R9" s="174" t="s">
        <v>82</v>
      </c>
      <c r="S9" s="174"/>
      <c r="T9" s="174"/>
      <c r="U9" s="174"/>
      <c r="V9" s="174"/>
      <c r="W9" s="174"/>
      <c r="X9" s="174" t="s">
        <v>83</v>
      </c>
      <c r="Y9" s="174"/>
      <c r="Z9" s="174"/>
      <c r="AA9" s="174"/>
      <c r="AB9" s="174"/>
      <c r="AC9" s="174"/>
      <c r="AD9" s="174" t="s">
        <v>84</v>
      </c>
      <c r="AE9" s="174"/>
      <c r="AF9" s="174"/>
      <c r="AG9" s="174"/>
      <c r="AH9" s="174"/>
      <c r="AI9" s="174"/>
      <c r="AJ9" s="174" t="s">
        <v>85</v>
      </c>
      <c r="AK9" s="174"/>
      <c r="AL9" s="174"/>
      <c r="AM9" s="174"/>
      <c r="AN9" s="174"/>
      <c r="AO9" s="174"/>
      <c r="AP9" s="185" t="s">
        <v>86</v>
      </c>
      <c r="AQ9" s="188" t="s">
        <v>87</v>
      </c>
      <c r="AS9" s="2"/>
    </row>
    <row r="10" spans="1:45" ht="17.100000000000001" customHeight="1" x14ac:dyDescent="0.15">
      <c r="B10" s="177"/>
      <c r="C10" s="192"/>
      <c r="D10" s="180"/>
      <c r="E10" s="183"/>
      <c r="F10" s="172" t="s">
        <v>88</v>
      </c>
      <c r="G10" s="173"/>
      <c r="H10" s="173"/>
      <c r="I10" s="172" t="s">
        <v>89</v>
      </c>
      <c r="J10" s="173"/>
      <c r="K10" s="173"/>
      <c r="L10" s="172" t="s">
        <v>88</v>
      </c>
      <c r="M10" s="173"/>
      <c r="N10" s="173"/>
      <c r="O10" s="172" t="s">
        <v>89</v>
      </c>
      <c r="P10" s="173"/>
      <c r="Q10" s="173"/>
      <c r="R10" s="172" t="s">
        <v>88</v>
      </c>
      <c r="S10" s="173"/>
      <c r="T10" s="173"/>
      <c r="U10" s="172" t="s">
        <v>89</v>
      </c>
      <c r="V10" s="173"/>
      <c r="W10" s="173"/>
      <c r="X10" s="172" t="s">
        <v>88</v>
      </c>
      <c r="Y10" s="173"/>
      <c r="Z10" s="173"/>
      <c r="AA10" s="172" t="s">
        <v>89</v>
      </c>
      <c r="AB10" s="173"/>
      <c r="AC10" s="173"/>
      <c r="AD10" s="172" t="s">
        <v>88</v>
      </c>
      <c r="AE10" s="173"/>
      <c r="AF10" s="173"/>
      <c r="AG10" s="172" t="s">
        <v>89</v>
      </c>
      <c r="AH10" s="173"/>
      <c r="AI10" s="173"/>
      <c r="AJ10" s="172" t="s">
        <v>88</v>
      </c>
      <c r="AK10" s="173"/>
      <c r="AL10" s="173"/>
      <c r="AM10" s="172" t="s">
        <v>89</v>
      </c>
      <c r="AN10" s="173"/>
      <c r="AO10" s="173"/>
      <c r="AP10" s="186"/>
      <c r="AQ10" s="189"/>
      <c r="AS10" s="2"/>
    </row>
    <row r="11" spans="1:45" ht="18" customHeight="1" x14ac:dyDescent="0.15">
      <c r="B11" s="178"/>
      <c r="C11" s="193"/>
      <c r="D11" s="181"/>
      <c r="E11" s="184"/>
      <c r="F11" s="16" t="s">
        <v>90</v>
      </c>
      <c r="G11" s="17" t="s">
        <v>91</v>
      </c>
      <c r="H11" s="18" t="s">
        <v>92</v>
      </c>
      <c r="I11" s="16" t="s">
        <v>90</v>
      </c>
      <c r="J11" s="17" t="s">
        <v>91</v>
      </c>
      <c r="K11" s="18" t="s">
        <v>92</v>
      </c>
      <c r="L11" s="16" t="s">
        <v>90</v>
      </c>
      <c r="M11" s="17" t="s">
        <v>91</v>
      </c>
      <c r="N11" s="18" t="s">
        <v>92</v>
      </c>
      <c r="O11" s="16" t="s">
        <v>90</v>
      </c>
      <c r="P11" s="17" t="s">
        <v>91</v>
      </c>
      <c r="Q11" s="18" t="s">
        <v>92</v>
      </c>
      <c r="R11" s="16" t="s">
        <v>90</v>
      </c>
      <c r="S11" s="17" t="s">
        <v>91</v>
      </c>
      <c r="T11" s="18" t="s">
        <v>92</v>
      </c>
      <c r="U11" s="16" t="s">
        <v>90</v>
      </c>
      <c r="V11" s="17" t="s">
        <v>91</v>
      </c>
      <c r="W11" s="18" t="s">
        <v>92</v>
      </c>
      <c r="X11" s="16" t="s">
        <v>90</v>
      </c>
      <c r="Y11" s="17" t="s">
        <v>91</v>
      </c>
      <c r="Z11" s="18" t="s">
        <v>92</v>
      </c>
      <c r="AA11" s="16" t="s">
        <v>90</v>
      </c>
      <c r="AB11" s="17" t="s">
        <v>91</v>
      </c>
      <c r="AC11" s="18" t="s">
        <v>92</v>
      </c>
      <c r="AD11" s="16" t="s">
        <v>90</v>
      </c>
      <c r="AE11" s="17" t="s">
        <v>91</v>
      </c>
      <c r="AF11" s="18" t="s">
        <v>92</v>
      </c>
      <c r="AG11" s="16" t="s">
        <v>90</v>
      </c>
      <c r="AH11" s="17" t="s">
        <v>91</v>
      </c>
      <c r="AI11" s="18" t="s">
        <v>92</v>
      </c>
      <c r="AJ11" s="16" t="s">
        <v>90</v>
      </c>
      <c r="AK11" s="17" t="s">
        <v>91</v>
      </c>
      <c r="AL11" s="18" t="s">
        <v>92</v>
      </c>
      <c r="AM11" s="16" t="s">
        <v>90</v>
      </c>
      <c r="AN11" s="17" t="s">
        <v>91</v>
      </c>
      <c r="AO11" s="18" t="s">
        <v>92</v>
      </c>
      <c r="AP11" s="187"/>
      <c r="AQ11" s="190"/>
      <c r="AS11" s="2"/>
    </row>
    <row r="12" spans="1:45" ht="18" customHeight="1" x14ac:dyDescent="0.15">
      <c r="A12" s="5"/>
      <c r="B12" s="10" t="s">
        <v>93</v>
      </c>
      <c r="C12" s="60">
        <v>797</v>
      </c>
      <c r="D12" s="61">
        <v>160</v>
      </c>
      <c r="E12" s="62">
        <v>800</v>
      </c>
      <c r="F12" s="62">
        <f>G12+H12</f>
        <v>170</v>
      </c>
      <c r="G12" s="63">
        <v>128</v>
      </c>
      <c r="H12" s="64">
        <v>42</v>
      </c>
      <c r="I12" s="62">
        <f>J12+K12</f>
        <v>0</v>
      </c>
      <c r="J12" s="63">
        <v>0</v>
      </c>
      <c r="K12" s="64">
        <v>0</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170</v>
      </c>
      <c r="AQ12" s="20">
        <f t="shared" ref="AQ12:AQ32" si="0">AP12/E12</f>
        <v>0.21249999999999999</v>
      </c>
    </row>
    <row r="13" spans="1:45" ht="18" customHeight="1" x14ac:dyDescent="0.15">
      <c r="A13" s="5"/>
      <c r="B13" s="11"/>
      <c r="C13" s="65"/>
      <c r="D13" s="66"/>
      <c r="E13" s="67"/>
      <c r="F13" s="68">
        <f t="shared" ref="F13:F31" si="1">G13+H13</f>
        <v>0</v>
      </c>
      <c r="G13" s="69"/>
      <c r="H13" s="70"/>
      <c r="I13" s="68">
        <f t="shared" ref="I13:I31" si="2">J13+K13</f>
        <v>0</v>
      </c>
      <c r="J13" s="69"/>
      <c r="K13" s="70"/>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0</v>
      </c>
      <c r="AQ13" s="19" t="e">
        <f t="shared" si="0"/>
        <v>#DIV/0!</v>
      </c>
    </row>
    <row r="14" spans="1:45" ht="18" customHeight="1" x14ac:dyDescent="0.15">
      <c r="A14" s="5"/>
      <c r="B14" s="11"/>
      <c r="C14" s="65"/>
      <c r="D14" s="66"/>
      <c r="E14" s="67"/>
      <c r="F14" s="68">
        <f t="shared" si="1"/>
        <v>0</v>
      </c>
      <c r="G14" s="69"/>
      <c r="H14" s="70"/>
      <c r="I14" s="68">
        <f t="shared" si="2"/>
        <v>0</v>
      </c>
      <c r="J14" s="69"/>
      <c r="K14" s="70"/>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0</v>
      </c>
      <c r="AQ14" s="7" t="e">
        <f t="shared" si="0"/>
        <v>#DIV/0!</v>
      </c>
    </row>
    <row r="15" spans="1:45" ht="18" customHeight="1" x14ac:dyDescent="0.15">
      <c r="A15" s="5"/>
      <c r="B15" s="11"/>
      <c r="C15" s="65"/>
      <c r="D15" s="66"/>
      <c r="E15" s="67"/>
      <c r="F15" s="68">
        <f t="shared" si="1"/>
        <v>0</v>
      </c>
      <c r="G15" s="69"/>
      <c r="H15" s="70"/>
      <c r="I15" s="68">
        <f t="shared" si="2"/>
        <v>0</v>
      </c>
      <c r="J15" s="69"/>
      <c r="K15" s="70"/>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0</v>
      </c>
      <c r="AQ15" s="7" t="e">
        <f t="shared" si="0"/>
        <v>#DIV/0!</v>
      </c>
    </row>
    <row r="16" spans="1:45" ht="18" customHeight="1" x14ac:dyDescent="0.15">
      <c r="A16" s="5"/>
      <c r="B16" s="11"/>
      <c r="C16" s="65"/>
      <c r="D16" s="66"/>
      <c r="E16" s="67"/>
      <c r="F16" s="68">
        <f t="shared" si="1"/>
        <v>0</v>
      </c>
      <c r="G16" s="69"/>
      <c r="H16" s="70"/>
      <c r="I16" s="68">
        <f t="shared" si="2"/>
        <v>0</v>
      </c>
      <c r="J16" s="69"/>
      <c r="K16" s="70"/>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0</v>
      </c>
      <c r="AQ16" s="7" t="e">
        <f t="shared" si="0"/>
        <v>#DIV/0!</v>
      </c>
    </row>
    <row r="17" spans="1:43" ht="18" customHeight="1" x14ac:dyDescent="0.15">
      <c r="A17" s="5"/>
      <c r="B17" s="11"/>
      <c r="C17" s="65"/>
      <c r="D17" s="66"/>
      <c r="E17" s="67"/>
      <c r="F17" s="68">
        <f t="shared" si="1"/>
        <v>0</v>
      </c>
      <c r="G17" s="69"/>
      <c r="H17" s="70"/>
      <c r="I17" s="68">
        <f t="shared" si="2"/>
        <v>0</v>
      </c>
      <c r="J17" s="69"/>
      <c r="K17" s="70"/>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0</v>
      </c>
      <c r="AQ17" s="7" t="e">
        <f t="shared" si="0"/>
        <v>#DIV/0!</v>
      </c>
    </row>
    <row r="18" spans="1:43" ht="18" customHeight="1" x14ac:dyDescent="0.15">
      <c r="A18" s="5"/>
      <c r="B18" s="11"/>
      <c r="C18" s="65"/>
      <c r="D18" s="66"/>
      <c r="E18" s="67"/>
      <c r="F18" s="68">
        <f t="shared" si="1"/>
        <v>0</v>
      </c>
      <c r="G18" s="69"/>
      <c r="H18" s="70"/>
      <c r="I18" s="68">
        <f t="shared" si="2"/>
        <v>0</v>
      </c>
      <c r="J18" s="69"/>
      <c r="K18" s="70"/>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0</v>
      </c>
      <c r="AQ18" s="7" t="e">
        <f t="shared" si="0"/>
        <v>#DIV/0!</v>
      </c>
    </row>
    <row r="19" spans="1:43" ht="18" customHeight="1" x14ac:dyDescent="0.15">
      <c r="A19" s="5"/>
      <c r="B19" s="11"/>
      <c r="C19" s="65"/>
      <c r="D19" s="66"/>
      <c r="E19" s="67"/>
      <c r="F19" s="68">
        <f t="shared" si="1"/>
        <v>0</v>
      </c>
      <c r="G19" s="69"/>
      <c r="H19" s="70"/>
      <c r="I19" s="68">
        <f t="shared" si="2"/>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0</v>
      </c>
      <c r="AQ19" s="7" t="e">
        <f t="shared" si="0"/>
        <v>#DIV/0!</v>
      </c>
    </row>
    <row r="20" spans="1:43" ht="18" customHeight="1" x14ac:dyDescent="0.15">
      <c r="A20" s="5"/>
      <c r="B20" s="11"/>
      <c r="C20" s="65"/>
      <c r="D20" s="66"/>
      <c r="E20" s="67"/>
      <c r="F20" s="68">
        <f t="shared" si="1"/>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7" t="e">
        <f t="shared" si="0"/>
        <v>#DIV/0!</v>
      </c>
    </row>
    <row r="21" spans="1:43" ht="18" customHeight="1" x14ac:dyDescent="0.15">
      <c r="A21" s="5"/>
      <c r="B21" s="11"/>
      <c r="C21" s="65"/>
      <c r="D21" s="66"/>
      <c r="E21" s="67"/>
      <c r="F21" s="68">
        <f t="shared" si="1"/>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7" t="e">
        <f t="shared" si="0"/>
        <v>#DIV/0!</v>
      </c>
    </row>
    <row r="22" spans="1:43" ht="18" customHeight="1" x14ac:dyDescent="0.15">
      <c r="A22" s="5"/>
      <c r="B22" s="11"/>
      <c r="C22" s="65"/>
      <c r="D22" s="66"/>
      <c r="E22" s="67"/>
      <c r="F22" s="68">
        <f t="shared" si="1"/>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7" t="e">
        <f t="shared" si="0"/>
        <v>#DIV/0!</v>
      </c>
    </row>
    <row r="23" spans="1:43" ht="18" customHeight="1" x14ac:dyDescent="0.15">
      <c r="A23" s="5"/>
      <c r="B23" s="11"/>
      <c r="C23" s="65"/>
      <c r="D23" s="66"/>
      <c r="E23" s="67"/>
      <c r="F23" s="68">
        <f t="shared" si="1"/>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7" t="e">
        <f t="shared" si="0"/>
        <v>#DIV/0!</v>
      </c>
    </row>
    <row r="24" spans="1:43" ht="18" customHeight="1" x14ac:dyDescent="0.15">
      <c r="A24" s="5"/>
      <c r="B24" s="11"/>
      <c r="C24" s="65"/>
      <c r="D24" s="66"/>
      <c r="E24" s="67"/>
      <c r="F24" s="68">
        <f t="shared" si="1"/>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7" t="e">
        <f t="shared" si="0"/>
        <v>#DIV/0!</v>
      </c>
    </row>
    <row r="25" spans="1:43" ht="18" customHeight="1" x14ac:dyDescent="0.15">
      <c r="A25" s="5"/>
      <c r="B25" s="11"/>
      <c r="C25" s="65"/>
      <c r="D25" s="66"/>
      <c r="E25" s="67"/>
      <c r="F25" s="68">
        <f t="shared" si="1"/>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7" t="e">
        <f t="shared" si="0"/>
        <v>#DIV/0!</v>
      </c>
    </row>
    <row r="26" spans="1:43" ht="18" customHeight="1" x14ac:dyDescent="0.15">
      <c r="A26" s="5"/>
      <c r="B26" s="11"/>
      <c r="C26" s="65"/>
      <c r="D26" s="66"/>
      <c r="E26" s="67"/>
      <c r="F26" s="68">
        <f t="shared" si="1"/>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7" t="e">
        <f t="shared" si="0"/>
        <v>#DIV/0!</v>
      </c>
    </row>
    <row r="27" spans="1:43" ht="18" customHeight="1" x14ac:dyDescent="0.15">
      <c r="A27" s="5"/>
      <c r="B27" s="11"/>
      <c r="C27" s="65"/>
      <c r="D27" s="66"/>
      <c r="E27" s="67"/>
      <c r="F27" s="68">
        <f t="shared" si="1"/>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7" t="e">
        <f t="shared" si="0"/>
        <v>#DIV/0!</v>
      </c>
    </row>
    <row r="28" spans="1:43" ht="18" customHeight="1" x14ac:dyDescent="0.15">
      <c r="A28" s="5"/>
      <c r="B28" s="11"/>
      <c r="C28" s="65"/>
      <c r="D28" s="66"/>
      <c r="E28" s="67"/>
      <c r="F28" s="68">
        <f t="shared" si="1"/>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7" t="e">
        <f t="shared" si="0"/>
        <v>#DIV/0!</v>
      </c>
    </row>
    <row r="29" spans="1:43" ht="18" customHeight="1" x14ac:dyDescent="0.15">
      <c r="A29" s="5"/>
      <c r="B29" s="11"/>
      <c r="C29" s="65"/>
      <c r="D29" s="71"/>
      <c r="E29" s="67"/>
      <c r="F29" s="68">
        <f t="shared" si="1"/>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7" t="e">
        <f t="shared" si="0"/>
        <v>#DIV/0!</v>
      </c>
    </row>
    <row r="30" spans="1:43" ht="18" customHeight="1" x14ac:dyDescent="0.15">
      <c r="A30" s="5"/>
      <c r="B30" s="11"/>
      <c r="C30" s="65"/>
      <c r="D30" s="71"/>
      <c r="E30" s="67"/>
      <c r="F30" s="68">
        <f t="shared" si="1"/>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7" t="e">
        <f t="shared" si="0"/>
        <v>#DIV/0!</v>
      </c>
    </row>
    <row r="31" spans="1:43" ht="18" customHeight="1" thickBot="1" x14ac:dyDescent="0.2">
      <c r="A31" s="5"/>
      <c r="B31" s="12"/>
      <c r="C31" s="60"/>
      <c r="D31" s="72"/>
      <c r="E31" s="62"/>
      <c r="F31" s="62">
        <f t="shared" si="1"/>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6" t="e">
        <f t="shared" si="0"/>
        <v>#DIV/0!</v>
      </c>
    </row>
    <row r="32" spans="1:43" ht="18" customHeight="1" thickTop="1" x14ac:dyDescent="0.15">
      <c r="B32" s="13" t="s">
        <v>94</v>
      </c>
      <c r="C32" s="75">
        <f t="shared" ref="C32:H32" si="14">SUM(C12:C31)</f>
        <v>797</v>
      </c>
      <c r="D32" s="76">
        <f t="shared" si="14"/>
        <v>160</v>
      </c>
      <c r="E32" s="77">
        <f t="shared" si="14"/>
        <v>800</v>
      </c>
      <c r="F32" s="77">
        <f t="shared" si="14"/>
        <v>170</v>
      </c>
      <c r="G32" s="78">
        <f t="shared" si="14"/>
        <v>128</v>
      </c>
      <c r="H32" s="79">
        <f t="shared" si="14"/>
        <v>42</v>
      </c>
      <c r="I32" s="77">
        <f t="shared" ref="I32:N32" si="15">SUM(I12:I31)</f>
        <v>0</v>
      </c>
      <c r="J32" s="78">
        <f t="shared" si="15"/>
        <v>0</v>
      </c>
      <c r="K32" s="79">
        <f t="shared" si="15"/>
        <v>0</v>
      </c>
      <c r="L32" s="77">
        <f t="shared" si="15"/>
        <v>0</v>
      </c>
      <c r="M32" s="78">
        <f t="shared" si="15"/>
        <v>0</v>
      </c>
      <c r="N32" s="79">
        <f t="shared" si="15"/>
        <v>0</v>
      </c>
      <c r="O32" s="77">
        <f t="shared" ref="O32:T32" si="16">SUM(O12:O31)</f>
        <v>0</v>
      </c>
      <c r="P32" s="78">
        <f t="shared" si="16"/>
        <v>0</v>
      </c>
      <c r="Q32" s="79">
        <f t="shared" si="16"/>
        <v>0</v>
      </c>
      <c r="R32" s="77">
        <f t="shared" si="16"/>
        <v>0</v>
      </c>
      <c r="S32" s="78">
        <f t="shared" si="16"/>
        <v>0</v>
      </c>
      <c r="T32" s="79">
        <f t="shared" si="16"/>
        <v>0</v>
      </c>
      <c r="U32" s="77">
        <f t="shared" ref="U32:AI32" si="17">SUM(U12:U31)</f>
        <v>0</v>
      </c>
      <c r="V32" s="78">
        <f t="shared" si="17"/>
        <v>0</v>
      </c>
      <c r="W32" s="79">
        <f t="shared" si="17"/>
        <v>0</v>
      </c>
      <c r="X32" s="77">
        <f t="shared" si="17"/>
        <v>0</v>
      </c>
      <c r="Y32" s="78">
        <f t="shared" si="17"/>
        <v>0</v>
      </c>
      <c r="Z32" s="79">
        <f t="shared" si="17"/>
        <v>0</v>
      </c>
      <c r="AA32" s="77">
        <f t="shared" si="17"/>
        <v>0</v>
      </c>
      <c r="AB32" s="78">
        <f t="shared" si="17"/>
        <v>0</v>
      </c>
      <c r="AC32" s="79">
        <f t="shared" si="17"/>
        <v>0</v>
      </c>
      <c r="AD32" s="77">
        <f t="shared" si="17"/>
        <v>0</v>
      </c>
      <c r="AE32" s="78">
        <f t="shared" si="17"/>
        <v>0</v>
      </c>
      <c r="AF32" s="79">
        <f t="shared" si="17"/>
        <v>0</v>
      </c>
      <c r="AG32" s="77">
        <f t="shared" si="17"/>
        <v>0</v>
      </c>
      <c r="AH32" s="78">
        <f t="shared" si="17"/>
        <v>0</v>
      </c>
      <c r="AI32" s="79">
        <f t="shared" si="17"/>
        <v>0</v>
      </c>
      <c r="AJ32" s="77">
        <f t="shared" ref="AJ32:AO32" si="18">SUM(AJ12:AJ31)</f>
        <v>0</v>
      </c>
      <c r="AK32" s="78">
        <f t="shared" si="18"/>
        <v>0</v>
      </c>
      <c r="AL32" s="79">
        <f t="shared" si="18"/>
        <v>0</v>
      </c>
      <c r="AM32" s="77">
        <f t="shared" si="18"/>
        <v>0</v>
      </c>
      <c r="AN32" s="78">
        <f t="shared" si="18"/>
        <v>0</v>
      </c>
      <c r="AO32" s="79">
        <f t="shared" si="18"/>
        <v>0</v>
      </c>
      <c r="AP32" s="76">
        <f>SUM(AP12:AP31)</f>
        <v>170</v>
      </c>
      <c r="AQ32" s="8">
        <f t="shared" si="0"/>
        <v>0.21249999999999999</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31" zoomScaleNormal="100" zoomScaleSheetLayoutView="100" workbookViewId="0">
      <selection activeCell="B13" sqref="B13:S18"/>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95</v>
      </c>
      <c r="I1" s="34" t="s">
        <v>96</v>
      </c>
    </row>
    <row r="2" spans="1:9" ht="18.75" customHeight="1" x14ac:dyDescent="0.15">
      <c r="G2" s="34" t="s">
        <v>2</v>
      </c>
      <c r="H2" s="96" t="str">
        <f>'様式１　プログラムを構成する授業科目'!C2</f>
        <v>秋田工業高等専門学校</v>
      </c>
      <c r="I2" s="98"/>
    </row>
    <row r="3" spans="1:9" ht="18.75" customHeight="1" x14ac:dyDescent="0.15">
      <c r="G3" s="34"/>
      <c r="H3" s="9"/>
      <c r="I3" s="9"/>
    </row>
    <row r="4" spans="1:9" ht="18.600000000000001" customHeight="1" x14ac:dyDescent="0.15">
      <c r="A4" s="110" t="s">
        <v>97</v>
      </c>
      <c r="B4" s="110"/>
      <c r="C4" s="110"/>
      <c r="D4" s="110"/>
      <c r="E4" s="110"/>
      <c r="F4" s="110"/>
      <c r="G4" s="110"/>
      <c r="H4" s="110"/>
      <c r="I4" s="110"/>
    </row>
    <row r="5" spans="1:9" ht="13.35" customHeight="1" x14ac:dyDescent="0.15">
      <c r="B5" s="3"/>
      <c r="C5" s="3"/>
      <c r="D5" s="3"/>
      <c r="E5" s="3"/>
      <c r="F5" s="3"/>
      <c r="G5" s="3"/>
      <c r="H5" s="3"/>
      <c r="I5" s="3"/>
    </row>
    <row r="6" spans="1:9" ht="18" customHeight="1" x14ac:dyDescent="0.15">
      <c r="A6" s="1" t="s">
        <v>98</v>
      </c>
      <c r="B6" s="9" t="s">
        <v>99</v>
      </c>
      <c r="C6" s="244" t="s">
        <v>100</v>
      </c>
      <c r="D6" s="244"/>
      <c r="E6" s="33">
        <v>58</v>
      </c>
      <c r="F6" s="3" t="s">
        <v>101</v>
      </c>
      <c r="G6" s="3" t="s">
        <v>102</v>
      </c>
      <c r="H6" s="33">
        <v>41</v>
      </c>
      <c r="I6" s="9" t="s">
        <v>101</v>
      </c>
    </row>
    <row r="7" spans="1:9" ht="12" customHeight="1" x14ac:dyDescent="0.15">
      <c r="C7" s="2"/>
      <c r="D7" s="2"/>
      <c r="E7" s="2"/>
      <c r="F7" s="2"/>
      <c r="G7" s="2"/>
      <c r="H7" s="2"/>
      <c r="I7" s="40"/>
    </row>
    <row r="8" spans="1:9" ht="18" customHeight="1" x14ac:dyDescent="0.15">
      <c r="A8" s="1" t="s">
        <v>103</v>
      </c>
      <c r="B8" s="9" t="s">
        <v>104</v>
      </c>
      <c r="E8" s="3"/>
      <c r="F8" s="3"/>
      <c r="G8" s="3"/>
      <c r="H8" s="82">
        <v>6</v>
      </c>
      <c r="I8" s="9" t="s">
        <v>101</v>
      </c>
    </row>
    <row r="9" spans="1:9" ht="9" customHeight="1" x14ac:dyDescent="0.15">
      <c r="B9" s="3"/>
      <c r="C9" s="3"/>
      <c r="D9" s="3"/>
      <c r="E9" s="3"/>
      <c r="F9" s="3"/>
      <c r="G9" s="3"/>
      <c r="H9" s="3"/>
      <c r="I9" s="3"/>
    </row>
    <row r="10" spans="1:9" ht="18" customHeight="1" x14ac:dyDescent="0.15">
      <c r="A10" s="1" t="s">
        <v>105</v>
      </c>
      <c r="B10" s="9" t="s">
        <v>106</v>
      </c>
      <c r="C10" s="3"/>
      <c r="D10" s="3"/>
      <c r="E10" s="3"/>
      <c r="F10" s="3"/>
      <c r="G10" s="3"/>
      <c r="H10" s="3"/>
      <c r="I10" s="3"/>
    </row>
    <row r="11" spans="1:9" ht="18" customHeight="1" x14ac:dyDescent="0.15">
      <c r="B11" s="34" t="s">
        <v>107</v>
      </c>
      <c r="C11" s="239" t="s">
        <v>108</v>
      </c>
      <c r="D11" s="242"/>
      <c r="E11" s="243"/>
      <c r="F11" s="40"/>
      <c r="G11" s="34" t="s">
        <v>109</v>
      </c>
      <c r="H11" s="239" t="s">
        <v>110</v>
      </c>
      <c r="I11" s="243"/>
    </row>
    <row r="12" spans="1:9" ht="10.35" customHeight="1" x14ac:dyDescent="0.15">
      <c r="B12" s="34"/>
      <c r="C12" s="9"/>
      <c r="D12" s="40"/>
      <c r="E12" s="40"/>
      <c r="F12" s="40"/>
      <c r="G12" s="34"/>
      <c r="H12" s="9"/>
      <c r="I12" s="40"/>
    </row>
    <row r="13" spans="1:9" ht="18" customHeight="1" x14ac:dyDescent="0.15">
      <c r="A13" s="1" t="s">
        <v>111</v>
      </c>
      <c r="B13" s="9" t="s">
        <v>112</v>
      </c>
      <c r="C13" s="3"/>
      <c r="D13" s="3"/>
      <c r="E13" s="3"/>
      <c r="F13" s="3"/>
      <c r="G13" s="3"/>
      <c r="H13" s="3"/>
      <c r="I13" s="3"/>
    </row>
    <row r="14" spans="1:9" ht="18" customHeight="1" x14ac:dyDescent="0.15">
      <c r="B14" s="239" t="s">
        <v>113</v>
      </c>
      <c r="C14" s="240"/>
      <c r="D14" s="240"/>
      <c r="E14" s="240"/>
      <c r="F14" s="240"/>
      <c r="G14" s="240"/>
      <c r="H14" s="240"/>
      <c r="I14" s="241"/>
    </row>
    <row r="15" spans="1:9" ht="9" customHeight="1" x14ac:dyDescent="0.15">
      <c r="B15" s="3"/>
      <c r="C15" s="3"/>
      <c r="D15" s="3"/>
      <c r="E15" s="3"/>
      <c r="F15" s="3"/>
      <c r="G15" s="3"/>
      <c r="H15" s="3"/>
      <c r="I15" s="3"/>
    </row>
    <row r="16" spans="1:9" ht="18" customHeight="1" x14ac:dyDescent="0.15">
      <c r="B16" s="34" t="s">
        <v>107</v>
      </c>
      <c r="C16" s="239" t="s">
        <v>114</v>
      </c>
      <c r="D16" s="242"/>
      <c r="E16" s="243"/>
      <c r="F16" s="40"/>
      <c r="G16" s="34" t="s">
        <v>109</v>
      </c>
      <c r="H16" s="239" t="s">
        <v>115</v>
      </c>
      <c r="I16" s="243"/>
    </row>
    <row r="17" spans="1:9" ht="18" customHeight="1" x14ac:dyDescent="0.15">
      <c r="B17" s="3"/>
      <c r="C17" s="3"/>
      <c r="D17" s="3"/>
      <c r="E17" s="3"/>
      <c r="F17" s="3"/>
      <c r="G17" s="3"/>
      <c r="H17" s="3"/>
      <c r="I17" s="3"/>
    </row>
    <row r="18" spans="1:9" ht="18.75" customHeight="1" x14ac:dyDescent="0.15">
      <c r="A18" s="1" t="s">
        <v>116</v>
      </c>
      <c r="B18" s="1" t="s">
        <v>117</v>
      </c>
      <c r="I18" s="3"/>
    </row>
    <row r="19" spans="1:9" ht="18.75" customHeight="1" x14ac:dyDescent="0.15">
      <c r="A19" s="1"/>
      <c r="B19" s="231" t="s">
        <v>118</v>
      </c>
      <c r="C19" s="232"/>
      <c r="D19" s="232"/>
      <c r="E19" s="232"/>
      <c r="F19" s="232"/>
      <c r="G19" s="232"/>
      <c r="H19" s="232"/>
      <c r="I19" s="233"/>
    </row>
    <row r="20" spans="1:9" ht="7.5" customHeight="1" x14ac:dyDescent="0.15">
      <c r="B20" s="3"/>
      <c r="C20" s="3"/>
      <c r="D20" s="3"/>
      <c r="E20" s="3"/>
      <c r="F20" s="3"/>
      <c r="G20" s="3"/>
      <c r="H20" s="3"/>
      <c r="I20" s="3"/>
    </row>
    <row r="21" spans="1:9" ht="18.75" customHeight="1" x14ac:dyDescent="0.15">
      <c r="A21" s="1" t="s">
        <v>119</v>
      </c>
      <c r="B21" s="1" t="s">
        <v>120</v>
      </c>
    </row>
    <row r="22" spans="1:9" ht="18.75" customHeight="1" x14ac:dyDescent="0.15">
      <c r="A22" s="14"/>
      <c r="B22" s="221" t="s">
        <v>121</v>
      </c>
      <c r="C22" s="222"/>
      <c r="D22" s="222"/>
      <c r="E22" s="222"/>
      <c r="F22" s="222"/>
      <c r="G22" s="222"/>
      <c r="H22" s="222"/>
      <c r="I22" s="223"/>
    </row>
    <row r="23" spans="1:9" ht="18.75" customHeight="1" x14ac:dyDescent="0.15">
      <c r="A23" s="14"/>
      <c r="B23" s="234"/>
      <c r="C23" s="235"/>
      <c r="D23" s="235"/>
      <c r="E23" s="235"/>
      <c r="F23" s="235"/>
      <c r="G23" s="235"/>
      <c r="H23" s="235"/>
      <c r="I23" s="226"/>
    </row>
    <row r="24" spans="1:9" ht="18.75" customHeight="1" x14ac:dyDescent="0.15">
      <c r="A24" s="14"/>
      <c r="B24" s="234"/>
      <c r="C24" s="235"/>
      <c r="D24" s="235"/>
      <c r="E24" s="235"/>
      <c r="F24" s="235"/>
      <c r="G24" s="235"/>
      <c r="H24" s="235"/>
      <c r="I24" s="226"/>
    </row>
    <row r="25" spans="1:9" ht="18.75" customHeight="1" x14ac:dyDescent="0.15">
      <c r="A25" s="14"/>
      <c r="B25" s="234"/>
      <c r="C25" s="235"/>
      <c r="D25" s="235"/>
      <c r="E25" s="235"/>
      <c r="F25" s="235"/>
      <c r="G25" s="235"/>
      <c r="H25" s="235"/>
      <c r="I25" s="226"/>
    </row>
    <row r="26" spans="1:9" ht="18.75" customHeight="1" x14ac:dyDescent="0.15">
      <c r="A26" s="14"/>
      <c r="B26" s="234"/>
      <c r="C26" s="235"/>
      <c r="D26" s="235"/>
      <c r="E26" s="235"/>
      <c r="F26" s="235"/>
      <c r="G26" s="235"/>
      <c r="H26" s="235"/>
      <c r="I26" s="226"/>
    </row>
    <row r="27" spans="1:9" ht="18.75" customHeight="1" x14ac:dyDescent="0.15">
      <c r="A27" s="14"/>
      <c r="B27" s="234"/>
      <c r="C27" s="235"/>
      <c r="D27" s="235"/>
      <c r="E27" s="235"/>
      <c r="F27" s="235"/>
      <c r="G27" s="235"/>
      <c r="H27" s="235"/>
      <c r="I27" s="226"/>
    </row>
    <row r="28" spans="1:9" ht="18.75" customHeight="1" x14ac:dyDescent="0.15">
      <c r="A28" s="14"/>
      <c r="B28" s="234"/>
      <c r="C28" s="235"/>
      <c r="D28" s="235"/>
      <c r="E28" s="235"/>
      <c r="F28" s="235"/>
      <c r="G28" s="235"/>
      <c r="H28" s="235"/>
      <c r="I28" s="226"/>
    </row>
    <row r="29" spans="1:9" ht="18.75" customHeight="1" x14ac:dyDescent="0.15">
      <c r="A29" s="14"/>
      <c r="B29" s="234"/>
      <c r="C29" s="235"/>
      <c r="D29" s="235"/>
      <c r="E29" s="235"/>
      <c r="F29" s="235"/>
      <c r="G29" s="235"/>
      <c r="H29" s="235"/>
      <c r="I29" s="226"/>
    </row>
    <row r="30" spans="1:9" ht="18.75" customHeight="1" x14ac:dyDescent="0.15">
      <c r="A30" s="14"/>
      <c r="B30" s="224"/>
      <c r="C30" s="225"/>
      <c r="D30" s="225"/>
      <c r="E30" s="225"/>
      <c r="F30" s="225"/>
      <c r="G30" s="225"/>
      <c r="H30" s="225"/>
      <c r="I30" s="226"/>
    </row>
    <row r="31" spans="1:9" ht="18.75" customHeight="1" x14ac:dyDescent="0.15">
      <c r="A31" s="14"/>
      <c r="B31" s="224"/>
      <c r="C31" s="225"/>
      <c r="D31" s="225"/>
      <c r="E31" s="225"/>
      <c r="F31" s="225"/>
      <c r="G31" s="225"/>
      <c r="H31" s="225"/>
      <c r="I31" s="226"/>
    </row>
    <row r="32" spans="1:9" ht="18.75" customHeight="1" x14ac:dyDescent="0.15">
      <c r="A32" s="14"/>
      <c r="B32" s="227"/>
      <c r="C32" s="228"/>
      <c r="D32" s="228"/>
      <c r="E32" s="228"/>
      <c r="F32" s="228"/>
      <c r="G32" s="228"/>
      <c r="H32" s="228"/>
      <c r="I32" s="229"/>
    </row>
    <row r="33" spans="1:9" ht="7.5" customHeight="1" x14ac:dyDescent="0.15">
      <c r="A33" s="14"/>
      <c r="B33" s="14"/>
      <c r="C33" s="14"/>
      <c r="D33" s="14"/>
      <c r="E33" s="14"/>
      <c r="F33" s="14"/>
      <c r="G33" s="14"/>
      <c r="H33" s="14"/>
      <c r="I33" s="14"/>
    </row>
    <row r="34" spans="1:9" ht="18.75" customHeight="1" x14ac:dyDescent="0.15">
      <c r="A34" s="15" t="s">
        <v>122</v>
      </c>
      <c r="B34" s="15" t="s">
        <v>123</v>
      </c>
      <c r="C34" s="9"/>
      <c r="D34" s="15"/>
      <c r="E34" s="15"/>
      <c r="F34" s="15"/>
      <c r="G34" s="15"/>
      <c r="H34" s="15"/>
      <c r="I34" s="15"/>
    </row>
    <row r="35" spans="1:9" ht="18.75" customHeight="1" x14ac:dyDescent="0.15">
      <c r="A35" s="14"/>
      <c r="B35" s="221" t="s">
        <v>124</v>
      </c>
      <c r="C35" s="222"/>
      <c r="D35" s="222"/>
      <c r="E35" s="222"/>
      <c r="F35" s="222"/>
      <c r="G35" s="222"/>
      <c r="H35" s="222"/>
      <c r="I35" s="223"/>
    </row>
    <row r="36" spans="1:9" ht="18.75" customHeight="1" x14ac:dyDescent="0.15">
      <c r="A36" s="14"/>
      <c r="B36" s="224"/>
      <c r="C36" s="225"/>
      <c r="D36" s="225"/>
      <c r="E36" s="225"/>
      <c r="F36" s="225"/>
      <c r="G36" s="225"/>
      <c r="H36" s="225"/>
      <c r="I36" s="226"/>
    </row>
    <row r="37" spans="1:9" ht="18.75" customHeight="1" x14ac:dyDescent="0.15">
      <c r="A37" s="14"/>
      <c r="B37" s="224"/>
      <c r="C37" s="225"/>
      <c r="D37" s="225"/>
      <c r="E37" s="225"/>
      <c r="F37" s="225"/>
      <c r="G37" s="225"/>
      <c r="H37" s="225"/>
      <c r="I37" s="226"/>
    </row>
    <row r="38" spans="1:9" ht="18.75" customHeight="1" x14ac:dyDescent="0.15">
      <c r="A38" s="14"/>
      <c r="B38" s="224"/>
      <c r="C38" s="225"/>
      <c r="D38" s="225"/>
      <c r="E38" s="225"/>
      <c r="F38" s="225"/>
      <c r="G38" s="225"/>
      <c r="H38" s="225"/>
      <c r="I38" s="226"/>
    </row>
    <row r="39" spans="1:9" ht="18.75" customHeight="1" x14ac:dyDescent="0.15">
      <c r="A39" s="14"/>
      <c r="B39" s="224"/>
      <c r="C39" s="225"/>
      <c r="D39" s="225"/>
      <c r="E39" s="225"/>
      <c r="F39" s="225"/>
      <c r="G39" s="225"/>
      <c r="H39" s="225"/>
      <c r="I39" s="226"/>
    </row>
    <row r="40" spans="1:9" ht="18.75" customHeight="1" x14ac:dyDescent="0.15">
      <c r="A40" s="14"/>
      <c r="B40" s="224"/>
      <c r="C40" s="225"/>
      <c r="D40" s="225"/>
      <c r="E40" s="225"/>
      <c r="F40" s="225"/>
      <c r="G40" s="225"/>
      <c r="H40" s="225"/>
      <c r="I40" s="226"/>
    </row>
    <row r="41" spans="1:9" ht="18.75" customHeight="1" x14ac:dyDescent="0.15">
      <c r="A41" s="14"/>
      <c r="B41" s="224"/>
      <c r="C41" s="225"/>
      <c r="D41" s="225"/>
      <c r="E41" s="225"/>
      <c r="F41" s="225"/>
      <c r="G41" s="225"/>
      <c r="H41" s="225"/>
      <c r="I41" s="226"/>
    </row>
    <row r="42" spans="1:9" ht="18.75" customHeight="1" x14ac:dyDescent="0.15">
      <c r="A42" s="14"/>
      <c r="B42" s="224"/>
      <c r="C42" s="225"/>
      <c r="D42" s="225"/>
      <c r="E42" s="225"/>
      <c r="F42" s="225"/>
      <c r="G42" s="225"/>
      <c r="H42" s="225"/>
      <c r="I42" s="226"/>
    </row>
    <row r="43" spans="1:9" ht="18.75" customHeight="1" x14ac:dyDescent="0.15">
      <c r="A43" s="14"/>
      <c r="B43" s="224"/>
      <c r="C43" s="225"/>
      <c r="D43" s="225"/>
      <c r="E43" s="225"/>
      <c r="F43" s="225"/>
      <c r="G43" s="225"/>
      <c r="H43" s="225"/>
      <c r="I43" s="226"/>
    </row>
    <row r="44" spans="1:9" ht="18.75" customHeight="1" x14ac:dyDescent="0.15">
      <c r="A44" s="14"/>
      <c r="B44" s="224"/>
      <c r="C44" s="225"/>
      <c r="D44" s="225"/>
      <c r="E44" s="225"/>
      <c r="F44" s="225"/>
      <c r="G44" s="225"/>
      <c r="H44" s="225"/>
      <c r="I44" s="226"/>
    </row>
    <row r="45" spans="1:9" ht="18.75" customHeight="1" x14ac:dyDescent="0.15">
      <c r="A45" s="14"/>
      <c r="B45" s="224"/>
      <c r="C45" s="225"/>
      <c r="D45" s="225"/>
      <c r="E45" s="225"/>
      <c r="F45" s="225"/>
      <c r="G45" s="225"/>
      <c r="H45" s="225"/>
      <c r="I45" s="226"/>
    </row>
    <row r="46" spans="1:9" ht="18.75" customHeight="1" x14ac:dyDescent="0.15">
      <c r="A46" s="14"/>
      <c r="B46" s="227"/>
      <c r="C46" s="228"/>
      <c r="D46" s="228"/>
      <c r="E46" s="228"/>
      <c r="F46" s="228"/>
      <c r="G46" s="228"/>
      <c r="H46" s="228"/>
      <c r="I46" s="229"/>
    </row>
    <row r="47" spans="1:9" ht="7.5" customHeight="1" x14ac:dyDescent="0.15">
      <c r="A47" s="4"/>
      <c r="B47" s="4"/>
      <c r="C47" s="4"/>
      <c r="D47" s="4"/>
      <c r="E47" s="4"/>
      <c r="F47" s="4"/>
      <c r="G47" s="4"/>
      <c r="H47" s="4"/>
      <c r="I47" s="4"/>
    </row>
    <row r="48" spans="1:9" ht="18.75" customHeight="1" x14ac:dyDescent="0.15">
      <c r="A48" s="1" t="s">
        <v>125</v>
      </c>
      <c r="B48" s="1" t="s">
        <v>126</v>
      </c>
    </row>
    <row r="49" spans="1:15" s="3" customFormat="1" ht="18.75" customHeight="1" x14ac:dyDescent="0.15">
      <c r="B49" s="41" t="s">
        <v>127</v>
      </c>
      <c r="C49" s="210">
        <f>'様式２ 履修者等数の実績'!AQ32</f>
        <v>0.21249999999999999</v>
      </c>
      <c r="D49" s="210"/>
      <c r="E49" s="41" t="s">
        <v>128</v>
      </c>
      <c r="F49" s="210">
        <v>1</v>
      </c>
      <c r="G49" s="210"/>
      <c r="H49" s="41" t="s">
        <v>129</v>
      </c>
      <c r="I49" s="42">
        <v>1</v>
      </c>
      <c r="J49" s="1"/>
      <c r="M49" s="1"/>
      <c r="N49" s="43"/>
    </row>
    <row r="50" spans="1:15" s="3" customFormat="1" ht="18.75" customHeight="1" x14ac:dyDescent="0.15">
      <c r="B50" s="44" t="s">
        <v>130</v>
      </c>
      <c r="C50" s="211">
        <v>1</v>
      </c>
      <c r="D50" s="211"/>
      <c r="E50" s="44" t="s">
        <v>131</v>
      </c>
      <c r="F50" s="211">
        <v>1</v>
      </c>
      <c r="G50" s="211"/>
      <c r="H50" s="44" t="s">
        <v>132</v>
      </c>
      <c r="I50" s="45">
        <f>'様式２ 履修者等数の実績'!E32</f>
        <v>800</v>
      </c>
      <c r="J50" s="1"/>
      <c r="M50" s="1"/>
      <c r="N50" s="43"/>
    </row>
    <row r="51" spans="1:15" ht="18.75" customHeight="1" x14ac:dyDescent="0.15">
      <c r="A51" s="1"/>
      <c r="B51" s="236" t="s">
        <v>133</v>
      </c>
      <c r="C51" s="237"/>
      <c r="D51" s="237"/>
      <c r="E51" s="237"/>
      <c r="F51" s="237"/>
      <c r="G51" s="237"/>
      <c r="H51" s="237"/>
      <c r="I51" s="238"/>
      <c r="N51" s="43"/>
      <c r="O51" s="3"/>
    </row>
    <row r="52" spans="1:15" ht="18.75" customHeight="1" x14ac:dyDescent="0.15">
      <c r="A52" s="1"/>
      <c r="B52" s="212" t="s">
        <v>134</v>
      </c>
      <c r="C52" s="213"/>
      <c r="D52" s="213"/>
      <c r="E52" s="213"/>
      <c r="F52" s="213"/>
      <c r="G52" s="213"/>
      <c r="H52" s="213"/>
      <c r="I52" s="214"/>
      <c r="N52" s="43"/>
      <c r="O52" s="3"/>
    </row>
    <row r="53" spans="1:15" ht="18.75" customHeight="1" x14ac:dyDescent="0.15">
      <c r="A53" s="1"/>
      <c r="B53" s="215"/>
      <c r="C53" s="216"/>
      <c r="D53" s="216"/>
      <c r="E53" s="216"/>
      <c r="F53" s="216"/>
      <c r="G53" s="216"/>
      <c r="H53" s="216"/>
      <c r="I53" s="217"/>
      <c r="N53" s="43"/>
      <c r="O53" s="3"/>
    </row>
    <row r="54" spans="1:15" ht="18.75" customHeight="1" x14ac:dyDescent="0.15">
      <c r="A54" s="1"/>
      <c r="B54" s="215"/>
      <c r="C54" s="216"/>
      <c r="D54" s="216"/>
      <c r="E54" s="216"/>
      <c r="F54" s="216"/>
      <c r="G54" s="216"/>
      <c r="H54" s="216"/>
      <c r="I54" s="217"/>
    </row>
    <row r="55" spans="1:15" ht="18.75" customHeight="1" x14ac:dyDescent="0.15">
      <c r="A55" s="1"/>
      <c r="B55" s="215"/>
      <c r="C55" s="216"/>
      <c r="D55" s="216"/>
      <c r="E55" s="216"/>
      <c r="F55" s="216"/>
      <c r="G55" s="216"/>
      <c r="H55" s="216"/>
      <c r="I55" s="217"/>
    </row>
    <row r="56" spans="1:15" ht="18.75" customHeight="1" x14ac:dyDescent="0.15">
      <c r="A56" s="1"/>
      <c r="B56" s="215"/>
      <c r="C56" s="216"/>
      <c r="D56" s="216"/>
      <c r="E56" s="216"/>
      <c r="F56" s="216"/>
      <c r="G56" s="216"/>
      <c r="H56" s="216"/>
      <c r="I56" s="217"/>
    </row>
    <row r="57" spans="1:15" ht="18.75" customHeight="1" x14ac:dyDescent="0.15">
      <c r="A57" s="1"/>
      <c r="B57" s="215"/>
      <c r="C57" s="216"/>
      <c r="D57" s="216"/>
      <c r="E57" s="216"/>
      <c r="F57" s="216"/>
      <c r="G57" s="216"/>
      <c r="H57" s="216"/>
      <c r="I57" s="217"/>
    </row>
    <row r="58" spans="1:15" ht="18.75" customHeight="1" x14ac:dyDescent="0.15">
      <c r="A58" s="1"/>
      <c r="B58" s="215"/>
      <c r="C58" s="216"/>
      <c r="D58" s="216"/>
      <c r="E58" s="216"/>
      <c r="F58" s="216"/>
      <c r="G58" s="216"/>
      <c r="H58" s="216"/>
      <c r="I58" s="217"/>
    </row>
    <row r="59" spans="1:15" ht="18.75" customHeight="1" x14ac:dyDescent="0.15">
      <c r="A59" s="1"/>
      <c r="B59" s="215"/>
      <c r="C59" s="216"/>
      <c r="D59" s="216"/>
      <c r="E59" s="216"/>
      <c r="F59" s="216"/>
      <c r="G59" s="216"/>
      <c r="H59" s="216"/>
      <c r="I59" s="217"/>
    </row>
    <row r="60" spans="1:15" ht="18.75" customHeight="1" x14ac:dyDescent="0.15">
      <c r="A60" s="1"/>
      <c r="B60" s="215"/>
      <c r="C60" s="216"/>
      <c r="D60" s="216"/>
      <c r="E60" s="216"/>
      <c r="F60" s="216"/>
      <c r="G60" s="216"/>
      <c r="H60" s="216"/>
      <c r="I60" s="217"/>
    </row>
    <row r="61" spans="1:15" ht="18.75" customHeight="1" x14ac:dyDescent="0.15">
      <c r="A61" s="1"/>
      <c r="B61" s="215"/>
      <c r="C61" s="216"/>
      <c r="D61" s="216"/>
      <c r="E61" s="216"/>
      <c r="F61" s="216"/>
      <c r="G61" s="216"/>
      <c r="H61" s="216"/>
      <c r="I61" s="217"/>
    </row>
    <row r="62" spans="1:15" ht="18.75" customHeight="1" x14ac:dyDescent="0.15">
      <c r="A62" s="1"/>
      <c r="B62" s="215"/>
      <c r="C62" s="216"/>
      <c r="D62" s="216"/>
      <c r="E62" s="216"/>
      <c r="F62" s="216"/>
      <c r="G62" s="216"/>
      <c r="H62" s="216"/>
      <c r="I62" s="217"/>
    </row>
    <row r="63" spans="1:15" ht="18.75" customHeight="1" x14ac:dyDescent="0.15">
      <c r="A63" s="1"/>
      <c r="B63" s="218"/>
      <c r="C63" s="219"/>
      <c r="D63" s="219"/>
      <c r="E63" s="219"/>
      <c r="F63" s="219"/>
      <c r="G63" s="219"/>
      <c r="H63" s="219"/>
      <c r="I63" s="220"/>
    </row>
    <row r="64" spans="1:15" ht="7.5" customHeight="1" x14ac:dyDescent="0.15">
      <c r="A64" s="14"/>
      <c r="B64" s="14"/>
      <c r="C64" s="14"/>
      <c r="D64" s="14"/>
      <c r="E64" s="14"/>
      <c r="F64" s="14"/>
      <c r="G64" s="14"/>
      <c r="H64" s="14"/>
      <c r="I64" s="14"/>
    </row>
    <row r="65" spans="1:9" ht="18.75" customHeight="1" x14ac:dyDescent="0.15">
      <c r="A65" s="15" t="s">
        <v>135</v>
      </c>
      <c r="B65" s="1" t="s">
        <v>136</v>
      </c>
      <c r="I65" s="15"/>
    </row>
    <row r="66" spans="1:9" ht="18.75" customHeight="1" x14ac:dyDescent="0.15">
      <c r="A66" s="4"/>
      <c r="B66" s="194" t="s">
        <v>137</v>
      </c>
      <c r="C66" s="195"/>
      <c r="D66" s="195"/>
      <c r="E66" s="195"/>
      <c r="F66" s="195"/>
      <c r="G66" s="195"/>
      <c r="H66" s="195"/>
      <c r="I66" s="196"/>
    </row>
    <row r="67" spans="1:9" ht="18.75" customHeight="1" x14ac:dyDescent="0.15">
      <c r="A67" s="4"/>
      <c r="B67" s="197"/>
      <c r="C67" s="198"/>
      <c r="D67" s="198"/>
      <c r="E67" s="198"/>
      <c r="F67" s="198"/>
      <c r="G67" s="198"/>
      <c r="H67" s="198"/>
      <c r="I67" s="199"/>
    </row>
    <row r="68" spans="1:9" ht="18.75" customHeight="1" x14ac:dyDescent="0.15">
      <c r="A68" s="4"/>
      <c r="B68" s="197"/>
      <c r="C68" s="198"/>
      <c r="D68" s="198"/>
      <c r="E68" s="198"/>
      <c r="F68" s="198"/>
      <c r="G68" s="198"/>
      <c r="H68" s="198"/>
      <c r="I68" s="199"/>
    </row>
    <row r="69" spans="1:9" ht="18.75" customHeight="1" x14ac:dyDescent="0.15">
      <c r="A69" s="4"/>
      <c r="B69" s="197"/>
      <c r="C69" s="198"/>
      <c r="D69" s="198"/>
      <c r="E69" s="198"/>
      <c r="F69" s="198"/>
      <c r="G69" s="198"/>
      <c r="H69" s="198"/>
      <c r="I69" s="199"/>
    </row>
    <row r="70" spans="1:9" ht="18.75" customHeight="1" x14ac:dyDescent="0.15">
      <c r="A70" s="4"/>
      <c r="B70" s="197"/>
      <c r="C70" s="198"/>
      <c r="D70" s="198"/>
      <c r="E70" s="198"/>
      <c r="F70" s="198"/>
      <c r="G70" s="198"/>
      <c r="H70" s="198"/>
      <c r="I70" s="199"/>
    </row>
    <row r="71" spans="1:9" ht="18.75" customHeight="1" x14ac:dyDescent="0.15">
      <c r="A71" s="4"/>
      <c r="B71" s="197"/>
      <c r="C71" s="198"/>
      <c r="D71" s="198"/>
      <c r="E71" s="198"/>
      <c r="F71" s="198"/>
      <c r="G71" s="198"/>
      <c r="H71" s="198"/>
      <c r="I71" s="199"/>
    </row>
    <row r="72" spans="1:9" ht="18.75" customHeight="1" x14ac:dyDescent="0.15">
      <c r="A72" s="4"/>
      <c r="B72" s="197"/>
      <c r="C72" s="198"/>
      <c r="D72" s="198"/>
      <c r="E72" s="198"/>
      <c r="F72" s="198"/>
      <c r="G72" s="198"/>
      <c r="H72" s="198"/>
      <c r="I72" s="199"/>
    </row>
    <row r="73" spans="1:9" ht="18.75" customHeight="1" x14ac:dyDescent="0.15">
      <c r="A73" s="4"/>
      <c r="B73" s="197"/>
      <c r="C73" s="198"/>
      <c r="D73" s="198"/>
      <c r="E73" s="198"/>
      <c r="F73" s="198"/>
      <c r="G73" s="198"/>
      <c r="H73" s="198"/>
      <c r="I73" s="199"/>
    </row>
    <row r="74" spans="1:9" ht="18.75" customHeight="1" x14ac:dyDescent="0.15">
      <c r="A74" s="4"/>
      <c r="B74" s="197"/>
      <c r="C74" s="198"/>
      <c r="D74" s="198"/>
      <c r="E74" s="198"/>
      <c r="F74" s="198"/>
      <c r="G74" s="198"/>
      <c r="H74" s="198"/>
      <c r="I74" s="199"/>
    </row>
    <row r="75" spans="1:9" ht="18.75" customHeight="1" x14ac:dyDescent="0.15">
      <c r="A75" s="4"/>
      <c r="B75" s="197"/>
      <c r="C75" s="198"/>
      <c r="D75" s="198"/>
      <c r="E75" s="198"/>
      <c r="F75" s="198"/>
      <c r="G75" s="198"/>
      <c r="H75" s="198"/>
      <c r="I75" s="199"/>
    </row>
    <row r="76" spans="1:9" ht="18.75" customHeight="1" x14ac:dyDescent="0.15">
      <c r="A76" s="4"/>
      <c r="B76" s="197"/>
      <c r="C76" s="198"/>
      <c r="D76" s="198"/>
      <c r="E76" s="198"/>
      <c r="F76" s="198"/>
      <c r="G76" s="198"/>
      <c r="H76" s="198"/>
      <c r="I76" s="199"/>
    </row>
    <row r="77" spans="1:9" ht="18.75" customHeight="1" x14ac:dyDescent="0.15">
      <c r="A77" s="4"/>
      <c r="B77" s="200"/>
      <c r="C77" s="201"/>
      <c r="D77" s="201"/>
      <c r="E77" s="201"/>
      <c r="F77" s="201"/>
      <c r="G77" s="201"/>
      <c r="H77" s="201"/>
      <c r="I77" s="202"/>
    </row>
    <row r="78" spans="1:9" ht="7.5" customHeight="1" x14ac:dyDescent="0.15">
      <c r="A78" s="4"/>
      <c r="B78" s="4"/>
      <c r="C78" s="4"/>
      <c r="D78" s="4"/>
      <c r="E78" s="4"/>
      <c r="F78" s="4"/>
      <c r="G78" s="4"/>
      <c r="H78" s="4"/>
      <c r="I78" s="4"/>
    </row>
    <row r="79" spans="1:9" ht="18.75" customHeight="1" x14ac:dyDescent="0.15">
      <c r="A79" s="1" t="s">
        <v>138</v>
      </c>
      <c r="B79" s="1" t="s">
        <v>139</v>
      </c>
    </row>
    <row r="80" spans="1:9" ht="18.75" customHeight="1" x14ac:dyDescent="0.15">
      <c r="A80" s="1"/>
      <c r="B80" s="194" t="s">
        <v>140</v>
      </c>
      <c r="C80" s="195"/>
      <c r="D80" s="195"/>
      <c r="E80" s="195"/>
      <c r="F80" s="195"/>
      <c r="G80" s="195"/>
      <c r="H80" s="195"/>
      <c r="I80" s="203"/>
    </row>
    <row r="81" spans="1:9" ht="18.75" customHeight="1" x14ac:dyDescent="0.15">
      <c r="A81" s="1"/>
      <c r="B81" s="204"/>
      <c r="C81" s="205"/>
      <c r="D81" s="205"/>
      <c r="E81" s="205"/>
      <c r="F81" s="205"/>
      <c r="G81" s="205"/>
      <c r="H81" s="205"/>
      <c r="I81" s="206"/>
    </row>
    <row r="82" spans="1:9" ht="18.75" customHeight="1" x14ac:dyDescent="0.15">
      <c r="A82" s="1"/>
      <c r="B82" s="204"/>
      <c r="C82" s="205"/>
      <c r="D82" s="205"/>
      <c r="E82" s="205"/>
      <c r="F82" s="205"/>
      <c r="G82" s="205"/>
      <c r="H82" s="205"/>
      <c r="I82" s="206"/>
    </row>
    <row r="83" spans="1:9" ht="18.75" customHeight="1" x14ac:dyDescent="0.15">
      <c r="A83" s="1"/>
      <c r="B83" s="204"/>
      <c r="C83" s="205"/>
      <c r="D83" s="205"/>
      <c r="E83" s="205"/>
      <c r="F83" s="205"/>
      <c r="G83" s="205"/>
      <c r="H83" s="205"/>
      <c r="I83" s="206"/>
    </row>
    <row r="84" spans="1:9" ht="18.75" customHeight="1" x14ac:dyDescent="0.15">
      <c r="A84" s="1"/>
      <c r="B84" s="204"/>
      <c r="C84" s="205"/>
      <c r="D84" s="205"/>
      <c r="E84" s="205"/>
      <c r="F84" s="205"/>
      <c r="G84" s="205"/>
      <c r="H84" s="205"/>
      <c r="I84" s="206"/>
    </row>
    <row r="85" spans="1:9" ht="18.75" customHeight="1" x14ac:dyDescent="0.15">
      <c r="A85" s="1"/>
      <c r="B85" s="204"/>
      <c r="C85" s="205"/>
      <c r="D85" s="205"/>
      <c r="E85" s="205"/>
      <c r="F85" s="205"/>
      <c r="G85" s="205"/>
      <c r="H85" s="205"/>
      <c r="I85" s="206"/>
    </row>
    <row r="86" spans="1:9" ht="18.75" customHeight="1" x14ac:dyDescent="0.15">
      <c r="A86" s="1"/>
      <c r="B86" s="204"/>
      <c r="C86" s="205"/>
      <c r="D86" s="205"/>
      <c r="E86" s="205"/>
      <c r="F86" s="205"/>
      <c r="G86" s="205"/>
      <c r="H86" s="205"/>
      <c r="I86" s="206"/>
    </row>
    <row r="87" spans="1:9" ht="18.75" customHeight="1" x14ac:dyDescent="0.15">
      <c r="A87" s="1"/>
      <c r="B87" s="204"/>
      <c r="C87" s="205"/>
      <c r="D87" s="205"/>
      <c r="E87" s="205"/>
      <c r="F87" s="205"/>
      <c r="G87" s="205"/>
      <c r="H87" s="205"/>
      <c r="I87" s="206"/>
    </row>
    <row r="88" spans="1:9" ht="18.75" customHeight="1" x14ac:dyDescent="0.15">
      <c r="A88" s="1"/>
      <c r="B88" s="204"/>
      <c r="C88" s="205"/>
      <c r="D88" s="205"/>
      <c r="E88" s="205"/>
      <c r="F88" s="205"/>
      <c r="G88" s="205"/>
      <c r="H88" s="205"/>
      <c r="I88" s="206"/>
    </row>
    <row r="89" spans="1:9" ht="18.75" customHeight="1" x14ac:dyDescent="0.15">
      <c r="A89" s="1"/>
      <c r="B89" s="204"/>
      <c r="C89" s="205"/>
      <c r="D89" s="205"/>
      <c r="E89" s="205"/>
      <c r="F89" s="205"/>
      <c r="G89" s="205"/>
      <c r="H89" s="205"/>
      <c r="I89" s="206"/>
    </row>
    <row r="90" spans="1:9" ht="18.75" customHeight="1" x14ac:dyDescent="0.15">
      <c r="A90" s="4"/>
      <c r="B90" s="204"/>
      <c r="C90" s="205"/>
      <c r="D90" s="205"/>
      <c r="E90" s="205"/>
      <c r="F90" s="205"/>
      <c r="G90" s="205"/>
      <c r="H90" s="205"/>
      <c r="I90" s="206"/>
    </row>
    <row r="91" spans="1:9" ht="18.75" customHeight="1" x14ac:dyDescent="0.15">
      <c r="A91" s="4"/>
      <c r="B91" s="207"/>
      <c r="C91" s="208"/>
      <c r="D91" s="208"/>
      <c r="E91" s="208"/>
      <c r="F91" s="208"/>
      <c r="G91" s="208"/>
      <c r="H91" s="208"/>
      <c r="I91" s="209"/>
    </row>
    <row r="92" spans="1:9" ht="7.5" customHeight="1" x14ac:dyDescent="0.15">
      <c r="A92" s="4"/>
      <c r="B92" s="4"/>
      <c r="C92" s="4"/>
      <c r="D92" s="4"/>
      <c r="E92" s="4"/>
      <c r="F92" s="4"/>
      <c r="G92" s="4"/>
      <c r="H92" s="4"/>
      <c r="I92" s="4"/>
    </row>
    <row r="93" spans="1:9" ht="18.75" customHeight="1" x14ac:dyDescent="0.15">
      <c r="A93" s="1" t="s">
        <v>141</v>
      </c>
      <c r="B93" s="1" t="s">
        <v>142</v>
      </c>
    </row>
    <row r="94" spans="1:9" ht="18.75" customHeight="1" x14ac:dyDescent="0.15">
      <c r="A94" s="1"/>
      <c r="B94" s="221" t="s">
        <v>143</v>
      </c>
      <c r="C94" s="222"/>
      <c r="D94" s="222"/>
      <c r="E94" s="222"/>
      <c r="F94" s="222"/>
      <c r="G94" s="222"/>
      <c r="H94" s="222"/>
      <c r="I94" s="223"/>
    </row>
    <row r="95" spans="1:9" ht="18.75" customHeight="1" x14ac:dyDescent="0.15">
      <c r="A95" s="1"/>
      <c r="B95" s="224"/>
      <c r="C95" s="225"/>
      <c r="D95" s="225"/>
      <c r="E95" s="225"/>
      <c r="F95" s="225"/>
      <c r="G95" s="225"/>
      <c r="H95" s="225"/>
      <c r="I95" s="226"/>
    </row>
    <row r="96" spans="1:9" ht="18.75" customHeight="1" x14ac:dyDescent="0.15">
      <c r="A96" s="1"/>
      <c r="B96" s="224"/>
      <c r="C96" s="225"/>
      <c r="D96" s="225"/>
      <c r="E96" s="225"/>
      <c r="F96" s="225"/>
      <c r="G96" s="225"/>
      <c r="H96" s="225"/>
      <c r="I96" s="226"/>
    </row>
    <row r="97" spans="1:9" ht="18.75" customHeight="1" x14ac:dyDescent="0.15">
      <c r="A97" s="1"/>
      <c r="B97" s="224"/>
      <c r="C97" s="225"/>
      <c r="D97" s="225"/>
      <c r="E97" s="225"/>
      <c r="F97" s="225"/>
      <c r="G97" s="225"/>
      <c r="H97" s="225"/>
      <c r="I97" s="226"/>
    </row>
    <row r="98" spans="1:9" ht="18.75" customHeight="1" x14ac:dyDescent="0.15">
      <c r="A98" s="1"/>
      <c r="B98" s="224"/>
      <c r="C98" s="225"/>
      <c r="D98" s="225"/>
      <c r="E98" s="225"/>
      <c r="F98" s="225"/>
      <c r="G98" s="225"/>
      <c r="H98" s="225"/>
      <c r="I98" s="226"/>
    </row>
    <row r="99" spans="1:9" ht="18.75" customHeight="1" x14ac:dyDescent="0.15">
      <c r="A99" s="1"/>
      <c r="B99" s="224"/>
      <c r="C99" s="225"/>
      <c r="D99" s="225"/>
      <c r="E99" s="225"/>
      <c r="F99" s="225"/>
      <c r="G99" s="225"/>
      <c r="H99" s="225"/>
      <c r="I99" s="226"/>
    </row>
    <row r="100" spans="1:9" ht="18.75" customHeight="1" x14ac:dyDescent="0.15">
      <c r="A100" s="1"/>
      <c r="B100" s="224"/>
      <c r="C100" s="225"/>
      <c r="D100" s="225"/>
      <c r="E100" s="225"/>
      <c r="F100" s="225"/>
      <c r="G100" s="225"/>
      <c r="H100" s="225"/>
      <c r="I100" s="226"/>
    </row>
    <row r="101" spans="1:9" ht="18.75" customHeight="1" x14ac:dyDescent="0.15">
      <c r="A101" s="1"/>
      <c r="B101" s="224"/>
      <c r="C101" s="225"/>
      <c r="D101" s="225"/>
      <c r="E101" s="225"/>
      <c r="F101" s="225"/>
      <c r="G101" s="225"/>
      <c r="H101" s="225"/>
      <c r="I101" s="226"/>
    </row>
    <row r="102" spans="1:9" ht="18.75" customHeight="1" x14ac:dyDescent="0.15">
      <c r="A102" s="1"/>
      <c r="B102" s="224"/>
      <c r="C102" s="225"/>
      <c r="D102" s="225"/>
      <c r="E102" s="225"/>
      <c r="F102" s="225"/>
      <c r="G102" s="225"/>
      <c r="H102" s="225"/>
      <c r="I102" s="226"/>
    </row>
    <row r="103" spans="1:9" ht="18.75" customHeight="1" x14ac:dyDescent="0.15">
      <c r="A103" s="1"/>
      <c r="B103" s="224"/>
      <c r="C103" s="225"/>
      <c r="D103" s="225"/>
      <c r="E103" s="225"/>
      <c r="F103" s="225"/>
      <c r="G103" s="225"/>
      <c r="H103" s="225"/>
      <c r="I103" s="226"/>
    </row>
    <row r="104" spans="1:9" ht="18.75" customHeight="1" x14ac:dyDescent="0.15">
      <c r="A104" s="1"/>
      <c r="B104" s="224"/>
      <c r="C104" s="225"/>
      <c r="D104" s="225"/>
      <c r="E104" s="225"/>
      <c r="F104" s="225"/>
      <c r="G104" s="225"/>
      <c r="H104" s="225"/>
      <c r="I104" s="226"/>
    </row>
    <row r="105" spans="1:9" ht="18.75" customHeight="1" x14ac:dyDescent="0.15">
      <c r="A105" s="4"/>
      <c r="B105" s="227"/>
      <c r="C105" s="228"/>
      <c r="D105" s="228"/>
      <c r="E105" s="228"/>
      <c r="F105" s="228"/>
      <c r="G105" s="228"/>
      <c r="H105" s="228"/>
      <c r="I105" s="229"/>
    </row>
    <row r="106" spans="1:9" ht="7.5" customHeight="1" x14ac:dyDescent="0.15">
      <c r="A106" s="4"/>
      <c r="B106" s="4"/>
      <c r="C106" s="4"/>
      <c r="D106" s="4"/>
      <c r="E106" s="4"/>
      <c r="F106" s="4"/>
      <c r="G106" s="4"/>
      <c r="H106" s="4"/>
      <c r="I106" s="4"/>
    </row>
    <row r="107" spans="1:9" ht="18.75" customHeight="1" x14ac:dyDescent="0.15">
      <c r="A107" s="1" t="s">
        <v>144</v>
      </c>
      <c r="B107" s="230" t="s">
        <v>145</v>
      </c>
      <c r="C107" s="230"/>
      <c r="D107" s="230"/>
      <c r="E107" s="230"/>
      <c r="F107" s="230"/>
      <c r="G107" s="230"/>
      <c r="H107" s="230"/>
      <c r="I107" s="230"/>
    </row>
    <row r="108" spans="1:9" ht="18.75" customHeight="1" x14ac:dyDescent="0.15">
      <c r="A108" s="4"/>
      <c r="B108" s="221" t="s">
        <v>146</v>
      </c>
      <c r="C108" s="222"/>
      <c r="D108" s="222"/>
      <c r="E108" s="222"/>
      <c r="F108" s="222"/>
      <c r="G108" s="222"/>
      <c r="H108" s="222"/>
      <c r="I108" s="223"/>
    </row>
    <row r="109" spans="1:9" ht="18.75" customHeight="1" x14ac:dyDescent="0.15">
      <c r="A109" s="4"/>
      <c r="B109" s="224"/>
      <c r="C109" s="225"/>
      <c r="D109" s="225"/>
      <c r="E109" s="225"/>
      <c r="F109" s="225"/>
      <c r="G109" s="225"/>
      <c r="H109" s="225"/>
      <c r="I109" s="226"/>
    </row>
    <row r="110" spans="1:9" ht="18.75" customHeight="1" x14ac:dyDescent="0.15">
      <c r="A110" s="4"/>
      <c r="B110" s="224"/>
      <c r="C110" s="225"/>
      <c r="D110" s="225"/>
      <c r="E110" s="225"/>
      <c r="F110" s="225"/>
      <c r="G110" s="225"/>
      <c r="H110" s="225"/>
      <c r="I110" s="226"/>
    </row>
    <row r="111" spans="1:9" ht="18.75" customHeight="1" x14ac:dyDescent="0.15">
      <c r="A111" s="4"/>
      <c r="B111" s="224"/>
      <c r="C111" s="225"/>
      <c r="D111" s="225"/>
      <c r="E111" s="225"/>
      <c r="F111" s="225"/>
      <c r="G111" s="225"/>
      <c r="H111" s="225"/>
      <c r="I111" s="226"/>
    </row>
    <row r="112" spans="1:9" ht="18.75" customHeight="1" x14ac:dyDescent="0.15">
      <c r="A112" s="4"/>
      <c r="B112" s="224"/>
      <c r="C112" s="225"/>
      <c r="D112" s="225"/>
      <c r="E112" s="225"/>
      <c r="F112" s="225"/>
      <c r="G112" s="225"/>
      <c r="H112" s="225"/>
      <c r="I112" s="226"/>
    </row>
    <row r="113" spans="1:9" ht="18.75" customHeight="1" x14ac:dyDescent="0.15">
      <c r="A113" s="4"/>
      <c r="B113" s="224"/>
      <c r="C113" s="225"/>
      <c r="D113" s="225"/>
      <c r="E113" s="225"/>
      <c r="F113" s="225"/>
      <c r="G113" s="225"/>
      <c r="H113" s="225"/>
      <c r="I113" s="226"/>
    </row>
    <row r="114" spans="1:9" ht="18.75" customHeight="1" x14ac:dyDescent="0.15">
      <c r="A114" s="4"/>
      <c r="B114" s="224"/>
      <c r="C114" s="225"/>
      <c r="D114" s="225"/>
      <c r="E114" s="225"/>
      <c r="F114" s="225"/>
      <c r="G114" s="225"/>
      <c r="H114" s="225"/>
      <c r="I114" s="226"/>
    </row>
    <row r="115" spans="1:9" ht="18.75" customHeight="1" x14ac:dyDescent="0.15">
      <c r="A115" s="4"/>
      <c r="B115" s="224"/>
      <c r="C115" s="225"/>
      <c r="D115" s="225"/>
      <c r="E115" s="225"/>
      <c r="F115" s="225"/>
      <c r="G115" s="225"/>
      <c r="H115" s="225"/>
      <c r="I115" s="226"/>
    </row>
    <row r="116" spans="1:9" ht="18.75" customHeight="1" x14ac:dyDescent="0.15">
      <c r="A116" s="4"/>
      <c r="B116" s="224"/>
      <c r="C116" s="225"/>
      <c r="D116" s="225"/>
      <c r="E116" s="225"/>
      <c r="F116" s="225"/>
      <c r="G116" s="225"/>
      <c r="H116" s="225"/>
      <c r="I116" s="226"/>
    </row>
    <row r="117" spans="1:9" ht="18.75" customHeight="1" x14ac:dyDescent="0.15">
      <c r="A117" s="4"/>
      <c r="B117" s="224"/>
      <c r="C117" s="225"/>
      <c r="D117" s="225"/>
      <c r="E117" s="225"/>
      <c r="F117" s="225"/>
      <c r="G117" s="225"/>
      <c r="H117" s="225"/>
      <c r="I117" s="226"/>
    </row>
    <row r="118" spans="1:9" ht="18.75" customHeight="1" x14ac:dyDescent="0.15">
      <c r="A118" s="4"/>
      <c r="B118" s="224"/>
      <c r="C118" s="225"/>
      <c r="D118" s="225"/>
      <c r="E118" s="225"/>
      <c r="F118" s="225"/>
      <c r="G118" s="225"/>
      <c r="H118" s="225"/>
      <c r="I118" s="226"/>
    </row>
    <row r="119" spans="1:9" ht="18.75" customHeight="1" x14ac:dyDescent="0.15">
      <c r="A119" s="4"/>
      <c r="B119" s="227"/>
      <c r="C119" s="228"/>
      <c r="D119" s="228"/>
      <c r="E119" s="228"/>
      <c r="F119" s="228"/>
      <c r="G119" s="228"/>
      <c r="H119" s="228"/>
      <c r="I119" s="229"/>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B21" zoomScaleNormal="100" zoomScaleSheetLayoutView="100" workbookViewId="0">
      <selection activeCell="B13" sqref="B13:S18"/>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147</v>
      </c>
      <c r="I1" s="34" t="s">
        <v>148</v>
      </c>
    </row>
    <row r="2" spans="1:9" ht="18.75" customHeight="1" x14ac:dyDescent="0.15">
      <c r="H2" s="34" t="s">
        <v>2</v>
      </c>
      <c r="I2" s="81" t="str">
        <f>'様式１　プログラムを構成する授業科目'!C2</f>
        <v>秋田工業高等専門学校</v>
      </c>
    </row>
    <row r="3" spans="1:9" ht="18.75" customHeight="1" x14ac:dyDescent="0.15">
      <c r="A3" s="110" t="s">
        <v>149</v>
      </c>
      <c r="B3" s="110"/>
      <c r="C3" s="110"/>
      <c r="D3" s="110"/>
      <c r="E3" s="110"/>
      <c r="F3" s="110"/>
      <c r="G3" s="110"/>
      <c r="H3" s="110"/>
      <c r="I3" s="110"/>
    </row>
    <row r="4" spans="1:9" ht="18.75" customHeight="1" x14ac:dyDescent="0.15">
      <c r="A4" s="80"/>
      <c r="B4" s="80"/>
      <c r="C4" s="80"/>
      <c r="D4" s="80"/>
      <c r="E4" s="80"/>
      <c r="F4" s="80"/>
      <c r="G4" s="80"/>
      <c r="H4" s="80"/>
      <c r="I4" s="80"/>
    </row>
    <row r="5" spans="1:9" ht="18.75" customHeight="1" x14ac:dyDescent="0.15">
      <c r="A5" s="1" t="s">
        <v>98</v>
      </c>
      <c r="B5" s="9" t="s">
        <v>150</v>
      </c>
      <c r="C5" s="80"/>
      <c r="D5" s="80"/>
      <c r="E5" s="80"/>
      <c r="F5" s="80"/>
      <c r="G5" s="80"/>
      <c r="H5" s="80"/>
      <c r="I5" s="80"/>
    </row>
    <row r="6" spans="1:9" ht="26.25" customHeight="1" x14ac:dyDescent="0.15">
      <c r="A6" s="80"/>
      <c r="B6" s="267" t="s">
        <v>151</v>
      </c>
      <c r="C6" s="268"/>
      <c r="D6" s="268"/>
      <c r="E6" s="268"/>
      <c r="F6" s="268"/>
      <c r="G6" s="268"/>
      <c r="H6" s="269"/>
      <c r="I6" s="3"/>
    </row>
    <row r="7" spans="1:9" ht="9" customHeight="1" x14ac:dyDescent="0.15">
      <c r="A7" s="80"/>
      <c r="B7" s="9"/>
      <c r="C7" s="9"/>
      <c r="D7" s="9"/>
      <c r="E7" s="9"/>
      <c r="F7" s="9"/>
      <c r="G7" s="9"/>
      <c r="H7" s="9"/>
      <c r="I7" s="3"/>
    </row>
    <row r="8" spans="1:9" ht="18.75" customHeight="1" x14ac:dyDescent="0.15">
      <c r="A8" s="80"/>
      <c r="B8" s="3"/>
      <c r="C8" s="3"/>
      <c r="D8" s="34" t="s">
        <v>107</v>
      </c>
      <c r="E8" s="83" t="s">
        <v>152</v>
      </c>
      <c r="F8" s="3"/>
      <c r="G8" s="34" t="s">
        <v>109</v>
      </c>
      <c r="H8" s="83" t="s">
        <v>110</v>
      </c>
      <c r="I8" s="3"/>
    </row>
    <row r="9" spans="1:9" ht="7.5" customHeight="1" x14ac:dyDescent="0.15">
      <c r="A9" s="80"/>
      <c r="B9" s="80"/>
      <c r="C9" s="80"/>
      <c r="D9" s="80"/>
      <c r="E9" s="80"/>
      <c r="F9" s="80"/>
      <c r="G9" s="80"/>
      <c r="H9" s="80"/>
      <c r="I9" s="80"/>
    </row>
    <row r="10" spans="1:9" ht="18.75" customHeight="1" x14ac:dyDescent="0.15">
      <c r="A10" s="1" t="s">
        <v>103</v>
      </c>
      <c r="B10" s="1" t="s">
        <v>153</v>
      </c>
      <c r="C10" s="4"/>
      <c r="D10" s="4"/>
      <c r="E10" s="4"/>
      <c r="F10" s="4"/>
      <c r="G10" s="4"/>
      <c r="H10" s="4"/>
      <c r="I10" s="4"/>
    </row>
    <row r="11" spans="1:9" ht="18.75" customHeight="1" x14ac:dyDescent="0.15">
      <c r="B11" s="96" t="s">
        <v>154</v>
      </c>
      <c r="C11" s="97"/>
      <c r="D11" s="98"/>
      <c r="E11" s="97" t="s">
        <v>155</v>
      </c>
      <c r="F11" s="97"/>
      <c r="G11" s="97"/>
      <c r="H11" s="97"/>
      <c r="I11" s="98"/>
    </row>
    <row r="12" spans="1:9" ht="26.25" customHeight="1" x14ac:dyDescent="0.15">
      <c r="B12" s="48" t="s">
        <v>156</v>
      </c>
      <c r="C12" s="55"/>
      <c r="D12" s="49"/>
      <c r="E12" s="56"/>
      <c r="F12" s="56"/>
      <c r="G12" s="56"/>
      <c r="H12" s="56"/>
      <c r="I12" s="49"/>
    </row>
    <row r="13" spans="1:9" ht="210.75" customHeight="1" x14ac:dyDescent="0.15">
      <c r="B13" s="50"/>
      <c r="C13" s="250" t="s">
        <v>157</v>
      </c>
      <c r="D13" s="251"/>
      <c r="E13" s="263" t="s">
        <v>158</v>
      </c>
      <c r="F13" s="252"/>
      <c r="G13" s="252"/>
      <c r="H13" s="252"/>
      <c r="I13" s="253"/>
    </row>
    <row r="14" spans="1:9" ht="210.75" customHeight="1" x14ac:dyDescent="0.15">
      <c r="B14" s="50"/>
      <c r="C14" s="265" t="s">
        <v>159</v>
      </c>
      <c r="D14" s="266"/>
      <c r="E14" s="263" t="s">
        <v>160</v>
      </c>
      <c r="F14" s="252"/>
      <c r="G14" s="252"/>
      <c r="H14" s="252"/>
      <c r="I14" s="253"/>
    </row>
    <row r="15" spans="1:9" ht="210.75" customHeight="1" x14ac:dyDescent="0.15">
      <c r="B15" s="50"/>
      <c r="C15" s="250" t="s">
        <v>161</v>
      </c>
      <c r="D15" s="251"/>
      <c r="E15" s="263" t="s">
        <v>162</v>
      </c>
      <c r="F15" s="252"/>
      <c r="G15" s="252"/>
      <c r="H15" s="252"/>
      <c r="I15" s="253"/>
    </row>
    <row r="16" spans="1:9" ht="210.75" customHeight="1" x14ac:dyDescent="0.15">
      <c r="B16" s="50"/>
      <c r="C16" s="250" t="s">
        <v>163</v>
      </c>
      <c r="D16" s="251"/>
      <c r="E16" s="263" t="s">
        <v>164</v>
      </c>
      <c r="F16" s="252"/>
      <c r="G16" s="252"/>
      <c r="H16" s="252"/>
      <c r="I16" s="253"/>
    </row>
    <row r="17" spans="2:9" ht="210.75" customHeight="1" x14ac:dyDescent="0.15">
      <c r="B17" s="51"/>
      <c r="C17" s="254" t="s">
        <v>165</v>
      </c>
      <c r="D17" s="255"/>
      <c r="E17" s="264" t="s">
        <v>166</v>
      </c>
      <c r="F17" s="256"/>
      <c r="G17" s="256"/>
      <c r="H17" s="256"/>
      <c r="I17" s="257"/>
    </row>
    <row r="18" spans="2:9" ht="24" customHeight="1" x14ac:dyDescent="0.15">
      <c r="B18" s="48" t="s">
        <v>167</v>
      </c>
      <c r="C18" s="52"/>
      <c r="D18" s="53"/>
      <c r="E18" s="54"/>
      <c r="F18" s="54"/>
      <c r="G18" s="54"/>
      <c r="H18" s="54"/>
      <c r="I18" s="57"/>
    </row>
    <row r="19" spans="2:9" ht="218.25" customHeight="1" x14ac:dyDescent="0.15">
      <c r="B19" s="50"/>
      <c r="C19" s="250" t="s">
        <v>168</v>
      </c>
      <c r="D19" s="251"/>
      <c r="E19" s="252" t="s">
        <v>169</v>
      </c>
      <c r="F19" s="252"/>
      <c r="G19" s="252"/>
      <c r="H19" s="252"/>
      <c r="I19" s="253"/>
    </row>
    <row r="20" spans="2:9" ht="218.25" customHeight="1" x14ac:dyDescent="0.15">
      <c r="B20" s="51"/>
      <c r="C20" s="254" t="s">
        <v>170</v>
      </c>
      <c r="D20" s="255"/>
      <c r="E20" s="256" t="s">
        <v>171</v>
      </c>
      <c r="F20" s="256"/>
      <c r="G20" s="256"/>
      <c r="H20" s="256"/>
      <c r="I20" s="257"/>
    </row>
    <row r="21" spans="2:9" ht="218.25" customHeight="1" x14ac:dyDescent="0.15">
      <c r="B21" s="258" t="s">
        <v>172</v>
      </c>
      <c r="C21" s="259"/>
      <c r="D21" s="260"/>
      <c r="E21" s="261" t="s">
        <v>173</v>
      </c>
      <c r="F21" s="261"/>
      <c r="G21" s="261"/>
      <c r="H21" s="261"/>
      <c r="I21" s="262"/>
    </row>
    <row r="22" spans="2:9" ht="218.25" customHeight="1" x14ac:dyDescent="0.15">
      <c r="B22" s="245" t="s">
        <v>174</v>
      </c>
      <c r="C22" s="246"/>
      <c r="D22" s="247"/>
      <c r="E22" s="248" t="s">
        <v>175</v>
      </c>
      <c r="F22" s="248"/>
      <c r="G22" s="248"/>
      <c r="H22" s="248"/>
      <c r="I22" s="24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C82AECC95EC044CA7BF6493E486A840" ma:contentTypeVersion="14" ma:contentTypeDescription="新しいドキュメントを作成します。" ma:contentTypeScope="" ma:versionID="151b1ddfdbce78c452a5720b0e57aa6d">
  <xsd:schema xmlns:xsd="http://www.w3.org/2001/XMLSchema" xmlns:xs="http://www.w3.org/2001/XMLSchema" xmlns:p="http://schemas.microsoft.com/office/2006/metadata/properties" xmlns:ns2="7598ca65-82bd-4b24-895a-ee4e99aaaec1" xmlns:ns3="68f5bc15-8017-4bbb-aea0-df735ecd5d78" targetNamespace="http://schemas.microsoft.com/office/2006/metadata/properties" ma:root="true" ma:fieldsID="bbd8ac07ff805dea5cb7208b49d97962" ns2:_="" ns3:_="">
    <xsd:import namespace="7598ca65-82bd-4b24-895a-ee4e99aaaec1"/>
    <xsd:import namespace="68f5bc15-8017-4bbb-aea0-df735ecd5d7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3:TaxCatchAll" minOccurs="0"/>
                <xsd:element ref="ns2:lcf76f155ced4ddcb4097134ff3c332f"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8ca65-82bd-4b24-895a-ee4e99aaa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c1ec0f05-8db9-4cb4-a53b-b8806002f24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f5bc15-8017-4bbb-aea0-df735ecd5d7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e7145ae-9b43-4982-a986-343094857bcb}" ma:internalName="TaxCatchAll" ma:showField="CatchAllData" ma:web="68f5bc15-8017-4bbb-aea0-df735ecd5d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98ca65-82bd-4b24-895a-ee4e99aaaec1">
      <Terms xmlns="http://schemas.microsoft.com/office/infopath/2007/PartnerControls"/>
    </lcf76f155ced4ddcb4097134ff3c332f>
    <TaxCatchAll xmlns="68f5bc15-8017-4bbb-aea0-df735ecd5d78" xsi:nil="true"/>
  </documentManagement>
</p:properties>
</file>

<file path=customXml/itemProps1.xml><?xml version="1.0" encoding="utf-8"?>
<ds:datastoreItem xmlns:ds="http://schemas.openxmlformats.org/officeDocument/2006/customXml" ds:itemID="{B9E413AB-CAA5-4DF1-B37F-7C98A806235B}">
  <ds:schemaRefs>
    <ds:schemaRef ds:uri="http://schemas.microsoft.com/sharepoint/v3/contenttype/forms"/>
  </ds:schemaRefs>
</ds:datastoreItem>
</file>

<file path=customXml/itemProps2.xml><?xml version="1.0" encoding="utf-8"?>
<ds:datastoreItem xmlns:ds="http://schemas.openxmlformats.org/officeDocument/2006/customXml" ds:itemID="{8D8D4D38-E07F-4933-B75E-C4194D2728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8ca65-82bd-4b24-895a-ee4e99aaaec1"/>
    <ds:schemaRef ds:uri="68f5bc15-8017-4bbb-aea0-df735ecd5d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BCEFE6-28F1-4FAE-AA84-ACCEAC0492E7}">
  <ds:schemaRefs>
    <ds:schemaRef ds:uri="http://schemas.microsoft.com/office/infopath/2007/PartnerControls"/>
    <ds:schemaRef ds:uri="http://purl.org/dc/elements/1.1/"/>
    <ds:schemaRef ds:uri="http://schemas.microsoft.com/office/2006/documentManagement/types"/>
    <ds:schemaRef ds:uri="http://www.w3.org/XML/1998/namespace"/>
    <ds:schemaRef ds:uri="http://purl.org/dc/dcmitype/"/>
    <ds:schemaRef ds:uri="7598ca65-82bd-4b24-895a-ee4e99aaaec1"/>
    <ds:schemaRef ds:uri="http://schemas.openxmlformats.org/package/2006/metadata/core-properties"/>
    <ds:schemaRef ds:uri="68f5bc15-8017-4bbb-aea0-df735ecd5d78"/>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kyomu-dv01</cp:lastModifiedBy>
  <cp:revision/>
  <cp:lastPrinted>2023-06-20T01:14:29Z</cp:lastPrinted>
  <dcterms:created xsi:type="dcterms:W3CDTF">2011-06-14T05:32:50Z</dcterms:created>
  <dcterms:modified xsi:type="dcterms:W3CDTF">2023-06-20T01:16:43Z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0x0101009C82AECC95EC044CA7BF6493E486A840</vt:lpwstr>
  </property>
  <property fmtid="{D5CDD505-2E9C-101B-9397-08002B2CF9AE}" pid="10" name="MediaServiceImageTags">
    <vt:lpwstr/>
  </property>
</Properties>
</file>