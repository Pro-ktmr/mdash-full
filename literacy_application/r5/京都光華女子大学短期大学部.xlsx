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irokazu Aiba\Documents\学科会議2022年度\数理データサイエンス\資料一式\"/>
    </mc:Choice>
  </mc:AlternateContent>
  <bookViews>
    <workbookView xWindow="-28920" yWindow="-120" windowWidth="29040" windowHeight="1572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a="1"/>
  <c r="I2" i="42" s="1"/>
  <c r="K23" i="42"/>
  <c r="K22" i="42"/>
  <c r="K21" i="42"/>
  <c r="K20" i="42"/>
  <c r="K19" i="42"/>
  <c r="K17" i="42"/>
  <c r="K16" i="42"/>
  <c r="K15" i="42"/>
  <c r="K14" i="42"/>
  <c r="K13" i="42"/>
  <c r="AM2" i="40" l="1"/>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 r="O2" i="42"/>
  <c r="N2" i="42"/>
  <c r="M2" i="42"/>
  <c r="L2" i="42"/>
  <c r="K2" i="42"/>
  <c r="J2" i="4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<sst xmlns="http://schemas.openxmlformats.org/spreadsheetml/2006/main" count="314" uniqueCount="175">
  <si>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</si>
  <si>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</si>
  <si>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</si>
  <si>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</si>
  <si>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</si>
  <si>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</si>
  <si>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</si>
  <si>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</si>
  <si>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</si>
  <si>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</si>
  <si>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</si>
  <si>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</si>
  <si>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</si>
  <si>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</si>
  <si>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</si>
  <si>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</si>
  <si>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</si>
  <si>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</si>
  <si>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</si>
  <si>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</si>
  <si>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</si>
  <si>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</si>
  <si>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</si>
  <si>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</si>
  <si>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</si>
  <si>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</si>
  <si>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</si>
  <si>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</si>
  <si>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</si>
  <si>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</si>
  <si>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</si>
  <si>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</si>
  <si>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</si>
  <si>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</si>
  <si>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</si>
  <si>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</si>
  <si>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</si>
  <si>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</si>
  <si>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</si>
  <si>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</si>
  <si>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</si>
  <si>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</si>
  <si>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</si>
  <si>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</si>
  <si>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</si>
  <si>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</si>
  <si>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</si>
  <si>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</si>
  <si>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</si>
  <si>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</si>
  <si>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</si>
  <si>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</si>
  <si>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</si>
  <si>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</si>
  <si>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</si>
  <si>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</si>
  <si>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</si>
  <si>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</si>
  <si>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</si>
  <si>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</si>
  <si>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</si>
  <si>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</si>
  <si>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</si>
  <si>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</si>
  <si>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</si>
  <si>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</si>
  <si>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</si>
  <si>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</si>
  <si>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</si>
  <si>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</si>
  <si>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</si>
  <si>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</si>
  <si>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</si>
  <si>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</si>
  <si>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</si>
  <si>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</si>
  <si>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</si>
  <si>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</si>
  <si>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</si>
  <si>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</si>
  <si>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</si>
  <si>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</si>
  <si>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</si>
  <si>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</si>
  <si>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</si>
  <si>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</si>
  <si>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</si>
  <si>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</si>
  <si>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</si>
  <si>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</si>
  <si>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</si>
  <si>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</si>
  <si>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</si>
  <si>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</si>
  <si>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</si>
  <si>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</si>
  <si>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</si>
  <si>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</si>
  <si>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</si>
  <si>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</si>
  <si>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</si>
  <si>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</si>
  <si>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</si>
  <si>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</si>
  <si>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</si>
  <si>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</si>
  <si>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</si>
  <si>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</si>
  <si>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</si>
  <si>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</si>
  <si>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</si>
  <si>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</si>
  <si>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</si>
  <si>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</si>
  <si>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</si>
  <si>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</si>
  <si>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</si>
  <si>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</si>
  <si>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</si>
  <si>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</si>
  <si>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</si>
  <si>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</si>
  <si>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</si>
  <si>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</si>
  <si>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</si>
  <si>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</si>
  <si>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</si>
  <si>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短期大学部長</t>
    <rPh sb="0" eb="6">
      <t>タンキダイガクブチョウ</t>
    </rPh>
    <phoneticPr fontId="1"/>
  </si>
  <si>
    <t>辻野孝</t>
    <rPh sb="0" eb="2">
      <t>ツジノ</t>
    </rPh>
    <rPh sb="2" eb="3">
      <t>タカシ</t>
    </rPh>
    <phoneticPr fontId="1"/>
  </si>
  <si>
    <t>リベラルアーツセンター短期大学部データサイエンス教育検討部会規程</t>
    <phoneticPr fontId="1"/>
  </si>
  <si>
    <t>京都光華女子大学短期大学部</t>
    <rPh sb="0" eb="8">
      <t>キョウトコウカジョシダイガク</t>
    </rPh>
    <rPh sb="8" eb="11">
      <t>タンキダイ</t>
    </rPh>
    <rPh sb="11" eb="13">
      <t>ガクブ</t>
    </rPh>
    <phoneticPr fontId="1"/>
  </si>
  <si>
    <t>部会長</t>
    <rPh sb="0" eb="2">
      <t>ブカイ</t>
    </rPh>
    <rPh sb="2" eb="3">
      <t>チョウ</t>
    </rPh>
    <phoneticPr fontId="1"/>
  </si>
  <si>
    <t>リベラルアーツセンター短期大学部データサイエンス教育検討部会</t>
    <phoneticPr fontId="1"/>
  </si>
  <si>
    <t>対象の全科目でLMSを活用して、履修・修得をサポートしている。本プログラムの対象科目は、全て学科の専任教員が担当し、きめの細かいサポート体制を構築している。
特に「情報社会の未来を知る」は、本プログラムの担当教員3名全員で担当し、小人数教育できめの細かい指導を実施した。
さらに、リベラルアーツセンター、学生サポートセンター、学習ステーションとの連携を強化して、より多くの学生が履修・修得できるようにサポート体制を整備する。</t>
    <rPh sb="0" eb="2">
      <t>タイショウ</t>
    </rPh>
    <rPh sb="3" eb="6">
      <t>ゼンカモク</t>
    </rPh>
    <rPh sb="11" eb="13">
      <t>カツヨウ</t>
    </rPh>
    <rPh sb="16" eb="18">
      <t>リシュウ</t>
    </rPh>
    <rPh sb="19" eb="21">
      <t>シュウトク</t>
    </rPh>
    <rPh sb="31" eb="32">
      <t>ホン</t>
    </rPh>
    <rPh sb="38" eb="42">
      <t>タイショウカモク</t>
    </rPh>
    <rPh sb="44" eb="45">
      <t>スベ</t>
    </rPh>
    <rPh sb="46" eb="48">
      <t>ガッカ</t>
    </rPh>
    <rPh sb="49" eb="51">
      <t>センニン</t>
    </rPh>
    <rPh sb="51" eb="53">
      <t>キョウイン</t>
    </rPh>
    <rPh sb="54" eb="56">
      <t>タントウ</t>
    </rPh>
    <rPh sb="61" eb="62">
      <t>コマ</t>
    </rPh>
    <rPh sb="68" eb="70">
      <t>タイセイ</t>
    </rPh>
    <rPh sb="71" eb="73">
      <t>コウチク</t>
    </rPh>
    <rPh sb="79" eb="80">
      <t>トク</t>
    </rPh>
    <rPh sb="82" eb="86">
      <t>ジョウホウシャカイ</t>
    </rPh>
    <rPh sb="87" eb="89">
      <t>ミライ</t>
    </rPh>
    <rPh sb="90" eb="91">
      <t>シ</t>
    </rPh>
    <rPh sb="95" eb="96">
      <t>ホン</t>
    </rPh>
    <rPh sb="102" eb="106">
      <t>タントウキョウイン</t>
    </rPh>
    <rPh sb="107" eb="108">
      <t>メイ</t>
    </rPh>
    <rPh sb="108" eb="110">
      <t>ゼンイン</t>
    </rPh>
    <rPh sb="111" eb="113">
      <t>タントウ</t>
    </rPh>
    <rPh sb="115" eb="118">
      <t>ショウニンズウ</t>
    </rPh>
    <rPh sb="118" eb="120">
      <t>キョウイク</t>
    </rPh>
    <rPh sb="124" eb="125">
      <t>コマ</t>
    </rPh>
    <rPh sb="127" eb="129">
      <t>シドウ</t>
    </rPh>
    <rPh sb="130" eb="132">
      <t>ジッシ</t>
    </rPh>
    <rPh sb="152" eb="154">
      <t>ガクセイ</t>
    </rPh>
    <rPh sb="163" eb="165">
      <t>ガクシュウ</t>
    </rPh>
    <rPh sb="173" eb="175">
      <t>レンケイ</t>
    </rPh>
    <rPh sb="176" eb="178">
      <t>キョウカ</t>
    </rPh>
    <rPh sb="183" eb="184">
      <t>オオ</t>
    </rPh>
    <rPh sb="186" eb="188">
      <t>ガクセイ</t>
    </rPh>
    <rPh sb="189" eb="191">
      <t>リシュウ</t>
    </rPh>
    <rPh sb="192" eb="194">
      <t>シュウトク</t>
    </rPh>
    <rPh sb="204" eb="206">
      <t>タイセイ</t>
    </rPh>
    <rPh sb="207" eb="209">
      <t>セイビ</t>
    </rPh>
    <phoneticPr fontId="1"/>
  </si>
  <si>
    <t>短期大学部長　辻野孝（ライフデザイン学科　教授）
ライフデザイン学科　教授　相場浩和
ライフデザイン学科　教授　森際孝司</t>
    <rPh sb="0" eb="6">
      <t>タンキダイガクブチョウ</t>
    </rPh>
    <rPh sb="7" eb="10">
      <t>ツジノタカシ</t>
    </rPh>
    <rPh sb="18" eb="20">
      <t>ガッカ</t>
    </rPh>
    <rPh sb="21" eb="23">
      <t>キョウジュ</t>
    </rPh>
    <rPh sb="32" eb="34">
      <t>ガッカ</t>
    </rPh>
    <rPh sb="35" eb="37">
      <t>キョウジュ</t>
    </rPh>
    <rPh sb="38" eb="40">
      <t>アイバ</t>
    </rPh>
    <rPh sb="40" eb="42">
      <t>ヒロカズ</t>
    </rPh>
    <rPh sb="56" eb="57">
      <t>モリ</t>
    </rPh>
    <rPh sb="57" eb="58">
      <t>サイ</t>
    </rPh>
    <rPh sb="58" eb="59">
      <t>タカシ</t>
    </rPh>
    <rPh sb="59" eb="60">
      <t>ツカサ</t>
    </rPh>
    <phoneticPr fontId="1"/>
  </si>
  <si>
    <t>本学は１学科であり、対象の「コンピュータ概論」「情報社会の未来を知る」「表計算スキルⅠ」「表計算スキルⅡ」は全て学科のカリキュラムに含まれている科目であるため、全員が受講可能である。
また、「表計算スキルⅠ」と「表計算スキルⅡ」は、それぞれ2クラスずつ開講している。</t>
    <rPh sb="0" eb="2">
      <t>ホンガク</t>
    </rPh>
    <rPh sb="4" eb="6">
      <t>ガッカ</t>
    </rPh>
    <rPh sb="10" eb="12">
      <t>タイショウ</t>
    </rPh>
    <rPh sb="20" eb="22">
      <t>ガイロン</t>
    </rPh>
    <rPh sb="24" eb="28">
      <t>ジョウホウシャカイ</t>
    </rPh>
    <rPh sb="29" eb="31">
      <t>ミライ</t>
    </rPh>
    <rPh sb="32" eb="33">
      <t>シ</t>
    </rPh>
    <rPh sb="36" eb="39">
      <t>ヒョウケイサン</t>
    </rPh>
    <rPh sb="45" eb="48">
      <t>ヒョウケイサン</t>
    </rPh>
    <rPh sb="54" eb="55">
      <t>スベ</t>
    </rPh>
    <rPh sb="56" eb="58">
      <t>ガッカ</t>
    </rPh>
    <rPh sb="66" eb="67">
      <t>フク</t>
    </rPh>
    <rPh sb="72" eb="74">
      <t>カモク</t>
    </rPh>
    <rPh sb="80" eb="82">
      <t>ゼンイン</t>
    </rPh>
    <rPh sb="83" eb="85">
      <t>ジュコウ</t>
    </rPh>
    <rPh sb="85" eb="87">
      <t>カノウ</t>
    </rPh>
    <rPh sb="126" eb="128">
      <t>カイコウ</t>
    </rPh>
    <phoneticPr fontId="1"/>
  </si>
  <si>
    <t>令和4</t>
    <rPh sb="0" eb="2">
      <t>レイワ</t>
    </rPh>
    <phoneticPr fontId="1"/>
  </si>
  <si>
    <t>ライフデザイン学科</t>
    <rPh sb="7" eb="9">
      <t>ガッカ</t>
    </rPh>
    <phoneticPr fontId="1"/>
  </si>
  <si>
    <t>光華EDUALプログラム（リテラシーレベル）</t>
    <rPh sb="0" eb="2">
      <t>コウカ</t>
    </rPh>
    <phoneticPr fontId="1"/>
  </si>
  <si>
    <t>学部・学科によって、修了要件は相違しない</t>
  </si>
  <si>
    <t>情報社会の未来を知る</t>
    <rPh sb="0" eb="4">
      <t>ジョウホウシャカイ</t>
    </rPh>
    <rPh sb="5" eb="7">
      <t>ミライ</t>
    </rPh>
    <rPh sb="8" eb="9">
      <t>シ</t>
    </rPh>
    <phoneticPr fontId="1"/>
  </si>
  <si>
    <t>○</t>
  </si>
  <si>
    <t>コンピュータ概論</t>
    <rPh sb="6" eb="8">
      <t>ガイロン</t>
    </rPh>
    <phoneticPr fontId="1"/>
  </si>
  <si>
    <t>情報社会の未来を知る</t>
    <rPh sb="0" eb="2">
      <t>ジョウホウ</t>
    </rPh>
    <rPh sb="2" eb="4">
      <t>シャカイ</t>
    </rPh>
    <rPh sb="5" eb="7">
      <t>ミライ</t>
    </rPh>
    <rPh sb="8" eb="9">
      <t>シ</t>
    </rPh>
    <phoneticPr fontId="1"/>
  </si>
  <si>
    <t>表計算スキルⅠ</t>
    <rPh sb="0" eb="3">
      <t>ヒョウケイサン</t>
    </rPh>
    <phoneticPr fontId="1"/>
  </si>
  <si>
    <t>表計算スキルⅡ</t>
    <rPh sb="0" eb="3">
      <t>ヒョウケイサン</t>
    </rPh>
    <phoneticPr fontId="1"/>
  </si>
  <si>
    <t>・データ可視化：複合グラフ、2軸グラフ、多次元の可視化、関係性の可視化、地図上の可視化、挙動・軌跡の可視化、リアルタイム可視化など：「表計算スキルⅠ」（12回目：グラフ）
・特化型AIと汎用AI、今のAIで出来ることと出来ないこと、AIとビッグデータ：「コンピュータ概論」（13回目：ITの未来その２：「AIと人間が共存する未来」）</t>
    <rPh sb="4" eb="7">
      <t>カシカ</t>
    </rPh>
    <rPh sb="8" eb="10">
      <t>フクゴウ</t>
    </rPh>
    <rPh sb="15" eb="16">
      <t>ジク</t>
    </rPh>
    <rPh sb="20" eb="23">
      <t>タジゲン</t>
    </rPh>
    <rPh sb="24" eb="27">
      <t>カシカ</t>
    </rPh>
    <rPh sb="28" eb="31">
      <t>カンケイセイ</t>
    </rPh>
    <rPh sb="32" eb="35">
      <t>カシカ</t>
    </rPh>
    <rPh sb="36" eb="39">
      <t>チズジョウ</t>
    </rPh>
    <rPh sb="40" eb="43">
      <t>カシカ</t>
    </rPh>
    <rPh sb="44" eb="46">
      <t>キョドウ</t>
    </rPh>
    <rPh sb="47" eb="49">
      <t>キセキ</t>
    </rPh>
    <rPh sb="50" eb="53">
      <t>カシカ</t>
    </rPh>
    <rPh sb="60" eb="63">
      <t>カシカ</t>
    </rPh>
    <rPh sb="67" eb="70">
      <t>ヒョウケイサン</t>
    </rPh>
    <rPh sb="78" eb="80">
      <t>カイメ</t>
    </rPh>
    <rPh sb="87" eb="90">
      <t>トッカガタ</t>
    </rPh>
    <rPh sb="93" eb="95">
      <t>ハンヨウ</t>
    </rPh>
    <rPh sb="98" eb="99">
      <t>イマ</t>
    </rPh>
    <rPh sb="103" eb="105">
      <t>デキ</t>
    </rPh>
    <rPh sb="109" eb="111">
      <t>デキ</t>
    </rPh>
    <rPh sb="133" eb="135">
      <t>ガイロン</t>
    </rPh>
    <rPh sb="139" eb="141">
      <t>カイメ</t>
    </rPh>
    <rPh sb="145" eb="147">
      <t>ミライ</t>
    </rPh>
    <rPh sb="155" eb="157">
      <t>ニンゲン</t>
    </rPh>
    <rPh sb="158" eb="160">
      <t>キョウゾン</t>
    </rPh>
    <rPh sb="162" eb="164">
      <t>ミライ</t>
    </rPh>
    <phoneticPr fontId="1"/>
  </si>
  <si>
    <t>・情報セキュリティ：機密性、完全性、可用性：「コンピュータ概論」（11回目：情報セキュリティ）
・情報漏洩等によるセキュリティ事故の事例紹介：：「コンピュータ概論」（11回目：情報セキュリティ）</t>
    <rPh sb="1" eb="3">
      <t>ジョウホウ</t>
    </rPh>
    <rPh sb="10" eb="13">
      <t>キミツセイ</t>
    </rPh>
    <rPh sb="14" eb="16">
      <t>カンゼン</t>
    </rPh>
    <rPh sb="16" eb="17">
      <t>セイ</t>
    </rPh>
    <rPh sb="18" eb="21">
      <t>カヨウセイ</t>
    </rPh>
    <rPh sb="29" eb="31">
      <t>ガイロン</t>
    </rPh>
    <rPh sb="35" eb="37">
      <t>カイメ</t>
    </rPh>
    <rPh sb="38" eb="40">
      <t>ジョウホウ</t>
    </rPh>
    <rPh sb="49" eb="51">
      <t>ジョウホウ</t>
    </rPh>
    <rPh sb="51" eb="53">
      <t>ロウエイ</t>
    </rPh>
    <rPh sb="53" eb="54">
      <t>トウ</t>
    </rPh>
    <rPh sb="63" eb="65">
      <t>ジコ</t>
    </rPh>
    <rPh sb="66" eb="68">
      <t>ジレイ</t>
    </rPh>
    <rPh sb="68" eb="70">
      <t>ショウカイ</t>
    </rPh>
    <rPh sb="79" eb="81">
      <t>ガイロン</t>
    </rPh>
    <rPh sb="85" eb="87">
      <t>カイメ</t>
    </rPh>
    <rPh sb="88" eb="90">
      <t>ジョウホウ</t>
    </rPh>
    <phoneticPr fontId="1"/>
  </si>
  <si>
    <t>・クロス集計表、分割表、相関係数行列、散布図行列：「表計算スキルⅡ」（12回目：データベース機能）</t>
    <rPh sb="4" eb="7">
      <t>シュウケイヒョウ</t>
    </rPh>
    <rPh sb="8" eb="11">
      <t>ブンカツヒョウ</t>
    </rPh>
    <rPh sb="12" eb="18">
      <t>ソウカンケイスウギョウレツ</t>
    </rPh>
    <rPh sb="19" eb="24">
      <t>サンプズギョウレツ</t>
    </rPh>
    <rPh sb="26" eb="29">
      <t>ヒョウケイサン</t>
    </rPh>
    <rPh sb="37" eb="39">
      <t>カイメ</t>
    </rPh>
    <rPh sb="46" eb="48">
      <t>キノウ</t>
    </rPh>
    <phoneticPr fontId="1"/>
  </si>
  <si>
    <t>自己点検評価委員会</t>
    <rPh sb="0" eb="4">
      <t>ジコテンケン</t>
    </rPh>
    <rPh sb="4" eb="9">
      <t>ヒョウカイインカイ</t>
    </rPh>
    <phoneticPr fontId="1"/>
  </si>
  <si>
    <t>高見茂</t>
    <rPh sb="0" eb="3">
      <t>タカミシゲル</t>
    </rPh>
    <phoneticPr fontId="1"/>
  </si>
  <si>
    <t>学長</t>
    <rPh sb="0" eb="2">
      <t>ガクチョウ</t>
    </rPh>
    <phoneticPr fontId="1"/>
  </si>
  <si>
    <t xml:space="preserve">4年度入学生の最終的状況は未確定だが、4年度終了時では、履修者数1名、修得者数1名という最低の水準になっている。原因と対策は「全学的な履修者数、履修率向上に向けた計画の達成・進捗状況」で述べる。
ここでは科目ごとの状況（4年度入学生）を記す。前期科目については「コンピュータ概論」：履修率53%、修得率42%、「表計算スキルⅠ」：履修率58%、修得率：47%である。一方、後期科目は、「表計算スキルⅡ」：履修率38%、修得率29%、「情報社会の未来を知る」：履修率6%、修得率4%である。本プログラムの履修率が最低の水準になっているのは、「情報社会の未来を知る」の履修率が最低の水準であるためである。
</t>
    <phoneticPr fontId="1"/>
  </si>
  <si>
    <t>本プログラムの学修成果の可視化には次の方法を用いる。すなわち、4科目のそれぞれの到達目標（計12個）を本プログラムの学修成果と関連付ける。そのうえで、各科目の到達目標の達成度評価を集約することによって、本プログラムの学修成果を定量化する。その結果は次のとおりである（5点満点）。学修成果（１）：教員評価 3.3、学生自己評価 3.5、（２）：教員評価 3.9、学生自己評価 3.5、（３）：教員評価 3.7、学生自己評価 3.4。教員評価は、（２）と（３）では3点台後半に達しているものの、（１）については3点台前半にとどまっている。「データを読む力／伝える力」をさらに延ばしていく必要がある。</t>
    <phoneticPr fontId="1"/>
  </si>
  <si>
    <t>学生の内容の理解度については、学生の達成度の自己評価として上の項に挙げておいた。それ以外に、直接理解度を問うているものではないが、毎学期、「学生による授業評価」において、各授業の満足度を問うている。「この授業に満足していますか」という問いに対して「そう思う」または「ややそう思う」と回答した学生の割合は、「コンピュータ概論」86%、「表計算スキルⅠ」94%、「表計算スキルⅡ」95%、「情報社会の未来を知る」100%であった。いずれの科目も満足度は高い。ただし、上の項に記したように、満足度は必ずしも内容の理解度を表してはいない。学修成果の達成度の学生の自己評価は、5点満点で3点台にとどまっている。</t>
    <phoneticPr fontId="1"/>
  </si>
  <si>
    <t>Society 5.0の先行事例にスマートシティ構想がある。そこで、「情報社会の未来を知る」では、その小規模版として、「京都光華のスマートユニバーシティ化」構想を取り上げている。どんな大学にしたいか、そのためにどんなAIが必要かを考え、さらに考えたAIを実現させるために必要なビッグデータやIoT等について考える。こうして「AIのアイデア」を考える楽しさを理解することができる。これは、問題発見・解決力の道具としてAIを「使う」習慣をつけることでもあり、本学で重視しているコンピテンシーを高めることに結びつく。すなわちAIを学ぶ意義を学科の目標と結び付けて理解することができる。</t>
    <phoneticPr fontId="1"/>
  </si>
  <si>
    <r>
      <t>・調査データ、実験データ、人の行動ログデータ、機械の稼働ログデータなど：「情報社会の未来を知る」（2回目：AIの基礎知識、5回目</t>
    </r>
    <r>
      <rPr>
        <sz val="12"/>
        <rFont val="ＭＳ Ｐゴシック"/>
        <family val="3"/>
        <charset val="128"/>
        <scheme val="minor"/>
      </rPr>
      <t>：IoT：</t>
    </r>
    <r>
      <rPr>
        <sz val="12"/>
        <color theme="1"/>
        <rFont val="ＭＳ Ｐゴシック"/>
        <family val="3"/>
        <charset val="128"/>
        <scheme val="minor"/>
      </rPr>
      <t>IoTとビッグデータ、6回目：クラウドコンピューティング：クラウドとデータ）
・構造化データ、非構造化データ（文章、画像／動画、音声／音楽など）：「コンピュータ概論」（10回目：デジタル化による情報の統一）</t>
    </r>
    <rPh sb="1" eb="3">
      <t>チョウサ</t>
    </rPh>
    <rPh sb="7" eb="9">
      <t>ジッケン</t>
    </rPh>
    <rPh sb="13" eb="14">
      <t>ヒト</t>
    </rPh>
    <rPh sb="15" eb="17">
      <t>コウドウ</t>
    </rPh>
    <rPh sb="23" eb="25">
      <t>キカイ</t>
    </rPh>
    <rPh sb="26" eb="28">
      <t>カドウ</t>
    </rPh>
    <rPh sb="37" eb="41">
      <t>ジョウホウシャカイ</t>
    </rPh>
    <rPh sb="42" eb="44">
      <t>ミライ</t>
    </rPh>
    <rPh sb="45" eb="46">
      <t>シ</t>
    </rPh>
    <rPh sb="50" eb="52">
      <t>カイメ</t>
    </rPh>
    <rPh sb="56" eb="60">
      <t>キソチシキ</t>
    </rPh>
    <rPh sb="62" eb="64">
      <t>カイメ</t>
    </rPh>
    <rPh sb="81" eb="83">
      <t>カイメ</t>
    </rPh>
    <rPh sb="109" eb="112">
      <t>コウゾウカ</t>
    </rPh>
    <rPh sb="116" eb="120">
      <t>ヒコウゾウカ</t>
    </rPh>
    <rPh sb="124" eb="126">
      <t>ブンショウ</t>
    </rPh>
    <rPh sb="127" eb="129">
      <t>ガゾウ</t>
    </rPh>
    <rPh sb="130" eb="132">
      <t>ドウガ</t>
    </rPh>
    <rPh sb="133" eb="135">
      <t>オンセイ</t>
    </rPh>
    <rPh sb="136" eb="138">
      <t>オンガク</t>
    </rPh>
    <rPh sb="149" eb="151">
      <t>ガイロン</t>
    </rPh>
    <rPh sb="155" eb="157">
      <t>カイメ</t>
    </rPh>
    <rPh sb="162" eb="163">
      <t>カ</t>
    </rPh>
    <rPh sb="166" eb="168">
      <t>ジョウホウ</t>
    </rPh>
    <rPh sb="169" eb="171">
      <t>トウイツ</t>
    </rPh>
    <phoneticPr fontId="1"/>
  </si>
  <si>
    <r>
      <t>・データ倫理：データのねつ造、改ざん、盗用、プライバシー保護：「情報社会の未来を知る」（8回目：SNS：光と影）
・AI社会原則</t>
    </r>
    <r>
      <rPr>
        <sz val="12"/>
        <rFont val="ＭＳ Ｐゴシック"/>
        <family val="3"/>
        <charset val="128"/>
        <scheme val="minor"/>
      </rPr>
      <t>（公平性、説明責任、透明性、人間中心の判断）：「</t>
    </r>
    <r>
      <rPr>
        <sz val="12"/>
        <color theme="1"/>
        <rFont val="ＭＳ Ｐゴシック"/>
        <family val="3"/>
        <charset val="128"/>
        <scheme val="minor"/>
      </rPr>
      <t>情報社会の未来を知る」（10回目：中間まとめ：学んだことをポンチ絵にまとめよう「AIとルール」）</t>
    </r>
    <rPh sb="4" eb="6">
      <t>リンリ</t>
    </rPh>
    <rPh sb="13" eb="14">
      <t>ゾウ</t>
    </rPh>
    <rPh sb="15" eb="16">
      <t>カイ</t>
    </rPh>
    <rPh sb="19" eb="21">
      <t>トウヨウ</t>
    </rPh>
    <rPh sb="28" eb="30">
      <t>ホゴ</t>
    </rPh>
    <rPh sb="32" eb="36">
      <t>ジョウホウシャカイ</t>
    </rPh>
    <rPh sb="37" eb="39">
      <t>ミライ</t>
    </rPh>
    <rPh sb="40" eb="41">
      <t>シ</t>
    </rPh>
    <rPh sb="45" eb="47">
      <t>カイメ</t>
    </rPh>
    <rPh sb="52" eb="53">
      <t>ヒカリ</t>
    </rPh>
    <rPh sb="54" eb="55">
      <t>カゲ</t>
    </rPh>
    <rPh sb="65" eb="68">
      <t>コウヘイセイ</t>
    </rPh>
    <rPh sb="69" eb="73">
      <t>セツメイセキニン</t>
    </rPh>
    <rPh sb="74" eb="77">
      <t>トウメイセイ</t>
    </rPh>
    <rPh sb="78" eb="82">
      <t>ニンゲンチュウシン</t>
    </rPh>
    <rPh sb="83" eb="85">
      <t>ハンダン</t>
    </rPh>
    <phoneticPr fontId="1"/>
  </si>
  <si>
    <r>
      <t>Society 5.0時代に向けて、データやAIを日常の生活、ビジネスの場で使いこなすための基礎的素養を修得する
（１）「データを正しく読む力」や「データを正確に伝える力」を身につける
（２）データやAIが社会でどのように活用され、</t>
    </r>
    <r>
      <rPr>
        <sz val="12"/>
        <rFont val="ＭＳ Ｐゴシック"/>
        <family val="3"/>
        <charset val="128"/>
        <scheme val="minor"/>
      </rPr>
      <t>新たな</t>
    </r>
    <r>
      <rPr>
        <sz val="12"/>
        <color theme="1"/>
        <rFont val="ＭＳ Ｐゴシック"/>
        <family val="3"/>
        <charset val="128"/>
        <scheme val="minor"/>
      </rPr>
      <t>価値を生んでいるのかを知る
（３）データやAIの利活用には公平性、公正性、プライバシー保護などに課題があることを理解し、利活用に際し人間中心の適切な判断ができるようになる</t>
    </r>
    <rPh sb="11" eb="13">
      <t>ジダイ</t>
    </rPh>
    <rPh sb="14" eb="15">
      <t>ム</t>
    </rPh>
    <rPh sb="25" eb="27">
      <t>ニチジョウ</t>
    </rPh>
    <rPh sb="28" eb="30">
      <t>セイカツ</t>
    </rPh>
    <rPh sb="36" eb="37">
      <t>バ</t>
    </rPh>
    <rPh sb="38" eb="39">
      <t>ツカ</t>
    </rPh>
    <rPh sb="46" eb="51">
      <t>キソテキソヨウ</t>
    </rPh>
    <rPh sb="52" eb="54">
      <t>シュウトク</t>
    </rPh>
    <rPh sb="65" eb="66">
      <t>タダ</t>
    </rPh>
    <rPh sb="68" eb="69">
      <t>ヨ</t>
    </rPh>
    <rPh sb="70" eb="71">
      <t>チカラ</t>
    </rPh>
    <rPh sb="78" eb="80">
      <t>セイカク</t>
    </rPh>
    <rPh sb="81" eb="82">
      <t>ツタ</t>
    </rPh>
    <rPh sb="84" eb="85">
      <t>チカラ</t>
    </rPh>
    <rPh sb="87" eb="88">
      <t>ミ</t>
    </rPh>
    <rPh sb="103" eb="105">
      <t>シャカイ</t>
    </rPh>
    <rPh sb="111" eb="113">
      <t>カツヨウ</t>
    </rPh>
    <rPh sb="116" eb="117">
      <t>アラ</t>
    </rPh>
    <rPh sb="119" eb="121">
      <t>カチ</t>
    </rPh>
    <rPh sb="122" eb="123">
      <t>ウ</t>
    </rPh>
    <rPh sb="130" eb="131">
      <t>シ</t>
    </rPh>
    <rPh sb="143" eb="146">
      <t>リカツヨウ</t>
    </rPh>
    <rPh sb="148" eb="151">
      <t>コウヘイセイ</t>
    </rPh>
    <rPh sb="152" eb="155">
      <t>コウセイセイ</t>
    </rPh>
    <rPh sb="162" eb="164">
      <t>ホゴ</t>
    </rPh>
    <rPh sb="167" eb="169">
      <t>カダイ</t>
    </rPh>
    <rPh sb="175" eb="177">
      <t>リカイ</t>
    </rPh>
    <rPh sb="179" eb="182">
      <t>リカツヨウ</t>
    </rPh>
    <rPh sb="183" eb="184">
      <t>サイ</t>
    </rPh>
    <rPh sb="185" eb="187">
      <t>ニンゲン</t>
    </rPh>
    <rPh sb="187" eb="189">
      <t>チュウシン</t>
    </rPh>
    <rPh sb="190" eb="192">
      <t>テキセツ</t>
    </rPh>
    <rPh sb="193" eb="195">
      <t>ハンダン</t>
    </rPh>
    <phoneticPr fontId="1"/>
  </si>
  <si>
    <t xml:space="preserve">リベラルアーツセンターは、（1）本学および併設大学のリベラルアーツ教育の推進、および、（2）学習ステーション等との連携による教育活動の推進を目的として設置された組織である。発足当初より、情報リテラシー教育の拡充に取り組んできた。令和2年度には数理・データサイエンス教育強化拠点コンソーシアム（近畿ブロック）に会員校として参画し、数理･データサイエンス・AI教育の実施と改善に取り組んでいる。
このリベラルアーツセンター内に改めて短期大学部会を設置し、本学における数値・データサイエンス・AI教育の普及と関連科目の整備を行っている。具体的には以下の3つの案件について検討する。
（１）データサイエンス、人工知能教育のカリキュラムの提案に関すること
（２）データサイエンス、人工知能教育推進のための企画・立案に関すること
（３）その他データサイエンス、人工知能教育の推進に関すること
</t>
    <rPh sb="16" eb="18">
      <t>ホンガク</t>
    </rPh>
    <rPh sb="21" eb="25">
      <t>ヘイセツダイガク</t>
    </rPh>
    <rPh sb="114" eb="116">
      <t>レイワ</t>
    </rPh>
    <rPh sb="209" eb="210">
      <t>ナイ</t>
    </rPh>
    <rPh sb="211" eb="212">
      <t>アラタ</t>
    </rPh>
    <rPh sb="214" eb="220">
      <t>タンキダイガクブカイ</t>
    </rPh>
    <rPh sb="221" eb="223">
      <t>セッチ</t>
    </rPh>
    <rPh sb="225" eb="227">
      <t>ホンガク</t>
    </rPh>
    <rPh sb="231" eb="233">
      <t>スウチ</t>
    </rPh>
    <rPh sb="245" eb="247">
      <t>キョウイク</t>
    </rPh>
    <rPh sb="248" eb="250">
      <t>フキュウ</t>
    </rPh>
    <rPh sb="251" eb="255">
      <t>カンレンカモク</t>
    </rPh>
    <rPh sb="256" eb="258">
      <t>セイビ</t>
    </rPh>
    <rPh sb="259" eb="260">
      <t>オコナ</t>
    </rPh>
    <rPh sb="265" eb="268">
      <t>グタイテキ</t>
    </rPh>
    <rPh sb="270" eb="272">
      <t>イカ</t>
    </rPh>
    <rPh sb="276" eb="278">
      <t>アンケン</t>
    </rPh>
    <rPh sb="282" eb="284">
      <t>ケントウ</t>
    </rPh>
    <phoneticPr fontId="1"/>
  </si>
  <si>
    <t xml:space="preserve">令和4年度の履修者数は様式2に挙げたように最低の水準であった。その原因は、様式4の「全学的な履修者数、履修率向上に向けた計画の達成・進捗状況」の項に記した通り周知の不徹底である。したがって、この問題点を解決するための主要な方法は学生への周知の徹底である。具体的には学期ごとのオリエンテーションや関連授業において本プログラムを学ぶ意義を含めてプロブラムを周知することである。さらに具体的な周知方法については下の⑩の項に記している。これらさえできれば、毎年履修率を10ポイントずつ上げ、最終的に4年間で目標の履修率40%を達成することは十分可能である。
また、令和6年度からは新たに「履修のてびき」に掲載し、さらなる周知を図る計画である。
</t>
    <rPh sb="224" eb="226">
      <t>マイトシ</t>
    </rPh>
    <rPh sb="226" eb="229">
      <t>リシュウリツ</t>
    </rPh>
    <rPh sb="238" eb="239">
      <t>ア</t>
    </rPh>
    <rPh sb="241" eb="244">
      <t>サイシュウテキ</t>
    </rPh>
    <phoneticPr fontId="1"/>
  </si>
  <si>
    <r>
      <t>本プログラム対象科目は、1・2年次の全学生が履修可能である。
1年生と2年生の前期の最初に実施する、「学科オリエンテーション」の資料に掲載するとともに口頭で説明する。また、後期の「学科オリエンテーション」においても、前期と同様に1年生と2年生の資料に掲載するとともに、口頭でも説明する。
また、関連科目および情報系科目においても、各学期の初回と最後の授業内で案内をする。さらに、</t>
    </r>
    <r>
      <rPr>
        <sz val="12"/>
        <color theme="1"/>
        <rFont val="ＭＳ Ｐゴシック"/>
        <family val="3"/>
        <charset val="128"/>
        <scheme val="minor"/>
      </rPr>
      <t>修了者のコメントを紹介して履修者の増加を計る。さらに、前期に開講する2科目の履修者に対して、前期終了時に、本プログラムを履修するためには後期も2科目を履修する必要があることを注意喚起する。
令和6年度以降は、「履修のてびき」の資格欄に明記して、プログラムを周知徹底する。</t>
    </r>
    <rPh sb="189" eb="192">
      <t>シュウリョウシャ</t>
    </rPh>
    <rPh sb="198" eb="200">
      <t>ショウカイ</t>
    </rPh>
    <rPh sb="202" eb="205">
      <t>リシュウシャ</t>
    </rPh>
    <rPh sb="206" eb="208">
      <t>ゾウカ</t>
    </rPh>
    <rPh sb="209" eb="210">
      <t>ハカ</t>
    </rPh>
    <phoneticPr fontId="1"/>
  </si>
  <si>
    <r>
      <t>授業担当者は、必要に応じで授業時間外に個別指導を行っており、質問はメール・LMSで随時受</t>
    </r>
    <r>
      <rPr>
        <sz val="12"/>
        <rFont val="ＭＳ Ｐゴシック"/>
        <family val="3"/>
        <charset val="128"/>
        <scheme val="minor"/>
      </rPr>
      <t>け</t>
    </r>
    <r>
      <rPr>
        <sz val="12"/>
        <color theme="1"/>
        <rFont val="ＭＳ Ｐゴシック"/>
        <family val="3"/>
        <charset val="128"/>
        <scheme val="minor"/>
      </rPr>
      <t>付けて</t>
    </r>
    <r>
      <rPr>
        <sz val="12"/>
        <rFont val="ＭＳ Ｐゴシック"/>
        <family val="3"/>
        <charset val="128"/>
        <scheme val="minor"/>
      </rPr>
      <t>い</t>
    </r>
    <r>
      <rPr>
        <sz val="12"/>
        <color theme="1"/>
        <rFont val="ＭＳ Ｐゴシック"/>
        <family val="3"/>
        <charset val="128"/>
        <scheme val="minor"/>
      </rPr>
      <t>る。</t>
    </r>
    <r>
      <rPr>
        <sz val="12"/>
        <rFont val="ＭＳ Ｐゴシック"/>
        <family val="3"/>
        <charset val="128"/>
        <scheme val="minor"/>
      </rPr>
      <t>定期的なオンライン（Zoom）での質問タイムも設けて、より一層質問しやすくしている。</t>
    </r>
    <r>
      <rPr>
        <sz val="12"/>
        <color theme="1"/>
        <rFont val="ＭＳ Ｐゴシック"/>
        <family val="3"/>
        <charset val="128"/>
        <scheme val="minor"/>
      </rPr>
      <t>また、ライフデザイン学科コモンズや学習ステーションにおいても学習指導を実施するとともに、質問に受け付ける。</t>
    </r>
    <rPh sb="0" eb="5">
      <t>ジュギョウタントウシャ</t>
    </rPh>
    <rPh sb="7" eb="9">
      <t>ヒツヨウ</t>
    </rPh>
    <rPh sb="10" eb="11">
      <t>オウ</t>
    </rPh>
    <rPh sb="13" eb="18">
      <t>ジュギョウジカンガイ</t>
    </rPh>
    <rPh sb="19" eb="23">
      <t>コベツシドウ</t>
    </rPh>
    <rPh sb="24" eb="25">
      <t>オコナ</t>
    </rPh>
    <rPh sb="30" eb="32">
      <t>シツモン</t>
    </rPh>
    <rPh sb="41" eb="43">
      <t>ズイジ</t>
    </rPh>
    <rPh sb="51" eb="54">
      <t>テイキテキ</t>
    </rPh>
    <rPh sb="68" eb="70">
      <t>シツモン</t>
    </rPh>
    <rPh sb="74" eb="75">
      <t>モウ</t>
    </rPh>
    <rPh sb="80" eb="82">
      <t>イッソウ</t>
    </rPh>
    <rPh sb="82" eb="84">
      <t>シツモン</t>
    </rPh>
    <rPh sb="103" eb="105">
      <t>ガッカ</t>
    </rPh>
    <rPh sb="110" eb="112">
      <t>ガクシュウ</t>
    </rPh>
    <rPh sb="123" eb="125">
      <t>ガクシュウ</t>
    </rPh>
    <rPh sb="125" eb="127">
      <t>シドウ</t>
    </rPh>
    <rPh sb="128" eb="130">
      <t>ジッシ</t>
    </rPh>
    <rPh sb="137" eb="139">
      <t>シツモン</t>
    </rPh>
    <rPh sb="140" eb="141">
      <t>ウ</t>
    </rPh>
    <rPh sb="142" eb="143">
      <t>ツ</t>
    </rPh>
    <phoneticPr fontId="1"/>
  </si>
  <si>
    <t>4年度の本プログラム履修者・修得者一人に直接聞き取り調査を行った。その結果、①「表計算スキルⅠ」および「表計算スキルⅡ」ではデータ操作について学ぶことができ、「コンピュータ概論」ではICTの基礎と情報倫理について学ぶことができ、「情報社会の未来を知る」では、AIのアイデアを自分たちで考える楽しさを知ったし、AIを作ることよりそれが大事なんだと知った。②4科目で「光華EDUALプログラム」の修了証をもらえるのはお得感がある。③「情報社会の未来を知る」では難しいキーワードもあったけど、グループワークも多くて楽しかった、ということだった。また、「後輩にも勧めたい」ということであった。</t>
    <phoneticPr fontId="1"/>
  </si>
  <si>
    <r>
      <t>4年度は履修者数1名と最低水準だった。「2つの強みを持った人材になろう」というアピールが効き、前期2科目履修生の多くはプログラム履修希望だった。しかし、その後継続的なアナウンスを行わず、後期の履修登録時には「情報社会の未来を知る」が完全に「浮いた」科目になってしまった。また「『情報社会の未来を知る』は難しい」という噂も問題だった。
そこで今後次の対策をとる。まず、前期ガイダンス時だけではなく、随時のアナウンスの徹底である。2つ目に、プログラム修了者のコメント紹介により「情報社会の未来を知る」は難しいという誤解を解く。これらの対策によって、プログラム履修率を計画通り高め</t>
    </r>
    <r>
      <rPr>
        <sz val="12"/>
        <rFont val="ＭＳ Ｐゴシック"/>
        <family val="3"/>
        <charset val="128"/>
        <scheme val="minor"/>
      </rPr>
      <t>ていく。</t>
    </r>
    <r>
      <rPr>
        <sz val="12"/>
        <color theme="1"/>
        <rFont val="ＭＳ Ｐゴシック"/>
        <family val="3"/>
        <charset val="128"/>
        <scheme val="minor"/>
      </rPr>
      <t xml:space="preserve">
</t>
    </r>
    <phoneticPr fontId="1"/>
  </si>
  <si>
    <r>
      <t xml:space="preserve">本プログラムは </t>
    </r>
    <r>
      <rPr>
        <sz val="12"/>
        <color theme="1"/>
        <rFont val="ＭＳ Ｐゴシック"/>
        <family val="3"/>
        <charset val="128"/>
        <scheme val="minor"/>
      </rPr>
      <t>4年度から開始しており、まだ本プログラムを修了した卒業生は出ておらず、現時点で評価を入手することは難しい。将来的には、毎年実施している「就職先等調査」、「卒業生調査」において、本プログラムを修了した卒業生の進路先や活躍状況を把握する</t>
    </r>
    <r>
      <rPr>
        <sz val="12"/>
        <color theme="1"/>
        <rFont val="ＭＳ Ｐゴシック"/>
        <family val="3"/>
        <charset val="128"/>
        <scheme val="minor"/>
      </rPr>
      <t>。</t>
    </r>
    <rPh sb="22" eb="23">
      <t>ホン</t>
    </rPh>
    <rPh sb="33" eb="36">
      <t>ソツギョウセイ</t>
    </rPh>
    <rPh sb="37" eb="38">
      <t>デ</t>
    </rPh>
    <rPh sb="50" eb="52">
      <t>ニュウシュ</t>
    </rPh>
    <phoneticPr fontId="1"/>
  </si>
  <si>
    <r>
      <t>本学は、定期的に、カリキュラム全般に対して、自治体等のステークホルダーから意見を伺う体制をとっている。今後、そのテーマとして本プログラムについても取り上げる</t>
    </r>
    <r>
      <rPr>
        <sz val="12"/>
        <color theme="1"/>
        <rFont val="ＭＳ Ｐゴシック"/>
        <family val="3"/>
        <charset val="128"/>
        <scheme val="minor"/>
      </rPr>
      <t>。</t>
    </r>
    <rPh sb="0" eb="2">
      <t>ホンガク</t>
    </rPh>
    <rPh sb="4" eb="7">
      <t>テイキテキ</t>
    </rPh>
    <rPh sb="15" eb="17">
      <t>ゼンパン</t>
    </rPh>
    <rPh sb="18" eb="19">
      <t>タイ</t>
    </rPh>
    <rPh sb="22" eb="25">
      <t>ジチタイ</t>
    </rPh>
    <rPh sb="25" eb="26">
      <t>トウ</t>
    </rPh>
    <rPh sb="37" eb="39">
      <t>イケン</t>
    </rPh>
    <rPh sb="40" eb="41">
      <t>ウカガ</t>
    </rPh>
    <rPh sb="42" eb="44">
      <t>タイセイ</t>
    </rPh>
    <rPh sb="51" eb="53">
      <t>コンゴ</t>
    </rPh>
    <rPh sb="62" eb="63">
      <t>ホン</t>
    </rPh>
    <rPh sb="73" eb="74">
      <t>ト</t>
    </rPh>
    <rPh sb="75" eb="76">
      <t>ア</t>
    </rPh>
    <phoneticPr fontId="1"/>
  </si>
  <si>
    <r>
      <t>毎回授業終了後の学生アンケートをもとに、今後ともより分かりやすい授業を目指す。同時に、内容・素材自体も更新していく。例えば「対話型ＡＩ」である。これは、5年度以降、学生の利用が増えていくことが想定される。「対話型ＡＩ」は身近なＡＩとして、ＡＩができること・できないことを学ぶ上での教材となり得る。さらにレポートの書き方の自学自習の際の格好の「教師」にもなり得る。これは、これまであり得なかったことである。一方で、従来型のレポート課題をどうするかという問題も生じる。「対話型ＡＩ」は1つの例であるが、今後、ＡＩの発展を積極的に取り入れ、自学自習のあり方も含めて授業を工夫してい</t>
    </r>
    <r>
      <rPr>
        <sz val="12"/>
        <rFont val="ＭＳ Ｐゴシック"/>
        <family val="3"/>
        <charset val="128"/>
        <scheme val="minor"/>
      </rPr>
      <t>く</t>
    </r>
    <r>
      <rPr>
        <sz val="12"/>
        <color theme="1"/>
        <rFont val="ＭＳ Ｐゴシック"/>
        <family val="3"/>
        <charset val="128"/>
        <scheme val="minor"/>
      </rPr>
      <t>。</t>
    </r>
    <phoneticPr fontId="1"/>
  </si>
  <si>
    <r>
      <t>・データの集計（和、平均）：「表計算スキルⅠ」（4回目：数式とセル書式、10回目：関数の基本）、「表計算スキルⅡ」（7回目：統計関数）
・データの並べ替え、ランキング：</t>
    </r>
    <r>
      <rPr>
        <sz val="12"/>
        <rFont val="ＭＳ Ｐゴシック"/>
        <family val="3"/>
        <charset val="128"/>
        <scheme val="minor"/>
      </rPr>
      <t>「表計算スキルⅡ」</t>
    </r>
    <r>
      <rPr>
        <sz val="12"/>
        <color theme="1"/>
        <rFont val="ＭＳ Ｐゴシック"/>
        <family val="3"/>
        <charset val="128"/>
        <scheme val="minor"/>
      </rPr>
      <t>（12回目：データベース機能）
・データ解析ツール（スプレッドシート）：「表計算スキルⅠ」（1～15回目）、「表計算スキルⅡ」（1～15回目）</t>
    </r>
    <rPh sb="5" eb="7">
      <t>シュウケイ</t>
    </rPh>
    <rPh sb="8" eb="9">
      <t>ワ</t>
    </rPh>
    <rPh sb="10" eb="12">
      <t>ヘイキン</t>
    </rPh>
    <rPh sb="15" eb="18">
      <t>ヒョウケイサン</t>
    </rPh>
    <rPh sb="25" eb="27">
      <t>カイメ</t>
    </rPh>
    <rPh sb="28" eb="30">
      <t>スウシキ</t>
    </rPh>
    <rPh sb="33" eb="35">
      <t>ショシキ</t>
    </rPh>
    <rPh sb="38" eb="40">
      <t>カイメ</t>
    </rPh>
    <rPh sb="41" eb="43">
      <t>カンスウ</t>
    </rPh>
    <rPh sb="44" eb="46">
      <t>キホン</t>
    </rPh>
    <rPh sb="49" eb="52">
      <t>ヒョウケイサン</t>
    </rPh>
    <rPh sb="59" eb="61">
      <t>カイメ</t>
    </rPh>
    <rPh sb="62" eb="66">
      <t>トウケイカンスウ</t>
    </rPh>
    <rPh sb="73" eb="74">
      <t>ナラ</t>
    </rPh>
    <rPh sb="75" eb="76">
      <t>カ</t>
    </rPh>
    <rPh sb="85" eb="88">
      <t>ヒョウケイサン</t>
    </rPh>
    <rPh sb="96" eb="98">
      <t>カイメ</t>
    </rPh>
    <rPh sb="105" eb="107">
      <t>キノウ</t>
    </rPh>
    <rPh sb="113" eb="115">
      <t>カイセキ</t>
    </rPh>
    <rPh sb="130" eb="133">
      <t>ヒョウケイサン</t>
    </rPh>
    <rPh sb="148" eb="151">
      <t>ヒョウケイサン</t>
    </rPh>
    <rPh sb="161" eb="163">
      <t>カイメ</t>
    </rPh>
    <phoneticPr fontId="1"/>
  </si>
  <si>
    <t>・AI等を活用した新しいビジネスモデル（シェアリングエコノミー、商品のレコメンデーションなど）：「情報社会の未来を知る」（2回目：AIの基礎知識、3回目：AIの活用例、4回目AIで何ができると良いか、9回目：ブロックチェーン・仮想通貨）</t>
    <rPh sb="3" eb="4">
      <t>トウ</t>
    </rPh>
    <rPh sb="5" eb="7">
      <t>カツヨウ</t>
    </rPh>
    <rPh sb="9" eb="10">
      <t>アタラ</t>
    </rPh>
    <rPh sb="32" eb="34">
      <t>ショウヒン</t>
    </rPh>
    <rPh sb="49" eb="53">
      <t>ジョウホウシャカイ</t>
    </rPh>
    <rPh sb="54" eb="56">
      <t>ミライ</t>
    </rPh>
    <rPh sb="57" eb="58">
      <t>シ</t>
    </rPh>
    <rPh sb="62" eb="64">
      <t>カイメ</t>
    </rPh>
    <rPh sb="68" eb="72">
      <t>キソチシキ</t>
    </rPh>
    <rPh sb="74" eb="76">
      <t>カイメ</t>
    </rPh>
    <rPh sb="80" eb="83">
      <t>カツヨウレイ</t>
    </rPh>
    <rPh sb="85" eb="87">
      <t>カイメ</t>
    </rPh>
    <rPh sb="90" eb="91">
      <t>ナニ</t>
    </rPh>
    <rPh sb="96" eb="97">
      <t>ヨ</t>
    </rPh>
    <rPh sb="101" eb="103">
      <t>カイメ</t>
    </rPh>
    <rPh sb="113" eb="117">
      <t>カソウツウカニンゲンキョウゾンミライ</t>
    </rPh>
    <phoneticPr fontId="1"/>
  </si>
  <si>
    <t>・ビッグデータ、IoT、AI、ロボット：「情報社会の未来を知る」（1回目：VUCAな時代とAI、IoT、Society5.0、SDGs、5回目：IoT：IoTとビッグデータ、11回目：Society5.0・SDGs・21世紀型人材）
・データ量の増加、計算機の処理性能の向上、AIの非連続的進化：「コンピュータ概論」（12回目：ITの未来その１：「量子コンピュータ」）
・複数技術を組み合わせたAIサービス：「情報社会の未来を知る」（3回目：AIの活用例）
・人間の知的活動とAIの関係性：「コンピュータ概論」（13回目：ITの未来その２「AIと人間が共存する未来」）</t>
    <rPh sb="21" eb="23">
      <t>ジョウホウ</t>
    </rPh>
    <rPh sb="23" eb="25">
      <t>シャカイ</t>
    </rPh>
    <rPh sb="26" eb="28">
      <t>ミライ</t>
    </rPh>
    <rPh sb="29" eb="30">
      <t>シ</t>
    </rPh>
    <rPh sb="34" eb="36">
      <t>カイメ</t>
    </rPh>
    <rPh sb="42" eb="44">
      <t>ジダイ</t>
    </rPh>
    <rPh sb="69" eb="71">
      <t>カイメ</t>
    </rPh>
    <rPh sb="89" eb="91">
      <t>カイメ</t>
    </rPh>
    <rPh sb="110" eb="113">
      <t>セイキガタ</t>
    </rPh>
    <rPh sb="113" eb="115">
      <t>ジンザイ</t>
    </rPh>
    <rPh sb="121" eb="122">
      <t>リョウ</t>
    </rPh>
    <rPh sb="123" eb="125">
      <t>ゾウカ</t>
    </rPh>
    <rPh sb="126" eb="129">
      <t>ケイサンキ</t>
    </rPh>
    <rPh sb="130" eb="132">
      <t>ショリ</t>
    </rPh>
    <rPh sb="132" eb="134">
      <t>セイノウ</t>
    </rPh>
    <rPh sb="135" eb="137">
      <t>コウジョウ</t>
    </rPh>
    <rPh sb="141" eb="147">
      <t>ヒレンゾクテキシンカ</t>
    </rPh>
    <rPh sb="155" eb="157">
      <t>ガイロン</t>
    </rPh>
    <rPh sb="161" eb="163">
      <t>カイメ</t>
    </rPh>
    <rPh sb="167" eb="169">
      <t>ミライ</t>
    </rPh>
    <rPh sb="174" eb="176">
      <t>リョウシ</t>
    </rPh>
    <rPh sb="186" eb="190">
      <t>フクスウギジュツ</t>
    </rPh>
    <rPh sb="191" eb="192">
      <t>ク</t>
    </rPh>
    <rPh sb="193" eb="194">
      <t>ア</t>
    </rPh>
    <rPh sb="205" eb="207">
      <t>ジョウホウ</t>
    </rPh>
    <rPh sb="207" eb="209">
      <t>シャカイ</t>
    </rPh>
    <rPh sb="210" eb="212">
      <t>ミライ</t>
    </rPh>
    <rPh sb="213" eb="214">
      <t>シ</t>
    </rPh>
    <rPh sb="218" eb="220">
      <t>カイメ</t>
    </rPh>
    <rPh sb="224" eb="227">
      <t>カツヨウレイ</t>
    </rPh>
    <rPh sb="230" eb="232">
      <t>ニンゲン</t>
    </rPh>
    <rPh sb="233" eb="237">
      <t>チテキカツドウ</t>
    </rPh>
    <rPh sb="241" eb="243">
      <t>カンケイ</t>
    </rPh>
    <rPh sb="243" eb="244">
      <t>セイ</t>
    </rPh>
    <rPh sb="252" eb="254">
      <t>ガイロン</t>
    </rPh>
    <rPh sb="258" eb="260">
      <t>カイメ</t>
    </rPh>
    <rPh sb="264" eb="266">
      <t>ミライ</t>
    </rPh>
    <rPh sb="273" eb="275">
      <t>ニンゲン</t>
    </rPh>
    <rPh sb="276" eb="278">
      <t>キョウゾン</t>
    </rPh>
    <rPh sb="280" eb="282">
      <t>ミライ</t>
    </rPh>
    <phoneticPr fontId="1"/>
  </si>
  <si>
    <t>・データ・AI活動領域の広がり（生産、消費、文化活動など）：「情報社会の未来を知る」（7回目：5G：5Gによるビッグデータ活用の進展）</t>
    <rPh sb="7" eb="9">
      <t>カツドウ</t>
    </rPh>
    <rPh sb="9" eb="11">
      <t>リョウイキ</t>
    </rPh>
    <rPh sb="12" eb="13">
      <t>ヒロ</t>
    </rPh>
    <rPh sb="16" eb="18">
      <t>セイサン</t>
    </rPh>
    <rPh sb="19" eb="21">
      <t>ショウヒ</t>
    </rPh>
    <rPh sb="22" eb="26">
      <t>ブンカカツドウ</t>
    </rPh>
    <rPh sb="31" eb="35">
      <t>ジョウホウシャカイ</t>
    </rPh>
    <rPh sb="36" eb="38">
      <t>ミライ</t>
    </rPh>
    <rPh sb="39" eb="40">
      <t>シ</t>
    </rPh>
    <rPh sb="44" eb="46">
      <t>カイメ</t>
    </rPh>
    <rPh sb="61" eb="63">
      <t>カツヨウ</t>
    </rPh>
    <rPh sb="64" eb="66">
      <t>シンテン</t>
    </rPh>
    <phoneticPr fontId="1"/>
  </si>
  <si>
    <r>
      <t>・流通、製造、金融、サービス、インフラ、公共、ヘルスケア等におけるデータ・AI利活用事例紹介：「情報社会の未来を知る」（3回目：AIの活用例、4回目：AIで何ができると良いか、7回目</t>
    </r>
    <r>
      <rPr>
        <sz val="12"/>
        <rFont val="ＭＳ Ｐゴシック"/>
        <family val="3"/>
        <charset val="128"/>
        <scheme val="minor"/>
      </rPr>
      <t>：5G：</t>
    </r>
    <r>
      <rPr>
        <sz val="12"/>
        <color theme="1"/>
        <rFont val="ＭＳ Ｐゴシック"/>
        <family val="3"/>
        <charset val="128"/>
        <scheme val="minor"/>
      </rPr>
      <t>5Gによるビッグデータ活用の進展、</t>
    </r>
    <r>
      <rPr>
        <sz val="12"/>
        <rFont val="ＭＳ Ｐゴシック"/>
        <family val="3"/>
        <charset val="128"/>
        <scheme val="minor"/>
      </rPr>
      <t>11回目：Society 5.0・SDGs・21世紀型人材、12</t>
    </r>
    <r>
      <rPr>
        <sz val="12"/>
        <color theme="1"/>
        <rFont val="ＭＳ Ｐゴシック"/>
        <family val="3"/>
        <charset val="128"/>
        <scheme val="minor"/>
      </rPr>
      <t>回目：ネット産業）、「コンピュータ概論」（9回目：プログラミング思考：「様々な分野における問題解決力の基本」）</t>
    </r>
    <rPh sb="1" eb="3">
      <t>リュウツウ</t>
    </rPh>
    <rPh sb="4" eb="6">
      <t>セイゾウ</t>
    </rPh>
    <rPh sb="7" eb="9">
      <t>キンユウ</t>
    </rPh>
    <rPh sb="20" eb="22">
      <t>コウキョウ</t>
    </rPh>
    <rPh sb="28" eb="29">
      <t>トウ</t>
    </rPh>
    <rPh sb="39" eb="42">
      <t>リカツヨウ</t>
    </rPh>
    <rPh sb="42" eb="46">
      <t>ジレイショウカイ</t>
    </rPh>
    <rPh sb="48" eb="52">
      <t>ジョウホウシャカイ</t>
    </rPh>
    <rPh sb="53" eb="55">
      <t>ミライ</t>
    </rPh>
    <rPh sb="56" eb="57">
      <t>シ</t>
    </rPh>
    <rPh sb="61" eb="63">
      <t>カイメ</t>
    </rPh>
    <rPh sb="67" eb="70">
      <t>カツヨウレイ</t>
    </rPh>
    <rPh sb="72" eb="74">
      <t>カイメ</t>
    </rPh>
    <rPh sb="78" eb="79">
      <t>ナニ</t>
    </rPh>
    <rPh sb="84" eb="85">
      <t>ヨ</t>
    </rPh>
    <rPh sb="89" eb="91">
      <t>カイメ</t>
    </rPh>
    <rPh sb="106" eb="108">
      <t>カツヨウ</t>
    </rPh>
    <rPh sb="109" eb="111">
      <t>シンテン</t>
    </rPh>
    <rPh sb="114" eb="116">
      <t>カイメ</t>
    </rPh>
    <rPh sb="136" eb="141">
      <t>セイキガタジンザイ</t>
    </rPh>
    <rPh sb="144" eb="146">
      <t>カイメ</t>
    </rPh>
    <rPh sb="150" eb="152">
      <t>サンギョウ</t>
    </rPh>
    <rPh sb="161" eb="163">
      <t>ガイロン</t>
    </rPh>
    <rPh sb="166" eb="168">
      <t>カイメ</t>
    </rPh>
    <rPh sb="176" eb="178">
      <t>シコウ</t>
    </rPh>
    <rPh sb="180" eb="182">
      <t>サマザマ</t>
    </rPh>
    <rPh sb="183" eb="185">
      <t>ブンヤ</t>
    </rPh>
    <rPh sb="189" eb="194">
      <t>モンダイカイケツリョク</t>
    </rPh>
    <rPh sb="195" eb="197">
      <t>キホン</t>
    </rPh>
    <phoneticPr fontId="1"/>
  </si>
  <si>
    <t>・データ表現（棒グラフ、折れ線グラフ、散布図、ヒートマップ）：「表計算スキルⅠ」（12回目：グラフ）</t>
    <rPh sb="4" eb="6">
      <t>ヒョウゲン</t>
    </rPh>
    <rPh sb="7" eb="8">
      <t>ボウ</t>
    </rPh>
    <rPh sb="12" eb="13">
      <t>オ</t>
    </rPh>
    <rPh sb="14" eb="15">
      <t>セン</t>
    </rPh>
    <rPh sb="19" eb="22">
      <t>サンプズ</t>
    </rPh>
    <rPh sb="32" eb="35">
      <t>ヒョウケイサン</t>
    </rPh>
    <rPh sb="43" eb="45">
      <t>カイメ</t>
    </rPh>
    <phoneticPr fontId="1"/>
  </si>
  <si>
    <t>プログラムを構成する、以下の4つの科目（科目1～科目4）の単位（計8単位）をすべて取得すること
・科目1：コンピュータ概論（2単位）、科目2：情報社会の未来を知る（2単位）、科目3：表計算スキルⅠ（2単位）、科目4：表計算スキルⅡ（2単位）</t>
    <rPh sb="6" eb="8">
      <t>コウセイ</t>
    </rPh>
    <rPh sb="11" eb="13">
      <t>イカ</t>
    </rPh>
    <rPh sb="17" eb="19">
      <t>カモク</t>
    </rPh>
    <rPh sb="20" eb="22">
      <t>カモク</t>
    </rPh>
    <rPh sb="24" eb="26">
      <t>カモク</t>
    </rPh>
    <rPh sb="29" eb="31">
      <t>タンイ</t>
    </rPh>
    <rPh sb="32" eb="33">
      <t>ケイ</t>
    </rPh>
    <rPh sb="34" eb="36">
      <t>タンイ</t>
    </rPh>
    <rPh sb="41" eb="43">
      <t>シュトク</t>
    </rPh>
    <rPh sb="49" eb="51">
      <t>カモク</t>
    </rPh>
    <rPh sb="59" eb="61">
      <t>ガイロン</t>
    </rPh>
    <rPh sb="63" eb="65">
      <t>タンイ</t>
    </rPh>
    <rPh sb="87" eb="89">
      <t>カモク</t>
    </rPh>
    <rPh sb="91" eb="94">
      <t>ヒョウケイサン</t>
    </rPh>
    <rPh sb="100" eb="102">
      <t>タンイ</t>
    </rPh>
    <rPh sb="104" eb="106">
      <t>カモク</t>
    </rPh>
    <rPh sb="108" eb="111">
      <t>ヒョウケイサン</t>
    </rPh>
    <rPh sb="117" eb="119">
      <t>タンイ</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</si>
</sst>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trike/>
      <sz val="12"/>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11" fillId="0" borderId="1" xfId="0" applyNumberFormat="1" applyFont="1" applyBorder="1" applyAlignment="1">
      <alignment horizontal="center" vertical="center" shrinkToFit="1"/>
    </xf>
    <xf numFmtId="0" fontId="12" fillId="0" borderId="14" xfId="0" applyFont="1" applyBorder="1" applyAlignment="1">
      <alignment horizontal="center"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xf>
    <xf numFmtId="0" fontId="2" fillId="0" borderId="21" xfId="0" applyFont="1" applyBorder="1" applyAlignment="1">
      <alignment horizontal="left" vertical="center" wrapText="1"/>
    </xf>
    <xf numFmtId="0" fontId="2" fillId="0" borderId="36" xfId="0" applyFont="1" applyBorder="1" applyAlignment="1">
      <alignment horizontal="left" vertical="center" wrapText="1"/>
    </xf>
    <xf numFmtId="0" fontId="2" fillId="0" borderId="35" xfId="0" applyFont="1" applyBorder="1" applyAlignment="1">
      <alignment horizontal="left" vertical="center" wrapTex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7"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11"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3" borderId="1" xfId="0" applyNumberFormat="1" applyFont="1" applyFill="1" applyBorder="1" applyAlignment="1">
      <alignment horizontal="center" vertical="center" wrapText="1" shrinkToFit="1"/>
    </xf>
    <xf numFmtId="9" fontId="11"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B13" sqref="B13:S18"/>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12</v>
      </c>
      <c r="S1" s="134"/>
      <c r="T1" s="2" t="s">
        <v>110</v>
      </c>
    </row>
    <row r="2" spans="1:22" ht="18.75" customHeight="1" x14ac:dyDescent="0.15">
      <c r="B2" s="34" t="s">
        <v>109</v>
      </c>
      <c r="C2" s="89" t="s">
        <v>130</v>
      </c>
      <c r="D2" s="90"/>
      <c r="E2" s="90"/>
      <c r="F2" s="90"/>
      <c r="G2" s="90"/>
      <c r="H2" s="90"/>
      <c r="I2" s="91"/>
      <c r="J2" s="35"/>
      <c r="K2" s="6"/>
      <c r="L2" s="6"/>
      <c r="M2" s="6"/>
      <c r="N2" s="6"/>
      <c r="O2" s="6"/>
      <c r="P2" s="6"/>
      <c r="Q2" s="6"/>
      <c r="R2" s="6"/>
      <c r="S2" s="6"/>
    </row>
    <row r="3" spans="1:22" ht="18.75" customHeight="1" x14ac:dyDescent="0.15">
      <c r="B3" s="34" t="s">
        <v>103</v>
      </c>
      <c r="C3" s="89" t="s">
        <v>138</v>
      </c>
      <c r="D3" s="90"/>
      <c r="E3" s="90"/>
      <c r="F3" s="90"/>
      <c r="G3" s="90"/>
      <c r="H3" s="90"/>
      <c r="I3" s="91"/>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38" t="s">
        <v>39</v>
      </c>
      <c r="B5" s="138"/>
      <c r="C5" s="138"/>
      <c r="D5" s="138"/>
      <c r="E5" s="138"/>
      <c r="F5" s="138"/>
      <c r="G5" s="138"/>
      <c r="H5" s="138"/>
      <c r="I5" s="138"/>
      <c r="J5" s="138"/>
      <c r="K5" s="138"/>
      <c r="L5" s="138"/>
      <c r="M5" s="138"/>
      <c r="N5" s="138"/>
      <c r="O5" s="138"/>
      <c r="P5" s="138"/>
      <c r="Q5" s="138"/>
      <c r="R5" s="138"/>
      <c r="S5" s="13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48" t="s">
        <v>139</v>
      </c>
      <c r="L7" s="149"/>
      <c r="M7" s="149"/>
      <c r="N7" s="149"/>
      <c r="O7" s="149"/>
      <c r="P7" s="149"/>
      <c r="Q7" s="149"/>
      <c r="R7" s="149"/>
      <c r="S7" s="150"/>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51"/>
      <c r="C9" s="152"/>
      <c r="D9" s="152"/>
      <c r="E9" s="152"/>
      <c r="F9" s="152"/>
      <c r="G9" s="152"/>
      <c r="H9" s="152"/>
      <c r="I9" s="152"/>
      <c r="J9" s="152"/>
      <c r="K9" s="152"/>
      <c r="L9" s="152"/>
      <c r="M9" s="152"/>
      <c r="N9" s="152"/>
      <c r="O9" s="152"/>
      <c r="P9" s="152"/>
      <c r="Q9" s="152"/>
      <c r="R9" s="152"/>
      <c r="S9" s="153"/>
    </row>
    <row r="10" spans="1:22" ht="18" customHeight="1" x14ac:dyDescent="0.15">
      <c r="B10" s="154"/>
      <c r="C10" s="155"/>
      <c r="D10" s="155"/>
      <c r="E10" s="155"/>
      <c r="F10" s="155"/>
      <c r="G10" s="155"/>
      <c r="H10" s="155"/>
      <c r="I10" s="155"/>
      <c r="J10" s="155"/>
      <c r="K10" s="155"/>
      <c r="L10" s="155"/>
      <c r="M10" s="155"/>
      <c r="N10" s="155"/>
      <c r="O10" s="155"/>
      <c r="P10" s="155"/>
      <c r="Q10" s="155"/>
      <c r="R10" s="155"/>
      <c r="S10" s="156"/>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39" t="s">
        <v>174</v>
      </c>
      <c r="C13" s="140"/>
      <c r="D13" s="140"/>
      <c r="E13" s="140"/>
      <c r="F13" s="140"/>
      <c r="G13" s="140"/>
      <c r="H13" s="140"/>
      <c r="I13" s="140"/>
      <c r="J13" s="140"/>
      <c r="K13" s="140"/>
      <c r="L13" s="140"/>
      <c r="M13" s="140"/>
      <c r="N13" s="140"/>
      <c r="O13" s="140"/>
      <c r="P13" s="140"/>
      <c r="Q13" s="140"/>
      <c r="R13" s="140"/>
      <c r="S13" s="141"/>
      <c r="V13" s="1" t="s">
        <v>104</v>
      </c>
    </row>
    <row r="14" spans="1:22" ht="18" customHeight="1" x14ac:dyDescent="0.15">
      <c r="B14" s="142"/>
      <c r="C14" s="143"/>
      <c r="D14" s="143"/>
      <c r="E14" s="143"/>
      <c r="F14" s="143"/>
      <c r="G14" s="143"/>
      <c r="H14" s="143"/>
      <c r="I14" s="143"/>
      <c r="J14" s="143"/>
      <c r="K14" s="143"/>
      <c r="L14" s="143"/>
      <c r="M14" s="143"/>
      <c r="N14" s="143"/>
      <c r="O14" s="143"/>
      <c r="P14" s="143"/>
      <c r="Q14" s="143"/>
      <c r="R14" s="143"/>
      <c r="S14" s="144"/>
      <c r="V14" s="1" t="s">
        <v>111</v>
      </c>
    </row>
    <row r="15" spans="1:22" ht="18" customHeight="1" x14ac:dyDescent="0.15">
      <c r="B15" s="142"/>
      <c r="C15" s="143"/>
      <c r="D15" s="143"/>
      <c r="E15" s="143"/>
      <c r="F15" s="143"/>
      <c r="G15" s="143"/>
      <c r="H15" s="143"/>
      <c r="I15" s="143"/>
      <c r="J15" s="143"/>
      <c r="K15" s="143"/>
      <c r="L15" s="143"/>
      <c r="M15" s="143"/>
      <c r="N15" s="143"/>
      <c r="O15" s="143"/>
      <c r="P15" s="143"/>
      <c r="Q15" s="143"/>
      <c r="R15" s="143"/>
      <c r="S15" s="144"/>
      <c r="V15" s="1" t="s">
        <v>124</v>
      </c>
    </row>
    <row r="16" spans="1:22" ht="18" customHeight="1" x14ac:dyDescent="0.15">
      <c r="B16" s="142"/>
      <c r="C16" s="143"/>
      <c r="D16" s="143"/>
      <c r="E16" s="143"/>
      <c r="F16" s="143"/>
      <c r="G16" s="143"/>
      <c r="H16" s="143"/>
      <c r="I16" s="143"/>
      <c r="J16" s="143"/>
      <c r="K16" s="143"/>
      <c r="L16" s="143"/>
      <c r="M16" s="143"/>
      <c r="N16" s="143"/>
      <c r="O16" s="143"/>
      <c r="P16" s="143"/>
      <c r="Q16" s="143"/>
      <c r="R16" s="143"/>
      <c r="S16" s="144"/>
      <c r="V16" s="1" t="s">
        <v>126</v>
      </c>
    </row>
    <row r="17" spans="1:19" ht="18" customHeight="1" x14ac:dyDescent="0.15">
      <c r="B17" s="142"/>
      <c r="C17" s="143"/>
      <c r="D17" s="143"/>
      <c r="E17" s="143"/>
      <c r="F17" s="143"/>
      <c r="G17" s="143"/>
      <c r="H17" s="143"/>
      <c r="I17" s="143"/>
      <c r="J17" s="143"/>
      <c r="K17" s="143"/>
      <c r="L17" s="143"/>
      <c r="M17" s="143"/>
      <c r="N17" s="143"/>
      <c r="O17" s="143"/>
      <c r="P17" s="143"/>
      <c r="Q17" s="143"/>
      <c r="R17" s="143"/>
      <c r="S17" s="144"/>
    </row>
    <row r="18" spans="1:19" ht="18" customHeight="1" x14ac:dyDescent="0.15">
      <c r="B18" s="145"/>
      <c r="C18" s="146"/>
      <c r="D18" s="146"/>
      <c r="E18" s="146"/>
      <c r="F18" s="146"/>
      <c r="G18" s="146"/>
      <c r="H18" s="146"/>
      <c r="I18" s="146"/>
      <c r="J18" s="146"/>
      <c r="K18" s="146"/>
      <c r="L18" s="146"/>
      <c r="M18" s="146"/>
      <c r="N18" s="146"/>
      <c r="O18" s="146"/>
      <c r="P18" s="146"/>
      <c r="Q18" s="146"/>
      <c r="R18" s="146"/>
      <c r="S18" s="147"/>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89">
        <v>8</v>
      </c>
      <c r="D20" s="91"/>
      <c r="E20" s="40" t="s">
        <v>96</v>
      </c>
      <c r="G20" s="10"/>
      <c r="H20" s="3"/>
      <c r="I20" s="3"/>
      <c r="J20" s="35" t="s">
        <v>122</v>
      </c>
      <c r="K20" s="135" t="s">
        <v>126</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114</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54</v>
      </c>
      <c r="C24" s="90"/>
      <c r="D24" s="90"/>
      <c r="E24" s="91"/>
      <c r="F24" s="60" t="s">
        <v>81</v>
      </c>
      <c r="G24" s="59" t="s">
        <v>85</v>
      </c>
      <c r="H24" s="22" t="s">
        <v>57</v>
      </c>
      <c r="I24" s="22" t="s">
        <v>60</v>
      </c>
      <c r="J24" s="89" t="s">
        <v>54</v>
      </c>
      <c r="K24" s="90"/>
      <c r="L24" s="90"/>
      <c r="M24" s="90"/>
      <c r="N24" s="90"/>
      <c r="O24" s="91"/>
      <c r="P24" s="60" t="s">
        <v>81</v>
      </c>
      <c r="Q24" s="59" t="s">
        <v>85</v>
      </c>
      <c r="R24" s="22" t="s">
        <v>57</v>
      </c>
      <c r="S24" s="22" t="s">
        <v>60</v>
      </c>
    </row>
    <row r="25" spans="1:19" ht="18" customHeight="1" x14ac:dyDescent="0.15">
      <c r="B25" s="83" t="s">
        <v>140</v>
      </c>
      <c r="C25" s="84"/>
      <c r="D25" s="84"/>
      <c r="E25" s="85"/>
      <c r="F25" s="23">
        <v>2</v>
      </c>
      <c r="G25" s="23" t="s">
        <v>141</v>
      </c>
      <c r="H25" s="23" t="s">
        <v>141</v>
      </c>
      <c r="I25" s="23" t="s">
        <v>141</v>
      </c>
      <c r="J25" s="83"/>
      <c r="K25" s="84"/>
      <c r="L25" s="84"/>
      <c r="M25" s="84"/>
      <c r="N25" s="84"/>
      <c r="O25" s="85"/>
      <c r="P25" s="23"/>
      <c r="Q25" s="23"/>
      <c r="R25" s="23"/>
      <c r="S25" s="23"/>
    </row>
    <row r="26" spans="1:19" ht="18" customHeight="1" x14ac:dyDescent="0.15">
      <c r="B26" s="86" t="s">
        <v>142</v>
      </c>
      <c r="C26" s="87"/>
      <c r="D26" s="87"/>
      <c r="E26" s="88"/>
      <c r="F26" s="24">
        <v>2</v>
      </c>
      <c r="G26" s="24" t="s">
        <v>141</v>
      </c>
      <c r="H26" s="24" t="s">
        <v>141</v>
      </c>
      <c r="I26" s="24"/>
      <c r="J26" s="86"/>
      <c r="K26" s="87"/>
      <c r="L26" s="87"/>
      <c r="M26" s="87"/>
      <c r="N26" s="87"/>
      <c r="O26" s="88"/>
      <c r="P26" s="24"/>
      <c r="Q26" s="24"/>
      <c r="R26" s="24"/>
      <c r="S26" s="24"/>
    </row>
    <row r="27" spans="1:19" ht="18" customHeight="1" x14ac:dyDescent="0.15">
      <c r="B27" s="86"/>
      <c r="C27" s="87"/>
      <c r="D27" s="87"/>
      <c r="E27" s="88"/>
      <c r="F27" s="24"/>
      <c r="G27" s="24"/>
      <c r="H27" s="24"/>
      <c r="I27" s="24"/>
      <c r="J27" s="86"/>
      <c r="K27" s="87"/>
      <c r="L27" s="87"/>
      <c r="M27" s="87"/>
      <c r="N27" s="87"/>
      <c r="O27" s="88"/>
      <c r="P27" s="24"/>
      <c r="Q27" s="24"/>
      <c r="R27" s="24"/>
      <c r="S27" s="24"/>
    </row>
    <row r="28" spans="1:19" ht="18" customHeight="1" x14ac:dyDescent="0.15">
      <c r="B28" s="86"/>
      <c r="C28" s="87"/>
      <c r="D28" s="87"/>
      <c r="E28" s="88"/>
      <c r="F28" s="24"/>
      <c r="G28" s="24"/>
      <c r="H28" s="24"/>
      <c r="I28" s="24"/>
      <c r="J28" s="86"/>
      <c r="K28" s="87"/>
      <c r="L28" s="87"/>
      <c r="M28" s="87"/>
      <c r="N28" s="87"/>
      <c r="O28" s="88"/>
      <c r="P28" s="24"/>
      <c r="Q28" s="24"/>
      <c r="R28" s="24"/>
      <c r="S28" s="24"/>
    </row>
    <row r="29" spans="1:19" ht="18" customHeight="1" x14ac:dyDescent="0.15">
      <c r="B29" s="86"/>
      <c r="C29" s="87"/>
      <c r="D29" s="87"/>
      <c r="E29" s="88"/>
      <c r="F29" s="24"/>
      <c r="G29" s="24"/>
      <c r="H29" s="24"/>
      <c r="I29" s="24"/>
      <c r="J29" s="86"/>
      <c r="K29" s="87"/>
      <c r="L29" s="87"/>
      <c r="M29" s="87"/>
      <c r="N29" s="87"/>
      <c r="O29" s="88"/>
      <c r="P29" s="24"/>
      <c r="Q29" s="24"/>
      <c r="R29" s="24"/>
      <c r="S29" s="24"/>
    </row>
    <row r="30" spans="1:19" ht="18" customHeight="1" x14ac:dyDescent="0.15">
      <c r="A30" s="3"/>
      <c r="B30" s="86"/>
      <c r="C30" s="87"/>
      <c r="D30" s="87"/>
      <c r="E30" s="88"/>
      <c r="F30" s="24"/>
      <c r="G30" s="24"/>
      <c r="H30" s="24"/>
      <c r="I30" s="24"/>
      <c r="J30" s="86"/>
      <c r="K30" s="87"/>
      <c r="L30" s="87"/>
      <c r="M30" s="87"/>
      <c r="N30" s="87"/>
      <c r="O30" s="88"/>
      <c r="P30" s="24"/>
      <c r="Q30" s="24"/>
      <c r="R30" s="24"/>
      <c r="S30" s="24"/>
    </row>
    <row r="31" spans="1:19" ht="18" customHeight="1" x14ac:dyDescent="0.15">
      <c r="A31" s="3"/>
      <c r="B31" s="92"/>
      <c r="C31" s="93"/>
      <c r="D31" s="93"/>
      <c r="E31" s="94"/>
      <c r="F31" s="25"/>
      <c r="G31" s="25"/>
      <c r="H31" s="26"/>
      <c r="I31" s="26"/>
      <c r="J31" s="92"/>
      <c r="K31" s="93"/>
      <c r="L31" s="93"/>
      <c r="M31" s="93"/>
      <c r="N31" s="93"/>
      <c r="O31" s="94"/>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115</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54</v>
      </c>
      <c r="C35" s="90"/>
      <c r="D35" s="90"/>
      <c r="E35" s="91"/>
      <c r="F35" s="60" t="s">
        <v>81</v>
      </c>
      <c r="G35" s="59" t="s">
        <v>85</v>
      </c>
      <c r="H35" s="22" t="s">
        <v>72</v>
      </c>
      <c r="I35" s="22" t="s">
        <v>73</v>
      </c>
      <c r="J35" s="89" t="s">
        <v>54</v>
      </c>
      <c r="K35" s="90"/>
      <c r="L35" s="90"/>
      <c r="M35" s="90"/>
      <c r="N35" s="90"/>
      <c r="O35" s="91"/>
      <c r="P35" s="60" t="s">
        <v>81</v>
      </c>
      <c r="Q35" s="59" t="s">
        <v>85</v>
      </c>
      <c r="R35" s="22" t="s">
        <v>72</v>
      </c>
      <c r="S35" s="22" t="s">
        <v>73</v>
      </c>
    </row>
    <row r="36" spans="1:19" ht="18" customHeight="1" x14ac:dyDescent="0.15">
      <c r="B36" s="83" t="s">
        <v>140</v>
      </c>
      <c r="C36" s="84"/>
      <c r="D36" s="84"/>
      <c r="E36" s="85"/>
      <c r="F36" s="23">
        <v>2</v>
      </c>
      <c r="G36" s="23" t="s">
        <v>141</v>
      </c>
      <c r="H36" s="23" t="s">
        <v>141</v>
      </c>
      <c r="I36" s="23" t="s">
        <v>141</v>
      </c>
      <c r="J36" s="83"/>
      <c r="K36" s="84"/>
      <c r="L36" s="84"/>
      <c r="M36" s="84"/>
      <c r="N36" s="84"/>
      <c r="O36" s="85"/>
      <c r="P36" s="23"/>
      <c r="Q36" s="23"/>
      <c r="R36" s="23"/>
      <c r="S36" s="23"/>
    </row>
    <row r="37" spans="1:19" ht="18" customHeight="1" x14ac:dyDescent="0.15">
      <c r="B37" s="86" t="s">
        <v>142</v>
      </c>
      <c r="C37" s="87"/>
      <c r="D37" s="87"/>
      <c r="E37" s="88"/>
      <c r="F37" s="24">
        <v>2</v>
      </c>
      <c r="G37" s="24" t="s">
        <v>141</v>
      </c>
      <c r="H37" s="24" t="s">
        <v>141</v>
      </c>
      <c r="I37" s="24"/>
      <c r="J37" s="86"/>
      <c r="K37" s="87"/>
      <c r="L37" s="87"/>
      <c r="M37" s="87"/>
      <c r="N37" s="87"/>
      <c r="O37" s="88"/>
      <c r="P37" s="24"/>
      <c r="Q37" s="24"/>
      <c r="R37" s="24"/>
      <c r="S37" s="24"/>
    </row>
    <row r="38" spans="1:19" ht="18" customHeight="1" x14ac:dyDescent="0.15">
      <c r="B38" s="86"/>
      <c r="C38" s="87"/>
      <c r="D38" s="87"/>
      <c r="E38" s="88"/>
      <c r="F38" s="24"/>
      <c r="G38" s="24"/>
      <c r="H38" s="24"/>
      <c r="I38" s="24"/>
      <c r="J38" s="86"/>
      <c r="K38" s="87"/>
      <c r="L38" s="87"/>
      <c r="M38" s="87"/>
      <c r="N38" s="87"/>
      <c r="O38" s="88"/>
      <c r="P38" s="24"/>
      <c r="Q38" s="24"/>
      <c r="R38" s="24"/>
      <c r="S38" s="24"/>
    </row>
    <row r="39" spans="1:19" ht="18" customHeight="1" x14ac:dyDescent="0.15">
      <c r="B39" s="86"/>
      <c r="C39" s="87"/>
      <c r="D39" s="87"/>
      <c r="E39" s="88"/>
      <c r="F39" s="24"/>
      <c r="G39" s="24"/>
      <c r="H39" s="24"/>
      <c r="I39" s="24"/>
      <c r="J39" s="86"/>
      <c r="K39" s="87"/>
      <c r="L39" s="87"/>
      <c r="M39" s="87"/>
      <c r="N39" s="87"/>
      <c r="O39" s="88"/>
      <c r="P39" s="24"/>
      <c r="Q39" s="24"/>
      <c r="R39" s="24"/>
      <c r="S39" s="24"/>
    </row>
    <row r="40" spans="1:19" ht="18" customHeight="1" x14ac:dyDescent="0.15">
      <c r="B40" s="86"/>
      <c r="C40" s="87"/>
      <c r="D40" s="87"/>
      <c r="E40" s="88"/>
      <c r="F40" s="24"/>
      <c r="G40" s="24"/>
      <c r="H40" s="24"/>
      <c r="I40" s="24"/>
      <c r="J40" s="86"/>
      <c r="K40" s="87"/>
      <c r="L40" s="87"/>
      <c r="M40" s="87"/>
      <c r="N40" s="87"/>
      <c r="O40" s="88"/>
      <c r="P40" s="24"/>
      <c r="Q40" s="24"/>
      <c r="R40" s="24"/>
      <c r="S40" s="24"/>
    </row>
    <row r="41" spans="1:19" ht="18" customHeight="1" x14ac:dyDescent="0.15">
      <c r="B41" s="86"/>
      <c r="C41" s="87"/>
      <c r="D41" s="87"/>
      <c r="E41" s="88"/>
      <c r="F41" s="24"/>
      <c r="G41" s="24"/>
      <c r="H41" s="24"/>
      <c r="I41" s="24"/>
      <c r="J41" s="86"/>
      <c r="K41" s="87"/>
      <c r="L41" s="87"/>
      <c r="M41" s="87"/>
      <c r="N41" s="87"/>
      <c r="O41" s="88"/>
      <c r="P41" s="24"/>
      <c r="Q41" s="24"/>
      <c r="R41" s="24"/>
      <c r="S41" s="24"/>
    </row>
    <row r="42" spans="1:19" ht="18" customHeight="1" x14ac:dyDescent="0.15">
      <c r="B42" s="92"/>
      <c r="C42" s="93"/>
      <c r="D42" s="93"/>
      <c r="E42" s="94"/>
      <c r="F42" s="25"/>
      <c r="G42" s="25"/>
      <c r="H42" s="26"/>
      <c r="I42" s="26"/>
      <c r="J42" s="92"/>
      <c r="K42" s="93"/>
      <c r="L42" s="93"/>
      <c r="M42" s="93"/>
      <c r="N42" s="93"/>
      <c r="O42" s="94"/>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116</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54</v>
      </c>
      <c r="C46" s="90"/>
      <c r="D46" s="90"/>
      <c r="E46" s="91"/>
      <c r="F46" s="60" t="s">
        <v>81</v>
      </c>
      <c r="G46" s="59" t="s">
        <v>85</v>
      </c>
      <c r="H46" s="22" t="s">
        <v>74</v>
      </c>
      <c r="I46" s="22" t="s">
        <v>75</v>
      </c>
      <c r="J46" s="89" t="s">
        <v>54</v>
      </c>
      <c r="K46" s="90"/>
      <c r="L46" s="90"/>
      <c r="M46" s="90"/>
      <c r="N46" s="90"/>
      <c r="O46" s="91"/>
      <c r="P46" s="60" t="s">
        <v>81</v>
      </c>
      <c r="Q46" s="59" t="s">
        <v>85</v>
      </c>
      <c r="R46" s="22" t="s">
        <v>74</v>
      </c>
      <c r="S46" s="22" t="s">
        <v>75</v>
      </c>
    </row>
    <row r="47" spans="1:19" ht="18" customHeight="1" x14ac:dyDescent="0.15">
      <c r="A47" s="3"/>
      <c r="B47" s="83" t="s">
        <v>143</v>
      </c>
      <c r="C47" s="84"/>
      <c r="D47" s="84"/>
      <c r="E47" s="85"/>
      <c r="F47" s="23">
        <v>2</v>
      </c>
      <c r="G47" s="23" t="s">
        <v>141</v>
      </c>
      <c r="H47" s="82"/>
      <c r="I47" s="23" t="s">
        <v>141</v>
      </c>
      <c r="J47" s="83"/>
      <c r="K47" s="84"/>
      <c r="L47" s="84"/>
      <c r="M47" s="84"/>
      <c r="N47" s="84"/>
      <c r="O47" s="85"/>
      <c r="P47" s="23"/>
      <c r="Q47" s="23"/>
      <c r="R47" s="23"/>
      <c r="S47" s="23"/>
    </row>
    <row r="48" spans="1:19" ht="18" customHeight="1" x14ac:dyDescent="0.15">
      <c r="A48" s="3"/>
      <c r="B48" s="86" t="s">
        <v>142</v>
      </c>
      <c r="C48" s="87"/>
      <c r="D48" s="87"/>
      <c r="E48" s="88"/>
      <c r="F48" s="24">
        <v>2</v>
      </c>
      <c r="G48" s="24" t="s">
        <v>141</v>
      </c>
      <c r="H48" s="24" t="s">
        <v>141</v>
      </c>
      <c r="I48" s="24" t="s">
        <v>141</v>
      </c>
      <c r="J48" s="86"/>
      <c r="K48" s="87"/>
      <c r="L48" s="87"/>
      <c r="M48" s="87"/>
      <c r="N48" s="87"/>
      <c r="O48" s="88"/>
      <c r="P48" s="24"/>
      <c r="Q48" s="24"/>
      <c r="R48" s="24"/>
      <c r="S48" s="24"/>
    </row>
    <row r="49" spans="1:19" ht="18" customHeight="1" x14ac:dyDescent="0.15">
      <c r="A49" s="3"/>
      <c r="B49" s="86" t="s">
        <v>144</v>
      </c>
      <c r="C49" s="87"/>
      <c r="D49" s="87"/>
      <c r="E49" s="88"/>
      <c r="F49" s="24">
        <v>2</v>
      </c>
      <c r="G49" s="24" t="s">
        <v>141</v>
      </c>
      <c r="H49" s="24" t="s">
        <v>141</v>
      </c>
      <c r="I49" s="24"/>
      <c r="J49" s="86"/>
      <c r="K49" s="87"/>
      <c r="L49" s="87"/>
      <c r="M49" s="87"/>
      <c r="N49" s="87"/>
      <c r="O49" s="88"/>
      <c r="P49" s="24"/>
      <c r="Q49" s="24"/>
      <c r="R49" s="24"/>
      <c r="S49" s="24"/>
    </row>
    <row r="50" spans="1:19" ht="18" customHeight="1" x14ac:dyDescent="0.15">
      <c r="A50" s="3"/>
      <c r="B50" s="86"/>
      <c r="C50" s="87"/>
      <c r="D50" s="87"/>
      <c r="E50" s="88"/>
      <c r="F50" s="24"/>
      <c r="G50" s="24"/>
      <c r="H50" s="24"/>
      <c r="I50" s="24"/>
      <c r="J50" s="86"/>
      <c r="K50" s="87"/>
      <c r="L50" s="87"/>
      <c r="M50" s="87"/>
      <c r="N50" s="87"/>
      <c r="O50" s="88"/>
      <c r="P50" s="24"/>
      <c r="Q50" s="24"/>
      <c r="R50" s="24"/>
      <c r="S50" s="24"/>
    </row>
    <row r="51" spans="1:19" ht="18" customHeight="1" x14ac:dyDescent="0.15">
      <c r="A51" s="3"/>
      <c r="B51" s="86"/>
      <c r="C51" s="87"/>
      <c r="D51" s="87"/>
      <c r="E51" s="88"/>
      <c r="F51" s="24"/>
      <c r="G51" s="24"/>
      <c r="H51" s="24"/>
      <c r="I51" s="24"/>
      <c r="J51" s="86"/>
      <c r="K51" s="87"/>
      <c r="L51" s="87"/>
      <c r="M51" s="87"/>
      <c r="N51" s="87"/>
      <c r="O51" s="88"/>
      <c r="P51" s="24"/>
      <c r="Q51" s="24"/>
      <c r="R51" s="24"/>
      <c r="S51" s="24"/>
    </row>
    <row r="52" spans="1:19" ht="18" customHeight="1" x14ac:dyDescent="0.15">
      <c r="A52" s="3"/>
      <c r="B52" s="86"/>
      <c r="C52" s="87"/>
      <c r="D52" s="87"/>
      <c r="E52" s="88"/>
      <c r="F52" s="24"/>
      <c r="G52" s="24"/>
      <c r="H52" s="24"/>
      <c r="I52" s="24"/>
      <c r="J52" s="86"/>
      <c r="K52" s="87"/>
      <c r="L52" s="87"/>
      <c r="M52" s="87"/>
      <c r="N52" s="87"/>
      <c r="O52" s="88"/>
      <c r="P52" s="24"/>
      <c r="Q52" s="24"/>
      <c r="R52" s="24"/>
      <c r="S52" s="24"/>
    </row>
    <row r="53" spans="1:19" ht="18" customHeight="1" x14ac:dyDescent="0.15">
      <c r="A53" s="3"/>
      <c r="B53" s="92"/>
      <c r="C53" s="93"/>
      <c r="D53" s="93"/>
      <c r="E53" s="94"/>
      <c r="F53" s="25"/>
      <c r="G53" s="25"/>
      <c r="H53" s="26"/>
      <c r="I53" s="26"/>
      <c r="J53" s="92"/>
      <c r="K53" s="93"/>
      <c r="L53" s="93"/>
      <c r="M53" s="93"/>
      <c r="N53" s="93"/>
      <c r="O53" s="94"/>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5" t="s">
        <v>117</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54</v>
      </c>
      <c r="C57" s="90"/>
      <c r="D57" s="90"/>
      <c r="E57" s="91"/>
      <c r="F57" s="60" t="s">
        <v>81</v>
      </c>
      <c r="G57" s="59" t="s">
        <v>85</v>
      </c>
      <c r="H57" s="22" t="s">
        <v>59</v>
      </c>
      <c r="I57" s="22" t="s">
        <v>61</v>
      </c>
      <c r="J57" s="89" t="s">
        <v>54</v>
      </c>
      <c r="K57" s="90"/>
      <c r="L57" s="90"/>
      <c r="M57" s="90"/>
      <c r="N57" s="90"/>
      <c r="O57" s="91"/>
      <c r="P57" s="60" t="s">
        <v>81</v>
      </c>
      <c r="Q57" s="59" t="s">
        <v>85</v>
      </c>
      <c r="R57" s="22" t="s">
        <v>59</v>
      </c>
      <c r="S57" s="22" t="s">
        <v>61</v>
      </c>
    </row>
    <row r="58" spans="1:19" ht="18" customHeight="1" x14ac:dyDescent="0.15">
      <c r="A58" s="3"/>
      <c r="B58" s="83" t="s">
        <v>143</v>
      </c>
      <c r="C58" s="84"/>
      <c r="D58" s="84"/>
      <c r="E58" s="85"/>
      <c r="F58" s="23">
        <v>2</v>
      </c>
      <c r="G58" s="23" t="s">
        <v>141</v>
      </c>
      <c r="H58" s="23" t="s">
        <v>141</v>
      </c>
      <c r="I58" s="23"/>
      <c r="J58" s="83"/>
      <c r="K58" s="84"/>
      <c r="L58" s="84"/>
      <c r="M58" s="84"/>
      <c r="N58" s="84"/>
      <c r="O58" s="85"/>
      <c r="P58" s="23"/>
      <c r="Q58" s="23"/>
      <c r="R58" s="23"/>
      <c r="S58" s="23"/>
    </row>
    <row r="59" spans="1:19" ht="18" customHeight="1" x14ac:dyDescent="0.15">
      <c r="A59" s="3"/>
      <c r="B59" s="86" t="s">
        <v>142</v>
      </c>
      <c r="C59" s="87"/>
      <c r="D59" s="87"/>
      <c r="E59" s="88"/>
      <c r="F59" s="24">
        <v>2</v>
      </c>
      <c r="G59" s="24" t="s">
        <v>141</v>
      </c>
      <c r="H59" s="24"/>
      <c r="I59" s="24" t="s">
        <v>141</v>
      </c>
      <c r="J59" s="86"/>
      <c r="K59" s="87"/>
      <c r="L59" s="87"/>
      <c r="M59" s="87"/>
      <c r="N59" s="87"/>
      <c r="O59" s="88"/>
      <c r="P59" s="24"/>
      <c r="Q59" s="24"/>
      <c r="R59" s="24"/>
      <c r="S59" s="24"/>
    </row>
    <row r="60" spans="1:19" ht="18" customHeight="1" x14ac:dyDescent="0.15">
      <c r="A60" s="3"/>
      <c r="B60" s="86"/>
      <c r="C60" s="87"/>
      <c r="D60" s="87"/>
      <c r="E60" s="88"/>
      <c r="F60" s="24"/>
      <c r="G60" s="24"/>
      <c r="H60" s="24"/>
      <c r="I60" s="24"/>
      <c r="J60" s="86"/>
      <c r="K60" s="87"/>
      <c r="L60" s="87"/>
      <c r="M60" s="87"/>
      <c r="N60" s="87"/>
      <c r="O60" s="88"/>
      <c r="P60" s="24"/>
      <c r="Q60" s="24"/>
      <c r="R60" s="24"/>
      <c r="S60" s="24"/>
    </row>
    <row r="61" spans="1:19" ht="18" customHeight="1" x14ac:dyDescent="0.15">
      <c r="A61" s="3"/>
      <c r="B61" s="86"/>
      <c r="C61" s="87"/>
      <c r="D61" s="87"/>
      <c r="E61" s="88"/>
      <c r="F61" s="24"/>
      <c r="G61" s="24"/>
      <c r="H61" s="24"/>
      <c r="I61" s="24"/>
      <c r="J61" s="86"/>
      <c r="K61" s="87"/>
      <c r="L61" s="87"/>
      <c r="M61" s="87"/>
      <c r="N61" s="87"/>
      <c r="O61" s="88"/>
      <c r="P61" s="24"/>
      <c r="Q61" s="24"/>
      <c r="R61" s="24"/>
      <c r="S61" s="24"/>
    </row>
    <row r="62" spans="1:19" ht="18" customHeight="1" x14ac:dyDescent="0.15">
      <c r="A62" s="3"/>
      <c r="B62" s="86"/>
      <c r="C62" s="87"/>
      <c r="D62" s="87"/>
      <c r="E62" s="88"/>
      <c r="F62" s="24"/>
      <c r="G62" s="24"/>
      <c r="H62" s="24"/>
      <c r="I62" s="24"/>
      <c r="J62" s="86"/>
      <c r="K62" s="87"/>
      <c r="L62" s="87"/>
      <c r="M62" s="87"/>
      <c r="N62" s="87"/>
      <c r="O62" s="88"/>
      <c r="P62" s="24"/>
      <c r="Q62" s="24"/>
      <c r="R62" s="24"/>
      <c r="S62" s="24"/>
    </row>
    <row r="63" spans="1:19" ht="18" customHeight="1" x14ac:dyDescent="0.15">
      <c r="A63" s="3"/>
      <c r="B63" s="86"/>
      <c r="C63" s="87"/>
      <c r="D63" s="87"/>
      <c r="E63" s="88"/>
      <c r="F63" s="24"/>
      <c r="G63" s="24"/>
      <c r="H63" s="24"/>
      <c r="I63" s="24"/>
      <c r="J63" s="86"/>
      <c r="K63" s="87"/>
      <c r="L63" s="87"/>
      <c r="M63" s="87"/>
      <c r="N63" s="87"/>
      <c r="O63" s="88"/>
      <c r="P63" s="24"/>
      <c r="Q63" s="24"/>
      <c r="R63" s="24"/>
      <c r="S63" s="24"/>
    </row>
    <row r="64" spans="1:19" ht="18" customHeight="1" x14ac:dyDescent="0.15">
      <c r="A64" s="3"/>
      <c r="B64" s="92"/>
      <c r="C64" s="93"/>
      <c r="D64" s="93"/>
      <c r="E64" s="94"/>
      <c r="F64" s="25"/>
      <c r="G64" s="25"/>
      <c r="H64" s="26"/>
      <c r="I64" s="26"/>
      <c r="J64" s="92"/>
      <c r="K64" s="93"/>
      <c r="L64" s="93"/>
      <c r="M64" s="93"/>
      <c r="N64" s="93"/>
      <c r="O64" s="94"/>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5" t="s">
        <v>118</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54</v>
      </c>
      <c r="C68" s="90"/>
      <c r="D68" s="90"/>
      <c r="E68" s="60" t="s">
        <v>81</v>
      </c>
      <c r="F68" s="59" t="s">
        <v>85</v>
      </c>
      <c r="G68" s="22" t="s">
        <v>102</v>
      </c>
      <c r="H68" s="22" t="s">
        <v>76</v>
      </c>
      <c r="I68" s="22" t="s">
        <v>77</v>
      </c>
      <c r="J68" s="89" t="s">
        <v>54</v>
      </c>
      <c r="K68" s="90"/>
      <c r="L68" s="90"/>
      <c r="M68" s="90"/>
      <c r="N68" s="91"/>
      <c r="O68" s="60" t="s">
        <v>81</v>
      </c>
      <c r="P68" s="59" t="s">
        <v>85</v>
      </c>
      <c r="Q68" s="22" t="s">
        <v>102</v>
      </c>
      <c r="R68" s="22" t="s">
        <v>76</v>
      </c>
      <c r="S68" s="22" t="s">
        <v>77</v>
      </c>
    </row>
    <row r="69" spans="1:19" ht="18" customHeight="1" x14ac:dyDescent="0.15">
      <c r="A69" s="3"/>
      <c r="B69" s="83" t="s">
        <v>144</v>
      </c>
      <c r="C69" s="84"/>
      <c r="D69" s="84"/>
      <c r="E69" s="23">
        <v>2</v>
      </c>
      <c r="F69" s="23" t="s">
        <v>141</v>
      </c>
      <c r="G69" s="23"/>
      <c r="H69" s="23" t="s">
        <v>141</v>
      </c>
      <c r="I69" s="23" t="s">
        <v>141</v>
      </c>
      <c r="J69" s="83"/>
      <c r="K69" s="84"/>
      <c r="L69" s="84"/>
      <c r="M69" s="84"/>
      <c r="N69" s="85"/>
      <c r="O69" s="23"/>
      <c r="P69" s="23"/>
      <c r="Q69" s="23"/>
      <c r="R69" s="23"/>
      <c r="S69" s="23"/>
    </row>
    <row r="70" spans="1:19" ht="18" customHeight="1" x14ac:dyDescent="0.15">
      <c r="A70" s="3"/>
      <c r="B70" s="86" t="s">
        <v>145</v>
      </c>
      <c r="C70" s="87"/>
      <c r="D70" s="87"/>
      <c r="E70" s="24">
        <v>2</v>
      </c>
      <c r="F70" s="24" t="s">
        <v>141</v>
      </c>
      <c r="G70" s="24" t="s">
        <v>141</v>
      </c>
      <c r="H70" s="24"/>
      <c r="I70" s="24" t="s">
        <v>141</v>
      </c>
      <c r="J70" s="86"/>
      <c r="K70" s="87"/>
      <c r="L70" s="87"/>
      <c r="M70" s="87"/>
      <c r="N70" s="88"/>
      <c r="O70" s="24"/>
      <c r="P70" s="24"/>
      <c r="Q70" s="24"/>
      <c r="R70" s="24"/>
      <c r="S70" s="24"/>
    </row>
    <row r="71" spans="1:19" ht="18" customHeight="1" x14ac:dyDescent="0.15">
      <c r="A71" s="3"/>
      <c r="B71" s="86"/>
      <c r="C71" s="87"/>
      <c r="D71" s="87"/>
      <c r="E71" s="24"/>
      <c r="F71" s="24"/>
      <c r="G71" s="24"/>
      <c r="H71" s="24"/>
      <c r="I71" s="24"/>
      <c r="J71" s="86"/>
      <c r="K71" s="87"/>
      <c r="L71" s="87"/>
      <c r="M71" s="87"/>
      <c r="N71" s="88"/>
      <c r="O71" s="24"/>
      <c r="P71" s="24"/>
      <c r="Q71" s="24"/>
      <c r="R71" s="24"/>
      <c r="S71" s="24"/>
    </row>
    <row r="72" spans="1:19" ht="18" customHeight="1" x14ac:dyDescent="0.15">
      <c r="A72" s="3"/>
      <c r="B72" s="86"/>
      <c r="C72" s="87"/>
      <c r="D72" s="87"/>
      <c r="E72" s="24"/>
      <c r="F72" s="24"/>
      <c r="G72" s="24"/>
      <c r="H72" s="24"/>
      <c r="I72" s="24"/>
      <c r="J72" s="86"/>
      <c r="K72" s="87"/>
      <c r="L72" s="87"/>
      <c r="M72" s="87"/>
      <c r="N72" s="88"/>
      <c r="O72" s="24"/>
      <c r="P72" s="24"/>
      <c r="Q72" s="24"/>
      <c r="R72" s="24"/>
      <c r="S72" s="24"/>
    </row>
    <row r="73" spans="1:19" ht="18" customHeight="1" x14ac:dyDescent="0.15">
      <c r="A73" s="3"/>
      <c r="B73" s="86"/>
      <c r="C73" s="87"/>
      <c r="D73" s="87"/>
      <c r="E73" s="24"/>
      <c r="F73" s="24"/>
      <c r="G73" s="24"/>
      <c r="H73" s="24"/>
      <c r="I73" s="24"/>
      <c r="J73" s="86"/>
      <c r="K73" s="87"/>
      <c r="L73" s="87"/>
      <c r="M73" s="87"/>
      <c r="N73" s="88"/>
      <c r="O73" s="24"/>
      <c r="P73" s="24"/>
      <c r="Q73" s="24"/>
      <c r="R73" s="24"/>
      <c r="S73" s="24"/>
    </row>
    <row r="74" spans="1:19" ht="18" customHeight="1" x14ac:dyDescent="0.15">
      <c r="A74" s="3"/>
      <c r="B74" s="86"/>
      <c r="C74" s="87"/>
      <c r="D74" s="87"/>
      <c r="E74" s="24"/>
      <c r="F74" s="24"/>
      <c r="G74" s="24"/>
      <c r="H74" s="24"/>
      <c r="I74" s="24"/>
      <c r="J74" s="86"/>
      <c r="K74" s="87"/>
      <c r="L74" s="87"/>
      <c r="M74" s="87"/>
      <c r="N74" s="88"/>
      <c r="O74" s="24"/>
      <c r="P74" s="24"/>
      <c r="Q74" s="24"/>
      <c r="R74" s="24"/>
      <c r="S74" s="24"/>
    </row>
    <row r="75" spans="1:19" ht="18" customHeight="1" x14ac:dyDescent="0.15">
      <c r="A75" s="3"/>
      <c r="B75" s="92"/>
      <c r="C75" s="93"/>
      <c r="D75" s="93"/>
      <c r="E75" s="25"/>
      <c r="F75" s="25"/>
      <c r="G75" s="26"/>
      <c r="H75" s="26"/>
      <c r="I75" s="26"/>
      <c r="J75" s="92"/>
      <c r="K75" s="93"/>
      <c r="L75" s="93"/>
      <c r="M75" s="93"/>
      <c r="N75" s="94"/>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89" t="s">
        <v>54</v>
      </c>
      <c r="C78" s="90"/>
      <c r="D78" s="90"/>
      <c r="E78" s="91"/>
      <c r="F78" s="89" t="s">
        <v>83</v>
      </c>
      <c r="G78" s="90"/>
      <c r="H78" s="90"/>
      <c r="I78" s="91"/>
      <c r="J78" s="114" t="s">
        <v>54</v>
      </c>
      <c r="K78" s="115"/>
      <c r="L78" s="115"/>
      <c r="M78" s="115"/>
      <c r="N78" s="115"/>
      <c r="O78" s="116"/>
      <c r="P78" s="89" t="s">
        <v>83</v>
      </c>
      <c r="Q78" s="90"/>
      <c r="R78" s="90"/>
      <c r="S78" s="91"/>
    </row>
    <row r="79" spans="1:19" ht="18" customHeight="1" x14ac:dyDescent="0.15">
      <c r="A79" s="3"/>
      <c r="B79" s="83"/>
      <c r="C79" s="84"/>
      <c r="D79" s="84"/>
      <c r="E79" s="85"/>
      <c r="F79" s="108"/>
      <c r="G79" s="109"/>
      <c r="H79" s="109"/>
      <c r="I79" s="110"/>
      <c r="J79" s="83"/>
      <c r="K79" s="84"/>
      <c r="L79" s="84"/>
      <c r="M79" s="84"/>
      <c r="N79" s="84"/>
      <c r="O79" s="85"/>
      <c r="P79" s="108"/>
      <c r="Q79" s="109"/>
      <c r="R79" s="109"/>
      <c r="S79" s="110"/>
    </row>
    <row r="80" spans="1:19" ht="18" customHeight="1" x14ac:dyDescent="0.15">
      <c r="A80" s="3"/>
      <c r="B80" s="86"/>
      <c r="C80" s="87"/>
      <c r="D80" s="87"/>
      <c r="E80" s="88"/>
      <c r="F80" s="111"/>
      <c r="G80" s="112"/>
      <c r="H80" s="112"/>
      <c r="I80" s="113"/>
      <c r="J80" s="86"/>
      <c r="K80" s="87"/>
      <c r="L80" s="87"/>
      <c r="M80" s="87"/>
      <c r="N80" s="87"/>
      <c r="O80" s="88"/>
      <c r="P80" s="111"/>
      <c r="Q80" s="112"/>
      <c r="R80" s="112"/>
      <c r="S80" s="113"/>
    </row>
    <row r="81" spans="1:19" ht="18" customHeight="1" x14ac:dyDescent="0.15">
      <c r="A81" s="3"/>
      <c r="B81" s="86"/>
      <c r="C81" s="87"/>
      <c r="D81" s="87"/>
      <c r="E81" s="88"/>
      <c r="F81" s="111"/>
      <c r="G81" s="112"/>
      <c r="H81" s="112"/>
      <c r="I81" s="113"/>
      <c r="J81" s="86"/>
      <c r="K81" s="87"/>
      <c r="L81" s="87"/>
      <c r="M81" s="87"/>
      <c r="N81" s="87"/>
      <c r="O81" s="88"/>
      <c r="P81" s="111"/>
      <c r="Q81" s="112"/>
      <c r="R81" s="112"/>
      <c r="S81" s="113"/>
    </row>
    <row r="82" spans="1:19" ht="18" customHeight="1" x14ac:dyDescent="0.15">
      <c r="A82" s="3"/>
      <c r="B82" s="86"/>
      <c r="C82" s="87"/>
      <c r="D82" s="87"/>
      <c r="E82" s="88"/>
      <c r="F82" s="111"/>
      <c r="G82" s="112"/>
      <c r="H82" s="112"/>
      <c r="I82" s="113"/>
      <c r="J82" s="86"/>
      <c r="K82" s="87"/>
      <c r="L82" s="87"/>
      <c r="M82" s="87"/>
      <c r="N82" s="87"/>
      <c r="O82" s="88"/>
      <c r="P82" s="111"/>
      <c r="Q82" s="112"/>
      <c r="R82" s="112"/>
      <c r="S82" s="113"/>
    </row>
    <row r="83" spans="1:19" ht="18" customHeight="1" x14ac:dyDescent="0.15">
      <c r="A83" s="3"/>
      <c r="B83" s="86"/>
      <c r="C83" s="87"/>
      <c r="D83" s="87"/>
      <c r="E83" s="88"/>
      <c r="F83" s="111"/>
      <c r="G83" s="112"/>
      <c r="H83" s="112"/>
      <c r="I83" s="113"/>
      <c r="J83" s="86"/>
      <c r="K83" s="87"/>
      <c r="L83" s="87"/>
      <c r="M83" s="87"/>
      <c r="N83" s="87"/>
      <c r="O83" s="88"/>
      <c r="P83" s="111"/>
      <c r="Q83" s="112"/>
      <c r="R83" s="112"/>
      <c r="S83" s="113"/>
    </row>
    <row r="84" spans="1:19" ht="18" customHeight="1" x14ac:dyDescent="0.15">
      <c r="A84" s="3"/>
      <c r="B84" s="86"/>
      <c r="C84" s="87"/>
      <c r="D84" s="87"/>
      <c r="E84" s="88"/>
      <c r="F84" s="111"/>
      <c r="G84" s="112"/>
      <c r="H84" s="112"/>
      <c r="I84" s="113"/>
      <c r="J84" s="86"/>
      <c r="K84" s="87"/>
      <c r="L84" s="87"/>
      <c r="M84" s="87"/>
      <c r="N84" s="87"/>
      <c r="O84" s="88"/>
      <c r="P84" s="111"/>
      <c r="Q84" s="112"/>
      <c r="R84" s="112"/>
      <c r="S84" s="113"/>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04" t="s">
        <v>55</v>
      </c>
      <c r="C88" s="105"/>
      <c r="D88" s="90" t="s">
        <v>56</v>
      </c>
      <c r="E88" s="90"/>
      <c r="F88" s="90"/>
      <c r="G88" s="90"/>
      <c r="H88" s="90"/>
      <c r="I88" s="90"/>
      <c r="J88" s="90"/>
      <c r="K88" s="90"/>
      <c r="L88" s="90"/>
      <c r="M88" s="90"/>
      <c r="N88" s="90"/>
      <c r="O88" s="90"/>
      <c r="P88" s="90"/>
      <c r="Q88" s="90"/>
      <c r="R88" s="90"/>
      <c r="S88" s="91"/>
    </row>
    <row r="89" spans="1:19" ht="106.5" customHeight="1" x14ac:dyDescent="0.15">
      <c r="B89" s="96" t="s">
        <v>62</v>
      </c>
      <c r="C89" s="28" t="s">
        <v>57</v>
      </c>
      <c r="D89" s="102" t="s">
        <v>170</v>
      </c>
      <c r="E89" s="106"/>
      <c r="F89" s="106"/>
      <c r="G89" s="106"/>
      <c r="H89" s="106"/>
      <c r="I89" s="106"/>
      <c r="J89" s="106"/>
      <c r="K89" s="106"/>
      <c r="L89" s="106"/>
      <c r="M89" s="106"/>
      <c r="N89" s="106"/>
      <c r="O89" s="106"/>
      <c r="P89" s="106"/>
      <c r="Q89" s="106"/>
      <c r="R89" s="106"/>
      <c r="S89" s="107"/>
    </row>
    <row r="90" spans="1:19" ht="97.5" customHeight="1" x14ac:dyDescent="0.15">
      <c r="B90" s="97"/>
      <c r="C90" s="29" t="s">
        <v>78</v>
      </c>
      <c r="D90" s="123" t="s">
        <v>169</v>
      </c>
      <c r="E90" s="123"/>
      <c r="F90" s="123"/>
      <c r="G90" s="123"/>
      <c r="H90" s="123"/>
      <c r="I90" s="123"/>
      <c r="J90" s="123"/>
      <c r="K90" s="123"/>
      <c r="L90" s="123"/>
      <c r="M90" s="123"/>
      <c r="N90" s="123"/>
      <c r="O90" s="123"/>
      <c r="P90" s="123"/>
      <c r="Q90" s="123"/>
      <c r="R90" s="123"/>
      <c r="S90" s="124"/>
    </row>
    <row r="91" spans="1:19" ht="97.5" customHeight="1" x14ac:dyDescent="0.15">
      <c r="B91" s="96" t="s">
        <v>63</v>
      </c>
      <c r="C91" s="30" t="s">
        <v>72</v>
      </c>
      <c r="D91" s="125" t="s">
        <v>156</v>
      </c>
      <c r="E91" s="125"/>
      <c r="F91" s="125"/>
      <c r="G91" s="125"/>
      <c r="H91" s="125"/>
      <c r="I91" s="125"/>
      <c r="J91" s="125"/>
      <c r="K91" s="125"/>
      <c r="L91" s="125"/>
      <c r="M91" s="125"/>
      <c r="N91" s="125"/>
      <c r="O91" s="125"/>
      <c r="P91" s="125"/>
      <c r="Q91" s="125"/>
      <c r="R91" s="125"/>
      <c r="S91" s="126"/>
    </row>
    <row r="92" spans="1:19" ht="97.5" customHeight="1" x14ac:dyDescent="0.15">
      <c r="B92" s="98"/>
      <c r="C92" s="31" t="s">
        <v>73</v>
      </c>
      <c r="D92" s="129" t="s">
        <v>171</v>
      </c>
      <c r="E92" s="129"/>
      <c r="F92" s="129"/>
      <c r="G92" s="129"/>
      <c r="H92" s="129"/>
      <c r="I92" s="129"/>
      <c r="J92" s="129"/>
      <c r="K92" s="129"/>
      <c r="L92" s="129"/>
      <c r="M92" s="129"/>
      <c r="N92" s="129"/>
      <c r="O92" s="129"/>
      <c r="P92" s="129"/>
      <c r="Q92" s="129"/>
      <c r="R92" s="129"/>
      <c r="S92" s="130"/>
    </row>
    <row r="93" spans="1:19" ht="97.5" customHeight="1" x14ac:dyDescent="0.15">
      <c r="B93" s="96" t="s">
        <v>64</v>
      </c>
      <c r="C93" s="30" t="s">
        <v>74</v>
      </c>
      <c r="D93" s="131" t="s">
        <v>146</v>
      </c>
      <c r="E93" s="132"/>
      <c r="F93" s="132"/>
      <c r="G93" s="132"/>
      <c r="H93" s="132"/>
      <c r="I93" s="132"/>
      <c r="J93" s="132"/>
      <c r="K93" s="132"/>
      <c r="L93" s="132"/>
      <c r="M93" s="132"/>
      <c r="N93" s="132"/>
      <c r="O93" s="132"/>
      <c r="P93" s="132"/>
      <c r="Q93" s="132"/>
      <c r="R93" s="132"/>
      <c r="S93" s="133"/>
    </row>
    <row r="94" spans="1:19" ht="97.5" customHeight="1" x14ac:dyDescent="0.15">
      <c r="B94" s="98"/>
      <c r="C94" s="32" t="s">
        <v>75</v>
      </c>
      <c r="D94" s="127" t="s">
        <v>172</v>
      </c>
      <c r="E94" s="127"/>
      <c r="F94" s="127"/>
      <c r="G94" s="127"/>
      <c r="H94" s="127"/>
      <c r="I94" s="127"/>
      <c r="J94" s="127"/>
      <c r="K94" s="127"/>
      <c r="L94" s="127"/>
      <c r="M94" s="127"/>
      <c r="N94" s="127"/>
      <c r="O94" s="127"/>
      <c r="P94" s="127"/>
      <c r="Q94" s="127"/>
      <c r="R94" s="127"/>
      <c r="S94" s="128"/>
    </row>
    <row r="95" spans="1:19" ht="97.5" customHeight="1" x14ac:dyDescent="0.15">
      <c r="B95" s="96" t="s">
        <v>79</v>
      </c>
      <c r="C95" s="28" t="s">
        <v>59</v>
      </c>
      <c r="D95" s="102" t="s">
        <v>157</v>
      </c>
      <c r="E95" s="102"/>
      <c r="F95" s="102"/>
      <c r="G95" s="102"/>
      <c r="H95" s="102"/>
      <c r="I95" s="102"/>
      <c r="J95" s="102"/>
      <c r="K95" s="102"/>
      <c r="L95" s="102"/>
      <c r="M95" s="102"/>
      <c r="N95" s="102"/>
      <c r="O95" s="102"/>
      <c r="P95" s="102"/>
      <c r="Q95" s="102"/>
      <c r="R95" s="102"/>
      <c r="S95" s="103"/>
    </row>
    <row r="96" spans="1:19" ht="97.5" customHeight="1" x14ac:dyDescent="0.15">
      <c r="B96" s="98"/>
      <c r="C96" s="31" t="s">
        <v>61</v>
      </c>
      <c r="D96" s="129" t="s">
        <v>147</v>
      </c>
      <c r="E96" s="129"/>
      <c r="F96" s="129"/>
      <c r="G96" s="129"/>
      <c r="H96" s="129"/>
      <c r="I96" s="129"/>
      <c r="J96" s="129"/>
      <c r="K96" s="129"/>
      <c r="L96" s="129"/>
      <c r="M96" s="129"/>
      <c r="N96" s="129"/>
      <c r="O96" s="129"/>
      <c r="P96" s="129"/>
      <c r="Q96" s="129"/>
      <c r="R96" s="129"/>
      <c r="S96" s="130"/>
    </row>
    <row r="97" spans="1:19" ht="97.5" customHeight="1" x14ac:dyDescent="0.15">
      <c r="B97" s="96" t="s">
        <v>80</v>
      </c>
      <c r="C97" s="30" t="s">
        <v>58</v>
      </c>
      <c r="D97" s="84" t="s">
        <v>148</v>
      </c>
      <c r="E97" s="84"/>
      <c r="F97" s="84"/>
      <c r="G97" s="84"/>
      <c r="H97" s="84"/>
      <c r="I97" s="84"/>
      <c r="J97" s="84"/>
      <c r="K97" s="84"/>
      <c r="L97" s="84"/>
      <c r="M97" s="84"/>
      <c r="N97" s="84"/>
      <c r="O97" s="84"/>
      <c r="P97" s="84"/>
      <c r="Q97" s="84"/>
      <c r="R97" s="84"/>
      <c r="S97" s="85"/>
    </row>
    <row r="98" spans="1:19" ht="97.5" customHeight="1" x14ac:dyDescent="0.15">
      <c r="B98" s="97"/>
      <c r="C98" s="33" t="s">
        <v>76</v>
      </c>
      <c r="D98" s="86" t="s">
        <v>173</v>
      </c>
      <c r="E98" s="87"/>
      <c r="F98" s="87"/>
      <c r="G98" s="87"/>
      <c r="H98" s="87"/>
      <c r="I98" s="87"/>
      <c r="J98" s="87"/>
      <c r="K98" s="87"/>
      <c r="L98" s="87"/>
      <c r="M98" s="87"/>
      <c r="N98" s="87"/>
      <c r="O98" s="87"/>
      <c r="P98" s="87"/>
      <c r="Q98" s="87"/>
      <c r="R98" s="87"/>
      <c r="S98" s="88"/>
    </row>
    <row r="99" spans="1:19" ht="97.5" customHeight="1" x14ac:dyDescent="0.15">
      <c r="B99" s="98"/>
      <c r="C99" s="32" t="s">
        <v>77</v>
      </c>
      <c r="D99" s="99" t="s">
        <v>168</v>
      </c>
      <c r="E99" s="100"/>
      <c r="F99" s="100"/>
      <c r="G99" s="100"/>
      <c r="H99" s="100"/>
      <c r="I99" s="100"/>
      <c r="J99" s="100"/>
      <c r="K99" s="100"/>
      <c r="L99" s="100"/>
      <c r="M99" s="100"/>
      <c r="N99" s="100"/>
      <c r="O99" s="100"/>
      <c r="P99" s="100"/>
      <c r="Q99" s="100"/>
      <c r="R99" s="100"/>
      <c r="S99" s="101"/>
    </row>
    <row r="100" spans="1:19" ht="6" customHeight="1" x14ac:dyDescent="0.15"/>
    <row r="101" spans="1:19" ht="18.75" customHeight="1" x14ac:dyDescent="0.15">
      <c r="A101" s="1" t="s">
        <v>121</v>
      </c>
    </row>
    <row r="102" spans="1:19" ht="81.75" customHeight="1" x14ac:dyDescent="0.15">
      <c r="B102" s="117" t="s">
        <v>158</v>
      </c>
      <c r="C102" s="118"/>
      <c r="D102" s="118"/>
      <c r="E102" s="118"/>
      <c r="F102" s="118"/>
      <c r="G102" s="118"/>
      <c r="H102" s="118"/>
      <c r="I102" s="118"/>
      <c r="J102" s="118"/>
      <c r="K102" s="118"/>
      <c r="L102" s="118"/>
      <c r="M102" s="118"/>
      <c r="N102" s="118"/>
      <c r="O102" s="118"/>
      <c r="P102" s="118"/>
      <c r="Q102" s="118"/>
      <c r="R102" s="118"/>
      <c r="S102" s="119"/>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A4" zoomScaleNormal="100" zoomScaleSheetLayoutView="100" workbookViewId="0">
      <selection activeCell="AQ12" sqref="AQ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0" t="str">
        <f>'様式１　プログラムを構成する授業科目'!C2</f>
        <v>京都光華女子大学短期大学部</v>
      </c>
      <c r="AN2" s="160"/>
      <c r="AO2" s="160"/>
      <c r="AP2" s="160"/>
      <c r="AQ2" s="160"/>
    </row>
    <row r="3" spans="1:45" ht="18" customHeight="1" x14ac:dyDescent="0.15">
      <c r="A3" s="138" t="s">
        <v>48</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1" t="s">
        <v>136</v>
      </c>
      <c r="D5" s="162"/>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3" t="s">
        <v>45</v>
      </c>
      <c r="C9" s="178" t="s">
        <v>87</v>
      </c>
      <c r="D9" s="166" t="s">
        <v>47</v>
      </c>
      <c r="E9" s="169" t="s">
        <v>40</v>
      </c>
      <c r="F9" s="157" t="s">
        <v>86</v>
      </c>
      <c r="G9" s="157"/>
      <c r="H9" s="157"/>
      <c r="I9" s="157"/>
      <c r="J9" s="157"/>
      <c r="K9" s="157"/>
      <c r="L9" s="157" t="s">
        <v>49</v>
      </c>
      <c r="M9" s="157"/>
      <c r="N9" s="157"/>
      <c r="O9" s="157"/>
      <c r="P9" s="157"/>
      <c r="Q9" s="157"/>
      <c r="R9" s="157" t="s">
        <v>50</v>
      </c>
      <c r="S9" s="157"/>
      <c r="T9" s="157"/>
      <c r="U9" s="157"/>
      <c r="V9" s="157"/>
      <c r="W9" s="157"/>
      <c r="X9" s="157" t="s">
        <v>101</v>
      </c>
      <c r="Y9" s="157"/>
      <c r="Z9" s="157"/>
      <c r="AA9" s="157"/>
      <c r="AB9" s="157"/>
      <c r="AC9" s="157"/>
      <c r="AD9" s="157" t="s">
        <v>51</v>
      </c>
      <c r="AE9" s="157"/>
      <c r="AF9" s="157"/>
      <c r="AG9" s="157"/>
      <c r="AH9" s="157"/>
      <c r="AI9" s="157"/>
      <c r="AJ9" s="157" t="s">
        <v>52</v>
      </c>
      <c r="AK9" s="157"/>
      <c r="AL9" s="157"/>
      <c r="AM9" s="157"/>
      <c r="AN9" s="157"/>
      <c r="AO9" s="157"/>
      <c r="AP9" s="172" t="s">
        <v>35</v>
      </c>
      <c r="AQ9" s="175" t="s">
        <v>32</v>
      </c>
      <c r="AS9" s="2"/>
    </row>
    <row r="10" spans="1:45" ht="16.899999999999999" customHeight="1" x14ac:dyDescent="0.15">
      <c r="B10" s="164"/>
      <c r="C10" s="179"/>
      <c r="D10" s="167"/>
      <c r="E10" s="170"/>
      <c r="F10" s="158" t="s">
        <v>97</v>
      </c>
      <c r="G10" s="159"/>
      <c r="H10" s="159"/>
      <c r="I10" s="158" t="s">
        <v>29</v>
      </c>
      <c r="J10" s="159"/>
      <c r="K10" s="159"/>
      <c r="L10" s="158" t="s">
        <v>97</v>
      </c>
      <c r="M10" s="159"/>
      <c r="N10" s="159"/>
      <c r="O10" s="158" t="s">
        <v>29</v>
      </c>
      <c r="P10" s="159"/>
      <c r="Q10" s="159"/>
      <c r="R10" s="158" t="s">
        <v>97</v>
      </c>
      <c r="S10" s="159"/>
      <c r="T10" s="159"/>
      <c r="U10" s="158" t="s">
        <v>29</v>
      </c>
      <c r="V10" s="159"/>
      <c r="W10" s="159"/>
      <c r="X10" s="158" t="s">
        <v>97</v>
      </c>
      <c r="Y10" s="159"/>
      <c r="Z10" s="159"/>
      <c r="AA10" s="158" t="s">
        <v>29</v>
      </c>
      <c r="AB10" s="159"/>
      <c r="AC10" s="159"/>
      <c r="AD10" s="158" t="s">
        <v>97</v>
      </c>
      <c r="AE10" s="159"/>
      <c r="AF10" s="159"/>
      <c r="AG10" s="158" t="s">
        <v>29</v>
      </c>
      <c r="AH10" s="159"/>
      <c r="AI10" s="159"/>
      <c r="AJ10" s="158" t="s">
        <v>97</v>
      </c>
      <c r="AK10" s="159"/>
      <c r="AL10" s="159"/>
      <c r="AM10" s="158" t="s">
        <v>29</v>
      </c>
      <c r="AN10" s="159"/>
      <c r="AO10" s="159"/>
      <c r="AP10" s="173"/>
      <c r="AQ10" s="176"/>
      <c r="AS10" s="2"/>
    </row>
    <row r="11" spans="1:45" ht="18" customHeight="1" x14ac:dyDescent="0.15">
      <c r="B11" s="165"/>
      <c r="C11" s="180"/>
      <c r="D11" s="168"/>
      <c r="E11" s="171"/>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4"/>
      <c r="AQ11" s="177"/>
      <c r="AS11" s="2"/>
    </row>
    <row r="12" spans="1:45" ht="18" customHeight="1" x14ac:dyDescent="0.15">
      <c r="A12" s="6"/>
      <c r="B12" s="11" t="s">
        <v>137</v>
      </c>
      <c r="C12" s="61">
        <v>137</v>
      </c>
      <c r="D12" s="62">
        <v>100</v>
      </c>
      <c r="E12" s="63">
        <v>200</v>
      </c>
      <c r="F12" s="63">
        <f>G12+H12</f>
        <v>1</v>
      </c>
      <c r="G12" s="64"/>
      <c r="H12" s="65">
        <v>1</v>
      </c>
      <c r="I12" s="63">
        <f>J12+K12</f>
        <v>1</v>
      </c>
      <c r="J12" s="64"/>
      <c r="K12" s="65">
        <v>1</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1</v>
      </c>
      <c r="AQ12" s="21">
        <f t="shared" ref="AQ12:AQ32" si="0">AP12/E12</f>
        <v>5.0000000000000001E-3</v>
      </c>
    </row>
    <row r="13" spans="1:45" ht="18" customHeight="1" x14ac:dyDescent="0.15">
      <c r="A13" s="6"/>
      <c r="B13" s="12"/>
      <c r="C13" s="66"/>
      <c r="D13" s="67"/>
      <c r="E13" s="68"/>
      <c r="F13" s="69">
        <f t="shared" ref="F13:F31" si="1">G13+H13</f>
        <v>0</v>
      </c>
      <c r="G13" s="70"/>
      <c r="H13" s="71"/>
      <c r="I13" s="69">
        <f t="shared" ref="I13:I31" si="2">J13+K13</f>
        <v>0</v>
      </c>
      <c r="J13" s="70"/>
      <c r="K13" s="71"/>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0</v>
      </c>
      <c r="AQ13" s="20" t="e">
        <f t="shared" si="0"/>
        <v>#DIV/0!</v>
      </c>
    </row>
    <row r="14" spans="1:45" ht="18" customHeight="1" x14ac:dyDescent="0.15">
      <c r="A14" s="6"/>
      <c r="B14" s="12"/>
      <c r="C14" s="66"/>
      <c r="D14" s="67"/>
      <c r="E14" s="68"/>
      <c r="F14" s="69">
        <f t="shared" si="1"/>
        <v>0</v>
      </c>
      <c r="G14" s="70"/>
      <c r="H14" s="71"/>
      <c r="I14" s="69">
        <f t="shared" si="2"/>
        <v>0</v>
      </c>
      <c r="J14" s="70"/>
      <c r="K14" s="71"/>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0</v>
      </c>
      <c r="AQ14" s="8" t="e">
        <f t="shared" si="0"/>
        <v>#DIV/0!</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t="e">
        <f t="shared" si="0"/>
        <v>#DIV/0!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33</v>
      </c>
      <c r="C32" s="76">
        <f t="shared" ref="C32" si="14">SUM(C12:C31)</f>
        <v>137</v>
      </c>
      <c r="D32" s="77">
        <f t="shared" ref="D32:AP32" si="15">SUM(D12:D31)</f>
        <v>100</v>
      </c>
      <c r="E32" s="78">
        <f t="shared" si="15"/>
        <v>200</v>
      </c>
      <c r="F32" s="78">
        <f t="shared" si="15"/>
        <v>1</v>
      </c>
      <c r="G32" s="79">
        <f t="shared" si="15"/>
        <v>0</v>
      </c>
      <c r="H32" s="80">
        <f t="shared" si="15"/>
        <v>1</v>
      </c>
      <c r="I32" s="78">
        <f t="shared" ref="I32:N32" si="16">SUM(I12:I31)</f>
        <v>1</v>
      </c>
      <c r="J32" s="79">
        <f t="shared" si="16"/>
        <v>0</v>
      </c>
      <c r="K32" s="80">
        <f t="shared" si="16"/>
        <v>1</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1</v>
      </c>
      <c r="AQ32" s="9">
        <f t="shared" si="0"/>
        <v>5.0000000000000001E-3</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55" zoomScale="140" zoomScaleNormal="100" zoomScaleSheetLayoutView="140" workbookViewId="0">
      <selection activeCell="B52" sqref="B52:I63"/>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89" t="s">
        <v>130</v>
      </c>
      <c r="I2" s="91"/>
    </row>
    <row r="3" spans="1:9" ht="18.75" customHeight="1" x14ac:dyDescent="0.15">
      <c r="G3" s="35"/>
      <c r="H3" s="10"/>
      <c r="I3" s="10"/>
    </row>
    <row r="4" spans="1:9" ht="18.600000000000001" customHeight="1" x14ac:dyDescent="0.15">
      <c r="A4" s="138" t="s">
        <v>36</v>
      </c>
      <c r="B4" s="138"/>
      <c r="C4" s="138"/>
      <c r="D4" s="138"/>
      <c r="E4" s="138"/>
      <c r="F4" s="138"/>
      <c r="G4" s="138"/>
      <c r="H4" s="138"/>
      <c r="I4" s="138"/>
    </row>
    <row r="5" spans="1:9" ht="13.15" customHeight="1" x14ac:dyDescent="0.15">
      <c r="B5" s="3"/>
      <c r="C5" s="3"/>
      <c r="D5" s="3"/>
      <c r="E5" s="3"/>
      <c r="F5" s="3"/>
      <c r="G5" s="3"/>
      <c r="H5" s="3"/>
      <c r="I5" s="3"/>
    </row>
    <row r="6" spans="1:9" ht="18" customHeight="1" x14ac:dyDescent="0.15">
      <c r="A6" s="1" t="s">
        <v>0</v>
      </c>
      <c r="B6" s="10" t="s">
        <v>91</v>
      </c>
      <c r="C6" s="213" t="s">
        <v>92</v>
      </c>
      <c r="D6" s="213"/>
      <c r="E6" s="34">
        <v>11</v>
      </c>
      <c r="F6" s="3" t="s">
        <v>1</v>
      </c>
      <c r="G6" s="3" t="s">
        <v>2</v>
      </c>
      <c r="H6" s="34">
        <v>36</v>
      </c>
      <c r="I6" s="10" t="s">
        <v>1</v>
      </c>
    </row>
    <row r="7" spans="1:9" ht="12" customHeight="1" x14ac:dyDescent="0.15">
      <c r="C7" s="2"/>
      <c r="D7" s="2"/>
      <c r="E7" s="2"/>
      <c r="F7" s="2"/>
      <c r="G7" s="2"/>
      <c r="H7" s="2"/>
      <c r="I7" s="42"/>
    </row>
    <row r="8" spans="1:9" ht="18" customHeight="1" x14ac:dyDescent="0.15">
      <c r="A8" s="1" t="s">
        <v>3</v>
      </c>
      <c r="B8" s="10" t="s">
        <v>93</v>
      </c>
      <c r="E8" s="3"/>
      <c r="F8" s="3"/>
      <c r="G8" s="3"/>
      <c r="H8" s="34">
        <v>3</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08" t="s">
        <v>128</v>
      </c>
      <c r="D11" s="211"/>
      <c r="E11" s="212"/>
      <c r="F11" s="42"/>
      <c r="G11" s="35" t="s">
        <v>10</v>
      </c>
      <c r="H11" s="208" t="s">
        <v>127</v>
      </c>
      <c r="I11" s="212"/>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08" t="s">
        <v>132</v>
      </c>
      <c r="C14" s="209"/>
      <c r="D14" s="209"/>
      <c r="E14" s="209"/>
      <c r="F14" s="209"/>
      <c r="G14" s="209"/>
      <c r="H14" s="209"/>
      <c r="I14" s="210"/>
    </row>
    <row r="15" spans="1:9" ht="9" customHeight="1" x14ac:dyDescent="0.15">
      <c r="B15" s="3"/>
      <c r="C15" s="3"/>
      <c r="D15" s="3"/>
      <c r="E15" s="3"/>
      <c r="F15" s="3"/>
      <c r="G15" s="3"/>
      <c r="H15" s="3"/>
      <c r="I15" s="3"/>
    </row>
    <row r="16" spans="1:9" ht="18" customHeight="1" x14ac:dyDescent="0.15">
      <c r="B16" s="35" t="s">
        <v>43</v>
      </c>
      <c r="C16" s="208" t="s">
        <v>128</v>
      </c>
      <c r="D16" s="211"/>
      <c r="E16" s="212"/>
      <c r="F16" s="42"/>
      <c r="G16" s="35" t="s">
        <v>10</v>
      </c>
      <c r="H16" s="208" t="s">
        <v>131</v>
      </c>
      <c r="I16" s="212"/>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91" t="s">
        <v>129</v>
      </c>
      <c r="C19" s="192"/>
      <c r="D19" s="192"/>
      <c r="E19" s="192"/>
      <c r="F19" s="192"/>
      <c r="G19" s="192"/>
      <c r="H19" s="192"/>
      <c r="I19" s="19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94" t="s">
        <v>159</v>
      </c>
      <c r="C22" s="195"/>
      <c r="D22" s="195"/>
      <c r="E22" s="195"/>
      <c r="F22" s="195"/>
      <c r="G22" s="195"/>
      <c r="H22" s="195"/>
      <c r="I22" s="196"/>
    </row>
    <row r="23" spans="1:9" ht="18.75" customHeight="1" x14ac:dyDescent="0.15">
      <c r="A23" s="15"/>
      <c r="B23" s="197"/>
      <c r="C23" s="198"/>
      <c r="D23" s="198"/>
      <c r="E23" s="198"/>
      <c r="F23" s="198"/>
      <c r="G23" s="198"/>
      <c r="H23" s="198"/>
      <c r="I23" s="199"/>
    </row>
    <row r="24" spans="1:9" ht="18.75" customHeight="1" x14ac:dyDescent="0.15">
      <c r="A24" s="15"/>
      <c r="B24" s="197"/>
      <c r="C24" s="198"/>
      <c r="D24" s="198"/>
      <c r="E24" s="198"/>
      <c r="F24" s="198"/>
      <c r="G24" s="198"/>
      <c r="H24" s="198"/>
      <c r="I24" s="199"/>
    </row>
    <row r="25" spans="1:9" ht="18.75" customHeight="1" x14ac:dyDescent="0.15">
      <c r="A25" s="15"/>
      <c r="B25" s="197"/>
      <c r="C25" s="198"/>
      <c r="D25" s="198"/>
      <c r="E25" s="198"/>
      <c r="F25" s="198"/>
      <c r="G25" s="198"/>
      <c r="H25" s="198"/>
      <c r="I25" s="199"/>
    </row>
    <row r="26" spans="1:9" ht="18.75" customHeight="1" x14ac:dyDescent="0.15">
      <c r="A26" s="15"/>
      <c r="B26" s="197"/>
      <c r="C26" s="198"/>
      <c r="D26" s="198"/>
      <c r="E26" s="198"/>
      <c r="F26" s="198"/>
      <c r="G26" s="198"/>
      <c r="H26" s="198"/>
      <c r="I26" s="199"/>
    </row>
    <row r="27" spans="1:9" ht="18.75" customHeight="1" x14ac:dyDescent="0.15">
      <c r="A27" s="15"/>
      <c r="B27" s="197"/>
      <c r="C27" s="198"/>
      <c r="D27" s="198"/>
      <c r="E27" s="198"/>
      <c r="F27" s="198"/>
      <c r="G27" s="198"/>
      <c r="H27" s="198"/>
      <c r="I27" s="199"/>
    </row>
    <row r="28" spans="1:9" ht="18.75" customHeight="1" x14ac:dyDescent="0.15">
      <c r="A28" s="15"/>
      <c r="B28" s="197"/>
      <c r="C28" s="198"/>
      <c r="D28" s="198"/>
      <c r="E28" s="198"/>
      <c r="F28" s="198"/>
      <c r="G28" s="198"/>
      <c r="H28" s="198"/>
      <c r="I28" s="199"/>
    </row>
    <row r="29" spans="1:9" ht="18.75" customHeight="1" x14ac:dyDescent="0.15">
      <c r="A29" s="15"/>
      <c r="B29" s="197"/>
      <c r="C29" s="198"/>
      <c r="D29" s="198"/>
      <c r="E29" s="198"/>
      <c r="F29" s="198"/>
      <c r="G29" s="198"/>
      <c r="H29" s="198"/>
      <c r="I29" s="199"/>
    </row>
    <row r="30" spans="1:9" ht="18.75" customHeight="1" x14ac:dyDescent="0.15">
      <c r="A30" s="15"/>
      <c r="B30" s="200"/>
      <c r="C30" s="201"/>
      <c r="D30" s="201"/>
      <c r="E30" s="201"/>
      <c r="F30" s="201"/>
      <c r="G30" s="201"/>
      <c r="H30" s="201"/>
      <c r="I30" s="199"/>
    </row>
    <row r="31" spans="1:9" ht="18.75" customHeight="1" x14ac:dyDescent="0.15">
      <c r="A31" s="15"/>
      <c r="B31" s="200"/>
      <c r="C31" s="201"/>
      <c r="D31" s="201"/>
      <c r="E31" s="201"/>
      <c r="F31" s="201"/>
      <c r="G31" s="201"/>
      <c r="H31" s="201"/>
      <c r="I31" s="199"/>
    </row>
    <row r="32" spans="1:9" ht="18.75" customHeight="1" x14ac:dyDescent="0.15">
      <c r="A32" s="15"/>
      <c r="B32" s="202"/>
      <c r="C32" s="203"/>
      <c r="D32" s="203"/>
      <c r="E32" s="203"/>
      <c r="F32" s="203"/>
      <c r="G32" s="203"/>
      <c r="H32" s="203"/>
      <c r="I32" s="204"/>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81" t="s">
        <v>134</v>
      </c>
      <c r="C35" s="182"/>
      <c r="D35" s="182"/>
      <c r="E35" s="182"/>
      <c r="F35" s="182"/>
      <c r="G35" s="182"/>
      <c r="H35" s="182"/>
      <c r="I35" s="183"/>
    </row>
    <row r="36" spans="1:9" ht="18.75" customHeight="1" x14ac:dyDescent="0.15">
      <c r="A36" s="15"/>
      <c r="B36" s="184"/>
      <c r="C36" s="185"/>
      <c r="D36" s="185"/>
      <c r="E36" s="185"/>
      <c r="F36" s="185"/>
      <c r="G36" s="185"/>
      <c r="H36" s="185"/>
      <c r="I36" s="186"/>
    </row>
    <row r="37" spans="1:9" ht="18.75" customHeight="1" x14ac:dyDescent="0.15">
      <c r="A37" s="15"/>
      <c r="B37" s="184"/>
      <c r="C37" s="185"/>
      <c r="D37" s="185"/>
      <c r="E37" s="185"/>
      <c r="F37" s="185"/>
      <c r="G37" s="185"/>
      <c r="H37" s="185"/>
      <c r="I37" s="186"/>
    </row>
    <row r="38" spans="1:9" ht="18.75" customHeight="1" x14ac:dyDescent="0.15">
      <c r="A38" s="15"/>
      <c r="B38" s="184"/>
      <c r="C38" s="185"/>
      <c r="D38" s="185"/>
      <c r="E38" s="185"/>
      <c r="F38" s="185"/>
      <c r="G38" s="185"/>
      <c r="H38" s="185"/>
      <c r="I38" s="186"/>
    </row>
    <row r="39" spans="1:9" ht="18.75" customHeight="1" x14ac:dyDescent="0.15">
      <c r="A39" s="15"/>
      <c r="B39" s="184"/>
      <c r="C39" s="185"/>
      <c r="D39" s="185"/>
      <c r="E39" s="185"/>
      <c r="F39" s="185"/>
      <c r="G39" s="185"/>
      <c r="H39" s="185"/>
      <c r="I39" s="186"/>
    </row>
    <row r="40" spans="1:9" ht="18.75" customHeight="1" x14ac:dyDescent="0.15">
      <c r="A40" s="15"/>
      <c r="B40" s="184"/>
      <c r="C40" s="185"/>
      <c r="D40" s="185"/>
      <c r="E40" s="185"/>
      <c r="F40" s="185"/>
      <c r="G40" s="185"/>
      <c r="H40" s="185"/>
      <c r="I40" s="186"/>
    </row>
    <row r="41" spans="1:9" ht="18.75" customHeight="1" x14ac:dyDescent="0.15">
      <c r="A41" s="15"/>
      <c r="B41" s="184"/>
      <c r="C41" s="185"/>
      <c r="D41" s="185"/>
      <c r="E41" s="185"/>
      <c r="F41" s="185"/>
      <c r="G41" s="185"/>
      <c r="H41" s="185"/>
      <c r="I41" s="186"/>
    </row>
    <row r="42" spans="1:9" ht="18.75" customHeight="1" x14ac:dyDescent="0.15">
      <c r="A42" s="15"/>
      <c r="B42" s="184"/>
      <c r="C42" s="185"/>
      <c r="D42" s="185"/>
      <c r="E42" s="185"/>
      <c r="F42" s="185"/>
      <c r="G42" s="185"/>
      <c r="H42" s="185"/>
      <c r="I42" s="186"/>
    </row>
    <row r="43" spans="1:9" ht="18.75" customHeight="1" x14ac:dyDescent="0.15">
      <c r="A43" s="15"/>
      <c r="B43" s="184"/>
      <c r="C43" s="185"/>
      <c r="D43" s="185"/>
      <c r="E43" s="185"/>
      <c r="F43" s="185"/>
      <c r="G43" s="185"/>
      <c r="H43" s="185"/>
      <c r="I43" s="186"/>
    </row>
    <row r="44" spans="1:9" ht="18.75" customHeight="1" x14ac:dyDescent="0.15">
      <c r="A44" s="15"/>
      <c r="B44" s="184"/>
      <c r="C44" s="185"/>
      <c r="D44" s="185"/>
      <c r="E44" s="185"/>
      <c r="F44" s="185"/>
      <c r="G44" s="185"/>
      <c r="H44" s="185"/>
      <c r="I44" s="186"/>
    </row>
    <row r="45" spans="1:9" ht="18.75" customHeight="1" x14ac:dyDescent="0.15">
      <c r="A45" s="15"/>
      <c r="B45" s="184"/>
      <c r="C45" s="185"/>
      <c r="D45" s="185"/>
      <c r="E45" s="185"/>
      <c r="F45" s="185"/>
      <c r="G45" s="185"/>
      <c r="H45" s="185"/>
      <c r="I45" s="186"/>
    </row>
    <row r="46" spans="1:9" ht="18.75" customHeight="1" x14ac:dyDescent="0.15">
      <c r="A46" s="15"/>
      <c r="B46" s="187"/>
      <c r="C46" s="188"/>
      <c r="D46" s="188"/>
      <c r="E46" s="188"/>
      <c r="F46" s="188"/>
      <c r="G46" s="188"/>
      <c r="H46" s="188"/>
      <c r="I46" s="189"/>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31">
        <f>'様式２ 履修者等数の実績'!AQ32</f>
        <v>5.0000000000000001E-3</v>
      </c>
      <c r="D49" s="231"/>
      <c r="E49" s="43" t="s">
        <v>66</v>
      </c>
      <c r="F49" s="232">
        <v>0.1</v>
      </c>
      <c r="G49" s="232"/>
      <c r="H49" s="43" t="s">
        <v>67</v>
      </c>
      <c r="I49" s="81">
        <v>0.2</v>
      </c>
      <c r="J49" s="1"/>
      <c r="M49" s="1"/>
      <c r="N49" s="44"/>
    </row>
    <row r="50" spans="1:15" s="3" customFormat="1" ht="18.75" customHeight="1" x14ac:dyDescent="0.15">
      <c r="B50" s="45" t="s">
        <v>68</v>
      </c>
      <c r="C50" s="214">
        <v>0.3</v>
      </c>
      <c r="D50" s="214"/>
      <c r="E50" s="45" t="s">
        <v>90</v>
      </c>
      <c r="F50" s="214">
        <v>0.4</v>
      </c>
      <c r="G50" s="214"/>
      <c r="H50" s="45" t="s">
        <v>69</v>
      </c>
      <c r="I50" s="46">
        <v>200</v>
      </c>
      <c r="J50" s="1"/>
      <c r="M50" s="1"/>
      <c r="N50" s="44"/>
    </row>
    <row r="51" spans="1:15" ht="18.75" customHeight="1" x14ac:dyDescent="0.15">
      <c r="A51" s="1"/>
      <c r="B51" s="205" t="s">
        <v>70</v>
      </c>
      <c r="C51" s="206"/>
      <c r="D51" s="206"/>
      <c r="E51" s="206"/>
      <c r="F51" s="206"/>
      <c r="G51" s="206"/>
      <c r="H51" s="206"/>
      <c r="I51" s="207"/>
      <c r="N51" s="44"/>
      <c r="O51" s="3"/>
    </row>
    <row r="52" spans="1:15" ht="18.75" customHeight="1" x14ac:dyDescent="0.15">
      <c r="A52" s="1"/>
      <c r="B52" s="233" t="s">
        <v>160</v>
      </c>
      <c r="C52" s="234"/>
      <c r="D52" s="234"/>
      <c r="E52" s="234"/>
      <c r="F52" s="234"/>
      <c r="G52" s="234"/>
      <c r="H52" s="234"/>
      <c r="I52" s="235"/>
      <c r="N52" s="44"/>
      <c r="O52" s="3"/>
    </row>
    <row r="53" spans="1:15" ht="18.75" customHeight="1" x14ac:dyDescent="0.15">
      <c r="A53" s="1"/>
      <c r="B53" s="236"/>
      <c r="C53" s="237"/>
      <c r="D53" s="237"/>
      <c r="E53" s="237"/>
      <c r="F53" s="237"/>
      <c r="G53" s="237"/>
      <c r="H53" s="237"/>
      <c r="I53" s="238"/>
      <c r="N53" s="44"/>
      <c r="O53" s="3"/>
    </row>
    <row r="54" spans="1:15" ht="18.75" customHeight="1" x14ac:dyDescent="0.15">
      <c r="A54" s="1"/>
      <c r="B54" s="236"/>
      <c r="C54" s="237"/>
      <c r="D54" s="237"/>
      <c r="E54" s="237"/>
      <c r="F54" s="237"/>
      <c r="G54" s="237"/>
      <c r="H54" s="237"/>
      <c r="I54" s="238"/>
    </row>
    <row r="55" spans="1:15" ht="18.75" customHeight="1" x14ac:dyDescent="0.15">
      <c r="A55" s="1"/>
      <c r="B55" s="236"/>
      <c r="C55" s="237"/>
      <c r="D55" s="237"/>
      <c r="E55" s="237"/>
      <c r="F55" s="237"/>
      <c r="G55" s="237"/>
      <c r="H55" s="237"/>
      <c r="I55" s="238"/>
    </row>
    <row r="56" spans="1:15" ht="18.75" customHeight="1" x14ac:dyDescent="0.15">
      <c r="A56" s="1"/>
      <c r="B56" s="236"/>
      <c r="C56" s="237"/>
      <c r="D56" s="237"/>
      <c r="E56" s="237"/>
      <c r="F56" s="237"/>
      <c r="G56" s="237"/>
      <c r="H56" s="237"/>
      <c r="I56" s="238"/>
    </row>
    <row r="57" spans="1:15" ht="18.75" customHeight="1" x14ac:dyDescent="0.15">
      <c r="A57" s="1"/>
      <c r="B57" s="236"/>
      <c r="C57" s="237"/>
      <c r="D57" s="237"/>
      <c r="E57" s="237"/>
      <c r="F57" s="237"/>
      <c r="G57" s="237"/>
      <c r="H57" s="237"/>
      <c r="I57" s="238"/>
    </row>
    <row r="58" spans="1:15" ht="18.75" customHeight="1" x14ac:dyDescent="0.15">
      <c r="A58" s="1"/>
      <c r="B58" s="236"/>
      <c r="C58" s="237"/>
      <c r="D58" s="237"/>
      <c r="E58" s="237"/>
      <c r="F58" s="237"/>
      <c r="G58" s="237"/>
      <c r="H58" s="237"/>
      <c r="I58" s="238"/>
    </row>
    <row r="59" spans="1:15" ht="18.75" customHeight="1" x14ac:dyDescent="0.15">
      <c r="A59" s="1"/>
      <c r="B59" s="236"/>
      <c r="C59" s="237"/>
      <c r="D59" s="237"/>
      <c r="E59" s="237"/>
      <c r="F59" s="237"/>
      <c r="G59" s="237"/>
      <c r="H59" s="237"/>
      <c r="I59" s="238"/>
    </row>
    <row r="60" spans="1:15" ht="18.75" customHeight="1" x14ac:dyDescent="0.15">
      <c r="A60" s="1"/>
      <c r="B60" s="236"/>
      <c r="C60" s="237"/>
      <c r="D60" s="237"/>
      <c r="E60" s="237"/>
      <c r="F60" s="237"/>
      <c r="G60" s="237"/>
      <c r="H60" s="237"/>
      <c r="I60" s="238"/>
    </row>
    <row r="61" spans="1:15" ht="18.75" customHeight="1" x14ac:dyDescent="0.15">
      <c r="A61" s="1"/>
      <c r="B61" s="236"/>
      <c r="C61" s="237"/>
      <c r="D61" s="237"/>
      <c r="E61" s="237"/>
      <c r="F61" s="237"/>
      <c r="G61" s="237"/>
      <c r="H61" s="237"/>
      <c r="I61" s="238"/>
    </row>
    <row r="62" spans="1:15" ht="18.75" customHeight="1" x14ac:dyDescent="0.15">
      <c r="A62" s="1"/>
      <c r="B62" s="236"/>
      <c r="C62" s="237"/>
      <c r="D62" s="237"/>
      <c r="E62" s="237"/>
      <c r="F62" s="237"/>
      <c r="G62" s="237"/>
      <c r="H62" s="237"/>
      <c r="I62" s="238"/>
    </row>
    <row r="63" spans="1:15" ht="18.75" customHeight="1" x14ac:dyDescent="0.15">
      <c r="A63" s="1"/>
      <c r="B63" s="239"/>
      <c r="C63" s="240"/>
      <c r="D63" s="240"/>
      <c r="E63" s="240"/>
      <c r="F63" s="240"/>
      <c r="G63" s="240"/>
      <c r="H63" s="240"/>
      <c r="I63" s="241"/>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15" t="s">
        <v>135</v>
      </c>
      <c r="C66" s="216"/>
      <c r="D66" s="216"/>
      <c r="E66" s="216"/>
      <c r="F66" s="216"/>
      <c r="G66" s="216"/>
      <c r="H66" s="216"/>
      <c r="I66" s="217"/>
    </row>
    <row r="67" spans="1:9" ht="18.75" customHeight="1" x14ac:dyDescent="0.15">
      <c r="A67" s="4"/>
      <c r="B67" s="218"/>
      <c r="C67" s="219"/>
      <c r="D67" s="219"/>
      <c r="E67" s="219"/>
      <c r="F67" s="219"/>
      <c r="G67" s="219"/>
      <c r="H67" s="219"/>
      <c r="I67" s="220"/>
    </row>
    <row r="68" spans="1:9" ht="18.75" customHeight="1" x14ac:dyDescent="0.15">
      <c r="A68" s="4"/>
      <c r="B68" s="218"/>
      <c r="C68" s="219"/>
      <c r="D68" s="219"/>
      <c r="E68" s="219"/>
      <c r="F68" s="219"/>
      <c r="G68" s="219"/>
      <c r="H68" s="219"/>
      <c r="I68" s="220"/>
    </row>
    <row r="69" spans="1:9" ht="18.75" customHeight="1" x14ac:dyDescent="0.15">
      <c r="A69" s="4"/>
      <c r="B69" s="218"/>
      <c r="C69" s="219"/>
      <c r="D69" s="219"/>
      <c r="E69" s="219"/>
      <c r="F69" s="219"/>
      <c r="G69" s="219"/>
      <c r="H69" s="219"/>
      <c r="I69" s="220"/>
    </row>
    <row r="70" spans="1:9" ht="18.75" customHeight="1" x14ac:dyDescent="0.15">
      <c r="A70" s="4"/>
      <c r="B70" s="218"/>
      <c r="C70" s="219"/>
      <c r="D70" s="219"/>
      <c r="E70" s="219"/>
      <c r="F70" s="219"/>
      <c r="G70" s="219"/>
      <c r="H70" s="219"/>
      <c r="I70" s="220"/>
    </row>
    <row r="71" spans="1:9" ht="18.75" customHeight="1" x14ac:dyDescent="0.15">
      <c r="A71" s="4"/>
      <c r="B71" s="218"/>
      <c r="C71" s="219"/>
      <c r="D71" s="219"/>
      <c r="E71" s="219"/>
      <c r="F71" s="219"/>
      <c r="G71" s="219"/>
      <c r="H71" s="219"/>
      <c r="I71" s="220"/>
    </row>
    <row r="72" spans="1:9" ht="18.75" customHeight="1" x14ac:dyDescent="0.15">
      <c r="A72" s="4"/>
      <c r="B72" s="218"/>
      <c r="C72" s="219"/>
      <c r="D72" s="219"/>
      <c r="E72" s="219"/>
      <c r="F72" s="219"/>
      <c r="G72" s="219"/>
      <c r="H72" s="219"/>
      <c r="I72" s="220"/>
    </row>
    <row r="73" spans="1:9" ht="18.75" customHeight="1" x14ac:dyDescent="0.15">
      <c r="A73" s="4"/>
      <c r="B73" s="218"/>
      <c r="C73" s="219"/>
      <c r="D73" s="219"/>
      <c r="E73" s="219"/>
      <c r="F73" s="219"/>
      <c r="G73" s="219"/>
      <c r="H73" s="219"/>
      <c r="I73" s="220"/>
    </row>
    <row r="74" spans="1:9" ht="18.75" customHeight="1" x14ac:dyDescent="0.15">
      <c r="A74" s="4"/>
      <c r="B74" s="218"/>
      <c r="C74" s="219"/>
      <c r="D74" s="219"/>
      <c r="E74" s="219"/>
      <c r="F74" s="219"/>
      <c r="G74" s="219"/>
      <c r="H74" s="219"/>
      <c r="I74" s="220"/>
    </row>
    <row r="75" spans="1:9" ht="18.75" customHeight="1" x14ac:dyDescent="0.15">
      <c r="A75" s="4"/>
      <c r="B75" s="218"/>
      <c r="C75" s="219"/>
      <c r="D75" s="219"/>
      <c r="E75" s="219"/>
      <c r="F75" s="219"/>
      <c r="G75" s="219"/>
      <c r="H75" s="219"/>
      <c r="I75" s="220"/>
    </row>
    <row r="76" spans="1:9" ht="18.75" customHeight="1" x14ac:dyDescent="0.15">
      <c r="A76" s="4"/>
      <c r="B76" s="218"/>
      <c r="C76" s="219"/>
      <c r="D76" s="219"/>
      <c r="E76" s="219"/>
      <c r="F76" s="219"/>
      <c r="G76" s="219"/>
      <c r="H76" s="219"/>
      <c r="I76" s="220"/>
    </row>
    <row r="77" spans="1:9" ht="18.75" customHeight="1" x14ac:dyDescent="0.15">
      <c r="A77" s="4"/>
      <c r="B77" s="221"/>
      <c r="C77" s="222"/>
      <c r="D77" s="222"/>
      <c r="E77" s="222"/>
      <c r="F77" s="222"/>
      <c r="G77" s="222"/>
      <c r="H77" s="222"/>
      <c r="I77" s="223"/>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15" t="s">
        <v>161</v>
      </c>
      <c r="C80" s="216"/>
      <c r="D80" s="216"/>
      <c r="E80" s="216"/>
      <c r="F80" s="216"/>
      <c r="G80" s="216"/>
      <c r="H80" s="216"/>
      <c r="I80" s="224"/>
    </row>
    <row r="81" spans="1:9" ht="18.75" customHeight="1" x14ac:dyDescent="0.15">
      <c r="A81" s="1"/>
      <c r="B81" s="225"/>
      <c r="C81" s="226"/>
      <c r="D81" s="226"/>
      <c r="E81" s="226"/>
      <c r="F81" s="226"/>
      <c r="G81" s="226"/>
      <c r="H81" s="226"/>
      <c r="I81" s="227"/>
    </row>
    <row r="82" spans="1:9" ht="18.75" customHeight="1" x14ac:dyDescent="0.15">
      <c r="A82" s="1"/>
      <c r="B82" s="225"/>
      <c r="C82" s="226"/>
      <c r="D82" s="226"/>
      <c r="E82" s="226"/>
      <c r="F82" s="226"/>
      <c r="G82" s="226"/>
      <c r="H82" s="226"/>
      <c r="I82" s="227"/>
    </row>
    <row r="83" spans="1:9" ht="18.75" customHeight="1" x14ac:dyDescent="0.15">
      <c r="A83" s="1"/>
      <c r="B83" s="225"/>
      <c r="C83" s="226"/>
      <c r="D83" s="226"/>
      <c r="E83" s="226"/>
      <c r="F83" s="226"/>
      <c r="G83" s="226"/>
      <c r="H83" s="226"/>
      <c r="I83" s="227"/>
    </row>
    <row r="84" spans="1:9" ht="18.75" customHeight="1" x14ac:dyDescent="0.15">
      <c r="A84" s="1"/>
      <c r="B84" s="225"/>
      <c r="C84" s="226"/>
      <c r="D84" s="226"/>
      <c r="E84" s="226"/>
      <c r="F84" s="226"/>
      <c r="G84" s="226"/>
      <c r="H84" s="226"/>
      <c r="I84" s="227"/>
    </row>
    <row r="85" spans="1:9" ht="18.75" customHeight="1" x14ac:dyDescent="0.15">
      <c r="A85" s="1"/>
      <c r="B85" s="225"/>
      <c r="C85" s="226"/>
      <c r="D85" s="226"/>
      <c r="E85" s="226"/>
      <c r="F85" s="226"/>
      <c r="G85" s="226"/>
      <c r="H85" s="226"/>
      <c r="I85" s="227"/>
    </row>
    <row r="86" spans="1:9" ht="18.75" customHeight="1" x14ac:dyDescent="0.15">
      <c r="A86" s="1"/>
      <c r="B86" s="225"/>
      <c r="C86" s="226"/>
      <c r="D86" s="226"/>
      <c r="E86" s="226"/>
      <c r="F86" s="226"/>
      <c r="G86" s="226"/>
      <c r="H86" s="226"/>
      <c r="I86" s="227"/>
    </row>
    <row r="87" spans="1:9" ht="18.75" customHeight="1" x14ac:dyDescent="0.15">
      <c r="A87" s="1"/>
      <c r="B87" s="225"/>
      <c r="C87" s="226"/>
      <c r="D87" s="226"/>
      <c r="E87" s="226"/>
      <c r="F87" s="226"/>
      <c r="G87" s="226"/>
      <c r="H87" s="226"/>
      <c r="I87" s="227"/>
    </row>
    <row r="88" spans="1:9" ht="18.75" customHeight="1" x14ac:dyDescent="0.15">
      <c r="A88" s="1"/>
      <c r="B88" s="225"/>
      <c r="C88" s="226"/>
      <c r="D88" s="226"/>
      <c r="E88" s="226"/>
      <c r="F88" s="226"/>
      <c r="G88" s="226"/>
      <c r="H88" s="226"/>
      <c r="I88" s="227"/>
    </row>
    <row r="89" spans="1:9" ht="18.75" customHeight="1" x14ac:dyDescent="0.15">
      <c r="A89" s="1"/>
      <c r="B89" s="225"/>
      <c r="C89" s="226"/>
      <c r="D89" s="226"/>
      <c r="E89" s="226"/>
      <c r="F89" s="226"/>
      <c r="G89" s="226"/>
      <c r="H89" s="226"/>
      <c r="I89" s="227"/>
    </row>
    <row r="90" spans="1:9" ht="18.75" customHeight="1" x14ac:dyDescent="0.15">
      <c r="A90" s="4"/>
      <c r="B90" s="225"/>
      <c r="C90" s="226"/>
      <c r="D90" s="226"/>
      <c r="E90" s="226"/>
      <c r="F90" s="226"/>
      <c r="G90" s="226"/>
      <c r="H90" s="226"/>
      <c r="I90" s="227"/>
    </row>
    <row r="91" spans="1:9" ht="18.75" customHeight="1" x14ac:dyDescent="0.15">
      <c r="A91" s="4"/>
      <c r="B91" s="228"/>
      <c r="C91" s="229"/>
      <c r="D91" s="229"/>
      <c r="E91" s="229"/>
      <c r="F91" s="229"/>
      <c r="G91" s="229"/>
      <c r="H91" s="229"/>
      <c r="I91" s="230"/>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81" t="s">
        <v>133</v>
      </c>
      <c r="C94" s="182"/>
      <c r="D94" s="182"/>
      <c r="E94" s="182"/>
      <c r="F94" s="182"/>
      <c r="G94" s="182"/>
      <c r="H94" s="182"/>
      <c r="I94" s="183"/>
    </row>
    <row r="95" spans="1:9" ht="18.75" customHeight="1" x14ac:dyDescent="0.15">
      <c r="A95" s="1"/>
      <c r="B95" s="184"/>
      <c r="C95" s="185"/>
      <c r="D95" s="185"/>
      <c r="E95" s="185"/>
      <c r="F95" s="185"/>
      <c r="G95" s="185"/>
      <c r="H95" s="185"/>
      <c r="I95" s="186"/>
    </row>
    <row r="96" spans="1:9" ht="18.75" customHeight="1" x14ac:dyDescent="0.15">
      <c r="A96" s="1"/>
      <c r="B96" s="184"/>
      <c r="C96" s="185"/>
      <c r="D96" s="185"/>
      <c r="E96" s="185"/>
      <c r="F96" s="185"/>
      <c r="G96" s="185"/>
      <c r="H96" s="185"/>
      <c r="I96" s="186"/>
    </row>
    <row r="97" spans="1:9" ht="18.75" customHeight="1" x14ac:dyDescent="0.15">
      <c r="A97" s="1"/>
      <c r="B97" s="184"/>
      <c r="C97" s="185"/>
      <c r="D97" s="185"/>
      <c r="E97" s="185"/>
      <c r="F97" s="185"/>
      <c r="G97" s="185"/>
      <c r="H97" s="185"/>
      <c r="I97" s="186"/>
    </row>
    <row r="98" spans="1:9" ht="18.75" customHeight="1" x14ac:dyDescent="0.15">
      <c r="A98" s="1"/>
      <c r="B98" s="184"/>
      <c r="C98" s="185"/>
      <c r="D98" s="185"/>
      <c r="E98" s="185"/>
      <c r="F98" s="185"/>
      <c r="G98" s="185"/>
      <c r="H98" s="185"/>
      <c r="I98" s="186"/>
    </row>
    <row r="99" spans="1:9" ht="18.75" customHeight="1" x14ac:dyDescent="0.15">
      <c r="A99" s="1"/>
      <c r="B99" s="184"/>
      <c r="C99" s="185"/>
      <c r="D99" s="185"/>
      <c r="E99" s="185"/>
      <c r="F99" s="185"/>
      <c r="G99" s="185"/>
      <c r="H99" s="185"/>
      <c r="I99" s="186"/>
    </row>
    <row r="100" spans="1:9" ht="18.75" customHeight="1" x14ac:dyDescent="0.15">
      <c r="A100" s="1"/>
      <c r="B100" s="184"/>
      <c r="C100" s="185"/>
      <c r="D100" s="185"/>
      <c r="E100" s="185"/>
      <c r="F100" s="185"/>
      <c r="G100" s="185"/>
      <c r="H100" s="185"/>
      <c r="I100" s="186"/>
    </row>
    <row r="101" spans="1:9" ht="18.75" customHeight="1" x14ac:dyDescent="0.15">
      <c r="A101" s="1"/>
      <c r="B101" s="184"/>
      <c r="C101" s="185"/>
      <c r="D101" s="185"/>
      <c r="E101" s="185"/>
      <c r="F101" s="185"/>
      <c r="G101" s="185"/>
      <c r="H101" s="185"/>
      <c r="I101" s="186"/>
    </row>
    <row r="102" spans="1:9" ht="18.75" customHeight="1" x14ac:dyDescent="0.15">
      <c r="A102" s="1"/>
      <c r="B102" s="184"/>
      <c r="C102" s="185"/>
      <c r="D102" s="185"/>
      <c r="E102" s="185"/>
      <c r="F102" s="185"/>
      <c r="G102" s="185"/>
      <c r="H102" s="185"/>
      <c r="I102" s="186"/>
    </row>
    <row r="103" spans="1:9" ht="18.75" customHeight="1" x14ac:dyDescent="0.15">
      <c r="A103" s="1"/>
      <c r="B103" s="184"/>
      <c r="C103" s="185"/>
      <c r="D103" s="185"/>
      <c r="E103" s="185"/>
      <c r="F103" s="185"/>
      <c r="G103" s="185"/>
      <c r="H103" s="185"/>
      <c r="I103" s="186"/>
    </row>
    <row r="104" spans="1:9" ht="18.75" customHeight="1" x14ac:dyDescent="0.15">
      <c r="A104" s="1"/>
      <c r="B104" s="184"/>
      <c r="C104" s="185"/>
      <c r="D104" s="185"/>
      <c r="E104" s="185"/>
      <c r="F104" s="185"/>
      <c r="G104" s="185"/>
      <c r="H104" s="185"/>
      <c r="I104" s="186"/>
    </row>
    <row r="105" spans="1:9" ht="18.75" customHeight="1" x14ac:dyDescent="0.15">
      <c r="A105" s="4"/>
      <c r="B105" s="187"/>
      <c r="C105" s="188"/>
      <c r="D105" s="188"/>
      <c r="E105" s="188"/>
      <c r="F105" s="188"/>
      <c r="G105" s="188"/>
      <c r="H105" s="188"/>
      <c r="I105" s="189"/>
    </row>
    <row r="106" spans="1:9" ht="7.5" customHeight="1" x14ac:dyDescent="0.15">
      <c r="A106" s="4"/>
      <c r="B106" s="4"/>
      <c r="C106" s="4"/>
      <c r="D106" s="4"/>
      <c r="E106" s="4"/>
      <c r="F106" s="4"/>
      <c r="G106" s="4"/>
      <c r="H106" s="4"/>
      <c r="I106" s="4"/>
    </row>
    <row r="107" spans="1:9" ht="18.75" customHeight="1" x14ac:dyDescent="0.15">
      <c r="A107" s="1" t="s">
        <v>30</v>
      </c>
      <c r="B107" s="190" t="s">
        <v>46</v>
      </c>
      <c r="C107" s="190"/>
      <c r="D107" s="190"/>
      <c r="E107" s="190"/>
      <c r="F107" s="190"/>
      <c r="G107" s="190"/>
      <c r="H107" s="190"/>
      <c r="I107" s="190"/>
    </row>
    <row r="108" spans="1:9" ht="18.75" customHeight="1" x14ac:dyDescent="0.15">
      <c r="A108" s="4"/>
      <c r="B108" s="181" t="s">
        <v>162</v>
      </c>
      <c r="C108" s="182"/>
      <c r="D108" s="182"/>
      <c r="E108" s="182"/>
      <c r="F108" s="182"/>
      <c r="G108" s="182"/>
      <c r="H108" s="182"/>
      <c r="I108" s="183"/>
    </row>
    <row r="109" spans="1:9" ht="18.75" customHeight="1" x14ac:dyDescent="0.15">
      <c r="A109" s="4"/>
      <c r="B109" s="184"/>
      <c r="C109" s="185"/>
      <c r="D109" s="185"/>
      <c r="E109" s="185"/>
      <c r="F109" s="185"/>
      <c r="G109" s="185"/>
      <c r="H109" s="185"/>
      <c r="I109" s="186"/>
    </row>
    <row r="110" spans="1:9" ht="18.75" customHeight="1" x14ac:dyDescent="0.15">
      <c r="A110" s="4"/>
      <c r="B110" s="184"/>
      <c r="C110" s="185"/>
      <c r="D110" s="185"/>
      <c r="E110" s="185"/>
      <c r="F110" s="185"/>
      <c r="G110" s="185"/>
      <c r="H110" s="185"/>
      <c r="I110" s="186"/>
    </row>
    <row r="111" spans="1:9" ht="18.75" customHeight="1" x14ac:dyDescent="0.15">
      <c r="A111" s="4"/>
      <c r="B111" s="184"/>
      <c r="C111" s="185"/>
      <c r="D111" s="185"/>
      <c r="E111" s="185"/>
      <c r="F111" s="185"/>
      <c r="G111" s="185"/>
      <c r="H111" s="185"/>
      <c r="I111" s="186"/>
    </row>
    <row r="112" spans="1:9" ht="18.75" customHeight="1" x14ac:dyDescent="0.15">
      <c r="A112" s="4"/>
      <c r="B112" s="184"/>
      <c r="C112" s="185"/>
      <c r="D112" s="185"/>
      <c r="E112" s="185"/>
      <c r="F112" s="185"/>
      <c r="G112" s="185"/>
      <c r="H112" s="185"/>
      <c r="I112" s="186"/>
    </row>
    <row r="113" spans="1:9" ht="18.75" customHeight="1" x14ac:dyDescent="0.15">
      <c r="A113" s="4"/>
      <c r="B113" s="184"/>
      <c r="C113" s="185"/>
      <c r="D113" s="185"/>
      <c r="E113" s="185"/>
      <c r="F113" s="185"/>
      <c r="G113" s="185"/>
      <c r="H113" s="185"/>
      <c r="I113" s="186"/>
    </row>
    <row r="114" spans="1:9" ht="18.75" customHeight="1" x14ac:dyDescent="0.15">
      <c r="A114" s="4"/>
      <c r="B114" s="184"/>
      <c r="C114" s="185"/>
      <c r="D114" s="185"/>
      <c r="E114" s="185"/>
      <c r="F114" s="185"/>
      <c r="G114" s="185"/>
      <c r="H114" s="185"/>
      <c r="I114" s="186"/>
    </row>
    <row r="115" spans="1:9" ht="18.75" customHeight="1" x14ac:dyDescent="0.15">
      <c r="A115" s="4"/>
      <c r="B115" s="184"/>
      <c r="C115" s="185"/>
      <c r="D115" s="185"/>
      <c r="E115" s="185"/>
      <c r="F115" s="185"/>
      <c r="G115" s="185"/>
      <c r="H115" s="185"/>
      <c r="I115" s="186"/>
    </row>
    <row r="116" spans="1:9" ht="18.75" customHeight="1" x14ac:dyDescent="0.15">
      <c r="A116" s="4"/>
      <c r="B116" s="184"/>
      <c r="C116" s="185"/>
      <c r="D116" s="185"/>
      <c r="E116" s="185"/>
      <c r="F116" s="185"/>
      <c r="G116" s="185"/>
      <c r="H116" s="185"/>
      <c r="I116" s="186"/>
    </row>
    <row r="117" spans="1:9" ht="18.75" customHeight="1" x14ac:dyDescent="0.15">
      <c r="A117" s="4"/>
      <c r="B117" s="184"/>
      <c r="C117" s="185"/>
      <c r="D117" s="185"/>
      <c r="E117" s="185"/>
      <c r="F117" s="185"/>
      <c r="G117" s="185"/>
      <c r="H117" s="185"/>
      <c r="I117" s="186"/>
    </row>
    <row r="118" spans="1:9" ht="18.75" customHeight="1" x14ac:dyDescent="0.15">
      <c r="A118" s="4"/>
      <c r="B118" s="184"/>
      <c r="C118" s="185"/>
      <c r="D118" s="185"/>
      <c r="E118" s="185"/>
      <c r="F118" s="185"/>
      <c r="G118" s="185"/>
      <c r="H118" s="185"/>
      <c r="I118" s="186"/>
    </row>
    <row r="119" spans="1:9" ht="18.75" customHeight="1" x14ac:dyDescent="0.15">
      <c r="A119" s="4"/>
      <c r="B119" s="187"/>
      <c r="C119" s="188"/>
      <c r="D119" s="188"/>
      <c r="E119" s="188"/>
      <c r="F119" s="188"/>
      <c r="G119" s="188"/>
      <c r="H119" s="188"/>
      <c r="I119" s="189"/>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0"/>
  <sheetViews>
    <sheetView showZeros="0" view="pageBreakPreview" topLeftCell="A25" zoomScale="90" zoomScaleNormal="100" zoomScaleSheetLayoutView="90" workbookViewId="0">
      <selection activeCell="E14" sqref="E14:I14"/>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5" ht="18.75" customHeight="1" x14ac:dyDescent="0.15">
      <c r="A1" s="1" t="s">
        <v>71</v>
      </c>
      <c r="I1" s="35" t="s">
        <v>105</v>
      </c>
    </row>
    <row r="2" spans="1:15" ht="18.75" customHeight="1" x14ac:dyDescent="0.15">
      <c r="H2" s="35" t="s">
        <v>109</v>
      </c>
      <c r="I2" s="34" t="str" cm="1">
        <f t="array" ref="I2:O2">'様式１　プログラムを構成する授業科目'!C2:I2</f>
        <v>京都光華女子大学短期大学部</v>
      </c>
      <c r="J2" s="1">
        <v>0</v>
      </c>
      <c r="K2" s="1">
        <v>0</v>
      </c>
      <c r="L2" s="1">
        <v>0</v>
      </c>
      <c r="M2" s="1">
        <v>0</v>
      </c>
      <c r="N2" s="1">
        <v>0</v>
      </c>
      <c r="O2" s="1">
        <v>0</v>
      </c>
    </row>
    <row r="3" spans="1:15" ht="18.75" customHeight="1" x14ac:dyDescent="0.15">
      <c r="A3" s="138" t="s">
        <v>28</v>
      </c>
      <c r="B3" s="138"/>
      <c r="C3" s="138"/>
      <c r="D3" s="138"/>
      <c r="E3" s="138"/>
      <c r="F3" s="138"/>
      <c r="G3" s="138"/>
      <c r="H3" s="138"/>
      <c r="I3" s="138"/>
    </row>
    <row r="4" spans="1:15" ht="18.75" customHeight="1" x14ac:dyDescent="0.15">
      <c r="A4" s="5"/>
      <c r="B4" s="5"/>
      <c r="C4" s="5"/>
      <c r="D4" s="5"/>
      <c r="E4" s="5"/>
      <c r="F4" s="5"/>
      <c r="G4" s="5"/>
      <c r="H4" s="5"/>
      <c r="I4" s="5"/>
    </row>
    <row r="5" spans="1:15" ht="18.75" customHeight="1" x14ac:dyDescent="0.15">
      <c r="A5" s="1" t="s">
        <v>0</v>
      </c>
      <c r="B5" s="10" t="s">
        <v>95</v>
      </c>
      <c r="C5" s="5"/>
      <c r="D5" s="5"/>
      <c r="E5" s="5"/>
      <c r="F5" s="5"/>
      <c r="G5" s="5"/>
      <c r="H5" s="5"/>
      <c r="I5" s="5"/>
    </row>
    <row r="6" spans="1:15" ht="26.25" customHeight="1" x14ac:dyDescent="0.15">
      <c r="A6" s="5"/>
      <c r="B6" s="208" t="s">
        <v>149</v>
      </c>
      <c r="C6" s="249"/>
      <c r="D6" s="249"/>
      <c r="E6" s="249"/>
      <c r="F6" s="249"/>
      <c r="G6" s="249"/>
      <c r="H6" s="250"/>
      <c r="I6" s="3"/>
    </row>
    <row r="7" spans="1:15" ht="9" customHeight="1" x14ac:dyDescent="0.15">
      <c r="A7" s="5"/>
      <c r="B7" s="10"/>
      <c r="C7" s="10"/>
      <c r="D7" s="10"/>
      <c r="E7" s="10"/>
      <c r="F7" s="10"/>
      <c r="G7" s="10"/>
      <c r="H7" s="10"/>
      <c r="I7" s="3"/>
    </row>
    <row r="8" spans="1:15" ht="18.75" customHeight="1" x14ac:dyDescent="0.15">
      <c r="A8" s="5"/>
      <c r="B8" s="3"/>
      <c r="C8" s="3"/>
      <c r="D8" s="35" t="s">
        <v>43</v>
      </c>
      <c r="E8" s="36" t="s">
        <v>150</v>
      </c>
      <c r="F8" s="3"/>
      <c r="G8" s="35" t="s">
        <v>10</v>
      </c>
      <c r="H8" s="36" t="s">
        <v>151</v>
      </c>
      <c r="I8" s="3"/>
    </row>
    <row r="9" spans="1:15" ht="7.5" customHeight="1" x14ac:dyDescent="0.15">
      <c r="A9" s="5"/>
      <c r="B9" s="5"/>
      <c r="C9" s="5"/>
      <c r="D9" s="5"/>
      <c r="E9" s="5"/>
      <c r="F9" s="5"/>
      <c r="G9" s="5"/>
      <c r="H9" s="5"/>
      <c r="I9" s="5"/>
    </row>
    <row r="10" spans="1:15" ht="18.75" customHeight="1" x14ac:dyDescent="0.15">
      <c r="A10" s="1" t="s">
        <v>3</v>
      </c>
      <c r="B10" s="1" t="s">
        <v>27</v>
      </c>
      <c r="C10" s="4"/>
      <c r="D10" s="4"/>
      <c r="E10" s="4"/>
      <c r="F10" s="4"/>
      <c r="G10" s="4"/>
      <c r="H10" s="4"/>
      <c r="I10" s="4"/>
    </row>
    <row r="11" spans="1:15" ht="18.75" customHeight="1" x14ac:dyDescent="0.15">
      <c r="B11" s="89" t="s">
        <v>24</v>
      </c>
      <c r="C11" s="90"/>
      <c r="D11" s="91"/>
      <c r="E11" s="90" t="s">
        <v>26</v>
      </c>
      <c r="F11" s="90"/>
      <c r="G11" s="90"/>
      <c r="H11" s="90"/>
      <c r="I11" s="91"/>
    </row>
    <row r="12" spans="1:15" ht="26.25" customHeight="1" x14ac:dyDescent="0.15">
      <c r="B12" s="49" t="s">
        <v>14</v>
      </c>
      <c r="C12" s="56"/>
      <c r="D12" s="50"/>
      <c r="E12" s="57"/>
      <c r="F12" s="57"/>
      <c r="G12" s="57"/>
      <c r="H12" s="57"/>
      <c r="I12" s="50"/>
    </row>
    <row r="13" spans="1:15" ht="210.75" customHeight="1" x14ac:dyDescent="0.15">
      <c r="B13" s="51"/>
      <c r="C13" s="247" t="s">
        <v>15</v>
      </c>
      <c r="D13" s="248"/>
      <c r="E13" s="244" t="s">
        <v>152</v>
      </c>
      <c r="F13" s="245"/>
      <c r="G13" s="245"/>
      <c r="H13" s="245"/>
      <c r="I13" s="246"/>
      <c r="K13" s="1">
        <f>LEN(E13)</f>
        <v>301</v>
      </c>
    </row>
    <row r="14" spans="1:15" ht="210.75" customHeight="1" x14ac:dyDescent="0.15">
      <c r="B14" s="51"/>
      <c r="C14" s="242" t="s">
        <v>16</v>
      </c>
      <c r="D14" s="243"/>
      <c r="E14" s="244" t="s">
        <v>153</v>
      </c>
      <c r="F14" s="245"/>
      <c r="G14" s="245"/>
      <c r="H14" s="245"/>
      <c r="I14" s="246"/>
      <c r="K14" s="1">
        <f>LEN(E14)</f>
        <v>297</v>
      </c>
    </row>
    <row r="15" spans="1:15" ht="164.25" customHeight="1" x14ac:dyDescent="0.15">
      <c r="B15" s="51"/>
      <c r="C15" s="247" t="s">
        <v>17</v>
      </c>
      <c r="D15" s="248"/>
      <c r="E15" s="244" t="s">
        <v>154</v>
      </c>
      <c r="F15" s="245"/>
      <c r="G15" s="245"/>
      <c r="H15" s="245"/>
      <c r="I15" s="246"/>
      <c r="K15" s="1">
        <f>LEN(E15)</f>
        <v>300</v>
      </c>
    </row>
    <row r="16" spans="1:15" ht="144.75" customHeight="1" x14ac:dyDescent="0.15">
      <c r="B16" s="51"/>
      <c r="C16" s="247" t="s">
        <v>18</v>
      </c>
      <c r="D16" s="248"/>
      <c r="E16" s="251" t="s">
        <v>163</v>
      </c>
      <c r="F16" s="252"/>
      <c r="G16" s="252"/>
      <c r="H16" s="252"/>
      <c r="I16" s="253"/>
      <c r="K16" s="1">
        <f>LEN(E16)</f>
        <v>292</v>
      </c>
    </row>
    <row r="17" spans="2:11" ht="250.5" customHeight="1" x14ac:dyDescent="0.15">
      <c r="B17" s="52"/>
      <c r="C17" s="254" t="s">
        <v>19</v>
      </c>
      <c r="D17" s="255"/>
      <c r="E17" s="256" t="s">
        <v>164</v>
      </c>
      <c r="F17" s="257"/>
      <c r="G17" s="257"/>
      <c r="H17" s="257"/>
      <c r="I17" s="258"/>
      <c r="K17" s="1">
        <f>LEN(E17)</f>
        <v>292</v>
      </c>
    </row>
    <row r="18" spans="2:11" ht="24" customHeight="1" x14ac:dyDescent="0.15">
      <c r="B18" s="49" t="s">
        <v>20</v>
      </c>
      <c r="C18" s="53"/>
      <c r="D18" s="54"/>
      <c r="E18" s="55"/>
      <c r="F18" s="55"/>
      <c r="G18" s="55"/>
      <c r="H18" s="55"/>
      <c r="I18" s="58"/>
    </row>
    <row r="19" spans="2:11" ht="165.75" customHeight="1" x14ac:dyDescent="0.15">
      <c r="B19" s="51"/>
      <c r="C19" s="247" t="s">
        <v>21</v>
      </c>
      <c r="D19" s="248"/>
      <c r="E19" s="245" t="s">
        <v>165</v>
      </c>
      <c r="F19" s="245"/>
      <c r="G19" s="245"/>
      <c r="H19" s="245"/>
      <c r="I19" s="246"/>
      <c r="K19" s="1">
        <f>LEN(E19)</f>
        <v>125</v>
      </c>
    </row>
    <row r="20" spans="2:11" ht="156.75" customHeight="1" x14ac:dyDescent="0.15">
      <c r="B20" s="52"/>
      <c r="C20" s="254" t="s">
        <v>22</v>
      </c>
      <c r="D20" s="255"/>
      <c r="E20" s="257" t="s">
        <v>166</v>
      </c>
      <c r="F20" s="257"/>
      <c r="G20" s="257"/>
      <c r="H20" s="257"/>
      <c r="I20" s="258"/>
      <c r="K20" s="1">
        <f>LEN(E20)</f>
        <v>79</v>
      </c>
    </row>
    <row r="21" spans="2:11" ht="218.25" customHeight="1" x14ac:dyDescent="0.15">
      <c r="B21" s="264" t="s">
        <v>23</v>
      </c>
      <c r="C21" s="265"/>
      <c r="D21" s="266"/>
      <c r="E21" s="267" t="s">
        <v>155</v>
      </c>
      <c r="F21" s="267"/>
      <c r="G21" s="267"/>
      <c r="H21" s="267"/>
      <c r="I21" s="268"/>
      <c r="K21" s="1">
        <f>LEN(E21)</f>
        <v>289</v>
      </c>
    </row>
    <row r="22" spans="2:11" ht="218.25" customHeight="1" x14ac:dyDescent="0.15">
      <c r="B22" s="259" t="s">
        <v>38</v>
      </c>
      <c r="C22" s="260"/>
      <c r="D22" s="261"/>
      <c r="E22" s="262" t="s">
        <v>167</v>
      </c>
      <c r="F22" s="262"/>
      <c r="G22" s="262"/>
      <c r="H22" s="262"/>
      <c r="I22" s="263"/>
      <c r="K22" s="1">
        <f>LEN(E22)</f>
        <v>289</v>
      </c>
    </row>
    <row r="23" spans="2:11" ht="22.5" customHeight="1" x14ac:dyDescent="0.15">
      <c r="B23" s="4"/>
      <c r="C23" s="4"/>
      <c r="D23" s="4"/>
      <c r="E23" s="4"/>
      <c r="F23" s="4"/>
      <c r="G23" s="4"/>
      <c r="H23" s="4"/>
      <c r="I23" s="4"/>
      <c r="K23" s="1">
        <f>LEN(E23)</f>
        <v>0</v>
      </c>
    </row>
    <row r="24" spans="2:11" ht="22.5" customHeight="1" x14ac:dyDescent="0.15">
      <c r="B24" s="4"/>
      <c r="C24" s="4"/>
      <c r="D24" s="4"/>
      <c r="E24" s="4"/>
      <c r="F24" s="4"/>
      <c r="G24" s="4"/>
      <c r="H24" s="4"/>
      <c r="I24" s="4"/>
    </row>
    <row r="25" spans="2:11" ht="22.5" customHeight="1" x14ac:dyDescent="0.15">
      <c r="B25" s="4"/>
      <c r="C25" s="4"/>
      <c r="D25" s="4"/>
      <c r="E25" s="4"/>
      <c r="F25" s="4"/>
      <c r="G25" s="4"/>
      <c r="H25" s="4"/>
      <c r="I25" s="4"/>
    </row>
    <row r="26" spans="2:11" ht="22.5" customHeight="1" x14ac:dyDescent="0.15">
      <c r="B26" s="4"/>
      <c r="C26" s="4"/>
      <c r="D26" s="4"/>
      <c r="E26" s="4"/>
      <c r="F26" s="4"/>
      <c r="G26" s="4"/>
      <c r="H26" s="4"/>
      <c r="I26" s="4"/>
    </row>
    <row r="27" spans="2:11" ht="22.5" customHeight="1" x14ac:dyDescent="0.15">
      <c r="B27" s="4"/>
      <c r="C27" s="4"/>
      <c r="D27" s="4"/>
      <c r="E27" s="4"/>
      <c r="F27" s="4"/>
      <c r="G27" s="4"/>
      <c r="H27" s="4"/>
      <c r="I27" s="4"/>
    </row>
    <row r="28" spans="2:11" ht="22.5" customHeight="1" x14ac:dyDescent="0.15">
      <c r="B28" s="15"/>
      <c r="C28" s="15"/>
      <c r="D28" s="15"/>
      <c r="E28" s="15"/>
      <c r="F28" s="15"/>
      <c r="G28" s="15"/>
      <c r="H28" s="15"/>
      <c r="I28" s="15"/>
    </row>
    <row r="29" spans="2:11" ht="22.5" customHeight="1" x14ac:dyDescent="0.15">
      <c r="B29" s="15"/>
      <c r="C29" s="15"/>
      <c r="D29" s="15"/>
      <c r="E29" s="15"/>
      <c r="F29" s="15"/>
      <c r="G29" s="15"/>
      <c r="H29" s="15"/>
      <c r="I29" s="15"/>
    </row>
    <row r="30" spans="2:11"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Hirokazu Aiba</cp:lastModifiedBy>
  <cp:lastPrinted>2023-05-12T01:40:45Z</cp:lastPrinted>
  <dcterms:created xsi:type="dcterms:W3CDTF">2011-06-14T05:32:50Z</dcterms:created>
  <dcterms:modified xsi:type="dcterms:W3CDTF">2023-05-12T02:56:09Z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