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I:\★教務企画チーム\就職100％\教育改革\R3　AI、データサイエンス副専攻\文科省）数理・DS・AI教育プログラム認定制度\R5年度申請書類\申請資料\（R5.7.5委託業者より）確認事項\"/>
    </mc:Choice>
  </mc:AlternateContent>
  <bookViews>
    <workbookView xWindow="0" yWindow="0" windowWidth="28800" windowHeight="1221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教育の質・履修者数を向上させるための体制・計画'!$A$1:$I$121</definedName>
    <definedName name="_xlnm.Print_Area" localSheetId="3">'様式４　自己点検・評価'!$A$1:$I$22</definedName>
    <definedName name="_xlnm.Print_Titles" localSheetId="3">'様式４　自己点検・評価'!$11:$11</definedName>
  </definedNames>
  <calcPr calcId="162913"/>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1"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50" i="41" s="1"/>
</calcChain>
</file>

<file path=xl/sharedStrings.xml><?xml version="1.0" encoding="utf-8"?>
<sst xmlns="http://schemas.openxmlformats.org/spreadsheetml/2006/main" count="373" uniqueCount="191">
  <si>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</si>
  <si>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</si>
  <si>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</si>
  <si>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</si>
  <si>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</si>
  <si>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</si>
  <si>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</si>
  <si>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</si>
  <si>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</si>
  <si>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</si>
  <si>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</si>
  <si>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</si>
  <si>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</si>
  <si>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</si>
  <si>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</si>
  <si>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</si>
  <si>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</si>
  <si>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</si>
  <si>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</si>
  <si>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</si>
  <si>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</si>
  <si>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</si>
  <si>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</si>
  <si>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</si>
  <si>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</si>
  <si>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</si>
  <si>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</si>
  <si>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</si>
  <si>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</si>
  <si>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</si>
  <si>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</si>
  <si>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</si>
  <si>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</si>
  <si>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</si>
  <si>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</si>
  <si>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</si>
  <si>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</si>
  <si>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</si>
  <si>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</si>
  <si>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</si>
  <si>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</si>
  <si>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</si>
  <si>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</si>
  <si>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</si>
  <si>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</si>
  <si>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</si>
  <si>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</si>
  <si>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</si>
  <si>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</si>
  <si>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</si>
  <si>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</si>
  <si>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</si>
  <si>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</si>
  <si>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</si>
  <si>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</si>
  <si>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</si>
  <si>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</si>
  <si>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</si>
  <si>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</si>
  <si>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</si>
  <si>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</si>
  <si>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</si>
  <si>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</si>
  <si>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</si>
  <si>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</si>
  <si>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</si>
  <si>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</si>
  <si>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</si>
  <si>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</si>
  <si>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</si>
  <si>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</si>
  <si>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</si>
  <si>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</si>
  <si>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</si>
  <si>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</si>
  <si>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</si>
  <si>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</si>
  <si>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</si>
  <si>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</si>
  <si>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</si>
  <si>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</si>
  <si>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</si>
  <si>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</si>
  <si>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</si>
  <si>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</si>
  <si>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</si>
  <si>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</si>
  <si>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</si>
  <si>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</si>
  <si>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</si>
  <si>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</si>
  <si>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</si>
  <si>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</si>
  <si>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</si>
  <si>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</si>
  <si>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</si>
  <si>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</si>
  <si>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</si>
  <si>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</si>
  <si>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</si>
  <si>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</si>
  <si>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</si>
  <si>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</si>
  <si>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</si>
  <si>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</si>
  <si>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</si>
  <si>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</si>
  <si>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</si>
  <si>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</si>
  <si>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</si>
  <si>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</si>
  <si>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</si>
  <si>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</si>
  <si>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</si>
  <si>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</si>
  <si>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</si>
  <si>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</si>
  <si>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</si>
  <si>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</si>
  <si>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</si>
  <si>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</si>
  <si>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</si>
  <si>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</si>
  <si>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</si>
  <si>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</si>
  <si>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</si>
  <si>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</si>
  <si>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</si>
  <si>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経済学部</t>
    <rPh sb="0" eb="2">
      <t>ケイザイ</t>
    </rPh>
    <rPh sb="2" eb="4">
      <t>ガクブ</t>
    </rPh>
    <phoneticPr fontId="1"/>
  </si>
  <si>
    <t>商学部</t>
    <rPh sb="0" eb="2">
      <t>ショウガク</t>
    </rPh>
    <rPh sb="2" eb="3">
      <t>ブ</t>
    </rPh>
    <phoneticPr fontId="1"/>
  </si>
  <si>
    <t>地域共創学部</t>
    <rPh sb="0" eb="2">
      <t>チイキ</t>
    </rPh>
    <rPh sb="2" eb="3">
      <t>キョウ</t>
    </rPh>
    <rPh sb="3" eb="4">
      <t>ソウ</t>
    </rPh>
    <rPh sb="4" eb="6">
      <t>ガクブ</t>
    </rPh>
    <phoneticPr fontId="1"/>
  </si>
  <si>
    <t>理工学部</t>
    <rPh sb="0" eb="2">
      <t>リコウ</t>
    </rPh>
    <rPh sb="2" eb="4">
      <t>ガクブ</t>
    </rPh>
    <phoneticPr fontId="1"/>
  </si>
  <si>
    <t>生命科学部</t>
    <rPh sb="0" eb="2">
      <t>セイメイ</t>
    </rPh>
    <rPh sb="2" eb="5">
      <t>カガクブ</t>
    </rPh>
    <phoneticPr fontId="1"/>
  </si>
  <si>
    <t>建築都市工学部</t>
    <rPh sb="0" eb="7">
      <t>ケンチクトシコウガクブ</t>
    </rPh>
    <phoneticPr fontId="1"/>
  </si>
  <si>
    <t>芸術学部</t>
    <rPh sb="0" eb="2">
      <t>ゲイジュツ</t>
    </rPh>
    <rPh sb="2" eb="4">
      <t>ガクブ</t>
    </rPh>
    <phoneticPr fontId="1"/>
  </si>
  <si>
    <t>国際文化学部</t>
    <rPh sb="0" eb="2">
      <t>コクサイ</t>
    </rPh>
    <rPh sb="2" eb="4">
      <t>ブンカ</t>
    </rPh>
    <rPh sb="4" eb="6">
      <t>ガクブ</t>
    </rPh>
    <phoneticPr fontId="1"/>
  </si>
  <si>
    <t>人間科学部</t>
    <rPh sb="0" eb="2">
      <t>ニンゲン</t>
    </rPh>
    <rPh sb="2" eb="4">
      <t>カガク</t>
    </rPh>
    <rPh sb="4" eb="5">
      <t>ブ</t>
    </rPh>
    <phoneticPr fontId="1"/>
  </si>
  <si>
    <t>九州産業大学</t>
    <rPh sb="0" eb="6">
      <t>キュウシュウサンギョウダイガク</t>
    </rPh>
    <phoneticPr fontId="1"/>
  </si>
  <si>
    <t>AI・データサイエンス副専攻</t>
    <phoneticPr fontId="1"/>
  </si>
  <si>
    <t>北島　己佐吉</t>
    <phoneticPr fontId="1"/>
  </si>
  <si>
    <t>学長</t>
    <rPh sb="0" eb="2">
      <t>ガクチョウ</t>
    </rPh>
    <phoneticPr fontId="1"/>
  </si>
  <si>
    <t>学部長会議</t>
    <rPh sb="0" eb="3">
      <t>ガクブチョウ</t>
    </rPh>
    <rPh sb="3" eb="5">
      <t>カイギ</t>
    </rPh>
    <phoneticPr fontId="1"/>
  </si>
  <si>
    <t>　令和4年度から開始したプログラムのため、現時点においては修了者はいない。</t>
    <phoneticPr fontId="1"/>
  </si>
  <si>
    <t>○</t>
  </si>
  <si>
    <t>学則（第70条の２　学部長会議）</t>
    <rPh sb="0" eb="2">
      <t>ガクソク</t>
    </rPh>
    <rPh sb="3" eb="4">
      <t>ダイ</t>
    </rPh>
    <rPh sb="6" eb="7">
      <t>ジョウ</t>
    </rPh>
    <rPh sb="10" eb="13">
      <t>ガクブチョウ</t>
    </rPh>
    <rPh sb="13" eb="15">
      <t>カイギ</t>
    </rPh>
    <phoneticPr fontId="1"/>
  </si>
  <si>
    <t>　学部長会議は、学則に基づき設置している。
　学部長会議は、学部間の連携を図り、本学及び各学部等の教育研究に関連する重要事項や、各学部間において連絡調整を要する事項について審議を行う組織であり、学長を委員長に、副学長及び各学部長、基礎教育センター所長等が構成員である。
　本学で取り組む「ＡＩ・データサイエンス副専攻」は、全学共通のＫＳＵ基盤教育で開設する授業科目と、各学部で開設する専門の授業科目で構成している。全学的に数理・データサイエンス・ＡＩ教育を推進するための取組みであり、全学的な連携が必要である。また、今後の高等教育において必要とされる多様で柔軟な教育を行うため、相互履修による文理芸融合教育の促進も目的としていることから、大学全体を俯瞰して検討・審議することができる組織として既存の学部長会議を活用し、プログラム全体の改善・進化を図る。</t>
    <rPh sb="1" eb="4">
      <t>ガクブチョウ</t>
    </rPh>
    <rPh sb="4" eb="6">
      <t>カイギ</t>
    </rPh>
    <rPh sb="30" eb="32">
      <t>ガクブ</t>
    </rPh>
    <rPh sb="32" eb="33">
      <t>カン</t>
    </rPh>
    <rPh sb="34" eb="36">
      <t>レンケイ</t>
    </rPh>
    <rPh sb="37" eb="38">
      <t>ハカ</t>
    </rPh>
    <rPh sb="115" eb="117">
      <t>キソ</t>
    </rPh>
    <rPh sb="117" eb="119">
      <t>キョウイク</t>
    </rPh>
    <rPh sb="123" eb="125">
      <t>ショチョウ</t>
    </rPh>
    <rPh sb="127" eb="130">
      <t>コウセイイン</t>
    </rPh>
    <rPh sb="242" eb="245">
      <t>ゼンガクテキ</t>
    </rPh>
    <rPh sb="246" eb="248">
      <t>レンケイ</t>
    </rPh>
    <rPh sb="249" eb="251">
      <t>ヒツヨウ</t>
    </rPh>
    <rPh sb="258" eb="260">
      <t>コンゴ</t>
    </rPh>
    <rPh sb="261" eb="263">
      <t>コウトウ</t>
    </rPh>
    <rPh sb="263" eb="265">
      <t>キョウイク</t>
    </rPh>
    <rPh sb="269" eb="271">
      <t>ヒツヨウ</t>
    </rPh>
    <rPh sb="275" eb="277">
      <t>タヨウ</t>
    </rPh>
    <rPh sb="278" eb="280">
      <t>ジュウナン</t>
    </rPh>
    <rPh sb="281" eb="283">
      <t>キョウイク</t>
    </rPh>
    <rPh sb="284" eb="285">
      <t>オコナ</t>
    </rPh>
    <rPh sb="324" eb="326">
      <t>フカン</t>
    </rPh>
    <rPh sb="346" eb="348">
      <t>キゾン</t>
    </rPh>
    <phoneticPr fontId="1"/>
  </si>
  <si>
    <t>　「ＡＩ・データサイエンス副専攻」は、科目を大きく「情報テクノロジー」、「データサイエンス」、「ＡＩ」の３つに区分し、さらに「導入」、「基礎」、「応用」の段階を示し、体系的に構成している。
　各区分の導入段階に位置付けている「プログラミング導入」、「データリテラシー」、「ＡＩ導入」については、全学共通で実施するＫＳＵ基盤教育科目で複数のクラスを開講しており、学部・学科に関係なく、希望する学生が受講可能である。
　また、各学部において開講する専門科目についても、所属学部・学科以外で開講される科目を積極的に受講できるよう、既存の他学部・他学科科目受講の仕組みを活用することで、簡便に手続きできる。学生は、修得単位を卒業要件の一部として算入でき、受講しやすい環境を整えている。
　今後も、履修者数の動向を確認し、開講クラス数の調整を行うことで、希望する学生が受講できる環境を整える。</t>
    <rPh sb="166" eb="168">
      <t>フクスウ</t>
    </rPh>
    <rPh sb="191" eb="193">
      <t>キボウ</t>
    </rPh>
    <rPh sb="195" eb="197">
      <t>ガクセイ</t>
    </rPh>
    <rPh sb="254" eb="256">
      <t>ジュコウ</t>
    </rPh>
    <rPh sb="289" eb="291">
      <t>カンベン</t>
    </rPh>
    <rPh sb="292" eb="294">
      <t>テツヅ</t>
    </rPh>
    <rPh sb="299" eb="301">
      <t>ガクセイ</t>
    </rPh>
    <rPh sb="303" eb="305">
      <t>シュウトク</t>
    </rPh>
    <rPh sb="305" eb="307">
      <t>タンイ</t>
    </rPh>
    <rPh sb="340" eb="342">
      <t>コンゴ</t>
    </rPh>
    <rPh sb="344" eb="346">
      <t>リシュウ</t>
    </rPh>
    <rPh sb="346" eb="347">
      <t>シャ</t>
    </rPh>
    <rPh sb="347" eb="348">
      <t>スウ</t>
    </rPh>
    <rPh sb="349" eb="351">
      <t>ドウコウ</t>
    </rPh>
    <rPh sb="352" eb="354">
      <t>カクニン</t>
    </rPh>
    <rPh sb="356" eb="358">
      <t>カイコウ</t>
    </rPh>
    <rPh sb="361" eb="362">
      <t>スウ</t>
    </rPh>
    <rPh sb="363" eb="365">
      <t>チョウセイ</t>
    </rPh>
    <rPh sb="366" eb="367">
      <t>オコナ</t>
    </rPh>
    <rPh sb="372" eb="374">
      <t>キボウ</t>
    </rPh>
    <rPh sb="376" eb="378">
      <t>ガクセイ</t>
    </rPh>
    <rPh sb="379" eb="381">
      <t>ジュコウ</t>
    </rPh>
    <rPh sb="384" eb="386">
      <t>カンキョウ</t>
    </rPh>
    <rPh sb="387" eb="388">
      <t>トトノ</t>
    </rPh>
    <phoneticPr fontId="1"/>
  </si>
  <si>
    <r>
      <t>　</t>
    </r>
    <r>
      <rPr>
        <sz val="12"/>
        <rFont val="ＭＳ Ｐゴシック"/>
        <family val="3"/>
        <charset val="128"/>
        <scheme val="minor"/>
      </rPr>
      <t>新入生に対しては、入学後のガイダンスにおいて、「ＡＩ・データサイエンス副専攻」の取組みを解説した資料を配布し、ＡＩ等に関する人材のニーズ等をピックアップして説明を行い、学生の興味・関心を喚起するように対応している。また、進級時に実施する新年度ガイダンスにおいても改めて説明を行い、改めて積極的に履修するよう促している。
　「ＡＩ・データサイエンス副専攻」については、本学の特色ある教育プログラムとして、大学ＨＰで周知しており、併せて、入試情報のサイトにも掲載し、入学前から広く広報を行っている。
　在学生に対しては、多くの学生が利用する学食付近に副専攻プログラムのポスターを掲出している。学生が常に目に触れる機会を作り、情報を受け取りやすい環境を整えることで、年間を通して認知度を向上させる取組みを行っている。</t>
    </r>
    <rPh sb="5" eb="6">
      <t>タイ</t>
    </rPh>
    <rPh sb="10" eb="13">
      <t>ニュウガクゴ</t>
    </rPh>
    <rPh sb="138" eb="139">
      <t>オコナ</t>
    </rPh>
    <rPh sb="141" eb="142">
      <t>アラタ</t>
    </rPh>
    <rPh sb="232" eb="235">
      <t>ニュウガクマエ</t>
    </rPh>
    <rPh sb="237" eb="238">
      <t>ヒロ</t>
    </rPh>
    <rPh sb="239" eb="241">
      <t>コウホウ</t>
    </rPh>
    <rPh sb="242" eb="243">
      <t>オコナ</t>
    </rPh>
    <rPh sb="295" eb="297">
      <t>ガクセイ</t>
    </rPh>
    <rPh sb="298" eb="299">
      <t>ツネ</t>
    </rPh>
    <rPh sb="331" eb="333">
      <t>ネンカン</t>
    </rPh>
    <rPh sb="334" eb="335">
      <t>トオ</t>
    </rPh>
    <rPh sb="337" eb="340">
      <t>ニンチド</t>
    </rPh>
    <phoneticPr fontId="1"/>
  </si>
  <si>
    <t>　本学では、全ての専任教員にオフィスアワーを設定するとともに、非常勤講師に対しても、授業の前後の時間に学生からの質問を受付けていただくよう依頼をしている。学生は授業時間以外にも、教員に質問をすることができるような環境を整えている。
　また、非常勤講師を含む、全ての教員に対して大学のメールアドレスを付与し、併せて、Microsoft365やZoom等様々なツールを利用できる環境を整備している。学生はこれらを通じて教員に質問等をすることができる。
　「ＡＩ・データサイエンス副専攻」プログラムの履修相談等については、多くの学生が利用する１号館にある教務部で受付けており、必要に応じて担当教員に相談するなど、学生の利便性向上に資する体制を整備している。
　特に、本プログラムの必修科目を担当する教員は基礎教育センターに所属しているが、同センターには職員が常駐しており、気軽に相談できる体制としている。</t>
    <rPh sb="153" eb="154">
      <t>アワ</t>
    </rPh>
    <rPh sb="197" eb="199">
      <t>ガクセイ</t>
    </rPh>
    <rPh sb="204" eb="205">
      <t>ツウ</t>
    </rPh>
    <rPh sb="207" eb="209">
      <t>キョウイン</t>
    </rPh>
    <rPh sb="210" eb="212">
      <t>シツモン</t>
    </rPh>
    <rPh sb="212" eb="213">
      <t>トウ</t>
    </rPh>
    <rPh sb="276" eb="277">
      <t>ブ</t>
    </rPh>
    <rPh sb="327" eb="328">
      <t>トク</t>
    </rPh>
    <rPh sb="330" eb="331">
      <t>ホン</t>
    </rPh>
    <rPh sb="337" eb="339">
      <t>ヒッシュウ</t>
    </rPh>
    <rPh sb="339" eb="341">
      <t>カモク</t>
    </rPh>
    <rPh sb="342" eb="344">
      <t>タントウ</t>
    </rPh>
    <rPh sb="346" eb="348">
      <t>キョウイン</t>
    </rPh>
    <rPh sb="349" eb="351">
      <t>キソ</t>
    </rPh>
    <rPh sb="351" eb="353">
      <t>キョウイク</t>
    </rPh>
    <rPh sb="358" eb="360">
      <t>ショゾク</t>
    </rPh>
    <rPh sb="366" eb="367">
      <t>ドウ</t>
    </rPh>
    <rPh sb="373" eb="375">
      <t>ショクイン</t>
    </rPh>
    <rPh sb="376" eb="378">
      <t>ジョウチュウ</t>
    </rPh>
    <rPh sb="383" eb="385">
      <t>キガル</t>
    </rPh>
    <rPh sb="386" eb="388">
      <t>ソウダン</t>
    </rPh>
    <rPh sb="391" eb="393">
      <t>タイセイ</t>
    </rPh>
    <phoneticPr fontId="1"/>
  </si>
  <si>
    <t>（1）社会において必要とされる、AI・データサイエンスに関する基礎的な教養を修得する。
（2）本学に設置する分野から、横断的にAI・データサイエンスに関する様々な知識・経験を得る。
（3）体系的な学修を通してAI・データサイエンスの考え方を理解し、活用することができる。</t>
    <phoneticPr fontId="1"/>
  </si>
  <si>
    <t>　令和４年度は、対象科目の単位修得率が85.3％となった。
　授業評価アンケートの結果でも、「この授業を通じて、基礎的教養を増やすことができましたか」という設問に対し、75.2％が「とてもそう思う」、「そう思う」と回答している。また、「この授業を通じ、専門的知識を増やすことができましたか」という設問についても、82.0％が「とてもそう思う」、「そう思う」と回答している。
　また、教員の説明や、配布資料も70％以上が解りやすかったと回答している。
　授業評価アンケートの結果、単位修得の状況から、受講生は概ね内容を把握しており、高い理解度を獲得していると言える。</t>
    <rPh sb="1" eb="3">
      <t>レイワ</t>
    </rPh>
    <rPh sb="4" eb="6">
      <t>ネンド</t>
    </rPh>
    <rPh sb="8" eb="10">
      <t>タイショウ</t>
    </rPh>
    <rPh sb="10" eb="12">
      <t>カモク</t>
    </rPh>
    <rPh sb="13" eb="15">
      <t>タンイ</t>
    </rPh>
    <rPh sb="15" eb="17">
      <t>シュウトク</t>
    </rPh>
    <rPh sb="17" eb="18">
      <t>リツ</t>
    </rPh>
    <rPh sb="31" eb="33">
      <t>ジュギョウ</t>
    </rPh>
    <rPh sb="33" eb="35">
      <t>ヒョウカ</t>
    </rPh>
    <rPh sb="41" eb="43">
      <t>ケッカ</t>
    </rPh>
    <rPh sb="49" eb="51">
      <t>ジュギョウ</t>
    </rPh>
    <rPh sb="52" eb="53">
      <t>ツウ</t>
    </rPh>
    <rPh sb="56" eb="59">
      <t>キソテキ</t>
    </rPh>
    <rPh sb="59" eb="61">
      <t>キョウヨウ</t>
    </rPh>
    <rPh sb="62" eb="63">
      <t>フ</t>
    </rPh>
    <rPh sb="78" eb="80">
      <t>セツモン</t>
    </rPh>
    <rPh sb="81" eb="82">
      <t>タイ</t>
    </rPh>
    <rPh sb="96" eb="97">
      <t>オモ</t>
    </rPh>
    <rPh sb="103" eb="104">
      <t>オモ</t>
    </rPh>
    <rPh sb="107" eb="109">
      <t>カイトウ</t>
    </rPh>
    <rPh sb="120" eb="122">
      <t>ジュギョウ</t>
    </rPh>
    <rPh sb="123" eb="124">
      <t>ツウ</t>
    </rPh>
    <rPh sb="126" eb="129">
      <t>センモンテキ</t>
    </rPh>
    <rPh sb="129" eb="131">
      <t>チシキ</t>
    </rPh>
    <rPh sb="132" eb="133">
      <t>フ</t>
    </rPh>
    <rPh sb="148" eb="150">
      <t>セツモン</t>
    </rPh>
    <rPh sb="168" eb="169">
      <t>オモ</t>
    </rPh>
    <rPh sb="175" eb="176">
      <t>オモ</t>
    </rPh>
    <rPh sb="179" eb="181">
      <t>カイトウ</t>
    </rPh>
    <rPh sb="191" eb="193">
      <t>キョウイン</t>
    </rPh>
    <rPh sb="194" eb="196">
      <t>セツメイ</t>
    </rPh>
    <rPh sb="198" eb="200">
      <t>ハイフ</t>
    </rPh>
    <rPh sb="200" eb="202">
      <t>シリョウ</t>
    </rPh>
    <rPh sb="206" eb="208">
      <t>イジョウ</t>
    </rPh>
    <rPh sb="209" eb="210">
      <t>ワカ</t>
    </rPh>
    <rPh sb="217" eb="219">
      <t>カイトウ</t>
    </rPh>
    <rPh sb="226" eb="228">
      <t>ジュギョウ</t>
    </rPh>
    <rPh sb="228" eb="230">
      <t>ヒョウカ</t>
    </rPh>
    <rPh sb="236" eb="238">
      <t>ケッカ</t>
    </rPh>
    <rPh sb="239" eb="241">
      <t>タンイ</t>
    </rPh>
    <rPh sb="241" eb="243">
      <t>シュウトク</t>
    </rPh>
    <rPh sb="244" eb="246">
      <t>ジョウキョウ</t>
    </rPh>
    <rPh sb="249" eb="252">
      <t>ジュコウセイ</t>
    </rPh>
    <rPh sb="253" eb="254">
      <t>オオム</t>
    </rPh>
    <rPh sb="255" eb="257">
      <t>ナイヨウ</t>
    </rPh>
    <rPh sb="258" eb="260">
      <t>ハアク</t>
    </rPh>
    <rPh sb="265" eb="266">
      <t>タカ</t>
    </rPh>
    <rPh sb="267" eb="270">
      <t>リカイド</t>
    </rPh>
    <rPh sb="271" eb="273">
      <t>カクトク</t>
    </rPh>
    <rPh sb="278" eb="279">
      <t>イ</t>
    </rPh>
    <phoneticPr fontId="1"/>
  </si>
  <si>
    <t>4‐8データ活用実践（教師あり学習）</t>
  </si>
  <si>
    <t>データリテラシー</t>
    <phoneticPr fontId="1"/>
  </si>
  <si>
    <t>データリテラシー</t>
    <phoneticPr fontId="1"/>
  </si>
  <si>
    <t>AI導入</t>
    <phoneticPr fontId="1"/>
  </si>
  <si>
    <t>プログラミング導入</t>
    <phoneticPr fontId="1"/>
  </si>
  <si>
    <t>4‐3データ構造とプログラミング基礎</t>
  </si>
  <si>
    <t>プログラミング入門</t>
    <phoneticPr fontId="1"/>
  </si>
  <si>
    <t>4‐6画像解析</t>
  </si>
  <si>
    <t>先端技術産業論Ａ</t>
    <phoneticPr fontId="1"/>
  </si>
  <si>
    <t>　「ＡＩ・データサイエンス副専攻」は、令和4年度から開始した取組みであり、同年度入学生から受講が可能である。対象となる学生には各種ガイダンスにおいて、適宜説明し、履修を促している。令和４年度の１年次向けに開講した対象科目は９科目であるが、令和５年度以降、２年次対象科目20科目、３年次対象科目11科目の開講を予定しており、計画に沿った履修者の増加が見込まれる。
　今後も、履修者数・履修率向上の計画を達成するために、新入生には引き続き教務ガイダンスを始めとした、各種ガイダンスで個別の項目としてピックアップして説明を行うとともに、社会で急速に進むＡＩ化、ＤＸ化、人材のニーズについて解説したチラシを配布し、学修の必要性を認識させ、受講学生の声も紹介するなど、積極的な受講を促していく。
　また、２年次に対しては、進級する際に実施する新年度ガイダンスにおいて改めて説明を行い、学生に副専攻プログラムを積極的にＰＲし、受講を促進していく。
　また、開講クラス数についても、学生の履修状況を確認しながら、担当教員が過度な負担にならない範囲で調整し、履修者数を向上させていくこととしている。</t>
    <rPh sb="37" eb="38">
      <t>ドウ</t>
    </rPh>
    <rPh sb="54" eb="56">
      <t>タイショウ</t>
    </rPh>
    <rPh sb="59" eb="61">
      <t>ガクセイ</t>
    </rPh>
    <rPh sb="63" eb="65">
      <t>カクシュ</t>
    </rPh>
    <rPh sb="75" eb="77">
      <t>テキギ</t>
    </rPh>
    <rPh sb="77" eb="79">
      <t>セツメイ</t>
    </rPh>
    <rPh sb="81" eb="83">
      <t>リシュウ</t>
    </rPh>
    <rPh sb="84" eb="85">
      <t>ウナガ</t>
    </rPh>
    <rPh sb="90" eb="92">
      <t>レイワ</t>
    </rPh>
    <rPh sb="93" eb="95">
      <t>ネンド</t>
    </rPh>
    <rPh sb="97" eb="98">
      <t>ネン</t>
    </rPh>
    <rPh sb="98" eb="99">
      <t>ジ</t>
    </rPh>
    <rPh sb="99" eb="100">
      <t>ム</t>
    </rPh>
    <rPh sb="102" eb="104">
      <t>カイコウ</t>
    </rPh>
    <rPh sb="112" eb="114">
      <t>カモク</t>
    </rPh>
    <rPh sb="119" eb="121">
      <t>レイワ</t>
    </rPh>
    <rPh sb="128" eb="129">
      <t>ネン</t>
    </rPh>
    <rPh sb="129" eb="130">
      <t>ジ</t>
    </rPh>
    <rPh sb="130" eb="132">
      <t>タイショウ</t>
    </rPh>
    <rPh sb="132" eb="134">
      <t>カモク</t>
    </rPh>
    <rPh sb="136" eb="138">
      <t>カモク</t>
    </rPh>
    <rPh sb="140" eb="141">
      <t>ネン</t>
    </rPh>
    <rPh sb="141" eb="142">
      <t>ジ</t>
    </rPh>
    <rPh sb="142" eb="144">
      <t>タイショウ</t>
    </rPh>
    <rPh sb="144" eb="146">
      <t>カモク</t>
    </rPh>
    <rPh sb="148" eb="150">
      <t>カモク</t>
    </rPh>
    <rPh sb="151" eb="153">
      <t>カイコウ</t>
    </rPh>
    <rPh sb="154" eb="156">
      <t>ヨテイ</t>
    </rPh>
    <rPh sb="161" eb="163">
      <t>ケイカク</t>
    </rPh>
    <rPh sb="164" eb="165">
      <t>ソ</t>
    </rPh>
    <rPh sb="167" eb="169">
      <t>リシュウ</t>
    </rPh>
    <rPh sb="169" eb="170">
      <t>シャ</t>
    </rPh>
    <rPh sb="182" eb="184">
      <t>コンゴ</t>
    </rPh>
    <rPh sb="186" eb="188">
      <t>リシュウ</t>
    </rPh>
    <rPh sb="188" eb="189">
      <t>シャ</t>
    </rPh>
    <rPh sb="189" eb="190">
      <t>スウ</t>
    </rPh>
    <rPh sb="191" eb="193">
      <t>リシュウ</t>
    </rPh>
    <rPh sb="193" eb="194">
      <t>リツ</t>
    </rPh>
    <rPh sb="194" eb="196">
      <t>コウジョウ</t>
    </rPh>
    <rPh sb="197" eb="199">
      <t>ケイカク</t>
    </rPh>
    <rPh sb="208" eb="211">
      <t>シンニュウセイ</t>
    </rPh>
    <rPh sb="225" eb="226">
      <t>ハジ</t>
    </rPh>
    <rPh sb="231" eb="233">
      <t>カクシュ</t>
    </rPh>
    <rPh sb="291" eb="293">
      <t>カイセツ</t>
    </rPh>
    <rPh sb="303" eb="305">
      <t>ガクシュウ</t>
    </rPh>
    <rPh sb="306" eb="309">
      <t>ヒツヨウセイ</t>
    </rPh>
    <rPh sb="310" eb="312">
      <t>ニンシキ</t>
    </rPh>
    <rPh sb="315" eb="317">
      <t>ジュコウ</t>
    </rPh>
    <rPh sb="317" eb="319">
      <t>ガクセイ</t>
    </rPh>
    <rPh sb="320" eb="321">
      <t>コエ</t>
    </rPh>
    <rPh sb="322" eb="324">
      <t>ショウカイ</t>
    </rPh>
    <rPh sb="329" eb="331">
      <t>セッキョク</t>
    </rPh>
    <rPh sb="351" eb="352">
      <t>タイ</t>
    </rPh>
    <rPh sb="467" eb="469">
      <t>チョウセイ</t>
    </rPh>
    <phoneticPr fontId="1"/>
  </si>
  <si>
    <t>　全ての科目についてLMS（Moodle）を整備しており、学生は授業や事前事後学習に必要な資料を容易に確認することができる。授業科目担当教員も、Moodle上で課題・レポートの提出や進捗状況を確認できる。
　また、本学では、Zoomによる遠隔授業の実施環境を整備し、授業を録画することができる「Panopto」（クラウド型動画プラットフォーム）を導入している。PanoptoへのリンクはMoodleに掲載されており、簡便なアクセスを実現している。学生は、動画により事後学習等に簡便に取組むことができる。
　さらに、本プログラムの事務局を担当する教務部は、プログラム全体の履修状況を把握し、各科目の受講状況に応じて開講クラスの調整を行っており、できる限り多くの学生が履修できるようにサポートしている。</t>
    <rPh sb="1" eb="2">
      <t>スベ</t>
    </rPh>
    <rPh sb="4" eb="6">
      <t>カモク</t>
    </rPh>
    <rPh sb="22" eb="24">
      <t>セイビ</t>
    </rPh>
    <rPh sb="29" eb="31">
      <t>ガクセイ</t>
    </rPh>
    <rPh sb="32" eb="34">
      <t>ジュギョウ</t>
    </rPh>
    <rPh sb="35" eb="37">
      <t>ジゼン</t>
    </rPh>
    <rPh sb="37" eb="39">
      <t>ジゴ</t>
    </rPh>
    <rPh sb="39" eb="41">
      <t>ガクシュウ</t>
    </rPh>
    <rPh sb="42" eb="44">
      <t>ヒツヨウ</t>
    </rPh>
    <rPh sb="45" eb="47">
      <t>シリョウ</t>
    </rPh>
    <rPh sb="48" eb="50">
      <t>ヨウイ</t>
    </rPh>
    <rPh sb="51" eb="53">
      <t>カクニン</t>
    </rPh>
    <rPh sb="62" eb="64">
      <t>ジュギョウ</t>
    </rPh>
    <rPh sb="64" eb="66">
      <t>カモク</t>
    </rPh>
    <rPh sb="66" eb="68">
      <t>タントウ</t>
    </rPh>
    <rPh sb="68" eb="70">
      <t>キョウイン</t>
    </rPh>
    <rPh sb="78" eb="79">
      <t>ジョウ</t>
    </rPh>
    <rPh sb="80" eb="82">
      <t>カダイ</t>
    </rPh>
    <rPh sb="88" eb="90">
      <t>テイシュツ</t>
    </rPh>
    <rPh sb="91" eb="93">
      <t>シンチョク</t>
    </rPh>
    <rPh sb="93" eb="95">
      <t>ジョウキョウ</t>
    </rPh>
    <rPh sb="96" eb="98">
      <t>カクニン</t>
    </rPh>
    <rPh sb="200" eb="202">
      <t>ケイサイ</t>
    </rPh>
    <rPh sb="223" eb="225">
      <t>ガクセイ</t>
    </rPh>
    <rPh sb="227" eb="229">
      <t>ドウガ</t>
    </rPh>
    <rPh sb="232" eb="234">
      <t>ジゴ</t>
    </rPh>
    <rPh sb="234" eb="236">
      <t>ガクシュウ</t>
    </rPh>
    <rPh sb="236" eb="237">
      <t>トウ</t>
    </rPh>
    <rPh sb="238" eb="240">
      <t>カンベン</t>
    </rPh>
    <rPh sb="241" eb="243">
      <t>トリク</t>
    </rPh>
    <rPh sb="268" eb="270">
      <t>タントウ</t>
    </rPh>
    <rPh sb="290" eb="292">
      <t>ハアク</t>
    </rPh>
    <rPh sb="294" eb="295">
      <t>カク</t>
    </rPh>
    <rPh sb="295" eb="297">
      <t>カモク</t>
    </rPh>
    <rPh sb="298" eb="300">
      <t>ジュコウ</t>
    </rPh>
    <rPh sb="300" eb="302">
      <t>ジョウキョウ</t>
    </rPh>
    <rPh sb="303" eb="304">
      <t>オウ</t>
    </rPh>
    <rPh sb="306" eb="308">
      <t>カイコウ</t>
    </rPh>
    <rPh sb="312" eb="314">
      <t>チョウセイ</t>
    </rPh>
    <rPh sb="315" eb="316">
      <t>オコナ</t>
    </rPh>
    <phoneticPr fontId="1"/>
  </si>
  <si>
    <t>データサイエンス入門</t>
    <phoneticPr fontId="1"/>
  </si>
  <si>
    <t>統計学Ａ</t>
    <phoneticPr fontId="1"/>
  </si>
  <si>
    <t>4‐4時系列データ解析</t>
  </si>
  <si>
    <t>・ﾃﾞｰﾀ・AI活用領域の広がり(生産、消費、文化活動など)「データリテラシー」（１１回目）「AI導入」（３回目）「データサイエンス入門」（５回目）
・研究開発、調達、製造、物流、販売、ﾏｰｹﾃｨﾝｸﾞ、ｻｰﾋﾞｽなど「AI導入」（３回目）「データサイエンス入門」（３、８～１０回目）
・仮説検証、知識発見、原因究明、計画策定、判断支援、活動代替、新規生成など「データサイエンス入門」（７回目）</t>
    <phoneticPr fontId="1"/>
  </si>
  <si>
    <t>・ﾃﾞｰﾀｻｲｴﾝｽのｻｲｸﾙ（課題抽出と定式化、ﾃﾞｰﾀの取得・管理・加工、探索的ﾃﾞｰﾀ解析、ﾃﾞｰﾀ解析と推論、結果の共有・伝達、課題解決に向けた提案）「データサイエンス入門」（７回目）
・流通、製造、金融、ｻｰﾋﾞｽ、ｲﾝﾌﾗ、公共、ﾍﾙｽｹｱ等におけるﾃﾞｰﾀ・AI利活用事例紹介「データリテラシー」（１１回目）「AI導入」（３回目）「データサイエンス入門」（５、８～１１回目）</t>
    <phoneticPr fontId="1"/>
  </si>
  <si>
    <t>4‐7データハンドリング</t>
  </si>
  <si>
    <t xml:space="preserve">実践クロス演習（AI×ﾃﾞｻﾞｲﾝ） </t>
    <phoneticPr fontId="1"/>
  </si>
  <si>
    <t xml:space="preserve">・ﾃﾞｰﾀ・AI活用における負の事例紹介「データリテラシー」（２、８、９回目）「AI導入」（１３回目）「データサイエンス入門」（１２回目）「実践クロス演習（AI×ﾃﾞｻﾞｲﾝ）」（１４回目） 
・ﾃﾞｰﾀ倫理：ﾃﾞｰﾀのねつ造、改ざん、盗用、ﾌﾟﾗｲﾊﾞｼｰ保護「データリテラシー」（１１回目）「AI導入」（８回目）「データサイエンス入門」（１２回目）
・ELSI（Ethical, Legal and Social Issues）「AI導入」（８回目）「データサイエンス入門」（１２回目）
・個人情報保護、EU一般ﾃﾞｰﾀ保護規則(GDPR)、忘れられる権利、ｵﾌﾟﾄｱｳﾄ「AI導入」（８回目）「データサイエンス入門」（１２回目）
・AI社会原則（公平性、説明責任、透明性、人間中心の判断）「AI導入」（１３回目）「データサイエンス入門」（１２回目）「実践クロス演習（AI×ﾃﾞｻﾞｲﾝ）」（１４回目） 
・ﾃﾞｰﾀﾊﾞｲｱｽ、ｱﾙｺﾞﾘｽﾞﾑﾊﾞｲｱｽ「AI導入」（１３回目）「データサイエンス入門」（１２回目）
・AIｻｰﾋﾞｽの責任論「AI導入」（１３回目）「データサイエンス入門」（１２回目）「実践クロス演習（AI×ﾃﾞｻﾞｲﾝ）」（１４回目） </t>
    <phoneticPr fontId="1"/>
  </si>
  <si>
    <t>・情報ｾｷｭﾘﾃｨ：機密性、完全性、可用性「データサイエンス入門」（１３回目）
・匿名加工情報、暗号化、ﾊﾟｽﾜｰﾄﾞ、悪意ある情報搾取「AI導入」（８回目）「データサイエンス入門」（１３回目）「実践クロス演習（AI×ﾃﾞｻﾞｲﾝ）」（１４回目） 
・情報漏洩等によるｾｷｭﾘﾃｨ事故の事例紹介「データサイエンス入門」（１３回目）</t>
    <phoneticPr fontId="1"/>
  </si>
  <si>
    <t>AI入門</t>
    <phoneticPr fontId="1"/>
  </si>
  <si>
    <t>統計学Ａ</t>
  </si>
  <si>
    <t xml:space="preserve">実践クロス演習（AI×ﾃﾞｻﾞｲﾝ） </t>
  </si>
  <si>
    <t>・ﾃﾞｰﾀ表現（棒グラフ、折線グラフ、散布図、ﾋｰﾄﾏｯﾌﾟ）「データリテラシー」（３～７回目）「AI導入」（５回目）「統計学Ａ」（３～５回目）「実践クロス演習（AI×ﾃﾞｻﾞｲﾝ）」（８～１０回目）  「AI入門」（５～８回目）
・ﾃﾞｰﾀの図表表現（ﾁｬｰﾄ化）「データリテラシー」（４、５、７回目）「統計学Ａ」（３回目）「実践クロス演習（AI×ﾃﾞｻﾞｲﾝ）」（８～１０回目） 「AI入門」（５～８回目）
・ﾃﾞｰﾀの比較（条件をそろえた比較、処理の前後での比較、A/Bﾃｽﾄ)「データリテラシー」（５、７回目）「実践クロス演習（AI×ﾃﾞｻﾞｲﾝ）」（８～１０回目） 「AI入門」（５、６回目）
・不適切なｸﾞﾗﾌ表現（ﾁｬｰﾄｼﾞｬﾝｸ、不必要な視覚的要素）「データリテラシー」（５、１１、１３回目）「AI導入」（５回目）
・優れた可視化事例の紹介（可視化することによって新たな気づきがあった事例など）「データリテラシー」（５、７、１２回目）「AI導入」（５回目）</t>
    <phoneticPr fontId="1"/>
  </si>
  <si>
    <t>・人間の知的活動とAIの関係性「データリテラシー」（２回目）「AI導入」（２回目）「先端技術産業論Ａ」（８、１２、１３回目）「データサイエンス入門」（５回目）「実践クロス演習（AI×ﾃﾞｻﾞｲﾝ）」（１回目） 
・データを起点としたものの見方、人間の知的活動を起点としたものの見方「データリテラシー」（２、８～１１、１３回目）「先端技術産業論Ａ」（８、１２回目）「データサイエンス入門」（７回目）「実践クロス演習（AI×ﾃﾞｻﾞｲﾝ）」（１回目） 
・ﾋﾞｯｸﾞﾃﾞｰﾀ、IoT、AI、ﾛﾎﾞｯﾄ「AI導入」（１回目）「先端技術産業論Ａ」（３、４、７、１１～１３回目）「データサイエンス入門」（３回目）「実践クロス演習（AI×ﾃﾞｻﾞｲﾝ）」（１回目） 「AI入門」（１～４回目）
・第4次産業革命、Society 5.0、データ駆動型社会「AI導入」（１回目）「先端技術産業論Ａ」（１～４、１１～１３回目）「データサイエンス入門」（２、３回目）「実践クロス演習（AI×ﾃﾞｻﾞｲﾝ）」（１回目） 
・データ量の増加、計算機の処理性能の向上、AIの非連続的進化「AI導入」（２回目）「先端技術産業論Ａ」（３～７、１１～１３回目）「データサイエンス入門」（２回目）「実践クロス演習（AI×ﾃﾞｻﾞｲﾝ）」（１回目） 
・複数技術を組み合わせたAIサービス「AI導入」（３回目）「先端技術産業論Ａ」（８回目）「データサイエンス入門」（８～１１回目） 「AI入門」（２～４回目）</t>
    <phoneticPr fontId="1"/>
  </si>
  <si>
    <t>・調査ﾃﾞｰﾀ、実験ﾃﾞｰﾀ、人の行動ﾛｸﾞﾃﾞｰﾀ、機械の稼働ﾛｸﾞﾃﾞｰﾀなど「データリテラシー」（２、１０～１２回目）「AI導入」（４回目）「データサイエンス入門」（４回目）
・1次ﾃﾞｰﾀ、2次ﾃﾞｰﾀ、ﾃﾞｰﾀのﾒﾀ化「データサイエンス入門」（４回目）
・構造化ﾃﾞｰﾀ、非構造化ﾃﾞｰﾀ（文章、画像/動画、音声/音楽など）「データリテラシー」（３、１２回目）「AI導入」（４回目）「データサイエンス入門」（４回目）
・ﾃﾞｰﾀ作成（ﾋﾞｯｸﾞﾃﾞｰﾀとｱﾉﾃｰｼｮﾝ）「データサイエンス入門」（３、４回目）
・ﾃﾞｰﾀのｵｰﾌﾟﾝ化（ｵｰﾌﾟﾝﾃﾞｰﾀ）「データサイエンス入門」（４回目）</t>
    <phoneticPr fontId="1"/>
  </si>
  <si>
    <r>
      <t>学長　北島　己佐吉
副学長　千　相哲（地域共創学部　教授）
経済学部長　萱沼　美香（経済学部　教授）
商学部長　髙木　昇（商学部　教授）
地域共創学部長　石川　泰成（地域共創学部　教授）
理工学部長　牛見　宣博（理工学部　教授）
生命科学部長　金田　弘拳（生命科学部　教授）
建築都市工学部長　林　泰弘（建築都市工学部　教授）
芸術学部長　栗田　融（芸術学部　教授）
国際文化学部長　三浦　香織（国際文化学部　教授）
人間科学部長　鐘ヶ江　淳一（人間科学部　教授）
基礎教育センター所長　鶴田　和寛（理工学部　教授）
健康・スポーツ科学センター所長　奥村　浩正（</t>
    </r>
    <r>
      <rPr>
        <sz val="12"/>
        <rFont val="ＭＳ Ｐゴシック"/>
        <family val="3"/>
        <charset val="128"/>
        <scheme val="minor"/>
      </rPr>
      <t>人間科学部　教授</t>
    </r>
    <r>
      <rPr>
        <sz val="12"/>
        <color theme="1"/>
        <rFont val="ＭＳ Ｐゴシック"/>
        <family val="3"/>
        <charset val="128"/>
        <scheme val="minor"/>
      </rPr>
      <t>）
事務局長　柊田　勝司
※当該事項を審議する際は、学則第70条の2第2項第7号に基づき、教務部長　松原　岳行（国際文化学部　教授）　を加える。</t>
    </r>
    <rPh sb="281" eb="285">
      <t>ニンゲンカガク</t>
    </rPh>
    <rPh sb="285" eb="286">
      <t>ブ</t>
    </rPh>
    <rPh sb="303" eb="305">
      <t>トウガイ</t>
    </rPh>
    <rPh sb="305" eb="307">
      <t>ジコウ</t>
    </rPh>
    <rPh sb="308" eb="310">
      <t>シンギ</t>
    </rPh>
    <rPh sb="312" eb="313">
      <t>サイ</t>
    </rPh>
    <rPh sb="315" eb="317">
      <t>ガクソク</t>
    </rPh>
    <rPh sb="317" eb="318">
      <t>ダイ</t>
    </rPh>
    <rPh sb="320" eb="321">
      <t>ジョウ</t>
    </rPh>
    <rPh sb="323" eb="324">
      <t>ダイ</t>
    </rPh>
    <rPh sb="325" eb="326">
      <t>コウ</t>
    </rPh>
    <rPh sb="326" eb="327">
      <t>ダイ</t>
    </rPh>
    <rPh sb="328" eb="329">
      <t>ゴウ</t>
    </rPh>
    <rPh sb="330" eb="331">
      <t>モト</t>
    </rPh>
    <rPh sb="334" eb="336">
      <t>キョウム</t>
    </rPh>
    <rPh sb="336" eb="337">
      <t>ブ</t>
    </rPh>
    <rPh sb="337" eb="338">
      <t>チョウ</t>
    </rPh>
    <rPh sb="339" eb="341">
      <t>マツバラ</t>
    </rPh>
    <rPh sb="342" eb="344">
      <t>タケユキ</t>
    </rPh>
    <rPh sb="345" eb="347">
      <t>コクサイ</t>
    </rPh>
    <rPh sb="347" eb="349">
      <t>ブンカ</t>
    </rPh>
    <rPh sb="349" eb="351">
      <t>ガクブ</t>
    </rPh>
    <rPh sb="352" eb="354">
      <t>キョウジュ</t>
    </rPh>
    <rPh sb="357" eb="358">
      <t>クワ</t>
    </rPh>
    <phoneticPr fontId="1"/>
  </si>
  <si>
    <t>　授業評価アンケートの結果では、「教員からは授業に関する熱意を感じられましたか」という設問に80.9％が「そう思う」と回答し、「総合的にみてこの授業に満足していますか」という設問にも72.5％が「そう思う」と回答している。
　自由記述欄でも、「基礎からしっかりと学べた」、「AIについて興味を強くそそられた」、「質問がしやすかった」等の記述が多く、今年度受講した学生が、次年度以降に後輩や、同学年の学生に推奨する状況にあると思われる。
　なお、本プログラムは、令和４年度から開始したものであるため、受講動機の「他の人に勧められたから」という項目は、4.8％と低い数値であったが、今後改善が見込まれる。</t>
    <rPh sb="1" eb="3">
      <t>ジュギョウ</t>
    </rPh>
    <rPh sb="3" eb="5">
      <t>ヒョウカ</t>
    </rPh>
    <rPh sb="11" eb="13">
      <t>ケッカ</t>
    </rPh>
    <rPh sb="17" eb="19">
      <t>キョウイン</t>
    </rPh>
    <rPh sb="22" eb="24">
      <t>ジュギョウ</t>
    </rPh>
    <rPh sb="25" eb="26">
      <t>カン</t>
    </rPh>
    <rPh sb="28" eb="30">
      <t>ネツイ</t>
    </rPh>
    <rPh sb="31" eb="32">
      <t>カン</t>
    </rPh>
    <rPh sb="43" eb="45">
      <t>セツモン</t>
    </rPh>
    <rPh sb="55" eb="56">
      <t>オモ</t>
    </rPh>
    <rPh sb="59" eb="61">
      <t>カイトウ</t>
    </rPh>
    <rPh sb="64" eb="66">
      <t>ソウゴウ</t>
    </rPh>
    <rPh sb="66" eb="67">
      <t>テキ</t>
    </rPh>
    <rPh sb="72" eb="74">
      <t>ジュギョウ</t>
    </rPh>
    <rPh sb="75" eb="77">
      <t>マンゾク</t>
    </rPh>
    <rPh sb="87" eb="89">
      <t>セツモン</t>
    </rPh>
    <rPh sb="100" eb="101">
      <t>オモ</t>
    </rPh>
    <rPh sb="104" eb="106">
      <t>カイトウ</t>
    </rPh>
    <rPh sb="113" eb="115">
      <t>ジユウ</t>
    </rPh>
    <rPh sb="115" eb="117">
      <t>キジュツ</t>
    </rPh>
    <rPh sb="117" eb="118">
      <t>ラン</t>
    </rPh>
    <rPh sb="122" eb="124">
      <t>キソ</t>
    </rPh>
    <rPh sb="131" eb="132">
      <t>マナ</t>
    </rPh>
    <rPh sb="143" eb="145">
      <t>キョウミ</t>
    </rPh>
    <rPh sb="146" eb="147">
      <t>ツヨ</t>
    </rPh>
    <rPh sb="156" eb="158">
      <t>シツモン</t>
    </rPh>
    <rPh sb="166" eb="167">
      <t>トウ</t>
    </rPh>
    <rPh sb="168" eb="170">
      <t>キジュツ</t>
    </rPh>
    <rPh sb="171" eb="172">
      <t>オオ</t>
    </rPh>
    <rPh sb="174" eb="177">
      <t>コンネンド</t>
    </rPh>
    <rPh sb="177" eb="179">
      <t>ジュコウ</t>
    </rPh>
    <rPh sb="181" eb="183">
      <t>ガクセイ</t>
    </rPh>
    <rPh sb="185" eb="188">
      <t>ジネンド</t>
    </rPh>
    <rPh sb="188" eb="190">
      <t>イコウ</t>
    </rPh>
    <rPh sb="191" eb="193">
      <t>コウハイ</t>
    </rPh>
    <rPh sb="195" eb="198">
      <t>ドウガクネン</t>
    </rPh>
    <rPh sb="199" eb="201">
      <t>ガクセイ</t>
    </rPh>
    <rPh sb="202" eb="204">
      <t>スイショウ</t>
    </rPh>
    <rPh sb="206" eb="208">
      <t>ジョウキョウ</t>
    </rPh>
    <rPh sb="212" eb="213">
      <t>オモ</t>
    </rPh>
    <rPh sb="249" eb="251">
      <t>ジュコウ</t>
    </rPh>
    <rPh sb="251" eb="253">
      <t>ドウキ</t>
    </rPh>
    <rPh sb="270" eb="272">
      <t>コウモク</t>
    </rPh>
    <rPh sb="289" eb="291">
      <t>コンゴ</t>
    </rPh>
    <rPh sb="291" eb="293">
      <t>カイゼン</t>
    </rPh>
    <rPh sb="294" eb="296">
      <t>ミコ</t>
    </rPh>
    <phoneticPr fontId="1"/>
  </si>
  <si>
    <t>　本学で実施する「ＡＩ・データサイエンス副専攻」は、全学共通で実施するＫＳＵ基盤教育で導入部分を学び、各学部で開講する関連科目を受講することができる。これは、数理などの専門的な分析に偏ることなく、自身の興味関心のある分野を中心に幅広い知識を得て、理解できる範囲を拡げていくことや、自身のレベルに合わせて科目を選択できるようにするための工夫である。
　また、副専攻を修了するためには、必ず他学部他学科の授業を受講し単位を修得する必要がある。これによりＡＩやデータが、分野や状況によって、利活用やアプローチの手法が異なることを学生に理解してもらい、学ぶ楽しさを体感できるようにしている。</t>
    <rPh sb="151" eb="153">
      <t>カモク</t>
    </rPh>
    <phoneticPr fontId="1"/>
  </si>
  <si>
    <t>　　「ＡＩ」や「データサイエンス」を学ぶ上で「数理」は重要な要素であるが、導入段階においては、人による手作業がどのようにＡＩに代替されるようになってきたか、どのような技術があるのかといった基礎的な部分から始め、ＡＩが社会に与える影響について学ぶ。また、数理的な分析を行う前提となるデータの読み方や考え方などの基本的事項について学ぶ講義内容としており、講義の中では、身近な事例を取り上げて解説を行い、興味・関心を喚起するとともに、今後の社会において必要になる知識であることを認識させて、受講の意義付けを行うよう工夫している。
　併せて、修了証の授与等についても周知しており、受講の動機付けを行っている。</t>
    <rPh sb="94" eb="96">
      <t>キソ</t>
    </rPh>
    <rPh sb="214" eb="216">
      <t>コンゴ</t>
    </rPh>
    <phoneticPr fontId="1"/>
  </si>
  <si>
    <t>　プログラムを管理する教務部では、対象科目の受講者数、単位の修得状況等を把握しており、状況に応じて開講クラス数の調整等を行い希望する学生が問題なく受講できるよう対応している。
　教員は、K'sLife（学生、教職員が利用する教育プラットフォーム）を使って学生の出席状況の確認やレポート課題の配信及び提出状況を把握できるようになっており、学修の進捗状況をリアルタイムで把握できる。
　令和4年度は、対象科目の受講者総数が1,863名、単位修得率が85.3％となった。
　また、プログラムの必修科目である「ＡＩ導入」、「データリテラシー」は、受講者数456名、単位修得率81.1%である。</t>
    <rPh sb="7" eb="9">
      <t>カンリ</t>
    </rPh>
    <rPh sb="34" eb="35">
      <t>トウ</t>
    </rPh>
    <rPh sb="89" eb="91">
      <t>キョウイン</t>
    </rPh>
    <rPh sb="147" eb="148">
      <t>オヨ</t>
    </rPh>
    <rPh sb="191" eb="193">
      <t>レイワ</t>
    </rPh>
    <rPh sb="194" eb="196">
      <t>ネンド</t>
    </rPh>
    <rPh sb="198" eb="200">
      <t>タイショウ</t>
    </rPh>
    <rPh sb="200" eb="202">
      <t>カモク</t>
    </rPh>
    <rPh sb="203" eb="206">
      <t>ジュコウシャ</t>
    </rPh>
    <rPh sb="206" eb="208">
      <t>ソウスウ</t>
    </rPh>
    <rPh sb="214" eb="215">
      <t>メイ</t>
    </rPh>
    <rPh sb="216" eb="218">
      <t>タンイ</t>
    </rPh>
    <rPh sb="218" eb="220">
      <t>シュウトク</t>
    </rPh>
    <rPh sb="220" eb="221">
      <t>リツ</t>
    </rPh>
    <rPh sb="243" eb="245">
      <t>ヒッシュウ</t>
    </rPh>
    <rPh sb="245" eb="247">
      <t>カモク</t>
    </rPh>
    <rPh sb="253" eb="255">
      <t>ドウニュウ</t>
    </rPh>
    <rPh sb="269" eb="272">
      <t>ジュコウシャ</t>
    </rPh>
    <rPh sb="272" eb="273">
      <t>スウ</t>
    </rPh>
    <rPh sb="276" eb="277">
      <t>メイ</t>
    </rPh>
    <rPh sb="278" eb="280">
      <t>タンイ</t>
    </rPh>
    <rPh sb="280" eb="282">
      <t>シュウトク</t>
    </rPh>
    <rPh sb="282" eb="283">
      <t>リツ</t>
    </rPh>
    <phoneticPr fontId="1"/>
  </si>
  <si>
    <t>　学修成果を把握するため、このプログラム全体の進捗管理を行っている教務部において、開講クラス数や対象科目の履修者数などの状況、単位修得状況等の数値データと、大学評価室が実施する授業評価アンケートの結果と併せて分析を行っている。
　教務部は、客観的なデータである学部学年別の受講状況や単位修得状況に加え、授業評価アンケートの中から、受講の動機、授業の内容に関する事項等で授業に対するモチベーションや満足度、学修成果に関する事項でどのような成果が得られたかを分析し、併せて自由記述欄の記載事項をまとめる。
　その結果については、学部長会議で共有し、本プログラムの評価・改善に活用している。</t>
    <rPh sb="1" eb="3">
      <t>ガクシュウ</t>
    </rPh>
    <rPh sb="3" eb="5">
      <t>セイカ</t>
    </rPh>
    <rPh sb="6" eb="8">
      <t>ハアク</t>
    </rPh>
    <rPh sb="20" eb="22">
      <t>ゼンタイ</t>
    </rPh>
    <rPh sb="23" eb="25">
      <t>シンチョク</t>
    </rPh>
    <rPh sb="28" eb="29">
      <t>オコナ</t>
    </rPh>
    <rPh sb="41" eb="43">
      <t>カイコウ</t>
    </rPh>
    <rPh sb="46" eb="47">
      <t>スウ</t>
    </rPh>
    <rPh sb="55" eb="56">
      <t>シャ</t>
    </rPh>
    <rPh sb="56" eb="57">
      <t>スウ</t>
    </rPh>
    <rPh sb="78" eb="80">
      <t>ダイガク</t>
    </rPh>
    <rPh sb="80" eb="82">
      <t>ヒョウカ</t>
    </rPh>
    <rPh sb="82" eb="83">
      <t>シツ</t>
    </rPh>
    <rPh sb="84" eb="86">
      <t>ジッシ</t>
    </rPh>
    <rPh sb="88" eb="90">
      <t>ジュギョウ</t>
    </rPh>
    <rPh sb="90" eb="92">
      <t>ヒョウカ</t>
    </rPh>
    <rPh sb="98" eb="100">
      <t>ケッカ</t>
    </rPh>
    <rPh sb="101" eb="102">
      <t>アワ</t>
    </rPh>
    <rPh sb="104" eb="106">
      <t>ブンセキ</t>
    </rPh>
    <rPh sb="107" eb="108">
      <t>オコナ</t>
    </rPh>
    <rPh sb="115" eb="117">
      <t>キョウム</t>
    </rPh>
    <rPh sb="117" eb="118">
      <t>ブ</t>
    </rPh>
    <rPh sb="120" eb="123">
      <t>キャッカンテキ</t>
    </rPh>
    <rPh sb="130" eb="132">
      <t>ガクブ</t>
    </rPh>
    <rPh sb="132" eb="134">
      <t>ガクネン</t>
    </rPh>
    <rPh sb="134" eb="135">
      <t>ベツ</t>
    </rPh>
    <rPh sb="136" eb="138">
      <t>ジュコウ</t>
    </rPh>
    <rPh sb="138" eb="140">
      <t>ジョウキョウ</t>
    </rPh>
    <rPh sb="141" eb="143">
      <t>タンイ</t>
    </rPh>
    <rPh sb="143" eb="145">
      <t>シュウトク</t>
    </rPh>
    <rPh sb="145" eb="147">
      <t>ジョウキョウ</t>
    </rPh>
    <rPh sb="148" eb="149">
      <t>クワ</t>
    </rPh>
    <rPh sb="151" eb="153">
      <t>ジュギョウ</t>
    </rPh>
    <rPh sb="153" eb="155">
      <t>ヒョウカ</t>
    </rPh>
    <rPh sb="161" eb="162">
      <t>ナカ</t>
    </rPh>
    <rPh sb="165" eb="167">
      <t>ジュコウ</t>
    </rPh>
    <rPh sb="168" eb="170">
      <t>ドウキ</t>
    </rPh>
    <rPh sb="171" eb="173">
      <t>ジュギョウ</t>
    </rPh>
    <rPh sb="174" eb="176">
      <t>ナイヨウ</t>
    </rPh>
    <rPh sb="177" eb="178">
      <t>カン</t>
    </rPh>
    <rPh sb="180" eb="182">
      <t>ジコウ</t>
    </rPh>
    <rPh sb="182" eb="183">
      <t>トウ</t>
    </rPh>
    <rPh sb="184" eb="186">
      <t>ジュギョウ</t>
    </rPh>
    <rPh sb="187" eb="188">
      <t>タイ</t>
    </rPh>
    <rPh sb="198" eb="201">
      <t>マンゾクド</t>
    </rPh>
    <rPh sb="202" eb="204">
      <t>ガクシュウ</t>
    </rPh>
    <rPh sb="204" eb="206">
      <t>セイカ</t>
    </rPh>
    <rPh sb="207" eb="208">
      <t>カン</t>
    </rPh>
    <rPh sb="210" eb="212">
      <t>ジコウ</t>
    </rPh>
    <rPh sb="218" eb="220">
      <t>セイカ</t>
    </rPh>
    <rPh sb="221" eb="222">
      <t>エ</t>
    </rPh>
    <rPh sb="227" eb="229">
      <t>ブンセキ</t>
    </rPh>
    <rPh sb="231" eb="232">
      <t>アワ</t>
    </rPh>
    <rPh sb="234" eb="236">
      <t>ジユウ</t>
    </rPh>
    <rPh sb="236" eb="238">
      <t>キジュツ</t>
    </rPh>
    <rPh sb="238" eb="239">
      <t>ラン</t>
    </rPh>
    <rPh sb="240" eb="242">
      <t>キサイ</t>
    </rPh>
    <rPh sb="242" eb="244">
      <t>ジコウ</t>
    </rPh>
    <rPh sb="254" eb="256">
      <t>ケッカ</t>
    </rPh>
    <rPh sb="262" eb="265">
      <t>ガクブチョウ</t>
    </rPh>
    <rPh sb="265" eb="267">
      <t>カイギ</t>
    </rPh>
    <rPh sb="268" eb="270">
      <t>キョウユウ</t>
    </rPh>
    <rPh sb="272" eb="273">
      <t>ホン</t>
    </rPh>
    <rPh sb="279" eb="281">
      <t>ヒョウカ</t>
    </rPh>
    <rPh sb="282" eb="284">
      <t>カイゼン</t>
    </rPh>
    <rPh sb="285" eb="287">
      <t>カツヨウ</t>
    </rPh>
    <phoneticPr fontId="1"/>
  </si>
  <si>
    <t>　「ＡＩ・データサイエンス副専攻」は、令和４年度から開始した全学部対象のプログラムである。「ＡＩ導入」、「データサイエンス」については、修了するための必修科目として位置づけており、入口となる科目の受講を促進するため、入学後の各種ガイダンスにおいて、副専攻についての説明を行うとともに、積極的な履修を呼びかけた。プログラム開始の２年目となる令和５年度は、進級時のガイダンスにおいても再周知し、履修者数・履修率を向上する取組みを行っている。
　今後、本プログラムを周知している大学のHPにおいて、受講学生の声を紹介し、より一層の興味・関心を持ってもらえるよう広報を行う。</t>
    <rPh sb="82" eb="84">
      <t>イチ</t>
    </rPh>
    <rPh sb="112" eb="114">
      <t>カクシュ</t>
    </rPh>
    <rPh sb="220" eb="222">
      <t>コンゴ</t>
    </rPh>
    <rPh sb="223" eb="224">
      <t>ホン</t>
    </rPh>
    <rPh sb="230" eb="232">
      <t>シュウチ</t>
    </rPh>
    <rPh sb="236" eb="238">
      <t>ダイガク</t>
    </rPh>
    <rPh sb="246" eb="248">
      <t>ジュコウ</t>
    </rPh>
    <rPh sb="248" eb="250">
      <t>ガクセイ</t>
    </rPh>
    <rPh sb="251" eb="252">
      <t>コエ</t>
    </rPh>
    <rPh sb="253" eb="255">
      <t>ショウカイ</t>
    </rPh>
    <rPh sb="259" eb="261">
      <t>イッソウ</t>
    </rPh>
    <rPh sb="262" eb="264">
      <t>キョウミ</t>
    </rPh>
    <rPh sb="265" eb="267">
      <t>カンシン</t>
    </rPh>
    <rPh sb="268" eb="269">
      <t>モ</t>
    </rPh>
    <rPh sb="277" eb="279">
      <t>コウホウ</t>
    </rPh>
    <rPh sb="280" eb="281">
      <t>オコナ</t>
    </rPh>
    <phoneticPr fontId="1"/>
  </si>
  <si>
    <t>　本学では、自己点検・評価活動の客観性・公平性を担保し、教育の質の向上を図ることを目的として「外部評価委員会」を設置し、令和４年度は、経済・産業界関係：２名、教育関係：２名、地域関係：２名の計６名に委員に就任していただいている。
　外部評価委員会は産業界・自治体等を含め、様々な視点からの意見聴取が可能であるため、本委員会において、その他の自己点検・評価の項目に加え、本教育プログラムについても意見聴取を行う。
　また、本学は株式会社QTnet（福岡地場の電気通信事業者）と包括連携協定を締結していることから、ＡＩ・データサイエンスを本業とする同社にも、本プログラムに対する意見聴取を行う。</t>
    <rPh sb="67" eb="69">
      <t>ケイザイ</t>
    </rPh>
    <rPh sb="70" eb="73">
      <t>サンギョウカイ</t>
    </rPh>
    <rPh sb="73" eb="75">
      <t>カンケイ</t>
    </rPh>
    <rPh sb="77" eb="78">
      <t>メイ</t>
    </rPh>
    <rPh sb="79" eb="81">
      <t>キョウイク</t>
    </rPh>
    <rPh sb="81" eb="83">
      <t>カンケイ</t>
    </rPh>
    <rPh sb="85" eb="86">
      <t>メイ</t>
    </rPh>
    <rPh sb="87" eb="89">
      <t>チイキ</t>
    </rPh>
    <rPh sb="89" eb="91">
      <t>カンケイ</t>
    </rPh>
    <rPh sb="93" eb="94">
      <t>メイ</t>
    </rPh>
    <rPh sb="95" eb="96">
      <t>ケイ</t>
    </rPh>
    <rPh sb="97" eb="98">
      <t>メイ</t>
    </rPh>
    <rPh sb="99" eb="101">
      <t>イイン</t>
    </rPh>
    <rPh sb="102" eb="104">
      <t>シュウニン</t>
    </rPh>
    <rPh sb="116" eb="118">
      <t>ガイブ</t>
    </rPh>
    <rPh sb="118" eb="120">
      <t>ヒョウカ</t>
    </rPh>
    <rPh sb="120" eb="123">
      <t>イインカイ</t>
    </rPh>
    <rPh sb="168" eb="169">
      <t>タ</t>
    </rPh>
    <rPh sb="170" eb="172">
      <t>ジコ</t>
    </rPh>
    <rPh sb="172" eb="174">
      <t>テンケン</t>
    </rPh>
    <rPh sb="175" eb="177">
      <t>ヒョウカ</t>
    </rPh>
    <rPh sb="178" eb="180">
      <t>コウモク</t>
    </rPh>
    <rPh sb="181" eb="182">
      <t>クワ</t>
    </rPh>
    <rPh sb="210" eb="212">
      <t>ホンガク</t>
    </rPh>
    <rPh sb="213" eb="215">
      <t>カブシキ</t>
    </rPh>
    <rPh sb="215" eb="217">
      <t>ガイシャ</t>
    </rPh>
    <rPh sb="223" eb="225">
      <t>フクオカ</t>
    </rPh>
    <rPh sb="225" eb="227">
      <t>ジバ</t>
    </rPh>
    <rPh sb="228" eb="230">
      <t>デンキ</t>
    </rPh>
    <rPh sb="230" eb="232">
      <t>ツウシン</t>
    </rPh>
    <rPh sb="232" eb="234">
      <t>ジギョウ</t>
    </rPh>
    <rPh sb="234" eb="235">
      <t>シャ</t>
    </rPh>
    <rPh sb="237" eb="239">
      <t>ホウカツ</t>
    </rPh>
    <rPh sb="239" eb="241">
      <t>レンケイ</t>
    </rPh>
    <rPh sb="241" eb="243">
      <t>キョウテイ</t>
    </rPh>
    <rPh sb="244" eb="246">
      <t>テイケツ</t>
    </rPh>
    <rPh sb="267" eb="269">
      <t>ホンギョウ</t>
    </rPh>
    <rPh sb="272" eb="274">
      <t>ドウシャ</t>
    </rPh>
    <rPh sb="277" eb="278">
      <t>ホン</t>
    </rPh>
    <rPh sb="284" eb="285">
      <t>タイ</t>
    </rPh>
    <rPh sb="287" eb="289">
      <t>イケン</t>
    </rPh>
    <rPh sb="289" eb="291">
      <t>チョウシュ</t>
    </rPh>
    <rPh sb="292" eb="293">
      <t>オコナ</t>
    </rPh>
    <phoneticPr fontId="1"/>
  </si>
  <si>
    <t>令和4</t>
    <rPh sb="0" eb="2">
      <t>レイワ</t>
    </rPh>
    <phoneticPr fontId="1"/>
  </si>
  <si>
    <t>・ﾃﾞｰﾀの集計（和、平均）「データリテラシー」（３、６回目）「AI導入」（６回目）「AI入門」（５～８回目）
・ﾃﾞｰﾀの並び替え、ﾗﾝｷﾝｸﾞ「データリテラシー」（６回目）「AI入門」（５～８回目）
・ﾃﾞｰﾀ解析ツール（ｽﾌﾟﾚｯﾄｼｰﾄ）「データリテラシー」（６、１０、１２回目）「AI入門」（５～８回目）
・表形式のﾃﾞｰﾀ（csv）「データリテラシー」（６、１２回目）「AI入門」（５～８、１２回目）</t>
    <rPh sb="45" eb="47">
      <t>ニュウモン</t>
    </rPh>
    <rPh sb="91" eb="93">
      <t>ニュウモン</t>
    </rPh>
    <rPh sb="147" eb="149">
      <t>ニュウモン</t>
    </rPh>
    <rPh sb="193" eb="195">
      <t>ニュウモン</t>
    </rPh>
    <phoneticPr fontId="1"/>
  </si>
  <si>
    <t>・ﾃﾞｰﾀ可視化：複合ｸﾞﾗﾌ、2軸ｸﾞﾗﾌ、多次元の可視化、関係性の可視化、地図上の可視化、挙動・軌跡の可視化、ﾘｱﾙﾀｲﾑ可視化など「データリテラシー」（５、１２回目）「データサイエンス入門」（９回目）「AI入門」（５～８回目）
・ﾃﾞｰﾀ解析：予測、ｸﾞﾙｰﾋﾟﾝｸﾞ、ﾊﾟﾀｰﾝ発見、最適化、ｼﾐｭﾚｰｼｮﾝ・ﾃﾞｰﾀ同化など「データリテラシー」（１０回目）「データサイエンス入門」（６回目）「AI入門」（９～１２回目）
・非構造化ﾃﾞｰﾀ処理：言語処理、画像/動画処理、音声/音楽処理など「データサイエンス入門」（６、８回目）「AI入門」（１３、１４回目）
・特化型AIと汎用AI、今のAIで出来ることと出来ないこと、AIとﾋﾞｯｸﾞﾃﾞｰﾀ「AI導入」（２回目）「データサイエンス入門」（１２回目）
・認識技術、ﾙｰﾙﾍﾞｰｽ、自動化技術「データサイエンス入門」（５、６回目）</t>
    <phoneticPr fontId="1"/>
  </si>
  <si>
    <t>・AI等を活用した新しいﾋﾞｼﾞﾈｽﾓﾃﾞﾙ(ｼｪｱﾘﾝｸﾞｴｺﾉﾐｰ、商品のﾚｺﾝﾒﾝﾃﾞｰｼｮﾝなど)「AI導入」（３回目）「先端技術産業論Ａ」（３、１３回目）「データサイエンス入門」（９～１１回目）
・AI最新技術の活用例（深層生成ﾓﾃﾞﾙ、敵対的生成ﾈｯﾄﾜｰｸ、強化学習、転移学習など）「AI導入」（９、１１、１２回目）「先端技術産業論Ａ」（７、８回目）「データサイエンス入門」（６回目）「AI入門」（２～４回目）</t>
    <phoneticPr fontId="1"/>
  </si>
  <si>
    <t>・ﾃﾞｰﾀの種類（量的変数、質的変数）「データリテラシー」（３、１２回目）「AI導入」（４回目）「統計学Ａ」（１回目） 「AI入門」（５、７、８回目）
・ﾃﾞｰﾀの分布(ﾋｽﾄｸﾞﾗﾑ)と代表値（平均値、中央値、最頻値）「データリテラシー」（４回目）「AI導入」（６回目）「統計学Ａ」（２、３回目） 「AI入門」（６回目）
・代表値の性質の違い（実社会では平均値＝最頻値でないことが多い）「データリテラシー」（４回目）「AI導入」（６回目）「統計学Ａ」（２回目） 「AI入門」（６回目）
・ﾃﾞｰﾀのばらつき（分散、標準偏差、偏差値）「データリテラシー」（４回目）「AI導入」（６回目）「統計学Ａ」（４回目） 「AI入門」（６、７回目）
・ｸﾛｽ集計表、分割表、相関係数行列、散布図行列「データリテラシー」（４、５、７回目）「AI導入」（７回目）「統計学Ａ」（６回目）
・相関と因果（相関係数、擬似相関、交絡）「データリテラシー」（７、１３回目）「AI導入」（７回目）「統計学Ａ」（５、６回目）「AI入門」（８回目）
・統計情報の正しい理解（誇張表現に惑わされない）「データリテラシー」（７、１１、１３回目）「統計学Ａ」（１回目） 「AI入門」（５～８回目）
・観測ﾃﾞｰﾀに含まれる誤差の扱い「データリテラシー」（８～１１、１３回目）「統計学Ａ」（７、８回目）
・母集団と標本抽出（国勢調査、ｱﾝｹｰﾄ調査、全数調査、単純無作為抽出、層別抽出、多段抽出）「データリテラシー」（８、９、１１、１３回目）
・打ち切りや脱落を含むﾃﾞｰﾀ、層別の必要なﾃﾞｰﾀ「データリテラシー」（１１、１３回目）</t>
    <phoneticPr fontId="1"/>
  </si>
  <si>
    <t>次の(1)、(2)の要件を満たし、合計20単位以上を修得することで、修了とみなし「副専攻修了証」を授与する。
（1）「データリテラシー」、「AI導入」の単位を修得していること。
（2）本教育プログラムを構成する「情報テクノロジー区分（下記1～3）」から4単位以上、「データサイエンス区分（下記4～5）」から4単位以上（上記（1）「データリテラシー」の単位含む）、「AI区分（下記6～7）」から4単位以上（上記（1）「AI導入」の単位含む）（計12単位以上）、さらに他学部他学科等科目から8単位以上
情報テクノロジー区分：1．プログラミング導入、2．プログラミング入門、3．先端技術産業論A　
データサイエンス区分：4．データサイエンス入門、5．統計学A
AI区分：6．実践クロス演習（AI×ﾃﾞｻﾞｲﾝ）、7．AI 入門</t>
    <rPh sb="93" eb="95">
      <t>キョウイク</t>
    </rPh>
    <rPh sb="127" eb="131">
      <t>タンイイジョウ</t>
    </rPh>
    <rPh sb="154" eb="158">
      <t>タンイイジョウ</t>
    </rPh>
    <rPh sb="159" eb="161">
      <t>ジョウキ</t>
    </rPh>
    <rPh sb="175" eb="177">
      <t>タンイ</t>
    </rPh>
    <rPh sb="177" eb="178">
      <t>フク</t>
    </rPh>
    <rPh sb="197" eb="199">
      <t>タンイ</t>
    </rPh>
    <rPh sb="199" eb="201">
      <t>イジョウ</t>
    </rPh>
    <rPh sb="244" eb="248">
      <t>タンイイジョウ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</si>
</sst>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dotted">
        <color auto="1"/>
      </left>
      <right style="hair">
        <color auto="1"/>
      </right>
      <top style="thin">
        <color auto="1"/>
      </top>
      <bottom style="hair">
        <color indexed="64"/>
      </bottom>
      <diagonal/>
    </border>
    <border>
      <left style="dotted">
        <color auto="1"/>
      </left>
      <right style="hair">
        <color auto="1"/>
      </right>
      <top style="hair">
        <color indexed="64"/>
      </top>
      <bottom style="hair">
        <color indexed="64"/>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5" xfId="0" applyFont="1" applyBorder="1" applyAlignment="1">
      <alignment vertical="center" shrinkToFit="1"/>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38" fontId="2" fillId="0" borderId="61" xfId="2" applyFont="1" applyBorder="1" applyAlignment="1">
      <alignment vertical="center" shrinkToFit="1"/>
    </xf>
    <xf numFmtId="38" fontId="2" fillId="0" borderId="49" xfId="2" applyFont="1" applyBorder="1" applyAlignment="1">
      <alignment vertical="center" shrinkToFit="1"/>
    </xf>
    <xf numFmtId="38" fontId="2" fillId="0" borderId="62" xfId="2" applyFont="1" applyBorder="1" applyAlignment="1">
      <alignment vertical="center" shrinkToFit="1"/>
    </xf>
    <xf numFmtId="0" fontId="2" fillId="0" borderId="0" xfId="0" applyFont="1">
      <alignment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top" wrapText="1"/>
    </xf>
    <xf numFmtId="0" fontId="2" fillId="0" borderId="0" xfId="0" applyFont="1">
      <alignment vertical="center"/>
    </xf>
    <xf numFmtId="0" fontId="2" fillId="0" borderId="0" xfId="0" applyFont="1" applyAlignment="1">
      <alignment horizontal="center" vertical="center"/>
    </xf>
    <xf numFmtId="0" fontId="2" fillId="0" borderId="63"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6"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6" xfId="0" applyFont="1" applyBorder="1" applyAlignment="1">
      <alignment vertical="center" shrinkToFit="1"/>
    </xf>
    <xf numFmtId="0" fontId="2" fillId="0" borderId="22" xfId="0" applyFont="1" applyBorder="1" applyAlignment="1">
      <alignment vertical="center" shrinkToFit="1"/>
    </xf>
    <xf numFmtId="0" fontId="2" fillId="0" borderId="21" xfId="0" applyFont="1" applyBorder="1" applyAlignment="1">
      <alignment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19"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0" xfId="0" applyFont="1" applyFill="1" applyBorder="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0" xfId="0" applyFont="1">
      <alignment vertical="center"/>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11" fillId="0" borderId="37" xfId="0" applyFont="1" applyBorder="1" applyAlignment="1">
      <alignment vertical="top" wrapText="1" shrinkToFit="1"/>
    </xf>
    <xf numFmtId="0" fontId="11" fillId="0" borderId="38" xfId="0" applyFont="1" applyBorder="1" applyAlignment="1">
      <alignment vertical="top" wrapText="1" shrinkToFit="1"/>
    </xf>
    <xf numFmtId="0" fontId="11" fillId="0" borderId="39"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4" zoomScaleNormal="100" zoomScaleSheetLayoutView="100" workbookViewId="0">
      <selection activeCell="W18" sqref="W18"/>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25" t="s">
        <v>12</v>
      </c>
      <c r="S1" s="125"/>
      <c r="T1" s="2" t="s">
        <v>110</v>
      </c>
    </row>
    <row r="2" spans="1:22" ht="18.75" customHeight="1" x14ac:dyDescent="0.15">
      <c r="B2" s="34" t="s">
        <v>109</v>
      </c>
      <c r="C2" s="115" t="s">
        <v>137</v>
      </c>
      <c r="D2" s="117"/>
      <c r="E2" s="117"/>
      <c r="F2" s="117"/>
      <c r="G2" s="117"/>
      <c r="H2" s="117"/>
      <c r="I2" s="116"/>
      <c r="J2" s="35"/>
      <c r="K2" s="6"/>
      <c r="L2" s="6"/>
      <c r="M2" s="6"/>
      <c r="N2" s="6"/>
      <c r="O2" s="6"/>
      <c r="P2" s="6"/>
      <c r="Q2" s="6"/>
      <c r="R2" s="6"/>
      <c r="S2" s="6"/>
    </row>
    <row r="3" spans="1:22" ht="18.75" customHeight="1" x14ac:dyDescent="0.15">
      <c r="B3" s="34" t="s">
        <v>103</v>
      </c>
      <c r="C3" s="115" t="s">
        <v>138</v>
      </c>
      <c r="D3" s="117"/>
      <c r="E3" s="117"/>
      <c r="F3" s="117"/>
      <c r="G3" s="117"/>
      <c r="H3" s="117"/>
      <c r="I3" s="116"/>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29" t="s">
        <v>39</v>
      </c>
      <c r="B5" s="129"/>
      <c r="C5" s="129"/>
      <c r="D5" s="129"/>
      <c r="E5" s="129"/>
      <c r="F5" s="129"/>
      <c r="G5" s="129"/>
      <c r="H5" s="129"/>
      <c r="I5" s="129"/>
      <c r="J5" s="129"/>
      <c r="K5" s="129"/>
      <c r="L5" s="129"/>
      <c r="M5" s="129"/>
      <c r="N5" s="129"/>
      <c r="O5" s="129"/>
      <c r="P5" s="129"/>
      <c r="Q5" s="129"/>
      <c r="R5" s="129"/>
      <c r="S5" s="129"/>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8" t="s">
        <v>108</v>
      </c>
      <c r="K7" s="99" t="s">
        <v>127</v>
      </c>
      <c r="L7" s="100"/>
      <c r="M7" s="100"/>
      <c r="N7" s="100"/>
      <c r="O7" s="100"/>
      <c r="P7" s="100"/>
      <c r="Q7" s="100"/>
      <c r="R7" s="100"/>
      <c r="S7" s="101"/>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02"/>
      <c r="C9" s="103"/>
      <c r="D9" s="103"/>
      <c r="E9" s="103"/>
      <c r="F9" s="103"/>
      <c r="G9" s="103"/>
      <c r="H9" s="103"/>
      <c r="I9" s="103"/>
      <c r="J9" s="103"/>
      <c r="K9" s="103"/>
      <c r="L9" s="103"/>
      <c r="M9" s="103"/>
      <c r="N9" s="103"/>
      <c r="O9" s="103"/>
      <c r="P9" s="103"/>
      <c r="Q9" s="103"/>
      <c r="R9" s="103"/>
      <c r="S9" s="104"/>
    </row>
    <row r="10" spans="1:22" ht="18" customHeight="1" x14ac:dyDescent="0.15">
      <c r="B10" s="105"/>
      <c r="C10" s="106"/>
      <c r="D10" s="106"/>
      <c r="E10" s="106"/>
      <c r="F10" s="106"/>
      <c r="G10" s="106"/>
      <c r="H10" s="106"/>
      <c r="I10" s="106"/>
      <c r="J10" s="106"/>
      <c r="K10" s="106"/>
      <c r="L10" s="106"/>
      <c r="M10" s="106"/>
      <c r="N10" s="106"/>
      <c r="O10" s="106"/>
      <c r="P10" s="106"/>
      <c r="Q10" s="106"/>
      <c r="R10" s="106"/>
      <c r="S10" s="107"/>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9"/>
      <c r="L12" s="39"/>
      <c r="M12" s="39"/>
      <c r="N12" s="39"/>
      <c r="O12" s="39"/>
      <c r="P12" s="39"/>
      <c r="Q12" s="39"/>
      <c r="R12" s="39"/>
      <c r="S12" s="39"/>
    </row>
    <row r="13" spans="1:22" ht="21.75" customHeight="1" x14ac:dyDescent="0.15">
      <c r="B13" s="130" t="s">
        <v>190</v>
      </c>
      <c r="C13" s="131"/>
      <c r="D13" s="131"/>
      <c r="E13" s="131"/>
      <c r="F13" s="131"/>
      <c r="G13" s="131"/>
      <c r="H13" s="131"/>
      <c r="I13" s="131"/>
      <c r="J13" s="131"/>
      <c r="K13" s="131"/>
      <c r="L13" s="131"/>
      <c r="M13" s="131"/>
      <c r="N13" s="131"/>
      <c r="O13" s="131"/>
      <c r="P13" s="131"/>
      <c r="Q13" s="131"/>
      <c r="R13" s="131"/>
      <c r="S13" s="132"/>
      <c r="V13" s="1" t="s">
        <v>104</v>
      </c>
    </row>
    <row r="14" spans="1:22" ht="21.75" customHeight="1" x14ac:dyDescent="0.15">
      <c r="B14" s="133"/>
      <c r="C14" s="134"/>
      <c r="D14" s="134"/>
      <c r="E14" s="134"/>
      <c r="F14" s="134"/>
      <c r="G14" s="134"/>
      <c r="H14" s="134"/>
      <c r="I14" s="134"/>
      <c r="J14" s="134"/>
      <c r="K14" s="134"/>
      <c r="L14" s="134"/>
      <c r="M14" s="134"/>
      <c r="N14" s="134"/>
      <c r="O14" s="134"/>
      <c r="P14" s="134"/>
      <c r="Q14" s="134"/>
      <c r="R14" s="134"/>
      <c r="S14" s="135"/>
      <c r="V14" s="1" t="s">
        <v>111</v>
      </c>
    </row>
    <row r="15" spans="1:22" ht="21.75" customHeight="1" x14ac:dyDescent="0.15">
      <c r="B15" s="133"/>
      <c r="C15" s="134"/>
      <c r="D15" s="134"/>
      <c r="E15" s="134"/>
      <c r="F15" s="134"/>
      <c r="G15" s="134"/>
      <c r="H15" s="134"/>
      <c r="I15" s="134"/>
      <c r="J15" s="134"/>
      <c r="K15" s="134"/>
      <c r="L15" s="134"/>
      <c r="M15" s="134"/>
      <c r="N15" s="134"/>
      <c r="O15" s="134"/>
      <c r="P15" s="134"/>
      <c r="Q15" s="134"/>
      <c r="R15" s="134"/>
      <c r="S15" s="135"/>
      <c r="V15" s="1" t="s">
        <v>124</v>
      </c>
    </row>
    <row r="16" spans="1:22" ht="21.75" customHeight="1" x14ac:dyDescent="0.15">
      <c r="B16" s="133"/>
      <c r="C16" s="134"/>
      <c r="D16" s="134"/>
      <c r="E16" s="134"/>
      <c r="F16" s="134"/>
      <c r="G16" s="134"/>
      <c r="H16" s="134"/>
      <c r="I16" s="134"/>
      <c r="J16" s="134"/>
      <c r="K16" s="134"/>
      <c r="L16" s="134"/>
      <c r="M16" s="134"/>
      <c r="N16" s="134"/>
      <c r="O16" s="134"/>
      <c r="P16" s="134"/>
      <c r="Q16" s="134"/>
      <c r="R16" s="134"/>
      <c r="S16" s="135"/>
      <c r="V16" s="1" t="s">
        <v>126</v>
      </c>
    </row>
    <row r="17" spans="1:19" ht="21.75" customHeight="1" x14ac:dyDescent="0.15">
      <c r="B17" s="133"/>
      <c r="C17" s="134"/>
      <c r="D17" s="134"/>
      <c r="E17" s="134"/>
      <c r="F17" s="134"/>
      <c r="G17" s="134"/>
      <c r="H17" s="134"/>
      <c r="I17" s="134"/>
      <c r="J17" s="134"/>
      <c r="K17" s="134"/>
      <c r="L17" s="134"/>
      <c r="M17" s="134"/>
      <c r="N17" s="134"/>
      <c r="O17" s="134"/>
      <c r="P17" s="134"/>
      <c r="Q17" s="134"/>
      <c r="R17" s="134"/>
      <c r="S17" s="135"/>
    </row>
    <row r="18" spans="1:19" ht="16.5" customHeight="1" x14ac:dyDescent="0.15">
      <c r="B18" s="136"/>
      <c r="C18" s="137"/>
      <c r="D18" s="137"/>
      <c r="E18" s="137"/>
      <c r="F18" s="137"/>
      <c r="G18" s="137"/>
      <c r="H18" s="137"/>
      <c r="I18" s="137"/>
      <c r="J18" s="137"/>
      <c r="K18" s="137"/>
      <c r="L18" s="137"/>
      <c r="M18" s="137"/>
      <c r="N18" s="137"/>
      <c r="O18" s="137"/>
      <c r="P18" s="137"/>
      <c r="Q18" s="137"/>
      <c r="R18" s="137"/>
      <c r="S18" s="138"/>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113</v>
      </c>
      <c r="C20" s="115">
        <v>20</v>
      </c>
      <c r="D20" s="116"/>
      <c r="E20" s="40" t="s">
        <v>96</v>
      </c>
      <c r="G20" s="10"/>
      <c r="H20" s="3"/>
      <c r="I20" s="3"/>
      <c r="J20" s="35" t="s">
        <v>122</v>
      </c>
      <c r="K20" s="126" t="s">
        <v>126</v>
      </c>
      <c r="L20" s="127"/>
      <c r="M20" s="127"/>
      <c r="N20" s="127"/>
      <c r="O20" s="127"/>
      <c r="P20" s="127"/>
      <c r="Q20" s="127"/>
      <c r="R20" s="127"/>
      <c r="S20" s="128"/>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14" t="s">
        <v>114</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15" t="s">
        <v>54</v>
      </c>
      <c r="C24" s="117"/>
      <c r="D24" s="117"/>
      <c r="E24" s="116"/>
      <c r="F24" s="61" t="s">
        <v>81</v>
      </c>
      <c r="G24" s="60" t="s">
        <v>85</v>
      </c>
      <c r="H24" s="22" t="s">
        <v>57</v>
      </c>
      <c r="I24" s="22" t="s">
        <v>60</v>
      </c>
      <c r="J24" s="115" t="s">
        <v>54</v>
      </c>
      <c r="K24" s="117"/>
      <c r="L24" s="117"/>
      <c r="M24" s="117"/>
      <c r="N24" s="117"/>
      <c r="O24" s="116"/>
      <c r="P24" s="61" t="s">
        <v>81</v>
      </c>
      <c r="Q24" s="60" t="s">
        <v>85</v>
      </c>
      <c r="R24" s="22" t="s">
        <v>57</v>
      </c>
      <c r="S24" s="22" t="s">
        <v>60</v>
      </c>
    </row>
    <row r="25" spans="1:19" ht="18" customHeight="1" x14ac:dyDescent="0.15">
      <c r="B25" s="108" t="s">
        <v>153</v>
      </c>
      <c r="C25" s="109"/>
      <c r="D25" s="109"/>
      <c r="E25" s="110"/>
      <c r="F25" s="24">
        <v>2</v>
      </c>
      <c r="G25" s="24" t="s">
        <v>143</v>
      </c>
      <c r="H25" s="24" t="s">
        <v>143</v>
      </c>
      <c r="I25" s="24"/>
      <c r="J25" s="118"/>
      <c r="K25" s="119"/>
      <c r="L25" s="119"/>
      <c r="M25" s="119"/>
      <c r="N25" s="119"/>
      <c r="O25" s="120"/>
      <c r="P25" s="23"/>
      <c r="Q25" s="23"/>
      <c r="R25" s="23"/>
      <c r="S25" s="23"/>
    </row>
    <row r="26" spans="1:19" ht="18" customHeight="1" x14ac:dyDescent="0.15">
      <c r="B26" s="108" t="s">
        <v>154</v>
      </c>
      <c r="C26" s="109"/>
      <c r="D26" s="109"/>
      <c r="E26" s="110"/>
      <c r="F26" s="24">
        <v>2</v>
      </c>
      <c r="G26" s="24" t="s">
        <v>143</v>
      </c>
      <c r="H26" s="24" t="s">
        <v>143</v>
      </c>
      <c r="I26" s="24" t="s">
        <v>143</v>
      </c>
      <c r="J26" s="108"/>
      <c r="K26" s="109"/>
      <c r="L26" s="109"/>
      <c r="M26" s="109"/>
      <c r="N26" s="109"/>
      <c r="O26" s="110"/>
      <c r="P26" s="24"/>
      <c r="Q26" s="24"/>
      <c r="R26" s="24"/>
      <c r="S26" s="24"/>
    </row>
    <row r="27" spans="1:19" ht="18" customHeight="1" x14ac:dyDescent="0.15">
      <c r="B27" s="108" t="s">
        <v>159</v>
      </c>
      <c r="C27" s="109"/>
      <c r="D27" s="109"/>
      <c r="E27" s="110"/>
      <c r="F27" s="24">
        <v>2</v>
      </c>
      <c r="G27" s="24"/>
      <c r="H27" s="24" t="s">
        <v>143</v>
      </c>
      <c r="I27" s="24" t="s">
        <v>143</v>
      </c>
      <c r="J27" s="108"/>
      <c r="K27" s="109"/>
      <c r="L27" s="109"/>
      <c r="M27" s="109"/>
      <c r="N27" s="109"/>
      <c r="O27" s="110"/>
      <c r="P27" s="24"/>
      <c r="Q27" s="24"/>
      <c r="R27" s="24"/>
      <c r="S27" s="24"/>
    </row>
    <row r="28" spans="1:19" ht="18" customHeight="1" x14ac:dyDescent="0.15">
      <c r="B28" s="108" t="s">
        <v>162</v>
      </c>
      <c r="C28" s="109"/>
      <c r="D28" s="109"/>
      <c r="E28" s="110"/>
      <c r="F28" s="24">
        <v>2</v>
      </c>
      <c r="G28" s="24"/>
      <c r="H28" s="24" t="s">
        <v>143</v>
      </c>
      <c r="I28" s="24" t="s">
        <v>143</v>
      </c>
      <c r="J28" s="108"/>
      <c r="K28" s="109"/>
      <c r="L28" s="109"/>
      <c r="M28" s="109"/>
      <c r="N28" s="109"/>
      <c r="O28" s="110"/>
      <c r="P28" s="24"/>
      <c r="Q28" s="24"/>
      <c r="R28" s="24"/>
      <c r="S28" s="24"/>
    </row>
    <row r="29" spans="1:19" ht="18" customHeight="1" x14ac:dyDescent="0.15">
      <c r="B29" s="108" t="s">
        <v>168</v>
      </c>
      <c r="C29" s="109"/>
      <c r="D29" s="109"/>
      <c r="E29" s="110"/>
      <c r="F29" s="24">
        <v>2</v>
      </c>
      <c r="G29" s="24"/>
      <c r="H29" s="24" t="s">
        <v>143</v>
      </c>
      <c r="I29" s="24"/>
      <c r="J29" s="108"/>
      <c r="K29" s="109"/>
      <c r="L29" s="109"/>
      <c r="M29" s="109"/>
      <c r="N29" s="109"/>
      <c r="O29" s="110"/>
      <c r="P29" s="24"/>
      <c r="Q29" s="24"/>
      <c r="R29" s="24"/>
      <c r="S29" s="24"/>
    </row>
    <row r="30" spans="1:19" ht="18" customHeight="1" x14ac:dyDescent="0.15">
      <c r="A30" s="3"/>
      <c r="B30" s="108" t="s">
        <v>171</v>
      </c>
      <c r="C30" s="109"/>
      <c r="D30" s="109"/>
      <c r="E30" s="110"/>
      <c r="F30" s="24">
        <v>2</v>
      </c>
      <c r="G30" s="24"/>
      <c r="H30" s="24" t="s">
        <v>143</v>
      </c>
      <c r="I30" s="24" t="s">
        <v>143</v>
      </c>
      <c r="J30" s="108"/>
      <c r="K30" s="109"/>
      <c r="L30" s="109"/>
      <c r="M30" s="109"/>
      <c r="N30" s="109"/>
      <c r="O30" s="110"/>
      <c r="P30" s="24"/>
      <c r="Q30" s="24"/>
      <c r="R30" s="24"/>
      <c r="S30" s="24"/>
    </row>
    <row r="31" spans="1:19" ht="18" customHeight="1" x14ac:dyDescent="0.15">
      <c r="A31" s="3"/>
      <c r="B31" s="111"/>
      <c r="C31" s="112"/>
      <c r="D31" s="112"/>
      <c r="E31" s="113"/>
      <c r="F31" s="25"/>
      <c r="G31" s="25"/>
      <c r="H31" s="26"/>
      <c r="I31" s="26"/>
      <c r="J31" s="111"/>
      <c r="K31" s="112"/>
      <c r="L31" s="112"/>
      <c r="M31" s="112"/>
      <c r="N31" s="112"/>
      <c r="O31" s="113"/>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14" t="s">
        <v>115</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15" t="s">
        <v>54</v>
      </c>
      <c r="C35" s="117"/>
      <c r="D35" s="117"/>
      <c r="E35" s="116"/>
      <c r="F35" s="61" t="s">
        <v>81</v>
      </c>
      <c r="G35" s="60" t="s">
        <v>85</v>
      </c>
      <c r="H35" s="22" t="s">
        <v>72</v>
      </c>
      <c r="I35" s="22" t="s">
        <v>73</v>
      </c>
      <c r="J35" s="115" t="s">
        <v>54</v>
      </c>
      <c r="K35" s="117"/>
      <c r="L35" s="117"/>
      <c r="M35" s="117"/>
      <c r="N35" s="117"/>
      <c r="O35" s="116"/>
      <c r="P35" s="61" t="s">
        <v>81</v>
      </c>
      <c r="Q35" s="60" t="s">
        <v>85</v>
      </c>
      <c r="R35" s="22" t="s">
        <v>72</v>
      </c>
      <c r="S35" s="22" t="s">
        <v>73</v>
      </c>
    </row>
    <row r="36" spans="1:19" ht="18" customHeight="1" x14ac:dyDescent="0.15">
      <c r="B36" s="108" t="s">
        <v>153</v>
      </c>
      <c r="C36" s="109"/>
      <c r="D36" s="109"/>
      <c r="E36" s="110"/>
      <c r="F36" s="24">
        <v>2</v>
      </c>
      <c r="G36" s="24" t="s">
        <v>143</v>
      </c>
      <c r="H36" s="24" t="s">
        <v>143</v>
      </c>
      <c r="I36" s="24" t="s">
        <v>143</v>
      </c>
      <c r="J36" s="118"/>
      <c r="K36" s="119"/>
      <c r="L36" s="119"/>
      <c r="M36" s="119"/>
      <c r="N36" s="119"/>
      <c r="O36" s="120"/>
      <c r="P36" s="23"/>
      <c r="Q36" s="23"/>
      <c r="R36" s="23"/>
      <c r="S36" s="23"/>
    </row>
    <row r="37" spans="1:19" ht="18" customHeight="1" x14ac:dyDescent="0.15">
      <c r="B37" s="108" t="s">
        <v>154</v>
      </c>
      <c r="C37" s="109"/>
      <c r="D37" s="109"/>
      <c r="E37" s="110"/>
      <c r="F37" s="24">
        <v>2</v>
      </c>
      <c r="G37" s="24" t="s">
        <v>143</v>
      </c>
      <c r="H37" s="24" t="s">
        <v>143</v>
      </c>
      <c r="I37" s="24" t="s">
        <v>143</v>
      </c>
      <c r="J37" s="108"/>
      <c r="K37" s="109"/>
      <c r="L37" s="109"/>
      <c r="M37" s="109"/>
      <c r="N37" s="109"/>
      <c r="O37" s="110"/>
      <c r="P37" s="24"/>
      <c r="Q37" s="24"/>
      <c r="R37" s="24"/>
      <c r="S37" s="24"/>
    </row>
    <row r="38" spans="1:19" ht="18" customHeight="1" x14ac:dyDescent="0.15">
      <c r="B38" s="108" t="s">
        <v>162</v>
      </c>
      <c r="C38" s="109"/>
      <c r="D38" s="109"/>
      <c r="E38" s="110"/>
      <c r="F38" s="24">
        <v>2</v>
      </c>
      <c r="G38" s="24"/>
      <c r="H38" s="24" t="s">
        <v>143</v>
      </c>
      <c r="I38" s="24" t="s">
        <v>143</v>
      </c>
      <c r="J38" s="108"/>
      <c r="K38" s="109"/>
      <c r="L38" s="109"/>
      <c r="M38" s="109"/>
      <c r="N38" s="109"/>
      <c r="O38" s="110"/>
      <c r="P38" s="24"/>
      <c r="Q38" s="24"/>
      <c r="R38" s="24"/>
      <c r="S38" s="24"/>
    </row>
    <row r="39" spans="1:19" ht="18" customHeight="1" x14ac:dyDescent="0.15">
      <c r="B39" s="108"/>
      <c r="C39" s="109"/>
      <c r="D39" s="109"/>
      <c r="E39" s="110"/>
      <c r="F39" s="24"/>
      <c r="G39" s="24"/>
      <c r="H39" s="24"/>
      <c r="I39" s="24"/>
      <c r="J39" s="108"/>
      <c r="K39" s="109"/>
      <c r="L39" s="109"/>
      <c r="M39" s="109"/>
      <c r="N39" s="109"/>
      <c r="O39" s="110"/>
      <c r="P39" s="24"/>
      <c r="Q39" s="24"/>
      <c r="R39" s="24"/>
      <c r="S39" s="24"/>
    </row>
    <row r="40" spans="1:19" ht="18" customHeight="1" x14ac:dyDescent="0.15">
      <c r="B40" s="108"/>
      <c r="C40" s="109"/>
      <c r="D40" s="109"/>
      <c r="E40" s="110"/>
      <c r="F40" s="24"/>
      <c r="G40" s="24"/>
      <c r="H40" s="24"/>
      <c r="I40" s="24"/>
      <c r="J40" s="108"/>
      <c r="K40" s="109"/>
      <c r="L40" s="109"/>
      <c r="M40" s="109"/>
      <c r="N40" s="109"/>
      <c r="O40" s="110"/>
      <c r="P40" s="24"/>
      <c r="Q40" s="24"/>
      <c r="R40" s="24"/>
      <c r="S40" s="24"/>
    </row>
    <row r="41" spans="1:19" ht="18" customHeight="1" x14ac:dyDescent="0.15">
      <c r="B41" s="108"/>
      <c r="C41" s="109"/>
      <c r="D41" s="109"/>
      <c r="E41" s="110"/>
      <c r="F41" s="24"/>
      <c r="G41" s="24"/>
      <c r="H41" s="24"/>
      <c r="I41" s="24"/>
      <c r="J41" s="108"/>
      <c r="K41" s="109"/>
      <c r="L41" s="109"/>
      <c r="M41" s="109"/>
      <c r="N41" s="109"/>
      <c r="O41" s="110"/>
      <c r="P41" s="24"/>
      <c r="Q41" s="24"/>
      <c r="R41" s="24"/>
      <c r="S41" s="24"/>
    </row>
    <row r="42" spans="1:19" ht="18" customHeight="1" x14ac:dyDescent="0.15">
      <c r="B42" s="111"/>
      <c r="C42" s="112"/>
      <c r="D42" s="112"/>
      <c r="E42" s="113"/>
      <c r="F42" s="25"/>
      <c r="G42" s="25"/>
      <c r="H42" s="26"/>
      <c r="I42" s="26"/>
      <c r="J42" s="111"/>
      <c r="K42" s="112"/>
      <c r="L42" s="112"/>
      <c r="M42" s="112"/>
      <c r="N42" s="112"/>
      <c r="O42" s="113"/>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14" t="s">
        <v>116</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15" t="s">
        <v>54</v>
      </c>
      <c r="C46" s="117"/>
      <c r="D46" s="117"/>
      <c r="E46" s="116"/>
      <c r="F46" s="61" t="s">
        <v>81</v>
      </c>
      <c r="G46" s="60" t="s">
        <v>85</v>
      </c>
      <c r="H46" s="22" t="s">
        <v>74</v>
      </c>
      <c r="I46" s="22" t="s">
        <v>75</v>
      </c>
      <c r="J46" s="115" t="s">
        <v>54</v>
      </c>
      <c r="K46" s="117"/>
      <c r="L46" s="117"/>
      <c r="M46" s="117"/>
      <c r="N46" s="117"/>
      <c r="O46" s="116"/>
      <c r="P46" s="61" t="s">
        <v>81</v>
      </c>
      <c r="Q46" s="60" t="s">
        <v>85</v>
      </c>
      <c r="R46" s="22" t="s">
        <v>74</v>
      </c>
      <c r="S46" s="22" t="s">
        <v>75</v>
      </c>
    </row>
    <row r="47" spans="1:19" ht="18" customHeight="1" x14ac:dyDescent="0.15">
      <c r="A47" s="3"/>
      <c r="B47" s="108" t="s">
        <v>153</v>
      </c>
      <c r="C47" s="109"/>
      <c r="D47" s="109"/>
      <c r="E47" s="110"/>
      <c r="F47" s="24">
        <v>2</v>
      </c>
      <c r="G47" s="24" t="s">
        <v>143</v>
      </c>
      <c r="H47" s="24" t="s">
        <v>143</v>
      </c>
      <c r="I47" s="24" t="s">
        <v>143</v>
      </c>
      <c r="J47" s="118"/>
      <c r="K47" s="119"/>
      <c r="L47" s="119"/>
      <c r="M47" s="119"/>
      <c r="N47" s="119"/>
      <c r="O47" s="120"/>
      <c r="P47" s="23"/>
      <c r="Q47" s="23"/>
      <c r="R47" s="23"/>
      <c r="S47" s="23"/>
    </row>
    <row r="48" spans="1:19" ht="18" customHeight="1" x14ac:dyDescent="0.15">
      <c r="A48" s="3"/>
      <c r="B48" s="108" t="s">
        <v>154</v>
      </c>
      <c r="C48" s="109"/>
      <c r="D48" s="109"/>
      <c r="E48" s="110"/>
      <c r="F48" s="24">
        <v>2</v>
      </c>
      <c r="G48" s="24" t="s">
        <v>143</v>
      </c>
      <c r="H48" s="24" t="s">
        <v>143</v>
      </c>
      <c r="I48" s="24" t="s">
        <v>143</v>
      </c>
      <c r="J48" s="108"/>
      <c r="K48" s="109"/>
      <c r="L48" s="109"/>
      <c r="M48" s="109"/>
      <c r="N48" s="109"/>
      <c r="O48" s="110"/>
      <c r="P48" s="24"/>
      <c r="Q48" s="24"/>
      <c r="R48" s="24"/>
      <c r="S48" s="24"/>
    </row>
    <row r="49" spans="1:19" ht="18" customHeight="1" x14ac:dyDescent="0.15">
      <c r="A49" s="3"/>
      <c r="B49" s="108" t="s">
        <v>162</v>
      </c>
      <c r="C49" s="109"/>
      <c r="D49" s="109"/>
      <c r="E49" s="110"/>
      <c r="F49" s="24">
        <v>2</v>
      </c>
      <c r="G49" s="24"/>
      <c r="H49" s="24" t="s">
        <v>143</v>
      </c>
      <c r="I49" s="24" t="s">
        <v>143</v>
      </c>
      <c r="J49" s="108"/>
      <c r="K49" s="109"/>
      <c r="L49" s="109"/>
      <c r="M49" s="109"/>
      <c r="N49" s="109"/>
      <c r="O49" s="110"/>
      <c r="P49" s="24"/>
      <c r="Q49" s="24"/>
      <c r="R49" s="24"/>
      <c r="S49" s="24"/>
    </row>
    <row r="50" spans="1:19" ht="18" customHeight="1" x14ac:dyDescent="0.15">
      <c r="A50" s="3"/>
      <c r="B50" s="108" t="s">
        <v>171</v>
      </c>
      <c r="C50" s="109"/>
      <c r="D50" s="109"/>
      <c r="E50" s="110"/>
      <c r="F50" s="24">
        <v>2</v>
      </c>
      <c r="G50" s="24"/>
      <c r="H50" s="24" t="s">
        <v>143</v>
      </c>
      <c r="I50" s="24"/>
      <c r="J50" s="108"/>
      <c r="K50" s="109"/>
      <c r="L50" s="109"/>
      <c r="M50" s="109"/>
      <c r="N50" s="109"/>
      <c r="O50" s="110"/>
      <c r="P50" s="24"/>
      <c r="Q50" s="24"/>
      <c r="R50" s="24"/>
      <c r="S50" s="24"/>
    </row>
    <row r="51" spans="1:19" ht="18" customHeight="1" x14ac:dyDescent="0.15">
      <c r="A51" s="3"/>
      <c r="B51" s="108"/>
      <c r="C51" s="109"/>
      <c r="D51" s="109"/>
      <c r="E51" s="110"/>
      <c r="F51" s="24"/>
      <c r="G51" s="24"/>
      <c r="H51" s="24"/>
      <c r="I51" s="24"/>
      <c r="J51" s="108"/>
      <c r="K51" s="109"/>
      <c r="L51" s="109"/>
      <c r="M51" s="109"/>
      <c r="N51" s="109"/>
      <c r="O51" s="110"/>
      <c r="P51" s="24"/>
      <c r="Q51" s="24"/>
      <c r="R51" s="24"/>
      <c r="S51" s="24"/>
    </row>
    <row r="52" spans="1:19" ht="18" customHeight="1" x14ac:dyDescent="0.15">
      <c r="A52" s="3"/>
      <c r="B52" s="108"/>
      <c r="C52" s="109"/>
      <c r="D52" s="109"/>
      <c r="E52" s="110"/>
      <c r="F52" s="24"/>
      <c r="G52" s="24"/>
      <c r="H52" s="24"/>
      <c r="I52" s="24"/>
      <c r="J52" s="108"/>
      <c r="K52" s="109"/>
      <c r="L52" s="109"/>
      <c r="M52" s="109"/>
      <c r="N52" s="109"/>
      <c r="O52" s="110"/>
      <c r="P52" s="24"/>
      <c r="Q52" s="24"/>
      <c r="R52" s="24"/>
      <c r="S52" s="24"/>
    </row>
    <row r="53" spans="1:19" ht="18" customHeight="1" x14ac:dyDescent="0.15">
      <c r="A53" s="3"/>
      <c r="B53" s="111"/>
      <c r="C53" s="112"/>
      <c r="D53" s="112"/>
      <c r="E53" s="113"/>
      <c r="F53" s="25"/>
      <c r="G53" s="25"/>
      <c r="H53" s="26"/>
      <c r="I53" s="26"/>
      <c r="J53" s="111"/>
      <c r="K53" s="112"/>
      <c r="L53" s="112"/>
      <c r="M53" s="112"/>
      <c r="N53" s="112"/>
      <c r="O53" s="113"/>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14" t="s">
        <v>117</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15" t="s">
        <v>54</v>
      </c>
      <c r="C57" s="117"/>
      <c r="D57" s="117"/>
      <c r="E57" s="116"/>
      <c r="F57" s="61" t="s">
        <v>81</v>
      </c>
      <c r="G57" s="60" t="s">
        <v>85</v>
      </c>
      <c r="H57" s="22" t="s">
        <v>59</v>
      </c>
      <c r="I57" s="22" t="s">
        <v>61</v>
      </c>
      <c r="J57" s="115" t="s">
        <v>54</v>
      </c>
      <c r="K57" s="117"/>
      <c r="L57" s="117"/>
      <c r="M57" s="117"/>
      <c r="N57" s="117"/>
      <c r="O57" s="116"/>
      <c r="P57" s="61" t="s">
        <v>81</v>
      </c>
      <c r="Q57" s="60" t="s">
        <v>85</v>
      </c>
      <c r="R57" s="22" t="s">
        <v>59</v>
      </c>
      <c r="S57" s="22" t="s">
        <v>61</v>
      </c>
    </row>
    <row r="58" spans="1:19" ht="18" customHeight="1" x14ac:dyDescent="0.15">
      <c r="A58" s="3"/>
      <c r="B58" s="108" t="s">
        <v>153</v>
      </c>
      <c r="C58" s="109"/>
      <c r="D58" s="109"/>
      <c r="E58" s="110"/>
      <c r="F58" s="24">
        <v>2</v>
      </c>
      <c r="G58" s="24" t="s">
        <v>143</v>
      </c>
      <c r="H58" s="24" t="s">
        <v>143</v>
      </c>
      <c r="I58" s="24"/>
      <c r="J58" s="118"/>
      <c r="K58" s="119"/>
      <c r="L58" s="119"/>
      <c r="M58" s="119"/>
      <c r="N58" s="119"/>
      <c r="O58" s="120"/>
      <c r="P58" s="23"/>
      <c r="Q58" s="23"/>
      <c r="R58" s="23"/>
      <c r="S58" s="23"/>
    </row>
    <row r="59" spans="1:19" ht="18" customHeight="1" x14ac:dyDescent="0.15">
      <c r="A59" s="3"/>
      <c r="B59" s="108" t="s">
        <v>154</v>
      </c>
      <c r="C59" s="109"/>
      <c r="D59" s="109"/>
      <c r="E59" s="110"/>
      <c r="F59" s="24">
        <v>2</v>
      </c>
      <c r="G59" s="24" t="s">
        <v>143</v>
      </c>
      <c r="H59" s="24" t="s">
        <v>143</v>
      </c>
      <c r="I59" s="24" t="s">
        <v>143</v>
      </c>
      <c r="J59" s="108"/>
      <c r="K59" s="109"/>
      <c r="L59" s="109"/>
      <c r="M59" s="109"/>
      <c r="N59" s="109"/>
      <c r="O59" s="110"/>
      <c r="P59" s="24"/>
      <c r="Q59" s="24"/>
      <c r="R59" s="24"/>
      <c r="S59" s="24"/>
    </row>
    <row r="60" spans="1:19" s="87" customFormat="1" ht="18" customHeight="1" x14ac:dyDescent="0.15">
      <c r="A60" s="88"/>
      <c r="B60" s="108" t="s">
        <v>162</v>
      </c>
      <c r="C60" s="109"/>
      <c r="D60" s="109"/>
      <c r="E60" s="110"/>
      <c r="F60" s="24">
        <v>2</v>
      </c>
      <c r="G60" s="24"/>
      <c r="H60" s="24" t="s">
        <v>143</v>
      </c>
      <c r="I60" s="24" t="s">
        <v>143</v>
      </c>
      <c r="J60" s="108"/>
      <c r="K60" s="109"/>
      <c r="L60" s="109"/>
      <c r="M60" s="109"/>
      <c r="N60" s="109"/>
      <c r="O60" s="110"/>
      <c r="P60" s="24"/>
      <c r="Q60" s="24"/>
      <c r="R60" s="24"/>
      <c r="S60" s="24"/>
    </row>
    <row r="61" spans="1:19" s="87" customFormat="1" ht="18" customHeight="1" x14ac:dyDescent="0.15">
      <c r="A61" s="88"/>
      <c r="B61" s="108" t="s">
        <v>168</v>
      </c>
      <c r="C61" s="109"/>
      <c r="D61" s="109"/>
      <c r="E61" s="110"/>
      <c r="F61" s="24">
        <v>2</v>
      </c>
      <c r="G61" s="24"/>
      <c r="H61" s="24" t="s">
        <v>143</v>
      </c>
      <c r="I61" s="24" t="s">
        <v>143</v>
      </c>
      <c r="J61" s="108"/>
      <c r="K61" s="109"/>
      <c r="L61" s="109"/>
      <c r="M61" s="109"/>
      <c r="N61" s="109"/>
      <c r="O61" s="110"/>
      <c r="P61" s="24"/>
      <c r="Q61" s="24"/>
      <c r="R61" s="24"/>
      <c r="S61" s="24"/>
    </row>
    <row r="62" spans="1:19" s="87" customFormat="1" ht="18" customHeight="1" x14ac:dyDescent="0.15">
      <c r="A62" s="88"/>
      <c r="B62" s="108"/>
      <c r="C62" s="109"/>
      <c r="D62" s="109"/>
      <c r="E62" s="110"/>
      <c r="F62" s="24"/>
      <c r="G62" s="24"/>
      <c r="H62" s="24"/>
      <c r="I62" s="24"/>
      <c r="J62" s="108"/>
      <c r="K62" s="109"/>
      <c r="L62" s="109"/>
      <c r="M62" s="109"/>
      <c r="N62" s="109"/>
      <c r="O62" s="110"/>
      <c r="P62" s="24"/>
      <c r="Q62" s="24"/>
      <c r="R62" s="24"/>
      <c r="S62" s="24"/>
    </row>
    <row r="63" spans="1:19" s="87" customFormat="1" ht="18" customHeight="1" x14ac:dyDescent="0.15">
      <c r="A63" s="88"/>
      <c r="B63" s="108"/>
      <c r="C63" s="109"/>
      <c r="D63" s="109"/>
      <c r="E63" s="110"/>
      <c r="F63" s="24"/>
      <c r="G63" s="24"/>
      <c r="H63" s="24"/>
      <c r="I63" s="24"/>
      <c r="J63" s="108"/>
      <c r="K63" s="109"/>
      <c r="L63" s="109"/>
      <c r="M63" s="109"/>
      <c r="N63" s="109"/>
      <c r="O63" s="110"/>
      <c r="P63" s="24"/>
      <c r="Q63" s="24"/>
      <c r="R63" s="24"/>
      <c r="S63" s="24"/>
    </row>
    <row r="64" spans="1:19" s="87" customFormat="1" ht="18" customHeight="1" x14ac:dyDescent="0.15">
      <c r="A64" s="88"/>
      <c r="B64" s="111"/>
      <c r="C64" s="112"/>
      <c r="D64" s="112"/>
      <c r="E64" s="113"/>
      <c r="F64" s="25"/>
      <c r="G64" s="25"/>
      <c r="H64" s="26"/>
      <c r="I64" s="26"/>
      <c r="J64" s="111"/>
      <c r="K64" s="112"/>
      <c r="L64" s="112"/>
      <c r="M64" s="112"/>
      <c r="N64" s="112"/>
      <c r="O64" s="113"/>
      <c r="P64" s="25"/>
      <c r="Q64" s="25"/>
      <c r="R64" s="26"/>
      <c r="S64" s="26"/>
    </row>
    <row r="65" spans="1:19" s="87" customFormat="1" ht="7.5" customHeight="1" x14ac:dyDescent="0.15">
      <c r="B65" s="86"/>
      <c r="C65" s="86"/>
      <c r="D65" s="86"/>
      <c r="E65" s="86"/>
      <c r="F65" s="86"/>
      <c r="G65" s="86"/>
      <c r="H65" s="86"/>
      <c r="I65" s="86"/>
      <c r="J65" s="86"/>
      <c r="K65" s="86"/>
      <c r="L65" s="86"/>
      <c r="M65" s="86"/>
      <c r="N65" s="86"/>
      <c r="O65" s="86"/>
      <c r="P65" s="86"/>
      <c r="Q65" s="86"/>
      <c r="R65" s="86"/>
    </row>
    <row r="66" spans="1:19" s="87" customFormat="1" ht="18" customHeight="1" x14ac:dyDescent="0.15">
      <c r="A66" s="114" t="s">
        <v>118</v>
      </c>
      <c r="B66" s="114"/>
      <c r="C66" s="114"/>
      <c r="D66" s="114"/>
      <c r="E66" s="114"/>
      <c r="F66" s="114"/>
      <c r="G66" s="114"/>
      <c r="H66" s="114"/>
      <c r="I66" s="114"/>
      <c r="J66" s="114"/>
      <c r="K66" s="114"/>
      <c r="L66" s="114"/>
      <c r="M66" s="114"/>
      <c r="N66" s="114"/>
      <c r="O66" s="114"/>
      <c r="P66" s="114"/>
      <c r="Q66" s="114"/>
      <c r="R66" s="114"/>
      <c r="S66" s="114"/>
    </row>
    <row r="67" spans="1:19" s="87" customFormat="1"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s="87" customFormat="1" ht="18" customHeight="1" x14ac:dyDescent="0.15">
      <c r="B68" s="115" t="s">
        <v>54</v>
      </c>
      <c r="C68" s="117"/>
      <c r="D68" s="117"/>
      <c r="E68" s="61" t="s">
        <v>81</v>
      </c>
      <c r="F68" s="60" t="s">
        <v>85</v>
      </c>
      <c r="G68" s="22" t="s">
        <v>102</v>
      </c>
      <c r="H68" s="22" t="s">
        <v>76</v>
      </c>
      <c r="I68" s="22" t="s">
        <v>77</v>
      </c>
      <c r="J68" s="115" t="s">
        <v>54</v>
      </c>
      <c r="K68" s="117"/>
      <c r="L68" s="117"/>
      <c r="M68" s="117"/>
      <c r="N68" s="116"/>
      <c r="O68" s="61" t="s">
        <v>81</v>
      </c>
      <c r="P68" s="60" t="s">
        <v>85</v>
      </c>
      <c r="Q68" s="22" t="s">
        <v>102</v>
      </c>
      <c r="R68" s="22" t="s">
        <v>76</v>
      </c>
      <c r="S68" s="22" t="s">
        <v>77</v>
      </c>
    </row>
    <row r="69" spans="1:19" s="87" customFormat="1" ht="18" customHeight="1" x14ac:dyDescent="0.15">
      <c r="A69" s="88"/>
      <c r="B69" s="108" t="s">
        <v>153</v>
      </c>
      <c r="C69" s="109"/>
      <c r="D69" s="109"/>
      <c r="E69" s="24">
        <v>2</v>
      </c>
      <c r="F69" s="24" t="s">
        <v>143</v>
      </c>
      <c r="G69" s="24" t="s">
        <v>143</v>
      </c>
      <c r="H69" s="24" t="s">
        <v>143</v>
      </c>
      <c r="I69" s="24" t="s">
        <v>143</v>
      </c>
      <c r="J69" s="118"/>
      <c r="K69" s="119"/>
      <c r="L69" s="119"/>
      <c r="M69" s="119"/>
      <c r="N69" s="120"/>
      <c r="O69" s="23"/>
      <c r="P69" s="23"/>
      <c r="Q69" s="23"/>
      <c r="R69" s="23"/>
      <c r="S69" s="23"/>
    </row>
    <row r="70" spans="1:19" s="87" customFormat="1" ht="18" customHeight="1" x14ac:dyDescent="0.15">
      <c r="A70" s="88"/>
      <c r="B70" s="108" t="s">
        <v>154</v>
      </c>
      <c r="C70" s="109"/>
      <c r="D70" s="110"/>
      <c r="E70" s="24">
        <v>2</v>
      </c>
      <c r="F70" s="24" t="s">
        <v>143</v>
      </c>
      <c r="G70" s="24" t="s">
        <v>143</v>
      </c>
      <c r="H70" s="24" t="s">
        <v>143</v>
      </c>
      <c r="I70" s="24" t="s">
        <v>143</v>
      </c>
      <c r="J70" s="108"/>
      <c r="K70" s="109"/>
      <c r="L70" s="109"/>
      <c r="M70" s="109"/>
      <c r="N70" s="110"/>
      <c r="O70" s="24"/>
      <c r="P70" s="24"/>
      <c r="Q70" s="24"/>
      <c r="R70" s="24"/>
      <c r="S70" s="24"/>
    </row>
    <row r="71" spans="1:19" s="87" customFormat="1" ht="18" customHeight="1" x14ac:dyDescent="0.15">
      <c r="A71" s="88"/>
      <c r="B71" s="108" t="s">
        <v>163</v>
      </c>
      <c r="C71" s="109"/>
      <c r="D71" s="109"/>
      <c r="E71" s="24">
        <v>2</v>
      </c>
      <c r="F71" s="24"/>
      <c r="G71" s="24" t="s">
        <v>143</v>
      </c>
      <c r="H71" s="24" t="s">
        <v>143</v>
      </c>
      <c r="I71" s="24"/>
      <c r="J71" s="108"/>
      <c r="K71" s="109"/>
      <c r="L71" s="109"/>
      <c r="M71" s="109"/>
      <c r="N71" s="110"/>
      <c r="O71" s="24"/>
      <c r="P71" s="24"/>
      <c r="Q71" s="24"/>
      <c r="R71" s="24"/>
      <c r="S71" s="24"/>
    </row>
    <row r="72" spans="1:19" ht="18" customHeight="1" x14ac:dyDescent="0.15">
      <c r="A72" s="3"/>
      <c r="B72" s="108" t="s">
        <v>168</v>
      </c>
      <c r="C72" s="109"/>
      <c r="D72" s="109"/>
      <c r="E72" s="24">
        <v>2</v>
      </c>
      <c r="F72" s="24"/>
      <c r="G72" s="24"/>
      <c r="H72" s="24" t="s">
        <v>143</v>
      </c>
      <c r="I72" s="24"/>
      <c r="J72" s="108"/>
      <c r="K72" s="109"/>
      <c r="L72" s="109"/>
      <c r="M72" s="109"/>
      <c r="N72" s="110"/>
      <c r="O72" s="24"/>
      <c r="P72" s="24"/>
      <c r="Q72" s="24"/>
      <c r="R72" s="24"/>
      <c r="S72" s="24"/>
    </row>
    <row r="73" spans="1:19" ht="18" customHeight="1" x14ac:dyDescent="0.15">
      <c r="A73" s="3"/>
      <c r="B73" s="145" t="s">
        <v>171</v>
      </c>
      <c r="C73" s="146"/>
      <c r="D73" s="146"/>
      <c r="E73" s="24">
        <v>2</v>
      </c>
      <c r="F73" s="24"/>
      <c r="G73" s="24" t="s">
        <v>143</v>
      </c>
      <c r="H73" s="24" t="s">
        <v>143</v>
      </c>
      <c r="I73" s="24" t="s">
        <v>143</v>
      </c>
      <c r="J73" s="108"/>
      <c r="K73" s="109"/>
      <c r="L73" s="109"/>
      <c r="M73" s="109"/>
      <c r="N73" s="110"/>
      <c r="O73" s="24"/>
      <c r="P73" s="24"/>
      <c r="Q73" s="24"/>
      <c r="R73" s="24"/>
      <c r="S73" s="24"/>
    </row>
    <row r="74" spans="1:19" s="96" customFormat="1" ht="18" customHeight="1" x14ac:dyDescent="0.15">
      <c r="A74" s="97"/>
      <c r="B74" s="145"/>
      <c r="C74" s="146"/>
      <c r="D74" s="146"/>
      <c r="E74" s="98"/>
      <c r="F74" s="98"/>
      <c r="G74" s="98"/>
      <c r="H74" s="98"/>
      <c r="I74" s="98"/>
      <c r="J74" s="145"/>
      <c r="K74" s="146"/>
      <c r="L74" s="146"/>
      <c r="M74" s="146"/>
      <c r="N74" s="147"/>
      <c r="O74" s="98"/>
      <c r="P74" s="98"/>
      <c r="Q74" s="98"/>
      <c r="R74" s="98"/>
      <c r="S74" s="98"/>
    </row>
    <row r="75" spans="1:19" ht="18" customHeight="1" x14ac:dyDescent="0.15">
      <c r="A75" s="3"/>
      <c r="B75" s="111"/>
      <c r="C75" s="112"/>
      <c r="D75" s="112"/>
      <c r="E75" s="26"/>
      <c r="F75" s="26"/>
      <c r="G75" s="26"/>
      <c r="H75" s="26"/>
      <c r="I75" s="26"/>
      <c r="J75" s="111"/>
      <c r="K75" s="112"/>
      <c r="L75" s="112"/>
      <c r="M75" s="112"/>
      <c r="N75" s="113"/>
      <c r="O75" s="26"/>
      <c r="P75" s="26"/>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115" t="s">
        <v>54</v>
      </c>
      <c r="C78" s="117"/>
      <c r="D78" s="117"/>
      <c r="E78" s="116"/>
      <c r="F78" s="115" t="s">
        <v>83</v>
      </c>
      <c r="G78" s="117"/>
      <c r="H78" s="117"/>
      <c r="I78" s="116"/>
      <c r="J78" s="173" t="s">
        <v>54</v>
      </c>
      <c r="K78" s="174"/>
      <c r="L78" s="174"/>
      <c r="M78" s="174"/>
      <c r="N78" s="174"/>
      <c r="O78" s="175"/>
      <c r="P78" s="115" t="s">
        <v>83</v>
      </c>
      <c r="Q78" s="117"/>
      <c r="R78" s="117"/>
      <c r="S78" s="116"/>
    </row>
    <row r="79" spans="1:19" ht="18" customHeight="1" x14ac:dyDescent="0.15">
      <c r="A79" s="3"/>
      <c r="B79" s="108" t="s">
        <v>152</v>
      </c>
      <c r="C79" s="109"/>
      <c r="D79" s="109"/>
      <c r="E79" s="110"/>
      <c r="F79" s="176" t="s">
        <v>151</v>
      </c>
      <c r="G79" s="177"/>
      <c r="H79" s="177"/>
      <c r="I79" s="178"/>
      <c r="J79" s="118" t="s">
        <v>171</v>
      </c>
      <c r="K79" s="119"/>
      <c r="L79" s="119"/>
      <c r="M79" s="119"/>
      <c r="N79" s="119"/>
      <c r="O79" s="120"/>
      <c r="P79" s="176" t="s">
        <v>167</v>
      </c>
      <c r="Q79" s="177"/>
      <c r="R79" s="177"/>
      <c r="S79" s="178"/>
    </row>
    <row r="80" spans="1:19" ht="18" customHeight="1" x14ac:dyDescent="0.15">
      <c r="A80" s="3"/>
      <c r="B80" s="108" t="s">
        <v>154</v>
      </c>
      <c r="C80" s="109"/>
      <c r="D80" s="109"/>
      <c r="E80" s="110"/>
      <c r="F80" s="139" t="s">
        <v>151</v>
      </c>
      <c r="G80" s="140"/>
      <c r="H80" s="140"/>
      <c r="I80" s="141"/>
      <c r="J80" s="108"/>
      <c r="K80" s="109"/>
      <c r="L80" s="109"/>
      <c r="M80" s="109"/>
      <c r="N80" s="109"/>
      <c r="O80" s="110"/>
      <c r="P80" s="139"/>
      <c r="Q80" s="140"/>
      <c r="R80" s="140"/>
      <c r="S80" s="141"/>
    </row>
    <row r="81" spans="1:19" ht="18" customHeight="1" x14ac:dyDescent="0.15">
      <c r="A81" s="3"/>
      <c r="B81" s="108" t="s">
        <v>155</v>
      </c>
      <c r="C81" s="109"/>
      <c r="D81" s="109"/>
      <c r="E81" s="110"/>
      <c r="F81" s="139" t="s">
        <v>156</v>
      </c>
      <c r="G81" s="140"/>
      <c r="H81" s="140"/>
      <c r="I81" s="141"/>
      <c r="J81" s="108"/>
      <c r="K81" s="109"/>
      <c r="L81" s="109"/>
      <c r="M81" s="109"/>
      <c r="N81" s="109"/>
      <c r="O81" s="110"/>
      <c r="P81" s="139"/>
      <c r="Q81" s="140"/>
      <c r="R81" s="140"/>
      <c r="S81" s="141"/>
    </row>
    <row r="82" spans="1:19" ht="18" customHeight="1" x14ac:dyDescent="0.15">
      <c r="A82" s="3"/>
      <c r="B82" s="145" t="s">
        <v>157</v>
      </c>
      <c r="C82" s="146"/>
      <c r="D82" s="146"/>
      <c r="E82" s="147"/>
      <c r="F82" s="139" t="s">
        <v>156</v>
      </c>
      <c r="G82" s="140"/>
      <c r="H82" s="140"/>
      <c r="I82" s="141"/>
      <c r="J82" s="108"/>
      <c r="K82" s="109"/>
      <c r="L82" s="109"/>
      <c r="M82" s="109"/>
      <c r="N82" s="109"/>
      <c r="O82" s="110"/>
      <c r="P82" s="139"/>
      <c r="Q82" s="140"/>
      <c r="R82" s="140"/>
      <c r="S82" s="141"/>
    </row>
    <row r="83" spans="1:19" ht="18" customHeight="1" x14ac:dyDescent="0.15">
      <c r="A83" s="3"/>
      <c r="B83" s="145" t="s">
        <v>162</v>
      </c>
      <c r="C83" s="146"/>
      <c r="D83" s="146"/>
      <c r="E83" s="147"/>
      <c r="F83" s="139" t="s">
        <v>158</v>
      </c>
      <c r="G83" s="140"/>
      <c r="H83" s="140"/>
      <c r="I83" s="141"/>
      <c r="J83" s="108"/>
      <c r="K83" s="109"/>
      <c r="L83" s="109"/>
      <c r="M83" s="109"/>
      <c r="N83" s="109"/>
      <c r="O83" s="110"/>
      <c r="P83" s="139"/>
      <c r="Q83" s="140"/>
      <c r="R83" s="140"/>
      <c r="S83" s="141"/>
    </row>
    <row r="84" spans="1:19" ht="18" customHeight="1" x14ac:dyDescent="0.15">
      <c r="A84" s="3"/>
      <c r="B84" s="108" t="s">
        <v>172</v>
      </c>
      <c r="C84" s="109"/>
      <c r="D84" s="109"/>
      <c r="E84" s="110"/>
      <c r="F84" s="139" t="s">
        <v>164</v>
      </c>
      <c r="G84" s="140"/>
      <c r="H84" s="140"/>
      <c r="I84" s="141"/>
      <c r="J84" s="108"/>
      <c r="K84" s="109"/>
      <c r="L84" s="109"/>
      <c r="M84" s="109"/>
      <c r="N84" s="109"/>
      <c r="O84" s="110"/>
      <c r="P84" s="139"/>
      <c r="Q84" s="140"/>
      <c r="R84" s="140"/>
      <c r="S84" s="141"/>
    </row>
    <row r="85" spans="1:19" s="92" customFormat="1" ht="18" customHeight="1" x14ac:dyDescent="0.15">
      <c r="A85" s="93"/>
      <c r="B85" s="111" t="s">
        <v>173</v>
      </c>
      <c r="C85" s="112"/>
      <c r="D85" s="112"/>
      <c r="E85" s="113"/>
      <c r="F85" s="168" t="s">
        <v>167</v>
      </c>
      <c r="G85" s="169"/>
      <c r="H85" s="169"/>
      <c r="I85" s="170"/>
      <c r="J85" s="111"/>
      <c r="K85" s="112"/>
      <c r="L85" s="112"/>
      <c r="M85" s="112"/>
      <c r="N85" s="112"/>
      <c r="O85" s="113"/>
      <c r="P85" s="168"/>
      <c r="Q85" s="169"/>
      <c r="R85" s="169"/>
      <c r="S85" s="170"/>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71" t="s">
        <v>55</v>
      </c>
      <c r="C88" s="172"/>
      <c r="D88" s="117" t="s">
        <v>56</v>
      </c>
      <c r="E88" s="117"/>
      <c r="F88" s="117"/>
      <c r="G88" s="117"/>
      <c r="H88" s="117"/>
      <c r="I88" s="117"/>
      <c r="J88" s="117"/>
      <c r="K88" s="117"/>
      <c r="L88" s="117"/>
      <c r="M88" s="117"/>
      <c r="N88" s="117"/>
      <c r="O88" s="117"/>
      <c r="P88" s="117"/>
      <c r="Q88" s="117"/>
      <c r="R88" s="117"/>
      <c r="S88" s="116"/>
    </row>
    <row r="89" spans="1:19" ht="206.25" customHeight="1" x14ac:dyDescent="0.15">
      <c r="B89" s="161" t="s">
        <v>62</v>
      </c>
      <c r="C89" s="28" t="s">
        <v>57</v>
      </c>
      <c r="D89" s="164" t="s">
        <v>175</v>
      </c>
      <c r="E89" s="165"/>
      <c r="F89" s="165"/>
      <c r="G89" s="165"/>
      <c r="H89" s="165"/>
      <c r="I89" s="165"/>
      <c r="J89" s="165"/>
      <c r="K89" s="165"/>
      <c r="L89" s="165"/>
      <c r="M89" s="165"/>
      <c r="N89" s="165"/>
      <c r="O89" s="165"/>
      <c r="P89" s="165"/>
      <c r="Q89" s="165"/>
      <c r="R89" s="165"/>
      <c r="S89" s="166"/>
    </row>
    <row r="90" spans="1:19" ht="72.75" customHeight="1" x14ac:dyDescent="0.15">
      <c r="B90" s="162"/>
      <c r="C90" s="29" t="s">
        <v>78</v>
      </c>
      <c r="D90" s="148" t="s">
        <v>188</v>
      </c>
      <c r="E90" s="149"/>
      <c r="F90" s="149"/>
      <c r="G90" s="149"/>
      <c r="H90" s="149"/>
      <c r="I90" s="149"/>
      <c r="J90" s="149"/>
      <c r="K90" s="149"/>
      <c r="L90" s="149"/>
      <c r="M90" s="149"/>
      <c r="N90" s="149"/>
      <c r="O90" s="149"/>
      <c r="P90" s="149"/>
      <c r="Q90" s="149"/>
      <c r="R90" s="149"/>
      <c r="S90" s="150"/>
    </row>
    <row r="91" spans="1:19" ht="103.5" customHeight="1" x14ac:dyDescent="0.15">
      <c r="B91" s="161" t="s">
        <v>63</v>
      </c>
      <c r="C91" s="30" t="s">
        <v>72</v>
      </c>
      <c r="D91" s="151" t="s">
        <v>176</v>
      </c>
      <c r="E91" s="152"/>
      <c r="F91" s="152"/>
      <c r="G91" s="152"/>
      <c r="H91" s="152"/>
      <c r="I91" s="152"/>
      <c r="J91" s="152"/>
      <c r="K91" s="152"/>
      <c r="L91" s="152"/>
      <c r="M91" s="152"/>
      <c r="N91" s="152"/>
      <c r="O91" s="152"/>
      <c r="P91" s="152"/>
      <c r="Q91" s="152"/>
      <c r="R91" s="152"/>
      <c r="S91" s="153"/>
    </row>
    <row r="92" spans="1:19" ht="93.75" customHeight="1" x14ac:dyDescent="0.15">
      <c r="B92" s="163"/>
      <c r="C92" s="31" t="s">
        <v>73</v>
      </c>
      <c r="D92" s="157" t="s">
        <v>165</v>
      </c>
      <c r="E92" s="157"/>
      <c r="F92" s="157"/>
      <c r="G92" s="157"/>
      <c r="H92" s="157"/>
      <c r="I92" s="157"/>
      <c r="J92" s="157"/>
      <c r="K92" s="157"/>
      <c r="L92" s="157"/>
      <c r="M92" s="157"/>
      <c r="N92" s="157"/>
      <c r="O92" s="157"/>
      <c r="P92" s="157"/>
      <c r="Q92" s="157"/>
      <c r="R92" s="157"/>
      <c r="S92" s="158"/>
    </row>
    <row r="93" spans="1:19" ht="150.75" customHeight="1" x14ac:dyDescent="0.15">
      <c r="B93" s="161" t="s">
        <v>64</v>
      </c>
      <c r="C93" s="30" t="s">
        <v>74</v>
      </c>
      <c r="D93" s="151" t="s">
        <v>187</v>
      </c>
      <c r="E93" s="152"/>
      <c r="F93" s="152"/>
      <c r="G93" s="152"/>
      <c r="H93" s="152"/>
      <c r="I93" s="152"/>
      <c r="J93" s="152"/>
      <c r="K93" s="152"/>
      <c r="L93" s="152"/>
      <c r="M93" s="152"/>
      <c r="N93" s="152"/>
      <c r="O93" s="152"/>
      <c r="P93" s="152"/>
      <c r="Q93" s="152"/>
      <c r="R93" s="152"/>
      <c r="S93" s="153"/>
    </row>
    <row r="94" spans="1:19" ht="62.25" customHeight="1" x14ac:dyDescent="0.15">
      <c r="B94" s="163"/>
      <c r="C94" s="32" t="s">
        <v>75</v>
      </c>
      <c r="D94" s="154" t="s">
        <v>166</v>
      </c>
      <c r="E94" s="155"/>
      <c r="F94" s="155"/>
      <c r="G94" s="155"/>
      <c r="H94" s="155"/>
      <c r="I94" s="155"/>
      <c r="J94" s="155"/>
      <c r="K94" s="155"/>
      <c r="L94" s="155"/>
      <c r="M94" s="155"/>
      <c r="N94" s="155"/>
      <c r="O94" s="155"/>
      <c r="P94" s="155"/>
      <c r="Q94" s="155"/>
      <c r="R94" s="155"/>
      <c r="S94" s="156"/>
    </row>
    <row r="95" spans="1:19" ht="189.75" customHeight="1" x14ac:dyDescent="0.15">
      <c r="B95" s="161" t="s">
        <v>79</v>
      </c>
      <c r="C95" s="28" t="s">
        <v>59</v>
      </c>
      <c r="D95" s="164" t="s">
        <v>169</v>
      </c>
      <c r="E95" s="165"/>
      <c r="F95" s="165"/>
      <c r="G95" s="165"/>
      <c r="H95" s="165"/>
      <c r="I95" s="165"/>
      <c r="J95" s="165"/>
      <c r="K95" s="165"/>
      <c r="L95" s="165"/>
      <c r="M95" s="165"/>
      <c r="N95" s="165"/>
      <c r="O95" s="165"/>
      <c r="P95" s="165"/>
      <c r="Q95" s="165"/>
      <c r="R95" s="165"/>
      <c r="S95" s="166"/>
    </row>
    <row r="96" spans="1:19" ht="70.5" customHeight="1" x14ac:dyDescent="0.15">
      <c r="B96" s="163"/>
      <c r="C96" s="31" t="s">
        <v>61</v>
      </c>
      <c r="D96" s="157" t="s">
        <v>170</v>
      </c>
      <c r="E96" s="159"/>
      <c r="F96" s="159"/>
      <c r="G96" s="159"/>
      <c r="H96" s="159"/>
      <c r="I96" s="159"/>
      <c r="J96" s="159"/>
      <c r="K96" s="159"/>
      <c r="L96" s="159"/>
      <c r="M96" s="159"/>
      <c r="N96" s="159"/>
      <c r="O96" s="159"/>
      <c r="P96" s="159"/>
      <c r="Q96" s="159"/>
      <c r="R96" s="159"/>
      <c r="S96" s="160"/>
    </row>
    <row r="97" spans="1:19" ht="268.5" customHeight="1" x14ac:dyDescent="0.15">
      <c r="B97" s="161" t="s">
        <v>80</v>
      </c>
      <c r="C97" s="30" t="s">
        <v>58</v>
      </c>
      <c r="D97" s="121" t="s">
        <v>189</v>
      </c>
      <c r="E97" s="119"/>
      <c r="F97" s="119"/>
      <c r="G97" s="119"/>
      <c r="H97" s="119"/>
      <c r="I97" s="119"/>
      <c r="J97" s="119"/>
      <c r="K97" s="119"/>
      <c r="L97" s="119"/>
      <c r="M97" s="119"/>
      <c r="N97" s="119"/>
      <c r="O97" s="119"/>
      <c r="P97" s="119"/>
      <c r="Q97" s="119"/>
      <c r="R97" s="119"/>
      <c r="S97" s="120"/>
    </row>
    <row r="98" spans="1:19" ht="166.5" customHeight="1" x14ac:dyDescent="0.15">
      <c r="B98" s="162"/>
      <c r="C98" s="33" t="s">
        <v>76</v>
      </c>
      <c r="D98" s="167" t="s">
        <v>174</v>
      </c>
      <c r="E98" s="109"/>
      <c r="F98" s="109"/>
      <c r="G98" s="109"/>
      <c r="H98" s="109"/>
      <c r="I98" s="109"/>
      <c r="J98" s="109"/>
      <c r="K98" s="109"/>
      <c r="L98" s="109"/>
      <c r="M98" s="109"/>
      <c r="N98" s="109"/>
      <c r="O98" s="109"/>
      <c r="P98" s="109"/>
      <c r="Q98" s="109"/>
      <c r="R98" s="109"/>
      <c r="S98" s="110"/>
    </row>
    <row r="99" spans="1:19" ht="75.75" customHeight="1" x14ac:dyDescent="0.15">
      <c r="B99" s="163"/>
      <c r="C99" s="32" t="s">
        <v>77</v>
      </c>
      <c r="D99" s="122" t="s">
        <v>186</v>
      </c>
      <c r="E99" s="123"/>
      <c r="F99" s="123"/>
      <c r="G99" s="123"/>
      <c r="H99" s="123"/>
      <c r="I99" s="123"/>
      <c r="J99" s="123"/>
      <c r="K99" s="123"/>
      <c r="L99" s="123"/>
      <c r="M99" s="123"/>
      <c r="N99" s="123"/>
      <c r="O99" s="123"/>
      <c r="P99" s="123"/>
      <c r="Q99" s="123"/>
      <c r="R99" s="123"/>
      <c r="S99" s="124"/>
    </row>
    <row r="100" spans="1:19" ht="6" customHeight="1" x14ac:dyDescent="0.15"/>
    <row r="101" spans="1:19" ht="18.75" customHeight="1" x14ac:dyDescent="0.15">
      <c r="A101" s="1" t="s">
        <v>121</v>
      </c>
    </row>
    <row r="102" spans="1:19" ht="61.5" customHeight="1" x14ac:dyDescent="0.15">
      <c r="B102" s="142" t="s">
        <v>149</v>
      </c>
      <c r="C102" s="143"/>
      <c r="D102" s="143"/>
      <c r="E102" s="143"/>
      <c r="F102" s="143"/>
      <c r="G102" s="143"/>
      <c r="H102" s="143"/>
      <c r="I102" s="143"/>
      <c r="J102" s="143"/>
      <c r="K102" s="143"/>
      <c r="L102" s="143"/>
      <c r="M102" s="143"/>
      <c r="N102" s="143"/>
      <c r="O102" s="143"/>
      <c r="P102" s="143"/>
      <c r="Q102" s="143"/>
      <c r="R102" s="143"/>
      <c r="S102" s="144"/>
    </row>
    <row r="110" spans="1:19" ht="18" customHeight="1" x14ac:dyDescent="0.15"/>
  </sheetData>
  <mergeCells count="145">
    <mergeCell ref="P78:S78"/>
    <mergeCell ref="B79:E79"/>
    <mergeCell ref="J51:O51"/>
    <mergeCell ref="J52:O52"/>
    <mergeCell ref="B74:D74"/>
    <mergeCell ref="J74:N74"/>
    <mergeCell ref="B48:E48"/>
    <mergeCell ref="B78:E78"/>
    <mergeCell ref="F79:I79"/>
    <mergeCell ref="B60:E60"/>
    <mergeCell ref="B61:E61"/>
    <mergeCell ref="B62:E62"/>
    <mergeCell ref="B63:E63"/>
    <mergeCell ref="B64:E64"/>
    <mergeCell ref="A66:S67"/>
    <mergeCell ref="J59:O59"/>
    <mergeCell ref="B68:D68"/>
    <mergeCell ref="J68:N68"/>
    <mergeCell ref="B50:E50"/>
    <mergeCell ref="B51:E51"/>
    <mergeCell ref="B52:E52"/>
    <mergeCell ref="F85:I85"/>
    <mergeCell ref="J79:O79"/>
    <mergeCell ref="J46:O46"/>
    <mergeCell ref="B69:D69"/>
    <mergeCell ref="B70:D70"/>
    <mergeCell ref="B49:E49"/>
    <mergeCell ref="B71:D71"/>
    <mergeCell ref="B72:D72"/>
    <mergeCell ref="J53:O53"/>
    <mergeCell ref="J69:N69"/>
    <mergeCell ref="J70:N70"/>
    <mergeCell ref="J71:N71"/>
    <mergeCell ref="J72:N72"/>
    <mergeCell ref="B85:E85"/>
    <mergeCell ref="B53:E53"/>
    <mergeCell ref="B38:E38"/>
    <mergeCell ref="B39:E39"/>
    <mergeCell ref="B40:E40"/>
    <mergeCell ref="B41:E41"/>
    <mergeCell ref="B42:E42"/>
    <mergeCell ref="J47:O47"/>
    <mergeCell ref="J48:O48"/>
    <mergeCell ref="J49:O49"/>
    <mergeCell ref="J50:O50"/>
    <mergeCell ref="J39:O39"/>
    <mergeCell ref="J41:O41"/>
    <mergeCell ref="J42:O42"/>
    <mergeCell ref="A44:S45"/>
    <mergeCell ref="B97:B99"/>
    <mergeCell ref="B95:B96"/>
    <mergeCell ref="D95:S95"/>
    <mergeCell ref="J73:N73"/>
    <mergeCell ref="J75:N75"/>
    <mergeCell ref="B91:B92"/>
    <mergeCell ref="D98:S98"/>
    <mergeCell ref="B93:B94"/>
    <mergeCell ref="B89:B90"/>
    <mergeCell ref="B82:E82"/>
    <mergeCell ref="F81:I81"/>
    <mergeCell ref="F82:I82"/>
    <mergeCell ref="J81:O81"/>
    <mergeCell ref="J82:O82"/>
    <mergeCell ref="P85:S85"/>
    <mergeCell ref="B88:C88"/>
    <mergeCell ref="D88:S88"/>
    <mergeCell ref="D89:S89"/>
    <mergeCell ref="F78:I78"/>
    <mergeCell ref="J78:O78"/>
    <mergeCell ref="B73:D73"/>
    <mergeCell ref="B75:D75"/>
    <mergeCell ref="P82:S82"/>
    <mergeCell ref="P79:S79"/>
    <mergeCell ref="A5:S5"/>
    <mergeCell ref="B13:S18"/>
    <mergeCell ref="P81:S81"/>
    <mergeCell ref="J85:O85"/>
    <mergeCell ref="B102:S102"/>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D96:S96"/>
    <mergeCell ref="A22:S23"/>
    <mergeCell ref="J35:O35"/>
    <mergeCell ref="D97:S97"/>
    <mergeCell ref="D99:S99"/>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K7:S7"/>
    <mergeCell ref="B9:S10"/>
    <mergeCell ref="J60:O60"/>
    <mergeCell ref="J61:O61"/>
    <mergeCell ref="J62:O62"/>
    <mergeCell ref="J63:O63"/>
    <mergeCell ref="J64:O64"/>
    <mergeCell ref="A33:S34"/>
    <mergeCell ref="C20:D20"/>
    <mergeCell ref="B35:E35"/>
    <mergeCell ref="B36:E36"/>
    <mergeCell ref="B37:E37"/>
    <mergeCell ref="B57:E57"/>
    <mergeCell ref="B58:E58"/>
    <mergeCell ref="B59:E59"/>
    <mergeCell ref="B46:E46"/>
    <mergeCell ref="B47:E47"/>
    <mergeCell ref="J40:O40"/>
    <mergeCell ref="A55:S56"/>
    <mergeCell ref="J36:O36"/>
    <mergeCell ref="J37:O37"/>
    <mergeCell ref="J38:O38"/>
    <mergeCell ref="J57:O57"/>
    <mergeCell ref="J58:O58"/>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47:I53 Q25:S31 Q36:S42 G58:I64 Q47:S53 G25:I31 Q58:S64 G36:I42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G79:I80 Q79:S80 F79:F86 P79:P86 G83:I86 Q83:S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F5" sqref="F5"/>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82" t="str">
        <f>'様式１　プログラムを構成する授業科目'!C2</f>
        <v>九州産業大学</v>
      </c>
      <c r="AN2" s="182"/>
      <c r="AO2" s="182"/>
      <c r="AP2" s="182"/>
      <c r="AQ2" s="182"/>
    </row>
    <row r="3" spans="1:45" ht="18" customHeight="1" x14ac:dyDescent="0.15">
      <c r="A3" s="129" t="s">
        <v>48</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83" t="s">
        <v>185</v>
      </c>
      <c r="D5" s="184"/>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5" t="s">
        <v>45</v>
      </c>
      <c r="C9" s="200" t="s">
        <v>87</v>
      </c>
      <c r="D9" s="188" t="s">
        <v>47</v>
      </c>
      <c r="E9" s="191" t="s">
        <v>40</v>
      </c>
      <c r="F9" s="181" t="s">
        <v>86</v>
      </c>
      <c r="G9" s="181"/>
      <c r="H9" s="181"/>
      <c r="I9" s="181"/>
      <c r="J9" s="181"/>
      <c r="K9" s="181"/>
      <c r="L9" s="181" t="s">
        <v>49</v>
      </c>
      <c r="M9" s="181"/>
      <c r="N9" s="181"/>
      <c r="O9" s="181"/>
      <c r="P9" s="181"/>
      <c r="Q9" s="181"/>
      <c r="R9" s="181" t="s">
        <v>50</v>
      </c>
      <c r="S9" s="181"/>
      <c r="T9" s="181"/>
      <c r="U9" s="181"/>
      <c r="V9" s="181"/>
      <c r="W9" s="181"/>
      <c r="X9" s="181" t="s">
        <v>101</v>
      </c>
      <c r="Y9" s="181"/>
      <c r="Z9" s="181"/>
      <c r="AA9" s="181"/>
      <c r="AB9" s="181"/>
      <c r="AC9" s="181"/>
      <c r="AD9" s="181" t="s">
        <v>51</v>
      </c>
      <c r="AE9" s="181"/>
      <c r="AF9" s="181"/>
      <c r="AG9" s="181"/>
      <c r="AH9" s="181"/>
      <c r="AI9" s="181"/>
      <c r="AJ9" s="181" t="s">
        <v>52</v>
      </c>
      <c r="AK9" s="181"/>
      <c r="AL9" s="181"/>
      <c r="AM9" s="181"/>
      <c r="AN9" s="181"/>
      <c r="AO9" s="181"/>
      <c r="AP9" s="194" t="s">
        <v>35</v>
      </c>
      <c r="AQ9" s="197" t="s">
        <v>32</v>
      </c>
      <c r="AS9" s="2"/>
    </row>
    <row r="10" spans="1:45" ht="16.899999999999999" customHeight="1" x14ac:dyDescent="0.15">
      <c r="B10" s="186"/>
      <c r="C10" s="201"/>
      <c r="D10" s="189"/>
      <c r="E10" s="192"/>
      <c r="F10" s="179" t="s">
        <v>97</v>
      </c>
      <c r="G10" s="180"/>
      <c r="H10" s="180"/>
      <c r="I10" s="179" t="s">
        <v>29</v>
      </c>
      <c r="J10" s="180"/>
      <c r="K10" s="180"/>
      <c r="L10" s="179" t="s">
        <v>97</v>
      </c>
      <c r="M10" s="180"/>
      <c r="N10" s="180"/>
      <c r="O10" s="179" t="s">
        <v>29</v>
      </c>
      <c r="P10" s="180"/>
      <c r="Q10" s="180"/>
      <c r="R10" s="179" t="s">
        <v>97</v>
      </c>
      <c r="S10" s="180"/>
      <c r="T10" s="180"/>
      <c r="U10" s="179" t="s">
        <v>29</v>
      </c>
      <c r="V10" s="180"/>
      <c r="W10" s="180"/>
      <c r="X10" s="179" t="s">
        <v>97</v>
      </c>
      <c r="Y10" s="180"/>
      <c r="Z10" s="180"/>
      <c r="AA10" s="179" t="s">
        <v>29</v>
      </c>
      <c r="AB10" s="180"/>
      <c r="AC10" s="180"/>
      <c r="AD10" s="179" t="s">
        <v>97</v>
      </c>
      <c r="AE10" s="180"/>
      <c r="AF10" s="180"/>
      <c r="AG10" s="179" t="s">
        <v>29</v>
      </c>
      <c r="AH10" s="180"/>
      <c r="AI10" s="180"/>
      <c r="AJ10" s="179" t="s">
        <v>97</v>
      </c>
      <c r="AK10" s="180"/>
      <c r="AL10" s="180"/>
      <c r="AM10" s="179" t="s">
        <v>29</v>
      </c>
      <c r="AN10" s="180"/>
      <c r="AO10" s="180"/>
      <c r="AP10" s="195"/>
      <c r="AQ10" s="198"/>
      <c r="AS10" s="2"/>
    </row>
    <row r="11" spans="1:45" ht="18" customHeight="1" x14ac:dyDescent="0.15">
      <c r="B11" s="187"/>
      <c r="C11" s="202"/>
      <c r="D11" s="190"/>
      <c r="E11" s="193"/>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6"/>
      <c r="AQ11" s="199"/>
      <c r="AS11" s="2"/>
    </row>
    <row r="12" spans="1:45" ht="18" customHeight="1" x14ac:dyDescent="0.15">
      <c r="A12" s="6"/>
      <c r="B12" s="11" t="s">
        <v>128</v>
      </c>
      <c r="C12" s="62">
        <v>1568</v>
      </c>
      <c r="D12" s="6">
        <v>400</v>
      </c>
      <c r="E12" s="85">
        <v>1600</v>
      </c>
      <c r="F12" s="64">
        <f>G12+H12</f>
        <v>390</v>
      </c>
      <c r="G12" s="65">
        <v>338</v>
      </c>
      <c r="H12" s="66">
        <v>52</v>
      </c>
      <c r="I12" s="64">
        <f>J12+K12</f>
        <v>0</v>
      </c>
      <c r="J12" s="89">
        <v>0</v>
      </c>
      <c r="K12" s="66">
        <v>0</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390</v>
      </c>
      <c r="AQ12" s="21">
        <f t="shared" ref="AQ12:AQ32" si="0">AP12/E12</f>
        <v>0.24374999999999999</v>
      </c>
    </row>
    <row r="13" spans="1:45" ht="18" customHeight="1" x14ac:dyDescent="0.15">
      <c r="A13" s="6"/>
      <c r="B13" s="12" t="s">
        <v>129</v>
      </c>
      <c r="C13" s="67">
        <v>2048</v>
      </c>
      <c r="D13" s="83">
        <v>500</v>
      </c>
      <c r="E13" s="82">
        <v>2000</v>
      </c>
      <c r="F13" s="70">
        <f t="shared" ref="F13:F31" si="1">G13+H13</f>
        <v>143</v>
      </c>
      <c r="G13" s="71">
        <v>115</v>
      </c>
      <c r="H13" s="72">
        <v>28</v>
      </c>
      <c r="I13" s="70">
        <f t="shared" ref="I13:I31" si="2">J13+K13</f>
        <v>0</v>
      </c>
      <c r="J13" s="65">
        <v>0</v>
      </c>
      <c r="K13" s="72">
        <v>0</v>
      </c>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143</v>
      </c>
      <c r="AQ13" s="20">
        <f t="shared" si="0"/>
        <v>7.1499999999999994E-2</v>
      </c>
    </row>
    <row r="14" spans="1:45" ht="18" customHeight="1" x14ac:dyDescent="0.15">
      <c r="A14" s="6"/>
      <c r="B14" s="12" t="s">
        <v>130</v>
      </c>
      <c r="C14" s="67">
        <v>1101</v>
      </c>
      <c r="D14" s="83">
        <v>280</v>
      </c>
      <c r="E14" s="82">
        <v>1120</v>
      </c>
      <c r="F14" s="70">
        <f t="shared" si="1"/>
        <v>64</v>
      </c>
      <c r="G14" s="71">
        <v>48</v>
      </c>
      <c r="H14" s="72">
        <v>16</v>
      </c>
      <c r="I14" s="70">
        <f t="shared" si="2"/>
        <v>0</v>
      </c>
      <c r="J14" s="91">
        <v>0</v>
      </c>
      <c r="K14" s="66">
        <v>0</v>
      </c>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64</v>
      </c>
      <c r="AQ14" s="8">
        <f t="shared" si="0"/>
        <v>5.7142857142857141E-2</v>
      </c>
    </row>
    <row r="15" spans="1:45" ht="18" customHeight="1" x14ac:dyDescent="0.15">
      <c r="A15" s="6"/>
      <c r="B15" s="12" t="s">
        <v>131</v>
      </c>
      <c r="C15" s="67">
        <v>1458</v>
      </c>
      <c r="D15" s="83">
        <v>370</v>
      </c>
      <c r="E15" s="82">
        <v>1480</v>
      </c>
      <c r="F15" s="70">
        <f t="shared" si="1"/>
        <v>385</v>
      </c>
      <c r="G15" s="71">
        <v>367</v>
      </c>
      <c r="H15" s="72">
        <v>18</v>
      </c>
      <c r="I15" s="70">
        <f t="shared" si="2"/>
        <v>0</v>
      </c>
      <c r="J15" s="65">
        <v>0</v>
      </c>
      <c r="K15" s="90">
        <v>0</v>
      </c>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385</v>
      </c>
      <c r="AQ15" s="8">
        <f t="shared" si="0"/>
        <v>0.26013513513513514</v>
      </c>
    </row>
    <row r="16" spans="1:45" ht="18" customHeight="1" x14ac:dyDescent="0.15">
      <c r="A16" s="6"/>
      <c r="B16" s="12" t="s">
        <v>132</v>
      </c>
      <c r="C16" s="67">
        <v>373</v>
      </c>
      <c r="D16" s="83">
        <v>110</v>
      </c>
      <c r="E16" s="82">
        <v>440</v>
      </c>
      <c r="F16" s="70">
        <f t="shared" si="1"/>
        <v>51</v>
      </c>
      <c r="G16" s="71">
        <v>33</v>
      </c>
      <c r="H16" s="72">
        <v>18</v>
      </c>
      <c r="I16" s="70">
        <f t="shared" si="2"/>
        <v>0</v>
      </c>
      <c r="J16" s="91">
        <v>0</v>
      </c>
      <c r="K16" s="72">
        <v>0</v>
      </c>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51</v>
      </c>
      <c r="AQ16" s="8">
        <f t="shared" si="0"/>
        <v>0.11590909090909091</v>
      </c>
    </row>
    <row r="17" spans="1:43" ht="18" customHeight="1" x14ac:dyDescent="0.15">
      <c r="A17" s="6"/>
      <c r="B17" s="12" t="s">
        <v>133</v>
      </c>
      <c r="C17" s="67">
        <v>794</v>
      </c>
      <c r="D17" s="83">
        <v>200</v>
      </c>
      <c r="E17" s="82">
        <v>800</v>
      </c>
      <c r="F17" s="70">
        <f t="shared" si="1"/>
        <v>44</v>
      </c>
      <c r="G17" s="71">
        <v>39</v>
      </c>
      <c r="H17" s="72">
        <v>5</v>
      </c>
      <c r="I17" s="70">
        <f t="shared" si="2"/>
        <v>0</v>
      </c>
      <c r="J17" s="91">
        <v>0</v>
      </c>
      <c r="K17" s="66">
        <v>0</v>
      </c>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44</v>
      </c>
      <c r="AQ17" s="8">
        <f t="shared" si="0"/>
        <v>5.5E-2</v>
      </c>
    </row>
    <row r="18" spans="1:43" ht="18" customHeight="1" x14ac:dyDescent="0.15">
      <c r="A18" s="6"/>
      <c r="B18" s="12" t="s">
        <v>134</v>
      </c>
      <c r="C18" s="67">
        <v>1257</v>
      </c>
      <c r="D18" s="83">
        <v>300</v>
      </c>
      <c r="E18" s="82">
        <v>1200</v>
      </c>
      <c r="F18" s="70">
        <f t="shared" si="1"/>
        <v>70</v>
      </c>
      <c r="G18" s="71">
        <v>30</v>
      </c>
      <c r="H18" s="72">
        <v>40</v>
      </c>
      <c r="I18" s="70">
        <f t="shared" si="2"/>
        <v>0</v>
      </c>
      <c r="J18" s="91">
        <v>0</v>
      </c>
      <c r="K18" s="72">
        <v>0</v>
      </c>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70</v>
      </c>
      <c r="AQ18" s="8">
        <f t="shared" si="0"/>
        <v>5.8333333333333334E-2</v>
      </c>
    </row>
    <row r="19" spans="1:43" ht="18" customHeight="1" x14ac:dyDescent="0.15">
      <c r="A19" s="6"/>
      <c r="B19" s="12" t="s">
        <v>135</v>
      </c>
      <c r="C19" s="67">
        <v>555</v>
      </c>
      <c r="D19" s="83">
        <v>140</v>
      </c>
      <c r="E19" s="82">
        <v>560</v>
      </c>
      <c r="F19" s="70">
        <f t="shared" si="1"/>
        <v>27</v>
      </c>
      <c r="G19" s="71">
        <v>16</v>
      </c>
      <c r="H19" s="72">
        <v>11</v>
      </c>
      <c r="I19" s="70">
        <f t="shared" si="2"/>
        <v>0</v>
      </c>
      <c r="J19" s="91">
        <v>0</v>
      </c>
      <c r="K19" s="66">
        <v>0</v>
      </c>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27</v>
      </c>
      <c r="AQ19" s="8">
        <f t="shared" si="0"/>
        <v>4.8214285714285716E-2</v>
      </c>
    </row>
    <row r="20" spans="1:43" ht="18" customHeight="1" x14ac:dyDescent="0.15">
      <c r="A20" s="6"/>
      <c r="B20" s="12" t="s">
        <v>136</v>
      </c>
      <c r="C20" s="67">
        <v>944</v>
      </c>
      <c r="D20" s="84">
        <v>230</v>
      </c>
      <c r="E20" s="82">
        <v>920</v>
      </c>
      <c r="F20" s="70">
        <f t="shared" si="1"/>
        <v>9</v>
      </c>
      <c r="G20" s="71">
        <v>8</v>
      </c>
      <c r="H20" s="72">
        <v>1</v>
      </c>
      <c r="I20" s="70">
        <f t="shared" si="2"/>
        <v>0</v>
      </c>
      <c r="J20" s="65">
        <v>0</v>
      </c>
      <c r="K20" s="72">
        <v>0</v>
      </c>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9</v>
      </c>
      <c r="AQ20" s="8">
        <f t="shared" si="0"/>
        <v>9.7826086956521747E-3</v>
      </c>
    </row>
    <row r="21" spans="1:43" ht="18" customHeight="1" x14ac:dyDescent="0.15">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15">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15">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15">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15">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15">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15">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15">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15">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15">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15">
      <c r="B32" s="14" t="s">
        <v>33</v>
      </c>
      <c r="C32" s="77">
        <f t="shared" ref="C32" si="14">SUM(C12:C31)</f>
        <v>10098</v>
      </c>
      <c r="D32" s="78">
        <f t="shared" ref="D32:AP32" si="15">SUM(D12:D31)</f>
        <v>2530</v>
      </c>
      <c r="E32" s="79">
        <f t="shared" si="15"/>
        <v>10120</v>
      </c>
      <c r="F32" s="79">
        <f t="shared" si="15"/>
        <v>1183</v>
      </c>
      <c r="G32" s="80">
        <f t="shared" si="15"/>
        <v>994</v>
      </c>
      <c r="H32" s="81">
        <f t="shared" si="15"/>
        <v>189</v>
      </c>
      <c r="I32" s="79">
        <f t="shared" ref="I32:N32" si="16">SUM(I12:I31)</f>
        <v>0</v>
      </c>
      <c r="J32" s="80">
        <f t="shared" si="16"/>
        <v>0</v>
      </c>
      <c r="K32" s="81">
        <f t="shared" si="16"/>
        <v>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1183</v>
      </c>
      <c r="AQ32" s="9">
        <f t="shared" si="0"/>
        <v>0.11689723320158103</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35"/>
  <sheetViews>
    <sheetView showZeros="0" view="pageBreakPreview" zoomScale="120" zoomScaleNormal="100" zoomScaleSheetLayoutView="120" workbookViewId="0">
      <selection activeCell="B2" sqref="B2"/>
    </sheetView>
  </sheetViews>
  <sheetFormatPr defaultColWidth="11.375" defaultRowHeight="18.75" customHeight="1" x14ac:dyDescent="0.15"/>
  <cols>
    <col min="1" max="1" width="2.75" style="4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65</v>
      </c>
      <c r="I1" s="35" t="s">
        <v>106</v>
      </c>
    </row>
    <row r="2" spans="1:9" ht="18.75" customHeight="1" x14ac:dyDescent="0.15">
      <c r="G2" s="35" t="s">
        <v>109</v>
      </c>
      <c r="H2" s="115" t="str">
        <f>'様式１　プログラムを構成する授業科目'!C2</f>
        <v>九州産業大学</v>
      </c>
      <c r="I2" s="116"/>
    </row>
    <row r="3" spans="1:9" ht="18.75" customHeight="1" x14ac:dyDescent="0.15">
      <c r="G3" s="35"/>
      <c r="H3" s="10"/>
      <c r="I3" s="10"/>
    </row>
    <row r="4" spans="1:9" ht="18.600000000000001" customHeight="1" x14ac:dyDescent="0.15">
      <c r="A4" s="129" t="s">
        <v>36</v>
      </c>
      <c r="B4" s="129"/>
      <c r="C4" s="129"/>
      <c r="D4" s="129"/>
      <c r="E4" s="129"/>
      <c r="F4" s="129"/>
      <c r="G4" s="129"/>
      <c r="H4" s="129"/>
      <c r="I4" s="129"/>
    </row>
    <row r="5" spans="1:9" ht="13.15" customHeight="1" x14ac:dyDescent="0.15">
      <c r="B5" s="3"/>
      <c r="C5" s="3"/>
      <c r="D5" s="3"/>
      <c r="E5" s="3"/>
      <c r="F5" s="3"/>
      <c r="G5" s="3"/>
      <c r="H5" s="3"/>
      <c r="I5" s="3"/>
    </row>
    <row r="6" spans="1:9" ht="18" customHeight="1" x14ac:dyDescent="0.15">
      <c r="A6" s="1" t="s">
        <v>0</v>
      </c>
      <c r="B6" s="10" t="s">
        <v>91</v>
      </c>
      <c r="C6" s="269" t="s">
        <v>92</v>
      </c>
      <c r="D6" s="269"/>
      <c r="E6" s="34">
        <v>369</v>
      </c>
      <c r="F6" s="3" t="s">
        <v>1</v>
      </c>
      <c r="G6" s="3" t="s">
        <v>2</v>
      </c>
      <c r="H6" s="34">
        <v>573</v>
      </c>
      <c r="I6" s="10" t="s">
        <v>1</v>
      </c>
    </row>
    <row r="7" spans="1:9" ht="12" customHeight="1" x14ac:dyDescent="0.15">
      <c r="C7" s="2"/>
      <c r="D7" s="2"/>
      <c r="E7" s="2"/>
      <c r="F7" s="2"/>
      <c r="G7" s="2"/>
      <c r="H7" s="2"/>
      <c r="I7" s="42"/>
    </row>
    <row r="8" spans="1:9" ht="18" customHeight="1" x14ac:dyDescent="0.15">
      <c r="A8" s="1" t="s">
        <v>3</v>
      </c>
      <c r="B8" s="10" t="s">
        <v>93</v>
      </c>
      <c r="E8" s="3"/>
      <c r="F8" s="3"/>
      <c r="G8" s="3"/>
      <c r="H8" s="34">
        <v>12</v>
      </c>
      <c r="I8" s="10" t="s">
        <v>1</v>
      </c>
    </row>
    <row r="9" spans="1:9" ht="9" customHeight="1" x14ac:dyDescent="0.15">
      <c r="B9" s="3"/>
      <c r="C9" s="3"/>
      <c r="D9" s="3"/>
      <c r="E9" s="3"/>
      <c r="F9" s="3"/>
      <c r="G9" s="3"/>
      <c r="H9" s="3"/>
      <c r="I9" s="3"/>
    </row>
    <row r="10" spans="1:9" ht="18" customHeight="1" x14ac:dyDescent="0.15">
      <c r="A10" s="1" t="s">
        <v>4</v>
      </c>
      <c r="B10" s="10" t="s">
        <v>94</v>
      </c>
      <c r="C10" s="3"/>
      <c r="D10" s="3"/>
      <c r="E10" s="3"/>
      <c r="F10" s="3"/>
      <c r="G10" s="3"/>
      <c r="H10" s="3"/>
      <c r="I10" s="3"/>
    </row>
    <row r="11" spans="1:9" ht="18" customHeight="1" x14ac:dyDescent="0.15">
      <c r="B11" s="35" t="s">
        <v>43</v>
      </c>
      <c r="C11" s="266" t="s">
        <v>139</v>
      </c>
      <c r="D11" s="267"/>
      <c r="E11" s="268"/>
      <c r="F11" s="42"/>
      <c r="G11" s="35" t="s">
        <v>10</v>
      </c>
      <c r="H11" s="266" t="s">
        <v>140</v>
      </c>
      <c r="I11" s="268"/>
    </row>
    <row r="12" spans="1:9" ht="10.15" customHeight="1" x14ac:dyDescent="0.15">
      <c r="B12" s="35"/>
      <c r="C12" s="10"/>
      <c r="D12" s="42"/>
      <c r="E12" s="42"/>
      <c r="F12" s="42"/>
      <c r="G12" s="35"/>
      <c r="H12" s="10"/>
      <c r="I12" s="42"/>
    </row>
    <row r="13" spans="1:9" ht="18" customHeight="1" x14ac:dyDescent="0.15">
      <c r="A13" s="1" t="s">
        <v>7</v>
      </c>
      <c r="B13" s="10" t="s">
        <v>88</v>
      </c>
      <c r="C13" s="3"/>
      <c r="D13" s="3"/>
      <c r="E13" s="3"/>
      <c r="F13" s="3"/>
      <c r="G13" s="3"/>
      <c r="H13" s="3"/>
      <c r="I13" s="3"/>
    </row>
    <row r="14" spans="1:9" ht="18" customHeight="1" x14ac:dyDescent="0.15">
      <c r="B14" s="249" t="s">
        <v>141</v>
      </c>
      <c r="C14" s="250"/>
      <c r="D14" s="250"/>
      <c r="E14" s="250"/>
      <c r="F14" s="250"/>
      <c r="G14" s="250"/>
      <c r="H14" s="250"/>
      <c r="I14" s="251"/>
    </row>
    <row r="15" spans="1:9" ht="9" customHeight="1" x14ac:dyDescent="0.15">
      <c r="B15" s="3"/>
      <c r="C15" s="3"/>
      <c r="D15" s="3"/>
      <c r="E15" s="3"/>
      <c r="F15" s="3"/>
      <c r="G15" s="3"/>
      <c r="H15" s="3"/>
      <c r="I15" s="3"/>
    </row>
    <row r="16" spans="1:9" ht="18" customHeight="1" x14ac:dyDescent="0.15">
      <c r="B16" s="35" t="s">
        <v>43</v>
      </c>
      <c r="C16" s="266" t="s">
        <v>139</v>
      </c>
      <c r="D16" s="267"/>
      <c r="E16" s="268"/>
      <c r="F16" s="42"/>
      <c r="G16" s="35" t="s">
        <v>10</v>
      </c>
      <c r="H16" s="266" t="s">
        <v>140</v>
      </c>
      <c r="I16" s="268"/>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49" t="s">
        <v>144</v>
      </c>
      <c r="C19" s="250"/>
      <c r="D19" s="250"/>
      <c r="E19" s="250"/>
      <c r="F19" s="250"/>
      <c r="G19" s="250"/>
      <c r="H19" s="250"/>
      <c r="I19" s="251"/>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52" t="s">
        <v>145</v>
      </c>
      <c r="C22" s="253"/>
      <c r="D22" s="253"/>
      <c r="E22" s="253"/>
      <c r="F22" s="253"/>
      <c r="G22" s="253"/>
      <c r="H22" s="253"/>
      <c r="I22" s="254"/>
    </row>
    <row r="23" spans="1:9" ht="18.75" customHeight="1" x14ac:dyDescent="0.15">
      <c r="A23" s="15"/>
      <c r="B23" s="255"/>
      <c r="C23" s="256"/>
      <c r="D23" s="256"/>
      <c r="E23" s="256"/>
      <c r="F23" s="256"/>
      <c r="G23" s="256"/>
      <c r="H23" s="256"/>
      <c r="I23" s="257"/>
    </row>
    <row r="24" spans="1:9" ht="18.75" customHeight="1" x14ac:dyDescent="0.15">
      <c r="A24" s="15"/>
      <c r="B24" s="255"/>
      <c r="C24" s="256"/>
      <c r="D24" s="256"/>
      <c r="E24" s="256"/>
      <c r="F24" s="256"/>
      <c r="G24" s="256"/>
      <c r="H24" s="256"/>
      <c r="I24" s="257"/>
    </row>
    <row r="25" spans="1:9" ht="18.75" customHeight="1" x14ac:dyDescent="0.15">
      <c r="A25" s="15"/>
      <c r="B25" s="255"/>
      <c r="C25" s="256"/>
      <c r="D25" s="256"/>
      <c r="E25" s="256"/>
      <c r="F25" s="256"/>
      <c r="G25" s="256"/>
      <c r="H25" s="256"/>
      <c r="I25" s="257"/>
    </row>
    <row r="26" spans="1:9" ht="18.75" customHeight="1" x14ac:dyDescent="0.15">
      <c r="A26" s="15"/>
      <c r="B26" s="255"/>
      <c r="C26" s="256"/>
      <c r="D26" s="256"/>
      <c r="E26" s="256"/>
      <c r="F26" s="256"/>
      <c r="G26" s="256"/>
      <c r="H26" s="256"/>
      <c r="I26" s="257"/>
    </row>
    <row r="27" spans="1:9" ht="18.75" customHeight="1" x14ac:dyDescent="0.15">
      <c r="A27" s="15"/>
      <c r="B27" s="255"/>
      <c r="C27" s="256"/>
      <c r="D27" s="256"/>
      <c r="E27" s="256"/>
      <c r="F27" s="256"/>
      <c r="G27" s="256"/>
      <c r="H27" s="256"/>
      <c r="I27" s="257"/>
    </row>
    <row r="28" spans="1:9" ht="18.75" customHeight="1" x14ac:dyDescent="0.15">
      <c r="A28" s="15"/>
      <c r="B28" s="255"/>
      <c r="C28" s="256"/>
      <c r="D28" s="256"/>
      <c r="E28" s="256"/>
      <c r="F28" s="256"/>
      <c r="G28" s="256"/>
      <c r="H28" s="256"/>
      <c r="I28" s="257"/>
    </row>
    <row r="29" spans="1:9" ht="18.75" customHeight="1" x14ac:dyDescent="0.15">
      <c r="A29" s="15"/>
      <c r="B29" s="255"/>
      <c r="C29" s="256"/>
      <c r="D29" s="256"/>
      <c r="E29" s="256"/>
      <c r="F29" s="256"/>
      <c r="G29" s="256"/>
      <c r="H29" s="256"/>
      <c r="I29" s="257"/>
    </row>
    <row r="30" spans="1:9" ht="18.75" customHeight="1" x14ac:dyDescent="0.15">
      <c r="A30" s="15"/>
      <c r="B30" s="258"/>
      <c r="C30" s="259"/>
      <c r="D30" s="259"/>
      <c r="E30" s="259"/>
      <c r="F30" s="259"/>
      <c r="G30" s="259"/>
      <c r="H30" s="259"/>
      <c r="I30" s="257"/>
    </row>
    <row r="31" spans="1:9" ht="18.75" customHeight="1" x14ac:dyDescent="0.15">
      <c r="A31" s="15"/>
      <c r="B31" s="258"/>
      <c r="C31" s="259"/>
      <c r="D31" s="259"/>
      <c r="E31" s="259"/>
      <c r="F31" s="259"/>
      <c r="G31" s="259"/>
      <c r="H31" s="259"/>
      <c r="I31" s="257"/>
    </row>
    <row r="32" spans="1:9" ht="18.75" customHeight="1" x14ac:dyDescent="0.15">
      <c r="A32" s="15"/>
      <c r="B32" s="260"/>
      <c r="C32" s="261"/>
      <c r="D32" s="261"/>
      <c r="E32" s="261"/>
      <c r="F32" s="261"/>
      <c r="G32" s="261"/>
      <c r="H32" s="261"/>
      <c r="I32" s="262"/>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52" t="s">
        <v>177</v>
      </c>
      <c r="C35" s="253"/>
      <c r="D35" s="253"/>
      <c r="E35" s="253"/>
      <c r="F35" s="253"/>
      <c r="G35" s="253"/>
      <c r="H35" s="253"/>
      <c r="I35" s="254"/>
    </row>
    <row r="36" spans="1:9" ht="18.75" customHeight="1" x14ac:dyDescent="0.15">
      <c r="A36" s="15"/>
      <c r="B36" s="258"/>
      <c r="C36" s="259"/>
      <c r="D36" s="259"/>
      <c r="E36" s="259"/>
      <c r="F36" s="259"/>
      <c r="G36" s="259"/>
      <c r="H36" s="259"/>
      <c r="I36" s="257"/>
    </row>
    <row r="37" spans="1:9" ht="18.75" customHeight="1" x14ac:dyDescent="0.15">
      <c r="A37" s="15"/>
      <c r="B37" s="258"/>
      <c r="C37" s="259"/>
      <c r="D37" s="259"/>
      <c r="E37" s="259"/>
      <c r="F37" s="259"/>
      <c r="G37" s="259"/>
      <c r="H37" s="259"/>
      <c r="I37" s="257"/>
    </row>
    <row r="38" spans="1:9" ht="18.75" customHeight="1" x14ac:dyDescent="0.15">
      <c r="A38" s="15"/>
      <c r="B38" s="258"/>
      <c r="C38" s="259"/>
      <c r="D38" s="259"/>
      <c r="E38" s="259"/>
      <c r="F38" s="259"/>
      <c r="G38" s="259"/>
      <c r="H38" s="259"/>
      <c r="I38" s="257"/>
    </row>
    <row r="39" spans="1:9" ht="18.75" customHeight="1" x14ac:dyDescent="0.15">
      <c r="A39" s="15"/>
      <c r="B39" s="258"/>
      <c r="C39" s="259"/>
      <c r="D39" s="259"/>
      <c r="E39" s="259"/>
      <c r="F39" s="259"/>
      <c r="G39" s="259"/>
      <c r="H39" s="259"/>
      <c r="I39" s="257"/>
    </row>
    <row r="40" spans="1:9" ht="18.75" customHeight="1" x14ac:dyDescent="0.15">
      <c r="A40" s="15"/>
      <c r="B40" s="258"/>
      <c r="C40" s="259"/>
      <c r="D40" s="259"/>
      <c r="E40" s="259"/>
      <c r="F40" s="259"/>
      <c r="G40" s="259"/>
      <c r="H40" s="259"/>
      <c r="I40" s="257"/>
    </row>
    <row r="41" spans="1:9" ht="18.75" customHeight="1" x14ac:dyDescent="0.15">
      <c r="A41" s="15"/>
      <c r="B41" s="258"/>
      <c r="C41" s="259"/>
      <c r="D41" s="259"/>
      <c r="E41" s="259"/>
      <c r="F41" s="259"/>
      <c r="G41" s="259"/>
      <c r="H41" s="259"/>
      <c r="I41" s="257"/>
    </row>
    <row r="42" spans="1:9" ht="18.75" customHeight="1" x14ac:dyDescent="0.15">
      <c r="A42" s="15"/>
      <c r="B42" s="258"/>
      <c r="C42" s="259"/>
      <c r="D42" s="259"/>
      <c r="E42" s="259"/>
      <c r="F42" s="259"/>
      <c r="G42" s="259"/>
      <c r="H42" s="259"/>
      <c r="I42" s="257"/>
    </row>
    <row r="43" spans="1:9" ht="18.75" customHeight="1" x14ac:dyDescent="0.15">
      <c r="A43" s="15"/>
      <c r="B43" s="258"/>
      <c r="C43" s="259"/>
      <c r="D43" s="259"/>
      <c r="E43" s="259"/>
      <c r="F43" s="259"/>
      <c r="G43" s="259"/>
      <c r="H43" s="259"/>
      <c r="I43" s="257"/>
    </row>
    <row r="44" spans="1:9" ht="18.75" customHeight="1" x14ac:dyDescent="0.15">
      <c r="A44" s="15"/>
      <c r="B44" s="258"/>
      <c r="C44" s="259"/>
      <c r="D44" s="259"/>
      <c r="E44" s="259"/>
      <c r="F44" s="259"/>
      <c r="G44" s="259"/>
      <c r="H44" s="259"/>
      <c r="I44" s="257"/>
    </row>
    <row r="45" spans="1:9" s="94" customFormat="1" ht="18.75" customHeight="1" x14ac:dyDescent="0.15">
      <c r="A45" s="95"/>
      <c r="B45" s="258"/>
      <c r="C45" s="259"/>
      <c r="D45" s="259"/>
      <c r="E45" s="259"/>
      <c r="F45" s="259"/>
      <c r="G45" s="259"/>
      <c r="H45" s="259"/>
      <c r="I45" s="257"/>
    </row>
    <row r="46" spans="1:9" ht="18.75" customHeight="1" x14ac:dyDescent="0.15">
      <c r="A46" s="15"/>
      <c r="B46" s="258"/>
      <c r="C46" s="259"/>
      <c r="D46" s="259"/>
      <c r="E46" s="259"/>
      <c r="F46" s="259"/>
      <c r="G46" s="259"/>
      <c r="H46" s="259"/>
      <c r="I46" s="257"/>
    </row>
    <row r="47" spans="1:9" ht="18.75" customHeight="1" x14ac:dyDescent="0.15">
      <c r="A47" s="15"/>
      <c r="B47" s="260"/>
      <c r="C47" s="261"/>
      <c r="D47" s="261"/>
      <c r="E47" s="261"/>
      <c r="F47" s="261"/>
      <c r="G47" s="261"/>
      <c r="H47" s="261"/>
      <c r="I47" s="262"/>
    </row>
    <row r="48" spans="1:9" ht="7.5" customHeight="1" x14ac:dyDescent="0.15">
      <c r="A48" s="4"/>
      <c r="B48" s="4"/>
      <c r="C48" s="4"/>
      <c r="D48" s="4"/>
      <c r="E48" s="4"/>
      <c r="F48" s="4"/>
      <c r="G48" s="4"/>
      <c r="H48" s="4"/>
      <c r="I48" s="4"/>
    </row>
    <row r="49" spans="1:13" ht="18.75" customHeight="1" x14ac:dyDescent="0.15">
      <c r="A49" s="1" t="s">
        <v>31</v>
      </c>
      <c r="B49" s="1" t="s">
        <v>123</v>
      </c>
    </row>
    <row r="50" spans="1:13" s="3" customFormat="1" ht="18.75" customHeight="1" x14ac:dyDescent="0.15">
      <c r="B50" s="43" t="s">
        <v>89</v>
      </c>
      <c r="C50" s="219">
        <f>'様式２ 履修者等数の実績'!AQ32</f>
        <v>0.11689723320158103</v>
      </c>
      <c r="D50" s="219"/>
      <c r="E50" s="43" t="s">
        <v>66</v>
      </c>
      <c r="F50" s="219">
        <v>0.25</v>
      </c>
      <c r="G50" s="219"/>
      <c r="H50" s="43" t="s">
        <v>67</v>
      </c>
      <c r="I50" s="44">
        <v>0.3</v>
      </c>
      <c r="J50" s="1"/>
      <c r="K50" s="1"/>
      <c r="L50" s="45"/>
    </row>
    <row r="51" spans="1:13" s="3" customFormat="1" ht="18.75" customHeight="1" x14ac:dyDescent="0.15">
      <c r="B51" s="46" t="s">
        <v>68</v>
      </c>
      <c r="C51" s="220">
        <v>0.35</v>
      </c>
      <c r="D51" s="220"/>
      <c r="E51" s="46" t="s">
        <v>90</v>
      </c>
      <c r="F51" s="220">
        <v>0.4</v>
      </c>
      <c r="G51" s="220"/>
      <c r="H51" s="46" t="s">
        <v>69</v>
      </c>
      <c r="I51" s="47">
        <f>'様式２ 履修者等数の実績'!E32</f>
        <v>10120</v>
      </c>
      <c r="J51" s="1"/>
      <c r="K51" s="1"/>
      <c r="L51" s="45"/>
    </row>
    <row r="52" spans="1:13" ht="18.75" customHeight="1" x14ac:dyDescent="0.15">
      <c r="A52" s="1"/>
      <c r="B52" s="263" t="s">
        <v>70</v>
      </c>
      <c r="C52" s="264"/>
      <c r="D52" s="264"/>
      <c r="E52" s="264"/>
      <c r="F52" s="264"/>
      <c r="G52" s="264"/>
      <c r="H52" s="264"/>
      <c r="I52" s="265"/>
      <c r="L52" s="45"/>
      <c r="M52" s="3"/>
    </row>
    <row r="53" spans="1:13" ht="18.75" customHeight="1" x14ac:dyDescent="0.15">
      <c r="A53" s="1"/>
      <c r="B53" s="221" t="s">
        <v>160</v>
      </c>
      <c r="C53" s="222"/>
      <c r="D53" s="222"/>
      <c r="E53" s="222"/>
      <c r="F53" s="222"/>
      <c r="G53" s="222"/>
      <c r="H53" s="222"/>
      <c r="I53" s="223"/>
      <c r="L53" s="45"/>
      <c r="M53" s="3"/>
    </row>
    <row r="54" spans="1:13" ht="18.75" customHeight="1" x14ac:dyDescent="0.15">
      <c r="A54" s="1"/>
      <c r="B54" s="224"/>
      <c r="C54" s="225"/>
      <c r="D54" s="225"/>
      <c r="E54" s="225"/>
      <c r="F54" s="225"/>
      <c r="G54" s="225"/>
      <c r="H54" s="225"/>
      <c r="I54" s="226"/>
      <c r="L54" s="45"/>
      <c r="M54" s="3"/>
    </row>
    <row r="55" spans="1:13" ht="18.75" customHeight="1" x14ac:dyDescent="0.15">
      <c r="A55" s="1"/>
      <c r="B55" s="224"/>
      <c r="C55" s="225"/>
      <c r="D55" s="225"/>
      <c r="E55" s="225"/>
      <c r="F55" s="225"/>
      <c r="G55" s="225"/>
      <c r="H55" s="225"/>
      <c r="I55" s="226"/>
    </row>
    <row r="56" spans="1:13" ht="18.75" customHeight="1" x14ac:dyDescent="0.15">
      <c r="A56" s="1"/>
      <c r="B56" s="224"/>
      <c r="C56" s="225"/>
      <c r="D56" s="225"/>
      <c r="E56" s="225"/>
      <c r="F56" s="225"/>
      <c r="G56" s="225"/>
      <c r="H56" s="225"/>
      <c r="I56" s="226"/>
    </row>
    <row r="57" spans="1:13" ht="18.75" customHeight="1" x14ac:dyDescent="0.15">
      <c r="A57" s="1"/>
      <c r="B57" s="224"/>
      <c r="C57" s="225"/>
      <c r="D57" s="225"/>
      <c r="E57" s="225"/>
      <c r="F57" s="225"/>
      <c r="G57" s="225"/>
      <c r="H57" s="225"/>
      <c r="I57" s="226"/>
    </row>
    <row r="58" spans="1:13" ht="18.75" customHeight="1" x14ac:dyDescent="0.15">
      <c r="A58" s="1"/>
      <c r="B58" s="224"/>
      <c r="C58" s="225"/>
      <c r="D58" s="225"/>
      <c r="E58" s="225"/>
      <c r="F58" s="225"/>
      <c r="G58" s="225"/>
      <c r="H58" s="225"/>
      <c r="I58" s="226"/>
    </row>
    <row r="59" spans="1:13" ht="18.75" customHeight="1" x14ac:dyDescent="0.15">
      <c r="A59" s="1"/>
      <c r="B59" s="224"/>
      <c r="C59" s="225"/>
      <c r="D59" s="225"/>
      <c r="E59" s="225"/>
      <c r="F59" s="225"/>
      <c r="G59" s="225"/>
      <c r="H59" s="225"/>
      <c r="I59" s="226"/>
    </row>
    <row r="60" spans="1:13" ht="18.75" customHeight="1" x14ac:dyDescent="0.15">
      <c r="A60" s="1"/>
      <c r="B60" s="224"/>
      <c r="C60" s="225"/>
      <c r="D60" s="225"/>
      <c r="E60" s="225"/>
      <c r="F60" s="225"/>
      <c r="G60" s="225"/>
      <c r="H60" s="225"/>
      <c r="I60" s="226"/>
    </row>
    <row r="61" spans="1:13" ht="18.75" customHeight="1" x14ac:dyDescent="0.15">
      <c r="A61" s="1"/>
      <c r="B61" s="224"/>
      <c r="C61" s="225"/>
      <c r="D61" s="225"/>
      <c r="E61" s="225"/>
      <c r="F61" s="225"/>
      <c r="G61" s="225"/>
      <c r="H61" s="225"/>
      <c r="I61" s="226"/>
    </row>
    <row r="62" spans="1:13" ht="18.75" customHeight="1" x14ac:dyDescent="0.15">
      <c r="A62" s="1"/>
      <c r="B62" s="224"/>
      <c r="C62" s="225"/>
      <c r="D62" s="225"/>
      <c r="E62" s="225"/>
      <c r="F62" s="225"/>
      <c r="G62" s="225"/>
      <c r="H62" s="225"/>
      <c r="I62" s="226"/>
    </row>
    <row r="63" spans="1:13" ht="18.75" customHeight="1" x14ac:dyDescent="0.15">
      <c r="A63" s="1"/>
      <c r="B63" s="224"/>
      <c r="C63" s="225"/>
      <c r="D63" s="225"/>
      <c r="E63" s="225"/>
      <c r="F63" s="225"/>
      <c r="G63" s="225"/>
      <c r="H63" s="225"/>
      <c r="I63" s="226"/>
    </row>
    <row r="64" spans="1:13" ht="18.75" customHeight="1" x14ac:dyDescent="0.15">
      <c r="A64" s="1"/>
      <c r="B64" s="227"/>
      <c r="C64" s="228"/>
      <c r="D64" s="228"/>
      <c r="E64" s="228"/>
      <c r="F64" s="228"/>
      <c r="G64" s="228"/>
      <c r="H64" s="228"/>
      <c r="I64" s="229"/>
    </row>
    <row r="65" spans="1:9" ht="7.5" customHeight="1" x14ac:dyDescent="0.15">
      <c r="A65" s="15"/>
      <c r="B65" s="15"/>
      <c r="C65" s="15"/>
      <c r="D65" s="15"/>
      <c r="E65" s="15"/>
      <c r="F65" s="15"/>
      <c r="G65" s="15"/>
      <c r="H65" s="15"/>
      <c r="I65" s="15"/>
    </row>
    <row r="66" spans="1:9" ht="18.75" customHeight="1" x14ac:dyDescent="0.15">
      <c r="A66" s="16" t="s">
        <v>34</v>
      </c>
      <c r="B66" s="1" t="s">
        <v>37</v>
      </c>
      <c r="I66" s="16"/>
    </row>
    <row r="67" spans="1:9" ht="18.75" customHeight="1" x14ac:dyDescent="0.15">
      <c r="A67" s="4"/>
      <c r="B67" s="203" t="s">
        <v>146</v>
      </c>
      <c r="C67" s="204"/>
      <c r="D67" s="204"/>
      <c r="E67" s="204"/>
      <c r="F67" s="204"/>
      <c r="G67" s="204"/>
      <c r="H67" s="204"/>
      <c r="I67" s="205"/>
    </row>
    <row r="68" spans="1:9" ht="18.75" customHeight="1" x14ac:dyDescent="0.15">
      <c r="A68" s="4"/>
      <c r="B68" s="206"/>
      <c r="C68" s="207"/>
      <c r="D68" s="207"/>
      <c r="E68" s="207"/>
      <c r="F68" s="207"/>
      <c r="G68" s="207"/>
      <c r="H68" s="207"/>
      <c r="I68" s="208"/>
    </row>
    <row r="69" spans="1:9" ht="18.75" customHeight="1" x14ac:dyDescent="0.15">
      <c r="A69" s="4"/>
      <c r="B69" s="206"/>
      <c r="C69" s="207"/>
      <c r="D69" s="207"/>
      <c r="E69" s="207"/>
      <c r="F69" s="207"/>
      <c r="G69" s="207"/>
      <c r="H69" s="207"/>
      <c r="I69" s="208"/>
    </row>
    <row r="70" spans="1:9" ht="18.75" customHeight="1" x14ac:dyDescent="0.15">
      <c r="A70" s="4"/>
      <c r="B70" s="206"/>
      <c r="C70" s="207"/>
      <c r="D70" s="207"/>
      <c r="E70" s="207"/>
      <c r="F70" s="207"/>
      <c r="G70" s="207"/>
      <c r="H70" s="207"/>
      <c r="I70" s="208"/>
    </row>
    <row r="71" spans="1:9" ht="18.75" customHeight="1" x14ac:dyDescent="0.15">
      <c r="A71" s="4"/>
      <c r="B71" s="206"/>
      <c r="C71" s="207"/>
      <c r="D71" s="207"/>
      <c r="E71" s="207"/>
      <c r="F71" s="207"/>
      <c r="G71" s="207"/>
      <c r="H71" s="207"/>
      <c r="I71" s="208"/>
    </row>
    <row r="72" spans="1:9" ht="18.75" customHeight="1" x14ac:dyDescent="0.15">
      <c r="A72" s="4"/>
      <c r="B72" s="206"/>
      <c r="C72" s="207"/>
      <c r="D72" s="207"/>
      <c r="E72" s="207"/>
      <c r="F72" s="207"/>
      <c r="G72" s="207"/>
      <c r="H72" s="207"/>
      <c r="I72" s="208"/>
    </row>
    <row r="73" spans="1:9" ht="18.75" customHeight="1" x14ac:dyDescent="0.15">
      <c r="A73" s="4"/>
      <c r="B73" s="206"/>
      <c r="C73" s="207"/>
      <c r="D73" s="207"/>
      <c r="E73" s="207"/>
      <c r="F73" s="207"/>
      <c r="G73" s="207"/>
      <c r="H73" s="207"/>
      <c r="I73" s="208"/>
    </row>
    <row r="74" spans="1:9" ht="18.75" customHeight="1" x14ac:dyDescent="0.15">
      <c r="A74" s="4"/>
      <c r="B74" s="206"/>
      <c r="C74" s="207"/>
      <c r="D74" s="207"/>
      <c r="E74" s="207"/>
      <c r="F74" s="207"/>
      <c r="G74" s="207"/>
      <c r="H74" s="207"/>
      <c r="I74" s="208"/>
    </row>
    <row r="75" spans="1:9" ht="18.75" customHeight="1" x14ac:dyDescent="0.15">
      <c r="A75" s="4"/>
      <c r="B75" s="206"/>
      <c r="C75" s="207"/>
      <c r="D75" s="207"/>
      <c r="E75" s="207"/>
      <c r="F75" s="207"/>
      <c r="G75" s="207"/>
      <c r="H75" s="207"/>
      <c r="I75" s="208"/>
    </row>
    <row r="76" spans="1:9" ht="18.75" customHeight="1" x14ac:dyDescent="0.15">
      <c r="A76" s="4"/>
      <c r="B76" s="206"/>
      <c r="C76" s="207"/>
      <c r="D76" s="207"/>
      <c r="E76" s="207"/>
      <c r="F76" s="207"/>
      <c r="G76" s="207"/>
      <c r="H76" s="207"/>
      <c r="I76" s="208"/>
    </row>
    <row r="77" spans="1:9" ht="18.75" customHeight="1" x14ac:dyDescent="0.15">
      <c r="A77" s="4"/>
      <c r="B77" s="206"/>
      <c r="C77" s="207"/>
      <c r="D77" s="207"/>
      <c r="E77" s="207"/>
      <c r="F77" s="207"/>
      <c r="G77" s="207"/>
      <c r="H77" s="207"/>
      <c r="I77" s="208"/>
    </row>
    <row r="78" spans="1:9" ht="18.75" customHeight="1" x14ac:dyDescent="0.15">
      <c r="A78" s="4"/>
      <c r="B78" s="209"/>
      <c r="C78" s="210"/>
      <c r="D78" s="210"/>
      <c r="E78" s="210"/>
      <c r="F78" s="210"/>
      <c r="G78" s="210"/>
      <c r="H78" s="210"/>
      <c r="I78" s="211"/>
    </row>
    <row r="79" spans="1:9" ht="7.5" customHeight="1" x14ac:dyDescent="0.15">
      <c r="A79" s="4"/>
      <c r="B79" s="4"/>
      <c r="C79" s="4"/>
      <c r="D79" s="4"/>
      <c r="E79" s="4"/>
      <c r="F79" s="4"/>
      <c r="G79" s="4"/>
      <c r="H79" s="4"/>
      <c r="I79" s="4"/>
    </row>
    <row r="80" spans="1:9" ht="18.75" customHeight="1" x14ac:dyDescent="0.15">
      <c r="A80" s="1" t="s">
        <v>11</v>
      </c>
      <c r="B80" s="1" t="s">
        <v>41</v>
      </c>
    </row>
    <row r="81" spans="1:9" ht="18.75" customHeight="1" x14ac:dyDescent="0.15">
      <c r="A81" s="1"/>
      <c r="B81" s="203" t="s">
        <v>147</v>
      </c>
      <c r="C81" s="204"/>
      <c r="D81" s="204"/>
      <c r="E81" s="204"/>
      <c r="F81" s="204"/>
      <c r="G81" s="204"/>
      <c r="H81" s="204"/>
      <c r="I81" s="212"/>
    </row>
    <row r="82" spans="1:9" ht="18.75" customHeight="1" x14ac:dyDescent="0.15">
      <c r="A82" s="1"/>
      <c r="B82" s="213"/>
      <c r="C82" s="214"/>
      <c r="D82" s="214"/>
      <c r="E82" s="214"/>
      <c r="F82" s="214"/>
      <c r="G82" s="214"/>
      <c r="H82" s="214"/>
      <c r="I82" s="215"/>
    </row>
    <row r="83" spans="1:9" ht="18.75" customHeight="1" x14ac:dyDescent="0.15">
      <c r="A83" s="1"/>
      <c r="B83" s="213"/>
      <c r="C83" s="214"/>
      <c r="D83" s="214"/>
      <c r="E83" s="214"/>
      <c r="F83" s="214"/>
      <c r="G83" s="214"/>
      <c r="H83" s="214"/>
      <c r="I83" s="215"/>
    </row>
    <row r="84" spans="1:9" ht="18.75" customHeight="1" x14ac:dyDescent="0.15">
      <c r="A84" s="1"/>
      <c r="B84" s="213"/>
      <c r="C84" s="214"/>
      <c r="D84" s="214"/>
      <c r="E84" s="214"/>
      <c r="F84" s="214"/>
      <c r="G84" s="214"/>
      <c r="H84" s="214"/>
      <c r="I84" s="215"/>
    </row>
    <row r="85" spans="1:9" ht="18.75" customHeight="1" x14ac:dyDescent="0.15">
      <c r="A85" s="1"/>
      <c r="B85" s="213"/>
      <c r="C85" s="214"/>
      <c r="D85" s="214"/>
      <c r="E85" s="214"/>
      <c r="F85" s="214"/>
      <c r="G85" s="214"/>
      <c r="H85" s="214"/>
      <c r="I85" s="215"/>
    </row>
    <row r="86" spans="1:9" ht="18.75" customHeight="1" x14ac:dyDescent="0.15">
      <c r="A86" s="1"/>
      <c r="B86" s="213"/>
      <c r="C86" s="214"/>
      <c r="D86" s="214"/>
      <c r="E86" s="214"/>
      <c r="F86" s="214"/>
      <c r="G86" s="214"/>
      <c r="H86" s="214"/>
      <c r="I86" s="215"/>
    </row>
    <row r="87" spans="1:9" ht="18.75" customHeight="1" x14ac:dyDescent="0.15">
      <c r="A87" s="1"/>
      <c r="B87" s="213"/>
      <c r="C87" s="214"/>
      <c r="D87" s="214"/>
      <c r="E87" s="214"/>
      <c r="F87" s="214"/>
      <c r="G87" s="214"/>
      <c r="H87" s="214"/>
      <c r="I87" s="215"/>
    </row>
    <row r="88" spans="1:9" ht="18.75" customHeight="1" x14ac:dyDescent="0.15">
      <c r="A88" s="1"/>
      <c r="B88" s="213"/>
      <c r="C88" s="214"/>
      <c r="D88" s="214"/>
      <c r="E88" s="214"/>
      <c r="F88" s="214"/>
      <c r="G88" s="214"/>
      <c r="H88" s="214"/>
      <c r="I88" s="215"/>
    </row>
    <row r="89" spans="1:9" ht="18.75" customHeight="1" x14ac:dyDescent="0.15">
      <c r="A89" s="1"/>
      <c r="B89" s="213"/>
      <c r="C89" s="214"/>
      <c r="D89" s="214"/>
      <c r="E89" s="214"/>
      <c r="F89" s="214"/>
      <c r="G89" s="214"/>
      <c r="H89" s="214"/>
      <c r="I89" s="215"/>
    </row>
    <row r="90" spans="1:9" ht="18.75" customHeight="1" x14ac:dyDescent="0.15">
      <c r="A90" s="1"/>
      <c r="B90" s="213"/>
      <c r="C90" s="214"/>
      <c r="D90" s="214"/>
      <c r="E90" s="214"/>
      <c r="F90" s="214"/>
      <c r="G90" s="214"/>
      <c r="H90" s="214"/>
      <c r="I90" s="215"/>
    </row>
    <row r="91" spans="1:9" ht="18.75" customHeight="1" x14ac:dyDescent="0.15">
      <c r="A91" s="4"/>
      <c r="B91" s="213"/>
      <c r="C91" s="214"/>
      <c r="D91" s="214"/>
      <c r="E91" s="214"/>
      <c r="F91" s="214"/>
      <c r="G91" s="214"/>
      <c r="H91" s="214"/>
      <c r="I91" s="215"/>
    </row>
    <row r="92" spans="1:9" ht="18.75" customHeight="1" x14ac:dyDescent="0.15">
      <c r="A92" s="4"/>
      <c r="B92" s="216"/>
      <c r="C92" s="217"/>
      <c r="D92" s="217"/>
      <c r="E92" s="217"/>
      <c r="F92" s="217"/>
      <c r="G92" s="217"/>
      <c r="H92" s="217"/>
      <c r="I92" s="218"/>
    </row>
    <row r="93" spans="1:9" ht="7.5" customHeight="1" x14ac:dyDescent="0.15">
      <c r="A93" s="4"/>
      <c r="B93" s="4"/>
      <c r="C93" s="4"/>
      <c r="D93" s="4"/>
      <c r="E93" s="4"/>
      <c r="F93" s="4"/>
      <c r="G93" s="4"/>
      <c r="H93" s="4"/>
      <c r="I93" s="4"/>
    </row>
    <row r="94" spans="1:9" ht="18.75" customHeight="1" x14ac:dyDescent="0.15">
      <c r="A94" s="1" t="s">
        <v>44</v>
      </c>
      <c r="B94" s="1" t="s">
        <v>13</v>
      </c>
    </row>
    <row r="95" spans="1:9" ht="18.75" customHeight="1" x14ac:dyDescent="0.15">
      <c r="A95" s="1"/>
      <c r="B95" s="230" t="s">
        <v>161</v>
      </c>
      <c r="C95" s="231"/>
      <c r="D95" s="231"/>
      <c r="E95" s="231"/>
      <c r="F95" s="231"/>
      <c r="G95" s="231"/>
      <c r="H95" s="231"/>
      <c r="I95" s="232"/>
    </row>
    <row r="96" spans="1:9" ht="18.75" customHeight="1" x14ac:dyDescent="0.15">
      <c r="A96" s="1"/>
      <c r="B96" s="233"/>
      <c r="C96" s="234"/>
      <c r="D96" s="234"/>
      <c r="E96" s="234"/>
      <c r="F96" s="234"/>
      <c r="G96" s="234"/>
      <c r="H96" s="234"/>
      <c r="I96" s="235"/>
    </row>
    <row r="97" spans="1:9" ht="18.75" customHeight="1" x14ac:dyDescent="0.15">
      <c r="A97" s="1"/>
      <c r="B97" s="233"/>
      <c r="C97" s="234"/>
      <c r="D97" s="234"/>
      <c r="E97" s="234"/>
      <c r="F97" s="234"/>
      <c r="G97" s="234"/>
      <c r="H97" s="234"/>
      <c r="I97" s="235"/>
    </row>
    <row r="98" spans="1:9" ht="18.75" customHeight="1" x14ac:dyDescent="0.15">
      <c r="A98" s="1"/>
      <c r="B98" s="233"/>
      <c r="C98" s="234"/>
      <c r="D98" s="234"/>
      <c r="E98" s="234"/>
      <c r="F98" s="234"/>
      <c r="G98" s="234"/>
      <c r="H98" s="234"/>
      <c r="I98" s="235"/>
    </row>
    <row r="99" spans="1:9" ht="18.75" customHeight="1" x14ac:dyDescent="0.15">
      <c r="A99" s="1"/>
      <c r="B99" s="233"/>
      <c r="C99" s="234"/>
      <c r="D99" s="234"/>
      <c r="E99" s="234"/>
      <c r="F99" s="234"/>
      <c r="G99" s="234"/>
      <c r="H99" s="234"/>
      <c r="I99" s="235"/>
    </row>
    <row r="100" spans="1:9" ht="18.75" customHeight="1" x14ac:dyDescent="0.15">
      <c r="A100" s="1"/>
      <c r="B100" s="233"/>
      <c r="C100" s="234"/>
      <c r="D100" s="234"/>
      <c r="E100" s="234"/>
      <c r="F100" s="234"/>
      <c r="G100" s="234"/>
      <c r="H100" s="234"/>
      <c r="I100" s="235"/>
    </row>
    <row r="101" spans="1:9" ht="18.75" customHeight="1" x14ac:dyDescent="0.15">
      <c r="A101" s="1"/>
      <c r="B101" s="233"/>
      <c r="C101" s="234"/>
      <c r="D101" s="234"/>
      <c r="E101" s="234"/>
      <c r="F101" s="234"/>
      <c r="G101" s="234"/>
      <c r="H101" s="234"/>
      <c r="I101" s="235"/>
    </row>
    <row r="102" spans="1:9" ht="18.75" customHeight="1" x14ac:dyDescent="0.15">
      <c r="A102" s="1"/>
      <c r="B102" s="233"/>
      <c r="C102" s="234"/>
      <c r="D102" s="234"/>
      <c r="E102" s="234"/>
      <c r="F102" s="234"/>
      <c r="G102" s="234"/>
      <c r="H102" s="234"/>
      <c r="I102" s="235"/>
    </row>
    <row r="103" spans="1:9" ht="18.75" customHeight="1" x14ac:dyDescent="0.15">
      <c r="A103" s="1"/>
      <c r="B103" s="233"/>
      <c r="C103" s="234"/>
      <c r="D103" s="234"/>
      <c r="E103" s="234"/>
      <c r="F103" s="234"/>
      <c r="G103" s="234"/>
      <c r="H103" s="234"/>
      <c r="I103" s="235"/>
    </row>
    <row r="104" spans="1:9" ht="18.75" customHeight="1" x14ac:dyDescent="0.15">
      <c r="A104" s="1"/>
      <c r="B104" s="233"/>
      <c r="C104" s="234"/>
      <c r="D104" s="234"/>
      <c r="E104" s="234"/>
      <c r="F104" s="234"/>
      <c r="G104" s="234"/>
      <c r="H104" s="234"/>
      <c r="I104" s="235"/>
    </row>
    <row r="105" spans="1:9" ht="18.75" customHeight="1" x14ac:dyDescent="0.15">
      <c r="A105" s="1"/>
      <c r="B105" s="233"/>
      <c r="C105" s="234"/>
      <c r="D105" s="234"/>
      <c r="E105" s="234"/>
      <c r="F105" s="234"/>
      <c r="G105" s="234"/>
      <c r="H105" s="234"/>
      <c r="I105" s="235"/>
    </row>
    <row r="106" spans="1:9" ht="18.75" customHeight="1" x14ac:dyDescent="0.15">
      <c r="A106" s="4"/>
      <c r="B106" s="236"/>
      <c r="C106" s="237"/>
      <c r="D106" s="237"/>
      <c r="E106" s="237"/>
      <c r="F106" s="237"/>
      <c r="G106" s="237"/>
      <c r="H106" s="237"/>
      <c r="I106" s="238"/>
    </row>
    <row r="107" spans="1:9" ht="7.5" customHeight="1" x14ac:dyDescent="0.15">
      <c r="A107" s="4"/>
      <c r="B107" s="4"/>
      <c r="C107" s="4"/>
      <c r="D107" s="4"/>
      <c r="E107" s="4"/>
      <c r="F107" s="4"/>
      <c r="G107" s="4"/>
      <c r="H107" s="4"/>
      <c r="I107" s="4"/>
    </row>
    <row r="108" spans="1:9" ht="18.75" customHeight="1" x14ac:dyDescent="0.15">
      <c r="A108" s="1" t="s">
        <v>30</v>
      </c>
      <c r="B108" s="239" t="s">
        <v>46</v>
      </c>
      <c r="C108" s="239"/>
      <c r="D108" s="239"/>
      <c r="E108" s="239"/>
      <c r="F108" s="239"/>
      <c r="G108" s="239"/>
      <c r="H108" s="239"/>
      <c r="I108" s="239"/>
    </row>
    <row r="109" spans="1:9" ht="18.75" customHeight="1" x14ac:dyDescent="0.15">
      <c r="A109" s="4"/>
      <c r="B109" s="240" t="s">
        <v>148</v>
      </c>
      <c r="C109" s="241"/>
      <c r="D109" s="241"/>
      <c r="E109" s="241"/>
      <c r="F109" s="241"/>
      <c r="G109" s="241"/>
      <c r="H109" s="241"/>
      <c r="I109" s="242"/>
    </row>
    <row r="110" spans="1:9" ht="18.75" customHeight="1" x14ac:dyDescent="0.15">
      <c r="A110" s="4"/>
      <c r="B110" s="243"/>
      <c r="C110" s="244"/>
      <c r="D110" s="244"/>
      <c r="E110" s="244"/>
      <c r="F110" s="244"/>
      <c r="G110" s="244"/>
      <c r="H110" s="244"/>
      <c r="I110" s="245"/>
    </row>
    <row r="111" spans="1:9" ht="18.75" customHeight="1" x14ac:dyDescent="0.15">
      <c r="A111" s="4"/>
      <c r="B111" s="243"/>
      <c r="C111" s="244"/>
      <c r="D111" s="244"/>
      <c r="E111" s="244"/>
      <c r="F111" s="244"/>
      <c r="G111" s="244"/>
      <c r="H111" s="244"/>
      <c r="I111" s="245"/>
    </row>
    <row r="112" spans="1:9" ht="18.75" customHeight="1" x14ac:dyDescent="0.15">
      <c r="A112" s="4"/>
      <c r="B112" s="243"/>
      <c r="C112" s="244"/>
      <c r="D112" s="244"/>
      <c r="E112" s="244"/>
      <c r="F112" s="244"/>
      <c r="G112" s="244"/>
      <c r="H112" s="244"/>
      <c r="I112" s="245"/>
    </row>
    <row r="113" spans="1:9" ht="18.75" customHeight="1" x14ac:dyDescent="0.15">
      <c r="A113" s="4"/>
      <c r="B113" s="243"/>
      <c r="C113" s="244"/>
      <c r="D113" s="244"/>
      <c r="E113" s="244"/>
      <c r="F113" s="244"/>
      <c r="G113" s="244"/>
      <c r="H113" s="244"/>
      <c r="I113" s="245"/>
    </row>
    <row r="114" spans="1:9" ht="18.75" customHeight="1" x14ac:dyDescent="0.15">
      <c r="A114" s="4"/>
      <c r="B114" s="243"/>
      <c r="C114" s="244"/>
      <c r="D114" s="244"/>
      <c r="E114" s="244"/>
      <c r="F114" s="244"/>
      <c r="G114" s="244"/>
      <c r="H114" s="244"/>
      <c r="I114" s="245"/>
    </row>
    <row r="115" spans="1:9" ht="18.75" customHeight="1" x14ac:dyDescent="0.15">
      <c r="A115" s="4"/>
      <c r="B115" s="243"/>
      <c r="C115" s="244"/>
      <c r="D115" s="244"/>
      <c r="E115" s="244"/>
      <c r="F115" s="244"/>
      <c r="G115" s="244"/>
      <c r="H115" s="244"/>
      <c r="I115" s="245"/>
    </row>
    <row r="116" spans="1:9" ht="18.75" customHeight="1" x14ac:dyDescent="0.15">
      <c r="A116" s="4"/>
      <c r="B116" s="243"/>
      <c r="C116" s="244"/>
      <c r="D116" s="244"/>
      <c r="E116" s="244"/>
      <c r="F116" s="244"/>
      <c r="G116" s="244"/>
      <c r="H116" s="244"/>
      <c r="I116" s="245"/>
    </row>
    <row r="117" spans="1:9" ht="18.75" customHeight="1" x14ac:dyDescent="0.15">
      <c r="A117" s="4"/>
      <c r="B117" s="243"/>
      <c r="C117" s="244"/>
      <c r="D117" s="244"/>
      <c r="E117" s="244"/>
      <c r="F117" s="244"/>
      <c r="G117" s="244"/>
      <c r="H117" s="244"/>
      <c r="I117" s="245"/>
    </row>
    <row r="118" spans="1:9" ht="18.75" customHeight="1" x14ac:dyDescent="0.15">
      <c r="A118" s="4"/>
      <c r="B118" s="243"/>
      <c r="C118" s="244"/>
      <c r="D118" s="244"/>
      <c r="E118" s="244"/>
      <c r="F118" s="244"/>
      <c r="G118" s="244"/>
      <c r="H118" s="244"/>
      <c r="I118" s="245"/>
    </row>
    <row r="119" spans="1:9" ht="18.75" customHeight="1" x14ac:dyDescent="0.15">
      <c r="A119" s="4"/>
      <c r="B119" s="243"/>
      <c r="C119" s="244"/>
      <c r="D119" s="244"/>
      <c r="E119" s="244"/>
      <c r="F119" s="244"/>
      <c r="G119" s="244"/>
      <c r="H119" s="244"/>
      <c r="I119" s="245"/>
    </row>
    <row r="120" spans="1:9" ht="18.75" customHeight="1" x14ac:dyDescent="0.15">
      <c r="A120" s="4"/>
      <c r="B120" s="246"/>
      <c r="C120" s="247"/>
      <c r="D120" s="247"/>
      <c r="E120" s="247"/>
      <c r="F120" s="247"/>
      <c r="G120" s="247"/>
      <c r="H120" s="247"/>
      <c r="I120" s="248"/>
    </row>
    <row r="121" spans="1:9" ht="7.5" customHeight="1" x14ac:dyDescent="0.15">
      <c r="A121" s="4"/>
      <c r="B121" s="48"/>
      <c r="C121" s="48"/>
      <c r="D121" s="48"/>
      <c r="E121" s="48"/>
      <c r="F121" s="48"/>
      <c r="G121" s="48"/>
      <c r="H121" s="48"/>
      <c r="I121" s="48"/>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8.75" customHeight="1" x14ac:dyDescent="0.15">
      <c r="A133" s="4"/>
      <c r="B133" s="4"/>
      <c r="C133" s="4"/>
      <c r="D133" s="4"/>
      <c r="E133" s="4"/>
      <c r="F133" s="4"/>
      <c r="G133" s="4"/>
      <c r="H133" s="4"/>
      <c r="I133" s="4"/>
    </row>
    <row r="134" spans="1:9" ht="14.25" x14ac:dyDescent="0.15">
      <c r="A134" s="4"/>
      <c r="B134" s="4"/>
      <c r="C134" s="4"/>
      <c r="D134" s="4"/>
      <c r="E134" s="4"/>
      <c r="F134" s="4"/>
      <c r="G134" s="4"/>
      <c r="H134" s="4"/>
      <c r="I134" s="4"/>
    </row>
    <row r="135" spans="1:9" ht="7.5" customHeight="1" x14ac:dyDescent="0.15">
      <c r="A135" s="49"/>
      <c r="B135" s="49"/>
      <c r="C135" s="49"/>
      <c r="D135" s="49"/>
      <c r="E135" s="49"/>
      <c r="F135" s="49"/>
      <c r="G135" s="49"/>
      <c r="H135" s="49"/>
      <c r="I135" s="49"/>
    </row>
  </sheetData>
  <mergeCells count="22">
    <mergeCell ref="B95:I106"/>
    <mergeCell ref="B108:I108"/>
    <mergeCell ref="B109:I120"/>
    <mergeCell ref="H2:I2"/>
    <mergeCell ref="A4:I4"/>
    <mergeCell ref="B19:I19"/>
    <mergeCell ref="B22:I32"/>
    <mergeCell ref="B35:I47"/>
    <mergeCell ref="B52:I52"/>
    <mergeCell ref="B14:I14"/>
    <mergeCell ref="C16:E16"/>
    <mergeCell ref="H16:I16"/>
    <mergeCell ref="C11:E11"/>
    <mergeCell ref="H11:I11"/>
    <mergeCell ref="C6:D6"/>
    <mergeCell ref="F51:G51"/>
    <mergeCell ref="B67:I78"/>
    <mergeCell ref="B81:I92"/>
    <mergeCell ref="C50:D50"/>
    <mergeCell ref="C51:D51"/>
    <mergeCell ref="F50:G50"/>
    <mergeCell ref="B53:I64"/>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8" max="9" man="1"/>
    <brk id="93"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70" zoomScaleNormal="100" zoomScaleSheetLayoutView="70" workbookViewId="0">
      <selection activeCell="Q13" sqref="Q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tr">
        <f>'様式１　プログラムを構成する授業科目'!C2</f>
        <v>九州産業大学</v>
      </c>
    </row>
    <row r="3" spans="1:9" ht="18.75" customHeight="1" x14ac:dyDescent="0.15">
      <c r="A3" s="129" t="s">
        <v>28</v>
      </c>
      <c r="B3" s="129"/>
      <c r="C3" s="129"/>
      <c r="D3" s="129"/>
      <c r="E3" s="129"/>
      <c r="F3" s="129"/>
      <c r="G3" s="129"/>
      <c r="H3" s="129"/>
      <c r="I3" s="129"/>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66" t="s">
        <v>141</v>
      </c>
      <c r="C6" s="294"/>
      <c r="D6" s="294"/>
      <c r="E6" s="294"/>
      <c r="F6" s="294"/>
      <c r="G6" s="294"/>
      <c r="H6" s="295"/>
      <c r="I6" s="3"/>
    </row>
    <row r="7" spans="1:9" ht="9" customHeight="1" x14ac:dyDescent="0.15">
      <c r="A7" s="5"/>
      <c r="B7" s="10"/>
      <c r="C7" s="10"/>
      <c r="D7" s="10"/>
      <c r="E7" s="10"/>
      <c r="F7" s="10"/>
      <c r="G7" s="10"/>
      <c r="H7" s="10"/>
      <c r="I7" s="3"/>
    </row>
    <row r="8" spans="1:9" ht="18.75" customHeight="1" x14ac:dyDescent="0.15">
      <c r="A8" s="5"/>
      <c r="B8" s="3"/>
      <c r="C8" s="3"/>
      <c r="D8" s="35" t="s">
        <v>43</v>
      </c>
      <c r="E8" s="36" t="s">
        <v>139</v>
      </c>
      <c r="F8" s="3"/>
      <c r="G8" s="35" t="s">
        <v>10</v>
      </c>
      <c r="H8" s="36" t="s">
        <v>140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15" t="s">
        <v>24</v>
      </c>
      <c r="C11" s="117"/>
      <c r="D11" s="116"/>
      <c r="E11" s="117" t="s">
        <v>26</v>
      </c>
      <c r="F11" s="117"/>
      <c r="G11" s="117"/>
      <c r="H11" s="117"/>
      <c r="I11" s="116"/>
    </row>
    <row r="12" spans="1:9" ht="26.25" customHeight="1" x14ac:dyDescent="0.15">
      <c r="B12" s="50" t="s">
        <v>14</v>
      </c>
      <c r="C12" s="57"/>
      <c r="D12" s="51"/>
      <c r="E12" s="58"/>
      <c r="F12" s="58"/>
      <c r="G12" s="58"/>
      <c r="H12" s="58"/>
      <c r="I12" s="51"/>
    </row>
    <row r="13" spans="1:9" ht="210.75" customHeight="1" x14ac:dyDescent="0.15">
      <c r="B13" s="52"/>
      <c r="C13" s="275" t="s">
        <v>15</v>
      </c>
      <c r="D13" s="276"/>
      <c r="E13" s="288" t="s">
        <v>181</v>
      </c>
      <c r="F13" s="277"/>
      <c r="G13" s="277"/>
      <c r="H13" s="277"/>
      <c r="I13" s="278"/>
    </row>
    <row r="14" spans="1:9" ht="210.75" customHeight="1" x14ac:dyDescent="0.15">
      <c r="B14" s="52"/>
      <c r="C14" s="292" t="s">
        <v>16</v>
      </c>
      <c r="D14" s="293"/>
      <c r="E14" s="288" t="s">
        <v>182</v>
      </c>
      <c r="F14" s="277"/>
      <c r="G14" s="277"/>
      <c r="H14" s="277"/>
      <c r="I14" s="278"/>
    </row>
    <row r="15" spans="1:9" ht="210.75" customHeight="1" x14ac:dyDescent="0.15">
      <c r="B15" s="52"/>
      <c r="C15" s="275" t="s">
        <v>17</v>
      </c>
      <c r="D15" s="276"/>
      <c r="E15" s="288" t="s">
        <v>150</v>
      </c>
      <c r="F15" s="277"/>
      <c r="G15" s="277"/>
      <c r="H15" s="277"/>
      <c r="I15" s="278"/>
    </row>
    <row r="16" spans="1:9" ht="210.75" customHeight="1" x14ac:dyDescent="0.15">
      <c r="B16" s="52"/>
      <c r="C16" s="275" t="s">
        <v>18</v>
      </c>
      <c r="D16" s="276"/>
      <c r="E16" s="288" t="s">
        <v>178</v>
      </c>
      <c r="F16" s="277"/>
      <c r="G16" s="277"/>
      <c r="H16" s="277"/>
      <c r="I16" s="278"/>
    </row>
    <row r="17" spans="2:9" ht="210.75" customHeight="1" x14ac:dyDescent="0.15">
      <c r="B17" s="53"/>
      <c r="C17" s="279" t="s">
        <v>19</v>
      </c>
      <c r="D17" s="280"/>
      <c r="E17" s="289" t="s">
        <v>183</v>
      </c>
      <c r="F17" s="290"/>
      <c r="G17" s="290"/>
      <c r="H17" s="290"/>
      <c r="I17" s="291"/>
    </row>
    <row r="18" spans="2:9" ht="24" customHeight="1" x14ac:dyDescent="0.15">
      <c r="B18" s="50" t="s">
        <v>20</v>
      </c>
      <c r="C18" s="54"/>
      <c r="D18" s="55"/>
      <c r="E18" s="56"/>
      <c r="F18" s="56"/>
      <c r="G18" s="56"/>
      <c r="H18" s="56"/>
      <c r="I18" s="59"/>
    </row>
    <row r="19" spans="2:9" ht="218.25" customHeight="1" x14ac:dyDescent="0.15">
      <c r="B19" s="52"/>
      <c r="C19" s="275" t="s">
        <v>21</v>
      </c>
      <c r="D19" s="276"/>
      <c r="E19" s="277" t="s">
        <v>142</v>
      </c>
      <c r="F19" s="277"/>
      <c r="G19" s="277"/>
      <c r="H19" s="277"/>
      <c r="I19" s="278"/>
    </row>
    <row r="20" spans="2:9" ht="218.25" customHeight="1" x14ac:dyDescent="0.15">
      <c r="B20" s="53"/>
      <c r="C20" s="279" t="s">
        <v>22</v>
      </c>
      <c r="D20" s="280"/>
      <c r="E20" s="281" t="s">
        <v>184</v>
      </c>
      <c r="F20" s="281"/>
      <c r="G20" s="281"/>
      <c r="H20" s="281"/>
      <c r="I20" s="282"/>
    </row>
    <row r="21" spans="2:9" ht="218.25" customHeight="1" x14ac:dyDescent="0.15">
      <c r="B21" s="283" t="s">
        <v>23</v>
      </c>
      <c r="C21" s="284"/>
      <c r="D21" s="285"/>
      <c r="E21" s="286" t="s">
        <v>180</v>
      </c>
      <c r="F21" s="286"/>
      <c r="G21" s="286"/>
      <c r="H21" s="286"/>
      <c r="I21" s="287"/>
    </row>
    <row r="22" spans="2:9" ht="218.25" customHeight="1" x14ac:dyDescent="0.15">
      <c r="B22" s="270" t="s">
        <v>38</v>
      </c>
      <c r="C22" s="271"/>
      <c r="D22" s="272"/>
      <c r="E22" s="273" t="s">
        <v>179</v>
      </c>
      <c r="F22" s="273"/>
      <c r="G22" s="273"/>
      <c r="H22" s="273"/>
      <c r="I22" s="27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2023-07-05T09:26:52Z</cp:lastPrinted>
  <dcterms:created xsi:type="dcterms:W3CDTF">2011-06-14T05:32:50Z</dcterms:created>
  <dcterms:modified xsi:type="dcterms:W3CDTF">2023-07-05T10:22:42Z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