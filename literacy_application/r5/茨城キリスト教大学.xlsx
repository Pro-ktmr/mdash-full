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defaultThemeVersion="124226"/>
  <mc:AlternateContent xmlns:mc="http://schemas.openxmlformats.org/markup-compatibility/2006">
    <mc:Choice Requires="x15">
      <x15ac:absPath xmlns:x15ac="http://schemas.microsoft.com/office/spreadsheetml/2010/11/ac" url="C:\Users\Eiji Yoneoka Okada\GoogleDrive\ICT-WG\データサイエンス教育\申請2023\"/>
    </mc:Choice>
  </mc:AlternateContent>
  <xr:revisionPtr revIDLastSave="0" documentId="13_ncr:1_{6EF0273B-6628-4B33-B743-8A128C824D0C}" xr6:coauthVersionLast="47" xr6:coauthVersionMax="47" xr10:uidLastSave="{00000000-0000-0000-0000-000000000000}"/>
  <bookViews>
    <workbookView xWindow="5100" yWindow="210" windowWidth="23310" windowHeight="14880" tabRatio="885" xr2:uid="{00000000-000D-0000-FFFF-FFFF00000000}"/>
  </bookViews>
  <sheets>
    <sheet name="様式１−１　プログラムを構成する授業科目" sheetId="39" r:id="rId1"/>
    <sheet name="様式１−２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プログラムを構成する授業科目'!$V$14:$V$16</definedName>
    <definedName name="_xlnm._FilterDatabase" localSheetId="1" hidden="1">'様式１−２　プログラムを構成する授業科目'!$V$14:$V$16</definedName>
    <definedName name="_xlnm._FilterDatabase" localSheetId="2" hidden="1">'様式２ 履修者等数の実績'!#REF!</definedName>
    <definedName name="_xlnm.Print_Area" localSheetId="0">'様式１−１　プログラムを構成する授業科目'!$A$1:$S$102</definedName>
    <definedName name="_xlnm.Print_Area" localSheetId="1">'様式１−２　プログラムを構成する授業科目'!$A$1:$S$102</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40" l="1"/>
  <c r="L15" i="40"/>
  <c r="O14" i="40"/>
  <c r="L14" i="40"/>
  <c r="I14" i="40"/>
  <c r="F14" i="40"/>
  <c r="O13" i="40"/>
  <c r="L13" i="40"/>
  <c r="O12" i="40"/>
  <c r="I12"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G32" i="40"/>
  <c r="H32" i="40"/>
  <c r="AP13" i="40"/>
  <c r="AP14" i="40"/>
  <c r="AP15" i="40"/>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<sst xmlns="http://schemas.openxmlformats.org/spreadsheetml/2006/main" count="480" uniqueCount="190">
  <si>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</si>
  <si>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</si>
  <si>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</si>
  <si>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</si>
  <si>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</si>
  <si>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</si>
  <si>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</si>
  <si>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</si>
  <si>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</si>
  <si>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</si>
  <si>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</si>
  <si>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</si>
  <si>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</si>
  <si>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</si>
  <si>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</si>
  <si>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</si>
  <si>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</si>
  <si>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</si>
  <si>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</si>
  <si>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</si>
  <si>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</si>
  <si>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</si>
  <si>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</si>
  <si>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</si>
  <si>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</si>
  <si>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</si>
  <si>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</si>
  <si>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</si>
  <si>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</si>
  <si>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</si>
  <si>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</si>
  <si>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</si>
  <si>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</si>
  <si>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</si>
  <si>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</si>
  <si>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</si>
  <si>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</si>
  <si>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</si>
  <si>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</si>
  <si>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</si>
  <si>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</si>
  <si>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</si>
  <si>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</si>
  <si>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</si>
  <si>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</si>
  <si>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</si>
  <si>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</si>
  <si>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</si>
  <si>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</si>
  <si>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</si>
  <si>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</si>
  <si>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</si>
  <si>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</si>
  <si>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</si>
  <si>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</si>
  <si>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</si>
  <si>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</si>
  <si>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</si>
  <si>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</si>
  <si>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</si>
  <si>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</si>
  <si>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</si>
  <si>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</si>
  <si>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</si>
  <si>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</si>
  <si>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</si>
  <si>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</si>
  <si>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</si>
  <si>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</si>
  <si>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</si>
  <si>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</si>
  <si>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</si>
  <si>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</si>
  <si>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</si>
  <si>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</si>
  <si>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</si>
  <si>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</si>
  <si>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</si>
  <si>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</si>
  <si>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</si>
  <si>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</si>
  <si>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</si>
  <si>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</si>
  <si>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</si>
  <si>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</si>
  <si>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</si>
  <si>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</si>
  <si>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</si>
  <si>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</si>
  <si>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</si>
  <si>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</si>
  <si>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</si>
  <si>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</si>
  <si>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</si>
  <si>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</si>
  <si>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</si>
  <si>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</si>
  <si>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</si>
  <si>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</si>
  <si>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</si>
  <si>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</si>
  <si>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</si>
  <si>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</si>
  <si>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</si>
  <si>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</si>
  <si>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</si>
  <si>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</si>
  <si>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</si>
  <si>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</si>
  <si>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</si>
  <si>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</si>
  <si>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</si>
  <si>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</si>
  <si>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</si>
  <si>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</si>
  <si>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</si>
  <si>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</si>
  <si>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</si>
  <si>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</si>
  <si>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</si>
  <si>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</si>
  <si>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</si>
  <si>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</si>
  <si>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</si>
  <si>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</si>
  <si>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</si>
  <si>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茨城キリスト教大学</t>
    <phoneticPr fontId="1"/>
  </si>
  <si>
    <t>茨城キリスト教大学データサイエンス教育プログラム</t>
    <rPh sb="0" eb="1">
      <t>イバラキキリ</t>
    </rPh>
    <phoneticPr fontId="1"/>
  </si>
  <si>
    <t>学部・学科によって、修了要件は相違する</t>
  </si>
  <si>
    <t>文学部、生活科学部、看護学部</t>
    <rPh sb="0" eb="3">
      <t>、</t>
    </rPh>
    <phoneticPr fontId="1"/>
  </si>
  <si>
    <t>ITビジネス論</t>
    <phoneticPr fontId="1"/>
  </si>
  <si>
    <t>○</t>
  </si>
  <si>
    <t>ビジネスリサーチ</t>
    <phoneticPr fontId="1"/>
  </si>
  <si>
    <t>情報システム論</t>
    <phoneticPr fontId="1"/>
  </si>
  <si>
    <t>経営情報論</t>
    <phoneticPr fontId="1"/>
  </si>
  <si>
    <t>はじめての統計学</t>
    <phoneticPr fontId="1"/>
  </si>
  <si>
    <t>4-1統計および数理基礎</t>
  </si>
  <si>
    <t>4‐2アルゴリズム基礎</t>
  </si>
  <si>
    <t>情報システム演習</t>
    <phoneticPr fontId="1"/>
  </si>
  <si>
    <t>その他</t>
  </si>
  <si>
    <t>経営学部</t>
    <rPh sb="0" eb="4">
      <t>ケイエイガクブ</t>
    </rPh>
    <phoneticPr fontId="1"/>
  </si>
  <si>
    <t>村上美保子</t>
    <phoneticPr fontId="1"/>
  </si>
  <si>
    <t>学務部長</t>
    <rPh sb="0" eb="4">
      <t>ガクムブチョウ</t>
    </rPh>
    <phoneticPr fontId="1"/>
  </si>
  <si>
    <t>茨城キリスト教大学教育課程の編成・運用・改善に関する規程</t>
    <phoneticPr fontId="1"/>
  </si>
  <si>
    <t>米岡英治</t>
    <rPh sb="0" eb="4">
      <t>ヨネオカエイジ</t>
    </rPh>
    <phoneticPr fontId="1"/>
  </si>
  <si>
    <t>経営学部教授</t>
    <rPh sb="0" eb="4">
      <t>ケイエイガクブ</t>
    </rPh>
    <rPh sb="4" eb="6">
      <t>キョウジュ</t>
    </rPh>
    <phoneticPr fontId="1"/>
  </si>
  <si>
    <t>授業改善委員会</t>
    <phoneticPr fontId="1"/>
  </si>
  <si>
    <t>櫻井由美子</t>
    <phoneticPr fontId="1"/>
  </si>
  <si>
    <t>生活科学部教授</t>
    <rPh sb="0" eb="5">
      <t>セイカツカガクブ</t>
    </rPh>
    <rPh sb="5" eb="7">
      <t>キョウジュ</t>
    </rPh>
    <phoneticPr fontId="1"/>
  </si>
  <si>
    <t>・本学ではMicrosoft Teamsを活用して、各科目で学修内容の予習・復習、科目内での小テスト、資料の共有などを行なっており、授業時間外でも学修内容の確認ができるようにしている。また、学修内容に対する質問も、この仕組みの中で行うことが可能である。
・前述の通り、プログラム全体に関する質問に関してはデータサイエンス小委員会で受け付けるようにしている。</t>
    <rPh sb="1" eb="3">
      <t>ホンガク</t>
    </rPh>
    <rPh sb="21" eb="23">
      <t>カツヨウ</t>
    </rPh>
    <rPh sb="26" eb="29">
      <t>カクカモク</t>
    </rPh>
    <rPh sb="30" eb="34">
      <t>ガクシュウ</t>
    </rPh>
    <rPh sb="35" eb="37">
      <t>ヨシュウ</t>
    </rPh>
    <rPh sb="38" eb="40">
      <t>フクシュウ</t>
    </rPh>
    <rPh sb="41" eb="44">
      <t>カモク</t>
    </rPh>
    <rPh sb="46" eb="47">
      <t>ショウテス</t>
    </rPh>
    <rPh sb="51" eb="53">
      <t>シリョウ</t>
    </rPh>
    <rPh sb="54" eb="56">
      <t>キョウユウ</t>
    </rPh>
    <rPh sb="66" eb="71">
      <t>ジュギョウ</t>
    </rPh>
    <rPh sb="73" eb="77">
      <t>ガクシュウ</t>
    </rPh>
    <rPh sb="78" eb="80">
      <t>カクニn</t>
    </rPh>
    <rPh sb="95" eb="99">
      <t>ガクシュウ</t>
    </rPh>
    <rPh sb="100" eb="101">
      <t>タイス</t>
    </rPh>
    <rPh sb="103" eb="105">
      <t>シツモn</t>
    </rPh>
    <rPh sb="109" eb="111">
      <t>シクミ</t>
    </rPh>
    <rPh sb="115" eb="116">
      <t>オコナウ</t>
    </rPh>
    <rPh sb="120" eb="122">
      <t>カノウデア</t>
    </rPh>
    <rPh sb="128" eb="130">
      <t>ゼンジュテゥ</t>
    </rPh>
    <rPh sb="139" eb="141">
      <t>ゼンタイ</t>
    </rPh>
    <rPh sb="142" eb="143">
      <t>カンスル</t>
    </rPh>
    <rPh sb="145" eb="147">
      <t>シツモn</t>
    </rPh>
    <rPh sb="148" eb="149">
      <t>カンセィ</t>
    </rPh>
    <rPh sb="165" eb="166">
      <t>ウケツケ</t>
    </rPh>
    <phoneticPr fontId="1"/>
  </si>
  <si>
    <t>・授業改善アンケートでは、科目履修によって得られた知識・技能、思考力・表現力・判断力について調査している。科目ごとにばらつきがあり、知識・技能が「大いに向上した」「向上した」が90%を超えている科目がある一方で、75%となっている科目がある。思考力・表現力・判断力についても約90%の科目と約65%の科目がある。全体的に理解ができていると判断できるが、学生の理解を向上させる取り組みが必要である。
・また、以前よりも分かるようになったという一方で、難しいという意見もあり、学修に対するサポートを充実させる必要がある。</t>
    <rPh sb="0" eb="4">
      <t>カモクリシュウニ</t>
    </rPh>
    <phoneticPr fontId="1"/>
  </si>
  <si>
    <t xml:space="preserve">・授業改善アンケートでは学修に取り組む態度に関する質問をおこなっており、この回答を見ると、「大いに向上した」「向上した」が70%を超えている。このことからデータサイエンスに対して積極的に学ぶ意識づけができていると考える。
・この結果はデータサイエンス小委員会と共有しており、本教育プログラムの評価・改善に活用している。
・さらに本学では令和5年度から、大学教育を通じて身につけた基礎力の測定・育成するプログラムを導入した。今後、このアセスメントプログラムでの測定結果も参考にして学修成果の可視化につなげる予定である。
</t>
    <rPh sb="0" eb="1">
      <t>ゼンジュツノ</t>
    </rPh>
    <phoneticPr fontId="1"/>
  </si>
  <si>
    <t>本学には４学部７学科あり、それぞれの専門分野の学びが中心となる。一方で数理・データサイエンス・AI教育におけるモデルカリキュラムリテラシーレベルは、どの分野でも必要な知識となっていく。まず本プログラムを推奨する広報では、それぞれの分野で実際にどのような活用が行われているかについて説明し、データサイエンスに対する好奇心を促している。次に本プログラムにおける科目履修では、自らが今後どのように関わっていくことになるかを考えるように工夫している。今後は学部学科の専門科目との関連について明確にしていく。</t>
    <rPh sb="0" eb="2">
      <t>ホンガクニハ</t>
    </rPh>
    <phoneticPr fontId="1"/>
  </si>
  <si>
    <t>本学では、前期、後期の授業期間の終わりに、受講生に対して授業評価アンケートを行い、自身の学びや成長にどのくらい貢献したかを確認するとともに、自由記述による意見を求めている。結果は担当教員にフィードバックされ、教員は次回以降の授業改善に役立てている。授業改善委員会はデータサイエンス小委員会に対して、プログラムの科目の全体傾向についての情報を提供し、分かりやすい授業に向けての見直しを検討している。</t>
    <rPh sb="0" eb="2">
      <t>、ノジカイイコウジュギョウヤクダガクブチョウ</t>
    </rPh>
    <phoneticPr fontId="1"/>
  </si>
  <si>
    <t>プログラムを構成する科目のうち、最低限次の4単位のパターンか6単位のパターンを卒業時までに履修し、単位を修得する。
4単位のパターン：ITビジネス論、ビジネスリサーチ
6単位のパターン：情報システム論、経営情報論、ビジネスリサーチ</t>
    <rPh sb="0" eb="2">
      <t>コウセイスル</t>
    </rPh>
    <phoneticPr fontId="1"/>
  </si>
  <si>
    <t>プログラムを構成する科目のうち、最低限次の6単位のパターンか8単位のパターンを卒業時までに履修し、単位を修得する。
6単位のパターン：ITビジネス論、ビジネスリサーチ、はじめての統計学
8単位のパターン：情報システム論、経営情報論、ビジネスリサーチ、はじめての統計学</t>
    <rPh sb="68" eb="71">
      <t>トウケイガク</t>
    </rPh>
    <phoneticPr fontId="1"/>
  </si>
  <si>
    <t xml:space="preserve">・授業改善アンケートでは、受講に際して良かった点や悪かった点などに関する自由記述を求めており、後輩学生や他の学生への推奨に生かしている。
・学科の専門科目の理解に役立ったという意見もあり、学科科目との関連性からも他の学生への推奨に生かす。
・今後、授業改善アンケートで後輩学生や他の学生への推奨度を確認する項目について検討し、詳細な確認ができるようにする。
</t>
    <rPh sb="0" eb="2">
      <t>カクニンスルコオtデ</t>
    </rPh>
    <phoneticPr fontId="1"/>
  </si>
  <si>
    <t>日常生活のさまざまな分野でデータサイエンスが活用されていることを理解し、データを収集・分析し、データから価値を創出する一連の過程に関する基礎知識を身につける。また、データから有意義な洞察を引き出すための統計的手法を身につける。</t>
    <rPh sb="0" eb="3">
      <t>トウケイテキ</t>
    </rPh>
    <phoneticPr fontId="1"/>
  </si>
  <si>
    <t>日常生活のさまざまな分野でデータサイエンスが活用されていることを理解し、データを収集・分析し、データから価値を創出する一連の過程に関する基礎知識を身につける。</t>
    <rPh sb="0" eb="4">
      <t>ノ</t>
    </rPh>
    <phoneticPr fontId="1"/>
  </si>
  <si>
    <t>令和４</t>
    <phoneticPr fontId="1"/>
  </si>
  <si>
    <t>文学部</t>
    <rPh sb="0" eb="3">
      <t>ブンガクブ</t>
    </rPh>
    <phoneticPr fontId="1"/>
  </si>
  <si>
    <t>生活科学部</t>
    <rPh sb="0" eb="2">
      <t>セイカツ</t>
    </rPh>
    <rPh sb="2" eb="5">
      <t>カガクブ</t>
    </rPh>
    <phoneticPr fontId="1"/>
  </si>
  <si>
    <t>看護学部</t>
    <rPh sb="0" eb="2">
      <t>カンゴ</t>
    </rPh>
    <rPh sb="2" eb="4">
      <t>ガクブ</t>
    </rPh>
    <phoneticPr fontId="1"/>
  </si>
  <si>
    <t>経営学部</t>
    <rPh sb="0" eb="2">
      <t>ケイエイ</t>
    </rPh>
    <rPh sb="2" eb="4">
      <t>ガクブ</t>
    </rPh>
    <phoneticPr fontId="1"/>
  </si>
  <si>
    <t xml:space="preserve">・学務部において本プログラムの履修生の数、学部学科毎の数を把握することができる。令和4年度から本プログラムを開始したが、修了要件を満たした学生が生活科学部から5名、経営学部から4名居る。
・授業改善委員会の下で、前期、後期の授業期間の終わりに、受講生に対して本学のディプロマ・ポリシーに基づいた授業改善アンケートを行なっている。この授業改善アンケートの結果を、本教育プログラムの評価・改善に活用している。
・一方で、この授業評価アンケートは令和4年度から新たな形式に変更しており、今後調査内容について再検討するとともに、実施形式についても調整を進める。
</t>
    <rPh sb="0" eb="3">
      <t>シュウリョウジニジュギョウカイゼンイインカイモトゼンキコウキジュギョウホンガクモトチシキギノウシコウリョクヒョウゲンリョクハンダンリョクガクシュウトクタイドジッセンテキコウセイセイカンモジスウオーバー</t>
    </rPh>
    <rPh sb="72" eb="77">
      <t>セイカツカガクブ</t>
    </rPh>
    <rPh sb="80" eb="81">
      <t>メイ</t>
    </rPh>
    <rPh sb="82" eb="86">
      <t>ケイエイガクブ</t>
    </rPh>
    <rPh sb="89" eb="90">
      <t>メイ</t>
    </rPh>
    <phoneticPr fontId="1"/>
  </si>
  <si>
    <t>オペレーションズ・リサーチ</t>
    <phoneticPr fontId="1"/>
  </si>
  <si>
    <t xml:space="preserve">・本プログラムでの履修者数、履修率を向上させるために、教務委員会やデータサイエンス小委員会との会議を実施している。
・本プログラムは令和4年度から全学でのプログラムとして開始している。初年度は新入生および在学生の履修ガイダンスで説明を行い、多くの学部学科からの履修を推進した。その結果、初年度から、修了要件を満たした学生を複数の学部学科から出すことができている。
・令和5年度は「履修登録の手引き」にプログラムの内容を掲載したが、今後も引き続き新入生および在学生の履修ガイダンスでの説明が必要と考えている。
</t>
    <rPh sb="1" eb="2">
      <t>ホンプログラム</t>
    </rPh>
    <phoneticPr fontId="1"/>
  </si>
  <si>
    <t>・本学経営学部経営学科では茨城県経営者協会とのつながりがあり、今後必要となる人材像について話を伺っているが、分析力に基づき、データを駆使し、デジタル社会を支える人材を育成してほしいとの要望があり、本プログラムとの親和性が高いと考えている。また、茨城県においてもDXイノベーションを推進しており、本学での取り組みについて説明を行ない意見をいただいた。
・今後、これらの組織との定期的な打ち合わせの場において意見を収集するとともに、データサイエンス小委員会においてプログラムの改善に活用する。</t>
    <rPh sb="1" eb="3">
      <t>ホンガク_x0000__x0000__x0002__x0004__x0000__x0002__x0008__x0000_
	_x0000_</t>
    </rPh>
    <phoneticPr fontId="1"/>
  </si>
  <si>
    <t>データサイエンス小委員会</t>
    <rPh sb="8" eb="9">
      <t>ショウ</t>
    </rPh>
    <rPh sb="9" eb="12">
      <t>イインカイ</t>
    </rPh>
    <phoneticPr fontId="1"/>
  </si>
  <si>
    <t>教育課程運用の全学的な調整を図るための組織として教務委員会を設置している。
教務委員会の下部組織としてデータサイエンス教育小委員会を設置する。
データサイエンス小委員会は本学のデータサイエンス教育の改善に向け、以下の活動を行う。
・データサイエンス教育に必要なカリキュラムの研究
・本学のデータサイエンス教育の学修データの調査・分析
・データサイエンス教育の改善内容の教務委員会への提言
教務委員会はデータサイエンス小委員会からの提言内容をもとに、全学カリキュラムの調整を行いプログラムの改善を行う。</t>
    <rPh sb="30" eb="32">
      <t>セッチ</t>
    </rPh>
    <rPh sb="38" eb="43">
      <t>キョウムイインカイ</t>
    </rPh>
    <rPh sb="44" eb="48">
      <t>カブソシキ</t>
    </rPh>
    <rPh sb="61" eb="65">
      <t>ショウイインカイ</t>
    </rPh>
    <rPh sb="66" eb="68">
      <t>セッチ</t>
    </rPh>
    <rPh sb="85" eb="87">
      <t>ホンガク</t>
    </rPh>
    <rPh sb="96" eb="98">
      <t>キョウイク</t>
    </rPh>
    <rPh sb="99" eb="101">
      <t>カイゼン</t>
    </rPh>
    <rPh sb="102" eb="103">
      <t>ム</t>
    </rPh>
    <rPh sb="105" eb="107">
      <t>イカ</t>
    </rPh>
    <rPh sb="108" eb="110">
      <t>カツドウ</t>
    </rPh>
    <rPh sb="111" eb="112">
      <t>オコナ</t>
    </rPh>
    <rPh sb="127" eb="129">
      <t>ヒツヨウ</t>
    </rPh>
    <rPh sb="137" eb="139">
      <t>ケンキュウ</t>
    </rPh>
    <rPh sb="141" eb="143">
      <t>ホンガク</t>
    </rPh>
    <rPh sb="181" eb="183">
      <t>ナイヨウ</t>
    </rPh>
    <rPh sb="184" eb="189">
      <t>キョウムイインカイ</t>
    </rPh>
    <rPh sb="191" eb="193">
      <t>テイゲン</t>
    </rPh>
    <rPh sb="195" eb="200">
      <t>キョウムイインカイ</t>
    </rPh>
    <rPh sb="216" eb="220">
      <t>テイゲンナイヨウ</t>
    </rPh>
    <rPh sb="225" eb="227">
      <t>ゼンガク</t>
    </rPh>
    <rPh sb="234" eb="236">
      <t>チョウセイ</t>
    </rPh>
    <rPh sb="237" eb="238">
      <t>オコナ</t>
    </rPh>
    <rPh sb="245" eb="247">
      <t>カイゼン</t>
    </rPh>
    <rPh sb="248" eb="249">
      <t>オコナ</t>
    </rPh>
    <phoneticPr fontId="1"/>
  </si>
  <si>
    <t xml:space="preserve">教務委員会は、学務部長と各学科および全学教養課程センターが選出する教務委員で構成される。この教務委員会に対しデータサイエンス教育に関わるカリキュラム構成や履修に向けた改善を定言する組織として、データサイエンス小委員会を設置している。データサイエンス小委員会の構成員としては、全学の中から数理、データサイエンス、AI等に詳しい教員を指名している。
データサイエンス小委員会
経営学部　　教授　　米岡英治（代表）
文学部　　　准教授　佐々木隆宏
生活科学部　教授　　有澤正樹
生活科学部　准教授　國見充展
経営学部　　教授　　佐藤和明
</t>
    <rPh sb="0" eb="5">
      <t>キョウ</t>
    </rPh>
    <rPh sb="7" eb="11">
      <t>ガクム</t>
    </rPh>
    <rPh sb="27" eb="31">
      <t>ケイエイガクブ</t>
    </rPh>
    <rPh sb="33" eb="35">
      <t>キョウジュ</t>
    </rPh>
    <rPh sb="38" eb="40">
      <t>コウセイサル</t>
    </rPh>
    <rPh sb="46" eb="48">
      <t>キョウ</t>
    </rPh>
    <rPh sb="48" eb="51">
      <t>イインカイ</t>
    </rPh>
    <rPh sb="62" eb="64">
      <t>キョウイク</t>
    </rPh>
    <rPh sb="65" eb="66">
      <t>カカワル</t>
    </rPh>
    <rPh sb="74" eb="76">
      <t>コウセイ</t>
    </rPh>
    <rPh sb="77" eb="79">
      <t>リシュウ</t>
    </rPh>
    <rPh sb="80" eb="81">
      <t>ムケ</t>
    </rPh>
    <rPh sb="83" eb="85">
      <t>カイゼn</t>
    </rPh>
    <rPh sb="86" eb="88">
      <t>テイゲn</t>
    </rPh>
    <rPh sb="90" eb="92">
      <t>ソシキ</t>
    </rPh>
    <rPh sb="98" eb="101">
      <t>ジュンキョウジュ</t>
    </rPh>
    <rPh sb="102" eb="104">
      <t>ササキ</t>
    </rPh>
    <rPh sb="104" eb="105">
      <t>タカヒロ</t>
    </rPh>
    <rPh sb="106" eb="108">
      <t>セイカツ</t>
    </rPh>
    <rPh sb="109" eb="111">
      <t>セッティ</t>
    </rPh>
    <rPh sb="124" eb="128">
      <t>ショウイイn</t>
    </rPh>
    <rPh sb="129" eb="132">
      <t>コウセイ</t>
    </rPh>
    <rPh sb="137" eb="139">
      <t xml:space="preserve">ゼンガクノ </t>
    </rPh>
    <rPh sb="143" eb="145">
      <t xml:space="preserve">スウリ </t>
    </rPh>
    <rPh sb="157" eb="158">
      <t xml:space="preserve">トウニ </t>
    </rPh>
    <rPh sb="159" eb="160">
      <t>クワシイ</t>
    </rPh>
    <rPh sb="162" eb="164">
      <t>キョウイn</t>
    </rPh>
    <rPh sb="165" eb="167">
      <t>シメイ</t>
    </rPh>
    <rPh sb="172" eb="175">
      <t>カガクブ</t>
    </rPh>
    <rPh sb="176" eb="178">
      <t>キョウジュ</t>
    </rPh>
    <rPh sb="180" eb="182">
      <t>アリサワ</t>
    </rPh>
    <rPh sb="183" eb="185">
      <t>セイカツ</t>
    </rPh>
    <rPh sb="185" eb="188">
      <t>カガクブ</t>
    </rPh>
    <rPh sb="193" eb="194">
      <t>コク</t>
    </rPh>
    <rPh sb="194" eb="195">
      <t>ケン</t>
    </rPh>
    <rPh sb="195" eb="196">
      <t>ミツル</t>
    </rPh>
    <rPh sb="196" eb="197">
      <t>テン</t>
    </rPh>
    <rPh sb="198" eb="200">
      <t>ケイエイ</t>
    </rPh>
    <rPh sb="200" eb="202">
      <t>ガクブ</t>
    </rPh>
    <rPh sb="204" eb="206">
      <t>キョウジュ</t>
    </rPh>
    <rPh sb="208" eb="210">
      <t>サトウ</t>
    </rPh>
    <rPh sb="210" eb="212">
      <t>カズアキ</t>
    </rPh>
    <phoneticPr fontId="1"/>
  </si>
  <si>
    <t>本プログラムは、令和4年度から令和3年度以降の入学者を対象に開始したため、履修者は令和5年度は3年次生である。今後卒業後の進路や活躍状況を把握することになる。本学にはキャリア支援センターがあり、学生の就職先等の把握が可能である。今後、活躍状況や企業評価を調査し把握する仕組みを構築していく予定である。</t>
    <rPh sb="0" eb="1">
      <t>ホンプログラムハニ</t>
    </rPh>
    <rPh sb="49" eb="50">
      <t xml:space="preserve">ジ </t>
    </rPh>
    <phoneticPr fontId="1"/>
  </si>
  <si>
    <t xml:space="preserve">・本学では令和4年度からプログラムを開始しているが、主要科目は2年次以降の開講である一方、「はじめての統計学」に関しては1年次開講科目である。「はじめての統計学」に関しては、プログラム実施に向けた内容の調整は必要なかったことから、令和3年度入学者から対応するプログラムとしている。
・令和4年度から新入生・在学生ガイダンス実施時にプログラムに関しての説明を実施している。
・今後受講者数の推移を確認し、必要に応じて令和6年度に、指定科目の開講数、開講時間の調整を行い、学生が受講しやすい環境を構築する。
・基礎的学習項目に関して令和6年度から全学教養課程科目としての実施予定である。具体的には、現在の教養科目区分「ICT」を「データサイエンス」に変更して、関連科目を設定する。データサイエンス」分野に接ししやすくするとともに、プログラムの履修に関して見直しを行う。
</t>
    <rPh sb="0" eb="4">
      <t>カンレンカモクヲ</t>
    </rPh>
    <rPh sb="1" eb="3">
      <t>ホンガク</t>
    </rPh>
    <rPh sb="5" eb="7">
      <t>レイワシュヨウイコウカイコウデアル イッポウトウケイカンシテトウケイカンシテジッセィムケナイヨウヒツヨウレイワニュウガクタイオウレイワコンゴジュコウセィアスイイカクニnヒツヨウレイワシテイカイコウセッチジチョウセイガクセイジュコウカンキョウレイワヨテイグタイテキゲンザイキョウヨウカモククブンヘンコウジュギョウカモクトウケイガククブンヘンコウツイカヒツヨウガクシュウナイヨウスベモウラセッケイゼンガクカモクブンヤニセッセィ</t>
    </rPh>
    <phoneticPr fontId="1"/>
  </si>
  <si>
    <t xml:space="preserve">・本学のデータサイエンス教育プログラムは、経営学部経営学科の科目を中心に構成している。経営学部経営学科以外の学生が受講しやすくするために、令和4年度から開講時間の調整を行なっている。
また、経営学部経営学科の学生に関しては「はじめての統計学」が、修了のための必須科目となっていることから、学科必須科目等と開講時間が可能な限り重なることがないように調整している。
・前述のように、今後の受講生の推移によっては関連科目の開講数の調整するとともに、全学教養科目での学修をプログラムに組み込むことを検討している。
</t>
    <rPh sb="1" eb="3">
      <t>ホンガク</t>
    </rPh>
    <rPh sb="21" eb="29">
      <t>ケイエイ</t>
    </rPh>
    <rPh sb="30" eb="32">
      <t>カモクヲチュウシンニ</t>
    </rPh>
    <rPh sb="36" eb="38">
      <t>コウセイ</t>
    </rPh>
    <rPh sb="43" eb="51">
      <t>ケイエイ</t>
    </rPh>
    <rPh sb="51" eb="53">
      <t>イガイ</t>
    </rPh>
    <rPh sb="54" eb="56">
      <t>ガクセイ</t>
    </rPh>
    <rPh sb="57" eb="59">
      <t>ジュコウ</t>
    </rPh>
    <rPh sb="69" eb="71">
      <t>レイワカイコウジチョウセイオコナッテケイエイケイエイガクセイトウケイシュウリョウヒッスガッカカイコカノウカサナルチョウセイゼンジュテゥコンゴジュコウスイイカンレンカモクカイコウチョウセイゼンガクガクシュウクミコムケントウスホンガクレイワダイガクツウジミニツケキソリョクドウニュウケッカサンコウン</t>
    </rPh>
    <phoneticPr fontId="1"/>
  </si>
  <si>
    <t>・令和4年度には新入生・在学生ガイダンス実施時にプログラムに関しての説明を実施した。
・令和5年度からは全学生に配布する「履修登録の手引き」に、プログラムの意義、学修内容、プログラム修了の要件等を掲載し、受講を促している。
・今後、各学科の学びに連動させた説明を各学科のガイダンスで行う。
・さらに入学を検討している高校生等に向け、大学HPでプログラム内容等に関する情報開示を行なっている。</t>
    <rPh sb="1" eb="3">
      <t>レイワレイワゼンガクハイヘゥガクシュウシュウリョウヨウケnトウジュコウウナガセィコンゴカクガッカマナビセツメイカクガッカオコナウニュウガクコウコウムケダイガクナイヨウトウニジョウホウ</t>
    </rPh>
    <phoneticPr fontId="1"/>
  </si>
  <si>
    <t>・データサイエンス小委員会での相談等の受付を行なっている。これは、共用のメールアドレスを用意し、学内のLMSにてアナウンスしている。
・学務部等でプログラム内容を周知し、学生の履修相談への対応、修了証発行のための申請対応を行なっている。</t>
    <rPh sb="9" eb="13">
      <t>ショウイイn</t>
    </rPh>
    <rPh sb="22" eb="23">
      <t>オコナッテ</t>
    </rPh>
    <rPh sb="33" eb="35">
      <t>キョウヨウ</t>
    </rPh>
    <rPh sb="44" eb="46">
      <t>ヨウイ</t>
    </rPh>
    <rPh sb="85" eb="87">
      <t>ガクセイ</t>
    </rPh>
    <rPh sb="88" eb="90">
      <t>リシュウ</t>
    </rPh>
    <rPh sb="94" eb="96">
      <t>タイオウ</t>
    </rPh>
    <rPh sb="108" eb="110">
      <t>タイオウ</t>
    </rPh>
    <rPh sb="111" eb="112">
      <t>オコナッテ</t>
    </rPh>
    <phoneticPr fontId="1"/>
  </si>
  <si>
    <t>経営特講Ⅳ</t>
    <rPh sb="0" eb="4">
      <t>ケイエイ</t>
    </rPh>
    <phoneticPr fontId="1"/>
  </si>
  <si>
    <t>様式１-1</t>
    <rPh sb="0" eb="2">
      <t>ヨウシキ</t>
    </rPh>
    <phoneticPr fontId="1"/>
  </si>
  <si>
    <t>様式１-2</t>
    <rPh sb="0" eb="2">
      <t>ヨウシキ</t>
    </rPh>
    <phoneticPr fontId="1"/>
  </si>
  <si>
    <t>ITビジネス、特にインターネットを用いたビジネスの特徴や社会に与えた影響、ビッグデータ、IoT,AIなどの利用からSociety 5.0と言われる社会への変革など、全体像を知る「ITビジネス論」（2回目）
コンピュータの処理能力向上とデータ処理、コンピュータの各種装置であるハードウエアについての基本知識、後の各論等で登場するプログラミングやデーターベースに関する入門的な知識を得る。「情報システム論」（2回目）
ネットワークの技術から規格、種類、インターネットの技術等を概説した後に、ICTの活用動向、複数技術を組み合わせたAIサービスなどを学ぶ。「情報システム論」（3回目）
データから情報へ、経営資源としての情報といった面から、データ量が増加するとともに、データを起点としたものの見方、データ駆動型社会へ変わってきていること、その中でAIとの関係性を学ぶ。「経営情報論」（1回目）</t>
    <rPh sb="53" eb="55">
      <t>リヨウ</t>
    </rPh>
    <rPh sb="69" eb="70">
      <t>イ</t>
    </rPh>
    <rPh sb="73" eb="75">
      <t>シャカイ</t>
    </rPh>
    <rPh sb="77" eb="79">
      <t>ヘンカク</t>
    </rPh>
    <rPh sb="99" eb="101">
      <t>カイメ</t>
    </rPh>
    <rPh sb="120" eb="122">
      <t>ショリ</t>
    </rPh>
    <rPh sb="193" eb="195">
      <t>ジョウホウ</t>
    </rPh>
    <rPh sb="199" eb="200">
      <t>ロン</t>
    </rPh>
    <rPh sb="203" eb="205">
      <t>カイメ</t>
    </rPh>
    <rPh sb="252" eb="256">
      <t>フクスウギジュツ</t>
    </rPh>
    <rPh sb="257" eb="258">
      <t>ク</t>
    </rPh>
    <rPh sb="259" eb="260">
      <t>ア</t>
    </rPh>
    <rPh sb="272" eb="273">
      <t>マナ</t>
    </rPh>
    <rPh sb="313" eb="314">
      <t>メン</t>
    </rPh>
    <rPh sb="320" eb="321">
      <t>リョウ</t>
    </rPh>
    <rPh sb="322" eb="324">
      <t>ゾウカ</t>
    </rPh>
    <rPh sb="349" eb="352">
      <t>クドウガタ</t>
    </rPh>
    <rPh sb="352" eb="354">
      <t>シャカイ</t>
    </rPh>
    <rPh sb="355" eb="356">
      <t>カ</t>
    </rPh>
    <rPh sb="368" eb="369">
      <t>ナカ</t>
    </rPh>
    <rPh sb="374" eb="377">
      <t>カンケイセイ</t>
    </rPh>
    <rPh sb="378" eb="379">
      <t>マナ</t>
    </rPh>
    <rPh sb="382" eb="387">
      <t>ケイエイジョウホウロン</t>
    </rPh>
    <rPh sb="390" eb="392">
      <t>カイメ</t>
    </rPh>
    <phoneticPr fontId="1"/>
  </si>
  <si>
    <t>電子認証や電子決済の仕組みを理解し、私達の生活で人の行動のログデータの活用事例などを理解する。「ITビジネス論」（12回目）
組織の情報処理、経営戦略と情報の関係から、組織が管理する構造化されたログデータや、オープンデータから有意義な洞察を引き出すことの重要性、データの管理等を学ぶ。「経営情報論」（2回目）</t>
    <rPh sb="24" eb="25">
      <t>ヒト</t>
    </rPh>
    <rPh sb="26" eb="28">
      <t>コウドウ</t>
    </rPh>
    <rPh sb="79" eb="81">
      <t>カンケイ</t>
    </rPh>
    <rPh sb="84" eb="86">
      <t>ソシキ</t>
    </rPh>
    <rPh sb="87" eb="89">
      <t>カンリ</t>
    </rPh>
    <rPh sb="91" eb="93">
      <t>コウゾウ</t>
    </rPh>
    <rPh sb="93" eb="94">
      <t>カ</t>
    </rPh>
    <rPh sb="127" eb="130">
      <t>ジュウヨウセイ</t>
    </rPh>
    <rPh sb="135" eb="137">
      <t>カンリ</t>
    </rPh>
    <rPh sb="137" eb="138">
      <t>トウ</t>
    </rPh>
    <rPh sb="139" eb="140">
      <t>マナ</t>
    </rPh>
    <phoneticPr fontId="1"/>
  </si>
  <si>
    <t>技術革新がもたらしたビジネスモデルの歴史的変遷から、AI、特に強化学習を活用した商品のレコメンデーションなど、代表的なビジネスモデルの知識を得る。「ITビジネス論」（3回目）
情報の種類や分析方法等の基本と、AIの最新技術を活用して情報をビジネス活かす分析方法に関する知識を学ぶ。「情報システム論」（11回目）
5G時代の到来とともに、更に進化するマルチメディアに関する基礎知識と、AI等の活用を含むビジネスでの活用事例を理解する。「情報システム論」（12回目）
ビジネスプロセス革新の考え方と現在におけるAI等を活用した変革について学ぶ「経営情報論」（5回目）</t>
    <rPh sb="29" eb="30">
      <t xml:space="preserve">トクニ </t>
    </rPh>
    <rPh sb="31" eb="35">
      <t>キョウカガク</t>
    </rPh>
    <rPh sb="36" eb="38">
      <t>カツヨウ</t>
    </rPh>
    <rPh sb="107" eb="109">
      <t>サイシン</t>
    </rPh>
    <rPh sb="109" eb="111">
      <t>ギジュツ</t>
    </rPh>
    <rPh sb="112" eb="114">
      <t>カツヨウ</t>
    </rPh>
    <rPh sb="198" eb="199">
      <t>フク</t>
    </rPh>
    <rPh sb="243" eb="244">
      <t>カンガ</t>
    </rPh>
    <rPh sb="245" eb="246">
      <t>カタ</t>
    </rPh>
    <rPh sb="247" eb="249">
      <t>ゲンザイ</t>
    </rPh>
    <rPh sb="255" eb="256">
      <t>トウ</t>
    </rPh>
    <rPh sb="257" eb="259">
      <t>カツヨウ</t>
    </rPh>
    <rPh sb="261" eb="263">
      <t>ヘンカク</t>
    </rPh>
    <rPh sb="267" eb="268">
      <t>マナ</t>
    </rPh>
    <phoneticPr fontId="1"/>
  </si>
  <si>
    <t>日常生活の調べ物に欠かせない検索エンジンであるが、その成り立ちから現在まで、グルーピングやパターン発見などの技術の活用、世界各国の検索エンジン事情を踏まえて理解する。「ITビジネス論」（7回目）
システム開発の流れと要件定義やシステム化計画の流れを理解する。「情報システム論」（4回目）
ユーザーの接点であるインターフェースの設計及びデータベースとファイルの違い等、データベースシステムについての基礎知識を得る。「情報システム論」（5回目）
業務用アプリケーションの種類等を学び、製造業におけるアプリケーションの概要を理解するとともに、得られたデータをビジネスに利活用するための可視化を学ぶ。「情報システム論」（9回目）
販売管理システムや物流システムにおけるアプリケーションの概要、得られたデータで、顧客動向を把握し、いかにビジネスに利活用する手法を事例を学ぶ。同時に、様々な業務アプリケーションに関する基礎知識を得る。「情報システム論」（10回目）</t>
    <rPh sb="49" eb="51">
      <t>ハッケン</t>
    </rPh>
    <rPh sb="54" eb="56">
      <t>ギジュツ</t>
    </rPh>
    <rPh sb="57" eb="59">
      <t>カツヨウ</t>
    </rPh>
    <rPh sb="268" eb="269">
      <t xml:space="preserve">エラレタ </t>
    </rPh>
    <rPh sb="281" eb="282">
      <t xml:space="preserve">リ </t>
    </rPh>
    <rPh sb="282" eb="284">
      <t xml:space="preserve">カツヨウ </t>
    </rPh>
    <rPh sb="289" eb="292">
      <t xml:space="preserve">カシカ </t>
    </rPh>
    <rPh sb="293" eb="294">
      <t xml:space="preserve">マナブ </t>
    </rPh>
    <rPh sb="339" eb="341">
      <t xml:space="preserve">ガイヨウ </t>
    </rPh>
    <rPh sb="342" eb="346">
      <t xml:space="preserve">コキャクドウコウヲ </t>
    </rPh>
    <rPh sb="347" eb="349">
      <t xml:space="preserve">ハアクシ </t>
    </rPh>
    <rPh sb="353" eb="354">
      <t xml:space="preserve">エラレタデータヲ </t>
    </rPh>
    <rPh sb="368" eb="371">
      <t xml:space="preserve">リカツヨウ </t>
    </rPh>
    <rPh sb="373" eb="375">
      <t xml:space="preserve">シュホウヲ </t>
    </rPh>
    <rPh sb="376" eb="378">
      <t xml:space="preserve">ジレイヲ </t>
    </rPh>
    <rPh sb="379" eb="380">
      <t xml:space="preserve">マナビ </t>
    </rPh>
    <rPh sb="382" eb="384">
      <t xml:space="preserve">ドウジニ </t>
    </rPh>
    <rPh sb="403" eb="405">
      <t xml:space="preserve">キソ </t>
    </rPh>
    <phoneticPr fontId="1"/>
  </si>
  <si>
    <t>コンピュータウイルス、ネットワークへの外部攻撃の種類、その対策学ぶ。実際に発生した事故、企業の不祥事などの事例とともに、問題点を考察する。「ITビジネス論」（11回目）
ICTのサービス種類や形態、ライフサイクルを理解するとともに、システムのセキュリティ管理に関する知識を学ぶ。「情報システム論」（8回目）
情報化社会における課題（企業活動）として個人情報保護、プライバシー保護などについて学ぶ「経営情報論」（13回目）
情報化社会における課題（情報通信技術、情報倫理）として、透明性や説明責任、正当性と倫理観などについて学ぶ「経営情報論」（14回目）</t>
    <rPh sb="19" eb="21">
      <t xml:space="preserve">ガイブカラ </t>
    </rPh>
    <rPh sb="21" eb="23">
      <t xml:space="preserve">コウゲキニ </t>
    </rPh>
    <rPh sb="24" eb="26">
      <t xml:space="preserve">シュルイ </t>
    </rPh>
    <rPh sb="31" eb="32">
      <t xml:space="preserve">マナブ </t>
    </rPh>
    <rPh sb="34" eb="36">
      <t xml:space="preserve">ジッサイニ </t>
    </rPh>
    <rPh sb="41" eb="43">
      <t xml:space="preserve">ジコ </t>
    </rPh>
    <rPh sb="174" eb="180">
      <t>コジンジョウホウホゴ</t>
    </rPh>
    <rPh sb="187" eb="189">
      <t>ホゴ</t>
    </rPh>
    <rPh sb="195" eb="196">
      <t>マナ</t>
    </rPh>
    <rPh sb="198" eb="203">
      <t>ケイエイジョウホウロン</t>
    </rPh>
    <rPh sb="207" eb="209">
      <t>カイメ</t>
    </rPh>
    <rPh sb="239" eb="242">
      <t>トウメイセイ</t>
    </rPh>
    <rPh sb="243" eb="247">
      <t>セツメイセキニン</t>
    </rPh>
    <rPh sb="248" eb="251">
      <t>セイトウセイ</t>
    </rPh>
    <rPh sb="252" eb="255">
      <t>リンリカン</t>
    </rPh>
    <rPh sb="261" eb="262">
      <t>マナ</t>
    </rPh>
    <phoneticPr fontId="1"/>
  </si>
  <si>
    <t>ITビジネスにも光と影があり、様々な事件が発生している。知的財産権、不正競争防止法などの判例から、ITビジネスの法的な基礎知識を学ぶ。OECDプライバシー8原則、個人情報保護法、EUのGDPR、米加州のCCPAなど、他国の個人情報の保護についても触れる。「ITビジネス論」（13回目）
ICTのサービス種類や形態、ライフサイクルを理解するとともに、システムのセキュリティ管理に関する知識を学ぶ。「情報システム論」（8回目）
情報化社会における課題（企業活動）「経営情報論」として、情報収集における原則、情報セキュリティについて学ぶ。（13回目）
情報化社会における課題（情報通信技術、情報倫理）として、システム不具合による社会的影響等について学ぶ。「経営情報論」（14回目）</t>
    <rPh sb="32" eb="33">
      <t>ケn</t>
    </rPh>
    <rPh sb="97" eb="98">
      <t xml:space="preserve">ベイ </t>
    </rPh>
    <rPh sb="98" eb="100">
      <t>カシュウ</t>
    </rPh>
    <rPh sb="108" eb="110">
      <t xml:space="preserve">タコクノ </t>
    </rPh>
    <rPh sb="111" eb="115">
      <t xml:space="preserve">コジンジョウホウノホゴ </t>
    </rPh>
    <rPh sb="123" eb="124">
      <t xml:space="preserve">フレル </t>
    </rPh>
    <rPh sb="227" eb="231">
      <t>ジョウホウシュウシュウ</t>
    </rPh>
    <rPh sb="235" eb="237">
      <t>ゲンソク</t>
    </rPh>
    <rPh sb="238" eb="240">
      <t>ジョウホウ</t>
    </rPh>
    <rPh sb="250" eb="251">
      <t>マナ</t>
    </rPh>
    <rPh sb="292" eb="295">
      <t>フグアイ</t>
    </rPh>
    <rPh sb="298" eb="301">
      <t>シャカイテキ</t>
    </rPh>
    <rPh sb="301" eb="303">
      <t>エイキョウ</t>
    </rPh>
    <rPh sb="303" eb="304">
      <t>トウ</t>
    </rPh>
    <rPh sb="308" eb="309">
      <t>マナ</t>
    </rPh>
    <phoneticPr fontId="1"/>
  </si>
  <si>
    <t>eビジネスには様々なビジネスの形態が存在する。各ビジネスの形態を理解し、AI活用領域が広がっていることを実例とともに理解する。「ITビジネス論」（4回目）
Webサイトを作成しただけでは、集客することはできない。AI等を活用しながらWebサイトへ集客、Webサイト内での行動履歴から販売を促すマーケティング手法の基本及び全体像を把握する。「ITビジネス論」（6回目）
経営情報システムの変遷を学ぶとともに、AI等を活用することによる非定型的管理業務の意思決定の自動化の可能性を学ぶ。「経営情報論」（3回目）
大規模な顧客データを分析し新製品開発、効果的なプロモーション、仮説の検証など、多様な部門で活用するといった、企業における情報処理「経営情報論」（4回目）</t>
    <rPh sb="43" eb="44">
      <t>ヒロ</t>
    </rPh>
    <rPh sb="108" eb="109">
      <t>トウ</t>
    </rPh>
    <rPh sb="110" eb="112">
      <t>カツヨウ</t>
    </rPh>
    <rPh sb="132" eb="133">
      <t xml:space="preserve">ナイデノ </t>
    </rPh>
    <rPh sb="135" eb="139">
      <t xml:space="preserve">コウドウリレキ </t>
    </rPh>
    <rPh sb="141" eb="143">
      <t xml:space="preserve">ハンバイ </t>
    </rPh>
    <rPh sb="196" eb="197">
      <t>マナ</t>
    </rPh>
    <rPh sb="205" eb="206">
      <t>トウ</t>
    </rPh>
    <rPh sb="207" eb="209">
      <t>カツヨウ</t>
    </rPh>
    <rPh sb="225" eb="229">
      <t>イシケッテイ</t>
    </rPh>
    <rPh sb="230" eb="233">
      <t>ジドウカ</t>
    </rPh>
    <rPh sb="234" eb="237">
      <t>カノウセイ</t>
    </rPh>
    <rPh sb="238" eb="239">
      <t>マナ</t>
    </rPh>
    <rPh sb="254" eb="257">
      <t>ダイキボ</t>
    </rPh>
    <rPh sb="258" eb="260">
      <t>コキャク</t>
    </rPh>
    <rPh sb="264" eb="266">
      <t>ブンセキ</t>
    </rPh>
    <rPh sb="267" eb="270">
      <t>シンセイヒン</t>
    </rPh>
    <rPh sb="270" eb="272">
      <t>カイハツ</t>
    </rPh>
    <rPh sb="273" eb="276">
      <t>コウカテキ</t>
    </rPh>
    <rPh sb="285" eb="287">
      <t>カセツ</t>
    </rPh>
    <rPh sb="288" eb="290">
      <t>ケンショウ</t>
    </rPh>
    <rPh sb="293" eb="295">
      <t>タヨウ</t>
    </rPh>
    <rPh sb="296" eb="298">
      <t>ブモン</t>
    </rPh>
    <rPh sb="299" eb="301">
      <t>カツヨウ</t>
    </rPh>
    <phoneticPr fontId="1"/>
  </si>
  <si>
    <r>
      <t>アンケートやSNSへの投稿、行動履歴などのデータからパターンやルール、顧客の深層心理を発見する手法であるデータマイニング</t>
    </r>
    <r>
      <rPr>
        <sz val="12"/>
        <rFont val="ＭＳ Ｐゴシック"/>
        <family val="3"/>
        <charset val="128"/>
      </rPr>
      <t>など、データサイエンスのサイクル</t>
    </r>
    <r>
      <rPr>
        <sz val="12"/>
        <rFont val="ＭＳ Ｐゴシック"/>
        <family val="3"/>
        <charset val="128"/>
        <scheme val="minor"/>
      </rPr>
      <t>の基本知識を理解する。「ITビジネス論」（8回目）
構築した情報システムの運用管理の基礎知識について学ぶ。システム運用に欠かせないバックアップや管理のコスト管理</t>
    </r>
    <r>
      <rPr>
        <sz val="12"/>
        <rFont val="ＭＳ Ｐゴシック"/>
        <family val="3"/>
        <charset val="128"/>
      </rPr>
      <t>なども含め、データの取得・管理・加工など</t>
    </r>
    <r>
      <rPr>
        <sz val="12"/>
        <rFont val="ＭＳ Ｐゴシック"/>
        <family val="3"/>
        <charset val="128"/>
        <scheme val="minor"/>
      </rPr>
      <t>の基礎知識を全般的に理解する。「情報システム論」（6回目）
ICT技術を活用して得られた情報を経営資源として、</t>
    </r>
    <r>
      <rPr>
        <sz val="12"/>
        <rFont val="ＭＳ Ｐゴシック"/>
        <family val="3"/>
        <charset val="128"/>
      </rPr>
      <t>データ・AIを利</t>
    </r>
    <r>
      <rPr>
        <sz val="12"/>
        <rFont val="ＭＳ Ｐゴシック"/>
        <family val="3"/>
        <charset val="128"/>
        <scheme val="minor"/>
      </rPr>
      <t>活用する</t>
    </r>
    <r>
      <rPr>
        <sz val="12"/>
        <rFont val="ＭＳ Ｐゴシック"/>
        <family val="3"/>
        <charset val="128"/>
      </rPr>
      <t>事例・</t>
    </r>
    <r>
      <rPr>
        <sz val="12"/>
        <rFont val="ＭＳ Ｐゴシック"/>
        <family val="3"/>
        <charset val="128"/>
        <scheme val="minor"/>
      </rPr>
      <t>基礎知識を学びつつ、マネジメント手法を理解する。「情報システム論」（7回目）</t>
    </r>
    <rPh sb="146" eb="147">
      <t>フクメ</t>
    </rPh>
    <rPh sb="243" eb="245">
      <t>ジレイ</t>
    </rPh>
    <phoneticPr fontId="1"/>
  </si>
  <si>
    <r>
      <rPr>
        <sz val="12"/>
        <rFont val="ＭＳ Ｐゴシック"/>
        <family val="3"/>
        <charset val="128"/>
      </rPr>
      <t>データの種類、</t>
    </r>
    <r>
      <rPr>
        <sz val="12"/>
        <rFont val="ＭＳ Ｐゴシック"/>
        <family val="3"/>
        <charset val="128"/>
        <scheme val="minor"/>
      </rPr>
      <t>度数分布、代表値、範囲と標準偏差の統計の解析方法を理解</t>
    </r>
    <r>
      <rPr>
        <sz val="12"/>
        <rFont val="ＭＳ Ｐゴシック"/>
        <family val="3"/>
        <charset val="128"/>
      </rPr>
      <t>し、データを適切に読み解く力を養う</t>
    </r>
    <r>
      <rPr>
        <sz val="12"/>
        <rFont val="ＭＳ Ｐゴシック"/>
        <family val="3"/>
        <charset val="128"/>
        <scheme val="minor"/>
      </rPr>
      <t>。「ビジネスリサーチ」（11回目）
歪度と尖度、カイ2乗検定、T検定と分散分析の解析方法を理解</t>
    </r>
    <r>
      <rPr>
        <sz val="12"/>
        <rFont val="ＭＳ Ｐゴシック"/>
        <family val="3"/>
        <charset val="128"/>
      </rPr>
      <t>し、データを適切に読み解く力を養う</t>
    </r>
    <r>
      <rPr>
        <sz val="12"/>
        <rFont val="ＭＳ Ｐゴシック"/>
        <family val="3"/>
        <charset val="128"/>
        <scheme val="minor"/>
      </rPr>
      <t>。「ビジネスリサーチ」（12回目）</t>
    </r>
    <rPh sb="4" eb="6">
      <t xml:space="preserve">シュルイ </t>
    </rPh>
    <rPh sb="50" eb="52">
      <t>カイメ</t>
    </rPh>
    <phoneticPr fontId="1"/>
  </si>
  <si>
    <r>
      <rPr>
        <sz val="12"/>
        <rFont val="ＭＳ Ｐゴシック"/>
        <family val="3"/>
        <charset val="128"/>
      </rPr>
      <t>データを適切に説明するために、</t>
    </r>
    <r>
      <rPr>
        <sz val="12"/>
        <rFont val="ＭＳ Ｐゴシック"/>
        <family val="3"/>
        <charset val="128"/>
        <scheme val="minor"/>
      </rPr>
      <t>相関関係の解析方法を理解する</t>
    </r>
    <r>
      <rPr>
        <sz val="12"/>
        <rFont val="ＭＳ Ｐゴシック"/>
        <family val="3"/>
        <charset val="128"/>
      </rPr>
      <t>とともに、因果関係との違い、サンプルデータを活用して、実際に相関関係図を作成し、完成図を元にどのような説明が可能か考察する。</t>
    </r>
    <r>
      <rPr>
        <sz val="12"/>
        <rFont val="ＭＳ Ｐゴシック"/>
        <family val="3"/>
        <charset val="128"/>
        <scheme val="minor"/>
      </rPr>
      <t xml:space="preserve">「ビジネスリサーチ」（13回目）
</t>
    </r>
    <r>
      <rPr>
        <sz val="12"/>
        <rFont val="ＭＳ Ｐゴシック"/>
        <family val="3"/>
        <charset val="128"/>
      </rPr>
      <t>データを適切に説明するために、</t>
    </r>
    <r>
      <rPr>
        <sz val="12"/>
        <rFont val="ＭＳ Ｐゴシック"/>
        <family val="3"/>
        <charset val="128"/>
        <scheme val="minor"/>
      </rPr>
      <t>単回帰の解析方法を理解する。</t>
    </r>
    <r>
      <rPr>
        <sz val="12"/>
        <rFont val="ＭＳ Ｐゴシック"/>
        <family val="3"/>
        <charset val="128"/>
      </rPr>
      <t>13回同様に、サンプルデータを活用して、単回帰分析を行う。また、完成図を元にどのような説明が可能か考察する。</t>
    </r>
    <r>
      <rPr>
        <sz val="12"/>
        <rFont val="ＭＳ Ｐゴシック"/>
        <family val="3"/>
        <charset val="128"/>
        <scheme val="minor"/>
      </rPr>
      <t>「ビジネスリサーチ」（14回目）</t>
    </r>
    <rPh sb="19" eb="21">
      <t>テキセテゥ</t>
    </rPh>
    <rPh sb="22" eb="24">
      <t>セツメイ</t>
    </rPh>
    <rPh sb="34" eb="38">
      <t xml:space="preserve">インガカンケイトノチガイ </t>
    </rPh>
    <rPh sb="51" eb="53">
      <t xml:space="preserve">カツヨウシテ </t>
    </rPh>
    <rPh sb="56" eb="58">
      <t xml:space="preserve">ジッサイニ </t>
    </rPh>
    <rPh sb="59" eb="64">
      <t xml:space="preserve">ソウカンカンケイズヲ </t>
    </rPh>
    <rPh sb="65" eb="67">
      <t xml:space="preserve">サクセイ </t>
    </rPh>
    <rPh sb="69" eb="71">
      <t xml:space="preserve">カンセイズ </t>
    </rPh>
    <rPh sb="71" eb="72">
      <t xml:space="preserve">ズヲモトニ </t>
    </rPh>
    <rPh sb="80" eb="82">
      <t xml:space="preserve">セツメイガ </t>
    </rPh>
    <rPh sb="83" eb="85">
      <t xml:space="preserve">カノウカ </t>
    </rPh>
    <rPh sb="86" eb="88">
      <t xml:space="preserve">コウサツ </t>
    </rPh>
    <rPh sb="140" eb="142">
      <t xml:space="preserve">ドウヨウニ </t>
    </rPh>
    <rPh sb="152" eb="154">
      <t xml:space="preserve">カツヨウシテ </t>
    </rPh>
    <rPh sb="157" eb="162">
      <t>タンカイキブンセ</t>
    </rPh>
    <rPh sb="163" eb="164">
      <t xml:space="preserve">オコナウ </t>
    </rPh>
    <phoneticPr fontId="1"/>
  </si>
  <si>
    <r>
      <t>アンケート調査の実施方法の種類や企画設計など、基本的知識を学んだ後に、第７回までの知識を活かして、実際に</t>
    </r>
    <r>
      <rPr>
        <sz val="12"/>
        <rFont val="ＭＳ Ｐゴシック"/>
        <family val="3"/>
        <charset val="128"/>
      </rPr>
      <t>どのようなデータを扱うかを検討し、</t>
    </r>
    <r>
      <rPr>
        <sz val="12"/>
        <rFont val="ＭＳ Ｐゴシック"/>
        <family val="3"/>
        <charset val="128"/>
        <scheme val="minor"/>
      </rPr>
      <t>アンケートを作成する準備をする。「ビジネスリサーチ」（8回目）
Googleノートにて、実際に</t>
    </r>
    <r>
      <rPr>
        <sz val="12"/>
        <rFont val="ＭＳ Ｐゴシック"/>
        <family val="3"/>
        <charset val="128"/>
      </rPr>
      <t>データを扱う</t>
    </r>
    <r>
      <rPr>
        <sz val="12"/>
        <rFont val="ＭＳ Ｐゴシック"/>
        <family val="3"/>
        <charset val="128"/>
        <scheme val="minor"/>
      </rPr>
      <t>アンケートを作成する。「ビジネスリサーチ」（9回目）
集計計画のプランニング、自由回答のカテゴリー化やクロス集計とクロス分析のポイントを学び、アンケート回収後</t>
    </r>
    <r>
      <rPr>
        <sz val="12"/>
        <rFont val="ＭＳ Ｐゴシック"/>
        <family val="3"/>
        <charset val="128"/>
      </rPr>
      <t>に収集したデータを扱うための作業手順</t>
    </r>
    <r>
      <rPr>
        <sz val="12"/>
        <rFont val="ＭＳ Ｐゴシック"/>
        <family val="3"/>
        <charset val="128"/>
        <scheme val="minor"/>
      </rPr>
      <t>を理解する。「ビジネスリサーチ」（10回目）</t>
    </r>
    <rPh sb="61" eb="62">
      <t>アツカウ</t>
    </rPh>
    <rPh sb="65" eb="67">
      <t>ケントウ</t>
    </rPh>
    <rPh sb="202" eb="204">
      <t>シュウシュウ</t>
    </rPh>
    <rPh sb="210" eb="211">
      <t>アツカウ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</si>
</sst>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ＭＳ ゴシック"/>
      <family val="3"/>
      <charset val="128"/>
    </font>
    <font>
      <sz val="12"/>
      <name val="ＭＳ Ｐゴシック"/>
      <family val="3"/>
      <charset val="128"/>
      <scheme val="minor"/>
    </font>
    <font>
      <sz val="12"/>
      <name val="ＭＳ Ｐゴシック"/>
      <family val="2"/>
      <charset val="128"/>
      <scheme val="minor"/>
    </font>
    <font>
      <sz val="12"/>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Up="1">
      <left style="dotted">
        <color auto="1"/>
      </left>
      <right style="hair">
        <color auto="1"/>
      </right>
      <top style="thin">
        <color auto="1"/>
      </top>
      <bottom style="hair">
        <color auto="1"/>
      </bottom>
      <diagonal style="hair">
        <color auto="1"/>
      </diagonal>
    </border>
    <border diagonalUp="1">
      <left style="hair">
        <color auto="1"/>
      </left>
      <right style="thin">
        <color auto="1"/>
      </right>
      <top style="thin">
        <color auto="1"/>
      </top>
      <bottom style="hair">
        <color auto="1"/>
      </bottom>
      <diagonal style="hair">
        <color auto="1"/>
      </diagonal>
    </border>
    <border diagonalUp="1">
      <left style="dotted">
        <color auto="1"/>
      </left>
      <right/>
      <top style="hair">
        <color auto="1"/>
      </top>
      <bottom style="hair">
        <color auto="1"/>
      </bottom>
      <diagonal style="hair">
        <color auto="1"/>
      </diagonal>
    </border>
    <border diagonalUp="1">
      <left style="hair">
        <color auto="1"/>
      </left>
      <right style="thin">
        <color auto="1"/>
      </right>
      <top style="hair">
        <color auto="1"/>
      </top>
      <bottom style="hair">
        <color auto="1"/>
      </bottom>
      <diagonal style="hair">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61" xfId="2" applyFont="1" applyBorder="1" applyAlignment="1">
      <alignment vertical="center" shrinkToFit="1"/>
    </xf>
    <xf numFmtId="38" fontId="2" fillId="0" borderId="62" xfId="2" applyFont="1" applyBorder="1" applyAlignment="1">
      <alignment vertical="center" shrinkToFit="1"/>
    </xf>
    <xf numFmtId="38" fontId="2" fillId="0" borderId="63" xfId="2" applyFont="1" applyBorder="1" applyAlignment="1">
      <alignment vertical="center" shrinkToFit="1"/>
    </xf>
    <xf numFmtId="38" fontId="2" fillId="0" borderId="64" xfId="2" applyFont="1" applyBorder="1" applyAlignment="1">
      <alignment vertical="center" shrinkToFit="1"/>
    </xf>
    <xf numFmtId="0" fontId="12" fillId="0" borderId="1" xfId="0" applyFont="1" applyBorder="1" applyAlignment="1">
      <alignment horizontal="center" vertical="center" wrapText="1" shrinkToFit="1"/>
    </xf>
    <xf numFmtId="0" fontId="13" fillId="0" borderId="1" xfId="0" applyFont="1" applyBorder="1" applyAlignment="1">
      <alignment horizontal="center" vertical="center" wrapText="1" shrinkToFit="1"/>
    </xf>
    <xf numFmtId="9" fontId="13" fillId="0" borderId="1" xfId="0" applyNumberFormat="1" applyFont="1" applyBorder="1" applyAlignment="1">
      <alignment horizontal="center" vertical="center" shrinkToFit="1"/>
    </xf>
    <xf numFmtId="0" fontId="13" fillId="0" borderId="1" xfId="0" applyFont="1" applyBorder="1" applyAlignment="1">
      <alignment horizontal="center" vertical="center" shrinkToFit="1"/>
    </xf>
    <xf numFmtId="176" fontId="13" fillId="0" borderId="1" xfId="0" applyNumberFormat="1" applyFont="1" applyBorder="1" applyAlignment="1">
      <alignment horizontal="center" vertical="center" shrinkToFit="1"/>
    </xf>
    <xf numFmtId="38" fontId="12" fillId="0" borderId="0" xfId="2" applyFont="1" applyFill="1" applyAlignment="1">
      <alignment vertical="center" shrinkToFit="1"/>
    </xf>
    <xf numFmtId="38" fontId="12" fillId="0" borderId="5" xfId="2" applyFont="1" applyFill="1" applyBorder="1" applyAlignment="1">
      <alignment vertical="center" shrinkToFit="1"/>
    </xf>
    <xf numFmtId="38" fontId="12" fillId="0" borderId="20" xfId="2" applyFont="1" applyFill="1" applyBorder="1" applyAlignment="1">
      <alignment vertical="center" shrinkToFit="1"/>
    </xf>
    <xf numFmtId="38" fontId="12" fillId="0" borderId="19" xfId="2" applyFont="1" applyFill="1" applyBorder="1" applyAlignment="1">
      <alignment vertical="center" shrinkToFit="1"/>
    </xf>
    <xf numFmtId="0" fontId="2" fillId="0" borderId="0" xfId="0" applyFont="1" applyFill="1">
      <alignment vertical="center"/>
    </xf>
    <xf numFmtId="0" fontId="2" fillId="0" borderId="0" xfId="0" applyFont="1">
      <alignment vertical="center"/>
    </xf>
    <xf numFmtId="0" fontId="2" fillId="0" borderId="0" xfId="0" applyFont="1" applyAlignment="1">
      <alignmen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12" fillId="0" borderId="0" xfId="0" applyFont="1" applyFill="1" applyAlignment="1">
      <alignment horizontal="right"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3" fillId="0" borderId="22" xfId="0" applyFont="1" applyBorder="1" applyAlignment="1">
      <alignment horizontal="left" vertical="center" wrapText="1" shrinkToFit="1"/>
    </xf>
    <xf numFmtId="0" fontId="13" fillId="0" borderId="22" xfId="0" applyFont="1" applyBorder="1" applyAlignment="1">
      <alignment horizontal="left" vertical="center" shrinkToFit="1"/>
    </xf>
    <xf numFmtId="0" fontId="13" fillId="0" borderId="21" xfId="0" applyFont="1" applyBorder="1" applyAlignment="1">
      <alignment horizontal="left" vertical="center" shrinkToFit="1"/>
    </xf>
    <xf numFmtId="0" fontId="13" fillId="0" borderId="36" xfId="0" applyFont="1" applyBorder="1" applyAlignment="1">
      <alignment horizontal="left" vertical="center" wrapText="1" shrinkToFit="1"/>
    </xf>
    <xf numFmtId="0" fontId="13" fillId="0" borderId="36" xfId="0" applyFont="1" applyBorder="1" applyAlignment="1">
      <alignment horizontal="left" vertical="center" shrinkToFit="1"/>
    </xf>
    <xf numFmtId="0" fontId="13" fillId="0" borderId="35" xfId="0" applyFont="1" applyBorder="1" applyAlignment="1">
      <alignment horizontal="left" vertical="center" shrinkToFit="1"/>
    </xf>
    <xf numFmtId="0" fontId="13" fillId="0" borderId="38" xfId="0" applyFont="1" applyBorder="1" applyAlignment="1">
      <alignment horizontal="left" vertical="center" wrapText="1" shrinkToFit="1"/>
    </xf>
    <xf numFmtId="0" fontId="13" fillId="0" borderId="38" xfId="0" applyFont="1" applyBorder="1" applyAlignment="1">
      <alignment horizontal="left" vertical="center" shrinkToFit="1"/>
    </xf>
    <xf numFmtId="0" fontId="13" fillId="0" borderId="39" xfId="0" applyFont="1" applyBorder="1" applyAlignment="1">
      <alignment horizontal="lef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13" fillId="0" borderId="8" xfId="0" applyFont="1" applyBorder="1" applyAlignment="1">
      <alignment horizontal="left" vertical="center" wrapText="1" shrinkToFit="1"/>
    </xf>
    <xf numFmtId="0" fontId="13" fillId="0" borderId="8" xfId="0" applyFont="1" applyBorder="1" applyAlignment="1">
      <alignment horizontal="left" vertical="center" shrinkToFit="1"/>
    </xf>
    <xf numFmtId="0" fontId="13"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Fill="1" applyAlignment="1">
      <alignment horizontal="right"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12" fillId="0" borderId="1" xfId="0" applyNumberFormat="1" applyFont="1" applyBorder="1" applyAlignment="1">
      <alignment horizontal="center" vertical="center" wrapText="1" shrinkToFit="1"/>
    </xf>
    <xf numFmtId="9" fontId="13" fillId="0" borderId="1" xfId="0" applyNumberFormat="1" applyFont="1" applyBorder="1" applyAlignment="1">
      <alignment horizontal="center" vertical="center" shrinkToFit="1"/>
    </xf>
    <xf numFmtId="9" fontId="13"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1" fillId="0" borderId="7" xfId="0" applyFont="1" applyBorder="1" applyAlignment="1">
      <alignment vertical="top" wrapText="1"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2" fillId="0" borderId="6" xfId="0" applyFont="1" applyBorder="1" applyAlignment="1">
      <alignment horizontal="left" vertical="center" wrapText="1" shrinkToFit="1"/>
    </xf>
    <xf numFmtId="0" fontId="12" fillId="0" borderId="6" xfId="0" applyFont="1" applyBorder="1" applyAlignment="1">
      <alignment horizontal="left" vertical="center" shrinkToFit="1"/>
    </xf>
    <xf numFmtId="0" fontId="12" fillId="0" borderId="12" xfId="0" applyFont="1" applyBorder="1" applyAlignment="1">
      <alignment horizontal="left" vertical="center" shrinkToFit="1"/>
    </xf>
    <xf numFmtId="0" fontId="12" fillId="0" borderId="36" xfId="0" applyFont="1" applyBorder="1" applyAlignment="1">
      <alignment vertical="center" wrapText="1" shrinkToFit="1"/>
    </xf>
    <xf numFmtId="0" fontId="12" fillId="0" borderId="36" xfId="0" applyFont="1" applyBorder="1" applyAlignment="1">
      <alignment vertical="center" shrinkToFit="1"/>
    </xf>
    <xf numFmtId="0" fontId="12" fillId="0" borderId="35" xfId="0" applyFont="1" applyBorder="1" applyAlignment="1">
      <alignment vertical="center" shrinkToFit="1"/>
    </xf>
    <xf numFmtId="0" fontId="12" fillId="0" borderId="19" xfId="0" applyFont="1" applyBorder="1" applyAlignment="1">
      <alignment vertical="center" wrapText="1"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2" fillId="0" borderId="6" xfId="0" applyFont="1" applyBorder="1" applyAlignment="1">
      <alignment vertical="center" wrapText="1" shrinkToFit="1"/>
    </xf>
    <xf numFmtId="0" fontId="12" fillId="0" borderId="6" xfId="0" applyFont="1" applyBorder="1" applyAlignment="1">
      <alignment vertical="center" shrinkToFit="1"/>
    </xf>
    <xf numFmtId="0" fontId="12" fillId="0" borderId="12" xfId="0" applyFont="1" applyBorder="1" applyAlignment="1">
      <alignment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M2" sqref="M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399999999999999" customHeight="1" x14ac:dyDescent="0.15">
      <c r="R1" s="105" t="s">
        <v>177</v>
      </c>
      <c r="S1" s="105"/>
      <c r="T1" s="2" t="s">
        <v>109</v>
      </c>
    </row>
    <row r="2" spans="1:22" ht="18.75" customHeight="1" x14ac:dyDescent="0.15">
      <c r="B2" s="34" t="s">
        <v>108</v>
      </c>
      <c r="C2" s="96" t="s">
        <v>126</v>
      </c>
      <c r="D2" s="98"/>
      <c r="E2" s="98"/>
      <c r="F2" s="98"/>
      <c r="G2" s="98"/>
      <c r="H2" s="98"/>
      <c r="I2" s="98"/>
      <c r="J2" s="97"/>
      <c r="K2" s="6"/>
      <c r="L2" s="6"/>
      <c r="M2" s="6"/>
      <c r="N2" s="6"/>
      <c r="O2" s="6"/>
      <c r="P2" s="6"/>
      <c r="Q2" s="6"/>
      <c r="R2" s="6"/>
      <c r="S2" s="6"/>
    </row>
    <row r="3" spans="1:22" ht="18.75" customHeight="1" x14ac:dyDescent="0.15">
      <c r="B3" s="34" t="s">
        <v>102</v>
      </c>
      <c r="C3" s="131" t="s">
        <v>127</v>
      </c>
      <c r="D3" s="132"/>
      <c r="E3" s="132"/>
      <c r="F3" s="132"/>
      <c r="G3" s="132"/>
      <c r="H3" s="132"/>
      <c r="I3" s="132"/>
      <c r="J3" s="133"/>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12" t="s">
        <v>38</v>
      </c>
      <c r="B5" s="112"/>
      <c r="C5" s="112"/>
      <c r="D5" s="112"/>
      <c r="E5" s="112"/>
      <c r="F5" s="112"/>
      <c r="G5" s="112"/>
      <c r="H5" s="112"/>
      <c r="I5" s="112"/>
      <c r="J5" s="112"/>
      <c r="K5" s="112"/>
      <c r="L5" s="112"/>
      <c r="M5" s="112"/>
      <c r="N5" s="112"/>
      <c r="O5" s="112"/>
      <c r="P5" s="112"/>
      <c r="Q5" s="112"/>
      <c r="R5" s="112"/>
      <c r="S5" s="112"/>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8" t="s">
        <v>107</v>
      </c>
      <c r="K7" s="122" t="s">
        <v>128</v>
      </c>
      <c r="L7" s="123"/>
      <c r="M7" s="123"/>
      <c r="N7" s="123"/>
      <c r="O7" s="123"/>
      <c r="P7" s="123"/>
      <c r="Q7" s="123"/>
      <c r="R7" s="123"/>
      <c r="S7" s="124"/>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25" t="s">
        <v>129</v>
      </c>
      <c r="C9" s="126"/>
      <c r="D9" s="126"/>
      <c r="E9" s="126"/>
      <c r="F9" s="126"/>
      <c r="G9" s="126"/>
      <c r="H9" s="126"/>
      <c r="I9" s="126"/>
      <c r="J9" s="126"/>
      <c r="K9" s="126"/>
      <c r="L9" s="126"/>
      <c r="M9" s="126"/>
      <c r="N9" s="126"/>
      <c r="O9" s="126"/>
      <c r="P9" s="126"/>
      <c r="Q9" s="126"/>
      <c r="R9" s="126"/>
      <c r="S9" s="127"/>
    </row>
    <row r="10" spans="1:22" ht="18" customHeight="1" x14ac:dyDescent="0.15">
      <c r="B10" s="128"/>
      <c r="C10" s="129"/>
      <c r="D10" s="129"/>
      <c r="E10" s="129"/>
      <c r="F10" s="129"/>
      <c r="G10" s="129"/>
      <c r="H10" s="129"/>
      <c r="I10" s="129"/>
      <c r="J10" s="129"/>
      <c r="K10" s="129"/>
      <c r="L10" s="129"/>
      <c r="M10" s="129"/>
      <c r="N10" s="129"/>
      <c r="O10" s="129"/>
      <c r="P10" s="129"/>
      <c r="Q10" s="129"/>
      <c r="R10" s="129"/>
      <c r="S10" s="130"/>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5"/>
      <c r="E12" s="35"/>
      <c r="F12" s="35"/>
      <c r="G12" s="35"/>
      <c r="H12" s="35"/>
      <c r="I12" s="35"/>
      <c r="J12" s="35"/>
      <c r="K12" s="39"/>
      <c r="L12" s="39"/>
      <c r="M12" s="39"/>
      <c r="N12" s="39"/>
      <c r="O12" s="39"/>
      <c r="P12" s="39"/>
      <c r="Q12" s="39"/>
      <c r="R12" s="39"/>
      <c r="S12" s="39"/>
    </row>
    <row r="13" spans="1:22" ht="18" customHeight="1" x14ac:dyDescent="0.15">
      <c r="B13" s="113" t="s">
        <v>154</v>
      </c>
      <c r="C13" s="114"/>
      <c r="D13" s="114"/>
      <c r="E13" s="114"/>
      <c r="F13" s="114"/>
      <c r="G13" s="114"/>
      <c r="H13" s="114"/>
      <c r="I13" s="114"/>
      <c r="J13" s="114"/>
      <c r="K13" s="114"/>
      <c r="L13" s="114"/>
      <c r="M13" s="114"/>
      <c r="N13" s="114"/>
      <c r="O13" s="114"/>
      <c r="P13" s="114"/>
      <c r="Q13" s="114"/>
      <c r="R13" s="114"/>
      <c r="S13" s="115"/>
      <c r="V13" s="1" t="s">
        <v>103</v>
      </c>
    </row>
    <row r="14" spans="1:22" ht="18" customHeight="1" x14ac:dyDescent="0.15">
      <c r="B14" s="116"/>
      <c r="C14" s="117"/>
      <c r="D14" s="117"/>
      <c r="E14" s="117"/>
      <c r="F14" s="117"/>
      <c r="G14" s="117"/>
      <c r="H14" s="117"/>
      <c r="I14" s="117"/>
      <c r="J14" s="117"/>
      <c r="K14" s="117"/>
      <c r="L14" s="117"/>
      <c r="M14" s="117"/>
      <c r="N14" s="117"/>
      <c r="O14" s="117"/>
      <c r="P14" s="117"/>
      <c r="Q14" s="117"/>
      <c r="R14" s="117"/>
      <c r="S14" s="118"/>
      <c r="V14" s="1" t="s">
        <v>110</v>
      </c>
    </row>
    <row r="15" spans="1:22" ht="18" customHeight="1" x14ac:dyDescent="0.15">
      <c r="B15" s="116"/>
      <c r="C15" s="117"/>
      <c r="D15" s="117"/>
      <c r="E15" s="117"/>
      <c r="F15" s="117"/>
      <c r="G15" s="117"/>
      <c r="H15" s="117"/>
      <c r="I15" s="117"/>
      <c r="J15" s="117"/>
      <c r="K15" s="117"/>
      <c r="L15" s="117"/>
      <c r="M15" s="117"/>
      <c r="N15" s="117"/>
      <c r="O15" s="117"/>
      <c r="P15" s="117"/>
      <c r="Q15" s="117"/>
      <c r="R15" s="117"/>
      <c r="S15" s="118"/>
      <c r="V15" s="1" t="s">
        <v>123</v>
      </c>
    </row>
    <row r="16" spans="1:22" ht="18" customHeight="1" x14ac:dyDescent="0.15">
      <c r="B16" s="116"/>
      <c r="C16" s="117"/>
      <c r="D16" s="117"/>
      <c r="E16" s="117"/>
      <c r="F16" s="117"/>
      <c r="G16" s="117"/>
      <c r="H16" s="117"/>
      <c r="I16" s="117"/>
      <c r="J16" s="117"/>
      <c r="K16" s="117"/>
      <c r="L16" s="117"/>
      <c r="M16" s="117"/>
      <c r="N16" s="117"/>
      <c r="O16" s="117"/>
      <c r="P16" s="117"/>
      <c r="Q16" s="117"/>
      <c r="R16" s="117"/>
      <c r="S16" s="118"/>
      <c r="V16" s="1" t="s">
        <v>125</v>
      </c>
    </row>
    <row r="17" spans="1:19" ht="18" customHeight="1" x14ac:dyDescent="0.15">
      <c r="B17" s="116"/>
      <c r="C17" s="117"/>
      <c r="D17" s="117"/>
      <c r="E17" s="117"/>
      <c r="F17" s="117"/>
      <c r="G17" s="117"/>
      <c r="H17" s="117"/>
      <c r="I17" s="117"/>
      <c r="J17" s="117"/>
      <c r="K17" s="117"/>
      <c r="L17" s="117"/>
      <c r="M17" s="117"/>
      <c r="N17" s="117"/>
      <c r="O17" s="117"/>
      <c r="P17" s="117"/>
      <c r="Q17" s="117"/>
      <c r="R17" s="117"/>
      <c r="S17" s="118"/>
    </row>
    <row r="18" spans="1:19" ht="18" customHeight="1" x14ac:dyDescent="0.15">
      <c r="B18" s="119"/>
      <c r="C18" s="120"/>
      <c r="D18" s="120"/>
      <c r="E18" s="120"/>
      <c r="F18" s="120"/>
      <c r="G18" s="120"/>
      <c r="H18" s="120"/>
      <c r="I18" s="120"/>
      <c r="J18" s="120"/>
      <c r="K18" s="120"/>
      <c r="L18" s="120"/>
      <c r="M18" s="120"/>
      <c r="N18" s="120"/>
      <c r="O18" s="120"/>
      <c r="P18" s="120"/>
      <c r="Q18" s="120"/>
      <c r="R18" s="120"/>
      <c r="S18" s="121"/>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96">
        <v>4</v>
      </c>
      <c r="D20" s="97"/>
      <c r="E20" s="40" t="s">
        <v>95</v>
      </c>
      <c r="G20" s="10"/>
      <c r="H20" s="3"/>
      <c r="I20" s="3"/>
      <c r="J20" s="35" t="s">
        <v>121</v>
      </c>
      <c r="K20" s="109" t="s">
        <v>125</v>
      </c>
      <c r="L20" s="110"/>
      <c r="M20" s="110"/>
      <c r="N20" s="110"/>
      <c r="O20" s="110"/>
      <c r="P20" s="110"/>
      <c r="Q20" s="110"/>
      <c r="R20" s="110"/>
      <c r="S20" s="11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113</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96" t="s">
        <v>53</v>
      </c>
      <c r="C24" s="98"/>
      <c r="D24" s="98"/>
      <c r="E24" s="97"/>
      <c r="F24" s="59" t="s">
        <v>80</v>
      </c>
      <c r="G24" s="58" t="s">
        <v>84</v>
      </c>
      <c r="H24" s="22" t="s">
        <v>56</v>
      </c>
      <c r="I24" s="22" t="s">
        <v>59</v>
      </c>
      <c r="J24" s="96" t="s">
        <v>53</v>
      </c>
      <c r="K24" s="98"/>
      <c r="L24" s="98"/>
      <c r="M24" s="98"/>
      <c r="N24" s="98"/>
      <c r="O24" s="97"/>
      <c r="P24" s="59" t="s">
        <v>80</v>
      </c>
      <c r="Q24" s="58" t="s">
        <v>84</v>
      </c>
      <c r="R24" s="22" t="s">
        <v>56</v>
      </c>
      <c r="S24" s="22" t="s">
        <v>59</v>
      </c>
    </row>
    <row r="25" spans="1:19" ht="18" customHeight="1" x14ac:dyDescent="0.15">
      <c r="B25" s="99" t="s">
        <v>130</v>
      </c>
      <c r="C25" s="100"/>
      <c r="D25" s="100"/>
      <c r="E25" s="101"/>
      <c r="F25" s="23">
        <v>2</v>
      </c>
      <c r="G25" s="23"/>
      <c r="H25" s="23" t="s">
        <v>131</v>
      </c>
      <c r="I25" s="23" t="s">
        <v>131</v>
      </c>
      <c r="J25" s="99"/>
      <c r="K25" s="100"/>
      <c r="L25" s="100"/>
      <c r="M25" s="100"/>
      <c r="N25" s="100"/>
      <c r="O25" s="101"/>
      <c r="P25" s="23"/>
      <c r="Q25" s="23"/>
      <c r="R25" s="23"/>
      <c r="S25" s="23"/>
    </row>
    <row r="26" spans="1:19" ht="18" customHeight="1" x14ac:dyDescent="0.15">
      <c r="B26" s="102" t="s">
        <v>133</v>
      </c>
      <c r="C26" s="103"/>
      <c r="D26" s="103"/>
      <c r="E26" s="104"/>
      <c r="F26" s="24">
        <v>2</v>
      </c>
      <c r="G26" s="24"/>
      <c r="H26" s="24" t="s">
        <v>131</v>
      </c>
      <c r="I26" s="24" t="s">
        <v>131</v>
      </c>
      <c r="J26" s="102"/>
      <c r="K26" s="103"/>
      <c r="L26" s="103"/>
      <c r="M26" s="103"/>
      <c r="N26" s="103"/>
      <c r="O26" s="104"/>
      <c r="P26" s="24"/>
      <c r="Q26" s="24"/>
      <c r="R26" s="24"/>
      <c r="S26" s="24"/>
    </row>
    <row r="27" spans="1:19" ht="18" customHeight="1" x14ac:dyDescent="0.15">
      <c r="B27" s="102" t="s">
        <v>134</v>
      </c>
      <c r="C27" s="103"/>
      <c r="D27" s="103"/>
      <c r="E27" s="104"/>
      <c r="F27" s="24">
        <v>2</v>
      </c>
      <c r="G27" s="24"/>
      <c r="H27" s="24" t="s">
        <v>131</v>
      </c>
      <c r="I27" s="24" t="s">
        <v>131</v>
      </c>
      <c r="J27" s="102"/>
      <c r="K27" s="103"/>
      <c r="L27" s="103"/>
      <c r="M27" s="103"/>
      <c r="N27" s="103"/>
      <c r="O27" s="104"/>
      <c r="P27" s="24"/>
      <c r="Q27" s="24"/>
      <c r="R27" s="24"/>
      <c r="S27" s="24"/>
    </row>
    <row r="28" spans="1:19" ht="18" customHeight="1" x14ac:dyDescent="0.15">
      <c r="B28" s="102"/>
      <c r="C28" s="103"/>
      <c r="D28" s="103"/>
      <c r="E28" s="104"/>
      <c r="F28" s="24"/>
      <c r="G28" s="24"/>
      <c r="H28" s="24"/>
      <c r="I28" s="24"/>
      <c r="J28" s="102"/>
      <c r="K28" s="103"/>
      <c r="L28" s="103"/>
      <c r="M28" s="103"/>
      <c r="N28" s="103"/>
      <c r="O28" s="104"/>
      <c r="P28" s="24"/>
      <c r="Q28" s="24"/>
      <c r="R28" s="24"/>
      <c r="S28" s="24"/>
    </row>
    <row r="29" spans="1:19" ht="18" customHeight="1" x14ac:dyDescent="0.15">
      <c r="B29" s="102"/>
      <c r="C29" s="103"/>
      <c r="D29" s="103"/>
      <c r="E29" s="104"/>
      <c r="F29" s="24"/>
      <c r="G29" s="24"/>
      <c r="H29" s="24"/>
      <c r="I29" s="24"/>
      <c r="J29" s="102"/>
      <c r="K29" s="103"/>
      <c r="L29" s="103"/>
      <c r="M29" s="103"/>
      <c r="N29" s="103"/>
      <c r="O29" s="104"/>
      <c r="P29" s="24"/>
      <c r="Q29" s="24"/>
      <c r="R29" s="24"/>
      <c r="S29" s="24"/>
    </row>
    <row r="30" spans="1:19" ht="18" customHeight="1" x14ac:dyDescent="0.15">
      <c r="A30" s="3"/>
      <c r="B30" s="102"/>
      <c r="C30" s="103"/>
      <c r="D30" s="103"/>
      <c r="E30" s="104"/>
      <c r="F30" s="24"/>
      <c r="G30" s="24"/>
      <c r="H30" s="24"/>
      <c r="I30" s="24"/>
      <c r="J30" s="102"/>
      <c r="K30" s="103"/>
      <c r="L30" s="103"/>
      <c r="M30" s="103"/>
      <c r="N30" s="103"/>
      <c r="O30" s="104"/>
      <c r="P30" s="24"/>
      <c r="Q30" s="24"/>
      <c r="R30" s="24"/>
      <c r="S30" s="24"/>
    </row>
    <row r="31" spans="1:19" ht="18" customHeight="1" x14ac:dyDescent="0.15">
      <c r="A31" s="3"/>
      <c r="B31" s="106"/>
      <c r="C31" s="107"/>
      <c r="D31" s="107"/>
      <c r="E31" s="108"/>
      <c r="F31" s="25"/>
      <c r="G31" s="25"/>
      <c r="H31" s="26"/>
      <c r="I31" s="26"/>
      <c r="J31" s="106"/>
      <c r="K31" s="107"/>
      <c r="L31" s="107"/>
      <c r="M31" s="107"/>
      <c r="N31" s="107"/>
      <c r="O31" s="108"/>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114</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96" t="s">
        <v>53</v>
      </c>
      <c r="C35" s="98"/>
      <c r="D35" s="98"/>
      <c r="E35" s="97"/>
      <c r="F35" s="59" t="s">
        <v>80</v>
      </c>
      <c r="G35" s="58" t="s">
        <v>84</v>
      </c>
      <c r="H35" s="22" t="s">
        <v>71</v>
      </c>
      <c r="I35" s="22" t="s">
        <v>72</v>
      </c>
      <c r="J35" s="96" t="s">
        <v>53</v>
      </c>
      <c r="K35" s="98"/>
      <c r="L35" s="98"/>
      <c r="M35" s="98"/>
      <c r="N35" s="98"/>
      <c r="O35" s="97"/>
      <c r="P35" s="59" t="s">
        <v>80</v>
      </c>
      <c r="Q35" s="58" t="s">
        <v>84</v>
      </c>
      <c r="R35" s="22" t="s">
        <v>71</v>
      </c>
      <c r="S35" s="22" t="s">
        <v>72</v>
      </c>
    </row>
    <row r="36" spans="1:19" ht="18" customHeight="1" x14ac:dyDescent="0.15">
      <c r="B36" s="99" t="s">
        <v>130</v>
      </c>
      <c r="C36" s="100"/>
      <c r="D36" s="100"/>
      <c r="E36" s="101"/>
      <c r="F36" s="23">
        <v>2</v>
      </c>
      <c r="G36" s="23"/>
      <c r="H36" s="23" t="s">
        <v>131</v>
      </c>
      <c r="I36" s="23" t="s">
        <v>131</v>
      </c>
      <c r="J36" s="99"/>
      <c r="K36" s="100"/>
      <c r="L36" s="100"/>
      <c r="M36" s="100"/>
      <c r="N36" s="100"/>
      <c r="O36" s="101"/>
      <c r="P36" s="23"/>
      <c r="Q36" s="23"/>
      <c r="R36" s="23"/>
      <c r="S36" s="23"/>
    </row>
    <row r="37" spans="1:19" ht="18" customHeight="1" x14ac:dyDescent="0.15">
      <c r="B37" s="102" t="s">
        <v>134</v>
      </c>
      <c r="C37" s="103"/>
      <c r="D37" s="103"/>
      <c r="E37" s="104"/>
      <c r="F37" s="24">
        <v>2</v>
      </c>
      <c r="G37" s="24"/>
      <c r="H37" s="24" t="s">
        <v>131</v>
      </c>
      <c r="I37" s="24" t="s">
        <v>131</v>
      </c>
      <c r="J37" s="102"/>
      <c r="K37" s="103"/>
      <c r="L37" s="103"/>
      <c r="M37" s="103"/>
      <c r="N37" s="103"/>
      <c r="O37" s="104"/>
      <c r="P37" s="24"/>
      <c r="Q37" s="24"/>
      <c r="R37" s="24"/>
      <c r="S37" s="24"/>
    </row>
    <row r="38" spans="1:19" ht="18" customHeight="1" x14ac:dyDescent="0.15">
      <c r="B38" s="102"/>
      <c r="C38" s="103"/>
      <c r="D38" s="103"/>
      <c r="E38" s="104"/>
      <c r="F38" s="24"/>
      <c r="G38" s="24"/>
      <c r="H38" s="24"/>
      <c r="I38" s="24"/>
      <c r="J38" s="102"/>
      <c r="K38" s="103"/>
      <c r="L38" s="103"/>
      <c r="M38" s="103"/>
      <c r="N38" s="103"/>
      <c r="O38" s="104"/>
      <c r="P38" s="24"/>
      <c r="Q38" s="24"/>
      <c r="R38" s="24"/>
      <c r="S38" s="24"/>
    </row>
    <row r="39" spans="1:19" ht="18" customHeight="1" x14ac:dyDescent="0.15">
      <c r="B39" s="102"/>
      <c r="C39" s="103"/>
      <c r="D39" s="103"/>
      <c r="E39" s="104"/>
      <c r="F39" s="24"/>
      <c r="G39" s="24"/>
      <c r="H39" s="24"/>
      <c r="I39" s="24"/>
      <c r="J39" s="102"/>
      <c r="K39" s="103"/>
      <c r="L39" s="103"/>
      <c r="M39" s="103"/>
      <c r="N39" s="103"/>
      <c r="O39" s="104"/>
      <c r="P39" s="24"/>
      <c r="Q39" s="24"/>
      <c r="R39" s="24"/>
      <c r="S39" s="24"/>
    </row>
    <row r="40" spans="1:19" ht="18" customHeight="1" x14ac:dyDescent="0.15">
      <c r="B40" s="102"/>
      <c r="C40" s="103"/>
      <c r="D40" s="103"/>
      <c r="E40" s="104"/>
      <c r="F40" s="24"/>
      <c r="G40" s="24"/>
      <c r="H40" s="24"/>
      <c r="I40" s="24"/>
      <c r="J40" s="102"/>
      <c r="K40" s="103"/>
      <c r="L40" s="103"/>
      <c r="M40" s="103"/>
      <c r="N40" s="103"/>
      <c r="O40" s="104"/>
      <c r="P40" s="24"/>
      <c r="Q40" s="24"/>
      <c r="R40" s="24"/>
      <c r="S40" s="24"/>
    </row>
    <row r="41" spans="1:19" ht="18" customHeight="1" x14ac:dyDescent="0.15">
      <c r="B41" s="102"/>
      <c r="C41" s="103"/>
      <c r="D41" s="103"/>
      <c r="E41" s="104"/>
      <c r="F41" s="24"/>
      <c r="G41" s="24"/>
      <c r="H41" s="24"/>
      <c r="I41" s="24"/>
      <c r="J41" s="102"/>
      <c r="K41" s="103"/>
      <c r="L41" s="103"/>
      <c r="M41" s="103"/>
      <c r="N41" s="103"/>
      <c r="O41" s="104"/>
      <c r="P41" s="24"/>
      <c r="Q41" s="24"/>
      <c r="R41" s="24"/>
      <c r="S41" s="24"/>
    </row>
    <row r="42" spans="1:19" ht="18" customHeight="1" x14ac:dyDescent="0.15">
      <c r="B42" s="106"/>
      <c r="C42" s="107"/>
      <c r="D42" s="107"/>
      <c r="E42" s="108"/>
      <c r="F42" s="25"/>
      <c r="G42" s="25"/>
      <c r="H42" s="26"/>
      <c r="I42" s="26"/>
      <c r="J42" s="106"/>
      <c r="K42" s="107"/>
      <c r="L42" s="107"/>
      <c r="M42" s="107"/>
      <c r="N42" s="107"/>
      <c r="O42" s="108"/>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115</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96" t="s">
        <v>53</v>
      </c>
      <c r="C46" s="98"/>
      <c r="D46" s="98"/>
      <c r="E46" s="97"/>
      <c r="F46" s="59" t="s">
        <v>80</v>
      </c>
      <c r="G46" s="58" t="s">
        <v>84</v>
      </c>
      <c r="H46" s="22" t="s">
        <v>73</v>
      </c>
      <c r="I46" s="22" t="s">
        <v>74</v>
      </c>
      <c r="J46" s="96" t="s">
        <v>53</v>
      </c>
      <c r="K46" s="98"/>
      <c r="L46" s="98"/>
      <c r="M46" s="98"/>
      <c r="N46" s="98"/>
      <c r="O46" s="97"/>
      <c r="P46" s="59" t="s">
        <v>80</v>
      </c>
      <c r="Q46" s="58" t="s">
        <v>84</v>
      </c>
      <c r="R46" s="22" t="s">
        <v>73</v>
      </c>
      <c r="S46" s="22" t="s">
        <v>74</v>
      </c>
    </row>
    <row r="47" spans="1:19" ht="18" customHeight="1" x14ac:dyDescent="0.15">
      <c r="A47" s="3"/>
      <c r="B47" s="99" t="s">
        <v>130</v>
      </c>
      <c r="C47" s="100"/>
      <c r="D47" s="100"/>
      <c r="E47" s="101"/>
      <c r="F47" s="23">
        <v>2</v>
      </c>
      <c r="G47" s="23"/>
      <c r="H47" s="23" t="s">
        <v>131</v>
      </c>
      <c r="I47" s="23" t="s">
        <v>131</v>
      </c>
      <c r="J47" s="99"/>
      <c r="K47" s="100"/>
      <c r="L47" s="100"/>
      <c r="M47" s="100"/>
      <c r="N47" s="100"/>
      <c r="O47" s="101"/>
      <c r="P47" s="23"/>
      <c r="Q47" s="23"/>
      <c r="R47" s="23"/>
      <c r="S47" s="23"/>
    </row>
    <row r="48" spans="1:19" ht="18" customHeight="1" x14ac:dyDescent="0.15">
      <c r="A48" s="3"/>
      <c r="B48" s="102" t="s">
        <v>133</v>
      </c>
      <c r="C48" s="103"/>
      <c r="D48" s="103"/>
      <c r="E48" s="104"/>
      <c r="F48" s="24">
        <v>2</v>
      </c>
      <c r="G48" s="24"/>
      <c r="H48" s="24" t="s">
        <v>131</v>
      </c>
      <c r="I48" s="24" t="s">
        <v>131</v>
      </c>
      <c r="J48" s="102"/>
      <c r="K48" s="103"/>
      <c r="L48" s="103"/>
      <c r="M48" s="103"/>
      <c r="N48" s="103"/>
      <c r="O48" s="104"/>
      <c r="P48" s="24"/>
      <c r="Q48" s="24"/>
      <c r="R48" s="24"/>
      <c r="S48" s="24"/>
    </row>
    <row r="49" spans="1:19" ht="18" customHeight="1" x14ac:dyDescent="0.15">
      <c r="A49" s="3"/>
      <c r="B49" s="102"/>
      <c r="C49" s="103"/>
      <c r="D49" s="103"/>
      <c r="E49" s="104"/>
      <c r="F49" s="24"/>
      <c r="G49" s="24"/>
      <c r="H49" s="24"/>
      <c r="I49" s="24"/>
      <c r="J49" s="102"/>
      <c r="K49" s="103"/>
      <c r="L49" s="103"/>
      <c r="M49" s="103"/>
      <c r="N49" s="103"/>
      <c r="O49" s="104"/>
      <c r="P49" s="24"/>
      <c r="Q49" s="24"/>
      <c r="R49" s="24"/>
      <c r="S49" s="24"/>
    </row>
    <row r="50" spans="1:19" ht="18" customHeight="1" x14ac:dyDescent="0.15">
      <c r="A50" s="3"/>
      <c r="B50" s="102"/>
      <c r="C50" s="103"/>
      <c r="D50" s="103"/>
      <c r="E50" s="104"/>
      <c r="F50" s="24"/>
      <c r="G50" s="24"/>
      <c r="H50" s="24"/>
      <c r="I50" s="24"/>
      <c r="J50" s="102"/>
      <c r="K50" s="103"/>
      <c r="L50" s="103"/>
      <c r="M50" s="103"/>
      <c r="N50" s="103"/>
      <c r="O50" s="104"/>
      <c r="P50" s="24"/>
      <c r="Q50" s="24"/>
      <c r="R50" s="24"/>
      <c r="S50" s="24"/>
    </row>
    <row r="51" spans="1:19" ht="18" customHeight="1" x14ac:dyDescent="0.15">
      <c r="A51" s="3"/>
      <c r="B51" s="102"/>
      <c r="C51" s="103"/>
      <c r="D51" s="103"/>
      <c r="E51" s="104"/>
      <c r="F51" s="24"/>
      <c r="G51" s="24"/>
      <c r="H51" s="24"/>
      <c r="I51" s="24"/>
      <c r="J51" s="102"/>
      <c r="K51" s="103"/>
      <c r="L51" s="103"/>
      <c r="M51" s="103"/>
      <c r="N51" s="103"/>
      <c r="O51" s="104"/>
      <c r="P51" s="24"/>
      <c r="Q51" s="24"/>
      <c r="R51" s="24"/>
      <c r="S51" s="24"/>
    </row>
    <row r="52" spans="1:19" ht="18" customHeight="1" x14ac:dyDescent="0.15">
      <c r="A52" s="3"/>
      <c r="B52" s="102"/>
      <c r="C52" s="103"/>
      <c r="D52" s="103"/>
      <c r="E52" s="104"/>
      <c r="F52" s="24"/>
      <c r="G52" s="24"/>
      <c r="H52" s="24"/>
      <c r="I52" s="24"/>
      <c r="J52" s="102"/>
      <c r="K52" s="103"/>
      <c r="L52" s="103"/>
      <c r="M52" s="103"/>
      <c r="N52" s="103"/>
      <c r="O52" s="104"/>
      <c r="P52" s="24"/>
      <c r="Q52" s="24"/>
      <c r="R52" s="24"/>
      <c r="S52" s="24"/>
    </row>
    <row r="53" spans="1:19" ht="18" customHeight="1" x14ac:dyDescent="0.15">
      <c r="A53" s="3"/>
      <c r="B53" s="106"/>
      <c r="C53" s="107"/>
      <c r="D53" s="107"/>
      <c r="E53" s="108"/>
      <c r="F53" s="25"/>
      <c r="G53" s="25"/>
      <c r="H53" s="26"/>
      <c r="I53" s="26"/>
      <c r="J53" s="106"/>
      <c r="K53" s="107"/>
      <c r="L53" s="107"/>
      <c r="M53" s="107"/>
      <c r="N53" s="107"/>
      <c r="O53" s="108"/>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5" t="s">
        <v>116</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96" t="s">
        <v>53</v>
      </c>
      <c r="C57" s="98"/>
      <c r="D57" s="98"/>
      <c r="E57" s="97"/>
      <c r="F57" s="59" t="s">
        <v>80</v>
      </c>
      <c r="G57" s="58" t="s">
        <v>84</v>
      </c>
      <c r="H57" s="22" t="s">
        <v>58</v>
      </c>
      <c r="I57" s="22" t="s">
        <v>60</v>
      </c>
      <c r="J57" s="96" t="s">
        <v>53</v>
      </c>
      <c r="K57" s="98"/>
      <c r="L57" s="98"/>
      <c r="M57" s="98"/>
      <c r="N57" s="98"/>
      <c r="O57" s="97"/>
      <c r="P57" s="59" t="s">
        <v>80</v>
      </c>
      <c r="Q57" s="58" t="s">
        <v>84</v>
      </c>
      <c r="R57" s="22" t="s">
        <v>58</v>
      </c>
      <c r="S57" s="22" t="s">
        <v>60</v>
      </c>
    </row>
    <row r="58" spans="1:19" ht="18" customHeight="1" x14ac:dyDescent="0.15">
      <c r="A58" s="3"/>
      <c r="B58" s="99" t="s">
        <v>130</v>
      </c>
      <c r="C58" s="100"/>
      <c r="D58" s="100"/>
      <c r="E58" s="101"/>
      <c r="F58" s="23">
        <v>2</v>
      </c>
      <c r="G58" s="23"/>
      <c r="H58" s="23" t="s">
        <v>131</v>
      </c>
      <c r="I58" s="23" t="s">
        <v>131</v>
      </c>
      <c r="J58" s="99"/>
      <c r="K58" s="100"/>
      <c r="L58" s="100"/>
      <c r="M58" s="100"/>
      <c r="N58" s="100"/>
      <c r="O58" s="101"/>
      <c r="P58" s="23"/>
      <c r="Q58" s="23"/>
      <c r="R58" s="23"/>
      <c r="S58" s="23"/>
    </row>
    <row r="59" spans="1:19" ht="18" customHeight="1" x14ac:dyDescent="0.15">
      <c r="A59" s="3"/>
      <c r="B59" s="102" t="s">
        <v>133</v>
      </c>
      <c r="C59" s="103"/>
      <c r="D59" s="103"/>
      <c r="E59" s="104"/>
      <c r="F59" s="24">
        <v>2</v>
      </c>
      <c r="G59" s="24"/>
      <c r="H59" s="24" t="s">
        <v>131</v>
      </c>
      <c r="I59" s="24" t="s">
        <v>131</v>
      </c>
      <c r="J59" s="102"/>
      <c r="K59" s="103"/>
      <c r="L59" s="103"/>
      <c r="M59" s="103"/>
      <c r="N59" s="103"/>
      <c r="O59" s="104"/>
      <c r="P59" s="24"/>
      <c r="Q59" s="24"/>
      <c r="R59" s="24"/>
      <c r="S59" s="24"/>
    </row>
    <row r="60" spans="1:19" ht="18" customHeight="1" x14ac:dyDescent="0.15">
      <c r="A60" s="3"/>
      <c r="B60" s="102" t="s">
        <v>134</v>
      </c>
      <c r="C60" s="103"/>
      <c r="D60" s="103"/>
      <c r="E60" s="104"/>
      <c r="F60" s="24">
        <v>2</v>
      </c>
      <c r="G60" s="24"/>
      <c r="H60" s="24" t="s">
        <v>131</v>
      </c>
      <c r="I60" s="24" t="s">
        <v>131</v>
      </c>
      <c r="J60" s="102"/>
      <c r="K60" s="103"/>
      <c r="L60" s="103"/>
      <c r="M60" s="103"/>
      <c r="N60" s="103"/>
      <c r="O60" s="104"/>
      <c r="P60" s="24"/>
      <c r="Q60" s="24"/>
      <c r="R60" s="24"/>
      <c r="S60" s="24"/>
    </row>
    <row r="61" spans="1:19" ht="18" customHeight="1" x14ac:dyDescent="0.15">
      <c r="A61" s="3"/>
      <c r="B61" s="102"/>
      <c r="C61" s="103"/>
      <c r="D61" s="103"/>
      <c r="E61" s="104"/>
      <c r="F61" s="24"/>
      <c r="G61" s="24"/>
      <c r="H61" s="24"/>
      <c r="I61" s="24"/>
      <c r="J61" s="102"/>
      <c r="K61" s="103"/>
      <c r="L61" s="103"/>
      <c r="M61" s="103"/>
      <c r="N61" s="103"/>
      <c r="O61" s="104"/>
      <c r="P61" s="24"/>
      <c r="Q61" s="24"/>
      <c r="R61" s="24"/>
      <c r="S61" s="24"/>
    </row>
    <row r="62" spans="1:19" ht="18" customHeight="1" x14ac:dyDescent="0.15">
      <c r="A62" s="3"/>
      <c r="B62" s="102"/>
      <c r="C62" s="103"/>
      <c r="D62" s="103"/>
      <c r="E62" s="104"/>
      <c r="F62" s="24"/>
      <c r="G62" s="24"/>
      <c r="H62" s="24"/>
      <c r="I62" s="24"/>
      <c r="J62" s="102"/>
      <c r="K62" s="103"/>
      <c r="L62" s="103"/>
      <c r="M62" s="103"/>
      <c r="N62" s="103"/>
      <c r="O62" s="104"/>
      <c r="P62" s="24"/>
      <c r="Q62" s="24"/>
      <c r="R62" s="24"/>
      <c r="S62" s="24"/>
    </row>
    <row r="63" spans="1:19" ht="18" customHeight="1" x14ac:dyDescent="0.15">
      <c r="A63" s="3"/>
      <c r="B63" s="102"/>
      <c r="C63" s="103"/>
      <c r="D63" s="103"/>
      <c r="E63" s="104"/>
      <c r="F63" s="24"/>
      <c r="G63" s="24"/>
      <c r="H63" s="24"/>
      <c r="I63" s="24"/>
      <c r="J63" s="102"/>
      <c r="K63" s="103"/>
      <c r="L63" s="103"/>
      <c r="M63" s="103"/>
      <c r="N63" s="103"/>
      <c r="O63" s="104"/>
      <c r="P63" s="24"/>
      <c r="Q63" s="24"/>
      <c r="R63" s="24"/>
      <c r="S63" s="24"/>
    </row>
    <row r="64" spans="1:19" ht="18" customHeight="1" x14ac:dyDescent="0.15">
      <c r="A64" s="3"/>
      <c r="B64" s="106"/>
      <c r="C64" s="107"/>
      <c r="D64" s="107"/>
      <c r="E64" s="108"/>
      <c r="F64" s="25"/>
      <c r="G64" s="25"/>
      <c r="H64" s="26"/>
      <c r="I64" s="26"/>
      <c r="J64" s="106"/>
      <c r="K64" s="107"/>
      <c r="L64" s="107"/>
      <c r="M64" s="107"/>
      <c r="N64" s="107"/>
      <c r="O64" s="108"/>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5" t="s">
        <v>117</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96" t="s">
        <v>53</v>
      </c>
      <c r="C68" s="98"/>
      <c r="D68" s="98"/>
      <c r="E68" s="59" t="s">
        <v>80</v>
      </c>
      <c r="F68" s="58" t="s">
        <v>84</v>
      </c>
      <c r="G68" s="22" t="s">
        <v>101</v>
      </c>
      <c r="H68" s="22" t="s">
        <v>75</v>
      </c>
      <c r="I68" s="22" t="s">
        <v>76</v>
      </c>
      <c r="J68" s="96" t="s">
        <v>53</v>
      </c>
      <c r="K68" s="98"/>
      <c r="L68" s="98"/>
      <c r="M68" s="98"/>
      <c r="N68" s="97"/>
      <c r="O68" s="59" t="s">
        <v>80</v>
      </c>
      <c r="P68" s="58" t="s">
        <v>84</v>
      </c>
      <c r="Q68" s="22" t="s">
        <v>101</v>
      </c>
      <c r="R68" s="22" t="s">
        <v>75</v>
      </c>
      <c r="S68" s="22" t="s">
        <v>76</v>
      </c>
    </row>
    <row r="69" spans="1:19" ht="18" customHeight="1" x14ac:dyDescent="0.15">
      <c r="A69" s="3"/>
      <c r="B69" s="99" t="s">
        <v>132</v>
      </c>
      <c r="C69" s="100"/>
      <c r="D69" s="100"/>
      <c r="E69" s="23">
        <v>2</v>
      </c>
      <c r="F69" s="23" t="s">
        <v>131</v>
      </c>
      <c r="G69" s="23" t="s">
        <v>131</v>
      </c>
      <c r="H69" s="23" t="s">
        <v>131</v>
      </c>
      <c r="I69" s="23" t="s">
        <v>131</v>
      </c>
      <c r="J69" s="99"/>
      <c r="K69" s="100"/>
      <c r="L69" s="100"/>
      <c r="M69" s="100"/>
      <c r="N69" s="101"/>
      <c r="O69" s="23"/>
      <c r="P69" s="23"/>
      <c r="Q69" s="23"/>
      <c r="R69" s="23"/>
      <c r="S69" s="23"/>
    </row>
    <row r="70" spans="1:19" ht="18" customHeight="1" x14ac:dyDescent="0.15">
      <c r="A70" s="3"/>
      <c r="B70" s="102"/>
      <c r="C70" s="103"/>
      <c r="D70" s="103"/>
      <c r="E70" s="24"/>
      <c r="F70" s="24"/>
      <c r="G70" s="24"/>
      <c r="H70" s="24"/>
      <c r="I70" s="24"/>
      <c r="J70" s="102"/>
      <c r="K70" s="103"/>
      <c r="L70" s="103"/>
      <c r="M70" s="103"/>
      <c r="N70" s="104"/>
      <c r="O70" s="24"/>
      <c r="P70" s="24"/>
      <c r="Q70" s="24"/>
      <c r="R70" s="24"/>
      <c r="S70" s="24"/>
    </row>
    <row r="71" spans="1:19" ht="18" customHeight="1" x14ac:dyDescent="0.15">
      <c r="A71" s="3"/>
      <c r="B71" s="102"/>
      <c r="C71" s="103"/>
      <c r="D71" s="103"/>
      <c r="E71" s="24"/>
      <c r="F71" s="24"/>
      <c r="G71" s="24"/>
      <c r="H71" s="24"/>
      <c r="I71" s="24"/>
      <c r="J71" s="102"/>
      <c r="K71" s="103"/>
      <c r="L71" s="103"/>
      <c r="M71" s="103"/>
      <c r="N71" s="104"/>
      <c r="O71" s="24"/>
      <c r="P71" s="24"/>
      <c r="Q71" s="24"/>
      <c r="R71" s="24"/>
      <c r="S71" s="24"/>
    </row>
    <row r="72" spans="1:19" ht="18" customHeight="1" x14ac:dyDescent="0.15">
      <c r="A72" s="3"/>
      <c r="B72" s="102"/>
      <c r="C72" s="103"/>
      <c r="D72" s="103"/>
      <c r="E72" s="24"/>
      <c r="F72" s="24"/>
      <c r="G72" s="24"/>
      <c r="H72" s="24"/>
      <c r="I72" s="24"/>
      <c r="J72" s="102"/>
      <c r="K72" s="103"/>
      <c r="L72" s="103"/>
      <c r="M72" s="103"/>
      <c r="N72" s="104"/>
      <c r="O72" s="24"/>
      <c r="P72" s="24"/>
      <c r="Q72" s="24"/>
      <c r="R72" s="24"/>
      <c r="S72" s="24"/>
    </row>
    <row r="73" spans="1:19" ht="18" customHeight="1" x14ac:dyDescent="0.15">
      <c r="A73" s="3"/>
      <c r="B73" s="102"/>
      <c r="C73" s="103"/>
      <c r="D73" s="103"/>
      <c r="E73" s="24"/>
      <c r="F73" s="24"/>
      <c r="G73" s="24"/>
      <c r="H73" s="24"/>
      <c r="I73" s="24"/>
      <c r="J73" s="102"/>
      <c r="K73" s="103"/>
      <c r="L73" s="103"/>
      <c r="M73" s="103"/>
      <c r="N73" s="104"/>
      <c r="O73" s="24"/>
      <c r="P73" s="24"/>
      <c r="Q73" s="24"/>
      <c r="R73" s="24"/>
      <c r="S73" s="24"/>
    </row>
    <row r="74" spans="1:19" ht="18" customHeight="1" x14ac:dyDescent="0.15">
      <c r="A74" s="3"/>
      <c r="B74" s="102"/>
      <c r="C74" s="103"/>
      <c r="D74" s="103"/>
      <c r="E74" s="24"/>
      <c r="F74" s="24"/>
      <c r="G74" s="24"/>
      <c r="H74" s="24"/>
      <c r="I74" s="24"/>
      <c r="J74" s="102"/>
      <c r="K74" s="103"/>
      <c r="L74" s="103"/>
      <c r="M74" s="103"/>
      <c r="N74" s="104"/>
      <c r="O74" s="24"/>
      <c r="P74" s="24"/>
      <c r="Q74" s="24"/>
      <c r="R74" s="24"/>
      <c r="S74" s="24"/>
    </row>
    <row r="75" spans="1:19" ht="18" customHeight="1" x14ac:dyDescent="0.15">
      <c r="A75" s="3"/>
      <c r="B75" s="106"/>
      <c r="C75" s="107"/>
      <c r="D75" s="107"/>
      <c r="E75" s="25"/>
      <c r="F75" s="25"/>
      <c r="G75" s="26"/>
      <c r="H75" s="26"/>
      <c r="I75" s="26"/>
      <c r="J75" s="106"/>
      <c r="K75" s="107"/>
      <c r="L75" s="107"/>
      <c r="M75" s="107"/>
      <c r="N75" s="108"/>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96" t="s">
        <v>53</v>
      </c>
      <c r="C78" s="98"/>
      <c r="D78" s="98"/>
      <c r="E78" s="97"/>
      <c r="F78" s="96" t="s">
        <v>82</v>
      </c>
      <c r="G78" s="98"/>
      <c r="H78" s="98"/>
      <c r="I78" s="97"/>
      <c r="J78" s="152" t="s">
        <v>53</v>
      </c>
      <c r="K78" s="153"/>
      <c r="L78" s="153"/>
      <c r="M78" s="153"/>
      <c r="N78" s="153"/>
      <c r="O78" s="154"/>
      <c r="P78" s="96" t="s">
        <v>82</v>
      </c>
      <c r="Q78" s="98"/>
      <c r="R78" s="98"/>
      <c r="S78" s="97"/>
    </row>
    <row r="79" spans="1:19" ht="18" customHeight="1" x14ac:dyDescent="0.15">
      <c r="A79" s="3"/>
      <c r="B79" s="99" t="s">
        <v>135</v>
      </c>
      <c r="C79" s="100"/>
      <c r="D79" s="100"/>
      <c r="E79" s="101"/>
      <c r="F79" s="163" t="s">
        <v>136</v>
      </c>
      <c r="G79" s="164"/>
      <c r="H79" s="164"/>
      <c r="I79" s="165"/>
      <c r="J79" s="99"/>
      <c r="K79" s="100"/>
      <c r="L79" s="100"/>
      <c r="M79" s="100"/>
      <c r="N79" s="100"/>
      <c r="O79" s="101"/>
      <c r="P79" s="163"/>
      <c r="Q79" s="164"/>
      <c r="R79" s="164"/>
      <c r="S79" s="165"/>
    </row>
    <row r="80" spans="1:19" ht="18" customHeight="1" x14ac:dyDescent="0.15">
      <c r="A80" s="3"/>
      <c r="B80" s="102" t="s">
        <v>176</v>
      </c>
      <c r="C80" s="103"/>
      <c r="D80" s="103"/>
      <c r="E80" s="104"/>
      <c r="F80" s="140" t="s">
        <v>137</v>
      </c>
      <c r="G80" s="141"/>
      <c r="H80" s="141"/>
      <c r="I80" s="142"/>
      <c r="J80" s="102"/>
      <c r="K80" s="103"/>
      <c r="L80" s="103"/>
      <c r="M80" s="103"/>
      <c r="N80" s="103"/>
      <c r="O80" s="104"/>
      <c r="P80" s="140"/>
      <c r="Q80" s="141"/>
      <c r="R80" s="141"/>
      <c r="S80" s="142"/>
    </row>
    <row r="81" spans="1:19" ht="18" customHeight="1" x14ac:dyDescent="0.15">
      <c r="A81" s="3"/>
      <c r="B81" s="102" t="s">
        <v>138</v>
      </c>
      <c r="C81" s="103"/>
      <c r="D81" s="103"/>
      <c r="E81" s="104"/>
      <c r="F81" s="140" t="s">
        <v>137</v>
      </c>
      <c r="G81" s="141"/>
      <c r="H81" s="141"/>
      <c r="I81" s="142"/>
      <c r="J81" s="102"/>
      <c r="K81" s="103"/>
      <c r="L81" s="103"/>
      <c r="M81" s="103"/>
      <c r="N81" s="103"/>
      <c r="O81" s="104"/>
      <c r="P81" s="140"/>
      <c r="Q81" s="141"/>
      <c r="R81" s="141"/>
      <c r="S81" s="142"/>
    </row>
    <row r="82" spans="1:19" ht="18" customHeight="1" x14ac:dyDescent="0.15">
      <c r="A82" s="3"/>
      <c r="B82" s="102" t="s">
        <v>165</v>
      </c>
      <c r="C82" s="103"/>
      <c r="D82" s="103"/>
      <c r="E82" s="104"/>
      <c r="F82" s="140" t="s">
        <v>139</v>
      </c>
      <c r="G82" s="141"/>
      <c r="H82" s="141"/>
      <c r="I82" s="142"/>
      <c r="J82" s="102"/>
      <c r="K82" s="103"/>
      <c r="L82" s="103"/>
      <c r="M82" s="103"/>
      <c r="N82" s="103"/>
      <c r="O82" s="104"/>
      <c r="P82" s="140"/>
      <c r="Q82" s="141"/>
      <c r="R82" s="141"/>
      <c r="S82" s="142"/>
    </row>
    <row r="83" spans="1:19" ht="18" customHeight="1" x14ac:dyDescent="0.15">
      <c r="A83" s="3"/>
      <c r="B83" s="102"/>
      <c r="C83" s="103"/>
      <c r="D83" s="103"/>
      <c r="E83" s="104"/>
      <c r="F83" s="140"/>
      <c r="G83" s="141"/>
      <c r="H83" s="141"/>
      <c r="I83" s="142"/>
      <c r="J83" s="102"/>
      <c r="K83" s="103"/>
      <c r="L83" s="103"/>
      <c r="M83" s="103"/>
      <c r="N83" s="103"/>
      <c r="O83" s="104"/>
      <c r="P83" s="140"/>
      <c r="Q83" s="141"/>
      <c r="R83" s="141"/>
      <c r="S83" s="142"/>
    </row>
    <row r="84" spans="1:19" ht="18" customHeight="1" x14ac:dyDescent="0.15">
      <c r="A84" s="3"/>
      <c r="B84" s="102"/>
      <c r="C84" s="103"/>
      <c r="D84" s="103"/>
      <c r="E84" s="104"/>
      <c r="F84" s="140"/>
      <c r="G84" s="141"/>
      <c r="H84" s="141"/>
      <c r="I84" s="142"/>
      <c r="J84" s="102"/>
      <c r="K84" s="103"/>
      <c r="L84" s="103"/>
      <c r="M84" s="103"/>
      <c r="N84" s="103"/>
      <c r="O84" s="104"/>
      <c r="P84" s="140"/>
      <c r="Q84" s="141"/>
      <c r="R84" s="141"/>
      <c r="S84" s="142"/>
    </row>
    <row r="85" spans="1:19" ht="18" customHeight="1" x14ac:dyDescent="0.15">
      <c r="A85" s="3"/>
      <c r="B85" s="106"/>
      <c r="C85" s="107"/>
      <c r="D85" s="107"/>
      <c r="E85" s="108"/>
      <c r="F85" s="137"/>
      <c r="G85" s="138"/>
      <c r="H85" s="138"/>
      <c r="I85" s="139"/>
      <c r="J85" s="106"/>
      <c r="K85" s="107"/>
      <c r="L85" s="107"/>
      <c r="M85" s="107"/>
      <c r="N85" s="107"/>
      <c r="O85" s="108"/>
      <c r="P85" s="137"/>
      <c r="Q85" s="138"/>
      <c r="R85" s="138"/>
      <c r="S85" s="139"/>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119</v>
      </c>
    </row>
    <row r="88" spans="1:19" ht="18.75" customHeight="1" x14ac:dyDescent="0.15">
      <c r="B88" s="161" t="s">
        <v>54</v>
      </c>
      <c r="C88" s="162"/>
      <c r="D88" s="98" t="s">
        <v>55</v>
      </c>
      <c r="E88" s="98"/>
      <c r="F88" s="98"/>
      <c r="G88" s="98"/>
      <c r="H88" s="98"/>
      <c r="I88" s="98"/>
      <c r="J88" s="98"/>
      <c r="K88" s="98"/>
      <c r="L88" s="98"/>
      <c r="M88" s="98"/>
      <c r="N88" s="98"/>
      <c r="O88" s="98"/>
      <c r="P88" s="98"/>
      <c r="Q88" s="98"/>
      <c r="R88" s="98"/>
      <c r="S88" s="97"/>
    </row>
    <row r="89" spans="1:19" ht="169.9" customHeight="1" x14ac:dyDescent="0.15">
      <c r="B89" s="155" t="s">
        <v>61</v>
      </c>
      <c r="C89" s="28" t="s">
        <v>56</v>
      </c>
      <c r="D89" s="158" t="s">
        <v>179</v>
      </c>
      <c r="E89" s="159"/>
      <c r="F89" s="159"/>
      <c r="G89" s="159"/>
      <c r="H89" s="159"/>
      <c r="I89" s="159"/>
      <c r="J89" s="159"/>
      <c r="K89" s="159"/>
      <c r="L89" s="159"/>
      <c r="M89" s="159"/>
      <c r="N89" s="159"/>
      <c r="O89" s="159"/>
      <c r="P89" s="159"/>
      <c r="Q89" s="159"/>
      <c r="R89" s="159"/>
      <c r="S89" s="160"/>
    </row>
    <row r="90" spans="1:19" ht="130.15" customHeight="1" x14ac:dyDescent="0.15">
      <c r="B90" s="157"/>
      <c r="C90" s="29" t="s">
        <v>77</v>
      </c>
      <c r="D90" s="143" t="s">
        <v>181</v>
      </c>
      <c r="E90" s="144"/>
      <c r="F90" s="144"/>
      <c r="G90" s="144"/>
      <c r="H90" s="144"/>
      <c r="I90" s="144"/>
      <c r="J90" s="144"/>
      <c r="K90" s="144"/>
      <c r="L90" s="144"/>
      <c r="M90" s="144"/>
      <c r="N90" s="144"/>
      <c r="O90" s="144"/>
      <c r="P90" s="144"/>
      <c r="Q90" s="144"/>
      <c r="R90" s="144"/>
      <c r="S90" s="145"/>
    </row>
    <row r="91" spans="1:19" ht="91.9" customHeight="1" x14ac:dyDescent="0.15">
      <c r="B91" s="155" t="s">
        <v>62</v>
      </c>
      <c r="C91" s="30" t="s">
        <v>71</v>
      </c>
      <c r="D91" s="146" t="s">
        <v>180</v>
      </c>
      <c r="E91" s="147"/>
      <c r="F91" s="147"/>
      <c r="G91" s="147"/>
      <c r="H91" s="147"/>
      <c r="I91" s="147"/>
      <c r="J91" s="147"/>
      <c r="K91" s="147"/>
      <c r="L91" s="147"/>
      <c r="M91" s="147"/>
      <c r="N91" s="147"/>
      <c r="O91" s="147"/>
      <c r="P91" s="147"/>
      <c r="Q91" s="147"/>
      <c r="R91" s="147"/>
      <c r="S91" s="148"/>
    </row>
    <row r="92" spans="1:19" ht="142.9" customHeight="1" x14ac:dyDescent="0.15">
      <c r="B92" s="156"/>
      <c r="C92" s="31" t="s">
        <v>72</v>
      </c>
      <c r="D92" s="149" t="s">
        <v>185</v>
      </c>
      <c r="E92" s="150"/>
      <c r="F92" s="150"/>
      <c r="G92" s="150"/>
      <c r="H92" s="150"/>
      <c r="I92" s="150"/>
      <c r="J92" s="150"/>
      <c r="K92" s="150"/>
      <c r="L92" s="150"/>
      <c r="M92" s="150"/>
      <c r="N92" s="150"/>
      <c r="O92" s="150"/>
      <c r="P92" s="150"/>
      <c r="Q92" s="150"/>
      <c r="R92" s="150"/>
      <c r="S92" s="151"/>
    </row>
    <row r="93" spans="1:19" ht="178.9" customHeight="1" x14ac:dyDescent="0.15">
      <c r="B93" s="155" t="s">
        <v>63</v>
      </c>
      <c r="C93" s="30" t="s">
        <v>73</v>
      </c>
      <c r="D93" s="146" t="s">
        <v>182</v>
      </c>
      <c r="E93" s="147"/>
      <c r="F93" s="147"/>
      <c r="G93" s="147"/>
      <c r="H93" s="147"/>
      <c r="I93" s="147"/>
      <c r="J93" s="147"/>
      <c r="K93" s="147"/>
      <c r="L93" s="147"/>
      <c r="M93" s="147"/>
      <c r="N93" s="147"/>
      <c r="O93" s="147"/>
      <c r="P93" s="147"/>
      <c r="Q93" s="147"/>
      <c r="R93" s="147"/>
      <c r="S93" s="148"/>
    </row>
    <row r="94" spans="1:19" s="94" customFormat="1" ht="150" customHeight="1" x14ac:dyDescent="0.15">
      <c r="B94" s="156"/>
      <c r="C94" s="32" t="s">
        <v>74</v>
      </c>
      <c r="D94" s="266" t="s">
        <v>186</v>
      </c>
      <c r="E94" s="267"/>
      <c r="F94" s="267"/>
      <c r="G94" s="267"/>
      <c r="H94" s="267"/>
      <c r="I94" s="267"/>
      <c r="J94" s="267"/>
      <c r="K94" s="267"/>
      <c r="L94" s="267"/>
      <c r="M94" s="267"/>
      <c r="N94" s="267"/>
      <c r="O94" s="267"/>
      <c r="P94" s="267"/>
      <c r="Q94" s="267"/>
      <c r="R94" s="267"/>
      <c r="S94" s="268"/>
    </row>
    <row r="95" spans="1:19" ht="141" customHeight="1" x14ac:dyDescent="0.15">
      <c r="B95" s="155" t="s">
        <v>78</v>
      </c>
      <c r="C95" s="28" t="s">
        <v>58</v>
      </c>
      <c r="D95" s="158" t="s">
        <v>183</v>
      </c>
      <c r="E95" s="159"/>
      <c r="F95" s="159"/>
      <c r="G95" s="159"/>
      <c r="H95" s="159"/>
      <c r="I95" s="159"/>
      <c r="J95" s="159"/>
      <c r="K95" s="159"/>
      <c r="L95" s="159"/>
      <c r="M95" s="159"/>
      <c r="N95" s="159"/>
      <c r="O95" s="159"/>
      <c r="P95" s="159"/>
      <c r="Q95" s="159"/>
      <c r="R95" s="159"/>
      <c r="S95" s="160"/>
    </row>
    <row r="96" spans="1:19" ht="163.9" customHeight="1" x14ac:dyDescent="0.15">
      <c r="B96" s="156"/>
      <c r="C96" s="31" t="s">
        <v>60</v>
      </c>
      <c r="D96" s="149" t="s">
        <v>184</v>
      </c>
      <c r="E96" s="150"/>
      <c r="F96" s="150"/>
      <c r="G96" s="150"/>
      <c r="H96" s="150"/>
      <c r="I96" s="150"/>
      <c r="J96" s="150"/>
      <c r="K96" s="150"/>
      <c r="L96" s="150"/>
      <c r="M96" s="150"/>
      <c r="N96" s="150"/>
      <c r="O96" s="150"/>
      <c r="P96" s="150"/>
      <c r="Q96" s="150"/>
      <c r="R96" s="150"/>
      <c r="S96" s="151"/>
    </row>
    <row r="97" spans="1:19" ht="97.5" customHeight="1" x14ac:dyDescent="0.15">
      <c r="B97" s="155" t="s">
        <v>79</v>
      </c>
      <c r="C97" s="30" t="s">
        <v>57</v>
      </c>
      <c r="D97" s="269" t="s">
        <v>187</v>
      </c>
      <c r="E97" s="270"/>
      <c r="F97" s="270"/>
      <c r="G97" s="270"/>
      <c r="H97" s="270"/>
      <c r="I97" s="270"/>
      <c r="J97" s="270"/>
      <c r="K97" s="270"/>
      <c r="L97" s="270"/>
      <c r="M97" s="270"/>
      <c r="N97" s="270"/>
      <c r="O97" s="270"/>
      <c r="P97" s="270"/>
      <c r="Q97" s="270"/>
      <c r="R97" s="270"/>
      <c r="S97" s="271"/>
    </row>
    <row r="98" spans="1:19" ht="109.5" customHeight="1" x14ac:dyDescent="0.15">
      <c r="B98" s="157"/>
      <c r="C98" s="33" t="s">
        <v>75</v>
      </c>
      <c r="D98" s="272" t="s">
        <v>188</v>
      </c>
      <c r="E98" s="273"/>
      <c r="F98" s="273"/>
      <c r="G98" s="273"/>
      <c r="H98" s="273"/>
      <c r="I98" s="273"/>
      <c r="J98" s="273"/>
      <c r="K98" s="273"/>
      <c r="L98" s="273"/>
      <c r="M98" s="273"/>
      <c r="N98" s="273"/>
      <c r="O98" s="273"/>
      <c r="P98" s="273"/>
      <c r="Q98" s="273"/>
      <c r="R98" s="273"/>
      <c r="S98" s="274"/>
    </row>
    <row r="99" spans="1:19" ht="106.5" customHeight="1" x14ac:dyDescent="0.15">
      <c r="B99" s="156"/>
      <c r="C99" s="32" t="s">
        <v>76</v>
      </c>
      <c r="D99" s="275" t="s">
        <v>189</v>
      </c>
      <c r="E99" s="276"/>
      <c r="F99" s="276"/>
      <c r="G99" s="276"/>
      <c r="H99" s="276"/>
      <c r="I99" s="276"/>
      <c r="J99" s="276"/>
      <c r="K99" s="276"/>
      <c r="L99" s="276"/>
      <c r="M99" s="276"/>
      <c r="N99" s="276"/>
      <c r="O99" s="276"/>
      <c r="P99" s="276"/>
      <c r="Q99" s="276"/>
      <c r="R99" s="276"/>
      <c r="S99" s="277"/>
    </row>
    <row r="100" spans="1:19" ht="6" customHeight="1" x14ac:dyDescent="0.15"/>
    <row r="101" spans="1:19" ht="18.75" customHeight="1" x14ac:dyDescent="0.15">
      <c r="A101" s="1" t="s">
        <v>120</v>
      </c>
    </row>
    <row r="102" spans="1:19" ht="81.75" customHeight="1" x14ac:dyDescent="0.15">
      <c r="B102" s="134" t="s">
        <v>158</v>
      </c>
      <c r="C102" s="135"/>
      <c r="D102" s="135"/>
      <c r="E102" s="135"/>
      <c r="F102" s="135"/>
      <c r="G102" s="135"/>
      <c r="H102" s="135"/>
      <c r="I102" s="135"/>
      <c r="J102" s="135"/>
      <c r="K102" s="135"/>
      <c r="L102" s="135"/>
      <c r="M102" s="135"/>
      <c r="N102" s="135"/>
      <c r="O102" s="135"/>
      <c r="P102" s="135"/>
      <c r="Q102" s="135"/>
      <c r="R102" s="135"/>
      <c r="S102" s="136"/>
    </row>
    <row r="110" spans="1:19" ht="18" customHeight="1" x14ac:dyDescent="0.15"/>
  </sheetData>
  <mergeCells count="145">
    <mergeCell ref="C2:J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B60:E60"/>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1:E61"/>
    <mergeCell ref="B62:E62"/>
    <mergeCell ref="B63:E63"/>
    <mergeCell ref="B64:E64"/>
    <mergeCell ref="J46:O46"/>
    <mergeCell ref="F78:I78"/>
    <mergeCell ref="J78:O78"/>
    <mergeCell ref="B69:D69"/>
    <mergeCell ref="B70:D70"/>
    <mergeCell ref="J53:O53"/>
    <mergeCell ref="J60:O60"/>
    <mergeCell ref="J61:O61"/>
    <mergeCell ref="J62:O62"/>
    <mergeCell ref="J63:O63"/>
    <mergeCell ref="J64:O64"/>
    <mergeCell ref="B68:D68"/>
    <mergeCell ref="J68:N68"/>
    <mergeCell ref="B50:E50"/>
    <mergeCell ref="B51:E51"/>
    <mergeCell ref="B52:E52"/>
    <mergeCell ref="B53:E53"/>
    <mergeCell ref="A66:S6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A5:S5"/>
    <mergeCell ref="B13:S18"/>
    <mergeCell ref="A22:S23"/>
    <mergeCell ref="K7:S7"/>
    <mergeCell ref="B9:S10"/>
    <mergeCell ref="C3:J3"/>
    <mergeCell ref="A33:S34"/>
    <mergeCell ref="C20:D20"/>
    <mergeCell ref="B35:E35"/>
    <mergeCell ref="B36:E36"/>
    <mergeCell ref="B37:E37"/>
    <mergeCell ref="B57:E57"/>
    <mergeCell ref="B58:E58"/>
    <mergeCell ref="B59:E59"/>
    <mergeCell ref="B46:E46"/>
    <mergeCell ref="B47:E47"/>
    <mergeCell ref="B48:E48"/>
    <mergeCell ref="J35:O35"/>
    <mergeCell ref="A44:S45"/>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P69:S75 Q36:S42 G47:I53 Q47:S53 G36:I42 Q58:S64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511CF-12A3-4508-9924-90652A1C8645}">
  <sheetPr>
    <pageSetUpPr fitToPage="1"/>
  </sheetPr>
  <dimension ref="A1:V110"/>
  <sheetViews>
    <sheetView showZeros="0" view="pageBreakPreview" zoomScaleNormal="100" zoomScaleSheetLayoutView="100" workbookViewId="0">
      <selection activeCell="X95" sqref="X95"/>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399999999999999" customHeight="1" x14ac:dyDescent="0.15">
      <c r="R1" s="166" t="s">
        <v>178</v>
      </c>
      <c r="S1" s="166"/>
      <c r="T1" s="2" t="s">
        <v>109</v>
      </c>
    </row>
    <row r="2" spans="1:22" ht="18.75" customHeight="1" x14ac:dyDescent="0.15">
      <c r="B2" s="34" t="s">
        <v>108</v>
      </c>
      <c r="C2" s="96" t="s">
        <v>126</v>
      </c>
      <c r="D2" s="98"/>
      <c r="E2" s="98"/>
      <c r="F2" s="98"/>
      <c r="G2" s="98"/>
      <c r="H2" s="98"/>
      <c r="I2" s="98"/>
      <c r="J2" s="97"/>
      <c r="K2" s="6"/>
      <c r="L2" s="6"/>
      <c r="M2" s="6"/>
      <c r="N2" s="6"/>
      <c r="O2" s="6"/>
      <c r="P2" s="6"/>
      <c r="Q2" s="6"/>
      <c r="R2" s="6"/>
      <c r="S2" s="6"/>
    </row>
    <row r="3" spans="1:22" ht="18.75" customHeight="1" x14ac:dyDescent="0.15">
      <c r="B3" s="34" t="s">
        <v>102</v>
      </c>
      <c r="C3" s="131" t="s">
        <v>127</v>
      </c>
      <c r="D3" s="132"/>
      <c r="E3" s="132"/>
      <c r="F3" s="132"/>
      <c r="G3" s="132"/>
      <c r="H3" s="132"/>
      <c r="I3" s="132"/>
      <c r="J3" s="133"/>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12" t="s">
        <v>38</v>
      </c>
      <c r="B5" s="112"/>
      <c r="C5" s="112"/>
      <c r="D5" s="112"/>
      <c r="E5" s="112"/>
      <c r="F5" s="112"/>
      <c r="G5" s="112"/>
      <c r="H5" s="112"/>
      <c r="I5" s="112"/>
      <c r="J5" s="112"/>
      <c r="K5" s="112"/>
      <c r="L5" s="112"/>
      <c r="M5" s="112"/>
      <c r="N5" s="112"/>
      <c r="O5" s="112"/>
      <c r="P5" s="112"/>
      <c r="Q5" s="112"/>
      <c r="R5" s="112"/>
      <c r="S5" s="112"/>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8" t="s">
        <v>107</v>
      </c>
      <c r="K7" s="122" t="s">
        <v>128</v>
      </c>
      <c r="L7" s="123"/>
      <c r="M7" s="123"/>
      <c r="N7" s="123"/>
      <c r="O7" s="123"/>
      <c r="P7" s="123"/>
      <c r="Q7" s="123"/>
      <c r="R7" s="123"/>
      <c r="S7" s="124"/>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25" t="s">
        <v>140</v>
      </c>
      <c r="C9" s="126"/>
      <c r="D9" s="126"/>
      <c r="E9" s="126"/>
      <c r="F9" s="126"/>
      <c r="G9" s="126"/>
      <c r="H9" s="126"/>
      <c r="I9" s="126"/>
      <c r="J9" s="126"/>
      <c r="K9" s="126"/>
      <c r="L9" s="126"/>
      <c r="M9" s="126"/>
      <c r="N9" s="126"/>
      <c r="O9" s="126"/>
      <c r="P9" s="126"/>
      <c r="Q9" s="126"/>
      <c r="R9" s="126"/>
      <c r="S9" s="127"/>
    </row>
    <row r="10" spans="1:22" ht="18" customHeight="1" x14ac:dyDescent="0.15">
      <c r="B10" s="128"/>
      <c r="C10" s="129"/>
      <c r="D10" s="129"/>
      <c r="E10" s="129"/>
      <c r="F10" s="129"/>
      <c r="G10" s="129"/>
      <c r="H10" s="129"/>
      <c r="I10" s="129"/>
      <c r="J10" s="129"/>
      <c r="K10" s="129"/>
      <c r="L10" s="129"/>
      <c r="M10" s="129"/>
      <c r="N10" s="129"/>
      <c r="O10" s="129"/>
      <c r="P10" s="129"/>
      <c r="Q10" s="129"/>
      <c r="R10" s="129"/>
      <c r="S10" s="130"/>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5"/>
      <c r="E12" s="35"/>
      <c r="F12" s="35"/>
      <c r="G12" s="35"/>
      <c r="H12" s="35"/>
      <c r="I12" s="35"/>
      <c r="J12" s="35"/>
      <c r="K12" s="39"/>
      <c r="L12" s="39"/>
      <c r="M12" s="39"/>
      <c r="N12" s="39"/>
      <c r="O12" s="39"/>
      <c r="P12" s="39"/>
      <c r="Q12" s="39"/>
      <c r="R12" s="39"/>
      <c r="S12" s="39"/>
    </row>
    <row r="13" spans="1:22" ht="18" customHeight="1" x14ac:dyDescent="0.15">
      <c r="B13" s="113" t="s">
        <v>155</v>
      </c>
      <c r="C13" s="114"/>
      <c r="D13" s="114"/>
      <c r="E13" s="114"/>
      <c r="F13" s="114"/>
      <c r="G13" s="114"/>
      <c r="H13" s="114"/>
      <c r="I13" s="114"/>
      <c r="J13" s="114"/>
      <c r="K13" s="114"/>
      <c r="L13" s="114"/>
      <c r="M13" s="114"/>
      <c r="N13" s="114"/>
      <c r="O13" s="114"/>
      <c r="P13" s="114"/>
      <c r="Q13" s="114"/>
      <c r="R13" s="114"/>
      <c r="S13" s="115"/>
      <c r="V13" s="1" t="s">
        <v>103</v>
      </c>
    </row>
    <row r="14" spans="1:22" ht="18" customHeight="1" x14ac:dyDescent="0.15">
      <c r="B14" s="116"/>
      <c r="C14" s="117"/>
      <c r="D14" s="117"/>
      <c r="E14" s="117"/>
      <c r="F14" s="117"/>
      <c r="G14" s="117"/>
      <c r="H14" s="117"/>
      <c r="I14" s="117"/>
      <c r="J14" s="117"/>
      <c r="K14" s="117"/>
      <c r="L14" s="117"/>
      <c r="M14" s="117"/>
      <c r="N14" s="117"/>
      <c r="O14" s="117"/>
      <c r="P14" s="117"/>
      <c r="Q14" s="117"/>
      <c r="R14" s="117"/>
      <c r="S14" s="118"/>
      <c r="V14" s="1" t="s">
        <v>110</v>
      </c>
    </row>
    <row r="15" spans="1:22" ht="18" customHeight="1" x14ac:dyDescent="0.15">
      <c r="B15" s="116"/>
      <c r="C15" s="117"/>
      <c r="D15" s="117"/>
      <c r="E15" s="117"/>
      <c r="F15" s="117"/>
      <c r="G15" s="117"/>
      <c r="H15" s="117"/>
      <c r="I15" s="117"/>
      <c r="J15" s="117"/>
      <c r="K15" s="117"/>
      <c r="L15" s="117"/>
      <c r="M15" s="117"/>
      <c r="N15" s="117"/>
      <c r="O15" s="117"/>
      <c r="P15" s="117"/>
      <c r="Q15" s="117"/>
      <c r="R15" s="117"/>
      <c r="S15" s="118"/>
      <c r="V15" s="1" t="s">
        <v>123</v>
      </c>
    </row>
    <row r="16" spans="1:22" ht="18" customHeight="1" x14ac:dyDescent="0.15">
      <c r="B16" s="116"/>
      <c r="C16" s="117"/>
      <c r="D16" s="117"/>
      <c r="E16" s="117"/>
      <c r="F16" s="117"/>
      <c r="G16" s="117"/>
      <c r="H16" s="117"/>
      <c r="I16" s="117"/>
      <c r="J16" s="117"/>
      <c r="K16" s="117"/>
      <c r="L16" s="117"/>
      <c r="M16" s="117"/>
      <c r="N16" s="117"/>
      <c r="O16" s="117"/>
      <c r="P16" s="117"/>
      <c r="Q16" s="117"/>
      <c r="R16" s="117"/>
      <c r="S16" s="118"/>
      <c r="V16" s="1" t="s">
        <v>125</v>
      </c>
    </row>
    <row r="17" spans="1:19" ht="18" customHeight="1" x14ac:dyDescent="0.15">
      <c r="B17" s="116"/>
      <c r="C17" s="117"/>
      <c r="D17" s="117"/>
      <c r="E17" s="117"/>
      <c r="F17" s="117"/>
      <c r="G17" s="117"/>
      <c r="H17" s="117"/>
      <c r="I17" s="117"/>
      <c r="J17" s="117"/>
      <c r="K17" s="117"/>
      <c r="L17" s="117"/>
      <c r="M17" s="117"/>
      <c r="N17" s="117"/>
      <c r="O17" s="117"/>
      <c r="P17" s="117"/>
      <c r="Q17" s="117"/>
      <c r="R17" s="117"/>
      <c r="S17" s="118"/>
    </row>
    <row r="18" spans="1:19" ht="18" customHeight="1" x14ac:dyDescent="0.15">
      <c r="B18" s="119"/>
      <c r="C18" s="120"/>
      <c r="D18" s="120"/>
      <c r="E18" s="120"/>
      <c r="F18" s="120"/>
      <c r="G18" s="120"/>
      <c r="H18" s="120"/>
      <c r="I18" s="120"/>
      <c r="J18" s="120"/>
      <c r="K18" s="120"/>
      <c r="L18" s="120"/>
      <c r="M18" s="120"/>
      <c r="N18" s="120"/>
      <c r="O18" s="120"/>
      <c r="P18" s="120"/>
      <c r="Q18" s="120"/>
      <c r="R18" s="120"/>
      <c r="S18" s="121"/>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96">
        <v>6</v>
      </c>
      <c r="D20" s="97"/>
      <c r="E20" s="40" t="s">
        <v>95</v>
      </c>
      <c r="G20" s="10"/>
      <c r="H20" s="3"/>
      <c r="I20" s="3"/>
      <c r="J20" s="35" t="s">
        <v>121</v>
      </c>
      <c r="K20" s="109" t="s">
        <v>125</v>
      </c>
      <c r="L20" s="110"/>
      <c r="M20" s="110"/>
      <c r="N20" s="110"/>
      <c r="O20" s="110"/>
      <c r="P20" s="110"/>
      <c r="Q20" s="110"/>
      <c r="R20" s="110"/>
      <c r="S20" s="11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113</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96" t="s">
        <v>53</v>
      </c>
      <c r="C24" s="98"/>
      <c r="D24" s="98"/>
      <c r="E24" s="97"/>
      <c r="F24" s="59" t="s">
        <v>80</v>
      </c>
      <c r="G24" s="58" t="s">
        <v>84</v>
      </c>
      <c r="H24" s="22" t="s">
        <v>56</v>
      </c>
      <c r="I24" s="22" t="s">
        <v>59</v>
      </c>
      <c r="J24" s="96" t="s">
        <v>53</v>
      </c>
      <c r="K24" s="98"/>
      <c r="L24" s="98"/>
      <c r="M24" s="98"/>
      <c r="N24" s="98"/>
      <c r="O24" s="97"/>
      <c r="P24" s="59" t="s">
        <v>80</v>
      </c>
      <c r="Q24" s="58" t="s">
        <v>84</v>
      </c>
      <c r="R24" s="22" t="s">
        <v>56</v>
      </c>
      <c r="S24" s="22" t="s">
        <v>59</v>
      </c>
    </row>
    <row r="25" spans="1:19" ht="18" customHeight="1" x14ac:dyDescent="0.15">
      <c r="B25" s="99" t="s">
        <v>130</v>
      </c>
      <c r="C25" s="100"/>
      <c r="D25" s="100"/>
      <c r="E25" s="101"/>
      <c r="F25" s="23">
        <v>2</v>
      </c>
      <c r="G25" s="23"/>
      <c r="H25" s="23" t="s">
        <v>131</v>
      </c>
      <c r="I25" s="23" t="s">
        <v>131</v>
      </c>
      <c r="J25" s="99"/>
      <c r="K25" s="100"/>
      <c r="L25" s="100"/>
      <c r="M25" s="100"/>
      <c r="N25" s="100"/>
      <c r="O25" s="101"/>
      <c r="P25" s="23"/>
      <c r="Q25" s="23"/>
      <c r="R25" s="23"/>
      <c r="S25" s="23"/>
    </row>
    <row r="26" spans="1:19" ht="18" customHeight="1" x14ac:dyDescent="0.15">
      <c r="B26" s="102" t="s">
        <v>133</v>
      </c>
      <c r="C26" s="103"/>
      <c r="D26" s="103"/>
      <c r="E26" s="104"/>
      <c r="F26" s="24">
        <v>2</v>
      </c>
      <c r="G26" s="24"/>
      <c r="H26" s="24" t="s">
        <v>131</v>
      </c>
      <c r="I26" s="24" t="s">
        <v>131</v>
      </c>
      <c r="J26" s="102"/>
      <c r="K26" s="103"/>
      <c r="L26" s="103"/>
      <c r="M26" s="103"/>
      <c r="N26" s="103"/>
      <c r="O26" s="104"/>
      <c r="P26" s="24"/>
      <c r="Q26" s="24"/>
      <c r="R26" s="24"/>
      <c r="S26" s="24"/>
    </row>
    <row r="27" spans="1:19" ht="18" customHeight="1" x14ac:dyDescent="0.15">
      <c r="B27" s="102" t="s">
        <v>134</v>
      </c>
      <c r="C27" s="103"/>
      <c r="D27" s="103"/>
      <c r="E27" s="104"/>
      <c r="F27" s="24">
        <v>2</v>
      </c>
      <c r="G27" s="24"/>
      <c r="H27" s="24" t="s">
        <v>131</v>
      </c>
      <c r="I27" s="24" t="s">
        <v>131</v>
      </c>
      <c r="J27" s="102"/>
      <c r="K27" s="103"/>
      <c r="L27" s="103"/>
      <c r="M27" s="103"/>
      <c r="N27" s="103"/>
      <c r="O27" s="104"/>
      <c r="P27" s="24"/>
      <c r="Q27" s="24"/>
      <c r="R27" s="24"/>
      <c r="S27" s="24"/>
    </row>
    <row r="28" spans="1:19" ht="18" customHeight="1" x14ac:dyDescent="0.15">
      <c r="B28" s="102"/>
      <c r="C28" s="103"/>
      <c r="D28" s="103"/>
      <c r="E28" s="104"/>
      <c r="F28" s="24"/>
      <c r="G28" s="24"/>
      <c r="H28" s="24"/>
      <c r="I28" s="24"/>
      <c r="J28" s="102"/>
      <c r="K28" s="103"/>
      <c r="L28" s="103"/>
      <c r="M28" s="103"/>
      <c r="N28" s="103"/>
      <c r="O28" s="104"/>
      <c r="P28" s="24"/>
      <c r="Q28" s="24"/>
      <c r="R28" s="24"/>
      <c r="S28" s="24"/>
    </row>
    <row r="29" spans="1:19" ht="18" customHeight="1" x14ac:dyDescent="0.15">
      <c r="B29" s="102"/>
      <c r="C29" s="103"/>
      <c r="D29" s="103"/>
      <c r="E29" s="104"/>
      <c r="F29" s="24"/>
      <c r="G29" s="24"/>
      <c r="H29" s="24"/>
      <c r="I29" s="24"/>
      <c r="J29" s="102"/>
      <c r="K29" s="103"/>
      <c r="L29" s="103"/>
      <c r="M29" s="103"/>
      <c r="N29" s="103"/>
      <c r="O29" s="104"/>
      <c r="P29" s="24"/>
      <c r="Q29" s="24"/>
      <c r="R29" s="24"/>
      <c r="S29" s="24"/>
    </row>
    <row r="30" spans="1:19" ht="18" customHeight="1" x14ac:dyDescent="0.15">
      <c r="A30" s="3"/>
      <c r="B30" s="102"/>
      <c r="C30" s="103"/>
      <c r="D30" s="103"/>
      <c r="E30" s="104"/>
      <c r="F30" s="24"/>
      <c r="G30" s="24"/>
      <c r="H30" s="24"/>
      <c r="I30" s="24"/>
      <c r="J30" s="102"/>
      <c r="K30" s="103"/>
      <c r="L30" s="103"/>
      <c r="M30" s="103"/>
      <c r="N30" s="103"/>
      <c r="O30" s="104"/>
      <c r="P30" s="24"/>
      <c r="Q30" s="24"/>
      <c r="R30" s="24"/>
      <c r="S30" s="24"/>
    </row>
    <row r="31" spans="1:19" ht="18" customHeight="1" x14ac:dyDescent="0.15">
      <c r="A31" s="3"/>
      <c r="B31" s="106"/>
      <c r="C31" s="107"/>
      <c r="D31" s="107"/>
      <c r="E31" s="108"/>
      <c r="F31" s="25"/>
      <c r="G31" s="25"/>
      <c r="H31" s="26"/>
      <c r="I31" s="26"/>
      <c r="J31" s="106"/>
      <c r="K31" s="107"/>
      <c r="L31" s="107"/>
      <c r="M31" s="107"/>
      <c r="N31" s="107"/>
      <c r="O31" s="108"/>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114</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96" t="s">
        <v>53</v>
      </c>
      <c r="C35" s="98"/>
      <c r="D35" s="98"/>
      <c r="E35" s="97"/>
      <c r="F35" s="59" t="s">
        <v>80</v>
      </c>
      <c r="G35" s="58" t="s">
        <v>84</v>
      </c>
      <c r="H35" s="22" t="s">
        <v>71</v>
      </c>
      <c r="I35" s="22" t="s">
        <v>72</v>
      </c>
      <c r="J35" s="96" t="s">
        <v>53</v>
      </c>
      <c r="K35" s="98"/>
      <c r="L35" s="98"/>
      <c r="M35" s="98"/>
      <c r="N35" s="98"/>
      <c r="O35" s="97"/>
      <c r="P35" s="59" t="s">
        <v>80</v>
      </c>
      <c r="Q35" s="58" t="s">
        <v>84</v>
      </c>
      <c r="R35" s="22" t="s">
        <v>71</v>
      </c>
      <c r="S35" s="22" t="s">
        <v>72</v>
      </c>
    </row>
    <row r="36" spans="1:19" ht="18" customHeight="1" x14ac:dyDescent="0.15">
      <c r="B36" s="99" t="s">
        <v>130</v>
      </c>
      <c r="C36" s="100"/>
      <c r="D36" s="100"/>
      <c r="E36" s="101"/>
      <c r="F36" s="23">
        <v>2</v>
      </c>
      <c r="G36" s="23"/>
      <c r="H36" s="23" t="s">
        <v>131</v>
      </c>
      <c r="I36" s="23" t="s">
        <v>131</v>
      </c>
      <c r="J36" s="99"/>
      <c r="K36" s="100"/>
      <c r="L36" s="100"/>
      <c r="M36" s="100"/>
      <c r="N36" s="100"/>
      <c r="O36" s="101"/>
      <c r="P36" s="23"/>
      <c r="Q36" s="23"/>
      <c r="R36" s="23"/>
      <c r="S36" s="23"/>
    </row>
    <row r="37" spans="1:19" ht="18" customHeight="1" x14ac:dyDescent="0.15">
      <c r="B37" s="102" t="s">
        <v>134</v>
      </c>
      <c r="C37" s="103"/>
      <c r="D37" s="103"/>
      <c r="E37" s="104"/>
      <c r="F37" s="24">
        <v>2</v>
      </c>
      <c r="G37" s="24"/>
      <c r="H37" s="24" t="s">
        <v>131</v>
      </c>
      <c r="I37" s="24" t="s">
        <v>131</v>
      </c>
      <c r="J37" s="102"/>
      <c r="K37" s="103"/>
      <c r="L37" s="103"/>
      <c r="M37" s="103"/>
      <c r="N37" s="103"/>
      <c r="O37" s="104"/>
      <c r="P37" s="24"/>
      <c r="Q37" s="24"/>
      <c r="R37" s="24"/>
      <c r="S37" s="24"/>
    </row>
    <row r="38" spans="1:19" ht="18" customHeight="1" x14ac:dyDescent="0.15">
      <c r="B38" s="102"/>
      <c r="C38" s="103"/>
      <c r="D38" s="103"/>
      <c r="E38" s="104"/>
      <c r="F38" s="24"/>
      <c r="G38" s="24"/>
      <c r="H38" s="24"/>
      <c r="I38" s="24"/>
      <c r="J38" s="102"/>
      <c r="K38" s="103"/>
      <c r="L38" s="103"/>
      <c r="M38" s="103"/>
      <c r="N38" s="103"/>
      <c r="O38" s="104"/>
      <c r="P38" s="24"/>
      <c r="Q38" s="24"/>
      <c r="R38" s="24"/>
      <c r="S38" s="24"/>
    </row>
    <row r="39" spans="1:19" ht="18" customHeight="1" x14ac:dyDescent="0.15">
      <c r="B39" s="102"/>
      <c r="C39" s="103"/>
      <c r="D39" s="103"/>
      <c r="E39" s="104"/>
      <c r="F39" s="24"/>
      <c r="G39" s="24"/>
      <c r="H39" s="24"/>
      <c r="I39" s="24"/>
      <c r="J39" s="102"/>
      <c r="K39" s="103"/>
      <c r="L39" s="103"/>
      <c r="M39" s="103"/>
      <c r="N39" s="103"/>
      <c r="O39" s="104"/>
      <c r="P39" s="24"/>
      <c r="Q39" s="24"/>
      <c r="R39" s="24"/>
      <c r="S39" s="24"/>
    </row>
    <row r="40" spans="1:19" ht="18" customHeight="1" x14ac:dyDescent="0.15">
      <c r="B40" s="102"/>
      <c r="C40" s="103"/>
      <c r="D40" s="103"/>
      <c r="E40" s="104"/>
      <c r="F40" s="24"/>
      <c r="G40" s="24"/>
      <c r="H40" s="24"/>
      <c r="I40" s="24"/>
      <c r="J40" s="102"/>
      <c r="K40" s="103"/>
      <c r="L40" s="103"/>
      <c r="M40" s="103"/>
      <c r="N40" s="103"/>
      <c r="O40" s="104"/>
      <c r="P40" s="24"/>
      <c r="Q40" s="24"/>
      <c r="R40" s="24"/>
      <c r="S40" s="24"/>
    </row>
    <row r="41" spans="1:19" ht="18" customHeight="1" x14ac:dyDescent="0.15">
      <c r="B41" s="102"/>
      <c r="C41" s="103"/>
      <c r="D41" s="103"/>
      <c r="E41" s="104"/>
      <c r="F41" s="24"/>
      <c r="G41" s="24"/>
      <c r="H41" s="24"/>
      <c r="I41" s="24"/>
      <c r="J41" s="102"/>
      <c r="K41" s="103"/>
      <c r="L41" s="103"/>
      <c r="M41" s="103"/>
      <c r="N41" s="103"/>
      <c r="O41" s="104"/>
      <c r="P41" s="24"/>
      <c r="Q41" s="24"/>
      <c r="R41" s="24"/>
      <c r="S41" s="24"/>
    </row>
    <row r="42" spans="1:19" ht="18" customHeight="1" x14ac:dyDescent="0.15">
      <c r="B42" s="106"/>
      <c r="C42" s="107"/>
      <c r="D42" s="107"/>
      <c r="E42" s="108"/>
      <c r="F42" s="25"/>
      <c r="G42" s="25"/>
      <c r="H42" s="26"/>
      <c r="I42" s="26"/>
      <c r="J42" s="106"/>
      <c r="K42" s="107"/>
      <c r="L42" s="107"/>
      <c r="M42" s="107"/>
      <c r="N42" s="107"/>
      <c r="O42" s="108"/>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115</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96" t="s">
        <v>53</v>
      </c>
      <c r="C46" s="98"/>
      <c r="D46" s="98"/>
      <c r="E46" s="97"/>
      <c r="F46" s="59" t="s">
        <v>80</v>
      </c>
      <c r="G46" s="58" t="s">
        <v>84</v>
      </c>
      <c r="H46" s="22" t="s">
        <v>73</v>
      </c>
      <c r="I46" s="22" t="s">
        <v>74</v>
      </c>
      <c r="J46" s="96" t="s">
        <v>53</v>
      </c>
      <c r="K46" s="98"/>
      <c r="L46" s="98"/>
      <c r="M46" s="98"/>
      <c r="N46" s="98"/>
      <c r="O46" s="97"/>
      <c r="P46" s="59" t="s">
        <v>80</v>
      </c>
      <c r="Q46" s="58" t="s">
        <v>84</v>
      </c>
      <c r="R46" s="22" t="s">
        <v>73</v>
      </c>
      <c r="S46" s="22" t="s">
        <v>74</v>
      </c>
    </row>
    <row r="47" spans="1:19" ht="18" customHeight="1" x14ac:dyDescent="0.15">
      <c r="A47" s="3"/>
      <c r="B47" s="99" t="s">
        <v>130</v>
      </c>
      <c r="C47" s="100"/>
      <c r="D47" s="100"/>
      <c r="E47" s="101"/>
      <c r="F47" s="23">
        <v>2</v>
      </c>
      <c r="G47" s="23"/>
      <c r="H47" s="23" t="s">
        <v>131</v>
      </c>
      <c r="I47" s="23" t="s">
        <v>131</v>
      </c>
      <c r="J47" s="99"/>
      <c r="K47" s="100"/>
      <c r="L47" s="100"/>
      <c r="M47" s="100"/>
      <c r="N47" s="100"/>
      <c r="O47" s="101"/>
      <c r="P47" s="23"/>
      <c r="Q47" s="23"/>
      <c r="R47" s="23"/>
      <c r="S47" s="23"/>
    </row>
    <row r="48" spans="1:19" ht="18" customHeight="1" x14ac:dyDescent="0.15">
      <c r="A48" s="3"/>
      <c r="B48" s="102" t="s">
        <v>133</v>
      </c>
      <c r="C48" s="103"/>
      <c r="D48" s="103"/>
      <c r="E48" s="104"/>
      <c r="F48" s="24">
        <v>2</v>
      </c>
      <c r="G48" s="24"/>
      <c r="H48" s="24" t="s">
        <v>131</v>
      </c>
      <c r="I48" s="24" t="s">
        <v>131</v>
      </c>
      <c r="J48" s="102"/>
      <c r="K48" s="103"/>
      <c r="L48" s="103"/>
      <c r="M48" s="103"/>
      <c r="N48" s="103"/>
      <c r="O48" s="104"/>
      <c r="P48" s="24"/>
      <c r="Q48" s="24"/>
      <c r="R48" s="24"/>
      <c r="S48" s="24"/>
    </row>
    <row r="49" spans="1:19" ht="18" customHeight="1" x14ac:dyDescent="0.15">
      <c r="A49" s="3"/>
      <c r="B49" s="102"/>
      <c r="C49" s="103"/>
      <c r="D49" s="103"/>
      <c r="E49" s="104"/>
      <c r="F49" s="24"/>
      <c r="G49" s="24"/>
      <c r="H49" s="24"/>
      <c r="I49" s="24"/>
      <c r="J49" s="102"/>
      <c r="K49" s="103"/>
      <c r="L49" s="103"/>
      <c r="M49" s="103"/>
      <c r="N49" s="103"/>
      <c r="O49" s="104"/>
      <c r="P49" s="24"/>
      <c r="Q49" s="24"/>
      <c r="R49" s="24"/>
      <c r="S49" s="24"/>
    </row>
    <row r="50" spans="1:19" ht="18" customHeight="1" x14ac:dyDescent="0.15">
      <c r="A50" s="3"/>
      <c r="B50" s="102"/>
      <c r="C50" s="103"/>
      <c r="D50" s="103"/>
      <c r="E50" s="104"/>
      <c r="F50" s="24"/>
      <c r="G50" s="24"/>
      <c r="H50" s="24"/>
      <c r="I50" s="24"/>
      <c r="J50" s="102"/>
      <c r="K50" s="103"/>
      <c r="L50" s="103"/>
      <c r="M50" s="103"/>
      <c r="N50" s="103"/>
      <c r="O50" s="104"/>
      <c r="P50" s="24"/>
      <c r="Q50" s="24"/>
      <c r="R50" s="24"/>
      <c r="S50" s="24"/>
    </row>
    <row r="51" spans="1:19" ht="18" customHeight="1" x14ac:dyDescent="0.15">
      <c r="A51" s="3"/>
      <c r="B51" s="102"/>
      <c r="C51" s="103"/>
      <c r="D51" s="103"/>
      <c r="E51" s="104"/>
      <c r="F51" s="24"/>
      <c r="G51" s="24"/>
      <c r="H51" s="24"/>
      <c r="I51" s="24"/>
      <c r="J51" s="102"/>
      <c r="K51" s="103"/>
      <c r="L51" s="103"/>
      <c r="M51" s="103"/>
      <c r="N51" s="103"/>
      <c r="O51" s="104"/>
      <c r="P51" s="24"/>
      <c r="Q51" s="24"/>
      <c r="R51" s="24"/>
      <c r="S51" s="24"/>
    </row>
    <row r="52" spans="1:19" ht="18" customHeight="1" x14ac:dyDescent="0.15">
      <c r="A52" s="3"/>
      <c r="B52" s="102"/>
      <c r="C52" s="103"/>
      <c r="D52" s="103"/>
      <c r="E52" s="104"/>
      <c r="F52" s="24"/>
      <c r="G52" s="24"/>
      <c r="H52" s="24"/>
      <c r="I52" s="24"/>
      <c r="J52" s="102"/>
      <c r="K52" s="103"/>
      <c r="L52" s="103"/>
      <c r="M52" s="103"/>
      <c r="N52" s="103"/>
      <c r="O52" s="104"/>
      <c r="P52" s="24"/>
      <c r="Q52" s="24"/>
      <c r="R52" s="24"/>
      <c r="S52" s="24"/>
    </row>
    <row r="53" spans="1:19" ht="18" customHeight="1" x14ac:dyDescent="0.15">
      <c r="A53" s="3"/>
      <c r="B53" s="106"/>
      <c r="C53" s="107"/>
      <c r="D53" s="107"/>
      <c r="E53" s="108"/>
      <c r="F53" s="25"/>
      <c r="G53" s="25"/>
      <c r="H53" s="26"/>
      <c r="I53" s="26"/>
      <c r="J53" s="106"/>
      <c r="K53" s="107"/>
      <c r="L53" s="107"/>
      <c r="M53" s="107"/>
      <c r="N53" s="107"/>
      <c r="O53" s="108"/>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5" t="s">
        <v>116</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96" t="s">
        <v>53</v>
      </c>
      <c r="C57" s="98"/>
      <c r="D57" s="98"/>
      <c r="E57" s="97"/>
      <c r="F57" s="59" t="s">
        <v>80</v>
      </c>
      <c r="G57" s="58" t="s">
        <v>84</v>
      </c>
      <c r="H57" s="22" t="s">
        <v>58</v>
      </c>
      <c r="I57" s="22" t="s">
        <v>60</v>
      </c>
      <c r="J57" s="96" t="s">
        <v>53</v>
      </c>
      <c r="K57" s="98"/>
      <c r="L57" s="98"/>
      <c r="M57" s="98"/>
      <c r="N57" s="98"/>
      <c r="O57" s="97"/>
      <c r="P57" s="59" t="s">
        <v>80</v>
      </c>
      <c r="Q57" s="58" t="s">
        <v>84</v>
      </c>
      <c r="R57" s="22" t="s">
        <v>58</v>
      </c>
      <c r="S57" s="22" t="s">
        <v>60</v>
      </c>
    </row>
    <row r="58" spans="1:19" ht="18" customHeight="1" x14ac:dyDescent="0.15">
      <c r="A58" s="3"/>
      <c r="B58" s="99" t="s">
        <v>130</v>
      </c>
      <c r="C58" s="100"/>
      <c r="D58" s="100"/>
      <c r="E58" s="101"/>
      <c r="F58" s="23">
        <v>2</v>
      </c>
      <c r="G58" s="23"/>
      <c r="H58" s="23" t="s">
        <v>131</v>
      </c>
      <c r="I58" s="23" t="s">
        <v>131</v>
      </c>
      <c r="J58" s="99"/>
      <c r="K58" s="100"/>
      <c r="L58" s="100"/>
      <c r="M58" s="100"/>
      <c r="N58" s="100"/>
      <c r="O58" s="101"/>
      <c r="P58" s="23"/>
      <c r="Q58" s="23"/>
      <c r="R58" s="23"/>
      <c r="S58" s="23"/>
    </row>
    <row r="59" spans="1:19" ht="18" customHeight="1" x14ac:dyDescent="0.15">
      <c r="A59" s="3"/>
      <c r="B59" s="102" t="s">
        <v>133</v>
      </c>
      <c r="C59" s="103"/>
      <c r="D59" s="103"/>
      <c r="E59" s="104"/>
      <c r="F59" s="24">
        <v>2</v>
      </c>
      <c r="G59" s="24"/>
      <c r="H59" s="24" t="s">
        <v>131</v>
      </c>
      <c r="I59" s="24" t="s">
        <v>131</v>
      </c>
      <c r="J59" s="102"/>
      <c r="K59" s="103"/>
      <c r="L59" s="103"/>
      <c r="M59" s="103"/>
      <c r="N59" s="103"/>
      <c r="O59" s="104"/>
      <c r="P59" s="24"/>
      <c r="Q59" s="24"/>
      <c r="R59" s="24"/>
      <c r="S59" s="24"/>
    </row>
    <row r="60" spans="1:19" ht="18" customHeight="1" x14ac:dyDescent="0.15">
      <c r="A60" s="3"/>
      <c r="B60" s="102" t="s">
        <v>134</v>
      </c>
      <c r="C60" s="103"/>
      <c r="D60" s="103"/>
      <c r="E60" s="104"/>
      <c r="F60" s="24">
        <v>2</v>
      </c>
      <c r="G60" s="24"/>
      <c r="H60" s="24" t="s">
        <v>131</v>
      </c>
      <c r="I60" s="24" t="s">
        <v>131</v>
      </c>
      <c r="J60" s="102"/>
      <c r="K60" s="103"/>
      <c r="L60" s="103"/>
      <c r="M60" s="103"/>
      <c r="N60" s="103"/>
      <c r="O60" s="104"/>
      <c r="P60" s="24"/>
      <c r="Q60" s="24"/>
      <c r="R60" s="24"/>
      <c r="S60" s="24"/>
    </row>
    <row r="61" spans="1:19" ht="18" customHeight="1" x14ac:dyDescent="0.15">
      <c r="A61" s="3"/>
      <c r="B61" s="102"/>
      <c r="C61" s="103"/>
      <c r="D61" s="103"/>
      <c r="E61" s="104"/>
      <c r="F61" s="24"/>
      <c r="G61" s="24"/>
      <c r="H61" s="24"/>
      <c r="I61" s="24"/>
      <c r="J61" s="102"/>
      <c r="K61" s="103"/>
      <c r="L61" s="103"/>
      <c r="M61" s="103"/>
      <c r="N61" s="103"/>
      <c r="O61" s="104"/>
      <c r="P61" s="24"/>
      <c r="Q61" s="24"/>
      <c r="R61" s="24"/>
      <c r="S61" s="24"/>
    </row>
    <row r="62" spans="1:19" ht="18" customHeight="1" x14ac:dyDescent="0.15">
      <c r="A62" s="3"/>
      <c r="B62" s="102"/>
      <c r="C62" s="103"/>
      <c r="D62" s="103"/>
      <c r="E62" s="104"/>
      <c r="F62" s="24"/>
      <c r="G62" s="24"/>
      <c r="H62" s="24"/>
      <c r="I62" s="24"/>
      <c r="J62" s="102"/>
      <c r="K62" s="103"/>
      <c r="L62" s="103"/>
      <c r="M62" s="103"/>
      <c r="N62" s="103"/>
      <c r="O62" s="104"/>
      <c r="P62" s="24"/>
      <c r="Q62" s="24"/>
      <c r="R62" s="24"/>
      <c r="S62" s="24"/>
    </row>
    <row r="63" spans="1:19" ht="18" customHeight="1" x14ac:dyDescent="0.15">
      <c r="A63" s="3"/>
      <c r="B63" s="102"/>
      <c r="C63" s="103"/>
      <c r="D63" s="103"/>
      <c r="E63" s="104"/>
      <c r="F63" s="24"/>
      <c r="G63" s="24"/>
      <c r="H63" s="24"/>
      <c r="I63" s="24"/>
      <c r="J63" s="102"/>
      <c r="K63" s="103"/>
      <c r="L63" s="103"/>
      <c r="M63" s="103"/>
      <c r="N63" s="103"/>
      <c r="O63" s="104"/>
      <c r="P63" s="24"/>
      <c r="Q63" s="24"/>
      <c r="R63" s="24"/>
      <c r="S63" s="24"/>
    </row>
    <row r="64" spans="1:19" ht="18" customHeight="1" x14ac:dyDescent="0.15">
      <c r="A64" s="3"/>
      <c r="B64" s="106"/>
      <c r="C64" s="107"/>
      <c r="D64" s="107"/>
      <c r="E64" s="108"/>
      <c r="F64" s="25"/>
      <c r="G64" s="25"/>
      <c r="H64" s="26"/>
      <c r="I64" s="26"/>
      <c r="J64" s="106"/>
      <c r="K64" s="107"/>
      <c r="L64" s="107"/>
      <c r="M64" s="107"/>
      <c r="N64" s="107"/>
      <c r="O64" s="108"/>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5" t="s">
        <v>117</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96" t="s">
        <v>53</v>
      </c>
      <c r="C68" s="98"/>
      <c r="D68" s="98"/>
      <c r="E68" s="59" t="s">
        <v>80</v>
      </c>
      <c r="F68" s="58" t="s">
        <v>84</v>
      </c>
      <c r="G68" s="22" t="s">
        <v>101</v>
      </c>
      <c r="H68" s="22" t="s">
        <v>75</v>
      </c>
      <c r="I68" s="22" t="s">
        <v>76</v>
      </c>
      <c r="J68" s="96" t="s">
        <v>53</v>
      </c>
      <c r="K68" s="98"/>
      <c r="L68" s="98"/>
      <c r="M68" s="98"/>
      <c r="N68" s="97"/>
      <c r="O68" s="59" t="s">
        <v>80</v>
      </c>
      <c r="P68" s="58" t="s">
        <v>84</v>
      </c>
      <c r="Q68" s="22" t="s">
        <v>101</v>
      </c>
      <c r="R68" s="22" t="s">
        <v>75</v>
      </c>
      <c r="S68" s="22" t="s">
        <v>76</v>
      </c>
    </row>
    <row r="69" spans="1:19" ht="18" customHeight="1" x14ac:dyDescent="0.15">
      <c r="A69" s="3"/>
      <c r="B69" s="99" t="s">
        <v>132</v>
      </c>
      <c r="C69" s="100"/>
      <c r="D69" s="100"/>
      <c r="E69" s="23">
        <v>2</v>
      </c>
      <c r="F69" s="23" t="s">
        <v>131</v>
      </c>
      <c r="G69" s="23" t="s">
        <v>131</v>
      </c>
      <c r="H69" s="23" t="s">
        <v>131</v>
      </c>
      <c r="I69" s="23" t="s">
        <v>131</v>
      </c>
      <c r="J69" s="99"/>
      <c r="K69" s="100"/>
      <c r="L69" s="100"/>
      <c r="M69" s="100"/>
      <c r="N69" s="101"/>
      <c r="O69" s="23"/>
      <c r="P69" s="23"/>
      <c r="Q69" s="23"/>
      <c r="R69" s="23"/>
      <c r="S69" s="23"/>
    </row>
    <row r="70" spans="1:19" ht="18" customHeight="1" x14ac:dyDescent="0.15">
      <c r="A70" s="3"/>
      <c r="B70" s="102"/>
      <c r="C70" s="103"/>
      <c r="D70" s="103"/>
      <c r="E70" s="24"/>
      <c r="F70" s="24"/>
      <c r="G70" s="24"/>
      <c r="H70" s="24"/>
      <c r="I70" s="24"/>
      <c r="J70" s="102"/>
      <c r="K70" s="103"/>
      <c r="L70" s="103"/>
      <c r="M70" s="103"/>
      <c r="N70" s="104"/>
      <c r="O70" s="24"/>
      <c r="P70" s="24"/>
      <c r="Q70" s="24"/>
      <c r="R70" s="24"/>
      <c r="S70" s="24"/>
    </row>
    <row r="71" spans="1:19" ht="18" customHeight="1" x14ac:dyDescent="0.15">
      <c r="A71" s="3"/>
      <c r="B71" s="102"/>
      <c r="C71" s="103"/>
      <c r="D71" s="103"/>
      <c r="E71" s="24"/>
      <c r="F71" s="24"/>
      <c r="G71" s="24"/>
      <c r="H71" s="24"/>
      <c r="I71" s="24"/>
      <c r="J71" s="102"/>
      <c r="K71" s="103"/>
      <c r="L71" s="103"/>
      <c r="M71" s="103"/>
      <c r="N71" s="104"/>
      <c r="O71" s="24"/>
      <c r="P71" s="24"/>
      <c r="Q71" s="24"/>
      <c r="R71" s="24"/>
      <c r="S71" s="24"/>
    </row>
    <row r="72" spans="1:19" ht="18" customHeight="1" x14ac:dyDescent="0.15">
      <c r="A72" s="3"/>
      <c r="B72" s="102"/>
      <c r="C72" s="103"/>
      <c r="D72" s="103"/>
      <c r="E72" s="24"/>
      <c r="F72" s="24"/>
      <c r="G72" s="24"/>
      <c r="H72" s="24"/>
      <c r="I72" s="24"/>
      <c r="J72" s="102"/>
      <c r="K72" s="103"/>
      <c r="L72" s="103"/>
      <c r="M72" s="103"/>
      <c r="N72" s="104"/>
      <c r="O72" s="24"/>
      <c r="P72" s="24"/>
      <c r="Q72" s="24"/>
      <c r="R72" s="24"/>
      <c r="S72" s="24"/>
    </row>
    <row r="73" spans="1:19" ht="18" customHeight="1" x14ac:dyDescent="0.15">
      <c r="A73" s="3"/>
      <c r="B73" s="102"/>
      <c r="C73" s="103"/>
      <c r="D73" s="103"/>
      <c r="E73" s="24"/>
      <c r="F73" s="24"/>
      <c r="G73" s="24"/>
      <c r="H73" s="24"/>
      <c r="I73" s="24"/>
      <c r="J73" s="102"/>
      <c r="K73" s="103"/>
      <c r="L73" s="103"/>
      <c r="M73" s="103"/>
      <c r="N73" s="104"/>
      <c r="O73" s="24"/>
      <c r="P73" s="24"/>
      <c r="Q73" s="24"/>
      <c r="R73" s="24"/>
      <c r="S73" s="24"/>
    </row>
    <row r="74" spans="1:19" ht="18" customHeight="1" x14ac:dyDescent="0.15">
      <c r="A74" s="3"/>
      <c r="B74" s="102"/>
      <c r="C74" s="103"/>
      <c r="D74" s="103"/>
      <c r="E74" s="24"/>
      <c r="F74" s="24"/>
      <c r="G74" s="24"/>
      <c r="H74" s="24"/>
      <c r="I74" s="24"/>
      <c r="J74" s="102"/>
      <c r="K74" s="103"/>
      <c r="L74" s="103"/>
      <c r="M74" s="103"/>
      <c r="N74" s="104"/>
      <c r="O74" s="24"/>
      <c r="P74" s="24"/>
      <c r="Q74" s="24"/>
      <c r="R74" s="24"/>
      <c r="S74" s="24"/>
    </row>
    <row r="75" spans="1:19" ht="18" customHeight="1" x14ac:dyDescent="0.15">
      <c r="A75" s="3"/>
      <c r="B75" s="106"/>
      <c r="C75" s="107"/>
      <c r="D75" s="107"/>
      <c r="E75" s="25"/>
      <c r="F75" s="25"/>
      <c r="G75" s="26"/>
      <c r="H75" s="26"/>
      <c r="I75" s="26"/>
      <c r="J75" s="106"/>
      <c r="K75" s="107"/>
      <c r="L75" s="107"/>
      <c r="M75" s="107"/>
      <c r="N75" s="108"/>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96" t="s">
        <v>53</v>
      </c>
      <c r="C78" s="98"/>
      <c r="D78" s="98"/>
      <c r="E78" s="97"/>
      <c r="F78" s="96" t="s">
        <v>82</v>
      </c>
      <c r="G78" s="98"/>
      <c r="H78" s="98"/>
      <c r="I78" s="97"/>
      <c r="J78" s="152" t="s">
        <v>53</v>
      </c>
      <c r="K78" s="153"/>
      <c r="L78" s="153"/>
      <c r="M78" s="153"/>
      <c r="N78" s="153"/>
      <c r="O78" s="154"/>
      <c r="P78" s="96" t="s">
        <v>82</v>
      </c>
      <c r="Q78" s="98"/>
      <c r="R78" s="98"/>
      <c r="S78" s="97"/>
    </row>
    <row r="79" spans="1:19" ht="18" customHeight="1" x14ac:dyDescent="0.15">
      <c r="A79" s="3"/>
      <c r="B79" s="99" t="s">
        <v>135</v>
      </c>
      <c r="C79" s="100"/>
      <c r="D79" s="100"/>
      <c r="E79" s="101"/>
      <c r="F79" s="163" t="s">
        <v>136</v>
      </c>
      <c r="G79" s="164"/>
      <c r="H79" s="164"/>
      <c r="I79" s="165"/>
      <c r="J79" s="99"/>
      <c r="K79" s="100"/>
      <c r="L79" s="100"/>
      <c r="M79" s="100"/>
      <c r="N79" s="100"/>
      <c r="O79" s="101"/>
      <c r="P79" s="163"/>
      <c r="Q79" s="164"/>
      <c r="R79" s="164"/>
      <c r="S79" s="165"/>
    </row>
    <row r="80" spans="1:19" ht="18" customHeight="1" x14ac:dyDescent="0.15">
      <c r="A80" s="3"/>
      <c r="B80" s="102" t="s">
        <v>176</v>
      </c>
      <c r="C80" s="103"/>
      <c r="D80" s="103"/>
      <c r="E80" s="104"/>
      <c r="F80" s="140" t="s">
        <v>137</v>
      </c>
      <c r="G80" s="141"/>
      <c r="H80" s="141"/>
      <c r="I80" s="142"/>
      <c r="J80" s="102"/>
      <c r="K80" s="103"/>
      <c r="L80" s="103"/>
      <c r="M80" s="103"/>
      <c r="N80" s="103"/>
      <c r="O80" s="104"/>
      <c r="P80" s="140"/>
      <c r="Q80" s="141"/>
      <c r="R80" s="141"/>
      <c r="S80" s="142"/>
    </row>
    <row r="81" spans="1:19" ht="18" customHeight="1" x14ac:dyDescent="0.15">
      <c r="A81" s="3"/>
      <c r="B81" s="102" t="s">
        <v>138</v>
      </c>
      <c r="C81" s="103"/>
      <c r="D81" s="103"/>
      <c r="E81" s="104"/>
      <c r="F81" s="140" t="s">
        <v>137</v>
      </c>
      <c r="G81" s="141"/>
      <c r="H81" s="141"/>
      <c r="I81" s="142"/>
      <c r="J81" s="102"/>
      <c r="K81" s="103"/>
      <c r="L81" s="103"/>
      <c r="M81" s="103"/>
      <c r="N81" s="103"/>
      <c r="O81" s="104"/>
      <c r="P81" s="140"/>
      <c r="Q81" s="141"/>
      <c r="R81" s="141"/>
      <c r="S81" s="142"/>
    </row>
    <row r="82" spans="1:19" ht="18" customHeight="1" x14ac:dyDescent="0.15">
      <c r="A82" s="3"/>
      <c r="B82" s="102" t="s">
        <v>165</v>
      </c>
      <c r="C82" s="103"/>
      <c r="D82" s="103"/>
      <c r="E82" s="104"/>
      <c r="F82" s="140" t="s">
        <v>139</v>
      </c>
      <c r="G82" s="141"/>
      <c r="H82" s="141"/>
      <c r="I82" s="142"/>
      <c r="J82" s="102"/>
      <c r="K82" s="103"/>
      <c r="L82" s="103"/>
      <c r="M82" s="103"/>
      <c r="N82" s="103"/>
      <c r="O82" s="104"/>
      <c r="P82" s="140"/>
      <c r="Q82" s="141"/>
      <c r="R82" s="141"/>
      <c r="S82" s="142"/>
    </row>
    <row r="83" spans="1:19" ht="18" customHeight="1" x14ac:dyDescent="0.15">
      <c r="A83" s="3"/>
      <c r="B83" s="102"/>
      <c r="C83" s="103"/>
      <c r="D83" s="103"/>
      <c r="E83" s="104"/>
      <c r="F83" s="140"/>
      <c r="G83" s="141"/>
      <c r="H83" s="141"/>
      <c r="I83" s="142"/>
      <c r="J83" s="102"/>
      <c r="K83" s="103"/>
      <c r="L83" s="103"/>
      <c r="M83" s="103"/>
      <c r="N83" s="103"/>
      <c r="O83" s="104"/>
      <c r="P83" s="140"/>
      <c r="Q83" s="141"/>
      <c r="R83" s="141"/>
      <c r="S83" s="142"/>
    </row>
    <row r="84" spans="1:19" ht="18" customHeight="1" x14ac:dyDescent="0.15">
      <c r="A84" s="3"/>
      <c r="B84" s="102"/>
      <c r="C84" s="103"/>
      <c r="D84" s="103"/>
      <c r="E84" s="104"/>
      <c r="F84" s="140"/>
      <c r="G84" s="141"/>
      <c r="H84" s="141"/>
      <c r="I84" s="142"/>
      <c r="J84" s="102"/>
      <c r="K84" s="103"/>
      <c r="L84" s="103"/>
      <c r="M84" s="103"/>
      <c r="N84" s="103"/>
      <c r="O84" s="104"/>
      <c r="P84" s="140"/>
      <c r="Q84" s="141"/>
      <c r="R84" s="141"/>
      <c r="S84" s="142"/>
    </row>
    <row r="85" spans="1:19" ht="18" customHeight="1" x14ac:dyDescent="0.15">
      <c r="A85" s="3"/>
      <c r="B85" s="106"/>
      <c r="C85" s="107"/>
      <c r="D85" s="107"/>
      <c r="E85" s="108"/>
      <c r="F85" s="137"/>
      <c r="G85" s="138"/>
      <c r="H85" s="138"/>
      <c r="I85" s="139"/>
      <c r="J85" s="106"/>
      <c r="K85" s="107"/>
      <c r="L85" s="107"/>
      <c r="M85" s="107"/>
      <c r="N85" s="107"/>
      <c r="O85" s="108"/>
      <c r="P85" s="137"/>
      <c r="Q85" s="138"/>
      <c r="R85" s="138"/>
      <c r="S85" s="139"/>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119</v>
      </c>
    </row>
    <row r="88" spans="1:19" ht="18.75" customHeight="1" x14ac:dyDescent="0.15">
      <c r="B88" s="161" t="s">
        <v>54</v>
      </c>
      <c r="C88" s="162"/>
      <c r="D88" s="98" t="s">
        <v>55</v>
      </c>
      <c r="E88" s="98"/>
      <c r="F88" s="98"/>
      <c r="G88" s="98"/>
      <c r="H88" s="98"/>
      <c r="I88" s="98"/>
      <c r="J88" s="98"/>
      <c r="K88" s="98"/>
      <c r="L88" s="98"/>
      <c r="M88" s="98"/>
      <c r="N88" s="98"/>
      <c r="O88" s="98"/>
      <c r="P88" s="98"/>
      <c r="Q88" s="98"/>
      <c r="R88" s="98"/>
      <c r="S88" s="97"/>
    </row>
    <row r="89" spans="1:19" ht="169.9" customHeight="1" x14ac:dyDescent="0.15">
      <c r="B89" s="155" t="s">
        <v>61</v>
      </c>
      <c r="C89" s="28" t="s">
        <v>56</v>
      </c>
      <c r="D89" s="158" t="s">
        <v>179</v>
      </c>
      <c r="E89" s="159"/>
      <c r="F89" s="159"/>
      <c r="G89" s="159"/>
      <c r="H89" s="159"/>
      <c r="I89" s="159"/>
      <c r="J89" s="159"/>
      <c r="K89" s="159"/>
      <c r="L89" s="159"/>
      <c r="M89" s="159"/>
      <c r="N89" s="159"/>
      <c r="O89" s="159"/>
      <c r="P89" s="159"/>
      <c r="Q89" s="159"/>
      <c r="R89" s="159"/>
      <c r="S89" s="160"/>
    </row>
    <row r="90" spans="1:19" ht="130.15" customHeight="1" x14ac:dyDescent="0.15">
      <c r="B90" s="157"/>
      <c r="C90" s="29" t="s">
        <v>77</v>
      </c>
      <c r="D90" s="143" t="s">
        <v>181</v>
      </c>
      <c r="E90" s="144"/>
      <c r="F90" s="144"/>
      <c r="G90" s="144"/>
      <c r="H90" s="144"/>
      <c r="I90" s="144"/>
      <c r="J90" s="144"/>
      <c r="K90" s="144"/>
      <c r="L90" s="144"/>
      <c r="M90" s="144"/>
      <c r="N90" s="144"/>
      <c r="O90" s="144"/>
      <c r="P90" s="144"/>
      <c r="Q90" s="144"/>
      <c r="R90" s="144"/>
      <c r="S90" s="145"/>
    </row>
    <row r="91" spans="1:19" ht="91.9" customHeight="1" x14ac:dyDescent="0.15">
      <c r="B91" s="155" t="s">
        <v>62</v>
      </c>
      <c r="C91" s="30" t="s">
        <v>71</v>
      </c>
      <c r="D91" s="146" t="s">
        <v>180</v>
      </c>
      <c r="E91" s="147"/>
      <c r="F91" s="147"/>
      <c r="G91" s="147"/>
      <c r="H91" s="147"/>
      <c r="I91" s="147"/>
      <c r="J91" s="147"/>
      <c r="K91" s="147"/>
      <c r="L91" s="147"/>
      <c r="M91" s="147"/>
      <c r="N91" s="147"/>
      <c r="O91" s="147"/>
      <c r="P91" s="147"/>
      <c r="Q91" s="147"/>
      <c r="R91" s="147"/>
      <c r="S91" s="148"/>
    </row>
    <row r="92" spans="1:19" ht="142.9" customHeight="1" x14ac:dyDescent="0.15">
      <c r="B92" s="156"/>
      <c r="C92" s="31" t="s">
        <v>72</v>
      </c>
      <c r="D92" s="149" t="s">
        <v>185</v>
      </c>
      <c r="E92" s="150"/>
      <c r="F92" s="150"/>
      <c r="G92" s="150"/>
      <c r="H92" s="150"/>
      <c r="I92" s="150"/>
      <c r="J92" s="150"/>
      <c r="K92" s="150"/>
      <c r="L92" s="150"/>
      <c r="M92" s="150"/>
      <c r="N92" s="150"/>
      <c r="O92" s="150"/>
      <c r="P92" s="150"/>
      <c r="Q92" s="150"/>
      <c r="R92" s="150"/>
      <c r="S92" s="151"/>
    </row>
    <row r="93" spans="1:19" ht="178.9" customHeight="1" x14ac:dyDescent="0.15">
      <c r="B93" s="155" t="s">
        <v>63</v>
      </c>
      <c r="C93" s="30" t="s">
        <v>73</v>
      </c>
      <c r="D93" s="146" t="s">
        <v>182</v>
      </c>
      <c r="E93" s="147"/>
      <c r="F93" s="147"/>
      <c r="G93" s="147"/>
      <c r="H93" s="147"/>
      <c r="I93" s="147"/>
      <c r="J93" s="147"/>
      <c r="K93" s="147"/>
      <c r="L93" s="147"/>
      <c r="M93" s="147"/>
      <c r="N93" s="147"/>
      <c r="O93" s="147"/>
      <c r="P93" s="147"/>
      <c r="Q93" s="147"/>
      <c r="R93" s="147"/>
      <c r="S93" s="148"/>
    </row>
    <row r="94" spans="1:19" s="94" customFormat="1" ht="150" customHeight="1" x14ac:dyDescent="0.15">
      <c r="B94" s="156"/>
      <c r="C94" s="32" t="s">
        <v>74</v>
      </c>
      <c r="D94" s="266" t="s">
        <v>186</v>
      </c>
      <c r="E94" s="267"/>
      <c r="F94" s="267"/>
      <c r="G94" s="267"/>
      <c r="H94" s="267"/>
      <c r="I94" s="267"/>
      <c r="J94" s="267"/>
      <c r="K94" s="267"/>
      <c r="L94" s="267"/>
      <c r="M94" s="267"/>
      <c r="N94" s="267"/>
      <c r="O94" s="267"/>
      <c r="P94" s="267"/>
      <c r="Q94" s="267"/>
      <c r="R94" s="267"/>
      <c r="S94" s="268"/>
    </row>
    <row r="95" spans="1:19" ht="141" customHeight="1" x14ac:dyDescent="0.15">
      <c r="B95" s="155" t="s">
        <v>78</v>
      </c>
      <c r="C95" s="28" t="s">
        <v>58</v>
      </c>
      <c r="D95" s="158" t="s">
        <v>183</v>
      </c>
      <c r="E95" s="159"/>
      <c r="F95" s="159"/>
      <c r="G95" s="159"/>
      <c r="H95" s="159"/>
      <c r="I95" s="159"/>
      <c r="J95" s="159"/>
      <c r="K95" s="159"/>
      <c r="L95" s="159"/>
      <c r="M95" s="159"/>
      <c r="N95" s="159"/>
      <c r="O95" s="159"/>
      <c r="P95" s="159"/>
      <c r="Q95" s="159"/>
      <c r="R95" s="159"/>
      <c r="S95" s="160"/>
    </row>
    <row r="96" spans="1:19" ht="163.9" customHeight="1" x14ac:dyDescent="0.15">
      <c r="B96" s="156"/>
      <c r="C96" s="31" t="s">
        <v>60</v>
      </c>
      <c r="D96" s="149" t="s">
        <v>184</v>
      </c>
      <c r="E96" s="150"/>
      <c r="F96" s="150"/>
      <c r="G96" s="150"/>
      <c r="H96" s="150"/>
      <c r="I96" s="150"/>
      <c r="J96" s="150"/>
      <c r="K96" s="150"/>
      <c r="L96" s="150"/>
      <c r="M96" s="150"/>
      <c r="N96" s="150"/>
      <c r="O96" s="150"/>
      <c r="P96" s="150"/>
      <c r="Q96" s="150"/>
      <c r="R96" s="150"/>
      <c r="S96" s="151"/>
    </row>
    <row r="97" spans="1:19" s="94" customFormat="1" ht="97.5" customHeight="1" x14ac:dyDescent="0.15">
      <c r="B97" s="155" t="s">
        <v>79</v>
      </c>
      <c r="C97" s="30" t="s">
        <v>57</v>
      </c>
      <c r="D97" s="269" t="s">
        <v>187</v>
      </c>
      <c r="E97" s="270"/>
      <c r="F97" s="270"/>
      <c r="G97" s="270"/>
      <c r="H97" s="270"/>
      <c r="I97" s="270"/>
      <c r="J97" s="270"/>
      <c r="K97" s="270"/>
      <c r="L97" s="270"/>
      <c r="M97" s="270"/>
      <c r="N97" s="270"/>
      <c r="O97" s="270"/>
      <c r="P97" s="270"/>
      <c r="Q97" s="270"/>
      <c r="R97" s="270"/>
      <c r="S97" s="271"/>
    </row>
    <row r="98" spans="1:19" s="94" customFormat="1" ht="109.5" customHeight="1" x14ac:dyDescent="0.15">
      <c r="B98" s="157"/>
      <c r="C98" s="33" t="s">
        <v>75</v>
      </c>
      <c r="D98" s="272" t="s">
        <v>188</v>
      </c>
      <c r="E98" s="273"/>
      <c r="F98" s="273"/>
      <c r="G98" s="273"/>
      <c r="H98" s="273"/>
      <c r="I98" s="273"/>
      <c r="J98" s="273"/>
      <c r="K98" s="273"/>
      <c r="L98" s="273"/>
      <c r="M98" s="273"/>
      <c r="N98" s="273"/>
      <c r="O98" s="273"/>
      <c r="P98" s="273"/>
      <c r="Q98" s="273"/>
      <c r="R98" s="273"/>
      <c r="S98" s="274"/>
    </row>
    <row r="99" spans="1:19" s="94" customFormat="1" ht="106.5" customHeight="1" x14ac:dyDescent="0.15">
      <c r="B99" s="156"/>
      <c r="C99" s="32" t="s">
        <v>76</v>
      </c>
      <c r="D99" s="275" t="s">
        <v>189</v>
      </c>
      <c r="E99" s="276"/>
      <c r="F99" s="276"/>
      <c r="G99" s="276"/>
      <c r="H99" s="276"/>
      <c r="I99" s="276"/>
      <c r="J99" s="276"/>
      <c r="K99" s="276"/>
      <c r="L99" s="276"/>
      <c r="M99" s="276"/>
      <c r="N99" s="276"/>
      <c r="O99" s="276"/>
      <c r="P99" s="276"/>
      <c r="Q99" s="276"/>
      <c r="R99" s="276"/>
      <c r="S99" s="277"/>
    </row>
    <row r="100" spans="1:19" ht="6" customHeight="1" x14ac:dyDescent="0.15"/>
    <row r="101" spans="1:19" ht="18.75" customHeight="1" x14ac:dyDescent="0.15">
      <c r="A101" s="1" t="s">
        <v>120</v>
      </c>
    </row>
    <row r="102" spans="1:19" ht="81.75" customHeight="1" x14ac:dyDescent="0.15">
      <c r="B102" s="134" t="s">
        <v>157</v>
      </c>
      <c r="C102" s="135"/>
      <c r="D102" s="135"/>
      <c r="E102" s="135"/>
      <c r="F102" s="135"/>
      <c r="G102" s="135"/>
      <c r="H102" s="135"/>
      <c r="I102" s="135"/>
      <c r="J102" s="135"/>
      <c r="K102" s="135"/>
      <c r="L102" s="135"/>
      <c r="M102" s="135"/>
      <c r="N102" s="135"/>
      <c r="O102" s="135"/>
      <c r="P102" s="135"/>
      <c r="Q102" s="135"/>
      <c r="R102" s="135"/>
      <c r="S102" s="136"/>
    </row>
    <row r="110" spans="1:19" ht="18" customHeight="1" x14ac:dyDescent="0.15"/>
  </sheetData>
  <mergeCells count="145">
    <mergeCell ref="D97:S97"/>
    <mergeCell ref="D98:S98"/>
    <mergeCell ref="D99:S99"/>
    <mergeCell ref="B13:S18"/>
    <mergeCell ref="C20:D20"/>
    <mergeCell ref="K20:S20"/>
    <mergeCell ref="A22:S23"/>
    <mergeCell ref="B24:E24"/>
    <mergeCell ref="J24:O24"/>
    <mergeCell ref="B30:E30"/>
    <mergeCell ref="J30:O30"/>
    <mergeCell ref="B37:E37"/>
    <mergeCell ref="J37:O37"/>
    <mergeCell ref="B38:E38"/>
    <mergeCell ref="J38:O38"/>
    <mergeCell ref="B39:E39"/>
    <mergeCell ref="J39:O39"/>
    <mergeCell ref="B31:E31"/>
    <mergeCell ref="J31:O31"/>
    <mergeCell ref="A33:S34"/>
    <mergeCell ref="B35:E35"/>
    <mergeCell ref="J35:O35"/>
    <mergeCell ref="B36:E36"/>
    <mergeCell ref="J36:O36"/>
    <mergeCell ref="R1:S1"/>
    <mergeCell ref="A5:S5"/>
    <mergeCell ref="K7:S7"/>
    <mergeCell ref="B9:S10"/>
    <mergeCell ref="C2:J2"/>
    <mergeCell ref="C3:J3"/>
    <mergeCell ref="B28:E28"/>
    <mergeCell ref="J28:O28"/>
    <mergeCell ref="B29:E29"/>
    <mergeCell ref="J29:O29"/>
    <mergeCell ref="B25:E25"/>
    <mergeCell ref="J25:O25"/>
    <mergeCell ref="B26:E26"/>
    <mergeCell ref="J26:O26"/>
    <mergeCell ref="B27:E27"/>
    <mergeCell ref="J27:O27"/>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9:B90"/>
    <mergeCell ref="D89:S89"/>
    <mergeCell ref="D90:S90"/>
    <mergeCell ref="B91:B92"/>
    <mergeCell ref="D91:S91"/>
    <mergeCell ref="D92:S92"/>
    <mergeCell ref="B102:S102"/>
    <mergeCell ref="B84:E84"/>
    <mergeCell ref="F84:I84"/>
    <mergeCell ref="J84:O84"/>
    <mergeCell ref="P84:S84"/>
    <mergeCell ref="B85:E85"/>
    <mergeCell ref="F85:I85"/>
    <mergeCell ref="J85:O85"/>
    <mergeCell ref="P85:S85"/>
    <mergeCell ref="B88:C88"/>
    <mergeCell ref="D88:S88"/>
    <mergeCell ref="B93:B94"/>
    <mergeCell ref="D93:S93"/>
    <mergeCell ref="D94:S94"/>
    <mergeCell ref="B95:B96"/>
    <mergeCell ref="D95:S95"/>
    <mergeCell ref="D96:S96"/>
    <mergeCell ref="B97:B99"/>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221907CA-AC04-4E07-A144-41A11972DF84}">
      <formula1>$V$14:$V$16</formula1>
    </dataValidation>
    <dataValidation type="list" allowBlank="1" showInputMessage="1" showErrorMessage="1" sqref="P79:P86 G83:I86 G79:I80 Q83:S86 Q79:S80 F79:F86" xr:uid="{3639F901-833D-4217-B76D-AD77787DA70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1BBDEB9F-E4CC-4F44-96B1-C8C34CDF63FE}">
      <formula1>"学部・学科によって、修了要件は相違する,学部・学科によって、修了要件は相違しない"</formula1>
    </dataValidation>
    <dataValidation type="list" allowBlank="1" showInputMessage="1" showErrorMessage="1" sqref="S32 S43 D32:G32 D43:G43" xr:uid="{BDEDBB79-3EBF-4586-82BE-41514BE9A73C}">
      <formula1>"全学開講,一部開講"</formula1>
    </dataValidation>
    <dataValidation type="list" allowBlank="1" showInputMessage="1" showErrorMessage="1" sqref="G25:I31 Q25:S31 P69:S75 Q36:S42 G47:I53 Q47:S53 G36:I42 Q58:S64 F69:I75 G58:I64" xr:uid="{DC7AA9D9-1B2E-437B-A9CC-B8CF1A6E6858}">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1" manualBreakCount="1">
    <brk id="65"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L12" sqref="L12"/>
    </sheetView>
  </sheetViews>
  <sheetFormatPr defaultColWidth="9" defaultRowHeight="18.75" customHeight="1" x14ac:dyDescent="0.15"/>
  <cols>
    <col min="1" max="1" width="2.625" style="1" customWidth="1"/>
    <col min="2" max="2" width="20.625" style="1" customWidth="1"/>
    <col min="3" max="5" width="6.125" style="1" customWidth="1"/>
    <col min="6" max="42" width="4.625" style="1" customWidth="1"/>
    <col min="43" max="43" width="6.625" style="1" customWidth="1"/>
    <col min="44" max="16384" width="9" style="1"/>
  </cols>
  <sheetData>
    <row r="1" spans="1:45" ht="18" customHeight="1" x14ac:dyDescent="0.15">
      <c r="AQ1" s="1" t="s">
        <v>106</v>
      </c>
    </row>
    <row r="2" spans="1:45" ht="18" customHeight="1" x14ac:dyDescent="0.15">
      <c r="K2" s="35"/>
      <c r="Q2" s="35"/>
      <c r="W2" s="35"/>
      <c r="AC2" s="35"/>
      <c r="AI2" s="35"/>
      <c r="AL2" s="35" t="s">
        <v>108</v>
      </c>
      <c r="AM2" s="170" t="str">
        <f>'様式１−１　プログラムを構成する授業科目'!C2</f>
        <v>茨城キリスト教大学</v>
      </c>
      <c r="AN2" s="170"/>
      <c r="AO2" s="170"/>
      <c r="AP2" s="170"/>
      <c r="AQ2" s="170"/>
    </row>
    <row r="3" spans="1:45" ht="18" customHeight="1" x14ac:dyDescent="0.15">
      <c r="A3" s="112" t="s">
        <v>47</v>
      </c>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131" t="s">
        <v>159</v>
      </c>
      <c r="D5" s="133"/>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1" t="s">
        <v>44</v>
      </c>
      <c r="C9" s="186" t="s">
        <v>86</v>
      </c>
      <c r="D9" s="174" t="s">
        <v>46</v>
      </c>
      <c r="E9" s="177" t="s">
        <v>39</v>
      </c>
      <c r="F9" s="169" t="s">
        <v>85</v>
      </c>
      <c r="G9" s="169"/>
      <c r="H9" s="169"/>
      <c r="I9" s="169"/>
      <c r="J9" s="169"/>
      <c r="K9" s="169"/>
      <c r="L9" s="169" t="s">
        <v>48</v>
      </c>
      <c r="M9" s="169"/>
      <c r="N9" s="169"/>
      <c r="O9" s="169"/>
      <c r="P9" s="169"/>
      <c r="Q9" s="169"/>
      <c r="R9" s="169" t="s">
        <v>49</v>
      </c>
      <c r="S9" s="169"/>
      <c r="T9" s="169"/>
      <c r="U9" s="169"/>
      <c r="V9" s="169"/>
      <c r="W9" s="169"/>
      <c r="X9" s="169" t="s">
        <v>100</v>
      </c>
      <c r="Y9" s="169"/>
      <c r="Z9" s="169"/>
      <c r="AA9" s="169"/>
      <c r="AB9" s="169"/>
      <c r="AC9" s="169"/>
      <c r="AD9" s="169" t="s">
        <v>50</v>
      </c>
      <c r="AE9" s="169"/>
      <c r="AF9" s="169"/>
      <c r="AG9" s="169"/>
      <c r="AH9" s="169"/>
      <c r="AI9" s="169"/>
      <c r="AJ9" s="169" t="s">
        <v>51</v>
      </c>
      <c r="AK9" s="169"/>
      <c r="AL9" s="169"/>
      <c r="AM9" s="169"/>
      <c r="AN9" s="169"/>
      <c r="AO9" s="169"/>
      <c r="AP9" s="180" t="s">
        <v>34</v>
      </c>
      <c r="AQ9" s="183" t="s">
        <v>31</v>
      </c>
      <c r="AS9" s="2"/>
    </row>
    <row r="10" spans="1:45" ht="16.899999999999999" customHeight="1" x14ac:dyDescent="0.15">
      <c r="B10" s="172"/>
      <c r="C10" s="187"/>
      <c r="D10" s="175"/>
      <c r="E10" s="178"/>
      <c r="F10" s="167" t="s">
        <v>96</v>
      </c>
      <c r="G10" s="168"/>
      <c r="H10" s="168"/>
      <c r="I10" s="167" t="s">
        <v>28</v>
      </c>
      <c r="J10" s="168"/>
      <c r="K10" s="168"/>
      <c r="L10" s="167" t="s">
        <v>96</v>
      </c>
      <c r="M10" s="168"/>
      <c r="N10" s="168"/>
      <c r="O10" s="167" t="s">
        <v>28</v>
      </c>
      <c r="P10" s="168"/>
      <c r="Q10" s="168"/>
      <c r="R10" s="167" t="s">
        <v>96</v>
      </c>
      <c r="S10" s="168"/>
      <c r="T10" s="168"/>
      <c r="U10" s="167" t="s">
        <v>28</v>
      </c>
      <c r="V10" s="168"/>
      <c r="W10" s="168"/>
      <c r="X10" s="167" t="s">
        <v>96</v>
      </c>
      <c r="Y10" s="168"/>
      <c r="Z10" s="168"/>
      <c r="AA10" s="167" t="s">
        <v>28</v>
      </c>
      <c r="AB10" s="168"/>
      <c r="AC10" s="168"/>
      <c r="AD10" s="167" t="s">
        <v>96</v>
      </c>
      <c r="AE10" s="168"/>
      <c r="AF10" s="168"/>
      <c r="AG10" s="167" t="s">
        <v>28</v>
      </c>
      <c r="AH10" s="168"/>
      <c r="AI10" s="168"/>
      <c r="AJ10" s="167" t="s">
        <v>96</v>
      </c>
      <c r="AK10" s="168"/>
      <c r="AL10" s="168"/>
      <c r="AM10" s="167" t="s">
        <v>28</v>
      </c>
      <c r="AN10" s="168"/>
      <c r="AO10" s="168"/>
      <c r="AP10" s="181"/>
      <c r="AQ10" s="184"/>
      <c r="AS10" s="2"/>
    </row>
    <row r="11" spans="1:45" ht="18" customHeight="1" x14ac:dyDescent="0.15">
      <c r="B11" s="173"/>
      <c r="C11" s="188"/>
      <c r="D11" s="176"/>
      <c r="E11" s="179"/>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82"/>
      <c r="AQ11" s="185"/>
      <c r="AS11" s="2"/>
    </row>
    <row r="12" spans="1:45" ht="18" customHeight="1" x14ac:dyDescent="0.15">
      <c r="A12" s="6"/>
      <c r="B12" s="11" t="s">
        <v>160</v>
      </c>
      <c r="C12" s="60">
        <v>1126</v>
      </c>
      <c r="D12" s="89">
        <v>270</v>
      </c>
      <c r="E12" s="90">
        <v>1160</v>
      </c>
      <c r="F12" s="62">
        <v>8</v>
      </c>
      <c r="G12" s="80"/>
      <c r="H12" s="81"/>
      <c r="I12" s="62">
        <f>J12+K12</f>
        <v>0</v>
      </c>
      <c r="J12" s="80"/>
      <c r="K12" s="81"/>
      <c r="L12" s="62">
        <v>0</v>
      </c>
      <c r="M12" s="80"/>
      <c r="N12" s="81"/>
      <c r="O12" s="62">
        <f>P12+Q12</f>
        <v>0</v>
      </c>
      <c r="P12" s="80"/>
      <c r="Q12" s="81"/>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8</v>
      </c>
      <c r="AQ12" s="21">
        <f t="shared" ref="AQ12:AQ32" si="0">AP12/E12</f>
        <v>6.8965517241379309E-3</v>
      </c>
    </row>
    <row r="13" spans="1:45" ht="18" customHeight="1" x14ac:dyDescent="0.15">
      <c r="A13" s="6"/>
      <c r="B13" s="12" t="s">
        <v>161</v>
      </c>
      <c r="C13" s="65">
        <v>620</v>
      </c>
      <c r="D13" s="91">
        <v>140</v>
      </c>
      <c r="E13" s="92">
        <v>570</v>
      </c>
      <c r="F13" s="68">
        <v>21</v>
      </c>
      <c r="G13" s="82"/>
      <c r="H13" s="83"/>
      <c r="I13" s="68">
        <v>5</v>
      </c>
      <c r="J13" s="82"/>
      <c r="K13" s="83"/>
      <c r="L13" s="68">
        <f t="shared" ref="L13:L15" si="1">M13+N13</f>
        <v>0</v>
      </c>
      <c r="M13" s="82"/>
      <c r="N13" s="83"/>
      <c r="O13" s="68">
        <f t="shared" ref="O13:O15" si="2">P13+Q13</f>
        <v>0</v>
      </c>
      <c r="P13" s="82"/>
      <c r="Q13" s="83"/>
      <c r="R13" s="68">
        <f t="shared" ref="R13:R31" si="3">S13+T13</f>
        <v>0</v>
      </c>
      <c r="S13" s="69"/>
      <c r="T13" s="70"/>
      <c r="U13" s="68">
        <f t="shared" ref="U13:U31" si="4">V13+W13</f>
        <v>0</v>
      </c>
      <c r="V13" s="69"/>
      <c r="W13" s="70"/>
      <c r="X13" s="68">
        <f t="shared" ref="X13:X31" si="5">Y13+Z13</f>
        <v>0</v>
      </c>
      <c r="Y13" s="69"/>
      <c r="Z13" s="70"/>
      <c r="AA13" s="68">
        <f t="shared" ref="AA13:AA31" si="6">AB13+AC13</f>
        <v>0</v>
      </c>
      <c r="AB13" s="69"/>
      <c r="AC13" s="70"/>
      <c r="AD13" s="68">
        <f t="shared" ref="AD13:AD31" si="7">AE13+AF13</f>
        <v>0</v>
      </c>
      <c r="AE13" s="69"/>
      <c r="AF13" s="70"/>
      <c r="AG13" s="68">
        <f t="shared" ref="AG13:AG31" si="8">AH13+AI13</f>
        <v>0</v>
      </c>
      <c r="AH13" s="69"/>
      <c r="AI13" s="70"/>
      <c r="AJ13" s="68">
        <f t="shared" ref="AJ13:AJ31" si="9">AK13+AL13</f>
        <v>0</v>
      </c>
      <c r="AK13" s="69"/>
      <c r="AL13" s="70"/>
      <c r="AM13" s="68">
        <f t="shared" ref="AM13:AM31" si="10">AN13+AO13</f>
        <v>0</v>
      </c>
      <c r="AN13" s="69"/>
      <c r="AO13" s="70"/>
      <c r="AP13" s="66">
        <f t="shared" ref="AP13:AP31" si="11">F13+L13+R13+X13+AD13+AJ13</f>
        <v>21</v>
      </c>
      <c r="AQ13" s="20">
        <f t="shared" si="0"/>
        <v>3.6842105263157891E-2</v>
      </c>
    </row>
    <row r="14" spans="1:45" ht="18" customHeight="1" x14ac:dyDescent="0.15">
      <c r="A14" s="6"/>
      <c r="B14" s="12" t="s">
        <v>162</v>
      </c>
      <c r="C14" s="65">
        <v>363</v>
      </c>
      <c r="D14" s="91">
        <v>80</v>
      </c>
      <c r="E14" s="92">
        <v>320</v>
      </c>
      <c r="F14" s="68">
        <f t="shared" ref="F14" si="12">G14+H14</f>
        <v>0</v>
      </c>
      <c r="G14" s="82"/>
      <c r="H14" s="83"/>
      <c r="I14" s="68">
        <f t="shared" ref="I14" si="13">J14+K14</f>
        <v>0</v>
      </c>
      <c r="J14" s="82"/>
      <c r="K14" s="83"/>
      <c r="L14" s="68">
        <f t="shared" si="1"/>
        <v>0</v>
      </c>
      <c r="M14" s="82"/>
      <c r="N14" s="83"/>
      <c r="O14" s="68">
        <f t="shared" si="2"/>
        <v>0</v>
      </c>
      <c r="P14" s="82"/>
      <c r="Q14" s="83"/>
      <c r="R14" s="68">
        <f t="shared" si="3"/>
        <v>0</v>
      </c>
      <c r="S14" s="69"/>
      <c r="T14" s="70"/>
      <c r="U14" s="68">
        <f t="shared" si="4"/>
        <v>0</v>
      </c>
      <c r="V14" s="69"/>
      <c r="W14" s="70"/>
      <c r="X14" s="68">
        <f t="shared" si="5"/>
        <v>0</v>
      </c>
      <c r="Y14" s="69"/>
      <c r="Z14" s="70"/>
      <c r="AA14" s="68">
        <f t="shared" si="6"/>
        <v>0</v>
      </c>
      <c r="AB14" s="69"/>
      <c r="AC14" s="70"/>
      <c r="AD14" s="68">
        <f t="shared" si="7"/>
        <v>0</v>
      </c>
      <c r="AE14" s="69"/>
      <c r="AF14" s="70"/>
      <c r="AG14" s="68">
        <f t="shared" si="8"/>
        <v>0</v>
      </c>
      <c r="AH14" s="69"/>
      <c r="AI14" s="70"/>
      <c r="AJ14" s="68">
        <f t="shared" si="9"/>
        <v>0</v>
      </c>
      <c r="AK14" s="69"/>
      <c r="AL14" s="70"/>
      <c r="AM14" s="68">
        <f t="shared" si="10"/>
        <v>0</v>
      </c>
      <c r="AN14" s="69"/>
      <c r="AO14" s="70"/>
      <c r="AP14" s="66">
        <f t="shared" si="11"/>
        <v>0</v>
      </c>
      <c r="AQ14" s="8">
        <f t="shared" si="0"/>
        <v>0</v>
      </c>
    </row>
    <row r="15" spans="1:45" ht="18" customHeight="1" x14ac:dyDescent="0.15">
      <c r="A15" s="6"/>
      <c r="B15" s="12" t="s">
        <v>163</v>
      </c>
      <c r="C15" s="65">
        <v>315</v>
      </c>
      <c r="D15" s="91">
        <v>60</v>
      </c>
      <c r="E15" s="92">
        <v>250</v>
      </c>
      <c r="F15" s="68">
        <v>94</v>
      </c>
      <c r="G15" s="82"/>
      <c r="H15" s="83"/>
      <c r="I15" s="68">
        <v>4</v>
      </c>
      <c r="J15" s="82"/>
      <c r="K15" s="83"/>
      <c r="L15" s="68">
        <f t="shared" si="1"/>
        <v>0</v>
      </c>
      <c r="M15" s="82"/>
      <c r="N15" s="83"/>
      <c r="O15" s="68">
        <f t="shared" si="2"/>
        <v>0</v>
      </c>
      <c r="P15" s="82"/>
      <c r="Q15" s="83"/>
      <c r="R15" s="68">
        <f t="shared" si="3"/>
        <v>0</v>
      </c>
      <c r="S15" s="69"/>
      <c r="T15" s="70"/>
      <c r="U15" s="68">
        <f t="shared" si="4"/>
        <v>0</v>
      </c>
      <c r="V15" s="69"/>
      <c r="W15" s="70"/>
      <c r="X15" s="68">
        <f t="shared" si="5"/>
        <v>0</v>
      </c>
      <c r="Y15" s="69"/>
      <c r="Z15" s="70"/>
      <c r="AA15" s="68">
        <f t="shared" si="6"/>
        <v>0</v>
      </c>
      <c r="AB15" s="69"/>
      <c r="AC15" s="70"/>
      <c r="AD15" s="68">
        <f t="shared" si="7"/>
        <v>0</v>
      </c>
      <c r="AE15" s="69"/>
      <c r="AF15" s="70"/>
      <c r="AG15" s="68">
        <f t="shared" si="8"/>
        <v>0</v>
      </c>
      <c r="AH15" s="69"/>
      <c r="AI15" s="70"/>
      <c r="AJ15" s="68">
        <f t="shared" si="9"/>
        <v>0</v>
      </c>
      <c r="AK15" s="69"/>
      <c r="AL15" s="70"/>
      <c r="AM15" s="68">
        <f t="shared" si="10"/>
        <v>0</v>
      </c>
      <c r="AN15" s="69"/>
      <c r="AO15" s="70"/>
      <c r="AP15" s="66">
        <f t="shared" si="11"/>
        <v>94</v>
      </c>
      <c r="AQ15" s="8">
        <f t="shared" si="0"/>
        <v>0.376</v>
      </c>
    </row>
    <row r="16" spans="1:45" ht="18" customHeight="1" x14ac:dyDescent="0.15">
      <c r="A16" s="6"/>
      <c r="B16" s="12"/>
      <c r="C16" s="65"/>
      <c r="D16" s="66"/>
      <c r="E16" s="67"/>
      <c r="F16" s="68">
        <f t="shared" ref="F16:F31" si="14">G16+H16</f>
        <v>0</v>
      </c>
      <c r="G16" s="69"/>
      <c r="H16" s="70"/>
      <c r="I16" s="68">
        <f t="shared" ref="I16:I31" si="15">J16+K16</f>
        <v>0</v>
      </c>
      <c r="J16" s="69"/>
      <c r="K16" s="70"/>
      <c r="L16" s="68">
        <f t="shared" ref="L16:L31" si="16">M16+N16</f>
        <v>0</v>
      </c>
      <c r="M16" s="69"/>
      <c r="N16" s="70"/>
      <c r="O16" s="68">
        <f t="shared" ref="O16:O31" si="17">P16+Q16</f>
        <v>0</v>
      </c>
      <c r="P16" s="69"/>
      <c r="Q16" s="70"/>
      <c r="R16" s="68">
        <f t="shared" si="3"/>
        <v>0</v>
      </c>
      <c r="S16" s="69"/>
      <c r="T16" s="70"/>
      <c r="U16" s="68">
        <f t="shared" si="4"/>
        <v>0</v>
      </c>
      <c r="V16" s="69"/>
      <c r="W16" s="70"/>
      <c r="X16" s="68">
        <f t="shared" si="5"/>
        <v>0</v>
      </c>
      <c r="Y16" s="69"/>
      <c r="Z16" s="70"/>
      <c r="AA16" s="68">
        <f t="shared" si="6"/>
        <v>0</v>
      </c>
      <c r="AB16" s="69"/>
      <c r="AC16" s="70"/>
      <c r="AD16" s="68">
        <f t="shared" si="7"/>
        <v>0</v>
      </c>
      <c r="AE16" s="69"/>
      <c r="AF16" s="70"/>
      <c r="AG16" s="68">
        <f t="shared" si="8"/>
        <v>0</v>
      </c>
      <c r="AH16" s="69"/>
      <c r="AI16" s="70"/>
      <c r="AJ16" s="68">
        <f t="shared" si="9"/>
        <v>0</v>
      </c>
      <c r="AK16" s="69"/>
      <c r="AL16" s="70"/>
      <c r="AM16" s="68">
        <f t="shared" si="10"/>
        <v>0</v>
      </c>
      <c r="AN16" s="69"/>
      <c r="AO16" s="70"/>
      <c r="AP16" s="66">
        <f t="shared" si="11"/>
        <v>0</v>
      </c>
      <c r="AQ16" s="8" t="e">
        <f t="shared" si="0"/>
        <v>#DIV/0!</v>
      </c>
    </row>
    <row r="17" spans="1:43" ht="18" customHeight="1" x14ac:dyDescent="0.15">
      <c r="A17" s="6"/>
      <c r="B17" s="12"/>
      <c r="C17" s="65"/>
      <c r="D17" s="66"/>
      <c r="E17" s="67"/>
      <c r="F17" s="68">
        <f t="shared" si="14"/>
        <v>0</v>
      </c>
      <c r="G17" s="69"/>
      <c r="H17" s="70"/>
      <c r="I17" s="68">
        <f t="shared" si="15"/>
        <v>0</v>
      </c>
      <c r="J17" s="69"/>
      <c r="K17" s="70"/>
      <c r="L17" s="68">
        <f t="shared" si="16"/>
        <v>0</v>
      </c>
      <c r="M17" s="69"/>
      <c r="N17" s="70"/>
      <c r="O17" s="68">
        <f t="shared" si="17"/>
        <v>0</v>
      </c>
      <c r="P17" s="69"/>
      <c r="Q17" s="70"/>
      <c r="R17" s="68">
        <f t="shared" si="3"/>
        <v>0</v>
      </c>
      <c r="S17" s="69"/>
      <c r="T17" s="70"/>
      <c r="U17" s="68">
        <f t="shared" si="4"/>
        <v>0</v>
      </c>
      <c r="V17" s="69"/>
      <c r="W17" s="70"/>
      <c r="X17" s="68">
        <f t="shared" si="5"/>
        <v>0</v>
      </c>
      <c r="Y17" s="69"/>
      <c r="Z17" s="70"/>
      <c r="AA17" s="68">
        <f t="shared" si="6"/>
        <v>0</v>
      </c>
      <c r="AB17" s="69"/>
      <c r="AC17" s="70"/>
      <c r="AD17" s="68">
        <f t="shared" si="7"/>
        <v>0</v>
      </c>
      <c r="AE17" s="69"/>
      <c r="AF17" s="70"/>
      <c r="AG17" s="68">
        <f t="shared" si="8"/>
        <v>0</v>
      </c>
      <c r="AH17" s="69"/>
      <c r="AI17" s="70"/>
      <c r="AJ17" s="68">
        <f t="shared" si="9"/>
        <v>0</v>
      </c>
      <c r="AK17" s="69"/>
      <c r="AL17" s="70"/>
      <c r="AM17" s="68">
        <f t="shared" si="10"/>
        <v>0</v>
      </c>
      <c r="AN17" s="69"/>
      <c r="AO17" s="70"/>
      <c r="AP17" s="66">
        <f t="shared" si="11"/>
        <v>0</v>
      </c>
      <c r="AQ17" s="8" t="e">
        <f t="shared" si="0"/>
        <v>#DIV/0!</v>
      </c>
    </row>
    <row r="18" spans="1:43" ht="18" customHeight="1" x14ac:dyDescent="0.15">
      <c r="A18" s="6"/>
      <c r="B18" s="12"/>
      <c r="C18" s="65"/>
      <c r="D18" s="66"/>
      <c r="E18" s="67"/>
      <c r="F18" s="68">
        <f t="shared" si="14"/>
        <v>0</v>
      </c>
      <c r="G18" s="69"/>
      <c r="H18" s="70"/>
      <c r="I18" s="68">
        <f t="shared" si="15"/>
        <v>0</v>
      </c>
      <c r="J18" s="69"/>
      <c r="K18" s="70"/>
      <c r="L18" s="68">
        <f t="shared" si="16"/>
        <v>0</v>
      </c>
      <c r="M18" s="69"/>
      <c r="N18" s="70"/>
      <c r="O18" s="68">
        <f t="shared" si="17"/>
        <v>0</v>
      </c>
      <c r="P18" s="69"/>
      <c r="Q18" s="70"/>
      <c r="R18" s="68">
        <f t="shared" si="3"/>
        <v>0</v>
      </c>
      <c r="S18" s="69"/>
      <c r="T18" s="70"/>
      <c r="U18" s="68">
        <f t="shared" si="4"/>
        <v>0</v>
      </c>
      <c r="V18" s="69"/>
      <c r="W18" s="70"/>
      <c r="X18" s="68">
        <f t="shared" si="5"/>
        <v>0</v>
      </c>
      <c r="Y18" s="69"/>
      <c r="Z18" s="70"/>
      <c r="AA18" s="68">
        <f t="shared" si="6"/>
        <v>0</v>
      </c>
      <c r="AB18" s="69"/>
      <c r="AC18" s="70"/>
      <c r="AD18" s="68">
        <f t="shared" si="7"/>
        <v>0</v>
      </c>
      <c r="AE18" s="69"/>
      <c r="AF18" s="70"/>
      <c r="AG18" s="68">
        <f t="shared" si="8"/>
        <v>0</v>
      </c>
      <c r="AH18" s="69"/>
      <c r="AI18" s="70"/>
      <c r="AJ18" s="68">
        <f t="shared" si="9"/>
        <v>0</v>
      </c>
      <c r="AK18" s="69"/>
      <c r="AL18" s="70"/>
      <c r="AM18" s="68">
        <f t="shared" si="10"/>
        <v>0</v>
      </c>
      <c r="AN18" s="69"/>
      <c r="AO18" s="70"/>
      <c r="AP18" s="66">
        <f t="shared" si="11"/>
        <v>0</v>
      </c>
      <c r="AQ18" s="8" t="e">
        <f t="shared" si="0"/>
        <v>#DIV/0!</v>
      </c>
    </row>
    <row r="19" spans="1:43" ht="18" customHeight="1" x14ac:dyDescent="0.15">
      <c r="A19" s="6"/>
      <c r="B19" s="12"/>
      <c r="C19" s="65"/>
      <c r="D19" s="66"/>
      <c r="E19" s="67"/>
      <c r="F19" s="68">
        <f t="shared" si="14"/>
        <v>0</v>
      </c>
      <c r="G19" s="69"/>
      <c r="H19" s="70"/>
      <c r="I19" s="68">
        <f t="shared" si="15"/>
        <v>0</v>
      </c>
      <c r="J19" s="69"/>
      <c r="K19" s="70"/>
      <c r="L19" s="68">
        <f t="shared" si="16"/>
        <v>0</v>
      </c>
      <c r="M19" s="69"/>
      <c r="N19" s="70"/>
      <c r="O19" s="68">
        <f t="shared" si="17"/>
        <v>0</v>
      </c>
      <c r="P19" s="69"/>
      <c r="Q19" s="70"/>
      <c r="R19" s="68">
        <f t="shared" si="3"/>
        <v>0</v>
      </c>
      <c r="S19" s="69"/>
      <c r="T19" s="70"/>
      <c r="U19" s="68">
        <f t="shared" si="4"/>
        <v>0</v>
      </c>
      <c r="V19" s="69"/>
      <c r="W19" s="70"/>
      <c r="X19" s="68">
        <f t="shared" si="5"/>
        <v>0</v>
      </c>
      <c r="Y19" s="69"/>
      <c r="Z19" s="70"/>
      <c r="AA19" s="68">
        <f t="shared" si="6"/>
        <v>0</v>
      </c>
      <c r="AB19" s="69"/>
      <c r="AC19" s="70"/>
      <c r="AD19" s="68">
        <f t="shared" si="7"/>
        <v>0</v>
      </c>
      <c r="AE19" s="69"/>
      <c r="AF19" s="70"/>
      <c r="AG19" s="68">
        <f t="shared" si="8"/>
        <v>0</v>
      </c>
      <c r="AH19" s="69"/>
      <c r="AI19" s="70"/>
      <c r="AJ19" s="68">
        <f t="shared" si="9"/>
        <v>0</v>
      </c>
      <c r="AK19" s="69"/>
      <c r="AL19" s="70"/>
      <c r="AM19" s="68">
        <f t="shared" si="10"/>
        <v>0</v>
      </c>
      <c r="AN19" s="69"/>
      <c r="AO19" s="70"/>
      <c r="AP19" s="66">
        <f t="shared" si="11"/>
        <v>0</v>
      </c>
      <c r="AQ19" s="8" t="e">
        <f t="shared" si="0"/>
        <v>#DIV/0!</v>
      </c>
    </row>
    <row r="20" spans="1:43" ht="18" customHeight="1" x14ac:dyDescent="0.15">
      <c r="A20" s="6"/>
      <c r="B20" s="12"/>
      <c r="C20" s="65"/>
      <c r="D20" s="66"/>
      <c r="E20" s="67"/>
      <c r="F20" s="68">
        <f t="shared" si="14"/>
        <v>0</v>
      </c>
      <c r="G20" s="69"/>
      <c r="H20" s="70"/>
      <c r="I20" s="68">
        <f t="shared" si="15"/>
        <v>0</v>
      </c>
      <c r="J20" s="69"/>
      <c r="K20" s="70"/>
      <c r="L20" s="68">
        <f t="shared" si="16"/>
        <v>0</v>
      </c>
      <c r="M20" s="69"/>
      <c r="N20" s="70"/>
      <c r="O20" s="68">
        <f t="shared" si="17"/>
        <v>0</v>
      </c>
      <c r="P20" s="69"/>
      <c r="Q20" s="70"/>
      <c r="R20" s="68">
        <f t="shared" si="3"/>
        <v>0</v>
      </c>
      <c r="S20" s="69"/>
      <c r="T20" s="70"/>
      <c r="U20" s="68">
        <f t="shared" si="4"/>
        <v>0</v>
      </c>
      <c r="V20" s="69"/>
      <c r="W20" s="70"/>
      <c r="X20" s="68">
        <f t="shared" si="5"/>
        <v>0</v>
      </c>
      <c r="Y20" s="69"/>
      <c r="Z20" s="70"/>
      <c r="AA20" s="68">
        <f t="shared" si="6"/>
        <v>0</v>
      </c>
      <c r="AB20" s="69"/>
      <c r="AC20" s="70"/>
      <c r="AD20" s="68">
        <f t="shared" si="7"/>
        <v>0</v>
      </c>
      <c r="AE20" s="69"/>
      <c r="AF20" s="70"/>
      <c r="AG20" s="68">
        <f t="shared" si="8"/>
        <v>0</v>
      </c>
      <c r="AH20" s="69"/>
      <c r="AI20" s="70"/>
      <c r="AJ20" s="68">
        <f t="shared" si="9"/>
        <v>0</v>
      </c>
      <c r="AK20" s="69"/>
      <c r="AL20" s="70"/>
      <c r="AM20" s="68">
        <f t="shared" si="10"/>
        <v>0</v>
      </c>
      <c r="AN20" s="69"/>
      <c r="AO20" s="70"/>
      <c r="AP20" s="66">
        <f t="shared" si="11"/>
        <v>0</v>
      </c>
      <c r="AQ20" s="8" t="e">
        <f t="shared" si="0"/>
        <v>#DIV/0!</v>
      </c>
    </row>
    <row r="21" spans="1:43" ht="18" customHeight="1" x14ac:dyDescent="0.15">
      <c r="A21" s="6"/>
      <c r="B21" s="12"/>
      <c r="C21" s="65"/>
      <c r="D21" s="66"/>
      <c r="E21" s="67"/>
      <c r="F21" s="68">
        <f t="shared" si="14"/>
        <v>0</v>
      </c>
      <c r="G21" s="69"/>
      <c r="H21" s="70"/>
      <c r="I21" s="68">
        <f t="shared" si="15"/>
        <v>0</v>
      </c>
      <c r="J21" s="69"/>
      <c r="K21" s="70"/>
      <c r="L21" s="68">
        <f t="shared" si="16"/>
        <v>0</v>
      </c>
      <c r="M21" s="69"/>
      <c r="N21" s="70"/>
      <c r="O21" s="68">
        <f t="shared" si="17"/>
        <v>0</v>
      </c>
      <c r="P21" s="69"/>
      <c r="Q21" s="70"/>
      <c r="R21" s="68">
        <f t="shared" si="3"/>
        <v>0</v>
      </c>
      <c r="S21" s="69"/>
      <c r="T21" s="70"/>
      <c r="U21" s="68">
        <f t="shared" si="4"/>
        <v>0</v>
      </c>
      <c r="V21" s="69"/>
      <c r="W21" s="70"/>
      <c r="X21" s="68">
        <f t="shared" si="5"/>
        <v>0</v>
      </c>
      <c r="Y21" s="69"/>
      <c r="Z21" s="70"/>
      <c r="AA21" s="68">
        <f t="shared" si="6"/>
        <v>0</v>
      </c>
      <c r="AB21" s="69"/>
      <c r="AC21" s="70"/>
      <c r="AD21" s="68">
        <f t="shared" si="7"/>
        <v>0</v>
      </c>
      <c r="AE21" s="69"/>
      <c r="AF21" s="70"/>
      <c r="AG21" s="68">
        <f t="shared" si="8"/>
        <v>0</v>
      </c>
      <c r="AH21" s="69"/>
      <c r="AI21" s="70"/>
      <c r="AJ21" s="68">
        <f t="shared" si="9"/>
        <v>0</v>
      </c>
      <c r="AK21" s="69"/>
      <c r="AL21" s="70"/>
      <c r="AM21" s="68">
        <f t="shared" si="10"/>
        <v>0</v>
      </c>
      <c r="AN21" s="69"/>
      <c r="AO21" s="70"/>
      <c r="AP21" s="66">
        <f t="shared" si="11"/>
        <v>0</v>
      </c>
      <c r="AQ21" s="8" t="e">
        <f t="shared" si="0"/>
        <v>#DIV/0!</v>
      </c>
    </row>
    <row r="22" spans="1:43" ht="18" customHeight="1" x14ac:dyDescent="0.15">
      <c r="A22" s="6"/>
      <c r="B22" s="12"/>
      <c r="C22" s="65"/>
      <c r="D22" s="66"/>
      <c r="E22" s="67"/>
      <c r="F22" s="68">
        <f t="shared" si="14"/>
        <v>0</v>
      </c>
      <c r="G22" s="69"/>
      <c r="H22" s="70"/>
      <c r="I22" s="68">
        <f t="shared" si="15"/>
        <v>0</v>
      </c>
      <c r="J22" s="69"/>
      <c r="K22" s="70"/>
      <c r="L22" s="68">
        <f t="shared" si="16"/>
        <v>0</v>
      </c>
      <c r="M22" s="69"/>
      <c r="N22" s="70"/>
      <c r="O22" s="68">
        <f t="shared" si="17"/>
        <v>0</v>
      </c>
      <c r="P22" s="69"/>
      <c r="Q22" s="70"/>
      <c r="R22" s="68">
        <f t="shared" si="3"/>
        <v>0</v>
      </c>
      <c r="S22" s="69"/>
      <c r="T22" s="70"/>
      <c r="U22" s="68">
        <f t="shared" si="4"/>
        <v>0</v>
      </c>
      <c r="V22" s="69"/>
      <c r="W22" s="70"/>
      <c r="X22" s="68">
        <f t="shared" si="5"/>
        <v>0</v>
      </c>
      <c r="Y22" s="69"/>
      <c r="Z22" s="70"/>
      <c r="AA22" s="68">
        <f t="shared" si="6"/>
        <v>0</v>
      </c>
      <c r="AB22" s="69"/>
      <c r="AC22" s="70"/>
      <c r="AD22" s="68">
        <f t="shared" si="7"/>
        <v>0</v>
      </c>
      <c r="AE22" s="69"/>
      <c r="AF22" s="70"/>
      <c r="AG22" s="68">
        <f t="shared" si="8"/>
        <v>0</v>
      </c>
      <c r="AH22" s="69"/>
      <c r="AI22" s="70"/>
      <c r="AJ22" s="68">
        <f t="shared" si="9"/>
        <v>0</v>
      </c>
      <c r="AK22" s="69"/>
      <c r="AL22" s="70"/>
      <c r="AM22" s="68">
        <f t="shared" si="10"/>
        <v>0</v>
      </c>
      <c r="AN22" s="69"/>
      <c r="AO22" s="70"/>
      <c r="AP22" s="66">
        <f t="shared" si="11"/>
        <v>0</v>
      </c>
      <c r="AQ22" s="8" t="e">
        <f t="shared" si="0"/>
        <v>#DIV/0!</v>
      </c>
    </row>
    <row r="23" spans="1:43" ht="18" customHeight="1" x14ac:dyDescent="0.15">
      <c r="A23" s="6"/>
      <c r="B23" s="12"/>
      <c r="C23" s="65"/>
      <c r="D23" s="66"/>
      <c r="E23" s="67"/>
      <c r="F23" s="68">
        <f t="shared" si="14"/>
        <v>0</v>
      </c>
      <c r="G23" s="69"/>
      <c r="H23" s="70"/>
      <c r="I23" s="68">
        <f t="shared" si="15"/>
        <v>0</v>
      </c>
      <c r="J23" s="69"/>
      <c r="K23" s="70"/>
      <c r="L23" s="68">
        <f t="shared" si="16"/>
        <v>0</v>
      </c>
      <c r="M23" s="69"/>
      <c r="N23" s="70"/>
      <c r="O23" s="68">
        <f t="shared" si="17"/>
        <v>0</v>
      </c>
      <c r="P23" s="69"/>
      <c r="Q23" s="70"/>
      <c r="R23" s="68">
        <f t="shared" si="3"/>
        <v>0</v>
      </c>
      <c r="S23" s="69"/>
      <c r="T23" s="70"/>
      <c r="U23" s="68">
        <f t="shared" si="4"/>
        <v>0</v>
      </c>
      <c r="V23" s="69"/>
      <c r="W23" s="70"/>
      <c r="X23" s="68">
        <f t="shared" si="5"/>
        <v>0</v>
      </c>
      <c r="Y23" s="69"/>
      <c r="Z23" s="70"/>
      <c r="AA23" s="68">
        <f t="shared" si="6"/>
        <v>0</v>
      </c>
      <c r="AB23" s="69"/>
      <c r="AC23" s="70"/>
      <c r="AD23" s="68">
        <f t="shared" si="7"/>
        <v>0</v>
      </c>
      <c r="AE23" s="69"/>
      <c r="AF23" s="70"/>
      <c r="AG23" s="68">
        <f t="shared" si="8"/>
        <v>0</v>
      </c>
      <c r="AH23" s="69"/>
      <c r="AI23" s="70"/>
      <c r="AJ23" s="68">
        <f t="shared" si="9"/>
        <v>0</v>
      </c>
      <c r="AK23" s="69"/>
      <c r="AL23" s="70"/>
      <c r="AM23" s="68">
        <f t="shared" si="10"/>
        <v>0</v>
      </c>
      <c r="AN23" s="69"/>
      <c r="AO23" s="70"/>
      <c r="AP23" s="66">
        <f t="shared" si="11"/>
        <v>0</v>
      </c>
      <c r="AQ23" s="8" t="e">
        <f t="shared" si="0"/>
        <v>#DIV/0!</v>
      </c>
    </row>
    <row r="24" spans="1:43" ht="18" customHeight="1" x14ac:dyDescent="0.15">
      <c r="A24" s="6"/>
      <c r="B24" s="12"/>
      <c r="C24" s="65"/>
      <c r="D24" s="66"/>
      <c r="E24" s="67"/>
      <c r="F24" s="68">
        <f t="shared" si="14"/>
        <v>0</v>
      </c>
      <c r="G24" s="69"/>
      <c r="H24" s="70"/>
      <c r="I24" s="68">
        <f t="shared" si="15"/>
        <v>0</v>
      </c>
      <c r="J24" s="69"/>
      <c r="K24" s="70"/>
      <c r="L24" s="68">
        <f t="shared" si="16"/>
        <v>0</v>
      </c>
      <c r="M24" s="69"/>
      <c r="N24" s="70"/>
      <c r="O24" s="68">
        <f t="shared" si="17"/>
        <v>0</v>
      </c>
      <c r="P24" s="69"/>
      <c r="Q24" s="70"/>
      <c r="R24" s="68">
        <f t="shared" si="3"/>
        <v>0</v>
      </c>
      <c r="S24" s="69"/>
      <c r="T24" s="70"/>
      <c r="U24" s="68">
        <f t="shared" si="4"/>
        <v>0</v>
      </c>
      <c r="V24" s="69"/>
      <c r="W24" s="70"/>
      <c r="X24" s="68">
        <f t="shared" si="5"/>
        <v>0</v>
      </c>
      <c r="Y24" s="69"/>
      <c r="Z24" s="70"/>
      <c r="AA24" s="68">
        <f t="shared" si="6"/>
        <v>0</v>
      </c>
      <c r="AB24" s="69"/>
      <c r="AC24" s="70"/>
      <c r="AD24" s="68">
        <f t="shared" si="7"/>
        <v>0</v>
      </c>
      <c r="AE24" s="69"/>
      <c r="AF24" s="70"/>
      <c r="AG24" s="68">
        <f t="shared" si="8"/>
        <v>0</v>
      </c>
      <c r="AH24" s="69"/>
      <c r="AI24" s="70"/>
      <c r="AJ24" s="68">
        <f t="shared" si="9"/>
        <v>0</v>
      </c>
      <c r="AK24" s="69"/>
      <c r="AL24" s="70"/>
      <c r="AM24" s="68">
        <f t="shared" si="10"/>
        <v>0</v>
      </c>
      <c r="AN24" s="69"/>
      <c r="AO24" s="70"/>
      <c r="AP24" s="66">
        <f t="shared" si="11"/>
        <v>0</v>
      </c>
      <c r="AQ24" s="8" t="e">
        <f t="shared" si="0"/>
        <v>#DIV/0!</v>
      </c>
    </row>
    <row r="25" spans="1:43" ht="18" customHeight="1" x14ac:dyDescent="0.15">
      <c r="A25" s="6"/>
      <c r="B25" s="12"/>
      <c r="C25" s="65"/>
      <c r="D25" s="66"/>
      <c r="E25" s="67"/>
      <c r="F25" s="68">
        <f t="shared" si="14"/>
        <v>0</v>
      </c>
      <c r="G25" s="69"/>
      <c r="H25" s="70"/>
      <c r="I25" s="68">
        <f t="shared" si="15"/>
        <v>0</v>
      </c>
      <c r="J25" s="69"/>
      <c r="K25" s="70"/>
      <c r="L25" s="68">
        <f t="shared" si="16"/>
        <v>0</v>
      </c>
      <c r="M25" s="69"/>
      <c r="N25" s="70"/>
      <c r="O25" s="68">
        <f t="shared" si="17"/>
        <v>0</v>
      </c>
      <c r="P25" s="69"/>
      <c r="Q25" s="70"/>
      <c r="R25" s="68">
        <f t="shared" si="3"/>
        <v>0</v>
      </c>
      <c r="S25" s="69"/>
      <c r="T25" s="70"/>
      <c r="U25" s="68">
        <f t="shared" si="4"/>
        <v>0</v>
      </c>
      <c r="V25" s="69"/>
      <c r="W25" s="70"/>
      <c r="X25" s="68">
        <f t="shared" si="5"/>
        <v>0</v>
      </c>
      <c r="Y25" s="69"/>
      <c r="Z25" s="70"/>
      <c r="AA25" s="68">
        <f t="shared" si="6"/>
        <v>0</v>
      </c>
      <c r="AB25" s="69"/>
      <c r="AC25" s="70"/>
      <c r="AD25" s="68">
        <f t="shared" si="7"/>
        <v>0</v>
      </c>
      <c r="AE25" s="69"/>
      <c r="AF25" s="70"/>
      <c r="AG25" s="68">
        <f t="shared" si="8"/>
        <v>0</v>
      </c>
      <c r="AH25" s="69"/>
      <c r="AI25" s="70"/>
      <c r="AJ25" s="68">
        <f t="shared" si="9"/>
        <v>0</v>
      </c>
      <c r="AK25" s="69"/>
      <c r="AL25" s="70"/>
      <c r="AM25" s="68">
        <f t="shared" si="10"/>
        <v>0</v>
      </c>
      <c r="AN25" s="69"/>
      <c r="AO25" s="70"/>
      <c r="AP25" s="66">
        <f t="shared" si="11"/>
        <v>0</v>
      </c>
      <c r="AQ25" s="8" t="e">
        <f t="shared" si="0"/>
        <v>#DIV/0!</v>
      </c>
    </row>
    <row r="26" spans="1:43" ht="18" customHeight="1" x14ac:dyDescent="0.15">
      <c r="A26" s="6"/>
      <c r="B26" s="12"/>
      <c r="C26" s="65"/>
      <c r="D26" s="66"/>
      <c r="E26" s="67"/>
      <c r="F26" s="68">
        <f t="shared" si="14"/>
        <v>0</v>
      </c>
      <c r="G26" s="69"/>
      <c r="H26" s="70"/>
      <c r="I26" s="68">
        <f t="shared" si="15"/>
        <v>0</v>
      </c>
      <c r="J26" s="69"/>
      <c r="K26" s="70"/>
      <c r="L26" s="68">
        <f t="shared" si="16"/>
        <v>0</v>
      </c>
      <c r="M26" s="69"/>
      <c r="N26" s="70"/>
      <c r="O26" s="68">
        <f t="shared" si="17"/>
        <v>0</v>
      </c>
      <c r="P26" s="69"/>
      <c r="Q26" s="70"/>
      <c r="R26" s="68">
        <f t="shared" si="3"/>
        <v>0</v>
      </c>
      <c r="S26" s="69"/>
      <c r="T26" s="70"/>
      <c r="U26" s="68">
        <f t="shared" si="4"/>
        <v>0</v>
      </c>
      <c r="V26" s="69"/>
      <c r="W26" s="70"/>
      <c r="X26" s="68">
        <f t="shared" si="5"/>
        <v>0</v>
      </c>
      <c r="Y26" s="69"/>
      <c r="Z26" s="70"/>
      <c r="AA26" s="68">
        <f t="shared" si="6"/>
        <v>0</v>
      </c>
      <c r="AB26" s="69"/>
      <c r="AC26" s="70"/>
      <c r="AD26" s="68">
        <f t="shared" si="7"/>
        <v>0</v>
      </c>
      <c r="AE26" s="69"/>
      <c r="AF26" s="70"/>
      <c r="AG26" s="68">
        <f t="shared" si="8"/>
        <v>0</v>
      </c>
      <c r="AH26" s="69"/>
      <c r="AI26" s="70"/>
      <c r="AJ26" s="68">
        <f t="shared" si="9"/>
        <v>0</v>
      </c>
      <c r="AK26" s="69"/>
      <c r="AL26" s="70"/>
      <c r="AM26" s="68">
        <f t="shared" si="10"/>
        <v>0</v>
      </c>
      <c r="AN26" s="69"/>
      <c r="AO26" s="70"/>
      <c r="AP26" s="66">
        <f t="shared" si="11"/>
        <v>0</v>
      </c>
      <c r="AQ26" s="8" t="e">
        <f t="shared" si="0"/>
        <v>#DIV/0!</v>
      </c>
    </row>
    <row r="27" spans="1:43" ht="18" customHeight="1" x14ac:dyDescent="0.15">
      <c r="A27" s="6"/>
      <c r="B27" s="12"/>
      <c r="C27" s="65"/>
      <c r="D27" s="66"/>
      <c r="E27" s="67"/>
      <c r="F27" s="68">
        <f t="shared" si="14"/>
        <v>0</v>
      </c>
      <c r="G27" s="69"/>
      <c r="H27" s="70"/>
      <c r="I27" s="68">
        <f t="shared" si="15"/>
        <v>0</v>
      </c>
      <c r="J27" s="69"/>
      <c r="K27" s="70"/>
      <c r="L27" s="68">
        <f t="shared" si="16"/>
        <v>0</v>
      </c>
      <c r="M27" s="69"/>
      <c r="N27" s="70"/>
      <c r="O27" s="68">
        <f t="shared" si="17"/>
        <v>0</v>
      </c>
      <c r="P27" s="69"/>
      <c r="Q27" s="70"/>
      <c r="R27" s="68">
        <f t="shared" si="3"/>
        <v>0</v>
      </c>
      <c r="S27" s="69"/>
      <c r="T27" s="70"/>
      <c r="U27" s="68">
        <f t="shared" si="4"/>
        <v>0</v>
      </c>
      <c r="V27" s="69"/>
      <c r="W27" s="70"/>
      <c r="X27" s="68">
        <f t="shared" si="5"/>
        <v>0</v>
      </c>
      <c r="Y27" s="69"/>
      <c r="Z27" s="70"/>
      <c r="AA27" s="68">
        <f t="shared" si="6"/>
        <v>0</v>
      </c>
      <c r="AB27" s="69"/>
      <c r="AC27" s="70"/>
      <c r="AD27" s="68">
        <f t="shared" si="7"/>
        <v>0</v>
      </c>
      <c r="AE27" s="69"/>
      <c r="AF27" s="70"/>
      <c r="AG27" s="68">
        <f t="shared" si="8"/>
        <v>0</v>
      </c>
      <c r="AH27" s="69"/>
      <c r="AI27" s="70"/>
      <c r="AJ27" s="68">
        <f t="shared" si="9"/>
        <v>0</v>
      </c>
      <c r="AK27" s="69"/>
      <c r="AL27" s="70"/>
      <c r="AM27" s="68">
        <f t="shared" si="10"/>
        <v>0</v>
      </c>
      <c r="AN27" s="69"/>
      <c r="AO27" s="70"/>
      <c r="AP27" s="66">
        <f t="shared" si="11"/>
        <v>0</v>
      </c>
      <c r="AQ27" s="8" t="e">
        <f t="shared" si="0"/>
        <v>#DIV/0!</v>
      </c>
    </row>
    <row r="28" spans="1:43" ht="18" customHeight="1" x14ac:dyDescent="0.15">
      <c r="A28" s="6"/>
      <c r="B28" s="12"/>
      <c r="C28" s="65"/>
      <c r="D28" s="66"/>
      <c r="E28" s="67"/>
      <c r="F28" s="68">
        <f t="shared" si="14"/>
        <v>0</v>
      </c>
      <c r="G28" s="69"/>
      <c r="H28" s="70"/>
      <c r="I28" s="68">
        <f t="shared" si="15"/>
        <v>0</v>
      </c>
      <c r="J28" s="69"/>
      <c r="K28" s="70"/>
      <c r="L28" s="68">
        <f t="shared" si="16"/>
        <v>0</v>
      </c>
      <c r="M28" s="69"/>
      <c r="N28" s="70"/>
      <c r="O28" s="68">
        <f t="shared" si="17"/>
        <v>0</v>
      </c>
      <c r="P28" s="69"/>
      <c r="Q28" s="70"/>
      <c r="R28" s="68">
        <f t="shared" si="3"/>
        <v>0</v>
      </c>
      <c r="S28" s="69"/>
      <c r="T28" s="70"/>
      <c r="U28" s="68">
        <f t="shared" si="4"/>
        <v>0</v>
      </c>
      <c r="V28" s="69"/>
      <c r="W28" s="70"/>
      <c r="X28" s="68">
        <f t="shared" si="5"/>
        <v>0</v>
      </c>
      <c r="Y28" s="69"/>
      <c r="Z28" s="70"/>
      <c r="AA28" s="68">
        <f t="shared" si="6"/>
        <v>0</v>
      </c>
      <c r="AB28" s="69"/>
      <c r="AC28" s="70"/>
      <c r="AD28" s="68">
        <f t="shared" si="7"/>
        <v>0</v>
      </c>
      <c r="AE28" s="69"/>
      <c r="AF28" s="70"/>
      <c r="AG28" s="68">
        <f t="shared" si="8"/>
        <v>0</v>
      </c>
      <c r="AH28" s="69"/>
      <c r="AI28" s="70"/>
      <c r="AJ28" s="68">
        <f t="shared" si="9"/>
        <v>0</v>
      </c>
      <c r="AK28" s="69"/>
      <c r="AL28" s="70"/>
      <c r="AM28" s="68">
        <f t="shared" si="10"/>
        <v>0</v>
      </c>
      <c r="AN28" s="69"/>
      <c r="AO28" s="70"/>
      <c r="AP28" s="66">
        <f t="shared" si="11"/>
        <v>0</v>
      </c>
      <c r="AQ28" s="8" t="e">
        <f t="shared" si="0"/>
        <v>#DIV/0!</v>
      </c>
    </row>
    <row r="29" spans="1:43" ht="18" customHeight="1" x14ac:dyDescent="0.15">
      <c r="A29" s="6"/>
      <c r="B29" s="12"/>
      <c r="C29" s="65"/>
      <c r="D29" s="71"/>
      <c r="E29" s="67"/>
      <c r="F29" s="68">
        <f t="shared" si="14"/>
        <v>0</v>
      </c>
      <c r="G29" s="69"/>
      <c r="H29" s="70"/>
      <c r="I29" s="68">
        <f t="shared" si="15"/>
        <v>0</v>
      </c>
      <c r="J29" s="69"/>
      <c r="K29" s="70"/>
      <c r="L29" s="68">
        <f t="shared" si="16"/>
        <v>0</v>
      </c>
      <c r="M29" s="69"/>
      <c r="N29" s="70"/>
      <c r="O29" s="68">
        <f t="shared" si="17"/>
        <v>0</v>
      </c>
      <c r="P29" s="69"/>
      <c r="Q29" s="70"/>
      <c r="R29" s="68">
        <f t="shared" si="3"/>
        <v>0</v>
      </c>
      <c r="S29" s="69"/>
      <c r="T29" s="70"/>
      <c r="U29" s="68">
        <f t="shared" si="4"/>
        <v>0</v>
      </c>
      <c r="V29" s="69"/>
      <c r="W29" s="70"/>
      <c r="X29" s="68">
        <f t="shared" si="5"/>
        <v>0</v>
      </c>
      <c r="Y29" s="69"/>
      <c r="Z29" s="70"/>
      <c r="AA29" s="68">
        <f t="shared" si="6"/>
        <v>0</v>
      </c>
      <c r="AB29" s="69"/>
      <c r="AC29" s="70"/>
      <c r="AD29" s="68">
        <f t="shared" si="7"/>
        <v>0</v>
      </c>
      <c r="AE29" s="69"/>
      <c r="AF29" s="70"/>
      <c r="AG29" s="68">
        <f t="shared" si="8"/>
        <v>0</v>
      </c>
      <c r="AH29" s="69"/>
      <c r="AI29" s="70"/>
      <c r="AJ29" s="68">
        <f t="shared" si="9"/>
        <v>0</v>
      </c>
      <c r="AK29" s="69"/>
      <c r="AL29" s="70"/>
      <c r="AM29" s="68">
        <f t="shared" si="10"/>
        <v>0</v>
      </c>
      <c r="AN29" s="69"/>
      <c r="AO29" s="70"/>
      <c r="AP29" s="71">
        <f t="shared" si="11"/>
        <v>0</v>
      </c>
      <c r="AQ29" s="8" t="e">
        <f t="shared" si="0"/>
        <v>#DIV/0!</v>
      </c>
    </row>
    <row r="30" spans="1:43" ht="18" customHeight="1" x14ac:dyDescent="0.15">
      <c r="A30" s="6"/>
      <c r="B30" s="12"/>
      <c r="C30" s="65"/>
      <c r="D30" s="71"/>
      <c r="E30" s="67"/>
      <c r="F30" s="68">
        <f t="shared" si="14"/>
        <v>0</v>
      </c>
      <c r="G30" s="69"/>
      <c r="H30" s="70"/>
      <c r="I30" s="68">
        <f t="shared" si="15"/>
        <v>0</v>
      </c>
      <c r="J30" s="69"/>
      <c r="K30" s="70"/>
      <c r="L30" s="68">
        <f t="shared" si="16"/>
        <v>0</v>
      </c>
      <c r="M30" s="69"/>
      <c r="N30" s="70"/>
      <c r="O30" s="68">
        <f t="shared" si="17"/>
        <v>0</v>
      </c>
      <c r="P30" s="69"/>
      <c r="Q30" s="70"/>
      <c r="R30" s="68">
        <f t="shared" si="3"/>
        <v>0</v>
      </c>
      <c r="S30" s="69"/>
      <c r="T30" s="70"/>
      <c r="U30" s="68">
        <f t="shared" si="4"/>
        <v>0</v>
      </c>
      <c r="V30" s="69"/>
      <c r="W30" s="70"/>
      <c r="X30" s="68">
        <f t="shared" si="5"/>
        <v>0</v>
      </c>
      <c r="Y30" s="69"/>
      <c r="Z30" s="70"/>
      <c r="AA30" s="68">
        <f t="shared" si="6"/>
        <v>0</v>
      </c>
      <c r="AB30" s="69"/>
      <c r="AC30" s="70"/>
      <c r="AD30" s="68">
        <f t="shared" si="7"/>
        <v>0</v>
      </c>
      <c r="AE30" s="69"/>
      <c r="AF30" s="70"/>
      <c r="AG30" s="68">
        <f t="shared" si="8"/>
        <v>0</v>
      </c>
      <c r="AH30" s="69"/>
      <c r="AI30" s="70"/>
      <c r="AJ30" s="68">
        <f t="shared" si="9"/>
        <v>0</v>
      </c>
      <c r="AK30" s="69"/>
      <c r="AL30" s="70"/>
      <c r="AM30" s="68">
        <f t="shared" si="10"/>
        <v>0</v>
      </c>
      <c r="AN30" s="69"/>
      <c r="AO30" s="70"/>
      <c r="AP30" s="71">
        <f t="shared" si="11"/>
        <v>0</v>
      </c>
      <c r="AQ30" s="8" t="e">
        <f t="shared" si="0"/>
        <v>#DIV/0!</v>
      </c>
    </row>
    <row r="31" spans="1:43" ht="18" customHeight="1" thickBot="1" x14ac:dyDescent="0.2">
      <c r="A31" s="6"/>
      <c r="B31" s="13"/>
      <c r="C31" s="60"/>
      <c r="D31" s="72"/>
      <c r="E31" s="62"/>
      <c r="F31" s="62">
        <f t="shared" si="14"/>
        <v>0</v>
      </c>
      <c r="G31" s="73"/>
      <c r="H31" s="74"/>
      <c r="I31" s="62">
        <f t="shared" si="15"/>
        <v>0</v>
      </c>
      <c r="J31" s="73"/>
      <c r="K31" s="74"/>
      <c r="L31" s="62">
        <f t="shared" si="16"/>
        <v>0</v>
      </c>
      <c r="M31" s="73"/>
      <c r="N31" s="74"/>
      <c r="O31" s="62">
        <f t="shared" si="17"/>
        <v>0</v>
      </c>
      <c r="P31" s="73"/>
      <c r="Q31" s="74"/>
      <c r="R31" s="62">
        <f t="shared" si="3"/>
        <v>0</v>
      </c>
      <c r="S31" s="73"/>
      <c r="T31" s="74"/>
      <c r="U31" s="62">
        <f t="shared" si="4"/>
        <v>0</v>
      </c>
      <c r="V31" s="73"/>
      <c r="W31" s="74"/>
      <c r="X31" s="62">
        <f t="shared" si="5"/>
        <v>0</v>
      </c>
      <c r="Y31" s="73"/>
      <c r="Z31" s="74"/>
      <c r="AA31" s="62">
        <f t="shared" si="6"/>
        <v>0</v>
      </c>
      <c r="AB31" s="73"/>
      <c r="AC31" s="74"/>
      <c r="AD31" s="62">
        <f t="shared" si="7"/>
        <v>0</v>
      </c>
      <c r="AE31" s="73"/>
      <c r="AF31" s="74"/>
      <c r="AG31" s="62">
        <f t="shared" si="8"/>
        <v>0</v>
      </c>
      <c r="AH31" s="73"/>
      <c r="AI31" s="74"/>
      <c r="AJ31" s="62">
        <f t="shared" si="9"/>
        <v>0</v>
      </c>
      <c r="AK31" s="73"/>
      <c r="AL31" s="74"/>
      <c r="AM31" s="62">
        <f t="shared" si="10"/>
        <v>0</v>
      </c>
      <c r="AN31" s="73"/>
      <c r="AO31" s="74"/>
      <c r="AP31" s="72">
        <f t="shared" si="11"/>
        <v>0</v>
      </c>
      <c r="AQ31" s="7" t="e">
        <f t="shared" si="0"/>
        <v>#DIV/0!</v>
      </c>
    </row>
    <row r="32" spans="1:43" ht="18" customHeight="1" thickTop="1" x14ac:dyDescent="0.15">
      <c r="B32" s="14" t="s">
        <v>32</v>
      </c>
      <c r="C32" s="75">
        <f t="shared" ref="C32" si="18">SUM(C12:C31)</f>
        <v>2424</v>
      </c>
      <c r="D32" s="76">
        <f t="shared" ref="D32:AP32" si="19">SUM(D12:D31)</f>
        <v>550</v>
      </c>
      <c r="E32" s="77">
        <f t="shared" si="19"/>
        <v>2300</v>
      </c>
      <c r="F32" s="77">
        <f t="shared" si="19"/>
        <v>123</v>
      </c>
      <c r="G32" s="78">
        <f t="shared" si="19"/>
        <v>0</v>
      </c>
      <c r="H32" s="79">
        <f t="shared" si="19"/>
        <v>0</v>
      </c>
      <c r="I32" s="77">
        <f t="shared" ref="I32:N32" si="20">SUM(I12:I31)</f>
        <v>9</v>
      </c>
      <c r="J32" s="78">
        <f t="shared" si="20"/>
        <v>0</v>
      </c>
      <c r="K32" s="79">
        <f t="shared" si="20"/>
        <v>0</v>
      </c>
      <c r="L32" s="77">
        <f t="shared" si="20"/>
        <v>0</v>
      </c>
      <c r="M32" s="78">
        <f t="shared" si="20"/>
        <v>0</v>
      </c>
      <c r="N32" s="79">
        <f t="shared" si="20"/>
        <v>0</v>
      </c>
      <c r="O32" s="77">
        <f t="shared" ref="O32:T32" si="21">SUM(O12:O31)</f>
        <v>0</v>
      </c>
      <c r="P32" s="78">
        <f t="shared" si="21"/>
        <v>0</v>
      </c>
      <c r="Q32" s="79">
        <f t="shared" si="21"/>
        <v>0</v>
      </c>
      <c r="R32" s="77">
        <f t="shared" si="21"/>
        <v>0</v>
      </c>
      <c r="S32" s="78">
        <f t="shared" si="21"/>
        <v>0</v>
      </c>
      <c r="T32" s="79">
        <f t="shared" si="21"/>
        <v>0</v>
      </c>
      <c r="U32" s="77">
        <f t="shared" ref="U32:AI32" si="22">SUM(U12:U31)</f>
        <v>0</v>
      </c>
      <c r="V32" s="78">
        <f t="shared" si="22"/>
        <v>0</v>
      </c>
      <c r="W32" s="79">
        <f t="shared" si="22"/>
        <v>0</v>
      </c>
      <c r="X32" s="77">
        <f t="shared" si="22"/>
        <v>0</v>
      </c>
      <c r="Y32" s="78">
        <f t="shared" si="22"/>
        <v>0</v>
      </c>
      <c r="Z32" s="79">
        <f t="shared" si="22"/>
        <v>0</v>
      </c>
      <c r="AA32" s="77">
        <f t="shared" si="22"/>
        <v>0</v>
      </c>
      <c r="AB32" s="78">
        <f t="shared" si="22"/>
        <v>0</v>
      </c>
      <c r="AC32" s="79">
        <f t="shared" si="22"/>
        <v>0</v>
      </c>
      <c r="AD32" s="77">
        <f t="shared" si="22"/>
        <v>0</v>
      </c>
      <c r="AE32" s="78">
        <f t="shared" si="22"/>
        <v>0</v>
      </c>
      <c r="AF32" s="79">
        <f t="shared" si="22"/>
        <v>0</v>
      </c>
      <c r="AG32" s="77">
        <f t="shared" si="22"/>
        <v>0</v>
      </c>
      <c r="AH32" s="78">
        <f t="shared" si="22"/>
        <v>0</v>
      </c>
      <c r="AI32" s="79">
        <f t="shared" si="22"/>
        <v>0</v>
      </c>
      <c r="AJ32" s="77">
        <f t="shared" ref="AJ32:AO32" si="23">SUM(AJ12:AJ31)</f>
        <v>0</v>
      </c>
      <c r="AK32" s="78">
        <f t="shared" si="23"/>
        <v>0</v>
      </c>
      <c r="AL32" s="79">
        <f t="shared" si="23"/>
        <v>0</v>
      </c>
      <c r="AM32" s="77">
        <f t="shared" si="23"/>
        <v>0</v>
      </c>
      <c r="AN32" s="78">
        <f t="shared" si="23"/>
        <v>0</v>
      </c>
      <c r="AO32" s="79">
        <f t="shared" si="23"/>
        <v>0</v>
      </c>
      <c r="AP32" s="76">
        <f t="shared" si="19"/>
        <v>123</v>
      </c>
      <c r="AQ32" s="9">
        <f t="shared" si="0"/>
        <v>5.3478260869565218E-2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 sqref="B1"/>
    </sheetView>
  </sheetViews>
  <sheetFormatPr defaultColWidth="11.375" defaultRowHeight="18.75" customHeight="1" x14ac:dyDescent="0.15"/>
  <cols>
    <col min="1" max="1" width="2.625" style="41" customWidth="1"/>
    <col min="2" max="2" width="16.625" style="1" customWidth="1"/>
    <col min="3" max="3" width="8.62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64</v>
      </c>
      <c r="I1" s="35" t="s">
        <v>105</v>
      </c>
    </row>
    <row r="2" spans="1:9" ht="18.75" customHeight="1" x14ac:dyDescent="0.15">
      <c r="G2" s="35" t="s">
        <v>108</v>
      </c>
      <c r="H2" s="96" t="str">
        <f>'様式１−１　プログラムを構成する授業科目'!C2</f>
        <v>茨城キリスト教大学</v>
      </c>
      <c r="I2" s="97"/>
    </row>
    <row r="3" spans="1:9" ht="18.75" customHeight="1" x14ac:dyDescent="0.15">
      <c r="G3" s="35"/>
      <c r="H3" s="10"/>
      <c r="I3" s="10"/>
    </row>
    <row r="4" spans="1:9" ht="18.399999999999999" customHeight="1" x14ac:dyDescent="0.15">
      <c r="A4" s="112" t="s">
        <v>35</v>
      </c>
      <c r="B4" s="112"/>
      <c r="C4" s="112"/>
      <c r="D4" s="112"/>
      <c r="E4" s="112"/>
      <c r="F4" s="112"/>
      <c r="G4" s="112"/>
      <c r="H4" s="112"/>
      <c r="I4" s="112"/>
    </row>
    <row r="5" spans="1:9" ht="13.15" customHeight="1" x14ac:dyDescent="0.15">
      <c r="B5" s="3"/>
      <c r="C5" s="3"/>
      <c r="D5" s="3"/>
      <c r="E5" s="3"/>
      <c r="F5" s="3"/>
      <c r="G5" s="3"/>
      <c r="H5" s="3"/>
      <c r="I5" s="3"/>
    </row>
    <row r="6" spans="1:9" ht="18" customHeight="1" x14ac:dyDescent="0.15">
      <c r="A6" s="1" t="s">
        <v>0</v>
      </c>
      <c r="B6" s="10" t="s">
        <v>90</v>
      </c>
      <c r="C6" s="241" t="s">
        <v>91</v>
      </c>
      <c r="D6" s="241"/>
      <c r="E6" s="34">
        <v>118</v>
      </c>
      <c r="F6" s="3" t="s">
        <v>1</v>
      </c>
      <c r="G6" s="3" t="s">
        <v>2</v>
      </c>
      <c r="H6" s="34">
        <v>229</v>
      </c>
      <c r="I6" s="10" t="s">
        <v>1</v>
      </c>
    </row>
    <row r="7" spans="1:9" ht="12" customHeight="1" x14ac:dyDescent="0.15">
      <c r="C7" s="2"/>
      <c r="D7" s="2"/>
      <c r="E7" s="2"/>
      <c r="F7" s="2"/>
      <c r="G7" s="2"/>
      <c r="H7" s="2"/>
      <c r="I7" s="42"/>
    </row>
    <row r="8" spans="1:9" ht="18" customHeight="1" x14ac:dyDescent="0.15">
      <c r="A8" s="1" t="s">
        <v>3</v>
      </c>
      <c r="B8" s="10" t="s">
        <v>92</v>
      </c>
      <c r="E8" s="3"/>
      <c r="F8" s="3"/>
      <c r="G8" s="3"/>
      <c r="H8" s="34">
        <v>5</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5" t="s">
        <v>42</v>
      </c>
      <c r="C11" s="236" t="s">
        <v>141</v>
      </c>
      <c r="D11" s="239"/>
      <c r="E11" s="240"/>
      <c r="F11" s="42"/>
      <c r="G11" s="35" t="s">
        <v>10</v>
      </c>
      <c r="H11" s="236" t="s">
        <v>142</v>
      </c>
      <c r="I11" s="240"/>
    </row>
    <row r="12" spans="1:9" ht="10.15" customHeight="1" x14ac:dyDescent="0.15">
      <c r="B12" s="35"/>
      <c r="C12" s="10"/>
      <c r="D12" s="42"/>
      <c r="E12" s="42"/>
      <c r="F12" s="42"/>
      <c r="G12" s="35"/>
      <c r="H12" s="10"/>
      <c r="I12" s="42"/>
    </row>
    <row r="13" spans="1:9" ht="18" customHeight="1" x14ac:dyDescent="0.15">
      <c r="A13" s="1" t="s">
        <v>7</v>
      </c>
      <c r="B13" s="10" t="s">
        <v>87</v>
      </c>
      <c r="C13" s="3"/>
      <c r="D13" s="3"/>
      <c r="E13" s="3"/>
      <c r="F13" s="3"/>
      <c r="G13" s="3"/>
      <c r="H13" s="3"/>
      <c r="I13" s="3"/>
    </row>
    <row r="14" spans="1:9" ht="18" customHeight="1" x14ac:dyDescent="0.15">
      <c r="B14" s="236" t="s">
        <v>168</v>
      </c>
      <c r="C14" s="237"/>
      <c r="D14" s="237"/>
      <c r="E14" s="237"/>
      <c r="F14" s="237"/>
      <c r="G14" s="237"/>
      <c r="H14" s="237"/>
      <c r="I14" s="238"/>
    </row>
    <row r="15" spans="1:9" ht="9" customHeight="1" x14ac:dyDescent="0.15">
      <c r="B15" s="3"/>
      <c r="C15" s="3"/>
      <c r="D15" s="3"/>
      <c r="E15" s="3"/>
      <c r="F15" s="3"/>
      <c r="G15" s="3"/>
      <c r="H15" s="3"/>
      <c r="I15" s="3"/>
    </row>
    <row r="16" spans="1:9" ht="18" customHeight="1" x14ac:dyDescent="0.15">
      <c r="B16" s="35" t="s">
        <v>42</v>
      </c>
      <c r="C16" s="236" t="s">
        <v>144</v>
      </c>
      <c r="D16" s="239"/>
      <c r="E16" s="240"/>
      <c r="F16" s="42"/>
      <c r="G16" s="35" t="s">
        <v>10</v>
      </c>
      <c r="H16" s="236" t="s">
        <v>145</v>
      </c>
      <c r="I16" s="240"/>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27" t="s">
        <v>143</v>
      </c>
      <c r="C19" s="228"/>
      <c r="D19" s="228"/>
      <c r="E19" s="228"/>
      <c r="F19" s="228"/>
      <c r="G19" s="228"/>
      <c r="H19" s="228"/>
      <c r="I19" s="229"/>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230" t="s">
        <v>169</v>
      </c>
      <c r="C22" s="218"/>
      <c r="D22" s="218"/>
      <c r="E22" s="218"/>
      <c r="F22" s="218"/>
      <c r="G22" s="218"/>
      <c r="H22" s="218"/>
      <c r="I22" s="219"/>
    </row>
    <row r="23" spans="1:9" ht="18.75" customHeight="1" x14ac:dyDescent="0.15">
      <c r="A23" s="15"/>
      <c r="B23" s="231"/>
      <c r="C23" s="232"/>
      <c r="D23" s="232"/>
      <c r="E23" s="232"/>
      <c r="F23" s="232"/>
      <c r="G23" s="232"/>
      <c r="H23" s="232"/>
      <c r="I23" s="222"/>
    </row>
    <row r="24" spans="1:9" ht="18.75" customHeight="1" x14ac:dyDescent="0.15">
      <c r="A24" s="15"/>
      <c r="B24" s="231"/>
      <c r="C24" s="232"/>
      <c r="D24" s="232"/>
      <c r="E24" s="232"/>
      <c r="F24" s="232"/>
      <c r="G24" s="232"/>
      <c r="H24" s="232"/>
      <c r="I24" s="222"/>
    </row>
    <row r="25" spans="1:9" ht="18.75" customHeight="1" x14ac:dyDescent="0.15">
      <c r="A25" s="15"/>
      <c r="B25" s="231"/>
      <c r="C25" s="232"/>
      <c r="D25" s="232"/>
      <c r="E25" s="232"/>
      <c r="F25" s="232"/>
      <c r="G25" s="232"/>
      <c r="H25" s="232"/>
      <c r="I25" s="222"/>
    </row>
    <row r="26" spans="1:9" ht="18.75" customHeight="1" x14ac:dyDescent="0.15">
      <c r="A26" s="15"/>
      <c r="B26" s="231"/>
      <c r="C26" s="232"/>
      <c r="D26" s="232"/>
      <c r="E26" s="232"/>
      <c r="F26" s="232"/>
      <c r="G26" s="232"/>
      <c r="H26" s="232"/>
      <c r="I26" s="222"/>
    </row>
    <row r="27" spans="1:9" ht="18.75" customHeight="1" x14ac:dyDescent="0.15">
      <c r="A27" s="15"/>
      <c r="B27" s="231"/>
      <c r="C27" s="232"/>
      <c r="D27" s="232"/>
      <c r="E27" s="232"/>
      <c r="F27" s="232"/>
      <c r="G27" s="232"/>
      <c r="H27" s="232"/>
      <c r="I27" s="222"/>
    </row>
    <row r="28" spans="1:9" ht="18.75" customHeight="1" x14ac:dyDescent="0.15">
      <c r="A28" s="15"/>
      <c r="B28" s="231"/>
      <c r="C28" s="232"/>
      <c r="D28" s="232"/>
      <c r="E28" s="232"/>
      <c r="F28" s="232"/>
      <c r="G28" s="232"/>
      <c r="H28" s="232"/>
      <c r="I28" s="222"/>
    </row>
    <row r="29" spans="1:9" ht="18.75" customHeight="1" x14ac:dyDescent="0.15">
      <c r="A29" s="15"/>
      <c r="B29" s="231"/>
      <c r="C29" s="232"/>
      <c r="D29" s="232"/>
      <c r="E29" s="232"/>
      <c r="F29" s="232"/>
      <c r="G29" s="232"/>
      <c r="H29" s="232"/>
      <c r="I29" s="222"/>
    </row>
    <row r="30" spans="1:9" ht="18.75" customHeight="1" x14ac:dyDescent="0.15">
      <c r="A30" s="15"/>
      <c r="B30" s="220"/>
      <c r="C30" s="221"/>
      <c r="D30" s="221"/>
      <c r="E30" s="221"/>
      <c r="F30" s="221"/>
      <c r="G30" s="221"/>
      <c r="H30" s="221"/>
      <c r="I30" s="222"/>
    </row>
    <row r="31" spans="1:9" ht="18.75" customHeight="1" x14ac:dyDescent="0.15">
      <c r="A31" s="15"/>
      <c r="B31" s="220"/>
      <c r="C31" s="221"/>
      <c r="D31" s="221"/>
      <c r="E31" s="221"/>
      <c r="F31" s="221"/>
      <c r="G31" s="221"/>
      <c r="H31" s="221"/>
      <c r="I31" s="222"/>
    </row>
    <row r="32" spans="1:9" ht="18.75" customHeight="1" x14ac:dyDescent="0.15">
      <c r="A32" s="15"/>
      <c r="B32" s="223"/>
      <c r="C32" s="224"/>
      <c r="D32" s="224"/>
      <c r="E32" s="224"/>
      <c r="F32" s="224"/>
      <c r="G32" s="224"/>
      <c r="H32" s="224"/>
      <c r="I32" s="225"/>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30" t="s">
        <v>170</v>
      </c>
      <c r="C35" s="218"/>
      <c r="D35" s="218"/>
      <c r="E35" s="218"/>
      <c r="F35" s="218"/>
      <c r="G35" s="218"/>
      <c r="H35" s="218"/>
      <c r="I35" s="219"/>
    </row>
    <row r="36" spans="1:9" ht="18.75" customHeight="1" x14ac:dyDescent="0.15">
      <c r="A36" s="15"/>
      <c r="B36" s="220"/>
      <c r="C36" s="221"/>
      <c r="D36" s="221"/>
      <c r="E36" s="221"/>
      <c r="F36" s="221"/>
      <c r="G36" s="221"/>
      <c r="H36" s="221"/>
      <c r="I36" s="222"/>
    </row>
    <row r="37" spans="1:9" ht="18.75" customHeight="1" x14ac:dyDescent="0.15">
      <c r="A37" s="15"/>
      <c r="B37" s="220"/>
      <c r="C37" s="221"/>
      <c r="D37" s="221"/>
      <c r="E37" s="221"/>
      <c r="F37" s="221"/>
      <c r="G37" s="221"/>
      <c r="H37" s="221"/>
      <c r="I37" s="222"/>
    </row>
    <row r="38" spans="1:9" ht="18.75" customHeight="1" x14ac:dyDescent="0.15">
      <c r="A38" s="15"/>
      <c r="B38" s="220"/>
      <c r="C38" s="221"/>
      <c r="D38" s="221"/>
      <c r="E38" s="221"/>
      <c r="F38" s="221"/>
      <c r="G38" s="221"/>
      <c r="H38" s="221"/>
      <c r="I38" s="222"/>
    </row>
    <row r="39" spans="1:9" ht="18.75" customHeight="1" x14ac:dyDescent="0.15">
      <c r="A39" s="15"/>
      <c r="B39" s="220"/>
      <c r="C39" s="221"/>
      <c r="D39" s="221"/>
      <c r="E39" s="221"/>
      <c r="F39" s="221"/>
      <c r="G39" s="221"/>
      <c r="H39" s="221"/>
      <c r="I39" s="222"/>
    </row>
    <row r="40" spans="1:9" ht="18.75" customHeight="1" x14ac:dyDescent="0.15">
      <c r="A40" s="15"/>
      <c r="B40" s="220"/>
      <c r="C40" s="221"/>
      <c r="D40" s="221"/>
      <c r="E40" s="221"/>
      <c r="F40" s="221"/>
      <c r="G40" s="221"/>
      <c r="H40" s="221"/>
      <c r="I40" s="222"/>
    </row>
    <row r="41" spans="1:9" ht="18.75" customHeight="1" x14ac:dyDescent="0.15">
      <c r="A41" s="15"/>
      <c r="B41" s="220"/>
      <c r="C41" s="221"/>
      <c r="D41" s="221"/>
      <c r="E41" s="221"/>
      <c r="F41" s="221"/>
      <c r="G41" s="221"/>
      <c r="H41" s="221"/>
      <c r="I41" s="222"/>
    </row>
    <row r="42" spans="1:9" ht="18.75" customHeight="1" x14ac:dyDescent="0.15">
      <c r="A42" s="15"/>
      <c r="B42" s="220"/>
      <c r="C42" s="221"/>
      <c r="D42" s="221"/>
      <c r="E42" s="221"/>
      <c r="F42" s="221"/>
      <c r="G42" s="221"/>
      <c r="H42" s="221"/>
      <c r="I42" s="222"/>
    </row>
    <row r="43" spans="1:9" ht="18.75" customHeight="1" x14ac:dyDescent="0.15">
      <c r="A43" s="15"/>
      <c r="B43" s="220"/>
      <c r="C43" s="221"/>
      <c r="D43" s="221"/>
      <c r="E43" s="221"/>
      <c r="F43" s="221"/>
      <c r="G43" s="221"/>
      <c r="H43" s="221"/>
      <c r="I43" s="222"/>
    </row>
    <row r="44" spans="1:9" ht="18.75" customHeight="1" x14ac:dyDescent="0.15">
      <c r="A44" s="15"/>
      <c r="B44" s="220"/>
      <c r="C44" s="221"/>
      <c r="D44" s="221"/>
      <c r="E44" s="221"/>
      <c r="F44" s="221"/>
      <c r="G44" s="221"/>
      <c r="H44" s="221"/>
      <c r="I44" s="222"/>
    </row>
    <row r="45" spans="1:9" ht="18.75" customHeight="1" x14ac:dyDescent="0.15">
      <c r="A45" s="15"/>
      <c r="B45" s="220"/>
      <c r="C45" s="221"/>
      <c r="D45" s="221"/>
      <c r="E45" s="221"/>
      <c r="F45" s="221"/>
      <c r="G45" s="221"/>
      <c r="H45" s="221"/>
      <c r="I45" s="222"/>
    </row>
    <row r="46" spans="1:9" ht="18.75" customHeight="1" x14ac:dyDescent="0.15">
      <c r="A46" s="15"/>
      <c r="B46" s="223"/>
      <c r="C46" s="224"/>
      <c r="D46" s="224"/>
      <c r="E46" s="224"/>
      <c r="F46" s="224"/>
      <c r="G46" s="224"/>
      <c r="H46" s="224"/>
      <c r="I46" s="225"/>
    </row>
    <row r="47" spans="1:9" ht="7.5" customHeight="1" x14ac:dyDescent="0.15">
      <c r="A47" s="4"/>
      <c r="B47" s="4"/>
      <c r="C47" s="4"/>
      <c r="D47" s="4"/>
      <c r="E47" s="4"/>
      <c r="F47" s="4"/>
      <c r="G47" s="4"/>
      <c r="H47" s="4"/>
      <c r="I47" s="4"/>
    </row>
    <row r="48" spans="1:9" s="93" customFormat="1" ht="18.75" customHeight="1" x14ac:dyDescent="0.15">
      <c r="A48" s="93" t="s">
        <v>30</v>
      </c>
      <c r="B48" s="93" t="s">
        <v>122</v>
      </c>
    </row>
    <row r="49" spans="1:15" s="3" customFormat="1" ht="18.75" customHeight="1" x14ac:dyDescent="0.15">
      <c r="B49" s="43" t="s">
        <v>88</v>
      </c>
      <c r="C49" s="205">
        <f>'様式２ 履修者等数の実績'!AQ32</f>
        <v>5.3478260869565218E-2</v>
      </c>
      <c r="D49" s="205"/>
      <c r="E49" s="84" t="s">
        <v>65</v>
      </c>
      <c r="F49" s="207">
        <v>0.08</v>
      </c>
      <c r="G49" s="207"/>
      <c r="H49" s="85" t="s">
        <v>66</v>
      </c>
      <c r="I49" s="86">
        <v>0.15</v>
      </c>
      <c r="J49" s="1"/>
      <c r="M49" s="1"/>
      <c r="N49" s="44"/>
    </row>
    <row r="50" spans="1:15" s="3" customFormat="1" ht="18.75" customHeight="1" x14ac:dyDescent="0.15">
      <c r="B50" s="45" t="s">
        <v>67</v>
      </c>
      <c r="C50" s="206">
        <v>0.25</v>
      </c>
      <c r="D50" s="206"/>
      <c r="E50" s="87" t="s">
        <v>89</v>
      </c>
      <c r="F50" s="206">
        <v>0.3</v>
      </c>
      <c r="G50" s="206"/>
      <c r="H50" s="87" t="s">
        <v>68</v>
      </c>
      <c r="I50" s="88">
        <f>'様式２ 履修者等数の実績'!E32</f>
        <v>2300</v>
      </c>
      <c r="J50" s="1"/>
      <c r="M50" s="1"/>
      <c r="N50" s="44"/>
    </row>
    <row r="51" spans="1:15" ht="18.75" customHeight="1" x14ac:dyDescent="0.15">
      <c r="A51" s="1"/>
      <c r="B51" s="233" t="s">
        <v>69</v>
      </c>
      <c r="C51" s="234"/>
      <c r="D51" s="234"/>
      <c r="E51" s="234"/>
      <c r="F51" s="234"/>
      <c r="G51" s="234"/>
      <c r="H51" s="234"/>
      <c r="I51" s="235"/>
      <c r="N51" s="44"/>
      <c r="O51" s="3"/>
    </row>
    <row r="52" spans="1:15" ht="18.75" customHeight="1" x14ac:dyDescent="0.15">
      <c r="A52" s="1"/>
      <c r="B52" s="208" t="s">
        <v>172</v>
      </c>
      <c r="C52" s="209"/>
      <c r="D52" s="209"/>
      <c r="E52" s="209"/>
      <c r="F52" s="209"/>
      <c r="G52" s="209"/>
      <c r="H52" s="209"/>
      <c r="I52" s="210"/>
      <c r="N52" s="44"/>
      <c r="O52" s="3"/>
    </row>
    <row r="53" spans="1:15" ht="18.75" customHeight="1" x14ac:dyDescent="0.15">
      <c r="A53" s="1"/>
      <c r="B53" s="211"/>
      <c r="C53" s="212"/>
      <c r="D53" s="212"/>
      <c r="E53" s="212"/>
      <c r="F53" s="212"/>
      <c r="G53" s="212"/>
      <c r="H53" s="212"/>
      <c r="I53" s="213"/>
      <c r="N53" s="44"/>
      <c r="O53" s="3"/>
    </row>
    <row r="54" spans="1:15" ht="18.75" customHeight="1" x14ac:dyDescent="0.15">
      <c r="A54" s="1"/>
      <c r="B54" s="211"/>
      <c r="C54" s="212"/>
      <c r="D54" s="212"/>
      <c r="E54" s="212"/>
      <c r="F54" s="212"/>
      <c r="G54" s="212"/>
      <c r="H54" s="212"/>
      <c r="I54" s="213"/>
    </row>
    <row r="55" spans="1:15" ht="18.75" customHeight="1" x14ac:dyDescent="0.15">
      <c r="A55" s="1"/>
      <c r="B55" s="211"/>
      <c r="C55" s="212"/>
      <c r="D55" s="212"/>
      <c r="E55" s="212"/>
      <c r="F55" s="212"/>
      <c r="G55" s="212"/>
      <c r="H55" s="212"/>
      <c r="I55" s="213"/>
    </row>
    <row r="56" spans="1:15" ht="18.75" customHeight="1" x14ac:dyDescent="0.15">
      <c r="A56" s="1"/>
      <c r="B56" s="211"/>
      <c r="C56" s="212"/>
      <c r="D56" s="212"/>
      <c r="E56" s="212"/>
      <c r="F56" s="212"/>
      <c r="G56" s="212"/>
      <c r="H56" s="212"/>
      <c r="I56" s="213"/>
    </row>
    <row r="57" spans="1:15" ht="18.75" customHeight="1" x14ac:dyDescent="0.15">
      <c r="A57" s="1"/>
      <c r="B57" s="211"/>
      <c r="C57" s="212"/>
      <c r="D57" s="212"/>
      <c r="E57" s="212"/>
      <c r="F57" s="212"/>
      <c r="G57" s="212"/>
      <c r="H57" s="212"/>
      <c r="I57" s="213"/>
    </row>
    <row r="58" spans="1:15" ht="18.75" customHeight="1" x14ac:dyDescent="0.15">
      <c r="A58" s="1"/>
      <c r="B58" s="211"/>
      <c r="C58" s="212"/>
      <c r="D58" s="212"/>
      <c r="E58" s="212"/>
      <c r="F58" s="212"/>
      <c r="G58" s="212"/>
      <c r="H58" s="212"/>
      <c r="I58" s="213"/>
    </row>
    <row r="59" spans="1:15" ht="18.75" customHeight="1" x14ac:dyDescent="0.15">
      <c r="A59" s="1"/>
      <c r="B59" s="211"/>
      <c r="C59" s="212"/>
      <c r="D59" s="212"/>
      <c r="E59" s="212"/>
      <c r="F59" s="212"/>
      <c r="G59" s="212"/>
      <c r="H59" s="212"/>
      <c r="I59" s="213"/>
    </row>
    <row r="60" spans="1:15" ht="18.75" customHeight="1" x14ac:dyDescent="0.15">
      <c r="A60" s="1"/>
      <c r="B60" s="211"/>
      <c r="C60" s="212"/>
      <c r="D60" s="212"/>
      <c r="E60" s="212"/>
      <c r="F60" s="212"/>
      <c r="G60" s="212"/>
      <c r="H60" s="212"/>
      <c r="I60" s="213"/>
    </row>
    <row r="61" spans="1:15" ht="18.75" customHeight="1" x14ac:dyDescent="0.15">
      <c r="A61" s="1"/>
      <c r="B61" s="211"/>
      <c r="C61" s="212"/>
      <c r="D61" s="212"/>
      <c r="E61" s="212"/>
      <c r="F61" s="212"/>
      <c r="G61" s="212"/>
      <c r="H61" s="212"/>
      <c r="I61" s="213"/>
    </row>
    <row r="62" spans="1:15" ht="18.75" customHeight="1" x14ac:dyDescent="0.15">
      <c r="A62" s="1"/>
      <c r="B62" s="211"/>
      <c r="C62" s="212"/>
      <c r="D62" s="212"/>
      <c r="E62" s="212"/>
      <c r="F62" s="212"/>
      <c r="G62" s="212"/>
      <c r="H62" s="212"/>
      <c r="I62" s="213"/>
    </row>
    <row r="63" spans="1:15" ht="18.75" customHeight="1" x14ac:dyDescent="0.15">
      <c r="A63" s="1"/>
      <c r="B63" s="214"/>
      <c r="C63" s="215"/>
      <c r="D63" s="215"/>
      <c r="E63" s="215"/>
      <c r="F63" s="215"/>
      <c r="G63" s="215"/>
      <c r="H63" s="215"/>
      <c r="I63" s="216"/>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189" t="s">
        <v>173</v>
      </c>
      <c r="C66" s="190"/>
      <c r="D66" s="190"/>
      <c r="E66" s="190"/>
      <c r="F66" s="190"/>
      <c r="G66" s="190"/>
      <c r="H66" s="190"/>
      <c r="I66" s="191"/>
    </row>
    <row r="67" spans="1:9" ht="18.75" customHeight="1" x14ac:dyDescent="0.15">
      <c r="A67" s="4"/>
      <c r="B67" s="192"/>
      <c r="C67" s="193"/>
      <c r="D67" s="193"/>
      <c r="E67" s="193"/>
      <c r="F67" s="193"/>
      <c r="G67" s="193"/>
      <c r="H67" s="193"/>
      <c r="I67" s="194"/>
    </row>
    <row r="68" spans="1:9" ht="18.75" customHeight="1" x14ac:dyDescent="0.15">
      <c r="A68" s="4"/>
      <c r="B68" s="192"/>
      <c r="C68" s="193"/>
      <c r="D68" s="193"/>
      <c r="E68" s="193"/>
      <c r="F68" s="193"/>
      <c r="G68" s="193"/>
      <c r="H68" s="193"/>
      <c r="I68" s="194"/>
    </row>
    <row r="69" spans="1:9" ht="18.75" customHeight="1" x14ac:dyDescent="0.15">
      <c r="A69" s="4"/>
      <c r="B69" s="192"/>
      <c r="C69" s="193"/>
      <c r="D69" s="193"/>
      <c r="E69" s="193"/>
      <c r="F69" s="193"/>
      <c r="G69" s="193"/>
      <c r="H69" s="193"/>
      <c r="I69" s="194"/>
    </row>
    <row r="70" spans="1:9" ht="18.75" customHeight="1" x14ac:dyDescent="0.15">
      <c r="A70" s="4"/>
      <c r="B70" s="192"/>
      <c r="C70" s="193"/>
      <c r="D70" s="193"/>
      <c r="E70" s="193"/>
      <c r="F70" s="193"/>
      <c r="G70" s="193"/>
      <c r="H70" s="193"/>
      <c r="I70" s="194"/>
    </row>
    <row r="71" spans="1:9" ht="18.75" customHeight="1" x14ac:dyDescent="0.15">
      <c r="A71" s="4"/>
      <c r="B71" s="192"/>
      <c r="C71" s="193"/>
      <c r="D71" s="193"/>
      <c r="E71" s="193"/>
      <c r="F71" s="193"/>
      <c r="G71" s="193"/>
      <c r="H71" s="193"/>
      <c r="I71" s="194"/>
    </row>
    <row r="72" spans="1:9" ht="18.75" customHeight="1" x14ac:dyDescent="0.15">
      <c r="A72" s="4"/>
      <c r="B72" s="192"/>
      <c r="C72" s="193"/>
      <c r="D72" s="193"/>
      <c r="E72" s="193"/>
      <c r="F72" s="193"/>
      <c r="G72" s="193"/>
      <c r="H72" s="193"/>
      <c r="I72" s="194"/>
    </row>
    <row r="73" spans="1:9" ht="18.75" customHeight="1" x14ac:dyDescent="0.15">
      <c r="A73" s="4"/>
      <c r="B73" s="192"/>
      <c r="C73" s="193"/>
      <c r="D73" s="193"/>
      <c r="E73" s="193"/>
      <c r="F73" s="193"/>
      <c r="G73" s="193"/>
      <c r="H73" s="193"/>
      <c r="I73" s="194"/>
    </row>
    <row r="74" spans="1:9" ht="18.75" customHeight="1" x14ac:dyDescent="0.15">
      <c r="A74" s="4"/>
      <c r="B74" s="192"/>
      <c r="C74" s="193"/>
      <c r="D74" s="193"/>
      <c r="E74" s="193"/>
      <c r="F74" s="193"/>
      <c r="G74" s="193"/>
      <c r="H74" s="193"/>
      <c r="I74" s="194"/>
    </row>
    <row r="75" spans="1:9" ht="18.75" customHeight="1" x14ac:dyDescent="0.15">
      <c r="A75" s="4"/>
      <c r="B75" s="192"/>
      <c r="C75" s="193"/>
      <c r="D75" s="193"/>
      <c r="E75" s="193"/>
      <c r="F75" s="193"/>
      <c r="G75" s="193"/>
      <c r="H75" s="193"/>
      <c r="I75" s="194"/>
    </row>
    <row r="76" spans="1:9" ht="18.75" customHeight="1" x14ac:dyDescent="0.15">
      <c r="A76" s="4"/>
      <c r="B76" s="192"/>
      <c r="C76" s="193"/>
      <c r="D76" s="193"/>
      <c r="E76" s="193"/>
      <c r="F76" s="193"/>
      <c r="G76" s="193"/>
      <c r="H76" s="193"/>
      <c r="I76" s="194"/>
    </row>
    <row r="77" spans="1:9" ht="18.75" customHeight="1" x14ac:dyDescent="0.15">
      <c r="A77" s="4"/>
      <c r="B77" s="195"/>
      <c r="C77" s="196"/>
      <c r="D77" s="196"/>
      <c r="E77" s="196"/>
      <c r="F77" s="196"/>
      <c r="G77" s="196"/>
      <c r="H77" s="196"/>
      <c r="I77" s="197"/>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9" t="s">
        <v>174</v>
      </c>
      <c r="C80" s="190"/>
      <c r="D80" s="190"/>
      <c r="E80" s="190"/>
      <c r="F80" s="190"/>
      <c r="G80" s="190"/>
      <c r="H80" s="190"/>
      <c r="I80" s="198"/>
    </row>
    <row r="81" spans="1:9" ht="18.75" customHeight="1" x14ac:dyDescent="0.15">
      <c r="A81" s="1"/>
      <c r="B81" s="199"/>
      <c r="C81" s="200"/>
      <c r="D81" s="200"/>
      <c r="E81" s="200"/>
      <c r="F81" s="200"/>
      <c r="G81" s="200"/>
      <c r="H81" s="200"/>
      <c r="I81" s="201"/>
    </row>
    <row r="82" spans="1:9" ht="18.75" customHeight="1" x14ac:dyDescent="0.15">
      <c r="A82" s="1"/>
      <c r="B82" s="199"/>
      <c r="C82" s="200"/>
      <c r="D82" s="200"/>
      <c r="E82" s="200"/>
      <c r="F82" s="200"/>
      <c r="G82" s="200"/>
      <c r="H82" s="200"/>
      <c r="I82" s="201"/>
    </row>
    <row r="83" spans="1:9" ht="18.75" customHeight="1" x14ac:dyDescent="0.15">
      <c r="A83" s="1"/>
      <c r="B83" s="199"/>
      <c r="C83" s="200"/>
      <c r="D83" s="200"/>
      <c r="E83" s="200"/>
      <c r="F83" s="200"/>
      <c r="G83" s="200"/>
      <c r="H83" s="200"/>
      <c r="I83" s="201"/>
    </row>
    <row r="84" spans="1:9" ht="18.75" customHeight="1" x14ac:dyDescent="0.15">
      <c r="A84" s="1"/>
      <c r="B84" s="199"/>
      <c r="C84" s="200"/>
      <c r="D84" s="200"/>
      <c r="E84" s="200"/>
      <c r="F84" s="200"/>
      <c r="G84" s="200"/>
      <c r="H84" s="200"/>
      <c r="I84" s="201"/>
    </row>
    <row r="85" spans="1:9" ht="18.75" customHeight="1" x14ac:dyDescent="0.15">
      <c r="A85" s="1"/>
      <c r="B85" s="199"/>
      <c r="C85" s="200"/>
      <c r="D85" s="200"/>
      <c r="E85" s="200"/>
      <c r="F85" s="200"/>
      <c r="G85" s="200"/>
      <c r="H85" s="200"/>
      <c r="I85" s="201"/>
    </row>
    <row r="86" spans="1:9" ht="18.75" customHeight="1" x14ac:dyDescent="0.15">
      <c r="A86" s="1"/>
      <c r="B86" s="199"/>
      <c r="C86" s="200"/>
      <c r="D86" s="200"/>
      <c r="E86" s="200"/>
      <c r="F86" s="200"/>
      <c r="G86" s="200"/>
      <c r="H86" s="200"/>
      <c r="I86" s="201"/>
    </row>
    <row r="87" spans="1:9" ht="18.75" customHeight="1" x14ac:dyDescent="0.15">
      <c r="A87" s="1"/>
      <c r="B87" s="199"/>
      <c r="C87" s="200"/>
      <c r="D87" s="200"/>
      <c r="E87" s="200"/>
      <c r="F87" s="200"/>
      <c r="G87" s="200"/>
      <c r="H87" s="200"/>
      <c r="I87" s="201"/>
    </row>
    <row r="88" spans="1:9" ht="18.75" customHeight="1" x14ac:dyDescent="0.15">
      <c r="A88" s="1"/>
      <c r="B88" s="199"/>
      <c r="C88" s="200"/>
      <c r="D88" s="200"/>
      <c r="E88" s="200"/>
      <c r="F88" s="200"/>
      <c r="G88" s="200"/>
      <c r="H88" s="200"/>
      <c r="I88" s="201"/>
    </row>
    <row r="89" spans="1:9" ht="18.75" customHeight="1" x14ac:dyDescent="0.15">
      <c r="A89" s="1"/>
      <c r="B89" s="199"/>
      <c r="C89" s="200"/>
      <c r="D89" s="200"/>
      <c r="E89" s="200"/>
      <c r="F89" s="200"/>
      <c r="G89" s="200"/>
      <c r="H89" s="200"/>
      <c r="I89" s="201"/>
    </row>
    <row r="90" spans="1:9" ht="18.75" customHeight="1" x14ac:dyDescent="0.15">
      <c r="A90" s="4"/>
      <c r="B90" s="199"/>
      <c r="C90" s="200"/>
      <c r="D90" s="200"/>
      <c r="E90" s="200"/>
      <c r="F90" s="200"/>
      <c r="G90" s="200"/>
      <c r="H90" s="200"/>
      <c r="I90" s="201"/>
    </row>
    <row r="91" spans="1:9" ht="18.75" customHeight="1" x14ac:dyDescent="0.15">
      <c r="A91" s="4"/>
      <c r="B91" s="202"/>
      <c r="C91" s="203"/>
      <c r="D91" s="203"/>
      <c r="E91" s="203"/>
      <c r="F91" s="203"/>
      <c r="G91" s="203"/>
      <c r="H91" s="203"/>
      <c r="I91" s="204"/>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217" t="s">
        <v>175</v>
      </c>
      <c r="C94" s="218"/>
      <c r="D94" s="218"/>
      <c r="E94" s="218"/>
      <c r="F94" s="218"/>
      <c r="G94" s="218"/>
      <c r="H94" s="218"/>
      <c r="I94" s="219"/>
    </row>
    <row r="95" spans="1:9" ht="18.75" customHeight="1" x14ac:dyDescent="0.15">
      <c r="A95" s="1"/>
      <c r="B95" s="220"/>
      <c r="C95" s="221"/>
      <c r="D95" s="221"/>
      <c r="E95" s="221"/>
      <c r="F95" s="221"/>
      <c r="G95" s="221"/>
      <c r="H95" s="221"/>
      <c r="I95" s="222"/>
    </row>
    <row r="96" spans="1:9" ht="18.75" customHeight="1" x14ac:dyDescent="0.15">
      <c r="A96" s="1"/>
      <c r="B96" s="220"/>
      <c r="C96" s="221"/>
      <c r="D96" s="221"/>
      <c r="E96" s="221"/>
      <c r="F96" s="221"/>
      <c r="G96" s="221"/>
      <c r="H96" s="221"/>
      <c r="I96" s="222"/>
    </row>
    <row r="97" spans="1:9" ht="18.75" customHeight="1" x14ac:dyDescent="0.15">
      <c r="A97" s="1"/>
      <c r="B97" s="220"/>
      <c r="C97" s="221"/>
      <c r="D97" s="221"/>
      <c r="E97" s="221"/>
      <c r="F97" s="221"/>
      <c r="G97" s="221"/>
      <c r="H97" s="221"/>
      <c r="I97" s="222"/>
    </row>
    <row r="98" spans="1:9" ht="18.75" customHeight="1" x14ac:dyDescent="0.15">
      <c r="A98" s="1"/>
      <c r="B98" s="220"/>
      <c r="C98" s="221"/>
      <c r="D98" s="221"/>
      <c r="E98" s="221"/>
      <c r="F98" s="221"/>
      <c r="G98" s="221"/>
      <c r="H98" s="221"/>
      <c r="I98" s="222"/>
    </row>
    <row r="99" spans="1:9" ht="18.75" customHeight="1" x14ac:dyDescent="0.15">
      <c r="A99" s="1"/>
      <c r="B99" s="220"/>
      <c r="C99" s="221"/>
      <c r="D99" s="221"/>
      <c r="E99" s="221"/>
      <c r="F99" s="221"/>
      <c r="G99" s="221"/>
      <c r="H99" s="221"/>
      <c r="I99" s="222"/>
    </row>
    <row r="100" spans="1:9" ht="18.75" customHeight="1" x14ac:dyDescent="0.15">
      <c r="A100" s="1"/>
      <c r="B100" s="220"/>
      <c r="C100" s="221"/>
      <c r="D100" s="221"/>
      <c r="E100" s="221"/>
      <c r="F100" s="221"/>
      <c r="G100" s="221"/>
      <c r="H100" s="221"/>
      <c r="I100" s="222"/>
    </row>
    <row r="101" spans="1:9" ht="18.75" customHeight="1" x14ac:dyDescent="0.15">
      <c r="A101" s="1"/>
      <c r="B101" s="220"/>
      <c r="C101" s="221"/>
      <c r="D101" s="221"/>
      <c r="E101" s="221"/>
      <c r="F101" s="221"/>
      <c r="G101" s="221"/>
      <c r="H101" s="221"/>
      <c r="I101" s="222"/>
    </row>
    <row r="102" spans="1:9" ht="18.75" customHeight="1" x14ac:dyDescent="0.15">
      <c r="A102" s="1"/>
      <c r="B102" s="220"/>
      <c r="C102" s="221"/>
      <c r="D102" s="221"/>
      <c r="E102" s="221"/>
      <c r="F102" s="221"/>
      <c r="G102" s="221"/>
      <c r="H102" s="221"/>
      <c r="I102" s="222"/>
    </row>
    <row r="103" spans="1:9" ht="18.75" customHeight="1" x14ac:dyDescent="0.15">
      <c r="A103" s="1"/>
      <c r="B103" s="220"/>
      <c r="C103" s="221"/>
      <c r="D103" s="221"/>
      <c r="E103" s="221"/>
      <c r="F103" s="221"/>
      <c r="G103" s="221"/>
      <c r="H103" s="221"/>
      <c r="I103" s="222"/>
    </row>
    <row r="104" spans="1:9" ht="18.75" customHeight="1" x14ac:dyDescent="0.15">
      <c r="A104" s="1"/>
      <c r="B104" s="220"/>
      <c r="C104" s="221"/>
      <c r="D104" s="221"/>
      <c r="E104" s="221"/>
      <c r="F104" s="221"/>
      <c r="G104" s="221"/>
      <c r="H104" s="221"/>
      <c r="I104" s="222"/>
    </row>
    <row r="105" spans="1:9" ht="18.75" customHeight="1" x14ac:dyDescent="0.15">
      <c r="A105" s="4"/>
      <c r="B105" s="223"/>
      <c r="C105" s="224"/>
      <c r="D105" s="224"/>
      <c r="E105" s="224"/>
      <c r="F105" s="224"/>
      <c r="G105" s="224"/>
      <c r="H105" s="224"/>
      <c r="I105" s="225"/>
    </row>
    <row r="106" spans="1:9" ht="7.5" customHeight="1" x14ac:dyDescent="0.15">
      <c r="A106" s="4"/>
      <c r="B106" s="4"/>
      <c r="C106" s="4"/>
      <c r="D106" s="4"/>
      <c r="E106" s="4"/>
      <c r="F106" s="4"/>
      <c r="G106" s="4"/>
      <c r="H106" s="4"/>
      <c r="I106" s="4"/>
    </row>
    <row r="107" spans="1:9" ht="18.75" customHeight="1" x14ac:dyDescent="0.15">
      <c r="A107" s="1" t="s">
        <v>29</v>
      </c>
      <c r="B107" s="226" t="s">
        <v>45</v>
      </c>
      <c r="C107" s="226"/>
      <c r="D107" s="226"/>
      <c r="E107" s="226"/>
      <c r="F107" s="226"/>
      <c r="G107" s="226"/>
      <c r="H107" s="226"/>
      <c r="I107" s="226"/>
    </row>
    <row r="108" spans="1:9" ht="18.75" customHeight="1" x14ac:dyDescent="0.15">
      <c r="A108" s="4"/>
      <c r="B108" s="217" t="s">
        <v>149</v>
      </c>
      <c r="C108" s="218"/>
      <c r="D108" s="218"/>
      <c r="E108" s="218"/>
      <c r="F108" s="218"/>
      <c r="G108" s="218"/>
      <c r="H108" s="218"/>
      <c r="I108" s="219"/>
    </row>
    <row r="109" spans="1:9" ht="18.75" customHeight="1" x14ac:dyDescent="0.15">
      <c r="A109" s="4"/>
      <c r="B109" s="220"/>
      <c r="C109" s="221"/>
      <c r="D109" s="221"/>
      <c r="E109" s="221"/>
      <c r="F109" s="221"/>
      <c r="G109" s="221"/>
      <c r="H109" s="221"/>
      <c r="I109" s="222"/>
    </row>
    <row r="110" spans="1:9" ht="18.75" customHeight="1" x14ac:dyDescent="0.15">
      <c r="A110" s="4"/>
      <c r="B110" s="220"/>
      <c r="C110" s="221"/>
      <c r="D110" s="221"/>
      <c r="E110" s="221"/>
      <c r="F110" s="221"/>
      <c r="G110" s="221"/>
      <c r="H110" s="221"/>
      <c r="I110" s="222"/>
    </row>
    <row r="111" spans="1:9" ht="18.75" customHeight="1" x14ac:dyDescent="0.15">
      <c r="A111" s="4"/>
      <c r="B111" s="220"/>
      <c r="C111" s="221"/>
      <c r="D111" s="221"/>
      <c r="E111" s="221"/>
      <c r="F111" s="221"/>
      <c r="G111" s="221"/>
      <c r="H111" s="221"/>
      <c r="I111" s="222"/>
    </row>
    <row r="112" spans="1:9" ht="18.75" customHeight="1" x14ac:dyDescent="0.15">
      <c r="A112" s="4"/>
      <c r="B112" s="220"/>
      <c r="C112" s="221"/>
      <c r="D112" s="221"/>
      <c r="E112" s="221"/>
      <c r="F112" s="221"/>
      <c r="G112" s="221"/>
      <c r="H112" s="221"/>
      <c r="I112" s="222"/>
    </row>
    <row r="113" spans="1:9" ht="18.75" customHeight="1" x14ac:dyDescent="0.15">
      <c r="A113" s="4"/>
      <c r="B113" s="220"/>
      <c r="C113" s="221"/>
      <c r="D113" s="221"/>
      <c r="E113" s="221"/>
      <c r="F113" s="221"/>
      <c r="G113" s="221"/>
      <c r="H113" s="221"/>
      <c r="I113" s="222"/>
    </row>
    <row r="114" spans="1:9" ht="18.75" customHeight="1" x14ac:dyDescent="0.15">
      <c r="A114" s="4"/>
      <c r="B114" s="220"/>
      <c r="C114" s="221"/>
      <c r="D114" s="221"/>
      <c r="E114" s="221"/>
      <c r="F114" s="221"/>
      <c r="G114" s="221"/>
      <c r="H114" s="221"/>
      <c r="I114" s="222"/>
    </row>
    <row r="115" spans="1:9" ht="18.75" customHeight="1" x14ac:dyDescent="0.15">
      <c r="A115" s="4"/>
      <c r="B115" s="220"/>
      <c r="C115" s="221"/>
      <c r="D115" s="221"/>
      <c r="E115" s="221"/>
      <c r="F115" s="221"/>
      <c r="G115" s="221"/>
      <c r="H115" s="221"/>
      <c r="I115" s="222"/>
    </row>
    <row r="116" spans="1:9" ht="18.75" customHeight="1" x14ac:dyDescent="0.15">
      <c r="A116" s="4"/>
      <c r="B116" s="220"/>
      <c r="C116" s="221"/>
      <c r="D116" s="221"/>
      <c r="E116" s="221"/>
      <c r="F116" s="221"/>
      <c r="G116" s="221"/>
      <c r="H116" s="221"/>
      <c r="I116" s="222"/>
    </row>
    <row r="117" spans="1:9" ht="18.75" customHeight="1" x14ac:dyDescent="0.15">
      <c r="A117" s="4"/>
      <c r="B117" s="220"/>
      <c r="C117" s="221"/>
      <c r="D117" s="221"/>
      <c r="E117" s="221"/>
      <c r="F117" s="221"/>
      <c r="G117" s="221"/>
      <c r="H117" s="221"/>
      <c r="I117" s="222"/>
    </row>
    <row r="118" spans="1:9" ht="18.75" customHeight="1" x14ac:dyDescent="0.15">
      <c r="A118" s="4"/>
      <c r="B118" s="220"/>
      <c r="C118" s="221"/>
      <c r="D118" s="221"/>
      <c r="E118" s="221"/>
      <c r="F118" s="221"/>
      <c r="G118" s="221"/>
      <c r="H118" s="221"/>
      <c r="I118" s="222"/>
    </row>
    <row r="119" spans="1:9" ht="18.75" customHeight="1" x14ac:dyDescent="0.15">
      <c r="A119" s="4"/>
      <c r="B119" s="223"/>
      <c r="C119" s="224"/>
      <c r="D119" s="224"/>
      <c r="E119" s="224"/>
      <c r="F119" s="224"/>
      <c r="G119" s="224"/>
      <c r="H119" s="224"/>
      <c r="I119" s="225"/>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AB34" sqref="AB34"/>
    </sheetView>
  </sheetViews>
  <sheetFormatPr defaultColWidth="11.375" defaultRowHeight="22.5" customHeight="1" x14ac:dyDescent="0.15"/>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x14ac:dyDescent="0.15">
      <c r="A1" s="1" t="s">
        <v>70</v>
      </c>
      <c r="I1" s="35" t="s">
        <v>104</v>
      </c>
    </row>
    <row r="2" spans="1:9" ht="18.75" customHeight="1" x14ac:dyDescent="0.15">
      <c r="H2" s="35" t="s">
        <v>108</v>
      </c>
      <c r="I2" s="34" t="str">
        <f>'様式１−１　プログラムを構成する授業科目'!C2</f>
        <v>茨城キリスト教大学</v>
      </c>
    </row>
    <row r="3" spans="1:9" ht="18.75" customHeight="1" x14ac:dyDescent="0.15">
      <c r="A3" s="112" t="s">
        <v>27</v>
      </c>
      <c r="B3" s="112"/>
      <c r="C3" s="112"/>
      <c r="D3" s="112"/>
      <c r="E3" s="112"/>
      <c r="F3" s="112"/>
      <c r="G3" s="112"/>
      <c r="H3" s="112"/>
      <c r="I3" s="112"/>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236" t="s">
        <v>146</v>
      </c>
      <c r="C6" s="264"/>
      <c r="D6" s="264"/>
      <c r="E6" s="264"/>
      <c r="F6" s="264"/>
      <c r="G6" s="264"/>
      <c r="H6" s="265"/>
      <c r="I6" s="3"/>
    </row>
    <row r="7" spans="1:9" ht="9" customHeight="1" x14ac:dyDescent="0.15">
      <c r="A7" s="5"/>
      <c r="B7" s="10"/>
      <c r="C7" s="10"/>
      <c r="D7" s="10"/>
      <c r="E7" s="10"/>
      <c r="F7" s="10"/>
      <c r="G7" s="10"/>
      <c r="H7" s="10"/>
      <c r="I7" s="3"/>
    </row>
    <row r="8" spans="1:9" ht="18.75" customHeight="1" x14ac:dyDescent="0.15">
      <c r="A8" s="5"/>
      <c r="B8" s="3"/>
      <c r="C8" s="3"/>
      <c r="D8" s="35" t="s">
        <v>42</v>
      </c>
      <c r="E8" s="36" t="s">
        <v>147</v>
      </c>
      <c r="F8" s="3"/>
      <c r="G8" s="35" t="s">
        <v>10</v>
      </c>
      <c r="H8" s="36" t="s">
        <v>148</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6" t="s">
        <v>23</v>
      </c>
      <c r="C11" s="98"/>
      <c r="D11" s="97"/>
      <c r="E11" s="98" t="s">
        <v>25</v>
      </c>
      <c r="F11" s="98"/>
      <c r="G11" s="98"/>
      <c r="H11" s="98"/>
      <c r="I11" s="97"/>
    </row>
    <row r="12" spans="1:9" ht="26.25" customHeight="1" x14ac:dyDescent="0.15">
      <c r="B12" s="48" t="s">
        <v>13</v>
      </c>
      <c r="C12" s="55"/>
      <c r="D12" s="49"/>
      <c r="E12" s="56"/>
      <c r="F12" s="56"/>
      <c r="G12" s="56"/>
      <c r="H12" s="56"/>
      <c r="I12" s="49"/>
    </row>
    <row r="13" spans="1:9" ht="210.75" customHeight="1" x14ac:dyDescent="0.15">
      <c r="B13" s="50"/>
      <c r="C13" s="247" t="s">
        <v>14</v>
      </c>
      <c r="D13" s="248"/>
      <c r="E13" s="260" t="s">
        <v>164</v>
      </c>
      <c r="F13" s="249"/>
      <c r="G13" s="249"/>
      <c r="H13" s="249"/>
      <c r="I13" s="250"/>
    </row>
    <row r="14" spans="1:9" ht="210.75" customHeight="1" x14ac:dyDescent="0.15">
      <c r="B14" s="50"/>
      <c r="C14" s="262" t="s">
        <v>15</v>
      </c>
      <c r="D14" s="263"/>
      <c r="E14" s="260" t="s">
        <v>151</v>
      </c>
      <c r="F14" s="249"/>
      <c r="G14" s="249"/>
      <c r="H14" s="249"/>
      <c r="I14" s="250"/>
    </row>
    <row r="15" spans="1:9" ht="210.75" customHeight="1" x14ac:dyDescent="0.15">
      <c r="B15" s="50"/>
      <c r="C15" s="247" t="s">
        <v>16</v>
      </c>
      <c r="D15" s="248"/>
      <c r="E15" s="260" t="s">
        <v>150</v>
      </c>
      <c r="F15" s="249"/>
      <c r="G15" s="249"/>
      <c r="H15" s="249"/>
      <c r="I15" s="250"/>
    </row>
    <row r="16" spans="1:9" ht="210.75" customHeight="1" x14ac:dyDescent="0.15">
      <c r="B16" s="50"/>
      <c r="C16" s="247" t="s">
        <v>17</v>
      </c>
      <c r="D16" s="248"/>
      <c r="E16" s="260" t="s">
        <v>156</v>
      </c>
      <c r="F16" s="249"/>
      <c r="G16" s="249"/>
      <c r="H16" s="249"/>
      <c r="I16" s="250"/>
    </row>
    <row r="17" spans="2:9" ht="210.75" customHeight="1" x14ac:dyDescent="0.15">
      <c r="B17" s="51"/>
      <c r="C17" s="251" t="s">
        <v>18</v>
      </c>
      <c r="D17" s="252"/>
      <c r="E17" s="261" t="s">
        <v>166</v>
      </c>
      <c r="F17" s="253"/>
      <c r="G17" s="253"/>
      <c r="H17" s="253"/>
      <c r="I17" s="254"/>
    </row>
    <row r="18" spans="2:9" ht="24" customHeight="1" x14ac:dyDescent="0.15">
      <c r="B18" s="48" t="s">
        <v>19</v>
      </c>
      <c r="C18" s="52"/>
      <c r="D18" s="53"/>
      <c r="E18" s="54"/>
      <c r="F18" s="54"/>
      <c r="G18" s="54"/>
      <c r="H18" s="54"/>
      <c r="I18" s="57"/>
    </row>
    <row r="19" spans="2:9" ht="218.25" customHeight="1" x14ac:dyDescent="0.15">
      <c r="B19" s="50"/>
      <c r="C19" s="247" t="s">
        <v>20</v>
      </c>
      <c r="D19" s="248"/>
      <c r="E19" s="249" t="s">
        <v>171</v>
      </c>
      <c r="F19" s="249"/>
      <c r="G19" s="249"/>
      <c r="H19" s="249"/>
      <c r="I19" s="250"/>
    </row>
    <row r="20" spans="2:9" ht="218.25" customHeight="1" x14ac:dyDescent="0.15">
      <c r="B20" s="51"/>
      <c r="C20" s="251" t="s">
        <v>21</v>
      </c>
      <c r="D20" s="252"/>
      <c r="E20" s="253" t="s">
        <v>167</v>
      </c>
      <c r="F20" s="253"/>
      <c r="G20" s="253"/>
      <c r="H20" s="253"/>
      <c r="I20" s="254"/>
    </row>
    <row r="21" spans="2:9" ht="218.25" customHeight="1" x14ac:dyDescent="0.15">
      <c r="B21" s="255" t="s">
        <v>22</v>
      </c>
      <c r="C21" s="256"/>
      <c r="D21" s="257"/>
      <c r="E21" s="258" t="s">
        <v>152</v>
      </c>
      <c r="F21" s="258"/>
      <c r="G21" s="258"/>
      <c r="H21" s="258"/>
      <c r="I21" s="259"/>
    </row>
    <row r="22" spans="2:9" ht="218.25" customHeight="1" x14ac:dyDescent="0.15">
      <c r="B22" s="242" t="s">
        <v>37</v>
      </c>
      <c r="C22" s="243"/>
      <c r="D22" s="244"/>
      <c r="E22" s="245" t="s">
        <v>153</v>
      </c>
      <c r="F22" s="245"/>
      <c r="G22" s="245"/>
      <c r="H22" s="245"/>
      <c r="I22" s="24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Eiji Yoneoka Okada</cp:lastModifiedBy>
  <cp:lastPrinted>2023-05-15T02:48:58Z</cp:lastPrinted>
  <dcterms:created xsi:type="dcterms:W3CDTF">2011-06-14T05:32:50Z</dcterms:created>
  <dcterms:modified xsi:type="dcterms:W3CDTF">2023-08-07T07:49:57Z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