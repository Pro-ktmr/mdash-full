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defaultThemeVersion="124226"/>
  <mc:AlternateContent xmlns:mc="http://schemas.openxmlformats.org/markup-compatibility/2006">
    <mc:Choice Requires="x15">
      <x15ac:absPath xmlns:x15ac="http://schemas.microsoft.com/office/spreadsheetml/2010/11/ac" url="\\jimufs\事務用ファイルサーバ\全学共通教養教育センター事務室\○企画・調整係\50 全学共通教養教育センター\数理・データサイエンス・AI教育\文部科学省（数理・ﾃﾞｰﾀｻｲｴﾝｽ・AI教育ﾌﾟﾛｸﾞﾗﾑ認定制度）\★★申請　DDASH-L★★\文科省へ提出（20230●●●）\"/>
    </mc:Choice>
  </mc:AlternateContent>
  <xr:revisionPtr revIDLastSave="0" documentId="13_ncr:1_{ED940462-FC96-41F4-9AB5-92FB22EF433F}" xr6:coauthVersionLast="36" xr6:coauthVersionMax="36" xr10:uidLastSave="{00000000-0000-0000-0000-000000000000}"/>
  <bookViews>
    <workbookView xWindow="-105" yWindow="-105" windowWidth="23250" windowHeight="1257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プログラムを構成する授業科目'!$A$1:$S$128</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l="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<sst xmlns="http://schemas.openxmlformats.org/spreadsheetml/2006/main" count="491" uniqueCount="238">
  <si>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</si>
  <si>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</si>
  <si>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</si>
  <si>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</si>
  <si>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</si>
  <si>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</si>
  <si>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</si>
  <si>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</si>
  <si>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</si>
  <si>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</si>
  <si>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</si>
  <si>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</si>
  <si>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</si>
  <si>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</si>
  <si>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</si>
  <si>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</si>
  <si>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</si>
  <si>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</si>
  <si>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</si>
  <si>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</si>
  <si>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</si>
  <si>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</si>
  <si>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</si>
  <si>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</si>
  <si>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</si>
  <si>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</si>
  <si>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</si>
  <si>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</si>
  <si>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</si>
  <si>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</si>
  <si>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</si>
  <si>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</si>
  <si>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</si>
  <si>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</si>
  <si>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</si>
  <si>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</si>
  <si>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</si>
  <si>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</si>
  <si>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</si>
  <si>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</si>
  <si>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</si>
  <si>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</si>
  <si>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</si>
  <si>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</si>
  <si>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</si>
  <si>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</si>
  <si>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</si>
  <si>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</si>
  <si>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</si>
  <si>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</si>
  <si>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</si>
  <si>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</si>
  <si>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</si>
  <si>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</si>
  <si>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</si>
  <si>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</si>
  <si>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</si>
  <si>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</si>
  <si>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</si>
  <si>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</si>
  <si>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</si>
  <si>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</si>
  <si>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</si>
  <si>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</si>
  <si>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</si>
  <si>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</si>
  <si>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</si>
  <si>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</si>
  <si>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</si>
  <si>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</si>
  <si>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</si>
  <si>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</si>
  <si>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</si>
  <si>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</si>
  <si>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</si>
  <si>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</si>
  <si>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</si>
  <si>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</si>
  <si>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</si>
  <si>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</si>
  <si>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</si>
  <si>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</si>
  <si>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</si>
  <si>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</si>
  <si>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</si>
  <si>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</si>
  <si>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</si>
  <si>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</si>
  <si>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</si>
  <si>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</si>
  <si>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</si>
  <si>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</si>
  <si>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</si>
  <si>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</si>
  <si>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</si>
  <si>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</si>
  <si>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</si>
  <si>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</si>
  <si>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</si>
  <si>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</si>
  <si>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</si>
  <si>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</si>
  <si>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</si>
  <si>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</si>
  <si>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</si>
  <si>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</si>
  <si>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</si>
  <si>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</si>
  <si>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</si>
  <si>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</si>
  <si>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</si>
  <si>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</si>
  <si>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</si>
  <si>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</si>
  <si>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</si>
  <si>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</si>
  <si>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</si>
  <si>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</si>
  <si>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</si>
  <si>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</si>
  <si>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</si>
  <si>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</si>
  <si>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</si>
  <si>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</si>
  <si>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</si>
  <si>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</si>
  <si>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</si>
  <si>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同志社大学</t>
    <rPh sb="0" eb="3">
      <t>ドウシシャ</t>
    </rPh>
    <rPh sb="3" eb="5">
      <t>ダイガク</t>
    </rPh>
    <phoneticPr fontId="1"/>
  </si>
  <si>
    <t>同志社データサイエンス・AI教育プログラム（リテラシーレベル）</t>
    <rPh sb="0" eb="3">
      <t>ドウシシャ</t>
    </rPh>
    <rPh sb="14" eb="16">
      <t>キョウイク</t>
    </rPh>
    <phoneticPr fontId="1"/>
  </si>
  <si>
    <t>学部・学科によって、修了要件は相違しない</t>
  </si>
  <si>
    <t>データサイエンス概論</t>
    <phoneticPr fontId="1"/>
  </si>
  <si>
    <t>○</t>
  </si>
  <si>
    <t>データサイエンス概論</t>
    <rPh sb="8" eb="10">
      <t>ガイロン</t>
    </rPh>
    <phoneticPr fontId="1"/>
  </si>
  <si>
    <t>Statistics for the Social Sciences and Humanities</t>
    <phoneticPr fontId="1"/>
  </si>
  <si>
    <t>データサイエンス１（データサイエンスの基礎と応用）</t>
    <phoneticPr fontId="1"/>
  </si>
  <si>
    <t>データサイエンス１（データ解析入門）</t>
    <phoneticPr fontId="1"/>
  </si>
  <si>
    <t>データサイエンス１（Rを用いたデータ分析）</t>
    <phoneticPr fontId="1"/>
  </si>
  <si>
    <t>データサイエンス１（統計的推測の入門）</t>
    <phoneticPr fontId="1"/>
  </si>
  <si>
    <t>データサイエンス１（応用データ分析入門）</t>
    <phoneticPr fontId="1"/>
  </si>
  <si>
    <t>データサイエンス１（統計学入門）</t>
    <phoneticPr fontId="1"/>
  </si>
  <si>
    <t>データサイエンス１（Excelによるデータ分析と処理）</t>
    <phoneticPr fontId="1"/>
  </si>
  <si>
    <t>データサイエンス１（データサイエンス入門）</t>
    <phoneticPr fontId="1"/>
  </si>
  <si>
    <t>データサイエンス２（応用データ分析）</t>
    <phoneticPr fontId="1"/>
  </si>
  <si>
    <t>データサイエンス２（多変量データ解析入門）</t>
    <phoneticPr fontId="1"/>
  </si>
  <si>
    <t>データサイエンス２（統計的推測の基礎）</t>
    <phoneticPr fontId="1"/>
  </si>
  <si>
    <t>データサイエンス２（データ解析法の基礎）</t>
    <phoneticPr fontId="1"/>
  </si>
  <si>
    <t>データサイエンス２（統計学入門）</t>
    <phoneticPr fontId="1"/>
  </si>
  <si>
    <t>データサイエンス２（統計と人工知能入門）</t>
    <phoneticPr fontId="1"/>
  </si>
  <si>
    <t>数学１（微分方程式入門）</t>
    <phoneticPr fontId="1"/>
  </si>
  <si>
    <t>数学１（線形代数学入門）</t>
    <phoneticPr fontId="1"/>
  </si>
  <si>
    <t>数学１（３つの数：π，e，i）</t>
    <phoneticPr fontId="1"/>
  </si>
  <si>
    <t>数学１（線形代数学）</t>
    <phoneticPr fontId="1"/>
  </si>
  <si>
    <t>数学１（個数計算の方法）</t>
    <phoneticPr fontId="1"/>
  </si>
  <si>
    <t>数学１（確率の基礎と応用）</t>
    <phoneticPr fontId="1"/>
  </si>
  <si>
    <t>数学１（整数の初歩）</t>
    <phoneticPr fontId="1"/>
  </si>
  <si>
    <t>数学２（線形代数学入門）</t>
    <phoneticPr fontId="1"/>
  </si>
  <si>
    <t>数学２（ランダム・ウォークとその応用）</t>
    <phoneticPr fontId="1"/>
  </si>
  <si>
    <t>数学２（数学史入門）</t>
    <phoneticPr fontId="1"/>
  </si>
  <si>
    <t>数学２（ベイズ統計入門）</t>
    <phoneticPr fontId="1"/>
  </si>
  <si>
    <t>数学２（微分方程式入門）</t>
    <phoneticPr fontId="1"/>
  </si>
  <si>
    <t>数学２（数学と理工学）</t>
    <phoneticPr fontId="1"/>
  </si>
  <si>
    <t>数学２（数学とコンピュータ）</t>
    <phoneticPr fontId="1"/>
  </si>
  <si>
    <t>数学２（微分積分の初歩）</t>
    <phoneticPr fontId="1"/>
  </si>
  <si>
    <t>神学部</t>
    <rPh sb="0" eb="2">
      <t>シンガク</t>
    </rPh>
    <rPh sb="2" eb="3">
      <t>ブ</t>
    </rPh>
    <phoneticPr fontId="1"/>
  </si>
  <si>
    <t>文学部</t>
    <rPh sb="0" eb="3">
      <t>ブンガクブ</t>
    </rPh>
    <phoneticPr fontId="1"/>
  </si>
  <si>
    <t>社会学部</t>
    <rPh sb="0" eb="2">
      <t>シャカイ</t>
    </rPh>
    <rPh sb="2" eb="4">
      <t>ガクブ</t>
    </rPh>
    <phoneticPr fontId="1"/>
  </si>
  <si>
    <t>経済学部</t>
    <rPh sb="0" eb="2">
      <t>ケイザイ</t>
    </rPh>
    <rPh sb="2" eb="4">
      <t>ガクブ</t>
    </rPh>
    <phoneticPr fontId="1"/>
  </si>
  <si>
    <t>商学部</t>
    <rPh sb="0" eb="2">
      <t>ショウガク</t>
    </rPh>
    <rPh sb="2" eb="3">
      <t>ブ</t>
    </rPh>
    <phoneticPr fontId="1"/>
  </si>
  <si>
    <t>政策学部</t>
    <rPh sb="0" eb="2">
      <t>セイサク</t>
    </rPh>
    <rPh sb="2" eb="4">
      <t>ガクブ</t>
    </rPh>
    <phoneticPr fontId="1"/>
  </si>
  <si>
    <t>文化情報学部</t>
    <rPh sb="0" eb="2">
      <t>ブンカ</t>
    </rPh>
    <rPh sb="2" eb="4">
      <t>ジョウホウ</t>
    </rPh>
    <rPh sb="4" eb="6">
      <t>ガクブ</t>
    </rPh>
    <phoneticPr fontId="1"/>
  </si>
  <si>
    <t>理工学部</t>
    <rPh sb="0" eb="2">
      <t>リコウ</t>
    </rPh>
    <rPh sb="2" eb="4">
      <t>ガクブ</t>
    </rPh>
    <phoneticPr fontId="1"/>
  </si>
  <si>
    <t>生命医科学部</t>
    <rPh sb="0" eb="2">
      <t>セイメイ</t>
    </rPh>
    <rPh sb="2" eb="5">
      <t>イカガク</t>
    </rPh>
    <rPh sb="5" eb="6">
      <t>ブ</t>
    </rPh>
    <phoneticPr fontId="1"/>
  </si>
  <si>
    <t>スポーツ健康科学部</t>
    <rPh sb="4" eb="6">
      <t>ケンコウ</t>
    </rPh>
    <rPh sb="6" eb="9">
      <t>カガクブ</t>
    </rPh>
    <phoneticPr fontId="1"/>
  </si>
  <si>
    <t>心理学部</t>
    <rPh sb="0" eb="2">
      <t>シンリ</t>
    </rPh>
    <rPh sb="2" eb="4">
      <t>ガクブ</t>
    </rPh>
    <phoneticPr fontId="1"/>
  </si>
  <si>
    <t>グローバル・コミュニケーション学部</t>
    <rPh sb="15" eb="17">
      <t>ガクブ</t>
    </rPh>
    <phoneticPr fontId="1"/>
  </si>
  <si>
    <t>グローバル地域文化学部</t>
    <rPh sb="5" eb="7">
      <t>チイキ</t>
    </rPh>
    <rPh sb="7" eb="9">
      <t>ブンカ</t>
    </rPh>
    <rPh sb="9" eb="11">
      <t>ガクブ</t>
    </rPh>
    <phoneticPr fontId="1"/>
  </si>
  <si>
    <t>法学部</t>
  </si>
  <si>
    <t>新関　三希代</t>
    <phoneticPr fontId="1"/>
  </si>
  <si>
    <t>副学長／教育支援機構長</t>
    <phoneticPr fontId="1"/>
  </si>
  <si>
    <t>同志社データサイエンス・AI教育プログラム運営委員会</t>
    <phoneticPr fontId="1"/>
  </si>
  <si>
    <t>宿久　洋</t>
    <phoneticPr fontId="1"/>
  </si>
  <si>
    <t>同志社データサイエンス・AI教育プログラム運営委員会 委員長</t>
    <rPh sb="23" eb="26">
      <t>イインカイ</t>
    </rPh>
    <phoneticPr fontId="1"/>
  </si>
  <si>
    <t>同志社大学全学共通教養教育センター規程</t>
    <phoneticPr fontId="1"/>
  </si>
  <si>
    <t>同志社データサイエンス・AI教育プログラム運営委員会 委員長</t>
    <phoneticPr fontId="1"/>
  </si>
  <si>
    <t>　本プログラムをより多くの学生および父母等のステークホルダーにも周知するため、学長室直下の特設Webサイトや全学共通教養教育センター公式ホームページなど、全学体制で情報を掲載し、広く学内外へ発信している。
　また、学ぶ内容や目的を分かりやすく学生に伝えることを目的に、科目担当者による科目紹介の動画コンテンツを作成し全学共通教養教育センター公式YouTubeチャンネルにおいて公開している。これらにより、学生は入学前や低年次の早い段階から本プログラムの登録・履修についての情報収集と準備が可能となる。
　具体的には、新入生や在学生に対してはもちろんのこと、高校生対象のオープンキャンパスも含めてプログラムを学ぶ意義や特徴、修了要件等を記載したパンフレットの作成・配布や、対面および非対面でのガイダンスの実施、入学前の学生に向けたサポートサイトによるメッセージ配信や、在学生に向けたLMS等でのデータサイエンス教育に関する情報発信を行う等、対象者にあわせたツールを用いてプログラムの周知・広報に努めている。</t>
    <rPh sb="205" eb="207">
      <t>ニュウガク</t>
    </rPh>
    <rPh sb="207" eb="208">
      <t>マエ</t>
    </rPh>
    <rPh sb="294" eb="295">
      <t>フク</t>
    </rPh>
    <phoneticPr fontId="1"/>
  </si>
  <si>
    <t>令和4（2022）</t>
    <rPh sb="0" eb="2">
      <t>レイワ</t>
    </rPh>
    <phoneticPr fontId="1"/>
  </si>
  <si>
    <t>●プログラム必修科目「データサイエンス概論」はリテラシーレベルのモデルカリキュラムに準拠した内容としており、外部講師を多数招聘し、実社会でのデータ・AIの利活用を中心に、興味を促進する内容を多く取り入れた。
●また、本学の学園祭にあたる「同志社EVE」においては、野村総合研究所との共催によるデータサイエンスのイベントを開催した。このイベントは事前にデータサイエンスに関するクイズ動画をYouTubeにて配信し、その解説をイベント中に行う等、その分野になじみの薄い文系を中心とした学生でもクイズを通じてデータサイエンスに触れて、学べるイベントとなるよう工夫した。身近に利用されているデータサイエンスの技術を取り上げ、教育機関のアカデミックな視点だけでなく、企業目線での分かりやすい、実社会につながる数理・データサイエンス・ＡＩを、「学ぶ楽しさ」「学ぶことの意義」の気付きとともに理解できるイベントとした。なお、本イベントについては、本学ホームページにおける周知だけではなく、数理・データサイエンス・AI教育強化拠点コンソーシアムを通じて加盟大学や関連機関等へ広く発信し、情報提供・共有に寄与した。</t>
    <rPh sb="382" eb="384">
      <t>キヅ</t>
    </rPh>
    <rPh sb="405" eb="406">
      <t>ホン</t>
    </rPh>
    <rPh sb="416" eb="418">
      <t>ホンガク</t>
    </rPh>
    <rPh sb="428" eb="430">
      <t>シュウチ</t>
    </rPh>
    <rPh sb="437" eb="439">
      <t>スウリ</t>
    </rPh>
    <rPh sb="451" eb="453">
      <t>キョウイク</t>
    </rPh>
    <rPh sb="453" eb="455">
      <t>キョウカ</t>
    </rPh>
    <rPh sb="455" eb="457">
      <t>キョテン</t>
    </rPh>
    <rPh sb="465" eb="466">
      <t>ツウ</t>
    </rPh>
    <rPh sb="468" eb="470">
      <t>カメイ</t>
    </rPh>
    <rPh sb="470" eb="472">
      <t>ダイガク</t>
    </rPh>
    <rPh sb="473" eb="475">
      <t>カンレン</t>
    </rPh>
    <rPh sb="475" eb="477">
      <t>キカン</t>
    </rPh>
    <rPh sb="477" eb="478">
      <t>トウ</t>
    </rPh>
    <rPh sb="479" eb="480">
      <t>ヒロ</t>
    </rPh>
    <rPh sb="481" eb="483">
      <t>ハッシン</t>
    </rPh>
    <rPh sb="485" eb="487">
      <t>ジョウホウ</t>
    </rPh>
    <rPh sb="487" eb="489">
      <t>テイキョウ</t>
    </rPh>
    <rPh sb="490" eb="492">
      <t>キョウユウ</t>
    </rPh>
    <phoneticPr fontId="1"/>
  </si>
  <si>
    <t>●本プログラムの必修科目「データサイエンス概論」の到達目標としては、以下を挙げている。
　・社会の変化、社会におけるデータ・AIの活用領域と利活用例、利活用における様々な留意事項を理解する。
　・専門分野を問わず、数理・データサイエンス・AIを使いこなすことができる基礎的な素養を身に付ける。
　・データをもとに事象を適切に捉え、分析、説明できる力を身に付ける。
　・学習した知識・技能を適切に扱う能力を身に付ける。
●学修成果については、プログラム必修科目の単位修得率により評価する。先に述べたように「データサイエンス概論」の単位修得者は1,288人で単位修得率は約78.01%あり、概ね良好な結果となり、目標とする学修成果は得られたと考えられる。
●本科目では各授業回において課題を出しているが、数式を扱う課題を出した回以降から少し得点率や提出率が下がった。授業内容や課題内容、学習の継続のためのサポート体制について、必要に応じて科目担当者間での検討に加え、「同志社データサイエンス・AI教育プログラム運営委員会」においても随時、改善を検討する。</t>
    <rPh sb="153" eb="154">
      <t>モト</t>
    </rPh>
    <rPh sb="243" eb="244">
      <t>サキ</t>
    </rPh>
    <rPh sb="245" eb="246">
      <t>ノ</t>
    </rPh>
    <rPh sb="333" eb="335">
      <t>ジュギョウ</t>
    </rPh>
    <rPh sb="464" eb="466">
      <t>ズイジ</t>
    </rPh>
    <phoneticPr fontId="1"/>
  </si>
  <si>
    <t>・社会の変化、社会におけるデータ・AIの活用領域と利活用例、利活用における様々な留意事項を理解する。
・専門分野を問わず、数理・データサイエンス・AIを使いこなすことができる基礎的な素養を身に付ける。
・データをもとに事象を適切に捉え、分析、説明できる力を身に付ける。　
・学習した知識・技能を適切に扱う能力を身に付ける。　</t>
  </si>
  <si>
    <t>●当該プログラムは令和4（2022）年度から開始したため、プログラムを修了した学生の進路や活躍状況、企業等の評価については令和5（2023）年度以降に、必要に応じてキャリアセンター等の他部署とも連携しつつ、実施することとなる。なお、既に企業や塾関係者等から、本プログラムへの期待の声を耳にしており、今後、産業界からの意見を取り入れる仕組についても検討していく。</t>
    <rPh sb="1" eb="3">
      <t>トウガイ</t>
    </rPh>
    <rPh sb="76" eb="78">
      <t>ヒツヨウ</t>
    </rPh>
    <rPh sb="79" eb="80">
      <t>オウ</t>
    </rPh>
    <rPh sb="90" eb="91">
      <t>トウ</t>
    </rPh>
    <rPh sb="92" eb="95">
      <t>タブショ</t>
    </rPh>
    <rPh sb="97" eb="99">
      <t>レンケイ</t>
    </rPh>
    <rPh sb="116" eb="117">
      <t>スデ</t>
    </rPh>
    <rPh sb="118" eb="120">
      <t>キギョウ</t>
    </rPh>
    <rPh sb="121" eb="122">
      <t>ジュク</t>
    </rPh>
    <rPh sb="122" eb="125">
      <t>カンケイシャ</t>
    </rPh>
    <rPh sb="125" eb="126">
      <t>トウ</t>
    </rPh>
    <rPh sb="129" eb="130">
      <t>ホン</t>
    </rPh>
    <rPh sb="137" eb="139">
      <t>キタイ</t>
    </rPh>
    <rPh sb="140" eb="141">
      <t>コエ</t>
    </rPh>
    <rPh sb="142" eb="143">
      <t>ミミ</t>
    </rPh>
    <rPh sb="149" eb="151">
      <t>コンゴ</t>
    </rPh>
    <rPh sb="152" eb="155">
      <t>サンギョウカイ</t>
    </rPh>
    <rPh sb="158" eb="160">
      <t>イケン</t>
    </rPh>
    <rPh sb="161" eb="162">
      <t>ト</t>
    </rPh>
    <rPh sb="163" eb="164">
      <t>イ</t>
    </rPh>
    <rPh sb="166" eb="168">
      <t>シクミ</t>
    </rPh>
    <rPh sb="173" eb="175">
      <t>ケントウ</t>
    </rPh>
    <phoneticPr fontId="1"/>
  </si>
  <si>
    <t>●令和4（2022）年度において、授業評価アンケートに他学生への推奨度を測る設問を設けていないが、履修の推奨のために、必修科目「データサイエンス概論」を受講した学生へのインタビューを行い、プログラム紹介リーフレットに掲載し、広く発信している。「情報解析の手法に始まり、それにより得たデータの視覚化まで実践的スキルを学べた」や「「深く考える意識」が鍛えられた」等の満足度の高いコメントが得られている。
●令和5（2023）年4月には、先輩メッセージだけでなく、関連デジタル書籍の利活用案内やオープンバッジ情報も盛り込んだプログラム紹介リーフレットを全新入生や在学生に配布し、本プログラムの認知度を更に高め、履修の推奨に活用する。</t>
    <rPh sb="145" eb="147">
      <t>シカク</t>
    </rPh>
    <rPh sb="216" eb="218">
      <t>センパイ</t>
    </rPh>
    <rPh sb="229" eb="231">
      <t>カンレン</t>
    </rPh>
    <rPh sb="235" eb="237">
      <t>ショセキ</t>
    </rPh>
    <rPh sb="238" eb="241">
      <t>リカツヨウ</t>
    </rPh>
    <rPh sb="241" eb="243">
      <t>アンナイ</t>
    </rPh>
    <rPh sb="251" eb="253">
      <t>ジョウホウ</t>
    </rPh>
    <rPh sb="254" eb="255">
      <t>モ</t>
    </rPh>
    <rPh sb="256" eb="257">
      <t>コ</t>
    </rPh>
    <rPh sb="264" eb="266">
      <t>ショウカイ</t>
    </rPh>
    <rPh sb="297" eb="298">
      <t>サラ</t>
    </rPh>
    <phoneticPr fontId="1"/>
  </si>
  <si>
    <t>　　「データサイエンス概論」はネット配信授業（オンデマンド型）で開講し、配信された講義の動画は、期間内に繰り返し学習できるようにしている。
　また、学習のサポート体制としては、科目担当教員に加えて一定程度の専門知識を持った大学院生等（ティーチング・アシスタント）を複数活用することで、授業に関する質問対応および学習補助のサポート体制等を整えている。</t>
    <rPh sb="98" eb="100">
      <t>イッテイ</t>
    </rPh>
    <phoneticPr fontId="1"/>
  </si>
  <si>
    <t>●当該プログラムは令和4（2022）年度から開始したため、プログラムを修了した学生の進路や活躍状況、企業等の評価については令和5（2023）年度以降に実施することとなる。
●キャリアセンターや校友課といった外部との接点の多い部署を通じて本プログラムを紹介・アピールすることで、企業等からの期待・注目の声も少なからずいただいている。</t>
    <rPh sb="95" eb="98">
      <t>コウユウカ</t>
    </rPh>
    <rPh sb="102" eb="104">
      <t>ガイブ</t>
    </rPh>
    <rPh sb="106" eb="108">
      <t>セッテン</t>
    </rPh>
    <rPh sb="115" eb="116">
      <t>ツウ</t>
    </rPh>
    <rPh sb="118" eb="119">
      <t>ホン</t>
    </rPh>
    <rPh sb="125" eb="127">
      <t>ショウカイ</t>
    </rPh>
    <rPh sb="138" eb="140">
      <t>キギョウ</t>
    </rPh>
    <rPh sb="140" eb="141">
      <t>トウ</t>
    </rPh>
    <rPh sb="144" eb="146">
      <t>キタイ</t>
    </rPh>
    <rPh sb="147" eb="149">
      <t>チュウモク</t>
    </rPh>
    <rPh sb="150" eb="151">
      <t>コエ</t>
    </rPh>
    <rPh sb="152" eb="153">
      <t>スク</t>
    </rPh>
    <phoneticPr fontId="1"/>
  </si>
  <si>
    <t>データサイエンス１（データサイエンスの基礎と応用）</t>
    <phoneticPr fontId="1"/>
  </si>
  <si>
    <t>データサイエンス１（データサイエンス入門）</t>
    <phoneticPr fontId="1"/>
  </si>
  <si>
    <t>データサイエンス１（統計的推測の入門）</t>
    <phoneticPr fontId="1"/>
  </si>
  <si>
    <t>Statistics for the Social Sciences and Humanities</t>
    <phoneticPr fontId="1"/>
  </si>
  <si>
    <t>データサイエンス１（データ解析入門）</t>
    <phoneticPr fontId="1"/>
  </si>
  <si>
    <t>データサイエンス１（Rを用いたデータ分析）</t>
    <phoneticPr fontId="1"/>
  </si>
  <si>
    <t>データサイエンス１（統計学入門）</t>
    <phoneticPr fontId="1"/>
  </si>
  <si>
    <t>データサイエンス１（Excelによるデータ分析と処理）</t>
    <phoneticPr fontId="1"/>
  </si>
  <si>
    <t>データサイエンス２（多変量データ解析入門）</t>
    <phoneticPr fontId="1"/>
  </si>
  <si>
    <t>データサイエンス２（データ解析法の基礎）</t>
    <phoneticPr fontId="1"/>
  </si>
  <si>
    <t>データサイエンス２（統計と人工知能入門）</t>
    <phoneticPr fontId="1"/>
  </si>
  <si>
    <t>4-1統計および数理基礎</t>
  </si>
  <si>
    <t>4‐8データ活用実践（教師あり学習）</t>
  </si>
  <si>
    <t>4‐7データハンドリング</t>
  </si>
  <si>
    <t>4‐9データ活用実践（教師なし学習）</t>
  </si>
  <si>
    <t>4‐4時系列データ解析</t>
  </si>
  <si>
    <t>4‐5テキスト解析</t>
  </si>
  <si>
    <t>4‐6画像解析</t>
  </si>
  <si>
    <t>4‐2アルゴリズム基礎</t>
  </si>
  <si>
    <t>・調査データ、実験データ、人の行動ログデータ、機械の稼働ログデータなど（「データサイエンス概論」第4回～第10回、「データサイエンス１（データサイエンスの基礎と応用）」第11回～第14回、「データサイエンス１（データサイエンス入門）」第12回）
・1次データ、2次データ、データのメタ化（「データサイエンス概論」第4回～第10回、「データサイエンス１（データサイエンスの基礎と応用）」第11回～第14回、「データサイエンス１（データサイエンス入門）」第12回）
・構造化データ、非構造化データ（文章、画像/動画、音声/音楽など）（「データサイエンス概論」第4回～第10回、「データサイエンス１（データサイエンスの基礎と応用）」第11回～第14回、「データサイエンス１（データサイエンス入門）」第12回）
・データ作成（ビッグデータとアノテーション）（「データサイエンス概論」第4回～第10回、「データサイエンス１（データサイエンスの基礎と応用）」第11回～第14回、「データサイエンス１（データサイエンス入門）」第12回）
・データのオープン化（オープンデータ）（「データサイエンス概論」第4回～第10回、「データサイエンス１（データサイエンスの基礎と応用）」第11回～第14回、「データサイエンス１（データサイエンス入門）」第12回）</t>
    <phoneticPr fontId="1"/>
  </si>
  <si>
    <t>・データ解析：予測、グルーピング、パターン発見、最適化、シミュレーション・データ同化など（「データサイエンス概論」第4回～第10回、「データサイエンス１（データサイエンス入門）」第3回、第12回）
・データ可視化：複合グラフ、2軸グラフ、多次元の可視化、関係性の可視化、地図上の可視化、
挙動・軌跡の可視化、リアルタイム可視化など（「データサイエンス概論」第4回～第10回、「データサイエンス１（データサイエンス入門）」第3回、第12回）
・非構造化データ処理：言語処理、画像/動画処理、音声/音楽処理など（「データサイエンス概論」第4回～第10回、「データサイエンス１（データサイエンス入門）」第3回、第12回）
・特化型AIと汎用AI、今のAIで出来ることと出来ないこと、AIとビッグデータ（「データサイエンス概論」第4回～第10回）
・認識技術、ルールベース、自動化技術（「データサイエンス概論」第4回～第10回、「データサイエンス１（データサイエンス入門）」第3回、第12回）</t>
    <rPh sb="89" eb="90">
      <t>ダイ</t>
    </rPh>
    <rPh sb="91" eb="92">
      <t>カイ</t>
    </rPh>
    <rPh sb="93" eb="94">
      <t>ダイ</t>
    </rPh>
    <rPh sb="96" eb="97">
      <t>カイ</t>
    </rPh>
    <phoneticPr fontId="1"/>
  </si>
  <si>
    <t>・データの集計（和、平均）（「データサイエンス概論」第4回～第10回、「データサイエンス１（データサイエンスの基礎と応用）」第8回～第14回、「データサイエンス１（Rを用いたデータ分析）」第2回、第3回、第12回～第14回、「データサイエンス１（Excelによるデータ分析と処理）」第5回～第7回）
・データの並び替え、ランキング（「データサイエンス概論」第4回～第10回、「データサイエンス１（データサイエンスの基礎と応用）」第8回～第14回、「データサイエンス１（Rを用いたデータ分析）」第2回、第3回、第12回～第14回、「データサイエンス１（Excelによるデータ分析と処理）」第5回～第7回）
・データ解析ツール（スプレッドシート）（「データサイエンス概論」第4回～第10回、「データサイエンス１（データサイエンスの基礎と応用）」第8回～第14回、「データサイエンス１（Rを用いたデータ分析）」第2回、第3回、第12回～第14回、「データサイエンス１（Excelによるデータ分析と処理）」第5回～第7回）
・表形式のデータ（csv）（「データサイエンス概論」第4回～第10回、「データサイエンス１（データサイエンスの基礎と応用）」第8回～第14回、「データサイエンス１（Rを用いたデータ分析）」第2回、第3回、第12回～第14回、「データサイエンス１（Excelによるデータ分析と処理）」第5回～第7回）</t>
    <rPh sb="62" eb="63">
      <t>ダイ</t>
    </rPh>
    <rPh sb="64" eb="65">
      <t>カイ</t>
    </rPh>
    <rPh sb="66" eb="67">
      <t>ダイ</t>
    </rPh>
    <rPh sb="69" eb="70">
      <t>カイ</t>
    </rPh>
    <rPh sb="141" eb="142">
      <t>ダイ</t>
    </rPh>
    <rPh sb="143" eb="144">
      <t>カイ</t>
    </rPh>
    <rPh sb="145" eb="146">
      <t>ダイ</t>
    </rPh>
    <rPh sb="147" eb="148">
      <t>カイ</t>
    </rPh>
    <phoneticPr fontId="1"/>
  </si>
  <si>
    <t xml:space="preserve">●プログラムの履修については、より多くの学生の履修促進のためにも個別の申請は受け付けておらず、必修科目の科目登録をもって、プログラムに申請したものとみなして各種書類に表記される仕組とし、プログラムに関心を持たせるように工夫できている。
●プログラム開始初年度である令和4（2022）年度は1,651人の全学部に渡る履修者数となり、必修科目「データサイエンス概論」の単位修得者は1,288人で単位修得率は約78.01%と、良好な結果となった。
●学部別に見ると文理融合の文化情報学部を中心に理系の学部や経済学部等、データサイエンスや統計に馴染みある学部の履修率が高い結果となった。
●今年度のDDASH-Lの修了率を見ると全体で約15.45%に留まったが、これはプログラム初年度であることに加え、プログラム修了については複数年をかけて計画的に履修することを考えている低年次の学生も少なくないと推察できるため、今後数年は増加する見込みであり、問題としては捉えていない。全学部から履修生（および単位修得者）を出したことや、文系学部からも初年度で既にプログラムの修了要件を満たした学生がデジタル学習歴であるオープンバッジを受領していることは評価できると考える。プログラム初年度である今年度の履修者には前述したが1年次生が多く、今後も、年度を重ねるにつれて低年次でのプログラム履修者の増加の実現に向け、様々な視点・方面からの履修促進にアプローチする取組が期待されている。
●なお文系学部を中心とした、データサイエンスや統計になじみの少ない学部においては履修者数や履修率の値が低い結果となり、文系学部を中心とした学生への数理・データサイエンス・AIを学ぶことの意義・重要性についての更なる周知徹底・訴求は課題と捉えている。
</t>
    <rPh sb="291" eb="294">
      <t>コンネンド</t>
    </rPh>
    <rPh sb="335" eb="336">
      <t>ショ</t>
    </rPh>
    <rPh sb="336" eb="338">
      <t>ネンド</t>
    </rPh>
    <rPh sb="344" eb="345">
      <t>クワ</t>
    </rPh>
    <rPh sb="382" eb="383">
      <t>テイ</t>
    </rPh>
    <rPh sb="383" eb="385">
      <t>ネンジ</t>
    </rPh>
    <rPh sb="389" eb="390">
      <t>スク</t>
    </rPh>
    <rPh sb="405" eb="407">
      <t>スウネン</t>
    </rPh>
    <rPh sb="412" eb="414">
      <t>ミコ</t>
    </rPh>
    <rPh sb="419" eb="421">
      <t>モンダイ</t>
    </rPh>
    <rPh sb="546" eb="548">
      <t>ゼンジュツ</t>
    </rPh>
    <rPh sb="590" eb="592">
      <t>ジツゲン</t>
    </rPh>
    <rPh sb="593" eb="594">
      <t>ム</t>
    </rPh>
    <rPh sb="599" eb="601">
      <t>シテン</t>
    </rPh>
    <rPh sb="602" eb="604">
      <t>ホウメン</t>
    </rPh>
    <rPh sb="607" eb="609">
      <t>リシュウ</t>
    </rPh>
    <rPh sb="609" eb="611">
      <t>ソクシン</t>
    </rPh>
    <rPh sb="619" eb="621">
      <t>トリクミ</t>
    </rPh>
    <rPh sb="751" eb="752">
      <t>トラ</t>
    </rPh>
    <phoneticPr fontId="1"/>
  </si>
  <si>
    <t>以下のプログラム構成科目の中から、必修科目2単位に加え、選択科目の中から2科目4単位以上、合計3科目6単位以上を修得すること。
【必修科目（1科目2単位）】
  「データサイエンス概論」
【選択科目（9科目18単位）】
  「Statistics for the Social Sciences and Humanities」、「論理的思考の基礎（１）」、「論理的思考の基礎（２）」、「論理的思考の応用（１）」、「論理的思考の応用（２）」、「数学１」、「数学２」、「データサイエンス１」、「データサイエンス２」</t>
    <rPh sb="0" eb="2">
      <t>イカ</t>
    </rPh>
    <rPh sb="8" eb="10">
      <t>コウセイ</t>
    </rPh>
    <rPh sb="10" eb="12">
      <t>カモク</t>
    </rPh>
    <rPh sb="13" eb="14">
      <t>ナカ</t>
    </rPh>
    <rPh sb="65" eb="67">
      <t>ヒッシュウ</t>
    </rPh>
    <rPh sb="67" eb="69">
      <t>カモク</t>
    </rPh>
    <rPh sb="71" eb="73">
      <t>カモク</t>
    </rPh>
    <rPh sb="74" eb="76">
      <t>タンイ</t>
    </rPh>
    <rPh sb="90" eb="92">
      <t>ガイロン</t>
    </rPh>
    <rPh sb="95" eb="97">
      <t>センタク</t>
    </rPh>
    <rPh sb="97" eb="99">
      <t>カモク</t>
    </rPh>
    <phoneticPr fontId="1"/>
  </si>
  <si>
    <t>　「同志社データサイエンス・AI教育プログラム（リテラシーレベル）」の全ての科目は、全学部学生が履修でき、全学に共通する基礎的・専門横断的な科目である全学共通教養教育科目として開講している。
　全学共通教養教育科目の編成に関する企画、運営および自己点検・評価を行うことにより、教養教育の一層の充実を推進することを目的として全学共通教養教育センターを設置している。
　この体制の下に全学部の専任教員を構成員とした「同志社データサイエンス・AI教育プログラム運営委員会」を設置し、科目内容・履修方法、修了認定、カリキュラム改編等のプログラム実施に必要な事項の検討を進めている。</t>
    <phoneticPr fontId="1"/>
  </si>
  <si>
    <t>＜同志社データサイエンス・AI教育プログラム運営委員会＞
宿久　洋（同志社データサイエンス・AI教育プログラム運営委員会 委員長、文化情報学部教授）
川口　章（全学共通教養教育センター所長、政策学部教授）
関谷　直人（神学部教授）
赤松　信彦（文学部教授）
松山　一紀（社会学部教授）
野々村　和喜（法学部准教授）
大野　隆（経済学部教授）
辻村　元男（商学部教授）
三好　博昭（政策学部教授）
土屋　誠司（理工学部教授）
日和　悟（生命医科学部准教授）
中村　康雄（スポーツ健康科学部教授）
余語　真夫（心理学部教授）
須藤　潤（グローバル・コミュニケーション学部准教授）
髙木　繁光（グローバル地域文化学部教授）</t>
    <rPh sb="61" eb="64">
      <t>イインチョウ</t>
    </rPh>
    <rPh sb="153" eb="156">
      <t>ジュンキョウジュ</t>
    </rPh>
    <rPh sb="283" eb="286">
      <t>ジュンキョウジュ</t>
    </rPh>
    <phoneticPr fontId="1"/>
  </si>
  <si>
    <t>　本プログラムに関連する全ての科目は、学部・学科に関わらず全学部生が履修可能で、卒業必要単位に参入できる「全学共通教養教育科目」として開講している。
　本プログラムの必修科目である「データサイエンス概論」は、学生が他の科目との時間割上の曜日・講時の重複を気にせず履修できるように、ネット配信授業（オンデマンド型）としており、全てのキャンパスの学生が履修できるようにしている。科目は春学期と秋学期それぞれで開講し、定員を設けず、数千人が受講可能な科目設計としている。なお授業では、担当教員に加えて、一定程度の専門知識を持った大学院生（ティーチング・アシスタント）が質問対応等の補助を行うことにより、履修学生に対して、きめ細かなサポートが実現できている。</t>
    <rPh sb="285" eb="286">
      <t>トウ</t>
    </rPh>
    <phoneticPr fontId="1"/>
  </si>
  <si>
    <t>　　「データサイエンス概論」はLMSにて管理しており、学生は授業時間外でも、LMSのコミュニケーションツールにより担当教員や一定程度の専門知識を持った大学院生等（ティーチング・アシスタント）に問合せが可能となっている。また、シラバス等により事前に登録者には周知しているが、授業期間中の土曜日に定期的にMicrosoft Teamsを活用したオンラインでのリアルタイムの質問受付の機会を設けている。</t>
    <rPh sb="136" eb="138">
      <t>ジュギョウ</t>
    </rPh>
    <rPh sb="138" eb="140">
      <t>キカン</t>
    </rPh>
    <rPh sb="140" eb="141">
      <t>チュウ</t>
    </rPh>
    <phoneticPr fontId="1"/>
  </si>
  <si>
    <t>●授業評価アンケートにおける学修到達目標の達成の評価は、5段階評価の上位2段階（強くそう思う。そう思う。）について春学期：69.1%、秋学期：63.6%であった。中立を含めると春学期：87.3%、秋学期：90.9%であり、一定の理解は得られたと考える。
●また、自由記述の内容より、課題を実践することでデータサイエンスのリテラシーが身に付いたという声もあったが、課題が多く文系学生にとっては計算問題が難しかったという声もあった。課題に取り組むことで知識やスキルが身に付く一方で、難しく感じ途中であきらめる学生も少なからず発生しており、説明コンテンツや資料の更なる工夫やサポート体制の強化等について、既に科目担当者において次年度に向けた改善を進めている。今後も必要に応じて適宜、改善の検討・対応を行っていく。
●なお本学学生は「統計検定」を特別価格で受験することが可能であり、令和4（2022）年度は227人が受験している。今後、本プログラム履修者にも広く周知し、統計検定を用いた質の自己検証に活用するよう奨励することで、将来的には学生アンケートにおいて授業内容の理解度向上への寄与が伺えることにも期待したい。</t>
    <rPh sb="357" eb="359">
      <t>ホンガク</t>
    </rPh>
    <rPh sb="359" eb="361">
      <t>ガクセイ</t>
    </rPh>
    <rPh sb="363" eb="365">
      <t>トウケイ</t>
    </rPh>
    <rPh sb="365" eb="367">
      <t>ケンテイ</t>
    </rPh>
    <rPh sb="369" eb="371">
      <t>トクベツ</t>
    </rPh>
    <rPh sb="371" eb="373">
      <t>カカク</t>
    </rPh>
    <rPh sb="374" eb="376">
      <t>ジュケン</t>
    </rPh>
    <rPh sb="381" eb="383">
      <t>カノウ</t>
    </rPh>
    <rPh sb="387" eb="389">
      <t>レイワ</t>
    </rPh>
    <rPh sb="396" eb="398">
      <t>ネンド</t>
    </rPh>
    <rPh sb="402" eb="403">
      <t>ニン</t>
    </rPh>
    <rPh sb="404" eb="406">
      <t>ジュケン</t>
    </rPh>
    <rPh sb="411" eb="413">
      <t>コンゴ</t>
    </rPh>
    <rPh sb="414" eb="415">
      <t>ホン</t>
    </rPh>
    <rPh sb="420" eb="422">
      <t>リシュウ</t>
    </rPh>
    <rPh sb="422" eb="423">
      <t>シャ</t>
    </rPh>
    <rPh sb="425" eb="426">
      <t>ヒロ</t>
    </rPh>
    <rPh sb="427" eb="429">
      <t>シュウチ</t>
    </rPh>
    <rPh sb="446" eb="448">
      <t>カツヨウ</t>
    </rPh>
    <rPh sb="452" eb="454">
      <t>ショウレイ</t>
    </rPh>
    <rPh sb="460" eb="463">
      <t>ショウライテキ</t>
    </rPh>
    <rPh sb="465" eb="467">
      <t>ガクセイ</t>
    </rPh>
    <rPh sb="476" eb="478">
      <t>ジュギョウ</t>
    </rPh>
    <rPh sb="478" eb="480">
      <t>ナイヨウ</t>
    </rPh>
    <rPh sb="481" eb="484">
      <t>リカイド</t>
    </rPh>
    <rPh sb="484" eb="486">
      <t>コウジョウ</t>
    </rPh>
    <rPh sb="488" eb="490">
      <t>キヨ</t>
    </rPh>
    <rPh sb="491" eb="492">
      <t>ウカガ</t>
    </rPh>
    <rPh sb="498" eb="500">
      <t>キタイ</t>
    </rPh>
    <phoneticPr fontId="1"/>
  </si>
  <si>
    <t xml:space="preserve">●本プログラムの必修科目「データサイエンス概論」は令和4（2022）年度からの新規開設科目であり、ネット配信授業（オンデマンド型）で希望者全員を受け入れることが可能な科目設計・体制をとっており、更に学生の計画的な履修が可能となるように、春学期・秋学期それぞれに科目を開講している。受入体制は既に整備できており、学生への訴求のための活動が目下の課題である。
●本プログラムの全ての対象科目は全学共通教養教育科目として全学的に開講しているが、履修者の構成比をみると学部によって大きな違いが見られ、データサイエンスや統計になじみの薄い学部の履修生は多くない。そのような学生に対して、数理・データサイエンス・AIを学ぶ意義や必要性が伝えられるイベントを継続的に開催する意義は高いと考える。（令和4（2022）年度の開催イベントの当日来場者数は58人、オンライン参加者は217人であったが、コロナ禍で対面開催を復活させた学園祭期間での参加者数としては決して少なくないと考えており、継続した情報発信を行う。）
●リテラシーレベルの次の段階となる応用基礎レベルと本学オリジナルの「データサイエンス・AI副専攻」を令和5（2023）年度から開設し、そしてそれらの要件を満たした学生にはそれぞれ学習歴のデジタル証明（オープンバッジ）を授与できるようにすることでプログラムの履修・学習意欲を高める。
●なお今後に向けては、オープンバッジにより可視化された学習成果を就職活動等で積極的に活用できるよう、その利用法をキャリアセンター等の関連部署とも連携して更なる周知に努め、活用支援の取組を進める。
</t>
    <rPh sb="99" eb="101">
      <t>ガクセイ</t>
    </rPh>
    <rPh sb="102" eb="105">
      <t>ケイカクテキ</t>
    </rPh>
    <rPh sb="106" eb="108">
      <t>リシュウ</t>
    </rPh>
    <rPh sb="109" eb="111">
      <t>カノウ</t>
    </rPh>
    <rPh sb="130" eb="132">
      <t>カモク</t>
    </rPh>
    <rPh sb="189" eb="191">
      <t>タイショウ</t>
    </rPh>
    <rPh sb="271" eb="272">
      <t>オオ</t>
    </rPh>
    <rPh sb="322" eb="325">
      <t>ケイゾクテキ</t>
    </rPh>
    <rPh sb="330" eb="332">
      <t>イギ</t>
    </rPh>
    <rPh sb="333" eb="334">
      <t>タカ</t>
    </rPh>
    <rPh sb="336" eb="337">
      <t>カンガ</t>
    </rPh>
    <rPh sb="393" eb="394">
      <t>カ</t>
    </rPh>
    <rPh sb="395" eb="397">
      <t>タイメン</t>
    </rPh>
    <rPh sb="397" eb="399">
      <t>カイサイ</t>
    </rPh>
    <rPh sb="400" eb="402">
      <t>フッカツ</t>
    </rPh>
    <rPh sb="405" eb="408">
      <t>ガクエンサイ</t>
    </rPh>
    <rPh sb="408" eb="410">
      <t>キカン</t>
    </rPh>
    <rPh sb="412" eb="415">
      <t>サンカシャ</t>
    </rPh>
    <rPh sb="415" eb="416">
      <t>スウ</t>
    </rPh>
    <rPh sb="420" eb="421">
      <t>ケッ</t>
    </rPh>
    <rPh sb="423" eb="424">
      <t>スク</t>
    </rPh>
    <rPh sb="429" eb="430">
      <t>カンガ</t>
    </rPh>
    <rPh sb="435" eb="437">
      <t>ケイゾク</t>
    </rPh>
    <rPh sb="439" eb="441">
      <t>ジョウホウ</t>
    </rPh>
    <rPh sb="441" eb="443">
      <t>ハッシン</t>
    </rPh>
    <rPh sb="444" eb="445">
      <t>オコナ</t>
    </rPh>
    <rPh sb="577" eb="579">
      <t>リシュウ</t>
    </rPh>
    <rPh sb="580" eb="582">
      <t>ガクシュウ</t>
    </rPh>
    <rPh sb="582" eb="584">
      <t>イヨク</t>
    </rPh>
    <rPh sb="585" eb="586">
      <t>タカ</t>
    </rPh>
    <rPh sb="593" eb="595">
      <t>コンゴ</t>
    </rPh>
    <rPh sb="596" eb="597">
      <t>ム</t>
    </rPh>
    <rPh sb="617" eb="619">
      <t>ガクシュウ</t>
    </rPh>
    <rPh sb="619" eb="621">
      <t>セイカ</t>
    </rPh>
    <rPh sb="628" eb="631">
      <t>セッキョクテキ</t>
    </rPh>
    <rPh sb="642" eb="644">
      <t>リヨウ</t>
    </rPh>
    <rPh sb="654" eb="655">
      <t>トウ</t>
    </rPh>
    <rPh sb="656" eb="658">
      <t>カンレン</t>
    </rPh>
    <rPh sb="658" eb="660">
      <t>ブショ</t>
    </rPh>
    <rPh sb="662" eb="664">
      <t>レンケイ</t>
    </rPh>
    <rPh sb="666" eb="667">
      <t>サラ</t>
    </rPh>
    <rPh sb="669" eb="671">
      <t>シュウチ</t>
    </rPh>
    <rPh sb="672" eb="673">
      <t>ツト</t>
    </rPh>
    <rPh sb="675" eb="677">
      <t>カツヨウ</t>
    </rPh>
    <rPh sb="680" eb="682">
      <t>トリクミ</t>
    </rPh>
    <rPh sb="683" eb="684">
      <t>スス</t>
    </rPh>
    <phoneticPr fontId="1"/>
  </si>
  <si>
    <t>●令和5（2023）年度から、プログラム必修科目「データサイエンス概論」について、法人内4高等学校の3年生を対象として科目を履修できる制度を創設し、秋学期開講クラスの提供を開始する。高校生の履修生に対しては、別途、科目担当者レベルでのフォローも整備予定であるが、分かりやすい授業内容となるようアンケート等を通じて改善点を見出し、必要に応じて見直し等も実施する。
●前述と重複するが、授業内容や課題を難しく感じて途中であきらめる学生も多少おり、科目担当者においては、内容・水準は維持しつつも、説明コンテンツや資料のアップデート、大学院生によるサポート体制の強化等により、文系理系を問わず、より分かりやすい授業となるよう、次年度に向けた改善を行っている。
●外部講師等も含め、授業で扱う内容・コンテンツ関係については適宜、再考し、時代に即した内容となるよう見直し・点検を随時行う。
●今後、新学習指導要領により「情報」を始めとする関連の知識・能力を習得した学生が入学してくることに対しては、定期的に授業コンテンツを刷新することで、その水準を維持し適宜内容を更新する。</t>
    <rPh sb="131" eb="132">
      <t>ワ</t>
    </rPh>
    <rPh sb="182" eb="184">
      <t>ゼンジュツ</t>
    </rPh>
    <rPh sb="185" eb="187">
      <t>チョウフク</t>
    </rPh>
    <rPh sb="191" eb="193">
      <t>ジュギョウ</t>
    </rPh>
    <rPh sb="193" eb="195">
      <t>ナイヨウ</t>
    </rPh>
    <rPh sb="196" eb="198">
      <t>カダイ</t>
    </rPh>
    <rPh sb="216" eb="218">
      <t>タショウ</t>
    </rPh>
    <rPh sb="221" eb="223">
      <t>カモク</t>
    </rPh>
    <rPh sb="223" eb="226">
      <t>タントウシャ</t>
    </rPh>
    <rPh sb="232" eb="234">
      <t>ナイヨウ</t>
    </rPh>
    <rPh sb="235" eb="237">
      <t>スイジュン</t>
    </rPh>
    <rPh sb="238" eb="240">
      <t>イジ</t>
    </rPh>
    <rPh sb="263" eb="265">
      <t>ダイガク</t>
    </rPh>
    <rPh sb="265" eb="267">
      <t>インセイ</t>
    </rPh>
    <rPh sb="284" eb="286">
      <t>ブンケイ</t>
    </rPh>
    <rPh sb="286" eb="288">
      <t>リケイ</t>
    </rPh>
    <rPh sb="289" eb="290">
      <t>ト</t>
    </rPh>
    <rPh sb="295" eb="296">
      <t>ワ</t>
    </rPh>
    <rPh sb="301" eb="303">
      <t>ジュギョウ</t>
    </rPh>
    <rPh sb="319" eb="320">
      <t>オコナ</t>
    </rPh>
    <rPh sb="327" eb="329">
      <t>ガイブ</t>
    </rPh>
    <rPh sb="329" eb="331">
      <t>コウシ</t>
    </rPh>
    <rPh sb="331" eb="332">
      <t>トウ</t>
    </rPh>
    <rPh sb="333" eb="334">
      <t>フク</t>
    </rPh>
    <rPh sb="336" eb="338">
      <t>ジュギョウ</t>
    </rPh>
    <rPh sb="339" eb="340">
      <t>アツカ</t>
    </rPh>
    <rPh sb="341" eb="343">
      <t>ナイヨウ</t>
    </rPh>
    <rPh sb="349" eb="351">
      <t>カンケイ</t>
    </rPh>
    <rPh sb="356" eb="358">
      <t>テキギ</t>
    </rPh>
    <rPh sb="359" eb="361">
      <t>サイコウ</t>
    </rPh>
    <rPh sb="363" eb="365">
      <t>ジダイ</t>
    </rPh>
    <rPh sb="366" eb="367">
      <t>ソク</t>
    </rPh>
    <rPh sb="369" eb="371">
      <t>ナイヨウ</t>
    </rPh>
    <rPh sb="376" eb="378">
      <t>ミナオ</t>
    </rPh>
    <rPh sb="380" eb="382">
      <t>テンケン</t>
    </rPh>
    <rPh sb="383" eb="385">
      <t>ズイジ</t>
    </rPh>
    <rPh sb="385" eb="386">
      <t>オコナ</t>
    </rPh>
    <rPh sb="390" eb="392">
      <t>コンゴ</t>
    </rPh>
    <rPh sb="393" eb="394">
      <t>シン</t>
    </rPh>
    <rPh sb="394" eb="396">
      <t>ガクシュウ</t>
    </rPh>
    <rPh sb="396" eb="400">
      <t>シドウヨウリョウ</t>
    </rPh>
    <rPh sb="404" eb="406">
      <t>ジョウホウ</t>
    </rPh>
    <rPh sb="416" eb="418">
      <t>チシキ</t>
    </rPh>
    <rPh sb="422" eb="424">
      <t>シュウトク</t>
    </rPh>
    <rPh sb="426" eb="428">
      <t>ガクセイ</t>
    </rPh>
    <rPh sb="429" eb="431">
      <t>ニュウガク</t>
    </rPh>
    <rPh sb="438" eb="439">
      <t>タイ</t>
    </rPh>
    <rPh sb="443" eb="446">
      <t>テイキテキ</t>
    </rPh>
    <rPh sb="447" eb="449">
      <t>ジュギョウ</t>
    </rPh>
    <rPh sb="455" eb="457">
      <t>サッシン</t>
    </rPh>
    <rPh sb="465" eb="467">
      <t>スイジュン</t>
    </rPh>
    <rPh sb="468" eb="470">
      <t>イジ</t>
    </rPh>
    <rPh sb="471" eb="473">
      <t>テキギ</t>
    </rPh>
    <rPh sb="473" eb="475">
      <t>ナイヨウ</t>
    </rPh>
    <rPh sb="476" eb="478">
      <t>コウシン</t>
    </rPh>
    <phoneticPr fontId="1"/>
  </si>
  <si>
    <t>・ビッグデータ、IoT、AI、ロボット、第4次産業革命、Society 5.0、データ駆動型社会（「データサイエンス概論」第1回～第3回、「データサイエンス１（データサイエンスの基礎と応用）」第11回～第14回、「データサイエンス１（データサイエンス入門）」第1回）
・データ量の増加、計算機の処理性能の向上、AIの非連続的進化（「データサイエンス概論」第1回～第3回、「データサイエンス１（データサイエンス入門）」第1回）
・複数技術を組み合わせたAIサービス（「データサイエンス概論」第2回～第3回、第11回～第14回、「データサイエンス１（データサイエンスの基礎と応用）」第11回～第14回、「データサイエンス１（データサイエンス入門）」第1回）
・人間の知的活動とAIの関係性（「データサイエンス概論」第1回～第3回、第11回～第14回、「データサイエンス１（データサイエンス入門）」第1回）
・データを起点としたものの見方、人間の知的活動を起点としたものの見方（「データサイエンス概論」第1回～第3回、「データサイエンス１（データサイエンスの基礎と応用）」第11回～第14回、「データサイエンス１（データサイエンス入門）」第1回）</t>
    <rPh sb="129" eb="130">
      <t>ダイ</t>
    </rPh>
    <rPh sb="131" eb="132">
      <t>カイ</t>
    </rPh>
    <rPh sb="257" eb="258">
      <t>ダイ</t>
    </rPh>
    <phoneticPr fontId="1"/>
  </si>
  <si>
    <t>・AI等を活用した新しいビジネスモデル(シェアリングエコノミー、商品のレコメンデーションなど)（「データサイエンス概論」第2回～第3回、第11回～第14回、「データサイエンス１（データサイエンス入門）」第3回）
・AI最新技術の活用例（深層生成モデル、敵対的生成ネットワーク、強化学習、転移学習など）（「データサイエンス概論」第2回～第3回、第11回～第14回、「データサイエンス１（データサイエンス入門）」第3回）</t>
    <rPh sb="101" eb="102">
      <t>ダイ</t>
    </rPh>
    <rPh sb="103" eb="104">
      <t>カイ</t>
    </rPh>
    <phoneticPr fontId="1"/>
  </si>
  <si>
    <t>・情報セキュリティ：機密性、完全性、可用性（「データサイエンス概論」第11回～第14回、「データサイエンス１（データサイエンス入門）」第14回）
・匿名加工情報、暗号化、パスワード、悪意ある情報搾取（「データサイエンス概論」第11回～第14回、「データサイエンス１（統計的推測の入門）」第4回、「データサイエンス１（データサイエンス入門）」第14回）
・情報漏洩等によるセキュリティ事故の事例紹介（「データサイエンス概論」第11回～第14回、「データサイエンス１（データサイエンス入門）」第14回）</t>
    <rPh sb="67" eb="68">
      <t>ダイ</t>
    </rPh>
    <rPh sb="70" eb="71">
      <t>カイ</t>
    </rPh>
    <rPh sb="117" eb="118">
      <t>ダイ</t>
    </rPh>
    <rPh sb="143" eb="144">
      <t>ダイ</t>
    </rPh>
    <rPh sb="145" eb="146">
      <t>カイ</t>
    </rPh>
    <phoneticPr fontId="1"/>
  </si>
  <si>
    <t>・データ・AI活用領域の広がり(生産、消費、文化活動など)（「データサイエンス概論」第2回～第3回、第11回～第14回、「データサイエンス１（データサイエンスの基礎と応用）」第11回～第14回、「データサイエンス１（データサイエンス入門）」第2回）
・研究開発、調達、製造、物流、販売、マーケティング、サービスなど（「データサイエンス概論」第2回～第3回、第11回～第14回、「データサイエンス１（データサイエンスの基礎と応用）」第11回～第14回、「データサイエンス１（データサイエンス入門）」第2回）
・仮説検証、知識発見、原因究明、計画策定、判断支援、活動代替、新規生成など（「データサイエンス概論」第2回～第3回、第11回～第14回、「データサイエンス１（データサイエンスの基礎と応用）」第11回～第14回、「データサイエンス１（データサイエンス入門）」第2回）</t>
    <rPh sb="55" eb="56">
      <t>ダイ</t>
    </rPh>
    <rPh sb="183" eb="184">
      <t>ダイ</t>
    </rPh>
    <phoneticPr fontId="1"/>
  </si>
  <si>
    <t>・ELSI（Ethical, Legal and Social Issues）（「データサイエンス概論」第11回～第14回、「データサイエンス１（データサイエンス入門）」第13回）
・個人情報保護、EU一般データ保護規則(GDPR)、忘れられる権利、オプトアウト（「データサイエンス概論」第11回～第14回、「データサイエンス１（データサイエンス入門）」第13回）
・データ倫理：データのねつ造、改ざん、盗用、プライバシー保護（「データサイエンス概論」第11回～第14回、「データサイエンス１（統計的推測の入門）」第4回、「データサイエンス１（データサイエンス入門）」第13回）
・AI社会原則（公平性、説明責任、透明性、人間中心の判断）（「データサイエンス概論」第11回～第14回）
・データバイアス、アルゴリズムバイアス（「データサイエンス概論」第11回～第14回、「データサイエンス１（統計的推測の入門）」第4回、「データサイエンス１（データサイエンス入門）」第13回）
・AIサービスの責任論（「データサイエンス概論」第11回～第14回、「データサイエンス１（データサイエンス入門）」第13回）
・データ・AI活用における負の事例紹介（「データサイエンス概論」第11回～第14回、「データサイエンス１（統計的推測の入門）」第4回、「データサイエンス１（データサイエンス入門）」第13回）</t>
    <rPh sb="231" eb="232">
      <t>ダイ</t>
    </rPh>
    <rPh sb="406" eb="407">
      <t>ダイ</t>
    </rPh>
    <rPh sb="408" eb="409">
      <t>カイダイカイ</t>
    </rPh>
    <rPh sb="468" eb="469">
      <t>ダイ</t>
    </rPh>
    <rPh sb="539" eb="540">
      <t>ダイ</t>
    </rPh>
    <phoneticPr fontId="1"/>
  </si>
  <si>
    <t>論理的思考の基礎（１）</t>
    <phoneticPr fontId="1"/>
  </si>
  <si>
    <t>論理的思考の基礎（２）</t>
    <phoneticPr fontId="1"/>
  </si>
  <si>
    <t>論理的思考の応用（１）</t>
    <phoneticPr fontId="1"/>
  </si>
  <si>
    <t>論理的思考の応用（２）</t>
    <phoneticPr fontId="1"/>
  </si>
  <si>
    <t>数学１（数学入門）</t>
    <rPh sb="4" eb="6">
      <t>スウガク</t>
    </rPh>
    <phoneticPr fontId="1"/>
  </si>
  <si>
    <t>・データサイエンスのサイクル（課題抽出と定式化、データの取得・管理・加工、探索的データ解析、データ解析と推論、結果の共有・伝達、課題解決に向けた提案）（「データサイエンス概論」第2回～第3回、第11回～第14回、「論理的思考の基礎（１）」第2回～第14回、「論理的思考の基礎（２）」第2回～第14回、「論理的思考の応用（１）」第2回～第7回、「論理的思考の応用（２）」第2回～第15回）
・流通、製造、金融、サービス、インフラ、公共、ヘルスケア等におけるデータ・AI利活用事例紹介（「データサイエンス概論」第2回～第3回、第11回～第14回）</t>
    <rPh sb="119" eb="120">
      <t>ダイ</t>
    </rPh>
    <rPh sb="121" eb="122">
      <t>カイ</t>
    </rPh>
    <rPh sb="123" eb="124">
      <t>ダイ</t>
    </rPh>
    <rPh sb="126" eb="127">
      <t>カイ</t>
    </rPh>
    <rPh sb="165" eb="166">
      <t>カイ</t>
    </rPh>
    <phoneticPr fontId="1"/>
  </si>
  <si>
    <t>・データ表現（棒グラフ、折線グラフ、散布図、ヒートマップ）（「データサイエンス概論」第4回～第10回、「データサイエンス１（Rを用いたデータ分析）」第4回～第6回、第8回、「データサイエンス１（統計的推測の入門）」第8回、「データサイエンス１（データサイエンス入門）」第5回）
・データの図表表現（チャート化）（「データサイエンス概論」第4回～第10回、「データサイエンス１（Rを用いたデータ分析）」第4回～第6回、第8回、「データサイエンス１（統計的推測の入門）」第8回、「データサイエンス１（データサイエンス入門）」第5回）
・データの比較（条件をそろえた比較、処理の前後での比較、A/Bテスト)（「データサイエンス概論」第4回～第10回、「データサイエンス１（Rを用いたデータ分析）」第4回～第6回、第8回、「データサイエンス１（データサイエンス入門）」第5回）
・不適切なグラフ表現（チャートジャンク、不必要な視覚的要素）（「データサイエンス概論」第4回～第10回）
・優れた可視化事例の紹介（可視化することによって新たな気づきがあった事例など）（「データサイエンス概論」第4回～第10回）</t>
    <rPh sb="74" eb="75">
      <t>ダイ</t>
    </rPh>
    <rPh sb="76" eb="77">
      <t>カイ</t>
    </rPh>
    <rPh sb="78" eb="79">
      <t>ダイ</t>
    </rPh>
    <rPh sb="80" eb="81">
      <t>カイ</t>
    </rPh>
    <rPh sb="82" eb="83">
      <t>ダイ</t>
    </rPh>
    <rPh sb="84" eb="85">
      <t>カイ</t>
    </rPh>
    <rPh sb="107" eb="108">
      <t>ダイ</t>
    </rPh>
    <rPh sb="109" eb="110">
      <t>カイ</t>
    </rPh>
    <rPh sb="134" eb="135">
      <t>ダイ</t>
    </rPh>
    <rPh sb="136" eb="137">
      <t>カイ</t>
    </rPh>
    <rPh sb="223" eb="226">
      <t>トウケイテキ</t>
    </rPh>
    <rPh sb="226" eb="228">
      <t>スイソク</t>
    </rPh>
    <rPh sb="229" eb="231">
      <t>ニュウモン</t>
    </rPh>
    <phoneticPr fontId="1"/>
  </si>
  <si>
    <t>・データの種類（量的変数、質的変数）（「データサイエンス概論」第4回～第10回、「データサイエンス１（Rを用いたデータ分析）」第7回、「データサイエンス１（データサイエンス入門）」第4回～第6回、「データサイエンス２（多変量データ解析入門）」第1回）
・データの分布(ヒストグラム)と代表値（平均値、中央値、最頻値）（「データサイエンス概論」第4回～第10回、「データサイエンス１（データ解析入門）」第3回、第4回、「データサイエンス１（統計学入門）」第2回～第4回、「データサイエンス１（Excelによるデータ分析と処理）」第2回～第4回、「データサイエンス１（データサイエンス入門）」第4回～第6回、「データサイエンス２（多変量データ解析入門）」第1回、「データサイエンス２（データ解析法の基礎）」第1回、第2回、第10回）
・代表値の性質の違い（実社会では平均値＝最頻値でないことが多い）（「データサイエンス概論」第4回～第10回、「データサイエンス１（データ解析入門）」第3回、第4回、「データサイエンス１（統計学入門）」第2回～第4回、「データサイエンス１（データサイエンス入門）」第4回～第6回、「データサイエンス２（データ解析法の基礎）」第1回、第2回、第10回）
・データのばらつき（分散、標準偏差、偏差値）（「データサイエンス概論」第4回～第10回、「Statistics for the Social Sciences and Humanities」第3回、「データサイエンス１（データ解析入門）」第3回、第4回、データサイエンス１（統計学入門）第2回～第4回、「データサイエンス１（Excelによるデータ分析と処理）」第2回～第4回、「データサイエンス１（データサイエンス入門）」第4回～第6回、「データサイエンス２（データ解析法の基礎）」第1回、第2回、第10回）
・観測データに含まれる誤差の扱い（「データサイエンス概論」第4回～第10回）
・打ち切りや脱落を含むデータ、層別の必要なデータ（「データサイエンス概論」第4回～第10回）
・相関と因果（相関係数、擬似相関、交絡）（「データサイエンス概論」第4回～第10回、「論理的思考の応用（１）」第9回～第14回、「データサイエンス１（統計的推測の入門）」第13回、第14回、データサイエンス１（統計学入門）第2回～第4回、「データサイエンス１（Excelによるデータ分析と処理）」第2回～第4回、「データサイエンス１（データサイエンス入門）」第4回～第6回、「データサイエンス２（データ解析法の基礎）」第1回、第2回、第10回、データサイエンス２（統計と人工知能入門）第9回～第11回）
・母集団と標本抽出（国勢調査、アンケート調査、全数調査、単純無作為抽出、層別抽出、多段抽出）（「データサイエンス概論」第4回～第10回、データサイエンス１（統計学入門）第2回～第4回）
・クロス集計表、分割表、相関係数行列、散布図行列（「データサイエンス概論」第4回～第10回、「データサイエンス１（統計的推測の入門）」第13回、第14回、データサイエンス１（統計学入門）第2回～第4回、「データサイエンス１（データサイエンス入門）」第4回～第6回、「データサイエンス２（データ解析法の基礎）」第1回、第2回、第10回）
・統計情報の正しい理解（誇張表現に惑わされない）（「データサイエンス概論」第4回～第10回）</t>
    <rPh sb="63" eb="64">
      <t>ダイ</t>
    </rPh>
    <rPh sb="65" eb="66">
      <t>カイ</t>
    </rPh>
    <rPh sb="90" eb="91">
      <t>ダイ</t>
    </rPh>
    <rPh sb="92" eb="93">
      <t>カイ</t>
    </rPh>
    <rPh sb="94" eb="95">
      <t>ダイ</t>
    </rPh>
    <rPh sb="96" eb="97">
      <t>カイ</t>
    </rPh>
    <rPh sb="121" eb="122">
      <t>ダイ</t>
    </rPh>
    <rPh sb="123" eb="124">
      <t>カイ</t>
    </rPh>
    <rPh sb="204" eb="205">
      <t>ダイ</t>
    </rPh>
    <rPh sb="226" eb="227">
      <t>ダイ</t>
    </rPh>
    <rPh sb="228" eb="229">
      <t>カイ</t>
    </rPh>
    <rPh sb="230" eb="231">
      <t>ダイ</t>
    </rPh>
    <rPh sb="232" eb="233">
      <t>カイ</t>
    </rPh>
    <rPh sb="263" eb="264">
      <t>ダイ</t>
    </rPh>
    <rPh sb="265" eb="266">
      <t>カイ</t>
    </rPh>
    <rPh sb="267" eb="268">
      <t>ダイ</t>
    </rPh>
    <rPh sb="269" eb="270">
      <t>カイ</t>
    </rPh>
    <rPh sb="343" eb="345">
      <t>カイセキ</t>
    </rPh>
    <rPh sb="345" eb="346">
      <t>ホウ</t>
    </rPh>
    <rPh sb="351" eb="352">
      <t>ダイ</t>
    </rPh>
    <rPh sb="353" eb="354">
      <t>カイ</t>
    </rPh>
    <rPh sb="355" eb="356">
      <t>ダイ</t>
    </rPh>
    <rPh sb="357" eb="358">
      <t>カイ</t>
    </rPh>
    <rPh sb="359" eb="360">
      <t>ダイ</t>
    </rPh>
    <rPh sb="362" eb="363">
      <t>カイ</t>
    </rPh>
    <rPh sb="635" eb="636">
      <t>ダイ</t>
    </rPh>
    <rPh sb="637" eb="638">
      <t>カイ</t>
    </rPh>
    <rPh sb="966" eb="967">
      <t>ダイ</t>
    </rPh>
    <rPh sb="969" eb="970">
      <t>カイ</t>
    </rPh>
    <rPh sb="971" eb="972">
      <t>ダイ</t>
    </rPh>
    <rPh sb="974" eb="975">
      <t>カイ</t>
    </rPh>
    <rPh sb="1123" eb="1124">
      <t>ダイ</t>
    </rPh>
    <rPh sb="1125" eb="1126">
      <t>カイ</t>
    </rPh>
    <rPh sb="1127" eb="1128">
      <t>ダイ</t>
    </rPh>
    <rPh sb="1130" eb="1131">
      <t>カイ</t>
    </rPh>
    <rPh sb="1372" eb="1374">
      <t>カイセキ</t>
    </rPh>
    <rPh sb="1374" eb="1375">
      <t>ホウ</t>
    </rPh>
    <phoneticPr fontId="1"/>
  </si>
  <si>
    <t>　令和4（2022）年度からリテラシーレベルのモデルカリキュラムに準拠したオンデマンド型で数千人が受講可能な「データサイエンス概論」を新設し、既設の数理・データサイエンス・AI関連の全学共通教養教育科目とパッケージ化して「同志社データサイエンス・AI教育プログラム（リテラシーレベル）」（略称：DDASH-L）とし、より幅広く学べる教育プログラムとして提供を開始した。
　このリテラシーレベルのDDASH-Lと、令和5年度から提供を開始する応用基礎レベルに加えて、それらを包含した学部専門科目を選択科目として複数準備した同志社オリジナルの副専攻、以上の3つのレベルに分け、これらをまとめて「同志社データサイエンス・AI教育プログラム」（略称：DDASH）とした。
　DDASHは数理・データサイエンス・AI教育について、学生が段階を踏んで学べ、より幅広く着実にエキスパートレベルに向けて学びを深めることができるプログラムとしている。
　また、履修促進・モチベーション向上だけでなく、学生の学びを可視化し発信する効果的な仕組の一つとして、3つのプログラムそれぞれで修了者に対して、学習歴のデジタル証明であるオープンバッジを授与している。本学では個人情報保護の観点からも修了学生に一律でオープンバッジを発行するのではなく、発行を希望する個々の学生からの希望申請の形を取っているが、入学時からオープンバッジのメリットや就職活動等の自身のキャリア形成における利活用についても丁寧に周知・広報することで、意義と利用価値を理解した学生にオープンバッジを授与できている。なお、授与者対象のアンケートからは、オープンバッジ取得がプログラム履修のモチベーション維持・向上に寄与している点に加え、取得後における活用への期待によるプログラム履修への貢献についても確認できている。
　履修者数・履修率の向上を実現するために、これらのプログラムの充実に向けた取組に加えて、数理・データサイエンス・AI分野の知識やスキルが社会から求められていることやその重要性を広く周知するとともに、DDASHを本学学生全体に広く普及させる以下の活動について、履修状況等を点検しながら適宜見直し、今後も継続して行う。
①新入生・在学生に向けたプログラム紹介ガイダンスや登録履修相談の開催。
②公式Webサイトや公式YouTubeチャンネルにて、DDASHを学ぶことの意義や、特徴、新しい取組等の情報を広く学内外へ発信。学内各所のポスター・デジタルサイネージの掲示。新聞広告や広報誌等への掲載による情報提供・発信。
③履修者増を目的としたデータサイエンスに関連する学外団体・企業等とも連携したイベントの開催。</t>
    <rPh sb="1068" eb="1069">
      <t>トウ</t>
    </rPh>
    <rPh sb="1076" eb="1078">
      <t>ジョウホウ</t>
    </rPh>
    <rPh sb="1078" eb="1080">
      <t>テイキョウ</t>
    </rPh>
    <rPh sb="1081" eb="1083">
      <t>ハッシン</t>
    </rPh>
    <rPh sb="1089" eb="1090">
      <t>ゾウ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</si>
</sst>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hair">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1" fillId="0" borderId="0" xfId="0" applyFont="1">
      <alignment vertical="center"/>
    </xf>
    <xf numFmtId="0" fontId="2" fillId="0" borderId="1" xfId="0" applyFont="1" applyBorder="1" applyAlignment="1">
      <alignment horizontal="left" vertical="center" shrinkToFit="1"/>
    </xf>
    <xf numFmtId="0" fontId="12" fillId="0" borderId="0" xfId="0" applyFont="1">
      <alignment vertical="center"/>
    </xf>
    <xf numFmtId="0" fontId="12" fillId="0" borderId="0" xfId="0" applyFont="1" applyAlignment="1">
      <alignment horizontal="center" vertical="center"/>
    </xf>
    <xf numFmtId="0" fontId="12" fillId="0" borderId="0" xfId="0" applyFont="1" applyAlignment="1">
      <alignment horizontal="right" vertical="center"/>
    </xf>
    <xf numFmtId="0" fontId="13" fillId="0" borderId="0" xfId="0" applyFont="1" applyAlignment="1">
      <alignment horizontal="center" vertical="center"/>
    </xf>
    <xf numFmtId="0" fontId="13" fillId="0" borderId="0" xfId="0" applyFont="1">
      <alignment vertical="center"/>
    </xf>
    <xf numFmtId="0" fontId="12" fillId="0" borderId="1" xfId="0" applyFont="1" applyBorder="1" applyAlignment="1">
      <alignment horizontal="center"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10" xfId="0" applyFont="1" applyBorder="1" applyAlignment="1">
      <alignment horizontal="right" vertical="center"/>
    </xf>
    <xf numFmtId="0" fontId="12" fillId="0" borderId="0" xfId="0" applyFont="1" applyAlignment="1">
      <alignment horizontal="left" vertical="center"/>
    </xf>
    <xf numFmtId="0" fontId="12" fillId="0" borderId="5" xfId="0" applyFont="1" applyBorder="1">
      <alignment vertical="center"/>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2" fillId="0" borderId="14" xfId="0" applyFont="1" applyBorder="1" applyAlignment="1">
      <alignment horizontal="center" vertical="center" shrinkToFit="1"/>
    </xf>
    <xf numFmtId="0" fontId="12" fillId="0" borderId="23"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40" xfId="0" applyFont="1" applyBorder="1" applyAlignment="1">
      <alignment horizontal="center" vertical="center" shrinkToFit="1"/>
    </xf>
    <xf numFmtId="0" fontId="12" fillId="0" borderId="0" xfId="0" applyFont="1" applyAlignment="1">
      <alignment vertical="top" wrapText="1"/>
    </xf>
    <xf numFmtId="0" fontId="12" fillId="0" borderId="0" xfId="0" applyFont="1" applyAlignment="1">
      <alignment horizontal="center" vertical="center" shrinkToFit="1"/>
    </xf>
    <xf numFmtId="49" fontId="15" fillId="0" borderId="48" xfId="0" applyNumberFormat="1" applyFont="1" applyBorder="1" applyAlignment="1">
      <alignment horizontal="center" vertical="center"/>
    </xf>
    <xf numFmtId="49" fontId="15" fillId="0" borderId="49"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29" xfId="0" applyNumberFormat="1" applyFont="1" applyBorder="1" applyAlignment="1">
      <alignment horizontal="center" vertical="center"/>
    </xf>
    <xf numFmtId="49" fontId="15" fillId="0" borderId="47" xfId="0" applyNumberFormat="1" applyFont="1" applyBorder="1" applyAlignment="1">
      <alignment horizontal="center" vertical="center"/>
    </xf>
    <xf numFmtId="49" fontId="15" fillId="0" borderId="32" xfId="0" applyNumberFormat="1" applyFont="1" applyBorder="1" applyAlignment="1">
      <alignment horizontal="center" vertical="center"/>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37" xfId="0" applyFont="1" applyBorder="1" applyAlignment="1">
      <alignment vertical="center" shrinkToFit="1"/>
    </xf>
    <xf numFmtId="0" fontId="12" fillId="0" borderId="38" xfId="0" applyFont="1" applyBorder="1" applyAlignment="1">
      <alignment vertical="center" shrinkToFit="1"/>
    </xf>
    <xf numFmtId="0" fontId="12" fillId="0" borderId="39" xfId="0" applyFont="1" applyBorder="1" applyAlignment="1">
      <alignment vertical="center" shrinkToFit="1"/>
    </xf>
    <xf numFmtId="0" fontId="12" fillId="0" borderId="0" xfId="0" applyFont="1" applyAlignment="1">
      <alignment vertical="center" wrapTex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34" xfId="0" applyFont="1" applyBorder="1" applyAlignment="1">
      <alignment vertical="center" shrinkToFit="1"/>
    </xf>
    <xf numFmtId="0" fontId="12" fillId="0" borderId="36" xfId="0" applyFont="1" applyBorder="1" applyAlignment="1">
      <alignment vertical="center" shrinkToFit="1"/>
    </xf>
    <xf numFmtId="0" fontId="12" fillId="0" borderId="35" xfId="0" applyFont="1" applyBorder="1" applyAlignment="1">
      <alignment vertical="center" shrinkToFit="1"/>
    </xf>
    <xf numFmtId="0" fontId="15" fillId="0" borderId="45" xfId="0" applyFont="1" applyBorder="1" applyAlignment="1">
      <alignment vertical="center" wrapText="1"/>
    </xf>
    <xf numFmtId="0" fontId="15" fillId="0" borderId="31" xfId="0" applyFont="1" applyBorder="1" applyAlignment="1">
      <alignment vertical="center" wrapText="1"/>
    </xf>
    <xf numFmtId="0" fontId="15" fillId="0" borderId="46" xfId="0" applyFont="1" applyBorder="1" applyAlignment="1">
      <alignment vertical="center" wrapTex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2" fillId="0" borderId="34" xfId="0" applyFont="1" applyBorder="1" applyAlignment="1">
      <alignment horizontal="center" vertical="center" shrinkToFit="1"/>
    </xf>
    <xf numFmtId="0" fontId="12" fillId="0" borderId="36" xfId="0" applyFont="1" applyBorder="1" applyAlignment="1">
      <alignment horizontal="center" vertical="center" shrinkToFit="1"/>
    </xf>
    <xf numFmtId="0" fontId="12" fillId="0" borderId="35"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8" xfId="0" applyFont="1" applyBorder="1" applyAlignment="1">
      <alignment horizontal="center"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0" fontId="12" fillId="0" borderId="36" xfId="0" applyFont="1" applyBorder="1" applyAlignment="1">
      <alignment horizontal="left" vertical="center" wrapText="1" shrinkToFit="1"/>
    </xf>
    <xf numFmtId="0" fontId="12" fillId="0" borderId="36" xfId="0" applyFont="1" applyBorder="1" applyAlignment="1">
      <alignment horizontal="left" vertical="center" shrinkToFit="1"/>
    </xf>
    <xf numFmtId="0" fontId="12" fillId="0" borderId="35" xfId="0" applyFont="1" applyBorder="1" applyAlignment="1">
      <alignment horizontal="left" vertical="center" shrinkToFit="1"/>
    </xf>
    <xf numFmtId="0" fontId="12" fillId="0" borderId="6" xfId="0" applyFont="1" applyBorder="1" applyAlignment="1">
      <alignment horizontal="left" vertical="center" wrapText="1" shrinkToFit="1"/>
    </xf>
    <xf numFmtId="0" fontId="12" fillId="0" borderId="6"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38" xfId="0" applyFont="1" applyBorder="1" applyAlignment="1">
      <alignment horizontal="left" vertical="center" wrapText="1" shrinkToFit="1"/>
    </xf>
    <xf numFmtId="0" fontId="12" fillId="0" borderId="38" xfId="0" applyFont="1" applyBorder="1" applyAlignment="1">
      <alignment horizontal="left" vertical="center" shrinkToFit="1"/>
    </xf>
    <xf numFmtId="0" fontId="12" fillId="0" borderId="39" xfId="0" applyFont="1" applyBorder="1" applyAlignment="1">
      <alignment horizontal="left" vertical="center" shrinkToFit="1"/>
    </xf>
    <xf numFmtId="0" fontId="12" fillId="0" borderId="19" xfId="0" applyFont="1" applyBorder="1" applyAlignment="1">
      <alignment vertical="center" wrapText="1" shrinkToFit="1"/>
    </xf>
    <xf numFmtId="0" fontId="12" fillId="0" borderId="0" xfId="0" applyFont="1" applyAlignment="1">
      <alignment horizontal="right"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4"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2" fillId="0" borderId="37" xfId="0" applyFont="1" applyBorder="1" applyAlignment="1">
      <alignment horizontal="center" vertical="center" shrinkToFit="1"/>
    </xf>
    <xf numFmtId="0" fontId="12" fillId="0" borderId="38" xfId="0" applyFont="1" applyBorder="1" applyAlignment="1">
      <alignment horizontal="center" vertical="center" shrinkToFit="1"/>
    </xf>
    <xf numFmtId="0" fontId="12" fillId="0" borderId="39" xfId="0" applyFont="1" applyBorder="1" applyAlignment="1">
      <alignment horizontal="center" vertical="center" shrinkToFit="1"/>
    </xf>
    <xf numFmtId="49" fontId="15" fillId="0" borderId="48" xfId="0" applyNumberFormat="1" applyFont="1" applyBorder="1" applyAlignment="1">
      <alignment horizontal="center" vertical="center"/>
    </xf>
    <xf numFmtId="49" fontId="15" fillId="0" borderId="61" xfId="0" applyNumberFormat="1" applyFont="1" applyBorder="1" applyAlignment="1">
      <alignment horizontal="center" vertical="center"/>
    </xf>
    <xf numFmtId="0" fontId="12" fillId="0" borderId="7" xfId="0" applyFont="1" applyBorder="1" applyAlignment="1">
      <alignment horizontal="left" vertical="center" wrapText="1" shrinkToFit="1"/>
    </xf>
    <xf numFmtId="0" fontId="12" fillId="0" borderId="9" xfId="0" applyFont="1" applyBorder="1" applyAlignment="1">
      <alignment horizontal="left" vertical="center" wrapText="1" shrinkToFit="1"/>
    </xf>
    <xf numFmtId="0" fontId="12" fillId="0" borderId="41" xfId="0" applyFont="1" applyBorder="1" applyAlignment="1">
      <alignment horizontal="left" vertical="center" wrapText="1" shrinkToFit="1"/>
    </xf>
    <xf numFmtId="0" fontId="12" fillId="0" borderId="42" xfId="0" applyFont="1" applyBorder="1" applyAlignment="1">
      <alignment horizontal="left" vertical="center" wrapText="1" shrinkToFit="1"/>
    </xf>
    <xf numFmtId="0" fontId="12" fillId="0" borderId="43" xfId="0" applyFont="1" applyBorder="1" applyAlignment="1">
      <alignment horizontal="left" vertical="center" wrapText="1"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2" fillId="0" borderId="4" xfId="0" applyFont="1" applyBorder="1" applyAlignment="1">
      <alignment horizontal="left" vertical="center" shrinkToFit="1"/>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3"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36"/>
  <sheetViews>
    <sheetView showZeros="0" view="pageBreakPreview" topLeftCell="A123" zoomScale="85" zoomScaleNormal="100" zoomScaleSheetLayoutView="85" workbookViewId="0">
      <selection activeCell="D122" sqref="D122:S123"/>
    </sheetView>
  </sheetViews>
  <sheetFormatPr defaultColWidth="9" defaultRowHeight="18.75" customHeight="1" x14ac:dyDescent="0.15"/>
  <cols>
    <col min="1" max="1" width="2.5" style="65" customWidth="1"/>
    <col min="2" max="2" width="16.5" style="65" customWidth="1"/>
    <col min="3" max="19" width="5.625" style="65" customWidth="1"/>
    <col min="20" max="20" width="9" style="65"/>
    <col min="21" max="21" width="3.625" style="65" customWidth="1"/>
    <col min="22" max="22" width="48.625" style="65" hidden="1" customWidth="1"/>
    <col min="23" max="16384" width="9" style="65"/>
  </cols>
  <sheetData>
    <row r="1" spans="1:22" ht="18.600000000000001" customHeight="1" x14ac:dyDescent="0.15">
      <c r="R1" s="140" t="s">
        <v>12</v>
      </c>
      <c r="S1" s="140"/>
      <c r="T1" s="69" t="s">
        <v>110</v>
      </c>
    </row>
    <row r="2" spans="1:22" ht="18.75" customHeight="1" x14ac:dyDescent="0.15">
      <c r="B2" s="70" t="s">
        <v>109</v>
      </c>
      <c r="C2" s="98" t="s">
        <v>127</v>
      </c>
      <c r="D2" s="99"/>
      <c r="E2" s="99"/>
      <c r="F2" s="99"/>
      <c r="G2" s="99"/>
      <c r="H2" s="99"/>
      <c r="I2" s="100"/>
      <c r="J2" s="67"/>
      <c r="K2" s="71"/>
      <c r="L2" s="71"/>
      <c r="M2" s="71"/>
      <c r="N2" s="71"/>
      <c r="O2" s="71"/>
      <c r="P2" s="71"/>
      <c r="Q2" s="71"/>
      <c r="R2" s="71"/>
      <c r="S2" s="71"/>
    </row>
    <row r="3" spans="1:22" ht="18.75" customHeight="1" x14ac:dyDescent="0.15">
      <c r="B3" s="70" t="s">
        <v>103</v>
      </c>
      <c r="C3" s="150" t="s">
        <v>128</v>
      </c>
      <c r="D3" s="151"/>
      <c r="E3" s="151"/>
      <c r="F3" s="151"/>
      <c r="G3" s="151"/>
      <c r="H3" s="151"/>
      <c r="I3" s="152"/>
      <c r="J3" s="67"/>
      <c r="K3" s="71"/>
      <c r="L3" s="71"/>
      <c r="M3" s="71"/>
      <c r="N3" s="71"/>
      <c r="O3" s="71"/>
      <c r="P3" s="71"/>
      <c r="Q3" s="71"/>
      <c r="R3" s="71"/>
      <c r="S3" s="71"/>
    </row>
    <row r="4" spans="1:22" ht="15" customHeight="1" x14ac:dyDescent="0.15">
      <c r="K4" s="67"/>
      <c r="L4" s="72"/>
      <c r="M4" s="72"/>
      <c r="N4" s="72"/>
      <c r="O4" s="72"/>
      <c r="P4" s="72"/>
      <c r="Q4" s="72"/>
      <c r="R4" s="72"/>
      <c r="S4" s="72"/>
    </row>
    <row r="5" spans="1:22" ht="18" customHeight="1" x14ac:dyDescent="0.15">
      <c r="A5" s="153" t="s">
        <v>39</v>
      </c>
      <c r="B5" s="153"/>
      <c r="C5" s="153"/>
      <c r="D5" s="153"/>
      <c r="E5" s="153"/>
      <c r="F5" s="153"/>
      <c r="G5" s="153"/>
      <c r="H5" s="153"/>
      <c r="I5" s="153"/>
      <c r="J5" s="153"/>
      <c r="K5" s="153"/>
      <c r="L5" s="153"/>
      <c r="M5" s="153"/>
      <c r="N5" s="153"/>
      <c r="O5" s="153"/>
      <c r="P5" s="153"/>
      <c r="Q5" s="153"/>
      <c r="R5" s="153"/>
      <c r="S5" s="153"/>
    </row>
    <row r="6" spans="1:22" ht="15" customHeight="1" x14ac:dyDescent="0.15">
      <c r="B6" s="66"/>
      <c r="C6" s="66"/>
      <c r="D6" s="66"/>
      <c r="E6" s="66"/>
      <c r="F6" s="66"/>
      <c r="G6" s="66"/>
      <c r="H6" s="66"/>
      <c r="I6" s="66"/>
      <c r="J6" s="66"/>
      <c r="K6" s="66"/>
      <c r="L6" s="66"/>
      <c r="M6" s="66"/>
      <c r="N6" s="66"/>
      <c r="O6" s="66"/>
      <c r="P6" s="66"/>
      <c r="Q6" s="66"/>
      <c r="R6" s="66"/>
      <c r="S6" s="66"/>
    </row>
    <row r="7" spans="1:22" ht="18" customHeight="1" x14ac:dyDescent="0.15">
      <c r="A7" s="65" t="s">
        <v>125</v>
      </c>
      <c r="C7" s="66"/>
      <c r="J7" s="73" t="s">
        <v>108</v>
      </c>
      <c r="K7" s="121" t="s">
        <v>129</v>
      </c>
      <c r="L7" s="122"/>
      <c r="M7" s="122"/>
      <c r="N7" s="122"/>
      <c r="O7" s="122"/>
      <c r="P7" s="122"/>
      <c r="Q7" s="122"/>
      <c r="R7" s="122"/>
      <c r="S7" s="123"/>
    </row>
    <row r="8" spans="1:22" ht="6" customHeight="1" x14ac:dyDescent="0.15">
      <c r="B8" s="66"/>
      <c r="C8" s="66"/>
      <c r="D8" s="66"/>
      <c r="E8" s="66"/>
      <c r="F8" s="66"/>
      <c r="G8" s="66"/>
      <c r="H8" s="66"/>
      <c r="I8" s="66"/>
      <c r="J8" s="66"/>
      <c r="K8" s="74"/>
      <c r="L8" s="66"/>
      <c r="M8" s="66"/>
      <c r="N8" s="66"/>
      <c r="O8" s="66"/>
      <c r="P8" s="66"/>
      <c r="Q8" s="66"/>
      <c r="R8" s="66"/>
      <c r="S8" s="66"/>
    </row>
    <row r="9" spans="1:22" ht="18" customHeight="1" x14ac:dyDescent="0.15">
      <c r="B9" s="144"/>
      <c r="C9" s="145"/>
      <c r="D9" s="145"/>
      <c r="E9" s="145"/>
      <c r="F9" s="145"/>
      <c r="G9" s="145"/>
      <c r="H9" s="145"/>
      <c r="I9" s="145"/>
      <c r="J9" s="145"/>
      <c r="K9" s="145"/>
      <c r="L9" s="145"/>
      <c r="M9" s="145"/>
      <c r="N9" s="145"/>
      <c r="O9" s="145"/>
      <c r="P9" s="145"/>
      <c r="Q9" s="145"/>
      <c r="R9" s="145"/>
      <c r="S9" s="146"/>
    </row>
    <row r="10" spans="1:22" ht="18" customHeight="1" x14ac:dyDescent="0.15">
      <c r="B10" s="147"/>
      <c r="C10" s="148"/>
      <c r="D10" s="148"/>
      <c r="E10" s="148"/>
      <c r="F10" s="148"/>
      <c r="G10" s="148"/>
      <c r="H10" s="148"/>
      <c r="I10" s="148"/>
      <c r="J10" s="148"/>
      <c r="K10" s="148"/>
      <c r="L10" s="148"/>
      <c r="M10" s="148"/>
      <c r="N10" s="148"/>
      <c r="O10" s="148"/>
      <c r="P10" s="148"/>
      <c r="Q10" s="148"/>
      <c r="R10" s="148"/>
      <c r="S10" s="149"/>
    </row>
    <row r="11" spans="1:22" ht="6" customHeight="1" x14ac:dyDescent="0.15">
      <c r="B11" s="66"/>
      <c r="C11" s="66"/>
      <c r="D11" s="66"/>
      <c r="E11" s="66"/>
      <c r="F11" s="66"/>
      <c r="G11" s="66"/>
      <c r="H11" s="66"/>
      <c r="I11" s="66"/>
      <c r="J11" s="66"/>
      <c r="K11" s="74"/>
      <c r="L11" s="66"/>
      <c r="M11" s="66"/>
      <c r="N11" s="66"/>
      <c r="O11" s="66"/>
      <c r="P11" s="66"/>
      <c r="Q11" s="66"/>
      <c r="R11" s="66"/>
      <c r="S11" s="66"/>
    </row>
    <row r="12" spans="1:22" ht="18" customHeight="1" x14ac:dyDescent="0.15">
      <c r="A12" s="65" t="s">
        <v>112</v>
      </c>
      <c r="B12" s="66"/>
      <c r="C12" s="66"/>
      <c r="D12" s="67"/>
      <c r="E12" s="67"/>
      <c r="F12" s="67"/>
      <c r="G12" s="67"/>
      <c r="H12" s="67"/>
      <c r="I12" s="67"/>
      <c r="J12" s="67"/>
      <c r="K12" s="68"/>
      <c r="L12" s="68"/>
      <c r="M12" s="68"/>
      <c r="N12" s="68"/>
      <c r="O12" s="68"/>
      <c r="P12" s="68"/>
      <c r="Q12" s="68"/>
      <c r="R12" s="68"/>
      <c r="S12" s="68"/>
    </row>
    <row r="13" spans="1:22" ht="18" customHeight="1" x14ac:dyDescent="0.15">
      <c r="B13" s="154" t="s">
        <v>216</v>
      </c>
      <c r="C13" s="155"/>
      <c r="D13" s="155"/>
      <c r="E13" s="155"/>
      <c r="F13" s="155"/>
      <c r="G13" s="155"/>
      <c r="H13" s="155"/>
      <c r="I13" s="155"/>
      <c r="J13" s="155"/>
      <c r="K13" s="155"/>
      <c r="L13" s="155"/>
      <c r="M13" s="155"/>
      <c r="N13" s="155"/>
      <c r="O13" s="155"/>
      <c r="P13" s="155"/>
      <c r="Q13" s="155"/>
      <c r="R13" s="155"/>
      <c r="S13" s="156"/>
      <c r="V13" s="65" t="s">
        <v>104</v>
      </c>
    </row>
    <row r="14" spans="1:22" ht="18" customHeight="1" x14ac:dyDescent="0.15">
      <c r="B14" s="157"/>
      <c r="C14" s="158"/>
      <c r="D14" s="158"/>
      <c r="E14" s="158"/>
      <c r="F14" s="158"/>
      <c r="G14" s="158"/>
      <c r="H14" s="158"/>
      <c r="I14" s="158"/>
      <c r="J14" s="158"/>
      <c r="K14" s="158"/>
      <c r="L14" s="158"/>
      <c r="M14" s="158"/>
      <c r="N14" s="158"/>
      <c r="O14" s="158"/>
      <c r="P14" s="158"/>
      <c r="Q14" s="158"/>
      <c r="R14" s="158"/>
      <c r="S14" s="159"/>
      <c r="V14" s="65" t="s">
        <v>111</v>
      </c>
    </row>
    <row r="15" spans="1:22" ht="18" customHeight="1" x14ac:dyDescent="0.15">
      <c r="B15" s="157"/>
      <c r="C15" s="158"/>
      <c r="D15" s="158"/>
      <c r="E15" s="158"/>
      <c r="F15" s="158"/>
      <c r="G15" s="158"/>
      <c r="H15" s="158"/>
      <c r="I15" s="158"/>
      <c r="J15" s="158"/>
      <c r="K15" s="158"/>
      <c r="L15" s="158"/>
      <c r="M15" s="158"/>
      <c r="N15" s="158"/>
      <c r="O15" s="158"/>
      <c r="P15" s="158"/>
      <c r="Q15" s="158"/>
      <c r="R15" s="158"/>
      <c r="S15" s="159"/>
      <c r="V15" s="65" t="s">
        <v>124</v>
      </c>
    </row>
    <row r="16" spans="1:22" ht="18" customHeight="1" x14ac:dyDescent="0.15">
      <c r="B16" s="157"/>
      <c r="C16" s="158"/>
      <c r="D16" s="158"/>
      <c r="E16" s="158"/>
      <c r="F16" s="158"/>
      <c r="G16" s="158"/>
      <c r="H16" s="158"/>
      <c r="I16" s="158"/>
      <c r="J16" s="158"/>
      <c r="K16" s="158"/>
      <c r="L16" s="158"/>
      <c r="M16" s="158"/>
      <c r="N16" s="158"/>
      <c r="O16" s="158"/>
      <c r="P16" s="158"/>
      <c r="Q16" s="158"/>
      <c r="R16" s="158"/>
      <c r="S16" s="159"/>
      <c r="V16" s="65" t="s">
        <v>126</v>
      </c>
    </row>
    <row r="17" spans="1:19" ht="18" customHeight="1" x14ac:dyDescent="0.15">
      <c r="B17" s="157"/>
      <c r="C17" s="158"/>
      <c r="D17" s="158"/>
      <c r="E17" s="158"/>
      <c r="F17" s="158"/>
      <c r="G17" s="158"/>
      <c r="H17" s="158"/>
      <c r="I17" s="158"/>
      <c r="J17" s="158"/>
      <c r="K17" s="158"/>
      <c r="L17" s="158"/>
      <c r="M17" s="158"/>
      <c r="N17" s="158"/>
      <c r="O17" s="158"/>
      <c r="P17" s="158"/>
      <c r="Q17" s="158"/>
      <c r="R17" s="158"/>
      <c r="S17" s="159"/>
    </row>
    <row r="18" spans="1:19" ht="18" customHeight="1" x14ac:dyDescent="0.15">
      <c r="B18" s="160"/>
      <c r="C18" s="161"/>
      <c r="D18" s="161"/>
      <c r="E18" s="161"/>
      <c r="F18" s="161"/>
      <c r="G18" s="161"/>
      <c r="H18" s="161"/>
      <c r="I18" s="161"/>
      <c r="J18" s="161"/>
      <c r="K18" s="161"/>
      <c r="L18" s="161"/>
      <c r="M18" s="161"/>
      <c r="N18" s="161"/>
      <c r="O18" s="161"/>
      <c r="P18" s="161"/>
      <c r="Q18" s="161"/>
      <c r="R18" s="161"/>
      <c r="S18" s="162"/>
    </row>
    <row r="19" spans="1:19" ht="7.5" customHeight="1" x14ac:dyDescent="0.15">
      <c r="B19" s="66"/>
      <c r="C19" s="66"/>
      <c r="D19" s="66"/>
      <c r="E19" s="66"/>
      <c r="F19" s="66"/>
      <c r="G19" s="66"/>
      <c r="H19" s="66"/>
      <c r="I19" s="66"/>
      <c r="J19" s="66"/>
      <c r="K19" s="66"/>
      <c r="L19" s="66"/>
      <c r="M19" s="66"/>
      <c r="N19" s="66"/>
      <c r="O19" s="66"/>
      <c r="P19" s="66"/>
      <c r="Q19" s="66"/>
      <c r="R19" s="66"/>
      <c r="S19" s="66"/>
    </row>
    <row r="20" spans="1:19" ht="19.899999999999999" customHeight="1" x14ac:dyDescent="0.15">
      <c r="B20" s="65" t="s">
        <v>113</v>
      </c>
      <c r="C20" s="98">
        <v>6</v>
      </c>
      <c r="D20" s="100"/>
      <c r="E20" s="75" t="s">
        <v>96</v>
      </c>
      <c r="G20" s="74"/>
      <c r="H20" s="66"/>
      <c r="I20" s="66"/>
      <c r="J20" s="67" t="s">
        <v>122</v>
      </c>
      <c r="K20" s="141" t="s">
        <v>126</v>
      </c>
      <c r="L20" s="142"/>
      <c r="M20" s="142"/>
      <c r="N20" s="142"/>
      <c r="O20" s="142"/>
      <c r="P20" s="142"/>
      <c r="Q20" s="142"/>
      <c r="R20" s="142"/>
      <c r="S20" s="143"/>
    </row>
    <row r="21" spans="1:19" ht="7.5" customHeight="1" x14ac:dyDescent="0.15">
      <c r="B21" s="66"/>
      <c r="C21" s="66"/>
      <c r="D21" s="66"/>
      <c r="E21" s="66"/>
      <c r="F21" s="66"/>
      <c r="G21" s="66"/>
      <c r="H21" s="66"/>
      <c r="I21" s="66"/>
      <c r="J21" s="66"/>
      <c r="K21" s="66"/>
      <c r="L21" s="66"/>
      <c r="M21" s="66"/>
      <c r="N21" s="66"/>
      <c r="O21" s="66"/>
      <c r="P21" s="66"/>
      <c r="Q21" s="66"/>
      <c r="R21" s="66"/>
      <c r="S21" s="66"/>
    </row>
    <row r="22" spans="1:19" ht="18" customHeight="1" x14ac:dyDescent="0.15">
      <c r="A22" s="97" t="s">
        <v>114</v>
      </c>
      <c r="B22" s="97"/>
      <c r="C22" s="97"/>
      <c r="D22" s="97"/>
      <c r="E22" s="97"/>
      <c r="F22" s="97"/>
      <c r="G22" s="97"/>
      <c r="H22" s="97"/>
      <c r="I22" s="97"/>
      <c r="J22" s="97"/>
      <c r="K22" s="97"/>
      <c r="L22" s="97"/>
      <c r="M22" s="97"/>
      <c r="N22" s="97"/>
      <c r="O22" s="97"/>
      <c r="P22" s="97"/>
      <c r="Q22" s="97"/>
      <c r="R22" s="97"/>
      <c r="S22" s="97"/>
    </row>
    <row r="23" spans="1:19" ht="18" customHeight="1" x14ac:dyDescent="0.15">
      <c r="A23" s="97"/>
      <c r="B23" s="97"/>
      <c r="C23" s="97"/>
      <c r="D23" s="97"/>
      <c r="E23" s="97"/>
      <c r="F23" s="97"/>
      <c r="G23" s="97"/>
      <c r="H23" s="97"/>
      <c r="I23" s="97"/>
      <c r="J23" s="97"/>
      <c r="K23" s="97"/>
      <c r="L23" s="97"/>
      <c r="M23" s="97"/>
      <c r="N23" s="97"/>
      <c r="O23" s="97"/>
      <c r="P23" s="97"/>
      <c r="Q23" s="97"/>
      <c r="R23" s="97"/>
      <c r="S23" s="97"/>
    </row>
    <row r="24" spans="1:19" ht="18" customHeight="1" x14ac:dyDescent="0.15">
      <c r="B24" s="98" t="s">
        <v>54</v>
      </c>
      <c r="C24" s="99"/>
      <c r="D24" s="99"/>
      <c r="E24" s="100"/>
      <c r="F24" s="76" t="s">
        <v>81</v>
      </c>
      <c r="G24" s="77" t="s">
        <v>85</v>
      </c>
      <c r="H24" s="78" t="s">
        <v>57</v>
      </c>
      <c r="I24" s="78" t="s">
        <v>60</v>
      </c>
      <c r="J24" s="98" t="s">
        <v>54</v>
      </c>
      <c r="K24" s="99"/>
      <c r="L24" s="99"/>
      <c r="M24" s="99"/>
      <c r="N24" s="99"/>
      <c r="O24" s="100"/>
      <c r="P24" s="76" t="s">
        <v>81</v>
      </c>
      <c r="Q24" s="77" t="s">
        <v>85</v>
      </c>
      <c r="R24" s="78" t="s">
        <v>57</v>
      </c>
      <c r="S24" s="78" t="s">
        <v>60</v>
      </c>
    </row>
    <row r="25" spans="1:19" ht="18" customHeight="1" x14ac:dyDescent="0.15">
      <c r="B25" s="101" t="s">
        <v>130</v>
      </c>
      <c r="C25" s="102"/>
      <c r="D25" s="102"/>
      <c r="E25" s="103"/>
      <c r="F25" s="79">
        <v>2</v>
      </c>
      <c r="G25" s="79" t="s">
        <v>131</v>
      </c>
      <c r="H25" s="79" t="s">
        <v>131</v>
      </c>
      <c r="I25" s="79" t="s">
        <v>131</v>
      </c>
      <c r="J25" s="101"/>
      <c r="K25" s="102"/>
      <c r="L25" s="102"/>
      <c r="M25" s="102"/>
      <c r="N25" s="102"/>
      <c r="O25" s="103"/>
      <c r="P25" s="79"/>
      <c r="Q25" s="79"/>
      <c r="R25" s="79"/>
      <c r="S25" s="79"/>
    </row>
    <row r="26" spans="1:19" ht="18" customHeight="1" x14ac:dyDescent="0.15">
      <c r="B26" s="91" t="s">
        <v>193</v>
      </c>
      <c r="C26" s="92"/>
      <c r="D26" s="92"/>
      <c r="E26" s="93"/>
      <c r="F26" s="80">
        <v>2</v>
      </c>
      <c r="G26" s="80"/>
      <c r="H26" s="80" t="s">
        <v>131</v>
      </c>
      <c r="I26" s="80"/>
      <c r="J26" s="91"/>
      <c r="K26" s="92"/>
      <c r="L26" s="92"/>
      <c r="M26" s="92"/>
      <c r="N26" s="92"/>
      <c r="O26" s="93"/>
      <c r="P26" s="80"/>
      <c r="Q26" s="80"/>
      <c r="R26" s="80"/>
      <c r="S26" s="80"/>
    </row>
    <row r="27" spans="1:19" ht="18" customHeight="1" x14ac:dyDescent="0.15">
      <c r="B27" s="91" t="s">
        <v>194</v>
      </c>
      <c r="C27" s="92"/>
      <c r="D27" s="92"/>
      <c r="E27" s="93"/>
      <c r="F27" s="80">
        <v>2</v>
      </c>
      <c r="G27" s="80"/>
      <c r="H27" s="80" t="s">
        <v>131</v>
      </c>
      <c r="I27" s="80" t="s">
        <v>131</v>
      </c>
      <c r="J27" s="91"/>
      <c r="K27" s="92"/>
      <c r="L27" s="92"/>
      <c r="M27" s="92"/>
      <c r="N27" s="92"/>
      <c r="O27" s="93"/>
      <c r="P27" s="80"/>
      <c r="Q27" s="80"/>
      <c r="R27" s="80"/>
      <c r="S27" s="80"/>
    </row>
    <row r="28" spans="1:19" ht="18" customHeight="1" x14ac:dyDescent="0.15">
      <c r="B28" s="91"/>
      <c r="C28" s="92"/>
      <c r="D28" s="92"/>
      <c r="E28" s="93"/>
      <c r="F28" s="80"/>
      <c r="G28" s="80"/>
      <c r="H28" s="80"/>
      <c r="I28" s="80"/>
      <c r="J28" s="91"/>
      <c r="K28" s="92"/>
      <c r="L28" s="92"/>
      <c r="M28" s="92"/>
      <c r="N28" s="92"/>
      <c r="O28" s="93"/>
      <c r="P28" s="80"/>
      <c r="Q28" s="80"/>
      <c r="R28" s="80"/>
      <c r="S28" s="80"/>
    </row>
    <row r="29" spans="1:19" ht="18" customHeight="1" x14ac:dyDescent="0.15">
      <c r="B29" s="91"/>
      <c r="C29" s="92"/>
      <c r="D29" s="92"/>
      <c r="E29" s="93"/>
      <c r="F29" s="80"/>
      <c r="G29" s="80"/>
      <c r="H29" s="80"/>
      <c r="I29" s="80"/>
      <c r="J29" s="91"/>
      <c r="K29" s="92"/>
      <c r="L29" s="92"/>
      <c r="M29" s="92"/>
      <c r="N29" s="92"/>
      <c r="O29" s="93"/>
      <c r="P29" s="80"/>
      <c r="Q29" s="80"/>
      <c r="R29" s="80"/>
      <c r="S29" s="80"/>
    </row>
    <row r="30" spans="1:19" ht="18" customHeight="1" x14ac:dyDescent="0.15">
      <c r="A30" s="66"/>
      <c r="B30" s="91"/>
      <c r="C30" s="92"/>
      <c r="D30" s="92"/>
      <c r="E30" s="93"/>
      <c r="F30" s="80"/>
      <c r="G30" s="80"/>
      <c r="H30" s="80"/>
      <c r="I30" s="80"/>
      <c r="J30" s="91"/>
      <c r="K30" s="92"/>
      <c r="L30" s="92"/>
      <c r="M30" s="92"/>
      <c r="N30" s="92"/>
      <c r="O30" s="93"/>
      <c r="P30" s="80"/>
      <c r="Q30" s="80"/>
      <c r="R30" s="80"/>
      <c r="S30" s="80"/>
    </row>
    <row r="31" spans="1:19" ht="18" customHeight="1" x14ac:dyDescent="0.15">
      <c r="A31" s="66"/>
      <c r="B31" s="94"/>
      <c r="C31" s="95"/>
      <c r="D31" s="95"/>
      <c r="E31" s="96"/>
      <c r="F31" s="81"/>
      <c r="G31" s="81"/>
      <c r="H31" s="82"/>
      <c r="I31" s="82"/>
      <c r="J31" s="94"/>
      <c r="K31" s="95"/>
      <c r="L31" s="95"/>
      <c r="M31" s="95"/>
      <c r="N31" s="95"/>
      <c r="O31" s="96"/>
      <c r="P31" s="81"/>
      <c r="Q31" s="81"/>
      <c r="R31" s="82"/>
      <c r="S31" s="82"/>
    </row>
    <row r="32" spans="1:19" ht="7.5" customHeight="1" x14ac:dyDescent="0.15">
      <c r="A32" s="66"/>
      <c r="B32" s="71"/>
      <c r="C32" s="71"/>
      <c r="D32" s="66"/>
      <c r="E32" s="66"/>
      <c r="F32" s="66"/>
      <c r="G32" s="66"/>
      <c r="H32" s="71"/>
      <c r="I32" s="71"/>
      <c r="J32" s="71"/>
      <c r="K32" s="71"/>
      <c r="L32" s="71"/>
      <c r="M32" s="71"/>
      <c r="N32" s="71"/>
      <c r="O32" s="71"/>
      <c r="P32" s="71"/>
      <c r="Q32" s="71"/>
      <c r="R32" s="71"/>
      <c r="S32" s="66"/>
    </row>
    <row r="33" spans="1:19" ht="18" customHeight="1" x14ac:dyDescent="0.15">
      <c r="A33" s="97" t="s">
        <v>115</v>
      </c>
      <c r="B33" s="97"/>
      <c r="C33" s="97"/>
      <c r="D33" s="97"/>
      <c r="E33" s="97"/>
      <c r="F33" s="97"/>
      <c r="G33" s="97"/>
      <c r="H33" s="97"/>
      <c r="I33" s="97"/>
      <c r="J33" s="97"/>
      <c r="K33" s="97"/>
      <c r="L33" s="97"/>
      <c r="M33" s="97"/>
      <c r="N33" s="97"/>
      <c r="O33" s="97"/>
      <c r="P33" s="97"/>
      <c r="Q33" s="97"/>
      <c r="R33" s="97"/>
      <c r="S33" s="97"/>
    </row>
    <row r="34" spans="1:19" ht="18" customHeight="1" x14ac:dyDescent="0.15">
      <c r="A34" s="97"/>
      <c r="B34" s="97"/>
      <c r="C34" s="97"/>
      <c r="D34" s="97"/>
      <c r="E34" s="97"/>
      <c r="F34" s="97"/>
      <c r="G34" s="97"/>
      <c r="H34" s="97"/>
      <c r="I34" s="97"/>
      <c r="J34" s="97"/>
      <c r="K34" s="97"/>
      <c r="L34" s="97"/>
      <c r="M34" s="97"/>
      <c r="N34" s="97"/>
      <c r="O34" s="97"/>
      <c r="P34" s="97"/>
      <c r="Q34" s="97"/>
      <c r="R34" s="97"/>
      <c r="S34" s="97"/>
    </row>
    <row r="35" spans="1:19" ht="18" customHeight="1" x14ac:dyDescent="0.15">
      <c r="B35" s="98" t="s">
        <v>54</v>
      </c>
      <c r="C35" s="99"/>
      <c r="D35" s="99"/>
      <c r="E35" s="100"/>
      <c r="F35" s="76" t="s">
        <v>81</v>
      </c>
      <c r="G35" s="77" t="s">
        <v>85</v>
      </c>
      <c r="H35" s="78" t="s">
        <v>72</v>
      </c>
      <c r="I35" s="78" t="s">
        <v>73</v>
      </c>
      <c r="J35" s="98" t="s">
        <v>54</v>
      </c>
      <c r="K35" s="99"/>
      <c r="L35" s="99"/>
      <c r="M35" s="99"/>
      <c r="N35" s="99"/>
      <c r="O35" s="100"/>
      <c r="P35" s="76" t="s">
        <v>81</v>
      </c>
      <c r="Q35" s="77" t="s">
        <v>85</v>
      </c>
      <c r="R35" s="78" t="s">
        <v>72</v>
      </c>
      <c r="S35" s="78" t="s">
        <v>73</v>
      </c>
    </row>
    <row r="36" spans="1:19" ht="18" customHeight="1" x14ac:dyDescent="0.15">
      <c r="B36" s="101" t="s">
        <v>130</v>
      </c>
      <c r="C36" s="102"/>
      <c r="D36" s="102"/>
      <c r="E36" s="103"/>
      <c r="F36" s="79">
        <v>2</v>
      </c>
      <c r="G36" s="79" t="s">
        <v>131</v>
      </c>
      <c r="H36" s="79" t="s">
        <v>131</v>
      </c>
      <c r="I36" s="79" t="s">
        <v>131</v>
      </c>
      <c r="J36" s="101"/>
      <c r="K36" s="102"/>
      <c r="L36" s="102"/>
      <c r="M36" s="102"/>
      <c r="N36" s="102"/>
      <c r="O36" s="103"/>
      <c r="P36" s="79"/>
      <c r="Q36" s="79"/>
      <c r="R36" s="79"/>
      <c r="S36" s="79"/>
    </row>
    <row r="37" spans="1:19" ht="18" customHeight="1" x14ac:dyDescent="0.15">
      <c r="B37" s="91" t="s">
        <v>193</v>
      </c>
      <c r="C37" s="92"/>
      <c r="D37" s="92"/>
      <c r="E37" s="93"/>
      <c r="F37" s="80">
        <v>2</v>
      </c>
      <c r="G37" s="80"/>
      <c r="H37" s="80" t="s">
        <v>131</v>
      </c>
      <c r="I37" s="80" t="s">
        <v>131</v>
      </c>
      <c r="J37" s="91"/>
      <c r="K37" s="92"/>
      <c r="L37" s="92"/>
      <c r="M37" s="92"/>
      <c r="N37" s="92"/>
      <c r="O37" s="93"/>
      <c r="P37" s="80"/>
      <c r="Q37" s="80"/>
      <c r="R37" s="80"/>
      <c r="S37" s="80"/>
    </row>
    <row r="38" spans="1:19" ht="18" customHeight="1" x14ac:dyDescent="0.15">
      <c r="B38" s="91" t="s">
        <v>194</v>
      </c>
      <c r="C38" s="92"/>
      <c r="D38" s="92"/>
      <c r="E38" s="93"/>
      <c r="F38" s="80">
        <v>2</v>
      </c>
      <c r="G38" s="80"/>
      <c r="H38" s="80" t="s">
        <v>131</v>
      </c>
      <c r="I38" s="80" t="s">
        <v>131</v>
      </c>
      <c r="J38" s="91"/>
      <c r="K38" s="92"/>
      <c r="L38" s="92"/>
      <c r="M38" s="92"/>
      <c r="N38" s="92"/>
      <c r="O38" s="93"/>
      <c r="P38" s="80"/>
      <c r="Q38" s="80"/>
      <c r="R38" s="80"/>
      <c r="S38" s="80"/>
    </row>
    <row r="39" spans="1:19" ht="18" customHeight="1" x14ac:dyDescent="0.15">
      <c r="B39" s="91"/>
      <c r="C39" s="92"/>
      <c r="D39" s="92"/>
      <c r="E39" s="93"/>
      <c r="F39" s="80"/>
      <c r="G39" s="80"/>
      <c r="H39" s="80"/>
      <c r="I39" s="80"/>
      <c r="J39" s="91"/>
      <c r="K39" s="92"/>
      <c r="L39" s="92"/>
      <c r="M39" s="92"/>
      <c r="N39" s="92"/>
      <c r="O39" s="93"/>
      <c r="P39" s="80"/>
      <c r="Q39" s="80"/>
      <c r="R39" s="80"/>
      <c r="S39" s="80"/>
    </row>
    <row r="40" spans="1:19" ht="18" customHeight="1" x14ac:dyDescent="0.15">
      <c r="B40" s="91"/>
      <c r="C40" s="92"/>
      <c r="D40" s="92"/>
      <c r="E40" s="93"/>
      <c r="F40" s="80"/>
      <c r="G40" s="80"/>
      <c r="H40" s="80"/>
      <c r="I40" s="80"/>
      <c r="J40" s="91"/>
      <c r="K40" s="92"/>
      <c r="L40" s="92"/>
      <c r="M40" s="92"/>
      <c r="N40" s="92"/>
      <c r="O40" s="93"/>
      <c r="P40" s="80"/>
      <c r="Q40" s="80"/>
      <c r="R40" s="80"/>
      <c r="S40" s="80"/>
    </row>
    <row r="41" spans="1:19" ht="18" customHeight="1" x14ac:dyDescent="0.15">
      <c r="B41" s="91"/>
      <c r="C41" s="92"/>
      <c r="D41" s="92"/>
      <c r="E41" s="93"/>
      <c r="F41" s="80"/>
      <c r="G41" s="80"/>
      <c r="H41" s="80"/>
      <c r="I41" s="80"/>
      <c r="J41" s="91"/>
      <c r="K41" s="92"/>
      <c r="L41" s="92"/>
      <c r="M41" s="92"/>
      <c r="N41" s="92"/>
      <c r="O41" s="93"/>
      <c r="P41" s="80"/>
      <c r="Q41" s="80"/>
      <c r="R41" s="80"/>
      <c r="S41" s="80"/>
    </row>
    <row r="42" spans="1:19" ht="18" customHeight="1" x14ac:dyDescent="0.15">
      <c r="B42" s="94"/>
      <c r="C42" s="95"/>
      <c r="D42" s="95"/>
      <c r="E42" s="96"/>
      <c r="F42" s="81"/>
      <c r="G42" s="81"/>
      <c r="H42" s="82"/>
      <c r="I42" s="82"/>
      <c r="J42" s="94"/>
      <c r="K42" s="95"/>
      <c r="L42" s="95"/>
      <c r="M42" s="95"/>
      <c r="N42" s="95"/>
      <c r="O42" s="96"/>
      <c r="P42" s="81"/>
      <c r="Q42" s="81"/>
      <c r="R42" s="82"/>
      <c r="S42" s="82"/>
    </row>
    <row r="43" spans="1:19" ht="7.5" customHeight="1" x14ac:dyDescent="0.15">
      <c r="A43" s="66"/>
      <c r="B43" s="71"/>
      <c r="C43" s="71"/>
      <c r="D43" s="66"/>
      <c r="E43" s="66"/>
      <c r="F43" s="66"/>
      <c r="G43" s="66"/>
      <c r="H43" s="71"/>
      <c r="I43" s="71"/>
      <c r="J43" s="71"/>
      <c r="K43" s="71"/>
      <c r="L43" s="71"/>
      <c r="M43" s="71"/>
      <c r="N43" s="71"/>
      <c r="O43" s="71"/>
      <c r="P43" s="71"/>
      <c r="Q43" s="71"/>
      <c r="R43" s="71"/>
      <c r="S43" s="66"/>
    </row>
    <row r="44" spans="1:19" ht="18" customHeight="1" x14ac:dyDescent="0.15">
      <c r="A44" s="97" t="s">
        <v>116</v>
      </c>
      <c r="B44" s="97"/>
      <c r="C44" s="97"/>
      <c r="D44" s="97"/>
      <c r="E44" s="97"/>
      <c r="F44" s="97"/>
      <c r="G44" s="97"/>
      <c r="H44" s="97"/>
      <c r="I44" s="97"/>
      <c r="J44" s="97"/>
      <c r="K44" s="97"/>
      <c r="L44" s="97"/>
      <c r="M44" s="97"/>
      <c r="N44" s="97"/>
      <c r="O44" s="97"/>
      <c r="P44" s="97"/>
      <c r="Q44" s="97"/>
      <c r="R44" s="97"/>
      <c r="S44" s="97"/>
    </row>
    <row r="45" spans="1:19" ht="18" customHeight="1" x14ac:dyDescent="0.15">
      <c r="A45" s="97"/>
      <c r="B45" s="97"/>
      <c r="C45" s="97"/>
      <c r="D45" s="97"/>
      <c r="E45" s="97"/>
      <c r="F45" s="97"/>
      <c r="G45" s="97"/>
      <c r="H45" s="97"/>
      <c r="I45" s="97"/>
      <c r="J45" s="97"/>
      <c r="K45" s="97"/>
      <c r="L45" s="97"/>
      <c r="M45" s="97"/>
      <c r="N45" s="97"/>
      <c r="O45" s="97"/>
      <c r="P45" s="97"/>
      <c r="Q45" s="97"/>
      <c r="R45" s="97"/>
      <c r="S45" s="97"/>
    </row>
    <row r="46" spans="1:19" ht="18" customHeight="1" x14ac:dyDescent="0.15">
      <c r="B46" s="98" t="s">
        <v>54</v>
      </c>
      <c r="C46" s="99"/>
      <c r="D46" s="99"/>
      <c r="E46" s="100"/>
      <c r="F46" s="76" t="s">
        <v>81</v>
      </c>
      <c r="G46" s="77" t="s">
        <v>85</v>
      </c>
      <c r="H46" s="78" t="s">
        <v>74</v>
      </c>
      <c r="I46" s="78" t="s">
        <v>75</v>
      </c>
      <c r="J46" s="98" t="s">
        <v>54</v>
      </c>
      <c r="K46" s="99"/>
      <c r="L46" s="99"/>
      <c r="M46" s="99"/>
      <c r="N46" s="99"/>
      <c r="O46" s="100"/>
      <c r="P46" s="76" t="s">
        <v>81</v>
      </c>
      <c r="Q46" s="77" t="s">
        <v>85</v>
      </c>
      <c r="R46" s="78" t="s">
        <v>74</v>
      </c>
      <c r="S46" s="78" t="s">
        <v>75</v>
      </c>
    </row>
    <row r="47" spans="1:19" ht="18" customHeight="1" x14ac:dyDescent="0.15">
      <c r="A47" s="66"/>
      <c r="B47" s="101" t="s">
        <v>132</v>
      </c>
      <c r="C47" s="102"/>
      <c r="D47" s="102"/>
      <c r="E47" s="103"/>
      <c r="F47" s="79">
        <v>2</v>
      </c>
      <c r="G47" s="79" t="s">
        <v>131</v>
      </c>
      <c r="H47" s="79" t="s">
        <v>131</v>
      </c>
      <c r="I47" s="79" t="s">
        <v>131</v>
      </c>
      <c r="J47" s="101"/>
      <c r="K47" s="102"/>
      <c r="L47" s="102"/>
      <c r="M47" s="102"/>
      <c r="N47" s="102"/>
      <c r="O47" s="103"/>
      <c r="P47" s="79"/>
      <c r="Q47" s="79"/>
      <c r="R47" s="79"/>
      <c r="S47" s="79"/>
    </row>
    <row r="48" spans="1:19" ht="18" customHeight="1" x14ac:dyDescent="0.15">
      <c r="A48" s="66"/>
      <c r="B48" s="91" t="s">
        <v>194</v>
      </c>
      <c r="C48" s="92"/>
      <c r="D48" s="92"/>
      <c r="E48" s="93"/>
      <c r="F48" s="80">
        <v>2</v>
      </c>
      <c r="G48" s="80"/>
      <c r="H48" s="80" t="s">
        <v>131</v>
      </c>
      <c r="I48" s="80"/>
      <c r="J48" s="91"/>
      <c r="K48" s="92"/>
      <c r="L48" s="92"/>
      <c r="M48" s="92"/>
      <c r="N48" s="92"/>
      <c r="O48" s="93"/>
      <c r="P48" s="80"/>
      <c r="Q48" s="80"/>
      <c r="R48" s="80"/>
      <c r="S48" s="80"/>
    </row>
    <row r="49" spans="1:19" ht="18" customHeight="1" x14ac:dyDescent="0.15">
      <c r="A49" s="66"/>
      <c r="B49" s="91" t="s">
        <v>229</v>
      </c>
      <c r="C49" s="92"/>
      <c r="D49" s="92"/>
      <c r="E49" s="93"/>
      <c r="F49" s="80">
        <v>2</v>
      </c>
      <c r="G49" s="80"/>
      <c r="H49" s="80"/>
      <c r="I49" s="80" t="s">
        <v>131</v>
      </c>
      <c r="J49" s="91"/>
      <c r="K49" s="92"/>
      <c r="L49" s="92"/>
      <c r="M49" s="92"/>
      <c r="N49" s="92"/>
      <c r="O49" s="93"/>
      <c r="P49" s="80"/>
      <c r="Q49" s="80"/>
      <c r="R49" s="80"/>
      <c r="S49" s="80"/>
    </row>
    <row r="50" spans="1:19" ht="18" customHeight="1" x14ac:dyDescent="0.15">
      <c r="A50" s="66"/>
      <c r="B50" s="91" t="s">
        <v>230</v>
      </c>
      <c r="C50" s="92"/>
      <c r="D50" s="92"/>
      <c r="E50" s="93"/>
      <c r="F50" s="80">
        <v>2</v>
      </c>
      <c r="G50" s="80"/>
      <c r="H50" s="80"/>
      <c r="I50" s="80" t="s">
        <v>131</v>
      </c>
      <c r="J50" s="91"/>
      <c r="K50" s="92"/>
      <c r="L50" s="92"/>
      <c r="M50" s="92"/>
      <c r="N50" s="92"/>
      <c r="O50" s="93"/>
      <c r="P50" s="80"/>
      <c r="Q50" s="80"/>
      <c r="R50" s="80"/>
      <c r="S50" s="80"/>
    </row>
    <row r="51" spans="1:19" ht="18" customHeight="1" x14ac:dyDescent="0.15">
      <c r="A51" s="66"/>
      <c r="B51" s="91" t="s">
        <v>231</v>
      </c>
      <c r="C51" s="92"/>
      <c r="D51" s="92"/>
      <c r="E51" s="93"/>
      <c r="F51" s="80">
        <v>2</v>
      </c>
      <c r="G51" s="80"/>
      <c r="H51" s="80"/>
      <c r="I51" s="80" t="s">
        <v>131</v>
      </c>
      <c r="J51" s="91"/>
      <c r="K51" s="92"/>
      <c r="L51" s="92"/>
      <c r="M51" s="92"/>
      <c r="N51" s="92"/>
      <c r="O51" s="93"/>
      <c r="P51" s="80"/>
      <c r="Q51" s="80"/>
      <c r="R51" s="80"/>
      <c r="S51" s="80"/>
    </row>
    <row r="52" spans="1:19" ht="18" customHeight="1" x14ac:dyDescent="0.15">
      <c r="A52" s="66"/>
      <c r="B52" s="91" t="s">
        <v>232</v>
      </c>
      <c r="C52" s="92"/>
      <c r="D52" s="92"/>
      <c r="E52" s="93"/>
      <c r="F52" s="80">
        <v>2</v>
      </c>
      <c r="G52" s="80"/>
      <c r="H52" s="80"/>
      <c r="I52" s="80" t="s">
        <v>131</v>
      </c>
      <c r="J52" s="91"/>
      <c r="K52" s="92"/>
      <c r="L52" s="92"/>
      <c r="M52" s="92"/>
      <c r="N52" s="92"/>
      <c r="O52" s="93"/>
      <c r="P52" s="80"/>
      <c r="Q52" s="80"/>
      <c r="R52" s="80"/>
      <c r="S52" s="80"/>
    </row>
    <row r="53" spans="1:19" ht="18" customHeight="1" x14ac:dyDescent="0.15">
      <c r="A53" s="66"/>
      <c r="B53" s="94"/>
      <c r="C53" s="95"/>
      <c r="D53" s="95"/>
      <c r="E53" s="96"/>
      <c r="F53" s="81"/>
      <c r="G53" s="81"/>
      <c r="H53" s="82"/>
      <c r="I53" s="82"/>
      <c r="J53" s="94"/>
      <c r="K53" s="95"/>
      <c r="L53" s="95"/>
      <c r="M53" s="95"/>
      <c r="N53" s="95"/>
      <c r="O53" s="96"/>
      <c r="P53" s="81"/>
      <c r="Q53" s="81"/>
      <c r="R53" s="82"/>
      <c r="S53" s="82"/>
    </row>
    <row r="54" spans="1:19" ht="7.5" customHeight="1" x14ac:dyDescent="0.15">
      <c r="B54" s="83"/>
      <c r="C54" s="83"/>
      <c r="D54" s="83"/>
      <c r="E54" s="83"/>
      <c r="F54" s="83"/>
      <c r="G54" s="83"/>
      <c r="H54" s="83"/>
      <c r="I54" s="83"/>
      <c r="J54" s="83"/>
      <c r="K54" s="83"/>
      <c r="L54" s="83"/>
      <c r="M54" s="83"/>
      <c r="N54" s="83"/>
      <c r="O54" s="83"/>
      <c r="P54" s="83"/>
      <c r="Q54" s="83"/>
      <c r="R54" s="83"/>
    </row>
    <row r="55" spans="1:19" ht="18" customHeight="1" x14ac:dyDescent="0.15">
      <c r="A55" s="97" t="s">
        <v>117</v>
      </c>
      <c r="B55" s="97"/>
      <c r="C55" s="97"/>
      <c r="D55" s="97"/>
      <c r="E55" s="97"/>
      <c r="F55" s="97"/>
      <c r="G55" s="97"/>
      <c r="H55" s="97"/>
      <c r="I55" s="97"/>
      <c r="J55" s="97"/>
      <c r="K55" s="97"/>
      <c r="L55" s="97"/>
      <c r="M55" s="97"/>
      <c r="N55" s="97"/>
      <c r="O55" s="97"/>
      <c r="P55" s="97"/>
      <c r="Q55" s="97"/>
      <c r="R55" s="97"/>
      <c r="S55" s="97"/>
    </row>
    <row r="56" spans="1:19" ht="18" customHeight="1" x14ac:dyDescent="0.15">
      <c r="A56" s="97"/>
      <c r="B56" s="97"/>
      <c r="C56" s="97"/>
      <c r="D56" s="97"/>
      <c r="E56" s="97"/>
      <c r="F56" s="97"/>
      <c r="G56" s="97"/>
      <c r="H56" s="97"/>
      <c r="I56" s="97"/>
      <c r="J56" s="97"/>
      <c r="K56" s="97"/>
      <c r="L56" s="97"/>
      <c r="M56" s="97"/>
      <c r="N56" s="97"/>
      <c r="O56" s="97"/>
      <c r="P56" s="97"/>
      <c r="Q56" s="97"/>
      <c r="R56" s="97"/>
      <c r="S56" s="97"/>
    </row>
    <row r="57" spans="1:19" ht="18" customHeight="1" x14ac:dyDescent="0.15">
      <c r="B57" s="98" t="s">
        <v>54</v>
      </c>
      <c r="C57" s="99"/>
      <c r="D57" s="99"/>
      <c r="E57" s="100"/>
      <c r="F57" s="76" t="s">
        <v>81</v>
      </c>
      <c r="G57" s="77" t="s">
        <v>85</v>
      </c>
      <c r="H57" s="78" t="s">
        <v>59</v>
      </c>
      <c r="I57" s="78" t="s">
        <v>61</v>
      </c>
      <c r="J57" s="98" t="s">
        <v>54</v>
      </c>
      <c r="K57" s="99"/>
      <c r="L57" s="99"/>
      <c r="M57" s="99"/>
      <c r="N57" s="99"/>
      <c r="O57" s="100"/>
      <c r="P57" s="76" t="s">
        <v>81</v>
      </c>
      <c r="Q57" s="77" t="s">
        <v>85</v>
      </c>
      <c r="R57" s="78" t="s">
        <v>59</v>
      </c>
      <c r="S57" s="78" t="s">
        <v>61</v>
      </c>
    </row>
    <row r="58" spans="1:19" ht="18" customHeight="1" x14ac:dyDescent="0.15">
      <c r="A58" s="66"/>
      <c r="B58" s="101" t="s">
        <v>130</v>
      </c>
      <c r="C58" s="102"/>
      <c r="D58" s="102"/>
      <c r="E58" s="103"/>
      <c r="F58" s="79">
        <v>2</v>
      </c>
      <c r="G58" s="79" t="s">
        <v>131</v>
      </c>
      <c r="H58" s="79" t="s">
        <v>131</v>
      </c>
      <c r="I58" s="79" t="s">
        <v>131</v>
      </c>
      <c r="J58" s="101"/>
      <c r="K58" s="102"/>
      <c r="L58" s="102"/>
      <c r="M58" s="102"/>
      <c r="N58" s="102"/>
      <c r="O58" s="103"/>
      <c r="P58" s="79"/>
      <c r="Q58" s="79"/>
      <c r="R58" s="79"/>
      <c r="S58" s="79"/>
    </row>
    <row r="59" spans="1:19" ht="18" customHeight="1" x14ac:dyDescent="0.15">
      <c r="A59" s="66"/>
      <c r="B59" s="91" t="s">
        <v>195</v>
      </c>
      <c r="C59" s="92"/>
      <c r="D59" s="92"/>
      <c r="E59" s="93"/>
      <c r="F59" s="80">
        <v>2</v>
      </c>
      <c r="G59" s="80"/>
      <c r="H59" s="80" t="s">
        <v>131</v>
      </c>
      <c r="I59" s="80" t="s">
        <v>131</v>
      </c>
      <c r="J59" s="91"/>
      <c r="K59" s="92"/>
      <c r="L59" s="92"/>
      <c r="M59" s="92"/>
      <c r="N59" s="92"/>
      <c r="O59" s="93"/>
      <c r="P59" s="80"/>
      <c r="Q59" s="80"/>
      <c r="R59" s="80"/>
      <c r="S59" s="80"/>
    </row>
    <row r="60" spans="1:19" ht="18" customHeight="1" x14ac:dyDescent="0.15">
      <c r="A60" s="66"/>
      <c r="B60" s="91" t="s">
        <v>194</v>
      </c>
      <c r="C60" s="92"/>
      <c r="D60" s="92"/>
      <c r="E60" s="93"/>
      <c r="F60" s="80">
        <v>2</v>
      </c>
      <c r="G60" s="80"/>
      <c r="H60" s="80" t="s">
        <v>131</v>
      </c>
      <c r="I60" s="80" t="s">
        <v>131</v>
      </c>
      <c r="J60" s="91"/>
      <c r="K60" s="92"/>
      <c r="L60" s="92"/>
      <c r="M60" s="92"/>
      <c r="N60" s="92"/>
      <c r="O60" s="93"/>
      <c r="P60" s="80"/>
      <c r="Q60" s="80"/>
      <c r="R60" s="80"/>
      <c r="S60" s="80"/>
    </row>
    <row r="61" spans="1:19" ht="18" customHeight="1" x14ac:dyDescent="0.15">
      <c r="A61" s="66"/>
      <c r="B61" s="91"/>
      <c r="C61" s="92"/>
      <c r="D61" s="92"/>
      <c r="E61" s="93"/>
      <c r="F61" s="80"/>
      <c r="G61" s="80"/>
      <c r="H61" s="80"/>
      <c r="I61" s="80"/>
      <c r="J61" s="91"/>
      <c r="K61" s="92"/>
      <c r="L61" s="92"/>
      <c r="M61" s="92"/>
      <c r="N61" s="92"/>
      <c r="O61" s="93"/>
      <c r="P61" s="80"/>
      <c r="Q61" s="80"/>
      <c r="R61" s="80"/>
      <c r="S61" s="80"/>
    </row>
    <row r="62" spans="1:19" ht="18" customHeight="1" x14ac:dyDescent="0.15">
      <c r="A62" s="66"/>
      <c r="B62" s="91"/>
      <c r="C62" s="92"/>
      <c r="D62" s="92"/>
      <c r="E62" s="93"/>
      <c r="F62" s="80"/>
      <c r="G62" s="80"/>
      <c r="H62" s="80"/>
      <c r="I62" s="80"/>
      <c r="J62" s="91"/>
      <c r="K62" s="92"/>
      <c r="L62" s="92"/>
      <c r="M62" s="92"/>
      <c r="N62" s="92"/>
      <c r="O62" s="93"/>
      <c r="P62" s="80"/>
      <c r="Q62" s="80"/>
      <c r="R62" s="80"/>
      <c r="S62" s="80"/>
    </row>
    <row r="63" spans="1:19" ht="18" customHeight="1" x14ac:dyDescent="0.15">
      <c r="A63" s="66"/>
      <c r="B63" s="91"/>
      <c r="C63" s="92"/>
      <c r="D63" s="92"/>
      <c r="E63" s="93"/>
      <c r="F63" s="80"/>
      <c r="G63" s="80"/>
      <c r="H63" s="80"/>
      <c r="I63" s="80"/>
      <c r="J63" s="91"/>
      <c r="K63" s="92"/>
      <c r="L63" s="92"/>
      <c r="M63" s="92"/>
      <c r="N63" s="92"/>
      <c r="O63" s="93"/>
      <c r="P63" s="80"/>
      <c r="Q63" s="80"/>
      <c r="R63" s="80"/>
      <c r="S63" s="80"/>
    </row>
    <row r="64" spans="1:19" ht="18" customHeight="1" x14ac:dyDescent="0.15">
      <c r="A64" s="66"/>
      <c r="B64" s="94"/>
      <c r="C64" s="95"/>
      <c r="D64" s="95"/>
      <c r="E64" s="96"/>
      <c r="F64" s="81"/>
      <c r="G64" s="81"/>
      <c r="H64" s="82"/>
      <c r="I64" s="82"/>
      <c r="J64" s="94"/>
      <c r="K64" s="95"/>
      <c r="L64" s="95"/>
      <c r="M64" s="95"/>
      <c r="N64" s="95"/>
      <c r="O64" s="96"/>
      <c r="P64" s="81"/>
      <c r="Q64" s="81"/>
      <c r="R64" s="82"/>
      <c r="S64" s="82"/>
    </row>
    <row r="65" spans="1:19" ht="7.5" customHeight="1" x14ac:dyDescent="0.15">
      <c r="B65" s="83"/>
      <c r="C65" s="83"/>
      <c r="D65" s="83"/>
      <c r="E65" s="83"/>
      <c r="F65" s="83"/>
      <c r="G65" s="83"/>
      <c r="H65" s="83"/>
      <c r="I65" s="83"/>
      <c r="J65" s="83"/>
      <c r="K65" s="83"/>
      <c r="L65" s="83"/>
      <c r="M65" s="83"/>
      <c r="N65" s="83"/>
      <c r="O65" s="83"/>
      <c r="P65" s="83"/>
      <c r="Q65" s="83"/>
      <c r="R65" s="83"/>
    </row>
    <row r="66" spans="1:19" ht="18" customHeight="1" x14ac:dyDescent="0.15">
      <c r="A66" s="97" t="s">
        <v>118</v>
      </c>
      <c r="B66" s="97"/>
      <c r="C66" s="97"/>
      <c r="D66" s="97"/>
      <c r="E66" s="97"/>
      <c r="F66" s="97"/>
      <c r="G66" s="97"/>
      <c r="H66" s="97"/>
      <c r="I66" s="97"/>
      <c r="J66" s="97"/>
      <c r="K66" s="97"/>
      <c r="L66" s="97"/>
      <c r="M66" s="97"/>
      <c r="N66" s="97"/>
      <c r="O66" s="97"/>
      <c r="P66" s="97"/>
      <c r="Q66" s="97"/>
      <c r="R66" s="97"/>
      <c r="S66" s="97"/>
    </row>
    <row r="67" spans="1:19" ht="18" customHeight="1" x14ac:dyDescent="0.15">
      <c r="A67" s="97"/>
      <c r="B67" s="97"/>
      <c r="C67" s="97"/>
      <c r="D67" s="97"/>
      <c r="E67" s="97"/>
      <c r="F67" s="97"/>
      <c r="G67" s="97"/>
      <c r="H67" s="97"/>
      <c r="I67" s="97"/>
      <c r="J67" s="97"/>
      <c r="K67" s="97"/>
      <c r="L67" s="97"/>
      <c r="M67" s="97"/>
      <c r="N67" s="97"/>
      <c r="O67" s="97"/>
      <c r="P67" s="97"/>
      <c r="Q67" s="97"/>
      <c r="R67" s="97"/>
      <c r="S67" s="97"/>
    </row>
    <row r="68" spans="1:19" ht="18" customHeight="1" x14ac:dyDescent="0.15">
      <c r="B68" s="98" t="s">
        <v>54</v>
      </c>
      <c r="C68" s="99"/>
      <c r="D68" s="99"/>
      <c r="E68" s="76" t="s">
        <v>81</v>
      </c>
      <c r="F68" s="77" t="s">
        <v>85</v>
      </c>
      <c r="G68" s="78" t="s">
        <v>102</v>
      </c>
      <c r="H68" s="78" t="s">
        <v>76</v>
      </c>
      <c r="I68" s="78" t="s">
        <v>77</v>
      </c>
      <c r="J68" s="98" t="s">
        <v>54</v>
      </c>
      <c r="K68" s="99"/>
      <c r="L68" s="99"/>
      <c r="M68" s="99"/>
      <c r="N68" s="100"/>
      <c r="O68" s="76" t="s">
        <v>81</v>
      </c>
      <c r="P68" s="77" t="s">
        <v>85</v>
      </c>
      <c r="Q68" s="78" t="s">
        <v>102</v>
      </c>
      <c r="R68" s="78" t="s">
        <v>76</v>
      </c>
      <c r="S68" s="78" t="s">
        <v>77</v>
      </c>
    </row>
    <row r="69" spans="1:19" ht="18" customHeight="1" x14ac:dyDescent="0.15">
      <c r="A69" s="66"/>
      <c r="B69" s="101" t="s">
        <v>130</v>
      </c>
      <c r="C69" s="102"/>
      <c r="D69" s="102"/>
      <c r="E69" s="79">
        <v>2</v>
      </c>
      <c r="F69" s="79" t="s">
        <v>131</v>
      </c>
      <c r="G69" s="79" t="s">
        <v>131</v>
      </c>
      <c r="H69" s="79" t="s">
        <v>131</v>
      </c>
      <c r="I69" s="79" t="s">
        <v>131</v>
      </c>
      <c r="J69" s="101" t="s">
        <v>200</v>
      </c>
      <c r="K69" s="102"/>
      <c r="L69" s="102"/>
      <c r="M69" s="102"/>
      <c r="N69" s="103"/>
      <c r="O69" s="79">
        <v>2</v>
      </c>
      <c r="P69" s="79"/>
      <c r="Q69" s="79" t="s">
        <v>131</v>
      </c>
      <c r="R69" s="79"/>
      <c r="S69" s="79" t="s">
        <v>131</v>
      </c>
    </row>
    <row r="70" spans="1:19" ht="18" customHeight="1" x14ac:dyDescent="0.15">
      <c r="A70" s="66"/>
      <c r="B70" s="91" t="s">
        <v>196</v>
      </c>
      <c r="C70" s="92"/>
      <c r="D70" s="92"/>
      <c r="E70" s="80">
        <v>2</v>
      </c>
      <c r="F70" s="80"/>
      <c r="G70" s="80" t="s">
        <v>131</v>
      </c>
      <c r="H70" s="80"/>
      <c r="I70" s="80"/>
      <c r="J70" s="91" t="s">
        <v>194</v>
      </c>
      <c r="K70" s="92"/>
      <c r="L70" s="92"/>
      <c r="M70" s="92"/>
      <c r="N70" s="93"/>
      <c r="O70" s="80">
        <v>2</v>
      </c>
      <c r="P70" s="80"/>
      <c r="Q70" s="80" t="s">
        <v>131</v>
      </c>
      <c r="R70" s="80" t="s">
        <v>131</v>
      </c>
      <c r="S70" s="80"/>
    </row>
    <row r="71" spans="1:19" ht="18" customHeight="1" x14ac:dyDescent="0.15">
      <c r="A71" s="66"/>
      <c r="B71" s="91" t="s">
        <v>231</v>
      </c>
      <c r="C71" s="92"/>
      <c r="D71" s="92"/>
      <c r="E71" s="80">
        <v>2</v>
      </c>
      <c r="F71" s="80"/>
      <c r="G71" s="80" t="s">
        <v>131</v>
      </c>
      <c r="H71" s="80"/>
      <c r="I71" s="80"/>
      <c r="J71" s="91" t="s">
        <v>201</v>
      </c>
      <c r="K71" s="92"/>
      <c r="L71" s="92"/>
      <c r="M71" s="92"/>
      <c r="N71" s="93"/>
      <c r="O71" s="80">
        <v>2</v>
      </c>
      <c r="P71" s="80"/>
      <c r="Q71" s="80" t="s">
        <v>131</v>
      </c>
      <c r="R71" s="80"/>
      <c r="S71" s="80"/>
    </row>
    <row r="72" spans="1:19" ht="18" customHeight="1" x14ac:dyDescent="0.15">
      <c r="A72" s="66"/>
      <c r="B72" s="91" t="s">
        <v>197</v>
      </c>
      <c r="C72" s="92"/>
      <c r="D72" s="92"/>
      <c r="E72" s="80">
        <v>2</v>
      </c>
      <c r="F72" s="80"/>
      <c r="G72" s="80" t="s">
        <v>131</v>
      </c>
      <c r="H72" s="80"/>
      <c r="I72" s="80"/>
      <c r="J72" s="91" t="s">
        <v>202</v>
      </c>
      <c r="K72" s="92"/>
      <c r="L72" s="92"/>
      <c r="M72" s="92"/>
      <c r="N72" s="93"/>
      <c r="O72" s="80">
        <v>2</v>
      </c>
      <c r="P72" s="80"/>
      <c r="Q72" s="80" t="s">
        <v>131</v>
      </c>
      <c r="R72" s="80"/>
      <c r="S72" s="80"/>
    </row>
    <row r="73" spans="1:19" ht="18" customHeight="1" x14ac:dyDescent="0.15">
      <c r="A73" s="66"/>
      <c r="B73" s="91" t="s">
        <v>198</v>
      </c>
      <c r="C73" s="92"/>
      <c r="D73" s="92"/>
      <c r="E73" s="80">
        <v>2</v>
      </c>
      <c r="F73" s="80"/>
      <c r="G73" s="80" t="s">
        <v>131</v>
      </c>
      <c r="H73" s="80" t="s">
        <v>131</v>
      </c>
      <c r="I73" s="80" t="s">
        <v>131</v>
      </c>
      <c r="J73" s="91" t="s">
        <v>203</v>
      </c>
      <c r="K73" s="92"/>
      <c r="L73" s="92"/>
      <c r="M73" s="92"/>
      <c r="N73" s="93"/>
      <c r="O73" s="80">
        <v>2</v>
      </c>
      <c r="P73" s="80"/>
      <c r="Q73" s="80" t="s">
        <v>131</v>
      </c>
      <c r="R73" s="80"/>
      <c r="S73" s="80"/>
    </row>
    <row r="74" spans="1:19" ht="18" customHeight="1" x14ac:dyDescent="0.15">
      <c r="A74" s="66"/>
      <c r="B74" s="91" t="s">
        <v>195</v>
      </c>
      <c r="C74" s="92"/>
      <c r="D74" s="92"/>
      <c r="E74" s="80">
        <v>2</v>
      </c>
      <c r="F74" s="80"/>
      <c r="G74" s="80" t="s">
        <v>131</v>
      </c>
      <c r="H74" s="80" t="s">
        <v>131</v>
      </c>
      <c r="I74" s="80"/>
      <c r="J74" s="91" t="s">
        <v>193</v>
      </c>
      <c r="K74" s="92"/>
      <c r="L74" s="92"/>
      <c r="M74" s="92"/>
      <c r="N74" s="93"/>
      <c r="O74" s="80">
        <v>2</v>
      </c>
      <c r="P74" s="80"/>
      <c r="Q74" s="80"/>
      <c r="R74" s="80"/>
      <c r="S74" s="80" t="s">
        <v>131</v>
      </c>
    </row>
    <row r="75" spans="1:19" ht="18" customHeight="1" x14ac:dyDescent="0.15">
      <c r="A75" s="66"/>
      <c r="B75" s="94" t="s">
        <v>199</v>
      </c>
      <c r="C75" s="95"/>
      <c r="D75" s="95"/>
      <c r="E75" s="81">
        <v>2</v>
      </c>
      <c r="F75" s="81"/>
      <c r="G75" s="82" t="s">
        <v>131</v>
      </c>
      <c r="H75" s="82"/>
      <c r="I75" s="82"/>
      <c r="J75" s="94"/>
      <c r="K75" s="95"/>
      <c r="L75" s="95"/>
      <c r="M75" s="95"/>
      <c r="N75" s="96"/>
      <c r="O75" s="81"/>
      <c r="P75" s="81"/>
      <c r="Q75" s="82"/>
      <c r="R75" s="82"/>
      <c r="S75" s="82"/>
    </row>
    <row r="76" spans="1:19" ht="7.5" customHeight="1" x14ac:dyDescent="0.15">
      <c r="B76" s="83"/>
      <c r="C76" s="83"/>
      <c r="D76" s="83"/>
      <c r="E76" s="83"/>
      <c r="F76" s="83"/>
      <c r="G76" s="83"/>
      <c r="H76" s="83"/>
      <c r="I76" s="83"/>
      <c r="J76" s="83"/>
      <c r="K76" s="83"/>
      <c r="L76" s="83"/>
      <c r="M76" s="83"/>
      <c r="N76" s="83"/>
      <c r="O76" s="83"/>
      <c r="P76" s="83"/>
      <c r="Q76" s="83"/>
      <c r="R76" s="83"/>
    </row>
    <row r="77" spans="1:19" ht="18" customHeight="1" x14ac:dyDescent="0.15">
      <c r="A77" s="65" t="s">
        <v>119</v>
      </c>
      <c r="H77" s="66"/>
      <c r="I77" s="66"/>
      <c r="J77" s="66"/>
      <c r="K77" s="66"/>
      <c r="L77" s="66"/>
      <c r="M77" s="66"/>
      <c r="N77" s="66"/>
      <c r="O77" s="66"/>
      <c r="P77" s="66"/>
      <c r="Q77" s="66"/>
      <c r="R77" s="66"/>
      <c r="S77" s="66"/>
    </row>
    <row r="78" spans="1:19" ht="18" customHeight="1" x14ac:dyDescent="0.15">
      <c r="B78" s="98" t="s">
        <v>54</v>
      </c>
      <c r="C78" s="99"/>
      <c r="D78" s="99"/>
      <c r="E78" s="100"/>
      <c r="F78" s="98" t="s">
        <v>83</v>
      </c>
      <c r="G78" s="99"/>
      <c r="H78" s="99"/>
      <c r="I78" s="100"/>
      <c r="J78" s="98" t="s">
        <v>54</v>
      </c>
      <c r="K78" s="99"/>
      <c r="L78" s="99"/>
      <c r="M78" s="99"/>
      <c r="N78" s="99"/>
      <c r="O78" s="100"/>
      <c r="P78" s="98" t="s">
        <v>83</v>
      </c>
      <c r="Q78" s="99"/>
      <c r="R78" s="99"/>
      <c r="S78" s="100"/>
    </row>
    <row r="79" spans="1:19" ht="18" customHeight="1" x14ac:dyDescent="0.15">
      <c r="A79" s="66"/>
      <c r="B79" s="101" t="s">
        <v>133</v>
      </c>
      <c r="C79" s="102"/>
      <c r="D79" s="102"/>
      <c r="E79" s="103"/>
      <c r="F79" s="115" t="s">
        <v>204</v>
      </c>
      <c r="G79" s="116"/>
      <c r="H79" s="116"/>
      <c r="I79" s="117"/>
      <c r="J79" s="101" t="s">
        <v>142</v>
      </c>
      <c r="K79" s="102"/>
      <c r="L79" s="102"/>
      <c r="M79" s="102"/>
      <c r="N79" s="102"/>
      <c r="O79" s="103"/>
      <c r="P79" s="115" t="s">
        <v>204</v>
      </c>
      <c r="Q79" s="116"/>
      <c r="R79" s="116"/>
      <c r="S79" s="117"/>
    </row>
    <row r="80" spans="1:19" ht="18" customHeight="1" x14ac:dyDescent="0.15">
      <c r="A80" s="66"/>
      <c r="B80" s="91" t="s">
        <v>133</v>
      </c>
      <c r="C80" s="92"/>
      <c r="D80" s="92"/>
      <c r="E80" s="93"/>
      <c r="F80" s="118" t="s">
        <v>205</v>
      </c>
      <c r="G80" s="119"/>
      <c r="H80" s="119"/>
      <c r="I80" s="120"/>
      <c r="J80" s="91" t="s">
        <v>142</v>
      </c>
      <c r="K80" s="92"/>
      <c r="L80" s="92"/>
      <c r="M80" s="92"/>
      <c r="N80" s="92"/>
      <c r="O80" s="93"/>
      <c r="P80" s="118" t="s">
        <v>205</v>
      </c>
      <c r="Q80" s="119"/>
      <c r="R80" s="119"/>
      <c r="S80" s="120"/>
    </row>
    <row r="81" spans="1:19" ht="18" customHeight="1" x14ac:dyDescent="0.15">
      <c r="A81" s="66"/>
      <c r="B81" s="91" t="s">
        <v>229</v>
      </c>
      <c r="C81" s="92"/>
      <c r="D81" s="92"/>
      <c r="E81" s="93"/>
      <c r="F81" s="118" t="s">
        <v>204</v>
      </c>
      <c r="G81" s="119"/>
      <c r="H81" s="119"/>
      <c r="I81" s="120"/>
      <c r="J81" s="91" t="s">
        <v>142</v>
      </c>
      <c r="K81" s="92"/>
      <c r="L81" s="92"/>
      <c r="M81" s="92"/>
      <c r="N81" s="92"/>
      <c r="O81" s="93"/>
      <c r="P81" s="118" t="s">
        <v>207</v>
      </c>
      <c r="Q81" s="119"/>
      <c r="R81" s="119"/>
      <c r="S81" s="120"/>
    </row>
    <row r="82" spans="1:19" ht="18" customHeight="1" x14ac:dyDescent="0.15">
      <c r="A82" s="66"/>
      <c r="B82" s="91" t="s">
        <v>230</v>
      </c>
      <c r="C82" s="92"/>
      <c r="D82" s="92"/>
      <c r="E82" s="93"/>
      <c r="F82" s="118" t="s">
        <v>204</v>
      </c>
      <c r="G82" s="119"/>
      <c r="H82" s="119"/>
      <c r="I82" s="120"/>
      <c r="J82" s="91" t="s">
        <v>143</v>
      </c>
      <c r="K82" s="92"/>
      <c r="L82" s="92"/>
      <c r="M82" s="92"/>
      <c r="N82" s="92"/>
      <c r="O82" s="93"/>
      <c r="P82" s="118" t="s">
        <v>204</v>
      </c>
      <c r="Q82" s="119"/>
      <c r="R82" s="119"/>
      <c r="S82" s="120"/>
    </row>
    <row r="83" spans="1:19" ht="18" customHeight="1" x14ac:dyDescent="0.15">
      <c r="A83" s="66"/>
      <c r="B83" s="91" t="s">
        <v>231</v>
      </c>
      <c r="C83" s="92"/>
      <c r="D83" s="92"/>
      <c r="E83" s="93"/>
      <c r="F83" s="118" t="s">
        <v>204</v>
      </c>
      <c r="G83" s="119"/>
      <c r="H83" s="119"/>
      <c r="I83" s="120"/>
      <c r="J83" s="91" t="s">
        <v>143</v>
      </c>
      <c r="K83" s="92"/>
      <c r="L83" s="92"/>
      <c r="M83" s="92"/>
      <c r="N83" s="92"/>
      <c r="O83" s="93"/>
      <c r="P83" s="118" t="s">
        <v>205</v>
      </c>
      <c r="Q83" s="119"/>
      <c r="R83" s="119"/>
      <c r="S83" s="120"/>
    </row>
    <row r="84" spans="1:19" ht="18" customHeight="1" x14ac:dyDescent="0.15">
      <c r="A84" s="66"/>
      <c r="B84" s="91" t="s">
        <v>232</v>
      </c>
      <c r="C84" s="92"/>
      <c r="D84" s="92"/>
      <c r="E84" s="93"/>
      <c r="F84" s="118" t="s">
        <v>204</v>
      </c>
      <c r="G84" s="119"/>
      <c r="H84" s="119"/>
      <c r="I84" s="120"/>
      <c r="J84" s="91" t="s">
        <v>144</v>
      </c>
      <c r="K84" s="92"/>
      <c r="L84" s="92"/>
      <c r="M84" s="92"/>
      <c r="N84" s="92"/>
      <c r="O84" s="93"/>
      <c r="P84" s="118" t="s">
        <v>204</v>
      </c>
      <c r="Q84" s="119"/>
      <c r="R84" s="119"/>
      <c r="S84" s="120"/>
    </row>
    <row r="85" spans="1:19" ht="18" customHeight="1" x14ac:dyDescent="0.15">
      <c r="A85" s="66"/>
      <c r="B85" s="91" t="s">
        <v>134</v>
      </c>
      <c r="C85" s="92"/>
      <c r="D85" s="92"/>
      <c r="E85" s="93"/>
      <c r="F85" s="118" t="s">
        <v>204</v>
      </c>
      <c r="G85" s="119"/>
      <c r="H85" s="119"/>
      <c r="I85" s="120"/>
      <c r="J85" s="91" t="s">
        <v>145</v>
      </c>
      <c r="K85" s="92"/>
      <c r="L85" s="92"/>
      <c r="M85" s="92"/>
      <c r="N85" s="92"/>
      <c r="O85" s="93"/>
      <c r="P85" s="118" t="s">
        <v>204</v>
      </c>
      <c r="Q85" s="119"/>
      <c r="R85" s="119"/>
      <c r="S85" s="120"/>
    </row>
    <row r="86" spans="1:19" ht="18" customHeight="1" x14ac:dyDescent="0.15">
      <c r="A86" s="66"/>
      <c r="B86" s="91" t="s">
        <v>134</v>
      </c>
      <c r="C86" s="92"/>
      <c r="D86" s="92"/>
      <c r="E86" s="93"/>
      <c r="F86" s="118" t="s">
        <v>206</v>
      </c>
      <c r="G86" s="119"/>
      <c r="H86" s="119"/>
      <c r="I86" s="120"/>
      <c r="J86" s="91" t="s">
        <v>146</v>
      </c>
      <c r="K86" s="92"/>
      <c r="L86" s="92"/>
      <c r="M86" s="92"/>
      <c r="N86" s="92"/>
      <c r="O86" s="93"/>
      <c r="P86" s="118" t="s">
        <v>204</v>
      </c>
      <c r="Q86" s="119"/>
      <c r="R86" s="119"/>
      <c r="S86" s="120"/>
    </row>
    <row r="87" spans="1:19" ht="18" customHeight="1" x14ac:dyDescent="0.15">
      <c r="A87" s="66"/>
      <c r="B87" s="91" t="s">
        <v>134</v>
      </c>
      <c r="C87" s="92"/>
      <c r="D87" s="92"/>
      <c r="E87" s="93"/>
      <c r="F87" s="118" t="s">
        <v>205</v>
      </c>
      <c r="G87" s="119"/>
      <c r="H87" s="119"/>
      <c r="I87" s="120"/>
      <c r="J87" s="91" t="s">
        <v>147</v>
      </c>
      <c r="K87" s="92"/>
      <c r="L87" s="92"/>
      <c r="M87" s="92"/>
      <c r="N87" s="92"/>
      <c r="O87" s="93"/>
      <c r="P87" s="118" t="s">
        <v>204</v>
      </c>
      <c r="Q87" s="119"/>
      <c r="R87" s="119"/>
      <c r="S87" s="120"/>
    </row>
    <row r="88" spans="1:19" ht="18" customHeight="1" x14ac:dyDescent="0.15">
      <c r="A88" s="66"/>
      <c r="B88" s="91" t="s">
        <v>134</v>
      </c>
      <c r="C88" s="92"/>
      <c r="D88" s="92"/>
      <c r="E88" s="93"/>
      <c r="F88" s="118" t="s">
        <v>207</v>
      </c>
      <c r="G88" s="119"/>
      <c r="H88" s="119"/>
      <c r="I88" s="120"/>
      <c r="J88" s="91" t="s">
        <v>147</v>
      </c>
      <c r="K88" s="92"/>
      <c r="L88" s="92"/>
      <c r="M88" s="92"/>
      <c r="N88" s="92"/>
      <c r="O88" s="93"/>
      <c r="P88" s="118" t="s">
        <v>209</v>
      </c>
      <c r="Q88" s="119"/>
      <c r="R88" s="119"/>
      <c r="S88" s="120"/>
    </row>
    <row r="89" spans="1:19" ht="18" customHeight="1" x14ac:dyDescent="0.15">
      <c r="A89" s="66"/>
      <c r="B89" s="91" t="s">
        <v>135</v>
      </c>
      <c r="C89" s="92"/>
      <c r="D89" s="92"/>
      <c r="E89" s="93"/>
      <c r="F89" s="118" t="s">
        <v>204</v>
      </c>
      <c r="G89" s="119"/>
      <c r="H89" s="119"/>
      <c r="I89" s="120"/>
      <c r="J89" s="91" t="s">
        <v>147</v>
      </c>
      <c r="K89" s="92"/>
      <c r="L89" s="92"/>
      <c r="M89" s="92"/>
      <c r="N89" s="92"/>
      <c r="O89" s="93"/>
      <c r="P89" s="118" t="s">
        <v>205</v>
      </c>
      <c r="Q89" s="119"/>
      <c r="R89" s="119"/>
      <c r="S89" s="120"/>
    </row>
    <row r="90" spans="1:19" ht="18" customHeight="1" x14ac:dyDescent="0.15">
      <c r="A90" s="66"/>
      <c r="B90" s="91" t="s">
        <v>135</v>
      </c>
      <c r="C90" s="92"/>
      <c r="D90" s="92"/>
      <c r="E90" s="93"/>
      <c r="F90" s="118" t="s">
        <v>205</v>
      </c>
      <c r="G90" s="119"/>
      <c r="H90" s="119"/>
      <c r="I90" s="120"/>
      <c r="J90" s="91" t="s">
        <v>147</v>
      </c>
      <c r="K90" s="92"/>
      <c r="L90" s="92"/>
      <c r="M90" s="92"/>
      <c r="N90" s="92"/>
      <c r="O90" s="93"/>
      <c r="P90" s="118" t="s">
        <v>207</v>
      </c>
      <c r="Q90" s="119"/>
      <c r="R90" s="119"/>
      <c r="S90" s="120"/>
    </row>
    <row r="91" spans="1:19" ht="18" customHeight="1" x14ac:dyDescent="0.15">
      <c r="A91" s="66"/>
      <c r="B91" s="91" t="s">
        <v>135</v>
      </c>
      <c r="C91" s="92"/>
      <c r="D91" s="92"/>
      <c r="E91" s="93"/>
      <c r="F91" s="118" t="s">
        <v>207</v>
      </c>
      <c r="G91" s="119"/>
      <c r="H91" s="119"/>
      <c r="I91" s="120"/>
      <c r="J91" s="91" t="s">
        <v>233</v>
      </c>
      <c r="K91" s="92"/>
      <c r="L91" s="92"/>
      <c r="M91" s="92"/>
      <c r="N91" s="92"/>
      <c r="O91" s="93"/>
      <c r="P91" s="118" t="s">
        <v>204</v>
      </c>
      <c r="Q91" s="119"/>
      <c r="R91" s="119"/>
      <c r="S91" s="120"/>
    </row>
    <row r="92" spans="1:19" ht="18" customHeight="1" x14ac:dyDescent="0.15">
      <c r="A92" s="66"/>
      <c r="B92" s="91" t="s">
        <v>136</v>
      </c>
      <c r="C92" s="92"/>
      <c r="D92" s="92"/>
      <c r="E92" s="93"/>
      <c r="F92" s="118" t="s">
        <v>204</v>
      </c>
      <c r="G92" s="119"/>
      <c r="H92" s="119"/>
      <c r="I92" s="120"/>
      <c r="J92" s="91" t="s">
        <v>148</v>
      </c>
      <c r="K92" s="92"/>
      <c r="L92" s="92"/>
      <c r="M92" s="92"/>
      <c r="N92" s="92"/>
      <c r="O92" s="93"/>
      <c r="P92" s="118" t="s">
        <v>204</v>
      </c>
      <c r="Q92" s="119"/>
      <c r="R92" s="119"/>
      <c r="S92" s="120"/>
    </row>
    <row r="93" spans="1:19" ht="18" customHeight="1" x14ac:dyDescent="0.15">
      <c r="A93" s="66"/>
      <c r="B93" s="91" t="s">
        <v>136</v>
      </c>
      <c r="C93" s="92"/>
      <c r="D93" s="92"/>
      <c r="E93" s="93"/>
      <c r="F93" s="118" t="s">
        <v>208</v>
      </c>
      <c r="G93" s="119"/>
      <c r="H93" s="119"/>
      <c r="I93" s="120"/>
      <c r="J93" s="91" t="s">
        <v>149</v>
      </c>
      <c r="K93" s="92"/>
      <c r="L93" s="92"/>
      <c r="M93" s="92"/>
      <c r="N93" s="92"/>
      <c r="O93" s="93"/>
      <c r="P93" s="118" t="s">
        <v>204</v>
      </c>
      <c r="Q93" s="119"/>
      <c r="R93" s="119"/>
      <c r="S93" s="120"/>
    </row>
    <row r="94" spans="1:19" ht="18" customHeight="1" x14ac:dyDescent="0.15">
      <c r="A94" s="66"/>
      <c r="B94" s="91" t="s">
        <v>136</v>
      </c>
      <c r="C94" s="92"/>
      <c r="D94" s="92"/>
      <c r="E94" s="93"/>
      <c r="F94" s="118" t="s">
        <v>206</v>
      </c>
      <c r="G94" s="119"/>
      <c r="H94" s="119"/>
      <c r="I94" s="120"/>
      <c r="J94" s="91" t="s">
        <v>150</v>
      </c>
      <c r="K94" s="92"/>
      <c r="L94" s="92"/>
      <c r="M94" s="92"/>
      <c r="N94" s="92"/>
      <c r="O94" s="93"/>
      <c r="P94" s="118" t="s">
        <v>204</v>
      </c>
      <c r="Q94" s="119"/>
      <c r="R94" s="119"/>
      <c r="S94" s="120"/>
    </row>
    <row r="95" spans="1:19" ht="18" customHeight="1" x14ac:dyDescent="0.15">
      <c r="A95" s="66"/>
      <c r="B95" s="91" t="s">
        <v>136</v>
      </c>
      <c r="C95" s="92"/>
      <c r="D95" s="92"/>
      <c r="E95" s="93"/>
      <c r="F95" s="118" t="s">
        <v>205</v>
      </c>
      <c r="G95" s="119"/>
      <c r="H95" s="119"/>
      <c r="I95" s="120"/>
      <c r="J95" s="91" t="s">
        <v>151</v>
      </c>
      <c r="K95" s="92"/>
      <c r="L95" s="92"/>
      <c r="M95" s="92"/>
      <c r="N95" s="92"/>
      <c r="O95" s="93"/>
      <c r="P95" s="118" t="s">
        <v>204</v>
      </c>
      <c r="Q95" s="119"/>
      <c r="R95" s="119"/>
      <c r="S95" s="120"/>
    </row>
    <row r="96" spans="1:19" ht="18" customHeight="1" x14ac:dyDescent="0.15">
      <c r="A96" s="66"/>
      <c r="B96" s="91" t="s">
        <v>136</v>
      </c>
      <c r="C96" s="92"/>
      <c r="D96" s="92"/>
      <c r="E96" s="93"/>
      <c r="F96" s="118" t="s">
        <v>207</v>
      </c>
      <c r="G96" s="119"/>
      <c r="H96" s="119"/>
      <c r="I96" s="120"/>
      <c r="J96" s="91" t="s">
        <v>152</v>
      </c>
      <c r="K96" s="92"/>
      <c r="L96" s="92"/>
      <c r="M96" s="92"/>
      <c r="N96" s="92"/>
      <c r="O96" s="93"/>
      <c r="P96" s="118" t="s">
        <v>204</v>
      </c>
      <c r="Q96" s="119"/>
      <c r="R96" s="119"/>
      <c r="S96" s="120"/>
    </row>
    <row r="97" spans="1:19" ht="18" customHeight="1" x14ac:dyDescent="0.15">
      <c r="A97" s="66"/>
      <c r="B97" s="91" t="s">
        <v>137</v>
      </c>
      <c r="C97" s="92"/>
      <c r="D97" s="92"/>
      <c r="E97" s="93"/>
      <c r="F97" s="118" t="s">
        <v>204</v>
      </c>
      <c r="G97" s="119"/>
      <c r="H97" s="119"/>
      <c r="I97" s="120"/>
      <c r="J97" s="91" t="s">
        <v>153</v>
      </c>
      <c r="K97" s="92"/>
      <c r="L97" s="92"/>
      <c r="M97" s="92"/>
      <c r="N97" s="92"/>
      <c r="O97" s="93"/>
      <c r="P97" s="118" t="s">
        <v>204</v>
      </c>
      <c r="Q97" s="119"/>
      <c r="R97" s="119"/>
      <c r="S97" s="120"/>
    </row>
    <row r="98" spans="1:19" ht="18" customHeight="1" x14ac:dyDescent="0.15">
      <c r="A98" s="66"/>
      <c r="B98" s="91" t="s">
        <v>137</v>
      </c>
      <c r="C98" s="92"/>
      <c r="D98" s="92"/>
      <c r="E98" s="93"/>
      <c r="F98" s="118" t="s">
        <v>206</v>
      </c>
      <c r="G98" s="119"/>
      <c r="H98" s="119"/>
      <c r="I98" s="120"/>
      <c r="J98" s="91" t="s">
        <v>154</v>
      </c>
      <c r="K98" s="92"/>
      <c r="L98" s="92"/>
      <c r="M98" s="92"/>
      <c r="N98" s="92"/>
      <c r="O98" s="93"/>
      <c r="P98" s="118" t="s">
        <v>204</v>
      </c>
      <c r="Q98" s="119"/>
      <c r="R98" s="119"/>
      <c r="S98" s="120"/>
    </row>
    <row r="99" spans="1:19" ht="18" customHeight="1" x14ac:dyDescent="0.15">
      <c r="A99" s="66"/>
      <c r="B99" s="91" t="s">
        <v>138</v>
      </c>
      <c r="C99" s="92"/>
      <c r="D99" s="92"/>
      <c r="E99" s="93"/>
      <c r="F99" s="118" t="s">
        <v>204</v>
      </c>
      <c r="G99" s="119"/>
      <c r="H99" s="119"/>
      <c r="I99" s="120"/>
      <c r="J99" s="91" t="s">
        <v>154</v>
      </c>
      <c r="K99" s="92"/>
      <c r="L99" s="92"/>
      <c r="M99" s="92"/>
      <c r="N99" s="92"/>
      <c r="O99" s="93"/>
      <c r="P99" s="118" t="s">
        <v>211</v>
      </c>
      <c r="Q99" s="119"/>
      <c r="R99" s="119"/>
      <c r="S99" s="120"/>
    </row>
    <row r="100" spans="1:19" ht="18" customHeight="1" x14ac:dyDescent="0.15">
      <c r="A100" s="66"/>
      <c r="B100" s="91" t="s">
        <v>138</v>
      </c>
      <c r="C100" s="92"/>
      <c r="D100" s="92"/>
      <c r="E100" s="93"/>
      <c r="F100" s="118" t="s">
        <v>205</v>
      </c>
      <c r="G100" s="119"/>
      <c r="H100" s="119"/>
      <c r="I100" s="120"/>
      <c r="J100" s="91" t="s">
        <v>155</v>
      </c>
      <c r="K100" s="92"/>
      <c r="L100" s="92"/>
      <c r="M100" s="92"/>
      <c r="N100" s="92"/>
      <c r="O100" s="93"/>
      <c r="P100" s="118" t="s">
        <v>204</v>
      </c>
      <c r="Q100" s="119"/>
      <c r="R100" s="119"/>
      <c r="S100" s="120"/>
    </row>
    <row r="101" spans="1:19" ht="18" customHeight="1" x14ac:dyDescent="0.15">
      <c r="A101" s="66"/>
      <c r="B101" s="91" t="s">
        <v>138</v>
      </c>
      <c r="C101" s="92"/>
      <c r="D101" s="92"/>
      <c r="E101" s="93"/>
      <c r="F101" s="118" t="s">
        <v>207</v>
      </c>
      <c r="G101" s="119"/>
      <c r="H101" s="119"/>
      <c r="I101" s="120"/>
      <c r="J101" s="91" t="s">
        <v>156</v>
      </c>
      <c r="K101" s="92"/>
      <c r="L101" s="92"/>
      <c r="M101" s="92"/>
      <c r="N101" s="92"/>
      <c r="O101" s="93"/>
      <c r="P101" s="118" t="s">
        <v>204</v>
      </c>
      <c r="Q101" s="119"/>
      <c r="R101" s="119"/>
      <c r="S101" s="120"/>
    </row>
    <row r="102" spans="1:19" ht="18" customHeight="1" x14ac:dyDescent="0.15">
      <c r="A102" s="66"/>
      <c r="B102" s="91" t="s">
        <v>139</v>
      </c>
      <c r="C102" s="92"/>
      <c r="D102" s="92"/>
      <c r="E102" s="93"/>
      <c r="F102" s="118" t="s">
        <v>204</v>
      </c>
      <c r="G102" s="119"/>
      <c r="H102" s="119"/>
      <c r="I102" s="120"/>
      <c r="J102" s="91" t="s">
        <v>156</v>
      </c>
      <c r="K102" s="92"/>
      <c r="L102" s="92"/>
      <c r="M102" s="92"/>
      <c r="N102" s="92"/>
      <c r="O102" s="93"/>
      <c r="P102" s="118" t="s">
        <v>208</v>
      </c>
      <c r="Q102" s="119"/>
      <c r="R102" s="119"/>
      <c r="S102" s="120"/>
    </row>
    <row r="103" spans="1:19" ht="18" customHeight="1" x14ac:dyDescent="0.15">
      <c r="A103" s="66"/>
      <c r="B103" s="91" t="s">
        <v>139</v>
      </c>
      <c r="C103" s="92"/>
      <c r="D103" s="92"/>
      <c r="E103" s="93"/>
      <c r="F103" s="118" t="s">
        <v>205</v>
      </c>
      <c r="G103" s="119"/>
      <c r="H103" s="119"/>
      <c r="I103" s="120"/>
      <c r="J103" s="91" t="s">
        <v>157</v>
      </c>
      <c r="K103" s="92"/>
      <c r="L103" s="92"/>
      <c r="M103" s="92"/>
      <c r="N103" s="92"/>
      <c r="O103" s="93"/>
      <c r="P103" s="118" t="s">
        <v>204</v>
      </c>
      <c r="Q103" s="119"/>
      <c r="R103" s="119"/>
      <c r="S103" s="120"/>
    </row>
    <row r="104" spans="1:19" ht="18" customHeight="1" x14ac:dyDescent="0.15">
      <c r="A104" s="66"/>
      <c r="B104" s="91" t="s">
        <v>140</v>
      </c>
      <c r="C104" s="92"/>
      <c r="D104" s="92"/>
      <c r="E104" s="93"/>
      <c r="F104" s="118" t="s">
        <v>204</v>
      </c>
      <c r="G104" s="119"/>
      <c r="H104" s="119"/>
      <c r="I104" s="120"/>
      <c r="J104" s="91" t="s">
        <v>158</v>
      </c>
      <c r="K104" s="92"/>
      <c r="L104" s="92"/>
      <c r="M104" s="92"/>
      <c r="N104" s="92"/>
      <c r="O104" s="93"/>
      <c r="P104" s="118" t="s">
        <v>204</v>
      </c>
      <c r="Q104" s="119"/>
      <c r="R104" s="119"/>
      <c r="S104" s="120"/>
    </row>
    <row r="105" spans="1:19" ht="18" customHeight="1" x14ac:dyDescent="0.15">
      <c r="A105" s="66"/>
      <c r="B105" s="91" t="s">
        <v>140</v>
      </c>
      <c r="C105" s="92"/>
      <c r="D105" s="92"/>
      <c r="E105" s="93"/>
      <c r="F105" s="118" t="s">
        <v>208</v>
      </c>
      <c r="G105" s="119"/>
      <c r="H105" s="119"/>
      <c r="I105" s="120"/>
      <c r="J105" s="91" t="s">
        <v>159</v>
      </c>
      <c r="K105" s="92"/>
      <c r="L105" s="92"/>
      <c r="M105" s="92"/>
      <c r="N105" s="92"/>
      <c r="O105" s="93"/>
      <c r="P105" s="118" t="s">
        <v>204</v>
      </c>
      <c r="Q105" s="119"/>
      <c r="R105" s="119"/>
      <c r="S105" s="120"/>
    </row>
    <row r="106" spans="1:19" ht="18" customHeight="1" x14ac:dyDescent="0.15">
      <c r="A106" s="66"/>
      <c r="B106" s="91" t="s">
        <v>140</v>
      </c>
      <c r="C106" s="92"/>
      <c r="D106" s="92"/>
      <c r="E106" s="93"/>
      <c r="F106" s="118" t="s">
        <v>205</v>
      </c>
      <c r="G106" s="119"/>
      <c r="H106" s="119"/>
      <c r="I106" s="120"/>
      <c r="J106" s="91" t="s">
        <v>160</v>
      </c>
      <c r="K106" s="92"/>
      <c r="L106" s="92"/>
      <c r="M106" s="92"/>
      <c r="N106" s="92"/>
      <c r="O106" s="93"/>
      <c r="P106" s="118" t="s">
        <v>204</v>
      </c>
      <c r="Q106" s="119"/>
      <c r="R106" s="119"/>
      <c r="S106" s="120"/>
    </row>
    <row r="107" spans="1:19" ht="18" customHeight="1" x14ac:dyDescent="0.15">
      <c r="A107" s="66"/>
      <c r="B107" s="91" t="s">
        <v>141</v>
      </c>
      <c r="C107" s="92"/>
      <c r="D107" s="92"/>
      <c r="E107" s="93"/>
      <c r="F107" s="118" t="s">
        <v>204</v>
      </c>
      <c r="G107" s="119"/>
      <c r="H107" s="119"/>
      <c r="I107" s="120"/>
      <c r="J107" s="91" t="s">
        <v>161</v>
      </c>
      <c r="K107" s="92"/>
      <c r="L107" s="92"/>
      <c r="M107" s="92"/>
      <c r="N107" s="92"/>
      <c r="O107" s="93"/>
      <c r="P107" s="118" t="s">
        <v>204</v>
      </c>
      <c r="Q107" s="119"/>
      <c r="R107" s="119"/>
      <c r="S107" s="120"/>
    </row>
    <row r="108" spans="1:19" ht="18" customHeight="1" x14ac:dyDescent="0.15">
      <c r="A108" s="66"/>
      <c r="B108" s="91" t="s">
        <v>141</v>
      </c>
      <c r="C108" s="92"/>
      <c r="D108" s="92"/>
      <c r="E108" s="93"/>
      <c r="F108" s="118" t="s">
        <v>208</v>
      </c>
      <c r="G108" s="119"/>
      <c r="H108" s="119"/>
      <c r="I108" s="120"/>
      <c r="J108" s="91" t="s">
        <v>161</v>
      </c>
      <c r="K108" s="92"/>
      <c r="L108" s="92"/>
      <c r="M108" s="92"/>
      <c r="N108" s="92"/>
      <c r="O108" s="93"/>
      <c r="P108" s="118" t="s">
        <v>211</v>
      </c>
      <c r="Q108" s="119"/>
      <c r="R108" s="119"/>
      <c r="S108" s="120"/>
    </row>
    <row r="109" spans="1:19" ht="18" customHeight="1" x14ac:dyDescent="0.15">
      <c r="A109" s="66"/>
      <c r="B109" s="91" t="s">
        <v>141</v>
      </c>
      <c r="C109" s="92"/>
      <c r="D109" s="92"/>
      <c r="E109" s="93"/>
      <c r="F109" s="118" t="s">
        <v>209</v>
      </c>
      <c r="G109" s="119"/>
      <c r="H109" s="119"/>
      <c r="I109" s="120"/>
      <c r="J109" s="91" t="s">
        <v>162</v>
      </c>
      <c r="K109" s="92"/>
      <c r="L109" s="92"/>
      <c r="M109" s="92"/>
      <c r="N109" s="92"/>
      <c r="O109" s="93"/>
      <c r="P109" s="118" t="s">
        <v>204</v>
      </c>
      <c r="Q109" s="119"/>
      <c r="R109" s="119"/>
      <c r="S109" s="120"/>
    </row>
    <row r="110" spans="1:19" ht="18" customHeight="1" x14ac:dyDescent="0.15">
      <c r="A110" s="66"/>
      <c r="B110" s="94" t="s">
        <v>141</v>
      </c>
      <c r="C110" s="95"/>
      <c r="D110" s="95"/>
      <c r="E110" s="96"/>
      <c r="F110" s="163" t="s">
        <v>210</v>
      </c>
      <c r="G110" s="164"/>
      <c r="H110" s="164"/>
      <c r="I110" s="165"/>
      <c r="J110" s="94"/>
      <c r="K110" s="95"/>
      <c r="L110" s="95"/>
      <c r="M110" s="95"/>
      <c r="N110" s="95"/>
      <c r="O110" s="96"/>
      <c r="P110" s="163"/>
      <c r="Q110" s="164"/>
      <c r="R110" s="164"/>
      <c r="S110" s="165"/>
    </row>
    <row r="111" spans="1:19" ht="18" customHeight="1" x14ac:dyDescent="0.15">
      <c r="A111" s="66"/>
      <c r="B111" s="71"/>
      <c r="C111" s="71"/>
      <c r="D111" s="71"/>
      <c r="E111" s="71"/>
      <c r="F111" s="84"/>
      <c r="G111" s="84"/>
      <c r="H111" s="84"/>
      <c r="I111" s="84"/>
      <c r="J111" s="71"/>
      <c r="K111" s="71"/>
      <c r="L111" s="71"/>
      <c r="M111" s="71"/>
      <c r="N111" s="71"/>
      <c r="O111" s="71"/>
      <c r="P111" s="84"/>
      <c r="Q111" s="84"/>
      <c r="R111" s="84"/>
      <c r="S111" s="84"/>
    </row>
    <row r="112" spans="1:19" ht="18.75" customHeight="1" x14ac:dyDescent="0.15">
      <c r="A112" s="65" t="s">
        <v>120</v>
      </c>
    </row>
    <row r="113" spans="1:19" ht="18.75" customHeight="1" x14ac:dyDescent="0.15">
      <c r="B113" s="113" t="s">
        <v>55</v>
      </c>
      <c r="C113" s="114"/>
      <c r="D113" s="99" t="s">
        <v>56</v>
      </c>
      <c r="E113" s="99"/>
      <c r="F113" s="99"/>
      <c r="G113" s="99"/>
      <c r="H113" s="99"/>
      <c r="I113" s="99"/>
      <c r="J113" s="99"/>
      <c r="K113" s="99"/>
      <c r="L113" s="99"/>
      <c r="M113" s="99"/>
      <c r="N113" s="99"/>
      <c r="O113" s="99"/>
      <c r="P113" s="99"/>
      <c r="Q113" s="99"/>
      <c r="R113" s="99"/>
      <c r="S113" s="100"/>
    </row>
    <row r="114" spans="1:19" ht="223.5" customHeight="1" x14ac:dyDescent="0.15">
      <c r="B114" s="104" t="s">
        <v>62</v>
      </c>
      <c r="C114" s="85" t="s">
        <v>57</v>
      </c>
      <c r="D114" s="110" t="s">
        <v>224</v>
      </c>
      <c r="E114" s="111"/>
      <c r="F114" s="111"/>
      <c r="G114" s="111"/>
      <c r="H114" s="111"/>
      <c r="I114" s="111"/>
      <c r="J114" s="111"/>
      <c r="K114" s="111"/>
      <c r="L114" s="111"/>
      <c r="M114" s="111"/>
      <c r="N114" s="111"/>
      <c r="O114" s="111"/>
      <c r="P114" s="111"/>
      <c r="Q114" s="111"/>
      <c r="R114" s="111"/>
      <c r="S114" s="112"/>
    </row>
    <row r="115" spans="1:19" ht="111.75" customHeight="1" x14ac:dyDescent="0.15">
      <c r="B115" s="105"/>
      <c r="C115" s="86" t="s">
        <v>78</v>
      </c>
      <c r="D115" s="127" t="s">
        <v>225</v>
      </c>
      <c r="E115" s="128"/>
      <c r="F115" s="128"/>
      <c r="G115" s="128"/>
      <c r="H115" s="128"/>
      <c r="I115" s="128"/>
      <c r="J115" s="128"/>
      <c r="K115" s="128"/>
      <c r="L115" s="128"/>
      <c r="M115" s="128"/>
      <c r="N115" s="128"/>
      <c r="O115" s="128"/>
      <c r="P115" s="128"/>
      <c r="Q115" s="128"/>
      <c r="R115" s="128"/>
      <c r="S115" s="129"/>
    </row>
    <row r="116" spans="1:19" ht="268.5" customHeight="1" x14ac:dyDescent="0.15">
      <c r="B116" s="104" t="s">
        <v>63</v>
      </c>
      <c r="C116" s="87" t="s">
        <v>72</v>
      </c>
      <c r="D116" s="130" t="s">
        <v>212</v>
      </c>
      <c r="E116" s="131"/>
      <c r="F116" s="131"/>
      <c r="G116" s="131"/>
      <c r="H116" s="131"/>
      <c r="I116" s="131"/>
      <c r="J116" s="131"/>
      <c r="K116" s="131"/>
      <c r="L116" s="131"/>
      <c r="M116" s="131"/>
      <c r="N116" s="131"/>
      <c r="O116" s="131"/>
      <c r="P116" s="131"/>
      <c r="Q116" s="131"/>
      <c r="R116" s="131"/>
      <c r="S116" s="132"/>
    </row>
    <row r="117" spans="1:19" ht="183.75" customHeight="1" x14ac:dyDescent="0.15">
      <c r="B117" s="106"/>
      <c r="C117" s="88" t="s">
        <v>73</v>
      </c>
      <c r="D117" s="136" t="s">
        <v>227</v>
      </c>
      <c r="E117" s="137"/>
      <c r="F117" s="137"/>
      <c r="G117" s="137"/>
      <c r="H117" s="137"/>
      <c r="I117" s="137"/>
      <c r="J117" s="137"/>
      <c r="K117" s="137"/>
      <c r="L117" s="137"/>
      <c r="M117" s="137"/>
      <c r="N117" s="137"/>
      <c r="O117" s="137"/>
      <c r="P117" s="137"/>
      <c r="Q117" s="137"/>
      <c r="R117" s="137"/>
      <c r="S117" s="138"/>
    </row>
    <row r="118" spans="1:19" ht="206.25" customHeight="1" x14ac:dyDescent="0.15">
      <c r="B118" s="104" t="s">
        <v>64</v>
      </c>
      <c r="C118" s="87" t="s">
        <v>74</v>
      </c>
      <c r="D118" s="130" t="s">
        <v>213</v>
      </c>
      <c r="E118" s="131"/>
      <c r="F118" s="131"/>
      <c r="G118" s="131"/>
      <c r="H118" s="131"/>
      <c r="I118" s="131"/>
      <c r="J118" s="131"/>
      <c r="K118" s="131"/>
      <c r="L118" s="131"/>
      <c r="M118" s="131"/>
      <c r="N118" s="131"/>
      <c r="O118" s="131"/>
      <c r="P118" s="131"/>
      <c r="Q118" s="131"/>
      <c r="R118" s="131"/>
      <c r="S118" s="132"/>
    </row>
    <row r="119" spans="1:19" ht="168" customHeight="1" x14ac:dyDescent="0.15">
      <c r="B119" s="106"/>
      <c r="C119" s="89" t="s">
        <v>75</v>
      </c>
      <c r="D119" s="133" t="s">
        <v>234</v>
      </c>
      <c r="E119" s="134"/>
      <c r="F119" s="134"/>
      <c r="G119" s="134"/>
      <c r="H119" s="134"/>
      <c r="I119" s="134"/>
      <c r="J119" s="134"/>
      <c r="K119" s="134"/>
      <c r="L119" s="134"/>
      <c r="M119" s="134"/>
      <c r="N119" s="134"/>
      <c r="O119" s="134"/>
      <c r="P119" s="134"/>
      <c r="Q119" s="134"/>
      <c r="R119" s="134"/>
      <c r="S119" s="135"/>
    </row>
    <row r="120" spans="1:19" ht="258.75" customHeight="1" x14ac:dyDescent="0.15">
      <c r="B120" s="104" t="s">
        <v>79</v>
      </c>
      <c r="C120" s="85" t="s">
        <v>59</v>
      </c>
      <c r="D120" s="110" t="s">
        <v>228</v>
      </c>
      <c r="E120" s="111"/>
      <c r="F120" s="111"/>
      <c r="G120" s="111"/>
      <c r="H120" s="111"/>
      <c r="I120" s="111"/>
      <c r="J120" s="111"/>
      <c r="K120" s="111"/>
      <c r="L120" s="111"/>
      <c r="M120" s="111"/>
      <c r="N120" s="111"/>
      <c r="O120" s="111"/>
      <c r="P120" s="111"/>
      <c r="Q120" s="111"/>
      <c r="R120" s="111"/>
      <c r="S120" s="112"/>
    </row>
    <row r="121" spans="1:19" ht="138" customHeight="1" x14ac:dyDescent="0.15">
      <c r="B121" s="106"/>
      <c r="C121" s="88" t="s">
        <v>61</v>
      </c>
      <c r="D121" s="136" t="s">
        <v>226</v>
      </c>
      <c r="E121" s="137"/>
      <c r="F121" s="137"/>
      <c r="G121" s="137"/>
      <c r="H121" s="137"/>
      <c r="I121" s="137"/>
      <c r="J121" s="137"/>
      <c r="K121" s="137"/>
      <c r="L121" s="137"/>
      <c r="M121" s="137"/>
      <c r="N121" s="137"/>
      <c r="O121" s="137"/>
      <c r="P121" s="137"/>
      <c r="Q121" s="137"/>
      <c r="R121" s="137"/>
      <c r="S121" s="138"/>
    </row>
    <row r="122" spans="1:19" ht="409.5" customHeight="1" x14ac:dyDescent="0.15">
      <c r="B122" s="104" t="s">
        <v>80</v>
      </c>
      <c r="C122" s="166" t="s">
        <v>58</v>
      </c>
      <c r="D122" s="168" t="s">
        <v>236</v>
      </c>
      <c r="E122" s="110"/>
      <c r="F122" s="110"/>
      <c r="G122" s="110"/>
      <c r="H122" s="110"/>
      <c r="I122" s="110"/>
      <c r="J122" s="110"/>
      <c r="K122" s="110"/>
      <c r="L122" s="110"/>
      <c r="M122" s="110"/>
      <c r="N122" s="110"/>
      <c r="O122" s="110"/>
      <c r="P122" s="110"/>
      <c r="Q122" s="110"/>
      <c r="R122" s="110"/>
      <c r="S122" s="169"/>
    </row>
    <row r="123" spans="1:19" ht="91.5" customHeight="1" x14ac:dyDescent="0.15">
      <c r="B123" s="105"/>
      <c r="C123" s="167"/>
      <c r="D123" s="170"/>
      <c r="E123" s="171"/>
      <c r="F123" s="171"/>
      <c r="G123" s="171"/>
      <c r="H123" s="171"/>
      <c r="I123" s="171"/>
      <c r="J123" s="171"/>
      <c r="K123" s="171"/>
      <c r="L123" s="171"/>
      <c r="M123" s="171"/>
      <c r="N123" s="171"/>
      <c r="O123" s="171"/>
      <c r="P123" s="171"/>
      <c r="Q123" s="171"/>
      <c r="R123" s="171"/>
      <c r="S123" s="172"/>
    </row>
    <row r="124" spans="1:19" ht="204.75" customHeight="1" x14ac:dyDescent="0.15">
      <c r="B124" s="105"/>
      <c r="C124" s="90" t="s">
        <v>76</v>
      </c>
      <c r="D124" s="139" t="s">
        <v>235</v>
      </c>
      <c r="E124" s="92"/>
      <c r="F124" s="92"/>
      <c r="G124" s="92"/>
      <c r="H124" s="92"/>
      <c r="I124" s="92"/>
      <c r="J124" s="92"/>
      <c r="K124" s="92"/>
      <c r="L124" s="92"/>
      <c r="M124" s="92"/>
      <c r="N124" s="92"/>
      <c r="O124" s="92"/>
      <c r="P124" s="92"/>
      <c r="Q124" s="92"/>
      <c r="R124" s="92"/>
      <c r="S124" s="93"/>
    </row>
    <row r="125" spans="1:19" ht="260.25" customHeight="1" x14ac:dyDescent="0.15">
      <c r="B125" s="106"/>
      <c r="C125" s="89" t="s">
        <v>77</v>
      </c>
      <c r="D125" s="107" t="s">
        <v>214</v>
      </c>
      <c r="E125" s="108"/>
      <c r="F125" s="108"/>
      <c r="G125" s="108"/>
      <c r="H125" s="108"/>
      <c r="I125" s="108"/>
      <c r="J125" s="108"/>
      <c r="K125" s="108"/>
      <c r="L125" s="108"/>
      <c r="M125" s="108"/>
      <c r="N125" s="108"/>
      <c r="O125" s="108"/>
      <c r="P125" s="108"/>
      <c r="Q125" s="108"/>
      <c r="R125" s="108"/>
      <c r="S125" s="109"/>
    </row>
    <row r="126" spans="1:19" ht="6" customHeight="1" x14ac:dyDescent="0.15"/>
    <row r="127" spans="1:19" ht="18.75" customHeight="1" x14ac:dyDescent="0.15">
      <c r="A127" s="65" t="s">
        <v>121</v>
      </c>
    </row>
    <row r="128" spans="1:19" ht="111" customHeight="1" x14ac:dyDescent="0.15">
      <c r="B128" s="124" t="s">
        <v>188</v>
      </c>
      <c r="C128" s="125"/>
      <c r="D128" s="125"/>
      <c r="E128" s="125"/>
      <c r="F128" s="125"/>
      <c r="G128" s="125"/>
      <c r="H128" s="125"/>
      <c r="I128" s="125"/>
      <c r="J128" s="125"/>
      <c r="K128" s="125"/>
      <c r="L128" s="125"/>
      <c r="M128" s="125"/>
      <c r="N128" s="125"/>
      <c r="O128" s="125"/>
      <c r="P128" s="125"/>
      <c r="Q128" s="125"/>
      <c r="R128" s="125"/>
      <c r="S128" s="126"/>
    </row>
    <row r="136" ht="18" customHeight="1" x14ac:dyDescent="0.15"/>
  </sheetData>
  <mergeCells count="246">
    <mergeCell ref="C122:C123"/>
    <mergeCell ref="D122:S123"/>
    <mergeCell ref="J109:O109"/>
    <mergeCell ref="P109:S109"/>
    <mergeCell ref="J103:O103"/>
    <mergeCell ref="P103:S103"/>
    <mergeCell ref="J105:O105"/>
    <mergeCell ref="P105:S105"/>
    <mergeCell ref="J106:O106"/>
    <mergeCell ref="P106:S106"/>
    <mergeCell ref="J107:O107"/>
    <mergeCell ref="P107:S107"/>
    <mergeCell ref="J108:O108"/>
    <mergeCell ref="P108:S108"/>
    <mergeCell ref="P104:S104"/>
    <mergeCell ref="B109:E109"/>
    <mergeCell ref="F109:I109"/>
    <mergeCell ref="B103:E103"/>
    <mergeCell ref="F103:I103"/>
    <mergeCell ref="B105:E105"/>
    <mergeCell ref="F105:I105"/>
    <mergeCell ref="B106:E106"/>
    <mergeCell ref="F106:I106"/>
    <mergeCell ref="B107:E107"/>
    <mergeCell ref="P80:S80"/>
    <mergeCell ref="J90:O90"/>
    <mergeCell ref="P90:S90"/>
    <mergeCell ref="J91:O91"/>
    <mergeCell ref="P91:S91"/>
    <mergeCell ref="J93:O93"/>
    <mergeCell ref="P93:S93"/>
    <mergeCell ref="J94:O94"/>
    <mergeCell ref="P94:S94"/>
    <mergeCell ref="P81:S81"/>
    <mergeCell ref="P86:S86"/>
    <mergeCell ref="J86:O86"/>
    <mergeCell ref="J87:O87"/>
    <mergeCell ref="P87:S87"/>
    <mergeCell ref="J88:O88"/>
    <mergeCell ref="P88:S88"/>
    <mergeCell ref="F107:I107"/>
    <mergeCell ref="B108:E108"/>
    <mergeCell ref="F108:I108"/>
    <mergeCell ref="F95:I95"/>
    <mergeCell ref="B96:E96"/>
    <mergeCell ref="F96:I96"/>
    <mergeCell ref="B98:E98"/>
    <mergeCell ref="F98:I98"/>
    <mergeCell ref="B100:E100"/>
    <mergeCell ref="F100:I100"/>
    <mergeCell ref="B101:E101"/>
    <mergeCell ref="F101:I101"/>
    <mergeCell ref="F99:I99"/>
    <mergeCell ref="B102:E102"/>
    <mergeCell ref="F102:I102"/>
    <mergeCell ref="B104:E104"/>
    <mergeCell ref="F104:I104"/>
    <mergeCell ref="B110:E110"/>
    <mergeCell ref="F110:I110"/>
    <mergeCell ref="J110:O110"/>
    <mergeCell ref="P110:S110"/>
    <mergeCell ref="B82:E82"/>
    <mergeCell ref="F82:I82"/>
    <mergeCell ref="J82:O82"/>
    <mergeCell ref="P82:S82"/>
    <mergeCell ref="B83:E83"/>
    <mergeCell ref="F83:I83"/>
    <mergeCell ref="J83:O83"/>
    <mergeCell ref="P83:S83"/>
    <mergeCell ref="B84:E84"/>
    <mergeCell ref="F84:I84"/>
    <mergeCell ref="J84:O84"/>
    <mergeCell ref="P84:S84"/>
    <mergeCell ref="B85:E85"/>
    <mergeCell ref="F85:I85"/>
    <mergeCell ref="J85:O85"/>
    <mergeCell ref="P85:S85"/>
    <mergeCell ref="B89:E89"/>
    <mergeCell ref="F89:I89"/>
    <mergeCell ref="J89:O89"/>
    <mergeCell ref="B99:E99"/>
    <mergeCell ref="P102:S102"/>
    <mergeCell ref="P89:S89"/>
    <mergeCell ref="B92:E92"/>
    <mergeCell ref="F92:I92"/>
    <mergeCell ref="J92:O92"/>
    <mergeCell ref="P92:S92"/>
    <mergeCell ref="B97:E97"/>
    <mergeCell ref="F97:I97"/>
    <mergeCell ref="J97:O97"/>
    <mergeCell ref="P97:S97"/>
    <mergeCell ref="J95:O95"/>
    <mergeCell ref="P95:S95"/>
    <mergeCell ref="J96:O96"/>
    <mergeCell ref="P96:S96"/>
    <mergeCell ref="J98:O98"/>
    <mergeCell ref="P98:S98"/>
    <mergeCell ref="J100:O100"/>
    <mergeCell ref="P100:S100"/>
    <mergeCell ref="J101:O101"/>
    <mergeCell ref="P101:S101"/>
    <mergeCell ref="P99:S99"/>
    <mergeCell ref="A33:S34"/>
    <mergeCell ref="C20:D20"/>
    <mergeCell ref="B35:E35"/>
    <mergeCell ref="B36:E36"/>
    <mergeCell ref="B37:E37"/>
    <mergeCell ref="B46:E46"/>
    <mergeCell ref="B47:E47"/>
    <mergeCell ref="B48:E48"/>
    <mergeCell ref="J35:O35"/>
    <mergeCell ref="J36:O36"/>
    <mergeCell ref="J37:O37"/>
    <mergeCell ref="J38:O38"/>
    <mergeCell ref="B38:E38"/>
    <mergeCell ref="B39:E39"/>
    <mergeCell ref="B40:E40"/>
    <mergeCell ref="B41:E41"/>
    <mergeCell ref="B42:E42"/>
    <mergeCell ref="J47:O47"/>
    <mergeCell ref="J48:O4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B9:S10"/>
    <mergeCell ref="C2:I2"/>
    <mergeCell ref="C3:I3"/>
    <mergeCell ref="A5:S5"/>
    <mergeCell ref="B13:S18"/>
    <mergeCell ref="A22:S23"/>
    <mergeCell ref="K7:S7"/>
    <mergeCell ref="B128:S128"/>
    <mergeCell ref="D115:S115"/>
    <mergeCell ref="D116:S116"/>
    <mergeCell ref="D119:S119"/>
    <mergeCell ref="D117:S117"/>
    <mergeCell ref="D118:S118"/>
    <mergeCell ref="D121:S121"/>
    <mergeCell ref="D124:S124"/>
    <mergeCell ref="B118:B119"/>
    <mergeCell ref="B114:B115"/>
    <mergeCell ref="B60:E60"/>
    <mergeCell ref="B61:E61"/>
    <mergeCell ref="B62:E62"/>
    <mergeCell ref="B63:E63"/>
    <mergeCell ref="B64:E64"/>
    <mergeCell ref="J46:O46"/>
    <mergeCell ref="F78:I78"/>
    <mergeCell ref="J78:O78"/>
    <mergeCell ref="B69:D69"/>
    <mergeCell ref="B70:D70"/>
    <mergeCell ref="J53:O53"/>
    <mergeCell ref="J69:N69"/>
    <mergeCell ref="J70:N70"/>
    <mergeCell ref="J71:N71"/>
    <mergeCell ref="B73:D73"/>
    <mergeCell ref="B74:D74"/>
    <mergeCell ref="B75:D75"/>
    <mergeCell ref="J72:N72"/>
    <mergeCell ref="B58:E58"/>
    <mergeCell ref="B59:E59"/>
    <mergeCell ref="J60:O60"/>
    <mergeCell ref="J61:O61"/>
    <mergeCell ref="J62:O62"/>
    <mergeCell ref="J63:O63"/>
    <mergeCell ref="J64:O64"/>
    <mergeCell ref="B68:D68"/>
    <mergeCell ref="J68:N68"/>
    <mergeCell ref="B71:D71"/>
    <mergeCell ref="B72:D72"/>
    <mergeCell ref="J104:O104"/>
    <mergeCell ref="B80:E80"/>
    <mergeCell ref="F80:I80"/>
    <mergeCell ref="B90:E90"/>
    <mergeCell ref="F90:I90"/>
    <mergeCell ref="B91:E91"/>
    <mergeCell ref="F91:I91"/>
    <mergeCell ref="B93:E93"/>
    <mergeCell ref="F93:I93"/>
    <mergeCell ref="B94:E94"/>
    <mergeCell ref="F94:I94"/>
    <mergeCell ref="B95:E95"/>
    <mergeCell ref="B86:E86"/>
    <mergeCell ref="F86:I86"/>
    <mergeCell ref="B87:E87"/>
    <mergeCell ref="F87:I87"/>
    <mergeCell ref="B88:E88"/>
    <mergeCell ref="F88:I88"/>
    <mergeCell ref="J99:O99"/>
    <mergeCell ref="J80:O80"/>
    <mergeCell ref="J102:O102"/>
    <mergeCell ref="B122:B125"/>
    <mergeCell ref="D125:S125"/>
    <mergeCell ref="B120:B121"/>
    <mergeCell ref="D120:S120"/>
    <mergeCell ref="J73:N73"/>
    <mergeCell ref="J74:N74"/>
    <mergeCell ref="B49:E49"/>
    <mergeCell ref="A55:S56"/>
    <mergeCell ref="J75:N75"/>
    <mergeCell ref="B113:C113"/>
    <mergeCell ref="D113:S113"/>
    <mergeCell ref="D114:S114"/>
    <mergeCell ref="J79:O79"/>
    <mergeCell ref="P79:S79"/>
    <mergeCell ref="P78:S78"/>
    <mergeCell ref="B79:E79"/>
    <mergeCell ref="J59:O59"/>
    <mergeCell ref="B78:E78"/>
    <mergeCell ref="F79:I79"/>
    <mergeCell ref="B116:B117"/>
    <mergeCell ref="B81:E81"/>
    <mergeCell ref="F81:I81"/>
    <mergeCell ref="J81:O81"/>
    <mergeCell ref="J57:O57"/>
    <mergeCell ref="J50:O50"/>
    <mergeCell ref="J51:O51"/>
    <mergeCell ref="J52:O52"/>
    <mergeCell ref="J39:O39"/>
    <mergeCell ref="J40:O40"/>
    <mergeCell ref="J41:O41"/>
    <mergeCell ref="J42:O42"/>
    <mergeCell ref="A44:S45"/>
    <mergeCell ref="A66:S67"/>
    <mergeCell ref="B57:E57"/>
    <mergeCell ref="J58:O58"/>
    <mergeCell ref="B50:E50"/>
    <mergeCell ref="B51:E51"/>
    <mergeCell ref="B52:E52"/>
    <mergeCell ref="B53:E53"/>
    <mergeCell ref="J49:O49"/>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I81 G84:I91 G104:I110 Q109:S110 P87:S90 Q85:S86 P79:P86 Q79:S81 F111:I111 P111:S111 F82:F110 P91:P110 Q94:S96 Q103:S105"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12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125"/>
  <sheetViews>
    <sheetView view="pageBreakPreview" topLeftCell="A10" zoomScale="70" zoomScaleNormal="100" zoomScaleSheetLayoutView="70" workbookViewId="0">
      <selection activeCell="D122" sqref="D122:S123"/>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2"/>
      <c r="Q2" s="22"/>
      <c r="W2" s="22"/>
      <c r="AC2" s="22"/>
      <c r="AI2" s="22"/>
      <c r="AL2" s="22" t="s">
        <v>109</v>
      </c>
      <c r="AM2" s="176" t="str">
        <f>'様式１　プログラムを構成する授業科目'!C2</f>
        <v>同志社大学</v>
      </c>
      <c r="AN2" s="176"/>
      <c r="AO2" s="176"/>
      <c r="AP2" s="176"/>
      <c r="AQ2" s="176"/>
    </row>
    <row r="3" spans="1:45" ht="18" customHeight="1" x14ac:dyDescent="0.15">
      <c r="A3" s="177" t="s">
        <v>48</v>
      </c>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78" t="s">
        <v>185</v>
      </c>
      <c r="D5" s="179"/>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0" t="s">
        <v>45</v>
      </c>
      <c r="C9" s="195" t="s">
        <v>87</v>
      </c>
      <c r="D9" s="183" t="s">
        <v>47</v>
      </c>
      <c r="E9" s="186" t="s">
        <v>40</v>
      </c>
      <c r="F9" s="173" t="s">
        <v>86</v>
      </c>
      <c r="G9" s="173"/>
      <c r="H9" s="173"/>
      <c r="I9" s="173"/>
      <c r="J9" s="173"/>
      <c r="K9" s="173"/>
      <c r="L9" s="173" t="s">
        <v>49</v>
      </c>
      <c r="M9" s="173"/>
      <c r="N9" s="173"/>
      <c r="O9" s="173"/>
      <c r="P9" s="173"/>
      <c r="Q9" s="173"/>
      <c r="R9" s="173" t="s">
        <v>50</v>
      </c>
      <c r="S9" s="173"/>
      <c r="T9" s="173"/>
      <c r="U9" s="173"/>
      <c r="V9" s="173"/>
      <c r="W9" s="173"/>
      <c r="X9" s="173" t="s">
        <v>101</v>
      </c>
      <c r="Y9" s="173"/>
      <c r="Z9" s="173"/>
      <c r="AA9" s="173"/>
      <c r="AB9" s="173"/>
      <c r="AC9" s="173"/>
      <c r="AD9" s="173" t="s">
        <v>51</v>
      </c>
      <c r="AE9" s="173"/>
      <c r="AF9" s="173"/>
      <c r="AG9" s="173"/>
      <c r="AH9" s="173"/>
      <c r="AI9" s="173"/>
      <c r="AJ9" s="173" t="s">
        <v>52</v>
      </c>
      <c r="AK9" s="173"/>
      <c r="AL9" s="173"/>
      <c r="AM9" s="173"/>
      <c r="AN9" s="173"/>
      <c r="AO9" s="173"/>
      <c r="AP9" s="189" t="s">
        <v>35</v>
      </c>
      <c r="AQ9" s="192" t="s">
        <v>32</v>
      </c>
      <c r="AS9" s="2"/>
    </row>
    <row r="10" spans="1:45" ht="16.899999999999999" customHeight="1" x14ac:dyDescent="0.15">
      <c r="B10" s="181"/>
      <c r="C10" s="196"/>
      <c r="D10" s="184"/>
      <c r="E10" s="187"/>
      <c r="F10" s="174" t="s">
        <v>97</v>
      </c>
      <c r="G10" s="175"/>
      <c r="H10" s="175"/>
      <c r="I10" s="174" t="s">
        <v>29</v>
      </c>
      <c r="J10" s="175"/>
      <c r="K10" s="175"/>
      <c r="L10" s="174" t="s">
        <v>97</v>
      </c>
      <c r="M10" s="175"/>
      <c r="N10" s="175"/>
      <c r="O10" s="174" t="s">
        <v>29</v>
      </c>
      <c r="P10" s="175"/>
      <c r="Q10" s="175"/>
      <c r="R10" s="174" t="s">
        <v>97</v>
      </c>
      <c r="S10" s="175"/>
      <c r="T10" s="175"/>
      <c r="U10" s="174" t="s">
        <v>29</v>
      </c>
      <c r="V10" s="175"/>
      <c r="W10" s="175"/>
      <c r="X10" s="174" t="s">
        <v>97</v>
      </c>
      <c r="Y10" s="175"/>
      <c r="Z10" s="175"/>
      <c r="AA10" s="174" t="s">
        <v>29</v>
      </c>
      <c r="AB10" s="175"/>
      <c r="AC10" s="175"/>
      <c r="AD10" s="174" t="s">
        <v>97</v>
      </c>
      <c r="AE10" s="175"/>
      <c r="AF10" s="175"/>
      <c r="AG10" s="174" t="s">
        <v>29</v>
      </c>
      <c r="AH10" s="175"/>
      <c r="AI10" s="175"/>
      <c r="AJ10" s="174" t="s">
        <v>97</v>
      </c>
      <c r="AK10" s="175"/>
      <c r="AL10" s="175"/>
      <c r="AM10" s="174" t="s">
        <v>29</v>
      </c>
      <c r="AN10" s="175"/>
      <c r="AO10" s="175"/>
      <c r="AP10" s="190"/>
      <c r="AQ10" s="193"/>
      <c r="AS10" s="2"/>
    </row>
    <row r="11" spans="1:45" ht="18" customHeight="1" x14ac:dyDescent="0.15">
      <c r="B11" s="182"/>
      <c r="C11" s="197"/>
      <c r="D11" s="185"/>
      <c r="E11" s="188"/>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1"/>
      <c r="AQ11" s="194"/>
      <c r="AS11" s="2"/>
    </row>
    <row r="12" spans="1:45" ht="18" customHeight="1" x14ac:dyDescent="0.15">
      <c r="A12" s="6"/>
      <c r="B12" s="11" t="s">
        <v>163</v>
      </c>
      <c r="C12" s="43">
        <v>260</v>
      </c>
      <c r="D12" s="44">
        <v>63</v>
      </c>
      <c r="E12" s="45">
        <v>252</v>
      </c>
      <c r="F12" s="45">
        <f>G12+H12</f>
        <v>22</v>
      </c>
      <c r="G12" s="46">
        <v>11</v>
      </c>
      <c r="H12" s="47">
        <v>11</v>
      </c>
      <c r="I12" s="45">
        <f>J12+K12</f>
        <v>2</v>
      </c>
      <c r="J12" s="46">
        <v>1</v>
      </c>
      <c r="K12" s="47">
        <v>1</v>
      </c>
      <c r="L12" s="45">
        <f>M12+N12</f>
        <v>0</v>
      </c>
      <c r="M12" s="46"/>
      <c r="N12" s="47"/>
      <c r="O12" s="45">
        <f>P12+Q12</f>
        <v>0</v>
      </c>
      <c r="P12" s="46"/>
      <c r="Q12" s="47"/>
      <c r="R12" s="45">
        <f>S12+T12</f>
        <v>0</v>
      </c>
      <c r="S12" s="46"/>
      <c r="T12" s="47"/>
      <c r="U12" s="45">
        <f>V12+W12</f>
        <v>0</v>
      </c>
      <c r="V12" s="46"/>
      <c r="W12" s="47"/>
      <c r="X12" s="45">
        <f>Y12+Z12</f>
        <v>0</v>
      </c>
      <c r="Y12" s="46"/>
      <c r="Z12" s="47"/>
      <c r="AA12" s="45">
        <f>AB12+AC12</f>
        <v>0</v>
      </c>
      <c r="AB12" s="46"/>
      <c r="AC12" s="47"/>
      <c r="AD12" s="45">
        <f>AE12+AF12</f>
        <v>0</v>
      </c>
      <c r="AE12" s="46"/>
      <c r="AF12" s="47"/>
      <c r="AG12" s="45">
        <f>AH12+AI12</f>
        <v>0</v>
      </c>
      <c r="AH12" s="46"/>
      <c r="AI12" s="47"/>
      <c r="AJ12" s="45">
        <f>AK12+AL12</f>
        <v>0</v>
      </c>
      <c r="AK12" s="46"/>
      <c r="AL12" s="47"/>
      <c r="AM12" s="45">
        <f>AN12+AO12</f>
        <v>0</v>
      </c>
      <c r="AN12" s="46"/>
      <c r="AO12" s="47"/>
      <c r="AP12" s="44">
        <f>F12+L12+R12+X12+AD12+AJ12</f>
        <v>22</v>
      </c>
      <c r="AQ12" s="20">
        <f t="shared" ref="AQ12:AQ32" si="0">AP12/E12</f>
        <v>8.7301587301587297E-2</v>
      </c>
    </row>
    <row r="13" spans="1:45" ht="18" customHeight="1" x14ac:dyDescent="0.15">
      <c r="A13" s="6"/>
      <c r="B13" s="12" t="s">
        <v>164</v>
      </c>
      <c r="C13" s="48">
        <v>2971</v>
      </c>
      <c r="D13" s="49">
        <v>705</v>
      </c>
      <c r="E13" s="50">
        <v>2820</v>
      </c>
      <c r="F13" s="51">
        <f t="shared" ref="F13:F31" si="1">G13+H13</f>
        <v>95</v>
      </c>
      <c r="G13" s="52">
        <v>38</v>
      </c>
      <c r="H13" s="53">
        <v>57</v>
      </c>
      <c r="I13" s="51">
        <f t="shared" ref="I13:I31" si="2">J13+K13</f>
        <v>12</v>
      </c>
      <c r="J13" s="52">
        <v>5</v>
      </c>
      <c r="K13" s="53">
        <v>7</v>
      </c>
      <c r="L13" s="51">
        <f t="shared" ref="L13:L31" si="3">M13+N13</f>
        <v>0</v>
      </c>
      <c r="M13" s="52"/>
      <c r="N13" s="53"/>
      <c r="O13" s="51">
        <f t="shared" ref="O13:O31" si="4">P13+Q13</f>
        <v>0</v>
      </c>
      <c r="P13" s="52"/>
      <c r="Q13" s="53"/>
      <c r="R13" s="51">
        <f t="shared" ref="R13:R31" si="5">S13+T13</f>
        <v>0</v>
      </c>
      <c r="S13" s="52"/>
      <c r="T13" s="53"/>
      <c r="U13" s="51">
        <f t="shared" ref="U13:U31" si="6">V13+W13</f>
        <v>0</v>
      </c>
      <c r="V13" s="52"/>
      <c r="W13" s="53"/>
      <c r="X13" s="51">
        <f t="shared" ref="X13:X31" si="7">Y13+Z13</f>
        <v>0</v>
      </c>
      <c r="Y13" s="52"/>
      <c r="Z13" s="53"/>
      <c r="AA13" s="51">
        <f t="shared" ref="AA13:AA31" si="8">AB13+AC13</f>
        <v>0</v>
      </c>
      <c r="AB13" s="52"/>
      <c r="AC13" s="53"/>
      <c r="AD13" s="51">
        <f t="shared" ref="AD13:AD31" si="9">AE13+AF13</f>
        <v>0</v>
      </c>
      <c r="AE13" s="52"/>
      <c r="AF13" s="53"/>
      <c r="AG13" s="51">
        <f t="shared" ref="AG13:AG31" si="10">AH13+AI13</f>
        <v>0</v>
      </c>
      <c r="AH13" s="52"/>
      <c r="AI13" s="53"/>
      <c r="AJ13" s="51">
        <f t="shared" ref="AJ13:AJ31" si="11">AK13+AL13</f>
        <v>0</v>
      </c>
      <c r="AK13" s="52"/>
      <c r="AL13" s="53"/>
      <c r="AM13" s="51">
        <f t="shared" ref="AM13:AM31" si="12">AN13+AO13</f>
        <v>0</v>
      </c>
      <c r="AN13" s="52"/>
      <c r="AO13" s="53"/>
      <c r="AP13" s="49">
        <f t="shared" ref="AP13:AP31" si="13">F13+L13+R13+X13+AD13+AJ13</f>
        <v>95</v>
      </c>
      <c r="AQ13" s="20">
        <f t="shared" si="0"/>
        <v>3.3687943262411348E-2</v>
      </c>
    </row>
    <row r="14" spans="1:45" ht="18" customHeight="1" x14ac:dyDescent="0.15">
      <c r="A14" s="6"/>
      <c r="B14" s="12" t="s">
        <v>165</v>
      </c>
      <c r="C14" s="48">
        <v>1812</v>
      </c>
      <c r="D14" s="49">
        <v>442</v>
      </c>
      <c r="E14" s="50">
        <v>1768</v>
      </c>
      <c r="F14" s="51">
        <f t="shared" si="1"/>
        <v>83</v>
      </c>
      <c r="G14" s="52">
        <v>36</v>
      </c>
      <c r="H14" s="53">
        <v>47</v>
      </c>
      <c r="I14" s="51">
        <f t="shared" si="2"/>
        <v>11</v>
      </c>
      <c r="J14" s="52">
        <v>7</v>
      </c>
      <c r="K14" s="53">
        <v>4</v>
      </c>
      <c r="L14" s="51">
        <f t="shared" si="3"/>
        <v>0</v>
      </c>
      <c r="M14" s="52"/>
      <c r="N14" s="53"/>
      <c r="O14" s="51">
        <f t="shared" si="4"/>
        <v>0</v>
      </c>
      <c r="P14" s="52"/>
      <c r="Q14" s="53"/>
      <c r="R14" s="51">
        <f t="shared" si="5"/>
        <v>0</v>
      </c>
      <c r="S14" s="52"/>
      <c r="T14" s="53"/>
      <c r="U14" s="51">
        <f t="shared" si="6"/>
        <v>0</v>
      </c>
      <c r="V14" s="52"/>
      <c r="W14" s="53"/>
      <c r="X14" s="51">
        <f t="shared" si="7"/>
        <v>0</v>
      </c>
      <c r="Y14" s="52"/>
      <c r="Z14" s="53"/>
      <c r="AA14" s="51">
        <f t="shared" si="8"/>
        <v>0</v>
      </c>
      <c r="AB14" s="52"/>
      <c r="AC14" s="53"/>
      <c r="AD14" s="51">
        <f t="shared" si="9"/>
        <v>0</v>
      </c>
      <c r="AE14" s="52"/>
      <c r="AF14" s="53"/>
      <c r="AG14" s="51">
        <f t="shared" si="10"/>
        <v>0</v>
      </c>
      <c r="AH14" s="52"/>
      <c r="AI14" s="53"/>
      <c r="AJ14" s="51">
        <f t="shared" si="11"/>
        <v>0</v>
      </c>
      <c r="AK14" s="52"/>
      <c r="AL14" s="53"/>
      <c r="AM14" s="51">
        <f t="shared" si="12"/>
        <v>0</v>
      </c>
      <c r="AN14" s="52"/>
      <c r="AO14" s="53"/>
      <c r="AP14" s="49">
        <f t="shared" si="13"/>
        <v>83</v>
      </c>
      <c r="AQ14" s="8">
        <f t="shared" si="0"/>
        <v>4.6945701357466063E-2</v>
      </c>
    </row>
    <row r="15" spans="1:45" ht="18" customHeight="1" x14ac:dyDescent="0.15">
      <c r="A15" s="6"/>
      <c r="B15" s="12" t="s">
        <v>176</v>
      </c>
      <c r="C15" s="48">
        <v>3499</v>
      </c>
      <c r="D15" s="49">
        <v>893</v>
      </c>
      <c r="E15" s="50">
        <v>3572</v>
      </c>
      <c r="F15" s="51">
        <f t="shared" si="1"/>
        <v>139</v>
      </c>
      <c r="G15" s="52">
        <v>89</v>
      </c>
      <c r="H15" s="53">
        <v>50</v>
      </c>
      <c r="I15" s="51">
        <f t="shared" si="2"/>
        <v>11</v>
      </c>
      <c r="J15" s="52">
        <v>11</v>
      </c>
      <c r="K15" s="53">
        <v>0</v>
      </c>
      <c r="L15" s="51">
        <f t="shared" si="3"/>
        <v>0</v>
      </c>
      <c r="M15" s="52"/>
      <c r="N15" s="53"/>
      <c r="O15" s="51">
        <f t="shared" si="4"/>
        <v>0</v>
      </c>
      <c r="P15" s="52"/>
      <c r="Q15" s="53"/>
      <c r="R15" s="51">
        <f t="shared" si="5"/>
        <v>0</v>
      </c>
      <c r="S15" s="52"/>
      <c r="T15" s="53"/>
      <c r="U15" s="51">
        <f t="shared" si="6"/>
        <v>0</v>
      </c>
      <c r="V15" s="52"/>
      <c r="W15" s="53"/>
      <c r="X15" s="51">
        <f t="shared" si="7"/>
        <v>0</v>
      </c>
      <c r="Y15" s="52"/>
      <c r="Z15" s="53"/>
      <c r="AA15" s="51">
        <f t="shared" si="8"/>
        <v>0</v>
      </c>
      <c r="AB15" s="52"/>
      <c r="AC15" s="53"/>
      <c r="AD15" s="51">
        <f t="shared" si="9"/>
        <v>0</v>
      </c>
      <c r="AE15" s="52"/>
      <c r="AF15" s="53"/>
      <c r="AG15" s="51">
        <f t="shared" si="10"/>
        <v>0</v>
      </c>
      <c r="AH15" s="52"/>
      <c r="AI15" s="53"/>
      <c r="AJ15" s="51">
        <f t="shared" si="11"/>
        <v>0</v>
      </c>
      <c r="AK15" s="52"/>
      <c r="AL15" s="53"/>
      <c r="AM15" s="51">
        <f t="shared" si="12"/>
        <v>0</v>
      </c>
      <c r="AN15" s="52"/>
      <c r="AO15" s="53"/>
      <c r="AP15" s="49">
        <f t="shared" si="13"/>
        <v>139</v>
      </c>
      <c r="AQ15" s="8">
        <f t="shared" si="0"/>
        <v>3.8913773796192611E-2</v>
      </c>
    </row>
    <row r="16" spans="1:45" ht="18" customHeight="1" x14ac:dyDescent="0.15">
      <c r="A16" s="6"/>
      <c r="B16" s="12" t="s">
        <v>166</v>
      </c>
      <c r="C16" s="48">
        <v>3622</v>
      </c>
      <c r="D16" s="49">
        <v>893</v>
      </c>
      <c r="E16" s="50">
        <v>3572</v>
      </c>
      <c r="F16" s="51">
        <f t="shared" si="1"/>
        <v>299</v>
      </c>
      <c r="G16" s="52">
        <v>217</v>
      </c>
      <c r="H16" s="53">
        <v>82</v>
      </c>
      <c r="I16" s="51">
        <f t="shared" si="2"/>
        <v>71</v>
      </c>
      <c r="J16" s="52">
        <v>53</v>
      </c>
      <c r="K16" s="53">
        <v>18</v>
      </c>
      <c r="L16" s="51">
        <f t="shared" si="3"/>
        <v>0</v>
      </c>
      <c r="M16" s="52"/>
      <c r="N16" s="53"/>
      <c r="O16" s="51">
        <f t="shared" si="4"/>
        <v>0</v>
      </c>
      <c r="P16" s="52"/>
      <c r="Q16" s="53"/>
      <c r="R16" s="51">
        <f t="shared" si="5"/>
        <v>0</v>
      </c>
      <c r="S16" s="52"/>
      <c r="T16" s="53"/>
      <c r="U16" s="51">
        <f t="shared" si="6"/>
        <v>0</v>
      </c>
      <c r="V16" s="52"/>
      <c r="W16" s="53"/>
      <c r="X16" s="51">
        <f t="shared" si="7"/>
        <v>0</v>
      </c>
      <c r="Y16" s="52"/>
      <c r="Z16" s="53"/>
      <c r="AA16" s="51">
        <f t="shared" si="8"/>
        <v>0</v>
      </c>
      <c r="AB16" s="52"/>
      <c r="AC16" s="53"/>
      <c r="AD16" s="51">
        <f t="shared" si="9"/>
        <v>0</v>
      </c>
      <c r="AE16" s="52"/>
      <c r="AF16" s="53"/>
      <c r="AG16" s="51">
        <f t="shared" si="10"/>
        <v>0</v>
      </c>
      <c r="AH16" s="52"/>
      <c r="AI16" s="53"/>
      <c r="AJ16" s="51">
        <f t="shared" si="11"/>
        <v>0</v>
      </c>
      <c r="AK16" s="52"/>
      <c r="AL16" s="53"/>
      <c r="AM16" s="51">
        <f t="shared" si="12"/>
        <v>0</v>
      </c>
      <c r="AN16" s="52"/>
      <c r="AO16" s="53"/>
      <c r="AP16" s="49">
        <f t="shared" si="13"/>
        <v>299</v>
      </c>
      <c r="AQ16" s="8">
        <f t="shared" si="0"/>
        <v>8.3706606942889145E-2</v>
      </c>
    </row>
    <row r="17" spans="1:43" ht="18" customHeight="1" x14ac:dyDescent="0.15">
      <c r="A17" s="6"/>
      <c r="B17" s="12" t="s">
        <v>167</v>
      </c>
      <c r="C17" s="48">
        <v>3621</v>
      </c>
      <c r="D17" s="49">
        <v>893</v>
      </c>
      <c r="E17" s="50">
        <v>3572</v>
      </c>
      <c r="F17" s="51">
        <f t="shared" si="1"/>
        <v>177</v>
      </c>
      <c r="G17" s="52">
        <v>116</v>
      </c>
      <c r="H17" s="53">
        <v>61</v>
      </c>
      <c r="I17" s="51">
        <f t="shared" si="2"/>
        <v>20</v>
      </c>
      <c r="J17" s="52">
        <v>13</v>
      </c>
      <c r="K17" s="53">
        <v>7</v>
      </c>
      <c r="L17" s="51">
        <f t="shared" si="3"/>
        <v>0</v>
      </c>
      <c r="M17" s="52"/>
      <c r="N17" s="53"/>
      <c r="O17" s="51">
        <f t="shared" si="4"/>
        <v>0</v>
      </c>
      <c r="P17" s="52"/>
      <c r="Q17" s="53"/>
      <c r="R17" s="51">
        <f t="shared" si="5"/>
        <v>0</v>
      </c>
      <c r="S17" s="52"/>
      <c r="T17" s="53"/>
      <c r="U17" s="51">
        <f t="shared" si="6"/>
        <v>0</v>
      </c>
      <c r="V17" s="52"/>
      <c r="W17" s="53"/>
      <c r="X17" s="51">
        <f t="shared" si="7"/>
        <v>0</v>
      </c>
      <c r="Y17" s="52"/>
      <c r="Z17" s="53"/>
      <c r="AA17" s="51">
        <f t="shared" si="8"/>
        <v>0</v>
      </c>
      <c r="AB17" s="52"/>
      <c r="AC17" s="53"/>
      <c r="AD17" s="51">
        <f t="shared" si="9"/>
        <v>0</v>
      </c>
      <c r="AE17" s="52"/>
      <c r="AF17" s="53"/>
      <c r="AG17" s="51">
        <f t="shared" si="10"/>
        <v>0</v>
      </c>
      <c r="AH17" s="52"/>
      <c r="AI17" s="53"/>
      <c r="AJ17" s="51">
        <f t="shared" si="11"/>
        <v>0</v>
      </c>
      <c r="AK17" s="52"/>
      <c r="AL17" s="53"/>
      <c r="AM17" s="51">
        <f t="shared" si="12"/>
        <v>0</v>
      </c>
      <c r="AN17" s="52"/>
      <c r="AO17" s="53"/>
      <c r="AP17" s="49">
        <f t="shared" si="13"/>
        <v>177</v>
      </c>
      <c r="AQ17" s="8">
        <f t="shared" si="0"/>
        <v>4.9552071668533038E-2</v>
      </c>
    </row>
    <row r="18" spans="1:43" ht="18" customHeight="1" x14ac:dyDescent="0.15">
      <c r="A18" s="6"/>
      <c r="B18" s="12" t="s">
        <v>168</v>
      </c>
      <c r="C18" s="48">
        <v>1719</v>
      </c>
      <c r="D18" s="49">
        <v>420</v>
      </c>
      <c r="E18" s="50">
        <v>1680</v>
      </c>
      <c r="F18" s="51">
        <f t="shared" si="1"/>
        <v>49</v>
      </c>
      <c r="G18" s="52">
        <v>28</v>
      </c>
      <c r="H18" s="53">
        <v>21</v>
      </c>
      <c r="I18" s="51">
        <f t="shared" si="2"/>
        <v>4</v>
      </c>
      <c r="J18" s="52">
        <v>2</v>
      </c>
      <c r="K18" s="53">
        <v>2</v>
      </c>
      <c r="L18" s="51">
        <f t="shared" si="3"/>
        <v>0</v>
      </c>
      <c r="M18" s="52"/>
      <c r="N18" s="53"/>
      <c r="O18" s="51">
        <f t="shared" si="4"/>
        <v>0</v>
      </c>
      <c r="P18" s="52"/>
      <c r="Q18" s="53"/>
      <c r="R18" s="51">
        <f t="shared" si="5"/>
        <v>0</v>
      </c>
      <c r="S18" s="52"/>
      <c r="T18" s="53"/>
      <c r="U18" s="51">
        <f t="shared" si="6"/>
        <v>0</v>
      </c>
      <c r="V18" s="52"/>
      <c r="W18" s="53"/>
      <c r="X18" s="51">
        <f t="shared" si="7"/>
        <v>0</v>
      </c>
      <c r="Y18" s="52"/>
      <c r="Z18" s="53"/>
      <c r="AA18" s="51">
        <f t="shared" si="8"/>
        <v>0</v>
      </c>
      <c r="AB18" s="52"/>
      <c r="AC18" s="53"/>
      <c r="AD18" s="51">
        <f t="shared" si="9"/>
        <v>0</v>
      </c>
      <c r="AE18" s="52"/>
      <c r="AF18" s="53"/>
      <c r="AG18" s="51">
        <f t="shared" si="10"/>
        <v>0</v>
      </c>
      <c r="AH18" s="52"/>
      <c r="AI18" s="53"/>
      <c r="AJ18" s="51">
        <f t="shared" si="11"/>
        <v>0</v>
      </c>
      <c r="AK18" s="52"/>
      <c r="AL18" s="53"/>
      <c r="AM18" s="51">
        <f t="shared" si="12"/>
        <v>0</v>
      </c>
      <c r="AN18" s="52"/>
      <c r="AO18" s="53"/>
      <c r="AP18" s="49">
        <f t="shared" si="13"/>
        <v>49</v>
      </c>
      <c r="AQ18" s="8">
        <f t="shared" si="0"/>
        <v>2.9166666666666667E-2</v>
      </c>
    </row>
    <row r="19" spans="1:43" ht="18" customHeight="1" x14ac:dyDescent="0.15">
      <c r="A19" s="6"/>
      <c r="B19" s="12" t="s">
        <v>169</v>
      </c>
      <c r="C19" s="48">
        <v>1240</v>
      </c>
      <c r="D19" s="49">
        <v>294</v>
      </c>
      <c r="E19" s="50">
        <v>1176</v>
      </c>
      <c r="F19" s="51">
        <f t="shared" si="1"/>
        <v>281</v>
      </c>
      <c r="G19" s="52">
        <v>173</v>
      </c>
      <c r="H19" s="53">
        <v>108</v>
      </c>
      <c r="I19" s="51">
        <f t="shared" si="2"/>
        <v>60</v>
      </c>
      <c r="J19" s="52">
        <v>41</v>
      </c>
      <c r="K19" s="53">
        <v>19</v>
      </c>
      <c r="L19" s="51">
        <f t="shared" si="3"/>
        <v>0</v>
      </c>
      <c r="M19" s="52"/>
      <c r="N19" s="53"/>
      <c r="O19" s="51">
        <f t="shared" si="4"/>
        <v>0</v>
      </c>
      <c r="P19" s="52"/>
      <c r="Q19" s="53"/>
      <c r="R19" s="51">
        <f t="shared" si="5"/>
        <v>0</v>
      </c>
      <c r="S19" s="52"/>
      <c r="T19" s="53"/>
      <c r="U19" s="51">
        <f t="shared" si="6"/>
        <v>0</v>
      </c>
      <c r="V19" s="52"/>
      <c r="W19" s="53"/>
      <c r="X19" s="51">
        <f t="shared" si="7"/>
        <v>0</v>
      </c>
      <c r="Y19" s="52"/>
      <c r="Z19" s="53"/>
      <c r="AA19" s="51">
        <f t="shared" si="8"/>
        <v>0</v>
      </c>
      <c r="AB19" s="52"/>
      <c r="AC19" s="53"/>
      <c r="AD19" s="51">
        <f t="shared" si="9"/>
        <v>0</v>
      </c>
      <c r="AE19" s="52"/>
      <c r="AF19" s="53"/>
      <c r="AG19" s="51">
        <f t="shared" si="10"/>
        <v>0</v>
      </c>
      <c r="AH19" s="52"/>
      <c r="AI19" s="53"/>
      <c r="AJ19" s="51">
        <f t="shared" si="11"/>
        <v>0</v>
      </c>
      <c r="AK19" s="52"/>
      <c r="AL19" s="53"/>
      <c r="AM19" s="51">
        <f t="shared" si="12"/>
        <v>0</v>
      </c>
      <c r="AN19" s="52"/>
      <c r="AO19" s="53"/>
      <c r="AP19" s="49">
        <f t="shared" si="13"/>
        <v>281</v>
      </c>
      <c r="AQ19" s="8">
        <f t="shared" si="0"/>
        <v>0.2389455782312925</v>
      </c>
    </row>
    <row r="20" spans="1:43" ht="18" customHeight="1" x14ac:dyDescent="0.15">
      <c r="A20" s="6"/>
      <c r="B20" s="12" t="s">
        <v>170</v>
      </c>
      <c r="C20" s="48">
        <v>3071</v>
      </c>
      <c r="D20" s="49">
        <v>756</v>
      </c>
      <c r="E20" s="50">
        <v>3064</v>
      </c>
      <c r="F20" s="51">
        <f t="shared" si="1"/>
        <v>235</v>
      </c>
      <c r="G20" s="52">
        <v>196</v>
      </c>
      <c r="H20" s="53">
        <v>39</v>
      </c>
      <c r="I20" s="51">
        <f t="shared" si="2"/>
        <v>27</v>
      </c>
      <c r="J20" s="52">
        <v>24</v>
      </c>
      <c r="K20" s="53">
        <v>3</v>
      </c>
      <c r="L20" s="51">
        <f t="shared" si="3"/>
        <v>0</v>
      </c>
      <c r="M20" s="52"/>
      <c r="N20" s="53"/>
      <c r="O20" s="51">
        <f t="shared" si="4"/>
        <v>0</v>
      </c>
      <c r="P20" s="52"/>
      <c r="Q20" s="53"/>
      <c r="R20" s="51">
        <f t="shared" si="5"/>
        <v>0</v>
      </c>
      <c r="S20" s="52"/>
      <c r="T20" s="53"/>
      <c r="U20" s="51">
        <f t="shared" si="6"/>
        <v>0</v>
      </c>
      <c r="V20" s="52"/>
      <c r="W20" s="53"/>
      <c r="X20" s="51">
        <f t="shared" si="7"/>
        <v>0</v>
      </c>
      <c r="Y20" s="52"/>
      <c r="Z20" s="53"/>
      <c r="AA20" s="51">
        <f t="shared" si="8"/>
        <v>0</v>
      </c>
      <c r="AB20" s="52"/>
      <c r="AC20" s="53"/>
      <c r="AD20" s="51">
        <f t="shared" si="9"/>
        <v>0</v>
      </c>
      <c r="AE20" s="52"/>
      <c r="AF20" s="53"/>
      <c r="AG20" s="51">
        <f t="shared" si="10"/>
        <v>0</v>
      </c>
      <c r="AH20" s="52"/>
      <c r="AI20" s="53"/>
      <c r="AJ20" s="51">
        <f t="shared" si="11"/>
        <v>0</v>
      </c>
      <c r="AK20" s="52"/>
      <c r="AL20" s="53"/>
      <c r="AM20" s="51">
        <f t="shared" si="12"/>
        <v>0</v>
      </c>
      <c r="AN20" s="52"/>
      <c r="AO20" s="53"/>
      <c r="AP20" s="49">
        <f t="shared" si="13"/>
        <v>235</v>
      </c>
      <c r="AQ20" s="8">
        <f t="shared" si="0"/>
        <v>7.6697127937336809E-2</v>
      </c>
    </row>
    <row r="21" spans="1:43" ht="18" customHeight="1" x14ac:dyDescent="0.15">
      <c r="A21" s="6"/>
      <c r="B21" s="12" t="s">
        <v>171</v>
      </c>
      <c r="C21" s="48">
        <v>1018</v>
      </c>
      <c r="D21" s="49">
        <v>265</v>
      </c>
      <c r="E21" s="50">
        <v>1060</v>
      </c>
      <c r="F21" s="51">
        <f t="shared" si="1"/>
        <v>105</v>
      </c>
      <c r="G21" s="52">
        <v>61</v>
      </c>
      <c r="H21" s="53">
        <v>44</v>
      </c>
      <c r="I21" s="51">
        <f t="shared" si="2"/>
        <v>17</v>
      </c>
      <c r="J21" s="52">
        <v>10</v>
      </c>
      <c r="K21" s="53">
        <v>7</v>
      </c>
      <c r="L21" s="51">
        <f t="shared" si="3"/>
        <v>0</v>
      </c>
      <c r="M21" s="52"/>
      <c r="N21" s="53"/>
      <c r="O21" s="51">
        <f t="shared" si="4"/>
        <v>0</v>
      </c>
      <c r="P21" s="52"/>
      <c r="Q21" s="53"/>
      <c r="R21" s="51">
        <f t="shared" si="5"/>
        <v>0</v>
      </c>
      <c r="S21" s="52"/>
      <c r="T21" s="53"/>
      <c r="U21" s="51">
        <f t="shared" si="6"/>
        <v>0</v>
      </c>
      <c r="V21" s="52"/>
      <c r="W21" s="53"/>
      <c r="X21" s="51">
        <f t="shared" si="7"/>
        <v>0</v>
      </c>
      <c r="Y21" s="52"/>
      <c r="Z21" s="53"/>
      <c r="AA21" s="51">
        <f t="shared" si="8"/>
        <v>0</v>
      </c>
      <c r="AB21" s="52"/>
      <c r="AC21" s="53"/>
      <c r="AD21" s="51">
        <f t="shared" si="9"/>
        <v>0</v>
      </c>
      <c r="AE21" s="52"/>
      <c r="AF21" s="53"/>
      <c r="AG21" s="51">
        <f t="shared" si="10"/>
        <v>0</v>
      </c>
      <c r="AH21" s="52"/>
      <c r="AI21" s="53"/>
      <c r="AJ21" s="51">
        <f t="shared" si="11"/>
        <v>0</v>
      </c>
      <c r="AK21" s="52"/>
      <c r="AL21" s="53"/>
      <c r="AM21" s="51">
        <f t="shared" si="12"/>
        <v>0</v>
      </c>
      <c r="AN21" s="52"/>
      <c r="AO21" s="53"/>
      <c r="AP21" s="49">
        <f t="shared" si="13"/>
        <v>105</v>
      </c>
      <c r="AQ21" s="8">
        <f t="shared" si="0"/>
        <v>9.9056603773584911E-2</v>
      </c>
    </row>
    <row r="22" spans="1:43" ht="18" customHeight="1" x14ac:dyDescent="0.15">
      <c r="A22" s="6"/>
      <c r="B22" s="12" t="s">
        <v>172</v>
      </c>
      <c r="C22" s="48">
        <v>919</v>
      </c>
      <c r="D22" s="49">
        <v>221</v>
      </c>
      <c r="E22" s="50">
        <v>884</v>
      </c>
      <c r="F22" s="51">
        <f t="shared" si="1"/>
        <v>59</v>
      </c>
      <c r="G22" s="52">
        <v>38</v>
      </c>
      <c r="H22" s="53">
        <v>21</v>
      </c>
      <c r="I22" s="51">
        <f t="shared" si="2"/>
        <v>4</v>
      </c>
      <c r="J22" s="52">
        <v>4</v>
      </c>
      <c r="K22" s="53">
        <v>0</v>
      </c>
      <c r="L22" s="51">
        <f t="shared" si="3"/>
        <v>0</v>
      </c>
      <c r="M22" s="52"/>
      <c r="N22" s="53"/>
      <c r="O22" s="51">
        <f t="shared" si="4"/>
        <v>0</v>
      </c>
      <c r="P22" s="52"/>
      <c r="Q22" s="53"/>
      <c r="R22" s="51">
        <f t="shared" si="5"/>
        <v>0</v>
      </c>
      <c r="S22" s="52"/>
      <c r="T22" s="53"/>
      <c r="U22" s="51">
        <f t="shared" si="6"/>
        <v>0</v>
      </c>
      <c r="V22" s="52"/>
      <c r="W22" s="53"/>
      <c r="X22" s="51">
        <f t="shared" si="7"/>
        <v>0</v>
      </c>
      <c r="Y22" s="52"/>
      <c r="Z22" s="53"/>
      <c r="AA22" s="51">
        <f t="shared" si="8"/>
        <v>0</v>
      </c>
      <c r="AB22" s="52"/>
      <c r="AC22" s="53"/>
      <c r="AD22" s="51">
        <f t="shared" si="9"/>
        <v>0</v>
      </c>
      <c r="AE22" s="52"/>
      <c r="AF22" s="53"/>
      <c r="AG22" s="51">
        <f t="shared" si="10"/>
        <v>0</v>
      </c>
      <c r="AH22" s="52"/>
      <c r="AI22" s="53"/>
      <c r="AJ22" s="51">
        <f t="shared" si="11"/>
        <v>0</v>
      </c>
      <c r="AK22" s="52"/>
      <c r="AL22" s="53"/>
      <c r="AM22" s="51">
        <f t="shared" si="12"/>
        <v>0</v>
      </c>
      <c r="AN22" s="52"/>
      <c r="AO22" s="53"/>
      <c r="AP22" s="49">
        <f t="shared" si="13"/>
        <v>59</v>
      </c>
      <c r="AQ22" s="8">
        <f t="shared" si="0"/>
        <v>6.67420814479638E-2</v>
      </c>
    </row>
    <row r="23" spans="1:43" ht="18" customHeight="1" x14ac:dyDescent="0.15">
      <c r="A23" s="6"/>
      <c r="B23" s="12" t="s">
        <v>173</v>
      </c>
      <c r="C23" s="48">
        <v>643</v>
      </c>
      <c r="D23" s="49">
        <v>158</v>
      </c>
      <c r="E23" s="50">
        <v>632</v>
      </c>
      <c r="F23" s="51">
        <f t="shared" si="1"/>
        <v>41</v>
      </c>
      <c r="G23" s="52">
        <v>13</v>
      </c>
      <c r="H23" s="53">
        <v>28</v>
      </c>
      <c r="I23" s="51">
        <f t="shared" si="2"/>
        <v>11</v>
      </c>
      <c r="J23" s="52">
        <v>2</v>
      </c>
      <c r="K23" s="53">
        <v>9</v>
      </c>
      <c r="L23" s="51">
        <f t="shared" si="3"/>
        <v>0</v>
      </c>
      <c r="M23" s="52"/>
      <c r="N23" s="53"/>
      <c r="O23" s="51">
        <f t="shared" si="4"/>
        <v>0</v>
      </c>
      <c r="P23" s="52"/>
      <c r="Q23" s="53"/>
      <c r="R23" s="51">
        <f t="shared" si="5"/>
        <v>0</v>
      </c>
      <c r="S23" s="52"/>
      <c r="T23" s="53"/>
      <c r="U23" s="51">
        <f t="shared" si="6"/>
        <v>0</v>
      </c>
      <c r="V23" s="52"/>
      <c r="W23" s="53"/>
      <c r="X23" s="51">
        <f t="shared" si="7"/>
        <v>0</v>
      </c>
      <c r="Y23" s="52"/>
      <c r="Z23" s="53"/>
      <c r="AA23" s="51">
        <f t="shared" si="8"/>
        <v>0</v>
      </c>
      <c r="AB23" s="52"/>
      <c r="AC23" s="53"/>
      <c r="AD23" s="51">
        <f t="shared" si="9"/>
        <v>0</v>
      </c>
      <c r="AE23" s="52"/>
      <c r="AF23" s="53"/>
      <c r="AG23" s="51">
        <f t="shared" si="10"/>
        <v>0</v>
      </c>
      <c r="AH23" s="52"/>
      <c r="AI23" s="53"/>
      <c r="AJ23" s="51">
        <f t="shared" si="11"/>
        <v>0</v>
      </c>
      <c r="AK23" s="52"/>
      <c r="AL23" s="53"/>
      <c r="AM23" s="51">
        <f t="shared" si="12"/>
        <v>0</v>
      </c>
      <c r="AN23" s="52"/>
      <c r="AO23" s="53"/>
      <c r="AP23" s="49">
        <f t="shared" si="13"/>
        <v>41</v>
      </c>
      <c r="AQ23" s="8">
        <f t="shared" si="0"/>
        <v>6.4873417721518986E-2</v>
      </c>
    </row>
    <row r="24" spans="1:43" ht="18" customHeight="1" x14ac:dyDescent="0.15">
      <c r="A24" s="6"/>
      <c r="B24" s="12" t="s">
        <v>174</v>
      </c>
      <c r="C24" s="48">
        <v>656</v>
      </c>
      <c r="D24" s="49">
        <v>158</v>
      </c>
      <c r="E24" s="50">
        <v>632</v>
      </c>
      <c r="F24" s="51">
        <f t="shared" si="1"/>
        <v>23</v>
      </c>
      <c r="G24" s="52">
        <v>9</v>
      </c>
      <c r="H24" s="53">
        <v>14</v>
      </c>
      <c r="I24" s="51">
        <f t="shared" si="2"/>
        <v>2</v>
      </c>
      <c r="J24" s="52">
        <v>0</v>
      </c>
      <c r="K24" s="53">
        <v>2</v>
      </c>
      <c r="L24" s="51">
        <f t="shared" si="3"/>
        <v>0</v>
      </c>
      <c r="M24" s="52"/>
      <c r="N24" s="53"/>
      <c r="O24" s="51">
        <f t="shared" si="4"/>
        <v>0</v>
      </c>
      <c r="P24" s="52"/>
      <c r="Q24" s="53"/>
      <c r="R24" s="51">
        <f t="shared" si="5"/>
        <v>0</v>
      </c>
      <c r="S24" s="52"/>
      <c r="T24" s="53"/>
      <c r="U24" s="51">
        <f t="shared" si="6"/>
        <v>0</v>
      </c>
      <c r="V24" s="52"/>
      <c r="W24" s="53"/>
      <c r="X24" s="51">
        <f t="shared" si="7"/>
        <v>0</v>
      </c>
      <c r="Y24" s="52"/>
      <c r="Z24" s="53"/>
      <c r="AA24" s="51">
        <f t="shared" si="8"/>
        <v>0</v>
      </c>
      <c r="AB24" s="52"/>
      <c r="AC24" s="53"/>
      <c r="AD24" s="51">
        <f t="shared" si="9"/>
        <v>0</v>
      </c>
      <c r="AE24" s="52"/>
      <c r="AF24" s="53"/>
      <c r="AG24" s="51">
        <f t="shared" si="10"/>
        <v>0</v>
      </c>
      <c r="AH24" s="52"/>
      <c r="AI24" s="53"/>
      <c r="AJ24" s="51">
        <f t="shared" si="11"/>
        <v>0</v>
      </c>
      <c r="AK24" s="52"/>
      <c r="AL24" s="53"/>
      <c r="AM24" s="51">
        <f t="shared" si="12"/>
        <v>0</v>
      </c>
      <c r="AN24" s="52"/>
      <c r="AO24" s="53"/>
      <c r="AP24" s="49">
        <f t="shared" si="13"/>
        <v>23</v>
      </c>
      <c r="AQ24" s="8">
        <f t="shared" si="0"/>
        <v>3.6392405063291139E-2</v>
      </c>
    </row>
    <row r="25" spans="1:43" ht="18" customHeight="1" x14ac:dyDescent="0.15">
      <c r="A25" s="6"/>
      <c r="B25" s="12" t="s">
        <v>175</v>
      </c>
      <c r="C25" s="48">
        <v>819</v>
      </c>
      <c r="D25" s="49">
        <v>190</v>
      </c>
      <c r="E25" s="50">
        <v>760</v>
      </c>
      <c r="F25" s="51">
        <f t="shared" si="1"/>
        <v>43</v>
      </c>
      <c r="G25" s="52">
        <v>12</v>
      </c>
      <c r="H25" s="53">
        <v>31</v>
      </c>
      <c r="I25" s="51">
        <f t="shared" si="2"/>
        <v>3</v>
      </c>
      <c r="J25" s="52">
        <v>1</v>
      </c>
      <c r="K25" s="53">
        <v>2</v>
      </c>
      <c r="L25" s="51">
        <f t="shared" si="3"/>
        <v>0</v>
      </c>
      <c r="M25" s="52"/>
      <c r="N25" s="53"/>
      <c r="O25" s="51">
        <f t="shared" si="4"/>
        <v>0</v>
      </c>
      <c r="P25" s="52"/>
      <c r="Q25" s="53"/>
      <c r="R25" s="51">
        <f t="shared" si="5"/>
        <v>0</v>
      </c>
      <c r="S25" s="52"/>
      <c r="T25" s="53"/>
      <c r="U25" s="51">
        <f t="shared" si="6"/>
        <v>0</v>
      </c>
      <c r="V25" s="52"/>
      <c r="W25" s="53"/>
      <c r="X25" s="51">
        <f t="shared" si="7"/>
        <v>0</v>
      </c>
      <c r="Y25" s="52"/>
      <c r="Z25" s="53"/>
      <c r="AA25" s="51">
        <f t="shared" si="8"/>
        <v>0</v>
      </c>
      <c r="AB25" s="52"/>
      <c r="AC25" s="53"/>
      <c r="AD25" s="51">
        <f t="shared" si="9"/>
        <v>0</v>
      </c>
      <c r="AE25" s="52"/>
      <c r="AF25" s="53"/>
      <c r="AG25" s="51">
        <f t="shared" si="10"/>
        <v>0</v>
      </c>
      <c r="AH25" s="52"/>
      <c r="AI25" s="53"/>
      <c r="AJ25" s="51">
        <f t="shared" si="11"/>
        <v>0</v>
      </c>
      <c r="AK25" s="52"/>
      <c r="AL25" s="53"/>
      <c r="AM25" s="51">
        <f t="shared" si="12"/>
        <v>0</v>
      </c>
      <c r="AN25" s="52"/>
      <c r="AO25" s="53"/>
      <c r="AP25" s="49">
        <f t="shared" si="13"/>
        <v>43</v>
      </c>
      <c r="AQ25" s="8">
        <f t="shared" si="0"/>
        <v>5.6578947368421055E-2</v>
      </c>
    </row>
    <row r="26" spans="1:43" ht="18" customHeight="1" x14ac:dyDescent="0.15">
      <c r="A26" s="6"/>
      <c r="B26" s="12"/>
      <c r="C26" s="48"/>
      <c r="D26" s="49"/>
      <c r="E26" s="50"/>
      <c r="F26" s="51">
        <f t="shared" si="1"/>
        <v>0</v>
      </c>
      <c r="G26" s="52"/>
      <c r="H26" s="53"/>
      <c r="I26" s="51">
        <f t="shared" si="2"/>
        <v>0</v>
      </c>
      <c r="J26" s="52"/>
      <c r="K26" s="53"/>
      <c r="L26" s="51">
        <f t="shared" si="3"/>
        <v>0</v>
      </c>
      <c r="M26" s="52"/>
      <c r="N26" s="53"/>
      <c r="O26" s="51">
        <f t="shared" si="4"/>
        <v>0</v>
      </c>
      <c r="P26" s="52"/>
      <c r="Q26" s="53"/>
      <c r="R26" s="51">
        <f t="shared" si="5"/>
        <v>0</v>
      </c>
      <c r="S26" s="52"/>
      <c r="T26" s="53"/>
      <c r="U26" s="51">
        <f t="shared" si="6"/>
        <v>0</v>
      </c>
      <c r="V26" s="52"/>
      <c r="W26" s="53"/>
      <c r="X26" s="51">
        <f t="shared" si="7"/>
        <v>0</v>
      </c>
      <c r="Y26" s="52"/>
      <c r="Z26" s="53"/>
      <c r="AA26" s="51">
        <f t="shared" si="8"/>
        <v>0</v>
      </c>
      <c r="AB26" s="52"/>
      <c r="AC26" s="53"/>
      <c r="AD26" s="51">
        <f t="shared" si="9"/>
        <v>0</v>
      </c>
      <c r="AE26" s="52"/>
      <c r="AF26" s="53"/>
      <c r="AG26" s="51">
        <f t="shared" si="10"/>
        <v>0</v>
      </c>
      <c r="AH26" s="52"/>
      <c r="AI26" s="53"/>
      <c r="AJ26" s="51">
        <f t="shared" si="11"/>
        <v>0</v>
      </c>
      <c r="AK26" s="52"/>
      <c r="AL26" s="53"/>
      <c r="AM26" s="51">
        <f t="shared" si="12"/>
        <v>0</v>
      </c>
      <c r="AN26" s="52"/>
      <c r="AO26" s="53"/>
      <c r="AP26" s="49">
        <f t="shared" si="13"/>
        <v>0</v>
      </c>
      <c r="AQ26" s="8" t="e">
        <f t="shared" si="0"/>
        <v>#DIV/0!</v>
      </c>
    </row>
    <row r="27" spans="1:43" ht="18" customHeight="1" x14ac:dyDescent="0.15">
      <c r="A27" s="6"/>
      <c r="B27" s="12"/>
      <c r="C27" s="48"/>
      <c r="D27" s="49"/>
      <c r="E27" s="50"/>
      <c r="F27" s="51">
        <f t="shared" si="1"/>
        <v>0</v>
      </c>
      <c r="G27" s="52"/>
      <c r="H27" s="53"/>
      <c r="I27" s="51">
        <f t="shared" si="2"/>
        <v>0</v>
      </c>
      <c r="J27" s="52"/>
      <c r="K27" s="53"/>
      <c r="L27" s="51">
        <f t="shared" si="3"/>
        <v>0</v>
      </c>
      <c r="M27" s="52"/>
      <c r="N27" s="53"/>
      <c r="O27" s="51">
        <f t="shared" si="4"/>
        <v>0</v>
      </c>
      <c r="P27" s="52"/>
      <c r="Q27" s="53"/>
      <c r="R27" s="51">
        <f t="shared" si="5"/>
        <v>0</v>
      </c>
      <c r="S27" s="52"/>
      <c r="T27" s="53"/>
      <c r="U27" s="51">
        <f t="shared" si="6"/>
        <v>0</v>
      </c>
      <c r="V27" s="52"/>
      <c r="W27" s="53"/>
      <c r="X27" s="51">
        <f t="shared" si="7"/>
        <v>0</v>
      </c>
      <c r="Y27" s="52"/>
      <c r="Z27" s="53"/>
      <c r="AA27" s="51">
        <f t="shared" si="8"/>
        <v>0</v>
      </c>
      <c r="AB27" s="52"/>
      <c r="AC27" s="53"/>
      <c r="AD27" s="51">
        <f t="shared" si="9"/>
        <v>0</v>
      </c>
      <c r="AE27" s="52"/>
      <c r="AF27" s="53"/>
      <c r="AG27" s="51">
        <f t="shared" si="10"/>
        <v>0</v>
      </c>
      <c r="AH27" s="52"/>
      <c r="AI27" s="53"/>
      <c r="AJ27" s="51">
        <f t="shared" si="11"/>
        <v>0</v>
      </c>
      <c r="AK27" s="52"/>
      <c r="AL27" s="53"/>
      <c r="AM27" s="51">
        <f t="shared" si="12"/>
        <v>0</v>
      </c>
      <c r="AN27" s="52"/>
      <c r="AO27" s="53"/>
      <c r="AP27" s="49">
        <f t="shared" si="13"/>
        <v>0</v>
      </c>
      <c r="AQ27" s="8" t="e">
        <f t="shared" si="0"/>
        <v>#DIV/0!</v>
      </c>
    </row>
    <row r="28" spans="1:43" ht="18" customHeight="1" x14ac:dyDescent="0.15">
      <c r="A28" s="6"/>
      <c r="B28" s="12"/>
      <c r="C28" s="48"/>
      <c r="D28" s="49"/>
      <c r="E28" s="50"/>
      <c r="F28" s="51">
        <f t="shared" si="1"/>
        <v>0</v>
      </c>
      <c r="G28" s="52"/>
      <c r="H28" s="53"/>
      <c r="I28" s="51">
        <f t="shared" si="2"/>
        <v>0</v>
      </c>
      <c r="J28" s="52"/>
      <c r="K28" s="53"/>
      <c r="L28" s="51">
        <f t="shared" si="3"/>
        <v>0</v>
      </c>
      <c r="M28" s="52"/>
      <c r="N28" s="53"/>
      <c r="O28" s="51">
        <f t="shared" si="4"/>
        <v>0</v>
      </c>
      <c r="P28" s="52"/>
      <c r="Q28" s="53"/>
      <c r="R28" s="51">
        <f t="shared" si="5"/>
        <v>0</v>
      </c>
      <c r="S28" s="52"/>
      <c r="T28" s="53"/>
      <c r="U28" s="51">
        <f t="shared" si="6"/>
        <v>0</v>
      </c>
      <c r="V28" s="52"/>
      <c r="W28" s="53"/>
      <c r="X28" s="51">
        <f t="shared" si="7"/>
        <v>0</v>
      </c>
      <c r="Y28" s="52"/>
      <c r="Z28" s="53"/>
      <c r="AA28" s="51">
        <f t="shared" si="8"/>
        <v>0</v>
      </c>
      <c r="AB28" s="52"/>
      <c r="AC28" s="53"/>
      <c r="AD28" s="51">
        <f t="shared" si="9"/>
        <v>0</v>
      </c>
      <c r="AE28" s="52"/>
      <c r="AF28" s="53"/>
      <c r="AG28" s="51">
        <f t="shared" si="10"/>
        <v>0</v>
      </c>
      <c r="AH28" s="52"/>
      <c r="AI28" s="53"/>
      <c r="AJ28" s="51">
        <f t="shared" si="11"/>
        <v>0</v>
      </c>
      <c r="AK28" s="52"/>
      <c r="AL28" s="53"/>
      <c r="AM28" s="51">
        <f t="shared" si="12"/>
        <v>0</v>
      </c>
      <c r="AN28" s="52"/>
      <c r="AO28" s="53"/>
      <c r="AP28" s="49">
        <f t="shared" si="13"/>
        <v>0</v>
      </c>
      <c r="AQ28" s="8" t="e">
        <f t="shared" si="0"/>
        <v>#DIV/0!</v>
      </c>
    </row>
    <row r="29" spans="1:43" ht="18" customHeight="1" x14ac:dyDescent="0.15">
      <c r="A29" s="6"/>
      <c r="B29" s="12"/>
      <c r="C29" s="48"/>
      <c r="D29" s="54"/>
      <c r="E29" s="50"/>
      <c r="F29" s="51">
        <f t="shared" si="1"/>
        <v>0</v>
      </c>
      <c r="G29" s="52"/>
      <c r="H29" s="53"/>
      <c r="I29" s="51">
        <f t="shared" si="2"/>
        <v>0</v>
      </c>
      <c r="J29" s="52"/>
      <c r="K29" s="53"/>
      <c r="L29" s="51">
        <f t="shared" si="3"/>
        <v>0</v>
      </c>
      <c r="M29" s="52"/>
      <c r="N29" s="53"/>
      <c r="O29" s="51">
        <f t="shared" si="4"/>
        <v>0</v>
      </c>
      <c r="P29" s="52"/>
      <c r="Q29" s="53"/>
      <c r="R29" s="51">
        <f t="shared" si="5"/>
        <v>0</v>
      </c>
      <c r="S29" s="52"/>
      <c r="T29" s="53"/>
      <c r="U29" s="51">
        <f t="shared" si="6"/>
        <v>0</v>
      </c>
      <c r="V29" s="52"/>
      <c r="W29" s="53"/>
      <c r="X29" s="51">
        <f t="shared" si="7"/>
        <v>0</v>
      </c>
      <c r="Y29" s="52"/>
      <c r="Z29" s="53"/>
      <c r="AA29" s="51">
        <f t="shared" si="8"/>
        <v>0</v>
      </c>
      <c r="AB29" s="52"/>
      <c r="AC29" s="53"/>
      <c r="AD29" s="51">
        <f t="shared" si="9"/>
        <v>0</v>
      </c>
      <c r="AE29" s="52"/>
      <c r="AF29" s="53"/>
      <c r="AG29" s="51">
        <f t="shared" si="10"/>
        <v>0</v>
      </c>
      <c r="AH29" s="52"/>
      <c r="AI29" s="53"/>
      <c r="AJ29" s="51">
        <f t="shared" si="11"/>
        <v>0</v>
      </c>
      <c r="AK29" s="52"/>
      <c r="AL29" s="53"/>
      <c r="AM29" s="51">
        <f t="shared" si="12"/>
        <v>0</v>
      </c>
      <c r="AN29" s="52"/>
      <c r="AO29" s="53"/>
      <c r="AP29" s="54">
        <f t="shared" si="13"/>
        <v>0</v>
      </c>
      <c r="AQ29" s="8" t="e">
        <f t="shared" si="0"/>
        <v>#DIV/0!</v>
      </c>
    </row>
    <row r="30" spans="1:43" ht="18" customHeight="1" x14ac:dyDescent="0.15">
      <c r="A30" s="6"/>
      <c r="B30" s="12"/>
      <c r="C30" s="48"/>
      <c r="D30" s="54"/>
      <c r="E30" s="50"/>
      <c r="F30" s="51">
        <f t="shared" si="1"/>
        <v>0</v>
      </c>
      <c r="G30" s="52"/>
      <c r="H30" s="53"/>
      <c r="I30" s="51">
        <f t="shared" si="2"/>
        <v>0</v>
      </c>
      <c r="J30" s="52"/>
      <c r="K30" s="53"/>
      <c r="L30" s="51">
        <f t="shared" si="3"/>
        <v>0</v>
      </c>
      <c r="M30" s="52"/>
      <c r="N30" s="53"/>
      <c r="O30" s="51">
        <f t="shared" si="4"/>
        <v>0</v>
      </c>
      <c r="P30" s="52"/>
      <c r="Q30" s="53"/>
      <c r="R30" s="51">
        <f t="shared" si="5"/>
        <v>0</v>
      </c>
      <c r="S30" s="52"/>
      <c r="T30" s="53"/>
      <c r="U30" s="51">
        <f t="shared" si="6"/>
        <v>0</v>
      </c>
      <c r="V30" s="52"/>
      <c r="W30" s="53"/>
      <c r="X30" s="51">
        <f t="shared" si="7"/>
        <v>0</v>
      </c>
      <c r="Y30" s="52"/>
      <c r="Z30" s="53"/>
      <c r="AA30" s="51">
        <f t="shared" si="8"/>
        <v>0</v>
      </c>
      <c r="AB30" s="52"/>
      <c r="AC30" s="53"/>
      <c r="AD30" s="51">
        <f t="shared" si="9"/>
        <v>0</v>
      </c>
      <c r="AE30" s="52"/>
      <c r="AF30" s="53"/>
      <c r="AG30" s="51">
        <f t="shared" si="10"/>
        <v>0</v>
      </c>
      <c r="AH30" s="52"/>
      <c r="AI30" s="53"/>
      <c r="AJ30" s="51">
        <f t="shared" si="11"/>
        <v>0</v>
      </c>
      <c r="AK30" s="52"/>
      <c r="AL30" s="53"/>
      <c r="AM30" s="51">
        <f t="shared" si="12"/>
        <v>0</v>
      </c>
      <c r="AN30" s="52"/>
      <c r="AO30" s="53"/>
      <c r="AP30" s="54">
        <f t="shared" si="13"/>
        <v>0</v>
      </c>
      <c r="AQ30" s="8" t="e">
        <f t="shared" si="0"/>
        <v>#DIV/0!</v>
      </c>
    </row>
    <row r="31" spans="1:43" ht="18" customHeight="1" thickBot="1" x14ac:dyDescent="0.2">
      <c r="A31" s="6"/>
      <c r="B31" s="13"/>
      <c r="C31" s="43"/>
      <c r="D31" s="55"/>
      <c r="E31" s="45"/>
      <c r="F31" s="45">
        <f t="shared" si="1"/>
        <v>0</v>
      </c>
      <c r="G31" s="56"/>
      <c r="H31" s="57"/>
      <c r="I31" s="45">
        <f t="shared" si="2"/>
        <v>0</v>
      </c>
      <c r="J31" s="56"/>
      <c r="K31" s="57"/>
      <c r="L31" s="45">
        <f t="shared" si="3"/>
        <v>0</v>
      </c>
      <c r="M31" s="56"/>
      <c r="N31" s="57"/>
      <c r="O31" s="45">
        <f t="shared" si="4"/>
        <v>0</v>
      </c>
      <c r="P31" s="56"/>
      <c r="Q31" s="57"/>
      <c r="R31" s="45">
        <f t="shared" si="5"/>
        <v>0</v>
      </c>
      <c r="S31" s="56"/>
      <c r="T31" s="57"/>
      <c r="U31" s="45">
        <f t="shared" si="6"/>
        <v>0</v>
      </c>
      <c r="V31" s="56"/>
      <c r="W31" s="57"/>
      <c r="X31" s="45">
        <f t="shared" si="7"/>
        <v>0</v>
      </c>
      <c r="Y31" s="56"/>
      <c r="Z31" s="57"/>
      <c r="AA31" s="45">
        <f t="shared" si="8"/>
        <v>0</v>
      </c>
      <c r="AB31" s="56"/>
      <c r="AC31" s="57"/>
      <c r="AD31" s="45">
        <f t="shared" si="9"/>
        <v>0</v>
      </c>
      <c r="AE31" s="56"/>
      <c r="AF31" s="57"/>
      <c r="AG31" s="45">
        <f t="shared" si="10"/>
        <v>0</v>
      </c>
      <c r="AH31" s="56"/>
      <c r="AI31" s="57"/>
      <c r="AJ31" s="45">
        <f t="shared" si="11"/>
        <v>0</v>
      </c>
      <c r="AK31" s="56"/>
      <c r="AL31" s="57"/>
      <c r="AM31" s="45">
        <f t="shared" si="12"/>
        <v>0</v>
      </c>
      <c r="AN31" s="56"/>
      <c r="AO31" s="57"/>
      <c r="AP31" s="55">
        <f t="shared" si="13"/>
        <v>0</v>
      </c>
      <c r="AQ31" s="7" t="e">
        <f t="shared" si="0"/>
        <v>#DIV/0!</v>
      </c>
    </row>
    <row r="32" spans="1:43" ht="18" customHeight="1" thickTop="1" x14ac:dyDescent="0.15">
      <c r="B32" s="14" t="s">
        <v>33</v>
      </c>
      <c r="C32" s="58">
        <f t="shared" ref="C32" si="14">SUM(C12:C31)</f>
        <v>25870</v>
      </c>
      <c r="D32" s="59">
        <f t="shared" ref="D32:AP32" si="15">SUM(D12:D31)</f>
        <v>6351</v>
      </c>
      <c r="E32" s="60">
        <f t="shared" si="15"/>
        <v>25444</v>
      </c>
      <c r="F32" s="60">
        <f t="shared" si="15"/>
        <v>1651</v>
      </c>
      <c r="G32" s="61">
        <f t="shared" si="15"/>
        <v>1037</v>
      </c>
      <c r="H32" s="62">
        <f t="shared" si="15"/>
        <v>614</v>
      </c>
      <c r="I32" s="60">
        <f t="shared" ref="I32:N32" si="16">SUM(I12:I31)</f>
        <v>255</v>
      </c>
      <c r="J32" s="61">
        <f t="shared" si="16"/>
        <v>174</v>
      </c>
      <c r="K32" s="62">
        <f t="shared" si="16"/>
        <v>81</v>
      </c>
      <c r="L32" s="60">
        <f t="shared" si="16"/>
        <v>0</v>
      </c>
      <c r="M32" s="61">
        <f t="shared" si="16"/>
        <v>0</v>
      </c>
      <c r="N32" s="62">
        <f t="shared" si="16"/>
        <v>0</v>
      </c>
      <c r="O32" s="60">
        <f t="shared" ref="O32:T32" si="17">SUM(O12:O31)</f>
        <v>0</v>
      </c>
      <c r="P32" s="61">
        <f t="shared" si="17"/>
        <v>0</v>
      </c>
      <c r="Q32" s="62">
        <f t="shared" si="17"/>
        <v>0</v>
      </c>
      <c r="R32" s="60">
        <f t="shared" si="17"/>
        <v>0</v>
      </c>
      <c r="S32" s="61">
        <f t="shared" si="17"/>
        <v>0</v>
      </c>
      <c r="T32" s="62">
        <f t="shared" si="17"/>
        <v>0</v>
      </c>
      <c r="U32" s="60">
        <f t="shared" ref="U32:AI32" si="18">SUM(U12:U31)</f>
        <v>0</v>
      </c>
      <c r="V32" s="61">
        <f t="shared" si="18"/>
        <v>0</v>
      </c>
      <c r="W32" s="62">
        <f t="shared" si="18"/>
        <v>0</v>
      </c>
      <c r="X32" s="60">
        <f t="shared" si="18"/>
        <v>0</v>
      </c>
      <c r="Y32" s="61">
        <f t="shared" si="18"/>
        <v>0</v>
      </c>
      <c r="Z32" s="62">
        <f t="shared" si="18"/>
        <v>0</v>
      </c>
      <c r="AA32" s="60">
        <f t="shared" si="18"/>
        <v>0</v>
      </c>
      <c r="AB32" s="61">
        <f t="shared" si="18"/>
        <v>0</v>
      </c>
      <c r="AC32" s="62">
        <f t="shared" si="18"/>
        <v>0</v>
      </c>
      <c r="AD32" s="60">
        <f t="shared" si="18"/>
        <v>0</v>
      </c>
      <c r="AE32" s="61">
        <f t="shared" si="18"/>
        <v>0</v>
      </c>
      <c r="AF32" s="62">
        <f t="shared" si="18"/>
        <v>0</v>
      </c>
      <c r="AG32" s="60">
        <f t="shared" si="18"/>
        <v>0</v>
      </c>
      <c r="AH32" s="61">
        <f t="shared" si="18"/>
        <v>0</v>
      </c>
      <c r="AI32" s="62">
        <f t="shared" si="18"/>
        <v>0</v>
      </c>
      <c r="AJ32" s="60">
        <f t="shared" ref="AJ32:AO32" si="19">SUM(AJ12:AJ31)</f>
        <v>0</v>
      </c>
      <c r="AK32" s="61">
        <f t="shared" si="19"/>
        <v>0</v>
      </c>
      <c r="AL32" s="62">
        <f t="shared" si="19"/>
        <v>0</v>
      </c>
      <c r="AM32" s="60">
        <f t="shared" si="19"/>
        <v>0</v>
      </c>
      <c r="AN32" s="61">
        <f t="shared" si="19"/>
        <v>0</v>
      </c>
      <c r="AO32" s="62">
        <f t="shared" si="19"/>
        <v>0</v>
      </c>
      <c r="AP32" s="59">
        <f t="shared" si="15"/>
        <v>1651</v>
      </c>
      <c r="AQ32" s="9">
        <f t="shared" si="0"/>
        <v>6.4887596289891533E-2</v>
      </c>
    </row>
    <row r="118" ht="186" customHeight="1" x14ac:dyDescent="0.15"/>
    <row r="119" ht="140.25" customHeight="1" x14ac:dyDescent="0.15"/>
    <row r="120" ht="258.75" customHeight="1" x14ac:dyDescent="0.15"/>
    <row r="121" ht="138" customHeight="1" x14ac:dyDescent="0.15"/>
    <row r="123" ht="91.5" customHeight="1" x14ac:dyDescent="0.15"/>
    <row r="124" ht="204.75" customHeight="1" x14ac:dyDescent="0.15"/>
    <row r="125" ht="225" customHeight="1" x14ac:dyDescent="0.15"/>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25" zoomScale="85" zoomScaleNormal="100" zoomScaleSheetLayoutView="85" workbookViewId="0">
      <selection activeCell="D122" sqref="D122:S123"/>
    </sheetView>
  </sheetViews>
  <sheetFormatPr defaultColWidth="11.375" defaultRowHeight="18.75" customHeight="1" x14ac:dyDescent="0.15"/>
  <cols>
    <col min="1" max="1" width="2.75" style="24"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4" t="s">
        <v>65</v>
      </c>
      <c r="I1" s="22" t="s">
        <v>106</v>
      </c>
    </row>
    <row r="2" spans="1:9" ht="18.75" customHeight="1" x14ac:dyDescent="0.15">
      <c r="G2" s="22" t="s">
        <v>109</v>
      </c>
      <c r="H2" s="208" t="str">
        <f>'様式１　プログラムを構成する授業科目'!C2</f>
        <v>同志社大学</v>
      </c>
      <c r="I2" s="209"/>
    </row>
    <row r="3" spans="1:9" ht="18.75" customHeight="1" x14ac:dyDescent="0.15">
      <c r="G3" s="22"/>
      <c r="H3" s="10"/>
      <c r="I3" s="10"/>
    </row>
    <row r="4" spans="1:9" ht="18.600000000000001" customHeight="1" x14ac:dyDescent="0.15">
      <c r="A4" s="177" t="s">
        <v>36</v>
      </c>
      <c r="B4" s="177"/>
      <c r="C4" s="177"/>
      <c r="D4" s="177"/>
      <c r="E4" s="177"/>
      <c r="F4" s="177"/>
      <c r="G4" s="177"/>
      <c r="H4" s="177"/>
      <c r="I4" s="177"/>
    </row>
    <row r="5" spans="1:9" ht="13.15" customHeight="1" x14ac:dyDescent="0.15">
      <c r="B5" s="3"/>
      <c r="C5" s="3"/>
      <c r="D5" s="3"/>
      <c r="E5" s="3"/>
      <c r="F5" s="3"/>
      <c r="G5" s="3"/>
      <c r="H5" s="3"/>
      <c r="I5" s="3"/>
    </row>
    <row r="6" spans="1:9" ht="18" customHeight="1" x14ac:dyDescent="0.15">
      <c r="A6" s="1" t="s">
        <v>0</v>
      </c>
      <c r="B6" s="10" t="s">
        <v>91</v>
      </c>
      <c r="C6" s="223" t="s">
        <v>92</v>
      </c>
      <c r="D6" s="223"/>
      <c r="E6" s="21">
        <v>792</v>
      </c>
      <c r="F6" s="3" t="s">
        <v>1</v>
      </c>
      <c r="G6" s="3" t="s">
        <v>2</v>
      </c>
      <c r="H6" s="21">
        <v>1508</v>
      </c>
      <c r="I6" s="10" t="s">
        <v>1</v>
      </c>
    </row>
    <row r="7" spans="1:9" ht="12" customHeight="1" x14ac:dyDescent="0.15">
      <c r="C7" s="2"/>
      <c r="D7" s="2"/>
      <c r="E7" s="2"/>
      <c r="F7" s="2"/>
      <c r="G7" s="2"/>
      <c r="H7" s="2"/>
      <c r="I7" s="25"/>
    </row>
    <row r="8" spans="1:9" ht="18" customHeight="1" x14ac:dyDescent="0.15">
      <c r="A8" s="1" t="s">
        <v>3</v>
      </c>
      <c r="B8" s="10" t="s">
        <v>93</v>
      </c>
      <c r="E8" s="3"/>
      <c r="F8" s="3"/>
      <c r="G8" s="3"/>
      <c r="H8" s="21">
        <v>29</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22" t="s">
        <v>43</v>
      </c>
      <c r="C11" s="218" t="s">
        <v>177</v>
      </c>
      <c r="D11" s="219"/>
      <c r="E11" s="220"/>
      <c r="F11" s="25"/>
      <c r="G11" s="22" t="s">
        <v>10</v>
      </c>
      <c r="H11" s="218" t="s">
        <v>178</v>
      </c>
      <c r="I11" s="220"/>
    </row>
    <row r="12" spans="1:9" ht="10.15" customHeight="1" x14ac:dyDescent="0.15">
      <c r="B12" s="22"/>
      <c r="C12" s="10"/>
      <c r="D12" s="25"/>
      <c r="E12" s="25"/>
      <c r="F12" s="25"/>
      <c r="G12" s="22"/>
      <c r="H12" s="10"/>
      <c r="I12" s="25"/>
    </row>
    <row r="13" spans="1:9" ht="18" customHeight="1" x14ac:dyDescent="0.15">
      <c r="A13" s="1" t="s">
        <v>7</v>
      </c>
      <c r="B13" s="10" t="s">
        <v>88</v>
      </c>
      <c r="C13" s="3"/>
      <c r="D13" s="3"/>
      <c r="E13" s="3"/>
      <c r="F13" s="3"/>
      <c r="G13" s="3"/>
      <c r="H13" s="3"/>
      <c r="I13" s="3"/>
    </row>
    <row r="14" spans="1:9" ht="18" customHeight="1" x14ac:dyDescent="0.15">
      <c r="B14" s="218" t="s">
        <v>179</v>
      </c>
      <c r="C14" s="219"/>
      <c r="D14" s="219"/>
      <c r="E14" s="219"/>
      <c r="F14" s="219"/>
      <c r="G14" s="219"/>
      <c r="H14" s="219"/>
      <c r="I14" s="220"/>
    </row>
    <row r="15" spans="1:9" ht="9" customHeight="1" x14ac:dyDescent="0.15">
      <c r="B15" s="3"/>
      <c r="C15" s="3"/>
      <c r="D15" s="3"/>
      <c r="E15" s="3"/>
      <c r="F15" s="3"/>
      <c r="G15" s="3"/>
      <c r="H15" s="3"/>
      <c r="I15" s="3"/>
    </row>
    <row r="16" spans="1:9" ht="18" customHeight="1" x14ac:dyDescent="0.15">
      <c r="B16" s="22" t="s">
        <v>43</v>
      </c>
      <c r="C16" s="218" t="s">
        <v>180</v>
      </c>
      <c r="D16" s="219"/>
      <c r="E16" s="220"/>
      <c r="F16" s="25"/>
      <c r="G16" s="22" t="s">
        <v>10</v>
      </c>
      <c r="H16" s="221" t="s">
        <v>181</v>
      </c>
      <c r="I16" s="222"/>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10" t="s">
        <v>182</v>
      </c>
      <c r="C19" s="211"/>
      <c r="D19" s="211"/>
      <c r="E19" s="211"/>
      <c r="F19" s="211"/>
      <c r="G19" s="211"/>
      <c r="H19" s="211"/>
      <c r="I19" s="21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98" t="s">
        <v>217</v>
      </c>
      <c r="C22" s="199"/>
      <c r="D22" s="199"/>
      <c r="E22" s="199"/>
      <c r="F22" s="199"/>
      <c r="G22" s="199"/>
      <c r="H22" s="199"/>
      <c r="I22" s="200"/>
    </row>
    <row r="23" spans="1:9" ht="18.75" customHeight="1" x14ac:dyDescent="0.15">
      <c r="A23" s="15"/>
      <c r="B23" s="213"/>
      <c r="C23" s="214"/>
      <c r="D23" s="214"/>
      <c r="E23" s="214"/>
      <c r="F23" s="214"/>
      <c r="G23" s="214"/>
      <c r="H23" s="214"/>
      <c r="I23" s="203"/>
    </row>
    <row r="24" spans="1:9" ht="18.75" customHeight="1" x14ac:dyDescent="0.15">
      <c r="A24" s="15"/>
      <c r="B24" s="213"/>
      <c r="C24" s="214"/>
      <c r="D24" s="214"/>
      <c r="E24" s="214"/>
      <c r="F24" s="214"/>
      <c r="G24" s="214"/>
      <c r="H24" s="214"/>
      <c r="I24" s="203"/>
    </row>
    <row r="25" spans="1:9" ht="18.75" customHeight="1" x14ac:dyDescent="0.15">
      <c r="A25" s="15"/>
      <c r="B25" s="213"/>
      <c r="C25" s="214"/>
      <c r="D25" s="214"/>
      <c r="E25" s="214"/>
      <c r="F25" s="214"/>
      <c r="G25" s="214"/>
      <c r="H25" s="214"/>
      <c r="I25" s="203"/>
    </row>
    <row r="26" spans="1:9" ht="18.75" customHeight="1" x14ac:dyDescent="0.15">
      <c r="A26" s="15"/>
      <c r="B26" s="213"/>
      <c r="C26" s="214"/>
      <c r="D26" s="214"/>
      <c r="E26" s="214"/>
      <c r="F26" s="214"/>
      <c r="G26" s="214"/>
      <c r="H26" s="214"/>
      <c r="I26" s="203"/>
    </row>
    <row r="27" spans="1:9" ht="18.75" customHeight="1" x14ac:dyDescent="0.15">
      <c r="A27" s="15"/>
      <c r="B27" s="213"/>
      <c r="C27" s="214"/>
      <c r="D27" s="214"/>
      <c r="E27" s="214"/>
      <c r="F27" s="214"/>
      <c r="G27" s="214"/>
      <c r="H27" s="214"/>
      <c r="I27" s="203"/>
    </row>
    <row r="28" spans="1:9" ht="18.75" hidden="1" customHeight="1" x14ac:dyDescent="0.15">
      <c r="A28" s="15"/>
      <c r="B28" s="213"/>
      <c r="C28" s="214"/>
      <c r="D28" s="214"/>
      <c r="E28" s="214"/>
      <c r="F28" s="214"/>
      <c r="G28" s="214"/>
      <c r="H28" s="214"/>
      <c r="I28" s="203"/>
    </row>
    <row r="29" spans="1:9" ht="18.75" hidden="1" customHeight="1" x14ac:dyDescent="0.15">
      <c r="A29" s="15"/>
      <c r="B29" s="213"/>
      <c r="C29" s="214"/>
      <c r="D29" s="214"/>
      <c r="E29" s="214"/>
      <c r="F29" s="214"/>
      <c r="G29" s="214"/>
      <c r="H29" s="214"/>
      <c r="I29" s="203"/>
    </row>
    <row r="30" spans="1:9" ht="18.75" hidden="1" customHeight="1" x14ac:dyDescent="0.15">
      <c r="A30" s="15"/>
      <c r="B30" s="201"/>
      <c r="C30" s="202"/>
      <c r="D30" s="202"/>
      <c r="E30" s="202"/>
      <c r="F30" s="202"/>
      <c r="G30" s="202"/>
      <c r="H30" s="202"/>
      <c r="I30" s="203"/>
    </row>
    <row r="31" spans="1:9" ht="18.75" hidden="1" customHeight="1" x14ac:dyDescent="0.15">
      <c r="A31" s="15"/>
      <c r="B31" s="201"/>
      <c r="C31" s="202"/>
      <c r="D31" s="202"/>
      <c r="E31" s="202"/>
      <c r="F31" s="202"/>
      <c r="G31" s="202"/>
      <c r="H31" s="202"/>
      <c r="I31" s="203"/>
    </row>
    <row r="32" spans="1:9" ht="24.75" customHeight="1" x14ac:dyDescent="0.15">
      <c r="A32" s="15"/>
      <c r="B32" s="204"/>
      <c r="C32" s="205"/>
      <c r="D32" s="205"/>
      <c r="E32" s="205"/>
      <c r="F32" s="205"/>
      <c r="G32" s="205"/>
      <c r="H32" s="205"/>
      <c r="I32" s="206"/>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98" t="s">
        <v>218</v>
      </c>
      <c r="C35" s="199"/>
      <c r="D35" s="199"/>
      <c r="E35" s="199"/>
      <c r="F35" s="199"/>
      <c r="G35" s="199"/>
      <c r="H35" s="199"/>
      <c r="I35" s="200"/>
    </row>
    <row r="36" spans="1:9" ht="18.75" customHeight="1" x14ac:dyDescent="0.15">
      <c r="A36" s="15"/>
      <c r="B36" s="201"/>
      <c r="C36" s="202"/>
      <c r="D36" s="202"/>
      <c r="E36" s="202"/>
      <c r="F36" s="202"/>
      <c r="G36" s="202"/>
      <c r="H36" s="202"/>
      <c r="I36" s="203"/>
    </row>
    <row r="37" spans="1:9" ht="18.75" customHeight="1" x14ac:dyDescent="0.15">
      <c r="A37" s="15"/>
      <c r="B37" s="201"/>
      <c r="C37" s="202"/>
      <c r="D37" s="202"/>
      <c r="E37" s="202"/>
      <c r="F37" s="202"/>
      <c r="G37" s="202"/>
      <c r="H37" s="202"/>
      <c r="I37" s="203"/>
    </row>
    <row r="38" spans="1:9" ht="18.75" customHeight="1" x14ac:dyDescent="0.15">
      <c r="A38" s="15"/>
      <c r="B38" s="201"/>
      <c r="C38" s="202"/>
      <c r="D38" s="202"/>
      <c r="E38" s="202"/>
      <c r="F38" s="202"/>
      <c r="G38" s="202"/>
      <c r="H38" s="202"/>
      <c r="I38" s="203"/>
    </row>
    <row r="39" spans="1:9" ht="18.75" customHeight="1" x14ac:dyDescent="0.15">
      <c r="A39" s="15"/>
      <c r="B39" s="201"/>
      <c r="C39" s="202"/>
      <c r="D39" s="202"/>
      <c r="E39" s="202"/>
      <c r="F39" s="202"/>
      <c r="G39" s="202"/>
      <c r="H39" s="202"/>
      <c r="I39" s="203"/>
    </row>
    <row r="40" spans="1:9" ht="18.75" customHeight="1" x14ac:dyDescent="0.15">
      <c r="A40" s="15"/>
      <c r="B40" s="201"/>
      <c r="C40" s="202"/>
      <c r="D40" s="202"/>
      <c r="E40" s="202"/>
      <c r="F40" s="202"/>
      <c r="G40" s="202"/>
      <c r="H40" s="202"/>
      <c r="I40" s="203"/>
    </row>
    <row r="41" spans="1:9" ht="18.75" customHeight="1" x14ac:dyDescent="0.15">
      <c r="A41" s="15"/>
      <c r="B41" s="201"/>
      <c r="C41" s="202"/>
      <c r="D41" s="202"/>
      <c r="E41" s="202"/>
      <c r="F41" s="202"/>
      <c r="G41" s="202"/>
      <c r="H41" s="202"/>
      <c r="I41" s="203"/>
    </row>
    <row r="42" spans="1:9" ht="18.75" customHeight="1" x14ac:dyDescent="0.15">
      <c r="A42" s="15"/>
      <c r="B42" s="201"/>
      <c r="C42" s="202"/>
      <c r="D42" s="202"/>
      <c r="E42" s="202"/>
      <c r="F42" s="202"/>
      <c r="G42" s="202"/>
      <c r="H42" s="202"/>
      <c r="I42" s="203"/>
    </row>
    <row r="43" spans="1:9" ht="18.75" customHeight="1" x14ac:dyDescent="0.15">
      <c r="A43" s="15"/>
      <c r="B43" s="201"/>
      <c r="C43" s="202"/>
      <c r="D43" s="202"/>
      <c r="E43" s="202"/>
      <c r="F43" s="202"/>
      <c r="G43" s="202"/>
      <c r="H43" s="202"/>
      <c r="I43" s="203"/>
    </row>
    <row r="44" spans="1:9" ht="44.25" customHeight="1" x14ac:dyDescent="0.15">
      <c r="A44" s="15"/>
      <c r="B44" s="201"/>
      <c r="C44" s="202"/>
      <c r="D44" s="202"/>
      <c r="E44" s="202"/>
      <c r="F44" s="202"/>
      <c r="G44" s="202"/>
      <c r="H44" s="202"/>
      <c r="I44" s="203"/>
    </row>
    <row r="45" spans="1:9" ht="18.75" customHeight="1" x14ac:dyDescent="0.15">
      <c r="A45" s="15"/>
      <c r="B45" s="201"/>
      <c r="C45" s="202"/>
      <c r="D45" s="202"/>
      <c r="E45" s="202"/>
      <c r="F45" s="202"/>
      <c r="G45" s="202"/>
      <c r="H45" s="202"/>
      <c r="I45" s="203"/>
    </row>
    <row r="46" spans="1:9" ht="22.5" customHeight="1" x14ac:dyDescent="0.15">
      <c r="A46" s="15"/>
      <c r="B46" s="204"/>
      <c r="C46" s="205"/>
      <c r="D46" s="205"/>
      <c r="E46" s="205"/>
      <c r="F46" s="205"/>
      <c r="G46" s="205"/>
      <c r="H46" s="205"/>
      <c r="I46" s="206"/>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26" t="s">
        <v>89</v>
      </c>
      <c r="C49" s="241">
        <f>'様式２ 履修者等数の実績'!AQ32</f>
        <v>6.4887596289891533E-2</v>
      </c>
      <c r="D49" s="241"/>
      <c r="E49" s="26" t="s">
        <v>66</v>
      </c>
      <c r="F49" s="241">
        <v>0.09</v>
      </c>
      <c r="G49" s="241"/>
      <c r="H49" s="26" t="s">
        <v>67</v>
      </c>
      <c r="I49" s="27">
        <v>0.13</v>
      </c>
      <c r="J49" s="1"/>
      <c r="M49" s="1"/>
      <c r="N49" s="28"/>
    </row>
    <row r="50" spans="1:15" s="3" customFormat="1" ht="18.75" customHeight="1" x14ac:dyDescent="0.15">
      <c r="B50" s="29" t="s">
        <v>68</v>
      </c>
      <c r="C50" s="224">
        <v>0.17</v>
      </c>
      <c r="D50" s="224"/>
      <c r="E50" s="29" t="s">
        <v>90</v>
      </c>
      <c r="F50" s="224">
        <v>0.2</v>
      </c>
      <c r="G50" s="224"/>
      <c r="H50" s="29" t="s">
        <v>69</v>
      </c>
      <c r="I50" s="30">
        <f>'様式２ 履修者等数の実績'!E32</f>
        <v>25444</v>
      </c>
      <c r="J50" s="1"/>
      <c r="M50" s="1"/>
      <c r="N50" s="28"/>
    </row>
    <row r="51" spans="1:15" ht="18.75" customHeight="1" x14ac:dyDescent="0.15">
      <c r="A51" s="1"/>
      <c r="B51" s="215" t="s">
        <v>70</v>
      </c>
      <c r="C51" s="216"/>
      <c r="D51" s="216"/>
      <c r="E51" s="216"/>
      <c r="F51" s="216"/>
      <c r="G51" s="216"/>
      <c r="H51" s="216"/>
      <c r="I51" s="217"/>
      <c r="N51" s="28"/>
      <c r="O51" s="3"/>
    </row>
    <row r="52" spans="1:15" ht="18.75" customHeight="1" x14ac:dyDescent="0.15">
      <c r="A52" s="1"/>
      <c r="B52" s="242" t="s">
        <v>237</v>
      </c>
      <c r="C52" s="243"/>
      <c r="D52" s="243"/>
      <c r="E52" s="243"/>
      <c r="F52" s="243"/>
      <c r="G52" s="243"/>
      <c r="H52" s="243"/>
      <c r="I52" s="244"/>
      <c r="N52" s="28"/>
      <c r="O52" s="3"/>
    </row>
    <row r="53" spans="1:15" ht="18.75" customHeight="1" x14ac:dyDescent="0.15">
      <c r="A53" s="1"/>
      <c r="B53" s="245"/>
      <c r="C53" s="246"/>
      <c r="D53" s="246"/>
      <c r="E53" s="246"/>
      <c r="F53" s="246"/>
      <c r="G53" s="246"/>
      <c r="H53" s="246"/>
      <c r="I53" s="247"/>
      <c r="N53" s="28"/>
      <c r="O53" s="3"/>
    </row>
    <row r="54" spans="1:15" ht="18.75" customHeight="1" x14ac:dyDescent="0.15">
      <c r="A54" s="1"/>
      <c r="B54" s="245"/>
      <c r="C54" s="246"/>
      <c r="D54" s="246"/>
      <c r="E54" s="246"/>
      <c r="F54" s="246"/>
      <c r="G54" s="246"/>
      <c r="H54" s="246"/>
      <c r="I54" s="247"/>
    </row>
    <row r="55" spans="1:15" ht="18.75" customHeight="1" x14ac:dyDescent="0.15">
      <c r="A55" s="1"/>
      <c r="B55" s="245"/>
      <c r="C55" s="246"/>
      <c r="D55" s="246"/>
      <c r="E55" s="246"/>
      <c r="F55" s="246"/>
      <c r="G55" s="246"/>
      <c r="H55" s="246"/>
      <c r="I55" s="247"/>
    </row>
    <row r="56" spans="1:15" ht="18.75" customHeight="1" x14ac:dyDescent="0.15">
      <c r="A56" s="1"/>
      <c r="B56" s="245"/>
      <c r="C56" s="246"/>
      <c r="D56" s="246"/>
      <c r="E56" s="246"/>
      <c r="F56" s="246"/>
      <c r="G56" s="246"/>
      <c r="H56" s="246"/>
      <c r="I56" s="247"/>
    </row>
    <row r="57" spans="1:15" ht="18.75" customHeight="1" x14ac:dyDescent="0.15">
      <c r="A57" s="1"/>
      <c r="B57" s="245"/>
      <c r="C57" s="246"/>
      <c r="D57" s="246"/>
      <c r="E57" s="246"/>
      <c r="F57" s="246"/>
      <c r="G57" s="246"/>
      <c r="H57" s="246"/>
      <c r="I57" s="247"/>
    </row>
    <row r="58" spans="1:15" ht="18.75" customHeight="1" x14ac:dyDescent="0.15">
      <c r="A58" s="1"/>
      <c r="B58" s="245"/>
      <c r="C58" s="246"/>
      <c r="D58" s="246"/>
      <c r="E58" s="246"/>
      <c r="F58" s="246"/>
      <c r="G58" s="246"/>
      <c r="H58" s="246"/>
      <c r="I58" s="247"/>
    </row>
    <row r="59" spans="1:15" ht="18.75" customHeight="1" x14ac:dyDescent="0.15">
      <c r="A59" s="1"/>
      <c r="B59" s="245"/>
      <c r="C59" s="246"/>
      <c r="D59" s="246"/>
      <c r="E59" s="246"/>
      <c r="F59" s="246"/>
      <c r="G59" s="246"/>
      <c r="H59" s="246"/>
      <c r="I59" s="247"/>
    </row>
    <row r="60" spans="1:15" ht="40.5" customHeight="1" x14ac:dyDescent="0.15">
      <c r="A60" s="1"/>
      <c r="B60" s="245"/>
      <c r="C60" s="246"/>
      <c r="D60" s="246"/>
      <c r="E60" s="246"/>
      <c r="F60" s="246"/>
      <c r="G60" s="246"/>
      <c r="H60" s="246"/>
      <c r="I60" s="247"/>
    </row>
    <row r="61" spans="1:15" ht="72" customHeight="1" x14ac:dyDescent="0.15">
      <c r="A61" s="1"/>
      <c r="B61" s="245"/>
      <c r="C61" s="246"/>
      <c r="D61" s="246"/>
      <c r="E61" s="246"/>
      <c r="F61" s="246"/>
      <c r="G61" s="246"/>
      <c r="H61" s="246"/>
      <c r="I61" s="247"/>
      <c r="J61" s="63"/>
    </row>
    <row r="62" spans="1:15" ht="111.75" customHeight="1" x14ac:dyDescent="0.15">
      <c r="A62" s="1"/>
      <c r="B62" s="245"/>
      <c r="C62" s="246"/>
      <c r="D62" s="246"/>
      <c r="E62" s="246"/>
      <c r="F62" s="246"/>
      <c r="G62" s="246"/>
      <c r="H62" s="246"/>
      <c r="I62" s="247"/>
    </row>
    <row r="63" spans="1:15" ht="72" customHeight="1" x14ac:dyDescent="0.15">
      <c r="A63" s="1"/>
      <c r="B63" s="248"/>
      <c r="C63" s="249"/>
      <c r="D63" s="249"/>
      <c r="E63" s="249"/>
      <c r="F63" s="249"/>
      <c r="G63" s="249"/>
      <c r="H63" s="249"/>
      <c r="I63" s="250"/>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25" t="s">
        <v>219</v>
      </c>
      <c r="C66" s="226"/>
      <c r="D66" s="226"/>
      <c r="E66" s="226"/>
      <c r="F66" s="226"/>
      <c r="G66" s="226"/>
      <c r="H66" s="226"/>
      <c r="I66" s="227"/>
    </row>
    <row r="67" spans="1:9" ht="21" customHeight="1" x14ac:dyDescent="0.15">
      <c r="A67" s="4"/>
      <c r="B67" s="228"/>
      <c r="C67" s="229"/>
      <c r="D67" s="229"/>
      <c r="E67" s="229"/>
      <c r="F67" s="229"/>
      <c r="G67" s="229"/>
      <c r="H67" s="229"/>
      <c r="I67" s="230"/>
    </row>
    <row r="68" spans="1:9" ht="21" customHeight="1" x14ac:dyDescent="0.15">
      <c r="A68" s="4"/>
      <c r="B68" s="228"/>
      <c r="C68" s="229"/>
      <c r="D68" s="229"/>
      <c r="E68" s="229"/>
      <c r="F68" s="229"/>
      <c r="G68" s="229"/>
      <c r="H68" s="229"/>
      <c r="I68" s="230"/>
    </row>
    <row r="69" spans="1:9" ht="21" customHeight="1" x14ac:dyDescent="0.15">
      <c r="A69" s="4"/>
      <c r="B69" s="228"/>
      <c r="C69" s="229"/>
      <c r="D69" s="229"/>
      <c r="E69" s="229"/>
      <c r="F69" s="229"/>
      <c r="G69" s="229"/>
      <c r="H69" s="229"/>
      <c r="I69" s="230"/>
    </row>
    <row r="70" spans="1:9" ht="21" customHeight="1" x14ac:dyDescent="0.15">
      <c r="A70" s="4"/>
      <c r="B70" s="228"/>
      <c r="C70" s="229"/>
      <c r="D70" s="229"/>
      <c r="E70" s="229"/>
      <c r="F70" s="229"/>
      <c r="G70" s="229"/>
      <c r="H70" s="229"/>
      <c r="I70" s="230"/>
    </row>
    <row r="71" spans="1:9" ht="8.25" customHeight="1" x14ac:dyDescent="0.15">
      <c r="A71" s="4"/>
      <c r="B71" s="228"/>
      <c r="C71" s="229"/>
      <c r="D71" s="229"/>
      <c r="E71" s="229"/>
      <c r="F71" s="229"/>
      <c r="G71" s="229"/>
      <c r="H71" s="229"/>
      <c r="I71" s="230"/>
    </row>
    <row r="72" spans="1:9" ht="19.5" customHeight="1" x14ac:dyDescent="0.15">
      <c r="A72" s="4"/>
      <c r="B72" s="228"/>
      <c r="C72" s="229"/>
      <c r="D72" s="229"/>
      <c r="E72" s="229"/>
      <c r="F72" s="229"/>
      <c r="G72" s="229"/>
      <c r="H72" s="229"/>
      <c r="I72" s="230"/>
    </row>
    <row r="73" spans="1:9" ht="19.5" customHeight="1" x14ac:dyDescent="0.15">
      <c r="A73" s="4"/>
      <c r="B73" s="228"/>
      <c r="C73" s="229"/>
      <c r="D73" s="229"/>
      <c r="E73" s="229"/>
      <c r="F73" s="229"/>
      <c r="G73" s="229"/>
      <c r="H73" s="229"/>
      <c r="I73" s="230"/>
    </row>
    <row r="74" spans="1:9" ht="19.5" customHeight="1" x14ac:dyDescent="0.15">
      <c r="A74" s="4"/>
      <c r="B74" s="228"/>
      <c r="C74" s="229"/>
      <c r="D74" s="229"/>
      <c r="E74" s="229"/>
      <c r="F74" s="229"/>
      <c r="G74" s="229"/>
      <c r="H74" s="229"/>
      <c r="I74" s="230"/>
    </row>
    <row r="75" spans="1:9" ht="19.5" customHeight="1" x14ac:dyDescent="0.15">
      <c r="A75" s="4"/>
      <c r="B75" s="228"/>
      <c r="C75" s="229"/>
      <c r="D75" s="229"/>
      <c r="E75" s="229"/>
      <c r="F75" s="229"/>
      <c r="G75" s="229"/>
      <c r="H75" s="229"/>
      <c r="I75" s="230"/>
    </row>
    <row r="76" spans="1:9" ht="19.5" customHeight="1" x14ac:dyDescent="0.15">
      <c r="A76" s="4"/>
      <c r="B76" s="228"/>
      <c r="C76" s="229"/>
      <c r="D76" s="229"/>
      <c r="E76" s="229"/>
      <c r="F76" s="229"/>
      <c r="G76" s="229"/>
      <c r="H76" s="229"/>
      <c r="I76" s="230"/>
    </row>
    <row r="77" spans="1:9" ht="18.75" customHeight="1" x14ac:dyDescent="0.15">
      <c r="A77" s="4"/>
      <c r="B77" s="231"/>
      <c r="C77" s="232"/>
      <c r="D77" s="232"/>
      <c r="E77" s="232"/>
      <c r="F77" s="232"/>
      <c r="G77" s="232"/>
      <c r="H77" s="232"/>
      <c r="I77" s="233"/>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25" t="s">
        <v>184</v>
      </c>
      <c r="C80" s="226"/>
      <c r="D80" s="226"/>
      <c r="E80" s="226"/>
      <c r="F80" s="226"/>
      <c r="G80" s="226"/>
      <c r="H80" s="226"/>
      <c r="I80" s="234"/>
    </row>
    <row r="81" spans="1:9" ht="18.75" customHeight="1" x14ac:dyDescent="0.15">
      <c r="A81" s="1"/>
      <c r="B81" s="235"/>
      <c r="C81" s="236"/>
      <c r="D81" s="236"/>
      <c r="E81" s="236"/>
      <c r="F81" s="236"/>
      <c r="G81" s="236"/>
      <c r="H81" s="236"/>
      <c r="I81" s="237"/>
    </row>
    <row r="82" spans="1:9" ht="18.75" customHeight="1" x14ac:dyDescent="0.15">
      <c r="A82" s="1"/>
      <c r="B82" s="235"/>
      <c r="C82" s="236"/>
      <c r="D82" s="236"/>
      <c r="E82" s="236"/>
      <c r="F82" s="236"/>
      <c r="G82" s="236"/>
      <c r="H82" s="236"/>
      <c r="I82" s="237"/>
    </row>
    <row r="83" spans="1:9" ht="18.75" customHeight="1" x14ac:dyDescent="0.15">
      <c r="A83" s="1"/>
      <c r="B83" s="235"/>
      <c r="C83" s="236"/>
      <c r="D83" s="236"/>
      <c r="E83" s="236"/>
      <c r="F83" s="236"/>
      <c r="G83" s="236"/>
      <c r="H83" s="236"/>
      <c r="I83" s="237"/>
    </row>
    <row r="84" spans="1:9" ht="18.75" customHeight="1" x14ac:dyDescent="0.15">
      <c r="A84" s="1"/>
      <c r="B84" s="235"/>
      <c r="C84" s="236"/>
      <c r="D84" s="236"/>
      <c r="E84" s="236"/>
      <c r="F84" s="236"/>
      <c r="G84" s="236"/>
      <c r="H84" s="236"/>
      <c r="I84" s="237"/>
    </row>
    <row r="85" spans="1:9" ht="18.75" customHeight="1" x14ac:dyDescent="0.15">
      <c r="A85" s="1"/>
      <c r="B85" s="235"/>
      <c r="C85" s="236"/>
      <c r="D85" s="236"/>
      <c r="E85" s="236"/>
      <c r="F85" s="236"/>
      <c r="G85" s="236"/>
      <c r="H85" s="236"/>
      <c r="I85" s="237"/>
    </row>
    <row r="86" spans="1:9" ht="18.75" customHeight="1" x14ac:dyDescent="0.15">
      <c r="A86" s="1"/>
      <c r="B86" s="235"/>
      <c r="C86" s="236"/>
      <c r="D86" s="236"/>
      <c r="E86" s="236"/>
      <c r="F86" s="236"/>
      <c r="G86" s="236"/>
      <c r="H86" s="236"/>
      <c r="I86" s="237"/>
    </row>
    <row r="87" spans="1:9" ht="18.75" customHeight="1" x14ac:dyDescent="0.15">
      <c r="A87" s="1"/>
      <c r="B87" s="235"/>
      <c r="C87" s="236"/>
      <c r="D87" s="236"/>
      <c r="E87" s="236"/>
      <c r="F87" s="236"/>
      <c r="G87" s="236"/>
      <c r="H87" s="236"/>
      <c r="I87" s="237"/>
    </row>
    <row r="88" spans="1:9" ht="18.75" customHeight="1" x14ac:dyDescent="0.15">
      <c r="A88" s="1"/>
      <c r="B88" s="235"/>
      <c r="C88" s="236"/>
      <c r="D88" s="236"/>
      <c r="E88" s="236"/>
      <c r="F88" s="236"/>
      <c r="G88" s="236"/>
      <c r="H88" s="236"/>
      <c r="I88" s="237"/>
    </row>
    <row r="89" spans="1:9" ht="18.75" customHeight="1" x14ac:dyDescent="0.15">
      <c r="A89" s="1"/>
      <c r="B89" s="235"/>
      <c r="C89" s="236"/>
      <c r="D89" s="236"/>
      <c r="E89" s="236"/>
      <c r="F89" s="236"/>
      <c r="G89" s="236"/>
      <c r="H89" s="236"/>
      <c r="I89" s="237"/>
    </row>
    <row r="90" spans="1:9" ht="9.75" customHeight="1" x14ac:dyDescent="0.15">
      <c r="A90" s="4"/>
      <c r="B90" s="235"/>
      <c r="C90" s="236"/>
      <c r="D90" s="236"/>
      <c r="E90" s="236"/>
      <c r="F90" s="236"/>
      <c r="G90" s="236"/>
      <c r="H90" s="236"/>
      <c r="I90" s="237"/>
    </row>
    <row r="91" spans="1:9" ht="12" customHeight="1" x14ac:dyDescent="0.15">
      <c r="A91" s="4"/>
      <c r="B91" s="238"/>
      <c r="C91" s="239"/>
      <c r="D91" s="239"/>
      <c r="E91" s="239"/>
      <c r="F91" s="239"/>
      <c r="G91" s="239"/>
      <c r="H91" s="239"/>
      <c r="I91" s="240"/>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98" t="s">
        <v>191</v>
      </c>
      <c r="C94" s="199"/>
      <c r="D94" s="199"/>
      <c r="E94" s="199"/>
      <c r="F94" s="199"/>
      <c r="G94" s="199"/>
      <c r="H94" s="199"/>
      <c r="I94" s="200"/>
    </row>
    <row r="95" spans="1:9" ht="18.75" customHeight="1" x14ac:dyDescent="0.15">
      <c r="A95" s="1"/>
      <c r="B95" s="201"/>
      <c r="C95" s="202"/>
      <c r="D95" s="202"/>
      <c r="E95" s="202"/>
      <c r="F95" s="202"/>
      <c r="G95" s="202"/>
      <c r="H95" s="202"/>
      <c r="I95" s="203"/>
    </row>
    <row r="96" spans="1:9" ht="18.75" customHeight="1" x14ac:dyDescent="0.15">
      <c r="A96" s="1"/>
      <c r="B96" s="201"/>
      <c r="C96" s="202"/>
      <c r="D96" s="202"/>
      <c r="E96" s="202"/>
      <c r="F96" s="202"/>
      <c r="G96" s="202"/>
      <c r="H96" s="202"/>
      <c r="I96" s="203"/>
    </row>
    <row r="97" spans="1:9" ht="18.75" customHeight="1" x14ac:dyDescent="0.15">
      <c r="A97" s="1"/>
      <c r="B97" s="201"/>
      <c r="C97" s="202"/>
      <c r="D97" s="202"/>
      <c r="E97" s="202"/>
      <c r="F97" s="202"/>
      <c r="G97" s="202"/>
      <c r="H97" s="202"/>
      <c r="I97" s="203"/>
    </row>
    <row r="98" spans="1:9" ht="18.75" hidden="1" customHeight="1" x14ac:dyDescent="0.15">
      <c r="A98" s="1"/>
      <c r="B98" s="201"/>
      <c r="C98" s="202"/>
      <c r="D98" s="202"/>
      <c r="E98" s="202"/>
      <c r="F98" s="202"/>
      <c r="G98" s="202"/>
      <c r="H98" s="202"/>
      <c r="I98" s="203"/>
    </row>
    <row r="99" spans="1:9" ht="18.75" hidden="1" customHeight="1" x14ac:dyDescent="0.15">
      <c r="A99" s="1"/>
      <c r="B99" s="201"/>
      <c r="C99" s="202"/>
      <c r="D99" s="202"/>
      <c r="E99" s="202"/>
      <c r="F99" s="202"/>
      <c r="G99" s="202"/>
      <c r="H99" s="202"/>
      <c r="I99" s="203"/>
    </row>
    <row r="100" spans="1:9" ht="18.75" hidden="1" customHeight="1" x14ac:dyDescent="0.15">
      <c r="A100" s="1"/>
      <c r="B100" s="201"/>
      <c r="C100" s="202"/>
      <c r="D100" s="202"/>
      <c r="E100" s="202"/>
      <c r="F100" s="202"/>
      <c r="G100" s="202"/>
      <c r="H100" s="202"/>
      <c r="I100" s="203"/>
    </row>
    <row r="101" spans="1:9" ht="18.75" hidden="1" customHeight="1" x14ac:dyDescent="0.15">
      <c r="A101" s="1"/>
      <c r="B101" s="201"/>
      <c r="C101" s="202"/>
      <c r="D101" s="202"/>
      <c r="E101" s="202"/>
      <c r="F101" s="202"/>
      <c r="G101" s="202"/>
      <c r="H101" s="202"/>
      <c r="I101" s="203"/>
    </row>
    <row r="102" spans="1:9" ht="18.75" hidden="1" customHeight="1" x14ac:dyDescent="0.15">
      <c r="A102" s="1"/>
      <c r="B102" s="201"/>
      <c r="C102" s="202"/>
      <c r="D102" s="202"/>
      <c r="E102" s="202"/>
      <c r="F102" s="202"/>
      <c r="G102" s="202"/>
      <c r="H102" s="202"/>
      <c r="I102" s="203"/>
    </row>
    <row r="103" spans="1:9" ht="18.75" hidden="1" customHeight="1" x14ac:dyDescent="0.15">
      <c r="A103" s="1"/>
      <c r="B103" s="201"/>
      <c r="C103" s="202"/>
      <c r="D103" s="202"/>
      <c r="E103" s="202"/>
      <c r="F103" s="202"/>
      <c r="G103" s="202"/>
      <c r="H103" s="202"/>
      <c r="I103" s="203"/>
    </row>
    <row r="104" spans="1:9" ht="18.75" customHeight="1" x14ac:dyDescent="0.15">
      <c r="A104" s="1"/>
      <c r="B104" s="201"/>
      <c r="C104" s="202"/>
      <c r="D104" s="202"/>
      <c r="E104" s="202"/>
      <c r="F104" s="202"/>
      <c r="G104" s="202"/>
      <c r="H104" s="202"/>
      <c r="I104" s="203"/>
    </row>
    <row r="105" spans="1:9" ht="18.75" customHeight="1" x14ac:dyDescent="0.15">
      <c r="A105" s="4"/>
      <c r="B105" s="204"/>
      <c r="C105" s="205"/>
      <c r="D105" s="205"/>
      <c r="E105" s="205"/>
      <c r="F105" s="205"/>
      <c r="G105" s="205"/>
      <c r="H105" s="205"/>
      <c r="I105" s="206"/>
    </row>
    <row r="106" spans="1:9" ht="7.5" customHeight="1" x14ac:dyDescent="0.15">
      <c r="A106" s="4"/>
      <c r="B106" s="4"/>
      <c r="C106" s="4"/>
      <c r="D106" s="4"/>
      <c r="E106" s="4"/>
      <c r="F106" s="4"/>
      <c r="G106" s="4"/>
      <c r="H106" s="4"/>
      <c r="I106" s="4"/>
    </row>
    <row r="107" spans="1:9" ht="18.75" customHeight="1" x14ac:dyDescent="0.15">
      <c r="A107" s="1" t="s">
        <v>30</v>
      </c>
      <c r="B107" s="207" t="s">
        <v>46</v>
      </c>
      <c r="C107" s="207"/>
      <c r="D107" s="207"/>
      <c r="E107" s="207"/>
      <c r="F107" s="207"/>
      <c r="G107" s="207"/>
      <c r="H107" s="207"/>
      <c r="I107" s="207"/>
    </row>
    <row r="108" spans="1:9" ht="18.75" customHeight="1" x14ac:dyDescent="0.15">
      <c r="A108" s="4"/>
      <c r="B108" s="198" t="s">
        <v>220</v>
      </c>
      <c r="C108" s="199"/>
      <c r="D108" s="199"/>
      <c r="E108" s="199"/>
      <c r="F108" s="199"/>
      <c r="G108" s="199"/>
      <c r="H108" s="199"/>
      <c r="I108" s="200"/>
    </row>
    <row r="109" spans="1:9" ht="18.75" customHeight="1" x14ac:dyDescent="0.15">
      <c r="A109" s="4"/>
      <c r="B109" s="201"/>
      <c r="C109" s="202"/>
      <c r="D109" s="202"/>
      <c r="E109" s="202"/>
      <c r="F109" s="202"/>
      <c r="G109" s="202"/>
      <c r="H109" s="202"/>
      <c r="I109" s="203"/>
    </row>
    <row r="110" spans="1:9" ht="18.75" customHeight="1" x14ac:dyDescent="0.15">
      <c r="A110" s="4"/>
      <c r="B110" s="201"/>
      <c r="C110" s="202"/>
      <c r="D110" s="202"/>
      <c r="E110" s="202"/>
      <c r="F110" s="202"/>
      <c r="G110" s="202"/>
      <c r="H110" s="202"/>
      <c r="I110" s="203"/>
    </row>
    <row r="111" spans="1:9" ht="18.75" customHeight="1" x14ac:dyDescent="0.15">
      <c r="A111" s="4"/>
      <c r="B111" s="201"/>
      <c r="C111" s="202"/>
      <c r="D111" s="202"/>
      <c r="E111" s="202"/>
      <c r="F111" s="202"/>
      <c r="G111" s="202"/>
      <c r="H111" s="202"/>
      <c r="I111" s="203"/>
    </row>
    <row r="112" spans="1:9" ht="18.75" hidden="1" customHeight="1" x14ac:dyDescent="0.15">
      <c r="A112" s="4"/>
      <c r="B112" s="201"/>
      <c r="C112" s="202"/>
      <c r="D112" s="202"/>
      <c r="E112" s="202"/>
      <c r="F112" s="202"/>
      <c r="G112" s="202"/>
      <c r="H112" s="202"/>
      <c r="I112" s="203"/>
    </row>
    <row r="113" spans="1:9" ht="18.75" hidden="1" customHeight="1" x14ac:dyDescent="0.15">
      <c r="A113" s="4"/>
      <c r="B113" s="201"/>
      <c r="C113" s="202"/>
      <c r="D113" s="202"/>
      <c r="E113" s="202"/>
      <c r="F113" s="202"/>
      <c r="G113" s="202"/>
      <c r="H113" s="202"/>
      <c r="I113" s="203"/>
    </row>
    <row r="114" spans="1:9" ht="18.75" hidden="1" customHeight="1" x14ac:dyDescent="0.15">
      <c r="A114" s="4"/>
      <c r="B114" s="201"/>
      <c r="C114" s="202"/>
      <c r="D114" s="202"/>
      <c r="E114" s="202"/>
      <c r="F114" s="202"/>
      <c r="G114" s="202"/>
      <c r="H114" s="202"/>
      <c r="I114" s="203"/>
    </row>
    <row r="115" spans="1:9" ht="18.75" hidden="1" customHeight="1" x14ac:dyDescent="0.15">
      <c r="A115" s="4"/>
      <c r="B115" s="201"/>
      <c r="C115" s="202"/>
      <c r="D115" s="202"/>
      <c r="E115" s="202"/>
      <c r="F115" s="202"/>
      <c r="G115" s="202"/>
      <c r="H115" s="202"/>
      <c r="I115" s="203"/>
    </row>
    <row r="116" spans="1:9" ht="18.75" hidden="1" customHeight="1" x14ac:dyDescent="0.15">
      <c r="A116" s="4"/>
      <c r="B116" s="201"/>
      <c r="C116" s="202"/>
      <c r="D116" s="202"/>
      <c r="E116" s="202"/>
      <c r="F116" s="202"/>
      <c r="G116" s="202"/>
      <c r="H116" s="202"/>
      <c r="I116" s="203"/>
    </row>
    <row r="117" spans="1:9" ht="18.75" customHeight="1" x14ac:dyDescent="0.15">
      <c r="A117" s="4"/>
      <c r="B117" s="201"/>
      <c r="C117" s="202"/>
      <c r="D117" s="202"/>
      <c r="E117" s="202"/>
      <c r="F117" s="202"/>
      <c r="G117" s="202"/>
      <c r="H117" s="202"/>
      <c r="I117" s="203"/>
    </row>
    <row r="118" spans="1:9" ht="26.25" customHeight="1" x14ac:dyDescent="0.15">
      <c r="A118" s="4"/>
      <c r="B118" s="201"/>
      <c r="C118" s="202"/>
      <c r="D118" s="202"/>
      <c r="E118" s="202"/>
      <c r="F118" s="202"/>
      <c r="G118" s="202"/>
      <c r="H118" s="202"/>
      <c r="I118" s="203"/>
    </row>
    <row r="119" spans="1:9" ht="21" customHeight="1" x14ac:dyDescent="0.15">
      <c r="A119" s="4"/>
      <c r="B119" s="204"/>
      <c r="C119" s="205"/>
      <c r="D119" s="205"/>
      <c r="E119" s="205"/>
      <c r="F119" s="205"/>
      <c r="G119" s="205"/>
      <c r="H119" s="205"/>
      <c r="I119" s="206"/>
    </row>
    <row r="120" spans="1:9" ht="258.75" customHeight="1" x14ac:dyDescent="0.15">
      <c r="A120" s="4"/>
      <c r="B120" s="31"/>
      <c r="C120" s="31"/>
      <c r="D120" s="31"/>
      <c r="E120" s="31"/>
      <c r="F120" s="31"/>
      <c r="G120" s="31"/>
      <c r="H120" s="31"/>
      <c r="I120" s="31"/>
    </row>
    <row r="121" spans="1:9" ht="138"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91.5" customHeight="1" x14ac:dyDescent="0.15">
      <c r="A123" s="4"/>
      <c r="B123" s="4"/>
      <c r="C123" s="4"/>
      <c r="D123" s="4"/>
      <c r="E123" s="4"/>
      <c r="F123" s="4"/>
      <c r="G123" s="4"/>
      <c r="H123" s="4"/>
      <c r="I123" s="4"/>
    </row>
    <row r="124" spans="1:9" ht="204.75" customHeight="1" x14ac:dyDescent="0.15">
      <c r="A124" s="4"/>
      <c r="B124" s="4"/>
      <c r="C124" s="4"/>
      <c r="D124" s="4"/>
      <c r="E124" s="4"/>
      <c r="F124" s="4"/>
      <c r="G124" s="4"/>
      <c r="H124" s="4"/>
      <c r="I124" s="4"/>
    </row>
    <row r="125" spans="1:9" ht="22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32"/>
      <c r="B134" s="32"/>
      <c r="C134" s="32"/>
      <c r="D134" s="32"/>
      <c r="E134" s="32"/>
      <c r="F134" s="32"/>
      <c r="G134" s="32"/>
      <c r="H134" s="32"/>
      <c r="I134" s="32"/>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77"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125"/>
  <sheetViews>
    <sheetView showZeros="0" view="pageBreakPreview" topLeftCell="A16" zoomScale="85" zoomScaleNormal="62" zoomScaleSheetLayoutView="85" workbookViewId="0">
      <selection activeCell="D122" sqref="D122:S12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22" t="s">
        <v>105</v>
      </c>
    </row>
    <row r="2" spans="1:9" ht="18.75" customHeight="1" x14ac:dyDescent="0.15">
      <c r="H2" s="22" t="s">
        <v>109</v>
      </c>
      <c r="I2" s="21" t="str">
        <f>'様式１　プログラムを構成する授業科目'!C2</f>
        <v>同志社大学</v>
      </c>
    </row>
    <row r="3" spans="1:9" ht="18.75" customHeight="1" x14ac:dyDescent="0.15">
      <c r="A3" s="177" t="s">
        <v>28</v>
      </c>
      <c r="B3" s="177"/>
      <c r="C3" s="177"/>
      <c r="D3" s="177"/>
      <c r="E3" s="177"/>
      <c r="F3" s="177"/>
      <c r="G3" s="177"/>
      <c r="H3" s="177"/>
      <c r="I3" s="177"/>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18" t="s">
        <v>179</v>
      </c>
      <c r="C6" s="259"/>
      <c r="D6" s="259"/>
      <c r="E6" s="259"/>
      <c r="F6" s="259"/>
      <c r="G6" s="259"/>
      <c r="H6" s="260"/>
      <c r="I6" s="3"/>
    </row>
    <row r="7" spans="1:9" ht="9" customHeight="1" x14ac:dyDescent="0.15">
      <c r="A7" s="5"/>
      <c r="B7" s="10"/>
      <c r="C7" s="10"/>
      <c r="D7" s="10"/>
      <c r="E7" s="10"/>
      <c r="F7" s="10"/>
      <c r="G7" s="10"/>
      <c r="H7" s="10"/>
      <c r="I7" s="3"/>
    </row>
    <row r="8" spans="1:9" ht="18.75" customHeight="1" x14ac:dyDescent="0.15">
      <c r="A8" s="5"/>
      <c r="B8" s="3"/>
      <c r="C8" s="3"/>
      <c r="D8" s="22" t="s">
        <v>43</v>
      </c>
      <c r="E8" s="23" t="s">
        <v>180</v>
      </c>
      <c r="F8" s="3"/>
      <c r="G8" s="22" t="s">
        <v>10</v>
      </c>
      <c r="H8" s="64" t="s">
        <v>183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208" t="s">
        <v>24</v>
      </c>
      <c r="C11" s="256"/>
      <c r="D11" s="209"/>
      <c r="E11" s="256" t="s">
        <v>26</v>
      </c>
      <c r="F11" s="256"/>
      <c r="G11" s="256"/>
      <c r="H11" s="256"/>
      <c r="I11" s="209"/>
    </row>
    <row r="12" spans="1:9" ht="26.25" customHeight="1" x14ac:dyDescent="0.15">
      <c r="B12" s="33" t="s">
        <v>14</v>
      </c>
      <c r="C12" s="40"/>
      <c r="D12" s="34"/>
      <c r="E12" s="41"/>
      <c r="F12" s="41"/>
      <c r="G12" s="41"/>
      <c r="H12" s="41"/>
      <c r="I12" s="34"/>
    </row>
    <row r="13" spans="1:9" ht="273.75" customHeight="1" x14ac:dyDescent="0.15">
      <c r="B13" s="35"/>
      <c r="C13" s="257" t="s">
        <v>15</v>
      </c>
      <c r="D13" s="258"/>
      <c r="E13" s="253" t="s">
        <v>215</v>
      </c>
      <c r="F13" s="254"/>
      <c r="G13" s="254"/>
      <c r="H13" s="254"/>
      <c r="I13" s="255"/>
    </row>
    <row r="14" spans="1:9" ht="193.5" customHeight="1" x14ac:dyDescent="0.15">
      <c r="B14" s="35"/>
      <c r="C14" s="251" t="s">
        <v>16</v>
      </c>
      <c r="D14" s="252"/>
      <c r="E14" s="253" t="s">
        <v>187</v>
      </c>
      <c r="F14" s="254"/>
      <c r="G14" s="254"/>
      <c r="H14" s="254"/>
      <c r="I14" s="255"/>
    </row>
    <row r="15" spans="1:9" ht="193.5" customHeight="1" x14ac:dyDescent="0.15">
      <c r="B15" s="35"/>
      <c r="C15" s="257" t="s">
        <v>17</v>
      </c>
      <c r="D15" s="258"/>
      <c r="E15" s="253" t="s">
        <v>221</v>
      </c>
      <c r="F15" s="254"/>
      <c r="G15" s="254"/>
      <c r="H15" s="254"/>
      <c r="I15" s="255"/>
    </row>
    <row r="16" spans="1:9" ht="155.25" customHeight="1" x14ac:dyDescent="0.15">
      <c r="B16" s="35"/>
      <c r="C16" s="257" t="s">
        <v>18</v>
      </c>
      <c r="D16" s="258"/>
      <c r="E16" s="253" t="s">
        <v>190</v>
      </c>
      <c r="F16" s="254"/>
      <c r="G16" s="254"/>
      <c r="H16" s="254"/>
      <c r="I16" s="255"/>
    </row>
    <row r="17" spans="2:9" ht="239.25" customHeight="1" x14ac:dyDescent="0.15">
      <c r="B17" s="36"/>
      <c r="C17" s="261" t="s">
        <v>19</v>
      </c>
      <c r="D17" s="262"/>
      <c r="E17" s="263" t="s">
        <v>222</v>
      </c>
      <c r="F17" s="264"/>
      <c r="G17" s="264"/>
      <c r="H17" s="264"/>
      <c r="I17" s="265"/>
    </row>
    <row r="18" spans="2:9" ht="24" customHeight="1" x14ac:dyDescent="0.15">
      <c r="B18" s="33" t="s">
        <v>20</v>
      </c>
      <c r="C18" s="37"/>
      <c r="D18" s="38"/>
      <c r="E18" s="39"/>
      <c r="F18" s="39"/>
      <c r="G18" s="39"/>
      <c r="H18" s="39"/>
      <c r="I18" s="42"/>
    </row>
    <row r="19" spans="2:9" ht="201" customHeight="1" x14ac:dyDescent="0.15">
      <c r="B19" s="35"/>
      <c r="C19" s="257" t="s">
        <v>21</v>
      </c>
      <c r="D19" s="258"/>
      <c r="E19" s="254" t="s">
        <v>192</v>
      </c>
      <c r="F19" s="254"/>
      <c r="G19" s="254"/>
      <c r="H19" s="254"/>
      <c r="I19" s="255"/>
    </row>
    <row r="20" spans="2:9" ht="218.25" customHeight="1" x14ac:dyDescent="0.15">
      <c r="B20" s="36"/>
      <c r="C20" s="261" t="s">
        <v>22</v>
      </c>
      <c r="D20" s="262"/>
      <c r="E20" s="264" t="s">
        <v>189</v>
      </c>
      <c r="F20" s="264"/>
      <c r="G20" s="264"/>
      <c r="H20" s="264"/>
      <c r="I20" s="265"/>
    </row>
    <row r="21" spans="2:9" ht="215.25" customHeight="1" x14ac:dyDescent="0.15">
      <c r="B21" s="271" t="s">
        <v>23</v>
      </c>
      <c r="C21" s="272"/>
      <c r="D21" s="273"/>
      <c r="E21" s="274" t="s">
        <v>186</v>
      </c>
      <c r="F21" s="274"/>
      <c r="G21" s="274"/>
      <c r="H21" s="274"/>
      <c r="I21" s="275"/>
    </row>
    <row r="22" spans="2:9" ht="246.75" customHeight="1" x14ac:dyDescent="0.15">
      <c r="B22" s="266" t="s">
        <v>38</v>
      </c>
      <c r="C22" s="267"/>
      <c r="D22" s="268"/>
      <c r="E22" s="269" t="s">
        <v>223</v>
      </c>
      <c r="F22" s="269"/>
      <c r="G22" s="269"/>
      <c r="H22" s="269"/>
      <c r="I22" s="27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row r="118" ht="186" customHeight="1" x14ac:dyDescent="0.15"/>
    <row r="119" ht="140.25" customHeight="1" x14ac:dyDescent="0.15"/>
    <row r="120" ht="258.75" customHeight="1" x14ac:dyDescent="0.15"/>
    <row r="121" ht="138" customHeight="1" x14ac:dyDescent="0.15"/>
    <row r="123" ht="91.5" customHeight="1" x14ac:dyDescent="0.15"/>
    <row r="124" ht="204.75" customHeight="1" x14ac:dyDescent="0.15"/>
    <row r="125" ht="225" customHeight="1" x14ac:dyDescent="0.15"/>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Yuri Matsumoto</cp:lastModifiedBy>
  <cp:lastPrinted>2023-04-18T06:45:51Z</cp:lastPrinted>
  <dcterms:created xsi:type="dcterms:W3CDTF">2011-06-14T05:32:50Z</dcterms:created>
  <dcterms:modified xsi:type="dcterms:W3CDTF">2023-04-18T06:45:56Z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