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9"/>
  <workbookPr defaultThemeVersion="124226"/>
  <mc:AlternateContent xmlns:mc="http://schemas.openxmlformats.org/markup-compatibility/2006">
    <mc:Choice Requires="x15">
      <x15ac:absPath xmlns:x15ac="http://schemas.microsoft.com/office/spreadsheetml/2010/11/ac" url="Y:\AIデータサイエンス教育研究センター\認定制度\★202306再提出\01東京女子大学_リテラシー\"/>
    </mc:Choice>
  </mc:AlternateContent>
  <xr:revisionPtr revIDLastSave="0" documentId="13_ncr:1_{73BAA98B-1BAA-466F-985A-EDE97B4C4694}" xr6:coauthVersionLast="36" xr6:coauthVersionMax="36" xr10:uidLastSave="{00000000-0000-0000-0000-000000000000}"/>
  <bookViews>
    <workbookView xWindow="0" yWindow="0" windowWidth="23040" windowHeight="8964" tabRatio="885"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 name="Z_B205FD5A_B4ED_4160_AF09_52B6B1578571_.wvu.FilterData" localSheetId="0" hidden="1">'様式１　プログラムを構成する授業科目'!$V$14:$V$16</definedName>
    <definedName name="Z_B205FD5A_B4ED_4160_AF09_52B6B1578571_.wvu.PrintArea" localSheetId="0" hidden="1">'様式１　プログラムを構成する授業科目'!$A$1:$S$102</definedName>
    <definedName name="Z_B205FD5A_B4ED_4160_AF09_52B6B1578571_.wvu.PrintArea" localSheetId="1" hidden="1">'様式２ 履修者等数の実績'!$A$1:$AQ$32</definedName>
    <definedName name="Z_B205FD5A_B4ED_4160_AF09_52B6B1578571_.wvu.PrintArea" localSheetId="2" hidden="1">'様式３ 教育の質・履修者数を向上させるための体制・計画'!$A$1:$I$120</definedName>
    <definedName name="Z_B205FD5A_B4ED_4160_AF09_52B6B1578571_.wvu.PrintArea" localSheetId="3" hidden="1">'様式４　自己点検・評価'!$A$1:$I$22</definedName>
    <definedName name="Z_B205FD5A_B4ED_4160_AF09_52B6B1578571_.wvu.PrintTitles" localSheetId="3" hidden="1">'様式４　自己点検・評価'!$11:$11</definedName>
  </definedNames>
  <calcPr calcId="191029"/>
  <customWorkbookViews>
    <customWorkbookView name="s-kawakami - 個人用ビュー" guid="{B205FD5A-B4ED-4160-AF09-52B6B1578571}" mergeInterval="0" personalView="1" maximized="1" xWindow="-9" yWindow="-9" windowWidth="1938" windowHeight="1048" tabRatio="885" activeSheetId="1" showComments="commIndAndComment"/>
  </customWorkbookViews>
</workbook>
</file>

<file path=xl/calcChain.xml><?xml version="1.0" encoding="utf-8"?>
<calcChain xmlns="http://schemas.openxmlformats.org/spreadsheetml/2006/main">
  <c r="N57" i="3" l="1"/>
  <c r="I2" i="4" l="1"/>
  <c r="H2" i="3"/>
  <c r="AM2" i="2"/>
  <c r="AO32" i="2" l="1"/>
  <c r="AN32" i="2"/>
  <c r="AL32" i="2"/>
  <c r="AK32" i="2"/>
  <c r="AM31" i="2"/>
  <c r="AJ31" i="2"/>
  <c r="AM30" i="2"/>
  <c r="AJ30" i="2"/>
  <c r="AM29" i="2"/>
  <c r="AJ29" i="2"/>
  <c r="AM28" i="2"/>
  <c r="AJ28" i="2"/>
  <c r="AM27" i="2"/>
  <c r="AJ27" i="2"/>
  <c r="AM26" i="2"/>
  <c r="AJ26" i="2"/>
  <c r="AM25" i="2"/>
  <c r="AJ25" i="2"/>
  <c r="AM24" i="2"/>
  <c r="AJ24" i="2"/>
  <c r="AM23" i="2"/>
  <c r="AJ23" i="2"/>
  <c r="AM22" i="2"/>
  <c r="AJ22" i="2"/>
  <c r="AM21" i="2"/>
  <c r="AJ21" i="2"/>
  <c r="AM20" i="2"/>
  <c r="AJ20" i="2"/>
  <c r="AM19" i="2"/>
  <c r="AJ19" i="2"/>
  <c r="AM18" i="2"/>
  <c r="AJ18" i="2"/>
  <c r="AM17" i="2"/>
  <c r="AJ17" i="2"/>
  <c r="AM16" i="2"/>
  <c r="AJ16" i="2"/>
  <c r="AM15" i="2"/>
  <c r="AJ15" i="2"/>
  <c r="AM14" i="2"/>
  <c r="AJ14" i="2"/>
  <c r="AM13" i="2"/>
  <c r="AJ13" i="2"/>
  <c r="AM12" i="2"/>
  <c r="AJ12" i="2"/>
  <c r="AI32" i="2"/>
  <c r="AH32" i="2"/>
  <c r="AF32" i="2"/>
  <c r="AE32" i="2"/>
  <c r="AG31" i="2"/>
  <c r="AD31" i="2"/>
  <c r="AG30" i="2"/>
  <c r="AD30" i="2"/>
  <c r="AG29" i="2"/>
  <c r="AD29" i="2"/>
  <c r="AG28" i="2"/>
  <c r="AD28" i="2"/>
  <c r="AG27" i="2"/>
  <c r="AD27" i="2"/>
  <c r="AG26" i="2"/>
  <c r="AD26" i="2"/>
  <c r="AG25" i="2"/>
  <c r="AD25" i="2"/>
  <c r="AG24" i="2"/>
  <c r="AD24" i="2"/>
  <c r="AG23" i="2"/>
  <c r="AD23" i="2"/>
  <c r="AG22" i="2"/>
  <c r="AD22" i="2"/>
  <c r="AG21" i="2"/>
  <c r="AD21" i="2"/>
  <c r="AG20" i="2"/>
  <c r="AD20" i="2"/>
  <c r="AG19" i="2"/>
  <c r="AD19" i="2"/>
  <c r="AG18" i="2"/>
  <c r="AD18" i="2"/>
  <c r="AG17" i="2"/>
  <c r="AD17" i="2"/>
  <c r="AG16" i="2"/>
  <c r="AD16" i="2"/>
  <c r="AG15" i="2"/>
  <c r="AD15" i="2"/>
  <c r="AG14" i="2"/>
  <c r="AD14" i="2"/>
  <c r="AG13" i="2"/>
  <c r="AD13" i="2"/>
  <c r="AG12" i="2"/>
  <c r="AD12" i="2"/>
  <c r="AC32" i="2"/>
  <c r="AB32" i="2"/>
  <c r="Z32" i="2"/>
  <c r="Y32" i="2"/>
  <c r="AA31" i="2"/>
  <c r="X31" i="2"/>
  <c r="AA30" i="2"/>
  <c r="X30" i="2"/>
  <c r="AA29" i="2"/>
  <c r="X29" i="2"/>
  <c r="AA28" i="2"/>
  <c r="X28" i="2"/>
  <c r="AA27" i="2"/>
  <c r="X27" i="2"/>
  <c r="AA26" i="2"/>
  <c r="X26" i="2"/>
  <c r="AA25" i="2"/>
  <c r="X25" i="2"/>
  <c r="AA24" i="2"/>
  <c r="X24" i="2"/>
  <c r="AA23" i="2"/>
  <c r="X23" i="2"/>
  <c r="AA22" i="2"/>
  <c r="X22" i="2"/>
  <c r="AA21" i="2"/>
  <c r="X21" i="2"/>
  <c r="AA20" i="2"/>
  <c r="X20" i="2"/>
  <c r="AA19" i="2"/>
  <c r="X19" i="2"/>
  <c r="AA18" i="2"/>
  <c r="X18" i="2"/>
  <c r="AA17" i="2"/>
  <c r="X17" i="2"/>
  <c r="AA16" i="2"/>
  <c r="X16" i="2"/>
  <c r="AA15" i="2"/>
  <c r="X15" i="2"/>
  <c r="AA14" i="2"/>
  <c r="X14" i="2"/>
  <c r="AA13" i="2"/>
  <c r="X13" i="2"/>
  <c r="AA12" i="2"/>
  <c r="X12" i="2"/>
  <c r="W32" i="2"/>
  <c r="V32" i="2"/>
  <c r="T32" i="2"/>
  <c r="S32" i="2"/>
  <c r="U31" i="2"/>
  <c r="R31" i="2"/>
  <c r="U30" i="2"/>
  <c r="R30" i="2"/>
  <c r="U29" i="2"/>
  <c r="R29" i="2"/>
  <c r="U28" i="2"/>
  <c r="R28" i="2"/>
  <c r="U27" i="2"/>
  <c r="R27" i="2"/>
  <c r="U26" i="2"/>
  <c r="R26" i="2"/>
  <c r="U25" i="2"/>
  <c r="R25" i="2"/>
  <c r="U24" i="2"/>
  <c r="R24" i="2"/>
  <c r="U23" i="2"/>
  <c r="R23" i="2"/>
  <c r="U22" i="2"/>
  <c r="R22" i="2"/>
  <c r="U21" i="2"/>
  <c r="R21" i="2"/>
  <c r="U20" i="2"/>
  <c r="R20" i="2"/>
  <c r="U19" i="2"/>
  <c r="R19" i="2"/>
  <c r="U18" i="2"/>
  <c r="R18" i="2"/>
  <c r="U17" i="2"/>
  <c r="R17" i="2"/>
  <c r="U16" i="2"/>
  <c r="R16" i="2"/>
  <c r="U15" i="2"/>
  <c r="R15" i="2"/>
  <c r="U14" i="2"/>
  <c r="R14" i="2"/>
  <c r="U13" i="2"/>
  <c r="R13" i="2"/>
  <c r="U12" i="2"/>
  <c r="R12" i="2"/>
  <c r="Q32" i="2"/>
  <c r="P32" i="2"/>
  <c r="N32" i="2"/>
  <c r="M32" i="2"/>
  <c r="O31" i="2"/>
  <c r="L31" i="2"/>
  <c r="O30" i="2"/>
  <c r="L30" i="2"/>
  <c r="O29" i="2"/>
  <c r="L29" i="2"/>
  <c r="O28" i="2"/>
  <c r="L28" i="2"/>
  <c r="O27" i="2"/>
  <c r="L27" i="2"/>
  <c r="O26" i="2"/>
  <c r="L26" i="2"/>
  <c r="O25" i="2"/>
  <c r="L25" i="2"/>
  <c r="O24" i="2"/>
  <c r="L24" i="2"/>
  <c r="O23" i="2"/>
  <c r="L23" i="2"/>
  <c r="O22" i="2"/>
  <c r="L22" i="2"/>
  <c r="O21" i="2"/>
  <c r="L21" i="2"/>
  <c r="O20" i="2"/>
  <c r="L20" i="2"/>
  <c r="O19" i="2"/>
  <c r="L19" i="2"/>
  <c r="O18" i="2"/>
  <c r="L18" i="2"/>
  <c r="O17" i="2"/>
  <c r="L17" i="2"/>
  <c r="O16" i="2"/>
  <c r="L16" i="2"/>
  <c r="O15" i="2"/>
  <c r="L15" i="2"/>
  <c r="O14" i="2"/>
  <c r="L14" i="2"/>
  <c r="O13" i="2"/>
  <c r="L13" i="2"/>
  <c r="O12" i="2"/>
  <c r="L12" i="2"/>
  <c r="O32" i="2" l="1"/>
  <c r="AA32" i="2"/>
  <c r="AJ32" i="2"/>
  <c r="AM32" i="2"/>
  <c r="AG32" i="2"/>
  <c r="AD32" i="2"/>
  <c r="X32" i="2"/>
  <c r="R32" i="2"/>
  <c r="U32" i="2"/>
  <c r="L32" i="2"/>
  <c r="K32" i="2" l="1"/>
  <c r="J32" i="2"/>
  <c r="I31" i="2"/>
  <c r="I30" i="2"/>
  <c r="I29" i="2"/>
  <c r="I28" i="2"/>
  <c r="I27" i="2"/>
  <c r="I26" i="2"/>
  <c r="I25" i="2"/>
  <c r="I24" i="2"/>
  <c r="I23" i="2"/>
  <c r="I22" i="2"/>
  <c r="I21" i="2"/>
  <c r="I20" i="2"/>
  <c r="I19" i="2"/>
  <c r="I18" i="2"/>
  <c r="I17" i="2"/>
  <c r="I16" i="2"/>
  <c r="I15" i="2"/>
  <c r="I14" i="2"/>
  <c r="I13" i="2"/>
  <c r="I12" i="2"/>
  <c r="G32" i="2"/>
  <c r="H32" i="2"/>
  <c r="F13" i="2"/>
  <c r="AP13" i="2" s="1"/>
  <c r="F14" i="2"/>
  <c r="AP14" i="2" s="1"/>
  <c r="F15" i="2"/>
  <c r="AP15" i="2" s="1"/>
  <c r="F16" i="2"/>
  <c r="AP16" i="2" s="1"/>
  <c r="F17" i="2"/>
  <c r="AP17" i="2" s="1"/>
  <c r="F18" i="2"/>
  <c r="AP18" i="2" s="1"/>
  <c r="F19" i="2"/>
  <c r="AP19" i="2" s="1"/>
  <c r="F20" i="2"/>
  <c r="AP20" i="2" s="1"/>
  <c r="F21" i="2"/>
  <c r="AP21" i="2" s="1"/>
  <c r="F22" i="2"/>
  <c r="AP22" i="2" s="1"/>
  <c r="F23" i="2"/>
  <c r="AP23" i="2" s="1"/>
  <c r="F24" i="2"/>
  <c r="AP24" i="2" s="1"/>
  <c r="F25" i="2"/>
  <c r="AP25" i="2" s="1"/>
  <c r="F26" i="2"/>
  <c r="AP26" i="2" s="1"/>
  <c r="F27" i="2"/>
  <c r="AP27" i="2" s="1"/>
  <c r="F28" i="2"/>
  <c r="AP28" i="2" s="1"/>
  <c r="F29" i="2"/>
  <c r="AP29" i="2" s="1"/>
  <c r="F30" i="2"/>
  <c r="AP30" i="2" s="1"/>
  <c r="F31" i="2"/>
  <c r="AP31" i="2" s="1"/>
  <c r="F12" i="2"/>
  <c r="AP12" i="2" s="1"/>
  <c r="AQ12" i="2" s="1"/>
  <c r="C32" i="2"/>
  <c r="I32" i="2" l="1"/>
  <c r="F32" i="2" l="1"/>
  <c r="E32" i="2"/>
  <c r="I50" i="3" s="1"/>
  <c r="D32" i="2"/>
  <c r="AQ31" i="2"/>
  <c r="AQ30" i="2"/>
  <c r="AQ29" i="2"/>
  <c r="AQ28" i="2"/>
  <c r="AQ27" i="2"/>
  <c r="AQ26" i="2"/>
  <c r="AQ25" i="2"/>
  <c r="AQ24" i="2"/>
  <c r="AQ23" i="2"/>
  <c r="AQ22" i="2"/>
  <c r="AQ21" i="2"/>
  <c r="AQ20" i="2"/>
  <c r="AQ19" i="2"/>
  <c r="AQ18" i="2"/>
  <c r="AQ17" i="2"/>
  <c r="AQ16" i="2"/>
  <c r="AQ15" i="2"/>
  <c r="AQ14" i="2"/>
  <c r="AQ13" i="2"/>
  <c r="AP32" i="2" l="1"/>
  <c r="AQ32" i="2" s="1"/>
  <c r="C49" i="3" s="1"/>
</calcChain>
</file>

<file path=xl/sharedStrings.xml><?xml version="1.0" encoding="utf-8"?>
<sst xmlns="http://schemas.openxmlformats.org/spreadsheetml/2006/main" count="334" uniqueCount="185">
  <si>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</si>
  <si>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</si>
  <si>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</si>
  <si>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</si>
  <si>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</si>
  <si>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</si>
  <si>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</si>
  <si>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</si>
  <si>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</si>
  <si>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</si>
  <si>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</si>
  <si>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</si>
  <si>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</si>
  <si>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</si>
  <si>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</si>
  <si>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</si>
  <si>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</si>
  <si>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</si>
  <si>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</si>
  <si>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</si>
  <si>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</si>
  <si>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</si>
  <si>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</si>
  <si>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</si>
  <si>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</si>
  <si>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</si>
  <si>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</si>
  <si>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</si>
  <si>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</si>
  <si>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</si>
  <si>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</si>
  <si>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</si>
  <si>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</si>
  <si>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</si>
  <si>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</si>
  <si>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</si>
  <si>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</si>
  <si>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</si>
  <si>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</si>
  <si>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</si>
  <si>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</si>
  <si>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</si>
  <si>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</si>
  <si>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</si>
  <si>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</si>
  <si>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</si>
  <si>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</si>
  <si>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</si>
  <si>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</si>
  <si>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</si>
  <si>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</si>
  <si>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</si>
  <si>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</si>
  <si>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</si>
  <si>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</si>
  <si>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</si>
  <si>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</si>
  <si>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</si>
  <si>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</si>
  <si>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</si>
  <si>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</si>
  <si>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</si>
  <si>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</si>
  <si>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</si>
  <si>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</si>
  <si>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</si>
  <si>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</si>
  <si>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</si>
  <si>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</si>
  <si>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</si>
  <si>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</si>
  <si>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</si>
  <si>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</si>
  <si>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</si>
  <si>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</si>
  <si>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</si>
  <si>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</si>
  <si>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</si>
  <si>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</si>
  <si>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</si>
  <si>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</si>
  <si>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</si>
  <si>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</si>
  <si>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</si>
  <si>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</si>
  <si>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</si>
  <si>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</si>
  <si>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</si>
  <si>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</si>
  <si>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</si>
  <si>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</si>
  <si>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</si>
  <si>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</si>
  <si>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</si>
  <si>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</si>
  <si>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</si>
  <si>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</si>
  <si>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</si>
  <si>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</si>
  <si>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</si>
  <si>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</si>
  <si>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</si>
  <si>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</si>
  <si>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</si>
  <si>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</si>
  <si>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</si>
  <si>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</si>
  <si>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</si>
  <si>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</si>
  <si>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</si>
  <si>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</si>
  <si>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</si>
  <si>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</si>
  <si>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</si>
  <si>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</si>
  <si>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</si>
  <si>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</si>
  <si>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</si>
  <si>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</si>
  <si>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</si>
  <si>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</si>
  <si>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</si>
  <si>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</si>
  <si>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</si>
  <si>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</si>
  <si>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</si>
  <si>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</si>
  <si>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令和4</t>
    <rPh sb="0" eb="2">
      <t>レイワ</t>
    </rPh>
    <phoneticPr fontId="1"/>
  </si>
  <si>
    <t>現代教養学部国際英語学科</t>
    <rPh sb="0" eb="4">
      <t>ゲンダイキョウヨウ</t>
    </rPh>
    <rPh sb="4" eb="6">
      <t>ガクブ</t>
    </rPh>
    <rPh sb="6" eb="8">
      <t>コクサイ</t>
    </rPh>
    <rPh sb="8" eb="10">
      <t>エイゴ</t>
    </rPh>
    <rPh sb="10" eb="12">
      <t>ガッカ</t>
    </rPh>
    <phoneticPr fontId="1"/>
  </si>
  <si>
    <t>現代教養学部人文学科</t>
    <rPh sb="0" eb="4">
      <t>ゲンダイキョウヨウ</t>
    </rPh>
    <rPh sb="4" eb="6">
      <t>ガクブ</t>
    </rPh>
    <rPh sb="6" eb="8">
      <t>ジンブン</t>
    </rPh>
    <rPh sb="8" eb="10">
      <t>ガッカ</t>
    </rPh>
    <phoneticPr fontId="1"/>
  </si>
  <si>
    <t>現代教養学部国際社会学科</t>
    <rPh sb="0" eb="4">
      <t>ゲンダイキョウヨウ</t>
    </rPh>
    <rPh sb="4" eb="6">
      <t>ガクブ</t>
    </rPh>
    <rPh sb="6" eb="8">
      <t>コクサイ</t>
    </rPh>
    <rPh sb="8" eb="10">
      <t>シャカイ</t>
    </rPh>
    <rPh sb="10" eb="12">
      <t>ガッカ</t>
    </rPh>
    <phoneticPr fontId="1"/>
  </si>
  <si>
    <t>現代教養学部心理・コミュニケーション学科</t>
    <rPh sb="0" eb="6">
      <t>ゲンダイキョウヨウガクブ</t>
    </rPh>
    <rPh sb="6" eb="8">
      <t>シンリ</t>
    </rPh>
    <rPh sb="18" eb="20">
      <t>ガッカ</t>
    </rPh>
    <phoneticPr fontId="1"/>
  </si>
  <si>
    <t>現代教養学部数理科学科</t>
    <rPh sb="0" eb="6">
      <t>ゲンダイキョウヨウガクブ</t>
    </rPh>
    <rPh sb="6" eb="11">
      <t>スウリカガッカ</t>
    </rPh>
    <phoneticPr fontId="1"/>
  </si>
  <si>
    <t>学部・学科によって、修了要件は相違しない</t>
  </si>
  <si>
    <t>プログラムを構成する「コア科目（第1区分）（下記１～5）」から8単位を取得すること。
1．文理融合データサイエンスⅠ(必修）
2．文理融合データサイエンスⅡA（選択必修）
3．文理融合データサイエンスⅡB（選択必修）
4．情報処理技法（リテラシ）Ⅰ（必修）
5．情報処理技法（リテラシ）Ⅱ（必修）</t>
    <phoneticPr fontId="1"/>
  </si>
  <si>
    <t>文理融合データサイエンスⅠ</t>
    <phoneticPr fontId="1"/>
  </si>
  <si>
    <t>文理融合データサイエンスⅡA</t>
    <phoneticPr fontId="1"/>
  </si>
  <si>
    <t>○</t>
  </si>
  <si>
    <t>文理融合データサイエンスⅠ</t>
    <phoneticPr fontId="1"/>
  </si>
  <si>
    <t>情報処理技法（リテラシ）Ⅰ</t>
    <phoneticPr fontId="1"/>
  </si>
  <si>
    <t>4‐3データ構造とプログラミング基礎</t>
  </si>
  <si>
    <t>4‐5テキスト解析</t>
  </si>
  <si>
    <t>4‐7データハンドリング</t>
  </si>
  <si>
    <t>4‐8データ活用実践（教師あり学習）</t>
  </si>
  <si>
    <t>4‐9データ活用実践（教師なし学習）</t>
  </si>
  <si>
    <t>加藤　由花</t>
    <phoneticPr fontId="1"/>
  </si>
  <si>
    <t>AI・データサイエンス教育研究センター長</t>
    <phoneticPr fontId="1"/>
  </si>
  <si>
    <t>AI・データサイエンス教育研究センター運営委員会</t>
    <phoneticPr fontId="1"/>
  </si>
  <si>
    <t>東京女子大学AI・データサイエンス教育研究センター規程</t>
    <rPh sb="0" eb="2">
      <t>トウキョウ</t>
    </rPh>
    <rPh sb="2" eb="4">
      <t>ジョシ</t>
    </rPh>
    <rPh sb="4" eb="6">
      <t>ダイガク</t>
    </rPh>
    <rPh sb="17" eb="21">
      <t>キョウイクケンキュウ</t>
    </rPh>
    <rPh sb="25" eb="27">
      <t>キテイ</t>
    </rPh>
    <phoneticPr fontId="1"/>
  </si>
  <si>
    <t>AIデータサイエンス教育研究センター運営委員会
AI・データサイエンス教育研究センター長　加藤由花
情報処理教育運営委員長　春名太一
教育・学修支援センター長　加藤尚吾
現代教養学部教員　丸山直子、工藤恵理子、竹内敦司　　　　　　　　　　　　　　　　　　　　　　　　　　　　　　　　　　　　　　　　　　　　　　　　　　　　　　　　　　教育研究支援部長　森久高</t>
    <phoneticPr fontId="1"/>
  </si>
  <si>
    <t>本学では「学生一人ひとりを大切にし、一人ひとりの力を伸ばす教育」を行うために、専任教員が学生一人ひとりを担当し、学習と進路についての助言や指導を行う「アドバイザー制度」を実施している。学生は、アドバイザーに履修や学習の進め方、副専攻の選択について相談することができる。必要に応じ、アドバイザーが他の教員や関係他部署との連携を取り、学生を支援する体制をとっている。
また、令和4年度には学内に「教育・学修支援センター(CTL)(Center for Teaching and Learning)」が新設された。ICT（情報通信技術）を活用して教育活動の改善と発展および質の高い学修支援を継続的に行うことを目的としており、学生を対象として授業や学修にICTを活用するためのワークショップなどを実施している。</t>
    <phoneticPr fontId="1"/>
  </si>
  <si>
    <t>データサイエンス副専攻コア科目の内、「情報処理技法（リテラシ）I」および「情報処理技法(リテラシ）II」については、授業時間中に学生アシスタントが付き、操作指導を行っている。授業外の自習時間にも、情報処理教室、自習室にアシスタントが待機しており、操作のサポートにあたっている。
「文理融合データサイエンスI」、「文理融合データサイエンスIIA」については、各授業に学生アシスタントが2名付き、授業内のPC操作や演習について学生をサポートしている。「文理融合データサイエンスIIA]では授業内でグーグルクラスルームを用いて、教材の掲載、課題提出、質疑応答などを行っている。
図書館では「マイライフ・マイライブラリー　学生の社会的成長を支援する滞在型図書館プログラム」の取り組みの一つとして、大学院学生が「学習コンシェルジェ」として学習全般やレポート作成などについて学部学生の支援を行っている。</t>
    <phoneticPr fontId="1"/>
  </si>
  <si>
    <t>東京女子大学自己点検・評価委員会</t>
    <phoneticPr fontId="1"/>
  </si>
  <si>
    <t>竹内健蔵</t>
    <phoneticPr fontId="1"/>
  </si>
  <si>
    <t>自己点検・評価委員長</t>
    <phoneticPr fontId="1"/>
  </si>
  <si>
    <t>データサイエンス副専攻コア科目のうち、「情報処理技法（リテラシ）I」及び「情報処理技法（リテラシ）II」については1年次必修科目に設定している。単位習得状況についてAIデータサイエンス教育研究センター運営委員会において、情報処理教育運営委員長を中心に確認を行う。
「文理融合データサイエンスI」「同IIA」および「同IIB」は、履修するために「データサイエンス副専攻」への登録が必要となるため、例年2年次および3年次学生の副専攻登録状況と合わせ、履修状況および単位修得状況をAIデータサイエンス教育研究センター運営委員会で確認を行い適宜改善を図る。</t>
    <phoneticPr fontId="1"/>
  </si>
  <si>
    <t>学修成果については、「学生による授業評価アンケート」、「２・３・４年次アンケート」および「4年次アンケート」、「文理融合データサイエンスI履修者対象アンケート」等によりＡＩ・データサイエンス教育研究センター運営委員会が確認を行い、教育内容・方法・成果において改善を図る。各調査をもとにした自己点検・評価結果は自己点検・評価委員会に報告し、全学的な見地から適切性を確認する。</t>
    <phoneticPr fontId="1"/>
  </si>
  <si>
    <t>コア科目必修科目である「文理融合データサイエンスIA」を履修した学生を対象にアンケートを実施し、学修成果および理解度等について調査を行っている。理解度についての調査結果をはじめ、単位の修得状況、担当教員へのヒアリングをもとに、AI・データサイエンス教育研究センター運営委員会において、教育内容や方法について検討を行い、理解度向上を図っている。</t>
    <phoneticPr fontId="1"/>
  </si>
  <si>
    <t>上述の「文理融合データサイエンスIA」履修者対象のアンケートにおいて、「データサイエンス副専攻の履修を検討している人がいたら、勧めることができますか。」と尋ねたところ、肯定的な回答が79％（非常にそう思う17％、ある程度そう思う62％）を占める結果となり、概ね好評であることが確認されている。</t>
    <phoneticPr fontId="1"/>
  </si>
  <si>
    <t>情報教育、コンピュータ利活用、テクニカルコミュニケーション分野の研究者（情報処理学会所属）にご協力いただき、データサイエンス副専攻コア科目の教育内容・手法や、当該科目により期待される学修成果について、書面審査による外部評価を実施した。当該教育プログラムの自己点検・評価結果と合わせ、AIデータサイエンス教育研究センター運営委員会で確認し、教育改善に役立てている。外部評価結果は、AIデータサイエンス教育研究センター運営委員会から自己点検・評価委員会に報告し、共有している。</t>
    <phoneticPr fontId="1"/>
  </si>
  <si>
    <t>「文理融合データサイエンスIIA」においては、講義は基礎的な内容を中心に進行させ、演習では各自の理解度に応じて課題に取り組めるようにすることで、履修者全員が「学ぶ楽しさ」を感じられるよう工夫している。
ｗｅｂ上（github）に、詳細説明や、解法についての補足資料を掲載し、自習できる環境を用意することで、各自の理解度に応じて演習を進めることができる。
また、学生の関心を引くテーマを取り扱う資料を配布し、データサイエンス, AIの応用が広がっていくこと、ひいてはＡＩ、数理、データサイエンスを学ぶ意義を理解できるようにしている。</t>
    <phoneticPr fontId="1"/>
  </si>
  <si>
    <t>AI・データサイエンス教育研究センター運営委員会において、上述の履修者対象アンケートや「学生による授業評価アンケート」、担当教員へのヒアリング内容をもとに、学生の理解度や学修成果を振り返り、内容・水準を維持・向上しつつより「分かりやすい」授業とするための改善を講じる体制としている。</t>
    <phoneticPr fontId="1"/>
  </si>
  <si>
    <t>東京女子大学に数理・データサイエンス・AI教育及び研究を確立・強化し、先端技術の進歩にともなう急激な社会変化に対応し、その理解と必要な基礎力を涵養するとともに当該分野・技術の研究・応用を牽引してゆく人材の育成に資することを目的としてAI・データサイエンス教育研究センター（Education and Research Center for AI and Data Science)を置く。数理・データサイエンス・AI に係る教育課程、授業計画、及び授業計画に伴う人事に関する事項を審議するため、同センター運営委員会を置く。</t>
    <phoneticPr fontId="1"/>
  </si>
  <si>
    <t>東京女子大学</t>
    <phoneticPr fontId="1"/>
  </si>
  <si>
    <t>データサイエンス関連科目の学びを通して、多様なデータ分析の方法を理解するだけでなく、自らデータから有益な
情報、知見を引き出す分析力を身につける。</t>
    <phoneticPr fontId="1"/>
  </si>
  <si>
    <t>データサイエンス副専攻は令和4年度から開始したため、同副専攻を登録した学生は最短で令和6年度に卒業する予定である。
大学全体では、4年次学生対象アンケート、卒業生調査、企業調査を実施し、学修成果や本学学生の活躍状況、企業からの評価を確認している。調査結果は自己点検・評価委員会の専門委員会であるAP小委員会で集計、分析を行い、自己点検・評価委員会に報告する。自己点検・評価委員会は分析結果を確認し、必要に応じて将来計画推進委員会への提言が行う体制としている。</t>
    <rPh sb="12" eb="14">
      <t>レイワ</t>
    </rPh>
    <rPh sb="41" eb="43">
      <t>レイワ</t>
    </rPh>
    <phoneticPr fontId="1"/>
  </si>
  <si>
    <t>令和5年度以降副専攻登録を検討する学生に向けては、データサイエンス副専攻の内容や履修前提となる科目について周知を強化している。
また、令和6年度には全学共通カリキュラム改定により、リテラシレベルに相当する「DS入門I」及び「DS入門II」を必修化することを決定しているため、令和6年度には履修率100％を達成できる予定である。</t>
    <rPh sb="0" eb="2">
      <t>レイワ</t>
    </rPh>
    <rPh sb="67" eb="69">
      <t>レイワ</t>
    </rPh>
    <rPh sb="137" eb="139">
      <t>レイワ</t>
    </rPh>
    <phoneticPr fontId="1"/>
  </si>
  <si>
    <t>副専攻登録にあたっては、年に3回の説明会を開催し、副専攻登録およびデータサイエンス関係の科目履修を促している。
なお、学内では令和6年度全学共通カリキュラム改正に向けた準備にあたっており、現行のデータサイエンス副専攻科目および情報処理科目を再編し、「AI・データサイエンス科目」とする予定である。初年次教育として、データサイエンス副専攻コア科目（リテラシレベル）に相当する内容を「DS入門I」および「DS入門II」の2科目にまとめ、1年次を対象として全学必修化する予定である。そのため、令和６年度以降入学者は履修率が100％となり、令和8年度までに全学年での履修率が100％となる予定である。</t>
    <rPh sb="63" eb="65">
      <t>レイワ</t>
    </rPh>
    <rPh sb="217" eb="219">
      <t>ネンジ</t>
    </rPh>
    <rPh sb="220" eb="222">
      <t>タイショウ</t>
    </rPh>
    <rPh sb="243" eb="245">
      <t>レイワ</t>
    </rPh>
    <rPh sb="246" eb="248">
      <t>ネンド</t>
    </rPh>
    <rPh sb="248" eb="250">
      <t>イコウ</t>
    </rPh>
    <rPh sb="250" eb="253">
      <t>ニュウガクシャ</t>
    </rPh>
    <rPh sb="254" eb="256">
      <t>リシュウ</t>
    </rPh>
    <rPh sb="256" eb="257">
      <t>リツ</t>
    </rPh>
    <rPh sb="266" eb="268">
      <t>レイワ</t>
    </rPh>
    <rPh sb="269" eb="271">
      <t>ネンド</t>
    </rPh>
    <rPh sb="274" eb="275">
      <t>ゼン</t>
    </rPh>
    <rPh sb="275" eb="277">
      <t>ガクネン</t>
    </rPh>
    <rPh sb="279" eb="281">
      <t>リシュウ</t>
    </rPh>
    <rPh sb="281" eb="282">
      <t>リツ</t>
    </rPh>
    <rPh sb="290" eb="292">
      <t>ヨテイ</t>
    </rPh>
    <phoneticPr fontId="1"/>
  </si>
  <si>
    <t>従前より、各学科専攻において、各学問領域に即しデータサイエンス、統計分析、データハンドリングを取り扱っており、例えば、日本文学専攻の「言語情報処理」、経済学専攻の「マーケティング」、情報理学専攻の「アルゴリズムとデータ構造」等、文理を問わず多様な分野の科目を設置している。こうした背景を生かし、データサイエンス副専攻を構成している。
データサイエンス副専攻コア科目ではデータサイエンスの手法を概観し、情報処理の基礎的スキルを身につけることができる。さらにデータサイエンス副専攻科目を一つのまとまりとして履修することで、データサイエンスの手法やデータに基づく考え方を修得するとともに、自身の専攻分野を学ぶ際の客観的分析方法としてデータサイエンスの手法を適用する思考力を身につけることができる。従って、学科専攻を問わず、専門との関連を意識しながらデータサイエンスを学ぶことができるプログラムとなっている。</t>
    <phoneticPr fontId="1"/>
  </si>
  <si>
    <t>副専攻登録にあたっては、年3回説明会を開催し、副専攻登録およびデータサイエンス関係の科目履修を促している。年度始めには、副専攻登録を開始する2年次学生、3年次学生を対象とした説明会と、AIデータサイエンス教育研究センター長による履修相談の機会を設けている。データサイエンス副専攻の履修計画をより有意義にするため、コア科目を履修する前に学んでおくことが望ましい科目などを周知している。
データサイエンス副専攻コア科目の単位を修得した者、データサイエンス副専攻修了者を対象に、オープンバッジを導入した。学修段階に応じてオープンバッジを付与することで、データサイエンスを学ぶ意欲の向上に資すると考えられる。就職活動等の場面で学修成果のアピール手段として活用することもできる。副次的な効果としてデータサイエンス副専攻の認知度向上を期待し、対象学生にはオープンバッジを積極的に活用するよう周知を行っている。</t>
    <phoneticPr fontId="1"/>
  </si>
  <si>
    <t>データサイエンス副専攻コア科目</t>
    <rPh sb="8" eb="11">
      <t>フクセンコウ</t>
    </rPh>
    <rPh sb="13" eb="15">
      <t>カモク</t>
    </rPh>
    <phoneticPr fontId="1"/>
  </si>
  <si>
    <t>文理融合データサイエンスⅡB</t>
    <phoneticPr fontId="1"/>
  </si>
  <si>
    <t>・ビッグデータ、IoT、AI、ロボット 「文理融合データサイエンスⅠ」（１回目）
・データ量の増加、計算機の処理性能の向上、AIの非連続的進化 「文理融合データサイエンスⅠ」（１回目）
・第4次産業革命、Society 5.0、データ駆動型社会 「文理融合データサイエンスⅠ」（１回目）
・複数技術を組み合わせたAIサービス 「文理融合データサイエンスⅠ」（１回目）
・人間の知的活動とAIの関係性 「文理融合データサイエンスⅠ」（１回目）
・データを起点としたものの見方、人間の知的活動を起点としたものの見方 「文理融合データサイエンスⅠ」（１回目）</t>
    <rPh sb="37" eb="39">
      <t>カイメ</t>
    </rPh>
    <phoneticPr fontId="1"/>
  </si>
  <si>
    <t>・AI等を活用した新しいビジネスモデル(シェアリングエコノミー、商品のレコメンデーションなど) 「文理融合データサイエンスⅡA」（１回目）、「文理融合データサイエンスⅡB」（１回目）
・AI最新技術の活用例（深層生成モデル、敵対的生成ネットワーク、強化学習、転移学習など） 「文理融合データサイエンスⅡA」（１回目）、「文理融合データサイエンスⅡB」（１３回目）</t>
    <phoneticPr fontId="1"/>
  </si>
  <si>
    <t>・調査データ、実験データ、人の行動ログデータ、機械の稼働ログデータなど 「文理融合データサイエンスⅠ」（１回目）
・1次データ、2次データ、データのメタ化 「文理融合データサイエンスⅠ」（１回目）
・構造化データ、非構造化データ（文章、画像/動画、音声/音楽など） 「文理融合データサイエンスⅠ」（１回目）
・データ作成（ビッグデータとアノテーション） 「文理融合データサイエンスⅠ」（１回目）
・データのオープン化（オープンデータ） 「文理融合データサイエンスⅠ」（１回目）</t>
    <phoneticPr fontId="1"/>
  </si>
  <si>
    <t>・データ・AI活用領域の広がり(生産、消費、文化活動など) 「文理融合データサイエンスⅠ」（１回目）
・研究開発、調達、製造、物流、販売、マーケティング、サービスなど 「文理融合データサイエンスⅠ」（１回目）
・仮説検証、知識発見、原因究明、計画策定、判断支援、活動代替、新規生成など 「文理融合データサイエンスⅠ」（１回目）</t>
    <phoneticPr fontId="1"/>
  </si>
  <si>
    <t>・データサイエンスのサイクル（課題抽出と定式化、データの取得・管理・加工、探索的データ解析、データ解析と推論、結果の共有・伝達、課題解決に向けた提案） 「文理融合データサイエンスⅠ」（１回目）
・流通、製造、金融、サービス、インフラ、公共、ヘルスケア等におけるデータ・AI利活用事例紹介 「文理融合データサイエンスⅠ」（１回目）</t>
    <phoneticPr fontId="1"/>
  </si>
  <si>
    <t>・ELSI（Ethical, Legal and Social Issues） 「情報処理技法（リテラシ）Ⅰ」（７、８回目）
・個人情報保護、EU一般データ保護規則(GDPR)、忘れられる権利、オプトアウト 「情報処理技法（リテラシ）Ⅰ」（７、８回目）
・データ倫理：データのねつ造、改ざん、盗用、プライバシー保護 「情報処理技法（リテラシ）Ⅰ」（７、８回目）
・AI社会原則（公平性、説明責任、透明性、人間中心の判断） 「文理融合データサイエンスⅡB」（１３回目）
・データバイアス、アルゴリズムバイアス 「文理融合データサイエンスⅡB」（１３回目）
・AIサービスの責任論 「文理融合データサイエンスⅡB」（１３回目）
・データ・AI活用における負の事例紹介 「文理融合データサイエンスⅡB」（１３回目）</t>
    <rPh sb="59" eb="61">
      <t>カイメ</t>
    </rPh>
    <phoneticPr fontId="1"/>
  </si>
  <si>
    <t>・情報セキュリティ：機密性、完全性、可用性 「情報処理技法（リテラシ）Ⅰ」（１、５、６、８回目）
・匿名加工情報、暗号化、パスワード、悪意ある情報搾取 「情報処理技法（リテラシ）Ⅰ」（１、５、６、８回目）
・情報漏洩等によるセキュリティ事故の事例紹介 「情報処理技法（リテラシ）Ⅰ」（１、５、６、８回目）</t>
    <phoneticPr fontId="1"/>
  </si>
  <si>
    <t>・データ表現（棒グラフ、折線グラフ、散布図、ヒートマップ） 「文理融合データサイエンスⅠ」（３、５、７回目）、「情報処理技法（リテラシ）Ⅱ」（３、４回目）
・データの図表表現（チャート化） 「文理融合データサイエンスⅠ」（２、４、５回目）、「情報処理技法（リテラシ）Ⅱ」（２、４回目）
・データの比較（条件をそろえた比較、処理の前後での比較、A/Bテスト) 「情報処理技法（リテラシ）Ⅱ」（４回目）
・不適切なグラフ表現（チャートジャンク、不必要な視覚的要素） 「情報処理技法（リテラシ）Ⅱ」（３、４回目）
・優れた可視化事例の紹介（可視化することによって新たな気づきがあった事例など） 「文理融合データサイエンスⅠ」（７回目）、「情報処理技法（リテラシ）Ⅱ」（４回目）</t>
    <phoneticPr fontId="1"/>
  </si>
  <si>
    <t>・データの種類（量的変数、質的変数） 「文理融合データサイエンスⅠ」（２回目）、「情報処理技法（リテラシ）Ⅱ」（２回目）
・データの分布(ヒストグラム)と代表値（平均値、中央値、最頻値） 「文理融合データサイエンスⅠ」（３、４回目）「情報処理技法（リテラシ）Ⅱ」（３、４回目）
・代表値の性質の違い（実社会では平均値＝最頻値でないことが多い） 「文理融合データサイエンスⅠ」（４、５回目）
・データのばらつき（分散、標準偏差、偏差値） 「文理融合データサイエンスⅠ」（５回目）
・母集団と標本抽出（国勢調査、アンケート調査、全数調査、単純無作為抽出、層別抽出、多段抽出） 「文理融合データサイエンスⅠ」（６回目）
・クロス集計表、分割表、相関係数行列、散布図行列 「文理融合データサイエンスⅠ」（７回目）、「情報処理技法（リテラシ）Ⅱ」（２回目）
・統計情報の正しい理解（誇張表現に惑わされない） 「情報処理技法（リテラシ）Ⅰ」（１０～１３回目）</t>
    <phoneticPr fontId="1"/>
  </si>
  <si>
    <t>・データの集計（和、平均）  「文理融合データサイエンスⅠ」（２～７回目）、「情報処理技法（リテラシ）Ⅱ」（２～４回目）
・データの並び替え、ランキング  「文理融合データサイエンスⅠ」（２～７回目）、「情報処理技法（リテラシ）Ⅱ」（２～４回目）
・データ解析ツール（スプレッドシート）  「文理融合データサイエンスⅠ」（２～７回目）、「情報処理技法（リテラシ）Ⅱ」（２～４回目）
・表形式のデータ（csv）  「文理融合データサイエンスⅠ」（２、７回目）、「情報処理技法（リテラシ）Ⅱ」（２～４回目）</t>
    <phoneticPr fontId="1"/>
  </si>
  <si>
    <t>・データ解析：予測、グルーピング、パターン発見、最適化、シミュレーション・データ同化など 「文理融合データサイエンスⅠ」（１、５～１３回目）、「情報処理技法（リテラシ）Ⅱ」（２～４回目）
・データ可視化：複合グラフ、2軸グラフ、多次元の可視化、関係性の可視化、地図上の可視化、挙動・軌跡の可視化、リアルタイム可視化など 「文理融合データサイエンスⅠ」（１、３～７回目）、「情報処理技法（リテラシ）Ⅱ」（２～４回目）
・非構造化データ処理：言語処理、画像/動画処理、音声/音楽処理など 「文理融合データサイエンスⅡB」（１３回目）
・特化型AIと汎用AI、今のAIで出来ることと出来ないこと、AIとビッグデータ 「文理融合データサイエンスⅡB」（１３回目）
・認識技術、ルールベース、自動化技術 「文理融合データサイエンスⅡB」（１３回目）</t>
    <phoneticPr fontId="1"/>
  </si>
  <si>
    <t>情報処理技法（リテラシ）Ⅱ</t>
  </si>
  <si>
    <t>文理融合データサイエンスⅡB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</si>
</sst>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10"/>
      <name val="ＭＳ Ｐゴシック"/>
      <family val="3"/>
      <charset val="128"/>
      <scheme val="minor"/>
    </font>
    <font>
      <sz val="8.5"/>
      <name val="ＭＳ Ｐゴシック"/>
      <family val="3"/>
      <charset val="128"/>
      <scheme val="minor"/>
    </font>
    <font>
      <sz val="9.5"/>
      <name val="ＭＳ Ｐゴシック"/>
      <family val="3"/>
      <charset val="128"/>
      <scheme val="minor"/>
    </font>
    <font>
      <sz val="9.5"/>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23" xfId="0" applyFont="1" applyBorder="1" applyAlignment="1">
      <alignment horizontal="center" vertical="center" shrinkToFit="1"/>
    </xf>
    <xf numFmtId="0" fontId="11" fillId="0" borderId="15" xfId="0" applyFont="1" applyBorder="1" applyAlignment="1">
      <alignment horizontal="center" vertical="center" shrinkToFit="1"/>
    </xf>
    <xf numFmtId="0" fontId="2" fillId="0" borderId="0" xfId="0" applyFont="1" applyBorder="1">
      <alignment vertical="center"/>
    </xf>
    <xf numFmtId="0" fontId="12" fillId="0" borderId="0" xfId="0" applyFont="1" applyBorder="1" applyAlignment="1">
      <alignment vertical="center" wrapText="1" shrinkToFit="1"/>
    </xf>
    <xf numFmtId="0" fontId="12" fillId="0" borderId="42" xfId="0" applyFont="1" applyBorder="1" applyAlignment="1">
      <alignment vertical="center" wrapText="1" shrinkToFit="1"/>
    </xf>
    <xf numFmtId="0" fontId="12" fillId="0" borderId="22" xfId="0" applyFont="1" applyBorder="1" applyAlignment="1">
      <alignment vertical="center" wrapText="1" shrinkToFit="1"/>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vertical="center" wrapText="1"/>
    </xf>
    <xf numFmtId="0" fontId="2" fillId="0" borderId="60" xfId="0" applyFont="1" applyBorder="1" applyAlignment="1">
      <alignment horizontal="center"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14" fillId="0" borderId="7" xfId="0" applyFont="1" applyBorder="1" applyAlignment="1">
      <alignment horizontal="left" vertical="center" wrapText="1" shrinkToFit="1"/>
    </xf>
    <xf numFmtId="0" fontId="14" fillId="0" borderId="8" xfId="0" applyFont="1" applyBorder="1" applyAlignment="1">
      <alignment horizontal="left" vertical="center" wrapText="1" shrinkToFit="1"/>
    </xf>
    <xf numFmtId="0" fontId="14" fillId="0" borderId="9" xfId="0" applyFont="1" applyBorder="1" applyAlignment="1">
      <alignment horizontal="left" vertical="center" wrapText="1" shrinkToFit="1"/>
    </xf>
    <xf numFmtId="0" fontId="15" fillId="0" borderId="19" xfId="0" applyFont="1" applyBorder="1" applyAlignment="1">
      <alignment horizontal="left" vertical="center" wrapText="1" shrinkToFit="1"/>
    </xf>
    <xf numFmtId="0" fontId="15" fillId="0" borderId="20" xfId="0" applyFont="1" applyBorder="1" applyAlignment="1">
      <alignment horizontal="left" vertical="center" wrapText="1" shrinkToFit="1"/>
    </xf>
    <xf numFmtId="0" fontId="15" fillId="0" borderId="18" xfId="0" applyFont="1" applyBorder="1" applyAlignment="1">
      <alignment horizontal="left" vertical="center" wrapText="1"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0" xfId="0" applyFont="1" applyAlignment="1">
      <alignment horizontal="right" vertical="center"/>
    </xf>
    <xf numFmtId="0" fontId="11" fillId="0" borderId="7" xfId="0" applyFont="1" applyBorder="1" applyAlignment="1">
      <alignment vertical="center" shrinkToFit="1"/>
    </xf>
    <xf numFmtId="0" fontId="11" fillId="0" borderId="8" xfId="0" applyFont="1" applyBorder="1" applyAlignment="1">
      <alignment vertical="center" shrinkToFit="1"/>
    </xf>
    <xf numFmtId="0" fontId="11" fillId="0" borderId="9"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5" fillId="0" borderId="34" xfId="0" applyFont="1" applyBorder="1" applyAlignment="1">
      <alignment horizontal="left" vertical="center" wrapText="1" shrinkToFit="1"/>
    </xf>
    <xf numFmtId="0" fontId="5" fillId="0" borderId="36" xfId="0" applyFont="1" applyBorder="1" applyAlignment="1">
      <alignment horizontal="left" vertical="center" shrinkToFit="1"/>
    </xf>
    <xf numFmtId="0" fontId="5" fillId="0" borderId="35" xfId="0" applyFont="1" applyBorder="1" applyAlignment="1">
      <alignment horizontal="left" vertical="center" shrinkToFit="1"/>
    </xf>
    <xf numFmtId="0" fontId="2" fillId="0" borderId="11"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6" fillId="0" borderId="34" xfId="0" applyFont="1" applyBorder="1" applyAlignment="1">
      <alignment horizontal="left" vertical="center" wrapText="1" shrinkToFit="1"/>
    </xf>
    <xf numFmtId="0" fontId="16" fillId="0" borderId="36" xfId="0" applyFont="1" applyBorder="1" applyAlignment="1">
      <alignment horizontal="left" vertical="center" wrapText="1" shrinkToFit="1"/>
    </xf>
    <xf numFmtId="0" fontId="16" fillId="0" borderId="35" xfId="0" applyFont="1" applyBorder="1" applyAlignment="1">
      <alignment horizontal="left" vertical="center" wrapText="1" shrinkToFit="1"/>
    </xf>
    <xf numFmtId="0" fontId="2" fillId="0" borderId="37"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7" fillId="0" borderId="7" xfId="0" applyFont="1" applyBorder="1" applyAlignment="1">
      <alignment horizontal="left" vertical="center" wrapText="1" shrinkToFit="1"/>
    </xf>
    <xf numFmtId="0" fontId="7" fillId="0" borderId="8" xfId="0" applyFont="1" applyBorder="1" applyAlignment="1">
      <alignment horizontal="left" vertical="center" wrapText="1" shrinkToFit="1"/>
    </xf>
    <xf numFmtId="0" fontId="7" fillId="0" borderId="9" xfId="0" applyFont="1" applyBorder="1" applyAlignment="1">
      <alignment horizontal="left" vertical="center" wrapText="1" shrinkToFit="1"/>
    </xf>
    <xf numFmtId="0" fontId="13" fillId="0" borderId="37" xfId="0" applyFont="1" applyBorder="1" applyAlignment="1">
      <alignment horizontal="left" vertical="center" wrapText="1" shrinkToFit="1"/>
    </xf>
    <xf numFmtId="0" fontId="13" fillId="0" borderId="38" xfId="0" applyFont="1" applyBorder="1" applyAlignment="1">
      <alignment horizontal="left" vertical="center" wrapText="1" shrinkToFit="1"/>
    </xf>
    <xf numFmtId="0" fontId="13" fillId="0" borderId="3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5" fillId="0" borderId="8" xfId="0" applyFont="1" applyBorder="1" applyAlignment="1">
      <alignment horizontal="left" vertical="center" wrapText="1" shrinkToFit="1"/>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1" xfId="0" applyNumberFormat="1" applyFont="1" applyFill="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9" fillId="0" borderId="2"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0" style="1" hidden="1" customWidth="1"/>
    <col min="23" max="16384" width="9" style="1"/>
  </cols>
  <sheetData>
    <row r="1" spans="1:22" ht="18.600000000000001" customHeight="1" x14ac:dyDescent="0.2">
      <c r="R1" s="117" t="s">
        <v>12</v>
      </c>
      <c r="S1" s="117"/>
      <c r="T1" s="2" t="s">
        <v>110</v>
      </c>
    </row>
    <row r="2" spans="1:22" ht="18.75" customHeight="1" x14ac:dyDescent="0.2">
      <c r="B2" s="34" t="s">
        <v>109</v>
      </c>
      <c r="C2" s="99" t="s">
        <v>163</v>
      </c>
      <c r="D2" s="101"/>
      <c r="E2" s="101"/>
      <c r="F2" s="101"/>
      <c r="G2" s="101"/>
      <c r="H2" s="101"/>
      <c r="I2" s="100"/>
      <c r="J2" s="35"/>
      <c r="K2" s="6"/>
      <c r="L2" s="6"/>
      <c r="M2" s="6"/>
      <c r="N2" s="6"/>
      <c r="O2" s="6"/>
      <c r="P2" s="6"/>
      <c r="Q2" s="6"/>
      <c r="R2" s="6"/>
      <c r="S2" s="6"/>
    </row>
    <row r="3" spans="1:22" ht="18.75" customHeight="1" x14ac:dyDescent="0.2">
      <c r="B3" s="34" t="s">
        <v>103</v>
      </c>
      <c r="C3" s="99" t="s">
        <v>170</v>
      </c>
      <c r="D3" s="101"/>
      <c r="E3" s="101"/>
      <c r="F3" s="101"/>
      <c r="G3" s="101"/>
      <c r="H3" s="101"/>
      <c r="I3" s="100"/>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39" t="s">
        <v>39</v>
      </c>
      <c r="B5" s="139"/>
      <c r="C5" s="139"/>
      <c r="D5" s="139"/>
      <c r="E5" s="139"/>
      <c r="F5" s="139"/>
      <c r="G5" s="139"/>
      <c r="H5" s="139"/>
      <c r="I5" s="139"/>
      <c r="J5" s="139"/>
      <c r="K5" s="139"/>
      <c r="L5" s="139"/>
      <c r="M5" s="139"/>
      <c r="N5" s="139"/>
      <c r="O5" s="139"/>
      <c r="P5" s="139"/>
      <c r="Q5" s="139"/>
      <c r="R5" s="139"/>
      <c r="S5" s="13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36" t="s">
        <v>133</v>
      </c>
      <c r="L7" s="137"/>
      <c r="M7" s="137"/>
      <c r="N7" s="137"/>
      <c r="O7" s="137"/>
      <c r="P7" s="137"/>
      <c r="Q7" s="137"/>
      <c r="R7" s="137"/>
      <c r="S7" s="138"/>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40"/>
      <c r="C9" s="141"/>
      <c r="D9" s="141"/>
      <c r="E9" s="141"/>
      <c r="F9" s="141"/>
      <c r="G9" s="141"/>
      <c r="H9" s="141"/>
      <c r="I9" s="141"/>
      <c r="J9" s="141"/>
      <c r="K9" s="141"/>
      <c r="L9" s="141"/>
      <c r="M9" s="141"/>
      <c r="N9" s="141"/>
      <c r="O9" s="141"/>
      <c r="P9" s="141"/>
      <c r="Q9" s="141"/>
      <c r="R9" s="141"/>
      <c r="S9" s="142"/>
    </row>
    <row r="10" spans="1:22" ht="18" customHeight="1" x14ac:dyDescent="0.2">
      <c r="B10" s="143"/>
      <c r="C10" s="144"/>
      <c r="D10" s="144"/>
      <c r="E10" s="144"/>
      <c r="F10" s="144"/>
      <c r="G10" s="144"/>
      <c r="H10" s="144"/>
      <c r="I10" s="144"/>
      <c r="J10" s="144"/>
      <c r="K10" s="144"/>
      <c r="L10" s="144"/>
      <c r="M10" s="144"/>
      <c r="N10" s="144"/>
      <c r="O10" s="144"/>
      <c r="P10" s="144"/>
      <c r="Q10" s="144"/>
      <c r="R10" s="144"/>
      <c r="S10" s="145"/>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27" t="s">
        <v>134</v>
      </c>
      <c r="C13" s="128"/>
      <c r="D13" s="128"/>
      <c r="E13" s="128"/>
      <c r="F13" s="128"/>
      <c r="G13" s="128"/>
      <c r="H13" s="128"/>
      <c r="I13" s="128"/>
      <c r="J13" s="128"/>
      <c r="K13" s="128"/>
      <c r="L13" s="128"/>
      <c r="M13" s="128"/>
      <c r="N13" s="128"/>
      <c r="O13" s="128"/>
      <c r="P13" s="128"/>
      <c r="Q13" s="128"/>
      <c r="R13" s="128"/>
      <c r="S13" s="129"/>
      <c r="V13" s="1" t="s">
        <v>104</v>
      </c>
    </row>
    <row r="14" spans="1:22" ht="18" customHeight="1" x14ac:dyDescent="0.2">
      <c r="B14" s="130"/>
      <c r="C14" s="131"/>
      <c r="D14" s="131"/>
      <c r="E14" s="131"/>
      <c r="F14" s="131"/>
      <c r="G14" s="131"/>
      <c r="H14" s="131"/>
      <c r="I14" s="131"/>
      <c r="J14" s="131"/>
      <c r="K14" s="131"/>
      <c r="L14" s="131"/>
      <c r="M14" s="131"/>
      <c r="N14" s="131"/>
      <c r="O14" s="131"/>
      <c r="P14" s="131"/>
      <c r="Q14" s="131"/>
      <c r="R14" s="131"/>
      <c r="S14" s="132"/>
      <c r="V14" s="1" t="s">
        <v>111</v>
      </c>
    </row>
    <row r="15" spans="1:22" ht="18" customHeight="1" x14ac:dyDescent="0.2">
      <c r="B15" s="130"/>
      <c r="C15" s="131"/>
      <c r="D15" s="131"/>
      <c r="E15" s="131"/>
      <c r="F15" s="131"/>
      <c r="G15" s="131"/>
      <c r="H15" s="131"/>
      <c r="I15" s="131"/>
      <c r="J15" s="131"/>
      <c r="K15" s="131"/>
      <c r="L15" s="131"/>
      <c r="M15" s="131"/>
      <c r="N15" s="131"/>
      <c r="O15" s="131"/>
      <c r="P15" s="131"/>
      <c r="Q15" s="131"/>
      <c r="R15" s="131"/>
      <c r="S15" s="132"/>
      <c r="V15" s="1" t="s">
        <v>124</v>
      </c>
    </row>
    <row r="16" spans="1:22" ht="18" customHeight="1" x14ac:dyDescent="0.2">
      <c r="B16" s="130"/>
      <c r="C16" s="131"/>
      <c r="D16" s="131"/>
      <c r="E16" s="131"/>
      <c r="F16" s="131"/>
      <c r="G16" s="131"/>
      <c r="H16" s="131"/>
      <c r="I16" s="131"/>
      <c r="J16" s="131"/>
      <c r="K16" s="131"/>
      <c r="L16" s="131"/>
      <c r="M16" s="131"/>
      <c r="N16" s="131"/>
      <c r="O16" s="131"/>
      <c r="P16" s="131"/>
      <c r="Q16" s="131"/>
      <c r="R16" s="131"/>
      <c r="S16" s="132"/>
      <c r="V16" s="1" t="s">
        <v>126</v>
      </c>
    </row>
    <row r="17" spans="1:19" ht="18" customHeight="1" x14ac:dyDescent="0.2">
      <c r="B17" s="130"/>
      <c r="C17" s="131"/>
      <c r="D17" s="131"/>
      <c r="E17" s="131"/>
      <c r="F17" s="131"/>
      <c r="G17" s="131"/>
      <c r="H17" s="131"/>
      <c r="I17" s="131"/>
      <c r="J17" s="131"/>
      <c r="K17" s="131"/>
      <c r="L17" s="131"/>
      <c r="M17" s="131"/>
      <c r="N17" s="131"/>
      <c r="O17" s="131"/>
      <c r="P17" s="131"/>
      <c r="Q17" s="131"/>
      <c r="R17" s="131"/>
      <c r="S17" s="132"/>
    </row>
    <row r="18" spans="1:19" ht="18" customHeight="1" x14ac:dyDescent="0.2">
      <c r="B18" s="133"/>
      <c r="C18" s="134"/>
      <c r="D18" s="134"/>
      <c r="E18" s="134"/>
      <c r="F18" s="134"/>
      <c r="G18" s="134"/>
      <c r="H18" s="134"/>
      <c r="I18" s="134"/>
      <c r="J18" s="134"/>
      <c r="K18" s="134"/>
      <c r="L18" s="134"/>
      <c r="M18" s="134"/>
      <c r="N18" s="134"/>
      <c r="O18" s="134"/>
      <c r="P18" s="134"/>
      <c r="Q18" s="134"/>
      <c r="R18" s="134"/>
      <c r="S18" s="135"/>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9">
        <v>8</v>
      </c>
      <c r="D20" s="100"/>
      <c r="E20" s="40" t="s">
        <v>96</v>
      </c>
      <c r="G20" s="10"/>
      <c r="H20" s="3"/>
      <c r="I20" s="3"/>
      <c r="J20" s="35" t="s">
        <v>122</v>
      </c>
      <c r="K20" s="124" t="s">
        <v>124</v>
      </c>
      <c r="L20" s="125"/>
      <c r="M20" s="125"/>
      <c r="N20" s="125"/>
      <c r="O20" s="125"/>
      <c r="P20" s="125"/>
      <c r="Q20" s="125"/>
      <c r="R20" s="125"/>
      <c r="S20" s="12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8" t="s">
        <v>114</v>
      </c>
      <c r="B22" s="98"/>
      <c r="C22" s="98"/>
      <c r="D22" s="98"/>
      <c r="E22" s="98"/>
      <c r="F22" s="98"/>
      <c r="G22" s="98"/>
      <c r="H22" s="98"/>
      <c r="I22" s="98"/>
      <c r="J22" s="98"/>
      <c r="K22" s="98"/>
      <c r="L22" s="98"/>
      <c r="M22" s="98"/>
      <c r="N22" s="98"/>
      <c r="O22" s="98"/>
      <c r="P22" s="98"/>
      <c r="Q22" s="98"/>
      <c r="R22" s="98"/>
      <c r="S22" s="98"/>
    </row>
    <row r="23" spans="1:19" ht="18" customHeight="1" x14ac:dyDescent="0.2">
      <c r="A23" s="98"/>
      <c r="B23" s="98"/>
      <c r="C23" s="98"/>
      <c r="D23" s="98"/>
      <c r="E23" s="98"/>
      <c r="F23" s="98"/>
      <c r="G23" s="98"/>
      <c r="H23" s="98"/>
      <c r="I23" s="98"/>
      <c r="J23" s="98"/>
      <c r="K23" s="98"/>
      <c r="L23" s="98"/>
      <c r="M23" s="98"/>
      <c r="N23" s="98"/>
      <c r="O23" s="98"/>
      <c r="P23" s="98"/>
      <c r="Q23" s="98"/>
      <c r="R23" s="98"/>
      <c r="S23" s="98"/>
    </row>
    <row r="24" spans="1:19" ht="18" customHeight="1" x14ac:dyDescent="0.2">
      <c r="B24" s="99" t="s">
        <v>54</v>
      </c>
      <c r="C24" s="101"/>
      <c r="D24" s="101"/>
      <c r="E24" s="100"/>
      <c r="F24" s="61" t="s">
        <v>81</v>
      </c>
      <c r="G24" s="60" t="s">
        <v>85</v>
      </c>
      <c r="H24" s="22" t="s">
        <v>57</v>
      </c>
      <c r="I24" s="22" t="s">
        <v>60</v>
      </c>
      <c r="J24" s="99" t="s">
        <v>54</v>
      </c>
      <c r="K24" s="101"/>
      <c r="L24" s="101"/>
      <c r="M24" s="101"/>
      <c r="N24" s="101"/>
      <c r="O24" s="100"/>
      <c r="P24" s="61" t="s">
        <v>81</v>
      </c>
      <c r="Q24" s="60" t="s">
        <v>85</v>
      </c>
      <c r="R24" s="22" t="s">
        <v>57</v>
      </c>
      <c r="S24" s="22" t="s">
        <v>60</v>
      </c>
    </row>
    <row r="25" spans="1:19" ht="18" customHeight="1" x14ac:dyDescent="0.2">
      <c r="B25" s="118" t="s">
        <v>135</v>
      </c>
      <c r="C25" s="119"/>
      <c r="D25" s="119"/>
      <c r="E25" s="120"/>
      <c r="F25" s="83">
        <v>2</v>
      </c>
      <c r="G25" s="23" t="s">
        <v>137</v>
      </c>
      <c r="H25" s="23" t="s">
        <v>137</v>
      </c>
      <c r="I25" s="23"/>
      <c r="J25" s="102"/>
      <c r="K25" s="103"/>
      <c r="L25" s="103"/>
      <c r="M25" s="103"/>
      <c r="N25" s="103"/>
      <c r="O25" s="104"/>
      <c r="P25" s="23"/>
      <c r="Q25" s="23"/>
      <c r="R25" s="23"/>
      <c r="S25" s="23"/>
    </row>
    <row r="26" spans="1:19" ht="18" customHeight="1" x14ac:dyDescent="0.2">
      <c r="B26" s="121" t="s">
        <v>136</v>
      </c>
      <c r="C26" s="122"/>
      <c r="D26" s="122"/>
      <c r="E26" s="123"/>
      <c r="F26" s="82">
        <v>2</v>
      </c>
      <c r="G26" s="24"/>
      <c r="H26" s="24"/>
      <c r="I26" s="24" t="s">
        <v>137</v>
      </c>
      <c r="J26" s="92"/>
      <c r="K26" s="93"/>
      <c r="L26" s="93"/>
      <c r="M26" s="93"/>
      <c r="N26" s="93"/>
      <c r="O26" s="94"/>
      <c r="P26" s="24"/>
      <c r="Q26" s="24"/>
      <c r="R26" s="24"/>
      <c r="S26" s="24"/>
    </row>
    <row r="27" spans="1:19" ht="18" customHeight="1" x14ac:dyDescent="0.2">
      <c r="B27" s="92" t="s">
        <v>171</v>
      </c>
      <c r="C27" s="93"/>
      <c r="D27" s="93"/>
      <c r="E27" s="94"/>
      <c r="F27" s="82">
        <v>2</v>
      </c>
      <c r="G27" s="24"/>
      <c r="H27" s="24"/>
      <c r="I27" s="24" t="s">
        <v>137</v>
      </c>
      <c r="J27" s="92"/>
      <c r="K27" s="93"/>
      <c r="L27" s="93"/>
      <c r="M27" s="93"/>
      <c r="N27" s="93"/>
      <c r="O27" s="94"/>
      <c r="P27" s="24"/>
      <c r="Q27" s="24"/>
      <c r="R27" s="24"/>
      <c r="S27" s="24"/>
    </row>
    <row r="28" spans="1:19" ht="18" customHeight="1" x14ac:dyDescent="0.2">
      <c r="B28" s="92"/>
      <c r="C28" s="93"/>
      <c r="D28" s="93"/>
      <c r="E28" s="94"/>
      <c r="F28" s="24"/>
      <c r="G28" s="24"/>
      <c r="H28" s="24"/>
      <c r="I28" s="24"/>
      <c r="J28" s="92"/>
      <c r="K28" s="93"/>
      <c r="L28" s="93"/>
      <c r="M28" s="93"/>
      <c r="N28" s="93"/>
      <c r="O28" s="94"/>
      <c r="P28" s="24"/>
      <c r="Q28" s="24"/>
      <c r="R28" s="24"/>
      <c r="S28" s="24"/>
    </row>
    <row r="29" spans="1:19" ht="18" customHeight="1" x14ac:dyDescent="0.2">
      <c r="B29" s="92"/>
      <c r="C29" s="93"/>
      <c r="D29" s="93"/>
      <c r="E29" s="94"/>
      <c r="F29" s="24"/>
      <c r="G29" s="24"/>
      <c r="H29" s="24"/>
      <c r="I29" s="24"/>
      <c r="J29" s="92"/>
      <c r="K29" s="93"/>
      <c r="L29" s="93"/>
      <c r="M29" s="93"/>
      <c r="N29" s="93"/>
      <c r="O29" s="94"/>
      <c r="P29" s="24"/>
      <c r="Q29" s="24"/>
      <c r="R29" s="24"/>
      <c r="S29" s="24"/>
    </row>
    <row r="30" spans="1:19" ht="18" customHeight="1" x14ac:dyDescent="0.2">
      <c r="A30" s="3"/>
      <c r="B30" s="92"/>
      <c r="C30" s="93"/>
      <c r="D30" s="93"/>
      <c r="E30" s="94"/>
      <c r="F30" s="24"/>
      <c r="G30" s="24"/>
      <c r="H30" s="24"/>
      <c r="I30" s="24"/>
      <c r="J30" s="92"/>
      <c r="K30" s="93"/>
      <c r="L30" s="93"/>
      <c r="M30" s="93"/>
      <c r="N30" s="93"/>
      <c r="O30" s="94"/>
      <c r="P30" s="24"/>
      <c r="Q30" s="24"/>
      <c r="R30" s="24"/>
      <c r="S30" s="24"/>
    </row>
    <row r="31" spans="1:19" ht="18" customHeight="1" x14ac:dyDescent="0.2">
      <c r="A31" s="3"/>
      <c r="B31" s="95"/>
      <c r="C31" s="96"/>
      <c r="D31" s="96"/>
      <c r="E31" s="97"/>
      <c r="F31" s="25"/>
      <c r="G31" s="25"/>
      <c r="H31" s="26"/>
      <c r="I31" s="26"/>
      <c r="J31" s="95"/>
      <c r="K31" s="96"/>
      <c r="L31" s="96"/>
      <c r="M31" s="96"/>
      <c r="N31" s="96"/>
      <c r="O31" s="97"/>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8" t="s">
        <v>115</v>
      </c>
      <c r="B33" s="98"/>
      <c r="C33" s="98"/>
      <c r="D33" s="98"/>
      <c r="E33" s="98"/>
      <c r="F33" s="98"/>
      <c r="G33" s="98"/>
      <c r="H33" s="98"/>
      <c r="I33" s="98"/>
      <c r="J33" s="98"/>
      <c r="K33" s="98"/>
      <c r="L33" s="98"/>
      <c r="M33" s="98"/>
      <c r="N33" s="98"/>
      <c r="O33" s="98"/>
      <c r="P33" s="98"/>
      <c r="Q33" s="98"/>
      <c r="R33" s="98"/>
      <c r="S33" s="98"/>
    </row>
    <row r="34" spans="1:19" ht="18" customHeight="1" x14ac:dyDescent="0.2">
      <c r="A34" s="98"/>
      <c r="B34" s="98"/>
      <c r="C34" s="98"/>
      <c r="D34" s="98"/>
      <c r="E34" s="98"/>
      <c r="F34" s="98"/>
      <c r="G34" s="98"/>
      <c r="H34" s="98"/>
      <c r="I34" s="98"/>
      <c r="J34" s="98"/>
      <c r="K34" s="98"/>
      <c r="L34" s="98"/>
      <c r="M34" s="98"/>
      <c r="N34" s="98"/>
      <c r="O34" s="98"/>
      <c r="P34" s="98"/>
      <c r="Q34" s="98"/>
      <c r="R34" s="98"/>
      <c r="S34" s="98"/>
    </row>
    <row r="35" spans="1:19" ht="18" customHeight="1" x14ac:dyDescent="0.2">
      <c r="B35" s="99" t="s">
        <v>54</v>
      </c>
      <c r="C35" s="101"/>
      <c r="D35" s="101"/>
      <c r="E35" s="100"/>
      <c r="F35" s="61" t="s">
        <v>81</v>
      </c>
      <c r="G35" s="60" t="s">
        <v>85</v>
      </c>
      <c r="H35" s="22" t="s">
        <v>72</v>
      </c>
      <c r="I35" s="22" t="s">
        <v>73</v>
      </c>
      <c r="J35" s="99" t="s">
        <v>54</v>
      </c>
      <c r="K35" s="101"/>
      <c r="L35" s="101"/>
      <c r="M35" s="101"/>
      <c r="N35" s="101"/>
      <c r="O35" s="100"/>
      <c r="P35" s="61" t="s">
        <v>81</v>
      </c>
      <c r="Q35" s="60" t="s">
        <v>85</v>
      </c>
      <c r="R35" s="22" t="s">
        <v>72</v>
      </c>
      <c r="S35" s="22" t="s">
        <v>73</v>
      </c>
    </row>
    <row r="36" spans="1:19" ht="18" customHeight="1" x14ac:dyDescent="0.2">
      <c r="B36" s="102" t="s">
        <v>138</v>
      </c>
      <c r="C36" s="103"/>
      <c r="D36" s="103"/>
      <c r="E36" s="104"/>
      <c r="F36" s="23">
        <v>2</v>
      </c>
      <c r="G36" s="23" t="s">
        <v>137</v>
      </c>
      <c r="H36" s="23" t="s">
        <v>137</v>
      </c>
      <c r="I36" s="23" t="s">
        <v>137</v>
      </c>
      <c r="J36" s="102"/>
      <c r="K36" s="103"/>
      <c r="L36" s="103"/>
      <c r="M36" s="103"/>
      <c r="N36" s="103"/>
      <c r="O36" s="104"/>
      <c r="P36" s="23"/>
      <c r="Q36" s="23"/>
      <c r="R36" s="23"/>
      <c r="S36" s="23"/>
    </row>
    <row r="37" spans="1:19" ht="18" customHeight="1" x14ac:dyDescent="0.2">
      <c r="B37" s="92"/>
      <c r="C37" s="93"/>
      <c r="D37" s="93"/>
      <c r="E37" s="94"/>
      <c r="F37" s="24"/>
      <c r="G37" s="24"/>
      <c r="H37" s="24"/>
      <c r="I37" s="24"/>
      <c r="J37" s="92"/>
      <c r="K37" s="93"/>
      <c r="L37" s="93"/>
      <c r="M37" s="93"/>
      <c r="N37" s="93"/>
      <c r="O37" s="94"/>
      <c r="P37" s="24"/>
      <c r="Q37" s="24"/>
      <c r="R37" s="24"/>
      <c r="S37" s="24"/>
    </row>
    <row r="38" spans="1:19" ht="18" customHeight="1" x14ac:dyDescent="0.2">
      <c r="B38" s="92"/>
      <c r="C38" s="93"/>
      <c r="D38" s="93"/>
      <c r="E38" s="94"/>
      <c r="F38" s="24"/>
      <c r="G38" s="24"/>
      <c r="H38" s="24"/>
      <c r="I38" s="24"/>
      <c r="J38" s="92"/>
      <c r="K38" s="93"/>
      <c r="L38" s="93"/>
      <c r="M38" s="93"/>
      <c r="N38" s="93"/>
      <c r="O38" s="94"/>
      <c r="P38" s="24"/>
      <c r="Q38" s="24"/>
      <c r="R38" s="24"/>
      <c r="S38" s="24"/>
    </row>
    <row r="39" spans="1:19" ht="18" customHeight="1" x14ac:dyDescent="0.2">
      <c r="B39" s="92"/>
      <c r="C39" s="93"/>
      <c r="D39" s="93"/>
      <c r="E39" s="94"/>
      <c r="F39" s="24"/>
      <c r="G39" s="24"/>
      <c r="H39" s="24"/>
      <c r="I39" s="24"/>
      <c r="J39" s="92"/>
      <c r="K39" s="93"/>
      <c r="L39" s="93"/>
      <c r="M39" s="93"/>
      <c r="N39" s="93"/>
      <c r="O39" s="94"/>
      <c r="P39" s="24"/>
      <c r="Q39" s="24"/>
      <c r="R39" s="24"/>
      <c r="S39" s="24"/>
    </row>
    <row r="40" spans="1:19" ht="18" customHeight="1" x14ac:dyDescent="0.2">
      <c r="B40" s="92"/>
      <c r="C40" s="93"/>
      <c r="D40" s="93"/>
      <c r="E40" s="94"/>
      <c r="F40" s="24"/>
      <c r="G40" s="24"/>
      <c r="H40" s="24"/>
      <c r="I40" s="24"/>
      <c r="J40" s="92"/>
      <c r="K40" s="93"/>
      <c r="L40" s="93"/>
      <c r="M40" s="93"/>
      <c r="N40" s="93"/>
      <c r="O40" s="94"/>
      <c r="P40" s="24"/>
      <c r="Q40" s="24"/>
      <c r="R40" s="24"/>
      <c r="S40" s="24"/>
    </row>
    <row r="41" spans="1:19" ht="18" customHeight="1" x14ac:dyDescent="0.2">
      <c r="B41" s="92"/>
      <c r="C41" s="93"/>
      <c r="D41" s="93"/>
      <c r="E41" s="94"/>
      <c r="F41" s="24"/>
      <c r="G41" s="24"/>
      <c r="H41" s="24"/>
      <c r="I41" s="24"/>
      <c r="J41" s="92"/>
      <c r="K41" s="93"/>
      <c r="L41" s="93"/>
      <c r="M41" s="93"/>
      <c r="N41" s="93"/>
      <c r="O41" s="94"/>
      <c r="P41" s="24"/>
      <c r="Q41" s="24"/>
      <c r="R41" s="24"/>
      <c r="S41" s="24"/>
    </row>
    <row r="42" spans="1:19" ht="18" customHeight="1" x14ac:dyDescent="0.2">
      <c r="B42" s="95"/>
      <c r="C42" s="96"/>
      <c r="D42" s="96"/>
      <c r="E42" s="97"/>
      <c r="F42" s="25"/>
      <c r="G42" s="25"/>
      <c r="H42" s="26"/>
      <c r="I42" s="26"/>
      <c r="J42" s="95"/>
      <c r="K42" s="96"/>
      <c r="L42" s="96"/>
      <c r="M42" s="96"/>
      <c r="N42" s="96"/>
      <c r="O42" s="97"/>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8" t="s">
        <v>116</v>
      </c>
      <c r="B44" s="98"/>
      <c r="C44" s="98"/>
      <c r="D44" s="98"/>
      <c r="E44" s="98"/>
      <c r="F44" s="98"/>
      <c r="G44" s="98"/>
      <c r="H44" s="98"/>
      <c r="I44" s="98"/>
      <c r="J44" s="98"/>
      <c r="K44" s="98"/>
      <c r="L44" s="98"/>
      <c r="M44" s="98"/>
      <c r="N44" s="98"/>
      <c r="O44" s="98"/>
      <c r="P44" s="98"/>
      <c r="Q44" s="98"/>
      <c r="R44" s="98"/>
      <c r="S44" s="98"/>
    </row>
    <row r="45" spans="1:19" ht="18" customHeight="1" x14ac:dyDescent="0.2">
      <c r="A45" s="98"/>
      <c r="B45" s="98"/>
      <c r="C45" s="98"/>
      <c r="D45" s="98"/>
      <c r="E45" s="98"/>
      <c r="F45" s="98"/>
      <c r="G45" s="98"/>
      <c r="H45" s="98"/>
      <c r="I45" s="98"/>
      <c r="J45" s="98"/>
      <c r="K45" s="98"/>
      <c r="L45" s="98"/>
      <c r="M45" s="98"/>
      <c r="N45" s="98"/>
      <c r="O45" s="98"/>
      <c r="P45" s="98"/>
      <c r="Q45" s="98"/>
      <c r="R45" s="98"/>
      <c r="S45" s="98"/>
    </row>
    <row r="46" spans="1:19" ht="18" customHeight="1" x14ac:dyDescent="0.2">
      <c r="B46" s="99" t="s">
        <v>54</v>
      </c>
      <c r="C46" s="101"/>
      <c r="D46" s="101"/>
      <c r="E46" s="100"/>
      <c r="F46" s="61" t="s">
        <v>81</v>
      </c>
      <c r="G46" s="60" t="s">
        <v>85</v>
      </c>
      <c r="H46" s="22" t="s">
        <v>74</v>
      </c>
      <c r="I46" s="22" t="s">
        <v>75</v>
      </c>
      <c r="J46" s="99" t="s">
        <v>54</v>
      </c>
      <c r="K46" s="101"/>
      <c r="L46" s="101"/>
      <c r="M46" s="101"/>
      <c r="N46" s="101"/>
      <c r="O46" s="100"/>
      <c r="P46" s="61" t="s">
        <v>81</v>
      </c>
      <c r="Q46" s="60" t="s">
        <v>85</v>
      </c>
      <c r="R46" s="22" t="s">
        <v>74</v>
      </c>
      <c r="S46" s="22" t="s">
        <v>75</v>
      </c>
    </row>
    <row r="47" spans="1:19" ht="18" customHeight="1" x14ac:dyDescent="0.2">
      <c r="A47" s="3"/>
      <c r="B47" s="102" t="s">
        <v>138</v>
      </c>
      <c r="C47" s="103"/>
      <c r="D47" s="103"/>
      <c r="E47" s="104"/>
      <c r="F47" s="23">
        <v>2</v>
      </c>
      <c r="G47" s="23" t="s">
        <v>137</v>
      </c>
      <c r="H47" s="23" t="s">
        <v>137</v>
      </c>
      <c r="I47" s="23" t="s">
        <v>137</v>
      </c>
      <c r="J47" s="102"/>
      <c r="K47" s="103"/>
      <c r="L47" s="103"/>
      <c r="M47" s="103"/>
      <c r="N47" s="103"/>
      <c r="O47" s="104"/>
      <c r="P47" s="23"/>
      <c r="Q47" s="23"/>
      <c r="R47" s="23"/>
      <c r="S47" s="23"/>
    </row>
    <row r="48" spans="1:19" ht="18" customHeight="1" x14ac:dyDescent="0.2">
      <c r="A48" s="3"/>
      <c r="B48" s="92" t="s">
        <v>184</v>
      </c>
      <c r="C48" s="93"/>
      <c r="D48" s="93"/>
      <c r="E48" s="94"/>
      <c r="F48" s="24">
        <v>2</v>
      </c>
      <c r="G48" s="24"/>
      <c r="H48" s="24" t="s">
        <v>137</v>
      </c>
      <c r="I48" s="24"/>
      <c r="J48" s="92"/>
      <c r="K48" s="93"/>
      <c r="L48" s="93"/>
      <c r="M48" s="93"/>
      <c r="N48" s="93"/>
      <c r="O48" s="94"/>
      <c r="P48" s="24"/>
      <c r="Q48" s="24"/>
      <c r="R48" s="24"/>
      <c r="S48" s="24"/>
    </row>
    <row r="49" spans="1:19" ht="18" customHeight="1" x14ac:dyDescent="0.2">
      <c r="A49" s="3"/>
      <c r="B49" s="92" t="s">
        <v>183</v>
      </c>
      <c r="C49" s="93"/>
      <c r="D49" s="93"/>
      <c r="E49" s="94"/>
      <c r="F49" s="24">
        <v>2</v>
      </c>
      <c r="G49" s="24" t="s">
        <v>137</v>
      </c>
      <c r="H49" s="24" t="s">
        <v>137</v>
      </c>
      <c r="I49" s="24"/>
      <c r="J49" s="92"/>
      <c r="K49" s="93"/>
      <c r="L49" s="93"/>
      <c r="M49" s="93"/>
      <c r="N49" s="93"/>
      <c r="O49" s="94"/>
      <c r="P49" s="24"/>
      <c r="Q49" s="24"/>
      <c r="R49" s="24"/>
      <c r="S49" s="24"/>
    </row>
    <row r="50" spans="1:19" ht="18" customHeight="1" x14ac:dyDescent="0.2">
      <c r="A50" s="3"/>
      <c r="B50" s="92"/>
      <c r="C50" s="93"/>
      <c r="D50" s="93"/>
      <c r="E50" s="94"/>
      <c r="F50" s="24"/>
      <c r="G50" s="24"/>
      <c r="H50" s="24"/>
      <c r="I50" s="24"/>
      <c r="J50" s="92"/>
      <c r="K50" s="93"/>
      <c r="L50" s="93"/>
      <c r="M50" s="93"/>
      <c r="N50" s="93"/>
      <c r="O50" s="94"/>
      <c r="P50" s="24"/>
      <c r="Q50" s="24"/>
      <c r="R50" s="24"/>
      <c r="S50" s="24"/>
    </row>
    <row r="51" spans="1:19" ht="18" customHeight="1" x14ac:dyDescent="0.2">
      <c r="A51" s="3"/>
      <c r="B51" s="92"/>
      <c r="C51" s="93"/>
      <c r="D51" s="93"/>
      <c r="E51" s="94"/>
      <c r="F51" s="24"/>
      <c r="G51" s="24"/>
      <c r="H51" s="24"/>
      <c r="I51" s="24"/>
      <c r="J51" s="92"/>
      <c r="K51" s="93"/>
      <c r="L51" s="93"/>
      <c r="M51" s="93"/>
      <c r="N51" s="93"/>
      <c r="O51" s="94"/>
      <c r="P51" s="24"/>
      <c r="Q51" s="24"/>
      <c r="R51" s="24"/>
      <c r="S51" s="24"/>
    </row>
    <row r="52" spans="1:19" ht="18" customHeight="1" x14ac:dyDescent="0.2">
      <c r="A52" s="3"/>
      <c r="B52" s="92"/>
      <c r="C52" s="93"/>
      <c r="D52" s="93"/>
      <c r="E52" s="94"/>
      <c r="F52" s="24"/>
      <c r="G52" s="24"/>
      <c r="H52" s="24"/>
      <c r="I52" s="24"/>
      <c r="J52" s="92"/>
      <c r="K52" s="93"/>
      <c r="L52" s="93"/>
      <c r="M52" s="93"/>
      <c r="N52" s="93"/>
      <c r="O52" s="94"/>
      <c r="P52" s="24"/>
      <c r="Q52" s="24"/>
      <c r="R52" s="24"/>
      <c r="S52" s="24"/>
    </row>
    <row r="53" spans="1:19" ht="18" customHeight="1" x14ac:dyDescent="0.2">
      <c r="A53" s="3"/>
      <c r="B53" s="95"/>
      <c r="C53" s="96"/>
      <c r="D53" s="96"/>
      <c r="E53" s="97"/>
      <c r="F53" s="25"/>
      <c r="G53" s="25"/>
      <c r="H53" s="26"/>
      <c r="I53" s="26"/>
      <c r="J53" s="95"/>
      <c r="K53" s="96"/>
      <c r="L53" s="96"/>
      <c r="M53" s="96"/>
      <c r="N53" s="96"/>
      <c r="O53" s="97"/>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8" t="s">
        <v>117</v>
      </c>
      <c r="B55" s="98"/>
      <c r="C55" s="98"/>
      <c r="D55" s="98"/>
      <c r="E55" s="98"/>
      <c r="F55" s="98"/>
      <c r="G55" s="98"/>
      <c r="H55" s="98"/>
      <c r="I55" s="98"/>
      <c r="J55" s="98"/>
      <c r="K55" s="98"/>
      <c r="L55" s="98"/>
      <c r="M55" s="98"/>
      <c r="N55" s="98"/>
      <c r="O55" s="98"/>
      <c r="P55" s="98"/>
      <c r="Q55" s="98"/>
      <c r="R55" s="98"/>
      <c r="S55" s="98"/>
    </row>
    <row r="56" spans="1:19" ht="18" customHeight="1" x14ac:dyDescent="0.2">
      <c r="A56" s="98"/>
      <c r="B56" s="98"/>
      <c r="C56" s="98"/>
      <c r="D56" s="98"/>
      <c r="E56" s="98"/>
      <c r="F56" s="98"/>
      <c r="G56" s="98"/>
      <c r="H56" s="98"/>
      <c r="I56" s="98"/>
      <c r="J56" s="98"/>
      <c r="K56" s="98"/>
      <c r="L56" s="98"/>
      <c r="M56" s="98"/>
      <c r="N56" s="98"/>
      <c r="O56" s="98"/>
      <c r="P56" s="98"/>
      <c r="Q56" s="98"/>
      <c r="R56" s="98"/>
      <c r="S56" s="98"/>
    </row>
    <row r="57" spans="1:19" ht="18" customHeight="1" x14ac:dyDescent="0.2">
      <c r="B57" s="99" t="s">
        <v>54</v>
      </c>
      <c r="C57" s="101"/>
      <c r="D57" s="101"/>
      <c r="E57" s="100"/>
      <c r="F57" s="61" t="s">
        <v>81</v>
      </c>
      <c r="G57" s="60" t="s">
        <v>85</v>
      </c>
      <c r="H57" s="22" t="s">
        <v>59</v>
      </c>
      <c r="I57" s="22" t="s">
        <v>61</v>
      </c>
      <c r="J57" s="99" t="s">
        <v>54</v>
      </c>
      <c r="K57" s="101"/>
      <c r="L57" s="101"/>
      <c r="M57" s="101"/>
      <c r="N57" s="101"/>
      <c r="O57" s="100"/>
      <c r="P57" s="61" t="s">
        <v>81</v>
      </c>
      <c r="Q57" s="60" t="s">
        <v>85</v>
      </c>
      <c r="R57" s="22" t="s">
        <v>59</v>
      </c>
      <c r="S57" s="22" t="s">
        <v>61</v>
      </c>
    </row>
    <row r="58" spans="1:19" ht="18" customHeight="1" x14ac:dyDescent="0.2">
      <c r="A58" s="3"/>
      <c r="B58" s="102" t="s">
        <v>139</v>
      </c>
      <c r="C58" s="103"/>
      <c r="D58" s="103"/>
      <c r="E58" s="104"/>
      <c r="F58" s="23">
        <v>2</v>
      </c>
      <c r="G58" s="23" t="s">
        <v>137</v>
      </c>
      <c r="H58" s="23" t="s">
        <v>137</v>
      </c>
      <c r="I58" s="23" t="s">
        <v>137</v>
      </c>
      <c r="J58" s="102"/>
      <c r="K58" s="103"/>
      <c r="L58" s="103"/>
      <c r="M58" s="103"/>
      <c r="N58" s="103"/>
      <c r="O58" s="104"/>
      <c r="P58" s="23"/>
      <c r="Q58" s="23"/>
      <c r="R58" s="23"/>
      <c r="S58" s="23"/>
    </row>
    <row r="59" spans="1:19" ht="18" customHeight="1" x14ac:dyDescent="0.2">
      <c r="A59" s="3"/>
      <c r="B59" s="92" t="s">
        <v>171</v>
      </c>
      <c r="C59" s="93"/>
      <c r="D59" s="93"/>
      <c r="E59" s="94"/>
      <c r="F59" s="91">
        <v>2</v>
      </c>
      <c r="G59" s="24"/>
      <c r="H59" s="24" t="s">
        <v>137</v>
      </c>
      <c r="I59" s="24"/>
      <c r="J59" s="92"/>
      <c r="K59" s="93"/>
      <c r="L59" s="93"/>
      <c r="M59" s="93"/>
      <c r="N59" s="93"/>
      <c r="O59" s="94"/>
      <c r="P59" s="24"/>
      <c r="Q59" s="24"/>
      <c r="R59" s="24"/>
      <c r="S59" s="24"/>
    </row>
    <row r="60" spans="1:19" ht="18" customHeight="1" x14ac:dyDescent="0.2">
      <c r="A60" s="3"/>
      <c r="B60" s="92"/>
      <c r="C60" s="93"/>
      <c r="D60" s="93"/>
      <c r="E60" s="94"/>
      <c r="F60" s="24"/>
      <c r="G60" s="24"/>
      <c r="H60" s="24"/>
      <c r="I60" s="24"/>
      <c r="J60" s="92"/>
      <c r="K60" s="93"/>
      <c r="L60" s="93"/>
      <c r="M60" s="93"/>
      <c r="N60" s="93"/>
      <c r="O60" s="94"/>
      <c r="P60" s="24"/>
      <c r="Q60" s="24"/>
      <c r="R60" s="24"/>
      <c r="S60" s="24"/>
    </row>
    <row r="61" spans="1:19" ht="18" customHeight="1" x14ac:dyDescent="0.2">
      <c r="A61" s="3"/>
      <c r="B61" s="92"/>
      <c r="C61" s="93"/>
      <c r="D61" s="93"/>
      <c r="E61" s="94"/>
      <c r="F61" s="24"/>
      <c r="G61" s="24"/>
      <c r="H61" s="24"/>
      <c r="I61" s="24"/>
      <c r="J61" s="92"/>
      <c r="K61" s="93"/>
      <c r="L61" s="93"/>
      <c r="M61" s="93"/>
      <c r="N61" s="93"/>
      <c r="O61" s="94"/>
      <c r="P61" s="24"/>
      <c r="Q61" s="24"/>
      <c r="R61" s="24"/>
      <c r="S61" s="24"/>
    </row>
    <row r="62" spans="1:19" ht="18" customHeight="1" x14ac:dyDescent="0.2">
      <c r="A62" s="3"/>
      <c r="B62" s="92"/>
      <c r="C62" s="93"/>
      <c r="D62" s="93"/>
      <c r="E62" s="94"/>
      <c r="F62" s="24"/>
      <c r="G62" s="24"/>
      <c r="H62" s="24"/>
      <c r="I62" s="24"/>
      <c r="J62" s="92"/>
      <c r="K62" s="93"/>
      <c r="L62" s="93"/>
      <c r="M62" s="93"/>
      <c r="N62" s="93"/>
      <c r="O62" s="94"/>
      <c r="P62" s="24"/>
      <c r="Q62" s="24"/>
      <c r="R62" s="24"/>
      <c r="S62" s="24"/>
    </row>
    <row r="63" spans="1:19" ht="18" customHeight="1" x14ac:dyDescent="0.2">
      <c r="A63" s="3"/>
      <c r="B63" s="92"/>
      <c r="C63" s="93"/>
      <c r="D63" s="93"/>
      <c r="E63" s="94"/>
      <c r="F63" s="24"/>
      <c r="G63" s="24"/>
      <c r="H63" s="24"/>
      <c r="I63" s="24"/>
      <c r="J63" s="92"/>
      <c r="K63" s="93"/>
      <c r="L63" s="93"/>
      <c r="M63" s="93"/>
      <c r="N63" s="93"/>
      <c r="O63" s="94"/>
      <c r="P63" s="24"/>
      <c r="Q63" s="24"/>
      <c r="R63" s="24"/>
      <c r="S63" s="24"/>
    </row>
    <row r="64" spans="1:19" ht="18" customHeight="1" x14ac:dyDescent="0.2">
      <c r="A64" s="3"/>
      <c r="B64" s="95"/>
      <c r="C64" s="96"/>
      <c r="D64" s="96"/>
      <c r="E64" s="97"/>
      <c r="F64" s="25"/>
      <c r="G64" s="25"/>
      <c r="H64" s="26"/>
      <c r="I64" s="26"/>
      <c r="J64" s="95"/>
      <c r="K64" s="96"/>
      <c r="L64" s="96"/>
      <c r="M64" s="96"/>
      <c r="N64" s="96"/>
      <c r="O64" s="97"/>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8" t="s">
        <v>118</v>
      </c>
      <c r="B66" s="98"/>
      <c r="C66" s="98"/>
      <c r="D66" s="98"/>
      <c r="E66" s="98"/>
      <c r="F66" s="98"/>
      <c r="G66" s="98"/>
      <c r="H66" s="98"/>
      <c r="I66" s="98"/>
      <c r="J66" s="98"/>
      <c r="K66" s="98"/>
      <c r="L66" s="98"/>
      <c r="M66" s="98"/>
      <c r="N66" s="98"/>
      <c r="O66" s="98"/>
      <c r="P66" s="98"/>
      <c r="Q66" s="98"/>
      <c r="R66" s="98"/>
      <c r="S66" s="98"/>
    </row>
    <row r="67" spans="1:19" ht="18" customHeight="1" x14ac:dyDescent="0.2">
      <c r="A67" s="98"/>
      <c r="B67" s="98"/>
      <c r="C67" s="98"/>
      <c r="D67" s="98"/>
      <c r="E67" s="98"/>
      <c r="F67" s="98"/>
      <c r="G67" s="98"/>
      <c r="H67" s="98"/>
      <c r="I67" s="98"/>
      <c r="J67" s="98"/>
      <c r="K67" s="98"/>
      <c r="L67" s="98"/>
      <c r="M67" s="98"/>
      <c r="N67" s="98"/>
      <c r="O67" s="98"/>
      <c r="P67" s="98"/>
      <c r="Q67" s="98"/>
      <c r="R67" s="98"/>
      <c r="S67" s="98"/>
    </row>
    <row r="68" spans="1:19" ht="18" customHeight="1" x14ac:dyDescent="0.2">
      <c r="B68" s="99" t="s">
        <v>54</v>
      </c>
      <c r="C68" s="101"/>
      <c r="D68" s="101"/>
      <c r="E68" s="61" t="s">
        <v>81</v>
      </c>
      <c r="F68" s="60" t="s">
        <v>85</v>
      </c>
      <c r="G68" s="22" t="s">
        <v>102</v>
      </c>
      <c r="H68" s="22" t="s">
        <v>76</v>
      </c>
      <c r="I68" s="22" t="s">
        <v>77</v>
      </c>
      <c r="J68" s="99" t="s">
        <v>54</v>
      </c>
      <c r="K68" s="101"/>
      <c r="L68" s="101"/>
      <c r="M68" s="101"/>
      <c r="N68" s="100"/>
      <c r="O68" s="61" t="s">
        <v>81</v>
      </c>
      <c r="P68" s="60" t="s">
        <v>85</v>
      </c>
      <c r="Q68" s="22" t="s">
        <v>102</v>
      </c>
      <c r="R68" s="22" t="s">
        <v>76</v>
      </c>
      <c r="S68" s="22" t="s">
        <v>77</v>
      </c>
    </row>
    <row r="69" spans="1:19" ht="18" customHeight="1" x14ac:dyDescent="0.2">
      <c r="A69" s="3"/>
      <c r="B69" s="102" t="s">
        <v>138</v>
      </c>
      <c r="C69" s="103"/>
      <c r="D69" s="103"/>
      <c r="E69" s="23">
        <v>2</v>
      </c>
      <c r="F69" s="23" t="s">
        <v>137</v>
      </c>
      <c r="G69" s="23" t="s">
        <v>137</v>
      </c>
      <c r="H69" s="23" t="s">
        <v>137</v>
      </c>
      <c r="I69" s="23" t="s">
        <v>137</v>
      </c>
      <c r="J69" s="102"/>
      <c r="K69" s="103"/>
      <c r="L69" s="103"/>
      <c r="M69" s="103"/>
      <c r="N69" s="104"/>
      <c r="O69" s="23"/>
      <c r="P69" s="23"/>
      <c r="Q69" s="23"/>
      <c r="R69" s="23"/>
      <c r="S69" s="23"/>
    </row>
    <row r="70" spans="1:19" ht="18" customHeight="1" x14ac:dyDescent="0.2">
      <c r="A70" s="3"/>
      <c r="B70" s="92" t="s">
        <v>139</v>
      </c>
      <c r="C70" s="93"/>
      <c r="D70" s="93"/>
      <c r="E70" s="24">
        <v>2</v>
      </c>
      <c r="F70" s="24" t="s">
        <v>137</v>
      </c>
      <c r="G70" s="24" t="s">
        <v>137</v>
      </c>
      <c r="H70" s="24"/>
      <c r="I70" s="24"/>
      <c r="J70" s="92"/>
      <c r="K70" s="93"/>
      <c r="L70" s="93"/>
      <c r="M70" s="93"/>
      <c r="N70" s="94"/>
      <c r="O70" s="24"/>
      <c r="P70" s="24"/>
      <c r="Q70" s="24"/>
      <c r="R70" s="24"/>
      <c r="S70" s="24"/>
    </row>
    <row r="71" spans="1:19" ht="18" customHeight="1" x14ac:dyDescent="0.2">
      <c r="A71" s="3"/>
      <c r="B71" s="92" t="s">
        <v>183</v>
      </c>
      <c r="C71" s="93"/>
      <c r="D71" s="93"/>
      <c r="E71" s="24">
        <v>2</v>
      </c>
      <c r="F71" s="24" t="s">
        <v>137</v>
      </c>
      <c r="G71" s="24" t="s">
        <v>137</v>
      </c>
      <c r="H71" s="24" t="s">
        <v>137</v>
      </c>
      <c r="I71" s="24" t="s">
        <v>137</v>
      </c>
      <c r="J71" s="92"/>
      <c r="K71" s="93"/>
      <c r="L71" s="93"/>
      <c r="M71" s="93"/>
      <c r="N71" s="94"/>
      <c r="O71" s="24"/>
      <c r="P71" s="24"/>
      <c r="Q71" s="24"/>
      <c r="R71" s="24"/>
      <c r="S71" s="24"/>
    </row>
    <row r="72" spans="1:19" ht="18" customHeight="1" x14ac:dyDescent="0.2">
      <c r="A72" s="3"/>
      <c r="B72" s="92"/>
      <c r="C72" s="93"/>
      <c r="D72" s="93"/>
      <c r="E72" s="24"/>
      <c r="F72" s="24"/>
      <c r="G72" s="24"/>
      <c r="H72" s="24"/>
      <c r="I72" s="24"/>
      <c r="J72" s="92"/>
      <c r="K72" s="93"/>
      <c r="L72" s="93"/>
      <c r="M72" s="93"/>
      <c r="N72" s="94"/>
      <c r="O72" s="24"/>
      <c r="P72" s="24"/>
      <c r="Q72" s="24"/>
      <c r="R72" s="24"/>
      <c r="S72" s="24"/>
    </row>
    <row r="73" spans="1:19" ht="18" customHeight="1" x14ac:dyDescent="0.2">
      <c r="A73" s="3"/>
      <c r="B73" s="92"/>
      <c r="C73" s="93"/>
      <c r="D73" s="93"/>
      <c r="E73" s="24"/>
      <c r="F73" s="24"/>
      <c r="G73" s="24"/>
      <c r="H73" s="24"/>
      <c r="I73" s="24"/>
      <c r="J73" s="92"/>
      <c r="K73" s="93"/>
      <c r="L73" s="93"/>
      <c r="M73" s="93"/>
      <c r="N73" s="94"/>
      <c r="O73" s="24"/>
      <c r="P73" s="24"/>
      <c r="Q73" s="24"/>
      <c r="R73" s="24"/>
      <c r="S73" s="24"/>
    </row>
    <row r="74" spans="1:19" ht="18" customHeight="1" x14ac:dyDescent="0.2">
      <c r="A74" s="3"/>
      <c r="B74" s="92"/>
      <c r="C74" s="93"/>
      <c r="D74" s="93"/>
      <c r="E74" s="24"/>
      <c r="F74" s="24"/>
      <c r="G74" s="24"/>
      <c r="H74" s="24"/>
      <c r="I74" s="24"/>
      <c r="J74" s="92"/>
      <c r="K74" s="93"/>
      <c r="L74" s="93"/>
      <c r="M74" s="93"/>
      <c r="N74" s="94"/>
      <c r="O74" s="24"/>
      <c r="P74" s="24"/>
      <c r="Q74" s="24"/>
      <c r="R74" s="24"/>
      <c r="S74" s="24"/>
    </row>
    <row r="75" spans="1:19" ht="18" customHeight="1" x14ac:dyDescent="0.2">
      <c r="A75" s="3"/>
      <c r="B75" s="95"/>
      <c r="C75" s="96"/>
      <c r="D75" s="96"/>
      <c r="E75" s="25"/>
      <c r="F75" s="25"/>
      <c r="G75" s="26"/>
      <c r="H75" s="26"/>
      <c r="I75" s="26"/>
      <c r="J75" s="95"/>
      <c r="K75" s="96"/>
      <c r="L75" s="96"/>
      <c r="M75" s="96"/>
      <c r="N75" s="97"/>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9" t="s">
        <v>54</v>
      </c>
      <c r="C78" s="101"/>
      <c r="D78" s="101"/>
      <c r="E78" s="100"/>
      <c r="F78" s="99" t="s">
        <v>83</v>
      </c>
      <c r="G78" s="101"/>
      <c r="H78" s="101"/>
      <c r="I78" s="100"/>
      <c r="J78" s="184" t="s">
        <v>54</v>
      </c>
      <c r="K78" s="185"/>
      <c r="L78" s="185"/>
      <c r="M78" s="185"/>
      <c r="N78" s="185"/>
      <c r="O78" s="186"/>
      <c r="P78" s="99" t="s">
        <v>83</v>
      </c>
      <c r="Q78" s="101"/>
      <c r="R78" s="101"/>
      <c r="S78" s="100"/>
    </row>
    <row r="79" spans="1:19" ht="18" customHeight="1" x14ac:dyDescent="0.2">
      <c r="A79" s="3"/>
      <c r="B79" s="102" t="s">
        <v>138</v>
      </c>
      <c r="C79" s="103"/>
      <c r="D79" s="103"/>
      <c r="E79" s="104"/>
      <c r="F79" s="181" t="s">
        <v>140</v>
      </c>
      <c r="G79" s="182"/>
      <c r="H79" s="182"/>
      <c r="I79" s="183"/>
      <c r="J79" s="102" t="s">
        <v>171</v>
      </c>
      <c r="K79" s="103"/>
      <c r="L79" s="103"/>
      <c r="M79" s="103"/>
      <c r="N79" s="103"/>
      <c r="O79" s="104"/>
      <c r="P79" s="181" t="s">
        <v>144</v>
      </c>
      <c r="Q79" s="182"/>
      <c r="R79" s="182"/>
      <c r="S79" s="183"/>
    </row>
    <row r="80" spans="1:19" ht="18" customHeight="1" x14ac:dyDescent="0.2">
      <c r="A80" s="3"/>
      <c r="B80" s="92" t="s">
        <v>138</v>
      </c>
      <c r="C80" s="93"/>
      <c r="D80" s="93"/>
      <c r="E80" s="94"/>
      <c r="F80" s="111" t="s">
        <v>141</v>
      </c>
      <c r="G80" s="112"/>
      <c r="H80" s="112"/>
      <c r="I80" s="113"/>
      <c r="J80" s="92"/>
      <c r="K80" s="93"/>
      <c r="L80" s="93"/>
      <c r="M80" s="93"/>
      <c r="N80" s="93"/>
      <c r="O80" s="94"/>
      <c r="P80" s="111"/>
      <c r="Q80" s="112"/>
      <c r="R80" s="112"/>
      <c r="S80" s="113"/>
    </row>
    <row r="81" spans="1:20" ht="18" customHeight="1" x14ac:dyDescent="0.2">
      <c r="A81" s="3"/>
      <c r="B81" s="92" t="s">
        <v>138</v>
      </c>
      <c r="C81" s="93"/>
      <c r="D81" s="93"/>
      <c r="E81" s="94"/>
      <c r="F81" s="111" t="s">
        <v>142</v>
      </c>
      <c r="G81" s="112"/>
      <c r="H81" s="112"/>
      <c r="I81" s="113"/>
      <c r="J81" s="92"/>
      <c r="K81" s="93"/>
      <c r="L81" s="93"/>
      <c r="M81" s="93"/>
      <c r="N81" s="93"/>
      <c r="O81" s="94"/>
      <c r="P81" s="111"/>
      <c r="Q81" s="112"/>
      <c r="R81" s="112"/>
      <c r="S81" s="113"/>
    </row>
    <row r="82" spans="1:20" ht="18" customHeight="1" x14ac:dyDescent="0.2">
      <c r="A82" s="3"/>
      <c r="B82" s="92" t="s">
        <v>136</v>
      </c>
      <c r="C82" s="93"/>
      <c r="D82" s="93"/>
      <c r="E82" s="94"/>
      <c r="F82" s="111" t="s">
        <v>142</v>
      </c>
      <c r="G82" s="112"/>
      <c r="H82" s="112"/>
      <c r="I82" s="113"/>
      <c r="J82" s="92"/>
      <c r="K82" s="93"/>
      <c r="L82" s="93"/>
      <c r="M82" s="93"/>
      <c r="N82" s="93"/>
      <c r="O82" s="94"/>
      <c r="P82" s="111"/>
      <c r="Q82" s="112"/>
      <c r="R82" s="112"/>
      <c r="S82" s="113"/>
    </row>
    <row r="83" spans="1:20" ht="18" customHeight="1" x14ac:dyDescent="0.2">
      <c r="A83" s="3"/>
      <c r="B83" s="92" t="s">
        <v>136</v>
      </c>
      <c r="C83" s="93"/>
      <c r="D83" s="93"/>
      <c r="E83" s="94"/>
      <c r="F83" s="111" t="s">
        <v>143</v>
      </c>
      <c r="G83" s="112"/>
      <c r="H83" s="112"/>
      <c r="I83" s="113"/>
      <c r="J83" s="92"/>
      <c r="K83" s="93"/>
      <c r="L83" s="93"/>
      <c r="M83" s="93"/>
      <c r="N83" s="93"/>
      <c r="O83" s="94"/>
      <c r="P83" s="111"/>
      <c r="Q83" s="112"/>
      <c r="R83" s="112"/>
      <c r="S83" s="113"/>
    </row>
    <row r="84" spans="1:20" ht="18" customHeight="1" x14ac:dyDescent="0.2">
      <c r="A84" s="3"/>
      <c r="B84" s="92" t="s">
        <v>136</v>
      </c>
      <c r="C84" s="93"/>
      <c r="D84" s="93"/>
      <c r="E84" s="94"/>
      <c r="F84" s="111" t="s">
        <v>144</v>
      </c>
      <c r="G84" s="112"/>
      <c r="H84" s="112"/>
      <c r="I84" s="113"/>
      <c r="J84" s="92"/>
      <c r="K84" s="93"/>
      <c r="L84" s="93"/>
      <c r="M84" s="93"/>
      <c r="N84" s="93"/>
      <c r="O84" s="94"/>
      <c r="P84" s="111"/>
      <c r="Q84" s="112"/>
      <c r="R84" s="112"/>
      <c r="S84" s="113"/>
    </row>
    <row r="85" spans="1:20" ht="18" customHeight="1" x14ac:dyDescent="0.2">
      <c r="A85" s="3"/>
      <c r="B85" s="95" t="s">
        <v>171</v>
      </c>
      <c r="C85" s="96"/>
      <c r="D85" s="96"/>
      <c r="E85" s="97"/>
      <c r="F85" s="149" t="s">
        <v>143</v>
      </c>
      <c r="G85" s="150"/>
      <c r="H85" s="150"/>
      <c r="I85" s="151"/>
      <c r="J85" s="95"/>
      <c r="K85" s="96"/>
      <c r="L85" s="96"/>
      <c r="M85" s="96"/>
      <c r="N85" s="96"/>
      <c r="O85" s="97"/>
      <c r="P85" s="149"/>
      <c r="Q85" s="150"/>
      <c r="R85" s="150"/>
      <c r="S85" s="151"/>
    </row>
    <row r="86" spans="1:20" ht="18" customHeight="1" x14ac:dyDescent="0.2">
      <c r="A86" s="3"/>
      <c r="B86" s="6"/>
      <c r="C86" s="6"/>
      <c r="D86" s="6"/>
      <c r="E86" s="6"/>
      <c r="F86" s="27"/>
      <c r="G86" s="27"/>
      <c r="H86" s="27"/>
      <c r="I86" s="27"/>
      <c r="J86" s="6"/>
      <c r="K86" s="6"/>
      <c r="L86" s="6"/>
      <c r="M86" s="6"/>
      <c r="N86" s="6"/>
      <c r="O86" s="6"/>
      <c r="P86" s="27"/>
      <c r="Q86" s="27"/>
      <c r="R86" s="27"/>
      <c r="S86" s="27"/>
    </row>
    <row r="87" spans="1:20" ht="18.75" customHeight="1" x14ac:dyDescent="0.2">
      <c r="A87" s="1" t="s">
        <v>120</v>
      </c>
    </row>
    <row r="88" spans="1:20" ht="18.75" customHeight="1" x14ac:dyDescent="0.2">
      <c r="B88" s="176" t="s">
        <v>55</v>
      </c>
      <c r="C88" s="177"/>
      <c r="D88" s="101" t="s">
        <v>56</v>
      </c>
      <c r="E88" s="101"/>
      <c r="F88" s="101"/>
      <c r="G88" s="101"/>
      <c r="H88" s="101"/>
      <c r="I88" s="101"/>
      <c r="J88" s="101"/>
      <c r="K88" s="101"/>
      <c r="L88" s="101"/>
      <c r="M88" s="101"/>
      <c r="N88" s="101"/>
      <c r="O88" s="101"/>
      <c r="P88" s="101"/>
      <c r="Q88" s="101"/>
      <c r="R88" s="101"/>
      <c r="S88" s="100"/>
    </row>
    <row r="89" spans="1:20" ht="97.2" customHeight="1" x14ac:dyDescent="0.2">
      <c r="B89" s="114" t="s">
        <v>62</v>
      </c>
      <c r="C89" s="28" t="s">
        <v>57</v>
      </c>
      <c r="D89" s="178" t="s">
        <v>172</v>
      </c>
      <c r="E89" s="179"/>
      <c r="F89" s="179"/>
      <c r="G89" s="179"/>
      <c r="H89" s="179"/>
      <c r="I89" s="179"/>
      <c r="J89" s="179"/>
      <c r="K89" s="179"/>
      <c r="L89" s="179"/>
      <c r="M89" s="179"/>
      <c r="N89" s="179"/>
      <c r="O89" s="179"/>
      <c r="P89" s="179"/>
      <c r="Q89" s="179"/>
      <c r="R89" s="179"/>
      <c r="S89" s="180"/>
    </row>
    <row r="90" spans="1:20" ht="97.2" customHeight="1" x14ac:dyDescent="0.2">
      <c r="B90" s="116"/>
      <c r="C90" s="29" t="s">
        <v>78</v>
      </c>
      <c r="D90" s="152" t="s">
        <v>173</v>
      </c>
      <c r="E90" s="153"/>
      <c r="F90" s="153"/>
      <c r="G90" s="153"/>
      <c r="H90" s="153"/>
      <c r="I90" s="153"/>
      <c r="J90" s="153"/>
      <c r="K90" s="153"/>
      <c r="L90" s="153"/>
      <c r="M90" s="153"/>
      <c r="N90" s="153"/>
      <c r="O90" s="153"/>
      <c r="P90" s="153"/>
      <c r="Q90" s="153"/>
      <c r="R90" s="153"/>
      <c r="S90" s="154"/>
    </row>
    <row r="91" spans="1:20" ht="97.2" customHeight="1" x14ac:dyDescent="0.2">
      <c r="B91" s="114" t="s">
        <v>63</v>
      </c>
      <c r="C91" s="30" t="s">
        <v>72</v>
      </c>
      <c r="D91" s="155" t="s">
        <v>174</v>
      </c>
      <c r="E91" s="156"/>
      <c r="F91" s="156"/>
      <c r="G91" s="156"/>
      <c r="H91" s="156"/>
      <c r="I91" s="156"/>
      <c r="J91" s="156"/>
      <c r="K91" s="156"/>
      <c r="L91" s="156"/>
      <c r="M91" s="156"/>
      <c r="N91" s="156"/>
      <c r="O91" s="156"/>
      <c r="P91" s="156"/>
      <c r="Q91" s="156"/>
      <c r="R91" s="156"/>
      <c r="S91" s="157"/>
    </row>
    <row r="92" spans="1:20" ht="97.2" customHeight="1" x14ac:dyDescent="0.2">
      <c r="B92" s="115"/>
      <c r="C92" s="31" t="s">
        <v>73</v>
      </c>
      <c r="D92" s="161" t="s">
        <v>175</v>
      </c>
      <c r="E92" s="162"/>
      <c r="F92" s="162"/>
      <c r="G92" s="162"/>
      <c r="H92" s="162"/>
      <c r="I92" s="162"/>
      <c r="J92" s="162"/>
      <c r="K92" s="162"/>
      <c r="L92" s="162"/>
      <c r="M92" s="162"/>
      <c r="N92" s="162"/>
      <c r="O92" s="162"/>
      <c r="P92" s="162"/>
      <c r="Q92" s="162"/>
      <c r="R92" s="162"/>
      <c r="S92" s="163"/>
    </row>
    <row r="93" spans="1:20" ht="97.2" customHeight="1" x14ac:dyDescent="0.2">
      <c r="B93" s="114" t="s">
        <v>64</v>
      </c>
      <c r="C93" s="30" t="s">
        <v>74</v>
      </c>
      <c r="D93" s="164" t="s">
        <v>182</v>
      </c>
      <c r="E93" s="165"/>
      <c r="F93" s="165"/>
      <c r="G93" s="165"/>
      <c r="H93" s="165"/>
      <c r="I93" s="165"/>
      <c r="J93" s="165"/>
      <c r="K93" s="165"/>
      <c r="L93" s="165"/>
      <c r="M93" s="165"/>
      <c r="N93" s="165"/>
      <c r="O93" s="165"/>
      <c r="P93" s="165"/>
      <c r="Q93" s="165"/>
      <c r="R93" s="165"/>
      <c r="S93" s="166"/>
    </row>
    <row r="94" spans="1:20" ht="97.2" customHeight="1" x14ac:dyDescent="0.2">
      <c r="B94" s="115"/>
      <c r="C94" s="32" t="s">
        <v>75</v>
      </c>
      <c r="D94" s="158" t="s">
        <v>176</v>
      </c>
      <c r="E94" s="159"/>
      <c r="F94" s="159"/>
      <c r="G94" s="159"/>
      <c r="H94" s="159"/>
      <c r="I94" s="159"/>
      <c r="J94" s="159"/>
      <c r="K94" s="159"/>
      <c r="L94" s="159"/>
      <c r="M94" s="159"/>
      <c r="N94" s="159"/>
      <c r="O94" s="159"/>
      <c r="P94" s="159"/>
      <c r="Q94" s="159"/>
      <c r="R94" s="159"/>
      <c r="S94" s="160"/>
    </row>
    <row r="95" spans="1:20" ht="97.2" customHeight="1" x14ac:dyDescent="0.2">
      <c r="B95" s="114" t="s">
        <v>79</v>
      </c>
      <c r="C95" s="28" t="s">
        <v>59</v>
      </c>
      <c r="D95" s="170" t="s">
        <v>177</v>
      </c>
      <c r="E95" s="171"/>
      <c r="F95" s="171"/>
      <c r="G95" s="171"/>
      <c r="H95" s="171"/>
      <c r="I95" s="171"/>
      <c r="J95" s="171"/>
      <c r="K95" s="171"/>
      <c r="L95" s="171"/>
      <c r="M95" s="171"/>
      <c r="N95" s="171"/>
      <c r="O95" s="171"/>
      <c r="P95" s="171"/>
      <c r="Q95" s="171"/>
      <c r="R95" s="171"/>
      <c r="S95" s="172"/>
    </row>
    <row r="96" spans="1:20" ht="97.2" customHeight="1" x14ac:dyDescent="0.2">
      <c r="B96" s="115"/>
      <c r="C96" s="31" t="s">
        <v>61</v>
      </c>
      <c r="D96" s="167" t="s">
        <v>178</v>
      </c>
      <c r="E96" s="168"/>
      <c r="F96" s="168"/>
      <c r="G96" s="168"/>
      <c r="H96" s="168"/>
      <c r="I96" s="168"/>
      <c r="J96" s="168"/>
      <c r="K96" s="168"/>
      <c r="L96" s="168"/>
      <c r="M96" s="168"/>
      <c r="N96" s="168"/>
      <c r="O96" s="168"/>
      <c r="P96" s="168"/>
      <c r="Q96" s="168"/>
      <c r="R96" s="168"/>
      <c r="S96" s="169"/>
      <c r="T96" s="84"/>
    </row>
    <row r="97" spans="1:22" ht="97.2" customHeight="1" x14ac:dyDescent="0.2">
      <c r="B97" s="114" t="s">
        <v>80</v>
      </c>
      <c r="C97" s="30" t="s">
        <v>58</v>
      </c>
      <c r="D97" s="105" t="s">
        <v>180</v>
      </c>
      <c r="E97" s="106"/>
      <c r="F97" s="106"/>
      <c r="G97" s="106"/>
      <c r="H97" s="106"/>
      <c r="I97" s="106"/>
      <c r="J97" s="106"/>
      <c r="K97" s="106"/>
      <c r="L97" s="106"/>
      <c r="M97" s="106"/>
      <c r="N97" s="106"/>
      <c r="O97" s="106"/>
      <c r="P97" s="106"/>
      <c r="Q97" s="106"/>
      <c r="R97" s="106"/>
      <c r="S97" s="107"/>
      <c r="T97" s="85"/>
      <c r="U97" s="85"/>
      <c r="V97" s="90"/>
    </row>
    <row r="98" spans="1:22" ht="97.2" customHeight="1" x14ac:dyDescent="0.2">
      <c r="B98" s="116"/>
      <c r="C98" s="33" t="s">
        <v>76</v>
      </c>
      <c r="D98" s="108" t="s">
        <v>179</v>
      </c>
      <c r="E98" s="109"/>
      <c r="F98" s="109"/>
      <c r="G98" s="109"/>
      <c r="H98" s="109"/>
      <c r="I98" s="109"/>
      <c r="J98" s="109"/>
      <c r="K98" s="109"/>
      <c r="L98" s="109"/>
      <c r="M98" s="109"/>
      <c r="N98" s="109"/>
      <c r="O98" s="109"/>
      <c r="P98" s="109"/>
      <c r="Q98" s="109"/>
      <c r="R98" s="109"/>
      <c r="S98" s="110"/>
      <c r="T98" s="86"/>
      <c r="U98" s="86"/>
      <c r="V98" s="90"/>
    </row>
    <row r="99" spans="1:22" ht="97.2" customHeight="1" x14ac:dyDescent="0.2">
      <c r="B99" s="115"/>
      <c r="C99" s="32" t="s">
        <v>77</v>
      </c>
      <c r="D99" s="173" t="s">
        <v>181</v>
      </c>
      <c r="E99" s="174"/>
      <c r="F99" s="174"/>
      <c r="G99" s="174"/>
      <c r="H99" s="174"/>
      <c r="I99" s="174"/>
      <c r="J99" s="174"/>
      <c r="K99" s="174"/>
      <c r="L99" s="174"/>
      <c r="M99" s="174"/>
      <c r="N99" s="174"/>
      <c r="O99" s="174"/>
      <c r="P99" s="174"/>
      <c r="Q99" s="174"/>
      <c r="R99" s="174"/>
      <c r="S99" s="175"/>
      <c r="T99" s="87"/>
      <c r="U99" s="87"/>
      <c r="V99" s="90"/>
    </row>
    <row r="100" spans="1:22" ht="6" customHeight="1" x14ac:dyDescent="0.2">
      <c r="T100" s="84"/>
      <c r="U100" s="84"/>
    </row>
    <row r="101" spans="1:22" ht="18.75" customHeight="1" x14ac:dyDescent="0.2">
      <c r="A101" s="1" t="s">
        <v>121</v>
      </c>
    </row>
    <row r="102" spans="1:22" ht="81.75" customHeight="1" x14ac:dyDescent="0.2">
      <c r="B102" s="146" t="s">
        <v>164</v>
      </c>
      <c r="C102" s="147"/>
      <c r="D102" s="147"/>
      <c r="E102" s="147"/>
      <c r="F102" s="147"/>
      <c r="G102" s="147"/>
      <c r="H102" s="147"/>
      <c r="I102" s="147"/>
      <c r="J102" s="147"/>
      <c r="K102" s="147"/>
      <c r="L102" s="147"/>
      <c r="M102" s="147"/>
      <c r="N102" s="147"/>
      <c r="O102" s="147"/>
      <c r="P102" s="147"/>
      <c r="Q102" s="147"/>
      <c r="R102" s="147"/>
      <c r="S102" s="148"/>
    </row>
    <row r="110" spans="1:22" ht="18" customHeight="1" x14ac:dyDescent="0.2"/>
  </sheetData>
  <customSheetViews>
    <customSheetView guid="{B205FD5A-B4ED-4160-AF09-52B6B1578571}" showPageBreaks="1" zeroValues="0" fitToPage="1" printArea="1" view="pageBreakPreview" topLeftCell="A26">
      <selection activeCell="G26" sqref="G26"/>
      <rowBreaks count="2" manualBreakCount="2">
        <brk id="54" max="18" man="1"/>
        <brk id="92" max="18" man="1"/>
      </rowBreaks>
      <pageMargins left="0.78740157480314965" right="0.78740157480314965" top="0.78740157480314965" bottom="0.19685039370078741" header="0.31496062992125984" footer="0.19685039370078741"/>
      <printOptions horizontalCentered="1"/>
      <pageSetup paperSize="9" scale="78" fitToHeight="0" orientation="portrait" r:id="rId1"/>
      <headerFooter>
        <oddHeader>&amp;C数理・データサイエンス・AI教育プログラム認定制度【リテラシーレベル】</oddHeader>
      </headerFooter>
    </customSheetView>
  </customSheetViews>
  <mergeCells count="145">
    <mergeCell ref="J73:N73"/>
    <mergeCell ref="J74:N74"/>
    <mergeCell ref="J78:O78"/>
    <mergeCell ref="B49:E49"/>
    <mergeCell ref="J39:O39"/>
    <mergeCell ref="J40:O40"/>
    <mergeCell ref="J41:O41"/>
    <mergeCell ref="J46:O46"/>
    <mergeCell ref="B47:E47"/>
    <mergeCell ref="B48:E48"/>
    <mergeCell ref="B40:E40"/>
    <mergeCell ref="B41:E41"/>
    <mergeCell ref="B42:E42"/>
    <mergeCell ref="J47:O47"/>
    <mergeCell ref="J48:O48"/>
    <mergeCell ref="J85:O85"/>
    <mergeCell ref="B88:C88"/>
    <mergeCell ref="D88:S88"/>
    <mergeCell ref="D89:S89"/>
    <mergeCell ref="J79:O79"/>
    <mergeCell ref="P79:S79"/>
    <mergeCell ref="P78:S78"/>
    <mergeCell ref="B79:E79"/>
    <mergeCell ref="B78:E78"/>
    <mergeCell ref="F79:I79"/>
    <mergeCell ref="P81:S81"/>
    <mergeCell ref="P82:S82"/>
    <mergeCell ref="J81:O81"/>
    <mergeCell ref="F84:I84"/>
    <mergeCell ref="A55:S56"/>
    <mergeCell ref="J75:N75"/>
    <mergeCell ref="B73:D73"/>
    <mergeCell ref="A66:S67"/>
    <mergeCell ref="B75:D75"/>
    <mergeCell ref="J59:O59"/>
    <mergeCell ref="B69:D69"/>
    <mergeCell ref="B70:D70"/>
    <mergeCell ref="B58:E58"/>
    <mergeCell ref="J63:O63"/>
    <mergeCell ref="J64:O64"/>
    <mergeCell ref="J57:O57"/>
    <mergeCell ref="J58:O58"/>
    <mergeCell ref="B71:D71"/>
    <mergeCell ref="B72:D72"/>
    <mergeCell ref="B68:D68"/>
    <mergeCell ref="J68:N68"/>
    <mergeCell ref="B60:E60"/>
    <mergeCell ref="B61:E61"/>
    <mergeCell ref="B62:E62"/>
    <mergeCell ref="B63:E63"/>
    <mergeCell ref="B64:E64"/>
    <mergeCell ref="J70:N70"/>
    <mergeCell ref="B74:D74"/>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D96:S96"/>
    <mergeCell ref="F85:I85"/>
    <mergeCell ref="B91:B92"/>
    <mergeCell ref="P84:S84"/>
    <mergeCell ref="B97:B99"/>
    <mergeCell ref="B95:B96"/>
    <mergeCell ref="D95:S95"/>
    <mergeCell ref="D99:S99"/>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K20:S20"/>
    <mergeCell ref="C3:I3"/>
    <mergeCell ref="B13:S18"/>
    <mergeCell ref="K7:S7"/>
    <mergeCell ref="C2:I2"/>
    <mergeCell ref="A5:S5"/>
    <mergeCell ref="B9:S10"/>
    <mergeCell ref="D97:S97"/>
    <mergeCell ref="D98:S98"/>
    <mergeCell ref="B84:E84"/>
    <mergeCell ref="B36:E36"/>
    <mergeCell ref="J84:O84"/>
    <mergeCell ref="B57:E57"/>
    <mergeCell ref="B85:E85"/>
    <mergeCell ref="B59:E59"/>
    <mergeCell ref="F78:I78"/>
    <mergeCell ref="F81:I81"/>
    <mergeCell ref="B82:E82"/>
    <mergeCell ref="F82:I82"/>
    <mergeCell ref="J82:O82"/>
    <mergeCell ref="J53:O53"/>
    <mergeCell ref="J72:N72"/>
    <mergeCell ref="J71:N71"/>
    <mergeCell ref="A44:S45"/>
    <mergeCell ref="J42:O42"/>
    <mergeCell ref="J60:O60"/>
    <mergeCell ref="J61:O61"/>
    <mergeCell ref="J62:O62"/>
    <mergeCell ref="B93:B94"/>
    <mergeCell ref="B89:B90"/>
    <mergeCell ref="J69:N69"/>
    <mergeCell ref="B50:E50"/>
    <mergeCell ref="B51:E51"/>
    <mergeCell ref="B52:E52"/>
    <mergeCell ref="B53:E53"/>
    <mergeCell ref="A33:S34"/>
    <mergeCell ref="C20:D20"/>
    <mergeCell ref="B35:E35"/>
    <mergeCell ref="J31:O31"/>
    <mergeCell ref="B37:E37"/>
    <mergeCell ref="B46:E46"/>
    <mergeCell ref="A22:S23"/>
    <mergeCell ref="J35:O35"/>
    <mergeCell ref="J36:O36"/>
    <mergeCell ref="J37:O37"/>
    <mergeCell ref="J38:O38"/>
    <mergeCell ref="B38:E38"/>
    <mergeCell ref="B39:E39"/>
    <mergeCell ref="J49:O49"/>
    <mergeCell ref="J50:O50"/>
    <mergeCell ref="J51:O51"/>
    <mergeCell ref="J52:O52"/>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2"/>
  <headerFooter>
    <oddHeader>&amp;C数理・データサイエンス・AI教育プログラム認定制度【リテラシーレベル】</oddHeader>
  </headerFooter>
  <rowBreaks count="2" manualBreakCount="2">
    <brk id="54"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90" t="str">
        <f>'様式１　プログラムを構成する授業科目'!C2</f>
        <v>東京女子大学</v>
      </c>
      <c r="AN2" s="190"/>
      <c r="AO2" s="190"/>
      <c r="AP2" s="190"/>
      <c r="AQ2" s="190"/>
    </row>
    <row r="3" spans="1:45" ht="18" customHeight="1" x14ac:dyDescent="0.2">
      <c r="A3" s="139" t="s">
        <v>48</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91" t="s">
        <v>127</v>
      </c>
      <c r="D5" s="19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93" t="s">
        <v>45</v>
      </c>
      <c r="C9" s="208" t="s">
        <v>87</v>
      </c>
      <c r="D9" s="196" t="s">
        <v>47</v>
      </c>
      <c r="E9" s="199" t="s">
        <v>40</v>
      </c>
      <c r="F9" s="189" t="s">
        <v>86</v>
      </c>
      <c r="G9" s="189"/>
      <c r="H9" s="189"/>
      <c r="I9" s="189"/>
      <c r="J9" s="189"/>
      <c r="K9" s="189"/>
      <c r="L9" s="189" t="s">
        <v>49</v>
      </c>
      <c r="M9" s="189"/>
      <c r="N9" s="189"/>
      <c r="O9" s="189"/>
      <c r="P9" s="189"/>
      <c r="Q9" s="189"/>
      <c r="R9" s="189" t="s">
        <v>50</v>
      </c>
      <c r="S9" s="189"/>
      <c r="T9" s="189"/>
      <c r="U9" s="189"/>
      <c r="V9" s="189"/>
      <c r="W9" s="189"/>
      <c r="X9" s="189" t="s">
        <v>101</v>
      </c>
      <c r="Y9" s="189"/>
      <c r="Z9" s="189"/>
      <c r="AA9" s="189"/>
      <c r="AB9" s="189"/>
      <c r="AC9" s="189"/>
      <c r="AD9" s="189" t="s">
        <v>51</v>
      </c>
      <c r="AE9" s="189"/>
      <c r="AF9" s="189"/>
      <c r="AG9" s="189"/>
      <c r="AH9" s="189"/>
      <c r="AI9" s="189"/>
      <c r="AJ9" s="189" t="s">
        <v>52</v>
      </c>
      <c r="AK9" s="189"/>
      <c r="AL9" s="189"/>
      <c r="AM9" s="189"/>
      <c r="AN9" s="189"/>
      <c r="AO9" s="189"/>
      <c r="AP9" s="202" t="s">
        <v>35</v>
      </c>
      <c r="AQ9" s="205" t="s">
        <v>32</v>
      </c>
      <c r="AS9" s="2"/>
    </row>
    <row r="10" spans="1:45" ht="16.95" customHeight="1" x14ac:dyDescent="0.2">
      <c r="B10" s="194"/>
      <c r="C10" s="209"/>
      <c r="D10" s="197"/>
      <c r="E10" s="200"/>
      <c r="F10" s="187" t="s">
        <v>97</v>
      </c>
      <c r="G10" s="188"/>
      <c r="H10" s="188"/>
      <c r="I10" s="187" t="s">
        <v>29</v>
      </c>
      <c r="J10" s="188"/>
      <c r="K10" s="188"/>
      <c r="L10" s="187" t="s">
        <v>97</v>
      </c>
      <c r="M10" s="188"/>
      <c r="N10" s="188"/>
      <c r="O10" s="187" t="s">
        <v>29</v>
      </c>
      <c r="P10" s="188"/>
      <c r="Q10" s="188"/>
      <c r="R10" s="187" t="s">
        <v>97</v>
      </c>
      <c r="S10" s="188"/>
      <c r="T10" s="188"/>
      <c r="U10" s="187" t="s">
        <v>29</v>
      </c>
      <c r="V10" s="188"/>
      <c r="W10" s="188"/>
      <c r="X10" s="187" t="s">
        <v>97</v>
      </c>
      <c r="Y10" s="188"/>
      <c r="Z10" s="188"/>
      <c r="AA10" s="187" t="s">
        <v>29</v>
      </c>
      <c r="AB10" s="188"/>
      <c r="AC10" s="188"/>
      <c r="AD10" s="187" t="s">
        <v>97</v>
      </c>
      <c r="AE10" s="188"/>
      <c r="AF10" s="188"/>
      <c r="AG10" s="187" t="s">
        <v>29</v>
      </c>
      <c r="AH10" s="188"/>
      <c r="AI10" s="188"/>
      <c r="AJ10" s="187" t="s">
        <v>97</v>
      </c>
      <c r="AK10" s="188"/>
      <c r="AL10" s="188"/>
      <c r="AM10" s="187" t="s">
        <v>29</v>
      </c>
      <c r="AN10" s="188"/>
      <c r="AO10" s="188"/>
      <c r="AP10" s="203"/>
      <c r="AQ10" s="206"/>
      <c r="AS10" s="2"/>
    </row>
    <row r="11" spans="1:45" ht="18" customHeight="1" x14ac:dyDescent="0.2">
      <c r="B11" s="195"/>
      <c r="C11" s="210"/>
      <c r="D11" s="198"/>
      <c r="E11" s="20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204"/>
      <c r="AQ11" s="207"/>
      <c r="AS11" s="2"/>
    </row>
    <row r="12" spans="1:45" ht="18" customHeight="1" x14ac:dyDescent="0.2">
      <c r="A12" s="6"/>
      <c r="B12" s="11" t="s">
        <v>128</v>
      </c>
      <c r="C12" s="62">
        <v>600</v>
      </c>
      <c r="D12" s="63">
        <v>130</v>
      </c>
      <c r="E12" s="64">
        <v>595</v>
      </c>
      <c r="F12" s="64">
        <f>G12+H12</f>
        <v>2</v>
      </c>
      <c r="G12" s="65"/>
      <c r="H12" s="66">
        <v>2</v>
      </c>
      <c r="I12" s="64">
        <f>J12+K12</f>
        <v>0</v>
      </c>
      <c r="J12" s="65"/>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v>
      </c>
      <c r="AQ12" s="21">
        <f t="shared" ref="AQ12:AQ32" si="0">AP12/E12</f>
        <v>3.3613445378151263E-3</v>
      </c>
    </row>
    <row r="13" spans="1:45" ht="18" customHeight="1" x14ac:dyDescent="0.2">
      <c r="A13" s="6"/>
      <c r="B13" s="12" t="s">
        <v>129</v>
      </c>
      <c r="C13" s="67">
        <v>881</v>
      </c>
      <c r="D13" s="68">
        <v>205</v>
      </c>
      <c r="E13" s="69">
        <v>805</v>
      </c>
      <c r="F13" s="70">
        <f t="shared" ref="F13:F31" si="1">G13+H13</f>
        <v>5</v>
      </c>
      <c r="G13" s="71"/>
      <c r="H13" s="72">
        <v>5</v>
      </c>
      <c r="I13" s="70">
        <f t="shared" ref="I13:I31" si="2">J13+K13</f>
        <v>1</v>
      </c>
      <c r="J13" s="71"/>
      <c r="K13" s="72">
        <v>1</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5</v>
      </c>
      <c r="AQ13" s="20">
        <f t="shared" si="0"/>
        <v>6.2111801242236021E-3</v>
      </c>
    </row>
    <row r="14" spans="1:45" ht="18" customHeight="1" x14ac:dyDescent="0.2">
      <c r="A14" s="6"/>
      <c r="B14" s="12" t="s">
        <v>130</v>
      </c>
      <c r="C14" s="67">
        <v>1166</v>
      </c>
      <c r="D14" s="68">
        <v>284</v>
      </c>
      <c r="E14" s="69">
        <v>1094</v>
      </c>
      <c r="F14" s="70">
        <f t="shared" si="1"/>
        <v>12</v>
      </c>
      <c r="G14" s="71"/>
      <c r="H14" s="72">
        <v>12</v>
      </c>
      <c r="I14" s="70">
        <f t="shared" si="2"/>
        <v>5</v>
      </c>
      <c r="J14" s="71"/>
      <c r="K14" s="72">
        <v>5</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12</v>
      </c>
      <c r="AQ14" s="8">
        <f t="shared" si="0"/>
        <v>1.0968921389396709E-2</v>
      </c>
    </row>
    <row r="15" spans="1:45" ht="18" customHeight="1" x14ac:dyDescent="0.2">
      <c r="A15" s="6"/>
      <c r="B15" s="12" t="s">
        <v>131</v>
      </c>
      <c r="C15" s="67">
        <v>804</v>
      </c>
      <c r="D15" s="68">
        <v>200</v>
      </c>
      <c r="E15" s="69">
        <v>785</v>
      </c>
      <c r="F15" s="70">
        <f t="shared" si="1"/>
        <v>15</v>
      </c>
      <c r="G15" s="71"/>
      <c r="H15" s="72">
        <v>15</v>
      </c>
      <c r="I15" s="70">
        <f t="shared" si="2"/>
        <v>11</v>
      </c>
      <c r="J15" s="71"/>
      <c r="K15" s="72">
        <v>11</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15</v>
      </c>
      <c r="AQ15" s="8">
        <f t="shared" si="0"/>
        <v>1.9108280254777069E-2</v>
      </c>
    </row>
    <row r="16" spans="1:45" ht="18" customHeight="1" x14ac:dyDescent="0.2">
      <c r="A16" s="6"/>
      <c r="B16" s="12" t="s">
        <v>132</v>
      </c>
      <c r="C16" s="67">
        <v>306</v>
      </c>
      <c r="D16" s="68">
        <v>71</v>
      </c>
      <c r="E16" s="69">
        <v>281</v>
      </c>
      <c r="F16" s="70">
        <f t="shared" si="1"/>
        <v>21</v>
      </c>
      <c r="G16" s="71"/>
      <c r="H16" s="72">
        <v>21</v>
      </c>
      <c r="I16" s="70">
        <f t="shared" si="2"/>
        <v>7</v>
      </c>
      <c r="J16" s="71"/>
      <c r="K16" s="72">
        <v>7</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21</v>
      </c>
      <c r="AQ16" s="8">
        <f t="shared" si="0"/>
        <v>7.4733096085409248E-2</v>
      </c>
    </row>
    <row r="17" spans="1:43" ht="18" customHeight="1" x14ac:dyDescent="0.2">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2">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2">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2">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2">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2">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2">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2">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2">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2">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2">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2">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2">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2">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5">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2">
      <c r="B32" s="14" t="s">
        <v>33</v>
      </c>
      <c r="C32" s="77">
        <f t="shared" ref="C32" si="14">SUM(C12:C31)</f>
        <v>3757</v>
      </c>
      <c r="D32" s="78">
        <f t="shared" ref="D32:AP32" si="15">SUM(D12:D31)</f>
        <v>890</v>
      </c>
      <c r="E32" s="79">
        <f t="shared" si="15"/>
        <v>3560</v>
      </c>
      <c r="F32" s="79">
        <f t="shared" si="15"/>
        <v>55</v>
      </c>
      <c r="G32" s="80">
        <f t="shared" si="15"/>
        <v>0</v>
      </c>
      <c r="H32" s="81">
        <f t="shared" si="15"/>
        <v>55</v>
      </c>
      <c r="I32" s="79">
        <f t="shared" ref="I32:N32" si="16">SUM(I12:I31)</f>
        <v>24</v>
      </c>
      <c r="J32" s="80">
        <f t="shared" si="16"/>
        <v>0</v>
      </c>
      <c r="K32" s="81">
        <f t="shared" si="16"/>
        <v>24</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55</v>
      </c>
      <c r="AQ32" s="9">
        <f t="shared" si="0"/>
        <v>1.5449438202247191E-2</v>
      </c>
    </row>
  </sheetData>
  <customSheetViews>
    <customSheetView guid="{B205FD5A-B4ED-4160-AF09-52B6B1578571}" showPageBreaks="1" fitToPage="1" printArea="1" view="pageBreakPreview" topLeftCell="A16">
      <selection activeCell="AQ32" sqref="AQ32"/>
      <pageMargins left="0.78740157480314965" right="0.78740157480314965" top="0.78740157480314965" bottom="0.59055118110236227" header="0.31496062992125984" footer="0.31496062992125984"/>
      <printOptions horizontalCentered="1"/>
      <pageSetup paperSize="9" scale="57" orientation="landscape" r:id="rId1"/>
      <headerFooter>
        <oddHeader>&amp;C数理・データサイエンス・AI教育プログラム認定制度【リテラシーレベル】</oddHeader>
      </headerFooter>
    </customSheetView>
  </customSheetViews>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2"/>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10"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9" t="str">
        <f>'様式１　プログラムを構成する授業科目'!C2</f>
        <v>東京女子大学</v>
      </c>
      <c r="I2" s="100"/>
    </row>
    <row r="3" spans="1:9" ht="18.75" customHeight="1" x14ac:dyDescent="0.2">
      <c r="G3" s="35"/>
      <c r="H3" s="10"/>
      <c r="I3" s="10"/>
    </row>
    <row r="4" spans="1:9" ht="18.600000000000001" customHeight="1" x14ac:dyDescent="0.2">
      <c r="A4" s="139" t="s">
        <v>36</v>
      </c>
      <c r="B4" s="139"/>
      <c r="C4" s="139"/>
      <c r="D4" s="139"/>
      <c r="E4" s="139"/>
      <c r="F4" s="139"/>
      <c r="G4" s="139"/>
      <c r="H4" s="139"/>
      <c r="I4" s="139"/>
    </row>
    <row r="5" spans="1:9" ht="13.2" customHeight="1" x14ac:dyDescent="0.2">
      <c r="B5" s="3"/>
      <c r="C5" s="3"/>
      <c r="D5" s="3"/>
      <c r="E5" s="3"/>
      <c r="F5" s="3"/>
      <c r="G5" s="3"/>
      <c r="H5" s="3"/>
      <c r="I5" s="3"/>
    </row>
    <row r="6" spans="1:9" ht="18" customHeight="1" x14ac:dyDescent="0.2">
      <c r="A6" s="1" t="s">
        <v>0</v>
      </c>
      <c r="B6" s="10" t="s">
        <v>91</v>
      </c>
      <c r="C6" s="263" t="s">
        <v>92</v>
      </c>
      <c r="D6" s="263"/>
      <c r="E6" s="34">
        <v>123</v>
      </c>
      <c r="F6" s="3" t="s">
        <v>1</v>
      </c>
      <c r="G6" s="3" t="s">
        <v>2</v>
      </c>
      <c r="H6" s="88">
        <v>313</v>
      </c>
      <c r="I6" s="10" t="s">
        <v>1</v>
      </c>
    </row>
    <row r="7" spans="1:9" ht="12" customHeight="1" x14ac:dyDescent="0.2">
      <c r="C7" s="2"/>
      <c r="D7" s="2"/>
      <c r="E7" s="2"/>
      <c r="F7" s="2"/>
      <c r="G7" s="2"/>
      <c r="H7" s="2"/>
      <c r="I7" s="42"/>
    </row>
    <row r="8" spans="1:9" ht="18" customHeight="1" x14ac:dyDescent="0.2">
      <c r="A8" s="1" t="s">
        <v>3</v>
      </c>
      <c r="B8" s="10" t="s">
        <v>93</v>
      </c>
      <c r="E8" s="3"/>
      <c r="F8" s="3"/>
      <c r="G8" s="3"/>
      <c r="H8" s="34">
        <v>21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57" t="s">
        <v>145</v>
      </c>
      <c r="D11" s="260"/>
      <c r="E11" s="261"/>
      <c r="F11" s="42"/>
      <c r="G11" s="35" t="s">
        <v>10</v>
      </c>
      <c r="H11" s="262" t="s">
        <v>146</v>
      </c>
      <c r="I11" s="261"/>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57" t="s">
        <v>147</v>
      </c>
      <c r="C14" s="258"/>
      <c r="D14" s="258"/>
      <c r="E14" s="258"/>
      <c r="F14" s="258"/>
      <c r="G14" s="258"/>
      <c r="H14" s="258"/>
      <c r="I14" s="259"/>
    </row>
    <row r="15" spans="1:9" ht="9" customHeight="1" x14ac:dyDescent="0.2">
      <c r="B15" s="3"/>
      <c r="C15" s="3"/>
      <c r="D15" s="3"/>
      <c r="E15" s="3"/>
      <c r="F15" s="3"/>
      <c r="G15" s="3"/>
      <c r="H15" s="3"/>
      <c r="I15" s="3"/>
    </row>
    <row r="16" spans="1:9" ht="18" customHeight="1" x14ac:dyDescent="0.2">
      <c r="B16" s="35" t="s">
        <v>43</v>
      </c>
      <c r="C16" s="257" t="s">
        <v>145</v>
      </c>
      <c r="D16" s="260"/>
      <c r="E16" s="261"/>
      <c r="F16" s="42"/>
      <c r="G16" s="35" t="s">
        <v>10</v>
      </c>
      <c r="H16" s="262" t="s">
        <v>146</v>
      </c>
      <c r="I16" s="261"/>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49" t="s">
        <v>148</v>
      </c>
      <c r="C19" s="250"/>
      <c r="D19" s="250"/>
      <c r="E19" s="250"/>
      <c r="F19" s="250"/>
      <c r="G19" s="250"/>
      <c r="H19" s="250"/>
      <c r="I19" s="25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39" t="s">
        <v>162</v>
      </c>
      <c r="C22" s="240"/>
      <c r="D22" s="240"/>
      <c r="E22" s="240"/>
      <c r="F22" s="240"/>
      <c r="G22" s="240"/>
      <c r="H22" s="240"/>
      <c r="I22" s="241"/>
    </row>
    <row r="23" spans="1:9" ht="18.75" customHeight="1" x14ac:dyDescent="0.2">
      <c r="A23" s="15"/>
      <c r="B23" s="252"/>
      <c r="C23" s="253"/>
      <c r="D23" s="253"/>
      <c r="E23" s="253"/>
      <c r="F23" s="253"/>
      <c r="G23" s="253"/>
      <c r="H23" s="253"/>
      <c r="I23" s="244"/>
    </row>
    <row r="24" spans="1:9" ht="18.75" customHeight="1" x14ac:dyDescent="0.2">
      <c r="A24" s="15"/>
      <c r="B24" s="252"/>
      <c r="C24" s="253"/>
      <c r="D24" s="253"/>
      <c r="E24" s="253"/>
      <c r="F24" s="253"/>
      <c r="G24" s="253"/>
      <c r="H24" s="253"/>
      <c r="I24" s="244"/>
    </row>
    <row r="25" spans="1:9" ht="18.75" customHeight="1" x14ac:dyDescent="0.2">
      <c r="A25" s="15"/>
      <c r="B25" s="252"/>
      <c r="C25" s="253"/>
      <c r="D25" s="253"/>
      <c r="E25" s="253"/>
      <c r="F25" s="253"/>
      <c r="G25" s="253"/>
      <c r="H25" s="253"/>
      <c r="I25" s="244"/>
    </row>
    <row r="26" spans="1:9" ht="18.75" customHeight="1" x14ac:dyDescent="0.2">
      <c r="A26" s="15"/>
      <c r="B26" s="252"/>
      <c r="C26" s="253"/>
      <c r="D26" s="253"/>
      <c r="E26" s="253"/>
      <c r="F26" s="253"/>
      <c r="G26" s="253"/>
      <c r="H26" s="253"/>
      <c r="I26" s="244"/>
    </row>
    <row r="27" spans="1:9" ht="18.75" customHeight="1" x14ac:dyDescent="0.2">
      <c r="A27" s="15"/>
      <c r="B27" s="252"/>
      <c r="C27" s="253"/>
      <c r="D27" s="253"/>
      <c r="E27" s="253"/>
      <c r="F27" s="253"/>
      <c r="G27" s="253"/>
      <c r="H27" s="253"/>
      <c r="I27" s="244"/>
    </row>
    <row r="28" spans="1:9" ht="18.75" customHeight="1" x14ac:dyDescent="0.2">
      <c r="A28" s="15"/>
      <c r="B28" s="252"/>
      <c r="C28" s="253"/>
      <c r="D28" s="253"/>
      <c r="E28" s="253"/>
      <c r="F28" s="253"/>
      <c r="G28" s="253"/>
      <c r="H28" s="253"/>
      <c r="I28" s="244"/>
    </row>
    <row r="29" spans="1:9" ht="18.75" customHeight="1" x14ac:dyDescent="0.2">
      <c r="A29" s="15"/>
      <c r="B29" s="252"/>
      <c r="C29" s="253"/>
      <c r="D29" s="253"/>
      <c r="E29" s="253"/>
      <c r="F29" s="253"/>
      <c r="G29" s="253"/>
      <c r="H29" s="253"/>
      <c r="I29" s="244"/>
    </row>
    <row r="30" spans="1:9" ht="18.75" customHeight="1" x14ac:dyDescent="0.2">
      <c r="A30" s="15"/>
      <c r="B30" s="242"/>
      <c r="C30" s="243"/>
      <c r="D30" s="243"/>
      <c r="E30" s="243"/>
      <c r="F30" s="243"/>
      <c r="G30" s="243"/>
      <c r="H30" s="243"/>
      <c r="I30" s="244"/>
    </row>
    <row r="31" spans="1:9" ht="18.75" customHeight="1" x14ac:dyDescent="0.2">
      <c r="A31" s="15"/>
      <c r="B31" s="242"/>
      <c r="C31" s="243"/>
      <c r="D31" s="243"/>
      <c r="E31" s="243"/>
      <c r="F31" s="243"/>
      <c r="G31" s="243"/>
      <c r="H31" s="243"/>
      <c r="I31" s="244"/>
    </row>
    <row r="32" spans="1:9" ht="18.75" customHeight="1" x14ac:dyDescent="0.2">
      <c r="A32" s="15"/>
      <c r="B32" s="245"/>
      <c r="C32" s="246"/>
      <c r="D32" s="246"/>
      <c r="E32" s="246"/>
      <c r="F32" s="246"/>
      <c r="G32" s="246"/>
      <c r="H32" s="246"/>
      <c r="I32" s="247"/>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39" t="s">
        <v>149</v>
      </c>
      <c r="C35" s="240"/>
      <c r="D35" s="240"/>
      <c r="E35" s="240"/>
      <c r="F35" s="240"/>
      <c r="G35" s="240"/>
      <c r="H35" s="240"/>
      <c r="I35" s="241"/>
    </row>
    <row r="36" spans="1:9" ht="18.75" customHeight="1" x14ac:dyDescent="0.2">
      <c r="A36" s="15"/>
      <c r="B36" s="242"/>
      <c r="C36" s="243"/>
      <c r="D36" s="243"/>
      <c r="E36" s="243"/>
      <c r="F36" s="243"/>
      <c r="G36" s="243"/>
      <c r="H36" s="243"/>
      <c r="I36" s="244"/>
    </row>
    <row r="37" spans="1:9" ht="18.75" customHeight="1" x14ac:dyDescent="0.2">
      <c r="A37" s="15"/>
      <c r="B37" s="242"/>
      <c r="C37" s="243"/>
      <c r="D37" s="243"/>
      <c r="E37" s="243"/>
      <c r="F37" s="243"/>
      <c r="G37" s="243"/>
      <c r="H37" s="243"/>
      <c r="I37" s="244"/>
    </row>
    <row r="38" spans="1:9" ht="18.75" customHeight="1" x14ac:dyDescent="0.2">
      <c r="A38" s="15"/>
      <c r="B38" s="242"/>
      <c r="C38" s="243"/>
      <c r="D38" s="243"/>
      <c r="E38" s="243"/>
      <c r="F38" s="243"/>
      <c r="G38" s="243"/>
      <c r="H38" s="243"/>
      <c r="I38" s="244"/>
    </row>
    <row r="39" spans="1:9" ht="18.75" customHeight="1" x14ac:dyDescent="0.2">
      <c r="A39" s="15"/>
      <c r="B39" s="242"/>
      <c r="C39" s="243"/>
      <c r="D39" s="243"/>
      <c r="E39" s="243"/>
      <c r="F39" s="243"/>
      <c r="G39" s="243"/>
      <c r="H39" s="243"/>
      <c r="I39" s="244"/>
    </row>
    <row r="40" spans="1:9" ht="18.75" customHeight="1" x14ac:dyDescent="0.2">
      <c r="A40" s="15"/>
      <c r="B40" s="242"/>
      <c r="C40" s="243"/>
      <c r="D40" s="243"/>
      <c r="E40" s="243"/>
      <c r="F40" s="243"/>
      <c r="G40" s="243"/>
      <c r="H40" s="243"/>
      <c r="I40" s="244"/>
    </row>
    <row r="41" spans="1:9" ht="18.75" customHeight="1" x14ac:dyDescent="0.2">
      <c r="A41" s="15"/>
      <c r="B41" s="242"/>
      <c r="C41" s="243"/>
      <c r="D41" s="243"/>
      <c r="E41" s="243"/>
      <c r="F41" s="243"/>
      <c r="G41" s="243"/>
      <c r="H41" s="243"/>
      <c r="I41" s="244"/>
    </row>
    <row r="42" spans="1:9" ht="18.75" customHeight="1" x14ac:dyDescent="0.2">
      <c r="A42" s="15"/>
      <c r="B42" s="242"/>
      <c r="C42" s="243"/>
      <c r="D42" s="243"/>
      <c r="E42" s="243"/>
      <c r="F42" s="243"/>
      <c r="G42" s="243"/>
      <c r="H42" s="243"/>
      <c r="I42" s="244"/>
    </row>
    <row r="43" spans="1:9" ht="18.75" customHeight="1" x14ac:dyDescent="0.2">
      <c r="A43" s="15"/>
      <c r="B43" s="242"/>
      <c r="C43" s="243"/>
      <c r="D43" s="243"/>
      <c r="E43" s="243"/>
      <c r="F43" s="243"/>
      <c r="G43" s="243"/>
      <c r="H43" s="243"/>
      <c r="I43" s="244"/>
    </row>
    <row r="44" spans="1:9" ht="18.75" customHeight="1" x14ac:dyDescent="0.2">
      <c r="A44" s="15"/>
      <c r="B44" s="242"/>
      <c r="C44" s="243"/>
      <c r="D44" s="243"/>
      <c r="E44" s="243"/>
      <c r="F44" s="243"/>
      <c r="G44" s="243"/>
      <c r="H44" s="243"/>
      <c r="I44" s="244"/>
    </row>
    <row r="45" spans="1:9" ht="18.75" customHeight="1" x14ac:dyDescent="0.2">
      <c r="A45" s="15"/>
      <c r="B45" s="242"/>
      <c r="C45" s="243"/>
      <c r="D45" s="243"/>
      <c r="E45" s="243"/>
      <c r="F45" s="243"/>
      <c r="G45" s="243"/>
      <c r="H45" s="243"/>
      <c r="I45" s="244"/>
    </row>
    <row r="46" spans="1:9" ht="18.75" customHeight="1" x14ac:dyDescent="0.2">
      <c r="A46" s="15"/>
      <c r="B46" s="245"/>
      <c r="C46" s="246"/>
      <c r="D46" s="246"/>
      <c r="E46" s="246"/>
      <c r="F46" s="246"/>
      <c r="G46" s="246"/>
      <c r="H46" s="246"/>
      <c r="I46" s="247"/>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27">
        <f>'様式２ 履修者等数の実績'!AQ32</f>
        <v>1.5449438202247191E-2</v>
      </c>
      <c r="D49" s="227"/>
      <c r="E49" s="43" t="s">
        <v>66</v>
      </c>
      <c r="F49" s="229">
        <v>0.03</v>
      </c>
      <c r="G49" s="229"/>
      <c r="H49" s="43" t="s">
        <v>67</v>
      </c>
      <c r="I49" s="44">
        <v>0.28000000000000003</v>
      </c>
      <c r="J49" s="1"/>
      <c r="M49" s="1"/>
      <c r="N49" s="45"/>
    </row>
    <row r="50" spans="1:15" s="3" customFormat="1" ht="18.75" customHeight="1" x14ac:dyDescent="0.2">
      <c r="B50" s="46" t="s">
        <v>68</v>
      </c>
      <c r="C50" s="228">
        <v>0.76</v>
      </c>
      <c r="D50" s="228"/>
      <c r="E50" s="46" t="s">
        <v>90</v>
      </c>
      <c r="F50" s="228">
        <v>1</v>
      </c>
      <c r="G50" s="228"/>
      <c r="H50" s="46" t="s">
        <v>69</v>
      </c>
      <c r="I50" s="47">
        <f>'様式２ 履修者等数の実績'!E32</f>
        <v>3560</v>
      </c>
      <c r="J50" s="1"/>
      <c r="M50" s="1"/>
      <c r="N50" s="45"/>
    </row>
    <row r="51" spans="1:15" ht="18.75" customHeight="1" x14ac:dyDescent="0.2">
      <c r="A51" s="1"/>
      <c r="B51" s="254" t="s">
        <v>70</v>
      </c>
      <c r="C51" s="255"/>
      <c r="D51" s="255"/>
      <c r="E51" s="255"/>
      <c r="F51" s="255"/>
      <c r="G51" s="255"/>
      <c r="H51" s="255"/>
      <c r="I51" s="256"/>
      <c r="N51" s="45"/>
      <c r="O51" s="3"/>
    </row>
    <row r="52" spans="1:15" ht="18.75" customHeight="1" x14ac:dyDescent="0.2">
      <c r="A52" s="1"/>
      <c r="B52" s="230" t="s">
        <v>167</v>
      </c>
      <c r="C52" s="231"/>
      <c r="D52" s="231"/>
      <c r="E52" s="231"/>
      <c r="F52" s="231"/>
      <c r="G52" s="231"/>
      <c r="H52" s="231"/>
      <c r="I52" s="232"/>
      <c r="N52" s="45"/>
      <c r="O52" s="3"/>
    </row>
    <row r="53" spans="1:15" ht="18.75" customHeight="1" x14ac:dyDescent="0.2">
      <c r="A53" s="1"/>
      <c r="B53" s="233"/>
      <c r="C53" s="234"/>
      <c r="D53" s="234"/>
      <c r="E53" s="234"/>
      <c r="F53" s="234"/>
      <c r="G53" s="234"/>
      <c r="H53" s="234"/>
      <c r="I53" s="235"/>
      <c r="N53" s="45"/>
      <c r="O53" s="3"/>
    </row>
    <row r="54" spans="1:15" ht="18.75" customHeight="1" x14ac:dyDescent="0.2">
      <c r="A54" s="1"/>
      <c r="B54" s="233"/>
      <c r="C54" s="234"/>
      <c r="D54" s="234"/>
      <c r="E54" s="234"/>
      <c r="F54" s="234"/>
      <c r="G54" s="234"/>
      <c r="H54" s="234"/>
      <c r="I54" s="235"/>
    </row>
    <row r="55" spans="1:15" ht="18.75" customHeight="1" x14ac:dyDescent="0.2">
      <c r="A55" s="1"/>
      <c r="B55" s="233"/>
      <c r="C55" s="234"/>
      <c r="D55" s="234"/>
      <c r="E55" s="234"/>
      <c r="F55" s="234"/>
      <c r="G55" s="234"/>
      <c r="H55" s="234"/>
      <c r="I55" s="235"/>
    </row>
    <row r="56" spans="1:15" ht="18.75" customHeight="1" x14ac:dyDescent="0.2">
      <c r="A56" s="1"/>
      <c r="B56" s="233"/>
      <c r="C56" s="234"/>
      <c r="D56" s="234"/>
      <c r="E56" s="234"/>
      <c r="F56" s="234"/>
      <c r="G56" s="234"/>
      <c r="H56" s="234"/>
      <c r="I56" s="235"/>
    </row>
    <row r="57" spans="1:15" ht="18.75" customHeight="1" x14ac:dyDescent="0.2">
      <c r="A57" s="1"/>
      <c r="B57" s="233"/>
      <c r="C57" s="234"/>
      <c r="D57" s="234"/>
      <c r="E57" s="234"/>
      <c r="F57" s="234"/>
      <c r="G57" s="234"/>
      <c r="H57" s="234"/>
      <c r="I57" s="235"/>
      <c r="N57" s="1">
        <f>LEN(E47)</f>
        <v>0</v>
      </c>
    </row>
    <row r="58" spans="1:15" ht="18.75" customHeight="1" x14ac:dyDescent="0.2">
      <c r="A58" s="1"/>
      <c r="B58" s="233"/>
      <c r="C58" s="234"/>
      <c r="D58" s="234"/>
      <c r="E58" s="234"/>
      <c r="F58" s="234"/>
      <c r="G58" s="234"/>
      <c r="H58" s="234"/>
      <c r="I58" s="235"/>
    </row>
    <row r="59" spans="1:15" ht="18.75" customHeight="1" x14ac:dyDescent="0.2">
      <c r="A59" s="1"/>
      <c r="B59" s="233"/>
      <c r="C59" s="234"/>
      <c r="D59" s="234"/>
      <c r="E59" s="234"/>
      <c r="F59" s="234"/>
      <c r="G59" s="234"/>
      <c r="H59" s="234"/>
      <c r="I59" s="235"/>
    </row>
    <row r="60" spans="1:15" ht="18.75" customHeight="1" x14ac:dyDescent="0.2">
      <c r="A60" s="1"/>
      <c r="B60" s="233"/>
      <c r="C60" s="234"/>
      <c r="D60" s="234"/>
      <c r="E60" s="234"/>
      <c r="F60" s="234"/>
      <c r="G60" s="234"/>
      <c r="H60" s="234"/>
      <c r="I60" s="235"/>
    </row>
    <row r="61" spans="1:15" ht="18.75" customHeight="1" x14ac:dyDescent="0.2">
      <c r="A61" s="1"/>
      <c r="B61" s="233"/>
      <c r="C61" s="234"/>
      <c r="D61" s="234"/>
      <c r="E61" s="234"/>
      <c r="F61" s="234"/>
      <c r="G61" s="234"/>
      <c r="H61" s="234"/>
      <c r="I61" s="235"/>
    </row>
    <row r="62" spans="1:15" ht="18.75" customHeight="1" x14ac:dyDescent="0.2">
      <c r="A62" s="1"/>
      <c r="B62" s="233"/>
      <c r="C62" s="234"/>
      <c r="D62" s="234"/>
      <c r="E62" s="234"/>
      <c r="F62" s="234"/>
      <c r="G62" s="234"/>
      <c r="H62" s="234"/>
      <c r="I62" s="235"/>
    </row>
    <row r="63" spans="1:15" ht="18.75" customHeight="1" x14ac:dyDescent="0.2">
      <c r="A63" s="1"/>
      <c r="B63" s="236"/>
      <c r="C63" s="237"/>
      <c r="D63" s="237"/>
      <c r="E63" s="237"/>
      <c r="F63" s="237"/>
      <c r="G63" s="237"/>
      <c r="H63" s="237"/>
      <c r="I63" s="238"/>
    </row>
    <row r="64" spans="1:15" ht="7.5" customHeight="1" x14ac:dyDescent="0.2">
      <c r="A64" s="15"/>
      <c r="B64" s="15"/>
      <c r="C64" s="15"/>
      <c r="D64" s="15"/>
      <c r="E64" s="15"/>
      <c r="F64" s="15"/>
      <c r="G64" s="15"/>
      <c r="H64" s="15"/>
      <c r="I64" s="15"/>
    </row>
    <row r="65" spans="1:12" ht="18.75" customHeight="1" x14ac:dyDescent="0.2">
      <c r="A65" s="16" t="s">
        <v>34</v>
      </c>
      <c r="B65" s="1" t="s">
        <v>37</v>
      </c>
      <c r="I65" s="16"/>
    </row>
    <row r="66" spans="1:12" ht="18.75" customHeight="1" x14ac:dyDescent="0.2">
      <c r="A66" s="4"/>
      <c r="B66" s="211" t="s">
        <v>168</v>
      </c>
      <c r="C66" s="212"/>
      <c r="D66" s="212"/>
      <c r="E66" s="212"/>
      <c r="F66" s="212"/>
      <c r="G66" s="212"/>
      <c r="H66" s="212"/>
      <c r="I66" s="213"/>
    </row>
    <row r="67" spans="1:12" ht="18.75" customHeight="1" x14ac:dyDescent="0.2">
      <c r="A67" s="4"/>
      <c r="B67" s="214"/>
      <c r="C67" s="215"/>
      <c r="D67" s="215"/>
      <c r="E67" s="215"/>
      <c r="F67" s="215"/>
      <c r="G67" s="215"/>
      <c r="H67" s="215"/>
      <c r="I67" s="216"/>
    </row>
    <row r="68" spans="1:12" ht="18.75" customHeight="1" x14ac:dyDescent="0.2">
      <c r="A68" s="4"/>
      <c r="B68" s="214"/>
      <c r="C68" s="215"/>
      <c r="D68" s="215"/>
      <c r="E68" s="215"/>
      <c r="F68" s="215"/>
      <c r="G68" s="215"/>
      <c r="H68" s="215"/>
      <c r="I68" s="216"/>
    </row>
    <row r="69" spans="1:12" ht="18.75" customHeight="1" x14ac:dyDescent="0.2">
      <c r="A69" s="4"/>
      <c r="B69" s="214"/>
      <c r="C69" s="215"/>
      <c r="D69" s="215"/>
      <c r="E69" s="215"/>
      <c r="F69" s="215"/>
      <c r="G69" s="215"/>
      <c r="H69" s="215"/>
      <c r="I69" s="216"/>
    </row>
    <row r="70" spans="1:12" ht="18.75" customHeight="1" x14ac:dyDescent="0.2">
      <c r="A70" s="4"/>
      <c r="B70" s="214"/>
      <c r="C70" s="215"/>
      <c r="D70" s="215"/>
      <c r="E70" s="215"/>
      <c r="F70" s="215"/>
      <c r="G70" s="215"/>
      <c r="H70" s="215"/>
      <c r="I70" s="216"/>
    </row>
    <row r="71" spans="1:12" ht="18.75" customHeight="1" x14ac:dyDescent="0.2">
      <c r="A71" s="4"/>
      <c r="B71" s="214"/>
      <c r="C71" s="215"/>
      <c r="D71" s="215"/>
      <c r="E71" s="215"/>
      <c r="F71" s="215"/>
      <c r="G71" s="215"/>
      <c r="H71" s="215"/>
      <c r="I71" s="216"/>
    </row>
    <row r="72" spans="1:12" ht="18.75" customHeight="1" x14ac:dyDescent="0.2">
      <c r="A72" s="4"/>
      <c r="B72" s="214"/>
      <c r="C72" s="215"/>
      <c r="D72" s="215"/>
      <c r="E72" s="215"/>
      <c r="F72" s="215"/>
      <c r="G72" s="215"/>
      <c r="H72" s="215"/>
      <c r="I72" s="216"/>
    </row>
    <row r="73" spans="1:12" ht="18.75" customHeight="1" x14ac:dyDescent="0.2">
      <c r="A73" s="4"/>
      <c r="B73" s="214"/>
      <c r="C73" s="215"/>
      <c r="D73" s="215"/>
      <c r="E73" s="215"/>
      <c r="F73" s="215"/>
      <c r="G73" s="215"/>
      <c r="H73" s="215"/>
      <c r="I73" s="216"/>
    </row>
    <row r="74" spans="1:12" ht="18.75" customHeight="1" x14ac:dyDescent="0.2">
      <c r="A74" s="4"/>
      <c r="B74" s="214"/>
      <c r="C74" s="215"/>
      <c r="D74" s="215"/>
      <c r="E74" s="215"/>
      <c r="F74" s="215"/>
      <c r="G74" s="215"/>
      <c r="H74" s="215"/>
      <c r="I74" s="216"/>
    </row>
    <row r="75" spans="1:12" ht="18.75" customHeight="1" x14ac:dyDescent="0.2">
      <c r="A75" s="4"/>
      <c r="B75" s="214"/>
      <c r="C75" s="215"/>
      <c r="D75" s="215"/>
      <c r="E75" s="215"/>
      <c r="F75" s="215"/>
      <c r="G75" s="215"/>
      <c r="H75" s="215"/>
      <c r="I75" s="216"/>
    </row>
    <row r="76" spans="1:12" ht="18.75" customHeight="1" x14ac:dyDescent="0.2">
      <c r="A76" s="4"/>
      <c r="B76" s="214"/>
      <c r="C76" s="215"/>
      <c r="D76" s="215"/>
      <c r="E76" s="215"/>
      <c r="F76" s="215"/>
      <c r="G76" s="215"/>
      <c r="H76" s="215"/>
      <c r="I76" s="216"/>
    </row>
    <row r="77" spans="1:12" ht="18.75" customHeight="1" x14ac:dyDescent="0.2">
      <c r="A77" s="4"/>
      <c r="B77" s="217"/>
      <c r="C77" s="218"/>
      <c r="D77" s="218"/>
      <c r="E77" s="218"/>
      <c r="F77" s="218"/>
      <c r="G77" s="218"/>
      <c r="H77" s="218"/>
      <c r="I77" s="219"/>
      <c r="K77" s="89"/>
      <c r="L77" s="89"/>
    </row>
    <row r="78" spans="1:12" ht="7.5" customHeight="1" x14ac:dyDescent="0.2">
      <c r="A78" s="4"/>
      <c r="B78" s="4"/>
      <c r="C78" s="4"/>
      <c r="D78" s="4"/>
      <c r="E78" s="4"/>
      <c r="F78" s="4"/>
      <c r="G78" s="4"/>
      <c r="H78" s="4"/>
      <c r="I78" s="4"/>
    </row>
    <row r="79" spans="1:12" ht="18.75" customHeight="1" x14ac:dyDescent="0.2">
      <c r="A79" s="1" t="s">
        <v>11</v>
      </c>
      <c r="B79" s="1" t="s">
        <v>41</v>
      </c>
    </row>
    <row r="80" spans="1:12" ht="18.75" customHeight="1" x14ac:dyDescent="0.2">
      <c r="A80" s="1"/>
      <c r="B80" s="211" t="s">
        <v>169</v>
      </c>
      <c r="C80" s="212"/>
      <c r="D80" s="212"/>
      <c r="E80" s="212"/>
      <c r="F80" s="212"/>
      <c r="G80" s="212"/>
      <c r="H80" s="212"/>
      <c r="I80" s="220"/>
    </row>
    <row r="81" spans="1:12" ht="18.75" customHeight="1" x14ac:dyDescent="0.2">
      <c r="A81" s="1"/>
      <c r="B81" s="221"/>
      <c r="C81" s="222"/>
      <c r="D81" s="222"/>
      <c r="E81" s="222"/>
      <c r="F81" s="222"/>
      <c r="G81" s="222"/>
      <c r="H81" s="222"/>
      <c r="I81" s="223"/>
    </row>
    <row r="82" spans="1:12" ht="18.75" customHeight="1" x14ac:dyDescent="0.2">
      <c r="A82" s="1"/>
      <c r="B82" s="221"/>
      <c r="C82" s="222"/>
      <c r="D82" s="222"/>
      <c r="E82" s="222"/>
      <c r="F82" s="222"/>
      <c r="G82" s="222"/>
      <c r="H82" s="222"/>
      <c r="I82" s="223"/>
    </row>
    <row r="83" spans="1:12" ht="18.75" customHeight="1" x14ac:dyDescent="0.2">
      <c r="A83" s="1"/>
      <c r="B83" s="221"/>
      <c r="C83" s="222"/>
      <c r="D83" s="222"/>
      <c r="E83" s="222"/>
      <c r="F83" s="222"/>
      <c r="G83" s="222"/>
      <c r="H83" s="222"/>
      <c r="I83" s="223"/>
    </row>
    <row r="84" spans="1:12" ht="18.75" customHeight="1" x14ac:dyDescent="0.2">
      <c r="A84" s="1"/>
      <c r="B84" s="221"/>
      <c r="C84" s="222"/>
      <c r="D84" s="222"/>
      <c r="E84" s="222"/>
      <c r="F84" s="222"/>
      <c r="G84" s="222"/>
      <c r="H84" s="222"/>
      <c r="I84" s="223"/>
    </row>
    <row r="85" spans="1:12" ht="18.75" customHeight="1" x14ac:dyDescent="0.2">
      <c r="A85" s="1"/>
      <c r="B85" s="221"/>
      <c r="C85" s="222"/>
      <c r="D85" s="222"/>
      <c r="E85" s="222"/>
      <c r="F85" s="222"/>
      <c r="G85" s="222"/>
      <c r="H85" s="222"/>
      <c r="I85" s="223"/>
    </row>
    <row r="86" spans="1:12" ht="18.75" customHeight="1" x14ac:dyDescent="0.2">
      <c r="A86" s="1"/>
      <c r="B86" s="221"/>
      <c r="C86" s="222"/>
      <c r="D86" s="222"/>
      <c r="E86" s="222"/>
      <c r="F86" s="222"/>
      <c r="G86" s="222"/>
      <c r="H86" s="222"/>
      <c r="I86" s="223"/>
    </row>
    <row r="87" spans="1:12" ht="18.75" customHeight="1" x14ac:dyDescent="0.2">
      <c r="A87" s="1"/>
      <c r="B87" s="221"/>
      <c r="C87" s="222"/>
      <c r="D87" s="222"/>
      <c r="E87" s="222"/>
      <c r="F87" s="222"/>
      <c r="G87" s="222"/>
      <c r="H87" s="222"/>
      <c r="I87" s="223"/>
    </row>
    <row r="88" spans="1:12" ht="18.75" customHeight="1" x14ac:dyDescent="0.2">
      <c r="A88" s="1"/>
      <c r="B88" s="221"/>
      <c r="C88" s="222"/>
      <c r="D88" s="222"/>
      <c r="E88" s="222"/>
      <c r="F88" s="222"/>
      <c r="G88" s="222"/>
      <c r="H88" s="222"/>
      <c r="I88" s="223"/>
    </row>
    <row r="89" spans="1:12" ht="18.75" customHeight="1" x14ac:dyDescent="0.2">
      <c r="A89" s="1"/>
      <c r="B89" s="221"/>
      <c r="C89" s="222"/>
      <c r="D89" s="222"/>
      <c r="E89" s="222"/>
      <c r="F89" s="222"/>
      <c r="G89" s="222"/>
      <c r="H89" s="222"/>
      <c r="I89" s="223"/>
    </row>
    <row r="90" spans="1:12" ht="18.75" customHeight="1" x14ac:dyDescent="0.2">
      <c r="A90" s="4"/>
      <c r="B90" s="221"/>
      <c r="C90" s="222"/>
      <c r="D90" s="222"/>
      <c r="E90" s="222"/>
      <c r="F90" s="222"/>
      <c r="G90" s="222"/>
      <c r="H90" s="222"/>
      <c r="I90" s="223"/>
    </row>
    <row r="91" spans="1:12" ht="18.75" customHeight="1" x14ac:dyDescent="0.2">
      <c r="A91" s="4"/>
      <c r="B91" s="224"/>
      <c r="C91" s="225"/>
      <c r="D91" s="225"/>
      <c r="E91" s="225"/>
      <c r="F91" s="225"/>
      <c r="G91" s="225"/>
      <c r="H91" s="225"/>
      <c r="I91" s="226"/>
      <c r="K91" s="89"/>
      <c r="L91" s="89"/>
    </row>
    <row r="92" spans="1:12" ht="7.5" customHeight="1" x14ac:dyDescent="0.2">
      <c r="A92" s="4"/>
      <c r="B92" s="4"/>
      <c r="C92" s="4"/>
      <c r="D92" s="4"/>
      <c r="E92" s="4"/>
      <c r="F92" s="4"/>
      <c r="G92" s="4"/>
      <c r="H92" s="4"/>
      <c r="I92" s="4"/>
    </row>
    <row r="93" spans="1:12" ht="18.75" customHeight="1" x14ac:dyDescent="0.2">
      <c r="A93" s="1" t="s">
        <v>44</v>
      </c>
      <c r="B93" s="1" t="s">
        <v>13</v>
      </c>
    </row>
    <row r="94" spans="1:12" ht="18.75" customHeight="1" x14ac:dyDescent="0.2">
      <c r="A94" s="1"/>
      <c r="B94" s="239" t="s">
        <v>150</v>
      </c>
      <c r="C94" s="240"/>
      <c r="D94" s="240"/>
      <c r="E94" s="240"/>
      <c r="F94" s="240"/>
      <c r="G94" s="240"/>
      <c r="H94" s="240"/>
      <c r="I94" s="241"/>
    </row>
    <row r="95" spans="1:12" ht="18.75" customHeight="1" x14ac:dyDescent="0.2">
      <c r="A95" s="1"/>
      <c r="B95" s="242"/>
      <c r="C95" s="243"/>
      <c r="D95" s="243"/>
      <c r="E95" s="243"/>
      <c r="F95" s="243"/>
      <c r="G95" s="243"/>
      <c r="H95" s="243"/>
      <c r="I95" s="244"/>
    </row>
    <row r="96" spans="1:12" ht="18.75" customHeight="1" x14ac:dyDescent="0.2">
      <c r="A96" s="1"/>
      <c r="B96" s="242"/>
      <c r="C96" s="243"/>
      <c r="D96" s="243"/>
      <c r="E96" s="243"/>
      <c r="F96" s="243"/>
      <c r="G96" s="243"/>
      <c r="H96" s="243"/>
      <c r="I96" s="244"/>
    </row>
    <row r="97" spans="1:12" ht="18.75" customHeight="1" x14ac:dyDescent="0.2">
      <c r="A97" s="1"/>
      <c r="B97" s="242"/>
      <c r="C97" s="243"/>
      <c r="D97" s="243"/>
      <c r="E97" s="243"/>
      <c r="F97" s="243"/>
      <c r="G97" s="243"/>
      <c r="H97" s="243"/>
      <c r="I97" s="244"/>
    </row>
    <row r="98" spans="1:12" ht="18.75" customHeight="1" x14ac:dyDescent="0.2">
      <c r="A98" s="1"/>
      <c r="B98" s="242"/>
      <c r="C98" s="243"/>
      <c r="D98" s="243"/>
      <c r="E98" s="243"/>
      <c r="F98" s="243"/>
      <c r="G98" s="243"/>
      <c r="H98" s="243"/>
      <c r="I98" s="244"/>
    </row>
    <row r="99" spans="1:12" ht="18.75" customHeight="1" x14ac:dyDescent="0.2">
      <c r="A99" s="1"/>
      <c r="B99" s="242"/>
      <c r="C99" s="243"/>
      <c r="D99" s="243"/>
      <c r="E99" s="243"/>
      <c r="F99" s="243"/>
      <c r="G99" s="243"/>
      <c r="H99" s="243"/>
      <c r="I99" s="244"/>
    </row>
    <row r="100" spans="1:12" ht="18.75" customHeight="1" x14ac:dyDescent="0.2">
      <c r="A100" s="1"/>
      <c r="B100" s="242"/>
      <c r="C100" s="243"/>
      <c r="D100" s="243"/>
      <c r="E100" s="243"/>
      <c r="F100" s="243"/>
      <c r="G100" s="243"/>
      <c r="H100" s="243"/>
      <c r="I100" s="244"/>
    </row>
    <row r="101" spans="1:12" ht="18.75" customHeight="1" x14ac:dyDescent="0.2">
      <c r="A101" s="1"/>
      <c r="B101" s="242"/>
      <c r="C101" s="243"/>
      <c r="D101" s="243"/>
      <c r="E101" s="243"/>
      <c r="F101" s="243"/>
      <c r="G101" s="243"/>
      <c r="H101" s="243"/>
      <c r="I101" s="244"/>
    </row>
    <row r="102" spans="1:12" ht="18.75" customHeight="1" x14ac:dyDescent="0.2">
      <c r="A102" s="1"/>
      <c r="B102" s="242"/>
      <c r="C102" s="243"/>
      <c r="D102" s="243"/>
      <c r="E102" s="243"/>
      <c r="F102" s="243"/>
      <c r="G102" s="243"/>
      <c r="H102" s="243"/>
      <c r="I102" s="244"/>
    </row>
    <row r="103" spans="1:12" ht="18.75" customHeight="1" x14ac:dyDescent="0.2">
      <c r="A103" s="1"/>
      <c r="B103" s="242"/>
      <c r="C103" s="243"/>
      <c r="D103" s="243"/>
      <c r="E103" s="243"/>
      <c r="F103" s="243"/>
      <c r="G103" s="243"/>
      <c r="H103" s="243"/>
      <c r="I103" s="244"/>
    </row>
    <row r="104" spans="1:12" ht="18.75" customHeight="1" x14ac:dyDescent="0.2">
      <c r="A104" s="1"/>
      <c r="B104" s="242"/>
      <c r="C104" s="243"/>
      <c r="D104" s="243"/>
      <c r="E104" s="243"/>
      <c r="F104" s="243"/>
      <c r="G104" s="243"/>
      <c r="H104" s="243"/>
      <c r="I104" s="244"/>
    </row>
    <row r="105" spans="1:12" ht="18.75" customHeight="1" x14ac:dyDescent="0.2">
      <c r="A105" s="4"/>
      <c r="B105" s="245"/>
      <c r="C105" s="246"/>
      <c r="D105" s="246"/>
      <c r="E105" s="246"/>
      <c r="F105" s="246"/>
      <c r="G105" s="246"/>
      <c r="H105" s="246"/>
      <c r="I105" s="247"/>
      <c r="K105" s="89"/>
      <c r="L105" s="89"/>
    </row>
    <row r="106" spans="1:12" ht="7.5" customHeight="1" x14ac:dyDescent="0.2">
      <c r="A106" s="4"/>
      <c r="B106" s="4"/>
      <c r="C106" s="4"/>
      <c r="D106" s="4"/>
      <c r="E106" s="4"/>
      <c r="F106" s="4"/>
      <c r="G106" s="4"/>
      <c r="H106" s="4"/>
      <c r="I106" s="4"/>
    </row>
    <row r="107" spans="1:12" ht="18.75" customHeight="1" x14ac:dyDescent="0.2">
      <c r="A107" s="1" t="s">
        <v>30</v>
      </c>
      <c r="B107" s="248" t="s">
        <v>46</v>
      </c>
      <c r="C107" s="248"/>
      <c r="D107" s="248"/>
      <c r="E107" s="248"/>
      <c r="F107" s="248"/>
      <c r="G107" s="248"/>
      <c r="H107" s="248"/>
      <c r="I107" s="248"/>
    </row>
    <row r="108" spans="1:12" ht="18.75" customHeight="1" x14ac:dyDescent="0.2">
      <c r="A108" s="4"/>
      <c r="B108" s="239" t="s">
        <v>151</v>
      </c>
      <c r="C108" s="240"/>
      <c r="D108" s="240"/>
      <c r="E108" s="240"/>
      <c r="F108" s="240"/>
      <c r="G108" s="240"/>
      <c r="H108" s="240"/>
      <c r="I108" s="241"/>
    </row>
    <row r="109" spans="1:12" ht="18.75" customHeight="1" x14ac:dyDescent="0.2">
      <c r="A109" s="4"/>
      <c r="B109" s="242"/>
      <c r="C109" s="243"/>
      <c r="D109" s="243"/>
      <c r="E109" s="243"/>
      <c r="F109" s="243"/>
      <c r="G109" s="243"/>
      <c r="H109" s="243"/>
      <c r="I109" s="244"/>
    </row>
    <row r="110" spans="1:12" ht="18.75" customHeight="1" x14ac:dyDescent="0.2">
      <c r="A110" s="4"/>
      <c r="B110" s="242"/>
      <c r="C110" s="243"/>
      <c r="D110" s="243"/>
      <c r="E110" s="243"/>
      <c r="F110" s="243"/>
      <c r="G110" s="243"/>
      <c r="H110" s="243"/>
      <c r="I110" s="244"/>
    </row>
    <row r="111" spans="1:12" ht="18.75" customHeight="1" x14ac:dyDescent="0.2">
      <c r="A111" s="4"/>
      <c r="B111" s="242"/>
      <c r="C111" s="243"/>
      <c r="D111" s="243"/>
      <c r="E111" s="243"/>
      <c r="F111" s="243"/>
      <c r="G111" s="243"/>
      <c r="H111" s="243"/>
      <c r="I111" s="244"/>
    </row>
    <row r="112" spans="1:12" ht="18.75" customHeight="1" x14ac:dyDescent="0.2">
      <c r="A112" s="4"/>
      <c r="B112" s="242"/>
      <c r="C112" s="243"/>
      <c r="D112" s="243"/>
      <c r="E112" s="243"/>
      <c r="F112" s="243"/>
      <c r="G112" s="243"/>
      <c r="H112" s="243"/>
      <c r="I112" s="244"/>
    </row>
    <row r="113" spans="1:12" ht="18.75" customHeight="1" x14ac:dyDescent="0.2">
      <c r="A113" s="4"/>
      <c r="B113" s="242"/>
      <c r="C113" s="243"/>
      <c r="D113" s="243"/>
      <c r="E113" s="243"/>
      <c r="F113" s="243"/>
      <c r="G113" s="243"/>
      <c r="H113" s="243"/>
      <c r="I113" s="244"/>
    </row>
    <row r="114" spans="1:12" ht="18.75" customHeight="1" x14ac:dyDescent="0.2">
      <c r="A114" s="4"/>
      <c r="B114" s="242"/>
      <c r="C114" s="243"/>
      <c r="D114" s="243"/>
      <c r="E114" s="243"/>
      <c r="F114" s="243"/>
      <c r="G114" s="243"/>
      <c r="H114" s="243"/>
      <c r="I114" s="244"/>
    </row>
    <row r="115" spans="1:12" ht="18.75" customHeight="1" x14ac:dyDescent="0.2">
      <c r="A115" s="4"/>
      <c r="B115" s="242"/>
      <c r="C115" s="243"/>
      <c r="D115" s="243"/>
      <c r="E115" s="243"/>
      <c r="F115" s="243"/>
      <c r="G115" s="243"/>
      <c r="H115" s="243"/>
      <c r="I115" s="244"/>
    </row>
    <row r="116" spans="1:12" ht="18.75" customHeight="1" x14ac:dyDescent="0.2">
      <c r="A116" s="4"/>
      <c r="B116" s="242"/>
      <c r="C116" s="243"/>
      <c r="D116" s="243"/>
      <c r="E116" s="243"/>
      <c r="F116" s="243"/>
      <c r="G116" s="243"/>
      <c r="H116" s="243"/>
      <c r="I116" s="244"/>
    </row>
    <row r="117" spans="1:12" ht="18.75" customHeight="1" x14ac:dyDescent="0.2">
      <c r="A117" s="4"/>
      <c r="B117" s="242"/>
      <c r="C117" s="243"/>
      <c r="D117" s="243"/>
      <c r="E117" s="243"/>
      <c r="F117" s="243"/>
      <c r="G117" s="243"/>
      <c r="H117" s="243"/>
      <c r="I117" s="244"/>
    </row>
    <row r="118" spans="1:12" ht="18.75" customHeight="1" x14ac:dyDescent="0.2">
      <c r="A118" s="4"/>
      <c r="B118" s="242"/>
      <c r="C118" s="243"/>
      <c r="D118" s="243"/>
      <c r="E118" s="243"/>
      <c r="F118" s="243"/>
      <c r="G118" s="243"/>
      <c r="H118" s="243"/>
      <c r="I118" s="244"/>
    </row>
    <row r="119" spans="1:12" ht="18.75" customHeight="1" x14ac:dyDescent="0.2">
      <c r="A119" s="4"/>
      <c r="B119" s="245"/>
      <c r="C119" s="246"/>
      <c r="D119" s="246"/>
      <c r="E119" s="246"/>
      <c r="F119" s="246"/>
      <c r="G119" s="246"/>
      <c r="H119" s="246"/>
      <c r="I119" s="247"/>
      <c r="K119" s="89"/>
      <c r="L119" s="89"/>
    </row>
    <row r="120" spans="1:12" ht="7.5" customHeight="1" x14ac:dyDescent="0.2">
      <c r="A120" s="4"/>
      <c r="B120" s="48"/>
      <c r="C120" s="48"/>
      <c r="D120" s="48"/>
      <c r="E120" s="48"/>
      <c r="F120" s="48"/>
      <c r="G120" s="48"/>
      <c r="H120" s="48"/>
      <c r="I120" s="48"/>
    </row>
    <row r="121" spans="1:12" ht="18.75" customHeight="1" x14ac:dyDescent="0.2">
      <c r="A121" s="4"/>
      <c r="B121" s="4"/>
      <c r="C121" s="4"/>
      <c r="D121" s="4"/>
      <c r="E121" s="4"/>
      <c r="F121" s="4"/>
      <c r="G121" s="4"/>
      <c r="H121" s="4"/>
      <c r="I121" s="4"/>
    </row>
    <row r="122" spans="1:12" ht="18.75" customHeight="1" x14ac:dyDescent="0.2">
      <c r="A122" s="4"/>
      <c r="B122" s="4"/>
      <c r="C122" s="4"/>
      <c r="D122" s="4"/>
      <c r="E122" s="4"/>
      <c r="F122" s="4"/>
      <c r="G122" s="4"/>
      <c r="H122" s="4"/>
      <c r="I122" s="4"/>
    </row>
    <row r="123" spans="1:12" ht="18.75" customHeight="1" x14ac:dyDescent="0.2">
      <c r="A123" s="4"/>
      <c r="B123" s="4"/>
      <c r="C123" s="4"/>
      <c r="D123" s="4"/>
      <c r="E123" s="4"/>
      <c r="F123" s="4"/>
      <c r="G123" s="4"/>
      <c r="H123" s="4"/>
      <c r="I123" s="4"/>
    </row>
    <row r="124" spans="1:12" ht="18.75" customHeight="1" x14ac:dyDescent="0.2">
      <c r="A124" s="4"/>
      <c r="B124" s="4"/>
      <c r="C124" s="4"/>
      <c r="D124" s="4"/>
      <c r="E124" s="4"/>
      <c r="F124" s="4"/>
      <c r="G124" s="4"/>
      <c r="H124" s="4"/>
      <c r="I124" s="4"/>
    </row>
    <row r="125" spans="1:12" ht="18.75" customHeight="1" x14ac:dyDescent="0.2">
      <c r="A125" s="4"/>
      <c r="B125" s="4"/>
      <c r="C125" s="4"/>
      <c r="D125" s="4"/>
      <c r="E125" s="4"/>
      <c r="F125" s="4"/>
      <c r="G125" s="4"/>
      <c r="H125" s="4"/>
      <c r="I125" s="4"/>
    </row>
    <row r="126" spans="1:12" ht="18.75" customHeight="1" x14ac:dyDescent="0.2">
      <c r="A126" s="4"/>
      <c r="B126" s="4"/>
      <c r="C126" s="4"/>
      <c r="D126" s="4"/>
      <c r="E126" s="4"/>
      <c r="F126" s="4"/>
      <c r="G126" s="4"/>
      <c r="H126" s="4"/>
      <c r="I126" s="4"/>
    </row>
    <row r="127" spans="1:12" ht="18.75" customHeight="1" x14ac:dyDescent="0.2">
      <c r="A127" s="4"/>
      <c r="B127" s="4"/>
      <c r="C127" s="4"/>
      <c r="D127" s="4"/>
      <c r="E127" s="4"/>
      <c r="F127" s="4"/>
      <c r="G127" s="4"/>
      <c r="H127" s="4"/>
      <c r="I127" s="4"/>
    </row>
    <row r="128" spans="1:12"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customSheetViews>
    <customSheetView guid="{B205FD5A-B4ED-4160-AF09-52B6B1578571}" showPageBreaks="1" zeroValues="0" fitToPage="1" printArea="1" view="pageBreakPreview" topLeftCell="A112">
      <selection activeCell="L32" sqref="L32"/>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1"/>
      <headerFooter>
        <oddHeader>&amp;C数理・データサイエンス・AI教育プログラム認定制度【リテラシーレベル】</oddHeader>
      </headerFooter>
    </customSheetView>
  </customSheetViews>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2"/>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L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12" ht="18.75" customHeight="1" x14ac:dyDescent="0.2">
      <c r="A1" s="1" t="s">
        <v>71</v>
      </c>
      <c r="I1" s="35" t="s">
        <v>105</v>
      </c>
    </row>
    <row r="2" spans="1:12" ht="18.75" customHeight="1" x14ac:dyDescent="0.2">
      <c r="H2" s="35" t="s">
        <v>109</v>
      </c>
      <c r="I2" s="34" t="str">
        <f>'様式１　プログラムを構成する授業科目'!C2</f>
        <v>東京女子大学</v>
      </c>
    </row>
    <row r="3" spans="1:12" ht="18.75" customHeight="1" x14ac:dyDescent="0.2">
      <c r="A3" s="139" t="s">
        <v>28</v>
      </c>
      <c r="B3" s="139"/>
      <c r="C3" s="139"/>
      <c r="D3" s="139"/>
      <c r="E3" s="139"/>
      <c r="F3" s="139"/>
      <c r="G3" s="139"/>
      <c r="H3" s="139"/>
      <c r="I3" s="139"/>
    </row>
    <row r="4" spans="1:12" ht="18.75" customHeight="1" x14ac:dyDescent="0.2">
      <c r="A4" s="5"/>
      <c r="B4" s="5"/>
      <c r="C4" s="5"/>
      <c r="D4" s="5"/>
      <c r="E4" s="5"/>
      <c r="F4" s="5"/>
      <c r="G4" s="5"/>
      <c r="H4" s="5"/>
      <c r="I4" s="5"/>
    </row>
    <row r="5" spans="1:12" ht="18.75" customHeight="1" x14ac:dyDescent="0.2">
      <c r="A5" s="1" t="s">
        <v>0</v>
      </c>
      <c r="B5" s="10" t="s">
        <v>95</v>
      </c>
      <c r="C5" s="5"/>
      <c r="D5" s="5"/>
      <c r="E5" s="5"/>
      <c r="F5" s="5"/>
      <c r="G5" s="5"/>
      <c r="H5" s="5"/>
      <c r="I5" s="5"/>
    </row>
    <row r="6" spans="1:12" ht="26.25" customHeight="1" x14ac:dyDescent="0.2">
      <c r="A6" s="5"/>
      <c r="B6" s="257" t="s">
        <v>152</v>
      </c>
      <c r="C6" s="286"/>
      <c r="D6" s="286"/>
      <c r="E6" s="286"/>
      <c r="F6" s="286"/>
      <c r="G6" s="286"/>
      <c r="H6" s="287"/>
      <c r="I6" s="3"/>
    </row>
    <row r="7" spans="1:12" ht="9" customHeight="1" x14ac:dyDescent="0.2">
      <c r="A7" s="5"/>
      <c r="B7" s="10"/>
      <c r="C7" s="10"/>
      <c r="D7" s="10"/>
      <c r="E7" s="10"/>
      <c r="F7" s="10"/>
      <c r="G7" s="10"/>
      <c r="H7" s="10"/>
      <c r="I7" s="3"/>
    </row>
    <row r="8" spans="1:12" ht="18.75" customHeight="1" x14ac:dyDescent="0.2">
      <c r="A8" s="5"/>
      <c r="B8" s="3"/>
      <c r="C8" s="3"/>
      <c r="D8" s="35" t="s">
        <v>43</v>
      </c>
      <c r="E8" s="36" t="s">
        <v>153</v>
      </c>
      <c r="F8" s="3"/>
      <c r="G8" s="35" t="s">
        <v>10</v>
      </c>
      <c r="H8" s="36" t="s">
        <v>154</v>
      </c>
      <c r="I8" s="3"/>
    </row>
    <row r="9" spans="1:12" ht="7.5" customHeight="1" x14ac:dyDescent="0.2">
      <c r="A9" s="5"/>
      <c r="B9" s="5"/>
      <c r="C9" s="5"/>
      <c r="D9" s="5"/>
      <c r="E9" s="5"/>
      <c r="F9" s="5"/>
      <c r="G9" s="5"/>
      <c r="H9" s="5"/>
      <c r="I9" s="5"/>
    </row>
    <row r="10" spans="1:12" ht="18.75" customHeight="1" x14ac:dyDescent="0.2">
      <c r="A10" s="1" t="s">
        <v>3</v>
      </c>
      <c r="B10" s="1" t="s">
        <v>27</v>
      </c>
      <c r="C10" s="4"/>
      <c r="D10" s="4"/>
      <c r="E10" s="4"/>
      <c r="F10" s="4"/>
      <c r="G10" s="4"/>
      <c r="H10" s="4"/>
      <c r="I10" s="4"/>
    </row>
    <row r="11" spans="1:12" ht="18.75" customHeight="1" x14ac:dyDescent="0.2">
      <c r="B11" s="99" t="s">
        <v>24</v>
      </c>
      <c r="C11" s="101"/>
      <c r="D11" s="100"/>
      <c r="E11" s="101" t="s">
        <v>26</v>
      </c>
      <c r="F11" s="101"/>
      <c r="G11" s="101"/>
      <c r="H11" s="101"/>
      <c r="I11" s="100"/>
    </row>
    <row r="12" spans="1:12" ht="26.25" customHeight="1" x14ac:dyDescent="0.2">
      <c r="B12" s="50" t="s">
        <v>14</v>
      </c>
      <c r="C12" s="57"/>
      <c r="D12" s="51"/>
      <c r="E12" s="58"/>
      <c r="F12" s="58"/>
      <c r="G12" s="58"/>
      <c r="H12" s="58"/>
      <c r="I12" s="51"/>
    </row>
    <row r="13" spans="1:12" ht="210.75" customHeight="1" x14ac:dyDescent="0.2">
      <c r="B13" s="52"/>
      <c r="C13" s="269" t="s">
        <v>15</v>
      </c>
      <c r="D13" s="270"/>
      <c r="E13" s="282" t="s">
        <v>155</v>
      </c>
      <c r="F13" s="271"/>
      <c r="G13" s="271"/>
      <c r="H13" s="271"/>
      <c r="I13" s="272"/>
      <c r="L13" s="89"/>
    </row>
    <row r="14" spans="1:12" ht="210.75" customHeight="1" x14ac:dyDescent="0.2">
      <c r="B14" s="52"/>
      <c r="C14" s="284" t="s">
        <v>16</v>
      </c>
      <c r="D14" s="285"/>
      <c r="E14" s="282" t="s">
        <v>156</v>
      </c>
      <c r="F14" s="271"/>
      <c r="G14" s="271"/>
      <c r="H14" s="271"/>
      <c r="I14" s="272"/>
      <c r="K14" s="89"/>
    </row>
    <row r="15" spans="1:12" ht="210.75" customHeight="1" x14ac:dyDescent="0.2">
      <c r="B15" s="52"/>
      <c r="C15" s="269" t="s">
        <v>17</v>
      </c>
      <c r="D15" s="270"/>
      <c r="E15" s="282" t="s">
        <v>157</v>
      </c>
      <c r="F15" s="271"/>
      <c r="G15" s="271"/>
      <c r="H15" s="271"/>
      <c r="I15" s="272"/>
    </row>
    <row r="16" spans="1:12" ht="210.75" customHeight="1" x14ac:dyDescent="0.2">
      <c r="B16" s="52"/>
      <c r="C16" s="269" t="s">
        <v>18</v>
      </c>
      <c r="D16" s="270"/>
      <c r="E16" s="282" t="s">
        <v>158</v>
      </c>
      <c r="F16" s="271"/>
      <c r="G16" s="271"/>
      <c r="H16" s="271"/>
      <c r="I16" s="272"/>
      <c r="K16" s="89"/>
      <c r="L16" s="89"/>
    </row>
    <row r="17" spans="2:12" ht="210.75" customHeight="1" x14ac:dyDescent="0.2">
      <c r="B17" s="53"/>
      <c r="C17" s="273" t="s">
        <v>19</v>
      </c>
      <c r="D17" s="274"/>
      <c r="E17" s="283" t="s">
        <v>166</v>
      </c>
      <c r="F17" s="275"/>
      <c r="G17" s="275"/>
      <c r="H17" s="275"/>
      <c r="I17" s="276"/>
      <c r="K17" s="89"/>
      <c r="L17" s="89"/>
    </row>
    <row r="18" spans="2:12" ht="24" customHeight="1" x14ac:dyDescent="0.2">
      <c r="B18" s="50" t="s">
        <v>20</v>
      </c>
      <c r="C18" s="54"/>
      <c r="D18" s="55"/>
      <c r="E18" s="56"/>
      <c r="F18" s="56"/>
      <c r="G18" s="56"/>
      <c r="H18" s="56"/>
      <c r="I18" s="59"/>
    </row>
    <row r="19" spans="2:12" ht="218.25" customHeight="1" x14ac:dyDescent="0.2">
      <c r="B19" s="52"/>
      <c r="C19" s="269" t="s">
        <v>21</v>
      </c>
      <c r="D19" s="270"/>
      <c r="E19" s="271" t="s">
        <v>165</v>
      </c>
      <c r="F19" s="271"/>
      <c r="G19" s="271"/>
      <c r="H19" s="271"/>
      <c r="I19" s="272"/>
      <c r="K19" s="89"/>
      <c r="L19" s="89"/>
    </row>
    <row r="20" spans="2:12" ht="218.25" customHeight="1" x14ac:dyDescent="0.2">
      <c r="B20" s="53"/>
      <c r="C20" s="273" t="s">
        <v>22</v>
      </c>
      <c r="D20" s="274"/>
      <c r="E20" s="275" t="s">
        <v>159</v>
      </c>
      <c r="F20" s="275"/>
      <c r="G20" s="275"/>
      <c r="H20" s="275"/>
      <c r="I20" s="276"/>
      <c r="K20" s="89"/>
      <c r="L20" s="89"/>
    </row>
    <row r="21" spans="2:12" ht="218.25" customHeight="1" x14ac:dyDescent="0.2">
      <c r="B21" s="277" t="s">
        <v>23</v>
      </c>
      <c r="C21" s="278"/>
      <c r="D21" s="279"/>
      <c r="E21" s="280" t="s">
        <v>160</v>
      </c>
      <c r="F21" s="280"/>
      <c r="G21" s="280"/>
      <c r="H21" s="280"/>
      <c r="I21" s="281"/>
    </row>
    <row r="22" spans="2:12" ht="218.25" customHeight="1" x14ac:dyDescent="0.2">
      <c r="B22" s="264" t="s">
        <v>38</v>
      </c>
      <c r="C22" s="265"/>
      <c r="D22" s="266"/>
      <c r="E22" s="267" t="s">
        <v>161</v>
      </c>
      <c r="F22" s="267"/>
      <c r="G22" s="267"/>
      <c r="H22" s="267"/>
      <c r="I22" s="268"/>
      <c r="K22" s="89"/>
      <c r="L22" s="89"/>
    </row>
    <row r="23" spans="2:12" ht="22.5" customHeight="1" x14ac:dyDescent="0.2">
      <c r="B23" s="4"/>
      <c r="C23" s="4"/>
      <c r="D23" s="4"/>
      <c r="E23" s="4"/>
      <c r="F23" s="4"/>
      <c r="G23" s="4"/>
      <c r="H23" s="4"/>
      <c r="I23" s="4"/>
    </row>
    <row r="24" spans="2:12" ht="22.5" customHeight="1" x14ac:dyDescent="0.2">
      <c r="B24" s="4"/>
      <c r="C24" s="4"/>
      <c r="D24" s="4"/>
      <c r="E24" s="4"/>
      <c r="F24" s="4"/>
      <c r="G24" s="4"/>
      <c r="H24" s="4"/>
      <c r="I24" s="4"/>
    </row>
    <row r="25" spans="2:12" ht="22.5" customHeight="1" x14ac:dyDescent="0.2">
      <c r="B25" s="4"/>
      <c r="C25" s="4"/>
      <c r="D25" s="4"/>
      <c r="E25" s="4"/>
      <c r="F25" s="4"/>
      <c r="G25" s="4"/>
      <c r="H25" s="4"/>
      <c r="I25" s="4"/>
    </row>
    <row r="26" spans="2:12" ht="22.5" customHeight="1" x14ac:dyDescent="0.2">
      <c r="B26" s="4"/>
      <c r="C26" s="4"/>
      <c r="D26" s="4"/>
      <c r="E26" s="4"/>
      <c r="F26" s="4"/>
      <c r="G26" s="4"/>
      <c r="H26" s="4"/>
      <c r="I26" s="4"/>
    </row>
    <row r="27" spans="2:12" ht="22.5" customHeight="1" x14ac:dyDescent="0.2">
      <c r="B27" s="4"/>
      <c r="C27" s="4"/>
      <c r="D27" s="4"/>
      <c r="E27" s="4"/>
      <c r="F27" s="4"/>
      <c r="G27" s="4"/>
      <c r="H27" s="4"/>
      <c r="I27" s="4"/>
    </row>
    <row r="28" spans="2:12" ht="22.5" customHeight="1" x14ac:dyDescent="0.2">
      <c r="B28" s="15"/>
      <c r="C28" s="15"/>
      <c r="D28" s="15"/>
      <c r="E28" s="15"/>
      <c r="F28" s="15"/>
      <c r="G28" s="15"/>
      <c r="H28" s="15"/>
      <c r="I28" s="15"/>
    </row>
    <row r="29" spans="2:12" ht="22.5" customHeight="1" x14ac:dyDescent="0.2">
      <c r="B29" s="15"/>
      <c r="C29" s="15"/>
      <c r="D29" s="15"/>
      <c r="E29" s="15"/>
      <c r="F29" s="15"/>
      <c r="G29" s="15"/>
      <c r="H29" s="15"/>
      <c r="I29" s="15"/>
    </row>
    <row r="30" spans="2:12" ht="22.5" customHeight="1" x14ac:dyDescent="0.2">
      <c r="B30" s="15"/>
      <c r="C30" s="15"/>
      <c r="D30" s="15"/>
      <c r="E30" s="15"/>
      <c r="F30" s="15"/>
      <c r="G30" s="15"/>
      <c r="H30" s="15"/>
      <c r="I30" s="15"/>
    </row>
  </sheetData>
  <customSheetViews>
    <customSheetView guid="{B205FD5A-B4ED-4160-AF09-52B6B1578571}" showPageBreaks="1" zeroValues="0" fitToPage="1" printArea="1" view="pageBreakPreview" topLeftCell="B1">
      <selection activeCell="L25" sqref="L25"/>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94" fitToHeight="0" orientation="landscape" r:id="rId1"/>
      <headerFooter>
        <oddHeader>&amp;C数理・データサイエンス・AI教育プログラム認定制度【リテラシーレベル】</oddHeader>
      </headerFooter>
    </customSheetView>
  </customSheetViews>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94" fitToHeight="0" orientation="landscape" r:id="rId2"/>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s-kawakami</cp:lastModifiedBy>
  <cp:lastPrinted>2023-06-27T09:14:10Z</cp:lastPrinted>
  <dcterms:created xsi:type="dcterms:W3CDTF">2011-06-14T05:32:50Z</dcterms:created>
  <dcterms:modified xsi:type="dcterms:W3CDTF">2023-06-28T01:31:34Z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