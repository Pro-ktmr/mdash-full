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iran\SynologyDrive\学習院事務関係\計算機センター\2023\数理・データサイエンス・AI教育プログラム認定制度\文科省指摘\学習院大学_修正\01_学習院大学_リテラシー\"/>
    </mc:Choice>
  </mc:AlternateContent>
  <bookViews>
    <workbookView xWindow="57480" yWindow="-120" windowWidth="29040" windowHeight="15840" tabRatio="885" activeTab="2"/>
  </bookViews>
  <sheets>
    <sheet name="様式１　プログラムを構成する授業科目" sheetId="39" r:id="rId1"/>
    <sheet name="様式２ 履修者等数の実績" sheetId="45" r:id="rId2"/>
    <sheet name="様式３ 教育の質・履修者数を向上させるための体制・計画" sheetId="41" r:id="rId3"/>
    <sheet name="様式４　自己点検・評価" sheetId="46"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プログラムを構成する授業科目'!$A$1:$S$104</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52511"/>
</workbook>
</file>

<file path=xl/calcChain.xml><?xml version="1.0" encoding="utf-8"?>
<calcChain xmlns="http://schemas.openxmlformats.org/spreadsheetml/2006/main">
  <c r="I2" i="46" l="1"/>
  <c r="AO32" i="45" l="1"/>
  <c r="AN32" i="45"/>
  <c r="AL32" i="45"/>
  <c r="AK32" i="45"/>
  <c r="AI32" i="45"/>
  <c r="AH32" i="45"/>
  <c r="AF32" i="45"/>
  <c r="AE32" i="45"/>
  <c r="AC32" i="45"/>
  <c r="AB32" i="45"/>
  <c r="Z32" i="45"/>
  <c r="Y32" i="45"/>
  <c r="W32" i="45"/>
  <c r="V32" i="45"/>
  <c r="T32" i="45"/>
  <c r="S32" i="45"/>
  <c r="Q32" i="45"/>
  <c r="P32" i="45"/>
  <c r="N32" i="45"/>
  <c r="M32" i="45"/>
  <c r="K32" i="45"/>
  <c r="J32" i="45"/>
  <c r="H32" i="45"/>
  <c r="G32" i="45"/>
  <c r="E32" i="45"/>
  <c r="I50" i="41" s="1"/>
  <c r="D32" i="45"/>
  <c r="C32" i="45"/>
  <c r="AM31" i="45"/>
  <c r="AJ31" i="45"/>
  <c r="AG31" i="45"/>
  <c r="AD31" i="45"/>
  <c r="AA31" i="45"/>
  <c r="X31" i="45"/>
  <c r="U31" i="45"/>
  <c r="R31" i="45"/>
  <c r="O31" i="45"/>
  <c r="L31" i="45"/>
  <c r="I31" i="45"/>
  <c r="F31" i="45"/>
  <c r="AM30" i="45"/>
  <c r="AJ30" i="45"/>
  <c r="AG30" i="45"/>
  <c r="AD30" i="45"/>
  <c r="AA30" i="45"/>
  <c r="X30" i="45"/>
  <c r="U30" i="45"/>
  <c r="R30" i="45"/>
  <c r="O30" i="45"/>
  <c r="L30" i="45"/>
  <c r="I30" i="45"/>
  <c r="F30" i="45"/>
  <c r="AM29" i="45"/>
  <c r="AJ29" i="45"/>
  <c r="AG29" i="45"/>
  <c r="AD29" i="45"/>
  <c r="AA29" i="45"/>
  <c r="X29" i="45"/>
  <c r="U29" i="45"/>
  <c r="R29" i="45"/>
  <c r="O29" i="45"/>
  <c r="L29" i="45"/>
  <c r="I29" i="45"/>
  <c r="F29" i="45"/>
  <c r="AM28" i="45"/>
  <c r="AJ28" i="45"/>
  <c r="AG28" i="45"/>
  <c r="AD28" i="45"/>
  <c r="AA28" i="45"/>
  <c r="X28" i="45"/>
  <c r="U28" i="45"/>
  <c r="R28" i="45"/>
  <c r="O28" i="45"/>
  <c r="L28" i="45"/>
  <c r="I28" i="45"/>
  <c r="F28" i="45"/>
  <c r="AM27" i="45"/>
  <c r="AJ27" i="45"/>
  <c r="AG27" i="45"/>
  <c r="AD27" i="45"/>
  <c r="AA27" i="45"/>
  <c r="X27" i="45"/>
  <c r="U27" i="45"/>
  <c r="R27" i="45"/>
  <c r="O27" i="45"/>
  <c r="L27" i="45"/>
  <c r="I27" i="45"/>
  <c r="F27" i="45"/>
  <c r="AM26" i="45"/>
  <c r="AJ26" i="45"/>
  <c r="AG26" i="45"/>
  <c r="AD26" i="45"/>
  <c r="AA26" i="45"/>
  <c r="X26" i="45"/>
  <c r="U26" i="45"/>
  <c r="R26" i="45"/>
  <c r="O26" i="45"/>
  <c r="L26" i="45"/>
  <c r="I26" i="45"/>
  <c r="F26" i="45"/>
  <c r="AM25" i="45"/>
  <c r="AJ25" i="45"/>
  <c r="AG25" i="45"/>
  <c r="AD25" i="45"/>
  <c r="AA25" i="45"/>
  <c r="X25" i="45"/>
  <c r="U25" i="45"/>
  <c r="R25" i="45"/>
  <c r="O25" i="45"/>
  <c r="L25" i="45"/>
  <c r="I25" i="45"/>
  <c r="F25" i="45"/>
  <c r="AM24" i="45"/>
  <c r="AJ24" i="45"/>
  <c r="AG24" i="45"/>
  <c r="AD24" i="45"/>
  <c r="AA24" i="45"/>
  <c r="X24" i="45"/>
  <c r="U24" i="45"/>
  <c r="R24" i="45"/>
  <c r="O24" i="45"/>
  <c r="L24" i="45"/>
  <c r="I24" i="45"/>
  <c r="F24" i="45"/>
  <c r="AM23" i="45"/>
  <c r="AJ23" i="45"/>
  <c r="AG23" i="45"/>
  <c r="AD23" i="45"/>
  <c r="AA23" i="45"/>
  <c r="X23" i="45"/>
  <c r="U23" i="45"/>
  <c r="R23" i="45"/>
  <c r="O23" i="45"/>
  <c r="L23" i="45"/>
  <c r="I23" i="45"/>
  <c r="F23" i="45"/>
  <c r="AM22" i="45"/>
  <c r="AJ22" i="45"/>
  <c r="AG22" i="45"/>
  <c r="AD22" i="45"/>
  <c r="AA22" i="45"/>
  <c r="X22" i="45"/>
  <c r="U22" i="45"/>
  <c r="R22" i="45"/>
  <c r="O22" i="45"/>
  <c r="L22" i="45"/>
  <c r="I22" i="45"/>
  <c r="F22" i="45"/>
  <c r="AM21" i="45"/>
  <c r="AJ21" i="45"/>
  <c r="AG21" i="45"/>
  <c r="AD21" i="45"/>
  <c r="AA21" i="45"/>
  <c r="X21" i="45"/>
  <c r="U21" i="45"/>
  <c r="R21" i="45"/>
  <c r="O21" i="45"/>
  <c r="L21" i="45"/>
  <c r="I21" i="45"/>
  <c r="F21" i="45"/>
  <c r="AM20" i="45"/>
  <c r="AJ20" i="45"/>
  <c r="AG20" i="45"/>
  <c r="AD20" i="45"/>
  <c r="AA20" i="45"/>
  <c r="X20" i="45"/>
  <c r="U20" i="45"/>
  <c r="R20" i="45"/>
  <c r="O20" i="45"/>
  <c r="L20" i="45"/>
  <c r="I20" i="45"/>
  <c r="F20" i="45"/>
  <c r="AM19" i="45"/>
  <c r="AJ19" i="45"/>
  <c r="AG19" i="45"/>
  <c r="AD19" i="45"/>
  <c r="AA19" i="45"/>
  <c r="X19" i="45"/>
  <c r="U19" i="45"/>
  <c r="R19" i="45"/>
  <c r="O19" i="45"/>
  <c r="L19" i="45"/>
  <c r="I19" i="45"/>
  <c r="F19" i="45"/>
  <c r="AM18" i="45"/>
  <c r="AJ18" i="45"/>
  <c r="AG18" i="45"/>
  <c r="AD18" i="45"/>
  <c r="AA18" i="45"/>
  <c r="X18" i="45"/>
  <c r="U18" i="45"/>
  <c r="R18" i="45"/>
  <c r="O18" i="45"/>
  <c r="L18" i="45"/>
  <c r="I18" i="45"/>
  <c r="F18" i="45"/>
  <c r="AM17" i="45"/>
  <c r="AJ17" i="45"/>
  <c r="AG17" i="45"/>
  <c r="AD17" i="45"/>
  <c r="AA17" i="45"/>
  <c r="X17" i="45"/>
  <c r="U17" i="45"/>
  <c r="R17" i="45"/>
  <c r="O17" i="45"/>
  <c r="L17" i="45"/>
  <c r="I17" i="45"/>
  <c r="F17" i="45"/>
  <c r="AM16" i="45"/>
  <c r="AJ16" i="45"/>
  <c r="AG16" i="45"/>
  <c r="AD16" i="45"/>
  <c r="AA16" i="45"/>
  <c r="X16" i="45"/>
  <c r="U16" i="45"/>
  <c r="R16" i="45"/>
  <c r="O16" i="45"/>
  <c r="L16" i="45"/>
  <c r="I16" i="45"/>
  <c r="F16" i="45"/>
  <c r="AM15" i="45"/>
  <c r="AJ15" i="45"/>
  <c r="AG15" i="45"/>
  <c r="AD15" i="45"/>
  <c r="AA15" i="45"/>
  <c r="X15" i="45"/>
  <c r="U15" i="45"/>
  <c r="R15" i="45"/>
  <c r="O15" i="45"/>
  <c r="L15" i="45"/>
  <c r="I15" i="45"/>
  <c r="F15" i="45"/>
  <c r="AM14" i="45"/>
  <c r="AJ14" i="45"/>
  <c r="AG14" i="45"/>
  <c r="AD14" i="45"/>
  <c r="AA14" i="45"/>
  <c r="X14" i="45"/>
  <c r="U14" i="45"/>
  <c r="R14" i="45"/>
  <c r="O14" i="45"/>
  <c r="L14" i="45"/>
  <c r="I14" i="45"/>
  <c r="F14" i="45"/>
  <c r="AM13" i="45"/>
  <c r="AJ13" i="45"/>
  <c r="AG13" i="45"/>
  <c r="AD13" i="45"/>
  <c r="AA13" i="45"/>
  <c r="X13" i="45"/>
  <c r="U13" i="45"/>
  <c r="R13" i="45"/>
  <c r="O13" i="45"/>
  <c r="L13" i="45"/>
  <c r="I13" i="45"/>
  <c r="F13" i="45"/>
  <c r="AM12" i="45"/>
  <c r="AJ12" i="45"/>
  <c r="AG12" i="45"/>
  <c r="AD12" i="45"/>
  <c r="AD32" i="45" s="1"/>
  <c r="AA12" i="45"/>
  <c r="X12" i="45"/>
  <c r="X32" i="45" s="1"/>
  <c r="U12" i="45"/>
  <c r="R12" i="45"/>
  <c r="R32" i="45" s="1"/>
  <c r="O12" i="45"/>
  <c r="L12" i="45"/>
  <c r="I12" i="45"/>
  <c r="I32" i="45" s="1"/>
  <c r="F12" i="45"/>
  <c r="AM2" i="45"/>
  <c r="AP22" i="45" l="1"/>
  <c r="AQ22" i="45" s="1"/>
  <c r="AJ32" i="45"/>
  <c r="AA32" i="45"/>
  <c r="AG32" i="45"/>
  <c r="AP15" i="45"/>
  <c r="AQ15" i="45" s="1"/>
  <c r="AP18" i="45"/>
  <c r="AQ18" i="45" s="1"/>
  <c r="AP13" i="45"/>
  <c r="AQ13" i="45" s="1"/>
  <c r="AP20" i="45"/>
  <c r="AQ20" i="45" s="1"/>
  <c r="AP14" i="45"/>
  <c r="AQ14" i="45" s="1"/>
  <c r="AP19" i="45"/>
  <c r="AQ19" i="45" s="1"/>
  <c r="AP16" i="45"/>
  <c r="AQ16" i="45" s="1"/>
  <c r="AM32" i="45"/>
  <c r="AP25" i="45"/>
  <c r="AQ25" i="45" s="1"/>
  <c r="AP29" i="45"/>
  <c r="AQ29" i="45" s="1"/>
  <c r="AP21" i="45"/>
  <c r="AQ21" i="45" s="1"/>
  <c r="O32" i="45"/>
  <c r="AP26" i="45"/>
  <c r="AQ26" i="45" s="1"/>
  <c r="AP27" i="45"/>
  <c r="AQ27" i="45" s="1"/>
  <c r="AP31" i="45"/>
  <c r="AQ31" i="45" s="1"/>
  <c r="AP23" i="45"/>
  <c r="AQ23" i="45" s="1"/>
  <c r="AP28" i="45"/>
  <c r="AQ28" i="45" s="1"/>
  <c r="AP17" i="45"/>
  <c r="AQ17" i="45" s="1"/>
  <c r="U32" i="45"/>
  <c r="AP24" i="45"/>
  <c r="AQ24" i="45" s="1"/>
  <c r="AP30" i="45"/>
  <c r="AQ30" i="45" s="1"/>
  <c r="L32" i="45"/>
  <c r="F32" i="45"/>
  <c r="AP12" i="45"/>
  <c r="H2" i="41"/>
  <c r="AP32" i="45" l="1"/>
  <c r="AQ32" i="45" s="1"/>
  <c r="C49" i="41" s="1"/>
  <c r="AQ12" i="45"/>
</calcChain>
</file>

<file path=xl/sharedStrings.xml><?xml version="1.0" encoding="utf-8"?>
<sst xmlns="http://schemas.openxmlformats.org/spreadsheetml/2006/main" count="412" uniqueCount="234">
  <si>
    <t>①</t>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</si>
  <si>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</si>
  <si>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</si>
  <si>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</si>
  <si>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</si>
  <si>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</si>
  <si>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</si>
  <si>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</si>
  <si>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</si>
  <si>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</si>
  <si>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（役職名）</t>
    <rPh sb="1" eb="4">
      <t>ヤクショクメイ</t>
    </rPh>
    <phoneticPr fontId="2"/>
  </si>
  <si>
    <t>⑩</t>
    <phoneticPr fontId="2"/>
  </si>
  <si>
    <t>様式１</t>
    <rPh sb="0" eb="2">
      <t>ヨウシキ</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</si>
  <si>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</si>
  <si>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</si>
  <si>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</si>
  <si>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</si>
  <si>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</si>
  <si>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</si>
  <si>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</si>
  <si>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</si>
  <si>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</si>
  <si>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</si>
  <si>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</si>
  <si>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</si>
  <si>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</si>
  <si>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</si>
  <si>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</si>
  <si>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</si>
  <si>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</si>
  <si>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⑫</t>
    <phoneticPr fontId="2"/>
  </si>
  <si>
    <t>⑧</t>
    <phoneticPr fontId="2"/>
  </si>
  <si>
    <t>履修率</t>
    <rPh sb="0" eb="2">
      <t>リシュウ</t>
    </rPh>
    <rPh sb="2" eb="3">
      <t>リツ</t>
    </rPh>
    <phoneticPr fontId="2"/>
  </si>
  <si>
    <t>合　計</t>
    <phoneticPr fontId="2"/>
  </si>
  <si>
    <t>⑨</t>
    <phoneticPr fontId="2"/>
  </si>
  <si>
    <t>履修者数
合計</t>
    <rPh sb="0" eb="2">
      <t>リシュウ</t>
    </rPh>
    <rPh sb="2" eb="3">
      <t>シャ</t>
    </rPh>
    <rPh sb="3" eb="4">
      <t>スウ</t>
    </rPh>
    <rPh sb="5" eb="7">
      <t>ゴウケイ</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</si>
  <si>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</si>
  <si>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</si>
  <si>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</si>
  <si>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プログラムを構成する授業科目について</t>
    <phoneticPr fontId="2"/>
  </si>
  <si>
    <t>収容
定員</t>
    <rPh sb="0" eb="2">
      <t>シュウヨウ</t>
    </rPh>
    <rPh sb="3" eb="5">
      <t>テイイン</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</si>
  <si>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</si>
  <si>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</si>
  <si>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（責任者名）</t>
    <rPh sb="1" eb="4">
      <t>セキニンシャ</t>
    </rPh>
    <rPh sb="4" eb="5">
      <t>メイ</t>
    </rPh>
    <phoneticPr fontId="2"/>
  </si>
  <si>
    <t>⑪</t>
    <phoneticPr fontId="2"/>
  </si>
  <si>
    <t>学部・学科名称</t>
    <rPh sb="0" eb="2">
      <t>ガクブ</t>
    </rPh>
    <rPh sb="3" eb="5">
      <t>ガッカ</t>
    </rPh>
    <rPh sb="5" eb="7">
      <t>メイショウ</t>
    </rPh>
    <phoneticPr fontId="2"/>
  </si>
  <si>
    <t>授業時間内外で学習指導、質問を受け付ける具体的な仕組み</t>
    <rPh sb="20" eb="23">
      <t>グタイテキ</t>
    </rPh>
    <phoneticPr fontId="2"/>
  </si>
  <si>
    <t>入学
定員</t>
    <rPh sb="0" eb="2">
      <t>ニュウガク</t>
    </rPh>
    <rPh sb="3" eb="5">
      <t>テイイン</t>
    </rPh>
    <phoneticPr fontId="2"/>
  </si>
  <si>
    <t>プログラムの履修者数等の実績について</t>
    <phoneticPr fontId="2"/>
  </si>
  <si>
    <t>令和3年度</t>
    <rPh sb="0" eb="2">
      <t>レイワ</t>
    </rPh>
    <rPh sb="3" eb="5">
      <t>ネンド</t>
    </rPh>
    <phoneticPr fontId="2"/>
  </si>
  <si>
    <t>令和2年度</t>
    <rPh sb="0" eb="2">
      <t>レイワ</t>
    </rPh>
    <rPh sb="3" eb="5">
      <t>ネンド</t>
    </rPh>
    <phoneticPr fontId="2"/>
  </si>
  <si>
    <t>平成30年度</t>
    <rPh sb="0" eb="2">
      <t>ヘイセイ</t>
    </rPh>
    <rPh sb="4" eb="6">
      <t>ネンド</t>
    </rPh>
    <phoneticPr fontId="2"/>
  </si>
  <si>
    <t>平成29年度</t>
    <rPh sb="0" eb="2">
      <t>ヘイセイ</t>
    </rPh>
    <rPh sb="4" eb="6">
      <t>ネンド</t>
    </rPh>
    <phoneticPr fontId="2"/>
  </si>
  <si>
    <t>年度</t>
    <rPh sb="0" eb="2">
      <t>ネンド</t>
    </rPh>
    <phoneticPr fontId="2"/>
  </si>
  <si>
    <t>授業科目</t>
    <rPh sb="0" eb="2">
      <t>ジュギョウ</t>
    </rPh>
    <rPh sb="2" eb="4">
      <t>カモク</t>
    </rPh>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</si>
  <si>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</si>
  <si>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</si>
  <si>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</si>
  <si>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</si>
  <si>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</si>
  <si>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</si>
  <si>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</si>
  <si>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</si>
  <si>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</si>
  <si>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</si>
  <si>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　　　　　　　　　　　　　　　　　　　　　　　　　　　　　　　　　　　　　　　　　　　　　　　　　　　　　　　　　　　　　　　　　　　　　　　　　　　　　　　　　　　　　　　　　　　　　　　　　　　　　　　　　　　　　　　　　　　　　　　　　　　　　　　　　　　　　　　　　　　　　　　　　　　　　　　　　　　　　　　　　　　　　　　　　　　　　　　　　　　　　　　　　　　　　　　　　　　　　　　　　　　　　　　　　　　　　　　　　　　　　　　　　　　　　　　　　　　　　　　　　　　　　　　　　　　　　　　　　　　　　　　　　　　　　　　　　　　　　　　　　　　　　　　　　　　　　　　　　　　　　　　　　　　　　　　　　　　　　　　　　　　　　　　　　　　　　　　　　　　　　　　　　　　　　　　　　　　　　　　　　　　　　　　　　　　　　　　　　　　　　　　　　　　　　　　　　　　　　　　　　　　　　　　　　　　　　　　　　　　　　　　　　　　　　　　　　　　　　　　　　　　　　　　　　　　　　　　　　　　　　　　　　　　　　　　　　　　　　　　　　　　　　　　　　　　　　　　　　　　　　　　　　　　　　　　　　　　　　　　　　　　　　　　　　　　　　　　　　　　　　　　　　　　　　　　　　　　　　　　　　　　　　　　　　　　　　　　　　　　　　　　　　　　　　　　　　　　　　　　　　　　　　　　　　　　　　　　　　　　　　　　　　　　　　　　　　　　　　　　　　　　　　　　　　　　　　　　　　　　　　　　　　　　　　　　　　　　　　　　　　　　　　　　　　　　　　　　　　　　　　　　　　　　　　　　　　　　　　　　　　　　　　　　　　　　　　　</t>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</si>
  <si>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</si>
  <si>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</si>
  <si>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</si>
  <si>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</si>
  <si>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</si>
  <si>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t>
    <phoneticPr fontId="2"/>
  </si>
  <si>
    <t>1-2</t>
    <phoneticPr fontId="2"/>
  </si>
  <si>
    <t>1-3</t>
    <phoneticPr fontId="2"/>
  </si>
  <si>
    <t>1-4</t>
    <phoneticPr fontId="2"/>
  </si>
  <si>
    <t>1-5</t>
    <phoneticPr fontId="2"/>
  </si>
  <si>
    <t>2-2</t>
    <phoneticPr fontId="2"/>
  </si>
  <si>
    <t>2-3</t>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</si>
  <si>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</si>
  <si>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</si>
  <si>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</si>
  <si>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単位数</t>
    <rPh sb="0" eb="3">
      <t>タンイスウ</t>
    </rPh>
    <phoneticPr fontId="2"/>
  </si>
  <si>
    <t>②履修者・修了者の実績</t>
    <rPh sb="1" eb="3">
      <t>リシュウ</t>
    </rPh>
    <rPh sb="3" eb="4">
      <t>シャ</t>
    </rPh>
    <rPh sb="5" eb="8">
      <t>シュウリョウシャ</t>
    </rPh>
    <rPh sb="9" eb="11">
      <t>ジッセキ</t>
    </rPh>
    <phoneticPr fontId="2"/>
  </si>
  <si>
    <t>選択項目</t>
    <rPh sb="0" eb="2">
      <t>センタク</t>
    </rPh>
    <rPh sb="2" eb="4">
      <t>コウモク</t>
    </rPh>
    <phoneticPr fontId="2"/>
  </si>
  <si>
    <t>①プログラム開設年度</t>
    <rPh sb="6" eb="8">
      <t>カイセツ</t>
    </rPh>
    <rPh sb="8" eb="10">
      <t>ネンド</t>
    </rPh>
    <phoneticPr fontId="2"/>
  </si>
  <si>
    <t>必須</t>
    <rPh sb="0" eb="2">
      <t>ヒッス</t>
    </rPh>
    <phoneticPr fontId="2"/>
  </si>
  <si>
    <t>令和4年度</t>
    <rPh sb="0" eb="2">
      <t>レイワ</t>
    </rPh>
    <rPh sb="3" eb="5">
      <t>ネンド</t>
    </rPh>
    <phoneticPr fontId="2"/>
  </si>
  <si>
    <t>学生数</t>
    <rPh sb="0" eb="3">
      <t>ガクセイスウ</t>
    </rPh>
    <phoneticPr fontId="2"/>
  </si>
  <si>
    <t>プログラムを改善・進化させるための体制（委員会・組織等）</t>
    <phoneticPr fontId="2"/>
  </si>
  <si>
    <t>令和４年度実績</t>
    <rPh sb="0" eb="2">
      <t>レイワ</t>
    </rPh>
    <rPh sb="3" eb="5">
      <t>ネンド</t>
    </rPh>
    <rPh sb="5" eb="7">
      <t>ジッセキ</t>
    </rPh>
    <phoneticPr fontId="2"/>
  </si>
  <si>
    <t>令和８年度予定</t>
    <rPh sb="0" eb="2">
      <t>レイワ</t>
    </rPh>
    <rPh sb="3" eb="5">
      <t>ネンド</t>
    </rPh>
    <rPh sb="5" eb="7">
      <t>ヨテイ</t>
    </rPh>
    <phoneticPr fontId="2"/>
  </si>
  <si>
    <t>全学の教員数</t>
    <rPh sb="0" eb="2">
      <t>ゼンガク</t>
    </rPh>
    <rPh sb="3" eb="6">
      <t>キョウインスウ</t>
    </rPh>
    <phoneticPr fontId="2"/>
  </si>
  <si>
    <t>(常勤）</t>
    <rPh sb="1" eb="3">
      <t>ジョウキン</t>
    </rPh>
    <phoneticPr fontId="2"/>
  </si>
  <si>
    <t>プログラムの授業を教えている教員数</t>
    <rPh sb="6" eb="8">
      <t>ジュギョウ</t>
    </rPh>
    <rPh sb="9" eb="10">
      <t>オシ</t>
    </rPh>
    <rPh sb="14" eb="17">
      <t>キョウインスウ</t>
    </rPh>
    <phoneticPr fontId="2"/>
  </si>
  <si>
    <t>プログラムの運営責任者</t>
    <rPh sb="6" eb="8">
      <t>ウンエイ</t>
    </rPh>
    <rPh sb="8" eb="11">
      <t>セキニンシャ</t>
    </rPh>
    <phoneticPr fontId="2"/>
  </si>
  <si>
    <t>プログラムの自己点検・評価を行う体制（委員会・組織等）</t>
    <phoneticPr fontId="2"/>
  </si>
  <si>
    <t>単位</t>
    <rPh sb="0" eb="2">
      <t>タンイ</t>
    </rPh>
    <phoneticPr fontId="2"/>
  </si>
  <si>
    <t>履修者数</t>
    <rPh sb="0" eb="3">
      <t>リシュウシャ</t>
    </rPh>
    <rPh sb="3" eb="4">
      <t>スウ</t>
    </rPh>
    <phoneticPr fontId="2"/>
  </si>
  <si>
    <t>合計</t>
    <rPh sb="0" eb="2">
      <t>ゴウケイ</t>
    </rPh>
    <phoneticPr fontId="2"/>
  </si>
  <si>
    <t>男性</t>
    <rPh sb="0" eb="2">
      <t>ダンセイ</t>
    </rPh>
    <phoneticPr fontId="2"/>
  </si>
  <si>
    <t>女性</t>
    <rPh sb="0" eb="2">
      <t>ジョセイ</t>
    </rPh>
    <phoneticPr fontId="2"/>
  </si>
  <si>
    <t>令和元年度</t>
    <rPh sb="0" eb="2">
      <t>レイワ</t>
    </rPh>
    <rPh sb="2" eb="3">
      <t>モト</t>
    </rPh>
    <rPh sb="3" eb="5">
      <t>ネンド</t>
    </rPh>
    <phoneticPr fontId="2"/>
  </si>
  <si>
    <t>2-1</t>
  </si>
  <si>
    <t>プログラム名</t>
    <rPh sb="5" eb="6">
      <t>メイ</t>
    </rPh>
    <phoneticPr fontId="2"/>
  </si>
  <si>
    <t>【プルダウンリスト】</t>
    <phoneticPr fontId="2"/>
  </si>
  <si>
    <t>様式４</t>
    <phoneticPr fontId="2"/>
  </si>
  <si>
    <t>様式３</t>
    <phoneticPr fontId="2"/>
  </si>
  <si>
    <t>様式２</t>
    <phoneticPr fontId="2"/>
  </si>
  <si>
    <t>② 教育プログラムの修了要件</t>
    <phoneticPr fontId="2"/>
  </si>
  <si>
    <t>大学等名</t>
    <rPh sb="0" eb="2">
      <t>ダイガク</t>
    </rPh>
    <rPh sb="2" eb="3">
      <t>トウ</t>
    </rPh>
    <rPh sb="3" eb="4">
      <t>メイ</t>
    </rPh>
    <phoneticPr fontId="2"/>
  </si>
  <si>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2"/>
  </si>
  <si>
    <t>令和４年度以前より、履修することが必須のプログラムとして実施</t>
    <rPh sb="0" eb="2">
      <t>レイワ</t>
    </rPh>
    <rPh sb="3" eb="5">
      <t>ネンド</t>
    </rPh>
    <rPh sb="5" eb="7">
      <t>イゼン</t>
    </rPh>
    <phoneticPr fontId="2"/>
  </si>
  <si>
    <t>③ 修了要件</t>
    <phoneticPr fontId="2"/>
  </si>
  <si>
    <t>必要最低単位数</t>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</si>
  <si>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</si>
  <si>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</si>
  <si>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</si>
  <si>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</si>
  <si>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</si>
  <si>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⑨ 選択「４．オプション」の内容を含む授業科目</t>
    <rPh sb="14" eb="16">
      <t>ナイヨウ</t>
    </rPh>
    <rPh sb="17" eb="18">
      <t>フク</t>
    </rPh>
    <rPh sb="19" eb="21">
      <t>ジュギョウ</t>
    </rPh>
    <rPh sb="21" eb="23">
      <t>カモク</t>
    </rPh>
    <phoneticPr fontId="2"/>
  </si>
  <si>
    <t>⑩ プログラムを構成する授業の内容</t>
    <phoneticPr fontId="2"/>
  </si>
  <si>
    <t>⑪ プログラムの学修成果（学生等が身に付けられる能力等）</t>
    <phoneticPr fontId="2"/>
  </si>
  <si>
    <t>履修必須の有無</t>
    <rPh sb="0" eb="2">
      <t>リシュウ</t>
    </rPh>
    <rPh sb="2" eb="4">
      <t>ヒッス</t>
    </rPh>
    <rPh sb="5" eb="7">
      <t>ウム</t>
    </rPh>
    <phoneticPr fontId="2"/>
  </si>
  <si>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</si>
  <si>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令和７年度までに履修必須とする計画</t>
    <rPh sb="3" eb="4">
      <t>ネン</t>
    </rPh>
    <phoneticPr fontId="2"/>
  </si>
  <si>
    <t>① 対象となる学部・学科名称</t>
    <phoneticPr fontId="2"/>
  </si>
  <si>
    <t>令和８年度以降に履修必須とする計画、又は未定</t>
    <rPh sb="18" eb="19">
      <t>マタ</t>
    </rPh>
    <rPh sb="20" eb="22">
      <t>ミテイ</t>
    </rPh>
    <phoneticPr fontId="2"/>
  </si>
  <si>
    <t>学習院大学</t>
    <rPh sb="0" eb="5">
      <t>ガクシュウインダイガク</t>
    </rPh>
    <phoneticPr fontId="2"/>
  </si>
  <si>
    <t>データサイエンスプログラム</t>
    <phoneticPr fontId="2"/>
  </si>
  <si>
    <t>学部・学科によって、修了要件は相違しない</t>
  </si>
  <si>
    <t>全学部（法学部、経済学部、文学部、理学部、国際社会科学部）・全学科</t>
    <rPh sb="0" eb="3">
      <t>ゼンガクブ</t>
    </rPh>
    <rPh sb="4" eb="7">
      <t>ホウガクブ</t>
    </rPh>
    <rPh sb="8" eb="12">
      <t>ケイザイガクブ</t>
    </rPh>
    <rPh sb="13" eb="16">
      <t>ブンガクブ</t>
    </rPh>
    <rPh sb="17" eb="20">
      <t>リガクブ</t>
    </rPh>
    <rPh sb="21" eb="28">
      <t>コクサイシャカイカガクブ</t>
    </rPh>
    <rPh sb="30" eb="33">
      <t>ゼンガッカ</t>
    </rPh>
    <phoneticPr fontId="2"/>
  </si>
  <si>
    <t>○</t>
  </si>
  <si>
    <t>コンピューターグラフィックス</t>
    <phoneticPr fontId="2"/>
  </si>
  <si>
    <t>4‐7データハンドリング</t>
  </si>
  <si>
    <t>基礎のアルゴリズム</t>
    <phoneticPr fontId="2"/>
  </si>
  <si>
    <t>4‐2アルゴリズム基礎</t>
  </si>
  <si>
    <t>4-1統計および数理基礎</t>
  </si>
  <si>
    <t>4‐3データ構造とプログラミング基礎</t>
  </si>
  <si>
    <t>4‐8データ活用実践（教師あり学習）</t>
  </si>
  <si>
    <t>4‐8データ活用実践（教師あり学習）</t>
    <phoneticPr fontId="2"/>
  </si>
  <si>
    <t>4‐6画像解析</t>
  </si>
  <si>
    <t>人工知能とビッグデータ※</t>
    <phoneticPr fontId="2"/>
  </si>
  <si>
    <t>人工知能概論※</t>
    <phoneticPr fontId="2"/>
  </si>
  <si>
    <t>基礎の機械学習※</t>
    <rPh sb="0" eb="2">
      <t xml:space="preserve">キソノ </t>
    </rPh>
    <rPh sb="3" eb="7">
      <t xml:space="preserve">キカイガクシュウ </t>
    </rPh>
    <phoneticPr fontId="2"/>
  </si>
  <si>
    <t>プログラミングで学ぶ機械学習※</t>
    <rPh sb="8" eb="9">
      <t xml:space="preserve">マナブ </t>
    </rPh>
    <rPh sb="10" eb="14">
      <t xml:space="preserve">キカイガクシュウ </t>
    </rPh>
    <phoneticPr fontId="2"/>
  </si>
  <si>
    <t>基礎のニューラルネット※</t>
    <rPh sb="0" eb="2">
      <t xml:space="preserve">キソノ </t>
    </rPh>
    <phoneticPr fontId="2"/>
  </si>
  <si>
    <t>プログラミングで学ぶ機械学習※</t>
    <phoneticPr fontId="2"/>
  </si>
  <si>
    <t>画像情報</t>
    <rPh sb="0" eb="4">
      <t xml:space="preserve">ガゾウジョウホウ </t>
    </rPh>
    <phoneticPr fontId="2"/>
  </si>
  <si>
    <t>情報セキュリティと情報倫理</t>
    <rPh sb="0" eb="2">
      <t xml:space="preserve">ジョウホウセキュリティト </t>
    </rPh>
    <rPh sb="9" eb="13">
      <t xml:space="preserve">ジョウホウリンリ </t>
    </rPh>
    <phoneticPr fontId="2"/>
  </si>
  <si>
    <t>情報技術基礎</t>
    <rPh sb="0" eb="1">
      <t xml:space="preserve">ジョウホウギジュツ </t>
    </rPh>
    <rPh sb="4" eb="6">
      <t xml:space="preserve">キソ </t>
    </rPh>
    <phoneticPr fontId="2"/>
  </si>
  <si>
    <t>プログラミング初級・中級</t>
    <rPh sb="10" eb="12">
      <t xml:space="preserve">チュウキュウ </t>
    </rPh>
    <phoneticPr fontId="2"/>
  </si>
  <si>
    <t>情報理論概論</t>
    <rPh sb="4" eb="6">
      <t xml:space="preserve">ガイロン </t>
    </rPh>
    <phoneticPr fontId="2"/>
  </si>
  <si>
    <t>計算機科学とプログラミング初級・中級</t>
    <rPh sb="16" eb="18">
      <t xml:space="preserve">チュウキュウ </t>
    </rPh>
    <phoneticPr fontId="2"/>
  </si>
  <si>
    <t>プログラミングで学ぶアルゴリズム</t>
  </si>
  <si>
    <t>4‐2アルゴリズム基礎</t>
    <phoneticPr fontId="2"/>
  </si>
  <si>
    <t>4‐4時系列データ解析</t>
  </si>
  <si>
    <t>基礎のニューラルネット※</t>
    <rPh sb="0" eb="1">
      <t xml:space="preserve">キソノ </t>
    </rPh>
    <phoneticPr fontId="2"/>
  </si>
  <si>
    <t>プログラミングで学ぶニューラルネット※</t>
    <rPh sb="7" eb="8">
      <t>デ</t>
    </rPh>
    <phoneticPr fontId="2"/>
  </si>
  <si>
    <t>基礎の機械学習※</t>
    <rPh sb="0" eb="1">
      <t xml:space="preserve">キソノ </t>
    </rPh>
    <rPh sb="3" eb="7">
      <t xml:space="preserve">キカイガクシュウ </t>
    </rPh>
    <phoneticPr fontId="2"/>
  </si>
  <si>
    <t>4‐5テキスト解析</t>
  </si>
  <si>
    <t>4‐9データ活用実践（教師なし学習）</t>
  </si>
  <si>
    <t>基礎の機械学習※</t>
    <phoneticPr fontId="2"/>
  </si>
  <si>
    <t>基礎のニューラルネット※</t>
    <phoneticPr fontId="2"/>
  </si>
  <si>
    <t>プログラミングで学ぶニューラルネット※</t>
    <phoneticPr fontId="2"/>
  </si>
  <si>
    <t>統計解析ツールによるデータ分析※</t>
    <rPh sb="0" eb="1">
      <t>トウケイカ</t>
    </rPh>
    <phoneticPr fontId="2"/>
  </si>
  <si>
    <t>理学部生命科学科</t>
    <rPh sb="0" eb="3">
      <t>リガクブ</t>
    </rPh>
    <rPh sb="3" eb="5">
      <t>セイメイ</t>
    </rPh>
    <rPh sb="5" eb="7">
      <t>カガク</t>
    </rPh>
    <rPh sb="7" eb="8">
      <t>カ</t>
    </rPh>
    <phoneticPr fontId="2"/>
  </si>
  <si>
    <t>理学部数学科</t>
    <rPh sb="0" eb="3">
      <t>リガクブ</t>
    </rPh>
    <rPh sb="3" eb="5">
      <t>スウガク</t>
    </rPh>
    <rPh sb="5" eb="6">
      <t>カ</t>
    </rPh>
    <phoneticPr fontId="2"/>
  </si>
  <si>
    <t>理学部化学科</t>
    <rPh sb="0" eb="3">
      <t>リガクブ</t>
    </rPh>
    <rPh sb="3" eb="6">
      <t>カガクカ</t>
    </rPh>
    <phoneticPr fontId="2"/>
  </si>
  <si>
    <t>理学部物理学科</t>
    <rPh sb="0" eb="3">
      <t>リガクブ</t>
    </rPh>
    <rPh sb="3" eb="5">
      <t>ブツリ</t>
    </rPh>
    <rPh sb="5" eb="7">
      <t>ガッカ</t>
    </rPh>
    <phoneticPr fontId="2"/>
  </si>
  <si>
    <t>文学部教育学科</t>
    <rPh sb="0" eb="3">
      <t>ブンガクブ</t>
    </rPh>
    <rPh sb="3" eb="5">
      <t>キョウイク</t>
    </rPh>
    <rPh sb="5" eb="7">
      <t>ガッカ</t>
    </rPh>
    <phoneticPr fontId="2"/>
  </si>
  <si>
    <t>文学部心理学科</t>
    <rPh sb="0" eb="3">
      <t>ブンガクブ</t>
    </rPh>
    <rPh sb="3" eb="5">
      <t>シンリ</t>
    </rPh>
    <rPh sb="5" eb="7">
      <t>ガッカ</t>
    </rPh>
    <phoneticPr fontId="2"/>
  </si>
  <si>
    <t>文学部フランス語圏文化学科</t>
    <rPh sb="0" eb="3">
      <t>ブンガクブ</t>
    </rPh>
    <rPh sb="7" eb="8">
      <t>ゴ</t>
    </rPh>
    <rPh sb="8" eb="9">
      <t>ケン</t>
    </rPh>
    <rPh sb="9" eb="11">
      <t>ブンカ</t>
    </rPh>
    <rPh sb="11" eb="13">
      <t>ガッカ</t>
    </rPh>
    <phoneticPr fontId="2"/>
  </si>
  <si>
    <t>文学部ドイツ語圏文化学科</t>
    <rPh sb="0" eb="3">
      <t>ブンガクブ</t>
    </rPh>
    <rPh sb="6" eb="7">
      <t>ゴ</t>
    </rPh>
    <rPh sb="7" eb="8">
      <t>ケン</t>
    </rPh>
    <rPh sb="8" eb="10">
      <t>ブンカ</t>
    </rPh>
    <rPh sb="10" eb="12">
      <t>ガッカ</t>
    </rPh>
    <phoneticPr fontId="2"/>
  </si>
  <si>
    <t>文学部英語英米文化学科</t>
    <rPh sb="0" eb="3">
      <t>ブンガクブ</t>
    </rPh>
    <rPh sb="3" eb="5">
      <t>エイゴ</t>
    </rPh>
    <rPh sb="5" eb="7">
      <t>エイベイ</t>
    </rPh>
    <rPh sb="7" eb="9">
      <t>ブンカ</t>
    </rPh>
    <rPh sb="9" eb="11">
      <t>ガッカ</t>
    </rPh>
    <phoneticPr fontId="2"/>
  </si>
  <si>
    <t>文学部日本語日本文化学科</t>
    <rPh sb="0" eb="3">
      <t>ブンガクブ</t>
    </rPh>
    <rPh sb="3" eb="6">
      <t>ニホンゴ</t>
    </rPh>
    <rPh sb="6" eb="8">
      <t>ニホン</t>
    </rPh>
    <rPh sb="8" eb="10">
      <t>ブンカ</t>
    </rPh>
    <rPh sb="10" eb="12">
      <t>ガッカ</t>
    </rPh>
    <phoneticPr fontId="2"/>
  </si>
  <si>
    <t>文学部史学科</t>
    <rPh sb="0" eb="3">
      <t>ブンガクブ</t>
    </rPh>
    <rPh sb="3" eb="6">
      <t>シガクカ</t>
    </rPh>
    <phoneticPr fontId="2"/>
  </si>
  <si>
    <t>文学部哲学科</t>
    <rPh sb="0" eb="3">
      <t>ブンガクブ</t>
    </rPh>
    <rPh sb="3" eb="6">
      <t>テツガクカ</t>
    </rPh>
    <phoneticPr fontId="2"/>
  </si>
  <si>
    <t>経済学部経営学科</t>
    <rPh sb="0" eb="2">
      <t>ケイザイ</t>
    </rPh>
    <rPh sb="2" eb="4">
      <t>ガクブ</t>
    </rPh>
    <rPh sb="4" eb="6">
      <t>ケイエイ</t>
    </rPh>
    <rPh sb="6" eb="8">
      <t>ガッカ</t>
    </rPh>
    <phoneticPr fontId="2"/>
  </si>
  <si>
    <t>経済学部経済学科</t>
    <rPh sb="0" eb="3">
      <t>ケイザイガク</t>
    </rPh>
    <rPh sb="3" eb="4">
      <t>ブ</t>
    </rPh>
    <rPh sb="4" eb="6">
      <t>ケイザイ</t>
    </rPh>
    <rPh sb="6" eb="8">
      <t>ガッカ</t>
    </rPh>
    <phoneticPr fontId="2"/>
  </si>
  <si>
    <t>法学部政治学科</t>
    <rPh sb="0" eb="3">
      <t>ホウガクブ</t>
    </rPh>
    <rPh sb="3" eb="5">
      <t>セイジ</t>
    </rPh>
    <rPh sb="5" eb="7">
      <t>ガッカ</t>
    </rPh>
    <phoneticPr fontId="2"/>
  </si>
  <si>
    <t>法学部法学科</t>
    <rPh sb="0" eb="3">
      <t>ホウガクブ</t>
    </rPh>
    <rPh sb="3" eb="5">
      <t>ホウガク</t>
    </rPh>
    <rPh sb="5" eb="6">
      <t>カ</t>
    </rPh>
    <phoneticPr fontId="2"/>
  </si>
  <si>
    <t>令和４</t>
    <rPh sb="0" eb="2">
      <t>レイワ</t>
    </rPh>
    <phoneticPr fontId="2"/>
  </si>
  <si>
    <t>人工知能概論※</t>
    <rPh sb="0" eb="1">
      <t xml:space="preserve">ジンコウチノウガイロン </t>
    </rPh>
    <phoneticPr fontId="2"/>
  </si>
  <si>
    <t>プログラミングで学ぶニューラルネット※</t>
    <rPh sb="8" eb="9">
      <t xml:space="preserve">マナブ </t>
    </rPh>
    <phoneticPr fontId="2"/>
  </si>
  <si>
    <t>情報リテラシー</t>
    <rPh sb="0" eb="2">
      <t xml:space="preserve">ジョウホウリテラシー </t>
    </rPh>
    <phoneticPr fontId="2"/>
  </si>
  <si>
    <t>情報セキュリティ：機密性、完全性、可用性「情報セキュリティと情報倫理」（1回）
暗号化、パスワード「情報セキュリティと情報倫理」（3〜6回）「情報技術基礎」（6回）「情報リテラシー」（14回）
情報漏洩等によるセキュリティ事故の事例紹介「情報リテラシー」（14回）</t>
    <rPh sb="0" eb="2">
      <t xml:space="preserve">ジョウホウセキュリティノ </t>
    </rPh>
    <rPh sb="9" eb="12">
      <t>キミツセイ</t>
    </rPh>
    <rPh sb="13" eb="16">
      <t xml:space="preserve">カンゼンセイ </t>
    </rPh>
    <rPh sb="17" eb="20">
      <t xml:space="preserve">カヨウセイ </t>
    </rPh>
    <rPh sb="39" eb="42">
      <t xml:space="preserve">アンゴウカ </t>
    </rPh>
    <rPh sb="70" eb="76">
      <t xml:space="preserve">ジョウホウギジュツキソ </t>
    </rPh>
    <rPh sb="79" eb="80">
      <t xml:space="preserve">カイ </t>
    </rPh>
    <rPh sb="82" eb="84">
      <t xml:space="preserve">ジョウホウリテラシー </t>
    </rPh>
    <rPh sb="93" eb="94">
      <t xml:space="preserve">カイ </t>
    </rPh>
    <rPh sb="96" eb="100">
      <t xml:space="preserve">ジョウホウロウエイトウ </t>
    </rPh>
    <rPh sb="109" eb="111">
      <t xml:space="preserve">ジコノ </t>
    </rPh>
    <rPh sb="112" eb="116">
      <t xml:space="preserve">ジレイショウカイ </t>
    </rPh>
    <phoneticPr fontId="2"/>
  </si>
  <si>
    <t>統計解析ツールによるデータ分析A※</t>
    <rPh sb="0" eb="4">
      <t xml:space="preserve">トウケイカイセキツール </t>
    </rPh>
    <rPh sb="13" eb="15">
      <t xml:space="preserve">ブンセキ </t>
    </rPh>
    <phoneticPr fontId="2"/>
  </si>
  <si>
    <t>統計解析ツールによるデータ分析B※</t>
    <rPh sb="0" eb="4">
      <t xml:space="preserve">トウケイカイセキツール </t>
    </rPh>
    <rPh sb="13" eb="15">
      <t xml:space="preserve">ブンセキ </t>
    </rPh>
    <phoneticPr fontId="2"/>
  </si>
  <si>
    <t>統計解析ツールによるデータ分析C※</t>
    <rPh sb="0" eb="4">
      <t xml:space="preserve">トウケイカイセキツール </t>
    </rPh>
    <rPh sb="13" eb="15">
      <t xml:space="preserve">ブンセキ </t>
    </rPh>
    <phoneticPr fontId="2"/>
  </si>
  <si>
    <t>統計解析ツールによるデータ分析D※</t>
    <rPh sb="0" eb="4">
      <t xml:space="preserve">トウケイカイセキツール </t>
    </rPh>
    <rPh sb="13" eb="15">
      <t xml:space="preserve">ブンセキ </t>
    </rPh>
    <phoneticPr fontId="2"/>
  </si>
  <si>
    <t>表計算ツールによるデータ分析A</t>
    <rPh sb="0" eb="3">
      <t xml:space="preserve">ヒョウケイサンツール </t>
    </rPh>
    <rPh sb="12" eb="14">
      <t xml:space="preserve">ブンセキ </t>
    </rPh>
    <phoneticPr fontId="2"/>
  </si>
  <si>
    <t>表計算ツールによるデータ分析B</t>
    <rPh sb="0" eb="3">
      <t xml:space="preserve">ヒョウケイサンツール </t>
    </rPh>
    <rPh sb="12" eb="14">
      <t xml:space="preserve">ブンセキ </t>
    </rPh>
    <phoneticPr fontId="2"/>
  </si>
  <si>
    <t>表計算ツールによるデータ分析C</t>
    <rPh sb="0" eb="3">
      <t xml:space="preserve">ヒョウケイサンツール </t>
    </rPh>
    <rPh sb="12" eb="14">
      <t xml:space="preserve">ブンセキ </t>
    </rPh>
    <phoneticPr fontId="2"/>
  </si>
  <si>
    <t>平野琢也</t>
    <rPh sb="0" eb="2">
      <t xml:space="preserve">ヒラノ </t>
    </rPh>
    <rPh sb="2" eb="4">
      <t xml:space="preserve">タクヤ </t>
    </rPh>
    <phoneticPr fontId="2"/>
  </si>
  <si>
    <t>B108:I122</t>
    <rPh sb="0" eb="3">
      <t xml:space="preserve">ネンドハジメニ セツメイカイヲ カイサイシ、 セツメイカイゴニ リシュウソウダンヲ シュウチュウシテ ウケツケテイル クワエテ シュサイキカン ケイサンキセンターデハ、 ズイジ ガクセイノ リシュウソウダンニ オウジテオリ シテイカモク ナカデノ イチヅケヲ メイカクニ シュヨウナ キョウカ キョウザイノ ヒョウジュンカ タントウキョウインガ カワッテ スイジュンガ カワラナイ ジュギョウア カノウ カ ススメテイル キョウザイノ キソテキナ カイセツドウガ コウカイシ タノ キョウザイニ セイリヲ ススメ コウカイシテイク ケイカクデアル </t>
    </rPh>
    <phoneticPr fontId="2"/>
  </si>
  <si>
    <t>全学共通教育運営委員会</t>
    <rPh sb="0" eb="2">
      <t xml:space="preserve">ゼンガク </t>
    </rPh>
    <rPh sb="2" eb="6">
      <t xml:space="preserve">キョウツウキョウイク </t>
    </rPh>
    <rPh sb="6" eb="8">
      <t xml:space="preserve">ウンエイ </t>
    </rPh>
    <rPh sb="8" eb="11">
      <t>イインカイ</t>
    </rPh>
    <phoneticPr fontId="2"/>
  </si>
  <si>
    <t>学習院大学全学共通教育運営委員会規程</t>
    <phoneticPr fontId="2"/>
  </si>
  <si>
    <t>第２条　委員会は、本学の理念・目的に基づき、全学共通教育の理念・目的の不断の検証を行うとともに、全学共通科目の開設、運用及び見直しを行うことを目的とする。</t>
    <rPh sb="48" eb="50">
      <t xml:space="preserve">チュウリャク ダイ ジョウ </t>
    </rPh>
    <phoneticPr fontId="2"/>
  </si>
  <si>
    <t>草間　博之</t>
    <rPh sb="0" eb="2">
      <t xml:space="preserve">クサマ </t>
    </rPh>
    <rPh sb="3" eb="5">
      <t xml:space="preserve">ヒロユキ </t>
    </rPh>
    <phoneticPr fontId="2"/>
  </si>
  <si>
    <t>委員長・理学部教授</t>
    <rPh sb="0" eb="3">
      <t xml:space="preserve">イインチョウ </t>
    </rPh>
    <rPh sb="4" eb="7">
      <t xml:space="preserve">リガクブ </t>
    </rPh>
    <rPh sb="7" eb="9">
      <t xml:space="preserve">キョウジュ </t>
    </rPh>
    <phoneticPr fontId="2"/>
  </si>
  <si>
    <t>計算機センター所長・理学部教授</t>
    <rPh sb="0" eb="3">
      <t xml:space="preserve">ケイサンキセンター </t>
    </rPh>
    <rPh sb="7" eb="9">
      <t xml:space="preserve">ショチョウ </t>
    </rPh>
    <rPh sb="10" eb="13">
      <t xml:space="preserve">リガクブ </t>
    </rPh>
    <rPh sb="13" eb="15">
      <t xml:space="preserve">キョウジュ </t>
    </rPh>
    <phoneticPr fontId="2"/>
  </si>
  <si>
    <t xml:space="preserve">産業界においては、データサイエンス・AIの基礎的な理解に支えられて、新しいビジネス領域や新規事業の開拓を目指す人材が強く求められており、このような人材は文系の専門分野から多く輩出されることが予想される。この観点から考えると、現在のデータサイエンスプログラムのカリキュラムにおけるコア科目には、純粋に文系学生向けの科目がなく、文系学生を主たる対象とした2科目（「人工知能とビッグデータ」「人工知能概論」）においても、技術的内容が半ばを占めている。文系向けに、データサイエンス・AIと社会のつながりを主たるテーマとする科目を用意することが望ましい。
</t>
    <rPh sb="0" eb="2">
      <t xml:space="preserve">ジュンスイニ </t>
    </rPh>
    <rPh sb="3" eb="8">
      <t xml:space="preserve">ブンケイガクセイムケ </t>
    </rPh>
    <rPh sb="10" eb="12">
      <t xml:space="preserve">カモクガ </t>
    </rPh>
    <rPh sb="17" eb="18">
      <t xml:space="preserve">チュウニ </t>
    </rPh>
    <rPh sb="19" eb="21">
      <t xml:space="preserve">ヨウイサレテイタ </t>
    </rPh>
    <rPh sb="26" eb="27">
      <t xml:space="preserve">ホウガ </t>
    </rPh>
    <rPh sb="28" eb="29">
      <t xml:space="preserve">ノゾマシイ </t>
    </rPh>
    <rPh sb="33" eb="36">
      <t xml:space="preserve">サンギョウカイ </t>
    </rPh>
    <rPh sb="42" eb="43">
      <t xml:space="preserve">アタラシイ </t>
    </rPh>
    <rPh sb="52" eb="56">
      <t xml:space="preserve">シンキジギョウノ </t>
    </rPh>
    <rPh sb="57" eb="59">
      <t xml:space="preserve">カイタク </t>
    </rPh>
    <rPh sb="76" eb="79">
      <t xml:space="preserve">キソテキナ </t>
    </rPh>
    <rPh sb="80" eb="82">
      <t xml:space="preserve">リカイニ </t>
    </rPh>
    <rPh sb="83" eb="84">
      <t xml:space="preserve">ササエラレテ、 </t>
    </rPh>
    <rPh sb="85" eb="87">
      <t xml:space="preserve">メザス </t>
    </rPh>
    <rPh sb="88" eb="90">
      <t xml:space="preserve">ジンザイガ </t>
    </rPh>
    <rPh sb="91" eb="92">
      <t xml:space="preserve">ツヨク </t>
    </rPh>
    <rPh sb="93" eb="94">
      <t xml:space="preserve">モトメラレテオリ </t>
    </rPh>
    <rPh sb="107" eb="108">
      <t xml:space="preserve">カンガエルト </t>
    </rPh>
    <rPh sb="112" eb="114">
      <t xml:space="preserve">ゲンザイノ </t>
    </rPh>
    <rPh sb="146" eb="148">
      <t xml:space="preserve">ジュンスイニ </t>
    </rPh>
    <rPh sb="149" eb="154">
      <t xml:space="preserve">ブンケイガクセイムケノ </t>
    </rPh>
    <rPh sb="156" eb="158">
      <t xml:space="preserve">カモクガ </t>
    </rPh>
    <rPh sb="162" eb="166">
      <t xml:space="preserve">ブンケイガクセイ </t>
    </rPh>
    <rPh sb="167" eb="168">
      <t xml:space="preserve">シュタルタイショウトシタ </t>
    </rPh>
    <rPh sb="176" eb="178">
      <t xml:space="preserve">カモク </t>
    </rPh>
    <rPh sb="180" eb="184">
      <t xml:space="preserve">ジンコウチノウト </t>
    </rPh>
    <rPh sb="193" eb="199">
      <t xml:space="preserve">ジンコウチノウガイロン </t>
    </rPh>
    <rPh sb="207" eb="212">
      <t xml:space="preserve">ギジュツテキナイヨウガ </t>
    </rPh>
    <rPh sb="213" eb="214">
      <t xml:space="preserve">ナカバヲ </t>
    </rPh>
    <rPh sb="216" eb="217">
      <t xml:space="preserve">〆 </t>
    </rPh>
    <rPh sb="222" eb="225">
      <t xml:space="preserve">ブンケイムケ </t>
    </rPh>
    <rPh sb="240" eb="242">
      <t xml:space="preserve">シャカイノ </t>
    </rPh>
    <rPh sb="248" eb="249">
      <t xml:space="preserve">シュタル </t>
    </rPh>
    <rPh sb="257" eb="259">
      <t xml:space="preserve">カモクヲ </t>
    </rPh>
    <rPh sb="260" eb="262">
      <t xml:space="preserve">ヨウイスルコトガ </t>
    </rPh>
    <rPh sb="267" eb="268">
      <t xml:space="preserve">ノゾマシイ </t>
    </rPh>
    <phoneticPr fontId="2"/>
  </si>
  <si>
    <t>学生のプログラム履修を動機づける社会の動向や産業界における事例の紹介の機会が少ないという問題を認識している。現在、これらのトピックは技術的なテーマを主題とする科目の導入部で取り上げられているか、社会的な観点からの話題をテーマとした科目（「人工知能とビッグデータ」「人工知能概論」）においても、これらのトピックに当てる時間は全授業時間の半ばを超えることはない。技術的なテーマがハードルとなる文系の学生にとっては、社会動向と事例の紹介に重点を置き、産業界の視点からのデータサイエンス・AIの在り方を述べる科目が必要である。2024年度の導入を計画している。</t>
    <rPh sb="0" eb="2">
      <t xml:space="preserve">ガクセイノ </t>
    </rPh>
    <rPh sb="11" eb="13">
      <t xml:space="preserve">ドウキヅケル </t>
    </rPh>
    <rPh sb="16" eb="18">
      <t xml:space="preserve">シャカイ </t>
    </rPh>
    <rPh sb="19" eb="21">
      <t xml:space="preserve">ドウコウヤ </t>
    </rPh>
    <rPh sb="22" eb="25">
      <t xml:space="preserve">サンギョウカイニ </t>
    </rPh>
    <rPh sb="29" eb="31">
      <t xml:space="preserve">ジレイノ </t>
    </rPh>
    <rPh sb="32" eb="34">
      <t xml:space="preserve">ジレイショウカイ </t>
    </rPh>
    <rPh sb="35" eb="37">
      <t xml:space="preserve">キカイ </t>
    </rPh>
    <rPh sb="38" eb="39">
      <t xml:space="preserve">スクナイトイウ </t>
    </rPh>
    <rPh sb="44" eb="46">
      <t xml:space="preserve">モンダイヲ </t>
    </rPh>
    <rPh sb="47" eb="49">
      <t xml:space="preserve">ニンシキシテイル </t>
    </rPh>
    <rPh sb="54" eb="56">
      <t xml:space="preserve">ゲンザイノ </t>
    </rPh>
    <rPh sb="66" eb="69">
      <t xml:space="preserve">ギジュツテキナ </t>
    </rPh>
    <rPh sb="74" eb="76">
      <t xml:space="preserve">シュダイトスル </t>
    </rPh>
    <rPh sb="79" eb="81">
      <t xml:space="preserve">カモクノ </t>
    </rPh>
    <rPh sb="82" eb="85">
      <t xml:space="preserve">ドウニュウブ </t>
    </rPh>
    <rPh sb="86" eb="87">
      <t xml:space="preserve">トリアツカワレル </t>
    </rPh>
    <rPh sb="88" eb="89">
      <t xml:space="preserve">アゲラレテイル </t>
    </rPh>
    <rPh sb="97" eb="100">
      <t xml:space="preserve">シャカイテキナ </t>
    </rPh>
    <rPh sb="101" eb="103">
      <t xml:space="preserve">カンテンカラ </t>
    </rPh>
    <rPh sb="106" eb="108">
      <t xml:space="preserve">ワダイヲ </t>
    </rPh>
    <rPh sb="115" eb="117">
      <t xml:space="preserve">カモクトシテハ </t>
    </rPh>
    <rPh sb="119" eb="123">
      <t xml:space="preserve">ジンコウチノウト </t>
    </rPh>
    <rPh sb="132" eb="138">
      <t xml:space="preserve">ジンコウチノウガイロン </t>
    </rPh>
    <rPh sb="155" eb="156">
      <t xml:space="preserve">アテル </t>
    </rPh>
    <rPh sb="158" eb="160">
      <t xml:space="preserve">ジカンハ </t>
    </rPh>
    <rPh sb="161" eb="166">
      <t xml:space="preserve">ゼンジュギョウジカンノ </t>
    </rPh>
    <rPh sb="167" eb="168">
      <t xml:space="preserve">ナカバ </t>
    </rPh>
    <rPh sb="170" eb="171">
      <t xml:space="preserve">コエテイルコトカラ、 </t>
    </rPh>
    <rPh sb="179" eb="182">
      <t xml:space="preserve">ギジュツテキナ </t>
    </rPh>
    <rPh sb="194" eb="196">
      <t xml:space="preserve">ブンケイノ </t>
    </rPh>
    <rPh sb="197" eb="199">
      <t xml:space="preserve">ガクセイ </t>
    </rPh>
    <rPh sb="205" eb="207">
      <t xml:space="preserve">シャカイノ </t>
    </rPh>
    <rPh sb="207" eb="209">
      <t xml:space="preserve">ドウコウト </t>
    </rPh>
    <rPh sb="210" eb="212">
      <t xml:space="preserve">ジレイノ </t>
    </rPh>
    <rPh sb="213" eb="215">
      <t xml:space="preserve">ショウカイヲ </t>
    </rPh>
    <rPh sb="216" eb="218">
      <t xml:space="preserve">ジュウテンヲオキ </t>
    </rPh>
    <rPh sb="222" eb="225">
      <t xml:space="preserve">サンギョウカイ </t>
    </rPh>
    <rPh sb="226" eb="228">
      <t xml:space="preserve">シテンカラ </t>
    </rPh>
    <rPh sb="243" eb="244">
      <t xml:space="preserve">アリカタ </t>
    </rPh>
    <rPh sb="247" eb="248">
      <t xml:space="preserve">ノベル </t>
    </rPh>
    <rPh sb="250" eb="252">
      <t xml:space="preserve">カモクガ </t>
    </rPh>
    <rPh sb="253" eb="255">
      <t xml:space="preserve">ヒツヨウデアル。 </t>
    </rPh>
    <rPh sb="263" eb="265">
      <t xml:space="preserve">ネンドノ </t>
    </rPh>
    <rPh sb="266" eb="268">
      <t xml:space="preserve">ドウニュウヲ </t>
    </rPh>
    <rPh sb="269" eb="271">
      <t xml:space="preserve">ケイカクシテイル </t>
    </rPh>
    <phoneticPr fontId="2"/>
  </si>
  <si>
    <t>担当教員が代わっても授業水準が維持できるよう、主要科目においては、教材の標準化を進めている。例えば、コア科目である「基礎の機械学習」「プログラミングで学ぶ機械学習」「基礎のニューラルネット」「プログラミングで学ぶニューラルネット」では、開発した教材を教科書として出版し、継続的に使用できるようにしている他、数理的な内容の直感的・能動的な理解を助け、機械学習・ニューラルネットのプログラミングの体験してもらうことを目的としたハンズオン教材を体系的に開発し、ライブラリー化して標準的に使用してもらえるように工夫している。</t>
    <rPh sb="0" eb="4">
      <t xml:space="preserve">タントウキョウインガ </t>
    </rPh>
    <rPh sb="5" eb="6">
      <t xml:space="preserve">カワッテモ </t>
    </rPh>
    <rPh sb="10" eb="14">
      <t xml:space="preserve">ジュギョウスイジュンガ </t>
    </rPh>
    <rPh sb="15" eb="17">
      <t xml:space="preserve">イジデキルヨウ </t>
    </rPh>
    <rPh sb="23" eb="27">
      <t xml:space="preserve">シュヨウカモク </t>
    </rPh>
    <rPh sb="33" eb="35">
      <t xml:space="preserve">キョウザイノ </t>
    </rPh>
    <rPh sb="36" eb="39">
      <t xml:space="preserve">ヒョウジュンカヲ </t>
    </rPh>
    <rPh sb="40" eb="41">
      <t xml:space="preserve">ススメテイル </t>
    </rPh>
    <rPh sb="46" eb="47">
      <t xml:space="preserve">タトエバ、 </t>
    </rPh>
    <rPh sb="58" eb="60">
      <t xml:space="preserve">キソノ </t>
    </rPh>
    <rPh sb="61" eb="63">
      <t xml:space="preserve">キカイ </t>
    </rPh>
    <rPh sb="63" eb="65">
      <t xml:space="preserve">キカイガクシュウ </t>
    </rPh>
    <rPh sb="75" eb="76">
      <t xml:space="preserve">マナブ </t>
    </rPh>
    <rPh sb="79" eb="81">
      <t xml:space="preserve">キカイガクシュウ </t>
    </rPh>
    <rPh sb="83" eb="85">
      <t xml:space="preserve">キソノ </t>
    </rPh>
    <rPh sb="104" eb="105">
      <t xml:space="preserve">マナブ </t>
    </rPh>
    <rPh sb="118" eb="120">
      <t xml:space="preserve">カイハツシタ </t>
    </rPh>
    <rPh sb="122" eb="124">
      <t xml:space="preserve">キョウザイヲ </t>
    </rPh>
    <rPh sb="125" eb="128">
      <t xml:space="preserve">キョウカショトシテ </t>
    </rPh>
    <rPh sb="131" eb="133">
      <t xml:space="preserve">シュッパンシ </t>
    </rPh>
    <rPh sb="135" eb="138">
      <t xml:space="preserve">ケイゾクテキニ </t>
    </rPh>
    <rPh sb="139" eb="141">
      <t xml:space="preserve">シヨウデキルヨウニ </t>
    </rPh>
    <rPh sb="151" eb="152">
      <t xml:space="preserve">ホカ </t>
    </rPh>
    <rPh sb="153" eb="156">
      <t xml:space="preserve">スウリテキナ </t>
    </rPh>
    <rPh sb="157" eb="159">
      <t xml:space="preserve">ナイヨウヲ </t>
    </rPh>
    <rPh sb="160" eb="163">
      <t xml:space="preserve">チョッカンテキナ </t>
    </rPh>
    <rPh sb="164" eb="167">
      <t xml:space="preserve">ノウドウテキナ </t>
    </rPh>
    <rPh sb="168" eb="170">
      <t xml:space="preserve">リカイ </t>
    </rPh>
    <rPh sb="171" eb="172">
      <t xml:space="preserve">タスケ、 </t>
    </rPh>
    <rPh sb="174" eb="178">
      <t xml:space="preserve">キカイガクシュウ </t>
    </rPh>
    <rPh sb="196" eb="198">
      <t xml:space="preserve">タイケンシテモラウコト </t>
    </rPh>
    <rPh sb="206" eb="208">
      <t xml:space="preserve">モクテキトシタ </t>
    </rPh>
    <rPh sb="216" eb="218">
      <t xml:space="preserve">キョウザイヲ </t>
    </rPh>
    <rPh sb="219" eb="222">
      <t xml:space="preserve">タイケイテキニ </t>
    </rPh>
    <rPh sb="223" eb="225">
      <t xml:space="preserve">カイハツシ </t>
    </rPh>
    <rPh sb="236" eb="239">
      <t xml:space="preserve">ヒョウジュンテキニ </t>
    </rPh>
    <rPh sb="240" eb="242">
      <t xml:space="preserve">シヨウシテ </t>
    </rPh>
    <rPh sb="251" eb="253">
      <t xml:space="preserve">クフウシテイル </t>
    </rPh>
    <phoneticPr fontId="2"/>
  </si>
  <si>
    <t>2022年度の学生授業アンケートにより、ハンズオン教材を大幅に取り入れた授業においては、学生は授業によって新しい知識・能力を獲得したと自覚していることが分かった。ハンズオン教材は、文系・理系の学生が、そのバックグラウンドの差によらず、適正なレベルの理解を得られることを意図して作成されている。教材作成の意図が学生の認識とも合致した事実は、ハンズオン教材が当該領域における教育に有効であることを示していると考える。
2023年度ではハンズオン教材の使用範囲を拡大しており、今後も積極的に導入することで、特に文系の学生に対して有効な授業を展開していく計画である。</t>
    <rPh sb="4" eb="6">
      <t xml:space="preserve">ネンドノ </t>
    </rPh>
    <rPh sb="7" eb="9">
      <t xml:space="preserve">ガクセイ </t>
    </rPh>
    <rPh sb="9" eb="11">
      <t xml:space="preserve">ジュギョウアンケート </t>
    </rPh>
    <rPh sb="28" eb="30">
      <t xml:space="preserve">オオハバニ </t>
    </rPh>
    <rPh sb="31" eb="32">
      <t xml:space="preserve">トリイレタ </t>
    </rPh>
    <rPh sb="36" eb="38">
      <t xml:space="preserve">ジュギョウニ </t>
    </rPh>
    <rPh sb="44" eb="46">
      <t xml:space="preserve">ガクセイ </t>
    </rPh>
    <rPh sb="48" eb="49">
      <t xml:space="preserve">アタラシイ </t>
    </rPh>
    <rPh sb="51" eb="53">
      <t xml:space="preserve">チシキ </t>
    </rPh>
    <rPh sb="56" eb="58">
      <t xml:space="preserve">ジカクシテオリ </t>
    </rPh>
    <rPh sb="63" eb="66">
      <t xml:space="preserve">ゼンカモクノ </t>
    </rPh>
    <rPh sb="67" eb="69">
      <t xml:space="preserve">ヘイキン </t>
    </rPh>
    <rPh sb="70" eb="71">
      <t xml:space="preserve">ヒカクシテ </t>
    </rPh>
    <rPh sb="76" eb="77">
      <t xml:space="preserve">ワカッタ </t>
    </rPh>
    <rPh sb="90" eb="92">
      <t xml:space="preserve">ブンケイ </t>
    </rPh>
    <rPh sb="93" eb="95">
      <t xml:space="preserve">リケイ </t>
    </rPh>
    <rPh sb="96" eb="98">
      <t xml:space="preserve">ガクセイガ </t>
    </rPh>
    <rPh sb="111" eb="112">
      <t xml:space="preserve">サ </t>
    </rPh>
    <rPh sb="117" eb="119">
      <t xml:space="preserve">テキセイナ </t>
    </rPh>
    <rPh sb="124" eb="126">
      <t xml:space="preserve">リカイヲ </t>
    </rPh>
    <rPh sb="127" eb="128">
      <t xml:space="preserve">エラレルヨウニ </t>
    </rPh>
    <rPh sb="134" eb="136">
      <t xml:space="preserve">イトシテ </t>
    </rPh>
    <rPh sb="138" eb="140">
      <t xml:space="preserve">サクセイシテ </t>
    </rPh>
    <rPh sb="146" eb="150">
      <t xml:space="preserve">キョウザイサクセイノ </t>
    </rPh>
    <rPh sb="151" eb="153">
      <t xml:space="preserve">イトガ </t>
    </rPh>
    <rPh sb="154" eb="156">
      <t xml:space="preserve">ガクセイノ </t>
    </rPh>
    <rPh sb="157" eb="159">
      <t xml:space="preserve">ニンシキトモ </t>
    </rPh>
    <rPh sb="161" eb="163">
      <t xml:space="preserve">ガッチシタコトハ </t>
    </rPh>
    <rPh sb="165" eb="167">
      <t xml:space="preserve">ジジツ </t>
    </rPh>
    <rPh sb="177" eb="181">
      <t xml:space="preserve">トウガイリョウイキニ </t>
    </rPh>
    <rPh sb="185" eb="187">
      <t xml:space="preserve">キョウイクニ </t>
    </rPh>
    <rPh sb="188" eb="190">
      <t xml:space="preserve">ユウコウデアルコトヲ </t>
    </rPh>
    <rPh sb="196" eb="197">
      <t xml:space="preserve">シメシテイル </t>
    </rPh>
    <rPh sb="202" eb="203">
      <t xml:space="preserve">カンガエル </t>
    </rPh>
    <rPh sb="211" eb="213">
      <t xml:space="preserve">ネンドデハ </t>
    </rPh>
    <rPh sb="223" eb="227">
      <t xml:space="preserve">シヨウハンイヲ </t>
    </rPh>
    <rPh sb="228" eb="230">
      <t xml:space="preserve">カクダイシテ </t>
    </rPh>
    <rPh sb="235" eb="237">
      <t xml:space="preserve">コンゴモ </t>
    </rPh>
    <rPh sb="238" eb="241">
      <t xml:space="preserve">セッキョクテキニ </t>
    </rPh>
    <rPh sb="242" eb="244">
      <t xml:space="preserve">ドウニュウスルコトデ </t>
    </rPh>
    <rPh sb="250" eb="251">
      <t xml:space="preserve">トクニ </t>
    </rPh>
    <rPh sb="252" eb="254">
      <t xml:space="preserve">ブンケイノ </t>
    </rPh>
    <rPh sb="255" eb="257">
      <t xml:space="preserve">ガクセイニ </t>
    </rPh>
    <rPh sb="258" eb="259">
      <t xml:space="preserve">タイシテ </t>
    </rPh>
    <rPh sb="261" eb="263">
      <t xml:space="preserve">ユウコウナ </t>
    </rPh>
    <rPh sb="264" eb="266">
      <t xml:space="preserve">ジュギョウヲ </t>
    </rPh>
    <rPh sb="267" eb="269">
      <t xml:space="preserve">テンカイシテイク </t>
    </rPh>
    <rPh sb="273" eb="275">
      <t xml:space="preserve">ケイカクデアル </t>
    </rPh>
    <phoneticPr fontId="2"/>
  </si>
  <si>
    <t>データサイエンスプログラムの主要科目の一部は、パイロット的に2021年度から導入を始めており、それらの科目の2021〜2023年度における履修者数は、継続的に、想定水準をみたしているか、水準を超えるレベルで推移している。授業アンケートにおいて良好な評価を得ている事実と併せて考えると、学生の間でデータサイエンスプログラム指定科目の履修に関して、好意的な情報交換が行われているものと考える。</t>
    <rPh sb="8" eb="10">
      <t>プログラムノク</t>
    </rPh>
    <rPh sb="14" eb="18">
      <t xml:space="preserve">シュヨウカモクハ </t>
    </rPh>
    <rPh sb="19" eb="21">
      <t xml:space="preserve">イチブ </t>
    </rPh>
    <rPh sb="34" eb="36">
      <t xml:space="preserve">ネンド </t>
    </rPh>
    <rPh sb="38" eb="40">
      <t xml:space="preserve">ドウニュウシテオリ </t>
    </rPh>
    <rPh sb="41" eb="42">
      <t xml:space="preserve">ハジメテイル </t>
    </rPh>
    <rPh sb="63" eb="65">
      <t xml:space="preserve">ネンド </t>
    </rPh>
    <rPh sb="69" eb="72">
      <t xml:space="preserve">リシュウシャ </t>
    </rPh>
    <rPh sb="72" eb="73">
      <t xml:space="preserve">スウ </t>
    </rPh>
    <rPh sb="75" eb="78">
      <t xml:space="preserve">ケイゾクテキニ </t>
    </rPh>
    <rPh sb="80" eb="84">
      <t xml:space="preserve">ソウテイスイジュンヲ </t>
    </rPh>
    <rPh sb="93" eb="95">
      <t xml:space="preserve">スイジュンイジョウ </t>
    </rPh>
    <rPh sb="96" eb="97">
      <t xml:space="preserve">コエル </t>
    </rPh>
    <rPh sb="103" eb="105">
      <t xml:space="preserve">スイイシテイル </t>
    </rPh>
    <rPh sb="110" eb="112">
      <t xml:space="preserve">ジュギョウアンケート </t>
    </rPh>
    <rPh sb="121" eb="123">
      <t xml:space="preserve">リョウコウナ </t>
    </rPh>
    <rPh sb="124" eb="126">
      <t xml:space="preserve">ヒョウカヲ </t>
    </rPh>
    <rPh sb="127" eb="128">
      <t xml:space="preserve">エテイルコトヲ </t>
    </rPh>
    <rPh sb="131" eb="133">
      <t xml:space="preserve">ジジツ </t>
    </rPh>
    <rPh sb="134" eb="135">
      <t xml:space="preserve">アワセテ </t>
    </rPh>
    <rPh sb="137" eb="138">
      <t xml:space="preserve">カンガエルト </t>
    </rPh>
    <rPh sb="142" eb="144">
      <t xml:space="preserve">ガクセイノ </t>
    </rPh>
    <rPh sb="145" eb="146">
      <t xml:space="preserve">アイダデ </t>
    </rPh>
    <rPh sb="160" eb="164">
      <t xml:space="preserve">シテイカモク </t>
    </rPh>
    <rPh sb="165" eb="167">
      <t xml:space="preserve">リシュウニ </t>
    </rPh>
    <rPh sb="168" eb="169">
      <t xml:space="preserve">カンシテ </t>
    </rPh>
    <rPh sb="172" eb="175">
      <t xml:space="preserve">コウイテキニ </t>
    </rPh>
    <rPh sb="176" eb="180">
      <t xml:space="preserve">ジョウホウコウカン </t>
    </rPh>
    <rPh sb="181" eb="182">
      <t xml:space="preserve">オコナワレテイルモノト </t>
    </rPh>
    <rPh sb="190" eb="191">
      <t xml:space="preserve">カンガエル </t>
    </rPh>
    <phoneticPr fontId="2"/>
  </si>
  <si>
    <t>学生センター所長　理学部化学科　教授　草間 博之（全学共通教育運営委員会委員長）
副学長　文学部心理学科　教授　山本 政人（教育担当）
法学部法学科　教授　竹中 悟人
経済学部経済学科　教授　和光 純
文学部哲学科　教授　小島 和男
理学部化学科　教授　稲熊 宜之
国際社会科学部国際社会科学科　教授　臼井 哲也
スポーツ・健康科学センター　教授　高丸 功
計算機センター　教授　申 吉浩
外国語教育研究センター　教授　志村 美加
学生センター部長　井上 素子
学長室部長　尾浪 英人
大学経理部長　鈴木 敏夫
キャリアセンター部長　圓谷 勝利</t>
    <phoneticPr fontId="2"/>
  </si>
  <si>
    <t>ビッグデータ、AI、Society 5.0、データ駆動型社会「人工知能とビッグデータ」（2,11〜14回）
データ量の増加、計算機の処理性能の向上、AIの非連続的進化「人工知能概論」（2〜6回）
人間の知的活動とAIの関係「人工知能とビッグデータ」（11〜14回）</t>
    <rPh sb="25" eb="28">
      <t xml:space="preserve">クドウガタ </t>
    </rPh>
    <rPh sb="28" eb="30">
      <t xml:space="preserve">シャカイ </t>
    </rPh>
    <rPh sb="31" eb="35">
      <t xml:space="preserve">ジンコウチノウト </t>
    </rPh>
    <rPh sb="51" eb="52">
      <t xml:space="preserve">カイ </t>
    </rPh>
    <rPh sb="58" eb="60">
      <t xml:space="preserve">ゾウカ </t>
    </rPh>
    <rPh sb="61" eb="64">
      <t xml:space="preserve">ケイサンキノ </t>
    </rPh>
    <rPh sb="65" eb="67">
      <t xml:space="preserve">ショリノウリョクノ </t>
    </rPh>
    <rPh sb="67" eb="69">
      <t xml:space="preserve">セイノウノ </t>
    </rPh>
    <rPh sb="70" eb="72">
      <t xml:space="preserve">コウジョウ </t>
    </rPh>
    <rPh sb="76" eb="80">
      <t xml:space="preserve">ヒレンゾクテキ </t>
    </rPh>
    <rPh sb="80" eb="82">
      <t xml:space="preserve">シンカ </t>
    </rPh>
    <rPh sb="83" eb="89">
      <t xml:space="preserve">ジンコウチノウガイロン </t>
    </rPh>
    <rPh sb="94" eb="95">
      <t xml:space="preserve">カイ </t>
    </rPh>
    <rPh sb="97" eb="98">
      <t xml:space="preserve">ニンゲンノ </t>
    </rPh>
    <rPh sb="99" eb="103">
      <t xml:space="preserve">チテキカツドウト </t>
    </rPh>
    <rPh sb="107" eb="109">
      <t xml:space="preserve">カンケイ </t>
    </rPh>
    <rPh sb="110" eb="114">
      <t xml:space="preserve">ジンコウチノウ </t>
    </rPh>
    <rPh sb="128" eb="129">
      <t xml:space="preserve">カイ </t>
    </rPh>
    <phoneticPr fontId="2"/>
  </si>
  <si>
    <t>データの種類「表計算ツールによるデータ分析B」（4・5回）
観測データに含まれる誤差の扱い「表計算ツールによるデータ分析A」（6回）「表計算ツールによるデータ分析B」（11・12回）「統計解析ツールによるデータ分析B」（13回）「統計解析ツールによるデータ分析C」（6回）「統計解析ツールによるデータ分析D」（2・3・6・7回）
データの分布と代表値「表計算ツールによるデータ分析A」（9回）「表計算ツールによるデータ分析B」（7回）「統計解析ツールによるデータ分析A」（7・8回）「統計解析ツールによるデータ分析B」（7・8回）「表計算ツールによるデータ分析C」（12回）「表計算ツールによるデータ分析D」（9・13回）
相関と因果「表計算ツールによるデータ分析B」（10回）「統計解析ツールによるデータ分析B」（9・10回）「統計解析ツールによるデータ分析C」（5回）「統計解析ツールによるデータ分析D」（2〜9回）
クロス集計表「表計算ツールによるデータ分析C」（5回）</t>
    <rPh sb="4" eb="6">
      <t xml:space="preserve">シュルイ </t>
    </rPh>
    <rPh sb="6" eb="8">
      <t xml:space="preserve">カンソクデータ </t>
    </rPh>
    <rPh sb="12" eb="13">
      <t xml:space="preserve">フクマレル </t>
    </rPh>
    <rPh sb="16" eb="18">
      <t xml:space="preserve">ゴサノ </t>
    </rPh>
    <rPh sb="19" eb="20">
      <t xml:space="preserve">アツカイ </t>
    </rPh>
    <rPh sb="52" eb="55">
      <t xml:space="preserve">ダイヒョウチ </t>
    </rPh>
    <rPh sb="66" eb="67">
      <t xml:space="preserve">ドウ </t>
    </rPh>
    <rPh sb="75" eb="76">
      <t xml:space="preserve">カイ </t>
    </rPh>
    <rPh sb="78" eb="79">
      <t xml:space="preserve">ドウ </t>
    </rPh>
    <rPh sb="85" eb="86">
      <t xml:space="preserve">カイ </t>
    </rPh>
    <rPh sb="110" eb="111">
      <t xml:space="preserve">ドウ </t>
    </rPh>
    <rPh sb="115" eb="116">
      <t xml:space="preserve">カイ </t>
    </rPh>
    <rPh sb="118" eb="119">
      <t xml:space="preserve">ドウ </t>
    </rPh>
    <rPh sb="129" eb="130">
      <t xml:space="preserve">カイ </t>
    </rPh>
    <rPh sb="138" eb="139">
      <t xml:space="preserve">カイ トウケカイ トウケイカイセキツール カイ ドウ カイ ソウカン インガ ドウ カイ ヒョウケイサンツール カイ </t>
    </rPh>
    <phoneticPr fontId="2"/>
  </si>
  <si>
    <t>データ表現「表計算ツールによるデータ分析A」（4回）「表計算ツールによるデータ分析C」（6回）「統計解析ツールによるデータ分析A」(5・6回)
データの比較「表計算ツールによるデータ分析B」（8・9回）「統計解析ツールによるデータ分析B」（11・12回）「統計ツールによるデータ分析C」(7〜10回)</t>
    <rPh sb="3" eb="5">
      <t xml:space="preserve">ヒョウゲン </t>
    </rPh>
    <rPh sb="6" eb="9">
      <t xml:space="preserve">ヒョウケイサンツール </t>
    </rPh>
    <rPh sb="18" eb="20">
      <t xml:space="preserve">ブンセキ </t>
    </rPh>
    <rPh sb="24" eb="25">
      <t xml:space="preserve">カイ </t>
    </rPh>
    <rPh sb="30" eb="32">
      <t xml:space="preserve">ヒカク </t>
    </rPh>
    <rPh sb="46" eb="47">
      <t xml:space="preserve">カイ </t>
    </rPh>
    <rPh sb="110" eb="112">
      <t xml:space="preserve">トウケイツールニヨル </t>
    </rPh>
    <rPh sb="130" eb="131">
      <t xml:space="preserve">カイ </t>
    </rPh>
    <phoneticPr fontId="2"/>
  </si>
  <si>
    <t>データ解析ツール「表計算ツールによるデータ分析A〜D」（1〜15回）「統計解析ツールによるデータ分析A〜D」（1〜15回）</t>
    <rPh sb="3" eb="4">
      <t xml:space="preserve">カイセキ </t>
    </rPh>
    <rPh sb="9" eb="12">
      <t xml:space="preserve">ヒョウケイサｎ </t>
    </rPh>
    <rPh sb="21" eb="23">
      <t xml:space="preserve">ブンセキ </t>
    </rPh>
    <rPh sb="32" eb="33">
      <t xml:space="preserve">カイ </t>
    </rPh>
    <rPh sb="35" eb="39">
      <t xml:space="preserve">トウケイカイセキ </t>
    </rPh>
    <phoneticPr fontId="2"/>
  </si>
  <si>
    <t>AIを活用した新しいビジネスモデル「人工知能とビッグデータ」（11,13回）
AI最新技術の活用例「人工知能とビッグデータ」（11回）「基礎のニューラルネット」（13〜14回）「プログラミングで学ぶニューラルネット」（9〜14回）</t>
    <rPh sb="3" eb="5">
      <t xml:space="preserve">カツヨウシタ </t>
    </rPh>
    <rPh sb="7" eb="8">
      <t xml:space="preserve">アタラシイ </t>
    </rPh>
    <rPh sb="18" eb="22">
      <t xml:space="preserve">ジンコウチノウト </t>
    </rPh>
    <rPh sb="36" eb="37">
      <t xml:space="preserve">カイ </t>
    </rPh>
    <rPh sb="40" eb="44">
      <t xml:space="preserve">サイシンギジュツノ </t>
    </rPh>
    <rPh sb="45" eb="48">
      <t xml:space="preserve">カツヨウレイ </t>
    </rPh>
    <rPh sb="49" eb="53">
      <t xml:space="preserve">ジンコウチノウト </t>
    </rPh>
    <rPh sb="67" eb="69">
      <t xml:space="preserve">キソノ </t>
    </rPh>
    <rPh sb="88" eb="89">
      <t xml:space="preserve">マナブ </t>
    </rPh>
    <phoneticPr fontId="2"/>
  </si>
  <si>
    <t>調査データ、人の行動ログデータ「人工知能概論」（14回）
データ作成（ビッグデータとアノテーション）「人工知能とビッグデータ」（13回）「人工知能概論」(第12回)
構造化データ、非構造化データ「基礎の機械学習」（2〜3回）「画像情報」（3〜5回）</t>
    <rPh sb="0" eb="2">
      <t xml:space="preserve">チョウサデータ </t>
    </rPh>
    <rPh sb="6" eb="7">
      <t xml:space="preserve">ヒトノ </t>
    </rPh>
    <rPh sb="8" eb="10">
      <t xml:space="preserve">コウドウログデータ </t>
    </rPh>
    <rPh sb="16" eb="20">
      <t xml:space="preserve">ジンコウチノウ </t>
    </rPh>
    <rPh sb="20" eb="22">
      <t xml:space="preserve">ガイロン </t>
    </rPh>
    <rPh sb="26" eb="27">
      <t xml:space="preserve">カイ </t>
    </rPh>
    <rPh sb="28" eb="83">
      <t xml:space="preserve">コウゾウカ </t>
    </rPh>
    <rPh sb="87" eb="91">
      <t xml:space="preserve">ヒコウゾウカデータ </t>
    </rPh>
    <rPh sb="96" eb="98">
      <t xml:space="preserve">キソノ </t>
    </rPh>
    <rPh sb="99" eb="103">
      <t xml:space="preserve">キカイガクシュウ </t>
    </rPh>
    <rPh sb="108" eb="109">
      <t xml:space="preserve">カイ </t>
    </rPh>
    <rPh sb="111" eb="115">
      <t xml:space="preserve">ガゾウジョウホウ </t>
    </rPh>
    <rPh sb="120" eb="121">
      <t xml:space="preserve">カイ </t>
    </rPh>
    <phoneticPr fontId="2"/>
  </si>
  <si>
    <t>データ・AI活用領域の広がり「人工知能とビッグデータ」（11〜14回）</t>
    <rPh sb="6" eb="10">
      <t xml:space="preserve">カツヨウリョウイキノ </t>
    </rPh>
    <rPh sb="11" eb="12">
      <t xml:space="preserve">ヒロガリ </t>
    </rPh>
    <rPh sb="15" eb="19">
      <t xml:space="preserve">ジンコウチノウト </t>
    </rPh>
    <rPh sb="33" eb="34">
      <t xml:space="preserve">カイ </t>
    </rPh>
    <phoneticPr fontId="2"/>
  </si>
  <si>
    <t>データ解析「基礎の機械学習」・「プログラミングで学ぶ機械学習」（4〜8回）
データ可視化「基礎の機械学習」・「プログラミングで学ぶ機械学習」（5回）
非構造化データ処理「基礎の機械学習」（2・3回）・「プログラミングで学ぶ機械学習」（3・4回）、「プログラミングで学ぶニューラルネット」（13・14回）「画像情報」（3〜5回）
特化型AIと汎用AI、AIとビッグデータ「人工知能とビッグデータ」（2・11〜14回）
認識技術、ルールベース「人工知能とビッグデータ」（2回）「プログラミングで学ぶニューラルネット」（9〜12回）</t>
    <rPh sb="6" eb="8">
      <t xml:space="preserve">キソノ </t>
    </rPh>
    <rPh sb="9" eb="13">
      <t xml:space="preserve">キカイガクシュウ </t>
    </rPh>
    <rPh sb="24" eb="25">
      <t xml:space="preserve">マナブ </t>
    </rPh>
    <rPh sb="26" eb="30">
      <t xml:space="preserve">キカイガクシュウ </t>
    </rPh>
    <rPh sb="35" eb="36">
      <t xml:space="preserve">カイ </t>
    </rPh>
    <rPh sb="40" eb="43">
      <t xml:space="preserve">カシカ </t>
    </rPh>
    <rPh sb="62" eb="63">
      <t xml:space="preserve">マナブ </t>
    </rPh>
    <rPh sb="74" eb="77">
      <t xml:space="preserve">ヒコウゾウカデータ </t>
    </rPh>
    <rPh sb="80" eb="82">
      <t xml:space="preserve">ショリ </t>
    </rPh>
    <rPh sb="97" eb="98">
      <t xml:space="preserve">カイ </t>
    </rPh>
    <rPh sb="107" eb="108">
      <t xml:space="preserve">マナブ </t>
    </rPh>
    <rPh sb="120" eb="121">
      <t xml:space="preserve">カイ </t>
    </rPh>
    <rPh sb="122" eb="126">
      <t xml:space="preserve">ガゾウジョウホウ </t>
    </rPh>
    <rPh sb="130" eb="131">
      <t xml:space="preserve">マナブ </t>
    </rPh>
    <rPh sb="134" eb="137">
      <t xml:space="preserve">トッカガタ </t>
    </rPh>
    <rPh sb="140" eb="142">
      <t xml:space="preserve">ハンヨウ </t>
    </rPh>
    <rPh sb="155" eb="159">
      <t xml:space="preserve">ジンコウチノウト </t>
    </rPh>
    <rPh sb="176" eb="177">
      <t xml:space="preserve">カイ </t>
    </rPh>
    <rPh sb="179" eb="183">
      <t xml:space="preserve">ニンシキギジュツ </t>
    </rPh>
    <rPh sb="227" eb="228">
      <t xml:space="preserve">カイ </t>
    </rPh>
    <rPh sb="238" eb="239">
      <t xml:space="preserve">マナブ </t>
    </rPh>
    <phoneticPr fontId="2"/>
  </si>
  <si>
    <t>データサイエンスのサイクル「基礎の機械学習」・「プログラミングで学ぶ機械学習」（3回）
AI利活用事例紹介「人工知能とビッグデータ」（11回）、「人工知能概論」(第6・13回)</t>
    <phoneticPr fontId="2"/>
  </si>
  <si>
    <t>ELSI「人工知能とビッグデータ」（12〜14回）「基礎の機械学習」（1回）「人工知能概論」(第12・13回)
個人情報「情報セキュリティと情報倫理」（14回）「情報技術基礎」（7回）</t>
    <rPh sb="5" eb="9">
      <t xml:space="preserve">ジンコウチノウト </t>
    </rPh>
    <rPh sb="23" eb="24">
      <t xml:space="preserve">カイ </t>
    </rPh>
    <rPh sb="26" eb="28">
      <t xml:space="preserve">キソノ </t>
    </rPh>
    <rPh sb="29" eb="33">
      <t xml:space="preserve">キカイガクシュウ </t>
    </rPh>
    <rPh sb="36" eb="37">
      <t xml:space="preserve">カイ </t>
    </rPh>
    <rPh sb="38" eb="42">
      <t xml:space="preserve">コジンジョウホウ </t>
    </rPh>
    <rPh sb="43" eb="45">
      <t xml:space="preserve">ジョウホウセキュリティ </t>
    </rPh>
    <rPh sb="53" eb="57">
      <t xml:space="preserve">ジョウホウリンリ </t>
    </rPh>
    <rPh sb="61" eb="62">
      <t xml:space="preserve">カイ </t>
    </rPh>
    <rPh sb="64" eb="70">
      <t xml:space="preserve">ジョウホウギジュツキソ </t>
    </rPh>
    <rPh sb="73" eb="74">
      <t xml:space="preserve">カイ </t>
    </rPh>
    <phoneticPr fontId="2"/>
  </si>
  <si>
    <r>
      <t>履修相談を主催</t>
    </r>
    <r>
      <rPr>
        <sz val="12"/>
        <rFont val="ＭＳ Ｐゴシック"/>
        <family val="3"/>
        <charset val="128"/>
        <scheme val="minor"/>
      </rPr>
      <t>機関</t>
    </r>
    <r>
      <rPr>
        <sz val="12"/>
        <color theme="1"/>
        <rFont val="ＭＳ Ｐゴシック"/>
        <family val="3"/>
        <charset val="128"/>
        <scheme val="minor"/>
      </rPr>
      <t>である計算機センターにおいて随時受け付けており、学生に対して教職員が個別に対応を行う。データサイエンスプログラムの全ての授業はLMSを介して提供され、学生からの質問はLMSを介して随時担当教員が確認・回答できる体制としている。</t>
    </r>
    <rPh sb="0" eb="4">
      <t xml:space="preserve">リシュウソウダンヲ </t>
    </rPh>
    <rPh sb="12" eb="15">
      <t xml:space="preserve">ケイサンキセンターニ </t>
    </rPh>
    <rPh sb="23" eb="25">
      <t xml:space="preserve">ズイジ </t>
    </rPh>
    <rPh sb="25" eb="26">
      <t xml:space="preserve">ウケツケトリ </t>
    </rPh>
    <rPh sb="33" eb="35">
      <t xml:space="preserve">ガクセイ </t>
    </rPh>
    <rPh sb="36" eb="37">
      <t xml:space="preserve">タイシテ </t>
    </rPh>
    <rPh sb="39" eb="42">
      <t xml:space="preserve">キョウショクインガ </t>
    </rPh>
    <rPh sb="43" eb="45">
      <t xml:space="preserve">コベツニ </t>
    </rPh>
    <rPh sb="46" eb="48">
      <t xml:space="preserve">タイオウスルガ </t>
    </rPh>
    <rPh sb="49" eb="50">
      <t xml:space="preserve">オコナウ </t>
    </rPh>
    <rPh sb="66" eb="67">
      <t xml:space="preserve">スベテノ </t>
    </rPh>
    <rPh sb="69" eb="71">
      <t xml:space="preserve">ジュギョウハ </t>
    </rPh>
    <rPh sb="76" eb="77">
      <t xml:space="preserve">カイシテ </t>
    </rPh>
    <rPh sb="79" eb="81">
      <t xml:space="preserve">テイキョウサレ、 </t>
    </rPh>
    <rPh sb="84" eb="86">
      <t xml:space="preserve">ガクセイカラノ </t>
    </rPh>
    <rPh sb="89" eb="91">
      <t xml:space="preserve">シツモンハ </t>
    </rPh>
    <rPh sb="96" eb="97">
      <t xml:space="preserve">カイシテ </t>
    </rPh>
    <rPh sb="99" eb="101">
      <t xml:space="preserve">ズイジ </t>
    </rPh>
    <rPh sb="101" eb="105">
      <t xml:space="preserve">タントウキョウイン </t>
    </rPh>
    <rPh sb="106" eb="108">
      <t xml:space="preserve">カクニン </t>
    </rPh>
    <rPh sb="109" eb="111">
      <t xml:space="preserve">カイトウ </t>
    </rPh>
    <rPh sb="114" eb="116">
      <t xml:space="preserve">タイセイト </t>
    </rPh>
    <phoneticPr fontId="2"/>
  </si>
  <si>
    <t>内部質保証委員会</t>
    <rPh sb="0" eb="2">
      <t>ナイブ</t>
    </rPh>
    <rPh sb="2" eb="3">
      <t>シツ</t>
    </rPh>
    <rPh sb="3" eb="5">
      <t>ホショウ</t>
    </rPh>
    <rPh sb="5" eb="8">
      <t>イインカイ</t>
    </rPh>
    <phoneticPr fontId="2"/>
  </si>
  <si>
    <t>委員長・大学長</t>
    <rPh sb="0" eb="3">
      <t>イインチョウ</t>
    </rPh>
    <rPh sb="4" eb="6">
      <t>ダイガク</t>
    </rPh>
    <rPh sb="6" eb="7">
      <t>チョウ</t>
    </rPh>
    <phoneticPr fontId="2"/>
  </si>
  <si>
    <t>荒川　一郎</t>
    <phoneticPr fontId="2"/>
  </si>
  <si>
    <t>画像情報</t>
    <phoneticPr fontId="2"/>
  </si>
  <si>
    <r>
      <t>令和5年度より、データサイエンス副専攻制度を併設・導入し、修了条件を満たした学生に対して「データサイエンス副専攻プログラム修了証明書」を発行することにより、令和4年度より導入したデータサイエンスプログラムへの参加の動機付けとする</t>
    </r>
    <r>
      <rPr>
        <sz val="12"/>
        <rFont val="ＭＳ Ｐゴシック"/>
        <family val="3"/>
        <charset val="128"/>
        <scheme val="minor"/>
      </rPr>
      <t>と</t>
    </r>
    <r>
      <rPr>
        <sz val="12"/>
        <color theme="1"/>
        <rFont val="ＭＳ Ｐゴシック"/>
        <family val="3"/>
        <charset val="128"/>
        <scheme val="minor"/>
      </rPr>
      <t>ともに、全学生に対するプログラムの周知を図る。データサイエンス副専攻プログラムは、今回認定制度への申請を行うデータサイエンスプログラムと同一の科目により構成されており、データサイエンス副専攻プログラムに参加した場合、自動的にデータサイエンスプログラムにも参加することとなる。データサイエンス副専攻プログラムは、データサイエンスプログラムと同様に、本校全学部・全学科の学生が参加可能なプログラムである。</t>
    </r>
    <rPh sb="0" eb="2">
      <t xml:space="preserve">レイワ </t>
    </rPh>
    <rPh sb="3" eb="5">
      <t xml:space="preserve">ネンド </t>
    </rPh>
    <rPh sb="16" eb="21">
      <t xml:space="preserve">フクセンコウセイド </t>
    </rPh>
    <rPh sb="22" eb="24">
      <t xml:space="preserve">ヘイセツ </t>
    </rPh>
    <rPh sb="25" eb="27">
      <t xml:space="preserve">ドウニュウ </t>
    </rPh>
    <rPh sb="29" eb="31">
      <t xml:space="preserve">シュウリョウ </t>
    </rPh>
    <rPh sb="31" eb="33">
      <t xml:space="preserve">ジョウケンヲ </t>
    </rPh>
    <rPh sb="34" eb="35">
      <t xml:space="preserve">ミタシタ </t>
    </rPh>
    <rPh sb="38" eb="40">
      <t xml:space="preserve">ガクセイニ </t>
    </rPh>
    <rPh sb="41" eb="42">
      <t xml:space="preserve">タイシテ </t>
    </rPh>
    <rPh sb="53" eb="56">
      <t xml:space="preserve">フクセンコウプログラム </t>
    </rPh>
    <rPh sb="61" eb="63">
      <t xml:space="preserve">シュウリョウ </t>
    </rPh>
    <rPh sb="63" eb="66">
      <t xml:space="preserve">ショウメイショ </t>
    </rPh>
    <rPh sb="68" eb="70">
      <t xml:space="preserve">ハッコウスル </t>
    </rPh>
    <rPh sb="78" eb="80">
      <t xml:space="preserve">レイワ </t>
    </rPh>
    <rPh sb="81" eb="83">
      <t xml:space="preserve">ネンド </t>
    </rPh>
    <rPh sb="85" eb="87">
      <t xml:space="preserve">ドウニュウシタ </t>
    </rPh>
    <rPh sb="104" eb="106">
      <t xml:space="preserve">サンカ </t>
    </rPh>
    <rPh sb="107" eb="110">
      <t xml:space="preserve">ドウキヅケ </t>
    </rPh>
    <rPh sb="119" eb="122">
      <t xml:space="preserve">ゼンガクセイニ </t>
    </rPh>
    <rPh sb="123" eb="124">
      <t xml:space="preserve">タイスル </t>
    </rPh>
    <rPh sb="132" eb="134">
      <t xml:space="preserve">シュウチヲ </t>
    </rPh>
    <rPh sb="135" eb="136">
      <t xml:space="preserve">ハカル </t>
    </rPh>
    <rPh sb="146" eb="149">
      <t xml:space="preserve">フクセンコウプログラム </t>
    </rPh>
    <rPh sb="156" eb="162">
      <t xml:space="preserve">コンカイニンテイセイドヘノ </t>
    </rPh>
    <rPh sb="164" eb="166">
      <t xml:space="preserve">シンセイヲ </t>
    </rPh>
    <rPh sb="167" eb="168">
      <t xml:space="preserve">オコナウ </t>
    </rPh>
    <rPh sb="183" eb="185">
      <t xml:space="preserve">ドウイツ </t>
    </rPh>
    <rPh sb="186" eb="188">
      <t xml:space="preserve">カモクニ </t>
    </rPh>
    <rPh sb="191" eb="193">
      <t xml:space="preserve">コウセイサレテオリ、 </t>
    </rPh>
    <rPh sb="207" eb="210">
      <t xml:space="preserve">フクセンコウプログラムニ </t>
    </rPh>
    <rPh sb="216" eb="218">
      <t xml:space="preserve">サンカシタ </t>
    </rPh>
    <rPh sb="220" eb="222">
      <t xml:space="preserve">バアイ、 </t>
    </rPh>
    <rPh sb="223" eb="226">
      <t xml:space="preserve">ジドウテキニ </t>
    </rPh>
    <rPh sb="242" eb="244">
      <t xml:space="preserve">サンカ </t>
    </rPh>
    <rPh sb="260" eb="263">
      <t xml:space="preserve">フクセンコウ </t>
    </rPh>
    <rPh sb="284" eb="286">
      <t xml:space="preserve">ドウヨウニ </t>
    </rPh>
    <rPh sb="288" eb="290">
      <t xml:space="preserve">ホンコウ </t>
    </rPh>
    <rPh sb="290" eb="293">
      <t xml:space="preserve">ゼンガクブ </t>
    </rPh>
    <rPh sb="294" eb="297">
      <t xml:space="preserve">ゼンガッカ </t>
    </rPh>
    <rPh sb="298" eb="300">
      <t xml:space="preserve">ガクセイガ </t>
    </rPh>
    <rPh sb="301" eb="305">
      <t xml:space="preserve">サンカカノウナ </t>
    </rPh>
    <phoneticPr fontId="2"/>
  </si>
  <si>
    <t>専用のホームページを設置し、データサイエンスを勉強することの意義を訴える動画をYouTubeで公開している他、年度初めにはデータサイエンスプログラムの説明会を複数回開催している。各学部・学科・学生センターなどにポスターを掲示している他、リーフレットを各所に配置し、学生が自由に入手できるようにしている。
また、令和3年度より、データサイエンスプログラムの指定科目のうち2科目程度の授業内容の一部を、夏季セミナーとして全学生を対象に公開実施し（単位修得は無）、データサイエンスプログラムの授業を体験する機会を提供している。</t>
    <rPh sb="0" eb="2">
      <t xml:space="preserve">センヨウノ </t>
    </rPh>
    <rPh sb="10" eb="12">
      <t xml:space="preserve">セッチシテイル </t>
    </rPh>
    <rPh sb="23" eb="25">
      <t xml:space="preserve">ベンキョウスルコトノ </t>
    </rPh>
    <rPh sb="30" eb="32">
      <t xml:space="preserve">イギヲ </t>
    </rPh>
    <rPh sb="33" eb="34">
      <t xml:space="preserve">ウッタエル </t>
    </rPh>
    <rPh sb="36" eb="38">
      <t xml:space="preserve">ドウガ </t>
    </rPh>
    <rPh sb="47" eb="49">
      <t xml:space="preserve">コウカイシ </t>
    </rPh>
    <rPh sb="53" eb="54">
      <t xml:space="preserve">ホカ </t>
    </rPh>
    <rPh sb="55" eb="57">
      <t xml:space="preserve">ネンド </t>
    </rPh>
    <rPh sb="57" eb="58">
      <t xml:space="preserve">ハジメ </t>
    </rPh>
    <rPh sb="75" eb="78">
      <t xml:space="preserve">セツメイカイ </t>
    </rPh>
    <rPh sb="79" eb="82">
      <t xml:space="preserve">フクスウカイ </t>
    </rPh>
    <rPh sb="82" eb="84">
      <t xml:space="preserve">カイサイシテイル </t>
    </rPh>
    <rPh sb="89" eb="92">
      <t xml:space="preserve">カクガクブ </t>
    </rPh>
    <rPh sb="93" eb="95">
      <t xml:space="preserve">ガッカ </t>
    </rPh>
    <rPh sb="96" eb="98">
      <t xml:space="preserve">ガクセイセンター </t>
    </rPh>
    <rPh sb="110" eb="112">
      <t xml:space="preserve">ケイジシテイル </t>
    </rPh>
    <rPh sb="116" eb="117">
      <t xml:space="preserve">ホカ </t>
    </rPh>
    <rPh sb="125" eb="127">
      <t xml:space="preserve">カクショニ </t>
    </rPh>
    <rPh sb="128" eb="130">
      <t xml:space="preserve">ハイチシ </t>
    </rPh>
    <rPh sb="132" eb="134">
      <t xml:space="preserve">ガクセイガ </t>
    </rPh>
    <rPh sb="135" eb="137">
      <t xml:space="preserve">ジユウニ </t>
    </rPh>
    <rPh sb="138" eb="140">
      <t xml:space="preserve">ニュウシュデキルヨウニ </t>
    </rPh>
    <rPh sb="155" eb="157">
      <t xml:space="preserve">レイワ </t>
    </rPh>
    <rPh sb="158" eb="160">
      <t xml:space="preserve">ネンド </t>
    </rPh>
    <rPh sb="177" eb="181">
      <t xml:space="preserve">シテイカモクノ </t>
    </rPh>
    <rPh sb="185" eb="189">
      <t xml:space="preserve">カモクテイドヲ </t>
    </rPh>
    <rPh sb="190" eb="192">
      <t xml:space="preserve">ジュギョウ </t>
    </rPh>
    <rPh sb="192" eb="194">
      <t>ナイヨウ</t>
    </rPh>
    <rPh sb="195" eb="197">
      <t>イチブ</t>
    </rPh>
    <rPh sb="199" eb="201">
      <t xml:space="preserve">カキコウシュウト </t>
    </rPh>
    <rPh sb="208" eb="211">
      <t xml:space="preserve">ゼンガクセイニ </t>
    </rPh>
    <rPh sb="212" eb="214">
      <t xml:space="preserve">タイショウニ </t>
    </rPh>
    <rPh sb="215" eb="219">
      <t xml:space="preserve">コウカイジッシシテオリ、 </t>
    </rPh>
    <rPh sb="221" eb="225">
      <t xml:space="preserve">タンイシュウトクハ </t>
    </rPh>
    <rPh sb="226" eb="227">
      <t xml:space="preserve">ナシ </t>
    </rPh>
    <rPh sb="228" eb="229">
      <t xml:space="preserve">コウカイジッシシテオリ、 </t>
    </rPh>
    <rPh sb="243" eb="245">
      <t xml:space="preserve">ジュギョウヲ </t>
    </rPh>
    <rPh sb="246" eb="248">
      <t xml:space="preserve">タイケンシテ </t>
    </rPh>
    <rPh sb="250" eb="252">
      <t xml:space="preserve">キカイ </t>
    </rPh>
    <rPh sb="253" eb="255">
      <t xml:space="preserve">テイキョウシテイル </t>
    </rPh>
    <phoneticPr fontId="2"/>
  </si>
  <si>
    <r>
      <t>年度初めにデータサイエンスプログラムの説明会を開催し、説明会後に履修相談を集中して受け付けている。加えて、データサイエンスプログラムの主催</t>
    </r>
    <r>
      <rPr>
        <sz val="12"/>
        <rFont val="ＭＳ Ｐゴシック"/>
        <family val="3"/>
        <charset val="128"/>
        <scheme val="minor"/>
      </rPr>
      <t>機関</t>
    </r>
    <r>
      <rPr>
        <sz val="12"/>
        <color theme="1"/>
        <rFont val="ＭＳ Ｐゴシック"/>
        <family val="3"/>
        <charset val="128"/>
        <scheme val="minor"/>
      </rPr>
      <t>である計算機センターでは、随時、学生の履修相談に応じている。
また、指定科目はカリキュラムの中での位置づけを明確にしており、主要な教科については教材の標準化（担当教員が代わっても水準が変わらない授業が可能）とオンデマンド教材の整備を進めている。これらの教材のうち、基礎的なものについては、解説動画としてYouTubeで公開している。他のオンデマンド教材についても、整理を進め、ライブラリとして公開していく計画である。</t>
    </r>
    <rPh sb="0" eb="3">
      <t xml:space="preserve">ネンドハジメニ </t>
    </rPh>
    <rPh sb="19" eb="22">
      <t xml:space="preserve">セツメイカイヲ </t>
    </rPh>
    <rPh sb="23" eb="25">
      <t xml:space="preserve">カイサイシ、 </t>
    </rPh>
    <rPh sb="27" eb="31">
      <t xml:space="preserve">セツメイカイゴニ </t>
    </rPh>
    <rPh sb="32" eb="36">
      <t xml:space="preserve">リシュウソウダンヲ </t>
    </rPh>
    <rPh sb="37" eb="39">
      <t xml:space="preserve">シュウチュウシテ </t>
    </rPh>
    <rPh sb="41" eb="42">
      <t xml:space="preserve">ウケツケテイル </t>
    </rPh>
    <rPh sb="49" eb="50">
      <t xml:space="preserve">クワエテ </t>
    </rPh>
    <rPh sb="74" eb="77">
      <t xml:space="preserve">ケイサンキセンターデハ、 </t>
    </rPh>
    <rPh sb="84" eb="86">
      <t xml:space="preserve">ズイジ </t>
    </rPh>
    <rPh sb="87" eb="89">
      <t xml:space="preserve">ガクセイノ </t>
    </rPh>
    <rPh sb="90" eb="94">
      <t xml:space="preserve">リシュウソウダンニ </t>
    </rPh>
    <rPh sb="95" eb="96">
      <t xml:space="preserve">オウジテオリ </t>
    </rPh>
    <rPh sb="105" eb="109">
      <t xml:space="preserve">シテイカモク </t>
    </rPh>
    <rPh sb="117" eb="118">
      <t xml:space="preserve">ナカデノ </t>
    </rPh>
    <rPh sb="120" eb="122">
      <t xml:space="preserve">イチヅケヲ </t>
    </rPh>
    <rPh sb="125" eb="127">
      <t xml:space="preserve">メイカクニ </t>
    </rPh>
    <rPh sb="133" eb="135">
      <t xml:space="preserve">シュヨウナ </t>
    </rPh>
    <rPh sb="136" eb="138">
      <t xml:space="preserve">キョウカ </t>
    </rPh>
    <rPh sb="143" eb="145">
      <t xml:space="preserve">キョウザイノ </t>
    </rPh>
    <rPh sb="146" eb="149">
      <t xml:space="preserve">ヒョウジュンカ </t>
    </rPh>
    <rPh sb="150" eb="154">
      <t xml:space="preserve">タントウキョウインガ </t>
    </rPh>
    <rPh sb="155" eb="156">
      <t xml:space="preserve">カワッテ </t>
    </rPh>
    <rPh sb="160" eb="162">
      <t xml:space="preserve">スイジュンガ </t>
    </rPh>
    <rPh sb="163" eb="164">
      <t xml:space="preserve">カワラナイ </t>
    </rPh>
    <rPh sb="168" eb="170">
      <t xml:space="preserve">ジュギョウア </t>
    </rPh>
    <rPh sb="171" eb="173">
      <t xml:space="preserve">カノウ </t>
    </rPh>
    <rPh sb="181" eb="183">
      <t>キョウザイ</t>
    </rPh>
    <rPh sb="184" eb="186">
      <t>セイビ</t>
    </rPh>
    <rPh sb="187" eb="188">
      <t xml:space="preserve">ススメテイル </t>
    </rPh>
    <rPh sb="197" eb="199">
      <t xml:space="preserve">キョウザイノ </t>
    </rPh>
    <rPh sb="203" eb="206">
      <t xml:space="preserve">キソテキナ </t>
    </rPh>
    <rPh sb="215" eb="219">
      <t xml:space="preserve">カイセツドウガ </t>
    </rPh>
    <rPh sb="230" eb="232">
      <t xml:space="preserve">コウカイシ </t>
    </rPh>
    <rPh sb="237" eb="238">
      <t xml:space="preserve">タノ </t>
    </rPh>
    <rPh sb="245" eb="247">
      <t xml:space="preserve">キョウザイニ </t>
    </rPh>
    <rPh sb="253" eb="255">
      <t xml:space="preserve">セイリヲ </t>
    </rPh>
    <rPh sb="256" eb="257">
      <t xml:space="preserve">ススメ </t>
    </rPh>
    <rPh sb="267" eb="269">
      <t xml:space="preserve">コウカイシテイク </t>
    </rPh>
    <rPh sb="273" eb="275">
      <t xml:space="preserve">ケイカクデアル </t>
    </rPh>
    <phoneticPr fontId="2"/>
  </si>
  <si>
    <r>
      <t>本プログラムは2022年度から全学の学生に対して開始し、2022年度１年間の実績で、平均履修率36%（大学全体の収容定員の36%の学生がデータサイエンスプログラムの指定科目の少なくとも1科目を履修）を達成した。学科毎の履修率は24%～60%である（複数の学年の学生が履修しているため）。本プログラムは、事前申請制ではなく、卒業までに修了条件を</t>
    </r>
    <r>
      <rPr>
        <sz val="12"/>
        <rFont val="ＭＳ Ｐゴシック"/>
        <family val="3"/>
        <charset val="128"/>
        <scheme val="minor"/>
      </rPr>
      <t>満たした</t>
    </r>
    <r>
      <rPr>
        <sz val="12"/>
        <color theme="1"/>
        <rFont val="ＭＳ Ｐゴシック"/>
        <family val="3"/>
        <charset val="128"/>
        <scheme val="minor"/>
      </rPr>
      <t>学生に対し修了証を発行する仕組みとなっているので、指定科目を1科目でも履修している学生数を「履修者数」とみなすと、全ての学部学科で、満遍なく、順調に履修が進んでいるものと判断できる。本プログラムは2022年度発足のため、修了者の実績数は存在しない。</t>
    </r>
    <rPh sb="0" eb="1">
      <t>ホン</t>
    </rPh>
    <rPh sb="11" eb="13">
      <t>ネンド</t>
    </rPh>
    <rPh sb="18" eb="20">
      <t>ガクセイ</t>
    </rPh>
    <rPh sb="21" eb="22">
      <t>タイ</t>
    </rPh>
    <rPh sb="24" eb="26">
      <t>カイシ</t>
    </rPh>
    <rPh sb="32" eb="34">
      <t xml:space="preserve">ネンド </t>
    </rPh>
    <rPh sb="35" eb="37">
      <t>ネンカン</t>
    </rPh>
    <rPh sb="38" eb="40">
      <t xml:space="preserve">ジッセキデハ </t>
    </rPh>
    <rPh sb="42" eb="44">
      <t>ヘイキン</t>
    </rPh>
    <rPh sb="44" eb="47">
      <t>リシュウリツ</t>
    </rPh>
    <rPh sb="51" eb="55">
      <t>ダイガクゼンタイ</t>
    </rPh>
    <rPh sb="56" eb="60">
      <t>シュウヨウテイイン</t>
    </rPh>
    <rPh sb="65" eb="67">
      <t>ガクセイ</t>
    </rPh>
    <rPh sb="100" eb="102">
      <t>タッセイ</t>
    </rPh>
    <rPh sb="105" eb="108">
      <t>ガッカゴト</t>
    </rPh>
    <rPh sb="109" eb="112">
      <t>リシュウリツ</t>
    </rPh>
    <rPh sb="124" eb="126">
      <t>フクスウ</t>
    </rPh>
    <rPh sb="127" eb="129">
      <t>ガクネン</t>
    </rPh>
    <rPh sb="130" eb="132">
      <t>ガクセイ</t>
    </rPh>
    <rPh sb="133" eb="135">
      <t>リシュウ</t>
    </rPh>
    <rPh sb="143" eb="144">
      <t xml:space="preserve">ホンガクノ </t>
    </rPh>
    <rPh sb="151" eb="153">
      <t xml:space="preserve">ジゼンシンセイセイデハ </t>
    </rPh>
    <rPh sb="153" eb="155">
      <t xml:space="preserve">シンセイ </t>
    </rPh>
    <rPh sb="155" eb="156">
      <t xml:space="preserve">セイ </t>
    </rPh>
    <rPh sb="161" eb="163">
      <t xml:space="preserve">ソツギョウマデニ </t>
    </rPh>
    <rPh sb="166" eb="170">
      <t xml:space="preserve">シュウリョウジョウケンヲ </t>
    </rPh>
    <rPh sb="171" eb="172">
      <t>ミ</t>
    </rPh>
    <rPh sb="175" eb="177">
      <t xml:space="preserve">ガクセイニ </t>
    </rPh>
    <rPh sb="178" eb="179">
      <t xml:space="preserve">タイシ </t>
    </rPh>
    <rPh sb="180" eb="183">
      <t xml:space="preserve">シュウリョウショウヲ </t>
    </rPh>
    <rPh sb="184" eb="186">
      <t xml:space="preserve">ハッコウスル </t>
    </rPh>
    <rPh sb="188" eb="190">
      <t xml:space="preserve">シクミト </t>
    </rPh>
    <rPh sb="200" eb="204">
      <t xml:space="preserve">シテイカモクヲ </t>
    </rPh>
    <rPh sb="210" eb="212">
      <t xml:space="preserve">リシュウシテイル </t>
    </rPh>
    <rPh sb="216" eb="218">
      <t xml:space="preserve">ガクセイノ </t>
    </rPh>
    <rPh sb="218" eb="219">
      <t xml:space="preserve">スウヲ </t>
    </rPh>
    <rPh sb="221" eb="225">
      <t xml:space="preserve">リシュウシャスウ </t>
    </rPh>
    <rPh sb="232" eb="233">
      <t xml:space="preserve">スベテノ </t>
    </rPh>
    <rPh sb="235" eb="237">
      <t xml:space="preserve">ガクブ </t>
    </rPh>
    <rPh sb="237" eb="239">
      <t xml:space="preserve">ガッカ </t>
    </rPh>
    <rPh sb="241" eb="243">
      <t xml:space="preserve">マンベンナク </t>
    </rPh>
    <rPh sb="246" eb="248">
      <t xml:space="preserve">ジュンチョウニ </t>
    </rPh>
    <rPh sb="249" eb="251">
      <t xml:space="preserve">リシュウガ </t>
    </rPh>
    <rPh sb="252" eb="253">
      <t xml:space="preserve">ススンデイルモノト </t>
    </rPh>
    <rPh sb="260" eb="262">
      <t xml:space="preserve">ハンダンシテイル。 </t>
    </rPh>
    <rPh sb="266" eb="267">
      <t xml:space="preserve">ホンプログラムハ </t>
    </rPh>
    <rPh sb="277" eb="279">
      <t xml:space="preserve">ネンド </t>
    </rPh>
    <rPh sb="279" eb="281">
      <t xml:space="preserve">ホッソクノタメ </t>
    </rPh>
    <rPh sb="285" eb="288">
      <t xml:space="preserve">シュウリョウシャノ </t>
    </rPh>
    <rPh sb="289" eb="292">
      <t xml:space="preserve">ジッセキスウ </t>
    </rPh>
    <rPh sb="293" eb="295">
      <t xml:space="preserve">ソンザイシナイ </t>
    </rPh>
    <phoneticPr fontId="2"/>
  </si>
  <si>
    <t xml:space="preserve">データサイエンスプログラムは2022年度発足であるため、修了要件を満たして卒業した学生はまだ存在しない。但し、本プログラムのカリキュラム準備段階でパイロット授業を受講した3名の学生については、3名とも人工知能の専門性が活用できる進路を選び、1名は大手シンクタンク、1名は産業技術総合研究所、1名は東京大学大学院に進学している。
</t>
    <rPh sb="14" eb="16">
      <t>2022</t>
    </rPh>
    <rPh sb="18" eb="19">
      <t xml:space="preserve">ネンド </t>
    </rPh>
    <rPh sb="20" eb="22">
      <t xml:space="preserve">ホッソク </t>
    </rPh>
    <rPh sb="33" eb="34">
      <t xml:space="preserve">ミタシテ </t>
    </rPh>
    <rPh sb="37" eb="39">
      <t xml:space="preserve">ソツギョウシタ </t>
    </rPh>
    <rPh sb="41" eb="43">
      <t xml:space="preserve">ガクセイハ </t>
    </rPh>
    <rPh sb="46" eb="48">
      <t xml:space="preserve">ソンザイシナイ </t>
    </rPh>
    <rPh sb="52" eb="53">
      <t xml:space="preserve">タダシ </t>
    </rPh>
    <rPh sb="55" eb="56">
      <t xml:space="preserve">ホンプログラム </t>
    </rPh>
    <rPh sb="78" eb="80">
      <t xml:space="preserve">ジュギョウ </t>
    </rPh>
    <rPh sb="81" eb="83">
      <t xml:space="preserve">ジュコウシタ </t>
    </rPh>
    <rPh sb="88" eb="90">
      <t xml:space="preserve">ガクセイ </t>
    </rPh>
    <rPh sb="97" eb="98">
      <t xml:space="preserve">メイト </t>
    </rPh>
    <rPh sb="100" eb="104">
      <t xml:space="preserve">ジンコウチノウト </t>
    </rPh>
    <rPh sb="105" eb="108">
      <t xml:space="preserve">センモンセイヲ </t>
    </rPh>
    <rPh sb="109" eb="111">
      <t xml:space="preserve">カツヨウデキル </t>
    </rPh>
    <rPh sb="114" eb="116">
      <t xml:space="preserve">シンロヲ </t>
    </rPh>
    <rPh sb="117" eb="118">
      <t xml:space="preserve">エラビ </t>
    </rPh>
    <rPh sb="123" eb="125">
      <t xml:space="preserve">オオテ </t>
    </rPh>
    <rPh sb="135" eb="144">
      <t xml:space="preserve">サンギョウソウゴウケンキュウジョ </t>
    </rPh>
    <rPh sb="148" eb="155">
      <t xml:space="preserve">トウキョウダイガクダイガクイン </t>
    </rPh>
    <rPh sb="156" eb="158">
      <t xml:space="preserve">シンガクシタ </t>
    </rPh>
    <phoneticPr fontId="2"/>
  </si>
  <si>
    <t>認知獲得を目的に、動画・HP・ポスター・チラシ・大学案内等の刊行物を活用して周知に努めた。特に、データサイエンスの知識がキャリアパスを切り開く上で重要な能力であることをアピールしてきた。結果、令和５年度初めに実施した主に新入生を対象とするプログラム説明会では、予想を超える多数の参加者があり、さらに参加者のうち96%がプログラムへの参加を「希望する」又は「検討する」とアンケートで回答した。そのため、令和5年度新入生等の認知獲得に成功したものと判断している。
本プログラムは事前申請制とはせず、学生が無理なく履修を進められるように制度設計されており、また、指定科目は1年生から4年生まで履修可能であることから、学生の履修意欲を高める効果があると考えている。</t>
    <rPh sb="0" eb="2">
      <t xml:space="preserve">ニンチヲ </t>
    </rPh>
    <rPh sb="2" eb="4">
      <t xml:space="preserve">カクトク </t>
    </rPh>
    <rPh sb="5" eb="7">
      <t xml:space="preserve">モクテキニ </t>
    </rPh>
    <rPh sb="24" eb="28">
      <t xml:space="preserve">ダイガクアンナイ </t>
    </rPh>
    <rPh sb="28" eb="29">
      <t xml:space="preserve">トウ </t>
    </rPh>
    <rPh sb="30" eb="33">
      <t xml:space="preserve">カンコウブツ </t>
    </rPh>
    <rPh sb="34" eb="36">
      <t xml:space="preserve">カツヨウシテ </t>
    </rPh>
    <rPh sb="38" eb="40">
      <t xml:space="preserve">シュウチニ </t>
    </rPh>
    <rPh sb="41" eb="42">
      <t xml:space="preserve">ツトメタ </t>
    </rPh>
    <rPh sb="45" eb="46">
      <t xml:space="preserve">トクニ </t>
    </rPh>
    <rPh sb="67" eb="68">
      <t xml:space="preserve">キリヒラクウエデ </t>
    </rPh>
    <rPh sb="73" eb="75">
      <t xml:space="preserve">ジュウヨウナ </t>
    </rPh>
    <rPh sb="93" eb="95">
      <t xml:space="preserve">ケッカ </t>
    </rPh>
    <rPh sb="96" eb="98">
      <t>レイワ</t>
    </rPh>
    <rPh sb="104" eb="106">
      <t>ジッシ</t>
    </rPh>
    <rPh sb="108" eb="109">
      <t>オモ</t>
    </rPh>
    <rPh sb="110" eb="113">
      <t>シンニュウセイ</t>
    </rPh>
    <rPh sb="114" eb="116">
      <t>タイショウ</t>
    </rPh>
    <rPh sb="130" eb="132">
      <t xml:space="preserve">ヨソウヲ </t>
    </rPh>
    <rPh sb="133" eb="134">
      <t xml:space="preserve">コエル </t>
    </rPh>
    <rPh sb="136" eb="138">
      <t>タスウ</t>
    </rPh>
    <rPh sb="149" eb="152">
      <t>サンカシャ</t>
    </rPh>
    <rPh sb="170" eb="172">
      <t xml:space="preserve">キボウスル </t>
    </rPh>
    <rPh sb="175" eb="176">
      <t xml:space="preserve">マタハ </t>
    </rPh>
    <rPh sb="200" eb="202">
      <t>レイワ</t>
    </rPh>
    <rPh sb="203" eb="205">
      <t>ネンド</t>
    </rPh>
    <rPh sb="205" eb="208">
      <t>シンニュウセイ</t>
    </rPh>
    <rPh sb="208" eb="209">
      <t>トウ</t>
    </rPh>
    <rPh sb="210" eb="214">
      <t xml:space="preserve">ニンチカクトクニハ </t>
    </rPh>
    <rPh sb="215" eb="217">
      <t>セイコウ</t>
    </rPh>
    <rPh sb="222" eb="224">
      <t xml:space="preserve">ハンダンシテイル </t>
    </rPh>
    <rPh sb="229" eb="230">
      <t xml:space="preserve">ホンプログラム </t>
    </rPh>
    <rPh sb="236" eb="241">
      <t xml:space="preserve">ジゼンシンセイセイ </t>
    </rPh>
    <rPh sb="246" eb="248">
      <t xml:space="preserve">ガクセイガ </t>
    </rPh>
    <rPh sb="249" eb="250">
      <t xml:space="preserve">センコウヲ </t>
    </rPh>
    <rPh sb="250" eb="251">
      <t xml:space="preserve">ムリナク </t>
    </rPh>
    <rPh sb="253" eb="255">
      <t xml:space="preserve">リシュウヲ </t>
    </rPh>
    <rPh sb="256" eb="257">
      <t xml:space="preserve">ススメラレルヨウニ </t>
    </rPh>
    <rPh sb="264" eb="268">
      <t xml:space="preserve">セイドセッケイシテイル </t>
    </rPh>
    <rPh sb="278" eb="282">
      <t xml:space="preserve">シテイカモクハ </t>
    </rPh>
    <rPh sb="284" eb="286">
      <t xml:space="preserve">ネンセイ </t>
    </rPh>
    <rPh sb="293" eb="297">
      <t xml:space="preserve">リシュウカノウトシテオリ </t>
    </rPh>
    <rPh sb="305" eb="307">
      <t xml:space="preserve">ガクセイノ </t>
    </rPh>
    <rPh sb="308" eb="310">
      <t xml:space="preserve">リシュウノ </t>
    </rPh>
    <rPh sb="310" eb="312">
      <t xml:space="preserve">イヨクヲ </t>
    </rPh>
    <rPh sb="313" eb="314">
      <t xml:space="preserve">タカメルモノト </t>
    </rPh>
    <rPh sb="316" eb="318">
      <t xml:space="preserve">コウカガ </t>
    </rPh>
    <rPh sb="322" eb="323">
      <t xml:space="preserve">カンガエテイル </t>
    </rPh>
    <phoneticPr fontId="2"/>
  </si>
  <si>
    <t>表計算ツールによるデータ分析D</t>
    <rPh sb="0" eb="3">
      <t xml:space="preserve">ヒョウケイサンツール </t>
    </rPh>
    <rPh sb="12" eb="14">
      <t xml:space="preserve">ブンセキ </t>
    </rPh>
    <phoneticPr fontId="2"/>
  </si>
  <si>
    <t>国際社会科学部国際社会科学科</t>
    <rPh sb="0" eb="2">
      <t>コクサイ</t>
    </rPh>
    <rPh sb="2" eb="4">
      <t>シャカイ</t>
    </rPh>
    <rPh sb="4" eb="7">
      <t>カガクブ</t>
    </rPh>
    <rPh sb="7" eb="9">
      <t>コクサイ</t>
    </rPh>
    <rPh sb="9" eb="11">
      <t>シャカイ</t>
    </rPh>
    <rPh sb="11" eb="13">
      <t>カガク</t>
    </rPh>
    <rPh sb="13" eb="14">
      <t>カ</t>
    </rPh>
    <phoneticPr fontId="2"/>
  </si>
  <si>
    <t>データサイエンス・AIに関わるキャリアパスを歩むにあたり、プログラミング、データ分析、機械学習、数理・統計の４分野において基礎的な理解を有する人材を育成する。高度な専門知識を有する少数の専門家を輩出することを目的とするのではなく、多くの学生にとって、社会人になった後のキャリアパス開拓のイナーシャを与える教育を目指す。特に、以下に挙げる知識とスキルを獲得することを目指す。(1)データサイエンス・AIの社会への影響と課題、(2)機械学習・AI技術の俯瞰、(3)データの解釈・処理・表現の基礎、(4)データサイエンスのためのツールの利用法（Python・R・Excelなど）、(5)情報リテラシー（計算機・セキュリティ・倫理など）</t>
    <rPh sb="214" eb="216">
      <t xml:space="preserve">キカイガクシュ </t>
    </rPh>
    <rPh sb="216" eb="218">
      <t xml:space="preserve">ガクシュウ </t>
    </rPh>
    <phoneticPr fontId="2"/>
  </si>
  <si>
    <t>2022年度授業アンケートの結果から、ハンズオン教材を大幅に取り入れて学生が直感的な理解を得られるよう工夫した科目では、良好な学修効果が得られていると判断できる。例えば、「プログラミングで学ぶアルゴリズム」では、「教材は学習に役立った」で67%、「授業のボリュームに満足している」で83%、「授業の水準に満足している」で67%、「知識・能力が向上したと感じる」で50%の学生が「強くそう思う」と回答している。知識・能力の向上では、「そう思う」も含めると100%になった。2022年度の最も重要なフィードバックは、ハンズオン教材は学生が学修効果を自覚する上で有効であるという点にある。</t>
    <phoneticPr fontId="2"/>
  </si>
  <si>
    <t>指定科目（26科目）から8単位以上、うち、コア科目（8科目、⑤〜⑧中※印で特定）から4単位以上を取得
必須科目：人工知能とビッグデータ、情報リテラシー
選択必須科目：統計解析ツールによるデータ分析、表計算ツールによるデータ分析から１科目</t>
    <phoneticPr fontId="2"/>
  </si>
  <si>
    <r>
      <t>データサイエンスプログラムの指定科目は、全て、学部・学科を問わず全学生に対して提供されている</t>
    </r>
    <r>
      <rPr>
        <sz val="12"/>
        <rFont val="ＭＳ Ｐゴシック"/>
        <family val="3"/>
        <charset val="128"/>
        <scheme val="minor"/>
      </rPr>
      <t>総合基礎科目（2023年度より全学共通科目に改組）</t>
    </r>
    <r>
      <rPr>
        <sz val="12"/>
        <color theme="1"/>
        <rFont val="ＭＳ Ｐゴシック"/>
        <family val="3"/>
        <charset val="128"/>
        <scheme val="minor"/>
      </rPr>
      <t>に位置づけられている。
また、多様化するキャリアデザインに適合できるよう、多様な科目（26科目）を指定科目として開講する。また、少人数教育を実現するために、同一の内容の授業科目を複数開講する（のべ授業科目数は104）。例えば、基礎的な情報セキュリティと情報倫理や著作権の仕組みなどを内容に含む「情報技術基礎」は25の授業を同一内容で開講する。また、コア科目は、社会との関連などの概要を知るための科目から、数理的基礎を学ぶ科目まで8科目中から4単位以上（リテラシーレベル）または8単位以上（応用基礎レベル）を選択することができるようにしている。</t>
    </r>
    <rPh sb="14" eb="18">
      <t xml:space="preserve">シテイカモクハ </t>
    </rPh>
    <rPh sb="20" eb="21">
      <t xml:space="preserve">スベテ </t>
    </rPh>
    <rPh sb="23" eb="25">
      <t xml:space="preserve">ガクブ </t>
    </rPh>
    <rPh sb="26" eb="28">
      <t xml:space="preserve">ガッカヲ </t>
    </rPh>
    <rPh sb="29" eb="30">
      <t xml:space="preserve">トワズ </t>
    </rPh>
    <rPh sb="32" eb="35">
      <t xml:space="preserve">ゼンガクセイニタイシテ </t>
    </rPh>
    <rPh sb="39" eb="41">
      <t xml:space="preserve">テイキョウサレテイル </t>
    </rPh>
    <rPh sb="46" eb="48">
      <t>ソウゴウ</t>
    </rPh>
    <rPh sb="57" eb="59">
      <t>ネンド</t>
    </rPh>
    <rPh sb="61" eb="63">
      <t>ゼンガク</t>
    </rPh>
    <rPh sb="63" eb="65">
      <t>キョウツウ</t>
    </rPh>
    <rPh sb="65" eb="67">
      <t>カモク</t>
    </rPh>
    <rPh sb="68" eb="70">
      <t>カイソ</t>
    </rPh>
    <rPh sb="72" eb="74">
      <t xml:space="preserve">イチヅケラレテ </t>
    </rPh>
    <rPh sb="86" eb="88">
      <t xml:space="preserve">タヨウナ </t>
    </rPh>
    <rPh sb="88" eb="89">
      <t xml:space="preserve">カ </t>
    </rPh>
    <rPh sb="100" eb="102">
      <t xml:space="preserve">テキゴウ </t>
    </rPh>
    <rPh sb="108" eb="110">
      <t>タヨウ</t>
    </rPh>
    <rPh sb="111" eb="113">
      <t>カモク</t>
    </rPh>
    <rPh sb="116" eb="118">
      <t>カモク</t>
    </rPh>
    <rPh sb="120" eb="122">
      <t xml:space="preserve">シテイ </t>
    </rPh>
    <rPh sb="122" eb="124">
      <t>カモク</t>
    </rPh>
    <rPh sb="127" eb="129">
      <t>カイコウ</t>
    </rPh>
    <rPh sb="135" eb="138">
      <t>ショウニンズウ</t>
    </rPh>
    <rPh sb="138" eb="140">
      <t>キョウイク</t>
    </rPh>
    <rPh sb="141" eb="143">
      <t>ジツゲン</t>
    </rPh>
    <rPh sb="149" eb="151">
      <t>ドウイツ</t>
    </rPh>
    <rPh sb="152" eb="154">
      <t>ナイヨウ</t>
    </rPh>
    <rPh sb="155" eb="157">
      <t>ジュギョウ</t>
    </rPh>
    <rPh sb="157" eb="159">
      <t>カモク</t>
    </rPh>
    <rPh sb="160" eb="162">
      <t>フクスウ</t>
    </rPh>
    <rPh sb="162" eb="164">
      <t xml:space="preserve">カイコウスル </t>
    </rPh>
    <rPh sb="173" eb="174">
      <t>スウ</t>
    </rPh>
    <rPh sb="180" eb="181">
      <t xml:space="preserve">タトエバ </t>
    </rPh>
    <rPh sb="184" eb="187">
      <t xml:space="preserve">キソテキナ </t>
    </rPh>
    <rPh sb="188" eb="190">
      <t xml:space="preserve">ジョウホウセキュリティ </t>
    </rPh>
    <rPh sb="197" eb="201">
      <t xml:space="preserve">ジョウホウリンリ </t>
    </rPh>
    <rPh sb="202" eb="205">
      <t xml:space="preserve">チョサクケン </t>
    </rPh>
    <rPh sb="206" eb="208">
      <t xml:space="preserve">シクミ </t>
    </rPh>
    <rPh sb="212" eb="214">
      <t xml:space="preserve">ナイヨウニ </t>
    </rPh>
    <rPh sb="215" eb="216">
      <t xml:space="preserve">フクム </t>
    </rPh>
    <rPh sb="218" eb="224">
      <t xml:space="preserve">ジョウホウギジュツキソ </t>
    </rPh>
    <rPh sb="229" eb="231">
      <t>ジュギョウ</t>
    </rPh>
    <rPh sb="232" eb="234">
      <t xml:space="preserve">ドウイツ </t>
    </rPh>
    <rPh sb="234" eb="236">
      <t xml:space="preserve">ナイヨウデ </t>
    </rPh>
    <rPh sb="237" eb="239">
      <t xml:space="preserve">カイコウシテオリ </t>
    </rPh>
    <rPh sb="251" eb="253">
      <t xml:space="preserve">シャカイトノ </t>
    </rPh>
    <rPh sb="255" eb="257">
      <t xml:space="preserve">カンレンヲ </t>
    </rPh>
    <rPh sb="260" eb="262">
      <t xml:space="preserve">ガイヨウヲ </t>
    </rPh>
    <rPh sb="263" eb="264">
      <t xml:space="preserve">シルタメノ </t>
    </rPh>
    <rPh sb="268" eb="270">
      <t xml:space="preserve">カモクカラ </t>
    </rPh>
    <rPh sb="273" eb="276">
      <t xml:space="preserve">スウリテキナ </t>
    </rPh>
    <rPh sb="276" eb="278">
      <t xml:space="preserve">キソ </t>
    </rPh>
    <rPh sb="279" eb="280">
      <t xml:space="preserve">マナブ </t>
    </rPh>
    <rPh sb="281" eb="283">
      <t xml:space="preserve">カモク </t>
    </rPh>
    <rPh sb="286" eb="288">
      <t xml:space="preserve">カモクヲ </t>
    </rPh>
    <rPh sb="288" eb="289">
      <t xml:space="preserve">チュウ </t>
    </rPh>
    <rPh sb="292" eb="294">
      <t>タンイ</t>
    </rPh>
    <rPh sb="294" eb="296">
      <t xml:space="preserve">イジョウ </t>
    </rPh>
    <rPh sb="310" eb="312">
      <t>タンイ</t>
    </rPh>
    <rPh sb="312" eb="314">
      <t xml:space="preserve">イジョウ </t>
    </rPh>
    <rPh sb="315" eb="319">
      <t xml:space="preserve">オウヨウキソ </t>
    </rPh>
    <rPh sb="324" eb="326">
      <t xml:space="preserve">センタクデキルタメ </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</si>
</sst>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14">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本文)"/>
      <family val="3"/>
      <charset val="128"/>
    </font>
    <font>
      <sz val="12"/>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cellStyleXfs>
  <cellXfs count="276">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7" fillId="0" borderId="0" xfId="0" applyFont="1" applyAlignment="1">
      <alignment horizontal="center"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3" xfId="0" applyNumberFormat="1" applyFont="1" applyBorder="1" applyAlignment="1">
      <alignment vertical="center" shrinkToFit="1"/>
    </xf>
    <xf numFmtId="9" fontId="3" fillId="0" borderId="27" xfId="0" applyNumberFormat="1" applyFont="1" applyBorder="1" applyAlignment="1">
      <alignment vertical="center" shrinkToFit="1"/>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28"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0" fontId="10" fillId="0" borderId="11" xfId="0" applyFont="1" applyBorder="1" applyAlignment="1">
      <alignment horizontal="center" vertical="center"/>
    </xf>
    <xf numFmtId="0" fontId="10" fillId="0" borderId="52" xfId="0" applyFont="1" applyBorder="1" applyAlignment="1">
      <alignment horizontal="center" vertical="center"/>
    </xf>
    <xf numFmtId="0" fontId="10" fillId="0" borderId="53" xfId="0" applyFont="1" applyBorder="1" applyAlignment="1">
      <alignment horizontal="center" vertical="center"/>
    </xf>
    <xf numFmtId="9" fontId="3" fillId="0" borderId="60" xfId="0" applyNumberFormat="1" applyFont="1" applyBorder="1" applyAlignment="1">
      <alignment vertical="center" shrinkToFit="1"/>
    </xf>
    <xf numFmtId="9" fontId="3" fillId="0" borderId="1" xfId="0" applyNumberFormat="1" applyFont="1" applyBorder="1" applyAlignment="1">
      <alignment vertical="center" shrinkToFit="1"/>
    </xf>
    <xf numFmtId="49" fontId="4"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Alignment="1">
      <alignment horizontal="center" vertical="center" shrinkToFit="1"/>
    </xf>
    <xf numFmtId="49" fontId="4" fillId="0" borderId="48"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44"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47" xfId="0" applyNumberFormat="1" applyFont="1" applyBorder="1" applyAlignment="1">
      <alignment horizontal="center" vertical="center"/>
    </xf>
    <xf numFmtId="49" fontId="4" fillId="0" borderId="32"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horizontal="left" vertical="center" shrinkToFit="1"/>
    </xf>
    <xf numFmtId="0" fontId="3" fillId="0" borderId="10" xfId="0" applyFont="1" applyBorder="1" applyAlignment="1">
      <alignment horizontal="right" vertical="center"/>
    </xf>
    <xf numFmtId="0" fontId="6" fillId="0" borderId="0" xfId="0" applyFont="1" applyAlignment="1">
      <alignment horizontal="center" vertical="center"/>
    </xf>
    <xf numFmtId="0" fontId="3" fillId="0" borderId="5" xfId="0" applyFont="1" applyBorder="1">
      <alignment vertical="center"/>
    </xf>
    <xf numFmtId="0" fontId="4" fillId="0" borderId="0" xfId="0" applyFont="1">
      <alignment vertical="center"/>
    </xf>
    <xf numFmtId="0" fontId="6" fillId="0" borderId="0" xfId="0" applyFont="1" applyAlignment="1">
      <alignment horizontal="left" vertical="center"/>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3" fillId="2" borderId="5" xfId="0" applyFont="1" applyFill="1" applyBorder="1">
      <alignment vertical="center"/>
    </xf>
    <xf numFmtId="0" fontId="4" fillId="2" borderId="10" xfId="0" applyFont="1" applyFill="1" applyBorder="1" applyAlignment="1">
      <alignment vertical="top" wrapText="1"/>
    </xf>
    <xf numFmtId="0" fontId="4" fillId="2" borderId="5" xfId="0" applyFont="1" applyFill="1" applyBorder="1" applyAlignment="1">
      <alignment vertical="top" wrapText="1"/>
    </xf>
    <xf numFmtId="0" fontId="4" fillId="2" borderId="11" xfId="0" applyFont="1" applyFill="1" applyBorder="1" applyAlignment="1">
      <alignment vertical="top" wrapText="1"/>
    </xf>
    <xf numFmtId="0" fontId="4" fillId="2" borderId="42" xfId="0" applyFont="1" applyFill="1" applyBorder="1" applyAlignment="1">
      <alignment vertical="top" wrapText="1"/>
    </xf>
    <xf numFmtId="0" fontId="4" fillId="2" borderId="43" xfId="0" applyFont="1" applyFill="1" applyBorder="1" applyAlignment="1">
      <alignment vertical="top" wrapText="1"/>
    </xf>
    <xf numFmtId="0" fontId="4" fillId="2" borderId="42" xfId="0" applyFont="1" applyFill="1" applyBorder="1" applyAlignment="1">
      <alignment vertical="top" shrinkToFit="1"/>
    </xf>
    <xf numFmtId="0" fontId="4" fillId="2" borderId="0" xfId="0" applyFont="1" applyFill="1" applyAlignment="1">
      <alignment vertical="top" wrapText="1"/>
    </xf>
    <xf numFmtId="0" fontId="3" fillId="2" borderId="0" xfId="0" applyFont="1" applyFill="1">
      <alignment vertical="center"/>
    </xf>
    <xf numFmtId="0" fontId="4" fillId="2" borderId="43" xfId="0" applyFont="1" applyFill="1" applyBorder="1" applyAlignment="1">
      <alignment vertical="top" shrinkToFit="1"/>
    </xf>
    <xf numFmtId="0" fontId="4" fillId="0" borderId="4" xfId="0" applyFont="1" applyBorder="1" applyAlignment="1">
      <alignment horizontal="center" vertical="center" shrinkToFit="1"/>
    </xf>
    <xf numFmtId="0" fontId="4" fillId="0" borderId="1" xfId="0" applyFont="1" applyBorder="1" applyAlignment="1">
      <alignment horizontal="center" vertical="center" shrinkToFit="1"/>
    </xf>
    <xf numFmtId="38" fontId="3" fillId="0" borderId="50"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38" fontId="3" fillId="0" borderId="23"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38" fontId="3" fillId="0" borderId="18" xfId="2" applyFont="1" applyBorder="1" applyAlignment="1">
      <alignmen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0" fontId="1" fillId="0" borderId="23" xfId="0" applyFont="1" applyBorder="1" applyAlignment="1">
      <alignment horizontal="center" vertical="center" shrinkToFit="1"/>
    </xf>
    <xf numFmtId="0" fontId="3" fillId="0" borderId="60" xfId="0" applyFont="1" applyBorder="1" applyAlignment="1">
      <alignment horizontal="center" vertical="center" shrinkToFit="1"/>
    </xf>
    <xf numFmtId="0" fontId="3" fillId="0" borderId="15" xfId="0" applyFont="1" applyBorder="1" applyAlignment="1">
      <alignment horizontal="center" vertical="center" shrinkToFit="1"/>
    </xf>
    <xf numFmtId="0" fontId="1" fillId="0" borderId="40"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0" xfId="0" applyFont="1" applyAlignment="1">
      <alignment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7" xfId="0" applyFont="1" applyBorder="1" applyAlignment="1">
      <alignment vertical="center" shrinkToFit="1"/>
    </xf>
    <xf numFmtId="0" fontId="3" fillId="0" borderId="8" xfId="0" applyFont="1" applyBorder="1" applyAlignment="1">
      <alignment vertical="center" shrinkToFit="1"/>
    </xf>
    <xf numFmtId="0" fontId="3" fillId="0" borderId="9" xfId="0" applyFont="1" applyBorder="1" applyAlignment="1">
      <alignment vertical="center" shrinkToFit="1"/>
    </xf>
    <xf numFmtId="0" fontId="3" fillId="0" borderId="34" xfId="0" applyFont="1" applyBorder="1" applyAlignment="1">
      <alignment vertical="center"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0" xfId="0" applyFont="1" applyAlignment="1">
      <alignment horizontal="right" vertical="center"/>
    </xf>
    <xf numFmtId="0" fontId="3" fillId="0" borderId="41" xfId="0" applyFont="1" applyBorder="1" applyAlignment="1">
      <alignment vertical="center" shrinkToFit="1"/>
    </xf>
    <xf numFmtId="0" fontId="3" fillId="0" borderId="42" xfId="0" applyFont="1" applyBorder="1" applyAlignment="1">
      <alignment vertical="center" shrinkToFit="1"/>
    </xf>
    <xf numFmtId="0" fontId="3" fillId="0" borderId="43" xfId="0" applyFont="1" applyBorder="1" applyAlignment="1">
      <alignmen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0" fontId="7"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41"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3" xfId="0" applyFont="1" applyBorder="1" applyAlignment="1">
      <alignment horizontal="center"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0" fontId="3" fillId="0" borderId="38" xfId="0" applyFont="1" applyBorder="1" applyAlignment="1">
      <alignment horizontal="left" vertical="center" wrapText="1" shrinkToFit="1"/>
    </xf>
    <xf numFmtId="0" fontId="3" fillId="0" borderId="38" xfId="0" applyFont="1" applyBorder="1" applyAlignment="1">
      <alignment horizontal="left" vertical="center" shrinkToFit="1"/>
    </xf>
    <xf numFmtId="0" fontId="3" fillId="0" borderId="39" xfId="0" applyFont="1" applyBorder="1" applyAlignment="1">
      <alignment horizontal="left" vertical="center" shrinkToFit="1"/>
    </xf>
    <xf numFmtId="0" fontId="1" fillId="0" borderId="19" xfId="0" applyFont="1" applyBorder="1" applyAlignment="1">
      <alignment vertical="center" shrinkToFit="1"/>
    </xf>
    <xf numFmtId="0" fontId="1" fillId="0" borderId="20" xfId="0" applyFont="1" applyBorder="1" applyAlignment="1">
      <alignment vertical="center" shrinkToFit="1"/>
    </xf>
    <xf numFmtId="0" fontId="1" fillId="0" borderId="34" xfId="0" applyFont="1" applyBorder="1" applyAlignment="1">
      <alignment vertical="center" shrinkToFit="1"/>
    </xf>
    <xf numFmtId="0" fontId="1" fillId="0" borderId="36" xfId="0" applyFont="1" applyBorder="1" applyAlignment="1">
      <alignment vertical="center" shrinkToFit="1"/>
    </xf>
    <xf numFmtId="0" fontId="0" fillId="0" borderId="36" xfId="0" applyBorder="1" applyAlignment="1">
      <alignment vertical="center" shrinkToFit="1"/>
    </xf>
    <xf numFmtId="0" fontId="0" fillId="0" borderId="35" xfId="0" applyBorder="1" applyAlignment="1">
      <alignment vertical="center" shrinkToFit="1"/>
    </xf>
    <xf numFmtId="0" fontId="1" fillId="0" borderId="37" xfId="0" applyFont="1" applyBorder="1" applyAlignment="1">
      <alignment vertical="center" shrinkToFit="1"/>
    </xf>
    <xf numFmtId="0" fontId="1" fillId="0" borderId="38" xfId="0" applyFont="1" applyBorder="1" applyAlignment="1">
      <alignment vertical="center" shrinkToFit="1"/>
    </xf>
    <xf numFmtId="0" fontId="4" fillId="0" borderId="45" xfId="0" applyFont="1" applyBorder="1" applyAlignment="1">
      <alignment vertical="center" wrapText="1"/>
    </xf>
    <xf numFmtId="0" fontId="4" fillId="0" borderId="31" xfId="0" applyFont="1" applyBorder="1" applyAlignment="1">
      <alignment vertical="center" wrapText="1"/>
    </xf>
    <xf numFmtId="0" fontId="4" fillId="0" borderId="46" xfId="0" applyFont="1" applyBorder="1" applyAlignment="1">
      <alignment vertical="center" wrapText="1"/>
    </xf>
    <xf numFmtId="0" fontId="3" fillId="0" borderId="36" xfId="0" applyFont="1" applyBorder="1" applyAlignment="1">
      <alignment vertical="center" wrapText="1" shrinkToFit="1"/>
    </xf>
    <xf numFmtId="0" fontId="3" fillId="0" borderId="6" xfId="0" applyFont="1" applyBorder="1" applyAlignment="1">
      <alignment vertical="center" wrapText="1"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3" fillId="0" borderId="19" xfId="0" applyFont="1" applyBorder="1" applyAlignment="1">
      <alignment vertical="center" wrapText="1" shrinkToFit="1"/>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3" fillId="0" borderId="1" xfId="0" applyFont="1" applyBorder="1" applyAlignment="1">
      <alignment horizontal="center" vertical="center"/>
    </xf>
    <xf numFmtId="0" fontId="3" fillId="3" borderId="2" xfId="0" applyFont="1" applyFill="1" applyBorder="1" applyAlignment="1">
      <alignment horizontal="center" vertical="center" shrinkToFit="1"/>
    </xf>
    <xf numFmtId="0" fontId="3" fillId="3" borderId="4" xfId="0" applyFont="1" applyFill="1" applyBorder="1" applyAlignment="1">
      <alignment horizontal="center" vertical="center" shrinkToFit="1"/>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6" fillId="0" borderId="16" xfId="0" applyFont="1" applyBorder="1" applyAlignment="1">
      <alignment horizontal="center" vertical="center"/>
    </xf>
    <xf numFmtId="0" fontId="6" fillId="0" borderId="22" xfId="0" applyFont="1" applyBorder="1" applyAlignment="1">
      <alignment horizontal="center" vertical="center"/>
    </xf>
    <xf numFmtId="0" fontId="9" fillId="0" borderId="15"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13"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2" xfId="0" applyFont="1" applyBorder="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lignment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2" xfId="0" applyFont="1" applyBorder="1" applyAlignment="1">
      <alignment horizontal="left" vertical="center"/>
    </xf>
    <xf numFmtId="0" fontId="6" fillId="0" borderId="3" xfId="0" applyFont="1" applyBorder="1">
      <alignment vertical="center"/>
    </xf>
    <xf numFmtId="0" fontId="6" fillId="0" borderId="4" xfId="0" applyFont="1" applyBorder="1">
      <alignmen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3" fillId="0" borderId="0" xfId="0" applyFont="1" applyAlignment="1">
      <alignment horizontal="center"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lignment vertical="center"/>
    </xf>
    <xf numFmtId="0" fontId="6" fillId="0" borderId="18" xfId="0" applyFont="1" applyBorder="1">
      <alignment vertical="center"/>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0" borderId="42" xfId="0" applyFont="1" applyBorder="1" applyAlignment="1">
      <alignment vertical="top" wrapText="1" shrinkToFit="1"/>
    </xf>
    <xf numFmtId="0" fontId="3" fillId="0" borderId="43"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2"/>
  <sheetViews>
    <sheetView showZeros="0" view="pageBreakPreview" zoomScale="115" zoomScaleNormal="100" zoomScaleSheetLayoutView="115" workbookViewId="0">
      <selection activeCell="O70" sqref="O70"/>
    </sheetView>
  </sheetViews>
  <sheetFormatPr defaultColWidth="9" defaultRowHeight="18.75" customHeight="1"/>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c r="R1" s="103" t="s">
        <v>12</v>
      </c>
      <c r="S1" s="103"/>
      <c r="T1" s="2" t="s">
        <v>110</v>
      </c>
    </row>
    <row r="2" spans="1:22" ht="18.75" customHeight="1">
      <c r="B2" s="34" t="s">
        <v>109</v>
      </c>
      <c r="C2" s="94" t="s">
        <v>127</v>
      </c>
      <c r="D2" s="96"/>
      <c r="E2" s="96"/>
      <c r="F2" s="96"/>
      <c r="G2" s="96"/>
      <c r="H2" s="96"/>
      <c r="I2" s="95"/>
      <c r="J2" s="35"/>
      <c r="K2" s="6"/>
      <c r="L2" s="6"/>
      <c r="M2" s="6"/>
      <c r="N2" s="6"/>
      <c r="O2" s="6"/>
      <c r="P2" s="6"/>
      <c r="Q2" s="6"/>
      <c r="R2" s="6"/>
      <c r="S2" s="6"/>
    </row>
    <row r="3" spans="1:22" ht="18.75" customHeight="1">
      <c r="B3" s="34" t="s">
        <v>103</v>
      </c>
      <c r="C3" s="94" t="s">
        <v>128</v>
      </c>
      <c r="D3" s="96"/>
      <c r="E3" s="96"/>
      <c r="F3" s="96"/>
      <c r="G3" s="96"/>
      <c r="H3" s="96"/>
      <c r="I3" s="95"/>
      <c r="J3" s="35"/>
      <c r="K3" s="6"/>
      <c r="L3" s="6"/>
      <c r="M3" s="6"/>
      <c r="N3" s="6"/>
      <c r="O3" s="6"/>
      <c r="P3" s="6"/>
      <c r="Q3" s="6"/>
      <c r="R3" s="6"/>
      <c r="S3" s="6"/>
    </row>
    <row r="4" spans="1:22" ht="15" customHeight="1">
      <c r="K4" s="35"/>
      <c r="L4" s="36"/>
      <c r="M4" s="36"/>
      <c r="N4" s="36"/>
      <c r="O4" s="36"/>
      <c r="P4" s="36"/>
      <c r="Q4" s="36"/>
      <c r="R4" s="36"/>
      <c r="S4" s="36"/>
    </row>
    <row r="5" spans="1:22" ht="18" customHeight="1">
      <c r="A5" s="110" t="s">
        <v>39</v>
      </c>
      <c r="B5" s="110"/>
      <c r="C5" s="110"/>
      <c r="D5" s="110"/>
      <c r="E5" s="110"/>
      <c r="F5" s="110"/>
      <c r="G5" s="110"/>
      <c r="H5" s="110"/>
      <c r="I5" s="110"/>
      <c r="J5" s="110"/>
      <c r="K5" s="110"/>
      <c r="L5" s="110"/>
      <c r="M5" s="110"/>
      <c r="N5" s="110"/>
      <c r="O5" s="110"/>
      <c r="P5" s="110"/>
      <c r="Q5" s="110"/>
      <c r="R5" s="110"/>
      <c r="S5" s="110"/>
    </row>
    <row r="6" spans="1:22" ht="15" customHeight="1">
      <c r="B6" s="3"/>
      <c r="C6" s="3"/>
      <c r="D6" s="3"/>
      <c r="E6" s="3"/>
      <c r="F6" s="3"/>
      <c r="G6" s="3"/>
      <c r="H6" s="3"/>
      <c r="I6" s="3"/>
      <c r="J6" s="3"/>
      <c r="K6" s="3"/>
      <c r="L6" s="3"/>
      <c r="M6" s="3"/>
      <c r="N6" s="3"/>
      <c r="O6" s="3"/>
      <c r="P6" s="3"/>
      <c r="Q6" s="3"/>
      <c r="R6" s="3"/>
      <c r="S6" s="3"/>
    </row>
    <row r="7" spans="1:22" ht="18" customHeight="1">
      <c r="A7" s="1" t="s">
        <v>125</v>
      </c>
      <c r="C7" s="3"/>
      <c r="J7" s="37" t="s">
        <v>108</v>
      </c>
      <c r="K7" s="126" t="s">
        <v>129</v>
      </c>
      <c r="L7" s="127"/>
      <c r="M7" s="127"/>
      <c r="N7" s="127"/>
      <c r="O7" s="127"/>
      <c r="P7" s="127"/>
      <c r="Q7" s="127"/>
      <c r="R7" s="127"/>
      <c r="S7" s="128"/>
    </row>
    <row r="8" spans="1:22" ht="6" customHeight="1">
      <c r="B8" s="3"/>
      <c r="C8" s="3"/>
      <c r="D8" s="3"/>
      <c r="E8" s="3"/>
      <c r="F8" s="3"/>
      <c r="G8" s="3"/>
      <c r="H8" s="3"/>
      <c r="I8" s="3"/>
      <c r="J8" s="3"/>
      <c r="K8" s="10"/>
      <c r="L8" s="3"/>
      <c r="M8" s="3"/>
      <c r="N8" s="3"/>
      <c r="O8" s="3"/>
      <c r="P8" s="3"/>
      <c r="Q8" s="3"/>
      <c r="R8" s="3"/>
      <c r="S8" s="3"/>
    </row>
    <row r="9" spans="1:22" ht="18" customHeight="1">
      <c r="B9" s="120" t="s">
        <v>130</v>
      </c>
      <c r="C9" s="121"/>
      <c r="D9" s="121"/>
      <c r="E9" s="121"/>
      <c r="F9" s="121"/>
      <c r="G9" s="121"/>
      <c r="H9" s="121"/>
      <c r="I9" s="121"/>
      <c r="J9" s="121"/>
      <c r="K9" s="121"/>
      <c r="L9" s="121"/>
      <c r="M9" s="121"/>
      <c r="N9" s="121"/>
      <c r="O9" s="121"/>
      <c r="P9" s="121"/>
      <c r="Q9" s="121"/>
      <c r="R9" s="121"/>
      <c r="S9" s="122"/>
    </row>
    <row r="10" spans="1:22" ht="18" customHeight="1">
      <c r="B10" s="123"/>
      <c r="C10" s="124"/>
      <c r="D10" s="124"/>
      <c r="E10" s="124"/>
      <c r="F10" s="124"/>
      <c r="G10" s="124"/>
      <c r="H10" s="124"/>
      <c r="I10" s="124"/>
      <c r="J10" s="124"/>
      <c r="K10" s="124"/>
      <c r="L10" s="124"/>
      <c r="M10" s="124"/>
      <c r="N10" s="124"/>
      <c r="O10" s="124"/>
      <c r="P10" s="124"/>
      <c r="Q10" s="124"/>
      <c r="R10" s="124"/>
      <c r="S10" s="125"/>
    </row>
    <row r="11" spans="1:22" ht="6" customHeight="1">
      <c r="B11" s="3"/>
      <c r="C11" s="3"/>
      <c r="D11" s="3"/>
      <c r="E11" s="3"/>
      <c r="F11" s="3"/>
      <c r="G11" s="3"/>
      <c r="H11" s="3"/>
      <c r="I11" s="3"/>
      <c r="J11" s="3"/>
      <c r="K11" s="10"/>
      <c r="L11" s="3"/>
      <c r="M11" s="3"/>
      <c r="N11" s="3"/>
      <c r="O11" s="3"/>
      <c r="P11" s="3"/>
      <c r="Q11" s="3"/>
      <c r="R11" s="3"/>
      <c r="S11" s="3"/>
    </row>
    <row r="12" spans="1:22" ht="18" customHeight="1">
      <c r="A12" s="1" t="s">
        <v>112</v>
      </c>
      <c r="B12" s="3"/>
      <c r="C12" s="3"/>
      <c r="D12" s="35"/>
      <c r="E12" s="35"/>
      <c r="F12" s="35"/>
      <c r="G12" s="35"/>
      <c r="H12" s="35"/>
      <c r="I12" s="35"/>
      <c r="J12" s="35"/>
      <c r="K12" s="38"/>
      <c r="L12" s="38"/>
      <c r="M12" s="38"/>
      <c r="N12" s="38"/>
      <c r="O12" s="38"/>
      <c r="P12" s="38"/>
      <c r="Q12" s="38"/>
      <c r="R12" s="38"/>
      <c r="S12" s="38"/>
    </row>
    <row r="13" spans="1:22" ht="18" customHeight="1">
      <c r="B13" s="111" t="s">
        <v>232</v>
      </c>
      <c r="C13" s="112"/>
      <c r="D13" s="112"/>
      <c r="E13" s="112"/>
      <c r="F13" s="112"/>
      <c r="G13" s="112"/>
      <c r="H13" s="112"/>
      <c r="I13" s="112"/>
      <c r="J13" s="112"/>
      <c r="K13" s="112"/>
      <c r="L13" s="112"/>
      <c r="M13" s="112"/>
      <c r="N13" s="112"/>
      <c r="O13" s="112"/>
      <c r="P13" s="112"/>
      <c r="Q13" s="112"/>
      <c r="R13" s="112"/>
      <c r="S13" s="113"/>
      <c r="V13" s="1" t="s">
        <v>104</v>
      </c>
    </row>
    <row r="14" spans="1:22" ht="18" customHeight="1">
      <c r="B14" s="114"/>
      <c r="C14" s="115"/>
      <c r="D14" s="115"/>
      <c r="E14" s="115"/>
      <c r="F14" s="115"/>
      <c r="G14" s="115"/>
      <c r="H14" s="115"/>
      <c r="I14" s="115"/>
      <c r="J14" s="115"/>
      <c r="K14" s="115"/>
      <c r="L14" s="115"/>
      <c r="M14" s="115"/>
      <c r="N14" s="115"/>
      <c r="O14" s="115"/>
      <c r="P14" s="115"/>
      <c r="Q14" s="115"/>
      <c r="R14" s="115"/>
      <c r="S14" s="116"/>
      <c r="V14" s="1" t="s">
        <v>111</v>
      </c>
    </row>
    <row r="15" spans="1:22" ht="18" customHeight="1">
      <c r="B15" s="114"/>
      <c r="C15" s="115"/>
      <c r="D15" s="115"/>
      <c r="E15" s="115"/>
      <c r="F15" s="115"/>
      <c r="G15" s="115"/>
      <c r="H15" s="115"/>
      <c r="I15" s="115"/>
      <c r="J15" s="115"/>
      <c r="K15" s="115"/>
      <c r="L15" s="115"/>
      <c r="M15" s="115"/>
      <c r="N15" s="115"/>
      <c r="O15" s="115"/>
      <c r="P15" s="115"/>
      <c r="Q15" s="115"/>
      <c r="R15" s="115"/>
      <c r="S15" s="116"/>
      <c r="V15" s="1" t="s">
        <v>124</v>
      </c>
    </row>
    <row r="16" spans="1:22" ht="18" customHeight="1">
      <c r="B16" s="114"/>
      <c r="C16" s="115"/>
      <c r="D16" s="115"/>
      <c r="E16" s="115"/>
      <c r="F16" s="115"/>
      <c r="G16" s="115"/>
      <c r="H16" s="115"/>
      <c r="I16" s="115"/>
      <c r="J16" s="115"/>
      <c r="K16" s="115"/>
      <c r="L16" s="115"/>
      <c r="M16" s="115"/>
      <c r="N16" s="115"/>
      <c r="O16" s="115"/>
      <c r="P16" s="115"/>
      <c r="Q16" s="115"/>
      <c r="R16" s="115"/>
      <c r="S16" s="116"/>
      <c r="V16" s="1" t="s">
        <v>126</v>
      </c>
    </row>
    <row r="17" spans="1:19" ht="18" customHeight="1">
      <c r="B17" s="114"/>
      <c r="C17" s="115"/>
      <c r="D17" s="115"/>
      <c r="E17" s="115"/>
      <c r="F17" s="115"/>
      <c r="G17" s="115"/>
      <c r="H17" s="115"/>
      <c r="I17" s="115"/>
      <c r="J17" s="115"/>
      <c r="K17" s="115"/>
      <c r="L17" s="115"/>
      <c r="M17" s="115"/>
      <c r="N17" s="115"/>
      <c r="O17" s="115"/>
      <c r="P17" s="115"/>
      <c r="Q17" s="115"/>
      <c r="R17" s="115"/>
      <c r="S17" s="116"/>
    </row>
    <row r="18" spans="1:19" ht="18" customHeight="1">
      <c r="B18" s="117"/>
      <c r="C18" s="118"/>
      <c r="D18" s="118"/>
      <c r="E18" s="118"/>
      <c r="F18" s="118"/>
      <c r="G18" s="118"/>
      <c r="H18" s="118"/>
      <c r="I18" s="118"/>
      <c r="J18" s="118"/>
      <c r="K18" s="118"/>
      <c r="L18" s="118"/>
      <c r="M18" s="118"/>
      <c r="N18" s="118"/>
      <c r="O18" s="118"/>
      <c r="P18" s="118"/>
      <c r="Q18" s="118"/>
      <c r="R18" s="118"/>
      <c r="S18" s="119"/>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113</v>
      </c>
      <c r="C20" s="94">
        <v>8</v>
      </c>
      <c r="D20" s="95"/>
      <c r="E20" s="39" t="s">
        <v>96</v>
      </c>
      <c r="G20" s="10"/>
      <c r="H20" s="3"/>
      <c r="I20" s="3"/>
      <c r="J20" s="35" t="s">
        <v>122</v>
      </c>
      <c r="K20" s="107" t="s">
        <v>126</v>
      </c>
      <c r="L20" s="108"/>
      <c r="M20" s="108"/>
      <c r="N20" s="108"/>
      <c r="O20" s="108"/>
      <c r="P20" s="108"/>
      <c r="Q20" s="108"/>
      <c r="R20" s="108"/>
      <c r="S20" s="109"/>
    </row>
    <row r="21" spans="1:19" ht="7.5" customHeight="1">
      <c r="B21" s="3"/>
      <c r="C21" s="3"/>
      <c r="D21" s="3"/>
      <c r="E21" s="3"/>
      <c r="F21" s="3"/>
      <c r="G21" s="3"/>
      <c r="H21" s="3"/>
      <c r="I21" s="3"/>
      <c r="J21" s="3"/>
      <c r="K21" s="3"/>
      <c r="L21" s="3"/>
      <c r="M21" s="3"/>
      <c r="N21" s="3"/>
      <c r="O21" s="3"/>
      <c r="P21" s="3"/>
      <c r="Q21" s="3"/>
      <c r="R21" s="3"/>
      <c r="S21" s="3"/>
    </row>
    <row r="22" spans="1:19" ht="18" customHeight="1">
      <c r="A22" s="93" t="s">
        <v>114</v>
      </c>
      <c r="B22" s="93"/>
      <c r="C22" s="93"/>
      <c r="D22" s="93"/>
      <c r="E22" s="93"/>
      <c r="F22" s="93"/>
      <c r="G22" s="93"/>
      <c r="H22" s="93"/>
      <c r="I22" s="93"/>
      <c r="J22" s="93"/>
      <c r="K22" s="93"/>
      <c r="L22" s="93"/>
      <c r="M22" s="93"/>
      <c r="N22" s="93"/>
      <c r="O22" s="93"/>
      <c r="P22" s="93"/>
      <c r="Q22" s="93"/>
      <c r="R22" s="93"/>
      <c r="S22" s="93"/>
    </row>
    <row r="23" spans="1:19" ht="18" customHeight="1">
      <c r="A23" s="93"/>
      <c r="B23" s="93"/>
      <c r="C23" s="93"/>
      <c r="D23" s="93"/>
      <c r="E23" s="93"/>
      <c r="F23" s="93"/>
      <c r="G23" s="93"/>
      <c r="H23" s="93"/>
      <c r="I23" s="93"/>
      <c r="J23" s="93"/>
      <c r="K23" s="93"/>
      <c r="L23" s="93"/>
      <c r="M23" s="93"/>
      <c r="N23" s="93"/>
      <c r="O23" s="93"/>
      <c r="P23" s="93"/>
      <c r="Q23" s="93"/>
      <c r="R23" s="93"/>
      <c r="S23" s="93"/>
    </row>
    <row r="24" spans="1:19" ht="18" customHeight="1">
      <c r="B24" s="94" t="s">
        <v>54</v>
      </c>
      <c r="C24" s="96"/>
      <c r="D24" s="96"/>
      <c r="E24" s="95"/>
      <c r="F24" s="60" t="s">
        <v>81</v>
      </c>
      <c r="G24" s="59" t="s">
        <v>85</v>
      </c>
      <c r="H24" s="22" t="s">
        <v>57</v>
      </c>
      <c r="I24" s="22" t="s">
        <v>60</v>
      </c>
      <c r="J24" s="94" t="s">
        <v>54</v>
      </c>
      <c r="K24" s="96"/>
      <c r="L24" s="96"/>
      <c r="M24" s="96"/>
      <c r="N24" s="96"/>
      <c r="O24" s="95"/>
      <c r="P24" s="60" t="s">
        <v>81</v>
      </c>
      <c r="Q24" s="59" t="s">
        <v>85</v>
      </c>
      <c r="R24" s="22" t="s">
        <v>57</v>
      </c>
      <c r="S24" s="22" t="s">
        <v>60</v>
      </c>
    </row>
    <row r="25" spans="1:19" ht="18" customHeight="1">
      <c r="B25" s="97" t="s">
        <v>141</v>
      </c>
      <c r="C25" s="98"/>
      <c r="D25" s="98"/>
      <c r="E25" s="99"/>
      <c r="F25" s="83">
        <v>2</v>
      </c>
      <c r="G25" s="83" t="s">
        <v>131</v>
      </c>
      <c r="H25" s="83" t="s">
        <v>131</v>
      </c>
      <c r="I25" s="83" t="s">
        <v>131</v>
      </c>
      <c r="J25" s="100"/>
      <c r="K25" s="101"/>
      <c r="L25" s="101"/>
      <c r="M25" s="101"/>
      <c r="N25" s="101"/>
      <c r="O25" s="102"/>
      <c r="P25" s="23"/>
      <c r="Q25" s="23"/>
      <c r="R25" s="23"/>
      <c r="S25" s="23"/>
    </row>
    <row r="26" spans="1:19" ht="18" customHeight="1">
      <c r="B26" s="87" t="s">
        <v>142</v>
      </c>
      <c r="C26" s="88"/>
      <c r="D26" s="88"/>
      <c r="E26" s="89"/>
      <c r="F26" s="24">
        <v>2</v>
      </c>
      <c r="G26" s="24"/>
      <c r="H26" s="24" t="s">
        <v>131</v>
      </c>
      <c r="I26" s="24"/>
      <c r="J26" s="87"/>
      <c r="K26" s="88"/>
      <c r="L26" s="88"/>
      <c r="M26" s="88"/>
      <c r="N26" s="88"/>
      <c r="O26" s="89"/>
      <c r="P26" s="24"/>
      <c r="Q26" s="24"/>
      <c r="R26" s="24"/>
      <c r="S26" s="24"/>
    </row>
    <row r="27" spans="1:19" ht="18" customHeight="1">
      <c r="B27" s="104" t="s">
        <v>145</v>
      </c>
      <c r="C27" s="105"/>
      <c r="D27" s="105"/>
      <c r="E27" s="106"/>
      <c r="F27" s="24">
        <v>2</v>
      </c>
      <c r="G27" s="24"/>
      <c r="H27" s="24"/>
      <c r="I27" s="24" t="s">
        <v>131</v>
      </c>
      <c r="J27" s="87"/>
      <c r="K27" s="88"/>
      <c r="L27" s="88"/>
      <c r="M27" s="88"/>
      <c r="N27" s="88"/>
      <c r="O27" s="89"/>
      <c r="P27" s="24"/>
      <c r="Q27" s="24"/>
      <c r="R27" s="24"/>
      <c r="S27" s="24"/>
    </row>
    <row r="28" spans="1:19" ht="18" customHeight="1">
      <c r="B28" s="87" t="s">
        <v>183</v>
      </c>
      <c r="C28" s="88"/>
      <c r="D28" s="88"/>
      <c r="E28" s="89"/>
      <c r="F28" s="82">
        <v>2</v>
      </c>
      <c r="G28" s="24"/>
      <c r="H28" s="24"/>
      <c r="I28" s="24" t="s">
        <v>131</v>
      </c>
      <c r="J28" s="87"/>
      <c r="K28" s="88"/>
      <c r="L28" s="88"/>
      <c r="M28" s="88"/>
      <c r="N28" s="88"/>
      <c r="O28" s="89"/>
      <c r="P28" s="24"/>
      <c r="Q28" s="24"/>
      <c r="R28" s="24"/>
      <c r="S28" s="24"/>
    </row>
    <row r="29" spans="1:19" ht="18" customHeight="1">
      <c r="B29" s="87"/>
      <c r="C29" s="88"/>
      <c r="D29" s="88"/>
      <c r="E29" s="89"/>
      <c r="F29" s="24"/>
      <c r="G29" s="24"/>
      <c r="H29" s="24"/>
      <c r="I29" s="24"/>
      <c r="J29" s="87"/>
      <c r="K29" s="88"/>
      <c r="L29" s="88"/>
      <c r="M29" s="88"/>
      <c r="N29" s="88"/>
      <c r="O29" s="89"/>
      <c r="P29" s="24"/>
      <c r="Q29" s="24"/>
      <c r="R29" s="24"/>
      <c r="S29" s="24"/>
    </row>
    <row r="30" spans="1:19" ht="18" customHeight="1">
      <c r="A30" s="3"/>
      <c r="B30" s="87"/>
      <c r="C30" s="88"/>
      <c r="D30" s="88"/>
      <c r="E30" s="89"/>
      <c r="F30" s="24"/>
      <c r="G30" s="24"/>
      <c r="H30" s="24"/>
      <c r="I30" s="24"/>
      <c r="J30" s="87"/>
      <c r="K30" s="88"/>
      <c r="L30" s="88"/>
      <c r="M30" s="88"/>
      <c r="N30" s="88"/>
      <c r="O30" s="89"/>
      <c r="P30" s="24"/>
      <c r="Q30" s="24"/>
      <c r="R30" s="24"/>
      <c r="S30" s="24"/>
    </row>
    <row r="31" spans="1:19" ht="18" customHeight="1">
      <c r="A31" s="3"/>
      <c r="B31" s="90"/>
      <c r="C31" s="91"/>
      <c r="D31" s="91"/>
      <c r="E31" s="92"/>
      <c r="F31" s="25"/>
      <c r="G31" s="25"/>
      <c r="H31" s="26"/>
      <c r="I31" s="26"/>
      <c r="J31" s="90"/>
      <c r="K31" s="91"/>
      <c r="L31" s="91"/>
      <c r="M31" s="91"/>
      <c r="N31" s="91"/>
      <c r="O31" s="92"/>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93" t="s">
        <v>115</v>
      </c>
      <c r="B33" s="93"/>
      <c r="C33" s="93"/>
      <c r="D33" s="93"/>
      <c r="E33" s="93"/>
      <c r="F33" s="93"/>
      <c r="G33" s="93"/>
      <c r="H33" s="93"/>
      <c r="I33" s="93"/>
      <c r="J33" s="93"/>
      <c r="K33" s="93"/>
      <c r="L33" s="93"/>
      <c r="M33" s="93"/>
      <c r="N33" s="93"/>
      <c r="O33" s="93"/>
      <c r="P33" s="93"/>
      <c r="Q33" s="93"/>
      <c r="R33" s="93"/>
      <c r="S33" s="93"/>
    </row>
    <row r="34" spans="1:19" ht="18" customHeight="1">
      <c r="A34" s="93"/>
      <c r="B34" s="93"/>
      <c r="C34" s="93"/>
      <c r="D34" s="93"/>
      <c r="E34" s="93"/>
      <c r="F34" s="93"/>
      <c r="G34" s="93"/>
      <c r="H34" s="93"/>
      <c r="I34" s="93"/>
      <c r="J34" s="93"/>
      <c r="K34" s="93"/>
      <c r="L34" s="93"/>
      <c r="M34" s="93"/>
      <c r="N34" s="93"/>
      <c r="O34" s="93"/>
      <c r="P34" s="93"/>
      <c r="Q34" s="93"/>
      <c r="R34" s="93"/>
      <c r="S34" s="93"/>
    </row>
    <row r="35" spans="1:19" ht="18" customHeight="1">
      <c r="B35" s="94" t="s">
        <v>54</v>
      </c>
      <c r="C35" s="96"/>
      <c r="D35" s="96"/>
      <c r="E35" s="95"/>
      <c r="F35" s="60" t="s">
        <v>81</v>
      </c>
      <c r="G35" s="59" t="s">
        <v>85</v>
      </c>
      <c r="H35" s="22" t="s">
        <v>72</v>
      </c>
      <c r="I35" s="22" t="s">
        <v>73</v>
      </c>
      <c r="J35" s="94" t="s">
        <v>54</v>
      </c>
      <c r="K35" s="96"/>
      <c r="L35" s="96"/>
      <c r="M35" s="96"/>
      <c r="N35" s="96"/>
      <c r="O35" s="95"/>
      <c r="P35" s="60" t="s">
        <v>81</v>
      </c>
      <c r="Q35" s="59" t="s">
        <v>85</v>
      </c>
      <c r="R35" s="22" t="s">
        <v>72</v>
      </c>
      <c r="S35" s="22" t="s">
        <v>73</v>
      </c>
    </row>
    <row r="36" spans="1:19" ht="18" customHeight="1">
      <c r="B36" s="87" t="s">
        <v>141</v>
      </c>
      <c r="C36" s="88"/>
      <c r="D36" s="88"/>
      <c r="E36" s="89"/>
      <c r="F36" s="24">
        <v>2</v>
      </c>
      <c r="G36" s="23" t="s">
        <v>131</v>
      </c>
      <c r="H36" s="83" t="s">
        <v>131</v>
      </c>
      <c r="I36" s="83" t="s">
        <v>131</v>
      </c>
      <c r="J36" s="100"/>
      <c r="K36" s="101"/>
      <c r="L36" s="101"/>
      <c r="M36" s="101"/>
      <c r="N36" s="101"/>
      <c r="O36" s="102"/>
      <c r="P36" s="23"/>
      <c r="Q36" s="23"/>
      <c r="R36" s="23"/>
      <c r="S36" s="23"/>
    </row>
    <row r="37" spans="1:19" ht="18" customHeight="1">
      <c r="B37" s="87" t="s">
        <v>182</v>
      </c>
      <c r="C37" s="88"/>
      <c r="D37" s="88"/>
      <c r="E37" s="89"/>
      <c r="F37" s="24">
        <v>2</v>
      </c>
      <c r="G37" s="24"/>
      <c r="H37" s="24" t="s">
        <v>131</v>
      </c>
      <c r="I37" s="24"/>
      <c r="J37" s="87"/>
      <c r="K37" s="88"/>
      <c r="L37" s="88"/>
      <c r="M37" s="88"/>
      <c r="N37" s="88"/>
      <c r="O37" s="89"/>
      <c r="P37" s="24"/>
      <c r="Q37" s="24"/>
      <c r="R37" s="24"/>
      <c r="S37" s="24"/>
    </row>
    <row r="38" spans="1:19" ht="18" customHeight="1">
      <c r="B38" s="87" t="s">
        <v>143</v>
      </c>
      <c r="C38" s="88"/>
      <c r="D38" s="88"/>
      <c r="E38" s="89"/>
      <c r="F38" s="24">
        <v>2</v>
      </c>
      <c r="G38" s="24"/>
      <c r="H38" s="24" t="s">
        <v>131</v>
      </c>
      <c r="I38" s="24"/>
      <c r="J38" s="87"/>
      <c r="K38" s="88"/>
      <c r="L38" s="88"/>
      <c r="M38" s="88"/>
      <c r="N38" s="88"/>
      <c r="O38" s="89"/>
      <c r="P38" s="24"/>
      <c r="Q38" s="24"/>
      <c r="R38" s="24"/>
      <c r="S38" s="24"/>
    </row>
    <row r="39" spans="1:19" ht="18" customHeight="1">
      <c r="B39" s="87" t="s">
        <v>147</v>
      </c>
      <c r="C39" s="88"/>
      <c r="D39" s="88"/>
      <c r="E39" s="89"/>
      <c r="F39" s="24">
        <v>2</v>
      </c>
      <c r="G39" s="24"/>
      <c r="H39" s="24" t="s">
        <v>131</v>
      </c>
      <c r="I39" s="24"/>
      <c r="J39" s="87"/>
      <c r="K39" s="88"/>
      <c r="L39" s="88"/>
      <c r="M39" s="88"/>
      <c r="N39" s="88"/>
      <c r="O39" s="89"/>
      <c r="P39" s="24"/>
      <c r="Q39" s="24"/>
      <c r="R39" s="24"/>
      <c r="S39" s="24"/>
    </row>
    <row r="40" spans="1:19" ht="18" customHeight="1">
      <c r="B40" s="87"/>
      <c r="C40" s="88"/>
      <c r="D40" s="88"/>
      <c r="E40" s="89"/>
      <c r="F40" s="24"/>
      <c r="G40" s="24"/>
      <c r="H40" s="24"/>
      <c r="I40" s="24"/>
      <c r="J40" s="87"/>
      <c r="K40" s="88"/>
      <c r="L40" s="88"/>
      <c r="M40" s="88"/>
      <c r="N40" s="88"/>
      <c r="O40" s="89"/>
      <c r="P40" s="24"/>
      <c r="Q40" s="24"/>
      <c r="R40" s="24"/>
      <c r="S40" s="24"/>
    </row>
    <row r="41" spans="1:19" ht="18" customHeight="1">
      <c r="B41" s="87"/>
      <c r="C41" s="88"/>
      <c r="D41" s="88"/>
      <c r="E41" s="89"/>
      <c r="F41" s="24"/>
      <c r="G41" s="24"/>
      <c r="H41" s="24"/>
      <c r="I41" s="24"/>
      <c r="J41" s="87"/>
      <c r="K41" s="88"/>
      <c r="L41" s="88"/>
      <c r="M41" s="88"/>
      <c r="N41" s="88"/>
      <c r="O41" s="89"/>
      <c r="P41" s="24"/>
      <c r="Q41" s="24"/>
      <c r="R41" s="24"/>
      <c r="S41" s="24"/>
    </row>
    <row r="42" spans="1:19" ht="18" customHeight="1">
      <c r="B42" s="90"/>
      <c r="C42" s="91"/>
      <c r="D42" s="91"/>
      <c r="E42" s="92"/>
      <c r="F42" s="25"/>
      <c r="G42" s="25"/>
      <c r="H42" s="26"/>
      <c r="I42" s="26"/>
      <c r="J42" s="90"/>
      <c r="K42" s="91"/>
      <c r="L42" s="91"/>
      <c r="M42" s="91"/>
      <c r="N42" s="91"/>
      <c r="O42" s="92"/>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93" t="s">
        <v>116</v>
      </c>
      <c r="B44" s="93"/>
      <c r="C44" s="93"/>
      <c r="D44" s="93"/>
      <c r="E44" s="93"/>
      <c r="F44" s="93"/>
      <c r="G44" s="93"/>
      <c r="H44" s="93"/>
      <c r="I44" s="93"/>
      <c r="J44" s="93"/>
      <c r="K44" s="93"/>
      <c r="L44" s="93"/>
      <c r="M44" s="93"/>
      <c r="N44" s="93"/>
      <c r="O44" s="93"/>
      <c r="P44" s="93"/>
      <c r="Q44" s="93"/>
      <c r="R44" s="93"/>
      <c r="S44" s="93"/>
    </row>
    <row r="45" spans="1:19" ht="18" customHeight="1">
      <c r="A45" s="93"/>
      <c r="B45" s="93"/>
      <c r="C45" s="93"/>
      <c r="D45" s="93"/>
      <c r="E45" s="93"/>
      <c r="F45" s="93"/>
      <c r="G45" s="93"/>
      <c r="H45" s="93"/>
      <c r="I45" s="93"/>
      <c r="J45" s="93"/>
      <c r="K45" s="93"/>
      <c r="L45" s="93"/>
      <c r="M45" s="93"/>
      <c r="N45" s="93"/>
      <c r="O45" s="93"/>
      <c r="P45" s="93"/>
      <c r="Q45" s="93"/>
      <c r="R45" s="93"/>
      <c r="S45" s="93"/>
    </row>
    <row r="46" spans="1:19" ht="18" customHeight="1">
      <c r="B46" s="94" t="s">
        <v>54</v>
      </c>
      <c r="C46" s="96"/>
      <c r="D46" s="96"/>
      <c r="E46" s="95"/>
      <c r="F46" s="60" t="s">
        <v>81</v>
      </c>
      <c r="G46" s="59" t="s">
        <v>85</v>
      </c>
      <c r="H46" s="22" t="s">
        <v>74</v>
      </c>
      <c r="I46" s="22" t="s">
        <v>75</v>
      </c>
      <c r="J46" s="94" t="s">
        <v>54</v>
      </c>
      <c r="K46" s="96"/>
      <c r="L46" s="96"/>
      <c r="M46" s="96"/>
      <c r="N46" s="96"/>
      <c r="O46" s="95"/>
      <c r="P46" s="60" t="s">
        <v>81</v>
      </c>
      <c r="Q46" s="59" t="s">
        <v>85</v>
      </c>
      <c r="R46" s="22" t="s">
        <v>74</v>
      </c>
      <c r="S46" s="22" t="s">
        <v>75</v>
      </c>
    </row>
    <row r="47" spans="1:19" ht="18" customHeight="1">
      <c r="A47" s="3"/>
      <c r="B47" s="87" t="s">
        <v>141</v>
      </c>
      <c r="C47" s="88"/>
      <c r="D47" s="88"/>
      <c r="E47" s="89"/>
      <c r="F47" s="83">
        <v>2</v>
      </c>
      <c r="G47" s="23" t="s">
        <v>131</v>
      </c>
      <c r="H47" s="23" t="s">
        <v>131</v>
      </c>
      <c r="I47" s="23" t="s">
        <v>131</v>
      </c>
      <c r="J47" s="100"/>
      <c r="K47" s="101"/>
      <c r="L47" s="101"/>
      <c r="M47" s="101"/>
      <c r="N47" s="101"/>
      <c r="O47" s="102"/>
      <c r="P47" s="83"/>
      <c r="Q47" s="23"/>
      <c r="R47" s="83"/>
      <c r="S47" s="23"/>
    </row>
    <row r="48" spans="1:19" ht="18" customHeight="1">
      <c r="A48" s="3"/>
      <c r="B48" s="87" t="s">
        <v>143</v>
      </c>
      <c r="C48" s="88"/>
      <c r="D48" s="88"/>
      <c r="E48" s="89"/>
      <c r="F48" s="24">
        <v>2</v>
      </c>
      <c r="G48" s="24"/>
      <c r="H48" s="24" t="s">
        <v>131</v>
      </c>
      <c r="I48" s="24" t="s">
        <v>131</v>
      </c>
      <c r="J48" s="87"/>
      <c r="K48" s="88"/>
      <c r="L48" s="88"/>
      <c r="M48" s="88"/>
      <c r="N48" s="88"/>
      <c r="O48" s="89"/>
      <c r="P48" s="24"/>
      <c r="Q48" s="24"/>
      <c r="R48" s="24"/>
      <c r="S48" s="24"/>
    </row>
    <row r="49" spans="1:19" ht="18" customHeight="1">
      <c r="A49" s="3"/>
      <c r="B49" s="87" t="s">
        <v>144</v>
      </c>
      <c r="C49" s="88"/>
      <c r="D49" s="88"/>
      <c r="E49" s="89"/>
      <c r="F49" s="24">
        <v>2</v>
      </c>
      <c r="G49" s="24"/>
      <c r="H49" s="24" t="s">
        <v>131</v>
      </c>
      <c r="I49" s="24" t="s">
        <v>131</v>
      </c>
      <c r="J49" s="87"/>
      <c r="K49" s="88"/>
      <c r="L49" s="88"/>
      <c r="M49" s="88"/>
      <c r="N49" s="88"/>
      <c r="O49" s="89"/>
      <c r="P49" s="82"/>
      <c r="Q49" s="24"/>
      <c r="R49" s="82"/>
      <c r="S49" s="24"/>
    </row>
    <row r="50" spans="1:19" ht="18" customHeight="1">
      <c r="A50" s="3"/>
      <c r="B50" s="87" t="s">
        <v>183</v>
      </c>
      <c r="C50" s="88"/>
      <c r="D50" s="88"/>
      <c r="E50" s="89"/>
      <c r="F50" s="24">
        <v>2</v>
      </c>
      <c r="G50" s="24"/>
      <c r="H50" s="24" t="s">
        <v>131</v>
      </c>
      <c r="I50" s="24"/>
      <c r="J50" s="87"/>
      <c r="K50" s="88"/>
      <c r="L50" s="88"/>
      <c r="M50" s="88"/>
      <c r="N50" s="88"/>
      <c r="O50" s="89"/>
      <c r="P50" s="24"/>
      <c r="Q50" s="24"/>
      <c r="R50" s="24"/>
      <c r="S50" s="24"/>
    </row>
    <row r="51" spans="1:19" ht="18" customHeight="1">
      <c r="A51" s="3"/>
      <c r="B51" s="87" t="s">
        <v>221</v>
      </c>
      <c r="C51" s="88"/>
      <c r="D51" s="88"/>
      <c r="E51" s="89"/>
      <c r="F51" s="24">
        <v>2</v>
      </c>
      <c r="G51" s="24"/>
      <c r="H51" s="24" t="s">
        <v>131</v>
      </c>
      <c r="I51" s="24"/>
      <c r="J51" s="87"/>
      <c r="K51" s="88"/>
      <c r="L51" s="88"/>
      <c r="M51" s="88"/>
      <c r="N51" s="88"/>
      <c r="O51" s="89"/>
      <c r="P51" s="24"/>
      <c r="Q51" s="24"/>
      <c r="R51" s="24"/>
      <c r="S51" s="24"/>
    </row>
    <row r="52" spans="1:19" ht="18" customHeight="1">
      <c r="A52" s="3"/>
      <c r="B52" s="87" t="s">
        <v>142</v>
      </c>
      <c r="C52" s="88"/>
      <c r="D52" s="88"/>
      <c r="E52" s="89"/>
      <c r="F52" s="24">
        <v>2</v>
      </c>
      <c r="G52" s="24"/>
      <c r="H52" s="24"/>
      <c r="I52" s="24" t="s">
        <v>131</v>
      </c>
      <c r="J52" s="87"/>
      <c r="K52" s="88"/>
      <c r="L52" s="88"/>
      <c r="M52" s="88"/>
      <c r="N52" s="88"/>
      <c r="O52" s="89"/>
      <c r="P52" s="24"/>
      <c r="Q52" s="24"/>
      <c r="R52" s="24"/>
      <c r="S52" s="24"/>
    </row>
    <row r="53" spans="1:19" ht="18" customHeight="1">
      <c r="A53" s="3"/>
      <c r="B53" s="90"/>
      <c r="C53" s="91"/>
      <c r="D53" s="91"/>
      <c r="E53" s="92"/>
      <c r="F53" s="25"/>
      <c r="G53" s="25"/>
      <c r="H53" s="26"/>
      <c r="I53" s="26"/>
      <c r="J53" s="90"/>
      <c r="K53" s="91"/>
      <c r="L53" s="91"/>
      <c r="M53" s="91"/>
      <c r="N53" s="91"/>
      <c r="O53" s="92"/>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93" t="s">
        <v>117</v>
      </c>
      <c r="B55" s="93"/>
      <c r="C55" s="93"/>
      <c r="D55" s="93"/>
      <c r="E55" s="93"/>
      <c r="F55" s="93"/>
      <c r="G55" s="93"/>
      <c r="H55" s="93"/>
      <c r="I55" s="93"/>
      <c r="J55" s="93"/>
      <c r="K55" s="93"/>
      <c r="L55" s="93"/>
      <c r="M55" s="93"/>
      <c r="N55" s="93"/>
      <c r="O55" s="93"/>
      <c r="P55" s="93"/>
      <c r="Q55" s="93"/>
      <c r="R55" s="93"/>
      <c r="S55" s="93"/>
    </row>
    <row r="56" spans="1:19" ht="18" customHeight="1">
      <c r="A56" s="93"/>
      <c r="B56" s="93"/>
      <c r="C56" s="93"/>
      <c r="D56" s="93"/>
      <c r="E56" s="93"/>
      <c r="F56" s="93"/>
      <c r="G56" s="93"/>
      <c r="H56" s="93"/>
      <c r="I56" s="93"/>
      <c r="J56" s="93"/>
      <c r="K56" s="93"/>
      <c r="L56" s="93"/>
      <c r="M56" s="93"/>
      <c r="N56" s="93"/>
      <c r="O56" s="93"/>
      <c r="P56" s="93"/>
      <c r="Q56" s="93"/>
      <c r="R56" s="93"/>
      <c r="S56" s="93"/>
    </row>
    <row r="57" spans="1:19" ht="18" customHeight="1">
      <c r="B57" s="94" t="s">
        <v>54</v>
      </c>
      <c r="C57" s="96"/>
      <c r="D57" s="96"/>
      <c r="E57" s="95"/>
      <c r="F57" s="60" t="s">
        <v>81</v>
      </c>
      <c r="G57" s="59" t="s">
        <v>85</v>
      </c>
      <c r="H57" s="22" t="s">
        <v>59</v>
      </c>
      <c r="I57" s="22" t="s">
        <v>61</v>
      </c>
      <c r="J57" s="94" t="s">
        <v>54</v>
      </c>
      <c r="K57" s="96"/>
      <c r="L57" s="96"/>
      <c r="M57" s="96"/>
      <c r="N57" s="96"/>
      <c r="O57" s="95"/>
      <c r="P57" s="60" t="s">
        <v>81</v>
      </c>
      <c r="Q57" s="59" t="s">
        <v>85</v>
      </c>
      <c r="R57" s="22" t="s">
        <v>59</v>
      </c>
      <c r="S57" s="22" t="s">
        <v>61</v>
      </c>
    </row>
    <row r="58" spans="1:19" ht="18" customHeight="1">
      <c r="A58" s="3"/>
      <c r="B58" s="87" t="s">
        <v>141</v>
      </c>
      <c r="C58" s="88"/>
      <c r="D58" s="88"/>
      <c r="E58" s="89"/>
      <c r="F58" s="83">
        <v>2</v>
      </c>
      <c r="G58" s="23" t="s">
        <v>131</v>
      </c>
      <c r="H58" s="23" t="s">
        <v>131</v>
      </c>
      <c r="I58" s="23"/>
      <c r="J58" s="100"/>
      <c r="K58" s="101"/>
      <c r="L58" s="101"/>
      <c r="M58" s="101"/>
      <c r="N58" s="101"/>
      <c r="O58" s="102"/>
      <c r="P58" s="23"/>
      <c r="Q58" s="23"/>
      <c r="R58" s="23"/>
      <c r="S58" s="23"/>
    </row>
    <row r="59" spans="1:19" ht="18" customHeight="1">
      <c r="A59" s="3"/>
      <c r="B59" s="87" t="s">
        <v>143</v>
      </c>
      <c r="C59" s="88"/>
      <c r="D59" s="88"/>
      <c r="E59" s="89"/>
      <c r="F59" s="24">
        <v>2</v>
      </c>
      <c r="G59" s="24"/>
      <c r="H59" s="24" t="s">
        <v>131</v>
      </c>
      <c r="I59" s="24"/>
      <c r="J59" s="87"/>
      <c r="K59" s="88"/>
      <c r="L59" s="88"/>
      <c r="M59" s="88"/>
      <c r="N59" s="88"/>
      <c r="O59" s="89"/>
      <c r="P59" s="24"/>
      <c r="Q59" s="24"/>
      <c r="R59" s="24"/>
      <c r="S59" s="24"/>
    </row>
    <row r="60" spans="1:19" ht="18" customHeight="1">
      <c r="A60" s="3"/>
      <c r="B60" s="87" t="s">
        <v>142</v>
      </c>
      <c r="C60" s="88"/>
      <c r="D60" s="88"/>
      <c r="E60" s="89"/>
      <c r="F60" s="24">
        <v>2</v>
      </c>
      <c r="G60" s="24"/>
      <c r="H60" s="24" t="s">
        <v>131</v>
      </c>
      <c r="I60" s="24"/>
      <c r="J60" s="87"/>
      <c r="K60" s="88"/>
      <c r="L60" s="88"/>
      <c r="M60" s="88"/>
      <c r="N60" s="88"/>
      <c r="O60" s="89"/>
      <c r="P60" s="24"/>
      <c r="Q60" s="24"/>
      <c r="R60" s="24"/>
      <c r="S60" s="24"/>
    </row>
    <row r="61" spans="1:19" ht="18" customHeight="1">
      <c r="A61" s="3"/>
      <c r="B61" s="87" t="s">
        <v>148</v>
      </c>
      <c r="C61" s="88"/>
      <c r="D61" s="88"/>
      <c r="E61" s="89"/>
      <c r="F61" s="24">
        <v>2</v>
      </c>
      <c r="G61" s="24"/>
      <c r="H61" s="24" t="s">
        <v>131</v>
      </c>
      <c r="I61" s="24" t="s">
        <v>131</v>
      </c>
      <c r="J61" s="87"/>
      <c r="K61" s="88"/>
      <c r="L61" s="88"/>
      <c r="M61" s="88"/>
      <c r="N61" s="88"/>
      <c r="O61" s="89"/>
      <c r="P61" s="24"/>
      <c r="Q61" s="24"/>
      <c r="R61" s="24"/>
      <c r="S61" s="24"/>
    </row>
    <row r="62" spans="1:19" ht="18" customHeight="1">
      <c r="A62" s="3"/>
      <c r="B62" s="87" t="s">
        <v>149</v>
      </c>
      <c r="C62" s="88"/>
      <c r="D62" s="88"/>
      <c r="E62" s="89"/>
      <c r="F62" s="24">
        <v>2</v>
      </c>
      <c r="G62" s="24"/>
      <c r="H62" s="24" t="s">
        <v>131</v>
      </c>
      <c r="I62" s="24" t="s">
        <v>131</v>
      </c>
      <c r="J62" s="87"/>
      <c r="K62" s="88"/>
      <c r="L62" s="88"/>
      <c r="M62" s="88"/>
      <c r="N62" s="88"/>
      <c r="O62" s="89"/>
      <c r="P62" s="24"/>
      <c r="Q62" s="24"/>
      <c r="R62" s="24"/>
      <c r="S62" s="24"/>
    </row>
    <row r="63" spans="1:19" ht="18" customHeight="1">
      <c r="A63" s="3"/>
      <c r="B63" s="87" t="s">
        <v>184</v>
      </c>
      <c r="C63" s="88"/>
      <c r="D63" s="88"/>
      <c r="E63" s="89"/>
      <c r="F63" s="24">
        <v>2</v>
      </c>
      <c r="G63" s="24" t="s">
        <v>131</v>
      </c>
      <c r="H63" s="24"/>
      <c r="I63" s="24" t="s">
        <v>131</v>
      </c>
      <c r="J63" s="87"/>
      <c r="K63" s="88"/>
      <c r="L63" s="88"/>
      <c r="M63" s="88"/>
      <c r="N63" s="88"/>
      <c r="O63" s="89"/>
      <c r="P63" s="24"/>
      <c r="Q63" s="24"/>
      <c r="R63" s="24"/>
      <c r="S63" s="24"/>
    </row>
    <row r="64" spans="1:19" ht="18" customHeight="1">
      <c r="A64" s="3"/>
      <c r="B64" s="90"/>
      <c r="C64" s="91"/>
      <c r="D64" s="91"/>
      <c r="E64" s="92"/>
      <c r="F64" s="25"/>
      <c r="G64" s="25"/>
      <c r="H64" s="26"/>
      <c r="I64" s="26"/>
      <c r="J64" s="90"/>
      <c r="K64" s="91"/>
      <c r="L64" s="91"/>
      <c r="M64" s="91"/>
      <c r="N64" s="91"/>
      <c r="O64" s="92"/>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93" t="s">
        <v>118</v>
      </c>
      <c r="B66" s="93"/>
      <c r="C66" s="93"/>
      <c r="D66" s="93"/>
      <c r="E66" s="93"/>
      <c r="F66" s="93"/>
      <c r="G66" s="93"/>
      <c r="H66" s="93"/>
      <c r="I66" s="93"/>
      <c r="J66" s="93"/>
      <c r="K66" s="93"/>
      <c r="L66" s="93"/>
      <c r="M66" s="93"/>
      <c r="N66" s="93"/>
      <c r="O66" s="93"/>
      <c r="P66" s="93"/>
      <c r="Q66" s="93"/>
      <c r="R66" s="93"/>
      <c r="S66" s="93"/>
    </row>
    <row r="67" spans="1:19" ht="18" customHeight="1">
      <c r="A67" s="93"/>
      <c r="B67" s="93"/>
      <c r="C67" s="93"/>
      <c r="D67" s="93"/>
      <c r="E67" s="93"/>
      <c r="F67" s="93"/>
      <c r="G67" s="93"/>
      <c r="H67" s="93"/>
      <c r="I67" s="93"/>
      <c r="J67" s="93"/>
      <c r="K67" s="93"/>
      <c r="L67" s="93"/>
      <c r="M67" s="93"/>
      <c r="N67" s="93"/>
      <c r="O67" s="93"/>
      <c r="P67" s="93"/>
      <c r="Q67" s="93"/>
      <c r="R67" s="93"/>
      <c r="S67" s="93"/>
    </row>
    <row r="68" spans="1:19" ht="18" customHeight="1">
      <c r="B68" s="94" t="s">
        <v>54</v>
      </c>
      <c r="C68" s="96"/>
      <c r="D68" s="96"/>
      <c r="E68" s="60" t="s">
        <v>81</v>
      </c>
      <c r="F68" s="59" t="s">
        <v>85</v>
      </c>
      <c r="G68" s="22" t="s">
        <v>102</v>
      </c>
      <c r="H68" s="22" t="s">
        <v>76</v>
      </c>
      <c r="I68" s="22" t="s">
        <v>77</v>
      </c>
      <c r="J68" s="94" t="s">
        <v>54</v>
      </c>
      <c r="K68" s="96"/>
      <c r="L68" s="96"/>
      <c r="M68" s="96"/>
      <c r="N68" s="95"/>
      <c r="O68" s="60" t="s">
        <v>81</v>
      </c>
      <c r="P68" s="59" t="s">
        <v>85</v>
      </c>
      <c r="Q68" s="22" t="s">
        <v>102</v>
      </c>
      <c r="R68" s="22" t="s">
        <v>76</v>
      </c>
      <c r="S68" s="22" t="s">
        <v>77</v>
      </c>
    </row>
    <row r="69" spans="1:19" ht="18" customHeight="1">
      <c r="A69" s="3"/>
      <c r="B69" s="156" t="s">
        <v>186</v>
      </c>
      <c r="C69" s="157"/>
      <c r="D69" s="157"/>
      <c r="E69" s="85">
        <v>2</v>
      </c>
      <c r="F69" s="81"/>
      <c r="G69" s="81" t="s">
        <v>131</v>
      </c>
      <c r="H69" s="81" t="s">
        <v>131</v>
      </c>
      <c r="I69" s="81" t="s">
        <v>131</v>
      </c>
      <c r="J69" s="158" t="s">
        <v>228</v>
      </c>
      <c r="K69" s="159"/>
      <c r="L69" s="159"/>
      <c r="M69" s="160"/>
      <c r="N69" s="161"/>
      <c r="O69" s="85">
        <v>2</v>
      </c>
      <c r="P69" s="81"/>
      <c r="Q69" s="81" t="s">
        <v>131</v>
      </c>
      <c r="R69" s="81" t="s">
        <v>131</v>
      </c>
      <c r="S69" s="81" t="s">
        <v>131</v>
      </c>
    </row>
    <row r="70" spans="1:19" ht="18" customHeight="1">
      <c r="A70" s="3"/>
      <c r="B70" s="156" t="s">
        <v>187</v>
      </c>
      <c r="C70" s="157"/>
      <c r="D70" s="157"/>
      <c r="E70" s="24">
        <v>2</v>
      </c>
      <c r="F70" s="81"/>
      <c r="G70" s="81" t="s">
        <v>131</v>
      </c>
      <c r="H70" s="81" t="s">
        <v>131</v>
      </c>
      <c r="I70" s="81" t="s">
        <v>131</v>
      </c>
      <c r="J70" s="87"/>
      <c r="K70" s="88"/>
      <c r="L70" s="88"/>
      <c r="M70" s="88"/>
      <c r="N70" s="89"/>
      <c r="O70" s="24"/>
      <c r="P70" s="24"/>
      <c r="Q70" s="24"/>
      <c r="R70" s="24"/>
      <c r="S70" s="24"/>
    </row>
    <row r="71" spans="1:19" ht="18" customHeight="1">
      <c r="A71" s="3"/>
      <c r="B71" s="156" t="s">
        <v>188</v>
      </c>
      <c r="C71" s="157"/>
      <c r="D71" s="157"/>
      <c r="E71" s="24">
        <v>2</v>
      </c>
      <c r="F71" s="81"/>
      <c r="G71" s="81" t="s">
        <v>131</v>
      </c>
      <c r="H71" s="81" t="s">
        <v>131</v>
      </c>
      <c r="I71" s="81" t="s">
        <v>131</v>
      </c>
      <c r="J71" s="87"/>
      <c r="K71" s="88"/>
      <c r="L71" s="88"/>
      <c r="M71" s="88"/>
      <c r="N71" s="89"/>
      <c r="O71" s="24"/>
      <c r="P71" s="24"/>
      <c r="Q71" s="24"/>
      <c r="R71" s="24"/>
      <c r="S71" s="24"/>
    </row>
    <row r="72" spans="1:19" ht="18" customHeight="1">
      <c r="A72" s="3"/>
      <c r="B72" s="156" t="s">
        <v>189</v>
      </c>
      <c r="C72" s="157"/>
      <c r="D72" s="157"/>
      <c r="E72" s="24">
        <v>2</v>
      </c>
      <c r="F72" s="81"/>
      <c r="G72" s="81" t="s">
        <v>131</v>
      </c>
      <c r="H72" s="81" t="s">
        <v>131</v>
      </c>
      <c r="I72" s="81" t="s">
        <v>131</v>
      </c>
      <c r="J72" s="87"/>
      <c r="K72" s="88"/>
      <c r="L72" s="88"/>
      <c r="M72" s="88"/>
      <c r="N72" s="89"/>
      <c r="O72" s="24"/>
      <c r="P72" s="24"/>
      <c r="Q72" s="24"/>
      <c r="R72" s="24"/>
      <c r="S72" s="24"/>
    </row>
    <row r="73" spans="1:19" ht="18" customHeight="1">
      <c r="A73" s="3"/>
      <c r="B73" s="156" t="s">
        <v>190</v>
      </c>
      <c r="C73" s="157"/>
      <c r="D73" s="157"/>
      <c r="E73" s="24">
        <v>2</v>
      </c>
      <c r="F73" s="81"/>
      <c r="G73" s="81" t="s">
        <v>131</v>
      </c>
      <c r="H73" s="81" t="s">
        <v>131</v>
      </c>
      <c r="I73" s="81" t="s">
        <v>131</v>
      </c>
      <c r="J73" s="87"/>
      <c r="K73" s="88"/>
      <c r="L73" s="88"/>
      <c r="M73" s="88"/>
      <c r="N73" s="89"/>
      <c r="O73" s="24"/>
      <c r="P73" s="24"/>
      <c r="Q73" s="24"/>
      <c r="R73" s="24"/>
      <c r="S73" s="24"/>
    </row>
    <row r="74" spans="1:19" ht="18" customHeight="1">
      <c r="A74" s="3"/>
      <c r="B74" s="156" t="s">
        <v>191</v>
      </c>
      <c r="C74" s="157"/>
      <c r="D74" s="157"/>
      <c r="E74" s="24">
        <v>2</v>
      </c>
      <c r="F74" s="81"/>
      <c r="G74" s="81" t="s">
        <v>131</v>
      </c>
      <c r="H74" s="81" t="s">
        <v>131</v>
      </c>
      <c r="I74" s="81" t="s">
        <v>131</v>
      </c>
      <c r="J74" s="87"/>
      <c r="K74" s="88"/>
      <c r="L74" s="88"/>
      <c r="M74" s="88"/>
      <c r="N74" s="89"/>
      <c r="O74" s="24"/>
      <c r="P74" s="24"/>
      <c r="Q74" s="24"/>
      <c r="R74" s="24"/>
      <c r="S74" s="24"/>
    </row>
    <row r="75" spans="1:19" ht="18" customHeight="1">
      <c r="A75" s="3"/>
      <c r="B75" s="162" t="s">
        <v>192</v>
      </c>
      <c r="C75" s="163"/>
      <c r="D75" s="163"/>
      <c r="E75" s="86">
        <v>2</v>
      </c>
      <c r="F75" s="84"/>
      <c r="G75" s="84" t="s">
        <v>131</v>
      </c>
      <c r="H75" s="84" t="s">
        <v>131</v>
      </c>
      <c r="I75" s="84" t="s">
        <v>131</v>
      </c>
      <c r="J75" s="90"/>
      <c r="K75" s="91"/>
      <c r="L75" s="91"/>
      <c r="M75" s="91"/>
      <c r="N75" s="92"/>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119</v>
      </c>
      <c r="H77" s="3"/>
      <c r="I77" s="3"/>
      <c r="J77" s="3"/>
      <c r="K77" s="3"/>
      <c r="L77" s="3"/>
      <c r="M77" s="3"/>
      <c r="N77" s="3"/>
      <c r="O77" s="3"/>
      <c r="P77" s="3"/>
      <c r="Q77" s="3"/>
      <c r="R77" s="3"/>
      <c r="S77" s="3"/>
    </row>
    <row r="78" spans="1:19" ht="18" customHeight="1">
      <c r="B78" s="94" t="s">
        <v>54</v>
      </c>
      <c r="C78" s="96"/>
      <c r="D78" s="96"/>
      <c r="E78" s="95"/>
      <c r="F78" s="94" t="s">
        <v>83</v>
      </c>
      <c r="G78" s="96"/>
      <c r="H78" s="96"/>
      <c r="I78" s="95"/>
      <c r="J78" s="94" t="s">
        <v>54</v>
      </c>
      <c r="K78" s="96"/>
      <c r="L78" s="96"/>
      <c r="M78" s="96"/>
      <c r="N78" s="96"/>
      <c r="O78" s="95"/>
      <c r="P78" s="94" t="s">
        <v>83</v>
      </c>
      <c r="Q78" s="96"/>
      <c r="R78" s="96"/>
      <c r="S78" s="95"/>
    </row>
    <row r="79" spans="1:19" ht="18" customHeight="1">
      <c r="A79" s="3"/>
      <c r="B79" s="87" t="s">
        <v>151</v>
      </c>
      <c r="C79" s="88"/>
      <c r="D79" s="88"/>
      <c r="E79" s="89"/>
      <c r="F79" s="135" t="s">
        <v>136</v>
      </c>
      <c r="G79" s="136"/>
      <c r="H79" s="136"/>
      <c r="I79" s="137"/>
      <c r="J79" s="104" t="s">
        <v>221</v>
      </c>
      <c r="K79" s="105"/>
      <c r="L79" s="105"/>
      <c r="M79" s="105"/>
      <c r="N79" s="105"/>
      <c r="O79" s="106"/>
      <c r="P79" s="135" t="s">
        <v>140</v>
      </c>
      <c r="Q79" s="136"/>
      <c r="R79" s="136"/>
      <c r="S79" s="137"/>
    </row>
    <row r="80" spans="1:19" ht="18" customHeight="1">
      <c r="A80" s="3"/>
      <c r="B80" s="87" t="s">
        <v>134</v>
      </c>
      <c r="C80" s="88"/>
      <c r="D80" s="88"/>
      <c r="E80" s="89"/>
      <c r="F80" s="135" t="s">
        <v>135</v>
      </c>
      <c r="G80" s="136"/>
      <c r="H80" s="136"/>
      <c r="I80" s="137"/>
      <c r="J80" s="87" t="s">
        <v>132</v>
      </c>
      <c r="K80" s="88"/>
      <c r="L80" s="88"/>
      <c r="M80" s="88"/>
      <c r="N80" s="88"/>
      <c r="O80" s="89"/>
      <c r="P80" s="138" t="s">
        <v>140</v>
      </c>
      <c r="Q80" s="139"/>
      <c r="R80" s="139"/>
      <c r="S80" s="140"/>
    </row>
    <row r="81" spans="1:19" ht="18" customHeight="1">
      <c r="A81" s="3"/>
      <c r="B81" s="87" t="s">
        <v>153</v>
      </c>
      <c r="C81" s="88"/>
      <c r="D81" s="88"/>
      <c r="E81" s="89"/>
      <c r="F81" s="135" t="s">
        <v>154</v>
      </c>
      <c r="G81" s="136"/>
      <c r="H81" s="136"/>
      <c r="I81" s="137"/>
      <c r="J81" s="87" t="s">
        <v>164</v>
      </c>
      <c r="K81" s="88"/>
      <c r="L81" s="88"/>
      <c r="M81" s="88"/>
      <c r="N81" s="88"/>
      <c r="O81" s="89"/>
      <c r="P81" s="138" t="s">
        <v>133</v>
      </c>
      <c r="Q81" s="139"/>
      <c r="R81" s="139"/>
      <c r="S81" s="140"/>
    </row>
    <row r="82" spans="1:19" ht="18" customHeight="1">
      <c r="A82" s="3"/>
      <c r="B82" s="87" t="s">
        <v>150</v>
      </c>
      <c r="C82" s="88"/>
      <c r="D82" s="88"/>
      <c r="E82" s="89"/>
      <c r="F82" s="135" t="s">
        <v>137</v>
      </c>
      <c r="G82" s="136"/>
      <c r="H82" s="136"/>
      <c r="I82" s="137"/>
      <c r="J82" s="87" t="s">
        <v>161</v>
      </c>
      <c r="K82" s="88"/>
      <c r="L82" s="88"/>
      <c r="M82" s="88"/>
      <c r="N82" s="88"/>
      <c r="O82" s="89"/>
      <c r="P82" s="135" t="s">
        <v>139</v>
      </c>
      <c r="Q82" s="136"/>
      <c r="R82" s="136"/>
      <c r="S82" s="137"/>
    </row>
    <row r="83" spans="1:19" ht="18" customHeight="1">
      <c r="A83" s="3"/>
      <c r="B83" s="87" t="s">
        <v>152</v>
      </c>
      <c r="C83" s="88"/>
      <c r="D83" s="88"/>
      <c r="E83" s="89"/>
      <c r="F83" s="135" t="s">
        <v>137</v>
      </c>
      <c r="G83" s="136"/>
      <c r="H83" s="136"/>
      <c r="I83" s="137"/>
      <c r="J83" s="87" t="s">
        <v>146</v>
      </c>
      <c r="K83" s="88"/>
      <c r="L83" s="88"/>
      <c r="M83" s="88"/>
      <c r="N83" s="88"/>
      <c r="O83" s="89"/>
      <c r="P83" s="135" t="s">
        <v>138</v>
      </c>
      <c r="Q83" s="136"/>
      <c r="R83" s="136"/>
      <c r="S83" s="137"/>
    </row>
    <row r="84" spans="1:19" ht="18" customHeight="1">
      <c r="A84" s="3"/>
      <c r="B84" s="87" t="s">
        <v>156</v>
      </c>
      <c r="C84" s="88"/>
      <c r="D84" s="88"/>
      <c r="E84" s="89"/>
      <c r="F84" s="135" t="s">
        <v>155</v>
      </c>
      <c r="G84" s="136"/>
      <c r="H84" s="136"/>
      <c r="I84" s="137"/>
      <c r="J84" s="87" t="s">
        <v>162</v>
      </c>
      <c r="K84" s="88"/>
      <c r="L84" s="88"/>
      <c r="M84" s="88"/>
      <c r="N84" s="88"/>
      <c r="O84" s="89"/>
      <c r="P84" s="135" t="s">
        <v>139</v>
      </c>
      <c r="Q84" s="136"/>
      <c r="R84" s="136"/>
      <c r="S84" s="137"/>
    </row>
    <row r="85" spans="1:19" ht="18" customHeight="1">
      <c r="A85" s="3"/>
      <c r="B85" s="87" t="s">
        <v>157</v>
      </c>
      <c r="C85" s="88"/>
      <c r="D85" s="88"/>
      <c r="E85" s="89"/>
      <c r="F85" s="135" t="s">
        <v>155</v>
      </c>
      <c r="G85" s="136"/>
      <c r="H85" s="136"/>
      <c r="I85" s="137"/>
      <c r="J85" s="87" t="s">
        <v>163</v>
      </c>
      <c r="K85" s="88"/>
      <c r="L85" s="88"/>
      <c r="M85" s="88"/>
      <c r="N85" s="88"/>
      <c r="O85" s="89"/>
      <c r="P85" s="135" t="s">
        <v>139</v>
      </c>
      <c r="Q85" s="136"/>
      <c r="R85" s="136"/>
      <c r="S85" s="137"/>
    </row>
    <row r="86" spans="1:19" ht="18" customHeight="1">
      <c r="A86" s="3"/>
      <c r="B86" s="87" t="s">
        <v>158</v>
      </c>
      <c r="C86" s="88"/>
      <c r="D86" s="88"/>
      <c r="E86" s="89"/>
      <c r="F86" s="135" t="s">
        <v>159</v>
      </c>
      <c r="G86" s="136"/>
      <c r="H86" s="136"/>
      <c r="I86" s="137"/>
      <c r="J86" s="87" t="s">
        <v>161</v>
      </c>
      <c r="K86" s="88"/>
      <c r="L86" s="88"/>
      <c r="M86" s="88"/>
      <c r="N86" s="88"/>
      <c r="O86" s="89"/>
      <c r="P86" s="135" t="s">
        <v>160</v>
      </c>
      <c r="Q86" s="136"/>
      <c r="R86" s="136"/>
      <c r="S86" s="137"/>
    </row>
    <row r="87" spans="1:19" ht="18" customHeight="1">
      <c r="A87" s="3"/>
      <c r="B87" s="90" t="s">
        <v>144</v>
      </c>
      <c r="C87" s="91"/>
      <c r="D87" s="91"/>
      <c r="E87" s="92"/>
      <c r="F87" s="132" t="s">
        <v>159</v>
      </c>
      <c r="G87" s="133"/>
      <c r="H87" s="133"/>
      <c r="I87" s="134"/>
      <c r="J87" s="90" t="s">
        <v>146</v>
      </c>
      <c r="K87" s="91"/>
      <c r="L87" s="91"/>
      <c r="M87" s="91"/>
      <c r="N87" s="91"/>
      <c r="O87" s="92"/>
      <c r="P87" s="132" t="s">
        <v>160</v>
      </c>
      <c r="Q87" s="133"/>
      <c r="R87" s="133"/>
      <c r="S87" s="134"/>
    </row>
    <row r="88" spans="1:19" ht="18" customHeight="1">
      <c r="A88" s="3"/>
      <c r="B88" s="6"/>
      <c r="C88" s="6"/>
      <c r="D88" s="6"/>
      <c r="E88" s="6"/>
      <c r="F88" s="27"/>
      <c r="G88" s="27"/>
      <c r="H88" s="27"/>
      <c r="I88" s="27"/>
      <c r="J88" s="6"/>
      <c r="K88" s="6"/>
      <c r="L88" s="6"/>
      <c r="M88" s="6"/>
      <c r="N88" s="6"/>
      <c r="O88" s="6"/>
      <c r="P88" s="27"/>
      <c r="Q88" s="27"/>
      <c r="R88" s="27"/>
      <c r="S88" s="27"/>
    </row>
    <row r="89" spans="1:19" ht="18.75" customHeight="1">
      <c r="A89" s="1" t="s">
        <v>120</v>
      </c>
    </row>
    <row r="90" spans="1:19" ht="18.75" customHeight="1">
      <c r="B90" s="175" t="s">
        <v>55</v>
      </c>
      <c r="C90" s="176"/>
      <c r="D90" s="96" t="s">
        <v>56</v>
      </c>
      <c r="E90" s="96"/>
      <c r="F90" s="96"/>
      <c r="G90" s="96"/>
      <c r="H90" s="96"/>
      <c r="I90" s="96"/>
      <c r="J90" s="96"/>
      <c r="K90" s="96"/>
      <c r="L90" s="96"/>
      <c r="M90" s="96"/>
      <c r="N90" s="96"/>
      <c r="O90" s="96"/>
      <c r="P90" s="96"/>
      <c r="Q90" s="96"/>
      <c r="R90" s="96"/>
      <c r="S90" s="95"/>
    </row>
    <row r="91" spans="1:19" ht="97.5" customHeight="1">
      <c r="B91" s="164" t="s">
        <v>62</v>
      </c>
      <c r="C91" s="28" t="s">
        <v>57</v>
      </c>
      <c r="D91" s="171" t="s">
        <v>207</v>
      </c>
      <c r="E91" s="172"/>
      <c r="F91" s="172"/>
      <c r="G91" s="172"/>
      <c r="H91" s="172"/>
      <c r="I91" s="172"/>
      <c r="J91" s="172"/>
      <c r="K91" s="172"/>
      <c r="L91" s="172"/>
      <c r="M91" s="172"/>
      <c r="N91" s="172"/>
      <c r="O91" s="172"/>
      <c r="P91" s="172"/>
      <c r="Q91" s="172"/>
      <c r="R91" s="172"/>
      <c r="S91" s="173"/>
    </row>
    <row r="92" spans="1:19" ht="97.5" customHeight="1">
      <c r="B92" s="165"/>
      <c r="C92" s="29" t="s">
        <v>78</v>
      </c>
      <c r="D92" s="141" t="s">
        <v>211</v>
      </c>
      <c r="E92" s="142"/>
      <c r="F92" s="142"/>
      <c r="G92" s="142"/>
      <c r="H92" s="142"/>
      <c r="I92" s="142"/>
      <c r="J92" s="142"/>
      <c r="K92" s="142"/>
      <c r="L92" s="142"/>
      <c r="M92" s="142"/>
      <c r="N92" s="142"/>
      <c r="O92" s="142"/>
      <c r="P92" s="142"/>
      <c r="Q92" s="142"/>
      <c r="R92" s="142"/>
      <c r="S92" s="143"/>
    </row>
    <row r="93" spans="1:19" ht="97.5" customHeight="1">
      <c r="B93" s="164" t="s">
        <v>63</v>
      </c>
      <c r="C93" s="30" t="s">
        <v>72</v>
      </c>
      <c r="D93" s="144" t="s">
        <v>212</v>
      </c>
      <c r="E93" s="145"/>
      <c r="F93" s="145"/>
      <c r="G93" s="145"/>
      <c r="H93" s="145"/>
      <c r="I93" s="145"/>
      <c r="J93" s="145"/>
      <c r="K93" s="145"/>
      <c r="L93" s="145"/>
      <c r="M93" s="145"/>
      <c r="N93" s="145"/>
      <c r="O93" s="145"/>
      <c r="P93" s="145"/>
      <c r="Q93" s="145"/>
      <c r="R93" s="145"/>
      <c r="S93" s="146"/>
    </row>
    <row r="94" spans="1:19" ht="97.5" customHeight="1">
      <c r="B94" s="166"/>
      <c r="C94" s="31" t="s">
        <v>73</v>
      </c>
      <c r="D94" s="150" t="s">
        <v>213</v>
      </c>
      <c r="E94" s="151"/>
      <c r="F94" s="151"/>
      <c r="G94" s="151"/>
      <c r="H94" s="151"/>
      <c r="I94" s="151"/>
      <c r="J94" s="151"/>
      <c r="K94" s="151"/>
      <c r="L94" s="151"/>
      <c r="M94" s="151"/>
      <c r="N94" s="151"/>
      <c r="O94" s="151"/>
      <c r="P94" s="151"/>
      <c r="Q94" s="151"/>
      <c r="R94" s="151"/>
      <c r="S94" s="152"/>
    </row>
    <row r="95" spans="1:19" ht="116.1" customHeight="1">
      <c r="B95" s="164" t="s">
        <v>64</v>
      </c>
      <c r="C95" s="30" t="s">
        <v>74</v>
      </c>
      <c r="D95" s="144" t="s">
        <v>214</v>
      </c>
      <c r="E95" s="145"/>
      <c r="F95" s="145"/>
      <c r="G95" s="145"/>
      <c r="H95" s="145"/>
      <c r="I95" s="145"/>
      <c r="J95" s="145"/>
      <c r="K95" s="145"/>
      <c r="L95" s="145"/>
      <c r="M95" s="145"/>
      <c r="N95" s="145"/>
      <c r="O95" s="145"/>
      <c r="P95" s="145"/>
      <c r="Q95" s="145"/>
      <c r="R95" s="145"/>
      <c r="S95" s="146"/>
    </row>
    <row r="96" spans="1:19" ht="97.5" customHeight="1">
      <c r="B96" s="166"/>
      <c r="C96" s="32" t="s">
        <v>75</v>
      </c>
      <c r="D96" s="147" t="s">
        <v>215</v>
      </c>
      <c r="E96" s="148"/>
      <c r="F96" s="148"/>
      <c r="G96" s="148"/>
      <c r="H96" s="148"/>
      <c r="I96" s="148"/>
      <c r="J96" s="148"/>
      <c r="K96" s="148"/>
      <c r="L96" s="148"/>
      <c r="M96" s="148"/>
      <c r="N96" s="148"/>
      <c r="O96" s="148"/>
      <c r="P96" s="148"/>
      <c r="Q96" s="148"/>
      <c r="R96" s="148"/>
      <c r="S96" s="149"/>
    </row>
    <row r="97" spans="1:19" ht="97.5" customHeight="1">
      <c r="B97" s="164" t="s">
        <v>79</v>
      </c>
      <c r="C97" s="28" t="s">
        <v>59</v>
      </c>
      <c r="D97" s="171" t="s">
        <v>216</v>
      </c>
      <c r="E97" s="172"/>
      <c r="F97" s="172"/>
      <c r="G97" s="172"/>
      <c r="H97" s="172"/>
      <c r="I97" s="172"/>
      <c r="J97" s="172"/>
      <c r="K97" s="172"/>
      <c r="L97" s="172"/>
      <c r="M97" s="172"/>
      <c r="N97" s="172"/>
      <c r="O97" s="172"/>
      <c r="P97" s="172"/>
      <c r="Q97" s="172"/>
      <c r="R97" s="172"/>
      <c r="S97" s="173"/>
    </row>
    <row r="98" spans="1:19" ht="97.5" customHeight="1">
      <c r="B98" s="166"/>
      <c r="C98" s="31" t="s">
        <v>61</v>
      </c>
      <c r="D98" s="153" t="s">
        <v>185</v>
      </c>
      <c r="E98" s="154"/>
      <c r="F98" s="154"/>
      <c r="G98" s="154"/>
      <c r="H98" s="154"/>
      <c r="I98" s="154"/>
      <c r="J98" s="154"/>
      <c r="K98" s="154"/>
      <c r="L98" s="154"/>
      <c r="M98" s="154"/>
      <c r="N98" s="154"/>
      <c r="O98" s="154"/>
      <c r="P98" s="154"/>
      <c r="Q98" s="154"/>
      <c r="R98" s="154"/>
      <c r="S98" s="155"/>
    </row>
    <row r="99" spans="1:19" ht="152.1" customHeight="1">
      <c r="B99" s="164" t="s">
        <v>80</v>
      </c>
      <c r="C99" s="30" t="s">
        <v>58</v>
      </c>
      <c r="D99" s="167" t="s">
        <v>208</v>
      </c>
      <c r="E99" s="101"/>
      <c r="F99" s="101"/>
      <c r="G99" s="101"/>
      <c r="H99" s="101"/>
      <c r="I99" s="101"/>
      <c r="J99" s="101"/>
      <c r="K99" s="101"/>
      <c r="L99" s="101"/>
      <c r="M99" s="101"/>
      <c r="N99" s="101"/>
      <c r="O99" s="101"/>
      <c r="P99" s="101"/>
      <c r="Q99" s="101"/>
      <c r="R99" s="101"/>
      <c r="S99" s="102"/>
    </row>
    <row r="100" spans="1:19" ht="97.5" customHeight="1">
      <c r="B100" s="165"/>
      <c r="C100" s="33" t="s">
        <v>76</v>
      </c>
      <c r="D100" s="174" t="s">
        <v>209</v>
      </c>
      <c r="E100" s="88"/>
      <c r="F100" s="88"/>
      <c r="G100" s="88"/>
      <c r="H100" s="88"/>
      <c r="I100" s="88"/>
      <c r="J100" s="88"/>
      <c r="K100" s="88"/>
      <c r="L100" s="88"/>
      <c r="M100" s="88"/>
      <c r="N100" s="88"/>
      <c r="O100" s="88"/>
      <c r="P100" s="88"/>
      <c r="Q100" s="88"/>
      <c r="R100" s="88"/>
      <c r="S100" s="89"/>
    </row>
    <row r="101" spans="1:19" ht="97.5" customHeight="1">
      <c r="B101" s="166"/>
      <c r="C101" s="32" t="s">
        <v>77</v>
      </c>
      <c r="D101" s="168" t="s">
        <v>210</v>
      </c>
      <c r="E101" s="169"/>
      <c r="F101" s="169"/>
      <c r="G101" s="169"/>
      <c r="H101" s="169"/>
      <c r="I101" s="169"/>
      <c r="J101" s="169"/>
      <c r="K101" s="169"/>
      <c r="L101" s="169"/>
      <c r="M101" s="169"/>
      <c r="N101" s="169"/>
      <c r="O101" s="169"/>
      <c r="P101" s="169"/>
      <c r="Q101" s="169"/>
      <c r="R101" s="169"/>
      <c r="S101" s="170"/>
    </row>
    <row r="102" spans="1:19" ht="6" customHeight="1"/>
    <row r="103" spans="1:19" ht="18.75" customHeight="1">
      <c r="A103" s="1" t="s">
        <v>121</v>
      </c>
    </row>
    <row r="104" spans="1:19" ht="92.25" customHeight="1">
      <c r="B104" s="129" t="s">
        <v>230</v>
      </c>
      <c r="C104" s="130"/>
      <c r="D104" s="130"/>
      <c r="E104" s="130"/>
      <c r="F104" s="130"/>
      <c r="G104" s="130"/>
      <c r="H104" s="130"/>
      <c r="I104" s="130"/>
      <c r="J104" s="130"/>
      <c r="K104" s="130"/>
      <c r="L104" s="130"/>
      <c r="M104" s="130"/>
      <c r="N104" s="130"/>
      <c r="O104" s="130"/>
      <c r="P104" s="130"/>
      <c r="Q104" s="130"/>
      <c r="R104" s="130"/>
      <c r="S104" s="131"/>
    </row>
    <row r="112" spans="1:19" ht="18" customHeight="1"/>
  </sheetData>
  <mergeCells count="153">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66:S67"/>
    <mergeCell ref="B49:E49"/>
    <mergeCell ref="A55:S56"/>
    <mergeCell ref="J59:O59"/>
    <mergeCell ref="B60:E60"/>
    <mergeCell ref="B61:E61"/>
    <mergeCell ref="B62:E62"/>
    <mergeCell ref="J75:N75"/>
    <mergeCell ref="J87:O87"/>
    <mergeCell ref="B90:C90"/>
    <mergeCell ref="D90:S90"/>
    <mergeCell ref="D91:S91"/>
    <mergeCell ref="J79:O79"/>
    <mergeCell ref="P79:S79"/>
    <mergeCell ref="P78:S78"/>
    <mergeCell ref="B79:E79"/>
    <mergeCell ref="B78:E78"/>
    <mergeCell ref="F79:I79"/>
    <mergeCell ref="P81:S81"/>
    <mergeCell ref="P82:S82"/>
    <mergeCell ref="P85:S85"/>
    <mergeCell ref="J86:O86"/>
    <mergeCell ref="P86:S86"/>
    <mergeCell ref="B74:D74"/>
    <mergeCell ref="B75:D75"/>
    <mergeCell ref="J72:N72"/>
    <mergeCell ref="B85:E85"/>
    <mergeCell ref="F85:I85"/>
    <mergeCell ref="B86:E86"/>
    <mergeCell ref="J57:O57"/>
    <mergeCell ref="B99:B101"/>
    <mergeCell ref="D99:S99"/>
    <mergeCell ref="D101:S101"/>
    <mergeCell ref="B97:B98"/>
    <mergeCell ref="D97:S97"/>
    <mergeCell ref="J73:N73"/>
    <mergeCell ref="J74:N74"/>
    <mergeCell ref="B93:B94"/>
    <mergeCell ref="F87:I87"/>
    <mergeCell ref="D100:S100"/>
    <mergeCell ref="B95:B96"/>
    <mergeCell ref="B91:B92"/>
    <mergeCell ref="B82:E82"/>
    <mergeCell ref="F81:I81"/>
    <mergeCell ref="F82:I82"/>
    <mergeCell ref="J81:O81"/>
    <mergeCell ref="J82:O82"/>
    <mergeCell ref="B63:E63"/>
    <mergeCell ref="B64:E64"/>
    <mergeCell ref="J46:O46"/>
    <mergeCell ref="F78:I78"/>
    <mergeCell ref="J78:O78"/>
    <mergeCell ref="B69:D69"/>
    <mergeCell ref="B70:D70"/>
    <mergeCell ref="J53:O53"/>
    <mergeCell ref="J69:N69"/>
    <mergeCell ref="J70:N70"/>
    <mergeCell ref="J71:N71"/>
    <mergeCell ref="B73:D73"/>
    <mergeCell ref="B48:E48"/>
    <mergeCell ref="J60:O60"/>
    <mergeCell ref="J61:O61"/>
    <mergeCell ref="J62:O62"/>
    <mergeCell ref="J63:O63"/>
    <mergeCell ref="J64:O64"/>
    <mergeCell ref="B68:D68"/>
    <mergeCell ref="J68:N68"/>
    <mergeCell ref="B50:E50"/>
    <mergeCell ref="B59:E59"/>
    <mergeCell ref="B46:E46"/>
    <mergeCell ref="B47:E47"/>
    <mergeCell ref="B104:S104"/>
    <mergeCell ref="P87:S87"/>
    <mergeCell ref="B80:E80"/>
    <mergeCell ref="F80:I80"/>
    <mergeCell ref="J80:O80"/>
    <mergeCell ref="P80:S80"/>
    <mergeCell ref="B83:E83"/>
    <mergeCell ref="F83:I83"/>
    <mergeCell ref="J83:O83"/>
    <mergeCell ref="P83:S83"/>
    <mergeCell ref="B81:E81"/>
    <mergeCell ref="D92:S92"/>
    <mergeCell ref="D93:S93"/>
    <mergeCell ref="D96:S96"/>
    <mergeCell ref="D94:S94"/>
    <mergeCell ref="D95:S95"/>
    <mergeCell ref="B84:E84"/>
    <mergeCell ref="F84:I84"/>
    <mergeCell ref="J84:O84"/>
    <mergeCell ref="P84:S84"/>
    <mergeCell ref="B87:E87"/>
    <mergeCell ref="D98:S98"/>
    <mergeCell ref="F86:I86"/>
    <mergeCell ref="J85:O85"/>
    <mergeCell ref="R1:S1"/>
    <mergeCell ref="B24:E24"/>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B9:S10"/>
    <mergeCell ref="A22:S23"/>
    <mergeCell ref="K7:S7"/>
    <mergeCell ref="B51:E51"/>
    <mergeCell ref="B52:E52"/>
    <mergeCell ref="B53:E53"/>
    <mergeCell ref="A33:S34"/>
    <mergeCell ref="C20:D20"/>
    <mergeCell ref="B35:E35"/>
    <mergeCell ref="B36:E36"/>
    <mergeCell ref="B57:E57"/>
    <mergeCell ref="B58:E58"/>
    <mergeCell ref="J35:O35"/>
    <mergeCell ref="A44:S45"/>
    <mergeCell ref="B25:E25"/>
    <mergeCell ref="B37:E37"/>
    <mergeCell ref="J36:O36"/>
    <mergeCell ref="J37:O37"/>
    <mergeCell ref="J38:O38"/>
    <mergeCell ref="J58:O58"/>
  </mergeCells>
  <phoneticPr fontId="2"/>
  <conditionalFormatting sqref="B9:S10">
    <cfRule type="expression" dxfId="0" priority="1">
      <formula>$K$7="学部・学科によって、修了要件は相違しない"</formula>
    </cfRule>
  </conditionalFormatting>
  <dataValidations count="5">
    <dataValidation type="list" allowBlank="1" showInputMessage="1" showErrorMessage="1" sqref="Q25:S31 Q36:S42 Q47:S53 G25:I31 G36:I42 Q58:S64 F69:I75 G47:I53 G58:I64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I88 P79:S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300" verticalDpi="300" r:id="rId1"/>
  <headerFooter>
    <oddHeader>&amp;C数理・データサイエンス・AI教育プログラム認定制度【リテラシーレベル】</oddHeader>
  </headerFooter>
  <rowBreaks count="2" manualBreakCount="2">
    <brk id="65" max="18" man="1"/>
    <brk id="96"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B29" sqref="B29"/>
    </sheetView>
  </sheetViews>
  <sheetFormatPr defaultColWidth="9" defaultRowHeight="18.75" customHeight="1"/>
  <cols>
    <col min="1" max="1" width="2.6640625" style="1" customWidth="1"/>
    <col min="2" max="2" width="20.6640625" style="1" customWidth="1"/>
    <col min="3" max="5" width="6.109375" style="1" customWidth="1"/>
    <col min="6" max="42" width="4.88671875" style="1" customWidth="1"/>
    <col min="43" max="43" width="6.6640625" style="1" customWidth="1"/>
    <col min="44" max="16384" width="9" style="1"/>
  </cols>
  <sheetData>
    <row r="1" spans="1:45" ht="18" customHeight="1">
      <c r="AQ1" s="1" t="s">
        <v>107</v>
      </c>
    </row>
    <row r="2" spans="1:45" ht="18" customHeight="1">
      <c r="K2" s="35"/>
      <c r="Q2" s="35"/>
      <c r="W2" s="35"/>
      <c r="AC2" s="35"/>
      <c r="AI2" s="35"/>
      <c r="AL2" s="35" t="s">
        <v>109</v>
      </c>
      <c r="AM2" s="177" t="str">
        <f>'様式１　プログラムを構成する授業科目'!C2</f>
        <v>学習院大学</v>
      </c>
      <c r="AN2" s="177"/>
      <c r="AO2" s="177"/>
      <c r="AP2" s="177"/>
      <c r="AQ2" s="177"/>
    </row>
    <row r="3" spans="1:45" ht="18" customHeight="1">
      <c r="A3" s="110" t="s">
        <v>48</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84</v>
      </c>
      <c r="C5" s="178" t="s">
        <v>181</v>
      </c>
      <c r="D5" s="17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80" t="s">
        <v>45</v>
      </c>
      <c r="C9" s="183" t="s">
        <v>87</v>
      </c>
      <c r="D9" s="186" t="s">
        <v>47</v>
      </c>
      <c r="E9" s="189" t="s">
        <v>40</v>
      </c>
      <c r="F9" s="192" t="s">
        <v>86</v>
      </c>
      <c r="G9" s="192"/>
      <c r="H9" s="192"/>
      <c r="I9" s="192"/>
      <c r="J9" s="192"/>
      <c r="K9" s="192"/>
      <c r="L9" s="192" t="s">
        <v>49</v>
      </c>
      <c r="M9" s="192"/>
      <c r="N9" s="192"/>
      <c r="O9" s="192"/>
      <c r="P9" s="192"/>
      <c r="Q9" s="192"/>
      <c r="R9" s="192" t="s">
        <v>50</v>
      </c>
      <c r="S9" s="192"/>
      <c r="T9" s="192"/>
      <c r="U9" s="192"/>
      <c r="V9" s="192"/>
      <c r="W9" s="192"/>
      <c r="X9" s="192" t="s">
        <v>101</v>
      </c>
      <c r="Y9" s="192"/>
      <c r="Z9" s="192"/>
      <c r="AA9" s="192"/>
      <c r="AB9" s="192"/>
      <c r="AC9" s="192"/>
      <c r="AD9" s="192" t="s">
        <v>51</v>
      </c>
      <c r="AE9" s="192"/>
      <c r="AF9" s="192"/>
      <c r="AG9" s="192"/>
      <c r="AH9" s="192"/>
      <c r="AI9" s="192"/>
      <c r="AJ9" s="192" t="s">
        <v>52</v>
      </c>
      <c r="AK9" s="192"/>
      <c r="AL9" s="192"/>
      <c r="AM9" s="192"/>
      <c r="AN9" s="192"/>
      <c r="AO9" s="192"/>
      <c r="AP9" s="195" t="s">
        <v>35</v>
      </c>
      <c r="AQ9" s="198" t="s">
        <v>32</v>
      </c>
      <c r="AS9" s="2"/>
    </row>
    <row r="10" spans="1:45" ht="17.100000000000001" customHeight="1">
      <c r="B10" s="181"/>
      <c r="C10" s="184"/>
      <c r="D10" s="187"/>
      <c r="E10" s="190"/>
      <c r="F10" s="193" t="s">
        <v>97</v>
      </c>
      <c r="G10" s="194"/>
      <c r="H10" s="194"/>
      <c r="I10" s="193" t="s">
        <v>29</v>
      </c>
      <c r="J10" s="194"/>
      <c r="K10" s="194"/>
      <c r="L10" s="193" t="s">
        <v>97</v>
      </c>
      <c r="M10" s="194"/>
      <c r="N10" s="194"/>
      <c r="O10" s="193" t="s">
        <v>29</v>
      </c>
      <c r="P10" s="194"/>
      <c r="Q10" s="194"/>
      <c r="R10" s="193" t="s">
        <v>97</v>
      </c>
      <c r="S10" s="194"/>
      <c r="T10" s="194"/>
      <c r="U10" s="193" t="s">
        <v>29</v>
      </c>
      <c r="V10" s="194"/>
      <c r="W10" s="194"/>
      <c r="X10" s="193" t="s">
        <v>97</v>
      </c>
      <c r="Y10" s="194"/>
      <c r="Z10" s="194"/>
      <c r="AA10" s="193" t="s">
        <v>29</v>
      </c>
      <c r="AB10" s="194"/>
      <c r="AC10" s="194"/>
      <c r="AD10" s="193" t="s">
        <v>97</v>
      </c>
      <c r="AE10" s="194"/>
      <c r="AF10" s="194"/>
      <c r="AG10" s="193" t="s">
        <v>29</v>
      </c>
      <c r="AH10" s="194"/>
      <c r="AI10" s="194"/>
      <c r="AJ10" s="193" t="s">
        <v>97</v>
      </c>
      <c r="AK10" s="194"/>
      <c r="AL10" s="194"/>
      <c r="AM10" s="193" t="s">
        <v>29</v>
      </c>
      <c r="AN10" s="194"/>
      <c r="AO10" s="194"/>
      <c r="AP10" s="196"/>
      <c r="AQ10" s="199"/>
      <c r="AS10" s="2"/>
    </row>
    <row r="11" spans="1:45" ht="18" customHeight="1">
      <c r="B11" s="182"/>
      <c r="C11" s="185"/>
      <c r="D11" s="188"/>
      <c r="E11" s="191"/>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7"/>
      <c r="AQ11" s="200"/>
      <c r="AS11" s="2"/>
    </row>
    <row r="12" spans="1:45" ht="18" customHeight="1">
      <c r="A12" s="6"/>
      <c r="B12" s="11" t="s">
        <v>180</v>
      </c>
      <c r="C12" s="61">
        <v>1014</v>
      </c>
      <c r="D12" s="62">
        <v>250</v>
      </c>
      <c r="E12" s="63">
        <v>1000</v>
      </c>
      <c r="F12" s="63">
        <f t="shared" ref="F12:F31" si="0">G12+H12</f>
        <v>267</v>
      </c>
      <c r="G12" s="64">
        <v>132</v>
      </c>
      <c r="H12" s="65">
        <v>135</v>
      </c>
      <c r="I12" s="63">
        <f t="shared" ref="I12:I31" si="1">J12+K12</f>
        <v>0</v>
      </c>
      <c r="J12" s="64"/>
      <c r="K12" s="65"/>
      <c r="L12" s="63">
        <f t="shared" ref="L12:L31" si="2">M12+N12</f>
        <v>0</v>
      </c>
      <c r="M12" s="64"/>
      <c r="N12" s="65"/>
      <c r="O12" s="63">
        <f t="shared" ref="O12:O31" si="3">P12+Q12</f>
        <v>0</v>
      </c>
      <c r="P12" s="64"/>
      <c r="Q12" s="65"/>
      <c r="R12" s="63">
        <f t="shared" ref="R12:R31" si="4">S12+T12</f>
        <v>0</v>
      </c>
      <c r="S12" s="64"/>
      <c r="T12" s="65"/>
      <c r="U12" s="63">
        <f t="shared" ref="U12:U31" si="5">V12+W12</f>
        <v>0</v>
      </c>
      <c r="V12" s="64"/>
      <c r="W12" s="65"/>
      <c r="X12" s="63">
        <f t="shared" ref="X12:X31" si="6">Y12+Z12</f>
        <v>0</v>
      </c>
      <c r="Y12" s="64"/>
      <c r="Z12" s="65"/>
      <c r="AA12" s="63">
        <f t="shared" ref="AA12:AA31" si="7">AB12+AC12</f>
        <v>0</v>
      </c>
      <c r="AB12" s="64"/>
      <c r="AC12" s="65"/>
      <c r="AD12" s="63">
        <f t="shared" ref="AD12:AD31" si="8">AE12+AF12</f>
        <v>0</v>
      </c>
      <c r="AE12" s="64"/>
      <c r="AF12" s="65"/>
      <c r="AG12" s="63">
        <f t="shared" ref="AG12:AG31" si="9">AH12+AI12</f>
        <v>0</v>
      </c>
      <c r="AH12" s="64"/>
      <c r="AI12" s="65"/>
      <c r="AJ12" s="63">
        <f t="shared" ref="AJ12:AJ31" si="10">AK12+AL12</f>
        <v>0</v>
      </c>
      <c r="AK12" s="64"/>
      <c r="AL12" s="65"/>
      <c r="AM12" s="63">
        <f t="shared" ref="AM12:AM31" si="11">AN12+AO12</f>
        <v>0</v>
      </c>
      <c r="AN12" s="64"/>
      <c r="AO12" s="65"/>
      <c r="AP12" s="62">
        <f t="shared" ref="AP12:AP31" si="12">F12+L12+R12+X12+AD12+AJ12</f>
        <v>267</v>
      </c>
      <c r="AQ12" s="21">
        <f t="shared" ref="AQ12:AQ32" si="13">AP12/E12</f>
        <v>0.26700000000000002</v>
      </c>
    </row>
    <row r="13" spans="1:45" ht="18" customHeight="1">
      <c r="A13" s="6"/>
      <c r="B13" s="12" t="s">
        <v>179</v>
      </c>
      <c r="C13" s="66">
        <v>966</v>
      </c>
      <c r="D13" s="67">
        <v>230</v>
      </c>
      <c r="E13" s="68">
        <v>920</v>
      </c>
      <c r="F13" s="69">
        <f t="shared" si="0"/>
        <v>248</v>
      </c>
      <c r="G13" s="70">
        <v>106</v>
      </c>
      <c r="H13" s="71">
        <v>142</v>
      </c>
      <c r="I13" s="69">
        <f t="shared" si="1"/>
        <v>0</v>
      </c>
      <c r="J13" s="70"/>
      <c r="K13" s="71"/>
      <c r="L13" s="69">
        <f t="shared" si="2"/>
        <v>0</v>
      </c>
      <c r="M13" s="70"/>
      <c r="N13" s="71"/>
      <c r="O13" s="69">
        <f t="shared" si="3"/>
        <v>0</v>
      </c>
      <c r="P13" s="70"/>
      <c r="Q13" s="71"/>
      <c r="R13" s="69">
        <f t="shared" si="4"/>
        <v>0</v>
      </c>
      <c r="S13" s="70"/>
      <c r="T13" s="71"/>
      <c r="U13" s="69">
        <f t="shared" si="5"/>
        <v>0</v>
      </c>
      <c r="V13" s="70"/>
      <c r="W13" s="71"/>
      <c r="X13" s="69">
        <f t="shared" si="6"/>
        <v>0</v>
      </c>
      <c r="Y13" s="70"/>
      <c r="Z13" s="71"/>
      <c r="AA13" s="69">
        <f t="shared" si="7"/>
        <v>0</v>
      </c>
      <c r="AB13" s="70"/>
      <c r="AC13" s="71"/>
      <c r="AD13" s="69">
        <f t="shared" si="8"/>
        <v>0</v>
      </c>
      <c r="AE13" s="70"/>
      <c r="AF13" s="71"/>
      <c r="AG13" s="69">
        <f t="shared" si="9"/>
        <v>0</v>
      </c>
      <c r="AH13" s="70"/>
      <c r="AI13" s="71"/>
      <c r="AJ13" s="69">
        <f t="shared" si="10"/>
        <v>0</v>
      </c>
      <c r="AK13" s="70"/>
      <c r="AL13" s="71"/>
      <c r="AM13" s="69">
        <f t="shared" si="11"/>
        <v>0</v>
      </c>
      <c r="AN13" s="70"/>
      <c r="AO13" s="71"/>
      <c r="AP13" s="67">
        <f t="shared" si="12"/>
        <v>248</v>
      </c>
      <c r="AQ13" s="20">
        <f t="shared" si="13"/>
        <v>0.26956521739130435</v>
      </c>
    </row>
    <row r="14" spans="1:45" ht="18" customHeight="1">
      <c r="A14" s="6"/>
      <c r="B14" s="12" t="s">
        <v>178</v>
      </c>
      <c r="C14" s="66">
        <v>1079</v>
      </c>
      <c r="D14" s="67">
        <v>250</v>
      </c>
      <c r="E14" s="68">
        <v>1000</v>
      </c>
      <c r="F14" s="69">
        <f t="shared" si="0"/>
        <v>363</v>
      </c>
      <c r="G14" s="70">
        <v>239</v>
      </c>
      <c r="H14" s="71">
        <v>124</v>
      </c>
      <c r="I14" s="69">
        <f t="shared" si="1"/>
        <v>0</v>
      </c>
      <c r="J14" s="70"/>
      <c r="K14" s="71"/>
      <c r="L14" s="69">
        <f t="shared" si="2"/>
        <v>0</v>
      </c>
      <c r="M14" s="70"/>
      <c r="N14" s="71"/>
      <c r="O14" s="69">
        <f t="shared" si="3"/>
        <v>0</v>
      </c>
      <c r="P14" s="70"/>
      <c r="Q14" s="71"/>
      <c r="R14" s="69">
        <f t="shared" si="4"/>
        <v>0</v>
      </c>
      <c r="S14" s="70"/>
      <c r="T14" s="71"/>
      <c r="U14" s="69">
        <f t="shared" si="5"/>
        <v>0</v>
      </c>
      <c r="V14" s="70"/>
      <c r="W14" s="71"/>
      <c r="X14" s="69">
        <f t="shared" si="6"/>
        <v>0</v>
      </c>
      <c r="Y14" s="70"/>
      <c r="Z14" s="71"/>
      <c r="AA14" s="69">
        <f t="shared" si="7"/>
        <v>0</v>
      </c>
      <c r="AB14" s="70"/>
      <c r="AC14" s="71"/>
      <c r="AD14" s="69">
        <f t="shared" si="8"/>
        <v>0</v>
      </c>
      <c r="AE14" s="70"/>
      <c r="AF14" s="71"/>
      <c r="AG14" s="69">
        <f t="shared" si="9"/>
        <v>0</v>
      </c>
      <c r="AH14" s="70"/>
      <c r="AI14" s="71"/>
      <c r="AJ14" s="69">
        <f t="shared" si="10"/>
        <v>0</v>
      </c>
      <c r="AK14" s="70"/>
      <c r="AL14" s="71"/>
      <c r="AM14" s="69">
        <f t="shared" si="11"/>
        <v>0</v>
      </c>
      <c r="AN14" s="70"/>
      <c r="AO14" s="71"/>
      <c r="AP14" s="67">
        <f t="shared" si="12"/>
        <v>363</v>
      </c>
      <c r="AQ14" s="8">
        <f t="shared" si="13"/>
        <v>0.36299999999999999</v>
      </c>
    </row>
    <row r="15" spans="1:45" ht="18" customHeight="1">
      <c r="A15" s="6"/>
      <c r="B15" s="12" t="s">
        <v>177</v>
      </c>
      <c r="C15" s="66">
        <v>1085</v>
      </c>
      <c r="D15" s="67">
        <v>250</v>
      </c>
      <c r="E15" s="68">
        <v>1000</v>
      </c>
      <c r="F15" s="69">
        <f t="shared" si="0"/>
        <v>488</v>
      </c>
      <c r="G15" s="70">
        <v>238</v>
      </c>
      <c r="H15" s="71">
        <v>250</v>
      </c>
      <c r="I15" s="69">
        <f t="shared" si="1"/>
        <v>0</v>
      </c>
      <c r="J15" s="70"/>
      <c r="K15" s="71"/>
      <c r="L15" s="69">
        <f t="shared" si="2"/>
        <v>0</v>
      </c>
      <c r="M15" s="70"/>
      <c r="N15" s="71"/>
      <c r="O15" s="69">
        <f t="shared" si="3"/>
        <v>0</v>
      </c>
      <c r="P15" s="70"/>
      <c r="Q15" s="71"/>
      <c r="R15" s="69">
        <f t="shared" si="4"/>
        <v>0</v>
      </c>
      <c r="S15" s="70"/>
      <c r="T15" s="71"/>
      <c r="U15" s="69">
        <f t="shared" si="5"/>
        <v>0</v>
      </c>
      <c r="V15" s="70"/>
      <c r="W15" s="71"/>
      <c r="X15" s="69">
        <f t="shared" si="6"/>
        <v>0</v>
      </c>
      <c r="Y15" s="70"/>
      <c r="Z15" s="71"/>
      <c r="AA15" s="69">
        <f t="shared" si="7"/>
        <v>0</v>
      </c>
      <c r="AB15" s="70"/>
      <c r="AC15" s="71"/>
      <c r="AD15" s="69">
        <f t="shared" si="8"/>
        <v>0</v>
      </c>
      <c r="AE15" s="70"/>
      <c r="AF15" s="71"/>
      <c r="AG15" s="69">
        <f t="shared" si="9"/>
        <v>0</v>
      </c>
      <c r="AH15" s="70"/>
      <c r="AI15" s="71"/>
      <c r="AJ15" s="69">
        <f t="shared" si="10"/>
        <v>0</v>
      </c>
      <c r="AK15" s="70"/>
      <c r="AL15" s="71"/>
      <c r="AM15" s="69">
        <f t="shared" si="11"/>
        <v>0</v>
      </c>
      <c r="AN15" s="70"/>
      <c r="AO15" s="71"/>
      <c r="AP15" s="67">
        <f t="shared" si="12"/>
        <v>488</v>
      </c>
      <c r="AQ15" s="8">
        <f t="shared" si="13"/>
        <v>0.48799999999999999</v>
      </c>
    </row>
    <row r="16" spans="1:45" ht="18" customHeight="1">
      <c r="A16" s="6"/>
      <c r="B16" s="12" t="s">
        <v>176</v>
      </c>
      <c r="C16" s="66">
        <v>407</v>
      </c>
      <c r="D16" s="67">
        <v>95</v>
      </c>
      <c r="E16" s="68">
        <v>380</v>
      </c>
      <c r="F16" s="69">
        <f t="shared" si="0"/>
        <v>108</v>
      </c>
      <c r="G16" s="70">
        <v>49</v>
      </c>
      <c r="H16" s="71">
        <v>59</v>
      </c>
      <c r="I16" s="69">
        <f t="shared" si="1"/>
        <v>0</v>
      </c>
      <c r="J16" s="70"/>
      <c r="K16" s="71"/>
      <c r="L16" s="69">
        <f t="shared" si="2"/>
        <v>0</v>
      </c>
      <c r="M16" s="70"/>
      <c r="N16" s="71"/>
      <c r="O16" s="69">
        <f t="shared" si="3"/>
        <v>0</v>
      </c>
      <c r="P16" s="70"/>
      <c r="Q16" s="71"/>
      <c r="R16" s="69">
        <f t="shared" si="4"/>
        <v>0</v>
      </c>
      <c r="S16" s="70"/>
      <c r="T16" s="71"/>
      <c r="U16" s="69">
        <f t="shared" si="5"/>
        <v>0</v>
      </c>
      <c r="V16" s="70"/>
      <c r="W16" s="71"/>
      <c r="X16" s="69">
        <f t="shared" si="6"/>
        <v>0</v>
      </c>
      <c r="Y16" s="70"/>
      <c r="Z16" s="71"/>
      <c r="AA16" s="69">
        <f t="shared" si="7"/>
        <v>0</v>
      </c>
      <c r="AB16" s="70"/>
      <c r="AC16" s="71"/>
      <c r="AD16" s="69">
        <f t="shared" si="8"/>
        <v>0</v>
      </c>
      <c r="AE16" s="70"/>
      <c r="AF16" s="71"/>
      <c r="AG16" s="69">
        <f t="shared" si="9"/>
        <v>0</v>
      </c>
      <c r="AH16" s="70"/>
      <c r="AI16" s="71"/>
      <c r="AJ16" s="69">
        <f t="shared" si="10"/>
        <v>0</v>
      </c>
      <c r="AK16" s="70"/>
      <c r="AL16" s="71"/>
      <c r="AM16" s="69">
        <f t="shared" si="11"/>
        <v>0</v>
      </c>
      <c r="AN16" s="70"/>
      <c r="AO16" s="71"/>
      <c r="AP16" s="67">
        <f t="shared" si="12"/>
        <v>108</v>
      </c>
      <c r="AQ16" s="8">
        <f t="shared" si="13"/>
        <v>0.28421052631578947</v>
      </c>
    </row>
    <row r="17" spans="1:43" ht="18" customHeight="1">
      <c r="A17" s="6"/>
      <c r="B17" s="12" t="s">
        <v>175</v>
      </c>
      <c r="C17" s="66">
        <v>414</v>
      </c>
      <c r="D17" s="67">
        <v>95</v>
      </c>
      <c r="E17" s="68">
        <v>380</v>
      </c>
      <c r="F17" s="69">
        <f t="shared" si="0"/>
        <v>121</v>
      </c>
      <c r="G17" s="70">
        <v>68</v>
      </c>
      <c r="H17" s="71">
        <v>53</v>
      </c>
      <c r="I17" s="69">
        <f t="shared" si="1"/>
        <v>0</v>
      </c>
      <c r="J17" s="70"/>
      <c r="K17" s="71"/>
      <c r="L17" s="69">
        <f t="shared" si="2"/>
        <v>0</v>
      </c>
      <c r="M17" s="70"/>
      <c r="N17" s="71"/>
      <c r="O17" s="69">
        <f t="shared" si="3"/>
        <v>0</v>
      </c>
      <c r="P17" s="70"/>
      <c r="Q17" s="71"/>
      <c r="R17" s="69">
        <f t="shared" si="4"/>
        <v>0</v>
      </c>
      <c r="S17" s="70"/>
      <c r="T17" s="71"/>
      <c r="U17" s="69">
        <f t="shared" si="5"/>
        <v>0</v>
      </c>
      <c r="V17" s="70"/>
      <c r="W17" s="71"/>
      <c r="X17" s="69">
        <f t="shared" si="6"/>
        <v>0</v>
      </c>
      <c r="Y17" s="70"/>
      <c r="Z17" s="71"/>
      <c r="AA17" s="69">
        <f t="shared" si="7"/>
        <v>0</v>
      </c>
      <c r="AB17" s="70"/>
      <c r="AC17" s="71"/>
      <c r="AD17" s="69">
        <f t="shared" si="8"/>
        <v>0</v>
      </c>
      <c r="AE17" s="70"/>
      <c r="AF17" s="71"/>
      <c r="AG17" s="69">
        <f t="shared" si="9"/>
        <v>0</v>
      </c>
      <c r="AH17" s="70"/>
      <c r="AI17" s="71"/>
      <c r="AJ17" s="69">
        <f t="shared" si="10"/>
        <v>0</v>
      </c>
      <c r="AK17" s="70"/>
      <c r="AL17" s="71"/>
      <c r="AM17" s="69">
        <f t="shared" si="11"/>
        <v>0</v>
      </c>
      <c r="AN17" s="70"/>
      <c r="AO17" s="71"/>
      <c r="AP17" s="67">
        <f t="shared" si="12"/>
        <v>121</v>
      </c>
      <c r="AQ17" s="8">
        <f t="shared" si="13"/>
        <v>0.31842105263157894</v>
      </c>
    </row>
    <row r="18" spans="1:43" ht="18" customHeight="1">
      <c r="A18" s="6"/>
      <c r="B18" s="12" t="s">
        <v>174</v>
      </c>
      <c r="C18" s="66">
        <v>458</v>
      </c>
      <c r="D18" s="67">
        <v>115</v>
      </c>
      <c r="E18" s="68">
        <v>460</v>
      </c>
      <c r="F18" s="69">
        <f t="shared" si="0"/>
        <v>130</v>
      </c>
      <c r="G18" s="70">
        <v>27</v>
      </c>
      <c r="H18" s="71">
        <v>103</v>
      </c>
      <c r="I18" s="69">
        <f t="shared" si="1"/>
        <v>0</v>
      </c>
      <c r="J18" s="70"/>
      <c r="K18" s="71"/>
      <c r="L18" s="69">
        <f t="shared" si="2"/>
        <v>0</v>
      </c>
      <c r="M18" s="70"/>
      <c r="N18" s="71"/>
      <c r="O18" s="69">
        <f t="shared" si="3"/>
        <v>0</v>
      </c>
      <c r="P18" s="70"/>
      <c r="Q18" s="71"/>
      <c r="R18" s="69">
        <f t="shared" si="4"/>
        <v>0</v>
      </c>
      <c r="S18" s="70"/>
      <c r="T18" s="71"/>
      <c r="U18" s="69">
        <f t="shared" si="5"/>
        <v>0</v>
      </c>
      <c r="V18" s="70"/>
      <c r="W18" s="71"/>
      <c r="X18" s="69">
        <f t="shared" si="6"/>
        <v>0</v>
      </c>
      <c r="Y18" s="70"/>
      <c r="Z18" s="71"/>
      <c r="AA18" s="69">
        <f t="shared" si="7"/>
        <v>0</v>
      </c>
      <c r="AB18" s="70"/>
      <c r="AC18" s="71"/>
      <c r="AD18" s="69">
        <f t="shared" si="8"/>
        <v>0</v>
      </c>
      <c r="AE18" s="70"/>
      <c r="AF18" s="71"/>
      <c r="AG18" s="69">
        <f t="shared" si="9"/>
        <v>0</v>
      </c>
      <c r="AH18" s="70"/>
      <c r="AI18" s="71"/>
      <c r="AJ18" s="69">
        <f t="shared" si="10"/>
        <v>0</v>
      </c>
      <c r="AK18" s="70"/>
      <c r="AL18" s="71"/>
      <c r="AM18" s="69">
        <f t="shared" si="11"/>
        <v>0</v>
      </c>
      <c r="AN18" s="70"/>
      <c r="AO18" s="71"/>
      <c r="AP18" s="67">
        <f t="shared" si="12"/>
        <v>130</v>
      </c>
      <c r="AQ18" s="8">
        <f t="shared" si="13"/>
        <v>0.28260869565217389</v>
      </c>
    </row>
    <row r="19" spans="1:43" ht="18" customHeight="1">
      <c r="A19" s="6"/>
      <c r="B19" s="12" t="s">
        <v>173</v>
      </c>
      <c r="C19" s="66">
        <v>481</v>
      </c>
      <c r="D19" s="67">
        <v>115</v>
      </c>
      <c r="E19" s="68">
        <v>460</v>
      </c>
      <c r="F19" s="69">
        <f t="shared" si="0"/>
        <v>136</v>
      </c>
      <c r="G19" s="70">
        <v>45</v>
      </c>
      <c r="H19" s="71">
        <v>91</v>
      </c>
      <c r="I19" s="69">
        <f t="shared" si="1"/>
        <v>0</v>
      </c>
      <c r="J19" s="70"/>
      <c r="K19" s="71"/>
      <c r="L19" s="69">
        <f t="shared" si="2"/>
        <v>0</v>
      </c>
      <c r="M19" s="70"/>
      <c r="N19" s="71"/>
      <c r="O19" s="69">
        <f t="shared" si="3"/>
        <v>0</v>
      </c>
      <c r="P19" s="70"/>
      <c r="Q19" s="71"/>
      <c r="R19" s="69">
        <f t="shared" si="4"/>
        <v>0</v>
      </c>
      <c r="S19" s="70"/>
      <c r="T19" s="71"/>
      <c r="U19" s="69">
        <f t="shared" si="5"/>
        <v>0</v>
      </c>
      <c r="V19" s="70"/>
      <c r="W19" s="71"/>
      <c r="X19" s="69">
        <f t="shared" si="6"/>
        <v>0</v>
      </c>
      <c r="Y19" s="70"/>
      <c r="Z19" s="71"/>
      <c r="AA19" s="69">
        <f t="shared" si="7"/>
        <v>0</v>
      </c>
      <c r="AB19" s="70"/>
      <c r="AC19" s="71"/>
      <c r="AD19" s="69">
        <f t="shared" si="8"/>
        <v>0</v>
      </c>
      <c r="AE19" s="70"/>
      <c r="AF19" s="71"/>
      <c r="AG19" s="69">
        <f t="shared" si="9"/>
        <v>0</v>
      </c>
      <c r="AH19" s="70"/>
      <c r="AI19" s="71"/>
      <c r="AJ19" s="69">
        <f t="shared" si="10"/>
        <v>0</v>
      </c>
      <c r="AK19" s="70"/>
      <c r="AL19" s="71"/>
      <c r="AM19" s="69">
        <f t="shared" si="11"/>
        <v>0</v>
      </c>
      <c r="AN19" s="70"/>
      <c r="AO19" s="71"/>
      <c r="AP19" s="67">
        <f t="shared" si="12"/>
        <v>136</v>
      </c>
      <c r="AQ19" s="8">
        <f t="shared" si="13"/>
        <v>0.29565217391304349</v>
      </c>
    </row>
    <row r="20" spans="1:43" ht="18" customHeight="1">
      <c r="A20" s="6"/>
      <c r="B20" s="12" t="s">
        <v>172</v>
      </c>
      <c r="C20" s="66">
        <v>225</v>
      </c>
      <c r="D20" s="67">
        <v>50</v>
      </c>
      <c r="E20" s="68">
        <v>200</v>
      </c>
      <c r="F20" s="69">
        <f t="shared" si="0"/>
        <v>69</v>
      </c>
      <c r="G20" s="70">
        <v>26</v>
      </c>
      <c r="H20" s="71">
        <v>43</v>
      </c>
      <c r="I20" s="69">
        <f t="shared" si="1"/>
        <v>0</v>
      </c>
      <c r="J20" s="70"/>
      <c r="K20" s="71"/>
      <c r="L20" s="69">
        <f t="shared" si="2"/>
        <v>0</v>
      </c>
      <c r="M20" s="70"/>
      <c r="N20" s="71"/>
      <c r="O20" s="69">
        <f t="shared" si="3"/>
        <v>0</v>
      </c>
      <c r="P20" s="70"/>
      <c r="Q20" s="71"/>
      <c r="R20" s="69">
        <f t="shared" si="4"/>
        <v>0</v>
      </c>
      <c r="S20" s="70"/>
      <c r="T20" s="71"/>
      <c r="U20" s="69">
        <f t="shared" si="5"/>
        <v>0</v>
      </c>
      <c r="V20" s="70"/>
      <c r="W20" s="71"/>
      <c r="X20" s="69">
        <f t="shared" si="6"/>
        <v>0</v>
      </c>
      <c r="Y20" s="70"/>
      <c r="Z20" s="71"/>
      <c r="AA20" s="69">
        <f t="shared" si="7"/>
        <v>0</v>
      </c>
      <c r="AB20" s="70"/>
      <c r="AC20" s="71"/>
      <c r="AD20" s="69">
        <f t="shared" si="8"/>
        <v>0</v>
      </c>
      <c r="AE20" s="70"/>
      <c r="AF20" s="71"/>
      <c r="AG20" s="69">
        <f t="shared" si="9"/>
        <v>0</v>
      </c>
      <c r="AH20" s="70"/>
      <c r="AI20" s="71"/>
      <c r="AJ20" s="69">
        <f t="shared" si="10"/>
        <v>0</v>
      </c>
      <c r="AK20" s="70"/>
      <c r="AL20" s="71"/>
      <c r="AM20" s="69">
        <f t="shared" si="11"/>
        <v>0</v>
      </c>
      <c r="AN20" s="70"/>
      <c r="AO20" s="71"/>
      <c r="AP20" s="67">
        <f t="shared" si="12"/>
        <v>69</v>
      </c>
      <c r="AQ20" s="8">
        <f t="shared" si="13"/>
        <v>0.34499999999999997</v>
      </c>
    </row>
    <row r="21" spans="1:43" ht="18" customHeight="1">
      <c r="A21" s="6"/>
      <c r="B21" s="12" t="s">
        <v>171</v>
      </c>
      <c r="C21" s="66">
        <v>314</v>
      </c>
      <c r="D21" s="67">
        <v>65</v>
      </c>
      <c r="E21" s="68">
        <v>260</v>
      </c>
      <c r="F21" s="69">
        <f t="shared" si="0"/>
        <v>88</v>
      </c>
      <c r="G21" s="70">
        <v>19</v>
      </c>
      <c r="H21" s="71">
        <v>69</v>
      </c>
      <c r="I21" s="69">
        <f t="shared" si="1"/>
        <v>0</v>
      </c>
      <c r="J21" s="70"/>
      <c r="K21" s="71"/>
      <c r="L21" s="69">
        <f t="shared" si="2"/>
        <v>0</v>
      </c>
      <c r="M21" s="70"/>
      <c r="N21" s="71"/>
      <c r="O21" s="69">
        <f t="shared" si="3"/>
        <v>0</v>
      </c>
      <c r="P21" s="70"/>
      <c r="Q21" s="71"/>
      <c r="R21" s="69">
        <f t="shared" si="4"/>
        <v>0</v>
      </c>
      <c r="S21" s="70"/>
      <c r="T21" s="71"/>
      <c r="U21" s="69">
        <f t="shared" si="5"/>
        <v>0</v>
      </c>
      <c r="V21" s="70"/>
      <c r="W21" s="71"/>
      <c r="X21" s="69">
        <f t="shared" si="6"/>
        <v>0</v>
      </c>
      <c r="Y21" s="70"/>
      <c r="Z21" s="71"/>
      <c r="AA21" s="69">
        <f t="shared" si="7"/>
        <v>0</v>
      </c>
      <c r="AB21" s="70"/>
      <c r="AC21" s="71"/>
      <c r="AD21" s="69">
        <f t="shared" si="8"/>
        <v>0</v>
      </c>
      <c r="AE21" s="70"/>
      <c r="AF21" s="71"/>
      <c r="AG21" s="69">
        <f t="shared" si="9"/>
        <v>0</v>
      </c>
      <c r="AH21" s="70"/>
      <c r="AI21" s="71"/>
      <c r="AJ21" s="69">
        <f t="shared" si="10"/>
        <v>0</v>
      </c>
      <c r="AK21" s="70"/>
      <c r="AL21" s="71"/>
      <c r="AM21" s="69">
        <f t="shared" si="11"/>
        <v>0</v>
      </c>
      <c r="AN21" s="70"/>
      <c r="AO21" s="71"/>
      <c r="AP21" s="67">
        <f t="shared" si="12"/>
        <v>88</v>
      </c>
      <c r="AQ21" s="8">
        <f t="shared" si="13"/>
        <v>0.33846153846153848</v>
      </c>
    </row>
    <row r="22" spans="1:43" ht="18" customHeight="1">
      <c r="A22" s="6"/>
      <c r="B22" s="12" t="s">
        <v>170</v>
      </c>
      <c r="C22" s="66">
        <v>384</v>
      </c>
      <c r="D22" s="67">
        <v>90</v>
      </c>
      <c r="E22" s="68">
        <v>360</v>
      </c>
      <c r="F22" s="69">
        <f t="shared" si="0"/>
        <v>127</v>
      </c>
      <c r="G22" s="70">
        <v>35</v>
      </c>
      <c r="H22" s="71">
        <v>92</v>
      </c>
      <c r="I22" s="69">
        <f t="shared" si="1"/>
        <v>0</v>
      </c>
      <c r="J22" s="70"/>
      <c r="K22" s="71"/>
      <c r="L22" s="69">
        <f t="shared" si="2"/>
        <v>0</v>
      </c>
      <c r="M22" s="70"/>
      <c r="N22" s="71"/>
      <c r="O22" s="69">
        <f t="shared" si="3"/>
        <v>0</v>
      </c>
      <c r="P22" s="70"/>
      <c r="Q22" s="71"/>
      <c r="R22" s="69">
        <f t="shared" si="4"/>
        <v>0</v>
      </c>
      <c r="S22" s="70"/>
      <c r="T22" s="71"/>
      <c r="U22" s="69">
        <f t="shared" si="5"/>
        <v>0</v>
      </c>
      <c r="V22" s="70"/>
      <c r="W22" s="71"/>
      <c r="X22" s="69">
        <f t="shared" si="6"/>
        <v>0</v>
      </c>
      <c r="Y22" s="70"/>
      <c r="Z22" s="71"/>
      <c r="AA22" s="69">
        <f t="shared" si="7"/>
        <v>0</v>
      </c>
      <c r="AB22" s="70"/>
      <c r="AC22" s="71"/>
      <c r="AD22" s="69">
        <f t="shared" si="8"/>
        <v>0</v>
      </c>
      <c r="AE22" s="70"/>
      <c r="AF22" s="71"/>
      <c r="AG22" s="69">
        <f t="shared" si="9"/>
        <v>0</v>
      </c>
      <c r="AH22" s="70"/>
      <c r="AI22" s="71"/>
      <c r="AJ22" s="69">
        <f t="shared" si="10"/>
        <v>0</v>
      </c>
      <c r="AK22" s="70"/>
      <c r="AL22" s="71"/>
      <c r="AM22" s="69">
        <f t="shared" si="11"/>
        <v>0</v>
      </c>
      <c r="AN22" s="70"/>
      <c r="AO22" s="71"/>
      <c r="AP22" s="67">
        <f t="shared" si="12"/>
        <v>127</v>
      </c>
      <c r="AQ22" s="8">
        <f t="shared" si="13"/>
        <v>0.3527777777777778</v>
      </c>
    </row>
    <row r="23" spans="1:43" ht="18" customHeight="1">
      <c r="A23" s="6"/>
      <c r="B23" s="12" t="s">
        <v>169</v>
      </c>
      <c r="C23" s="66">
        <v>189</v>
      </c>
      <c r="D23" s="67">
        <v>50</v>
      </c>
      <c r="E23" s="68">
        <v>200</v>
      </c>
      <c r="F23" s="69">
        <f t="shared" si="0"/>
        <v>47</v>
      </c>
      <c r="G23" s="70">
        <v>14</v>
      </c>
      <c r="H23" s="71">
        <v>33</v>
      </c>
      <c r="I23" s="69">
        <f t="shared" si="1"/>
        <v>0</v>
      </c>
      <c r="J23" s="70"/>
      <c r="K23" s="71"/>
      <c r="L23" s="69">
        <f t="shared" si="2"/>
        <v>0</v>
      </c>
      <c r="M23" s="70"/>
      <c r="N23" s="71"/>
      <c r="O23" s="69">
        <f t="shared" si="3"/>
        <v>0</v>
      </c>
      <c r="P23" s="70"/>
      <c r="Q23" s="71"/>
      <c r="R23" s="69">
        <f t="shared" si="4"/>
        <v>0</v>
      </c>
      <c r="S23" s="70"/>
      <c r="T23" s="71"/>
      <c r="U23" s="69">
        <f t="shared" si="5"/>
        <v>0</v>
      </c>
      <c r="V23" s="70"/>
      <c r="W23" s="71"/>
      <c r="X23" s="69">
        <f t="shared" si="6"/>
        <v>0</v>
      </c>
      <c r="Y23" s="70"/>
      <c r="Z23" s="71"/>
      <c r="AA23" s="69">
        <f t="shared" si="7"/>
        <v>0</v>
      </c>
      <c r="AB23" s="70"/>
      <c r="AC23" s="71"/>
      <c r="AD23" s="69">
        <f t="shared" si="8"/>
        <v>0</v>
      </c>
      <c r="AE23" s="70"/>
      <c r="AF23" s="71"/>
      <c r="AG23" s="69">
        <f t="shared" si="9"/>
        <v>0</v>
      </c>
      <c r="AH23" s="70"/>
      <c r="AI23" s="71"/>
      <c r="AJ23" s="69">
        <f t="shared" si="10"/>
        <v>0</v>
      </c>
      <c r="AK23" s="70"/>
      <c r="AL23" s="71"/>
      <c r="AM23" s="69">
        <f t="shared" si="11"/>
        <v>0</v>
      </c>
      <c r="AN23" s="70"/>
      <c r="AO23" s="71"/>
      <c r="AP23" s="67">
        <f t="shared" si="12"/>
        <v>47</v>
      </c>
      <c r="AQ23" s="8">
        <f t="shared" si="13"/>
        <v>0.23499999999999999</v>
      </c>
    </row>
    <row r="24" spans="1:43" ht="18" customHeight="1">
      <c r="A24" s="6"/>
      <c r="B24" s="12" t="s">
        <v>168</v>
      </c>
      <c r="C24" s="66">
        <v>197</v>
      </c>
      <c r="D24" s="67">
        <v>48</v>
      </c>
      <c r="E24" s="68">
        <v>192</v>
      </c>
      <c r="F24" s="69">
        <f t="shared" si="0"/>
        <v>105</v>
      </c>
      <c r="G24" s="70">
        <v>83</v>
      </c>
      <c r="H24" s="71">
        <v>22</v>
      </c>
      <c r="I24" s="69">
        <f t="shared" si="1"/>
        <v>0</v>
      </c>
      <c r="J24" s="70"/>
      <c r="K24" s="71"/>
      <c r="L24" s="69">
        <f t="shared" si="2"/>
        <v>0</v>
      </c>
      <c r="M24" s="70"/>
      <c r="N24" s="71"/>
      <c r="O24" s="69">
        <f t="shared" si="3"/>
        <v>0</v>
      </c>
      <c r="P24" s="70"/>
      <c r="Q24" s="71"/>
      <c r="R24" s="69">
        <f t="shared" si="4"/>
        <v>0</v>
      </c>
      <c r="S24" s="70"/>
      <c r="T24" s="71"/>
      <c r="U24" s="69">
        <f t="shared" si="5"/>
        <v>0</v>
      </c>
      <c r="V24" s="70"/>
      <c r="W24" s="71"/>
      <c r="X24" s="69">
        <f t="shared" si="6"/>
        <v>0</v>
      </c>
      <c r="Y24" s="70"/>
      <c r="Z24" s="71"/>
      <c r="AA24" s="69">
        <f t="shared" si="7"/>
        <v>0</v>
      </c>
      <c r="AB24" s="70"/>
      <c r="AC24" s="71"/>
      <c r="AD24" s="69">
        <f t="shared" si="8"/>
        <v>0</v>
      </c>
      <c r="AE24" s="70"/>
      <c r="AF24" s="71"/>
      <c r="AG24" s="69">
        <f t="shared" si="9"/>
        <v>0</v>
      </c>
      <c r="AH24" s="70"/>
      <c r="AI24" s="71"/>
      <c r="AJ24" s="69">
        <f t="shared" si="10"/>
        <v>0</v>
      </c>
      <c r="AK24" s="70"/>
      <c r="AL24" s="71"/>
      <c r="AM24" s="69">
        <f t="shared" si="11"/>
        <v>0</v>
      </c>
      <c r="AN24" s="70"/>
      <c r="AO24" s="71"/>
      <c r="AP24" s="67">
        <f t="shared" si="12"/>
        <v>105</v>
      </c>
      <c r="AQ24" s="8">
        <f t="shared" si="13"/>
        <v>0.546875</v>
      </c>
    </row>
    <row r="25" spans="1:43" ht="18" customHeight="1">
      <c r="A25" s="6"/>
      <c r="B25" s="12" t="s">
        <v>167</v>
      </c>
      <c r="C25" s="66">
        <v>216</v>
      </c>
      <c r="D25" s="67">
        <v>54</v>
      </c>
      <c r="E25" s="68">
        <v>216</v>
      </c>
      <c r="F25" s="69">
        <f t="shared" si="0"/>
        <v>130</v>
      </c>
      <c r="G25" s="70">
        <v>81</v>
      </c>
      <c r="H25" s="71">
        <v>49</v>
      </c>
      <c r="I25" s="69">
        <f t="shared" si="1"/>
        <v>0</v>
      </c>
      <c r="J25" s="70"/>
      <c r="K25" s="71"/>
      <c r="L25" s="69">
        <f t="shared" si="2"/>
        <v>0</v>
      </c>
      <c r="M25" s="70"/>
      <c r="N25" s="71"/>
      <c r="O25" s="69">
        <f t="shared" si="3"/>
        <v>0</v>
      </c>
      <c r="P25" s="70"/>
      <c r="Q25" s="71"/>
      <c r="R25" s="69">
        <f t="shared" si="4"/>
        <v>0</v>
      </c>
      <c r="S25" s="70"/>
      <c r="T25" s="71"/>
      <c r="U25" s="69">
        <f t="shared" si="5"/>
        <v>0</v>
      </c>
      <c r="V25" s="70"/>
      <c r="W25" s="71"/>
      <c r="X25" s="69">
        <f t="shared" si="6"/>
        <v>0</v>
      </c>
      <c r="Y25" s="70"/>
      <c r="Z25" s="71"/>
      <c r="AA25" s="69">
        <f t="shared" si="7"/>
        <v>0</v>
      </c>
      <c r="AB25" s="70"/>
      <c r="AC25" s="71"/>
      <c r="AD25" s="69">
        <f t="shared" si="8"/>
        <v>0</v>
      </c>
      <c r="AE25" s="70"/>
      <c r="AF25" s="71"/>
      <c r="AG25" s="69">
        <f t="shared" si="9"/>
        <v>0</v>
      </c>
      <c r="AH25" s="70"/>
      <c r="AI25" s="71"/>
      <c r="AJ25" s="69">
        <f t="shared" si="10"/>
        <v>0</v>
      </c>
      <c r="AK25" s="70"/>
      <c r="AL25" s="71"/>
      <c r="AM25" s="69">
        <f t="shared" si="11"/>
        <v>0</v>
      </c>
      <c r="AN25" s="70"/>
      <c r="AO25" s="71"/>
      <c r="AP25" s="67">
        <f t="shared" si="12"/>
        <v>130</v>
      </c>
      <c r="AQ25" s="8">
        <f t="shared" si="13"/>
        <v>0.60185185185185186</v>
      </c>
    </row>
    <row r="26" spans="1:43" ht="18" customHeight="1">
      <c r="A26" s="6"/>
      <c r="B26" s="12" t="s">
        <v>166</v>
      </c>
      <c r="C26" s="66">
        <v>260</v>
      </c>
      <c r="D26" s="67">
        <v>60</v>
      </c>
      <c r="E26" s="68">
        <v>240</v>
      </c>
      <c r="F26" s="69">
        <f t="shared" si="0"/>
        <v>125</v>
      </c>
      <c r="G26" s="70">
        <v>101</v>
      </c>
      <c r="H26" s="71">
        <v>24</v>
      </c>
      <c r="I26" s="69">
        <f t="shared" si="1"/>
        <v>0</v>
      </c>
      <c r="J26" s="70"/>
      <c r="K26" s="71"/>
      <c r="L26" s="69">
        <f t="shared" si="2"/>
        <v>0</v>
      </c>
      <c r="M26" s="70"/>
      <c r="N26" s="71"/>
      <c r="O26" s="69">
        <f t="shared" si="3"/>
        <v>0</v>
      </c>
      <c r="P26" s="70"/>
      <c r="Q26" s="71"/>
      <c r="R26" s="69">
        <f t="shared" si="4"/>
        <v>0</v>
      </c>
      <c r="S26" s="70"/>
      <c r="T26" s="71"/>
      <c r="U26" s="69">
        <f t="shared" si="5"/>
        <v>0</v>
      </c>
      <c r="V26" s="70"/>
      <c r="W26" s="71"/>
      <c r="X26" s="69">
        <f t="shared" si="6"/>
        <v>0</v>
      </c>
      <c r="Y26" s="70"/>
      <c r="Z26" s="71"/>
      <c r="AA26" s="69">
        <f t="shared" si="7"/>
        <v>0</v>
      </c>
      <c r="AB26" s="70"/>
      <c r="AC26" s="71"/>
      <c r="AD26" s="69">
        <f t="shared" si="8"/>
        <v>0</v>
      </c>
      <c r="AE26" s="70"/>
      <c r="AF26" s="71"/>
      <c r="AG26" s="69">
        <f t="shared" si="9"/>
        <v>0</v>
      </c>
      <c r="AH26" s="70"/>
      <c r="AI26" s="71"/>
      <c r="AJ26" s="69">
        <f t="shared" si="10"/>
        <v>0</v>
      </c>
      <c r="AK26" s="70"/>
      <c r="AL26" s="71"/>
      <c r="AM26" s="69">
        <f t="shared" si="11"/>
        <v>0</v>
      </c>
      <c r="AN26" s="70"/>
      <c r="AO26" s="71"/>
      <c r="AP26" s="67">
        <f t="shared" si="12"/>
        <v>125</v>
      </c>
      <c r="AQ26" s="8">
        <f t="shared" si="13"/>
        <v>0.52083333333333337</v>
      </c>
    </row>
    <row r="27" spans="1:43" ht="18" customHeight="1">
      <c r="A27" s="6"/>
      <c r="B27" s="12" t="s">
        <v>165</v>
      </c>
      <c r="C27" s="66">
        <v>193</v>
      </c>
      <c r="D27" s="67">
        <v>48</v>
      </c>
      <c r="E27" s="68">
        <v>192</v>
      </c>
      <c r="F27" s="69">
        <f t="shared" si="0"/>
        <v>56</v>
      </c>
      <c r="G27" s="70">
        <v>24</v>
      </c>
      <c r="H27" s="71">
        <v>32</v>
      </c>
      <c r="I27" s="69">
        <f t="shared" si="1"/>
        <v>0</v>
      </c>
      <c r="J27" s="70"/>
      <c r="K27" s="71"/>
      <c r="L27" s="69">
        <f t="shared" si="2"/>
        <v>0</v>
      </c>
      <c r="M27" s="70"/>
      <c r="N27" s="71"/>
      <c r="O27" s="69">
        <f t="shared" si="3"/>
        <v>0</v>
      </c>
      <c r="P27" s="70"/>
      <c r="Q27" s="71"/>
      <c r="R27" s="69">
        <f t="shared" si="4"/>
        <v>0</v>
      </c>
      <c r="S27" s="70"/>
      <c r="T27" s="71"/>
      <c r="U27" s="69">
        <f t="shared" si="5"/>
        <v>0</v>
      </c>
      <c r="V27" s="70"/>
      <c r="W27" s="71"/>
      <c r="X27" s="69">
        <f t="shared" si="6"/>
        <v>0</v>
      </c>
      <c r="Y27" s="70"/>
      <c r="Z27" s="71"/>
      <c r="AA27" s="69">
        <f t="shared" si="7"/>
        <v>0</v>
      </c>
      <c r="AB27" s="70"/>
      <c r="AC27" s="71"/>
      <c r="AD27" s="69">
        <f t="shared" si="8"/>
        <v>0</v>
      </c>
      <c r="AE27" s="70"/>
      <c r="AF27" s="71"/>
      <c r="AG27" s="69">
        <f t="shared" si="9"/>
        <v>0</v>
      </c>
      <c r="AH27" s="70"/>
      <c r="AI27" s="71"/>
      <c r="AJ27" s="69">
        <f t="shared" si="10"/>
        <v>0</v>
      </c>
      <c r="AK27" s="70"/>
      <c r="AL27" s="71"/>
      <c r="AM27" s="69">
        <f t="shared" si="11"/>
        <v>0</v>
      </c>
      <c r="AN27" s="70"/>
      <c r="AO27" s="71"/>
      <c r="AP27" s="67">
        <f t="shared" si="12"/>
        <v>56</v>
      </c>
      <c r="AQ27" s="8">
        <f t="shared" si="13"/>
        <v>0.29166666666666669</v>
      </c>
    </row>
    <row r="28" spans="1:43" ht="18" customHeight="1">
      <c r="A28" s="6"/>
      <c r="B28" s="12" t="s">
        <v>229</v>
      </c>
      <c r="C28" s="66">
        <v>916</v>
      </c>
      <c r="D28" s="67">
        <v>200</v>
      </c>
      <c r="E28" s="68">
        <v>800</v>
      </c>
      <c r="F28" s="69">
        <f t="shared" si="0"/>
        <v>335</v>
      </c>
      <c r="G28" s="70">
        <v>137</v>
      </c>
      <c r="H28" s="71">
        <v>198</v>
      </c>
      <c r="I28" s="69">
        <f t="shared" si="1"/>
        <v>0</v>
      </c>
      <c r="J28" s="70"/>
      <c r="K28" s="71"/>
      <c r="L28" s="69">
        <f t="shared" si="2"/>
        <v>0</v>
      </c>
      <c r="M28" s="70"/>
      <c r="N28" s="71"/>
      <c r="O28" s="69">
        <f t="shared" si="3"/>
        <v>0</v>
      </c>
      <c r="P28" s="70"/>
      <c r="Q28" s="71"/>
      <c r="R28" s="69">
        <f t="shared" si="4"/>
        <v>0</v>
      </c>
      <c r="S28" s="70"/>
      <c r="T28" s="71"/>
      <c r="U28" s="69">
        <f t="shared" si="5"/>
        <v>0</v>
      </c>
      <c r="V28" s="70"/>
      <c r="W28" s="71"/>
      <c r="X28" s="69">
        <f t="shared" si="6"/>
        <v>0</v>
      </c>
      <c r="Y28" s="70"/>
      <c r="Z28" s="71"/>
      <c r="AA28" s="69">
        <f t="shared" si="7"/>
        <v>0</v>
      </c>
      <c r="AB28" s="70"/>
      <c r="AC28" s="71"/>
      <c r="AD28" s="69">
        <f t="shared" si="8"/>
        <v>0</v>
      </c>
      <c r="AE28" s="70"/>
      <c r="AF28" s="71"/>
      <c r="AG28" s="69">
        <f t="shared" si="9"/>
        <v>0</v>
      </c>
      <c r="AH28" s="70"/>
      <c r="AI28" s="71"/>
      <c r="AJ28" s="69">
        <f t="shared" si="10"/>
        <v>0</v>
      </c>
      <c r="AK28" s="70"/>
      <c r="AL28" s="71"/>
      <c r="AM28" s="69">
        <f t="shared" si="11"/>
        <v>0</v>
      </c>
      <c r="AN28" s="70"/>
      <c r="AO28" s="71"/>
      <c r="AP28" s="67">
        <f t="shared" si="12"/>
        <v>335</v>
      </c>
      <c r="AQ28" s="8">
        <f t="shared" si="13"/>
        <v>0.41875000000000001</v>
      </c>
    </row>
    <row r="29" spans="1:43" ht="18" customHeight="1">
      <c r="A29" s="6"/>
      <c r="B29" s="12"/>
      <c r="C29" s="66"/>
      <c r="D29" s="72"/>
      <c r="E29" s="68"/>
      <c r="F29" s="69">
        <f t="shared" si="0"/>
        <v>0</v>
      </c>
      <c r="G29" s="70"/>
      <c r="H29" s="71"/>
      <c r="I29" s="69">
        <f t="shared" si="1"/>
        <v>0</v>
      </c>
      <c r="J29" s="70"/>
      <c r="K29" s="71"/>
      <c r="L29" s="69">
        <f t="shared" si="2"/>
        <v>0</v>
      </c>
      <c r="M29" s="70"/>
      <c r="N29" s="71"/>
      <c r="O29" s="69">
        <f t="shared" si="3"/>
        <v>0</v>
      </c>
      <c r="P29" s="70"/>
      <c r="Q29" s="71"/>
      <c r="R29" s="69">
        <f t="shared" si="4"/>
        <v>0</v>
      </c>
      <c r="S29" s="70"/>
      <c r="T29" s="71"/>
      <c r="U29" s="69">
        <f t="shared" si="5"/>
        <v>0</v>
      </c>
      <c r="V29" s="70"/>
      <c r="W29" s="71"/>
      <c r="X29" s="69">
        <f t="shared" si="6"/>
        <v>0</v>
      </c>
      <c r="Y29" s="70"/>
      <c r="Z29" s="71"/>
      <c r="AA29" s="69">
        <f t="shared" si="7"/>
        <v>0</v>
      </c>
      <c r="AB29" s="70"/>
      <c r="AC29" s="71"/>
      <c r="AD29" s="69">
        <f t="shared" si="8"/>
        <v>0</v>
      </c>
      <c r="AE29" s="70"/>
      <c r="AF29" s="71"/>
      <c r="AG29" s="69">
        <f t="shared" si="9"/>
        <v>0</v>
      </c>
      <c r="AH29" s="70"/>
      <c r="AI29" s="71"/>
      <c r="AJ29" s="69">
        <f t="shared" si="10"/>
        <v>0</v>
      </c>
      <c r="AK29" s="70"/>
      <c r="AL29" s="71"/>
      <c r="AM29" s="69">
        <f t="shared" si="11"/>
        <v>0</v>
      </c>
      <c r="AN29" s="70"/>
      <c r="AO29" s="71"/>
      <c r="AP29" s="72">
        <f t="shared" si="12"/>
        <v>0</v>
      </c>
      <c r="AQ29" s="8" t="e">
        <f t="shared" si="13"/>
        <v>#DIV/0!</v>
      </c>
    </row>
    <row r="30" spans="1:43" ht="18" customHeight="1">
      <c r="A30" s="6"/>
      <c r="B30" s="12"/>
      <c r="C30" s="66"/>
      <c r="D30" s="72"/>
      <c r="E30" s="68"/>
      <c r="F30" s="69">
        <f t="shared" si="0"/>
        <v>0</v>
      </c>
      <c r="G30" s="70"/>
      <c r="H30" s="71"/>
      <c r="I30" s="69">
        <f t="shared" si="1"/>
        <v>0</v>
      </c>
      <c r="J30" s="70"/>
      <c r="K30" s="71"/>
      <c r="L30" s="69">
        <f t="shared" si="2"/>
        <v>0</v>
      </c>
      <c r="M30" s="70"/>
      <c r="N30" s="71"/>
      <c r="O30" s="69">
        <f t="shared" si="3"/>
        <v>0</v>
      </c>
      <c r="P30" s="70"/>
      <c r="Q30" s="71"/>
      <c r="R30" s="69">
        <f t="shared" si="4"/>
        <v>0</v>
      </c>
      <c r="S30" s="70"/>
      <c r="T30" s="71"/>
      <c r="U30" s="69">
        <f t="shared" si="5"/>
        <v>0</v>
      </c>
      <c r="V30" s="70"/>
      <c r="W30" s="71"/>
      <c r="X30" s="69">
        <f t="shared" si="6"/>
        <v>0</v>
      </c>
      <c r="Y30" s="70"/>
      <c r="Z30" s="71"/>
      <c r="AA30" s="69">
        <f t="shared" si="7"/>
        <v>0</v>
      </c>
      <c r="AB30" s="70"/>
      <c r="AC30" s="71"/>
      <c r="AD30" s="69">
        <f t="shared" si="8"/>
        <v>0</v>
      </c>
      <c r="AE30" s="70"/>
      <c r="AF30" s="71"/>
      <c r="AG30" s="69">
        <f t="shared" si="9"/>
        <v>0</v>
      </c>
      <c r="AH30" s="70"/>
      <c r="AI30" s="71"/>
      <c r="AJ30" s="69">
        <f t="shared" si="10"/>
        <v>0</v>
      </c>
      <c r="AK30" s="70"/>
      <c r="AL30" s="71"/>
      <c r="AM30" s="69">
        <f t="shared" si="11"/>
        <v>0</v>
      </c>
      <c r="AN30" s="70"/>
      <c r="AO30" s="71"/>
      <c r="AP30" s="72">
        <f t="shared" si="12"/>
        <v>0</v>
      </c>
      <c r="AQ30" s="8" t="e">
        <f t="shared" si="13"/>
        <v>#DIV/0!</v>
      </c>
    </row>
    <row r="31" spans="1:43" ht="18" customHeight="1" thickBot="1">
      <c r="A31" s="6"/>
      <c r="B31" s="13"/>
      <c r="C31" s="61"/>
      <c r="D31" s="73"/>
      <c r="E31" s="63"/>
      <c r="F31" s="63">
        <f t="shared" si="0"/>
        <v>0</v>
      </c>
      <c r="G31" s="74"/>
      <c r="H31" s="75"/>
      <c r="I31" s="63">
        <f t="shared" si="1"/>
        <v>0</v>
      </c>
      <c r="J31" s="74"/>
      <c r="K31" s="75"/>
      <c r="L31" s="63">
        <f t="shared" si="2"/>
        <v>0</v>
      </c>
      <c r="M31" s="74"/>
      <c r="N31" s="75"/>
      <c r="O31" s="63">
        <f t="shared" si="3"/>
        <v>0</v>
      </c>
      <c r="P31" s="74"/>
      <c r="Q31" s="75"/>
      <c r="R31" s="63">
        <f t="shared" si="4"/>
        <v>0</v>
      </c>
      <c r="S31" s="74"/>
      <c r="T31" s="75"/>
      <c r="U31" s="63">
        <f t="shared" si="5"/>
        <v>0</v>
      </c>
      <c r="V31" s="74"/>
      <c r="W31" s="75"/>
      <c r="X31" s="63">
        <f t="shared" si="6"/>
        <v>0</v>
      </c>
      <c r="Y31" s="74"/>
      <c r="Z31" s="75"/>
      <c r="AA31" s="63">
        <f t="shared" si="7"/>
        <v>0</v>
      </c>
      <c r="AB31" s="74"/>
      <c r="AC31" s="75"/>
      <c r="AD31" s="63">
        <f t="shared" si="8"/>
        <v>0</v>
      </c>
      <c r="AE31" s="74"/>
      <c r="AF31" s="75"/>
      <c r="AG31" s="63">
        <f t="shared" si="9"/>
        <v>0</v>
      </c>
      <c r="AH31" s="74"/>
      <c r="AI31" s="75"/>
      <c r="AJ31" s="63">
        <f t="shared" si="10"/>
        <v>0</v>
      </c>
      <c r="AK31" s="74"/>
      <c r="AL31" s="75"/>
      <c r="AM31" s="63">
        <f t="shared" si="11"/>
        <v>0</v>
      </c>
      <c r="AN31" s="74"/>
      <c r="AO31" s="75"/>
      <c r="AP31" s="73">
        <f t="shared" si="12"/>
        <v>0</v>
      </c>
      <c r="AQ31" s="7" t="e">
        <f t="shared" si="13"/>
        <v>#DIV/0!</v>
      </c>
    </row>
    <row r="32" spans="1:43" ht="18" customHeight="1" thickTop="1">
      <c r="B32" s="14" t="s">
        <v>33</v>
      </c>
      <c r="C32" s="76">
        <f t="shared" ref="C32:AP32" si="14">SUM(C12:C31)</f>
        <v>8798</v>
      </c>
      <c r="D32" s="77">
        <f t="shared" si="14"/>
        <v>2065</v>
      </c>
      <c r="E32" s="78">
        <f t="shared" si="14"/>
        <v>8260</v>
      </c>
      <c r="F32" s="78">
        <f t="shared" si="14"/>
        <v>2943</v>
      </c>
      <c r="G32" s="79">
        <f t="shared" si="14"/>
        <v>1424</v>
      </c>
      <c r="H32" s="80">
        <f t="shared" si="14"/>
        <v>1519</v>
      </c>
      <c r="I32" s="78">
        <f t="shared" si="14"/>
        <v>0</v>
      </c>
      <c r="J32" s="79">
        <f t="shared" si="14"/>
        <v>0</v>
      </c>
      <c r="K32" s="80">
        <f t="shared" si="14"/>
        <v>0</v>
      </c>
      <c r="L32" s="78">
        <f t="shared" si="14"/>
        <v>0</v>
      </c>
      <c r="M32" s="79">
        <f t="shared" si="14"/>
        <v>0</v>
      </c>
      <c r="N32" s="80">
        <f t="shared" si="14"/>
        <v>0</v>
      </c>
      <c r="O32" s="78">
        <f t="shared" si="14"/>
        <v>0</v>
      </c>
      <c r="P32" s="79">
        <f t="shared" si="14"/>
        <v>0</v>
      </c>
      <c r="Q32" s="80">
        <f t="shared" si="14"/>
        <v>0</v>
      </c>
      <c r="R32" s="78">
        <f t="shared" si="14"/>
        <v>0</v>
      </c>
      <c r="S32" s="79">
        <f t="shared" si="14"/>
        <v>0</v>
      </c>
      <c r="T32" s="80">
        <f t="shared" si="14"/>
        <v>0</v>
      </c>
      <c r="U32" s="78">
        <f t="shared" si="14"/>
        <v>0</v>
      </c>
      <c r="V32" s="79">
        <f t="shared" si="14"/>
        <v>0</v>
      </c>
      <c r="W32" s="80">
        <f t="shared" si="14"/>
        <v>0</v>
      </c>
      <c r="X32" s="78">
        <f t="shared" si="14"/>
        <v>0</v>
      </c>
      <c r="Y32" s="79">
        <f t="shared" si="14"/>
        <v>0</v>
      </c>
      <c r="Z32" s="80">
        <f t="shared" si="14"/>
        <v>0</v>
      </c>
      <c r="AA32" s="78">
        <f t="shared" si="14"/>
        <v>0</v>
      </c>
      <c r="AB32" s="79">
        <f t="shared" si="14"/>
        <v>0</v>
      </c>
      <c r="AC32" s="80">
        <f t="shared" si="14"/>
        <v>0</v>
      </c>
      <c r="AD32" s="78">
        <f t="shared" si="14"/>
        <v>0</v>
      </c>
      <c r="AE32" s="79">
        <f t="shared" si="14"/>
        <v>0</v>
      </c>
      <c r="AF32" s="80">
        <f t="shared" si="14"/>
        <v>0</v>
      </c>
      <c r="AG32" s="78">
        <f t="shared" si="14"/>
        <v>0</v>
      </c>
      <c r="AH32" s="79">
        <f t="shared" si="14"/>
        <v>0</v>
      </c>
      <c r="AI32" s="80">
        <f t="shared" si="14"/>
        <v>0</v>
      </c>
      <c r="AJ32" s="78">
        <f t="shared" si="14"/>
        <v>0</v>
      </c>
      <c r="AK32" s="79">
        <f t="shared" si="14"/>
        <v>0</v>
      </c>
      <c r="AL32" s="80">
        <f t="shared" si="14"/>
        <v>0</v>
      </c>
      <c r="AM32" s="78">
        <f t="shared" si="14"/>
        <v>0</v>
      </c>
      <c r="AN32" s="79">
        <f t="shared" si="14"/>
        <v>0</v>
      </c>
      <c r="AO32" s="80">
        <f t="shared" si="14"/>
        <v>0</v>
      </c>
      <c r="AP32" s="77">
        <f t="shared" si="14"/>
        <v>2943</v>
      </c>
      <c r="AQ32" s="9">
        <f t="shared" si="13"/>
        <v>0.35629539951573852</v>
      </c>
    </row>
  </sheetData>
  <mergeCells count="27">
    <mergeCell ref="U10:W10"/>
    <mergeCell ref="X10:Z10"/>
    <mergeCell ref="AA10:AC10"/>
    <mergeCell ref="AD10:AF10"/>
    <mergeCell ref="AG10:AI10"/>
    <mergeCell ref="AD9:AI9"/>
    <mergeCell ref="AJ9:AO9"/>
    <mergeCell ref="AP9:AP11"/>
    <mergeCell ref="AQ9:AQ11"/>
    <mergeCell ref="AM10:AO10"/>
    <mergeCell ref="AJ10:AL10"/>
    <mergeCell ref="AM2:AQ2"/>
    <mergeCell ref="A3:AQ3"/>
    <mergeCell ref="C5:D5"/>
    <mergeCell ref="B9:B11"/>
    <mergeCell ref="C9:C11"/>
    <mergeCell ref="D9:D11"/>
    <mergeCell ref="E9:E11"/>
    <mergeCell ref="F9:K9"/>
    <mergeCell ref="L9:Q9"/>
    <mergeCell ref="R9:W9"/>
    <mergeCell ref="F10:H10"/>
    <mergeCell ref="I10:K10"/>
    <mergeCell ref="L10:N10"/>
    <mergeCell ref="O10:Q10"/>
    <mergeCell ref="R10:T10"/>
    <mergeCell ref="X9:AC9"/>
  </mergeCells>
  <phoneticPr fontId="2"/>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horizontalDpi="300" verticalDpi="300"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42" zoomScaleNormal="100" zoomScaleSheetLayoutView="100" workbookViewId="0">
      <selection activeCell="C50" sqref="C50:D50"/>
    </sheetView>
  </sheetViews>
  <sheetFormatPr defaultColWidth="11.33203125" defaultRowHeight="18.75" customHeight="1"/>
  <cols>
    <col min="1" max="1" width="2.6640625" style="40"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c r="A1" s="40" t="s">
        <v>65</v>
      </c>
      <c r="I1" s="35" t="s">
        <v>106</v>
      </c>
    </row>
    <row r="2" spans="1:9" ht="18.75" customHeight="1">
      <c r="G2" s="35" t="s">
        <v>109</v>
      </c>
      <c r="H2" s="94" t="str">
        <f>'様式１　プログラムを構成する授業科目'!C2</f>
        <v>学習院大学</v>
      </c>
      <c r="I2" s="95"/>
    </row>
    <row r="3" spans="1:9" ht="18.75" customHeight="1">
      <c r="G3" s="35"/>
      <c r="H3" s="10"/>
      <c r="I3" s="10"/>
    </row>
    <row r="4" spans="1:9" ht="18.600000000000001" customHeight="1">
      <c r="A4" s="110" t="s">
        <v>36</v>
      </c>
      <c r="B4" s="110"/>
      <c r="C4" s="110"/>
      <c r="D4" s="110"/>
      <c r="E4" s="110"/>
      <c r="F4" s="110"/>
      <c r="G4" s="110"/>
      <c r="H4" s="110"/>
      <c r="I4" s="110"/>
    </row>
    <row r="5" spans="1:9" ht="13.35" customHeight="1">
      <c r="B5" s="3"/>
      <c r="C5" s="3"/>
      <c r="D5" s="3"/>
      <c r="E5" s="3"/>
      <c r="F5" s="3"/>
      <c r="G5" s="3"/>
      <c r="H5" s="3"/>
      <c r="I5" s="3"/>
    </row>
    <row r="6" spans="1:9" ht="18" customHeight="1">
      <c r="A6" s="1" t="s">
        <v>0</v>
      </c>
      <c r="B6" s="10" t="s">
        <v>91</v>
      </c>
      <c r="C6" s="251" t="s">
        <v>92</v>
      </c>
      <c r="D6" s="251"/>
      <c r="E6" s="34">
        <v>305</v>
      </c>
      <c r="F6" s="3" t="s">
        <v>1</v>
      </c>
      <c r="G6" s="3" t="s">
        <v>2</v>
      </c>
      <c r="H6" s="34">
        <v>772</v>
      </c>
      <c r="I6" s="10" t="s">
        <v>1</v>
      </c>
    </row>
    <row r="7" spans="1:9" ht="12" customHeight="1">
      <c r="C7" s="2"/>
      <c r="D7" s="2"/>
      <c r="E7" s="2"/>
      <c r="F7" s="2"/>
      <c r="G7" s="2"/>
      <c r="H7" s="2"/>
      <c r="I7" s="41"/>
    </row>
    <row r="8" spans="1:9" ht="18" customHeight="1">
      <c r="A8" s="1" t="s">
        <v>3</v>
      </c>
      <c r="B8" s="10" t="s">
        <v>93</v>
      </c>
      <c r="E8" s="3"/>
      <c r="F8" s="3"/>
      <c r="G8" s="3"/>
      <c r="H8" s="34">
        <v>25</v>
      </c>
      <c r="I8" s="10" t="s">
        <v>1</v>
      </c>
    </row>
    <row r="9" spans="1:9" ht="9" customHeight="1">
      <c r="B9" s="3"/>
      <c r="C9" s="3"/>
      <c r="D9" s="3"/>
      <c r="E9" s="3"/>
      <c r="F9" s="3"/>
      <c r="G9" s="3"/>
      <c r="H9" s="3"/>
      <c r="I9" s="3"/>
    </row>
    <row r="10" spans="1:9" ht="18" customHeight="1">
      <c r="A10" s="1" t="s">
        <v>4</v>
      </c>
      <c r="B10" s="10" t="s">
        <v>94</v>
      </c>
      <c r="C10" s="3"/>
      <c r="D10" s="3"/>
      <c r="E10" s="3"/>
      <c r="F10" s="3"/>
      <c r="G10" s="3"/>
      <c r="H10" s="3"/>
      <c r="I10" s="3"/>
    </row>
    <row r="11" spans="1:9" ht="18" customHeight="1">
      <c r="B11" s="35" t="s">
        <v>43</v>
      </c>
      <c r="C11" s="246" t="s">
        <v>193</v>
      </c>
      <c r="D11" s="249"/>
      <c r="E11" s="250"/>
      <c r="F11" s="41"/>
      <c r="G11" s="35" t="s">
        <v>10</v>
      </c>
      <c r="H11" s="246" t="s">
        <v>200</v>
      </c>
      <c r="I11" s="250"/>
    </row>
    <row r="12" spans="1:9" ht="10.35" customHeight="1">
      <c r="B12" s="35"/>
      <c r="C12" s="10"/>
      <c r="D12" s="41"/>
      <c r="E12" s="41"/>
      <c r="F12" s="41"/>
      <c r="G12" s="35"/>
      <c r="H12" s="10"/>
      <c r="I12" s="41"/>
    </row>
    <row r="13" spans="1:9" ht="18" customHeight="1">
      <c r="A13" s="1" t="s">
        <v>7</v>
      </c>
      <c r="B13" s="10" t="s">
        <v>88</v>
      </c>
      <c r="C13" s="3"/>
      <c r="D13" s="3"/>
      <c r="E13" s="3"/>
      <c r="F13" s="3"/>
      <c r="G13" s="3"/>
      <c r="H13" s="3"/>
      <c r="I13" s="3"/>
    </row>
    <row r="14" spans="1:9" ht="18" customHeight="1">
      <c r="B14" s="246" t="s">
        <v>195</v>
      </c>
      <c r="C14" s="247"/>
      <c r="D14" s="247"/>
      <c r="E14" s="247"/>
      <c r="F14" s="247"/>
      <c r="G14" s="247"/>
      <c r="H14" s="247"/>
      <c r="I14" s="248"/>
    </row>
    <row r="15" spans="1:9" ht="9" customHeight="1">
      <c r="B15" s="3"/>
      <c r="C15" s="3"/>
      <c r="D15" s="3"/>
      <c r="E15" s="3"/>
      <c r="F15" s="3"/>
      <c r="G15" s="3"/>
      <c r="H15" s="3"/>
      <c r="I15" s="3"/>
    </row>
    <row r="16" spans="1:9" ht="18" customHeight="1">
      <c r="B16" s="35" t="s">
        <v>43</v>
      </c>
      <c r="C16" s="246" t="s">
        <v>198</v>
      </c>
      <c r="D16" s="249"/>
      <c r="E16" s="250"/>
      <c r="F16" s="41"/>
      <c r="G16" s="35" t="s">
        <v>10</v>
      </c>
      <c r="H16" s="246" t="s">
        <v>199</v>
      </c>
      <c r="I16" s="250"/>
    </row>
    <row r="17" spans="1:9" ht="18" customHeight="1">
      <c r="B17" s="3"/>
      <c r="C17" s="3"/>
      <c r="D17" s="3"/>
      <c r="E17" s="3"/>
      <c r="F17" s="3"/>
      <c r="G17" s="3"/>
      <c r="H17" s="3"/>
      <c r="I17" s="3"/>
    </row>
    <row r="18" spans="1:9" ht="18.75" customHeight="1">
      <c r="A18" s="1" t="s">
        <v>5</v>
      </c>
      <c r="B18" s="1" t="s">
        <v>42</v>
      </c>
      <c r="I18" s="3"/>
    </row>
    <row r="19" spans="1:9" ht="18.75" customHeight="1">
      <c r="A19" s="1"/>
      <c r="B19" s="238" t="s">
        <v>196</v>
      </c>
      <c r="C19" s="239"/>
      <c r="D19" s="239"/>
      <c r="E19" s="239"/>
      <c r="F19" s="239"/>
      <c r="G19" s="239"/>
      <c r="H19" s="239"/>
      <c r="I19" s="240"/>
    </row>
    <row r="20" spans="1:9" ht="7.5" customHeight="1">
      <c r="B20" s="3"/>
      <c r="C20" s="3"/>
      <c r="D20" s="3"/>
      <c r="E20" s="3"/>
      <c r="F20" s="3"/>
      <c r="G20" s="3"/>
      <c r="H20" s="3"/>
      <c r="I20" s="3"/>
    </row>
    <row r="21" spans="1:9" ht="18.75" customHeight="1">
      <c r="A21" s="1" t="s">
        <v>8</v>
      </c>
      <c r="B21" s="1" t="s">
        <v>25</v>
      </c>
    </row>
    <row r="22" spans="1:9" ht="18.75" customHeight="1">
      <c r="A22" s="15"/>
      <c r="B22" s="228" t="s">
        <v>197</v>
      </c>
      <c r="C22" s="229"/>
      <c r="D22" s="229"/>
      <c r="E22" s="229"/>
      <c r="F22" s="229"/>
      <c r="G22" s="229"/>
      <c r="H22" s="229"/>
      <c r="I22" s="230"/>
    </row>
    <row r="23" spans="1:9" ht="18.75" customHeight="1">
      <c r="A23" s="15"/>
      <c r="B23" s="241"/>
      <c r="C23" s="242"/>
      <c r="D23" s="242"/>
      <c r="E23" s="242"/>
      <c r="F23" s="242"/>
      <c r="G23" s="242"/>
      <c r="H23" s="242"/>
      <c r="I23" s="233"/>
    </row>
    <row r="24" spans="1:9" ht="18.75" customHeight="1">
      <c r="A24" s="15"/>
      <c r="B24" s="241"/>
      <c r="C24" s="242"/>
      <c r="D24" s="242"/>
      <c r="E24" s="242"/>
      <c r="F24" s="242"/>
      <c r="G24" s="242"/>
      <c r="H24" s="242"/>
      <c r="I24" s="233"/>
    </row>
    <row r="25" spans="1:9" ht="18.75" customHeight="1">
      <c r="A25" s="15"/>
      <c r="B25" s="241"/>
      <c r="C25" s="242"/>
      <c r="D25" s="242"/>
      <c r="E25" s="242"/>
      <c r="F25" s="242"/>
      <c r="G25" s="242"/>
      <c r="H25" s="242"/>
      <c r="I25" s="233"/>
    </row>
    <row r="26" spans="1:9" ht="18.75" customHeight="1">
      <c r="A26" s="15"/>
      <c r="B26" s="241"/>
      <c r="C26" s="242"/>
      <c r="D26" s="242"/>
      <c r="E26" s="242"/>
      <c r="F26" s="242"/>
      <c r="G26" s="242"/>
      <c r="H26" s="242"/>
      <c r="I26" s="233"/>
    </row>
    <row r="27" spans="1:9" ht="18.75" customHeight="1">
      <c r="A27" s="15"/>
      <c r="B27" s="241"/>
      <c r="C27" s="242"/>
      <c r="D27" s="242"/>
      <c r="E27" s="242"/>
      <c r="F27" s="242"/>
      <c r="G27" s="242"/>
      <c r="H27" s="242"/>
      <c r="I27" s="233"/>
    </row>
    <row r="28" spans="1:9" ht="18.75" customHeight="1">
      <c r="A28" s="15"/>
      <c r="B28" s="241"/>
      <c r="C28" s="242"/>
      <c r="D28" s="242"/>
      <c r="E28" s="242"/>
      <c r="F28" s="242"/>
      <c r="G28" s="242"/>
      <c r="H28" s="242"/>
      <c r="I28" s="233"/>
    </row>
    <row r="29" spans="1:9" ht="18.75" customHeight="1">
      <c r="A29" s="15"/>
      <c r="B29" s="241"/>
      <c r="C29" s="242"/>
      <c r="D29" s="242"/>
      <c r="E29" s="242"/>
      <c r="F29" s="242"/>
      <c r="G29" s="242"/>
      <c r="H29" s="242"/>
      <c r="I29" s="233"/>
    </row>
    <row r="30" spans="1:9" ht="18.75" customHeight="1">
      <c r="A30" s="15"/>
      <c r="B30" s="231"/>
      <c r="C30" s="232"/>
      <c r="D30" s="232"/>
      <c r="E30" s="232"/>
      <c r="F30" s="232"/>
      <c r="G30" s="232"/>
      <c r="H30" s="232"/>
      <c r="I30" s="233"/>
    </row>
    <row r="31" spans="1:9" ht="18.75" customHeight="1">
      <c r="A31" s="15"/>
      <c r="B31" s="231"/>
      <c r="C31" s="232"/>
      <c r="D31" s="232"/>
      <c r="E31" s="232"/>
      <c r="F31" s="232"/>
      <c r="G31" s="232"/>
      <c r="H31" s="232"/>
      <c r="I31" s="233"/>
    </row>
    <row r="32" spans="1:9" ht="18.75" customHeight="1">
      <c r="A32" s="15"/>
      <c r="B32" s="234"/>
      <c r="C32" s="235"/>
      <c r="D32" s="235"/>
      <c r="E32" s="235"/>
      <c r="F32" s="235"/>
      <c r="G32" s="235"/>
      <c r="H32" s="235"/>
      <c r="I32" s="236"/>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228" t="s">
        <v>206</v>
      </c>
      <c r="C35" s="229"/>
      <c r="D35" s="229"/>
      <c r="E35" s="229"/>
      <c r="F35" s="229"/>
      <c r="G35" s="229"/>
      <c r="H35" s="229"/>
      <c r="I35" s="230"/>
    </row>
    <row r="36" spans="1:9" ht="18.75" customHeight="1">
      <c r="A36" s="15"/>
      <c r="B36" s="231"/>
      <c r="C36" s="232"/>
      <c r="D36" s="232"/>
      <c r="E36" s="232"/>
      <c r="F36" s="232"/>
      <c r="G36" s="232"/>
      <c r="H36" s="232"/>
      <c r="I36" s="233"/>
    </row>
    <row r="37" spans="1:9" ht="18.75" customHeight="1">
      <c r="A37" s="15"/>
      <c r="B37" s="231"/>
      <c r="C37" s="232"/>
      <c r="D37" s="232"/>
      <c r="E37" s="232"/>
      <c r="F37" s="232"/>
      <c r="G37" s="232"/>
      <c r="H37" s="232"/>
      <c r="I37" s="233"/>
    </row>
    <row r="38" spans="1:9" ht="18.75" customHeight="1">
      <c r="A38" s="15"/>
      <c r="B38" s="231"/>
      <c r="C38" s="232"/>
      <c r="D38" s="232"/>
      <c r="E38" s="232"/>
      <c r="F38" s="232"/>
      <c r="G38" s="232"/>
      <c r="H38" s="232"/>
      <c r="I38" s="233"/>
    </row>
    <row r="39" spans="1:9" ht="18.75" customHeight="1">
      <c r="A39" s="15"/>
      <c r="B39" s="231"/>
      <c r="C39" s="232"/>
      <c r="D39" s="232"/>
      <c r="E39" s="232"/>
      <c r="F39" s="232"/>
      <c r="G39" s="232"/>
      <c r="H39" s="232"/>
      <c r="I39" s="233"/>
    </row>
    <row r="40" spans="1:9" ht="18.75" customHeight="1">
      <c r="A40" s="15"/>
      <c r="B40" s="231"/>
      <c r="C40" s="232"/>
      <c r="D40" s="232"/>
      <c r="E40" s="232"/>
      <c r="F40" s="232"/>
      <c r="G40" s="232"/>
      <c r="H40" s="232"/>
      <c r="I40" s="233"/>
    </row>
    <row r="41" spans="1:9" ht="18.75" customHeight="1">
      <c r="A41" s="15"/>
      <c r="B41" s="231"/>
      <c r="C41" s="232"/>
      <c r="D41" s="232"/>
      <c r="E41" s="232"/>
      <c r="F41" s="232"/>
      <c r="G41" s="232"/>
      <c r="H41" s="232"/>
      <c r="I41" s="233"/>
    </row>
    <row r="42" spans="1:9" ht="18.75" customHeight="1">
      <c r="A42" s="15"/>
      <c r="B42" s="231"/>
      <c r="C42" s="232"/>
      <c r="D42" s="232"/>
      <c r="E42" s="232"/>
      <c r="F42" s="232"/>
      <c r="G42" s="232"/>
      <c r="H42" s="232"/>
      <c r="I42" s="233"/>
    </row>
    <row r="43" spans="1:9" ht="18.75" customHeight="1">
      <c r="A43" s="15"/>
      <c r="B43" s="231"/>
      <c r="C43" s="232"/>
      <c r="D43" s="232"/>
      <c r="E43" s="232"/>
      <c r="F43" s="232"/>
      <c r="G43" s="232"/>
      <c r="H43" s="232"/>
      <c r="I43" s="233"/>
    </row>
    <row r="44" spans="1:9" ht="18.75" customHeight="1">
      <c r="A44" s="15"/>
      <c r="B44" s="231"/>
      <c r="C44" s="232"/>
      <c r="D44" s="232"/>
      <c r="E44" s="232"/>
      <c r="F44" s="232"/>
      <c r="G44" s="232"/>
      <c r="H44" s="232"/>
      <c r="I44" s="233"/>
    </row>
    <row r="45" spans="1:9" ht="18.75" customHeight="1">
      <c r="A45" s="15"/>
      <c r="B45" s="231"/>
      <c r="C45" s="232"/>
      <c r="D45" s="232"/>
      <c r="E45" s="232"/>
      <c r="F45" s="232"/>
      <c r="G45" s="232"/>
      <c r="H45" s="232"/>
      <c r="I45" s="233"/>
    </row>
    <row r="46" spans="1:9" ht="18.75" customHeight="1">
      <c r="A46" s="15"/>
      <c r="B46" s="234"/>
      <c r="C46" s="235"/>
      <c r="D46" s="235"/>
      <c r="E46" s="235"/>
      <c r="F46" s="235"/>
      <c r="G46" s="235"/>
      <c r="H46" s="235"/>
      <c r="I46" s="236"/>
    </row>
    <row r="47" spans="1:9" ht="7.5" customHeight="1">
      <c r="A47" s="4"/>
      <c r="B47" s="4"/>
      <c r="C47" s="4"/>
      <c r="D47" s="4"/>
      <c r="E47" s="4"/>
      <c r="F47" s="4"/>
      <c r="G47" s="4"/>
      <c r="H47" s="4"/>
      <c r="I47" s="4"/>
    </row>
    <row r="48" spans="1:9" ht="18.75" customHeight="1">
      <c r="A48" s="1" t="s">
        <v>31</v>
      </c>
      <c r="B48" s="1" t="s">
        <v>123</v>
      </c>
    </row>
    <row r="49" spans="1:15" s="3" customFormat="1" ht="18.75" customHeight="1">
      <c r="B49" s="42" t="s">
        <v>89</v>
      </c>
      <c r="C49" s="217">
        <f>'様式２ 履修者等数の実績'!AQ32</f>
        <v>0.35629539951573852</v>
      </c>
      <c r="D49" s="217"/>
      <c r="E49" s="42" t="s">
        <v>66</v>
      </c>
      <c r="F49" s="217">
        <v>0.62</v>
      </c>
      <c r="G49" s="217"/>
      <c r="H49" s="42" t="s">
        <v>67</v>
      </c>
      <c r="I49" s="43">
        <v>0.82</v>
      </c>
      <c r="J49" s="1"/>
      <c r="M49" s="1"/>
      <c r="N49" s="44"/>
    </row>
    <row r="50" spans="1:15" s="3" customFormat="1" ht="18.75" customHeight="1">
      <c r="B50" s="45" t="s">
        <v>68</v>
      </c>
      <c r="C50" s="218">
        <v>0.98</v>
      </c>
      <c r="D50" s="218"/>
      <c r="E50" s="45" t="s">
        <v>90</v>
      </c>
      <c r="F50" s="218">
        <v>0.99</v>
      </c>
      <c r="G50" s="218"/>
      <c r="H50" s="45" t="s">
        <v>69</v>
      </c>
      <c r="I50" s="46">
        <f>'様式２ 履修者等数の実績'!E32</f>
        <v>8260</v>
      </c>
      <c r="J50" s="1"/>
      <c r="M50" s="1"/>
      <c r="N50" s="44"/>
    </row>
    <row r="51" spans="1:15" ht="18.75" customHeight="1">
      <c r="A51" s="1"/>
      <c r="B51" s="243" t="s">
        <v>70</v>
      </c>
      <c r="C51" s="244"/>
      <c r="D51" s="244"/>
      <c r="E51" s="244"/>
      <c r="F51" s="244"/>
      <c r="G51" s="244"/>
      <c r="H51" s="244"/>
      <c r="I51" s="245"/>
      <c r="N51" s="44"/>
      <c r="O51" s="3"/>
    </row>
    <row r="52" spans="1:15" ht="18.75" customHeight="1">
      <c r="A52" s="1"/>
      <c r="B52" s="219" t="s">
        <v>222</v>
      </c>
      <c r="C52" s="220"/>
      <c r="D52" s="220"/>
      <c r="E52" s="220"/>
      <c r="F52" s="220"/>
      <c r="G52" s="220"/>
      <c r="H52" s="220"/>
      <c r="I52" s="221"/>
      <c r="N52" s="44"/>
      <c r="O52" s="3"/>
    </row>
    <row r="53" spans="1:15" ht="18.75" customHeight="1">
      <c r="A53" s="1"/>
      <c r="B53" s="222"/>
      <c r="C53" s="223"/>
      <c r="D53" s="223"/>
      <c r="E53" s="223"/>
      <c r="F53" s="223"/>
      <c r="G53" s="223"/>
      <c r="H53" s="223"/>
      <c r="I53" s="224"/>
      <c r="N53" s="44"/>
      <c r="O53" s="3"/>
    </row>
    <row r="54" spans="1:15" ht="18.75" customHeight="1">
      <c r="A54" s="1"/>
      <c r="B54" s="222"/>
      <c r="C54" s="223"/>
      <c r="D54" s="223"/>
      <c r="E54" s="223"/>
      <c r="F54" s="223"/>
      <c r="G54" s="223"/>
      <c r="H54" s="223"/>
      <c r="I54" s="224"/>
    </row>
    <row r="55" spans="1:15" ht="18.75" customHeight="1">
      <c r="A55" s="1"/>
      <c r="B55" s="222"/>
      <c r="C55" s="223"/>
      <c r="D55" s="223"/>
      <c r="E55" s="223"/>
      <c r="F55" s="223"/>
      <c r="G55" s="223"/>
      <c r="H55" s="223"/>
      <c r="I55" s="224"/>
    </row>
    <row r="56" spans="1:15" ht="18.75" customHeight="1">
      <c r="A56" s="1"/>
      <c r="B56" s="222"/>
      <c r="C56" s="223"/>
      <c r="D56" s="223"/>
      <c r="E56" s="223"/>
      <c r="F56" s="223"/>
      <c r="G56" s="223"/>
      <c r="H56" s="223"/>
      <c r="I56" s="224"/>
    </row>
    <row r="57" spans="1:15" ht="18.75" customHeight="1">
      <c r="A57" s="1"/>
      <c r="B57" s="222"/>
      <c r="C57" s="223"/>
      <c r="D57" s="223"/>
      <c r="E57" s="223"/>
      <c r="F57" s="223"/>
      <c r="G57" s="223"/>
      <c r="H57" s="223"/>
      <c r="I57" s="224"/>
    </row>
    <row r="58" spans="1:15" ht="18.75" customHeight="1">
      <c r="A58" s="1"/>
      <c r="B58" s="222"/>
      <c r="C58" s="223"/>
      <c r="D58" s="223"/>
      <c r="E58" s="223"/>
      <c r="F58" s="223"/>
      <c r="G58" s="223"/>
      <c r="H58" s="223"/>
      <c r="I58" s="224"/>
    </row>
    <row r="59" spans="1:15" ht="7.8" customHeight="1">
      <c r="A59" s="1"/>
      <c r="B59" s="222"/>
      <c r="C59" s="223"/>
      <c r="D59" s="223"/>
      <c r="E59" s="223"/>
      <c r="F59" s="223"/>
      <c r="G59" s="223"/>
      <c r="H59" s="223"/>
      <c r="I59" s="224"/>
    </row>
    <row r="60" spans="1:15" ht="7.8" customHeight="1">
      <c r="A60" s="1"/>
      <c r="B60" s="222"/>
      <c r="C60" s="223"/>
      <c r="D60" s="223"/>
      <c r="E60" s="223"/>
      <c r="F60" s="223"/>
      <c r="G60" s="223"/>
      <c r="H60" s="223"/>
      <c r="I60" s="224"/>
    </row>
    <row r="61" spans="1:15" ht="7.8" customHeight="1">
      <c r="A61" s="1"/>
      <c r="B61" s="222"/>
      <c r="C61" s="223"/>
      <c r="D61" s="223"/>
      <c r="E61" s="223"/>
      <c r="F61" s="223"/>
      <c r="G61" s="223"/>
      <c r="H61" s="223"/>
      <c r="I61" s="224"/>
    </row>
    <row r="62" spans="1:15" ht="7.8" customHeight="1">
      <c r="A62" s="1"/>
      <c r="B62" s="222"/>
      <c r="C62" s="223"/>
      <c r="D62" s="223"/>
      <c r="E62" s="223"/>
      <c r="F62" s="223"/>
      <c r="G62" s="223"/>
      <c r="H62" s="223"/>
      <c r="I62" s="224"/>
    </row>
    <row r="63" spans="1:15" ht="18.75" customHeight="1">
      <c r="A63" s="1"/>
      <c r="B63" s="225"/>
      <c r="C63" s="226"/>
      <c r="D63" s="226"/>
      <c r="E63" s="226"/>
      <c r="F63" s="226"/>
      <c r="G63" s="226"/>
      <c r="H63" s="226"/>
      <c r="I63" s="227"/>
    </row>
    <row r="64" spans="1:15" ht="7.5" customHeight="1">
      <c r="A64" s="15"/>
      <c r="B64" s="15"/>
      <c r="C64" s="15"/>
      <c r="D64" s="15"/>
      <c r="E64" s="15"/>
      <c r="F64" s="15"/>
      <c r="G64" s="15"/>
      <c r="H64" s="15"/>
      <c r="I64" s="15"/>
    </row>
    <row r="65" spans="1:9" ht="18.75" customHeight="1">
      <c r="A65" s="16" t="s">
        <v>34</v>
      </c>
      <c r="B65" s="1" t="s">
        <v>37</v>
      </c>
      <c r="I65" s="16"/>
    </row>
    <row r="66" spans="1:9" ht="18.75" customHeight="1">
      <c r="A66" s="4"/>
      <c r="B66" s="201" t="s">
        <v>233</v>
      </c>
      <c r="C66" s="202"/>
      <c r="D66" s="202"/>
      <c r="E66" s="202"/>
      <c r="F66" s="202"/>
      <c r="G66" s="202"/>
      <c r="H66" s="202"/>
      <c r="I66" s="203"/>
    </row>
    <row r="67" spans="1:9" ht="18.75" customHeight="1">
      <c r="A67" s="4"/>
      <c r="B67" s="204"/>
      <c r="C67" s="205"/>
      <c r="D67" s="205"/>
      <c r="E67" s="205"/>
      <c r="F67" s="205"/>
      <c r="G67" s="205"/>
      <c r="H67" s="205"/>
      <c r="I67" s="206"/>
    </row>
    <row r="68" spans="1:9" ht="18.75" customHeight="1">
      <c r="A68" s="4"/>
      <c r="B68" s="204"/>
      <c r="C68" s="205"/>
      <c r="D68" s="205"/>
      <c r="E68" s="205"/>
      <c r="F68" s="205"/>
      <c r="G68" s="205"/>
      <c r="H68" s="205"/>
      <c r="I68" s="206"/>
    </row>
    <row r="69" spans="1:9" ht="18.75" customHeight="1">
      <c r="A69" s="4"/>
      <c r="B69" s="204"/>
      <c r="C69" s="205"/>
      <c r="D69" s="205"/>
      <c r="E69" s="205"/>
      <c r="F69" s="205"/>
      <c r="G69" s="205"/>
      <c r="H69" s="205"/>
      <c r="I69" s="206"/>
    </row>
    <row r="70" spans="1:9" ht="18.75" customHeight="1">
      <c r="A70" s="4"/>
      <c r="B70" s="204"/>
      <c r="C70" s="205"/>
      <c r="D70" s="205"/>
      <c r="E70" s="205"/>
      <c r="F70" s="205"/>
      <c r="G70" s="205"/>
      <c r="H70" s="205"/>
      <c r="I70" s="206"/>
    </row>
    <row r="71" spans="1:9" ht="18.75" customHeight="1">
      <c r="A71" s="4"/>
      <c r="B71" s="204"/>
      <c r="C71" s="205"/>
      <c r="D71" s="205"/>
      <c r="E71" s="205"/>
      <c r="F71" s="205"/>
      <c r="G71" s="205"/>
      <c r="H71" s="205"/>
      <c r="I71" s="206"/>
    </row>
    <row r="72" spans="1:9" ht="18.75" customHeight="1">
      <c r="A72" s="4"/>
      <c r="B72" s="204"/>
      <c r="C72" s="205"/>
      <c r="D72" s="205"/>
      <c r="E72" s="205"/>
      <c r="F72" s="205"/>
      <c r="G72" s="205"/>
      <c r="H72" s="205"/>
      <c r="I72" s="206"/>
    </row>
    <row r="73" spans="1:9" ht="12.6" customHeight="1">
      <c r="A73" s="4"/>
      <c r="B73" s="204"/>
      <c r="C73" s="205"/>
      <c r="D73" s="205"/>
      <c r="E73" s="205"/>
      <c r="F73" s="205"/>
      <c r="G73" s="205"/>
      <c r="H73" s="205"/>
      <c r="I73" s="206"/>
    </row>
    <row r="74" spans="1:9" ht="12.6" customHeight="1">
      <c r="A74" s="4"/>
      <c r="B74" s="204"/>
      <c r="C74" s="205"/>
      <c r="D74" s="205"/>
      <c r="E74" s="205"/>
      <c r="F74" s="205"/>
      <c r="G74" s="205"/>
      <c r="H74" s="205"/>
      <c r="I74" s="206"/>
    </row>
    <row r="75" spans="1:9" ht="12.6" customHeight="1">
      <c r="A75" s="4"/>
      <c r="B75" s="204"/>
      <c r="C75" s="205"/>
      <c r="D75" s="205"/>
      <c r="E75" s="205"/>
      <c r="F75" s="205"/>
      <c r="G75" s="205"/>
      <c r="H75" s="205"/>
      <c r="I75" s="206"/>
    </row>
    <row r="76" spans="1:9" ht="12.6" customHeight="1">
      <c r="A76" s="4"/>
      <c r="B76" s="204"/>
      <c r="C76" s="205"/>
      <c r="D76" s="205"/>
      <c r="E76" s="205"/>
      <c r="F76" s="205"/>
      <c r="G76" s="205"/>
      <c r="H76" s="205"/>
      <c r="I76" s="206"/>
    </row>
    <row r="77" spans="1:9" ht="18.75" customHeight="1">
      <c r="A77" s="4"/>
      <c r="B77" s="207"/>
      <c r="C77" s="208"/>
      <c r="D77" s="208"/>
      <c r="E77" s="208"/>
      <c r="F77" s="208"/>
      <c r="G77" s="208"/>
      <c r="H77" s="208"/>
      <c r="I77" s="209"/>
    </row>
    <row r="78" spans="1:9" ht="7.5" customHeight="1">
      <c r="A78" s="4"/>
      <c r="B78" s="4"/>
      <c r="C78" s="4"/>
      <c r="D78" s="4"/>
      <c r="E78" s="4"/>
      <c r="F78" s="4"/>
      <c r="G78" s="4"/>
      <c r="H78" s="4"/>
      <c r="I78" s="4"/>
    </row>
    <row r="79" spans="1:9" ht="18.75" customHeight="1">
      <c r="A79" s="1" t="s">
        <v>11</v>
      </c>
      <c r="B79" s="1" t="s">
        <v>41</v>
      </c>
    </row>
    <row r="80" spans="1:9" ht="18.75" customHeight="1">
      <c r="A80" s="1"/>
      <c r="B80" s="201" t="s">
        <v>223</v>
      </c>
      <c r="C80" s="202"/>
      <c r="D80" s="202"/>
      <c r="E80" s="202"/>
      <c r="F80" s="202"/>
      <c r="G80" s="202"/>
      <c r="H80" s="202"/>
      <c r="I80" s="210"/>
    </row>
    <row r="81" spans="1:9" ht="18.75" customHeight="1">
      <c r="A81" s="1"/>
      <c r="B81" s="211"/>
      <c r="C81" s="212"/>
      <c r="D81" s="212"/>
      <c r="E81" s="212"/>
      <c r="F81" s="212"/>
      <c r="G81" s="212"/>
      <c r="H81" s="212"/>
      <c r="I81" s="213"/>
    </row>
    <row r="82" spans="1:9" ht="18.75" customHeight="1">
      <c r="A82" s="1"/>
      <c r="B82" s="211"/>
      <c r="C82" s="212"/>
      <c r="D82" s="212"/>
      <c r="E82" s="212"/>
      <c r="F82" s="212"/>
      <c r="G82" s="212"/>
      <c r="H82" s="212"/>
      <c r="I82" s="213"/>
    </row>
    <row r="83" spans="1:9" ht="18.75" customHeight="1">
      <c r="A83" s="1"/>
      <c r="B83" s="211"/>
      <c r="C83" s="212"/>
      <c r="D83" s="212"/>
      <c r="E83" s="212"/>
      <c r="F83" s="212"/>
      <c r="G83" s="212"/>
      <c r="H83" s="212"/>
      <c r="I83" s="213"/>
    </row>
    <row r="84" spans="1:9" ht="18.75" customHeight="1">
      <c r="A84" s="1"/>
      <c r="B84" s="211"/>
      <c r="C84" s="212"/>
      <c r="D84" s="212"/>
      <c r="E84" s="212"/>
      <c r="F84" s="212"/>
      <c r="G84" s="212"/>
      <c r="H84" s="212"/>
      <c r="I84" s="213"/>
    </row>
    <row r="85" spans="1:9" ht="18.75" customHeight="1">
      <c r="A85" s="1"/>
      <c r="B85" s="211"/>
      <c r="C85" s="212"/>
      <c r="D85" s="212"/>
      <c r="E85" s="212"/>
      <c r="F85" s="212"/>
      <c r="G85" s="212"/>
      <c r="H85" s="212"/>
      <c r="I85" s="213"/>
    </row>
    <row r="86" spans="1:9" ht="12" customHeight="1">
      <c r="A86" s="1"/>
      <c r="B86" s="211"/>
      <c r="C86" s="212"/>
      <c r="D86" s="212"/>
      <c r="E86" s="212"/>
      <c r="F86" s="212"/>
      <c r="G86" s="212"/>
      <c r="H86" s="212"/>
      <c r="I86" s="213"/>
    </row>
    <row r="87" spans="1:9" ht="12" customHeight="1">
      <c r="A87" s="1"/>
      <c r="B87" s="211"/>
      <c r="C87" s="212"/>
      <c r="D87" s="212"/>
      <c r="E87" s="212"/>
      <c r="F87" s="212"/>
      <c r="G87" s="212"/>
      <c r="H87" s="212"/>
      <c r="I87" s="213"/>
    </row>
    <row r="88" spans="1:9" ht="12" customHeight="1">
      <c r="A88" s="1"/>
      <c r="B88" s="211"/>
      <c r="C88" s="212"/>
      <c r="D88" s="212"/>
      <c r="E88" s="212"/>
      <c r="F88" s="212"/>
      <c r="G88" s="212"/>
      <c r="H88" s="212"/>
      <c r="I88" s="213"/>
    </row>
    <row r="89" spans="1:9" ht="12" customHeight="1">
      <c r="A89" s="1"/>
      <c r="B89" s="211"/>
      <c r="C89" s="212"/>
      <c r="D89" s="212"/>
      <c r="E89" s="212"/>
      <c r="F89" s="212"/>
      <c r="G89" s="212"/>
      <c r="H89" s="212"/>
      <c r="I89" s="213"/>
    </row>
    <row r="90" spans="1:9" ht="12" customHeight="1">
      <c r="A90" s="4"/>
      <c r="B90" s="211"/>
      <c r="C90" s="212"/>
      <c r="D90" s="212"/>
      <c r="E90" s="212"/>
      <c r="F90" s="212"/>
      <c r="G90" s="212"/>
      <c r="H90" s="212"/>
      <c r="I90" s="213"/>
    </row>
    <row r="91" spans="1:9" ht="18.75" customHeight="1">
      <c r="A91" s="4"/>
      <c r="B91" s="214"/>
      <c r="C91" s="215"/>
      <c r="D91" s="215"/>
      <c r="E91" s="215"/>
      <c r="F91" s="215"/>
      <c r="G91" s="215"/>
      <c r="H91" s="215"/>
      <c r="I91" s="216"/>
    </row>
    <row r="92" spans="1:9" ht="7.5" customHeight="1">
      <c r="A92" s="4"/>
      <c r="B92" s="4"/>
      <c r="C92" s="4"/>
      <c r="D92" s="4"/>
      <c r="E92" s="4"/>
      <c r="F92" s="4"/>
      <c r="G92" s="4"/>
      <c r="H92" s="4"/>
      <c r="I92" s="4"/>
    </row>
    <row r="93" spans="1:9" ht="18.75" customHeight="1">
      <c r="A93" s="1" t="s">
        <v>44</v>
      </c>
      <c r="B93" s="1" t="s">
        <v>13</v>
      </c>
    </row>
    <row r="94" spans="1:9" ht="18.75" customHeight="1">
      <c r="A94" s="1"/>
      <c r="B94" s="228" t="s">
        <v>224</v>
      </c>
      <c r="C94" s="229"/>
      <c r="D94" s="229"/>
      <c r="E94" s="229"/>
      <c r="F94" s="229"/>
      <c r="G94" s="229"/>
      <c r="H94" s="229"/>
      <c r="I94" s="230"/>
    </row>
    <row r="95" spans="1:9" ht="18.75" customHeight="1">
      <c r="A95" s="1"/>
      <c r="B95" s="231"/>
      <c r="C95" s="232"/>
      <c r="D95" s="232"/>
      <c r="E95" s="232"/>
      <c r="F95" s="232"/>
      <c r="G95" s="232"/>
      <c r="H95" s="232"/>
      <c r="I95" s="233"/>
    </row>
    <row r="96" spans="1:9" ht="18.75" customHeight="1">
      <c r="A96" s="1"/>
      <c r="B96" s="231"/>
      <c r="C96" s="232"/>
      <c r="D96" s="232"/>
      <c r="E96" s="232"/>
      <c r="F96" s="232"/>
      <c r="G96" s="232"/>
      <c r="H96" s="232"/>
      <c r="I96" s="233"/>
    </row>
    <row r="97" spans="1:9" ht="18.75" customHeight="1">
      <c r="A97" s="1"/>
      <c r="B97" s="231"/>
      <c r="C97" s="232"/>
      <c r="D97" s="232"/>
      <c r="E97" s="232"/>
      <c r="F97" s="232"/>
      <c r="G97" s="232"/>
      <c r="H97" s="232"/>
      <c r="I97" s="233"/>
    </row>
    <row r="98" spans="1:9" ht="18.75" customHeight="1">
      <c r="A98" s="1"/>
      <c r="B98" s="231"/>
      <c r="C98" s="232"/>
      <c r="D98" s="232"/>
      <c r="E98" s="232"/>
      <c r="F98" s="232"/>
      <c r="G98" s="232"/>
      <c r="H98" s="232"/>
      <c r="I98" s="233"/>
    </row>
    <row r="99" spans="1:9" ht="18.75" customHeight="1">
      <c r="A99" s="1"/>
      <c r="B99" s="231"/>
      <c r="C99" s="232"/>
      <c r="D99" s="232"/>
      <c r="E99" s="232"/>
      <c r="F99" s="232"/>
      <c r="G99" s="232"/>
      <c r="H99" s="232"/>
      <c r="I99" s="233"/>
    </row>
    <row r="100" spans="1:9" ht="18.75" customHeight="1">
      <c r="A100" s="1"/>
      <c r="B100" s="231"/>
      <c r="C100" s="232"/>
      <c r="D100" s="232"/>
      <c r="E100" s="232"/>
      <c r="F100" s="232"/>
      <c r="G100" s="232"/>
      <c r="H100" s="232"/>
      <c r="I100" s="233"/>
    </row>
    <row r="101" spans="1:9" ht="18.75" customHeight="1">
      <c r="A101" s="1"/>
      <c r="B101" s="231"/>
      <c r="C101" s="232"/>
      <c r="D101" s="232"/>
      <c r="E101" s="232"/>
      <c r="F101" s="232"/>
      <c r="G101" s="232"/>
      <c r="H101" s="232"/>
      <c r="I101" s="233"/>
    </row>
    <row r="102" spans="1:9" ht="18.75" customHeight="1">
      <c r="A102" s="1"/>
      <c r="B102" s="231"/>
      <c r="C102" s="232"/>
      <c r="D102" s="232"/>
      <c r="E102" s="232"/>
      <c r="F102" s="232"/>
      <c r="G102" s="232"/>
      <c r="H102" s="232"/>
      <c r="I102" s="233"/>
    </row>
    <row r="103" spans="1:9" ht="18.75" customHeight="1">
      <c r="A103" s="1"/>
      <c r="B103" s="231"/>
      <c r="C103" s="232"/>
      <c r="D103" s="232"/>
      <c r="E103" s="232"/>
      <c r="F103" s="232"/>
      <c r="G103" s="232"/>
      <c r="H103" s="232"/>
      <c r="I103" s="233"/>
    </row>
    <row r="104" spans="1:9" ht="18.75" customHeight="1">
      <c r="A104" s="1"/>
      <c r="B104" s="231"/>
      <c r="C104" s="232"/>
      <c r="D104" s="232"/>
      <c r="E104" s="232"/>
      <c r="F104" s="232"/>
      <c r="G104" s="232"/>
      <c r="H104" s="232"/>
      <c r="I104" s="233"/>
    </row>
    <row r="105" spans="1:9" ht="18.75" customHeight="1">
      <c r="A105" s="4"/>
      <c r="B105" s="234"/>
      <c r="C105" s="235"/>
      <c r="D105" s="235"/>
      <c r="E105" s="235"/>
      <c r="F105" s="235"/>
      <c r="G105" s="235"/>
      <c r="H105" s="235"/>
      <c r="I105" s="236"/>
    </row>
    <row r="106" spans="1:9" ht="7.5" customHeight="1">
      <c r="A106" s="4"/>
      <c r="B106" s="4"/>
      <c r="C106" s="4"/>
      <c r="D106" s="4"/>
      <c r="E106" s="4"/>
      <c r="F106" s="4"/>
      <c r="G106" s="4"/>
      <c r="H106" s="4"/>
      <c r="I106" s="4"/>
    </row>
    <row r="107" spans="1:9" ht="18.75" customHeight="1">
      <c r="A107" s="1" t="s">
        <v>30</v>
      </c>
      <c r="B107" s="237" t="s">
        <v>46</v>
      </c>
      <c r="C107" s="237"/>
      <c r="D107" s="237"/>
      <c r="E107" s="237"/>
      <c r="F107" s="237"/>
      <c r="G107" s="237"/>
      <c r="H107" s="237"/>
      <c r="I107" s="237"/>
    </row>
    <row r="108" spans="1:9" ht="18.75" customHeight="1">
      <c r="A108" s="4"/>
      <c r="B108" s="228" t="s">
        <v>217</v>
      </c>
      <c r="C108" s="229"/>
      <c r="D108" s="229"/>
      <c r="E108" s="229"/>
      <c r="F108" s="229"/>
      <c r="G108" s="229"/>
      <c r="H108" s="229"/>
      <c r="I108" s="230"/>
    </row>
    <row r="109" spans="1:9" ht="18.75" customHeight="1">
      <c r="A109" s="4"/>
      <c r="B109" s="231"/>
      <c r="C109" s="232"/>
      <c r="D109" s="232"/>
      <c r="E109" s="232"/>
      <c r="F109" s="232"/>
      <c r="G109" s="232"/>
      <c r="H109" s="232"/>
      <c r="I109" s="233"/>
    </row>
    <row r="110" spans="1:9" ht="18.75" customHeight="1">
      <c r="A110" s="4"/>
      <c r="B110" s="231"/>
      <c r="C110" s="232"/>
      <c r="D110" s="232"/>
      <c r="E110" s="232"/>
      <c r="F110" s="232"/>
      <c r="G110" s="232"/>
      <c r="H110" s="232"/>
      <c r="I110" s="233"/>
    </row>
    <row r="111" spans="1:9" ht="18.75" customHeight="1">
      <c r="A111" s="4"/>
      <c r="B111" s="231"/>
      <c r="C111" s="232"/>
      <c r="D111" s="232"/>
      <c r="E111" s="232"/>
      <c r="F111" s="232"/>
      <c r="G111" s="232"/>
      <c r="H111" s="232"/>
      <c r="I111" s="233"/>
    </row>
    <row r="112" spans="1:9" ht="18.75" customHeight="1">
      <c r="A112" s="4"/>
      <c r="B112" s="231"/>
      <c r="C112" s="232"/>
      <c r="D112" s="232"/>
      <c r="E112" s="232"/>
      <c r="F112" s="232"/>
      <c r="G112" s="232"/>
      <c r="H112" s="232"/>
      <c r="I112" s="233"/>
    </row>
    <row r="113" spans="1:9" ht="18.75" customHeight="1">
      <c r="A113" s="4"/>
      <c r="B113" s="231"/>
      <c r="C113" s="232"/>
      <c r="D113" s="232"/>
      <c r="E113" s="232"/>
      <c r="F113" s="232"/>
      <c r="G113" s="232"/>
      <c r="H113" s="232"/>
      <c r="I113" s="233"/>
    </row>
    <row r="114" spans="1:9" ht="18.75" customHeight="1">
      <c r="A114" s="4"/>
      <c r="B114" s="231"/>
      <c r="C114" s="232"/>
      <c r="D114" s="232"/>
      <c r="E114" s="232"/>
      <c r="F114" s="232"/>
      <c r="G114" s="232"/>
      <c r="H114" s="232"/>
      <c r="I114" s="233"/>
    </row>
    <row r="115" spans="1:9" ht="18.75" customHeight="1">
      <c r="A115" s="4"/>
      <c r="B115" s="231"/>
      <c r="C115" s="232"/>
      <c r="D115" s="232"/>
      <c r="E115" s="232"/>
      <c r="F115" s="232"/>
      <c r="G115" s="232"/>
      <c r="H115" s="232"/>
      <c r="I115" s="233"/>
    </row>
    <row r="116" spans="1:9" ht="18.75" customHeight="1">
      <c r="A116" s="4"/>
      <c r="B116" s="231"/>
      <c r="C116" s="232"/>
      <c r="D116" s="232"/>
      <c r="E116" s="232"/>
      <c r="F116" s="232"/>
      <c r="G116" s="232"/>
      <c r="H116" s="232"/>
      <c r="I116" s="233"/>
    </row>
    <row r="117" spans="1:9" ht="18.75" customHeight="1">
      <c r="A117" s="4"/>
      <c r="B117" s="231"/>
      <c r="C117" s="232"/>
      <c r="D117" s="232"/>
      <c r="E117" s="232"/>
      <c r="F117" s="232"/>
      <c r="G117" s="232"/>
      <c r="H117" s="232"/>
      <c r="I117" s="233"/>
    </row>
    <row r="118" spans="1:9" ht="18.75" customHeight="1">
      <c r="A118" s="4"/>
      <c r="B118" s="231"/>
      <c r="C118" s="232"/>
      <c r="D118" s="232"/>
      <c r="E118" s="232"/>
      <c r="F118" s="232"/>
      <c r="G118" s="232"/>
      <c r="H118" s="232"/>
      <c r="I118" s="233"/>
    </row>
    <row r="119" spans="1:9" ht="18.75" customHeight="1">
      <c r="A119" s="4"/>
      <c r="B119" s="234"/>
      <c r="C119" s="235"/>
      <c r="D119" s="235"/>
      <c r="E119" s="235"/>
      <c r="F119" s="235"/>
      <c r="G119" s="235"/>
      <c r="H119" s="235"/>
      <c r="I119" s="236"/>
    </row>
    <row r="120" spans="1:9" ht="7.5" customHeight="1">
      <c r="A120" s="4"/>
      <c r="B120" s="47"/>
      <c r="C120" s="47"/>
      <c r="D120" s="47"/>
      <c r="E120" s="47"/>
      <c r="F120" s="47"/>
      <c r="G120" s="47"/>
      <c r="H120" s="47"/>
      <c r="I120" s="47"/>
    </row>
    <row r="121" spans="1:9" ht="18.75" customHeight="1">
      <c r="A121" s="4"/>
      <c r="B121" s="4"/>
      <c r="C121" s="4"/>
      <c r="D121" s="4"/>
      <c r="E121" s="4"/>
      <c r="F121" s="4"/>
      <c r="G121" s="4"/>
      <c r="H121" s="4"/>
      <c r="I121" s="4"/>
    </row>
    <row r="122" spans="1:9" ht="18.75" customHeight="1">
      <c r="A122" s="4"/>
      <c r="B122" s="4"/>
      <c r="C122" s="4" t="s">
        <v>194</v>
      </c>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4">
      <c r="A133" s="4"/>
      <c r="B133" s="4"/>
      <c r="C133" s="4"/>
      <c r="D133" s="4"/>
      <c r="E133" s="4"/>
      <c r="F133" s="4"/>
      <c r="G133" s="4"/>
      <c r="H133" s="4"/>
      <c r="I133" s="4"/>
    </row>
    <row r="134" spans="1:9" ht="7.5" customHeight="1">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2"/>
  <printOptions horizontalCentered="1"/>
  <pageMargins left="0.59055118110236227" right="0.59055118110236227" top="0.78740157480314965" bottom="0.39370078740157483" header="0.31496062992125984" footer="0.19685039370078741"/>
  <pageSetup paperSize="9" fitToHeight="0" orientation="portrait" copies="3"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130" zoomScaleNormal="100" zoomScaleSheetLayoutView="130" workbookViewId="0">
      <selection activeCell="A16" sqref="A16:XFD16"/>
    </sheetView>
  </sheetViews>
  <sheetFormatPr defaultColWidth="11.33203125" defaultRowHeight="22.5" customHeight="1"/>
  <cols>
    <col min="1" max="3" width="2.6640625" style="1" customWidth="1"/>
    <col min="4" max="4" width="22.109375" style="1" customWidth="1"/>
    <col min="5" max="5" width="30.6640625" style="1" customWidth="1"/>
    <col min="6" max="7" width="7.6640625" style="1" customWidth="1"/>
    <col min="8" max="9" width="30.6640625" style="1" customWidth="1"/>
    <col min="10" max="10" width="4.109375" style="1" customWidth="1"/>
    <col min="11" max="16384" width="11.33203125" style="1"/>
  </cols>
  <sheetData>
    <row r="1" spans="1:9" ht="18.75" customHeight="1">
      <c r="A1" s="1" t="s">
        <v>71</v>
      </c>
      <c r="I1" s="35" t="s">
        <v>105</v>
      </c>
    </row>
    <row r="2" spans="1:9" ht="18.75" customHeight="1">
      <c r="H2" s="35" t="s">
        <v>109</v>
      </c>
      <c r="I2" s="34" t="str">
        <f>'様式１　プログラムを構成する授業科目'!C2</f>
        <v>学習院大学</v>
      </c>
    </row>
    <row r="3" spans="1:9" ht="18.75" customHeight="1">
      <c r="A3" s="110" t="s">
        <v>28</v>
      </c>
      <c r="B3" s="110"/>
      <c r="C3" s="110"/>
      <c r="D3" s="110"/>
      <c r="E3" s="110"/>
      <c r="F3" s="110"/>
      <c r="G3" s="110"/>
      <c r="H3" s="110"/>
      <c r="I3" s="110"/>
    </row>
    <row r="4" spans="1:9" ht="18.75" customHeight="1">
      <c r="A4" s="5"/>
      <c r="B4" s="5"/>
      <c r="C4" s="5"/>
      <c r="D4" s="5"/>
      <c r="E4" s="5"/>
      <c r="F4" s="5"/>
      <c r="G4" s="5"/>
      <c r="H4" s="5"/>
      <c r="I4" s="5"/>
    </row>
    <row r="5" spans="1:9" ht="18.75" customHeight="1">
      <c r="A5" s="1" t="s">
        <v>0</v>
      </c>
      <c r="B5" s="10" t="s">
        <v>95</v>
      </c>
      <c r="C5" s="5"/>
      <c r="D5" s="5"/>
      <c r="E5" s="5"/>
      <c r="F5" s="5"/>
      <c r="G5" s="5"/>
      <c r="H5" s="5"/>
      <c r="I5" s="5"/>
    </row>
    <row r="6" spans="1:9" ht="26.25" customHeight="1">
      <c r="A6" s="5"/>
      <c r="B6" s="246" t="s">
        <v>218</v>
      </c>
      <c r="C6" s="252"/>
      <c r="D6" s="252"/>
      <c r="E6" s="252"/>
      <c r="F6" s="252"/>
      <c r="G6" s="252"/>
      <c r="H6" s="253"/>
      <c r="I6" s="3"/>
    </row>
    <row r="7" spans="1:9" ht="9" customHeight="1">
      <c r="A7" s="5"/>
      <c r="B7" s="10"/>
      <c r="C7" s="10"/>
      <c r="D7" s="10"/>
      <c r="E7" s="10"/>
      <c r="F7" s="10"/>
      <c r="G7" s="10"/>
      <c r="H7" s="10"/>
      <c r="I7" s="3"/>
    </row>
    <row r="8" spans="1:9" ht="18.75" customHeight="1">
      <c r="A8" s="5"/>
      <c r="B8" s="3"/>
      <c r="C8" s="3"/>
      <c r="D8" s="35" t="s">
        <v>43</v>
      </c>
      <c r="E8" s="246" t="s">
        <v>220</v>
      </c>
      <c r="F8" s="249"/>
      <c r="G8" s="250"/>
      <c r="H8" s="246" t="s">
        <v>219</v>
      </c>
      <c r="I8" s="250"/>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4" t="s">
        <v>24</v>
      </c>
      <c r="C11" s="96"/>
      <c r="D11" s="95"/>
      <c r="E11" s="96" t="s">
        <v>26</v>
      </c>
      <c r="F11" s="96"/>
      <c r="G11" s="96"/>
      <c r="H11" s="96"/>
      <c r="I11" s="95"/>
    </row>
    <row r="12" spans="1:9" ht="26.25" customHeight="1">
      <c r="B12" s="49" t="s">
        <v>14</v>
      </c>
      <c r="C12" s="56"/>
      <c r="D12" s="50"/>
      <c r="E12" s="57"/>
      <c r="F12" s="57"/>
      <c r="G12" s="57"/>
      <c r="H12" s="57"/>
      <c r="I12" s="50"/>
    </row>
    <row r="13" spans="1:9" ht="181.8" customHeight="1">
      <c r="B13" s="51"/>
      <c r="C13" s="254" t="s">
        <v>15</v>
      </c>
      <c r="D13" s="255"/>
      <c r="E13" s="256" t="s">
        <v>225</v>
      </c>
      <c r="F13" s="257"/>
      <c r="G13" s="257"/>
      <c r="H13" s="257"/>
      <c r="I13" s="258"/>
    </row>
    <row r="14" spans="1:9" ht="171.6" customHeight="1">
      <c r="B14" s="51"/>
      <c r="C14" s="259" t="s">
        <v>16</v>
      </c>
      <c r="D14" s="260"/>
      <c r="E14" s="256" t="s">
        <v>231</v>
      </c>
      <c r="F14" s="257"/>
      <c r="G14" s="257"/>
      <c r="H14" s="257"/>
      <c r="I14" s="258"/>
    </row>
    <row r="15" spans="1:9" ht="166.8" customHeight="1">
      <c r="B15" s="51"/>
      <c r="C15" s="254" t="s">
        <v>17</v>
      </c>
      <c r="D15" s="255"/>
      <c r="E15" s="256" t="s">
        <v>204</v>
      </c>
      <c r="F15" s="257"/>
      <c r="G15" s="257"/>
      <c r="H15" s="257"/>
      <c r="I15" s="258"/>
    </row>
    <row r="16" spans="1:9" ht="162.6" customHeight="1">
      <c r="B16" s="51"/>
      <c r="C16" s="254" t="s">
        <v>18</v>
      </c>
      <c r="D16" s="255"/>
      <c r="E16" s="256" t="s">
        <v>205</v>
      </c>
      <c r="F16" s="257"/>
      <c r="G16" s="257"/>
      <c r="H16" s="257"/>
      <c r="I16" s="258"/>
    </row>
    <row r="17" spans="2:9" ht="210.75" customHeight="1">
      <c r="B17" s="52"/>
      <c r="C17" s="261" t="s">
        <v>19</v>
      </c>
      <c r="D17" s="262"/>
      <c r="E17" s="263" t="s">
        <v>227</v>
      </c>
      <c r="F17" s="264"/>
      <c r="G17" s="264"/>
      <c r="H17" s="264"/>
      <c r="I17" s="265"/>
    </row>
    <row r="18" spans="2:9" ht="24" customHeight="1">
      <c r="B18" s="49" t="s">
        <v>20</v>
      </c>
      <c r="C18" s="53"/>
      <c r="D18" s="54"/>
      <c r="E18" s="55"/>
      <c r="F18" s="55"/>
      <c r="G18" s="55"/>
      <c r="H18" s="55"/>
      <c r="I18" s="58"/>
    </row>
    <row r="19" spans="2:9" ht="218.25" customHeight="1">
      <c r="B19" s="51"/>
      <c r="C19" s="254" t="s">
        <v>21</v>
      </c>
      <c r="D19" s="255"/>
      <c r="E19" s="257" t="s">
        <v>226</v>
      </c>
      <c r="F19" s="257"/>
      <c r="G19" s="257"/>
      <c r="H19" s="257"/>
      <c r="I19" s="258"/>
    </row>
    <row r="20" spans="2:9" ht="218.25" customHeight="1">
      <c r="B20" s="52"/>
      <c r="C20" s="261" t="s">
        <v>22</v>
      </c>
      <c r="D20" s="262"/>
      <c r="E20" s="264" t="s">
        <v>201</v>
      </c>
      <c r="F20" s="264"/>
      <c r="G20" s="264"/>
      <c r="H20" s="264"/>
      <c r="I20" s="265"/>
    </row>
    <row r="21" spans="2:9" ht="218.25" customHeight="1">
      <c r="B21" s="266" t="s">
        <v>23</v>
      </c>
      <c r="C21" s="267"/>
      <c r="D21" s="268"/>
      <c r="E21" s="269" t="s">
        <v>202</v>
      </c>
      <c r="F21" s="269"/>
      <c r="G21" s="269"/>
      <c r="H21" s="269"/>
      <c r="I21" s="270"/>
    </row>
    <row r="22" spans="2:9" ht="218.25" customHeight="1">
      <c r="B22" s="271" t="s">
        <v>38</v>
      </c>
      <c r="C22" s="272"/>
      <c r="D22" s="273"/>
      <c r="E22" s="274" t="s">
        <v>203</v>
      </c>
      <c r="F22" s="274"/>
      <c r="G22" s="274"/>
      <c r="H22" s="274"/>
      <c r="I22" s="275"/>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4">
    <mergeCell ref="C20:D20"/>
    <mergeCell ref="E20:I20"/>
    <mergeCell ref="B21:D21"/>
    <mergeCell ref="E21:I21"/>
    <mergeCell ref="B22:D22"/>
    <mergeCell ref="E22:I22"/>
    <mergeCell ref="C16:D16"/>
    <mergeCell ref="E16:I16"/>
    <mergeCell ref="C17:D17"/>
    <mergeCell ref="E17:I17"/>
    <mergeCell ref="C19:D19"/>
    <mergeCell ref="E19:I19"/>
    <mergeCell ref="C13:D13"/>
    <mergeCell ref="E13:I13"/>
    <mergeCell ref="C14:D14"/>
    <mergeCell ref="E14:I14"/>
    <mergeCell ref="C15:D15"/>
    <mergeCell ref="E15:I15"/>
    <mergeCell ref="A3:I3"/>
    <mergeCell ref="B6:H6"/>
    <mergeCell ref="E8:G8"/>
    <mergeCell ref="H8:I8"/>
    <mergeCell ref="B11:D11"/>
    <mergeCell ref="E11:I11"/>
  </mergeCells>
  <phoneticPr fontId="2"/>
  <printOptions horizontalCentered="1"/>
  <pageMargins left="0.78740157480314965" right="0.78740157480314965" top="0.78740157480314965" bottom="0.59055118110236227" header="0.31496062992125984" footer="0.31496062992125984"/>
  <pageSetup paperSize="9" scale="63" fitToHeight="0" orientation="portrait" horizontalDpi="300" verticalDpi="300" copies="3"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Takuya Hirano</cp:lastModifiedBy>
  <cp:lastPrinted>2023-07-09T14:51:48Z</cp:lastPrinted>
  <dcterms:created xsi:type="dcterms:W3CDTF">2011-06-14T05:32:50Z</dcterms:created>
  <dcterms:modified xsi:type="dcterms:W3CDTF">2023-07-09T14:52:35Z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