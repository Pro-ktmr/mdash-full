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R:\2_教務担当\その他\学生支援(教務課)\N\地域共創学群\みらい志向プログラム\08 データサイエンス認定制度\作業フォルダ｜認定申請\作業フォルダ｜再提出\"/>
    </mc:Choice>
  </mc:AlternateContent>
  <bookViews>
    <workbookView xWindow="-105" yWindow="-105" windowWidth="18660" windowHeight="6885" firstSheet="1"/>
  </bookViews>
  <sheets>
    <sheet name="様式１　プログラムを構成する授業科目" sheetId="43"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M2" i="40" l="1"/>
  <c r="I2" i="42" l="1"/>
  <c r="H2" i="41"/>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<sst xmlns="http://schemas.openxmlformats.org/spreadsheetml/2006/main" count="373" uniqueCount="192">
  <si>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</si>
  <si>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</si>
  <si>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</si>
  <si>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</si>
  <si>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</si>
  <si>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</si>
  <si>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</si>
  <si>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</si>
  <si>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</si>
  <si>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</si>
  <si>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</si>
  <si>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</si>
  <si>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</si>
  <si>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</si>
  <si>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</si>
  <si>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</si>
  <si>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</si>
  <si>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</si>
  <si>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</si>
  <si>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</si>
  <si>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</si>
  <si>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</si>
  <si>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</si>
  <si>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</si>
  <si>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</si>
  <si>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</si>
  <si>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</si>
  <si>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</si>
  <si>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</si>
  <si>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</si>
  <si>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</si>
  <si>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</si>
  <si>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</si>
  <si>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</si>
  <si>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</si>
  <si>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</si>
  <si>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</si>
  <si>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</si>
  <si>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</si>
  <si>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</si>
  <si>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</si>
  <si>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</si>
  <si>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</si>
  <si>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</si>
  <si>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</si>
  <si>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</si>
  <si>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</si>
  <si>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</si>
  <si>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</si>
  <si>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</si>
  <si>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</si>
  <si>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</si>
  <si>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</si>
  <si>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</si>
  <si>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</si>
  <si>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</si>
  <si>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</si>
  <si>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</si>
  <si>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</si>
  <si>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</si>
  <si>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</si>
  <si>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</si>
  <si>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</si>
  <si>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</si>
  <si>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</si>
  <si>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</si>
  <si>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</si>
  <si>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</si>
  <si>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</si>
  <si>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</si>
  <si>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</si>
  <si>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</si>
  <si>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</si>
  <si>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</si>
  <si>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</si>
  <si>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</si>
  <si>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</si>
  <si>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</si>
  <si>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</si>
  <si>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</si>
  <si>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</si>
  <si>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</si>
  <si>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</si>
  <si>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</si>
  <si>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</si>
  <si>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</si>
  <si>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</si>
  <si>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</si>
  <si>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</si>
  <si>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</si>
  <si>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</si>
  <si>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</si>
  <si>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</si>
  <si>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</si>
  <si>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</si>
  <si>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</si>
  <si>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</si>
  <si>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</si>
  <si>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</si>
  <si>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</si>
  <si>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</si>
  <si>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</si>
  <si>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</si>
  <si>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</si>
  <si>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</si>
  <si>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</si>
  <si>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</si>
  <si>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</si>
  <si>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</si>
  <si>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</si>
  <si>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</si>
  <si>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</si>
  <si>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</si>
  <si>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</si>
  <si>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</si>
  <si>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</si>
  <si>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</si>
  <si>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</si>
  <si>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</si>
  <si>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</si>
  <si>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</si>
  <si>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</si>
  <si>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</si>
  <si>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</si>
  <si>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</si>
  <si>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</si>
  <si>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</si>
  <si>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札幌大学</t>
    <rPh sb="0" eb="4">
      <t>サッポロダイガク</t>
    </rPh>
    <phoneticPr fontId="1"/>
  </si>
  <si>
    <t>データサイエンス「魁」プログラム</t>
    <rPh sb="9" eb="10">
      <t>サキガケ</t>
    </rPh>
    <phoneticPr fontId="1"/>
  </si>
  <si>
    <t>学部・学科によって、修了要件は相違しない</t>
  </si>
  <si>
    <t>地域共創学群</t>
    <rPh sb="0" eb="6">
      <t>チイキキョウソウガクグン</t>
    </rPh>
    <phoneticPr fontId="1"/>
  </si>
  <si>
    <t>令和４</t>
    <rPh sb="0" eb="2">
      <t>レイワ</t>
    </rPh>
    <phoneticPr fontId="1"/>
  </si>
  <si>
    <t>プログラム登録学生が利用できるPCやホワイトボードなどを用意した「データサイエンスラボ」を設置している。また、オンライン学習サービス「Udemy Business」を大学で契約しており、希望者にアカウントを付与し、自学自習に役立ててもらっている。</t>
    <rPh sb="5" eb="9">
      <t>トウロクガクセイ</t>
    </rPh>
    <rPh sb="10" eb="12">
      <t>リヨウ</t>
    </rPh>
    <rPh sb="28" eb="30">
      <t>ヨウイ</t>
    </rPh>
    <rPh sb="45" eb="47">
      <t>セッチ</t>
    </rPh>
    <rPh sb="60" eb="62">
      <t>ガクシュウ</t>
    </rPh>
    <rPh sb="83" eb="85">
      <t>ダイガク</t>
    </rPh>
    <rPh sb="86" eb="88">
      <t>ケイヤク</t>
    </rPh>
    <rPh sb="93" eb="96">
      <t>キボウシャ</t>
    </rPh>
    <rPh sb="103" eb="105">
      <t>フヨ</t>
    </rPh>
    <rPh sb="107" eb="111">
      <t>ジガクジシュウ</t>
    </rPh>
    <rPh sb="112" eb="114">
      <t>ヤクダ</t>
    </rPh>
    <phoneticPr fontId="1"/>
  </si>
  <si>
    <t>オフィスアワーで学生の質問等を受けたり、指導できるようになっている。専任教員、非常勤講師ともにメールアドレスを公開しているため、メールでの質問をすることも可能である。また、データサイエンスラボを利用した指導を行うことも可能。</t>
    <rPh sb="8" eb="10">
      <t>ガクセイ</t>
    </rPh>
    <rPh sb="11" eb="14">
      <t>シツモントウ</t>
    </rPh>
    <rPh sb="15" eb="16">
      <t>ウ</t>
    </rPh>
    <rPh sb="20" eb="22">
      <t>シドウ</t>
    </rPh>
    <rPh sb="34" eb="38">
      <t>センニンキョウイン</t>
    </rPh>
    <rPh sb="39" eb="44">
      <t>ヒジョウキンコウシ</t>
    </rPh>
    <rPh sb="55" eb="57">
      <t>コウカイ</t>
    </rPh>
    <rPh sb="69" eb="71">
      <t>シツモン</t>
    </rPh>
    <rPh sb="77" eb="79">
      <t>カノウ</t>
    </rPh>
    <rPh sb="97" eb="99">
      <t>リヨウ</t>
    </rPh>
    <rPh sb="101" eb="103">
      <t>シドウ</t>
    </rPh>
    <rPh sb="104" eb="105">
      <t>オコナ</t>
    </rPh>
    <rPh sb="109" eb="111">
      <t>カノウ</t>
    </rPh>
    <phoneticPr fontId="1"/>
  </si>
  <si>
    <t>札幌大学教務委員会</t>
    <rPh sb="0" eb="4">
      <t>サッポロダイガク</t>
    </rPh>
    <rPh sb="4" eb="9">
      <t>キョウムイインカイ</t>
    </rPh>
    <phoneticPr fontId="1"/>
  </si>
  <si>
    <t>札幌大学教務委員会に関する学務要領</t>
    <rPh sb="0" eb="4">
      <t>サッポロダイガク</t>
    </rPh>
    <rPh sb="4" eb="9">
      <t>キョウムイインカイ</t>
    </rPh>
    <rPh sb="10" eb="11">
      <t>カン</t>
    </rPh>
    <rPh sb="13" eb="17">
      <t>ガクムヨウリョウ</t>
    </rPh>
    <phoneticPr fontId="1"/>
  </si>
  <si>
    <t>靏　日出郎</t>
    <rPh sb="0" eb="1">
      <t>ツル</t>
    </rPh>
    <rPh sb="2" eb="5">
      <t>ヒデロウ</t>
    </rPh>
    <phoneticPr fontId="1"/>
  </si>
  <si>
    <t>副学長（教務委員長）</t>
    <rPh sb="0" eb="3">
      <t>フクガクチョウ</t>
    </rPh>
    <rPh sb="4" eb="9">
      <t>キョウムイインチョウ</t>
    </rPh>
    <phoneticPr fontId="1"/>
  </si>
  <si>
    <t>大森　義行</t>
    <rPh sb="0" eb="2">
      <t>オオモリ</t>
    </rPh>
    <rPh sb="3" eb="5">
      <t>ヨシユキ</t>
    </rPh>
    <phoneticPr fontId="1"/>
  </si>
  <si>
    <t>学長</t>
    <rPh sb="0" eb="2">
      <t>ガクチョウ</t>
    </rPh>
    <phoneticPr fontId="1"/>
  </si>
  <si>
    <t>本学教務委員会は、学長の命を受け、教育研究協議会のもと、教務などの教育研究に関する重要事項について検討を行うため設置する基幹委員会のひとつとして位置づけられている。
本委員会では、「教育に関する事項」、「その他教務に関する事項」が審議事項として学務要領に規定されている。データサイエンス「魁」プログラムも全専攻横断型教育プログラムとして開講されており、学生の教育に関する事項であることから、本プログラムに関連する事項を教務委員会で取り扱うこととする。</t>
    <rPh sb="0" eb="2">
      <t>ホンガク</t>
    </rPh>
    <rPh sb="2" eb="7">
      <t>キョウムイインカイ</t>
    </rPh>
    <rPh sb="9" eb="11">
      <t>ガクチョウ</t>
    </rPh>
    <rPh sb="12" eb="13">
      <t>メイ</t>
    </rPh>
    <rPh sb="14" eb="15">
      <t>ウ</t>
    </rPh>
    <rPh sb="17" eb="24">
      <t>キョウイクケンキュウキョウギカイ</t>
    </rPh>
    <rPh sb="28" eb="30">
      <t>キョウム</t>
    </rPh>
    <rPh sb="33" eb="37">
      <t>キョウイクケンキュウ</t>
    </rPh>
    <rPh sb="38" eb="39">
      <t>カン</t>
    </rPh>
    <rPh sb="41" eb="45">
      <t>ジュウヨウジコウ</t>
    </rPh>
    <rPh sb="49" eb="51">
      <t>ケントウ</t>
    </rPh>
    <rPh sb="52" eb="53">
      <t>オコナ</t>
    </rPh>
    <rPh sb="56" eb="58">
      <t>セッチ</t>
    </rPh>
    <rPh sb="60" eb="65">
      <t>キカンイインカイ</t>
    </rPh>
    <rPh sb="72" eb="74">
      <t>イチ</t>
    </rPh>
    <rPh sb="83" eb="87">
      <t>ホンイインカイ</t>
    </rPh>
    <rPh sb="91" eb="93">
      <t>キョウイク</t>
    </rPh>
    <rPh sb="94" eb="95">
      <t>カン</t>
    </rPh>
    <rPh sb="97" eb="99">
      <t>ジコウ</t>
    </rPh>
    <rPh sb="104" eb="105">
      <t>ホカ</t>
    </rPh>
    <rPh sb="105" eb="107">
      <t>キョウム</t>
    </rPh>
    <rPh sb="108" eb="109">
      <t>カン</t>
    </rPh>
    <rPh sb="111" eb="113">
      <t>ジコウ</t>
    </rPh>
    <rPh sb="115" eb="119">
      <t>シンギジコウ</t>
    </rPh>
    <rPh sb="122" eb="126">
      <t>ガクムヨウリョウ</t>
    </rPh>
    <rPh sb="127" eb="129">
      <t>キテイ</t>
    </rPh>
    <rPh sb="144" eb="145">
      <t>サキガケ</t>
    </rPh>
    <rPh sb="152" eb="158">
      <t>ゼンセンコウオウダンガタ</t>
    </rPh>
    <rPh sb="158" eb="160">
      <t>キョウイク</t>
    </rPh>
    <rPh sb="168" eb="170">
      <t>カイコウ</t>
    </rPh>
    <rPh sb="176" eb="178">
      <t>ガクセイ</t>
    </rPh>
    <rPh sb="179" eb="181">
      <t>キョウイク</t>
    </rPh>
    <rPh sb="182" eb="183">
      <t>カン</t>
    </rPh>
    <rPh sb="185" eb="187">
      <t>ジコウ</t>
    </rPh>
    <rPh sb="215" eb="216">
      <t>ト</t>
    </rPh>
    <rPh sb="217" eb="218">
      <t>アツカ</t>
    </rPh>
    <phoneticPr fontId="1"/>
  </si>
  <si>
    <t>本プログラムは、2022年度より開始した「みらい志向プログラム」のひとつとして開講されている。みらい志向プログラムは、「全専攻横断型プログラム」であり、地域共創学群にある専攻のいずれに所属していても受講可能なプログラムとなっている。また、プログラムに設定されている科目は全学に開放されている。</t>
    <rPh sb="0" eb="1">
      <t>ホン</t>
    </rPh>
    <rPh sb="12" eb="14">
      <t>ネンド</t>
    </rPh>
    <rPh sb="16" eb="18">
      <t>カイシ</t>
    </rPh>
    <rPh sb="24" eb="26">
      <t>シコウ</t>
    </rPh>
    <rPh sb="39" eb="41">
      <t>カイコウ</t>
    </rPh>
    <rPh sb="50" eb="52">
      <t>シコウ</t>
    </rPh>
    <rPh sb="60" eb="66">
      <t>ゼンセンコウオウダンガタ</t>
    </rPh>
    <rPh sb="76" eb="82">
      <t>チイキキョウソウガクグン</t>
    </rPh>
    <rPh sb="85" eb="87">
      <t>センコウ</t>
    </rPh>
    <rPh sb="92" eb="94">
      <t>ショゾク</t>
    </rPh>
    <rPh sb="99" eb="103">
      <t>ジュコウカノウ</t>
    </rPh>
    <rPh sb="125" eb="127">
      <t>セッテイ</t>
    </rPh>
    <rPh sb="132" eb="134">
      <t>カモク</t>
    </rPh>
    <rPh sb="135" eb="137">
      <t>ゼンガク</t>
    </rPh>
    <rPh sb="138" eb="140">
      <t>カイホウ</t>
    </rPh>
    <phoneticPr fontId="1"/>
  </si>
  <si>
    <t>学生の授業アンケートからは，概ね授業内容を理解したと自己評価している学生は専門科目は約80%，基盤教育科目では約66%であった。授業に対する参加意識，理解状況は概ね好調であったことが伺える。また，アンケートの自由記述欄から授業に対する満足度が高かったことも伺える。「実際にAIを使った授業が良かった」「もっと学びたい」（人工知能概論），「自分で考えてやることが多く最後まで考えることができた」（データサイエンス演習I），「データサイエンスについて深く学べる授業だった」「興味のある分野を学べて良かった」「具体例がわかりやすい」（データサイエンス学），など教育プログラムに対する関心と達成感を感じている様子であった。</t>
    <rPh sb="0" eb="2">
      <t xml:space="preserve">ガクセイノジュギョウアンケートカラハ </t>
    </rPh>
    <rPh sb="14" eb="15">
      <t xml:space="preserve">オオムネ </t>
    </rPh>
    <rPh sb="16" eb="20">
      <t xml:space="preserve">ジュギョウナイヨウヲ </t>
    </rPh>
    <rPh sb="21" eb="23">
      <t xml:space="preserve">リカイシタト </t>
    </rPh>
    <rPh sb="26" eb="30">
      <t xml:space="preserve">ジコヒョウカ </t>
    </rPh>
    <rPh sb="37" eb="41">
      <t xml:space="preserve">センモンカモク </t>
    </rPh>
    <rPh sb="42" eb="43">
      <t xml:space="preserve">ヤク </t>
    </rPh>
    <rPh sb="47" eb="53">
      <t xml:space="preserve">キバンキョウイクカモク </t>
    </rPh>
    <rPh sb="55" eb="56">
      <t xml:space="preserve">ヤク </t>
    </rPh>
    <rPh sb="64" eb="66">
      <t xml:space="preserve">ジュギョウニタイスル </t>
    </rPh>
    <rPh sb="70" eb="74">
      <t xml:space="preserve">サンカイシキ </t>
    </rPh>
    <rPh sb="75" eb="77">
      <t xml:space="preserve">リカイ </t>
    </rPh>
    <rPh sb="77" eb="79">
      <t xml:space="preserve">ジョウキョウ </t>
    </rPh>
    <rPh sb="80" eb="81">
      <t xml:space="preserve">オオムネ </t>
    </rPh>
    <rPh sb="82" eb="84">
      <t xml:space="preserve">コウチョウ </t>
    </rPh>
    <rPh sb="91" eb="92">
      <t xml:space="preserve">ウカガエル </t>
    </rPh>
    <rPh sb="277" eb="279">
      <t xml:space="preserve">キョウイクプログラム </t>
    </rPh>
    <rPh sb="288" eb="290">
      <t xml:space="preserve">カンシン </t>
    </rPh>
    <rPh sb="291" eb="294">
      <t xml:space="preserve">タッセイカン </t>
    </rPh>
    <rPh sb="295" eb="296">
      <t xml:space="preserve">カンジテイル </t>
    </rPh>
    <rPh sb="300" eb="302">
      <t xml:space="preserve">ヨウス </t>
    </rPh>
    <phoneticPr fontId="1"/>
  </si>
  <si>
    <t>当該教育プログラムは，理系学生だけではなく文系学生にも有用であることを年間を通じて複数回丁寧に説明する予定である。基盤教育科目である「データサイエンス学」の履修者は，2022年度は一般学生も含めて429人であった。今年度の2023年度は590人に増加している。基盤教育科目においてデータサイエンスやAIの基本的概念や興味深い事項について広く告知し，当該教育プログラムの履修に参加しようとする学生を増やしていきたい。</t>
    <rPh sb="0" eb="4">
      <t xml:space="preserve">トウガイキョウイクプログラム </t>
    </rPh>
    <rPh sb="11" eb="13">
      <t xml:space="preserve">リケイ </t>
    </rPh>
    <rPh sb="13" eb="15">
      <t xml:space="preserve">ガクセイダケデハナク </t>
    </rPh>
    <rPh sb="21" eb="23">
      <t xml:space="preserve">ブンケイ </t>
    </rPh>
    <rPh sb="23" eb="25">
      <t xml:space="preserve">ガクセイ </t>
    </rPh>
    <rPh sb="27" eb="29">
      <t xml:space="preserve">ユウヨウデアル </t>
    </rPh>
    <rPh sb="35" eb="37">
      <t xml:space="preserve">ネンカンヲ </t>
    </rPh>
    <rPh sb="38" eb="39">
      <t xml:space="preserve">ツウジテ </t>
    </rPh>
    <rPh sb="41" eb="44">
      <t xml:space="preserve">フクスウカイ </t>
    </rPh>
    <rPh sb="44" eb="46">
      <t xml:space="preserve">テイネイニ </t>
    </rPh>
    <rPh sb="47" eb="49">
      <t xml:space="preserve">セツメイ </t>
    </rPh>
    <rPh sb="57" eb="63">
      <t xml:space="preserve">キバンキョウイクカモクデアル </t>
    </rPh>
    <rPh sb="78" eb="81">
      <t xml:space="preserve">リシュウシャ </t>
    </rPh>
    <rPh sb="87" eb="89">
      <t xml:space="preserve">ネンド </t>
    </rPh>
    <rPh sb="90" eb="94">
      <t xml:space="preserve">イッパンガクセイモフクメテ </t>
    </rPh>
    <rPh sb="101" eb="102">
      <t xml:space="preserve">ニン </t>
    </rPh>
    <rPh sb="107" eb="110">
      <t xml:space="preserve">コンネンドノ </t>
    </rPh>
    <rPh sb="115" eb="117">
      <t xml:space="preserve">ネンド </t>
    </rPh>
    <rPh sb="121" eb="122">
      <t xml:space="preserve">ニン </t>
    </rPh>
    <rPh sb="123" eb="125">
      <t xml:space="preserve">ゾウカシテイル </t>
    </rPh>
    <rPh sb="130" eb="136">
      <t xml:space="preserve">キバンキョウイクカモク </t>
    </rPh>
    <rPh sb="152" eb="157">
      <t xml:space="preserve">キホンテキガイネン </t>
    </rPh>
    <rPh sb="158" eb="161">
      <t xml:space="preserve">キョウミフカイ </t>
    </rPh>
    <rPh sb="162" eb="164">
      <t xml:space="preserve">ジコウ </t>
    </rPh>
    <rPh sb="168" eb="169">
      <t xml:space="preserve">ヒロク </t>
    </rPh>
    <rPh sb="170" eb="172">
      <t xml:space="preserve">コクチシ </t>
    </rPh>
    <rPh sb="174" eb="178">
      <t xml:space="preserve">トウガイキョウイクプログラム </t>
    </rPh>
    <rPh sb="184" eb="186">
      <t xml:space="preserve">リシュウニ </t>
    </rPh>
    <rPh sb="187" eb="189">
      <t xml:space="preserve">サンカシヨウトスル </t>
    </rPh>
    <rPh sb="195" eb="197">
      <t xml:space="preserve">ガクセイ </t>
    </rPh>
    <rPh sb="198" eb="199">
      <t xml:space="preserve">フヤシテイキタイ </t>
    </rPh>
    <phoneticPr fontId="1"/>
  </si>
  <si>
    <t>2022年度から当該教育プログラムはスタートしたため，現在はまだ修了者は出ていない。しかし，学外からの期待は順調に高まっている。たとえば，近隣の小学校の課外活動で行われているプログラミング教室のティーチングアシスタントとしてのオファーや企業と本学が共催している地域住民へのプログラミング体験教室でのアシスタントとして一定の評価を得ている。こうした体験は，学生自身にとって，自らの知識・スキルをより高いレベルへ昇華する良いきっかけとなることが期待できる。</t>
    <rPh sb="4" eb="6">
      <t xml:space="preserve">ネンド </t>
    </rPh>
    <rPh sb="8" eb="12">
      <t xml:space="preserve">トウガイキョウイクプログラム </t>
    </rPh>
    <rPh sb="27" eb="29">
      <t xml:space="preserve">ゲンザイ </t>
    </rPh>
    <rPh sb="32" eb="35">
      <t xml:space="preserve">シュウリョウシャ </t>
    </rPh>
    <rPh sb="36" eb="37">
      <t xml:space="preserve">デテイナイ </t>
    </rPh>
    <rPh sb="46" eb="48">
      <t xml:space="preserve">ガクガイカラノ </t>
    </rPh>
    <rPh sb="51" eb="53">
      <t xml:space="preserve">キタイ </t>
    </rPh>
    <rPh sb="54" eb="56">
      <t xml:space="preserve">ジュンチョウニ </t>
    </rPh>
    <rPh sb="57" eb="58">
      <t xml:space="preserve">タカマッテイル </t>
    </rPh>
    <rPh sb="69" eb="71">
      <t xml:space="preserve">キンリンノ </t>
    </rPh>
    <rPh sb="72" eb="75">
      <t xml:space="preserve">ショウガッコウ </t>
    </rPh>
    <rPh sb="76" eb="80">
      <t xml:space="preserve">カガイカツドウ </t>
    </rPh>
    <rPh sb="81" eb="82">
      <t xml:space="preserve">オコナワレテイル </t>
    </rPh>
    <rPh sb="94" eb="96">
      <t xml:space="preserve">キョウシツ </t>
    </rPh>
    <rPh sb="118" eb="120">
      <t xml:space="preserve">キギョウガ </t>
    </rPh>
    <rPh sb="121" eb="123">
      <t xml:space="preserve">ホンガク </t>
    </rPh>
    <rPh sb="124" eb="126">
      <t xml:space="preserve">キョウサイ </t>
    </rPh>
    <rPh sb="130" eb="134">
      <t xml:space="preserve">チイキジュウミン </t>
    </rPh>
    <rPh sb="143" eb="147">
      <t xml:space="preserve">タイケンキョウシツ </t>
    </rPh>
    <rPh sb="158" eb="160">
      <t xml:space="preserve">イッテイノ </t>
    </rPh>
    <rPh sb="161" eb="163">
      <t xml:space="preserve">ヒョウカヲエテイル </t>
    </rPh>
    <rPh sb="173" eb="175">
      <t xml:space="preserve">タイケン </t>
    </rPh>
    <rPh sb="177" eb="181">
      <t xml:space="preserve">ガクセイジシンニトッテ </t>
    </rPh>
    <rPh sb="186" eb="187">
      <t xml:space="preserve">ミズカラノチシキ </t>
    </rPh>
    <rPh sb="198" eb="199">
      <t xml:space="preserve">タカイレベルヘ </t>
    </rPh>
    <rPh sb="204" eb="206">
      <t xml:space="preserve">ショウカスル </t>
    </rPh>
    <rPh sb="208" eb="209">
      <t xml:space="preserve">ヨイキッカケ </t>
    </rPh>
    <rPh sb="220" eb="222">
      <t xml:space="preserve">キタイデキル </t>
    </rPh>
    <phoneticPr fontId="1"/>
  </si>
  <si>
    <t>身近で具体的な事物・事象を観察し，それを記号化しデータとして蓄積し，そこに秘められた理を明らかにしていくことの楽しみを体験してもらえる機会をつくる。たとえば，特定のスポーツ競技のためのトレーニング方法の相違がその後の身体の変化にどのように影響するかや，試合での戦略・戦術を変更した場合の勝率への影響を分析したりすることで，数理・データサイエンス・AIに興味・関心を持ってもらう。</t>
    <rPh sb="0" eb="2">
      <t xml:space="preserve">ミジカデ </t>
    </rPh>
    <rPh sb="3" eb="6">
      <t xml:space="preserve">グタイテキナ </t>
    </rPh>
    <rPh sb="7" eb="9">
      <t xml:space="preserve">ジブツ・ジショウ </t>
    </rPh>
    <rPh sb="13" eb="15">
      <t xml:space="preserve">カンサツシ </t>
    </rPh>
    <rPh sb="20" eb="23">
      <t xml:space="preserve">キゴウカシ </t>
    </rPh>
    <rPh sb="30" eb="32">
      <t xml:space="preserve">チクセキシ </t>
    </rPh>
    <rPh sb="37" eb="38">
      <t xml:space="preserve">ヒメラレタ </t>
    </rPh>
    <rPh sb="44" eb="45">
      <t xml:space="preserve">アキラカニシテイク </t>
    </rPh>
    <rPh sb="55" eb="56">
      <t xml:space="preserve">タノシミ </t>
    </rPh>
    <rPh sb="59" eb="61">
      <t xml:space="preserve">タイケン </t>
    </rPh>
    <rPh sb="67" eb="69">
      <t xml:space="preserve">キカイ </t>
    </rPh>
    <rPh sb="79" eb="80">
      <t xml:space="preserve">トクテイノ </t>
    </rPh>
    <rPh sb="85" eb="87">
      <t xml:space="preserve">キョウギ </t>
    </rPh>
    <rPh sb="97" eb="99">
      <t xml:space="preserve">ホウホウ </t>
    </rPh>
    <rPh sb="101" eb="103">
      <t xml:space="preserve">ソウイガ </t>
    </rPh>
    <rPh sb="108" eb="110">
      <t xml:space="preserve">シンタイノ </t>
    </rPh>
    <rPh sb="111" eb="113">
      <t xml:space="preserve">ヘンカニドノヨウニ </t>
    </rPh>
    <rPh sb="119" eb="121">
      <t xml:space="preserve">エイキョウスルカ </t>
    </rPh>
    <rPh sb="124" eb="127">
      <t xml:space="preserve">シアイデノ </t>
    </rPh>
    <rPh sb="136" eb="138">
      <t xml:space="preserve">ヘンコウシタ </t>
    </rPh>
    <rPh sb="140" eb="142">
      <t xml:space="preserve">バアイノ </t>
    </rPh>
    <rPh sb="143" eb="145">
      <t xml:space="preserve">ショウリツ </t>
    </rPh>
    <rPh sb="147" eb="149">
      <t xml:space="preserve">エイキョウ </t>
    </rPh>
    <rPh sb="150" eb="152">
      <t xml:space="preserve">ブンセキシタリ </t>
    </rPh>
    <rPh sb="161" eb="163">
      <t xml:space="preserve">スウリ・データサイエンス </t>
    </rPh>
    <rPh sb="176" eb="178">
      <t xml:space="preserve">キョウミ </t>
    </rPh>
    <rPh sb="179" eb="181">
      <t xml:space="preserve">カンシン </t>
    </rPh>
    <rPh sb="182" eb="183">
      <t xml:space="preserve">モッテモラウ センリャク </t>
    </rPh>
    <phoneticPr fontId="1"/>
  </si>
  <si>
    <t>一つ一つの授業において，学生の目線に立ったわかりやすい授業を心がけるために，毎時の授業の達成目標，自己評価のための練習課題，理論と実践の連携を心がけている。その結果として，授業の学生アンケートでは，「わかりやすい」という反応が返ってきている。多くの異なるレディネスを持った学生が授業を十分に消化できる補助として，本学ではe-Learningシステムの一つであるUdemy Businessを希望する学生に提供している。</t>
    <rPh sb="0" eb="1">
      <t xml:space="preserve">ヒトツヒトツノ </t>
    </rPh>
    <rPh sb="5" eb="7">
      <t xml:space="preserve">ジュギョウ </t>
    </rPh>
    <rPh sb="12" eb="14">
      <t xml:space="preserve">ガクセイノ </t>
    </rPh>
    <rPh sb="15" eb="17">
      <t xml:space="preserve">メセンニタッタ </t>
    </rPh>
    <rPh sb="27" eb="29">
      <t xml:space="preserve">ジュギョウヲココロガケルタメニ </t>
    </rPh>
    <rPh sb="38" eb="40">
      <t xml:space="preserve">マイジノ </t>
    </rPh>
    <rPh sb="41" eb="43">
      <t xml:space="preserve">ジュギョウノ </t>
    </rPh>
    <rPh sb="44" eb="48">
      <t xml:space="preserve">タッセイモクヒョウ </t>
    </rPh>
    <rPh sb="49" eb="53">
      <t xml:space="preserve">ジコヒョウカ </t>
    </rPh>
    <rPh sb="57" eb="61">
      <t xml:space="preserve">レンシュウカダイ </t>
    </rPh>
    <rPh sb="62" eb="64">
      <t xml:space="preserve">リロン </t>
    </rPh>
    <rPh sb="65" eb="67">
      <t xml:space="preserve">ジッセン </t>
    </rPh>
    <rPh sb="68" eb="70">
      <t xml:space="preserve">レンケイ </t>
    </rPh>
    <rPh sb="71" eb="72">
      <t xml:space="preserve">ココロガケテ </t>
    </rPh>
    <rPh sb="86" eb="88">
      <t xml:space="preserve">カクジュギョウ </t>
    </rPh>
    <rPh sb="89" eb="91">
      <t xml:space="preserve">ガクセイアンケート </t>
    </rPh>
    <rPh sb="110" eb="112">
      <t xml:space="preserve">ハンノウガ </t>
    </rPh>
    <rPh sb="113" eb="114">
      <t xml:space="preserve">カエッテキテイル </t>
    </rPh>
    <rPh sb="121" eb="122">
      <t xml:space="preserve">オオクノコトナッタ </t>
    </rPh>
    <rPh sb="124" eb="125">
      <t xml:space="preserve">コトナル </t>
    </rPh>
    <rPh sb="133" eb="134">
      <t xml:space="preserve">モッタ </t>
    </rPh>
    <rPh sb="136" eb="138">
      <t xml:space="preserve">ガクセイ </t>
    </rPh>
    <rPh sb="139" eb="141">
      <t xml:space="preserve">ジュギョウヲ </t>
    </rPh>
    <rPh sb="142" eb="144">
      <t xml:space="preserve">ジュウブンニ </t>
    </rPh>
    <rPh sb="145" eb="147">
      <t xml:space="preserve">ショウカデキルヨウニ </t>
    </rPh>
    <rPh sb="156" eb="158">
      <t xml:space="preserve">ホンガクデハ </t>
    </rPh>
    <rPh sb="195" eb="197">
      <t xml:space="preserve">キボウスル </t>
    </rPh>
    <rPh sb="199" eb="201">
      <t xml:space="preserve">ガクセイ </t>
    </rPh>
    <rPh sb="202" eb="204">
      <t xml:space="preserve">テイキョウシテイル </t>
    </rPh>
    <phoneticPr fontId="1"/>
  </si>
  <si>
    <t>・適切なデータを入手する能力
・ データに対する適切な処理手順を指示する能力
・分析結果を正しく解釈し、報告する能力</t>
    <rPh sb="52" eb="54">
      <t>ホウコク</t>
    </rPh>
    <phoneticPr fontId="1"/>
  </si>
  <si>
    <t>＜データサイエンス学＞データサイエンスのサイクル（課題抽出と定式化、データの取得・管理・加工、探索的データ解析、データ解析と推論、結果の共有・伝達、課題解決に向けた提案）（10回目）
＜データサイエンス演習Ⅰ＞データサイエンスのサイクル(2回目)、流通、製造、金融、サービス、インフラ、公共、ヘルスケアなどにおけるデータ・AI利活用事例紹介(4回目)
＜人工知能概論＞流通、製造、金融、サービス、インフラ、公共、ヘルスケアなどにおけるデータ・AI利活用事例紹介(4,14回目)</t>
    <rPh sb="9" eb="10">
      <t>ガク</t>
    </rPh>
    <rPh sb="101" eb="104">
      <t>エンシュウ1</t>
    </rPh>
    <rPh sb="177" eb="183">
      <t>ジンコウチノウガイロン</t>
    </rPh>
    <phoneticPr fontId="1"/>
  </si>
  <si>
    <t>＜データサイエンス学＞データ解析：予測、グルーピング、パターン発見、最適化、シミュレーション・データ同化、データ可視化：複合グラフ、2軸グラフ、多次元の可視化、関係性の可視化、地図上の可視化、挙動・軌跡の可視化、リアルタイム可視化（8回目）、非構造化データ処理：言語処理、画像/動画処理、音声/音楽処理、特化型AIと汎用AI、今のAIで出来ることと出来ないこと、AIとビッグデータ（9回目）、認識技術、ルールベース、自動化技術（10回目）
＜人工知能概論＞特化型AIと汎用AI、今のAIでできることとできないこと、AIとビッグデータ(11回目)</t>
    <rPh sb="9" eb="10">
      <t>ガク</t>
    </rPh>
    <rPh sb="221" eb="227">
      <t>ジンコウチノウガイロン</t>
    </rPh>
    <phoneticPr fontId="1"/>
  </si>
  <si>
    <t>＜データサイエンス学＞調査データ、実験データ、人の行動ログデータ、機械の稼働ログデータ、1次データ、2次データ、データのメタ化、データのオープン化（オープンデータ）（5回目）、構造化データ、非構造化データ（文章、画像/動画、音声/音楽など）、データ作成（ビッグデータとアノテーション）（6回目）
＜人工知能概論＞調査データ、実験データ、人の行動ログデータ、機械の稼働ログデータなど(12,13回目)、構造化データ、非構造化データ(12回目)、データ作成(13回目)</t>
    <rPh sb="9" eb="10">
      <t>ガク</t>
    </rPh>
    <rPh sb="149" eb="155">
      <t>ジンコウチノウガイロン</t>
    </rPh>
    <phoneticPr fontId="1"/>
  </si>
  <si>
    <t>＜データサイエンス学＞AI等を活用した新しいビジネスモデル(シェアリングエコノミー、商品のレコメンデーションなど)、AI最新技術の活用例（深層生成モデル、敵対的生成ネットワーク、強化学習、転移学習など）（11回目）
＜人工知能概論＞AIを活用した新しいビジネルモデル(10,11回目)、AI最新技術の活用例(9,10回目)</t>
    <rPh sb="9" eb="10">
      <t>ガク</t>
    </rPh>
    <rPh sb="109" eb="115">
      <t>ジンコウチノウガイロン</t>
    </rPh>
    <phoneticPr fontId="1"/>
  </si>
  <si>
    <t>データサイエンス学</t>
    <rPh sb="8" eb="9">
      <t>ガク</t>
    </rPh>
    <phoneticPr fontId="1"/>
  </si>
  <si>
    <t>○</t>
  </si>
  <si>
    <t>データサイエンス演習Ⅰ</t>
    <rPh sb="8" eb="11">
      <t>エンシュウ1</t>
    </rPh>
    <phoneticPr fontId="1"/>
  </si>
  <si>
    <t>人工知能概論</t>
    <rPh sb="0" eb="6">
      <t>ジンコウチノウガイロン</t>
    </rPh>
    <phoneticPr fontId="1"/>
  </si>
  <si>
    <t>統計学基礎Ⅰ</t>
    <rPh sb="0" eb="6">
      <t>トウケイガクキソ1</t>
    </rPh>
    <phoneticPr fontId="1"/>
  </si>
  <si>
    <t>「数理・データサイエンス・AI」に関わる教育は，文系の大学である本学の学生にとっても，今後極めて重要な知識・スキルとなると考えている。しかしながら，文系の学生にとって「数理・データサイエンス・AI」の学習は敷居が高く感じられることも十分に想像できる。そのため，本学では授業展開の工夫はもとより，授業外の学習環境も向上させている。具体的には当該プログラムを履修している学生専用のスペースとしてPCやプリンター，ホワイトボード，ディスカッションするための空間が整備された「データサイエンスラボ」を用意している。また，授業内容等について補習的に学べるようBenesse Corporationが提供するe-Learningシステム「Udemy Business」を希望者が利用可能としている。文系大学としては大きなチャレンジであるが，文系の学生であっても十分に「数理・データサイエンス・AI」の学修を達成できるという実績を少しずつ蓄積し，徐々に間口を広げていこうと考えている。</t>
    <rPh sb="1" eb="3">
      <t xml:space="preserve">スウリ </t>
    </rPh>
    <rPh sb="20" eb="22">
      <t xml:space="preserve">キョウイク </t>
    </rPh>
    <rPh sb="24" eb="26">
      <t xml:space="preserve">ブンケイノダイガク </t>
    </rPh>
    <rPh sb="32" eb="34">
      <t xml:space="preserve">ホンガクノ </t>
    </rPh>
    <rPh sb="35" eb="37">
      <t xml:space="preserve">ガクセイニトッテモ </t>
    </rPh>
    <rPh sb="43" eb="45">
      <t xml:space="preserve">コンゴ </t>
    </rPh>
    <rPh sb="45" eb="46">
      <t xml:space="preserve">キワメテジュウヨウナ </t>
    </rPh>
    <rPh sb="51" eb="53">
      <t xml:space="preserve">チシキ・スキル </t>
    </rPh>
    <rPh sb="74" eb="76">
      <t xml:space="preserve">ブンケイ </t>
    </rPh>
    <rPh sb="84" eb="86">
      <t xml:space="preserve">スウリ </t>
    </rPh>
    <rPh sb="100" eb="102">
      <t xml:space="preserve">ガクシュウナイヨウハ </t>
    </rPh>
    <rPh sb="103" eb="105">
      <t xml:space="preserve">シキイ </t>
    </rPh>
    <rPh sb="106" eb="107">
      <t xml:space="preserve">タカク </t>
    </rPh>
    <rPh sb="108" eb="109">
      <t xml:space="preserve">カンジラレル </t>
    </rPh>
    <rPh sb="116" eb="118">
      <t xml:space="preserve">ジュウブンニ </t>
    </rPh>
    <rPh sb="119" eb="121">
      <t xml:space="preserve">ソウゾウデキル </t>
    </rPh>
    <rPh sb="130" eb="132">
      <t xml:space="preserve">ホンガクデハ </t>
    </rPh>
    <rPh sb="134" eb="136">
      <t xml:space="preserve">カクジュギョウノ </t>
    </rPh>
    <rPh sb="136" eb="138">
      <t xml:space="preserve">テンカイ </t>
    </rPh>
    <rPh sb="139" eb="141">
      <t xml:space="preserve">クフウ </t>
    </rPh>
    <rPh sb="147" eb="150">
      <t xml:space="preserve">ジュギョウガイノ </t>
    </rPh>
    <rPh sb="151" eb="155">
      <t xml:space="preserve">ガクシュウカンキョウ </t>
    </rPh>
    <rPh sb="156" eb="158">
      <t xml:space="preserve">コウジョウサセルベク </t>
    </rPh>
    <rPh sb="164" eb="167">
      <t xml:space="preserve">グタイテキニハ </t>
    </rPh>
    <rPh sb="169" eb="171">
      <t xml:space="preserve">トウガイ </t>
    </rPh>
    <rPh sb="177" eb="179">
      <t xml:space="preserve">リシュウチュウノ </t>
    </rPh>
    <rPh sb="183" eb="185">
      <t xml:space="preserve">ガクセイ </t>
    </rPh>
    <rPh sb="185" eb="187">
      <t xml:space="preserve">センヨウノ </t>
    </rPh>
    <rPh sb="225" eb="227">
      <t xml:space="preserve">クウカン </t>
    </rPh>
    <rPh sb="228" eb="230">
      <t xml:space="preserve">セイビサレタ </t>
    </rPh>
    <rPh sb="246" eb="248">
      <t xml:space="preserve">ヨウイシ </t>
    </rPh>
    <rPh sb="256" eb="260">
      <t xml:space="preserve">ジュギョウナイヨウ </t>
    </rPh>
    <rPh sb="260" eb="261">
      <t xml:space="preserve">トウ </t>
    </rPh>
    <rPh sb="265" eb="268">
      <t xml:space="preserve">ホシュウテキ </t>
    </rPh>
    <rPh sb="269" eb="270">
      <t xml:space="preserve">マナベルヨウ </t>
    </rPh>
    <rPh sb="294" eb="296">
      <t xml:space="preserve">テイキョウスル </t>
    </rPh>
    <rPh sb="329" eb="332">
      <t xml:space="preserve">キボウシャ </t>
    </rPh>
    <rPh sb="333" eb="335">
      <t xml:space="preserve">リヨウ </t>
    </rPh>
    <rPh sb="335" eb="337">
      <t xml:space="preserve">カノウトシテイル </t>
    </rPh>
    <rPh sb="343" eb="347">
      <t xml:space="preserve">ブンケイダイガク </t>
    </rPh>
    <rPh sb="351" eb="352">
      <t xml:space="preserve">オオキナ </t>
    </rPh>
    <rPh sb="364" eb="366">
      <t xml:space="preserve">ブンケイノガクセイデアッテモ </t>
    </rPh>
    <rPh sb="374" eb="376">
      <t xml:space="preserve">ジュウブンニ </t>
    </rPh>
    <rPh sb="378" eb="380">
      <t xml:space="preserve">スウリ </t>
    </rPh>
    <rPh sb="394" eb="396">
      <t xml:space="preserve">ガクシュウ </t>
    </rPh>
    <rPh sb="397" eb="399">
      <t xml:space="preserve">タッセイデキル </t>
    </rPh>
    <rPh sb="405" eb="407">
      <t xml:space="preserve">ジッセキヲ </t>
    </rPh>
    <rPh sb="408" eb="409">
      <t xml:space="preserve">スコシズツ </t>
    </rPh>
    <rPh sb="412" eb="414">
      <t xml:space="preserve">チクセキシ </t>
    </rPh>
    <rPh sb="416" eb="417">
      <t xml:space="preserve">ジョジョニ </t>
    </rPh>
    <rPh sb="419" eb="421">
      <t xml:space="preserve">マグチヲ </t>
    </rPh>
    <rPh sb="422" eb="423">
      <t xml:space="preserve">ヒロゲテイコウト </t>
    </rPh>
    <rPh sb="429" eb="430">
      <t xml:space="preserve">カンガエテイル </t>
    </rPh>
    <phoneticPr fontId="1"/>
  </si>
  <si>
    <t>大学ウェブサイトのトップに本プログラムの母体となる「みらい志向プログラム」のバナーを掲載し、専用ページへ誘導している。また、入学式でのPR動画放送、新入生ガイダンスでのチラシ配布、チラシの学内掲示、ガイダンスオリエンテーション期間での説明会実施も行い、より多くの学生に周知できるよう取り組んでいる。</t>
    <rPh sb="0" eb="2">
      <t>ダイガク</t>
    </rPh>
    <rPh sb="13" eb="14">
      <t>ホン</t>
    </rPh>
    <rPh sb="20" eb="22">
      <t>ボタイ</t>
    </rPh>
    <rPh sb="29" eb="31">
      <t>シコウ</t>
    </rPh>
    <rPh sb="42" eb="44">
      <t>ケイサイ</t>
    </rPh>
    <rPh sb="46" eb="48">
      <t>センヨウ</t>
    </rPh>
    <rPh sb="52" eb="54">
      <t>ユウドウ</t>
    </rPh>
    <rPh sb="62" eb="65">
      <t>ニュウガクシキ</t>
    </rPh>
    <rPh sb="69" eb="71">
      <t>ドウガ</t>
    </rPh>
    <rPh sb="71" eb="73">
      <t>ホウソウ</t>
    </rPh>
    <rPh sb="74" eb="77">
      <t>シンニュウセイ</t>
    </rPh>
    <rPh sb="87" eb="89">
      <t>ハイフ</t>
    </rPh>
    <rPh sb="94" eb="98">
      <t>ガクナイケイジ</t>
    </rPh>
    <rPh sb="113" eb="115">
      <t>キカン</t>
    </rPh>
    <rPh sb="117" eb="120">
      <t>セツメイカイ</t>
    </rPh>
    <rPh sb="120" eb="122">
      <t>ジッシ</t>
    </rPh>
    <rPh sb="123" eb="124">
      <t>オコナ</t>
    </rPh>
    <rPh sb="128" eb="129">
      <t>オオ</t>
    </rPh>
    <rPh sb="131" eb="133">
      <t>ガクセイ</t>
    </rPh>
    <rPh sb="134" eb="136">
      <t>シュウチ</t>
    </rPh>
    <rPh sb="141" eb="142">
      <t>ト</t>
    </rPh>
    <rPh sb="143" eb="144">
      <t>ク</t>
    </rPh>
    <phoneticPr fontId="1"/>
  </si>
  <si>
    <t>2022年度に当該プログラムを履修した学生の各科目の平均GPAは次のとおりであった。
【データサイエンス学】 3.0
【人工知能概論】 1.6
【コンピュータ基礎】 2.6
【データサイエンス演習I】 2.7
概ね高い成績を修得しているといえる。</t>
    <rPh sb="4" eb="6">
      <t xml:space="preserve">ネンド </t>
    </rPh>
    <rPh sb="7" eb="9">
      <t xml:space="preserve">トウガイプログラム </t>
    </rPh>
    <rPh sb="15" eb="17">
      <t xml:space="preserve">リシュウシテイル </t>
    </rPh>
    <rPh sb="19" eb="21">
      <t xml:space="preserve">ガクセイ </t>
    </rPh>
    <rPh sb="22" eb="25">
      <t xml:space="preserve">カクカモク </t>
    </rPh>
    <rPh sb="26" eb="28">
      <t>ヘイキン</t>
    </rPh>
    <rPh sb="32" eb="33">
      <t xml:space="preserve">ツギノトオリデアッタ </t>
    </rPh>
    <rPh sb="60" eb="66">
      <t xml:space="preserve">ジンコウチノウガイロン </t>
    </rPh>
    <rPh sb="105" eb="106">
      <t xml:space="preserve">オオムネ </t>
    </rPh>
    <rPh sb="107" eb="108">
      <t xml:space="preserve">タカイ </t>
    </rPh>
    <rPh sb="109" eb="111">
      <t xml:space="preserve">セイセキヲ </t>
    </rPh>
    <rPh sb="112" eb="114">
      <t xml:space="preserve">シュウトクシテイル </t>
    </rPh>
    <phoneticPr fontId="1"/>
  </si>
  <si>
    <t>データサイエンス「魁」プログラムの修了要件は以下の（1）～（3）を満たすことが必要
（1）プログラムで指定する科目から合計30単位以上を修得
（2）科目群Ⅰに指定する5科目10単位を修得（必修：データサイエンス学、データサイエンス演習Ⅰ、人工知能概論、コンピュータ基礎、統計学基礎Ⅰ※統計学基礎Ⅰは2年次配当科目のため令和5年度初開講）
（3）科目群Ⅱで指定する3つの区分から以下を含む20単位以上を修得（選択）
データサイエンス：4単位以上、数理・統計学：2単位以上、経営学：4単位以上</t>
    <rPh sb="9" eb="10">
      <t>サキガケ</t>
    </rPh>
    <rPh sb="17" eb="21">
      <t>シュウリョウヨウケン</t>
    </rPh>
    <rPh sb="22" eb="24">
      <t>イカ</t>
    </rPh>
    <rPh sb="33" eb="34">
      <t>ミ</t>
    </rPh>
    <rPh sb="39" eb="41">
      <t>ヒツヨウ</t>
    </rPh>
    <rPh sb="51" eb="53">
      <t>シテイ</t>
    </rPh>
    <rPh sb="55" eb="57">
      <t>カモク</t>
    </rPh>
    <rPh sb="59" eb="61">
      <t>ゴウケイ</t>
    </rPh>
    <rPh sb="63" eb="67">
      <t>タンイイジョウ</t>
    </rPh>
    <rPh sb="68" eb="70">
      <t>シュウトク</t>
    </rPh>
    <rPh sb="74" eb="77">
      <t>カモクグン</t>
    </rPh>
    <rPh sb="79" eb="81">
      <t>シテイ</t>
    </rPh>
    <rPh sb="84" eb="86">
      <t>カモク</t>
    </rPh>
    <rPh sb="88" eb="90">
      <t>タンイ</t>
    </rPh>
    <rPh sb="91" eb="93">
      <t>シュウトク</t>
    </rPh>
    <rPh sb="94" eb="96">
      <t>ヒッシュウ</t>
    </rPh>
    <rPh sb="105" eb="106">
      <t>ガク</t>
    </rPh>
    <rPh sb="115" eb="118">
      <t>エンシュウ1</t>
    </rPh>
    <rPh sb="119" eb="125">
      <t>ジンコウチノウガイロン</t>
    </rPh>
    <rPh sb="132" eb="134">
      <t>キソ</t>
    </rPh>
    <rPh sb="135" eb="140">
      <t>トウケイガクキソ</t>
    </rPh>
    <rPh sb="142" eb="147">
      <t>トウケイガクキソ</t>
    </rPh>
    <rPh sb="150" eb="152">
      <t>ネンジ</t>
    </rPh>
    <rPh sb="152" eb="156">
      <t>ハイトウカモク</t>
    </rPh>
    <rPh sb="159" eb="161">
      <t>レイワ</t>
    </rPh>
    <rPh sb="162" eb="164">
      <t>ネンド</t>
    </rPh>
    <rPh sb="164" eb="167">
      <t>ハツカイコウ</t>
    </rPh>
    <rPh sb="172" eb="175">
      <t>カモクグン</t>
    </rPh>
    <rPh sb="177" eb="179">
      <t>シテイ</t>
    </rPh>
    <rPh sb="184" eb="186">
      <t>クブン</t>
    </rPh>
    <rPh sb="188" eb="190">
      <t>イカ</t>
    </rPh>
    <rPh sb="191" eb="192">
      <t>フク</t>
    </rPh>
    <rPh sb="195" eb="199">
      <t>タンイイジョウ</t>
    </rPh>
    <rPh sb="200" eb="202">
      <t>シュウトク</t>
    </rPh>
    <rPh sb="203" eb="205">
      <t>センタク</t>
    </rPh>
    <rPh sb="222" eb="224">
      <t>スウリ</t>
    </rPh>
    <rPh sb="225" eb="228">
      <t>トウケイガク</t>
    </rPh>
    <rPh sb="230" eb="234">
      <t>タンイイジョウ</t>
    </rPh>
    <rPh sb="235" eb="238">
      <t>ケイエイガク</t>
    </rPh>
    <rPh sb="240" eb="244">
      <t>タンイイジョウ</t>
    </rPh>
    <phoneticPr fontId="1"/>
  </si>
  <si>
    <t>委員長　靏　日出郎（副学長）
委　員　平井　貴幸（地域共創学群経済学系　講師）
委　員　岩本　和久（地域共創学群外国語学系　教授）
委　員　角田　美知江（地域共創学群経営・会計学系　准教授）
委　員　森山　弘二（地域共創学群法・政治学系　教授）
委　員　小笠原はるの（地域共創学群文化学系　教授）
委　員　橋本　要（地域共創学群教養学系　講師）
委　員　山口　拓夢（札幌大学女子短期大学部キャリアデザイン学科　教授）
委　員　池上　由紀子（札幌大学女子短期大学部こども学科　教授）
委　員　森　慎也（学務部教務課　課長）</t>
    <rPh sb="0" eb="3">
      <t>イインチョウ</t>
    </rPh>
    <rPh sb="4" eb="5">
      <t>ツル</t>
    </rPh>
    <rPh sb="6" eb="9">
      <t>ヒデロウ</t>
    </rPh>
    <rPh sb="10" eb="13">
      <t>フクガクチョウ</t>
    </rPh>
    <rPh sb="19" eb="21">
      <t>ヒライ</t>
    </rPh>
    <rPh sb="22" eb="24">
      <t>タカユキ</t>
    </rPh>
    <rPh sb="44" eb="46">
      <t>イワモト</t>
    </rPh>
    <rPh sb="47" eb="49">
      <t>カズヒサ</t>
    </rPh>
    <rPh sb="100" eb="102">
      <t>モリヤマ</t>
    </rPh>
    <rPh sb="103" eb="105">
      <t>コウジ</t>
    </rPh>
    <rPh sb="127" eb="130">
      <t>オガサワラ</t>
    </rPh>
    <rPh sb="145" eb="147">
      <t>キョウジュ</t>
    </rPh>
    <rPh sb="216" eb="219">
      <t>ユキコ</t>
    </rPh>
    <rPh sb="220" eb="224">
      <t>サッポロダイガク</t>
    </rPh>
    <rPh sb="224" eb="231">
      <t>ジョシタンキダイガクブ</t>
    </rPh>
    <rPh sb="234" eb="236">
      <t>ガッカ</t>
    </rPh>
    <rPh sb="237" eb="239">
      <t>キョウジュ</t>
    </rPh>
    <phoneticPr fontId="1"/>
  </si>
  <si>
    <t>当該プログラムは2022年度秋学期から開始された。当該プログラムを構成する必修科目のうち，1年次履修可能な科目として3つの専門科目「人工知能概論」「コンピュータ基礎」「データサイエンス演習Ⅰ」および基盤教育科目である「データサイエンス学」が開講された。このうち，基盤教育科目の「データサイエンス学」は全専攻対象の基盤教育科目であるため，2022年度は合計429人が履修している。
【データサイエンス学】 10人中8人合格（80%）
【人工知能概論】 6人中8人合格（75%）
【コンピュータ基礎】 6人中8人合格（75%）
【データサイエンス演習I】 6人中4人合格（67%）
概ね単位修得するにいたっているが，今後履修者を更に増やしつつ理解状況も改善すべく努力していく。</t>
    <rPh sb="0" eb="2">
      <t xml:space="preserve">トウガイ </t>
    </rPh>
    <rPh sb="12" eb="13">
      <t xml:space="preserve">ネン </t>
    </rPh>
    <rPh sb="13" eb="14">
      <t>℃</t>
    </rPh>
    <rPh sb="14" eb="17">
      <t xml:space="preserve">アキガッキ </t>
    </rPh>
    <rPh sb="19" eb="21">
      <t xml:space="preserve">カイシサレ </t>
    </rPh>
    <rPh sb="131" eb="137">
      <t xml:space="preserve">キバンキョウイクカモク </t>
    </rPh>
    <rPh sb="150" eb="153">
      <t xml:space="preserve">ゼンセンコウ </t>
    </rPh>
    <rPh sb="153" eb="155">
      <t xml:space="preserve">タイショウノ </t>
    </rPh>
    <rPh sb="156" eb="162">
      <t xml:space="preserve">キバンキョウイクカモク </t>
    </rPh>
    <rPh sb="172" eb="174">
      <t xml:space="preserve">ネンドハ </t>
    </rPh>
    <rPh sb="175" eb="177">
      <t xml:space="preserve">ゴウケイ </t>
    </rPh>
    <rPh sb="180" eb="181">
      <t xml:space="preserve">ニン </t>
    </rPh>
    <rPh sb="182" eb="184">
      <t xml:space="preserve">リシュウシテイル </t>
    </rPh>
    <rPh sb="204" eb="206">
      <t xml:space="preserve">ニンチュウ </t>
    </rPh>
    <rPh sb="207" eb="208">
      <t xml:space="preserve">ニン </t>
    </rPh>
    <rPh sb="208" eb="210">
      <t xml:space="preserve">ゴウカク </t>
    </rPh>
    <rPh sb="226" eb="228">
      <t xml:space="preserve">ニンチュウ </t>
    </rPh>
    <rPh sb="229" eb="232">
      <t xml:space="preserve">ニンゴウカク </t>
    </rPh>
    <rPh sb="289" eb="290">
      <t xml:space="preserve">オオムネ </t>
    </rPh>
    <rPh sb="291" eb="295">
      <t xml:space="preserve">タンイシュウトク </t>
    </rPh>
    <rPh sb="306" eb="308">
      <t xml:space="preserve">コンゴ </t>
    </rPh>
    <rPh sb="308" eb="311">
      <t xml:space="preserve">リシュウシャ </t>
    </rPh>
    <rPh sb="312" eb="313">
      <t xml:space="preserve">サラニフヤシツツ </t>
    </rPh>
    <rPh sb="319" eb="323">
      <t xml:space="preserve">リカイジョウキョウ </t>
    </rPh>
    <rPh sb="324" eb="326">
      <t xml:space="preserve">カイゼンスベク </t>
    </rPh>
    <rPh sb="329" eb="331">
      <t xml:space="preserve">ドリョクシテイク </t>
    </rPh>
    <phoneticPr fontId="1"/>
  </si>
  <si>
    <t>上述のアンケート結果から，授業内容についての満足度，特に知的好奇心を喚起できていることが伺える。あわせて，授業者の具体的説明，板書，補足説明，理解を図るための定期的な課題提示など，授業運営の工夫についてもアンケート記述があり，後輩等他の学生への推奨度は高いものになっていると推察できる。</t>
    <rPh sb="0" eb="2">
      <t xml:space="preserve">ジョウジュツ </t>
    </rPh>
    <rPh sb="8" eb="10">
      <t xml:space="preserve">ケッカカラ </t>
    </rPh>
    <rPh sb="13" eb="17">
      <t xml:space="preserve">ジュギョウナイヨウ </t>
    </rPh>
    <rPh sb="22" eb="25">
      <t xml:space="preserve">マンゾクド </t>
    </rPh>
    <rPh sb="26" eb="27">
      <t xml:space="preserve">トクニ </t>
    </rPh>
    <rPh sb="28" eb="33">
      <t xml:space="preserve">チテキコウキシン </t>
    </rPh>
    <rPh sb="34" eb="36">
      <t xml:space="preserve">カンキデキテイルコトガ </t>
    </rPh>
    <rPh sb="44" eb="45">
      <t xml:space="preserve">ウカガエル </t>
    </rPh>
    <rPh sb="53" eb="56">
      <t xml:space="preserve">ジュギョウシャ </t>
    </rPh>
    <rPh sb="57" eb="62">
      <t xml:space="preserve">グタイテキセツメイ </t>
    </rPh>
    <rPh sb="63" eb="65">
      <t xml:space="preserve">バンショ </t>
    </rPh>
    <rPh sb="66" eb="70">
      <t xml:space="preserve">ホソクセツメイ </t>
    </rPh>
    <rPh sb="71" eb="73">
      <t xml:space="preserve">リカイヲハカルタメノ </t>
    </rPh>
    <rPh sb="79" eb="82">
      <t xml:space="preserve">テイキテキナ </t>
    </rPh>
    <rPh sb="83" eb="85">
      <t xml:space="preserve">カダイ </t>
    </rPh>
    <rPh sb="85" eb="87">
      <t xml:space="preserve">テイジ </t>
    </rPh>
    <rPh sb="90" eb="92">
      <t xml:space="preserve">ジュギョウノ </t>
    </rPh>
    <rPh sb="92" eb="94">
      <t xml:space="preserve">ウンエイノ </t>
    </rPh>
    <rPh sb="95" eb="97">
      <t xml:space="preserve">クフウニツイテモ </t>
    </rPh>
    <rPh sb="107" eb="109">
      <t xml:space="preserve">キジュツ </t>
    </rPh>
    <rPh sb="113" eb="116">
      <t xml:space="preserve">コウハイトウヘノ </t>
    </rPh>
    <rPh sb="122" eb="124">
      <t xml:space="preserve">スイショウ </t>
    </rPh>
    <rPh sb="124" eb="125">
      <t xml:space="preserve">ド </t>
    </rPh>
    <rPh sb="126" eb="127">
      <t xml:space="preserve">タカイモノニナッテイルト </t>
    </rPh>
    <rPh sb="137" eb="139">
      <t xml:space="preserve">スイサツデキル ガクセイアンケートカラハ ジュギョウニタイスル マンゾク ド タカカッタコトガウカガエル ジッサイニ ツカッタジュギョウガヨカッタ ジンコウチノウガイロン ジブンデカンガエテ サイゴマデ カンガエルコトガデキタ フカクマナベルジュギョウダッタ キョウミノアルブンヤヲマナベテヨカッタ グタイレイガワカリヤスイ </t>
    </rPh>
    <phoneticPr fontId="1"/>
  </si>
  <si>
    <t>＜データサイエンス学＞データ・AI活用領域の広がり(生産、消費、文化活動)、研究開発、調達、製造、物流、販売、マーケティング、サービス、仮説検証、知識発見、原因究明、計画策定、判断支援、活動代替、新規生成など（7回目）
＜人工知能概論＞データ・AI活用領域の広がり(9,10,11回目)、研究開発、調達、製造、物流、販売、マーケティング、サービスなど(10回目)、仮説検証、知識発見、原因究明、計画策定、判断支援、活動代替、新規生成など(14回目)</t>
    <rPh sb="9" eb="10">
      <t>ガク</t>
    </rPh>
    <rPh sb="111" eb="117">
      <t>ジンコウチノウガイロン</t>
    </rPh>
    <rPh sb="214" eb="216">
      <t>セイセイ</t>
    </rPh>
    <phoneticPr fontId="1"/>
  </si>
  <si>
    <t>できるだけ具体的なテーマや課題を用いた実習・演習を授業の中に取り入れることで学生の理解は深まりやすく，かつ現代社会における数理・データサイエンス・AIが果たす役割を実感できると考えられる。当該教育プログラムでは，提携する企業の協力のもとに，リアルなデータを授業の中に取り入れ，問題解決の手法やデータ解析の解釈について理解を深めることを目指している。2022年度からスタートしたプログラムのため、こうした科目展開も今後となるが、本プログラムの科目の中には連携企業の関係者が実際に科目担当者となっている実例もあるため、こうした教員からの意見等も伺い、今後の改善等に活かしたいと考えている。</t>
    <rPh sb="5" eb="8">
      <t xml:space="preserve">グタイテキナ </t>
    </rPh>
    <rPh sb="13" eb="15">
      <t xml:space="preserve">カダイ </t>
    </rPh>
    <rPh sb="16" eb="17">
      <t xml:space="preserve">モチイタ </t>
    </rPh>
    <rPh sb="19" eb="21">
      <t xml:space="preserve">ジッシュウ </t>
    </rPh>
    <rPh sb="22" eb="24">
      <t xml:space="preserve">エンシュウ </t>
    </rPh>
    <rPh sb="25" eb="27">
      <t xml:space="preserve">ジュギョウノナカニ </t>
    </rPh>
    <rPh sb="30" eb="31">
      <t xml:space="preserve">トリイレルコトデ </t>
    </rPh>
    <rPh sb="38" eb="40">
      <t xml:space="preserve">ガクセイノ </t>
    </rPh>
    <rPh sb="41" eb="43">
      <t xml:space="preserve">リカイ </t>
    </rPh>
    <rPh sb="44" eb="45">
      <t xml:space="preserve">フカマリヤスク </t>
    </rPh>
    <rPh sb="53" eb="57">
      <t xml:space="preserve">ゲンダイシャカイニオケル </t>
    </rPh>
    <rPh sb="61" eb="63">
      <t xml:space="preserve">スウリ </t>
    </rPh>
    <rPh sb="76" eb="77">
      <t xml:space="preserve">ハタス </t>
    </rPh>
    <rPh sb="79" eb="81">
      <t xml:space="preserve">ヤクワリ </t>
    </rPh>
    <rPh sb="82" eb="84">
      <t xml:space="preserve">ジッカンデキル </t>
    </rPh>
    <rPh sb="88" eb="89">
      <t xml:space="preserve">カンガエラレル </t>
    </rPh>
    <rPh sb="94" eb="98">
      <t xml:space="preserve">トウガイキョウイクプログラム </t>
    </rPh>
    <rPh sb="106" eb="108">
      <t xml:space="preserve">テイケイスル </t>
    </rPh>
    <rPh sb="110" eb="112">
      <t xml:space="preserve">キギョウノ </t>
    </rPh>
    <rPh sb="113" eb="115">
      <t xml:space="preserve">キョウリョクノモトニ </t>
    </rPh>
    <rPh sb="128" eb="130">
      <t xml:space="preserve">ジュギョウノ </t>
    </rPh>
    <rPh sb="131" eb="132">
      <t xml:space="preserve">ナカニ </t>
    </rPh>
    <rPh sb="133" eb="134">
      <t xml:space="preserve">トリイレ </t>
    </rPh>
    <rPh sb="138" eb="142">
      <t xml:space="preserve">モンダイカイケツ </t>
    </rPh>
    <rPh sb="143" eb="145">
      <t xml:space="preserve">シュホウ </t>
    </rPh>
    <rPh sb="149" eb="151">
      <t xml:space="preserve">カイセキ </t>
    </rPh>
    <rPh sb="152" eb="154">
      <t xml:space="preserve">カイシャク </t>
    </rPh>
    <rPh sb="158" eb="160">
      <t xml:space="preserve">リカイヲ </t>
    </rPh>
    <rPh sb="161" eb="162">
      <t xml:space="preserve">フカメルコトヲ </t>
    </rPh>
    <rPh sb="167" eb="169">
      <t xml:space="preserve">メザシテイル </t>
    </rPh>
    <phoneticPr fontId="1"/>
  </si>
  <si>
    <t>コンピュータ基礎</t>
    <rPh sb="6" eb="8">
      <t>キソ</t>
    </rPh>
    <phoneticPr fontId="1"/>
  </si>
  <si>
    <t>4‐3データ構造とプログラミング基礎</t>
  </si>
  <si>
    <t>データサイエンス学</t>
    <rPh sb="8" eb="9">
      <t>ガク</t>
    </rPh>
    <phoneticPr fontId="1"/>
  </si>
  <si>
    <t>4‐6画像解析</t>
  </si>
  <si>
    <t>データマイニング</t>
    <phoneticPr fontId="1"/>
  </si>
  <si>
    <t>4‐5テキスト解析</t>
  </si>
  <si>
    <t>4‐7データハンドリング</t>
  </si>
  <si>
    <t>4‐8データ活用実践（教師あり学習）</t>
  </si>
  <si>
    <t>データベース論</t>
    <rPh sb="6" eb="7">
      <t>ロン</t>
    </rPh>
    <phoneticPr fontId="1"/>
  </si>
  <si>
    <t>産業情報総論</t>
    <rPh sb="0" eb="6">
      <t>サンギョウジョウホウソウロン</t>
    </rPh>
    <phoneticPr fontId="1"/>
  </si>
  <si>
    <t>4‐9データ活用実践（教師なし学習）</t>
  </si>
  <si>
    <t>データと数理Ⅰ</t>
    <rPh sb="4" eb="6">
      <t>スウリ</t>
    </rPh>
    <phoneticPr fontId="1"/>
  </si>
  <si>
    <t>4-1統計および数理基礎</t>
  </si>
  <si>
    <t>数理科学</t>
    <rPh sb="0" eb="4">
      <t>スウリカガク</t>
    </rPh>
    <phoneticPr fontId="1"/>
  </si>
  <si>
    <t>経営統計学</t>
    <rPh sb="0" eb="5">
      <t>ケイエイトウケイガク</t>
    </rPh>
    <phoneticPr fontId="1"/>
  </si>
  <si>
    <t>産業情報各論</t>
    <rPh sb="0" eb="6">
      <t>サンギョウジョウホウカクロン</t>
    </rPh>
    <phoneticPr fontId="1"/>
  </si>
  <si>
    <t>情報倫理基礎</t>
    <rPh sb="0" eb="6">
      <t>ジョウホウリンリキソ</t>
    </rPh>
    <phoneticPr fontId="1"/>
  </si>
  <si>
    <t>プログラミング</t>
    <phoneticPr fontId="1"/>
  </si>
  <si>
    <t>産業情報各論</t>
    <rPh sb="0" eb="2">
      <t>サンギョウ</t>
    </rPh>
    <rPh sb="2" eb="4">
      <t>ジョウホウ</t>
    </rPh>
    <rPh sb="4" eb="6">
      <t>カクロン</t>
    </rPh>
    <phoneticPr fontId="1"/>
  </si>
  <si>
    <t>データと数理Ⅰ</t>
    <rPh sb="4" eb="7">
      <t>スウリ1</t>
    </rPh>
    <phoneticPr fontId="1"/>
  </si>
  <si>
    <t>＜データサイエンス学＞ビッグデータ、IoT、AI（1回目）、データ量の増加、計算機の処理性能の向上（2回目）、第4次産業革命、Society 5.0、データ駆動型社会、複数技術を組み合わせたAIサービス（3回目）、人間の知的活動とAIの関係性、データを起点としたものの見方、人間の知的活動を起点としたものの見方（4回目）
＜データサイエンス演習Ⅰ＞ビッグデータ、IoT、AI、ロボット(1,2回目）、データ量の増加、計算機の処理性能の向上、AIの非連続的進化(3回目）、第4次産業革命、Society5.0、データ駆動型社会(3回目)
＜人工知能概論＞複数技術を組み合わせたAIサービス(11回目)、人間の知的活動とAIの関係性(1回目)、データを起点としたものの見方、人間の知的活動を起点としたものの見方（12,13回目）
＜データベース論＞ビッグデータ(1回目)
＜産業情報総論＞AI(2回目)</t>
    <rPh sb="9" eb="10">
      <t>ガク</t>
    </rPh>
    <rPh sb="26" eb="28">
      <t>カイメ</t>
    </rPh>
    <rPh sb="170" eb="172">
      <t>エンシュウ</t>
    </rPh>
    <rPh sb="269" eb="275">
      <t>ジンコウチノウガイロン</t>
    </rPh>
    <rPh sb="370" eb="371">
      <t>ロン</t>
    </rPh>
    <rPh sb="380" eb="382">
      <t>カイメ</t>
    </rPh>
    <rPh sb="385" eb="391">
      <t>サンギョウジョウホウソウロン</t>
    </rPh>
    <rPh sb="396" eb="398">
      <t>カイメ</t>
    </rPh>
    <phoneticPr fontId="1"/>
  </si>
  <si>
    <t>＜データサイエンス学＞ELSI（Ethical, Legal and Social Issues）、個人情報保護、EU一般データ保護規則(GDPR)、忘れられる権利、オプトアウト、データ倫理：データのねつ造、改ざん、盗用、プライバシー保護、AI社会原則（公平性、説明責任、透明性、人間中心の判断）、データ・AI活用における負の事例紹介（14回目）
＜データサイエンス演習Ⅰ＞データ倫理：データのねつ造、改ざん、盗用、プライバシー保護(6回目)
＜人工知能概論＞AI社会原則(1回目)、AIサービスの責任論(2,3回目)、データ・AI活用における負の事例紹介(9回目)
＜産業情報各論＞個人情報保護(12回目)、データ倫理(14回目)
＜情報倫理基礎＞個人情報保護(9回目)</t>
    <rPh sb="9" eb="10">
      <t>ガク</t>
    </rPh>
    <rPh sb="183" eb="186">
      <t>エンシュウ1</t>
    </rPh>
    <rPh sb="223" eb="229">
      <t>ジンコウチノウガイロン</t>
    </rPh>
    <rPh sb="285" eb="291">
      <t>サンギョウジョウホウカクロン</t>
    </rPh>
    <rPh sb="292" eb="298">
      <t>コジンジョウホウホゴ</t>
    </rPh>
    <rPh sb="301" eb="303">
      <t>カイメ</t>
    </rPh>
    <rPh sb="308" eb="310">
      <t>リンリ</t>
    </rPh>
    <rPh sb="313" eb="315">
      <t>カイメ</t>
    </rPh>
    <rPh sb="318" eb="324">
      <t>ジョウホウリンリキソ</t>
    </rPh>
    <rPh sb="325" eb="331">
      <t>コジンジョウホウホゴ</t>
    </rPh>
    <rPh sb="333" eb="335">
      <t>カイメ</t>
    </rPh>
    <phoneticPr fontId="1"/>
  </si>
  <si>
    <t>＜データサイエンス学＞情報セキュリティ(14回目)
＜データサイエンス演習Ⅰ＞情報セキュリティ(8回目)、匿名加工情報、暗号化、パスワード、悪意ある情報搾取(12回目)
＜情報倫理基礎＞情報セキュリティ(5回目)</t>
    <rPh sb="22" eb="24">
      <t>カイメ</t>
    </rPh>
    <rPh sb="35" eb="38">
      <t>エンシュウ1</t>
    </rPh>
    <rPh sb="86" eb="92">
      <t>ジョウホウリンリキソ</t>
    </rPh>
    <rPh sb="93" eb="95">
      <t>ジョウホウ</t>
    </rPh>
    <rPh sb="103" eb="105">
      <t>カイメ</t>
    </rPh>
    <phoneticPr fontId="1"/>
  </si>
  <si>
    <t>＜データサイエンス学＞データの種類（量的変数、質的変数）、データの分布(ヒストグラム)と代表値（平均値、中央値、最頻値）、代表値の性質の違い（実社会では平均値＝最頻値でないことが多い）、データのばらつき（分散、標準偏差、偏差値）（12回目）、観測データに含まれる誤差の扱い、相関と因果（相関係数、擬似相関、交絡）、母集団と標本抽出（国勢調査）（13回目）
＜データサイエンス演習Ⅰ＞データの分布と代表値(5回目)、データのばらつき(7回目)、母集団と標本抽出(10回目)
＜人工知能概論＞データの種類、データの分布と代表値(12回目)、代表地の性質の違い、データのばらつき、観測データに含まれる誤差の扱い(13回目)、相関と因果、母集団と標本抽出(14回目)
＜統計学基礎Ⅰ＞データの種類(3回目)、データの分布と代表値(4回目)、データのばらつき(5回目)
＜データと数理Ⅰ＞データのばらつき（分散、標準偏差、偏差値)、相関と因果（相関係数、擬似相関、交絡）、観測データに含まれる誤差の扱い(4,6,7回目)
＜経営統計学＞データの種類（量的変数、質的変数）、データの分布(ヒストグラム)と代表値（平均値、中央値、最頻値）(3,7,8,9回目)</t>
    <rPh sb="9" eb="10">
      <t>ガク</t>
    </rPh>
    <rPh sb="187" eb="190">
      <t>エンシュウ1</t>
    </rPh>
    <rPh sb="237" eb="243">
      <t>ジンコウチノウガイロン</t>
    </rPh>
    <rPh sb="331" eb="336">
      <t>トウケイガクキソ</t>
    </rPh>
    <rPh sb="342" eb="344">
      <t>シュルイ</t>
    </rPh>
    <rPh sb="346" eb="348">
      <t>カイメ</t>
    </rPh>
    <rPh sb="354" eb="356">
      <t>ブンプ</t>
    </rPh>
    <rPh sb="357" eb="360">
      <t>ダイヒョウチ</t>
    </rPh>
    <rPh sb="362" eb="364">
      <t>カイメ</t>
    </rPh>
    <rPh sb="376" eb="378">
      <t>カイメ</t>
    </rPh>
    <rPh sb="385" eb="387">
      <t>スウリ</t>
    </rPh>
    <rPh sb="406" eb="409">
      <t>ヘンサチ</t>
    </rPh>
    <rPh sb="452" eb="454">
      <t>カイメ</t>
    </rPh>
    <rPh sb="457" eb="462">
      <t>ケイエイトウケイガク</t>
    </rPh>
    <rPh sb="520" eb="522">
      <t>カイメ</t>
    </rPh>
    <phoneticPr fontId="1"/>
  </si>
  <si>
    <t>＜データサイエンス学＞データ表現（棒グラフ、折線グラフ、散布図、ヒートマップ）(10回目)
＜統計学基礎Ⅰ＞データ表現(6回目)</t>
    <rPh sb="9" eb="10">
      <t>ガク</t>
    </rPh>
    <rPh sb="42" eb="44">
      <t>カイメ</t>
    </rPh>
    <rPh sb="47" eb="52">
      <t>トウケイガクキソ</t>
    </rPh>
    <rPh sb="57" eb="59">
      <t>ヒョウゲン</t>
    </rPh>
    <rPh sb="61" eb="63">
      <t>カイメ</t>
    </rPh>
    <phoneticPr fontId="1"/>
  </si>
  <si>
    <t>＜データサイエンス学＞データの集計（和、平均）(11回目)
＜データサイエンス演習Ⅰ＞データ解析ツール(7回目)</t>
    <rPh sb="26" eb="28">
      <t>カイメ</t>
    </rPh>
    <rPh sb="39" eb="42">
      <t>エンシュウ1</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</si>
</sst>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80">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11" fillId="0" borderId="1"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6" fillId="0" borderId="0" xfId="0" applyFont="1" applyAlignment="1">
      <alignment horizontal="center" vertical="center"/>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11" fillId="0" borderId="0" xfId="0" applyFont="1">
      <alignment vertical="center"/>
    </xf>
    <xf numFmtId="0" fontId="11" fillId="0" borderId="0" xfId="0" applyFont="1" applyAlignment="1">
      <alignment horizontal="right" vertical="center"/>
    </xf>
    <xf numFmtId="0" fontId="12" fillId="0" borderId="0" xfId="0" applyFont="1">
      <alignmen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0" xfId="0" applyFont="1" applyAlignment="1">
      <alignment horizontal="right" vertical="center"/>
    </xf>
    <xf numFmtId="0" fontId="11" fillId="0" borderId="0" xfId="0" applyFont="1" applyAlignment="1">
      <alignment vertical="center" shrinkToFit="1"/>
    </xf>
    <xf numFmtId="0" fontId="11" fillId="0" borderId="0" xfId="0" applyFont="1" applyAlignment="1">
      <alignment horizontal="left" vertical="center" shrinkToFit="1"/>
    </xf>
    <xf numFmtId="0" fontId="13" fillId="0" borderId="0" xfId="0" applyFont="1" applyAlignment="1">
      <alignment horizontal="center" vertical="center"/>
    </xf>
    <xf numFmtId="0" fontId="11" fillId="0" borderId="0" xfId="0" applyFont="1" applyAlignment="1">
      <alignment horizontal="center" vertical="center"/>
    </xf>
    <xf numFmtId="0" fontId="11" fillId="0" borderId="10" xfId="0" applyFont="1" applyBorder="1" applyAlignment="1">
      <alignment horizontal="right"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1" fillId="0" borderId="0" xfId="0" applyFont="1" applyAlignment="1">
      <alignment horizontal="left" vertical="center"/>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0" fontId="11" fillId="0" borderId="11" xfId="0" applyFont="1" applyBorder="1" applyAlignment="1">
      <alignment horizontal="left" vertical="center" wrapText="1"/>
    </xf>
    <xf numFmtId="0" fontId="11" fillId="0" borderId="6" xfId="0" applyFont="1" applyBorder="1" applyAlignment="1">
      <alignment horizontal="left" vertical="center" wrapText="1"/>
    </xf>
    <xf numFmtId="0" fontId="11" fillId="0" borderId="12" xfId="0" applyFont="1" applyBorder="1" applyAlignment="1">
      <alignment horizontal="left" vertical="center" wrapText="1"/>
    </xf>
    <xf numFmtId="0" fontId="12" fillId="0" borderId="0" xfId="0" applyFont="1" applyAlignment="1">
      <alignment horizontal="center" vertical="center"/>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11" fillId="0" borderId="5" xfId="0" applyFont="1" applyBorder="1">
      <alignmen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1" fillId="0" borderId="0" xfId="0" applyFont="1" applyAlignment="1">
      <alignment vertical="center" wrapText="1"/>
    </xf>
    <xf numFmtId="0" fontId="14" fillId="0" borderId="1" xfId="0" applyFont="1" applyBorder="1" applyAlignment="1">
      <alignment horizontal="center" vertical="center" shrinkToFit="1"/>
    </xf>
    <xf numFmtId="0" fontId="14" fillId="0" borderId="4" xfId="0" applyFont="1" applyBorder="1" applyAlignment="1">
      <alignment horizontal="center" vertical="center" shrinkToFit="1"/>
    </xf>
    <xf numFmtId="49" fontId="14" fillId="0" borderId="1" xfId="0" applyNumberFormat="1" applyFont="1" applyBorder="1" applyAlignment="1">
      <alignment horizontal="center" vertical="center"/>
    </xf>
    <xf numFmtId="0" fontId="11" fillId="0" borderId="34" xfId="0" applyFont="1" applyBorder="1" applyAlignment="1">
      <alignment vertical="center" shrinkToFit="1"/>
    </xf>
    <xf numFmtId="0" fontId="11" fillId="0" borderId="36" xfId="0" applyFont="1" applyBorder="1" applyAlignment="1">
      <alignment vertical="center" shrinkToFit="1"/>
    </xf>
    <xf numFmtId="0" fontId="11" fillId="0" borderId="35" xfId="0" applyFont="1" applyBorder="1" applyAlignment="1">
      <alignment vertical="center" shrinkToFit="1"/>
    </xf>
    <xf numFmtId="0" fontId="11" fillId="0" borderId="14" xfId="0" applyFont="1" applyBorder="1" applyAlignment="1">
      <alignment horizontal="center" vertical="center" shrinkToFit="1"/>
    </xf>
    <xf numFmtId="0" fontId="11" fillId="0" borderId="19" xfId="0" applyFont="1" applyBorder="1" applyAlignment="1">
      <alignment vertical="center" shrinkToFit="1"/>
    </xf>
    <xf numFmtId="0" fontId="11" fillId="0" borderId="20" xfId="0" applyFont="1" applyBorder="1" applyAlignment="1">
      <alignment vertical="center" shrinkToFit="1"/>
    </xf>
    <xf numFmtId="0" fontId="11" fillId="0" borderId="18" xfId="0" applyFont="1" applyBorder="1" applyAlignment="1">
      <alignment vertical="center" shrinkToFit="1"/>
    </xf>
    <xf numFmtId="0" fontId="11" fillId="0" borderId="23" xfId="0" applyFont="1" applyBorder="1" applyAlignment="1">
      <alignment horizontal="center" vertical="center" shrinkToFit="1"/>
    </xf>
    <xf numFmtId="0" fontId="11" fillId="0" borderId="37" xfId="0" applyFont="1" applyBorder="1" applyAlignment="1">
      <alignment vertical="center" shrinkToFit="1"/>
    </xf>
    <xf numFmtId="0" fontId="11" fillId="0" borderId="38" xfId="0" applyFont="1" applyBorder="1" applyAlignment="1">
      <alignment vertical="center" shrinkToFit="1"/>
    </xf>
    <xf numFmtId="0" fontId="11" fillId="0" borderId="39" xfId="0" applyFont="1" applyBorder="1" applyAlignment="1">
      <alignment vertical="center" shrinkToFit="1"/>
    </xf>
    <xf numFmtId="0" fontId="11" fillId="0" borderId="13" xfId="0" applyFont="1" applyBorder="1" applyAlignment="1">
      <alignment horizontal="center" vertical="center" shrinkToFit="1"/>
    </xf>
    <xf numFmtId="0" fontId="11" fillId="0" borderId="40" xfId="0" applyFont="1" applyBorder="1" applyAlignment="1">
      <alignment horizontal="center" vertical="center" shrinkToFit="1"/>
    </xf>
    <xf numFmtId="0" fontId="11" fillId="0" borderId="0" xfId="0" applyFont="1" applyAlignment="1">
      <alignment vertical="top" wrapTex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34" xfId="0" applyFont="1" applyBorder="1" applyAlignment="1">
      <alignment horizontal="center" vertical="center" shrinkToFit="1"/>
    </xf>
    <xf numFmtId="0" fontId="11" fillId="0" borderId="36" xfId="0" applyFont="1" applyBorder="1" applyAlignment="1">
      <alignment horizontal="center" vertical="center" shrinkToFit="1"/>
    </xf>
    <xf numFmtId="0" fontId="11" fillId="0" borderId="35" xfId="0" applyFont="1" applyBorder="1" applyAlignment="1">
      <alignment horizontal="center" vertical="center" shrinkToFit="1"/>
    </xf>
    <xf numFmtId="0" fontId="11" fillId="0" borderId="19" xfId="0" applyFont="1" applyBorder="1" applyAlignment="1">
      <alignment horizontal="center" vertical="center" shrinkToFit="1"/>
    </xf>
    <xf numFmtId="0" fontId="11" fillId="0" borderId="20" xfId="0" applyFont="1" applyBorder="1" applyAlignment="1">
      <alignment horizontal="center" vertical="center" shrinkToFit="1"/>
    </xf>
    <xf numFmtId="0" fontId="11" fillId="0" borderId="18" xfId="0" applyFont="1" applyBorder="1" applyAlignment="1">
      <alignment horizontal="center" vertical="center" shrinkToFit="1"/>
    </xf>
    <xf numFmtId="0" fontId="11" fillId="0" borderId="37" xfId="0" applyFont="1" applyBorder="1" applyAlignment="1">
      <alignment horizontal="center" vertical="center" shrinkToFit="1"/>
    </xf>
    <xf numFmtId="0" fontId="11" fillId="0" borderId="38" xfId="0" applyFont="1" applyBorder="1" applyAlignment="1">
      <alignment horizontal="center" vertical="center" shrinkToFit="1"/>
    </xf>
    <xf numFmtId="0" fontId="11" fillId="0" borderId="39" xfId="0" applyFont="1" applyBorder="1" applyAlignment="1">
      <alignment horizontal="center" vertical="center" shrinkToFit="1"/>
    </xf>
    <xf numFmtId="0" fontId="11" fillId="0" borderId="41" xfId="0" applyFont="1" applyBorder="1" applyAlignment="1">
      <alignment vertical="center" shrinkToFit="1"/>
    </xf>
    <xf numFmtId="0" fontId="11" fillId="0" borderId="42" xfId="0" applyFont="1" applyBorder="1" applyAlignment="1">
      <alignment vertical="center" shrinkToFit="1"/>
    </xf>
    <xf numFmtId="0" fontId="11" fillId="0" borderId="43" xfId="0" applyFont="1" applyBorder="1" applyAlignment="1">
      <alignment vertical="center" shrinkToFit="1"/>
    </xf>
    <xf numFmtId="0" fontId="11" fillId="0" borderId="0" xfId="0" applyFont="1" applyAlignment="1">
      <alignment horizontal="center" vertical="center" shrinkToFit="1"/>
    </xf>
    <xf numFmtId="0" fontId="15" fillId="0" borderId="2" xfId="0" applyFont="1" applyBorder="1" applyAlignment="1">
      <alignment horizontal="center" vertical="center" shrinkToFit="1"/>
    </xf>
    <xf numFmtId="0" fontId="15" fillId="0" borderId="4" xfId="0" applyFont="1" applyBorder="1" applyAlignment="1">
      <alignment horizontal="center" vertical="center" shrinkToFit="1"/>
    </xf>
    <xf numFmtId="0" fontId="14" fillId="0" borderId="45" xfId="0" applyFont="1" applyBorder="1" applyAlignment="1">
      <alignment vertical="center" wrapText="1"/>
    </xf>
    <xf numFmtId="49" fontId="14" fillId="0" borderId="48" xfId="0" applyNumberFormat="1" applyFont="1" applyBorder="1" applyAlignment="1">
      <alignment horizontal="center" vertical="center"/>
    </xf>
    <xf numFmtId="0" fontId="11" fillId="0" borderId="8" xfId="0" applyFont="1" applyBorder="1" applyAlignment="1">
      <alignment horizontal="left" vertical="center" wrapText="1" shrinkToFit="1"/>
    </xf>
    <xf numFmtId="0" fontId="11" fillId="0" borderId="9" xfId="0" applyFont="1" applyBorder="1" applyAlignment="1">
      <alignment horizontal="left" vertical="center" wrapText="1" shrinkToFit="1"/>
    </xf>
    <xf numFmtId="0" fontId="14" fillId="0" borderId="31" xfId="0" applyFont="1" applyBorder="1" applyAlignment="1">
      <alignment vertical="center" wrapText="1"/>
    </xf>
    <xf numFmtId="49" fontId="14" fillId="0" borderId="49" xfId="0" applyNumberFormat="1" applyFont="1" applyBorder="1" applyAlignment="1">
      <alignment horizontal="center" vertical="center"/>
    </xf>
    <xf numFmtId="0" fontId="11" fillId="0" borderId="22" xfId="0" applyFont="1" applyBorder="1" applyAlignment="1">
      <alignment horizontal="left" vertical="center" wrapText="1"/>
    </xf>
    <xf numFmtId="0" fontId="11" fillId="0" borderId="21" xfId="0" applyFont="1" applyBorder="1" applyAlignment="1">
      <alignment horizontal="left" vertical="center" wrapText="1"/>
    </xf>
    <xf numFmtId="49" fontId="14" fillId="0" borderId="44" xfId="0" applyNumberFormat="1" applyFont="1" applyBorder="1" applyAlignment="1">
      <alignment horizontal="center" vertical="center"/>
    </xf>
    <xf numFmtId="0" fontId="11" fillId="0" borderId="36" xfId="0" applyFont="1" applyBorder="1" applyAlignment="1">
      <alignment horizontal="left" vertical="center" wrapText="1" shrinkToFit="1"/>
    </xf>
    <xf numFmtId="0" fontId="11" fillId="0" borderId="35" xfId="0" applyFont="1" applyBorder="1" applyAlignment="1">
      <alignment horizontal="left" vertical="center" wrapText="1" shrinkToFit="1"/>
    </xf>
    <xf numFmtId="0" fontId="14" fillId="0" borderId="46" xfId="0" applyFont="1" applyBorder="1" applyAlignment="1">
      <alignment vertical="center" wrapText="1"/>
    </xf>
    <xf numFmtId="49" fontId="14" fillId="0" borderId="29" xfId="0" applyNumberFormat="1" applyFont="1" applyBorder="1" applyAlignment="1">
      <alignment horizontal="center" vertical="center"/>
    </xf>
    <xf numFmtId="0" fontId="11" fillId="0" borderId="38" xfId="0" applyFont="1" applyBorder="1" applyAlignment="1">
      <alignment horizontal="left" vertical="center" wrapText="1"/>
    </xf>
    <xf numFmtId="0" fontId="11" fillId="0" borderId="39" xfId="0" applyFont="1" applyBorder="1" applyAlignment="1">
      <alignment horizontal="left" vertical="center" wrapText="1"/>
    </xf>
    <xf numFmtId="0" fontId="11" fillId="0" borderId="36" xfId="0" applyFont="1" applyBorder="1" applyAlignment="1">
      <alignment horizontal="left" vertical="center" shrinkToFit="1"/>
    </xf>
    <xf numFmtId="0" fontId="11" fillId="0" borderId="35" xfId="0" applyFont="1" applyBorder="1" applyAlignment="1">
      <alignment horizontal="left" vertical="center" shrinkToFit="1"/>
    </xf>
    <xf numFmtId="49" fontId="14" fillId="0" borderId="47" xfId="0" applyNumberFormat="1" applyFont="1" applyBorder="1" applyAlignment="1">
      <alignment horizontal="center" vertical="center"/>
    </xf>
    <xf numFmtId="0" fontId="11" fillId="0" borderId="8" xfId="0" applyFont="1" applyBorder="1" applyAlignment="1">
      <alignment horizontal="left" vertical="center" shrinkToFit="1"/>
    </xf>
    <xf numFmtId="0" fontId="11" fillId="0" borderId="9" xfId="0" applyFont="1" applyBorder="1" applyAlignment="1">
      <alignment horizontal="left" vertical="center" shrinkToFit="1"/>
    </xf>
    <xf numFmtId="0" fontId="11" fillId="0" borderId="38" xfId="0" applyFont="1" applyBorder="1" applyAlignment="1">
      <alignment horizontal="left" vertical="center" wrapText="1" shrinkToFit="1"/>
    </xf>
    <xf numFmtId="0" fontId="11" fillId="0" borderId="38" xfId="0" applyFont="1" applyBorder="1" applyAlignment="1">
      <alignment horizontal="left" vertical="center" shrinkToFit="1"/>
    </xf>
    <xf numFmtId="0" fontId="11" fillId="0" borderId="39" xfId="0" applyFont="1" applyBorder="1" applyAlignment="1">
      <alignment horizontal="left" vertical="center" shrinkToFit="1"/>
    </xf>
    <xf numFmtId="0" fontId="11" fillId="0" borderId="36" xfId="0" applyFont="1" applyBorder="1" applyAlignment="1">
      <alignment vertical="center" wrapText="1" shrinkToFit="1"/>
    </xf>
    <xf numFmtId="49" fontId="14" fillId="0" borderId="32" xfId="0" applyNumberFormat="1" applyFont="1" applyBorder="1" applyAlignment="1">
      <alignment horizontal="center" vertical="center"/>
    </xf>
    <xf numFmtId="0" fontId="11" fillId="0" borderId="19" xfId="0" applyFont="1" applyBorder="1" applyAlignment="1">
      <alignment vertical="center" wrapText="1" shrinkToFit="1"/>
    </xf>
    <xf numFmtId="0" fontId="11" fillId="0" borderId="6" xfId="0" applyFont="1" applyBorder="1" applyAlignment="1">
      <alignment vertical="center" wrapText="1" shrinkToFit="1"/>
    </xf>
    <xf numFmtId="0" fontId="11" fillId="0" borderId="6" xfId="0" applyFont="1" applyBorder="1" applyAlignment="1">
      <alignment vertical="center" shrinkToFit="1"/>
    </xf>
    <xf numFmtId="0" fontId="11" fillId="0" borderId="12" xfId="0" applyFont="1" applyBorder="1" applyAlignment="1">
      <alignment vertical="center" shrinkToFit="1"/>
    </xf>
    <xf numFmtId="0" fontId="11" fillId="0" borderId="2" xfId="0" applyFont="1" applyBorder="1" applyAlignment="1">
      <alignment vertical="center" wrapText="1" shrinkToFit="1"/>
    </xf>
    <xf numFmtId="0" fontId="11" fillId="0" borderId="3" xfId="0" applyFont="1" applyBorder="1" applyAlignment="1">
      <alignment vertical="center" wrapText="1" shrinkToFit="1"/>
    </xf>
    <xf numFmtId="0" fontId="11" fillId="0" borderId="4" xfId="0" applyFont="1" applyBorder="1" applyAlignment="1">
      <alignment vertical="center" wrapText="1" shrinkToFit="1"/>
    </xf>
    <xf numFmtId="0" fontId="11" fillId="0" borderId="41" xfId="0" applyFont="1" applyBorder="1" applyAlignment="1">
      <alignment horizontal="center" vertical="center" shrinkToFit="1"/>
    </xf>
    <xf numFmtId="0" fontId="11" fillId="0" borderId="42" xfId="0" applyFont="1" applyBorder="1" applyAlignment="1">
      <alignment horizontal="center" vertical="center" shrinkToFit="1"/>
    </xf>
    <xf numFmtId="0" fontId="11" fillId="0" borderId="43" xfId="0" applyFont="1" applyBorder="1" applyAlignment="1">
      <alignment horizontal="center" vertical="center" shrinkToFit="1"/>
    </xf>
    <xf numFmtId="0" fontId="2" fillId="0" borderId="42" xfId="0" applyFont="1" applyBorder="1">
      <alignment vertical="center"/>
    </xf>
    <xf numFmtId="0" fontId="2" fillId="0" borderId="43" xfId="0" applyFont="1" applyBorder="1">
      <alignment vertical="center"/>
    </xf>
    <xf numFmtId="0" fontId="2" fillId="0" borderId="42" xfId="0" applyFont="1" applyBorder="1" applyAlignment="1">
      <alignment vertical="top"/>
    </xf>
    <xf numFmtId="0" fontId="2" fillId="0" borderId="43" xfId="0" applyFont="1" applyBorder="1" applyAlignment="1">
      <alignment vertical="top"/>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zoomScaleNormal="100" zoomScaleSheetLayoutView="100" workbookViewId="0">
      <selection activeCell="B1" sqref="B1"/>
    </sheetView>
  </sheetViews>
  <sheetFormatPr defaultColWidth="9" defaultRowHeight="18.75" customHeight="1" x14ac:dyDescent="0.15"/>
  <cols>
    <col min="1" max="1" width="2.5" style="169" customWidth="1"/>
    <col min="2" max="2" width="16.5" style="169" customWidth="1"/>
    <col min="3" max="19" width="5.625" style="169" customWidth="1"/>
    <col min="20" max="20" width="9" style="169"/>
    <col min="21" max="21" width="3.625" style="169" customWidth="1"/>
    <col min="22" max="22" width="48.625" style="169" hidden="1" customWidth="1"/>
    <col min="23" max="16384" width="9" style="169"/>
  </cols>
  <sheetData>
    <row r="1" spans="1:22" ht="18.600000000000001" customHeight="1" x14ac:dyDescent="0.15">
      <c r="R1" s="170" t="s">
        <v>12</v>
      </c>
      <c r="S1" s="170"/>
      <c r="T1" s="171" t="s">
        <v>110</v>
      </c>
    </row>
    <row r="2" spans="1:22" ht="18.75" customHeight="1" x14ac:dyDescent="0.15">
      <c r="B2" s="64" t="s">
        <v>109</v>
      </c>
      <c r="C2" s="172" t="s">
        <v>127</v>
      </c>
      <c r="D2" s="173"/>
      <c r="E2" s="173"/>
      <c r="F2" s="173"/>
      <c r="G2" s="173"/>
      <c r="H2" s="173"/>
      <c r="I2" s="174"/>
      <c r="J2" s="175"/>
      <c r="K2" s="176"/>
      <c r="L2" s="176"/>
      <c r="M2" s="176"/>
      <c r="N2" s="176"/>
      <c r="O2" s="176"/>
      <c r="P2" s="176"/>
      <c r="Q2" s="176"/>
      <c r="R2" s="176"/>
      <c r="S2" s="176"/>
    </row>
    <row r="3" spans="1:22" ht="18.75" customHeight="1" x14ac:dyDescent="0.15">
      <c r="B3" s="64" t="s">
        <v>103</v>
      </c>
      <c r="C3" s="172" t="s">
        <v>128</v>
      </c>
      <c r="D3" s="173"/>
      <c r="E3" s="173"/>
      <c r="F3" s="173"/>
      <c r="G3" s="173"/>
      <c r="H3" s="173"/>
      <c r="I3" s="174"/>
      <c r="J3" s="175"/>
      <c r="K3" s="176"/>
      <c r="L3" s="176"/>
      <c r="M3" s="176"/>
      <c r="N3" s="176"/>
      <c r="O3" s="176"/>
      <c r="P3" s="176"/>
      <c r="Q3" s="176"/>
      <c r="R3" s="176"/>
      <c r="S3" s="176"/>
    </row>
    <row r="4" spans="1:22" ht="15" customHeight="1" x14ac:dyDescent="0.15">
      <c r="K4" s="175"/>
      <c r="L4" s="177"/>
      <c r="M4" s="177"/>
      <c r="N4" s="177"/>
      <c r="O4" s="177"/>
      <c r="P4" s="177"/>
      <c r="Q4" s="177"/>
      <c r="R4" s="177"/>
      <c r="S4" s="177"/>
    </row>
    <row r="5" spans="1:22" ht="18" customHeight="1" x14ac:dyDescent="0.15">
      <c r="A5" s="178" t="s">
        <v>39</v>
      </c>
      <c r="B5" s="178"/>
      <c r="C5" s="178"/>
      <c r="D5" s="178"/>
      <c r="E5" s="178"/>
      <c r="F5" s="178"/>
      <c r="G5" s="178"/>
      <c r="H5" s="178"/>
      <c r="I5" s="178"/>
      <c r="J5" s="178"/>
      <c r="K5" s="178"/>
      <c r="L5" s="178"/>
      <c r="M5" s="178"/>
      <c r="N5" s="178"/>
      <c r="O5" s="178"/>
      <c r="P5" s="178"/>
      <c r="Q5" s="178"/>
      <c r="R5" s="178"/>
      <c r="S5" s="178"/>
    </row>
    <row r="6" spans="1:22" ht="15" customHeight="1" x14ac:dyDescent="0.15">
      <c r="B6" s="179"/>
      <c r="C6" s="179"/>
      <c r="D6" s="179"/>
      <c r="E6" s="179"/>
      <c r="F6" s="179"/>
      <c r="G6" s="179"/>
      <c r="H6" s="179"/>
      <c r="I6" s="179"/>
      <c r="J6" s="179"/>
      <c r="K6" s="179"/>
      <c r="L6" s="179"/>
      <c r="M6" s="179"/>
      <c r="N6" s="179"/>
      <c r="O6" s="179"/>
      <c r="P6" s="179"/>
      <c r="Q6" s="179"/>
      <c r="R6" s="179"/>
      <c r="S6" s="179"/>
    </row>
    <row r="7" spans="1:22" ht="18" customHeight="1" x14ac:dyDescent="0.15">
      <c r="A7" s="169" t="s">
        <v>125</v>
      </c>
      <c r="C7" s="179"/>
      <c r="J7" s="180" t="s">
        <v>108</v>
      </c>
      <c r="K7" s="181" t="s">
        <v>129</v>
      </c>
      <c r="L7" s="182"/>
      <c r="M7" s="182"/>
      <c r="N7" s="182"/>
      <c r="O7" s="182"/>
      <c r="P7" s="182"/>
      <c r="Q7" s="182"/>
      <c r="R7" s="182"/>
      <c r="S7" s="183"/>
    </row>
    <row r="8" spans="1:22" ht="6" customHeight="1" x14ac:dyDescent="0.15">
      <c r="B8" s="179"/>
      <c r="C8" s="179"/>
      <c r="D8" s="179"/>
      <c r="E8" s="179"/>
      <c r="F8" s="179"/>
      <c r="G8" s="179"/>
      <c r="H8" s="179"/>
      <c r="I8" s="179"/>
      <c r="J8" s="179"/>
      <c r="K8" s="184"/>
      <c r="L8" s="179"/>
      <c r="M8" s="179"/>
      <c r="N8" s="179"/>
      <c r="O8" s="179"/>
      <c r="P8" s="179"/>
      <c r="Q8" s="179"/>
      <c r="R8" s="179"/>
      <c r="S8" s="179"/>
    </row>
    <row r="9" spans="1:22" ht="18" customHeight="1" x14ac:dyDescent="0.15">
      <c r="B9" s="185"/>
      <c r="C9" s="186"/>
      <c r="D9" s="186"/>
      <c r="E9" s="186"/>
      <c r="F9" s="186"/>
      <c r="G9" s="186"/>
      <c r="H9" s="186"/>
      <c r="I9" s="186"/>
      <c r="J9" s="186"/>
      <c r="K9" s="186"/>
      <c r="L9" s="186"/>
      <c r="M9" s="186"/>
      <c r="N9" s="186"/>
      <c r="O9" s="186"/>
      <c r="P9" s="186"/>
      <c r="Q9" s="186"/>
      <c r="R9" s="186"/>
      <c r="S9" s="187"/>
    </row>
    <row r="10" spans="1:22" ht="18" customHeight="1" x14ac:dyDescent="0.15">
      <c r="B10" s="188"/>
      <c r="C10" s="189"/>
      <c r="D10" s="189"/>
      <c r="E10" s="189"/>
      <c r="F10" s="189"/>
      <c r="G10" s="189"/>
      <c r="H10" s="189"/>
      <c r="I10" s="189"/>
      <c r="J10" s="189"/>
      <c r="K10" s="189"/>
      <c r="L10" s="189"/>
      <c r="M10" s="189"/>
      <c r="N10" s="189"/>
      <c r="O10" s="189"/>
      <c r="P10" s="189"/>
      <c r="Q10" s="189"/>
      <c r="R10" s="189"/>
      <c r="S10" s="190"/>
    </row>
    <row r="11" spans="1:22" ht="6" customHeight="1" x14ac:dyDescent="0.15">
      <c r="B11" s="179"/>
      <c r="C11" s="179"/>
      <c r="D11" s="179"/>
      <c r="E11" s="179"/>
      <c r="F11" s="179"/>
      <c r="G11" s="179"/>
      <c r="H11" s="179"/>
      <c r="I11" s="179"/>
      <c r="J11" s="179"/>
      <c r="K11" s="184"/>
      <c r="L11" s="179"/>
      <c r="M11" s="179"/>
      <c r="N11" s="179"/>
      <c r="O11" s="179"/>
      <c r="P11" s="179"/>
      <c r="Q11" s="179"/>
      <c r="R11" s="179"/>
      <c r="S11" s="179"/>
    </row>
    <row r="12" spans="1:22" ht="18" customHeight="1" x14ac:dyDescent="0.15">
      <c r="A12" s="169" t="s">
        <v>112</v>
      </c>
      <c r="B12" s="179"/>
      <c r="C12" s="179"/>
      <c r="D12" s="175"/>
      <c r="E12" s="175"/>
      <c r="F12" s="175"/>
      <c r="G12" s="175"/>
      <c r="H12" s="175"/>
      <c r="I12" s="175"/>
      <c r="J12" s="175"/>
      <c r="K12" s="191"/>
      <c r="L12" s="191"/>
      <c r="M12" s="191"/>
      <c r="N12" s="191"/>
      <c r="O12" s="191"/>
      <c r="P12" s="191"/>
      <c r="Q12" s="191"/>
      <c r="R12" s="191"/>
      <c r="S12" s="191"/>
    </row>
    <row r="13" spans="1:22" ht="18" customHeight="1" x14ac:dyDescent="0.15">
      <c r="B13" s="192" t="s">
        <v>160</v>
      </c>
      <c r="C13" s="193"/>
      <c r="D13" s="193"/>
      <c r="E13" s="193"/>
      <c r="F13" s="193"/>
      <c r="G13" s="193"/>
      <c r="H13" s="193"/>
      <c r="I13" s="193"/>
      <c r="J13" s="193"/>
      <c r="K13" s="193"/>
      <c r="L13" s="193"/>
      <c r="M13" s="193"/>
      <c r="N13" s="193"/>
      <c r="O13" s="193"/>
      <c r="P13" s="193"/>
      <c r="Q13" s="193"/>
      <c r="R13" s="193"/>
      <c r="S13" s="194"/>
      <c r="V13" s="169" t="s">
        <v>104</v>
      </c>
    </row>
    <row r="14" spans="1:22" ht="18" customHeight="1" x14ac:dyDescent="0.15">
      <c r="B14" s="195"/>
      <c r="C14" s="196"/>
      <c r="D14" s="196"/>
      <c r="E14" s="196"/>
      <c r="F14" s="196"/>
      <c r="G14" s="196"/>
      <c r="H14" s="196"/>
      <c r="I14" s="196"/>
      <c r="J14" s="196"/>
      <c r="K14" s="196"/>
      <c r="L14" s="196"/>
      <c r="M14" s="196"/>
      <c r="N14" s="196"/>
      <c r="O14" s="196"/>
      <c r="P14" s="196"/>
      <c r="Q14" s="196"/>
      <c r="R14" s="196"/>
      <c r="S14" s="197"/>
      <c r="V14" s="169" t="s">
        <v>111</v>
      </c>
    </row>
    <row r="15" spans="1:22" ht="18" customHeight="1" x14ac:dyDescent="0.15">
      <c r="B15" s="195"/>
      <c r="C15" s="196"/>
      <c r="D15" s="196"/>
      <c r="E15" s="196"/>
      <c r="F15" s="196"/>
      <c r="G15" s="196"/>
      <c r="H15" s="196"/>
      <c r="I15" s="196"/>
      <c r="J15" s="196"/>
      <c r="K15" s="196"/>
      <c r="L15" s="196"/>
      <c r="M15" s="196"/>
      <c r="N15" s="196"/>
      <c r="O15" s="196"/>
      <c r="P15" s="196"/>
      <c r="Q15" s="196"/>
      <c r="R15" s="196"/>
      <c r="S15" s="197"/>
      <c r="V15" s="169" t="s">
        <v>124</v>
      </c>
    </row>
    <row r="16" spans="1:22" ht="18" customHeight="1" x14ac:dyDescent="0.15">
      <c r="B16" s="195"/>
      <c r="C16" s="196"/>
      <c r="D16" s="196"/>
      <c r="E16" s="196"/>
      <c r="F16" s="196"/>
      <c r="G16" s="196"/>
      <c r="H16" s="196"/>
      <c r="I16" s="196"/>
      <c r="J16" s="196"/>
      <c r="K16" s="196"/>
      <c r="L16" s="196"/>
      <c r="M16" s="196"/>
      <c r="N16" s="196"/>
      <c r="O16" s="196"/>
      <c r="P16" s="196"/>
      <c r="Q16" s="196"/>
      <c r="R16" s="196"/>
      <c r="S16" s="197"/>
      <c r="V16" s="169" t="s">
        <v>126</v>
      </c>
    </row>
    <row r="17" spans="1:19" ht="18" customHeight="1" x14ac:dyDescent="0.15">
      <c r="B17" s="195"/>
      <c r="C17" s="196"/>
      <c r="D17" s="196"/>
      <c r="E17" s="196"/>
      <c r="F17" s="196"/>
      <c r="G17" s="196"/>
      <c r="H17" s="196"/>
      <c r="I17" s="196"/>
      <c r="J17" s="196"/>
      <c r="K17" s="196"/>
      <c r="L17" s="196"/>
      <c r="M17" s="196"/>
      <c r="N17" s="196"/>
      <c r="O17" s="196"/>
      <c r="P17" s="196"/>
      <c r="Q17" s="196"/>
      <c r="R17" s="196"/>
      <c r="S17" s="197"/>
    </row>
    <row r="18" spans="1:19" ht="18" customHeight="1" x14ac:dyDescent="0.15">
      <c r="B18" s="198"/>
      <c r="C18" s="199"/>
      <c r="D18" s="199"/>
      <c r="E18" s="199"/>
      <c r="F18" s="199"/>
      <c r="G18" s="199"/>
      <c r="H18" s="199"/>
      <c r="I18" s="199"/>
      <c r="J18" s="199"/>
      <c r="K18" s="199"/>
      <c r="L18" s="199"/>
      <c r="M18" s="199"/>
      <c r="N18" s="199"/>
      <c r="O18" s="199"/>
      <c r="P18" s="199"/>
      <c r="Q18" s="199"/>
      <c r="R18" s="199"/>
      <c r="S18" s="200"/>
    </row>
    <row r="19" spans="1:19" ht="7.5" customHeight="1" x14ac:dyDescent="0.15">
      <c r="B19" s="179"/>
      <c r="C19" s="179"/>
      <c r="D19" s="179"/>
      <c r="E19" s="179"/>
      <c r="F19" s="179"/>
      <c r="G19" s="179"/>
      <c r="H19" s="179"/>
      <c r="I19" s="179"/>
      <c r="J19" s="179"/>
      <c r="K19" s="179"/>
      <c r="L19" s="179"/>
      <c r="M19" s="179"/>
      <c r="N19" s="179"/>
      <c r="O19" s="179"/>
      <c r="P19" s="179"/>
      <c r="Q19" s="179"/>
      <c r="R19" s="179"/>
      <c r="S19" s="179"/>
    </row>
    <row r="20" spans="1:19" ht="19.899999999999999" customHeight="1" x14ac:dyDescent="0.15">
      <c r="B20" s="169" t="s">
        <v>113</v>
      </c>
      <c r="C20" s="172">
        <v>30</v>
      </c>
      <c r="D20" s="174"/>
      <c r="E20" s="201" t="s">
        <v>96</v>
      </c>
      <c r="G20" s="184"/>
      <c r="H20" s="179"/>
      <c r="I20" s="179"/>
      <c r="J20" s="175" t="s">
        <v>122</v>
      </c>
      <c r="K20" s="202" t="s">
        <v>126</v>
      </c>
      <c r="L20" s="203"/>
      <c r="M20" s="203"/>
      <c r="N20" s="203"/>
      <c r="O20" s="203"/>
      <c r="P20" s="203"/>
      <c r="Q20" s="203"/>
      <c r="R20" s="203"/>
      <c r="S20" s="204"/>
    </row>
    <row r="21" spans="1:19" ht="7.5" customHeight="1" x14ac:dyDescent="0.15">
      <c r="B21" s="179"/>
      <c r="C21" s="179"/>
      <c r="D21" s="179"/>
      <c r="E21" s="179"/>
      <c r="F21" s="179"/>
      <c r="G21" s="179"/>
      <c r="H21" s="179"/>
      <c r="I21" s="179"/>
      <c r="J21" s="179"/>
      <c r="K21" s="179"/>
      <c r="L21" s="179"/>
      <c r="M21" s="179"/>
      <c r="N21" s="179"/>
      <c r="O21" s="179"/>
      <c r="P21" s="179"/>
      <c r="Q21" s="179"/>
      <c r="R21" s="179"/>
      <c r="S21" s="179"/>
    </row>
    <row r="22" spans="1:19" ht="18" customHeight="1" x14ac:dyDescent="0.15">
      <c r="A22" s="205" t="s">
        <v>114</v>
      </c>
      <c r="B22" s="205"/>
      <c r="C22" s="205"/>
      <c r="D22" s="205"/>
      <c r="E22" s="205"/>
      <c r="F22" s="205"/>
      <c r="G22" s="205"/>
      <c r="H22" s="205"/>
      <c r="I22" s="205"/>
      <c r="J22" s="205"/>
      <c r="K22" s="205"/>
      <c r="L22" s="205"/>
      <c r="M22" s="205"/>
      <c r="N22" s="205"/>
      <c r="O22" s="205"/>
      <c r="P22" s="205"/>
      <c r="Q22" s="205"/>
      <c r="R22" s="205"/>
      <c r="S22" s="205"/>
    </row>
    <row r="23" spans="1:19" ht="18" customHeight="1" x14ac:dyDescent="0.15">
      <c r="A23" s="205"/>
      <c r="B23" s="205"/>
      <c r="C23" s="205"/>
      <c r="D23" s="205"/>
      <c r="E23" s="205"/>
      <c r="F23" s="205"/>
      <c r="G23" s="205"/>
      <c r="H23" s="205"/>
      <c r="I23" s="205"/>
      <c r="J23" s="205"/>
      <c r="K23" s="205"/>
      <c r="L23" s="205"/>
      <c r="M23" s="205"/>
      <c r="N23" s="205"/>
      <c r="O23" s="205"/>
      <c r="P23" s="205"/>
      <c r="Q23" s="205"/>
      <c r="R23" s="205"/>
      <c r="S23" s="205"/>
    </row>
    <row r="24" spans="1:19" ht="18" customHeight="1" x14ac:dyDescent="0.15">
      <c r="B24" s="172" t="s">
        <v>54</v>
      </c>
      <c r="C24" s="173"/>
      <c r="D24" s="173"/>
      <c r="E24" s="174"/>
      <c r="F24" s="206" t="s">
        <v>81</v>
      </c>
      <c r="G24" s="207" t="s">
        <v>85</v>
      </c>
      <c r="H24" s="208" t="s">
        <v>57</v>
      </c>
      <c r="I24" s="208" t="s">
        <v>60</v>
      </c>
      <c r="J24" s="172" t="s">
        <v>54</v>
      </c>
      <c r="K24" s="173"/>
      <c r="L24" s="173"/>
      <c r="M24" s="173"/>
      <c r="N24" s="173"/>
      <c r="O24" s="174"/>
      <c r="P24" s="206" t="s">
        <v>81</v>
      </c>
      <c r="Q24" s="207" t="s">
        <v>85</v>
      </c>
      <c r="R24" s="208" t="s">
        <v>57</v>
      </c>
      <c r="S24" s="208" t="s">
        <v>60</v>
      </c>
    </row>
    <row r="25" spans="1:19" ht="18" customHeight="1" x14ac:dyDescent="0.15">
      <c r="B25" s="209" t="s">
        <v>152</v>
      </c>
      <c r="C25" s="210"/>
      <c r="D25" s="210"/>
      <c r="E25" s="211"/>
      <c r="F25" s="212">
        <v>2</v>
      </c>
      <c r="G25" s="212" t="s">
        <v>153</v>
      </c>
      <c r="H25" s="212" t="s">
        <v>153</v>
      </c>
      <c r="I25" s="212" t="s">
        <v>153</v>
      </c>
      <c r="J25" s="209"/>
      <c r="K25" s="210"/>
      <c r="L25" s="210"/>
      <c r="M25" s="210"/>
      <c r="N25" s="210"/>
      <c r="O25" s="211"/>
      <c r="P25" s="212"/>
      <c r="Q25" s="212"/>
      <c r="R25" s="212"/>
      <c r="S25" s="212"/>
    </row>
    <row r="26" spans="1:19" ht="18" customHeight="1" x14ac:dyDescent="0.15">
      <c r="B26" s="213" t="s">
        <v>154</v>
      </c>
      <c r="C26" s="214"/>
      <c r="D26" s="214"/>
      <c r="E26" s="215"/>
      <c r="F26" s="216">
        <v>2</v>
      </c>
      <c r="G26" s="216" t="s">
        <v>153</v>
      </c>
      <c r="H26" s="216" t="s">
        <v>153</v>
      </c>
      <c r="I26" s="216"/>
      <c r="J26" s="213"/>
      <c r="K26" s="214"/>
      <c r="L26" s="214"/>
      <c r="M26" s="214"/>
      <c r="N26" s="214"/>
      <c r="O26" s="215"/>
      <c r="P26" s="216"/>
      <c r="Q26" s="216"/>
      <c r="R26" s="216"/>
      <c r="S26" s="216"/>
    </row>
    <row r="27" spans="1:19" ht="18" customHeight="1" x14ac:dyDescent="0.15">
      <c r="B27" s="213" t="s">
        <v>155</v>
      </c>
      <c r="C27" s="214"/>
      <c r="D27" s="214"/>
      <c r="E27" s="215"/>
      <c r="F27" s="216">
        <v>2</v>
      </c>
      <c r="G27" s="216" t="s">
        <v>153</v>
      </c>
      <c r="H27" s="216" t="s">
        <v>153</v>
      </c>
      <c r="I27" s="216" t="s">
        <v>153</v>
      </c>
      <c r="J27" s="213"/>
      <c r="K27" s="214"/>
      <c r="L27" s="214"/>
      <c r="M27" s="214"/>
      <c r="N27" s="214"/>
      <c r="O27" s="215"/>
      <c r="P27" s="216"/>
      <c r="Q27" s="216"/>
      <c r="R27" s="216"/>
      <c r="S27" s="216"/>
    </row>
    <row r="28" spans="1:19" ht="18" customHeight="1" x14ac:dyDescent="0.15">
      <c r="B28" s="213" t="s">
        <v>174</v>
      </c>
      <c r="C28" s="214"/>
      <c r="D28" s="214"/>
      <c r="E28" s="215"/>
      <c r="F28" s="216">
        <v>2</v>
      </c>
      <c r="G28" s="216"/>
      <c r="H28" s="216" t="s">
        <v>153</v>
      </c>
      <c r="I28" s="216"/>
      <c r="J28" s="213"/>
      <c r="K28" s="214"/>
      <c r="L28" s="214"/>
      <c r="M28" s="214"/>
      <c r="N28" s="214"/>
      <c r="O28" s="215"/>
      <c r="P28" s="216"/>
      <c r="Q28" s="216"/>
      <c r="R28" s="216"/>
      <c r="S28" s="216"/>
    </row>
    <row r="29" spans="1:19" ht="18" customHeight="1" x14ac:dyDescent="0.15">
      <c r="B29" s="213" t="s">
        <v>175</v>
      </c>
      <c r="C29" s="214"/>
      <c r="D29" s="214"/>
      <c r="E29" s="215"/>
      <c r="F29" s="216">
        <v>2</v>
      </c>
      <c r="G29" s="216"/>
      <c r="H29" s="216" t="s">
        <v>153</v>
      </c>
      <c r="I29" s="216"/>
      <c r="J29" s="213"/>
      <c r="K29" s="214"/>
      <c r="L29" s="214"/>
      <c r="M29" s="214"/>
      <c r="N29" s="214"/>
      <c r="O29" s="215"/>
      <c r="P29" s="216"/>
      <c r="Q29" s="216"/>
      <c r="R29" s="216"/>
      <c r="S29" s="216"/>
    </row>
    <row r="30" spans="1:19" ht="18" customHeight="1" x14ac:dyDescent="0.15">
      <c r="A30" s="179"/>
      <c r="B30" s="213"/>
      <c r="C30" s="214"/>
      <c r="D30" s="214"/>
      <c r="E30" s="215"/>
      <c r="F30" s="216"/>
      <c r="G30" s="216"/>
      <c r="H30" s="216"/>
      <c r="I30" s="216"/>
      <c r="J30" s="213"/>
      <c r="K30" s="214"/>
      <c r="L30" s="214"/>
      <c r="M30" s="214"/>
      <c r="N30" s="214"/>
      <c r="O30" s="215"/>
      <c r="P30" s="216"/>
      <c r="Q30" s="216"/>
      <c r="R30" s="216"/>
      <c r="S30" s="216"/>
    </row>
    <row r="31" spans="1:19" ht="18" customHeight="1" x14ac:dyDescent="0.15">
      <c r="A31" s="179"/>
      <c r="B31" s="217"/>
      <c r="C31" s="218"/>
      <c r="D31" s="218"/>
      <c r="E31" s="219"/>
      <c r="F31" s="220"/>
      <c r="G31" s="220"/>
      <c r="H31" s="221"/>
      <c r="I31" s="221"/>
      <c r="J31" s="217"/>
      <c r="K31" s="218"/>
      <c r="L31" s="218"/>
      <c r="M31" s="218"/>
      <c r="N31" s="218"/>
      <c r="O31" s="219"/>
      <c r="P31" s="220"/>
      <c r="Q31" s="220"/>
      <c r="R31" s="221"/>
      <c r="S31" s="221"/>
    </row>
    <row r="32" spans="1:19" ht="7.5" customHeight="1" x14ac:dyDescent="0.15">
      <c r="A32" s="179"/>
      <c r="B32" s="176"/>
      <c r="C32" s="176"/>
      <c r="D32" s="179"/>
      <c r="E32" s="179"/>
      <c r="F32" s="179"/>
      <c r="G32" s="179"/>
      <c r="H32" s="176"/>
      <c r="I32" s="176"/>
      <c r="J32" s="176"/>
      <c r="K32" s="176"/>
      <c r="L32" s="176"/>
      <c r="M32" s="176"/>
      <c r="N32" s="176"/>
      <c r="O32" s="176"/>
      <c r="P32" s="176"/>
      <c r="Q32" s="176"/>
      <c r="R32" s="176"/>
      <c r="S32" s="179"/>
    </row>
    <row r="33" spans="1:19" ht="18" customHeight="1" x14ac:dyDescent="0.15">
      <c r="A33" s="205" t="s">
        <v>115</v>
      </c>
      <c r="B33" s="205"/>
      <c r="C33" s="205"/>
      <c r="D33" s="205"/>
      <c r="E33" s="205"/>
      <c r="F33" s="205"/>
      <c r="G33" s="205"/>
      <c r="H33" s="205"/>
      <c r="I33" s="205"/>
      <c r="J33" s="205"/>
      <c r="K33" s="205"/>
      <c r="L33" s="205"/>
      <c r="M33" s="205"/>
      <c r="N33" s="205"/>
      <c r="O33" s="205"/>
      <c r="P33" s="205"/>
      <c r="Q33" s="205"/>
      <c r="R33" s="205"/>
      <c r="S33" s="205"/>
    </row>
    <row r="34" spans="1:19" ht="18" customHeight="1" x14ac:dyDescent="0.15">
      <c r="A34" s="205"/>
      <c r="B34" s="205"/>
      <c r="C34" s="205"/>
      <c r="D34" s="205"/>
      <c r="E34" s="205"/>
      <c r="F34" s="205"/>
      <c r="G34" s="205"/>
      <c r="H34" s="205"/>
      <c r="I34" s="205"/>
      <c r="J34" s="205"/>
      <c r="K34" s="205"/>
      <c r="L34" s="205"/>
      <c r="M34" s="205"/>
      <c r="N34" s="205"/>
      <c r="O34" s="205"/>
      <c r="P34" s="205"/>
      <c r="Q34" s="205"/>
      <c r="R34" s="205"/>
      <c r="S34" s="205"/>
    </row>
    <row r="35" spans="1:19" ht="18" customHeight="1" x14ac:dyDescent="0.15">
      <c r="B35" s="172" t="s">
        <v>54</v>
      </c>
      <c r="C35" s="173"/>
      <c r="D35" s="173"/>
      <c r="E35" s="174"/>
      <c r="F35" s="206" t="s">
        <v>81</v>
      </c>
      <c r="G35" s="207" t="s">
        <v>85</v>
      </c>
      <c r="H35" s="208" t="s">
        <v>72</v>
      </c>
      <c r="I35" s="208" t="s">
        <v>73</v>
      </c>
      <c r="J35" s="172" t="s">
        <v>54</v>
      </c>
      <c r="K35" s="173"/>
      <c r="L35" s="173"/>
      <c r="M35" s="173"/>
      <c r="N35" s="173"/>
      <c r="O35" s="174"/>
      <c r="P35" s="206" t="s">
        <v>81</v>
      </c>
      <c r="Q35" s="207" t="s">
        <v>85</v>
      </c>
      <c r="R35" s="208" t="s">
        <v>72</v>
      </c>
      <c r="S35" s="208" t="s">
        <v>73</v>
      </c>
    </row>
    <row r="36" spans="1:19" ht="18" customHeight="1" x14ac:dyDescent="0.15">
      <c r="B36" s="209" t="s">
        <v>152</v>
      </c>
      <c r="C36" s="210"/>
      <c r="D36" s="210"/>
      <c r="E36" s="211"/>
      <c r="F36" s="212">
        <v>2</v>
      </c>
      <c r="G36" s="212" t="s">
        <v>153</v>
      </c>
      <c r="H36" s="212" t="s">
        <v>153</v>
      </c>
      <c r="I36" s="212" t="s">
        <v>153</v>
      </c>
      <c r="J36" s="209"/>
      <c r="K36" s="210"/>
      <c r="L36" s="210"/>
      <c r="M36" s="210"/>
      <c r="N36" s="210"/>
      <c r="O36" s="211"/>
      <c r="P36" s="212"/>
      <c r="Q36" s="212"/>
      <c r="R36" s="212"/>
      <c r="S36" s="212"/>
    </row>
    <row r="37" spans="1:19" ht="18" customHeight="1" x14ac:dyDescent="0.15">
      <c r="B37" s="213" t="s">
        <v>155</v>
      </c>
      <c r="C37" s="214"/>
      <c r="D37" s="214"/>
      <c r="E37" s="215"/>
      <c r="F37" s="216">
        <v>2</v>
      </c>
      <c r="G37" s="216" t="s">
        <v>153</v>
      </c>
      <c r="H37" s="216" t="s">
        <v>153</v>
      </c>
      <c r="I37" s="216" t="s">
        <v>153</v>
      </c>
      <c r="J37" s="213"/>
      <c r="K37" s="214"/>
      <c r="L37" s="214"/>
      <c r="M37" s="214"/>
      <c r="N37" s="214"/>
      <c r="O37" s="215"/>
      <c r="P37" s="216"/>
      <c r="Q37" s="216"/>
      <c r="R37" s="216"/>
      <c r="S37" s="216"/>
    </row>
    <row r="38" spans="1:19" ht="18" customHeight="1" x14ac:dyDescent="0.15">
      <c r="B38" s="213"/>
      <c r="C38" s="214"/>
      <c r="D38" s="214"/>
      <c r="E38" s="215"/>
      <c r="F38" s="216"/>
      <c r="G38" s="216"/>
      <c r="H38" s="216"/>
      <c r="I38" s="216"/>
      <c r="J38" s="213"/>
      <c r="K38" s="214"/>
      <c r="L38" s="214"/>
      <c r="M38" s="214"/>
      <c r="N38" s="214"/>
      <c r="O38" s="215"/>
      <c r="P38" s="216"/>
      <c r="Q38" s="216"/>
      <c r="R38" s="216"/>
      <c r="S38" s="216"/>
    </row>
    <row r="39" spans="1:19" ht="18" customHeight="1" x14ac:dyDescent="0.15">
      <c r="B39" s="213"/>
      <c r="C39" s="214"/>
      <c r="D39" s="214"/>
      <c r="E39" s="215"/>
      <c r="F39" s="216"/>
      <c r="G39" s="216"/>
      <c r="H39" s="216"/>
      <c r="I39" s="216"/>
      <c r="J39" s="213"/>
      <c r="K39" s="214"/>
      <c r="L39" s="214"/>
      <c r="M39" s="214"/>
      <c r="N39" s="214"/>
      <c r="O39" s="215"/>
      <c r="P39" s="216"/>
      <c r="Q39" s="216"/>
      <c r="R39" s="216"/>
      <c r="S39" s="216"/>
    </row>
    <row r="40" spans="1:19" ht="18" customHeight="1" x14ac:dyDescent="0.15">
      <c r="B40" s="213"/>
      <c r="C40" s="214"/>
      <c r="D40" s="214"/>
      <c r="E40" s="215"/>
      <c r="F40" s="216"/>
      <c r="G40" s="216"/>
      <c r="H40" s="216"/>
      <c r="I40" s="216"/>
      <c r="J40" s="213"/>
      <c r="K40" s="214"/>
      <c r="L40" s="214"/>
      <c r="M40" s="214"/>
      <c r="N40" s="214"/>
      <c r="O40" s="215"/>
      <c r="P40" s="216"/>
      <c r="Q40" s="216"/>
      <c r="R40" s="216"/>
      <c r="S40" s="216"/>
    </row>
    <row r="41" spans="1:19" ht="18" customHeight="1" x14ac:dyDescent="0.15">
      <c r="B41" s="213"/>
      <c r="C41" s="214"/>
      <c r="D41" s="214"/>
      <c r="E41" s="215"/>
      <c r="F41" s="216"/>
      <c r="G41" s="216"/>
      <c r="H41" s="216"/>
      <c r="I41" s="216"/>
      <c r="J41" s="213"/>
      <c r="K41" s="214"/>
      <c r="L41" s="214"/>
      <c r="M41" s="214"/>
      <c r="N41" s="214"/>
      <c r="O41" s="215"/>
      <c r="P41" s="216"/>
      <c r="Q41" s="216"/>
      <c r="R41" s="216"/>
      <c r="S41" s="216"/>
    </row>
    <row r="42" spans="1:19" ht="18" customHeight="1" x14ac:dyDescent="0.15">
      <c r="B42" s="217"/>
      <c r="C42" s="218"/>
      <c r="D42" s="218"/>
      <c r="E42" s="219"/>
      <c r="F42" s="220"/>
      <c r="G42" s="220"/>
      <c r="H42" s="221"/>
      <c r="I42" s="221"/>
      <c r="J42" s="217"/>
      <c r="K42" s="218"/>
      <c r="L42" s="218"/>
      <c r="M42" s="218"/>
      <c r="N42" s="218"/>
      <c r="O42" s="219"/>
      <c r="P42" s="220"/>
      <c r="Q42" s="220"/>
      <c r="R42" s="221"/>
      <c r="S42" s="221"/>
    </row>
    <row r="43" spans="1:19" ht="7.5" customHeight="1" x14ac:dyDescent="0.15">
      <c r="A43" s="179"/>
      <c r="B43" s="176"/>
      <c r="C43" s="176"/>
      <c r="D43" s="179"/>
      <c r="E43" s="179"/>
      <c r="F43" s="179"/>
      <c r="G43" s="179"/>
      <c r="H43" s="176"/>
      <c r="I43" s="176"/>
      <c r="J43" s="176"/>
      <c r="K43" s="176"/>
      <c r="L43" s="176"/>
      <c r="M43" s="176"/>
      <c r="N43" s="176"/>
      <c r="O43" s="176"/>
      <c r="P43" s="176"/>
      <c r="Q43" s="176"/>
      <c r="R43" s="176"/>
      <c r="S43" s="179"/>
    </row>
    <row r="44" spans="1:19" ht="18" customHeight="1" x14ac:dyDescent="0.15">
      <c r="A44" s="205" t="s">
        <v>116</v>
      </c>
      <c r="B44" s="205"/>
      <c r="C44" s="205"/>
      <c r="D44" s="205"/>
      <c r="E44" s="205"/>
      <c r="F44" s="205"/>
      <c r="G44" s="205"/>
      <c r="H44" s="205"/>
      <c r="I44" s="205"/>
      <c r="J44" s="205"/>
      <c r="K44" s="205"/>
      <c r="L44" s="205"/>
      <c r="M44" s="205"/>
      <c r="N44" s="205"/>
      <c r="O44" s="205"/>
      <c r="P44" s="205"/>
      <c r="Q44" s="205"/>
      <c r="R44" s="205"/>
      <c r="S44" s="205"/>
    </row>
    <row r="45" spans="1:19" ht="18" customHeight="1" x14ac:dyDescent="0.15">
      <c r="A45" s="205"/>
      <c r="B45" s="205"/>
      <c r="C45" s="205"/>
      <c r="D45" s="205"/>
      <c r="E45" s="205"/>
      <c r="F45" s="205"/>
      <c r="G45" s="205"/>
      <c r="H45" s="205"/>
      <c r="I45" s="205"/>
      <c r="J45" s="205"/>
      <c r="K45" s="205"/>
      <c r="L45" s="205"/>
      <c r="M45" s="205"/>
      <c r="N45" s="205"/>
      <c r="O45" s="205"/>
      <c r="P45" s="205"/>
      <c r="Q45" s="205"/>
      <c r="R45" s="205"/>
      <c r="S45" s="205"/>
    </row>
    <row r="46" spans="1:19" ht="18" customHeight="1" x14ac:dyDescent="0.15">
      <c r="B46" s="172" t="s">
        <v>54</v>
      </c>
      <c r="C46" s="173"/>
      <c r="D46" s="173"/>
      <c r="E46" s="174"/>
      <c r="F46" s="206" t="s">
        <v>81</v>
      </c>
      <c r="G46" s="207" t="s">
        <v>85</v>
      </c>
      <c r="H46" s="208" t="s">
        <v>74</v>
      </c>
      <c r="I46" s="208" t="s">
        <v>75</v>
      </c>
      <c r="J46" s="172" t="s">
        <v>54</v>
      </c>
      <c r="K46" s="173"/>
      <c r="L46" s="173"/>
      <c r="M46" s="173"/>
      <c r="N46" s="173"/>
      <c r="O46" s="174"/>
      <c r="P46" s="206" t="s">
        <v>81</v>
      </c>
      <c r="Q46" s="207" t="s">
        <v>85</v>
      </c>
      <c r="R46" s="208" t="s">
        <v>74</v>
      </c>
      <c r="S46" s="208" t="s">
        <v>75</v>
      </c>
    </row>
    <row r="47" spans="1:19" ht="18" customHeight="1" x14ac:dyDescent="0.15">
      <c r="A47" s="179"/>
      <c r="B47" s="209" t="s">
        <v>152</v>
      </c>
      <c r="C47" s="210"/>
      <c r="D47" s="210"/>
      <c r="E47" s="211"/>
      <c r="F47" s="212">
        <v>2</v>
      </c>
      <c r="G47" s="212" t="s">
        <v>153</v>
      </c>
      <c r="H47" s="212" t="s">
        <v>153</v>
      </c>
      <c r="I47" s="212" t="s">
        <v>153</v>
      </c>
      <c r="J47" s="209"/>
      <c r="K47" s="210"/>
      <c r="L47" s="210"/>
      <c r="M47" s="210"/>
      <c r="N47" s="210"/>
      <c r="O47" s="211"/>
      <c r="P47" s="212"/>
      <c r="Q47" s="212"/>
      <c r="R47" s="212"/>
      <c r="S47" s="212"/>
    </row>
    <row r="48" spans="1:19" ht="18" customHeight="1" x14ac:dyDescent="0.15">
      <c r="A48" s="179"/>
      <c r="B48" s="213" t="s">
        <v>154</v>
      </c>
      <c r="C48" s="214"/>
      <c r="D48" s="214"/>
      <c r="E48" s="215"/>
      <c r="F48" s="216">
        <v>2</v>
      </c>
      <c r="G48" s="216" t="s">
        <v>153</v>
      </c>
      <c r="H48" s="216"/>
      <c r="I48" s="216" t="s">
        <v>153</v>
      </c>
      <c r="J48" s="213"/>
      <c r="K48" s="214"/>
      <c r="L48" s="214"/>
      <c r="M48" s="214"/>
      <c r="N48" s="214"/>
      <c r="O48" s="215"/>
      <c r="P48" s="216"/>
      <c r="Q48" s="216"/>
      <c r="R48" s="216"/>
      <c r="S48" s="216"/>
    </row>
    <row r="49" spans="1:19" ht="18" customHeight="1" x14ac:dyDescent="0.15">
      <c r="A49" s="179"/>
      <c r="B49" s="213" t="s">
        <v>155</v>
      </c>
      <c r="C49" s="214"/>
      <c r="D49" s="214"/>
      <c r="E49" s="215"/>
      <c r="F49" s="216">
        <v>2</v>
      </c>
      <c r="G49" s="216" t="s">
        <v>153</v>
      </c>
      <c r="H49" s="216" t="s">
        <v>153</v>
      </c>
      <c r="I49" s="216" t="s">
        <v>153</v>
      </c>
      <c r="J49" s="213"/>
      <c r="K49" s="214"/>
      <c r="L49" s="214"/>
      <c r="M49" s="214"/>
      <c r="N49" s="214"/>
      <c r="O49" s="215"/>
      <c r="P49" s="216"/>
      <c r="Q49" s="216"/>
      <c r="R49" s="216"/>
      <c r="S49" s="216"/>
    </row>
    <row r="50" spans="1:19" ht="18" customHeight="1" x14ac:dyDescent="0.15">
      <c r="A50" s="179"/>
      <c r="B50" s="213"/>
      <c r="C50" s="214"/>
      <c r="D50" s="214"/>
      <c r="E50" s="215"/>
      <c r="F50" s="216"/>
      <c r="G50" s="216"/>
      <c r="H50" s="216"/>
      <c r="I50" s="216"/>
      <c r="J50" s="213"/>
      <c r="K50" s="214"/>
      <c r="L50" s="214"/>
      <c r="M50" s="214"/>
      <c r="N50" s="214"/>
      <c r="O50" s="215"/>
      <c r="P50" s="216"/>
      <c r="Q50" s="216"/>
      <c r="R50" s="216"/>
      <c r="S50" s="216"/>
    </row>
    <row r="51" spans="1:19" ht="18" customHeight="1" x14ac:dyDescent="0.15">
      <c r="A51" s="179"/>
      <c r="B51" s="213"/>
      <c r="C51" s="214"/>
      <c r="D51" s="214"/>
      <c r="E51" s="215"/>
      <c r="F51" s="216"/>
      <c r="G51" s="216"/>
      <c r="H51" s="216"/>
      <c r="I51" s="216"/>
      <c r="J51" s="213"/>
      <c r="K51" s="214"/>
      <c r="L51" s="214"/>
      <c r="M51" s="214"/>
      <c r="N51" s="214"/>
      <c r="O51" s="215"/>
      <c r="P51" s="216"/>
      <c r="Q51" s="216"/>
      <c r="R51" s="216"/>
      <c r="S51" s="216"/>
    </row>
    <row r="52" spans="1:19" ht="18" customHeight="1" x14ac:dyDescent="0.15">
      <c r="A52" s="179"/>
      <c r="B52" s="213"/>
      <c r="C52" s="214"/>
      <c r="D52" s="214"/>
      <c r="E52" s="215"/>
      <c r="F52" s="216"/>
      <c r="G52" s="216"/>
      <c r="H52" s="216"/>
      <c r="I52" s="216"/>
      <c r="J52" s="213"/>
      <c r="K52" s="214"/>
      <c r="L52" s="214"/>
      <c r="M52" s="214"/>
      <c r="N52" s="214"/>
      <c r="O52" s="215"/>
      <c r="P52" s="216"/>
      <c r="Q52" s="216"/>
      <c r="R52" s="216"/>
      <c r="S52" s="216"/>
    </row>
    <row r="53" spans="1:19" ht="18" customHeight="1" x14ac:dyDescent="0.15">
      <c r="A53" s="179"/>
      <c r="B53" s="217"/>
      <c r="C53" s="218"/>
      <c r="D53" s="218"/>
      <c r="E53" s="219"/>
      <c r="F53" s="220"/>
      <c r="G53" s="220"/>
      <c r="H53" s="221"/>
      <c r="I53" s="221"/>
      <c r="J53" s="217"/>
      <c r="K53" s="218"/>
      <c r="L53" s="218"/>
      <c r="M53" s="218"/>
      <c r="N53" s="218"/>
      <c r="O53" s="219"/>
      <c r="P53" s="220"/>
      <c r="Q53" s="220"/>
      <c r="R53" s="221"/>
      <c r="S53" s="221"/>
    </row>
    <row r="54" spans="1:19" ht="7.5" customHeight="1" x14ac:dyDescent="0.15">
      <c r="B54" s="222"/>
      <c r="C54" s="222"/>
      <c r="D54" s="222"/>
      <c r="E54" s="222"/>
      <c r="F54" s="222"/>
      <c r="G54" s="222"/>
      <c r="H54" s="222"/>
      <c r="I54" s="222"/>
      <c r="J54" s="222"/>
      <c r="K54" s="222"/>
      <c r="L54" s="222"/>
      <c r="M54" s="222"/>
      <c r="N54" s="222"/>
      <c r="O54" s="222"/>
      <c r="P54" s="222"/>
      <c r="Q54" s="222"/>
      <c r="R54" s="222"/>
    </row>
    <row r="55" spans="1:19" ht="18" customHeight="1" x14ac:dyDescent="0.15">
      <c r="A55" s="205" t="s">
        <v>117</v>
      </c>
      <c r="B55" s="205"/>
      <c r="C55" s="205"/>
      <c r="D55" s="205"/>
      <c r="E55" s="205"/>
      <c r="F55" s="205"/>
      <c r="G55" s="205"/>
      <c r="H55" s="205"/>
      <c r="I55" s="205"/>
      <c r="J55" s="205"/>
      <c r="K55" s="205"/>
      <c r="L55" s="205"/>
      <c r="M55" s="205"/>
      <c r="N55" s="205"/>
      <c r="O55" s="205"/>
      <c r="P55" s="205"/>
      <c r="Q55" s="205"/>
      <c r="R55" s="205"/>
      <c r="S55" s="205"/>
    </row>
    <row r="56" spans="1:19" ht="18" customHeight="1" x14ac:dyDescent="0.15">
      <c r="A56" s="205"/>
      <c r="B56" s="205"/>
      <c r="C56" s="205"/>
      <c r="D56" s="205"/>
      <c r="E56" s="205"/>
      <c r="F56" s="205"/>
      <c r="G56" s="205"/>
      <c r="H56" s="205"/>
      <c r="I56" s="205"/>
      <c r="J56" s="205"/>
      <c r="K56" s="205"/>
      <c r="L56" s="205"/>
      <c r="M56" s="205"/>
      <c r="N56" s="205"/>
      <c r="O56" s="205"/>
      <c r="P56" s="205"/>
      <c r="Q56" s="205"/>
      <c r="R56" s="205"/>
      <c r="S56" s="205"/>
    </row>
    <row r="57" spans="1:19" ht="18" customHeight="1" x14ac:dyDescent="0.15">
      <c r="B57" s="172" t="s">
        <v>54</v>
      </c>
      <c r="C57" s="173"/>
      <c r="D57" s="173"/>
      <c r="E57" s="174"/>
      <c r="F57" s="206" t="s">
        <v>81</v>
      </c>
      <c r="G57" s="207" t="s">
        <v>85</v>
      </c>
      <c r="H57" s="208" t="s">
        <v>59</v>
      </c>
      <c r="I57" s="208" t="s">
        <v>61</v>
      </c>
      <c r="J57" s="172" t="s">
        <v>54</v>
      </c>
      <c r="K57" s="173"/>
      <c r="L57" s="173"/>
      <c r="M57" s="173"/>
      <c r="N57" s="173"/>
      <c r="O57" s="174"/>
      <c r="P57" s="206" t="s">
        <v>81</v>
      </c>
      <c r="Q57" s="207" t="s">
        <v>85</v>
      </c>
      <c r="R57" s="208" t="s">
        <v>59</v>
      </c>
      <c r="S57" s="208" t="s">
        <v>61</v>
      </c>
    </row>
    <row r="58" spans="1:19" ht="18" customHeight="1" x14ac:dyDescent="0.15">
      <c r="A58" s="179"/>
      <c r="B58" s="209" t="s">
        <v>152</v>
      </c>
      <c r="C58" s="210"/>
      <c r="D58" s="210"/>
      <c r="E58" s="211"/>
      <c r="F58" s="212">
        <v>2</v>
      </c>
      <c r="G58" s="212" t="s">
        <v>153</v>
      </c>
      <c r="H58" s="212" t="s">
        <v>153</v>
      </c>
      <c r="I58" s="212" t="s">
        <v>153</v>
      </c>
      <c r="J58" s="209"/>
      <c r="K58" s="210"/>
      <c r="L58" s="210"/>
      <c r="M58" s="210"/>
      <c r="N58" s="210"/>
      <c r="O58" s="211"/>
      <c r="P58" s="212"/>
      <c r="Q58" s="212"/>
      <c r="R58" s="212"/>
      <c r="S58" s="212"/>
    </row>
    <row r="59" spans="1:19" ht="18" customHeight="1" x14ac:dyDescent="0.15">
      <c r="A59" s="179"/>
      <c r="B59" s="213" t="s">
        <v>154</v>
      </c>
      <c r="C59" s="214"/>
      <c r="D59" s="214"/>
      <c r="E59" s="215"/>
      <c r="F59" s="216">
        <v>2</v>
      </c>
      <c r="G59" s="216" t="s">
        <v>153</v>
      </c>
      <c r="H59" s="216" t="s">
        <v>153</v>
      </c>
      <c r="I59" s="216" t="s">
        <v>153</v>
      </c>
      <c r="J59" s="213"/>
      <c r="K59" s="214"/>
      <c r="L59" s="214"/>
      <c r="M59" s="214"/>
      <c r="N59" s="214"/>
      <c r="O59" s="215"/>
      <c r="P59" s="216"/>
      <c r="Q59" s="216"/>
      <c r="R59" s="216"/>
      <c r="S59" s="216"/>
    </row>
    <row r="60" spans="1:19" ht="18" customHeight="1" x14ac:dyDescent="0.15">
      <c r="A60" s="179"/>
      <c r="B60" s="213" t="s">
        <v>155</v>
      </c>
      <c r="C60" s="214"/>
      <c r="D60" s="214"/>
      <c r="E60" s="215"/>
      <c r="F60" s="216">
        <v>2</v>
      </c>
      <c r="G60" s="216" t="s">
        <v>153</v>
      </c>
      <c r="H60" s="216" t="s">
        <v>153</v>
      </c>
      <c r="I60" s="216"/>
      <c r="J60" s="213"/>
      <c r="K60" s="214"/>
      <c r="L60" s="214"/>
      <c r="M60" s="214"/>
      <c r="N60" s="214"/>
      <c r="O60" s="215"/>
      <c r="P60" s="216"/>
      <c r="Q60" s="216"/>
      <c r="R60" s="216"/>
      <c r="S60" s="216"/>
    </row>
    <row r="61" spans="1:19" ht="18" customHeight="1" x14ac:dyDescent="0.15">
      <c r="A61" s="179"/>
      <c r="B61" s="213" t="s">
        <v>181</v>
      </c>
      <c r="C61" s="214"/>
      <c r="D61" s="214"/>
      <c r="E61" s="215"/>
      <c r="F61" s="216">
        <v>2</v>
      </c>
      <c r="G61" s="216"/>
      <c r="H61" s="216" t="s">
        <v>153</v>
      </c>
      <c r="I61" s="216"/>
      <c r="J61" s="213"/>
      <c r="K61" s="214"/>
      <c r="L61" s="214"/>
      <c r="M61" s="214"/>
      <c r="N61" s="214"/>
      <c r="O61" s="215"/>
      <c r="P61" s="216"/>
      <c r="Q61" s="216"/>
      <c r="R61" s="216"/>
      <c r="S61" s="216"/>
    </row>
    <row r="62" spans="1:19" ht="18" customHeight="1" x14ac:dyDescent="0.15">
      <c r="A62" s="179"/>
      <c r="B62" s="213" t="s">
        <v>182</v>
      </c>
      <c r="C62" s="214"/>
      <c r="D62" s="214"/>
      <c r="E62" s="215"/>
      <c r="F62" s="216">
        <v>2</v>
      </c>
      <c r="G62" s="216"/>
      <c r="H62" s="216" t="s">
        <v>153</v>
      </c>
      <c r="I62" s="216" t="s">
        <v>153</v>
      </c>
      <c r="J62" s="213"/>
      <c r="K62" s="214"/>
      <c r="L62" s="214"/>
      <c r="M62" s="214"/>
      <c r="N62" s="214"/>
      <c r="O62" s="215"/>
      <c r="P62" s="216"/>
      <c r="Q62" s="216"/>
      <c r="R62" s="216"/>
      <c r="S62" s="216"/>
    </row>
    <row r="63" spans="1:19" ht="18" customHeight="1" x14ac:dyDescent="0.15">
      <c r="A63" s="179"/>
      <c r="B63" s="213"/>
      <c r="C63" s="214"/>
      <c r="D63" s="214"/>
      <c r="E63" s="215"/>
      <c r="F63" s="216"/>
      <c r="G63" s="216"/>
      <c r="H63" s="216"/>
      <c r="I63" s="216"/>
      <c r="J63" s="213"/>
      <c r="K63" s="214"/>
      <c r="L63" s="214"/>
      <c r="M63" s="214"/>
      <c r="N63" s="214"/>
      <c r="O63" s="215"/>
      <c r="P63" s="216"/>
      <c r="Q63" s="216"/>
      <c r="R63" s="216"/>
      <c r="S63" s="216"/>
    </row>
    <row r="64" spans="1:19" ht="18" customHeight="1" x14ac:dyDescent="0.15">
      <c r="A64" s="179"/>
      <c r="B64" s="217"/>
      <c r="C64" s="218"/>
      <c r="D64" s="218"/>
      <c r="E64" s="219"/>
      <c r="F64" s="220"/>
      <c r="G64" s="220"/>
      <c r="H64" s="221"/>
      <c r="I64" s="221"/>
      <c r="J64" s="217"/>
      <c r="K64" s="218"/>
      <c r="L64" s="218"/>
      <c r="M64" s="218"/>
      <c r="N64" s="218"/>
      <c r="O64" s="219"/>
      <c r="P64" s="220"/>
      <c r="Q64" s="220"/>
      <c r="R64" s="221"/>
      <c r="S64" s="221"/>
    </row>
    <row r="65" spans="1:19" ht="7.5" customHeight="1" x14ac:dyDescent="0.15">
      <c r="B65" s="222"/>
      <c r="C65" s="222"/>
      <c r="D65" s="222"/>
      <c r="E65" s="222"/>
      <c r="F65" s="222"/>
      <c r="G65" s="222"/>
      <c r="H65" s="222"/>
      <c r="I65" s="222"/>
      <c r="J65" s="222"/>
      <c r="K65" s="222"/>
      <c r="L65" s="222"/>
      <c r="M65" s="222"/>
      <c r="N65" s="222"/>
      <c r="O65" s="222"/>
      <c r="P65" s="222"/>
      <c r="Q65" s="222"/>
      <c r="R65" s="222"/>
    </row>
    <row r="66" spans="1:19" ht="18" customHeight="1" x14ac:dyDescent="0.15">
      <c r="A66" s="205" t="s">
        <v>118</v>
      </c>
      <c r="B66" s="205"/>
      <c r="C66" s="205"/>
      <c r="D66" s="205"/>
      <c r="E66" s="205"/>
      <c r="F66" s="205"/>
      <c r="G66" s="205"/>
      <c r="H66" s="205"/>
      <c r="I66" s="205"/>
      <c r="J66" s="205"/>
      <c r="K66" s="205"/>
      <c r="L66" s="205"/>
      <c r="M66" s="205"/>
      <c r="N66" s="205"/>
      <c r="O66" s="205"/>
      <c r="P66" s="205"/>
      <c r="Q66" s="205"/>
      <c r="R66" s="205"/>
      <c r="S66" s="205"/>
    </row>
    <row r="67" spans="1:19" ht="18" customHeight="1" x14ac:dyDescent="0.15">
      <c r="A67" s="205"/>
      <c r="B67" s="205"/>
      <c r="C67" s="205"/>
      <c r="D67" s="205"/>
      <c r="E67" s="205"/>
      <c r="F67" s="205"/>
      <c r="G67" s="205"/>
      <c r="H67" s="205"/>
      <c r="I67" s="205"/>
      <c r="J67" s="205"/>
      <c r="K67" s="205"/>
      <c r="L67" s="205"/>
      <c r="M67" s="205"/>
      <c r="N67" s="205"/>
      <c r="O67" s="205"/>
      <c r="P67" s="205"/>
      <c r="Q67" s="205"/>
      <c r="R67" s="205"/>
      <c r="S67" s="205"/>
    </row>
    <row r="68" spans="1:19" ht="18" customHeight="1" x14ac:dyDescent="0.15">
      <c r="B68" s="172" t="s">
        <v>54</v>
      </c>
      <c r="C68" s="173"/>
      <c r="D68" s="173"/>
      <c r="E68" s="206" t="s">
        <v>81</v>
      </c>
      <c r="F68" s="207" t="s">
        <v>85</v>
      </c>
      <c r="G68" s="208" t="s">
        <v>102</v>
      </c>
      <c r="H68" s="208" t="s">
        <v>76</v>
      </c>
      <c r="I68" s="208" t="s">
        <v>77</v>
      </c>
      <c r="J68" s="172" t="s">
        <v>54</v>
      </c>
      <c r="K68" s="173"/>
      <c r="L68" s="173"/>
      <c r="M68" s="173"/>
      <c r="N68" s="174"/>
      <c r="O68" s="206" t="s">
        <v>81</v>
      </c>
      <c r="P68" s="207" t="s">
        <v>85</v>
      </c>
      <c r="Q68" s="208" t="s">
        <v>102</v>
      </c>
      <c r="R68" s="208" t="s">
        <v>76</v>
      </c>
      <c r="S68" s="208" t="s">
        <v>77</v>
      </c>
    </row>
    <row r="69" spans="1:19" ht="18" customHeight="1" x14ac:dyDescent="0.15">
      <c r="A69" s="179"/>
      <c r="B69" s="209" t="s">
        <v>152</v>
      </c>
      <c r="C69" s="210"/>
      <c r="D69" s="211"/>
      <c r="E69" s="212">
        <v>2</v>
      </c>
      <c r="F69" s="212" t="s">
        <v>153</v>
      </c>
      <c r="G69" s="212" t="s">
        <v>153</v>
      </c>
      <c r="H69" s="212" t="s">
        <v>153</v>
      </c>
      <c r="I69" s="212" t="s">
        <v>153</v>
      </c>
      <c r="J69" s="209"/>
      <c r="K69" s="210"/>
      <c r="L69" s="210"/>
      <c r="M69" s="210"/>
      <c r="N69" s="211"/>
      <c r="O69" s="212"/>
      <c r="P69" s="212"/>
      <c r="Q69" s="212"/>
      <c r="R69" s="212"/>
      <c r="S69" s="212"/>
    </row>
    <row r="70" spans="1:19" ht="18" customHeight="1" x14ac:dyDescent="0.15">
      <c r="A70" s="179"/>
      <c r="B70" s="213" t="s">
        <v>154</v>
      </c>
      <c r="C70" s="214"/>
      <c r="D70" s="215"/>
      <c r="E70" s="216">
        <v>2</v>
      </c>
      <c r="F70" s="216" t="s">
        <v>153</v>
      </c>
      <c r="G70" s="216" t="s">
        <v>153</v>
      </c>
      <c r="H70" s="216"/>
      <c r="I70" s="216" t="s">
        <v>153</v>
      </c>
      <c r="J70" s="213"/>
      <c r="K70" s="214"/>
      <c r="L70" s="214"/>
      <c r="M70" s="214"/>
      <c r="N70" s="215"/>
      <c r="O70" s="216"/>
      <c r="P70" s="216"/>
      <c r="Q70" s="216"/>
      <c r="R70" s="216"/>
      <c r="S70" s="216"/>
    </row>
    <row r="71" spans="1:19" ht="18" customHeight="1" x14ac:dyDescent="0.15">
      <c r="A71" s="179"/>
      <c r="B71" s="213" t="s">
        <v>155</v>
      </c>
      <c r="C71" s="214"/>
      <c r="D71" s="215"/>
      <c r="E71" s="216">
        <v>2</v>
      </c>
      <c r="F71" s="216" t="s">
        <v>153</v>
      </c>
      <c r="G71" s="216" t="s">
        <v>153</v>
      </c>
      <c r="H71" s="216"/>
      <c r="I71" s="216"/>
      <c r="J71" s="213"/>
      <c r="K71" s="214"/>
      <c r="L71" s="214"/>
      <c r="M71" s="214"/>
      <c r="N71" s="215"/>
      <c r="O71" s="216"/>
      <c r="P71" s="216"/>
      <c r="Q71" s="216"/>
      <c r="R71" s="216"/>
      <c r="S71" s="216"/>
    </row>
    <row r="72" spans="1:19" ht="18" customHeight="1" x14ac:dyDescent="0.15">
      <c r="A72" s="179"/>
      <c r="B72" s="213" t="s">
        <v>156</v>
      </c>
      <c r="C72" s="214"/>
      <c r="D72" s="214"/>
      <c r="E72" s="216">
        <v>2</v>
      </c>
      <c r="F72" s="216" t="s">
        <v>153</v>
      </c>
      <c r="G72" s="216" t="s">
        <v>153</v>
      </c>
      <c r="H72" s="216" t="s">
        <v>153</v>
      </c>
      <c r="I72" s="216"/>
      <c r="J72" s="213"/>
      <c r="K72" s="214"/>
      <c r="L72" s="214"/>
      <c r="M72" s="214"/>
      <c r="N72" s="215"/>
      <c r="O72" s="216"/>
      <c r="P72" s="216"/>
      <c r="Q72" s="216"/>
      <c r="R72" s="216"/>
      <c r="S72" s="216"/>
    </row>
    <row r="73" spans="1:19" ht="18" customHeight="1" x14ac:dyDescent="0.15">
      <c r="A73" s="179"/>
      <c r="B73" s="213" t="s">
        <v>177</v>
      </c>
      <c r="C73" s="214"/>
      <c r="D73" s="214"/>
      <c r="E73" s="216">
        <v>2</v>
      </c>
      <c r="F73" s="216"/>
      <c r="G73" s="216" t="s">
        <v>153</v>
      </c>
      <c r="H73" s="216"/>
      <c r="I73" s="216"/>
      <c r="J73" s="213"/>
      <c r="K73" s="214"/>
      <c r="L73" s="214"/>
      <c r="M73" s="214"/>
      <c r="N73" s="215"/>
      <c r="O73" s="216"/>
      <c r="P73" s="216"/>
      <c r="Q73" s="216"/>
      <c r="R73" s="216"/>
      <c r="S73" s="216"/>
    </row>
    <row r="74" spans="1:19" ht="18" customHeight="1" x14ac:dyDescent="0.15">
      <c r="A74" s="179"/>
      <c r="B74" s="213" t="s">
        <v>180</v>
      </c>
      <c r="C74" s="214"/>
      <c r="D74" s="214"/>
      <c r="E74" s="216">
        <v>2</v>
      </c>
      <c r="F74" s="216"/>
      <c r="G74" s="216" t="s">
        <v>153</v>
      </c>
      <c r="H74" s="216"/>
      <c r="I74" s="216"/>
      <c r="J74" s="213"/>
      <c r="K74" s="214"/>
      <c r="L74" s="214"/>
      <c r="M74" s="214"/>
      <c r="N74" s="215"/>
      <c r="O74" s="216"/>
      <c r="P74" s="216"/>
      <c r="Q74" s="216"/>
      <c r="R74" s="216"/>
      <c r="S74" s="216"/>
    </row>
    <row r="75" spans="1:19" ht="18" customHeight="1" x14ac:dyDescent="0.15">
      <c r="A75" s="179"/>
      <c r="B75" s="217"/>
      <c r="C75" s="218"/>
      <c r="D75" s="218"/>
      <c r="E75" s="220"/>
      <c r="F75" s="220"/>
      <c r="G75" s="221"/>
      <c r="H75" s="221"/>
      <c r="I75" s="221"/>
      <c r="J75" s="217"/>
      <c r="K75" s="218"/>
      <c r="L75" s="218"/>
      <c r="M75" s="218"/>
      <c r="N75" s="219"/>
      <c r="O75" s="220"/>
      <c r="P75" s="220"/>
      <c r="Q75" s="221"/>
      <c r="R75" s="221"/>
      <c r="S75" s="221"/>
    </row>
    <row r="76" spans="1:19" ht="7.5" customHeight="1" x14ac:dyDescent="0.15">
      <c r="B76" s="222"/>
      <c r="C76" s="222"/>
      <c r="D76" s="222"/>
      <c r="E76" s="222"/>
      <c r="F76" s="222"/>
      <c r="G76" s="222"/>
      <c r="H76" s="222"/>
      <c r="I76" s="222"/>
      <c r="J76" s="222"/>
      <c r="K76" s="222"/>
      <c r="L76" s="222"/>
      <c r="M76" s="222"/>
      <c r="N76" s="222"/>
      <c r="O76" s="222"/>
      <c r="P76" s="222"/>
      <c r="Q76" s="222"/>
      <c r="R76" s="222"/>
    </row>
    <row r="77" spans="1:19" ht="18" customHeight="1" x14ac:dyDescent="0.15">
      <c r="A77" s="169" t="s">
        <v>119</v>
      </c>
      <c r="H77" s="179"/>
      <c r="I77" s="179"/>
      <c r="J77" s="179"/>
      <c r="K77" s="179"/>
      <c r="L77" s="179"/>
      <c r="M77" s="179"/>
      <c r="N77" s="179"/>
      <c r="O77" s="179"/>
      <c r="P77" s="179"/>
      <c r="Q77" s="179"/>
      <c r="R77" s="179"/>
      <c r="S77" s="179"/>
    </row>
    <row r="78" spans="1:19" ht="18" customHeight="1" x14ac:dyDescent="0.15">
      <c r="B78" s="172" t="s">
        <v>54</v>
      </c>
      <c r="C78" s="173"/>
      <c r="D78" s="173"/>
      <c r="E78" s="174"/>
      <c r="F78" s="172" t="s">
        <v>83</v>
      </c>
      <c r="G78" s="173"/>
      <c r="H78" s="173"/>
      <c r="I78" s="174"/>
      <c r="J78" s="223" t="s">
        <v>54</v>
      </c>
      <c r="K78" s="224"/>
      <c r="L78" s="224"/>
      <c r="M78" s="224"/>
      <c r="N78" s="224"/>
      <c r="O78" s="225"/>
      <c r="P78" s="172" t="s">
        <v>83</v>
      </c>
      <c r="Q78" s="173"/>
      <c r="R78" s="173"/>
      <c r="S78" s="174"/>
    </row>
    <row r="79" spans="1:19" ht="18" customHeight="1" x14ac:dyDescent="0.15">
      <c r="A79" s="179"/>
      <c r="B79" s="209" t="s">
        <v>166</v>
      </c>
      <c r="C79" s="210"/>
      <c r="D79" s="210"/>
      <c r="E79" s="211"/>
      <c r="F79" s="226" t="s">
        <v>167</v>
      </c>
      <c r="G79" s="227"/>
      <c r="H79" s="227"/>
      <c r="I79" s="228"/>
      <c r="J79" s="209" t="s">
        <v>184</v>
      </c>
      <c r="K79" s="210"/>
      <c r="L79" s="210"/>
      <c r="M79" s="210"/>
      <c r="N79" s="210"/>
      <c r="O79" s="211"/>
      <c r="P79" s="226" t="s">
        <v>169</v>
      </c>
      <c r="Q79" s="227"/>
      <c r="R79" s="227"/>
      <c r="S79" s="228"/>
    </row>
    <row r="80" spans="1:19" ht="18" customHeight="1" x14ac:dyDescent="0.15">
      <c r="A80" s="179"/>
      <c r="B80" s="213" t="s">
        <v>168</v>
      </c>
      <c r="C80" s="214"/>
      <c r="D80" s="214"/>
      <c r="E80" s="215"/>
      <c r="F80" s="229" t="s">
        <v>169</v>
      </c>
      <c r="G80" s="230"/>
      <c r="H80" s="230"/>
      <c r="I80" s="231"/>
      <c r="J80" s="213" t="s">
        <v>170</v>
      </c>
      <c r="K80" s="214"/>
      <c r="L80" s="214"/>
      <c r="M80" s="214"/>
      <c r="N80" s="214"/>
      <c r="O80" s="215"/>
      <c r="P80" s="229" t="s">
        <v>171</v>
      </c>
      <c r="Q80" s="230"/>
      <c r="R80" s="230"/>
      <c r="S80" s="231"/>
    </row>
    <row r="81" spans="1:19" ht="18" customHeight="1" x14ac:dyDescent="0.15">
      <c r="A81" s="179"/>
      <c r="B81" s="213" t="s">
        <v>183</v>
      </c>
      <c r="C81" s="214"/>
      <c r="D81" s="214"/>
      <c r="E81" s="215"/>
      <c r="F81" s="229" t="s">
        <v>172</v>
      </c>
      <c r="G81" s="230"/>
      <c r="H81" s="230"/>
      <c r="I81" s="231"/>
      <c r="J81" s="213" t="s">
        <v>170</v>
      </c>
      <c r="K81" s="214"/>
      <c r="L81" s="214"/>
      <c r="M81" s="214"/>
      <c r="N81" s="214"/>
      <c r="O81" s="215"/>
      <c r="P81" s="229" t="s">
        <v>172</v>
      </c>
      <c r="Q81" s="230"/>
      <c r="R81" s="230"/>
      <c r="S81" s="231"/>
    </row>
    <row r="82" spans="1:19" ht="18" customHeight="1" x14ac:dyDescent="0.15">
      <c r="A82" s="179"/>
      <c r="B82" s="213" t="s">
        <v>174</v>
      </c>
      <c r="C82" s="214"/>
      <c r="D82" s="214"/>
      <c r="E82" s="215"/>
      <c r="F82" s="229" t="s">
        <v>172</v>
      </c>
      <c r="G82" s="230"/>
      <c r="H82" s="230"/>
      <c r="I82" s="231"/>
      <c r="J82" s="213" t="s">
        <v>170</v>
      </c>
      <c r="K82" s="214"/>
      <c r="L82" s="214"/>
      <c r="M82" s="214"/>
      <c r="N82" s="214"/>
      <c r="O82" s="215"/>
      <c r="P82" s="229" t="s">
        <v>173</v>
      </c>
      <c r="Q82" s="230"/>
      <c r="R82" s="230"/>
      <c r="S82" s="231"/>
    </row>
    <row r="83" spans="1:19" ht="18" customHeight="1" x14ac:dyDescent="0.15">
      <c r="A83" s="179"/>
      <c r="B83" s="213" t="s">
        <v>175</v>
      </c>
      <c r="C83" s="214"/>
      <c r="D83" s="214"/>
      <c r="E83" s="215"/>
      <c r="F83" s="229" t="s">
        <v>173</v>
      </c>
      <c r="G83" s="230"/>
      <c r="H83" s="230"/>
      <c r="I83" s="231"/>
      <c r="J83" s="213" t="s">
        <v>185</v>
      </c>
      <c r="K83" s="214"/>
      <c r="L83" s="214"/>
      <c r="M83" s="214"/>
      <c r="N83" s="214"/>
      <c r="O83" s="215"/>
      <c r="P83" s="229" t="s">
        <v>178</v>
      </c>
      <c r="Q83" s="230"/>
      <c r="R83" s="230"/>
      <c r="S83" s="231"/>
    </row>
    <row r="84" spans="1:19" ht="18" customHeight="1" x14ac:dyDescent="0.15">
      <c r="A84" s="179"/>
      <c r="B84" s="235" t="s">
        <v>175</v>
      </c>
      <c r="C84" s="236"/>
      <c r="D84" s="236"/>
      <c r="E84" s="237"/>
      <c r="F84" s="273" t="s">
        <v>176</v>
      </c>
      <c r="G84" s="274"/>
      <c r="H84" s="274"/>
      <c r="I84" s="275"/>
      <c r="J84" s="213" t="s">
        <v>179</v>
      </c>
      <c r="K84" s="214"/>
      <c r="L84" s="214"/>
      <c r="M84" s="214"/>
      <c r="N84" s="214"/>
      <c r="O84" s="215"/>
      <c r="P84" s="229" t="s">
        <v>178</v>
      </c>
      <c r="Q84" s="230"/>
      <c r="R84" s="230"/>
      <c r="S84" s="231"/>
    </row>
    <row r="85" spans="1:19" ht="18" customHeight="1" x14ac:dyDescent="0.15">
      <c r="A85" s="179"/>
      <c r="B85" s="217" t="s">
        <v>184</v>
      </c>
      <c r="C85" s="218"/>
      <c r="D85" s="218"/>
      <c r="E85" s="219"/>
      <c r="F85" s="232" t="s">
        <v>171</v>
      </c>
      <c r="G85" s="233"/>
      <c r="H85" s="233"/>
      <c r="I85" s="234"/>
      <c r="J85" s="217" t="s">
        <v>180</v>
      </c>
      <c r="K85" s="218"/>
      <c r="L85" s="218"/>
      <c r="M85" s="218"/>
      <c r="N85" s="218"/>
      <c r="O85" s="219"/>
      <c r="P85" s="232" t="s">
        <v>178</v>
      </c>
      <c r="Q85" s="233"/>
      <c r="R85" s="233"/>
      <c r="S85" s="234"/>
    </row>
    <row r="86" spans="1:19" ht="18" customHeight="1" x14ac:dyDescent="0.15">
      <c r="A86" s="179"/>
      <c r="B86" s="176"/>
      <c r="C86" s="176"/>
      <c r="D86" s="176"/>
      <c r="E86" s="176"/>
      <c r="F86" s="238"/>
      <c r="G86" s="238"/>
      <c r="H86" s="238"/>
      <c r="I86" s="238"/>
      <c r="J86" s="176"/>
      <c r="K86" s="176"/>
      <c r="L86" s="176"/>
      <c r="M86" s="176"/>
      <c r="N86" s="176"/>
      <c r="O86" s="176"/>
      <c r="P86" s="238"/>
      <c r="Q86" s="238"/>
      <c r="R86" s="238"/>
      <c r="S86" s="238"/>
    </row>
    <row r="87" spans="1:19" ht="18.75" customHeight="1" x14ac:dyDescent="0.15">
      <c r="A87" s="169" t="s">
        <v>120</v>
      </c>
    </row>
    <row r="88" spans="1:19" ht="18.75" customHeight="1" x14ac:dyDescent="0.15">
      <c r="B88" s="239" t="s">
        <v>55</v>
      </c>
      <c r="C88" s="240"/>
      <c r="D88" s="173" t="s">
        <v>56</v>
      </c>
      <c r="E88" s="173"/>
      <c r="F88" s="173"/>
      <c r="G88" s="173"/>
      <c r="H88" s="173"/>
      <c r="I88" s="173"/>
      <c r="J88" s="173"/>
      <c r="K88" s="173"/>
      <c r="L88" s="173"/>
      <c r="M88" s="173"/>
      <c r="N88" s="173"/>
      <c r="O88" s="173"/>
      <c r="P88" s="173"/>
      <c r="Q88" s="173"/>
      <c r="R88" s="173"/>
      <c r="S88" s="174"/>
    </row>
    <row r="89" spans="1:19" ht="159.75" customHeight="1" x14ac:dyDescent="0.15">
      <c r="B89" s="241" t="s">
        <v>62</v>
      </c>
      <c r="C89" s="242" t="s">
        <v>57</v>
      </c>
      <c r="D89" s="243" t="s">
        <v>186</v>
      </c>
      <c r="E89" s="243"/>
      <c r="F89" s="243"/>
      <c r="G89" s="243"/>
      <c r="H89" s="243"/>
      <c r="I89" s="243"/>
      <c r="J89" s="243"/>
      <c r="K89" s="243"/>
      <c r="L89" s="243"/>
      <c r="M89" s="243"/>
      <c r="N89" s="243"/>
      <c r="O89" s="243"/>
      <c r="P89" s="243"/>
      <c r="Q89" s="243"/>
      <c r="R89" s="243"/>
      <c r="S89" s="244"/>
    </row>
    <row r="90" spans="1:19" ht="97.5" customHeight="1" x14ac:dyDescent="0.15">
      <c r="B90" s="245"/>
      <c r="C90" s="246" t="s">
        <v>78</v>
      </c>
      <c r="D90" s="247" t="s">
        <v>151</v>
      </c>
      <c r="E90" s="247"/>
      <c r="F90" s="247"/>
      <c r="G90" s="247"/>
      <c r="H90" s="247"/>
      <c r="I90" s="247"/>
      <c r="J90" s="247"/>
      <c r="K90" s="247"/>
      <c r="L90" s="247"/>
      <c r="M90" s="247"/>
      <c r="N90" s="247"/>
      <c r="O90" s="247"/>
      <c r="P90" s="247"/>
      <c r="Q90" s="247"/>
      <c r="R90" s="247"/>
      <c r="S90" s="248"/>
    </row>
    <row r="91" spans="1:19" ht="97.5" customHeight="1" x14ac:dyDescent="0.15">
      <c r="B91" s="241" t="s">
        <v>63</v>
      </c>
      <c r="C91" s="249" t="s">
        <v>72</v>
      </c>
      <c r="D91" s="250" t="s">
        <v>150</v>
      </c>
      <c r="E91" s="250"/>
      <c r="F91" s="250"/>
      <c r="G91" s="250"/>
      <c r="H91" s="250"/>
      <c r="I91" s="250"/>
      <c r="J91" s="250"/>
      <c r="K91" s="250"/>
      <c r="L91" s="250"/>
      <c r="M91" s="250"/>
      <c r="N91" s="250"/>
      <c r="O91" s="250"/>
      <c r="P91" s="250"/>
      <c r="Q91" s="250"/>
      <c r="R91" s="250"/>
      <c r="S91" s="251"/>
    </row>
    <row r="92" spans="1:19" ht="97.5" customHeight="1" x14ac:dyDescent="0.15">
      <c r="B92" s="252"/>
      <c r="C92" s="253" t="s">
        <v>73</v>
      </c>
      <c r="D92" s="254" t="s">
        <v>164</v>
      </c>
      <c r="E92" s="254"/>
      <c r="F92" s="254"/>
      <c r="G92" s="254"/>
      <c r="H92" s="254"/>
      <c r="I92" s="254"/>
      <c r="J92" s="254"/>
      <c r="K92" s="254"/>
      <c r="L92" s="254"/>
      <c r="M92" s="254"/>
      <c r="N92" s="254"/>
      <c r="O92" s="254"/>
      <c r="P92" s="254"/>
      <c r="Q92" s="254"/>
      <c r="R92" s="254"/>
      <c r="S92" s="255"/>
    </row>
    <row r="93" spans="1:19" ht="103.5" customHeight="1" x14ac:dyDescent="0.15">
      <c r="B93" s="241" t="s">
        <v>64</v>
      </c>
      <c r="C93" s="249" t="s">
        <v>74</v>
      </c>
      <c r="D93" s="250" t="s">
        <v>149</v>
      </c>
      <c r="E93" s="256"/>
      <c r="F93" s="256"/>
      <c r="G93" s="256"/>
      <c r="H93" s="256"/>
      <c r="I93" s="256"/>
      <c r="J93" s="256"/>
      <c r="K93" s="256"/>
      <c r="L93" s="256"/>
      <c r="M93" s="256"/>
      <c r="N93" s="256"/>
      <c r="O93" s="256"/>
      <c r="P93" s="256"/>
      <c r="Q93" s="256"/>
      <c r="R93" s="256"/>
      <c r="S93" s="257"/>
    </row>
    <row r="94" spans="1:19" ht="97.5" customHeight="1" x14ac:dyDescent="0.15">
      <c r="B94" s="252"/>
      <c r="C94" s="258" t="s">
        <v>75</v>
      </c>
      <c r="D94" s="189" t="s">
        <v>148</v>
      </c>
      <c r="E94" s="189"/>
      <c r="F94" s="189"/>
      <c r="G94" s="189"/>
      <c r="H94" s="189"/>
      <c r="I94" s="189"/>
      <c r="J94" s="189"/>
      <c r="K94" s="189"/>
      <c r="L94" s="189"/>
      <c r="M94" s="189"/>
      <c r="N94" s="189"/>
      <c r="O94" s="189"/>
      <c r="P94" s="189"/>
      <c r="Q94" s="189"/>
      <c r="R94" s="189"/>
      <c r="S94" s="190"/>
    </row>
    <row r="95" spans="1:19" ht="144" customHeight="1" x14ac:dyDescent="0.15">
      <c r="B95" s="241" t="s">
        <v>79</v>
      </c>
      <c r="C95" s="242" t="s">
        <v>59</v>
      </c>
      <c r="D95" s="243" t="s">
        <v>187</v>
      </c>
      <c r="E95" s="259"/>
      <c r="F95" s="259"/>
      <c r="G95" s="259"/>
      <c r="H95" s="259"/>
      <c r="I95" s="259"/>
      <c r="J95" s="259"/>
      <c r="K95" s="259"/>
      <c r="L95" s="259"/>
      <c r="M95" s="259"/>
      <c r="N95" s="259"/>
      <c r="O95" s="259"/>
      <c r="P95" s="259"/>
      <c r="Q95" s="259"/>
      <c r="R95" s="259"/>
      <c r="S95" s="260"/>
    </row>
    <row r="96" spans="1:19" ht="97.5" customHeight="1" x14ac:dyDescent="0.15">
      <c r="B96" s="252"/>
      <c r="C96" s="253" t="s">
        <v>61</v>
      </c>
      <c r="D96" s="261" t="s">
        <v>188</v>
      </c>
      <c r="E96" s="262"/>
      <c r="F96" s="262"/>
      <c r="G96" s="262"/>
      <c r="H96" s="262"/>
      <c r="I96" s="262"/>
      <c r="J96" s="262"/>
      <c r="K96" s="262"/>
      <c r="L96" s="262"/>
      <c r="M96" s="262"/>
      <c r="N96" s="262"/>
      <c r="O96" s="262"/>
      <c r="P96" s="262"/>
      <c r="Q96" s="262"/>
      <c r="R96" s="262"/>
      <c r="S96" s="263"/>
    </row>
    <row r="97" spans="1:19" ht="205.5" customHeight="1" x14ac:dyDescent="0.15">
      <c r="B97" s="241" t="s">
        <v>80</v>
      </c>
      <c r="C97" s="249" t="s">
        <v>58</v>
      </c>
      <c r="D97" s="264" t="s">
        <v>189</v>
      </c>
      <c r="E97" s="210"/>
      <c r="F97" s="210"/>
      <c r="G97" s="210"/>
      <c r="H97" s="210"/>
      <c r="I97" s="210"/>
      <c r="J97" s="210"/>
      <c r="K97" s="210"/>
      <c r="L97" s="210"/>
      <c r="M97" s="210"/>
      <c r="N97" s="210"/>
      <c r="O97" s="210"/>
      <c r="P97" s="210"/>
      <c r="Q97" s="210"/>
      <c r="R97" s="210"/>
      <c r="S97" s="211"/>
    </row>
    <row r="98" spans="1:19" ht="97.5" customHeight="1" x14ac:dyDescent="0.15">
      <c r="B98" s="245"/>
      <c r="C98" s="265" t="s">
        <v>76</v>
      </c>
      <c r="D98" s="266" t="s">
        <v>190</v>
      </c>
      <c r="E98" s="214"/>
      <c r="F98" s="214"/>
      <c r="G98" s="214"/>
      <c r="H98" s="214"/>
      <c r="I98" s="214"/>
      <c r="J98" s="214"/>
      <c r="K98" s="214"/>
      <c r="L98" s="214"/>
      <c r="M98" s="214"/>
      <c r="N98" s="214"/>
      <c r="O98" s="214"/>
      <c r="P98" s="214"/>
      <c r="Q98" s="214"/>
      <c r="R98" s="214"/>
      <c r="S98" s="215"/>
    </row>
    <row r="99" spans="1:19" ht="97.5" customHeight="1" x14ac:dyDescent="0.15">
      <c r="B99" s="252"/>
      <c r="C99" s="258" t="s">
        <v>77</v>
      </c>
      <c r="D99" s="267" t="s">
        <v>191</v>
      </c>
      <c r="E99" s="268"/>
      <c r="F99" s="268"/>
      <c r="G99" s="268"/>
      <c r="H99" s="268"/>
      <c r="I99" s="268"/>
      <c r="J99" s="268"/>
      <c r="K99" s="268"/>
      <c r="L99" s="268"/>
      <c r="M99" s="268"/>
      <c r="N99" s="268"/>
      <c r="O99" s="268"/>
      <c r="P99" s="268"/>
      <c r="Q99" s="268"/>
      <c r="R99" s="268"/>
      <c r="S99" s="269"/>
    </row>
    <row r="100" spans="1:19" ht="6" customHeight="1" x14ac:dyDescent="0.15"/>
    <row r="101" spans="1:19" ht="18.75" customHeight="1" x14ac:dyDescent="0.15">
      <c r="A101" s="169" t="s">
        <v>121</v>
      </c>
    </row>
    <row r="102" spans="1:19" ht="81.75" customHeight="1" x14ac:dyDescent="0.15">
      <c r="B102" s="270" t="s">
        <v>147</v>
      </c>
      <c r="C102" s="271"/>
      <c r="D102" s="271"/>
      <c r="E102" s="271"/>
      <c r="F102" s="271"/>
      <c r="G102" s="271"/>
      <c r="H102" s="271"/>
      <c r="I102" s="271"/>
      <c r="J102" s="271"/>
      <c r="K102" s="271"/>
      <c r="L102" s="271"/>
      <c r="M102" s="271"/>
      <c r="N102" s="271"/>
      <c r="O102" s="271"/>
      <c r="P102" s="271"/>
      <c r="Q102" s="271"/>
      <c r="R102" s="271"/>
      <c r="S102" s="272"/>
    </row>
    <row r="110" spans="1:19" ht="18" customHeight="1" x14ac:dyDescent="0.15"/>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G83:I86 P79:P86 G79:I80 Q79:S80 Q83:S86 F79:F8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G25:I31 Q25:S31 G36:I42 Q36:S42 P69:S75 Q47:S53 G47:I53 Q58:S64 F69:I75 G58:I64">
      <formula1>"○"</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83"/>
  <sheetViews>
    <sheetView tabSelected="1" view="pageBreakPreview" topLeftCell="O1" zoomScaleNormal="100" zoomScaleSheetLayoutView="100" workbookViewId="0">
      <selection activeCell="B1" sqref="B1"/>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23"/>
      <c r="Q2" s="23"/>
      <c r="W2" s="23"/>
      <c r="AC2" s="23"/>
      <c r="AI2" s="23"/>
      <c r="AL2" s="23" t="s">
        <v>109</v>
      </c>
      <c r="AM2" s="73" t="str">
        <f>'様式１　プログラムを構成する授業科目'!C2</f>
        <v>札幌大学</v>
      </c>
      <c r="AN2" s="73"/>
      <c r="AO2" s="73"/>
      <c r="AP2" s="73"/>
      <c r="AQ2" s="73"/>
    </row>
    <row r="3" spans="1:45" ht="18" customHeight="1" x14ac:dyDescent="0.15">
      <c r="A3" s="69" t="s">
        <v>48</v>
      </c>
      <c r="B3" s="69"/>
      <c r="C3" s="69"/>
      <c r="D3" s="69"/>
      <c r="E3" s="69"/>
      <c r="F3" s="69"/>
      <c r="G3" s="69"/>
      <c r="H3" s="69"/>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74" t="s">
        <v>131</v>
      </c>
      <c r="D5" s="75"/>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76" t="s">
        <v>45</v>
      </c>
      <c r="C9" s="91" t="s">
        <v>87</v>
      </c>
      <c r="D9" s="79" t="s">
        <v>47</v>
      </c>
      <c r="E9" s="82" t="s">
        <v>40</v>
      </c>
      <c r="F9" s="70" t="s">
        <v>86</v>
      </c>
      <c r="G9" s="70"/>
      <c r="H9" s="70"/>
      <c r="I9" s="70"/>
      <c r="J9" s="70"/>
      <c r="K9" s="70"/>
      <c r="L9" s="70" t="s">
        <v>49</v>
      </c>
      <c r="M9" s="70"/>
      <c r="N9" s="70"/>
      <c r="O9" s="70"/>
      <c r="P9" s="70"/>
      <c r="Q9" s="70"/>
      <c r="R9" s="70" t="s">
        <v>50</v>
      </c>
      <c r="S9" s="70"/>
      <c r="T9" s="70"/>
      <c r="U9" s="70"/>
      <c r="V9" s="70"/>
      <c r="W9" s="70"/>
      <c r="X9" s="70" t="s">
        <v>101</v>
      </c>
      <c r="Y9" s="70"/>
      <c r="Z9" s="70"/>
      <c r="AA9" s="70"/>
      <c r="AB9" s="70"/>
      <c r="AC9" s="70"/>
      <c r="AD9" s="70" t="s">
        <v>51</v>
      </c>
      <c r="AE9" s="70"/>
      <c r="AF9" s="70"/>
      <c r="AG9" s="70"/>
      <c r="AH9" s="70"/>
      <c r="AI9" s="70"/>
      <c r="AJ9" s="70" t="s">
        <v>52</v>
      </c>
      <c r="AK9" s="70"/>
      <c r="AL9" s="70"/>
      <c r="AM9" s="70"/>
      <c r="AN9" s="70"/>
      <c r="AO9" s="70"/>
      <c r="AP9" s="85" t="s">
        <v>35</v>
      </c>
      <c r="AQ9" s="88" t="s">
        <v>32</v>
      </c>
      <c r="AS9" s="2"/>
    </row>
    <row r="10" spans="1:45" ht="16.899999999999999" customHeight="1" x14ac:dyDescent="0.15">
      <c r="B10" s="77"/>
      <c r="C10" s="92"/>
      <c r="D10" s="80"/>
      <c r="E10" s="83"/>
      <c r="F10" s="71" t="s">
        <v>97</v>
      </c>
      <c r="G10" s="72"/>
      <c r="H10" s="72"/>
      <c r="I10" s="71" t="s">
        <v>29</v>
      </c>
      <c r="J10" s="72"/>
      <c r="K10" s="72"/>
      <c r="L10" s="71" t="s">
        <v>97</v>
      </c>
      <c r="M10" s="72"/>
      <c r="N10" s="72"/>
      <c r="O10" s="71" t="s">
        <v>29</v>
      </c>
      <c r="P10" s="72"/>
      <c r="Q10" s="72"/>
      <c r="R10" s="71" t="s">
        <v>97</v>
      </c>
      <c r="S10" s="72"/>
      <c r="T10" s="72"/>
      <c r="U10" s="71" t="s">
        <v>29</v>
      </c>
      <c r="V10" s="72"/>
      <c r="W10" s="72"/>
      <c r="X10" s="71" t="s">
        <v>97</v>
      </c>
      <c r="Y10" s="72"/>
      <c r="Z10" s="72"/>
      <c r="AA10" s="71" t="s">
        <v>29</v>
      </c>
      <c r="AB10" s="72"/>
      <c r="AC10" s="72"/>
      <c r="AD10" s="71" t="s">
        <v>97</v>
      </c>
      <c r="AE10" s="72"/>
      <c r="AF10" s="72"/>
      <c r="AG10" s="71" t="s">
        <v>29</v>
      </c>
      <c r="AH10" s="72"/>
      <c r="AI10" s="72"/>
      <c r="AJ10" s="71" t="s">
        <v>97</v>
      </c>
      <c r="AK10" s="72"/>
      <c r="AL10" s="72"/>
      <c r="AM10" s="71" t="s">
        <v>29</v>
      </c>
      <c r="AN10" s="72"/>
      <c r="AO10" s="72"/>
      <c r="AP10" s="86"/>
      <c r="AQ10" s="89"/>
      <c r="AS10" s="2"/>
    </row>
    <row r="11" spans="1:45" ht="18" customHeight="1" x14ac:dyDescent="0.15">
      <c r="B11" s="78"/>
      <c r="C11" s="93"/>
      <c r="D11" s="81"/>
      <c r="E11" s="84"/>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87"/>
      <c r="AQ11" s="90"/>
      <c r="AS11" s="2"/>
    </row>
    <row r="12" spans="1:45" ht="18" customHeight="1" x14ac:dyDescent="0.15">
      <c r="A12" s="6"/>
      <c r="B12" s="11" t="s">
        <v>130</v>
      </c>
      <c r="C12" s="44">
        <v>3091</v>
      </c>
      <c r="D12" s="45">
        <v>800</v>
      </c>
      <c r="E12" s="46">
        <v>3300</v>
      </c>
      <c r="F12" s="46">
        <f>G12+H12</f>
        <v>13</v>
      </c>
      <c r="G12" s="47">
        <v>9</v>
      </c>
      <c r="H12" s="48">
        <v>4</v>
      </c>
      <c r="I12" s="46">
        <f>J12+K12</f>
        <v>0</v>
      </c>
      <c r="J12" s="47">
        <v>0</v>
      </c>
      <c r="K12" s="48">
        <v>0</v>
      </c>
      <c r="L12" s="46">
        <f>M12+N12</f>
        <v>0</v>
      </c>
      <c r="M12" s="47"/>
      <c r="N12" s="48"/>
      <c r="O12" s="46">
        <f>P12+Q12</f>
        <v>0</v>
      </c>
      <c r="P12" s="47"/>
      <c r="Q12" s="48"/>
      <c r="R12" s="46">
        <f>S12+T12</f>
        <v>0</v>
      </c>
      <c r="S12" s="47"/>
      <c r="T12" s="48"/>
      <c r="U12" s="46">
        <f>V12+W12</f>
        <v>0</v>
      </c>
      <c r="V12" s="47"/>
      <c r="W12" s="48"/>
      <c r="X12" s="46">
        <f>Y12+Z12</f>
        <v>0</v>
      </c>
      <c r="Y12" s="47"/>
      <c r="Z12" s="48"/>
      <c r="AA12" s="46">
        <f>AB12+AC12</f>
        <v>0</v>
      </c>
      <c r="AB12" s="47"/>
      <c r="AC12" s="48"/>
      <c r="AD12" s="46">
        <f>AE12+AF12</f>
        <v>0</v>
      </c>
      <c r="AE12" s="47"/>
      <c r="AF12" s="48"/>
      <c r="AG12" s="46">
        <f>AH12+AI12</f>
        <v>0</v>
      </c>
      <c r="AH12" s="47"/>
      <c r="AI12" s="48"/>
      <c r="AJ12" s="46">
        <f>AK12+AL12</f>
        <v>0</v>
      </c>
      <c r="AK12" s="47"/>
      <c r="AL12" s="48"/>
      <c r="AM12" s="46">
        <f>AN12+AO12</f>
        <v>0</v>
      </c>
      <c r="AN12" s="47"/>
      <c r="AO12" s="48"/>
      <c r="AP12" s="45">
        <f>F12+L12+R12+X12+AD12+AJ12</f>
        <v>13</v>
      </c>
      <c r="AQ12" s="21">
        <f t="shared" ref="AQ12:AQ32" si="0">AP12/E12</f>
        <v>3.9393939393939396E-3</v>
      </c>
    </row>
    <row r="13" spans="1:45" ht="18" customHeight="1" x14ac:dyDescent="0.15">
      <c r="A13" s="6"/>
      <c r="B13" s="12"/>
      <c r="C13" s="49"/>
      <c r="D13" s="50"/>
      <c r="E13" s="51"/>
      <c r="F13" s="52">
        <f t="shared" ref="F13:F31" si="1">G13+H13</f>
        <v>0</v>
      </c>
      <c r="G13" s="53"/>
      <c r="H13" s="54"/>
      <c r="I13" s="52">
        <f t="shared" ref="I13:I31" si="2">J13+K13</f>
        <v>0</v>
      </c>
      <c r="J13" s="53"/>
      <c r="K13" s="54"/>
      <c r="L13" s="52">
        <f t="shared" ref="L13:L31" si="3">M13+N13</f>
        <v>0</v>
      </c>
      <c r="M13" s="53"/>
      <c r="N13" s="54"/>
      <c r="O13" s="52">
        <f t="shared" ref="O13:O31" si="4">P13+Q13</f>
        <v>0</v>
      </c>
      <c r="P13" s="53"/>
      <c r="Q13" s="54"/>
      <c r="R13" s="52">
        <f t="shared" ref="R13:R31" si="5">S13+T13</f>
        <v>0</v>
      </c>
      <c r="S13" s="53"/>
      <c r="T13" s="54"/>
      <c r="U13" s="52">
        <f t="shared" ref="U13:U31" si="6">V13+W13</f>
        <v>0</v>
      </c>
      <c r="V13" s="53"/>
      <c r="W13" s="54"/>
      <c r="X13" s="52">
        <f t="shared" ref="X13:X31" si="7">Y13+Z13</f>
        <v>0</v>
      </c>
      <c r="Y13" s="53"/>
      <c r="Z13" s="54"/>
      <c r="AA13" s="52">
        <f t="shared" ref="AA13:AA31" si="8">AB13+AC13</f>
        <v>0</v>
      </c>
      <c r="AB13" s="53"/>
      <c r="AC13" s="54"/>
      <c r="AD13" s="52">
        <f t="shared" ref="AD13:AD31" si="9">AE13+AF13</f>
        <v>0</v>
      </c>
      <c r="AE13" s="53"/>
      <c r="AF13" s="54"/>
      <c r="AG13" s="52">
        <f t="shared" ref="AG13:AG31" si="10">AH13+AI13</f>
        <v>0</v>
      </c>
      <c r="AH13" s="53"/>
      <c r="AI13" s="54"/>
      <c r="AJ13" s="52">
        <f t="shared" ref="AJ13:AJ31" si="11">AK13+AL13</f>
        <v>0</v>
      </c>
      <c r="AK13" s="53"/>
      <c r="AL13" s="54"/>
      <c r="AM13" s="52">
        <f t="shared" ref="AM13:AM31" si="12">AN13+AO13</f>
        <v>0</v>
      </c>
      <c r="AN13" s="53"/>
      <c r="AO13" s="54"/>
      <c r="AP13" s="50">
        <f t="shared" ref="AP13:AP31" si="13">F13+L13+R13+X13+AD13+AJ13</f>
        <v>0</v>
      </c>
      <c r="AQ13" s="20" t="e">
        <f t="shared" si="0"/>
        <v>#DIV/0!</v>
      </c>
    </row>
    <row r="14" spans="1:45" ht="18" customHeight="1" x14ac:dyDescent="0.15">
      <c r="A14" s="6"/>
      <c r="B14" s="12"/>
      <c r="C14" s="49"/>
      <c r="D14" s="50"/>
      <c r="E14" s="51"/>
      <c r="F14" s="52">
        <f t="shared" si="1"/>
        <v>0</v>
      </c>
      <c r="G14" s="53"/>
      <c r="H14" s="54"/>
      <c r="I14" s="52">
        <f t="shared" si="2"/>
        <v>0</v>
      </c>
      <c r="J14" s="53"/>
      <c r="K14" s="54"/>
      <c r="L14" s="52">
        <f t="shared" si="3"/>
        <v>0</v>
      </c>
      <c r="M14" s="53"/>
      <c r="N14" s="54"/>
      <c r="O14" s="52">
        <f t="shared" si="4"/>
        <v>0</v>
      </c>
      <c r="P14" s="53"/>
      <c r="Q14" s="54"/>
      <c r="R14" s="52">
        <f t="shared" si="5"/>
        <v>0</v>
      </c>
      <c r="S14" s="53"/>
      <c r="T14" s="54"/>
      <c r="U14" s="52">
        <f t="shared" si="6"/>
        <v>0</v>
      </c>
      <c r="V14" s="53"/>
      <c r="W14" s="54"/>
      <c r="X14" s="52">
        <f t="shared" si="7"/>
        <v>0</v>
      </c>
      <c r="Y14" s="53"/>
      <c r="Z14" s="54"/>
      <c r="AA14" s="52">
        <f t="shared" si="8"/>
        <v>0</v>
      </c>
      <c r="AB14" s="53"/>
      <c r="AC14" s="54"/>
      <c r="AD14" s="52">
        <f t="shared" si="9"/>
        <v>0</v>
      </c>
      <c r="AE14" s="53"/>
      <c r="AF14" s="54"/>
      <c r="AG14" s="52">
        <f t="shared" si="10"/>
        <v>0</v>
      </c>
      <c r="AH14" s="53"/>
      <c r="AI14" s="54"/>
      <c r="AJ14" s="52">
        <f t="shared" si="11"/>
        <v>0</v>
      </c>
      <c r="AK14" s="53"/>
      <c r="AL14" s="54"/>
      <c r="AM14" s="52">
        <f t="shared" si="12"/>
        <v>0</v>
      </c>
      <c r="AN14" s="53"/>
      <c r="AO14" s="54"/>
      <c r="AP14" s="50">
        <f t="shared" si="13"/>
        <v>0</v>
      </c>
      <c r="AQ14" s="8" t="e">
        <f t="shared" si="0"/>
        <v>#DIV/0!</v>
      </c>
    </row>
    <row r="15" spans="1:45" ht="18" customHeight="1" x14ac:dyDescent="0.15">
      <c r="A15" s="6"/>
      <c r="B15" s="12"/>
      <c r="C15" s="49"/>
      <c r="D15" s="50"/>
      <c r="E15" s="51"/>
      <c r="F15" s="52">
        <f t="shared" si="1"/>
        <v>0</v>
      </c>
      <c r="G15" s="53"/>
      <c r="H15" s="54"/>
      <c r="I15" s="52">
        <f t="shared" si="2"/>
        <v>0</v>
      </c>
      <c r="J15" s="53"/>
      <c r="K15" s="54"/>
      <c r="L15" s="52">
        <f t="shared" si="3"/>
        <v>0</v>
      </c>
      <c r="M15" s="53"/>
      <c r="N15" s="54"/>
      <c r="O15" s="52">
        <f t="shared" si="4"/>
        <v>0</v>
      </c>
      <c r="P15" s="53"/>
      <c r="Q15" s="54"/>
      <c r="R15" s="52">
        <f t="shared" si="5"/>
        <v>0</v>
      </c>
      <c r="S15" s="53"/>
      <c r="T15" s="54"/>
      <c r="U15" s="52">
        <f t="shared" si="6"/>
        <v>0</v>
      </c>
      <c r="V15" s="53"/>
      <c r="W15" s="54"/>
      <c r="X15" s="52">
        <f t="shared" si="7"/>
        <v>0</v>
      </c>
      <c r="Y15" s="53"/>
      <c r="Z15" s="54"/>
      <c r="AA15" s="52">
        <f t="shared" si="8"/>
        <v>0</v>
      </c>
      <c r="AB15" s="53"/>
      <c r="AC15" s="54"/>
      <c r="AD15" s="52">
        <f t="shared" si="9"/>
        <v>0</v>
      </c>
      <c r="AE15" s="53"/>
      <c r="AF15" s="54"/>
      <c r="AG15" s="52">
        <f t="shared" si="10"/>
        <v>0</v>
      </c>
      <c r="AH15" s="53"/>
      <c r="AI15" s="54"/>
      <c r="AJ15" s="52">
        <f t="shared" si="11"/>
        <v>0</v>
      </c>
      <c r="AK15" s="53"/>
      <c r="AL15" s="54"/>
      <c r="AM15" s="52">
        <f t="shared" si="12"/>
        <v>0</v>
      </c>
      <c r="AN15" s="53"/>
      <c r="AO15" s="54"/>
      <c r="AP15" s="50">
        <f t="shared" si="13"/>
        <v>0</v>
      </c>
      <c r="AQ15" s="8" t="e">
        <f t="shared" si="0"/>
        <v>#DIV/0!</v>
      </c>
    </row>
    <row r="16" spans="1:45" ht="18" customHeight="1" x14ac:dyDescent="0.15">
      <c r="A16" s="6"/>
      <c r="B16" s="12"/>
      <c r="C16" s="49"/>
      <c r="D16" s="50"/>
      <c r="E16" s="51"/>
      <c r="F16" s="52">
        <f t="shared" si="1"/>
        <v>0</v>
      </c>
      <c r="G16" s="53"/>
      <c r="H16" s="54"/>
      <c r="I16" s="52">
        <f t="shared" si="2"/>
        <v>0</v>
      </c>
      <c r="J16" s="53"/>
      <c r="K16" s="54"/>
      <c r="L16" s="52">
        <f t="shared" si="3"/>
        <v>0</v>
      </c>
      <c r="M16" s="53"/>
      <c r="N16" s="54"/>
      <c r="O16" s="52">
        <f t="shared" si="4"/>
        <v>0</v>
      </c>
      <c r="P16" s="53"/>
      <c r="Q16" s="54"/>
      <c r="R16" s="52">
        <f t="shared" si="5"/>
        <v>0</v>
      </c>
      <c r="S16" s="53"/>
      <c r="T16" s="54"/>
      <c r="U16" s="52">
        <f t="shared" si="6"/>
        <v>0</v>
      </c>
      <c r="V16" s="53"/>
      <c r="W16" s="54"/>
      <c r="X16" s="52">
        <f t="shared" si="7"/>
        <v>0</v>
      </c>
      <c r="Y16" s="53"/>
      <c r="Z16" s="54"/>
      <c r="AA16" s="52">
        <f t="shared" si="8"/>
        <v>0</v>
      </c>
      <c r="AB16" s="53"/>
      <c r="AC16" s="54"/>
      <c r="AD16" s="52">
        <f t="shared" si="9"/>
        <v>0</v>
      </c>
      <c r="AE16" s="53"/>
      <c r="AF16" s="54"/>
      <c r="AG16" s="52">
        <f t="shared" si="10"/>
        <v>0</v>
      </c>
      <c r="AH16" s="53"/>
      <c r="AI16" s="54"/>
      <c r="AJ16" s="52">
        <f t="shared" si="11"/>
        <v>0</v>
      </c>
      <c r="AK16" s="53"/>
      <c r="AL16" s="54"/>
      <c r="AM16" s="52">
        <f t="shared" si="12"/>
        <v>0</v>
      </c>
      <c r="AN16" s="53"/>
      <c r="AO16" s="54"/>
      <c r="AP16" s="50">
        <f t="shared" si="13"/>
        <v>0</v>
      </c>
      <c r="AQ16" s="8" t="e">
        <f t="shared" si="0"/>
        <v>#DIV/0!</v>
      </c>
    </row>
    <row r="17" spans="1:43" ht="18" customHeight="1" x14ac:dyDescent="0.15">
      <c r="A17" s="6"/>
      <c r="B17" s="12"/>
      <c r="C17" s="49"/>
      <c r="D17" s="50"/>
      <c r="E17" s="51"/>
      <c r="F17" s="52">
        <f t="shared" si="1"/>
        <v>0</v>
      </c>
      <c r="G17" s="53"/>
      <c r="H17" s="54"/>
      <c r="I17" s="52">
        <f t="shared" si="2"/>
        <v>0</v>
      </c>
      <c r="J17" s="53"/>
      <c r="K17" s="54"/>
      <c r="L17" s="52">
        <f t="shared" si="3"/>
        <v>0</v>
      </c>
      <c r="M17" s="53"/>
      <c r="N17" s="54"/>
      <c r="O17" s="52">
        <f t="shared" si="4"/>
        <v>0</v>
      </c>
      <c r="P17" s="53"/>
      <c r="Q17" s="54"/>
      <c r="R17" s="52">
        <f t="shared" si="5"/>
        <v>0</v>
      </c>
      <c r="S17" s="53"/>
      <c r="T17" s="54"/>
      <c r="U17" s="52">
        <f t="shared" si="6"/>
        <v>0</v>
      </c>
      <c r="V17" s="53"/>
      <c r="W17" s="54"/>
      <c r="X17" s="52">
        <f t="shared" si="7"/>
        <v>0</v>
      </c>
      <c r="Y17" s="53"/>
      <c r="Z17" s="54"/>
      <c r="AA17" s="52">
        <f t="shared" si="8"/>
        <v>0</v>
      </c>
      <c r="AB17" s="53"/>
      <c r="AC17" s="54"/>
      <c r="AD17" s="52">
        <f t="shared" si="9"/>
        <v>0</v>
      </c>
      <c r="AE17" s="53"/>
      <c r="AF17" s="54"/>
      <c r="AG17" s="52">
        <f t="shared" si="10"/>
        <v>0</v>
      </c>
      <c r="AH17" s="53"/>
      <c r="AI17" s="54"/>
      <c r="AJ17" s="52">
        <f t="shared" si="11"/>
        <v>0</v>
      </c>
      <c r="AK17" s="53"/>
      <c r="AL17" s="54"/>
      <c r="AM17" s="52">
        <f t="shared" si="12"/>
        <v>0</v>
      </c>
      <c r="AN17" s="53"/>
      <c r="AO17" s="54"/>
      <c r="AP17" s="50">
        <f t="shared" si="13"/>
        <v>0</v>
      </c>
      <c r="AQ17" s="8" t="e">
        <f t="shared" si="0"/>
        <v>#DIV/0!</v>
      </c>
    </row>
    <row r="18" spans="1:43" ht="18" customHeight="1" x14ac:dyDescent="0.15">
      <c r="A18" s="6"/>
      <c r="B18" s="12"/>
      <c r="C18" s="49"/>
      <c r="D18" s="50"/>
      <c r="E18" s="51"/>
      <c r="F18" s="52">
        <f t="shared" si="1"/>
        <v>0</v>
      </c>
      <c r="G18" s="53"/>
      <c r="H18" s="54"/>
      <c r="I18" s="52">
        <f t="shared" si="2"/>
        <v>0</v>
      </c>
      <c r="J18" s="53"/>
      <c r="K18" s="54"/>
      <c r="L18" s="52">
        <f t="shared" si="3"/>
        <v>0</v>
      </c>
      <c r="M18" s="53"/>
      <c r="N18" s="54"/>
      <c r="O18" s="52">
        <f t="shared" si="4"/>
        <v>0</v>
      </c>
      <c r="P18" s="53"/>
      <c r="Q18" s="54"/>
      <c r="R18" s="52">
        <f t="shared" si="5"/>
        <v>0</v>
      </c>
      <c r="S18" s="53"/>
      <c r="T18" s="54"/>
      <c r="U18" s="52">
        <f t="shared" si="6"/>
        <v>0</v>
      </c>
      <c r="V18" s="53"/>
      <c r="W18" s="54"/>
      <c r="X18" s="52">
        <f t="shared" si="7"/>
        <v>0</v>
      </c>
      <c r="Y18" s="53"/>
      <c r="Z18" s="54"/>
      <c r="AA18" s="52">
        <f t="shared" si="8"/>
        <v>0</v>
      </c>
      <c r="AB18" s="53"/>
      <c r="AC18" s="54"/>
      <c r="AD18" s="52">
        <f t="shared" si="9"/>
        <v>0</v>
      </c>
      <c r="AE18" s="53"/>
      <c r="AF18" s="54"/>
      <c r="AG18" s="52">
        <f t="shared" si="10"/>
        <v>0</v>
      </c>
      <c r="AH18" s="53"/>
      <c r="AI18" s="54"/>
      <c r="AJ18" s="52">
        <f t="shared" si="11"/>
        <v>0</v>
      </c>
      <c r="AK18" s="53"/>
      <c r="AL18" s="54"/>
      <c r="AM18" s="52">
        <f t="shared" si="12"/>
        <v>0</v>
      </c>
      <c r="AN18" s="53"/>
      <c r="AO18" s="54"/>
      <c r="AP18" s="50">
        <f t="shared" si="13"/>
        <v>0</v>
      </c>
      <c r="AQ18" s="8" t="e">
        <f t="shared" si="0"/>
        <v>#DIV/0!</v>
      </c>
    </row>
    <row r="19" spans="1:43" ht="18" customHeight="1" x14ac:dyDescent="0.15">
      <c r="A19" s="6"/>
      <c r="B19" s="12"/>
      <c r="C19" s="49"/>
      <c r="D19" s="50"/>
      <c r="E19" s="51"/>
      <c r="F19" s="52">
        <f t="shared" si="1"/>
        <v>0</v>
      </c>
      <c r="G19" s="53"/>
      <c r="H19" s="54"/>
      <c r="I19" s="52">
        <f t="shared" si="2"/>
        <v>0</v>
      </c>
      <c r="J19" s="53"/>
      <c r="K19" s="54"/>
      <c r="L19" s="52">
        <f t="shared" si="3"/>
        <v>0</v>
      </c>
      <c r="M19" s="53"/>
      <c r="N19" s="54"/>
      <c r="O19" s="52">
        <f t="shared" si="4"/>
        <v>0</v>
      </c>
      <c r="P19" s="53"/>
      <c r="Q19" s="54"/>
      <c r="R19" s="52">
        <f t="shared" si="5"/>
        <v>0</v>
      </c>
      <c r="S19" s="53"/>
      <c r="T19" s="54"/>
      <c r="U19" s="52">
        <f t="shared" si="6"/>
        <v>0</v>
      </c>
      <c r="V19" s="53"/>
      <c r="W19" s="54"/>
      <c r="X19" s="52">
        <f t="shared" si="7"/>
        <v>0</v>
      </c>
      <c r="Y19" s="53"/>
      <c r="Z19" s="54"/>
      <c r="AA19" s="52">
        <f t="shared" si="8"/>
        <v>0</v>
      </c>
      <c r="AB19" s="53"/>
      <c r="AC19" s="54"/>
      <c r="AD19" s="52">
        <f t="shared" si="9"/>
        <v>0</v>
      </c>
      <c r="AE19" s="53"/>
      <c r="AF19" s="54"/>
      <c r="AG19" s="52">
        <f t="shared" si="10"/>
        <v>0</v>
      </c>
      <c r="AH19" s="53"/>
      <c r="AI19" s="54"/>
      <c r="AJ19" s="52">
        <f t="shared" si="11"/>
        <v>0</v>
      </c>
      <c r="AK19" s="53"/>
      <c r="AL19" s="54"/>
      <c r="AM19" s="52">
        <f t="shared" si="12"/>
        <v>0</v>
      </c>
      <c r="AN19" s="53"/>
      <c r="AO19" s="54"/>
      <c r="AP19" s="50">
        <f t="shared" si="13"/>
        <v>0</v>
      </c>
      <c r="AQ19" s="8" t="e">
        <f t="shared" si="0"/>
        <v>#DIV/0!</v>
      </c>
    </row>
    <row r="20" spans="1:43" ht="18" customHeight="1" x14ac:dyDescent="0.15">
      <c r="A20" s="6"/>
      <c r="B20" s="12"/>
      <c r="C20" s="49"/>
      <c r="D20" s="50"/>
      <c r="E20" s="51"/>
      <c r="F20" s="52">
        <f t="shared" si="1"/>
        <v>0</v>
      </c>
      <c r="G20" s="53"/>
      <c r="H20" s="54"/>
      <c r="I20" s="52">
        <f t="shared" si="2"/>
        <v>0</v>
      </c>
      <c r="J20" s="53"/>
      <c r="K20" s="54"/>
      <c r="L20" s="52">
        <f t="shared" si="3"/>
        <v>0</v>
      </c>
      <c r="M20" s="53"/>
      <c r="N20" s="54"/>
      <c r="O20" s="52">
        <f t="shared" si="4"/>
        <v>0</v>
      </c>
      <c r="P20" s="53"/>
      <c r="Q20" s="54"/>
      <c r="R20" s="52">
        <f t="shared" si="5"/>
        <v>0</v>
      </c>
      <c r="S20" s="53"/>
      <c r="T20" s="54"/>
      <c r="U20" s="52">
        <f t="shared" si="6"/>
        <v>0</v>
      </c>
      <c r="V20" s="53"/>
      <c r="W20" s="54"/>
      <c r="X20" s="52">
        <f t="shared" si="7"/>
        <v>0</v>
      </c>
      <c r="Y20" s="53"/>
      <c r="Z20" s="54"/>
      <c r="AA20" s="52">
        <f t="shared" si="8"/>
        <v>0</v>
      </c>
      <c r="AB20" s="53"/>
      <c r="AC20" s="54"/>
      <c r="AD20" s="52">
        <f t="shared" si="9"/>
        <v>0</v>
      </c>
      <c r="AE20" s="53"/>
      <c r="AF20" s="54"/>
      <c r="AG20" s="52">
        <f t="shared" si="10"/>
        <v>0</v>
      </c>
      <c r="AH20" s="53"/>
      <c r="AI20" s="54"/>
      <c r="AJ20" s="52">
        <f t="shared" si="11"/>
        <v>0</v>
      </c>
      <c r="AK20" s="53"/>
      <c r="AL20" s="54"/>
      <c r="AM20" s="52">
        <f t="shared" si="12"/>
        <v>0</v>
      </c>
      <c r="AN20" s="53"/>
      <c r="AO20" s="54"/>
      <c r="AP20" s="50">
        <f t="shared" si="13"/>
        <v>0</v>
      </c>
      <c r="AQ20" s="8" t="e">
        <f t="shared" si="0"/>
        <v>#DIV/0!</v>
      </c>
    </row>
    <row r="21" spans="1:43" ht="18" customHeight="1" x14ac:dyDescent="0.15">
      <c r="A21" s="6"/>
      <c r="B21" s="12"/>
      <c r="C21" s="49"/>
      <c r="D21" s="50"/>
      <c r="E21" s="51"/>
      <c r="F21" s="52">
        <f t="shared" si="1"/>
        <v>0</v>
      </c>
      <c r="G21" s="53"/>
      <c r="H21" s="54"/>
      <c r="I21" s="52">
        <f t="shared" si="2"/>
        <v>0</v>
      </c>
      <c r="J21" s="53"/>
      <c r="K21" s="54"/>
      <c r="L21" s="52">
        <f t="shared" si="3"/>
        <v>0</v>
      </c>
      <c r="M21" s="53"/>
      <c r="N21" s="54"/>
      <c r="O21" s="52">
        <f t="shared" si="4"/>
        <v>0</v>
      </c>
      <c r="P21" s="53"/>
      <c r="Q21" s="54"/>
      <c r="R21" s="52">
        <f t="shared" si="5"/>
        <v>0</v>
      </c>
      <c r="S21" s="53"/>
      <c r="T21" s="54"/>
      <c r="U21" s="52">
        <f t="shared" si="6"/>
        <v>0</v>
      </c>
      <c r="V21" s="53"/>
      <c r="W21" s="54"/>
      <c r="X21" s="52">
        <f t="shared" si="7"/>
        <v>0</v>
      </c>
      <c r="Y21" s="53"/>
      <c r="Z21" s="54"/>
      <c r="AA21" s="52">
        <f t="shared" si="8"/>
        <v>0</v>
      </c>
      <c r="AB21" s="53"/>
      <c r="AC21" s="54"/>
      <c r="AD21" s="52">
        <f t="shared" si="9"/>
        <v>0</v>
      </c>
      <c r="AE21" s="53"/>
      <c r="AF21" s="54"/>
      <c r="AG21" s="52">
        <f t="shared" si="10"/>
        <v>0</v>
      </c>
      <c r="AH21" s="53"/>
      <c r="AI21" s="54"/>
      <c r="AJ21" s="52">
        <f t="shared" si="11"/>
        <v>0</v>
      </c>
      <c r="AK21" s="53"/>
      <c r="AL21" s="54"/>
      <c r="AM21" s="52">
        <f t="shared" si="12"/>
        <v>0</v>
      </c>
      <c r="AN21" s="53"/>
      <c r="AO21" s="54"/>
      <c r="AP21" s="50">
        <f t="shared" si="13"/>
        <v>0</v>
      </c>
      <c r="AQ21" s="8" t="e">
        <f t="shared" si="0"/>
        <v>#DIV/0!</v>
      </c>
    </row>
    <row r="22" spans="1:43" ht="18" customHeight="1" x14ac:dyDescent="0.15">
      <c r="A22" s="6"/>
      <c r="B22" s="12"/>
      <c r="C22" s="49"/>
      <c r="D22" s="50"/>
      <c r="E22" s="51"/>
      <c r="F22" s="52">
        <f t="shared" si="1"/>
        <v>0</v>
      </c>
      <c r="G22" s="53"/>
      <c r="H22" s="54"/>
      <c r="I22" s="52">
        <f t="shared" si="2"/>
        <v>0</v>
      </c>
      <c r="J22" s="53"/>
      <c r="K22" s="54"/>
      <c r="L22" s="52">
        <f t="shared" si="3"/>
        <v>0</v>
      </c>
      <c r="M22" s="53"/>
      <c r="N22" s="54"/>
      <c r="O22" s="52">
        <f t="shared" si="4"/>
        <v>0</v>
      </c>
      <c r="P22" s="53"/>
      <c r="Q22" s="54"/>
      <c r="R22" s="52">
        <f t="shared" si="5"/>
        <v>0</v>
      </c>
      <c r="S22" s="53"/>
      <c r="T22" s="54"/>
      <c r="U22" s="52">
        <f t="shared" si="6"/>
        <v>0</v>
      </c>
      <c r="V22" s="53"/>
      <c r="W22" s="54"/>
      <c r="X22" s="52">
        <f t="shared" si="7"/>
        <v>0</v>
      </c>
      <c r="Y22" s="53"/>
      <c r="Z22" s="54"/>
      <c r="AA22" s="52">
        <f t="shared" si="8"/>
        <v>0</v>
      </c>
      <c r="AB22" s="53"/>
      <c r="AC22" s="54"/>
      <c r="AD22" s="52">
        <f t="shared" si="9"/>
        <v>0</v>
      </c>
      <c r="AE22" s="53"/>
      <c r="AF22" s="54"/>
      <c r="AG22" s="52">
        <f t="shared" si="10"/>
        <v>0</v>
      </c>
      <c r="AH22" s="53"/>
      <c r="AI22" s="54"/>
      <c r="AJ22" s="52">
        <f t="shared" si="11"/>
        <v>0</v>
      </c>
      <c r="AK22" s="53"/>
      <c r="AL22" s="54"/>
      <c r="AM22" s="52">
        <f t="shared" si="12"/>
        <v>0</v>
      </c>
      <c r="AN22" s="53"/>
      <c r="AO22" s="54"/>
      <c r="AP22" s="50">
        <f t="shared" si="13"/>
        <v>0</v>
      </c>
      <c r="AQ22" s="8" t="e">
        <f t="shared" si="0"/>
        <v>#DIV/0!</v>
      </c>
    </row>
    <row r="23" spans="1:43" ht="18" customHeight="1" x14ac:dyDescent="0.15">
      <c r="A23" s="6"/>
      <c r="B23" s="12"/>
      <c r="C23" s="49"/>
      <c r="D23" s="50"/>
      <c r="E23" s="51"/>
      <c r="F23" s="52">
        <f t="shared" si="1"/>
        <v>0</v>
      </c>
      <c r="G23" s="53"/>
      <c r="H23" s="54"/>
      <c r="I23" s="52">
        <f t="shared" si="2"/>
        <v>0</v>
      </c>
      <c r="J23" s="53"/>
      <c r="K23" s="54"/>
      <c r="L23" s="52">
        <f t="shared" si="3"/>
        <v>0</v>
      </c>
      <c r="M23" s="53"/>
      <c r="N23" s="54"/>
      <c r="O23" s="52">
        <f t="shared" si="4"/>
        <v>0</v>
      </c>
      <c r="P23" s="53"/>
      <c r="Q23" s="54"/>
      <c r="R23" s="52">
        <f t="shared" si="5"/>
        <v>0</v>
      </c>
      <c r="S23" s="53"/>
      <c r="T23" s="54"/>
      <c r="U23" s="52">
        <f t="shared" si="6"/>
        <v>0</v>
      </c>
      <c r="V23" s="53"/>
      <c r="W23" s="54"/>
      <c r="X23" s="52">
        <f t="shared" si="7"/>
        <v>0</v>
      </c>
      <c r="Y23" s="53"/>
      <c r="Z23" s="54"/>
      <c r="AA23" s="52">
        <f t="shared" si="8"/>
        <v>0</v>
      </c>
      <c r="AB23" s="53"/>
      <c r="AC23" s="54"/>
      <c r="AD23" s="52">
        <f t="shared" si="9"/>
        <v>0</v>
      </c>
      <c r="AE23" s="53"/>
      <c r="AF23" s="54"/>
      <c r="AG23" s="52">
        <f t="shared" si="10"/>
        <v>0</v>
      </c>
      <c r="AH23" s="53"/>
      <c r="AI23" s="54"/>
      <c r="AJ23" s="52">
        <f t="shared" si="11"/>
        <v>0</v>
      </c>
      <c r="AK23" s="53"/>
      <c r="AL23" s="54"/>
      <c r="AM23" s="52">
        <f t="shared" si="12"/>
        <v>0</v>
      </c>
      <c r="AN23" s="53"/>
      <c r="AO23" s="54"/>
      <c r="AP23" s="50">
        <f t="shared" si="13"/>
        <v>0</v>
      </c>
      <c r="AQ23" s="8" t="e">
        <f t="shared" si="0"/>
        <v>#DIV/0!</v>
      </c>
    </row>
    <row r="24" spans="1:43" ht="18" customHeight="1" x14ac:dyDescent="0.15">
      <c r="A24" s="6"/>
      <c r="B24" s="12"/>
      <c r="C24" s="49"/>
      <c r="D24" s="50"/>
      <c r="E24" s="51"/>
      <c r="F24" s="52">
        <f t="shared" si="1"/>
        <v>0</v>
      </c>
      <c r="G24" s="53"/>
      <c r="H24" s="54"/>
      <c r="I24" s="52">
        <f t="shared" si="2"/>
        <v>0</v>
      </c>
      <c r="J24" s="53"/>
      <c r="K24" s="54"/>
      <c r="L24" s="52">
        <f t="shared" si="3"/>
        <v>0</v>
      </c>
      <c r="M24" s="53"/>
      <c r="N24" s="54"/>
      <c r="O24" s="52">
        <f t="shared" si="4"/>
        <v>0</v>
      </c>
      <c r="P24" s="53"/>
      <c r="Q24" s="54"/>
      <c r="R24" s="52">
        <f t="shared" si="5"/>
        <v>0</v>
      </c>
      <c r="S24" s="53"/>
      <c r="T24" s="54"/>
      <c r="U24" s="52">
        <f t="shared" si="6"/>
        <v>0</v>
      </c>
      <c r="V24" s="53"/>
      <c r="W24" s="54"/>
      <c r="X24" s="52">
        <f t="shared" si="7"/>
        <v>0</v>
      </c>
      <c r="Y24" s="53"/>
      <c r="Z24" s="54"/>
      <c r="AA24" s="52">
        <f t="shared" si="8"/>
        <v>0</v>
      </c>
      <c r="AB24" s="53"/>
      <c r="AC24" s="54"/>
      <c r="AD24" s="52">
        <f t="shared" si="9"/>
        <v>0</v>
      </c>
      <c r="AE24" s="53"/>
      <c r="AF24" s="54"/>
      <c r="AG24" s="52">
        <f t="shared" si="10"/>
        <v>0</v>
      </c>
      <c r="AH24" s="53"/>
      <c r="AI24" s="54"/>
      <c r="AJ24" s="52">
        <f t="shared" si="11"/>
        <v>0</v>
      </c>
      <c r="AK24" s="53"/>
      <c r="AL24" s="54"/>
      <c r="AM24" s="52">
        <f t="shared" si="12"/>
        <v>0</v>
      </c>
      <c r="AN24" s="53"/>
      <c r="AO24" s="54"/>
      <c r="AP24" s="50">
        <f t="shared" si="13"/>
        <v>0</v>
      </c>
      <c r="AQ24" s="8" t="e">
        <f t="shared" si="0"/>
        <v>#DIV/0!</v>
      </c>
    </row>
    <row r="25" spans="1:43" ht="18" customHeight="1" x14ac:dyDescent="0.15">
      <c r="A25" s="6"/>
      <c r="B25" s="12"/>
      <c r="C25" s="49"/>
      <c r="D25" s="50"/>
      <c r="E25" s="51"/>
      <c r="F25" s="52">
        <f t="shared" si="1"/>
        <v>0</v>
      </c>
      <c r="G25" s="53"/>
      <c r="H25" s="54"/>
      <c r="I25" s="52">
        <f t="shared" si="2"/>
        <v>0</v>
      </c>
      <c r="J25" s="53"/>
      <c r="K25" s="54"/>
      <c r="L25" s="52">
        <f t="shared" si="3"/>
        <v>0</v>
      </c>
      <c r="M25" s="53"/>
      <c r="N25" s="54"/>
      <c r="O25" s="52">
        <f t="shared" si="4"/>
        <v>0</v>
      </c>
      <c r="P25" s="53"/>
      <c r="Q25" s="54"/>
      <c r="R25" s="52">
        <f t="shared" si="5"/>
        <v>0</v>
      </c>
      <c r="S25" s="53"/>
      <c r="T25" s="54"/>
      <c r="U25" s="52">
        <f t="shared" si="6"/>
        <v>0</v>
      </c>
      <c r="V25" s="53"/>
      <c r="W25" s="54"/>
      <c r="X25" s="52">
        <f t="shared" si="7"/>
        <v>0</v>
      </c>
      <c r="Y25" s="53"/>
      <c r="Z25" s="54"/>
      <c r="AA25" s="52">
        <f t="shared" si="8"/>
        <v>0</v>
      </c>
      <c r="AB25" s="53"/>
      <c r="AC25" s="54"/>
      <c r="AD25" s="52">
        <f t="shared" si="9"/>
        <v>0</v>
      </c>
      <c r="AE25" s="53"/>
      <c r="AF25" s="54"/>
      <c r="AG25" s="52">
        <f t="shared" si="10"/>
        <v>0</v>
      </c>
      <c r="AH25" s="53"/>
      <c r="AI25" s="54"/>
      <c r="AJ25" s="52">
        <f t="shared" si="11"/>
        <v>0</v>
      </c>
      <c r="AK25" s="53"/>
      <c r="AL25" s="54"/>
      <c r="AM25" s="52">
        <f t="shared" si="12"/>
        <v>0</v>
      </c>
      <c r="AN25" s="53"/>
      <c r="AO25" s="54"/>
      <c r="AP25" s="50">
        <f t="shared" si="13"/>
        <v>0</v>
      </c>
      <c r="AQ25" s="8" t="e">
        <f t="shared" si="0"/>
        <v>#DIV/0!</v>
      </c>
    </row>
    <row r="26" spans="1:43" ht="18" customHeight="1" x14ac:dyDescent="0.15">
      <c r="A26" s="6"/>
      <c r="B26" s="12"/>
      <c r="C26" s="49"/>
      <c r="D26" s="50"/>
      <c r="E26" s="51"/>
      <c r="F26" s="52">
        <f t="shared" si="1"/>
        <v>0</v>
      </c>
      <c r="G26" s="53"/>
      <c r="H26" s="54"/>
      <c r="I26" s="52">
        <f t="shared" si="2"/>
        <v>0</v>
      </c>
      <c r="J26" s="53"/>
      <c r="K26" s="54"/>
      <c r="L26" s="52">
        <f t="shared" si="3"/>
        <v>0</v>
      </c>
      <c r="M26" s="53"/>
      <c r="N26" s="54"/>
      <c r="O26" s="52">
        <f t="shared" si="4"/>
        <v>0</v>
      </c>
      <c r="P26" s="53"/>
      <c r="Q26" s="54"/>
      <c r="R26" s="52">
        <f t="shared" si="5"/>
        <v>0</v>
      </c>
      <c r="S26" s="53"/>
      <c r="T26" s="54"/>
      <c r="U26" s="52">
        <f t="shared" si="6"/>
        <v>0</v>
      </c>
      <c r="V26" s="53"/>
      <c r="W26" s="54"/>
      <c r="X26" s="52">
        <f t="shared" si="7"/>
        <v>0</v>
      </c>
      <c r="Y26" s="53"/>
      <c r="Z26" s="54"/>
      <c r="AA26" s="52">
        <f t="shared" si="8"/>
        <v>0</v>
      </c>
      <c r="AB26" s="53"/>
      <c r="AC26" s="54"/>
      <c r="AD26" s="52">
        <f t="shared" si="9"/>
        <v>0</v>
      </c>
      <c r="AE26" s="53"/>
      <c r="AF26" s="54"/>
      <c r="AG26" s="52">
        <f t="shared" si="10"/>
        <v>0</v>
      </c>
      <c r="AH26" s="53"/>
      <c r="AI26" s="54"/>
      <c r="AJ26" s="52">
        <f t="shared" si="11"/>
        <v>0</v>
      </c>
      <c r="AK26" s="53"/>
      <c r="AL26" s="54"/>
      <c r="AM26" s="52">
        <f t="shared" si="12"/>
        <v>0</v>
      </c>
      <c r="AN26" s="53"/>
      <c r="AO26" s="54"/>
      <c r="AP26" s="50">
        <f t="shared" si="13"/>
        <v>0</v>
      </c>
      <c r="AQ26" s="8" t="e">
        <f t="shared" si="0"/>
        <v>#DIV/0!</v>
      </c>
    </row>
    <row r="27" spans="1:43" ht="18" customHeight="1" x14ac:dyDescent="0.15">
      <c r="A27" s="6"/>
      <c r="B27" s="12"/>
      <c r="C27" s="49"/>
      <c r="D27" s="50"/>
      <c r="E27" s="51"/>
      <c r="F27" s="52">
        <f t="shared" si="1"/>
        <v>0</v>
      </c>
      <c r="G27" s="53"/>
      <c r="H27" s="54"/>
      <c r="I27" s="52">
        <f t="shared" si="2"/>
        <v>0</v>
      </c>
      <c r="J27" s="53"/>
      <c r="K27" s="54"/>
      <c r="L27" s="52">
        <f t="shared" si="3"/>
        <v>0</v>
      </c>
      <c r="M27" s="53"/>
      <c r="N27" s="54"/>
      <c r="O27" s="52">
        <f t="shared" si="4"/>
        <v>0</v>
      </c>
      <c r="P27" s="53"/>
      <c r="Q27" s="54"/>
      <c r="R27" s="52">
        <f t="shared" si="5"/>
        <v>0</v>
      </c>
      <c r="S27" s="53"/>
      <c r="T27" s="54"/>
      <c r="U27" s="52">
        <f t="shared" si="6"/>
        <v>0</v>
      </c>
      <c r="V27" s="53"/>
      <c r="W27" s="54"/>
      <c r="X27" s="52">
        <f t="shared" si="7"/>
        <v>0</v>
      </c>
      <c r="Y27" s="53"/>
      <c r="Z27" s="54"/>
      <c r="AA27" s="52">
        <f t="shared" si="8"/>
        <v>0</v>
      </c>
      <c r="AB27" s="53"/>
      <c r="AC27" s="54"/>
      <c r="AD27" s="52">
        <f t="shared" si="9"/>
        <v>0</v>
      </c>
      <c r="AE27" s="53"/>
      <c r="AF27" s="54"/>
      <c r="AG27" s="52">
        <f t="shared" si="10"/>
        <v>0</v>
      </c>
      <c r="AH27" s="53"/>
      <c r="AI27" s="54"/>
      <c r="AJ27" s="52">
        <f t="shared" si="11"/>
        <v>0</v>
      </c>
      <c r="AK27" s="53"/>
      <c r="AL27" s="54"/>
      <c r="AM27" s="52">
        <f t="shared" si="12"/>
        <v>0</v>
      </c>
      <c r="AN27" s="53"/>
      <c r="AO27" s="54"/>
      <c r="AP27" s="50">
        <f t="shared" si="13"/>
        <v>0</v>
      </c>
      <c r="AQ27" s="8" t="e">
        <f t="shared" si="0"/>
        <v>#DIV/0!</v>
      </c>
    </row>
    <row r="28" spans="1:43" ht="18" customHeight="1" x14ac:dyDescent="0.15">
      <c r="A28" s="6"/>
      <c r="B28" s="12"/>
      <c r="C28" s="49"/>
      <c r="D28" s="50"/>
      <c r="E28" s="51"/>
      <c r="F28" s="52">
        <f t="shared" si="1"/>
        <v>0</v>
      </c>
      <c r="G28" s="53"/>
      <c r="H28" s="54"/>
      <c r="I28" s="52">
        <f t="shared" si="2"/>
        <v>0</v>
      </c>
      <c r="J28" s="53"/>
      <c r="K28" s="54"/>
      <c r="L28" s="52">
        <f t="shared" si="3"/>
        <v>0</v>
      </c>
      <c r="M28" s="53"/>
      <c r="N28" s="54"/>
      <c r="O28" s="52">
        <f t="shared" si="4"/>
        <v>0</v>
      </c>
      <c r="P28" s="53"/>
      <c r="Q28" s="54"/>
      <c r="R28" s="52">
        <f t="shared" si="5"/>
        <v>0</v>
      </c>
      <c r="S28" s="53"/>
      <c r="T28" s="54"/>
      <c r="U28" s="52">
        <f t="shared" si="6"/>
        <v>0</v>
      </c>
      <c r="V28" s="53"/>
      <c r="W28" s="54"/>
      <c r="X28" s="52">
        <f t="shared" si="7"/>
        <v>0</v>
      </c>
      <c r="Y28" s="53"/>
      <c r="Z28" s="54"/>
      <c r="AA28" s="52">
        <f t="shared" si="8"/>
        <v>0</v>
      </c>
      <c r="AB28" s="53"/>
      <c r="AC28" s="54"/>
      <c r="AD28" s="52">
        <f t="shared" si="9"/>
        <v>0</v>
      </c>
      <c r="AE28" s="53"/>
      <c r="AF28" s="54"/>
      <c r="AG28" s="52">
        <f t="shared" si="10"/>
        <v>0</v>
      </c>
      <c r="AH28" s="53"/>
      <c r="AI28" s="54"/>
      <c r="AJ28" s="52">
        <f t="shared" si="11"/>
        <v>0</v>
      </c>
      <c r="AK28" s="53"/>
      <c r="AL28" s="54"/>
      <c r="AM28" s="52">
        <f t="shared" si="12"/>
        <v>0</v>
      </c>
      <c r="AN28" s="53"/>
      <c r="AO28" s="54"/>
      <c r="AP28" s="50">
        <f t="shared" si="13"/>
        <v>0</v>
      </c>
      <c r="AQ28" s="8" t="e">
        <f t="shared" si="0"/>
        <v>#DIV/0!</v>
      </c>
    </row>
    <row r="29" spans="1:43" ht="18" customHeight="1" x14ac:dyDescent="0.15">
      <c r="A29" s="6"/>
      <c r="B29" s="12"/>
      <c r="C29" s="49"/>
      <c r="D29" s="55"/>
      <c r="E29" s="51"/>
      <c r="F29" s="52">
        <f t="shared" si="1"/>
        <v>0</v>
      </c>
      <c r="G29" s="53"/>
      <c r="H29" s="54"/>
      <c r="I29" s="52">
        <f t="shared" si="2"/>
        <v>0</v>
      </c>
      <c r="J29" s="53"/>
      <c r="K29" s="54"/>
      <c r="L29" s="52">
        <f t="shared" si="3"/>
        <v>0</v>
      </c>
      <c r="M29" s="53"/>
      <c r="N29" s="54"/>
      <c r="O29" s="52">
        <f t="shared" si="4"/>
        <v>0</v>
      </c>
      <c r="P29" s="53"/>
      <c r="Q29" s="54"/>
      <c r="R29" s="52">
        <f t="shared" si="5"/>
        <v>0</v>
      </c>
      <c r="S29" s="53"/>
      <c r="T29" s="54"/>
      <c r="U29" s="52">
        <f t="shared" si="6"/>
        <v>0</v>
      </c>
      <c r="V29" s="53"/>
      <c r="W29" s="54"/>
      <c r="X29" s="52">
        <f t="shared" si="7"/>
        <v>0</v>
      </c>
      <c r="Y29" s="53"/>
      <c r="Z29" s="54"/>
      <c r="AA29" s="52">
        <f t="shared" si="8"/>
        <v>0</v>
      </c>
      <c r="AB29" s="53"/>
      <c r="AC29" s="54"/>
      <c r="AD29" s="52">
        <f t="shared" si="9"/>
        <v>0</v>
      </c>
      <c r="AE29" s="53"/>
      <c r="AF29" s="54"/>
      <c r="AG29" s="52">
        <f t="shared" si="10"/>
        <v>0</v>
      </c>
      <c r="AH29" s="53"/>
      <c r="AI29" s="54"/>
      <c r="AJ29" s="52">
        <f t="shared" si="11"/>
        <v>0</v>
      </c>
      <c r="AK29" s="53"/>
      <c r="AL29" s="54"/>
      <c r="AM29" s="52">
        <f t="shared" si="12"/>
        <v>0</v>
      </c>
      <c r="AN29" s="53"/>
      <c r="AO29" s="54"/>
      <c r="AP29" s="55">
        <f t="shared" si="13"/>
        <v>0</v>
      </c>
      <c r="AQ29" s="8" t="e">
        <f t="shared" si="0"/>
        <v>#DIV/0!</v>
      </c>
    </row>
    <row r="30" spans="1:43" ht="18" customHeight="1" x14ac:dyDescent="0.15">
      <c r="A30" s="6"/>
      <c r="B30" s="12"/>
      <c r="C30" s="49"/>
      <c r="D30" s="55"/>
      <c r="E30" s="51"/>
      <c r="F30" s="52">
        <f t="shared" si="1"/>
        <v>0</v>
      </c>
      <c r="G30" s="53"/>
      <c r="H30" s="54"/>
      <c r="I30" s="52">
        <f t="shared" si="2"/>
        <v>0</v>
      </c>
      <c r="J30" s="53"/>
      <c r="K30" s="54"/>
      <c r="L30" s="52">
        <f t="shared" si="3"/>
        <v>0</v>
      </c>
      <c r="M30" s="53"/>
      <c r="N30" s="54"/>
      <c r="O30" s="52">
        <f t="shared" si="4"/>
        <v>0</v>
      </c>
      <c r="P30" s="53"/>
      <c r="Q30" s="54"/>
      <c r="R30" s="52">
        <f t="shared" si="5"/>
        <v>0</v>
      </c>
      <c r="S30" s="53"/>
      <c r="T30" s="54"/>
      <c r="U30" s="52">
        <f t="shared" si="6"/>
        <v>0</v>
      </c>
      <c r="V30" s="53"/>
      <c r="W30" s="54"/>
      <c r="X30" s="52">
        <f t="shared" si="7"/>
        <v>0</v>
      </c>
      <c r="Y30" s="53"/>
      <c r="Z30" s="54"/>
      <c r="AA30" s="52">
        <f t="shared" si="8"/>
        <v>0</v>
      </c>
      <c r="AB30" s="53"/>
      <c r="AC30" s="54"/>
      <c r="AD30" s="52">
        <f t="shared" si="9"/>
        <v>0</v>
      </c>
      <c r="AE30" s="53"/>
      <c r="AF30" s="54"/>
      <c r="AG30" s="52">
        <f t="shared" si="10"/>
        <v>0</v>
      </c>
      <c r="AH30" s="53"/>
      <c r="AI30" s="54"/>
      <c r="AJ30" s="52">
        <f t="shared" si="11"/>
        <v>0</v>
      </c>
      <c r="AK30" s="53"/>
      <c r="AL30" s="54"/>
      <c r="AM30" s="52">
        <f t="shared" si="12"/>
        <v>0</v>
      </c>
      <c r="AN30" s="53"/>
      <c r="AO30" s="54"/>
      <c r="AP30" s="55">
        <f t="shared" si="13"/>
        <v>0</v>
      </c>
      <c r="AQ30" s="8" t="e">
        <f t="shared" si="0"/>
        <v>#DIV/0!</v>
      </c>
    </row>
    <row r="31" spans="1:43" ht="18" customHeight="1" thickBot="1" x14ac:dyDescent="0.2">
      <c r="A31" s="6"/>
      <c r="B31" s="13"/>
      <c r="C31" s="44"/>
      <c r="D31" s="56"/>
      <c r="E31" s="46"/>
      <c r="F31" s="46">
        <f t="shared" si="1"/>
        <v>0</v>
      </c>
      <c r="G31" s="57"/>
      <c r="H31" s="58"/>
      <c r="I31" s="46">
        <f t="shared" si="2"/>
        <v>0</v>
      </c>
      <c r="J31" s="57"/>
      <c r="K31" s="58"/>
      <c r="L31" s="46">
        <f t="shared" si="3"/>
        <v>0</v>
      </c>
      <c r="M31" s="57"/>
      <c r="N31" s="58"/>
      <c r="O31" s="46">
        <f t="shared" si="4"/>
        <v>0</v>
      </c>
      <c r="P31" s="57"/>
      <c r="Q31" s="58"/>
      <c r="R31" s="46">
        <f t="shared" si="5"/>
        <v>0</v>
      </c>
      <c r="S31" s="57"/>
      <c r="T31" s="58"/>
      <c r="U31" s="46">
        <f t="shared" si="6"/>
        <v>0</v>
      </c>
      <c r="V31" s="57"/>
      <c r="W31" s="58"/>
      <c r="X31" s="46">
        <f t="shared" si="7"/>
        <v>0</v>
      </c>
      <c r="Y31" s="57"/>
      <c r="Z31" s="58"/>
      <c r="AA31" s="46">
        <f t="shared" si="8"/>
        <v>0</v>
      </c>
      <c r="AB31" s="57"/>
      <c r="AC31" s="58"/>
      <c r="AD31" s="46">
        <f t="shared" si="9"/>
        <v>0</v>
      </c>
      <c r="AE31" s="57"/>
      <c r="AF31" s="58"/>
      <c r="AG31" s="46">
        <f t="shared" si="10"/>
        <v>0</v>
      </c>
      <c r="AH31" s="57"/>
      <c r="AI31" s="58"/>
      <c r="AJ31" s="46">
        <f t="shared" si="11"/>
        <v>0</v>
      </c>
      <c r="AK31" s="57"/>
      <c r="AL31" s="58"/>
      <c r="AM31" s="46">
        <f t="shared" si="12"/>
        <v>0</v>
      </c>
      <c r="AN31" s="57"/>
      <c r="AO31" s="58"/>
      <c r="AP31" s="56">
        <f t="shared" si="13"/>
        <v>0</v>
      </c>
      <c r="AQ31" s="7" t="e">
        <f t="shared" si="0"/>
        <v>#DIV/0!</v>
      </c>
    </row>
    <row r="32" spans="1:43" ht="18" customHeight="1" thickTop="1" x14ac:dyDescent="0.15">
      <c r="B32" s="14" t="s">
        <v>33</v>
      </c>
      <c r="C32" s="59">
        <f t="shared" ref="C32" si="14">SUM(C12:C31)</f>
        <v>3091</v>
      </c>
      <c r="D32" s="60">
        <f t="shared" ref="D32:AP32" si="15">SUM(D12:D31)</f>
        <v>800</v>
      </c>
      <c r="E32" s="61">
        <f t="shared" si="15"/>
        <v>3300</v>
      </c>
      <c r="F32" s="61">
        <f t="shared" si="15"/>
        <v>13</v>
      </c>
      <c r="G32" s="62">
        <f t="shared" si="15"/>
        <v>9</v>
      </c>
      <c r="H32" s="63">
        <f t="shared" si="15"/>
        <v>4</v>
      </c>
      <c r="I32" s="61">
        <f t="shared" ref="I32:N32" si="16">SUM(I12:I31)</f>
        <v>0</v>
      </c>
      <c r="J32" s="62">
        <f t="shared" si="16"/>
        <v>0</v>
      </c>
      <c r="K32" s="63">
        <f t="shared" si="16"/>
        <v>0</v>
      </c>
      <c r="L32" s="61">
        <f t="shared" si="16"/>
        <v>0</v>
      </c>
      <c r="M32" s="62">
        <f t="shared" si="16"/>
        <v>0</v>
      </c>
      <c r="N32" s="63">
        <f t="shared" si="16"/>
        <v>0</v>
      </c>
      <c r="O32" s="61">
        <f t="shared" ref="O32:T32" si="17">SUM(O12:O31)</f>
        <v>0</v>
      </c>
      <c r="P32" s="62">
        <f t="shared" si="17"/>
        <v>0</v>
      </c>
      <c r="Q32" s="63">
        <f t="shared" si="17"/>
        <v>0</v>
      </c>
      <c r="R32" s="61">
        <f t="shared" si="17"/>
        <v>0</v>
      </c>
      <c r="S32" s="62">
        <f t="shared" si="17"/>
        <v>0</v>
      </c>
      <c r="T32" s="63">
        <f t="shared" si="17"/>
        <v>0</v>
      </c>
      <c r="U32" s="61">
        <f t="shared" ref="U32:AI32" si="18">SUM(U12:U31)</f>
        <v>0</v>
      </c>
      <c r="V32" s="62">
        <f t="shared" si="18"/>
        <v>0</v>
      </c>
      <c r="W32" s="63">
        <f t="shared" si="18"/>
        <v>0</v>
      </c>
      <c r="X32" s="61">
        <f t="shared" si="18"/>
        <v>0</v>
      </c>
      <c r="Y32" s="62">
        <f t="shared" si="18"/>
        <v>0</v>
      </c>
      <c r="Z32" s="63">
        <f t="shared" si="18"/>
        <v>0</v>
      </c>
      <c r="AA32" s="61">
        <f t="shared" si="18"/>
        <v>0</v>
      </c>
      <c r="AB32" s="62">
        <f t="shared" si="18"/>
        <v>0</v>
      </c>
      <c r="AC32" s="63">
        <f t="shared" si="18"/>
        <v>0</v>
      </c>
      <c r="AD32" s="61">
        <f t="shared" si="18"/>
        <v>0</v>
      </c>
      <c r="AE32" s="62">
        <f t="shared" si="18"/>
        <v>0</v>
      </c>
      <c r="AF32" s="63">
        <f t="shared" si="18"/>
        <v>0</v>
      </c>
      <c r="AG32" s="61">
        <f t="shared" si="18"/>
        <v>0</v>
      </c>
      <c r="AH32" s="62">
        <f t="shared" si="18"/>
        <v>0</v>
      </c>
      <c r="AI32" s="63">
        <f t="shared" si="18"/>
        <v>0</v>
      </c>
      <c r="AJ32" s="61">
        <f t="shared" ref="AJ32:AO32" si="19">SUM(AJ12:AJ31)</f>
        <v>0</v>
      </c>
      <c r="AK32" s="62">
        <f t="shared" si="19"/>
        <v>0</v>
      </c>
      <c r="AL32" s="63">
        <f t="shared" si="19"/>
        <v>0</v>
      </c>
      <c r="AM32" s="61">
        <f t="shared" si="19"/>
        <v>0</v>
      </c>
      <c r="AN32" s="62">
        <f t="shared" si="19"/>
        <v>0</v>
      </c>
      <c r="AO32" s="63">
        <f t="shared" si="19"/>
        <v>0</v>
      </c>
      <c r="AP32" s="60">
        <f t="shared" si="15"/>
        <v>13</v>
      </c>
      <c r="AQ32" s="9">
        <f t="shared" si="0"/>
        <v>3.9393939393939396E-3</v>
      </c>
    </row>
    <row r="83" spans="6:9" ht="18.75" customHeight="1" x14ac:dyDescent="0.15">
      <c r="F83" s="276"/>
      <c r="G83" s="276"/>
      <c r="H83" s="276"/>
      <c r="I83" s="277"/>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tabSelected="1" view="pageBreakPreview" topLeftCell="A46" zoomScaleNormal="100" zoomScaleSheetLayoutView="100" workbookViewId="0">
      <selection activeCell="B1" sqref="B1"/>
    </sheetView>
  </sheetViews>
  <sheetFormatPr defaultColWidth="11.375" defaultRowHeight="18.75" customHeight="1" x14ac:dyDescent="0.15"/>
  <cols>
    <col min="1" max="1" width="2.75" style="25"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5" t="s">
        <v>65</v>
      </c>
      <c r="I1" s="23" t="s">
        <v>106</v>
      </c>
    </row>
    <row r="2" spans="1:9" ht="18.75" customHeight="1" x14ac:dyDescent="0.15">
      <c r="G2" s="23" t="s">
        <v>109</v>
      </c>
      <c r="H2" s="66" t="str">
        <f>'様式１　プログラムを構成する授業科目'!C2</f>
        <v>札幌大学</v>
      </c>
      <c r="I2" s="67"/>
    </row>
    <row r="3" spans="1:9" ht="18.75" customHeight="1" x14ac:dyDescent="0.15">
      <c r="G3" s="23"/>
      <c r="H3" s="10"/>
      <c r="I3" s="10"/>
    </row>
    <row r="4" spans="1:9" ht="18.600000000000001" customHeight="1" x14ac:dyDescent="0.15">
      <c r="A4" s="69" t="s">
        <v>36</v>
      </c>
      <c r="B4" s="69"/>
      <c r="C4" s="69"/>
      <c r="D4" s="69"/>
      <c r="E4" s="69"/>
      <c r="F4" s="69"/>
      <c r="G4" s="69"/>
      <c r="H4" s="69"/>
      <c r="I4" s="69"/>
    </row>
    <row r="5" spans="1:9" ht="13.15" customHeight="1" x14ac:dyDescent="0.15">
      <c r="B5" s="3"/>
      <c r="C5" s="3"/>
      <c r="D5" s="3"/>
      <c r="E5" s="3"/>
      <c r="F5" s="3"/>
      <c r="G5" s="3"/>
      <c r="H5" s="3"/>
      <c r="I5" s="3"/>
    </row>
    <row r="6" spans="1:9" ht="18" customHeight="1" x14ac:dyDescent="0.15">
      <c r="A6" s="1" t="s">
        <v>0</v>
      </c>
      <c r="B6" s="10" t="s">
        <v>91</v>
      </c>
      <c r="C6" s="117" t="s">
        <v>92</v>
      </c>
      <c r="D6" s="117"/>
      <c r="E6" s="64">
        <v>77</v>
      </c>
      <c r="F6" s="3" t="s">
        <v>1</v>
      </c>
      <c r="G6" s="3" t="s">
        <v>2</v>
      </c>
      <c r="H6" s="22">
        <v>91</v>
      </c>
      <c r="I6" s="10" t="s">
        <v>1</v>
      </c>
    </row>
    <row r="7" spans="1:9" ht="12" customHeight="1" x14ac:dyDescent="0.15">
      <c r="C7" s="2"/>
      <c r="D7" s="2"/>
      <c r="E7" s="2"/>
      <c r="F7" s="2"/>
      <c r="G7" s="2"/>
      <c r="H7" s="2"/>
      <c r="I7" s="26"/>
    </row>
    <row r="8" spans="1:9" ht="18" customHeight="1" x14ac:dyDescent="0.15">
      <c r="A8" s="1" t="s">
        <v>3</v>
      </c>
      <c r="B8" s="10" t="s">
        <v>93</v>
      </c>
      <c r="E8" s="3"/>
      <c r="F8" s="3"/>
      <c r="G8" s="3"/>
      <c r="H8" s="22">
        <v>14</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23" t="s">
        <v>43</v>
      </c>
      <c r="C11" s="112" t="s">
        <v>138</v>
      </c>
      <c r="D11" s="115"/>
      <c r="E11" s="116"/>
      <c r="F11" s="26"/>
      <c r="G11" s="23" t="s">
        <v>10</v>
      </c>
      <c r="H11" s="112" t="s">
        <v>139</v>
      </c>
      <c r="I11" s="116"/>
    </row>
    <row r="12" spans="1:9" ht="10.15" customHeight="1" x14ac:dyDescent="0.15">
      <c r="B12" s="23"/>
      <c r="C12" s="10"/>
      <c r="D12" s="26"/>
      <c r="E12" s="26"/>
      <c r="F12" s="26"/>
      <c r="G12" s="23"/>
      <c r="H12" s="10"/>
      <c r="I12" s="26"/>
    </row>
    <row r="13" spans="1:9" ht="18" customHeight="1" x14ac:dyDescent="0.15">
      <c r="A13" s="1" t="s">
        <v>7</v>
      </c>
      <c r="B13" s="10" t="s">
        <v>88</v>
      </c>
      <c r="C13" s="3"/>
      <c r="D13" s="3"/>
      <c r="E13" s="3"/>
      <c r="F13" s="3"/>
      <c r="G13" s="3"/>
      <c r="H13" s="3"/>
      <c r="I13" s="3"/>
    </row>
    <row r="14" spans="1:9" ht="18" customHeight="1" x14ac:dyDescent="0.15">
      <c r="B14" s="112" t="s">
        <v>134</v>
      </c>
      <c r="C14" s="113"/>
      <c r="D14" s="113"/>
      <c r="E14" s="113"/>
      <c r="F14" s="113"/>
      <c r="G14" s="113"/>
      <c r="H14" s="113"/>
      <c r="I14" s="114"/>
    </row>
    <row r="15" spans="1:9" ht="9" customHeight="1" x14ac:dyDescent="0.15">
      <c r="B15" s="3"/>
      <c r="C15" s="3"/>
      <c r="D15" s="3"/>
      <c r="E15" s="3"/>
      <c r="F15" s="3"/>
      <c r="G15" s="3"/>
      <c r="H15" s="3"/>
      <c r="I15" s="3"/>
    </row>
    <row r="16" spans="1:9" ht="18" customHeight="1" x14ac:dyDescent="0.15">
      <c r="B16" s="23" t="s">
        <v>43</v>
      </c>
      <c r="C16" s="112" t="s">
        <v>136</v>
      </c>
      <c r="D16" s="115"/>
      <c r="E16" s="116"/>
      <c r="F16" s="26"/>
      <c r="G16" s="23" t="s">
        <v>10</v>
      </c>
      <c r="H16" s="112" t="s">
        <v>137</v>
      </c>
      <c r="I16" s="116"/>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104" t="s">
        <v>135</v>
      </c>
      <c r="C19" s="105"/>
      <c r="D19" s="105"/>
      <c r="E19" s="105"/>
      <c r="F19" s="105"/>
      <c r="G19" s="105"/>
      <c r="H19" s="105"/>
      <c r="I19" s="106"/>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94" t="s">
        <v>140</v>
      </c>
      <c r="C22" s="95"/>
      <c r="D22" s="95"/>
      <c r="E22" s="95"/>
      <c r="F22" s="95"/>
      <c r="G22" s="95"/>
      <c r="H22" s="95"/>
      <c r="I22" s="96"/>
    </row>
    <row r="23" spans="1:9" ht="18.75" customHeight="1" x14ac:dyDescent="0.15">
      <c r="A23" s="15"/>
      <c r="B23" s="107"/>
      <c r="C23" s="108"/>
      <c r="D23" s="108"/>
      <c r="E23" s="108"/>
      <c r="F23" s="108"/>
      <c r="G23" s="108"/>
      <c r="H23" s="108"/>
      <c r="I23" s="99"/>
    </row>
    <row r="24" spans="1:9" ht="18.75" customHeight="1" x14ac:dyDescent="0.15">
      <c r="A24" s="15"/>
      <c r="B24" s="107"/>
      <c r="C24" s="108"/>
      <c r="D24" s="108"/>
      <c r="E24" s="108"/>
      <c r="F24" s="108"/>
      <c r="G24" s="108"/>
      <c r="H24" s="108"/>
      <c r="I24" s="99"/>
    </row>
    <row r="25" spans="1:9" ht="18.75" customHeight="1" x14ac:dyDescent="0.15">
      <c r="A25" s="15"/>
      <c r="B25" s="107"/>
      <c r="C25" s="108"/>
      <c r="D25" s="108"/>
      <c r="E25" s="108"/>
      <c r="F25" s="108"/>
      <c r="G25" s="108"/>
      <c r="H25" s="108"/>
      <c r="I25" s="99"/>
    </row>
    <row r="26" spans="1:9" ht="18.75" customHeight="1" x14ac:dyDescent="0.15">
      <c r="A26" s="15"/>
      <c r="B26" s="107"/>
      <c r="C26" s="108"/>
      <c r="D26" s="108"/>
      <c r="E26" s="108"/>
      <c r="F26" s="108"/>
      <c r="G26" s="108"/>
      <c r="H26" s="108"/>
      <c r="I26" s="99"/>
    </row>
    <row r="27" spans="1:9" ht="18.75" customHeight="1" x14ac:dyDescent="0.15">
      <c r="A27" s="15"/>
      <c r="B27" s="107"/>
      <c r="C27" s="108"/>
      <c r="D27" s="108"/>
      <c r="E27" s="108"/>
      <c r="F27" s="108"/>
      <c r="G27" s="108"/>
      <c r="H27" s="108"/>
      <c r="I27" s="99"/>
    </row>
    <row r="28" spans="1:9" ht="18.75" customHeight="1" x14ac:dyDescent="0.15">
      <c r="A28" s="15"/>
      <c r="B28" s="107"/>
      <c r="C28" s="108"/>
      <c r="D28" s="108"/>
      <c r="E28" s="108"/>
      <c r="F28" s="108"/>
      <c r="G28" s="108"/>
      <c r="H28" s="108"/>
      <c r="I28" s="99"/>
    </row>
    <row r="29" spans="1:9" ht="18.75" customHeight="1" x14ac:dyDescent="0.15">
      <c r="A29" s="15"/>
      <c r="B29" s="107"/>
      <c r="C29" s="108"/>
      <c r="D29" s="108"/>
      <c r="E29" s="108"/>
      <c r="F29" s="108"/>
      <c r="G29" s="108"/>
      <c r="H29" s="108"/>
      <c r="I29" s="99"/>
    </row>
    <row r="30" spans="1:9" ht="18.75" customHeight="1" x14ac:dyDescent="0.15">
      <c r="A30" s="15"/>
      <c r="B30" s="97"/>
      <c r="C30" s="98"/>
      <c r="D30" s="98"/>
      <c r="E30" s="98"/>
      <c r="F30" s="98"/>
      <c r="G30" s="98"/>
      <c r="H30" s="98"/>
      <c r="I30" s="99"/>
    </row>
    <row r="31" spans="1:9" ht="18.75" customHeight="1" x14ac:dyDescent="0.15">
      <c r="A31" s="15"/>
      <c r="B31" s="97"/>
      <c r="C31" s="98"/>
      <c r="D31" s="98"/>
      <c r="E31" s="98"/>
      <c r="F31" s="98"/>
      <c r="G31" s="98"/>
      <c r="H31" s="98"/>
      <c r="I31" s="99"/>
    </row>
    <row r="32" spans="1:9" ht="18.75" customHeight="1" x14ac:dyDescent="0.15">
      <c r="A32" s="15"/>
      <c r="B32" s="100"/>
      <c r="C32" s="101"/>
      <c r="D32" s="101"/>
      <c r="E32" s="101"/>
      <c r="F32" s="101"/>
      <c r="G32" s="101"/>
      <c r="H32" s="101"/>
      <c r="I32" s="102"/>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94" t="s">
        <v>161</v>
      </c>
      <c r="C35" s="95"/>
      <c r="D35" s="95"/>
      <c r="E35" s="95"/>
      <c r="F35" s="95"/>
      <c r="G35" s="95"/>
      <c r="H35" s="95"/>
      <c r="I35" s="96"/>
    </row>
    <row r="36" spans="1:9" ht="18.75" customHeight="1" x14ac:dyDescent="0.15">
      <c r="A36" s="15"/>
      <c r="B36" s="97"/>
      <c r="C36" s="98"/>
      <c r="D36" s="98"/>
      <c r="E36" s="98"/>
      <c r="F36" s="98"/>
      <c r="G36" s="98"/>
      <c r="H36" s="98"/>
      <c r="I36" s="99"/>
    </row>
    <row r="37" spans="1:9" ht="18.75" customHeight="1" x14ac:dyDescent="0.15">
      <c r="A37" s="15"/>
      <c r="B37" s="97"/>
      <c r="C37" s="98"/>
      <c r="D37" s="98"/>
      <c r="E37" s="98"/>
      <c r="F37" s="98"/>
      <c r="G37" s="98"/>
      <c r="H37" s="98"/>
      <c r="I37" s="99"/>
    </row>
    <row r="38" spans="1:9" ht="18.75" customHeight="1" x14ac:dyDescent="0.15">
      <c r="A38" s="15"/>
      <c r="B38" s="97"/>
      <c r="C38" s="98"/>
      <c r="D38" s="98"/>
      <c r="E38" s="98"/>
      <c r="F38" s="98"/>
      <c r="G38" s="98"/>
      <c r="H38" s="98"/>
      <c r="I38" s="99"/>
    </row>
    <row r="39" spans="1:9" ht="18.75" customHeight="1" x14ac:dyDescent="0.15">
      <c r="A39" s="15"/>
      <c r="B39" s="97"/>
      <c r="C39" s="98"/>
      <c r="D39" s="98"/>
      <c r="E39" s="98"/>
      <c r="F39" s="98"/>
      <c r="G39" s="98"/>
      <c r="H39" s="98"/>
      <c r="I39" s="99"/>
    </row>
    <row r="40" spans="1:9" ht="18.75" customHeight="1" x14ac:dyDescent="0.15">
      <c r="A40" s="15"/>
      <c r="B40" s="97"/>
      <c r="C40" s="98"/>
      <c r="D40" s="98"/>
      <c r="E40" s="98"/>
      <c r="F40" s="98"/>
      <c r="G40" s="98"/>
      <c r="H40" s="98"/>
      <c r="I40" s="99"/>
    </row>
    <row r="41" spans="1:9" ht="18.75" customHeight="1" x14ac:dyDescent="0.15">
      <c r="A41" s="15"/>
      <c r="B41" s="97"/>
      <c r="C41" s="98"/>
      <c r="D41" s="98"/>
      <c r="E41" s="98"/>
      <c r="F41" s="98"/>
      <c r="G41" s="98"/>
      <c r="H41" s="98"/>
      <c r="I41" s="99"/>
    </row>
    <row r="42" spans="1:9" ht="18.75" customHeight="1" x14ac:dyDescent="0.15">
      <c r="A42" s="15"/>
      <c r="B42" s="97"/>
      <c r="C42" s="98"/>
      <c r="D42" s="98"/>
      <c r="E42" s="98"/>
      <c r="F42" s="98"/>
      <c r="G42" s="98"/>
      <c r="H42" s="98"/>
      <c r="I42" s="99"/>
    </row>
    <row r="43" spans="1:9" ht="18.75" customHeight="1" x14ac:dyDescent="0.15">
      <c r="A43" s="15"/>
      <c r="B43" s="97"/>
      <c r="C43" s="98"/>
      <c r="D43" s="98"/>
      <c r="E43" s="98"/>
      <c r="F43" s="98"/>
      <c r="G43" s="98"/>
      <c r="H43" s="98"/>
      <c r="I43" s="99"/>
    </row>
    <row r="44" spans="1:9" ht="18.75" customHeight="1" x14ac:dyDescent="0.15">
      <c r="A44" s="15"/>
      <c r="B44" s="97"/>
      <c r="C44" s="98"/>
      <c r="D44" s="98"/>
      <c r="E44" s="98"/>
      <c r="F44" s="98"/>
      <c r="G44" s="98"/>
      <c r="H44" s="98"/>
      <c r="I44" s="99"/>
    </row>
    <row r="45" spans="1:9" ht="18.75" customHeight="1" x14ac:dyDescent="0.15">
      <c r="A45" s="15"/>
      <c r="B45" s="97"/>
      <c r="C45" s="98"/>
      <c r="D45" s="98"/>
      <c r="E45" s="98"/>
      <c r="F45" s="98"/>
      <c r="G45" s="98"/>
      <c r="H45" s="98"/>
      <c r="I45" s="99"/>
    </row>
    <row r="46" spans="1:9" ht="18.75" customHeight="1" x14ac:dyDescent="0.15">
      <c r="A46" s="15"/>
      <c r="B46" s="100"/>
      <c r="C46" s="101"/>
      <c r="D46" s="101"/>
      <c r="E46" s="101"/>
      <c r="F46" s="101"/>
      <c r="G46" s="101"/>
      <c r="H46" s="101"/>
      <c r="I46" s="102"/>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27" t="s">
        <v>89</v>
      </c>
      <c r="C49" s="135">
        <f>'様式２ 履修者等数の実績'!AQ32</f>
        <v>3.9393939393939396E-3</v>
      </c>
      <c r="D49" s="135"/>
      <c r="E49" s="27" t="s">
        <v>66</v>
      </c>
      <c r="F49" s="135">
        <v>0.01</v>
      </c>
      <c r="G49" s="135"/>
      <c r="H49" s="27" t="s">
        <v>67</v>
      </c>
      <c r="I49" s="28">
        <v>0.02</v>
      </c>
      <c r="J49" s="1"/>
      <c r="M49" s="1"/>
      <c r="N49" s="29"/>
    </row>
    <row r="50" spans="1:15" s="3" customFormat="1" ht="18.75" customHeight="1" x14ac:dyDescent="0.15">
      <c r="B50" s="30" t="s">
        <v>68</v>
      </c>
      <c r="C50" s="118">
        <v>0.04</v>
      </c>
      <c r="D50" s="118"/>
      <c r="E50" s="30" t="s">
        <v>90</v>
      </c>
      <c r="F50" s="118">
        <v>0.06</v>
      </c>
      <c r="G50" s="118"/>
      <c r="H50" s="30" t="s">
        <v>69</v>
      </c>
      <c r="I50" s="31">
        <f>'様式２ 履修者等数の実績'!E32</f>
        <v>3300</v>
      </c>
      <c r="J50" s="1"/>
      <c r="M50" s="1"/>
      <c r="N50" s="29"/>
    </row>
    <row r="51" spans="1:15" ht="18.75" customHeight="1" x14ac:dyDescent="0.15">
      <c r="A51" s="1"/>
      <c r="B51" s="109" t="s">
        <v>70</v>
      </c>
      <c r="C51" s="110"/>
      <c r="D51" s="110"/>
      <c r="E51" s="110"/>
      <c r="F51" s="110"/>
      <c r="G51" s="110"/>
      <c r="H51" s="110"/>
      <c r="I51" s="111"/>
      <c r="N51" s="29"/>
      <c r="O51" s="3"/>
    </row>
    <row r="52" spans="1:15" ht="18.75" customHeight="1" x14ac:dyDescent="0.15">
      <c r="A52" s="1"/>
      <c r="B52" s="136" t="s">
        <v>157</v>
      </c>
      <c r="C52" s="137"/>
      <c r="D52" s="137"/>
      <c r="E52" s="137"/>
      <c r="F52" s="137"/>
      <c r="G52" s="137"/>
      <c r="H52" s="137"/>
      <c r="I52" s="138"/>
      <c r="N52" s="29"/>
      <c r="O52" s="3"/>
    </row>
    <row r="53" spans="1:15" ht="18.75" customHeight="1" x14ac:dyDescent="0.15">
      <c r="A53" s="1"/>
      <c r="B53" s="139"/>
      <c r="C53" s="140"/>
      <c r="D53" s="140"/>
      <c r="E53" s="140"/>
      <c r="F53" s="140"/>
      <c r="G53" s="140"/>
      <c r="H53" s="140"/>
      <c r="I53" s="141"/>
      <c r="N53" s="29"/>
      <c r="O53" s="3"/>
    </row>
    <row r="54" spans="1:15" ht="18.75" customHeight="1" x14ac:dyDescent="0.15">
      <c r="A54" s="1"/>
      <c r="B54" s="139"/>
      <c r="C54" s="140"/>
      <c r="D54" s="140"/>
      <c r="E54" s="140"/>
      <c r="F54" s="140"/>
      <c r="G54" s="140"/>
      <c r="H54" s="140"/>
      <c r="I54" s="141"/>
    </row>
    <row r="55" spans="1:15" ht="18.75" customHeight="1" x14ac:dyDescent="0.15">
      <c r="A55" s="1"/>
      <c r="B55" s="139"/>
      <c r="C55" s="140"/>
      <c r="D55" s="140"/>
      <c r="E55" s="140"/>
      <c r="F55" s="140"/>
      <c r="G55" s="140"/>
      <c r="H55" s="140"/>
      <c r="I55" s="141"/>
    </row>
    <row r="56" spans="1:15" ht="18.75" customHeight="1" x14ac:dyDescent="0.15">
      <c r="A56" s="1"/>
      <c r="B56" s="139"/>
      <c r="C56" s="140"/>
      <c r="D56" s="140"/>
      <c r="E56" s="140"/>
      <c r="F56" s="140"/>
      <c r="G56" s="140"/>
      <c r="H56" s="140"/>
      <c r="I56" s="141"/>
    </row>
    <row r="57" spans="1:15" ht="18.75" customHeight="1" x14ac:dyDescent="0.15">
      <c r="A57" s="1"/>
      <c r="B57" s="139"/>
      <c r="C57" s="140"/>
      <c r="D57" s="140"/>
      <c r="E57" s="140"/>
      <c r="F57" s="140"/>
      <c r="G57" s="140"/>
      <c r="H57" s="140"/>
      <c r="I57" s="141"/>
    </row>
    <row r="58" spans="1:15" ht="18.75" customHeight="1" x14ac:dyDescent="0.15">
      <c r="A58" s="1"/>
      <c r="B58" s="139"/>
      <c r="C58" s="140"/>
      <c r="D58" s="140"/>
      <c r="E58" s="140"/>
      <c r="F58" s="140"/>
      <c r="G58" s="140"/>
      <c r="H58" s="140"/>
      <c r="I58" s="141"/>
    </row>
    <row r="59" spans="1:15" ht="18.75" customHeight="1" x14ac:dyDescent="0.15">
      <c r="A59" s="1"/>
      <c r="B59" s="139"/>
      <c r="C59" s="140"/>
      <c r="D59" s="140"/>
      <c r="E59" s="140"/>
      <c r="F59" s="140"/>
      <c r="G59" s="140"/>
      <c r="H59" s="140"/>
      <c r="I59" s="141"/>
    </row>
    <row r="60" spans="1:15" ht="18.75" customHeight="1" x14ac:dyDescent="0.15">
      <c r="A60" s="1"/>
      <c r="B60" s="139"/>
      <c r="C60" s="140"/>
      <c r="D60" s="140"/>
      <c r="E60" s="140"/>
      <c r="F60" s="140"/>
      <c r="G60" s="140"/>
      <c r="H60" s="140"/>
      <c r="I60" s="141"/>
    </row>
    <row r="61" spans="1:15" ht="18.75" customHeight="1" x14ac:dyDescent="0.15">
      <c r="A61" s="1"/>
      <c r="B61" s="139"/>
      <c r="C61" s="140"/>
      <c r="D61" s="140"/>
      <c r="E61" s="140"/>
      <c r="F61" s="140"/>
      <c r="G61" s="140"/>
      <c r="H61" s="140"/>
      <c r="I61" s="141"/>
    </row>
    <row r="62" spans="1:15" ht="18.75" customHeight="1" x14ac:dyDescent="0.15">
      <c r="A62" s="1"/>
      <c r="B62" s="139"/>
      <c r="C62" s="140"/>
      <c r="D62" s="140"/>
      <c r="E62" s="140"/>
      <c r="F62" s="140"/>
      <c r="G62" s="140"/>
      <c r="H62" s="140"/>
      <c r="I62" s="141"/>
    </row>
    <row r="63" spans="1:15" ht="18.75" customHeight="1" x14ac:dyDescent="0.15">
      <c r="A63" s="1"/>
      <c r="B63" s="142"/>
      <c r="C63" s="143"/>
      <c r="D63" s="143"/>
      <c r="E63" s="143"/>
      <c r="F63" s="143"/>
      <c r="G63" s="143"/>
      <c r="H63" s="143"/>
      <c r="I63" s="144"/>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119" t="s">
        <v>141</v>
      </c>
      <c r="C66" s="120"/>
      <c r="D66" s="120"/>
      <c r="E66" s="120"/>
      <c r="F66" s="120"/>
      <c r="G66" s="120"/>
      <c r="H66" s="120"/>
      <c r="I66" s="121"/>
    </row>
    <row r="67" spans="1:9" ht="18.75" customHeight="1" x14ac:dyDescent="0.15">
      <c r="A67" s="4"/>
      <c r="B67" s="122"/>
      <c r="C67" s="123"/>
      <c r="D67" s="123"/>
      <c r="E67" s="123"/>
      <c r="F67" s="123"/>
      <c r="G67" s="123"/>
      <c r="H67" s="123"/>
      <c r="I67" s="124"/>
    </row>
    <row r="68" spans="1:9" ht="18.75" customHeight="1" x14ac:dyDescent="0.15">
      <c r="A68" s="4"/>
      <c r="B68" s="122"/>
      <c r="C68" s="123"/>
      <c r="D68" s="123"/>
      <c r="E68" s="123"/>
      <c r="F68" s="123"/>
      <c r="G68" s="123"/>
      <c r="H68" s="123"/>
      <c r="I68" s="124"/>
    </row>
    <row r="69" spans="1:9" ht="18.75" customHeight="1" x14ac:dyDescent="0.15">
      <c r="A69" s="4"/>
      <c r="B69" s="122"/>
      <c r="C69" s="123"/>
      <c r="D69" s="123"/>
      <c r="E69" s="123"/>
      <c r="F69" s="123"/>
      <c r="G69" s="123"/>
      <c r="H69" s="123"/>
      <c r="I69" s="124"/>
    </row>
    <row r="70" spans="1:9" ht="18.75" customHeight="1" x14ac:dyDescent="0.15">
      <c r="A70" s="4"/>
      <c r="B70" s="122"/>
      <c r="C70" s="123"/>
      <c r="D70" s="123"/>
      <c r="E70" s="123"/>
      <c r="F70" s="123"/>
      <c r="G70" s="123"/>
      <c r="H70" s="123"/>
      <c r="I70" s="124"/>
    </row>
    <row r="71" spans="1:9" ht="18.75" customHeight="1" x14ac:dyDescent="0.15">
      <c r="A71" s="4"/>
      <c r="B71" s="122"/>
      <c r="C71" s="123"/>
      <c r="D71" s="123"/>
      <c r="E71" s="123"/>
      <c r="F71" s="123"/>
      <c r="G71" s="123"/>
      <c r="H71" s="123"/>
      <c r="I71" s="124"/>
    </row>
    <row r="72" spans="1:9" ht="18.75" customHeight="1" x14ac:dyDescent="0.15">
      <c r="A72" s="4"/>
      <c r="B72" s="122"/>
      <c r="C72" s="123"/>
      <c r="D72" s="123"/>
      <c r="E72" s="123"/>
      <c r="F72" s="123"/>
      <c r="G72" s="123"/>
      <c r="H72" s="123"/>
      <c r="I72" s="124"/>
    </row>
    <row r="73" spans="1:9" ht="18.75" customHeight="1" x14ac:dyDescent="0.15">
      <c r="A73" s="4"/>
      <c r="B73" s="122"/>
      <c r="C73" s="123"/>
      <c r="D73" s="123"/>
      <c r="E73" s="123"/>
      <c r="F73" s="123"/>
      <c r="G73" s="123"/>
      <c r="H73" s="123"/>
      <c r="I73" s="124"/>
    </row>
    <row r="74" spans="1:9" ht="18.75" customHeight="1" x14ac:dyDescent="0.15">
      <c r="A74" s="4"/>
      <c r="B74" s="122"/>
      <c r="C74" s="123"/>
      <c r="D74" s="123"/>
      <c r="E74" s="123"/>
      <c r="F74" s="123"/>
      <c r="G74" s="123"/>
      <c r="H74" s="123"/>
      <c r="I74" s="124"/>
    </row>
    <row r="75" spans="1:9" ht="18.75" customHeight="1" x14ac:dyDescent="0.15">
      <c r="A75" s="4"/>
      <c r="B75" s="122"/>
      <c r="C75" s="123"/>
      <c r="D75" s="123"/>
      <c r="E75" s="123"/>
      <c r="F75" s="123"/>
      <c r="G75" s="123"/>
      <c r="H75" s="123"/>
      <c r="I75" s="124"/>
    </row>
    <row r="76" spans="1:9" ht="18.75" customHeight="1" x14ac:dyDescent="0.15">
      <c r="A76" s="4"/>
      <c r="B76" s="122"/>
      <c r="C76" s="123"/>
      <c r="D76" s="123"/>
      <c r="E76" s="123"/>
      <c r="F76" s="123"/>
      <c r="G76" s="123"/>
      <c r="H76" s="123"/>
      <c r="I76" s="124"/>
    </row>
    <row r="77" spans="1:9" ht="18.75" customHeight="1" x14ac:dyDescent="0.15">
      <c r="A77" s="4"/>
      <c r="B77" s="125"/>
      <c r="C77" s="126"/>
      <c r="D77" s="126"/>
      <c r="E77" s="126"/>
      <c r="F77" s="126"/>
      <c r="G77" s="126"/>
      <c r="H77" s="126"/>
      <c r="I77" s="127"/>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119" t="s">
        <v>158</v>
      </c>
      <c r="C80" s="120"/>
      <c r="D80" s="120"/>
      <c r="E80" s="120"/>
      <c r="F80" s="120"/>
      <c r="G80" s="120"/>
      <c r="H80" s="120"/>
      <c r="I80" s="128"/>
    </row>
    <row r="81" spans="1:9" ht="18.75" customHeight="1" x14ac:dyDescent="0.15">
      <c r="A81" s="1"/>
      <c r="B81" s="129"/>
      <c r="C81" s="130"/>
      <c r="D81" s="130"/>
      <c r="E81" s="130"/>
      <c r="F81" s="130"/>
      <c r="G81" s="130"/>
      <c r="H81" s="130"/>
      <c r="I81" s="131"/>
    </row>
    <row r="82" spans="1:9" ht="18.75" customHeight="1" x14ac:dyDescent="0.15">
      <c r="A82" s="1"/>
      <c r="B82" s="129"/>
      <c r="C82" s="130"/>
      <c r="D82" s="130"/>
      <c r="E82" s="130"/>
      <c r="F82" s="130"/>
      <c r="G82" s="130"/>
      <c r="H82" s="130"/>
      <c r="I82" s="131"/>
    </row>
    <row r="83" spans="1:9" ht="18.75" customHeight="1" x14ac:dyDescent="0.15">
      <c r="A83" s="1"/>
      <c r="B83" s="129"/>
      <c r="C83" s="130"/>
      <c r="D83" s="130"/>
      <c r="E83" s="130"/>
      <c r="F83" s="278"/>
      <c r="G83" s="278"/>
      <c r="H83" s="278"/>
      <c r="I83" s="279"/>
    </row>
    <row r="84" spans="1:9" ht="18.75" customHeight="1" x14ac:dyDescent="0.15">
      <c r="A84" s="1"/>
      <c r="B84" s="129"/>
      <c r="C84" s="130"/>
      <c r="D84" s="130"/>
      <c r="E84" s="130"/>
      <c r="F84" s="130"/>
      <c r="G84" s="130"/>
      <c r="H84" s="130"/>
      <c r="I84" s="131"/>
    </row>
    <row r="85" spans="1:9" ht="18.75" customHeight="1" x14ac:dyDescent="0.15">
      <c r="A85" s="1"/>
      <c r="B85" s="129"/>
      <c r="C85" s="130"/>
      <c r="D85" s="130"/>
      <c r="E85" s="130"/>
      <c r="F85" s="130"/>
      <c r="G85" s="130"/>
      <c r="H85" s="130"/>
      <c r="I85" s="131"/>
    </row>
    <row r="86" spans="1:9" ht="18.75" customHeight="1" x14ac:dyDescent="0.15">
      <c r="A86" s="1"/>
      <c r="B86" s="129"/>
      <c r="C86" s="130"/>
      <c r="D86" s="130"/>
      <c r="E86" s="130"/>
      <c r="F86" s="130"/>
      <c r="G86" s="130"/>
      <c r="H86" s="130"/>
      <c r="I86" s="131"/>
    </row>
    <row r="87" spans="1:9" ht="18.75" customHeight="1" x14ac:dyDescent="0.15">
      <c r="A87" s="1"/>
      <c r="B87" s="129"/>
      <c r="C87" s="130"/>
      <c r="D87" s="130"/>
      <c r="E87" s="130"/>
      <c r="F87" s="130"/>
      <c r="G87" s="130"/>
      <c r="H87" s="130"/>
      <c r="I87" s="131"/>
    </row>
    <row r="88" spans="1:9" ht="18.75" customHeight="1" x14ac:dyDescent="0.15">
      <c r="A88" s="1"/>
      <c r="B88" s="129"/>
      <c r="C88" s="130"/>
      <c r="D88" s="130"/>
      <c r="E88" s="130"/>
      <c r="F88" s="130"/>
      <c r="G88" s="130"/>
      <c r="H88" s="130"/>
      <c r="I88" s="131"/>
    </row>
    <row r="89" spans="1:9" ht="18.75" customHeight="1" x14ac:dyDescent="0.15">
      <c r="A89" s="1"/>
      <c r="B89" s="129"/>
      <c r="C89" s="130"/>
      <c r="D89" s="130"/>
      <c r="E89" s="130"/>
      <c r="F89" s="130"/>
      <c r="G89" s="130"/>
      <c r="H89" s="130"/>
      <c r="I89" s="131"/>
    </row>
    <row r="90" spans="1:9" ht="18.75" customHeight="1" x14ac:dyDescent="0.15">
      <c r="A90" s="4"/>
      <c r="B90" s="129"/>
      <c r="C90" s="130"/>
      <c r="D90" s="130"/>
      <c r="E90" s="130"/>
      <c r="F90" s="130"/>
      <c r="G90" s="130"/>
      <c r="H90" s="130"/>
      <c r="I90" s="131"/>
    </row>
    <row r="91" spans="1:9" ht="18.75" customHeight="1" x14ac:dyDescent="0.15">
      <c r="A91" s="4"/>
      <c r="B91" s="132"/>
      <c r="C91" s="133"/>
      <c r="D91" s="133"/>
      <c r="E91" s="133"/>
      <c r="F91" s="133"/>
      <c r="G91" s="133"/>
      <c r="H91" s="133"/>
      <c r="I91" s="134"/>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94" t="s">
        <v>132</v>
      </c>
      <c r="C94" s="95"/>
      <c r="D94" s="95"/>
      <c r="E94" s="95"/>
      <c r="F94" s="95"/>
      <c r="G94" s="95"/>
      <c r="H94" s="95"/>
      <c r="I94" s="96"/>
    </row>
    <row r="95" spans="1:9" ht="18.75" customHeight="1" x14ac:dyDescent="0.15">
      <c r="A95" s="1"/>
      <c r="B95" s="97"/>
      <c r="C95" s="98"/>
      <c r="D95" s="98"/>
      <c r="E95" s="98"/>
      <c r="F95" s="98"/>
      <c r="G95" s="98"/>
      <c r="H95" s="98"/>
      <c r="I95" s="99"/>
    </row>
    <row r="96" spans="1:9" ht="18.75" customHeight="1" x14ac:dyDescent="0.15">
      <c r="A96" s="1"/>
      <c r="B96" s="97"/>
      <c r="C96" s="98"/>
      <c r="D96" s="98"/>
      <c r="E96" s="98"/>
      <c r="F96" s="98"/>
      <c r="G96" s="98"/>
      <c r="H96" s="98"/>
      <c r="I96" s="99"/>
    </row>
    <row r="97" spans="1:9" ht="18.75" customHeight="1" x14ac:dyDescent="0.15">
      <c r="A97" s="1"/>
      <c r="B97" s="97"/>
      <c r="C97" s="98"/>
      <c r="D97" s="98"/>
      <c r="E97" s="98"/>
      <c r="F97" s="98"/>
      <c r="G97" s="98"/>
      <c r="H97" s="98"/>
      <c r="I97" s="99"/>
    </row>
    <row r="98" spans="1:9" ht="18.75" customHeight="1" x14ac:dyDescent="0.15">
      <c r="A98" s="1"/>
      <c r="B98" s="97"/>
      <c r="C98" s="98"/>
      <c r="D98" s="98"/>
      <c r="E98" s="98"/>
      <c r="F98" s="98"/>
      <c r="G98" s="98"/>
      <c r="H98" s="98"/>
      <c r="I98" s="99"/>
    </row>
    <row r="99" spans="1:9" ht="18.75" customHeight="1" x14ac:dyDescent="0.15">
      <c r="A99" s="1"/>
      <c r="B99" s="97"/>
      <c r="C99" s="98"/>
      <c r="D99" s="98"/>
      <c r="E99" s="98"/>
      <c r="F99" s="98"/>
      <c r="G99" s="98"/>
      <c r="H99" s="98"/>
      <c r="I99" s="99"/>
    </row>
    <row r="100" spans="1:9" ht="18.75" customHeight="1" x14ac:dyDescent="0.15">
      <c r="A100" s="1"/>
      <c r="B100" s="97"/>
      <c r="C100" s="98"/>
      <c r="D100" s="98"/>
      <c r="E100" s="98"/>
      <c r="F100" s="98"/>
      <c r="G100" s="98"/>
      <c r="H100" s="98"/>
      <c r="I100" s="99"/>
    </row>
    <row r="101" spans="1:9" ht="18.75" customHeight="1" x14ac:dyDescent="0.15">
      <c r="A101" s="1"/>
      <c r="B101" s="97"/>
      <c r="C101" s="98"/>
      <c r="D101" s="98"/>
      <c r="E101" s="98"/>
      <c r="F101" s="98"/>
      <c r="G101" s="98"/>
      <c r="H101" s="98"/>
      <c r="I101" s="99"/>
    </row>
    <row r="102" spans="1:9" ht="18.75" customHeight="1" x14ac:dyDescent="0.15">
      <c r="A102" s="1"/>
      <c r="B102" s="97"/>
      <c r="C102" s="98"/>
      <c r="D102" s="98"/>
      <c r="E102" s="98"/>
      <c r="F102" s="98"/>
      <c r="G102" s="98"/>
      <c r="H102" s="98"/>
      <c r="I102" s="99"/>
    </row>
    <row r="103" spans="1:9" ht="18.75" customHeight="1" x14ac:dyDescent="0.15">
      <c r="A103" s="1"/>
      <c r="B103" s="97"/>
      <c r="C103" s="98"/>
      <c r="D103" s="98"/>
      <c r="E103" s="98"/>
      <c r="F103" s="98"/>
      <c r="G103" s="98"/>
      <c r="H103" s="98"/>
      <c r="I103" s="99"/>
    </row>
    <row r="104" spans="1:9" ht="18.75" customHeight="1" x14ac:dyDescent="0.15">
      <c r="A104" s="1"/>
      <c r="B104" s="97"/>
      <c r="C104" s="98"/>
      <c r="D104" s="98"/>
      <c r="E104" s="98"/>
      <c r="F104" s="98"/>
      <c r="G104" s="98"/>
      <c r="H104" s="98"/>
      <c r="I104" s="99"/>
    </row>
    <row r="105" spans="1:9" ht="18.75" customHeight="1" x14ac:dyDescent="0.15">
      <c r="A105" s="4"/>
      <c r="B105" s="100"/>
      <c r="C105" s="101"/>
      <c r="D105" s="101"/>
      <c r="E105" s="101"/>
      <c r="F105" s="101"/>
      <c r="G105" s="101"/>
      <c r="H105" s="101"/>
      <c r="I105" s="102"/>
    </row>
    <row r="106" spans="1:9" ht="7.5" customHeight="1" x14ac:dyDescent="0.15">
      <c r="A106" s="4"/>
      <c r="B106" s="4"/>
      <c r="C106" s="4"/>
      <c r="D106" s="4"/>
      <c r="E106" s="4"/>
      <c r="F106" s="4"/>
      <c r="G106" s="4"/>
      <c r="H106" s="4"/>
      <c r="I106" s="4"/>
    </row>
    <row r="107" spans="1:9" ht="18.75" customHeight="1" x14ac:dyDescent="0.15">
      <c r="A107" s="1" t="s">
        <v>30</v>
      </c>
      <c r="B107" s="103" t="s">
        <v>46</v>
      </c>
      <c r="C107" s="103"/>
      <c r="D107" s="103"/>
      <c r="E107" s="103"/>
      <c r="F107" s="103"/>
      <c r="G107" s="103"/>
      <c r="H107" s="103"/>
      <c r="I107" s="103"/>
    </row>
    <row r="108" spans="1:9" ht="18.75" customHeight="1" x14ac:dyDescent="0.15">
      <c r="A108" s="4"/>
      <c r="B108" s="94" t="s">
        <v>133</v>
      </c>
      <c r="C108" s="95"/>
      <c r="D108" s="95"/>
      <c r="E108" s="95"/>
      <c r="F108" s="95"/>
      <c r="G108" s="95"/>
      <c r="H108" s="95"/>
      <c r="I108" s="96"/>
    </row>
    <row r="109" spans="1:9" ht="18.75" customHeight="1" x14ac:dyDescent="0.15">
      <c r="A109" s="4"/>
      <c r="B109" s="97"/>
      <c r="C109" s="98"/>
      <c r="D109" s="98"/>
      <c r="E109" s="98"/>
      <c r="F109" s="98"/>
      <c r="G109" s="98"/>
      <c r="H109" s="98"/>
      <c r="I109" s="99"/>
    </row>
    <row r="110" spans="1:9" ht="18.75" customHeight="1" x14ac:dyDescent="0.15">
      <c r="A110" s="4"/>
      <c r="B110" s="97"/>
      <c r="C110" s="98"/>
      <c r="D110" s="98"/>
      <c r="E110" s="98"/>
      <c r="F110" s="98"/>
      <c r="G110" s="98"/>
      <c r="H110" s="98"/>
      <c r="I110" s="99"/>
    </row>
    <row r="111" spans="1:9" ht="18.75" customHeight="1" x14ac:dyDescent="0.15">
      <c r="A111" s="4"/>
      <c r="B111" s="97"/>
      <c r="C111" s="98"/>
      <c r="D111" s="98"/>
      <c r="E111" s="98"/>
      <c r="F111" s="98"/>
      <c r="G111" s="98"/>
      <c r="H111" s="98"/>
      <c r="I111" s="99"/>
    </row>
    <row r="112" spans="1:9" ht="18.75" customHeight="1" x14ac:dyDescent="0.15">
      <c r="A112" s="4"/>
      <c r="B112" s="97"/>
      <c r="C112" s="98"/>
      <c r="D112" s="98"/>
      <c r="E112" s="98"/>
      <c r="F112" s="98"/>
      <c r="G112" s="98"/>
      <c r="H112" s="98"/>
      <c r="I112" s="99"/>
    </row>
    <row r="113" spans="1:9" ht="18.75" customHeight="1" x14ac:dyDescent="0.15">
      <c r="A113" s="4"/>
      <c r="B113" s="97"/>
      <c r="C113" s="98"/>
      <c r="D113" s="98"/>
      <c r="E113" s="98"/>
      <c r="F113" s="98"/>
      <c r="G113" s="98"/>
      <c r="H113" s="98"/>
      <c r="I113" s="99"/>
    </row>
    <row r="114" spans="1:9" ht="18.75" customHeight="1" x14ac:dyDescent="0.15">
      <c r="A114" s="4"/>
      <c r="B114" s="97"/>
      <c r="C114" s="98"/>
      <c r="D114" s="98"/>
      <c r="E114" s="98"/>
      <c r="F114" s="98"/>
      <c r="G114" s="98"/>
      <c r="H114" s="98"/>
      <c r="I114" s="99"/>
    </row>
    <row r="115" spans="1:9" ht="18.75" customHeight="1" x14ac:dyDescent="0.15">
      <c r="A115" s="4"/>
      <c r="B115" s="97"/>
      <c r="C115" s="98"/>
      <c r="D115" s="98"/>
      <c r="E115" s="98"/>
      <c r="F115" s="98"/>
      <c r="G115" s="98"/>
      <c r="H115" s="98"/>
      <c r="I115" s="99"/>
    </row>
    <row r="116" spans="1:9" ht="18.75" customHeight="1" x14ac:dyDescent="0.15">
      <c r="A116" s="4"/>
      <c r="B116" s="97"/>
      <c r="C116" s="98"/>
      <c r="D116" s="98"/>
      <c r="E116" s="98"/>
      <c r="F116" s="98"/>
      <c r="G116" s="98"/>
      <c r="H116" s="98"/>
      <c r="I116" s="99"/>
    </row>
    <row r="117" spans="1:9" ht="18.75" customHeight="1" x14ac:dyDescent="0.15">
      <c r="A117" s="4"/>
      <c r="B117" s="97"/>
      <c r="C117" s="98"/>
      <c r="D117" s="98"/>
      <c r="E117" s="98"/>
      <c r="F117" s="98"/>
      <c r="G117" s="98"/>
      <c r="H117" s="98"/>
      <c r="I117" s="99"/>
    </row>
    <row r="118" spans="1:9" ht="18.75" customHeight="1" x14ac:dyDescent="0.15">
      <c r="A118" s="4"/>
      <c r="B118" s="97"/>
      <c r="C118" s="98"/>
      <c r="D118" s="98"/>
      <c r="E118" s="98"/>
      <c r="F118" s="98"/>
      <c r="G118" s="98"/>
      <c r="H118" s="98"/>
      <c r="I118" s="99"/>
    </row>
    <row r="119" spans="1:9" ht="18.75" customHeight="1" x14ac:dyDescent="0.15">
      <c r="A119" s="4"/>
      <c r="B119" s="100"/>
      <c r="C119" s="101"/>
      <c r="D119" s="101"/>
      <c r="E119" s="101"/>
      <c r="F119" s="101"/>
      <c r="G119" s="101"/>
      <c r="H119" s="101"/>
      <c r="I119" s="102"/>
    </row>
    <row r="120" spans="1:9" ht="7.5" customHeight="1" x14ac:dyDescent="0.15">
      <c r="A120" s="4"/>
      <c r="B120" s="32"/>
      <c r="C120" s="32"/>
      <c r="D120" s="32"/>
      <c r="E120" s="32"/>
      <c r="F120" s="32"/>
      <c r="G120" s="32"/>
      <c r="H120" s="32"/>
      <c r="I120" s="32"/>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33"/>
      <c r="B134" s="33"/>
      <c r="C134" s="33"/>
      <c r="D134" s="33"/>
      <c r="E134" s="33"/>
      <c r="F134" s="33"/>
      <c r="G134" s="33"/>
      <c r="H134" s="33"/>
      <c r="I134" s="33"/>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83"/>
  <sheetViews>
    <sheetView showZeros="0" tabSelected="1" view="pageBreakPreview" zoomScale="90" zoomScaleNormal="100" zoomScaleSheetLayoutView="90" workbookViewId="0">
      <selection activeCell="B1" sqref="B1"/>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23" t="s">
        <v>105</v>
      </c>
    </row>
    <row r="2" spans="1:9" ht="18.75" customHeight="1" x14ac:dyDescent="0.15">
      <c r="H2" s="23" t="s">
        <v>109</v>
      </c>
      <c r="I2" s="65" t="str">
        <f>'様式１　プログラムを構成する授業科目'!C2</f>
        <v>札幌大学</v>
      </c>
    </row>
    <row r="3" spans="1:9" ht="18.75" customHeight="1" x14ac:dyDescent="0.15">
      <c r="A3" s="69" t="s">
        <v>28</v>
      </c>
      <c r="B3" s="69"/>
      <c r="C3" s="69"/>
      <c r="D3" s="69"/>
      <c r="E3" s="69"/>
      <c r="F3" s="69"/>
      <c r="G3" s="69"/>
      <c r="H3" s="69"/>
      <c r="I3" s="69"/>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112" t="s">
        <v>134</v>
      </c>
      <c r="C6" s="152"/>
      <c r="D6" s="152"/>
      <c r="E6" s="152"/>
      <c r="F6" s="152"/>
      <c r="G6" s="152"/>
      <c r="H6" s="153"/>
      <c r="I6" s="3"/>
    </row>
    <row r="7" spans="1:9" ht="9" customHeight="1" x14ac:dyDescent="0.15">
      <c r="A7" s="5"/>
      <c r="B7" s="10"/>
      <c r="C7" s="10"/>
      <c r="D7" s="10"/>
      <c r="E7" s="10"/>
      <c r="F7" s="10"/>
      <c r="G7" s="10"/>
      <c r="H7" s="10"/>
      <c r="I7" s="3"/>
    </row>
    <row r="8" spans="1:9" ht="18.75" customHeight="1" x14ac:dyDescent="0.15">
      <c r="A8" s="5"/>
      <c r="B8" s="3"/>
      <c r="C8" s="3"/>
      <c r="D8" s="23" t="s">
        <v>43</v>
      </c>
      <c r="E8" s="24" t="s">
        <v>136</v>
      </c>
      <c r="F8" s="3"/>
      <c r="G8" s="23" t="s">
        <v>10</v>
      </c>
      <c r="H8" s="24" t="s">
        <v>137</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66" t="s">
        <v>24</v>
      </c>
      <c r="C11" s="68"/>
      <c r="D11" s="67"/>
      <c r="E11" s="68" t="s">
        <v>26</v>
      </c>
      <c r="F11" s="68"/>
      <c r="G11" s="68"/>
      <c r="H11" s="68"/>
      <c r="I11" s="67"/>
    </row>
    <row r="12" spans="1:9" ht="26.25" customHeight="1" x14ac:dyDescent="0.15">
      <c r="B12" s="34" t="s">
        <v>14</v>
      </c>
      <c r="C12" s="41"/>
      <c r="D12" s="35"/>
      <c r="E12" s="42"/>
      <c r="F12" s="42"/>
      <c r="G12" s="42"/>
      <c r="H12" s="42"/>
      <c r="I12" s="35"/>
    </row>
    <row r="13" spans="1:9" ht="210.75" customHeight="1" x14ac:dyDescent="0.15">
      <c r="B13" s="36"/>
      <c r="C13" s="150" t="s">
        <v>15</v>
      </c>
      <c r="D13" s="151"/>
      <c r="E13" s="147" t="s">
        <v>162</v>
      </c>
      <c r="F13" s="148"/>
      <c r="G13" s="148"/>
      <c r="H13" s="148"/>
      <c r="I13" s="149"/>
    </row>
    <row r="14" spans="1:9" ht="210.75" customHeight="1" x14ac:dyDescent="0.15">
      <c r="B14" s="36"/>
      <c r="C14" s="145" t="s">
        <v>16</v>
      </c>
      <c r="D14" s="146"/>
      <c r="E14" s="147" t="s">
        <v>159</v>
      </c>
      <c r="F14" s="148"/>
      <c r="G14" s="148"/>
      <c r="H14" s="148"/>
      <c r="I14" s="149"/>
    </row>
    <row r="15" spans="1:9" ht="210.75" customHeight="1" x14ac:dyDescent="0.15">
      <c r="B15" s="36"/>
      <c r="C15" s="150" t="s">
        <v>17</v>
      </c>
      <c r="D15" s="151"/>
      <c r="E15" s="147" t="s">
        <v>142</v>
      </c>
      <c r="F15" s="148"/>
      <c r="G15" s="148"/>
      <c r="H15" s="148"/>
      <c r="I15" s="149"/>
    </row>
    <row r="16" spans="1:9" ht="210.75" customHeight="1" x14ac:dyDescent="0.15">
      <c r="B16" s="36"/>
      <c r="C16" s="150" t="s">
        <v>18</v>
      </c>
      <c r="D16" s="151"/>
      <c r="E16" s="147" t="s">
        <v>163</v>
      </c>
      <c r="F16" s="148"/>
      <c r="G16" s="148"/>
      <c r="H16" s="148"/>
      <c r="I16" s="149"/>
    </row>
    <row r="17" spans="2:9" ht="210.75" customHeight="1" x14ac:dyDescent="0.15">
      <c r="B17" s="37"/>
      <c r="C17" s="154" t="s">
        <v>19</v>
      </c>
      <c r="D17" s="155"/>
      <c r="E17" s="156" t="s">
        <v>143</v>
      </c>
      <c r="F17" s="157"/>
      <c r="G17" s="157"/>
      <c r="H17" s="157"/>
      <c r="I17" s="158"/>
    </row>
    <row r="18" spans="2:9" ht="24" customHeight="1" x14ac:dyDescent="0.15">
      <c r="B18" s="34" t="s">
        <v>20</v>
      </c>
      <c r="C18" s="38"/>
      <c r="D18" s="39"/>
      <c r="E18" s="40"/>
      <c r="F18" s="40"/>
      <c r="G18" s="40"/>
      <c r="H18" s="40"/>
      <c r="I18" s="43"/>
    </row>
    <row r="19" spans="2:9" ht="218.25" customHeight="1" x14ac:dyDescent="0.15">
      <c r="B19" s="36"/>
      <c r="C19" s="150" t="s">
        <v>21</v>
      </c>
      <c r="D19" s="151"/>
      <c r="E19" s="148" t="s">
        <v>144</v>
      </c>
      <c r="F19" s="148"/>
      <c r="G19" s="148"/>
      <c r="H19" s="148"/>
      <c r="I19" s="149"/>
    </row>
    <row r="20" spans="2:9" ht="218.25" customHeight="1" x14ac:dyDescent="0.15">
      <c r="B20" s="37"/>
      <c r="C20" s="154" t="s">
        <v>22</v>
      </c>
      <c r="D20" s="155"/>
      <c r="E20" s="157" t="s">
        <v>165</v>
      </c>
      <c r="F20" s="157"/>
      <c r="G20" s="157"/>
      <c r="H20" s="157"/>
      <c r="I20" s="158"/>
    </row>
    <row r="21" spans="2:9" ht="218.25" customHeight="1" x14ac:dyDescent="0.15">
      <c r="B21" s="164" t="s">
        <v>23</v>
      </c>
      <c r="C21" s="165"/>
      <c r="D21" s="166"/>
      <c r="E21" s="167" t="s">
        <v>145</v>
      </c>
      <c r="F21" s="167"/>
      <c r="G21" s="167"/>
      <c r="H21" s="167"/>
      <c r="I21" s="168"/>
    </row>
    <row r="22" spans="2:9" ht="218.25" customHeight="1" x14ac:dyDescent="0.15">
      <c r="B22" s="159" t="s">
        <v>38</v>
      </c>
      <c r="C22" s="160"/>
      <c r="D22" s="161"/>
      <c r="E22" s="162" t="s">
        <v>146</v>
      </c>
      <c r="F22" s="162"/>
      <c r="G22" s="162"/>
      <c r="H22" s="162"/>
      <c r="I22" s="163"/>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row r="83" spans="6:9" ht="22.5" customHeight="1" x14ac:dyDescent="0.15">
      <c r="F83" s="276"/>
      <c r="G83" s="276"/>
      <c r="H83" s="276"/>
      <c r="I83" s="277"/>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梅原　千尋</cp:lastModifiedBy>
  <cp:lastPrinted>2023-06-26T10:31:02Z</cp:lastPrinted>
  <dcterms:created xsi:type="dcterms:W3CDTF">2011-06-14T05:32:50Z</dcterms:created>
  <dcterms:modified xsi:type="dcterms:W3CDTF">2023-06-26T10:32:55Z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