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W:\15_全学共通教育機構\18_オンデマンド化\17_令和4年度開講 KICSオンデマンド科目\2_データリテラシー入門\★数理・データサイエンス・AI教育プログラム認定申請について\1_令和4年度認定制度申請書類\09_再申請資料\"/>
    </mc:Choice>
  </mc:AlternateContent>
  <bookViews>
    <workbookView xWindow="0" yWindow="0" windowWidth="24000" windowHeight="9636"/>
  </bookViews>
  <sheets>
    <sheet name="様式１　プログラムを構成する授業科目" sheetId="1" r:id="rId1"/>
    <sheet name="様式２ 履修者等数の実績" sheetId="5" r:id="rId2"/>
    <sheet name="様式３ 教育の質・履修者数を向上させるための体制・計画" sheetId="3" r:id="rId3"/>
    <sheet name="様式４　自己点検・評価" sheetId="4" r:id="rId4"/>
  </sheets>
  <definedNames>
    <definedName name="_xlnm._FilterDatabase" localSheetId="1" hidden="1">'様式２ 履修者等数の実績'!#REF!</definedName>
    <definedName name="_xlnm.Print_Area" localSheetId="0">'様式１　プログラムを構成する授業科目'!$A$1:$S$100</definedName>
    <definedName name="_xlnm.Print_Area" localSheetId="1">'様式２ 履修者等数の実績'!$A$1:$AQ$30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0" i="5" l="1"/>
  <c r="AQ12" i="5" l="1"/>
  <c r="AP29" i="5"/>
  <c r="AO30" i="5" l="1"/>
  <c r="AN30" i="5"/>
  <c r="AL30" i="5"/>
  <c r="AK30" i="5"/>
  <c r="AI30" i="5"/>
  <c r="AH30" i="5"/>
  <c r="AF30" i="5"/>
  <c r="AE30" i="5"/>
  <c r="AC30" i="5"/>
  <c r="AB30" i="5"/>
  <c r="Z30" i="5"/>
  <c r="Y30" i="5"/>
  <c r="W30" i="5"/>
  <c r="V30" i="5"/>
  <c r="T30" i="5"/>
  <c r="S30" i="5"/>
  <c r="Q30" i="5"/>
  <c r="P30" i="5"/>
  <c r="N30" i="5"/>
  <c r="M30" i="5"/>
  <c r="K30" i="5"/>
  <c r="J30" i="5"/>
  <c r="H30" i="5"/>
  <c r="G30" i="5"/>
  <c r="E30" i="5"/>
  <c r="I38" i="3" s="1"/>
  <c r="D30" i="5"/>
  <c r="C30" i="5"/>
  <c r="AM29" i="5"/>
  <c r="AJ29" i="5"/>
  <c r="AG29" i="5"/>
  <c r="AD29" i="5"/>
  <c r="AA29" i="5"/>
  <c r="X29" i="5"/>
  <c r="U29" i="5"/>
  <c r="R29" i="5"/>
  <c r="O29" i="5"/>
  <c r="L29" i="5"/>
  <c r="I30" i="5"/>
  <c r="F30" i="5"/>
  <c r="AM28" i="5"/>
  <c r="AJ28" i="5"/>
  <c r="AG28" i="5"/>
  <c r="AD28" i="5"/>
  <c r="AA28" i="5"/>
  <c r="X28" i="5"/>
  <c r="U28" i="5"/>
  <c r="R28" i="5"/>
  <c r="O28" i="5"/>
  <c r="L28" i="5"/>
  <c r="AM27" i="5"/>
  <c r="AJ27" i="5"/>
  <c r="AG27" i="5"/>
  <c r="AD27" i="5"/>
  <c r="AA27" i="5"/>
  <c r="X27" i="5"/>
  <c r="U27" i="5"/>
  <c r="R27" i="5"/>
  <c r="O27" i="5"/>
  <c r="L27" i="5"/>
  <c r="AM26" i="5"/>
  <c r="AJ26" i="5"/>
  <c r="AG26" i="5"/>
  <c r="AD26" i="5"/>
  <c r="AA26" i="5"/>
  <c r="X26" i="5"/>
  <c r="U26" i="5"/>
  <c r="R26" i="5"/>
  <c r="O26" i="5"/>
  <c r="L26" i="5"/>
  <c r="AM25" i="5"/>
  <c r="AJ25" i="5"/>
  <c r="AG25" i="5"/>
  <c r="AD25" i="5"/>
  <c r="AA25" i="5"/>
  <c r="X25" i="5"/>
  <c r="U25" i="5"/>
  <c r="R25" i="5"/>
  <c r="O25" i="5"/>
  <c r="L25" i="5"/>
  <c r="AM24" i="5"/>
  <c r="AJ24" i="5"/>
  <c r="AG24" i="5"/>
  <c r="AD24" i="5"/>
  <c r="AA24" i="5"/>
  <c r="X24" i="5"/>
  <c r="U24" i="5"/>
  <c r="R24" i="5"/>
  <c r="O24" i="5"/>
  <c r="L24" i="5"/>
  <c r="AM23" i="5"/>
  <c r="AJ23" i="5"/>
  <c r="AG23" i="5"/>
  <c r="AD23" i="5"/>
  <c r="AA23" i="5"/>
  <c r="X23" i="5"/>
  <c r="U23" i="5"/>
  <c r="R23" i="5"/>
  <c r="O23" i="5"/>
  <c r="L23" i="5"/>
  <c r="AM22" i="5"/>
  <c r="AJ22" i="5"/>
  <c r="AG22" i="5"/>
  <c r="AD22" i="5"/>
  <c r="AA22" i="5"/>
  <c r="X22" i="5"/>
  <c r="U22" i="5"/>
  <c r="R22" i="5"/>
  <c r="O22" i="5"/>
  <c r="L22" i="5"/>
  <c r="AM21" i="5"/>
  <c r="AJ21" i="5"/>
  <c r="AG21" i="5"/>
  <c r="AD21" i="5"/>
  <c r="AA21" i="5"/>
  <c r="X21" i="5"/>
  <c r="U21" i="5"/>
  <c r="R21" i="5"/>
  <c r="O21" i="5"/>
  <c r="L21" i="5"/>
  <c r="AM20" i="5"/>
  <c r="AJ20" i="5"/>
  <c r="AG20" i="5"/>
  <c r="AD20" i="5"/>
  <c r="AA20" i="5"/>
  <c r="X20" i="5"/>
  <c r="U20" i="5"/>
  <c r="R20" i="5"/>
  <c r="O20" i="5"/>
  <c r="L20" i="5"/>
  <c r="AM19" i="5"/>
  <c r="AJ19" i="5"/>
  <c r="AG19" i="5"/>
  <c r="AD19" i="5"/>
  <c r="AA19" i="5"/>
  <c r="X19" i="5"/>
  <c r="U19" i="5"/>
  <c r="R19" i="5"/>
  <c r="O19" i="5"/>
  <c r="L19" i="5"/>
  <c r="AM18" i="5"/>
  <c r="AJ18" i="5"/>
  <c r="AG18" i="5"/>
  <c r="AD18" i="5"/>
  <c r="AA18" i="5"/>
  <c r="X18" i="5"/>
  <c r="U18" i="5"/>
  <c r="R18" i="5"/>
  <c r="O18" i="5"/>
  <c r="L18" i="5"/>
  <c r="AM17" i="5"/>
  <c r="AJ17" i="5"/>
  <c r="AG17" i="5"/>
  <c r="AD17" i="5"/>
  <c r="AA17" i="5"/>
  <c r="X17" i="5"/>
  <c r="U17" i="5"/>
  <c r="R17" i="5"/>
  <c r="O17" i="5"/>
  <c r="L17" i="5"/>
  <c r="AP17" i="5" s="1"/>
  <c r="AQ17" i="5" s="1"/>
  <c r="AM16" i="5"/>
  <c r="AJ16" i="5"/>
  <c r="AG16" i="5"/>
  <c r="AD16" i="5"/>
  <c r="AA16" i="5"/>
  <c r="X16" i="5"/>
  <c r="U16" i="5"/>
  <c r="R16" i="5"/>
  <c r="O16" i="5"/>
  <c r="L16" i="5"/>
  <c r="AM15" i="5"/>
  <c r="AJ15" i="5"/>
  <c r="AG15" i="5"/>
  <c r="AD15" i="5"/>
  <c r="AA15" i="5"/>
  <c r="X15" i="5"/>
  <c r="U15" i="5"/>
  <c r="R15" i="5"/>
  <c r="O15" i="5"/>
  <c r="L15" i="5"/>
  <c r="AM14" i="5"/>
  <c r="AJ14" i="5"/>
  <c r="AG14" i="5"/>
  <c r="AD14" i="5"/>
  <c r="AA14" i="5"/>
  <c r="X14" i="5"/>
  <c r="U14" i="5"/>
  <c r="R14" i="5"/>
  <c r="O14" i="5"/>
  <c r="L14" i="5"/>
  <c r="AM13" i="5"/>
  <c r="AJ13" i="5"/>
  <c r="AG13" i="5"/>
  <c r="AD13" i="5"/>
  <c r="AA13" i="5"/>
  <c r="X13" i="5"/>
  <c r="U13" i="5"/>
  <c r="R13" i="5"/>
  <c r="O13" i="5"/>
  <c r="L13" i="5"/>
  <c r="AM12" i="5"/>
  <c r="AJ12" i="5"/>
  <c r="AG12" i="5"/>
  <c r="AD12" i="5"/>
  <c r="AA12" i="5"/>
  <c r="X12" i="5"/>
  <c r="U12" i="5"/>
  <c r="R12" i="5"/>
  <c r="R30" i="5" s="1"/>
  <c r="O12" i="5"/>
  <c r="L12" i="5"/>
  <c r="AA30" i="5" l="1"/>
  <c r="AP15" i="5"/>
  <c r="AQ15" i="5" s="1"/>
  <c r="AP19" i="5"/>
  <c r="AQ19" i="5" s="1"/>
  <c r="AP20" i="5"/>
  <c r="AQ20" i="5" s="1"/>
  <c r="AP23" i="5"/>
  <c r="AQ23" i="5" s="1"/>
  <c r="AP24" i="5"/>
  <c r="AQ24" i="5" s="1"/>
  <c r="AP27" i="5"/>
  <c r="AQ27" i="5" s="1"/>
  <c r="AP28" i="5"/>
  <c r="AQ28" i="5" s="1"/>
  <c r="U30" i="5"/>
  <c r="AP16" i="5"/>
  <c r="AQ16" i="5" s="1"/>
  <c r="AP13" i="5"/>
  <c r="AQ13" i="5" s="1"/>
  <c r="AD30" i="5"/>
  <c r="X30" i="5"/>
  <c r="AP14" i="5"/>
  <c r="AQ14" i="5" s="1"/>
  <c r="AP18" i="5"/>
  <c r="AQ18" i="5" s="1"/>
  <c r="AP21" i="5"/>
  <c r="AQ21" i="5" s="1"/>
  <c r="AP22" i="5"/>
  <c r="AQ22" i="5" s="1"/>
  <c r="AP25" i="5"/>
  <c r="AQ25" i="5" s="1"/>
  <c r="AP26" i="5"/>
  <c r="AQ26" i="5" s="1"/>
  <c r="L30" i="5"/>
  <c r="AJ30" i="5"/>
  <c r="AG30" i="5"/>
  <c r="O30" i="5"/>
  <c r="AM30" i="5"/>
  <c r="AQ29" i="5"/>
  <c r="AP12" i="5"/>
  <c r="AP30" i="5" l="1"/>
  <c r="C37" i="3" s="1"/>
  <c r="I2" i="4" l="1"/>
  <c r="H2" i="3"/>
</calcChain>
</file>

<file path=xl/sharedStrings.xml><?xml version="1.0" encoding="utf-8"?>
<sst xmlns="http://schemas.openxmlformats.org/spreadsheetml/2006/main" count="317" uniqueCount="189">
  <si>
    <t>様式１</t>
  </si>
  <si>
    <t>「学部・学科によって、修了要件は相違する」場合は、本シートを複製の上＜様式１－〇＞と枝番号を付してください</t>
  </si>
  <si>
    <t>大学等名</t>
  </si>
  <si>
    <t>近畿大学</t>
  </si>
  <si>
    <t>プログラム名</t>
  </si>
  <si>
    <t>プログラムを構成する授業科目について</t>
  </si>
  <si>
    <t>① 対象となる学部・学科名称</t>
  </si>
  <si>
    <t>② 教育プログラムの修了要件</t>
  </si>
  <si>
    <t>学部・学科によって、修了要件は相違しない</t>
  </si>
  <si>
    <t>③ 修了要件</t>
  </si>
  <si>
    <t>【プルダウンリスト】</t>
  </si>
  <si>
    <t>令和４年度以前より、履修することが必須のプログラムとして実施</t>
  </si>
  <si>
    <t>令和７年度までに履修必須とする計画</t>
  </si>
  <si>
    <t>令和８年度以降に履修必須とする計画、又は未定</t>
  </si>
  <si>
    <t>必要最低単位数</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</si>
  <si>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</si>
  <si>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</si>
  <si>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</si>
  <si>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</si>
  <si>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</si>
  <si>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</si>
  <si>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</si>
  <si>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</si>
  <si>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</si>
  <si>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</si>
  <si>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</si>
  <si>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</si>
  <si>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</si>
  <si>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</si>
  <si>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</si>
  <si>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</si>
  <si>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</si>
  <si>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</si>
  <si>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</si>
  <si>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</si>
  <si>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</si>
  <si>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</si>
  <si>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</si>
  <si>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</si>
  <si>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</si>
  <si>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</si>
  <si>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</si>
  <si>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</si>
  <si>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</si>
  <si>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</si>
  <si>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</si>
  <si>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</si>
  <si>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　　　　　　　　　　　　　　　　　　　　　　　　　　　　　　　　　　　　　　　　　　　　　　　　　　　　　　　　　　　　　　　　　　　　　　　　　　　　　　　　　　　　　　　　　　　　　　　　　　　　　　　　　　　　　　　　　　　　　　　　　　　　　　　　　　　　　　　　　　　　　　　　　　　　　　　　　　　　　　　　　　　　　　　　　　　　　　　　　　　　　　　　　　　　　　　　　　　　　　　　　　　　　　　　　　　　　　　　　　　　　　　　　　　　　　　　　　　　　　　　　　　　　　　　　　　　　　　　　　　　　　　　　　　　　　　　　　　　　　　　　　　　　　　　　　　　　　　　　　　　　　　　　　　　　　　　　　　　　　　　　　　　　　　　　　　　　　　　　　　　　　　　　　　　　　　　　　　　　　　　　　　　　　　　　　　　　　　　　　　　　　　　　　　　　　　　　　　　　　　　　　　　　　　　　　　　　　　　　　　　　　　　　　　　　　　　　　　　　　　　　　　　　　　　　　　　　　　　　　　　　　　　　　　　　　　　　　　　　　　　　　　　　　　　　　　　　　　　　　　　　　　　　　　　　　　　　　　　　　　　　　　　　　　　　　　　　　　　　　　　　　　　　　　　　　　　　　　　　　　　　　　　　　　　　　　　　　　　　　　　　　　　　　　　　　　　　　　　　　　　　　　　　　　　　　　　　　　　　　　　　　　　　　　　　　　　　　　　　　　　　　　　　　　　　　　　　　　　　　　　　　　　　　　　　　　　　　　　　　　　　　　　　　　　　　　　　　　　　　　　　　　　　　　　　　　　　　　　　　　　　　　　　　　　　　　　　　</t>
  </si>
  <si>
    <t>様式３</t>
  </si>
  <si>
    <t>教育の質・履修者数を向上させるための体制・計画について</t>
  </si>
  <si>
    <t>①</t>
  </si>
  <si>
    <t>全学の教員数</t>
  </si>
  <si>
    <t>(常勤）</t>
  </si>
  <si>
    <t>人</t>
  </si>
  <si>
    <t>（非常勤）</t>
  </si>
  <si>
    <t>②</t>
  </si>
  <si>
    <t>プログラムの授業を教えている教員数</t>
  </si>
  <si>
    <t>③</t>
  </si>
  <si>
    <t>プログラムの運営責任者</t>
  </si>
  <si>
    <t>（責任者名）</t>
  </si>
  <si>
    <t>（役職名）</t>
  </si>
  <si>
    <t>④</t>
  </si>
  <si>
    <t>プログラムを改善・進化させるための体制（委員会・組織等）</t>
  </si>
  <si>
    <t>⑤</t>
  </si>
  <si>
    <t>プログラムを改善・進化させるための体制を定める規則名称</t>
  </si>
  <si>
    <t>⑥</t>
  </si>
  <si>
    <t>体制の目的</t>
  </si>
  <si>
    <t>⑦</t>
  </si>
  <si>
    <t>具体的な構成員</t>
  </si>
  <si>
    <t>⑧</t>
  </si>
  <si>
    <t>令和４年度実績</t>
  </si>
  <si>
    <t>令和５年度予定</t>
  </si>
  <si>
    <t>令和６年度予定</t>
  </si>
  <si>
    <t>令和７年度予定</t>
  </si>
  <si>
    <t>令和８年度予定</t>
  </si>
  <si>
    <t>収容定員（名）</t>
  </si>
  <si>
    <t>具体的な計画</t>
  </si>
  <si>
    <t>⑨</t>
  </si>
  <si>
    <t>学部・学科に関係なく希望する学生全員が受講可能となるような必要な体制・取組等</t>
  </si>
  <si>
    <t>⑩</t>
  </si>
  <si>
    <t>できる限り多くの学生が履修できるような具体的な周知方法・取組</t>
  </si>
  <si>
    <t>⑪</t>
  </si>
  <si>
    <t>できる限り多くの学生が履修・修得できるようなサポート体制</t>
  </si>
  <si>
    <t>⑫</t>
  </si>
  <si>
    <t>授業時間内外で学習指導、質問を受け付ける具体的な仕組み</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</si>
  <si>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</si>
  <si>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</si>
  <si>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</si>
  <si>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</si>
  <si>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</si>
  <si>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</si>
  <si>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</si>
  <si>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</si>
  <si>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</si>
  <si>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学修成果</t>
  </si>
  <si>
    <t>学生アンケート等を通じた学生の内容の理解度</t>
  </si>
  <si>
    <t>全学的な履修者数、履修率向上に向けた計画の達成・進捗状況</t>
  </si>
  <si>
    <t>学外からの視点</t>
  </si>
  <si>
    <t>教育プログラム修了者の進路、活躍状況、企業等の評価</t>
  </si>
  <si>
    <t>産業界からの視点を含めた教育プログラム内容・手法等への意見</t>
  </si>
  <si>
    <t>数理・データサイエンス・ＡＩを「学ぶ楽しさ」「学ぶことの意義」を理解させること</t>
  </si>
  <si>
    <t>内容・水準を維持・向上しつつ、より「分かりやすい」授業とすること</t>
  </si>
  <si>
    <t>プログラムを構成する「データリテラシー入門」の単位を取得すること。</t>
    <rPh sb="6" eb="8">
      <t xml:space="preserve">コウセイスル </t>
    </rPh>
    <rPh sb="19" eb="21">
      <t xml:space="preserve">ニュウモン </t>
    </rPh>
    <rPh sb="23" eb="25">
      <t xml:space="preserve">タンイヲ </t>
    </rPh>
    <rPh sb="26" eb="28">
      <t xml:space="preserve">シュトクスル </t>
    </rPh>
    <phoneticPr fontId="9"/>
  </si>
  <si>
    <t>データリテラシー入門</t>
    <rPh sb="8" eb="10">
      <t xml:space="preserve">ニュウモン </t>
    </rPh>
    <phoneticPr fontId="9"/>
  </si>
  <si>
    <t>データリテラシー入門</t>
    <phoneticPr fontId="9"/>
  </si>
  <si>
    <t>○</t>
  </si>
  <si>
    <t>・情報セキュリティ：機密性、完全性、可用性「データリテラシー入門」（8回目）
・匿名加工情報、暗号化、パスワード、悪意ある情報搾取「データリテラシー入門」（8回目）
・情報漏洩等によるセキュリティ事故の事例紹介「データリテラシー入門」（8回目）</t>
    <phoneticPr fontId="9"/>
  </si>
  <si>
    <t>・ビッグデータ、IoT、AI、ロボット「データリテラシー入門」（1回目）
・第4次産業革命、Society 5.0、データ駆動型社会「データリテラシー入門」（1回目）
・人間の知的活動とAIの関係性「データリテラシー入門」（1回目）
・データを起点としたものの見方、人間の知的活動を起点としたものの見方「データリテラシー入門」（3回目）</t>
    <rPh sb="28" eb="30">
      <t xml:space="preserve">ニュウモン </t>
    </rPh>
    <rPh sb="91" eb="92">
      <t>_x0000__x001C__x0002__x0006_[_x0001_</t>
    </rPh>
    <phoneticPr fontId="9"/>
  </si>
  <si>
    <t>・ELSI、データ倫理：データのねつ造、改ざん、盗用、プライバシー保護「データリテラシー入門」（6回目）
・AI社会原則（公平性、説明責任、透明性、人間中心の判断）「データリテラシー入門」（6回目）
・データバイアス、アルゴリズムバイアス「データリテラシー入門」（6回目）
・AIサービスの責任論「データリテラシー入門」（6回目）
・データ・AI活用における負の事例紹介「データリテラシー入門」（6回目）
・個人情報保護、EU法（保護規則）と忘れられる権利，オプトアウト「データリテラシー入門」（7回目）</t>
    <phoneticPr fontId="9"/>
  </si>
  <si>
    <t>・データ解析ツール「データリテラシー入門」（11回目）
・表形式のデータ「データリテラシー入門」（11回目）
・データの集計（和）「データリテラシー入門」（12回目）
・データの並び替え、ランキング「データリテラシー入門」（12回目）
・データの集計（平均）「データリテラシー入門」（13回目）</t>
    <phoneticPr fontId="9"/>
  </si>
  <si>
    <t>来るデータ駆動型社会に向けて進展が期待されているDSとAIに関する基礎的な知識と技能を修得できる。具体的には、以下の通り。
[1] DSやAIの現状、概念、方法、および、データの取り扱いや留意点について基本事項を知っている。
[2] データの収集、計算、操作、分析を行うツールの初歩的な操作ができる。</t>
    <rPh sb="43" eb="45">
      <t xml:space="preserve">シュウトクデキル </t>
    </rPh>
    <rPh sb="49" eb="52">
      <t xml:space="preserve">グタイテキニハ </t>
    </rPh>
    <rPh sb="55" eb="57">
      <t xml:space="preserve">イカノトオリ </t>
    </rPh>
    <rPh sb="89" eb="90">
      <t xml:space="preserve">トリアツカイ </t>
    </rPh>
    <rPh sb="91" eb="92">
      <t xml:space="preserve">アツカウ </t>
    </rPh>
    <rPh sb="94" eb="97">
      <t xml:space="preserve">リュウイテン </t>
    </rPh>
    <rPh sb="101" eb="103">
      <t xml:space="preserve">キホン </t>
    </rPh>
    <rPh sb="121" eb="123">
      <t xml:space="preserve">シュウシュウ </t>
    </rPh>
    <rPh sb="124" eb="126">
      <t xml:space="preserve">ケイサン </t>
    </rPh>
    <rPh sb="127" eb="129">
      <t xml:space="preserve">ソウサ </t>
    </rPh>
    <rPh sb="130" eb="132">
      <t xml:space="preserve">ブンセキ </t>
    </rPh>
    <rPh sb="133" eb="134">
      <t xml:space="preserve">オコナウタメノ </t>
    </rPh>
    <rPh sb="139" eb="142">
      <t xml:space="preserve">ショホテキナ </t>
    </rPh>
    <rPh sb="143" eb="145">
      <t xml:space="preserve">ソウサ </t>
    </rPh>
    <phoneticPr fontId="9"/>
  </si>
  <si>
    <t>仲林 真子</t>
    <phoneticPr fontId="9"/>
  </si>
  <si>
    <t>学生アンケート等を通じた後輩等他の学生への推奨度</t>
    <phoneticPr fontId="9"/>
  </si>
  <si>
    <t>様式２</t>
    <phoneticPr fontId="15"/>
  </si>
  <si>
    <t>大学等名</t>
    <rPh sb="0" eb="2">
      <t>ダイガク</t>
    </rPh>
    <rPh sb="2" eb="3">
      <t>トウ</t>
    </rPh>
    <rPh sb="3" eb="4">
      <t>メイ</t>
    </rPh>
    <phoneticPr fontId="15"/>
  </si>
  <si>
    <t>プログラムの履修者数等の実績について</t>
    <phoneticPr fontId="15"/>
  </si>
  <si>
    <t>①プログラム開設年度</t>
    <rPh sb="6" eb="8">
      <t>カイセツ</t>
    </rPh>
    <rPh sb="8" eb="10">
      <t>ネンド</t>
    </rPh>
    <phoneticPr fontId="15"/>
  </si>
  <si>
    <t>令和4</t>
    <rPh sb="0" eb="2">
      <t>レイワ</t>
    </rPh>
    <phoneticPr fontId="15"/>
  </si>
  <si>
    <t>年度</t>
    <rPh sb="0" eb="2">
      <t>ネンド</t>
    </rPh>
    <phoneticPr fontId="15"/>
  </si>
  <si>
    <t>②履修者・修了者の実績</t>
    <rPh sb="1" eb="3">
      <t>リシュウ</t>
    </rPh>
    <rPh sb="3" eb="4">
      <t>シャ</t>
    </rPh>
    <rPh sb="5" eb="8">
      <t>シュウリョウシャ</t>
    </rPh>
    <rPh sb="9" eb="11">
      <t>ジッセキ</t>
    </rPh>
    <phoneticPr fontId="15"/>
  </si>
  <si>
    <t>学部・学科名称</t>
    <rPh sb="0" eb="2">
      <t>ガクブ</t>
    </rPh>
    <rPh sb="3" eb="5">
      <t>ガッカ</t>
    </rPh>
    <rPh sb="5" eb="7">
      <t>メイショウ</t>
    </rPh>
    <phoneticPr fontId="15"/>
  </si>
  <si>
    <t>学生数</t>
    <rPh sb="0" eb="3">
      <t>ガクセイスウ</t>
    </rPh>
    <phoneticPr fontId="15"/>
  </si>
  <si>
    <t>入学
定員</t>
    <rPh sb="0" eb="2">
      <t>ニュウガク</t>
    </rPh>
    <rPh sb="3" eb="5">
      <t>テイイン</t>
    </rPh>
    <phoneticPr fontId="15"/>
  </si>
  <si>
    <t>収容
定員</t>
    <rPh sb="0" eb="2">
      <t>シュウヨウ</t>
    </rPh>
    <rPh sb="3" eb="5">
      <t>テイイン</t>
    </rPh>
    <phoneticPr fontId="15"/>
  </si>
  <si>
    <t>令和4年度</t>
    <rPh sb="0" eb="2">
      <t>レイワ</t>
    </rPh>
    <rPh sb="3" eb="5">
      <t>ネンド</t>
    </rPh>
    <phoneticPr fontId="15"/>
  </si>
  <si>
    <t>令和3年度</t>
    <rPh sb="0" eb="2">
      <t>レイワ</t>
    </rPh>
    <rPh sb="3" eb="5">
      <t>ネンド</t>
    </rPh>
    <phoneticPr fontId="15"/>
  </si>
  <si>
    <t>令和2年度</t>
    <rPh sb="0" eb="2">
      <t>レイワ</t>
    </rPh>
    <rPh sb="3" eb="5">
      <t>ネンド</t>
    </rPh>
    <phoneticPr fontId="15"/>
  </si>
  <si>
    <t>令和元年度</t>
    <rPh sb="0" eb="2">
      <t>レイワ</t>
    </rPh>
    <rPh sb="2" eb="3">
      <t>モト</t>
    </rPh>
    <rPh sb="3" eb="5">
      <t>ネンド</t>
    </rPh>
    <phoneticPr fontId="15"/>
  </si>
  <si>
    <t>平成30年度</t>
    <rPh sb="0" eb="2">
      <t>ヘイセイ</t>
    </rPh>
    <rPh sb="4" eb="6">
      <t>ネンド</t>
    </rPh>
    <phoneticPr fontId="15"/>
  </si>
  <si>
    <t>平成29年度</t>
    <rPh sb="0" eb="2">
      <t>ヘイセイ</t>
    </rPh>
    <rPh sb="4" eb="6">
      <t>ネンド</t>
    </rPh>
    <phoneticPr fontId="15"/>
  </si>
  <si>
    <t>履修者数
合計</t>
    <rPh sb="0" eb="2">
      <t>リシュウ</t>
    </rPh>
    <rPh sb="2" eb="3">
      <t>シャ</t>
    </rPh>
    <rPh sb="3" eb="4">
      <t>スウ</t>
    </rPh>
    <rPh sb="5" eb="7">
      <t>ゴウケイ</t>
    </rPh>
    <phoneticPr fontId="15"/>
  </si>
  <si>
    <t>履修率</t>
    <rPh sb="0" eb="2">
      <t>リシュウ</t>
    </rPh>
    <rPh sb="2" eb="3">
      <t>リツ</t>
    </rPh>
    <phoneticPr fontId="15"/>
  </si>
  <si>
    <t>履修者数</t>
    <rPh sb="0" eb="3">
      <t>リシュウシャ</t>
    </rPh>
    <rPh sb="3" eb="4">
      <t>スウ</t>
    </rPh>
    <phoneticPr fontId="15"/>
  </si>
  <si>
    <t>修了者数</t>
    <rPh sb="0" eb="3">
      <t>シュウリョウシャ</t>
    </rPh>
    <rPh sb="3" eb="4">
      <t>スウ</t>
    </rPh>
    <phoneticPr fontId="15"/>
  </si>
  <si>
    <t>合計</t>
    <rPh sb="0" eb="2">
      <t>ゴウケイ</t>
    </rPh>
    <phoneticPr fontId="15"/>
  </si>
  <si>
    <t>男性</t>
    <rPh sb="0" eb="2">
      <t>ダンセイ</t>
    </rPh>
    <phoneticPr fontId="15"/>
  </si>
  <si>
    <t>女性</t>
    <rPh sb="0" eb="2">
      <t>ジョセイ</t>
    </rPh>
    <phoneticPr fontId="15"/>
  </si>
  <si>
    <t>法学部</t>
    <rPh sb="0" eb="3">
      <t>ホウガクブ</t>
    </rPh>
    <phoneticPr fontId="14"/>
  </si>
  <si>
    <t>経済学部</t>
    <rPh sb="0" eb="4">
      <t>ケイザイガクブ</t>
    </rPh>
    <phoneticPr fontId="14"/>
  </si>
  <si>
    <t>経営学部</t>
    <rPh sb="0" eb="4">
      <t>ケイエイガクブ</t>
    </rPh>
    <phoneticPr fontId="14"/>
  </si>
  <si>
    <t>理工学部</t>
    <rPh sb="0" eb="4">
      <t>リコウガクブ</t>
    </rPh>
    <phoneticPr fontId="14"/>
  </si>
  <si>
    <t>建築学部</t>
    <rPh sb="0" eb="4">
      <t>ケンチクガクブ</t>
    </rPh>
    <phoneticPr fontId="14"/>
  </si>
  <si>
    <t>薬学部</t>
    <rPh sb="0" eb="3">
      <t>ヤクガクブ</t>
    </rPh>
    <phoneticPr fontId="14"/>
  </si>
  <si>
    <t>文芸学部</t>
    <rPh sb="0" eb="4">
      <t>ブンゲイガクブ</t>
    </rPh>
    <phoneticPr fontId="14"/>
  </si>
  <si>
    <t>総合社会学部</t>
    <rPh sb="0" eb="6">
      <t>ソウゴウシャカイガクブ</t>
    </rPh>
    <phoneticPr fontId="14"/>
  </si>
  <si>
    <t>国際学部</t>
    <rPh sb="0" eb="4">
      <t>コクサイガクブ</t>
    </rPh>
    <phoneticPr fontId="14"/>
  </si>
  <si>
    <t>情報学部</t>
    <rPh sb="0" eb="2">
      <t>ジョウホウ</t>
    </rPh>
    <rPh sb="2" eb="4">
      <t>ガクブ</t>
    </rPh>
    <phoneticPr fontId="14"/>
  </si>
  <si>
    <t>短期大学部</t>
    <rPh sb="0" eb="2">
      <t>タンキ</t>
    </rPh>
    <rPh sb="2" eb="5">
      <t>ダイガクブ</t>
    </rPh>
    <phoneticPr fontId="14"/>
  </si>
  <si>
    <t>農学部</t>
    <rPh sb="0" eb="3">
      <t>ノウガクブ</t>
    </rPh>
    <phoneticPr fontId="14"/>
  </si>
  <si>
    <t>医学部</t>
    <rPh sb="0" eb="3">
      <t>イガクブ</t>
    </rPh>
    <phoneticPr fontId="14"/>
  </si>
  <si>
    <t>生物理工学部</t>
    <rPh sb="0" eb="4">
      <t>セイブツリコウ</t>
    </rPh>
    <rPh sb="4" eb="6">
      <t>ガクブ</t>
    </rPh>
    <phoneticPr fontId="14"/>
  </si>
  <si>
    <t>工学部</t>
    <rPh sb="0" eb="3">
      <t>コウガクブ</t>
    </rPh>
    <phoneticPr fontId="14"/>
  </si>
  <si>
    <t>産業理工学部</t>
    <rPh sb="0" eb="2">
      <t>サンギョウ</t>
    </rPh>
    <rPh sb="2" eb="6">
      <t>リコウガクブ</t>
    </rPh>
    <phoneticPr fontId="14"/>
  </si>
  <si>
    <t>通信教育部（法学部）</t>
    <rPh sb="0" eb="2">
      <t>ツウシン</t>
    </rPh>
    <rPh sb="2" eb="5">
      <t>キョウイクブ</t>
    </rPh>
    <rPh sb="6" eb="7">
      <t>ホウ</t>
    </rPh>
    <rPh sb="7" eb="9">
      <t>ガクブ</t>
    </rPh>
    <phoneticPr fontId="14"/>
  </si>
  <si>
    <t>通信教育部（短期大学部）</t>
    <rPh sb="0" eb="2">
      <t>ツウシン</t>
    </rPh>
    <rPh sb="2" eb="5">
      <t>キョウイクブ</t>
    </rPh>
    <rPh sb="6" eb="9">
      <t>タンキダイ</t>
    </rPh>
    <rPh sb="9" eb="11">
      <t>ガクブ</t>
    </rPh>
    <phoneticPr fontId="14"/>
  </si>
  <si>
    <t>合　計</t>
    <phoneticPr fontId="15"/>
  </si>
  <si>
    <t>近畿大学数理・データサイエンス・AI教育プログラム委員会規程</t>
    <phoneticPr fontId="9"/>
  </si>
  <si>
    <t>部会長（副学長・全学共通教育機構長）　仲林真子
委員（自己点検・評価委員会委員長）　渥美寿雄　
委員（情報学部 准教授）　溝渕昭二
委員（経済学部 教授）　山内康弘
委員（農学部 教授）　田茂井政宏</t>
    <phoneticPr fontId="9"/>
  </si>
  <si>
    <t>本教育プログラムの科目は、全学生が受講できる共通教養科目として開講しているので、所属に関係なく希望する学生が受講可能となっている。また、教材はすべてデジタル化してLMSで管理し、授業はオンデマンドで提供している。</t>
    <phoneticPr fontId="9"/>
  </si>
  <si>
    <t xml:space="preserve">入学後のガイダンスや、本学の学修ポータルサイトにて周知を行うことで、学生が情報を受け取りやすい環境を整備している。
</t>
    <phoneticPr fontId="9"/>
  </si>
  <si>
    <t>本教育プログラムは令和4年度から開始したため、社会人となった本教育プログラムの修了者はまだ輩出されていない。該当者が生じた際は、その進路、活躍状況、進路先での評価を継続的に測定していく計画である。</t>
    <phoneticPr fontId="9"/>
  </si>
  <si>
    <t>本学外部評価委員である株式会社ベネッセホールディングス常務執行役員・株式会社ベネッセコーポレーション取締役大学・社会人カンパニー カンパニー長の山﨑昌樹様に本教育プログラムについて意見を求めた結果次の回答を得た。
文部科学省のモデルカリキュラムに準拠した内容、かつ近畿大学の特色も反映されている内容となっており、文部科学省が求めるレベルは達成されていると感じている。そのうえで、今後の検討課題として、次の3点が挙げられる。
①所属学部による受講者の偏りを正す必要がある。
②高校の情報教育との連携を視野に入れる必要がある。
③学部のカリキュラムにデータサイエンス教育を組み込む必要がある。</t>
    <rPh sb="41" eb="42">
      <t>ウエ</t>
    </rPh>
    <rPh sb="52" eb="54">
      <t>イカ</t>
    </rPh>
    <rPh sb="55" eb="56">
      <t>テン</t>
    </rPh>
    <rPh sb="56" eb="58">
      <t>イケン</t>
    </rPh>
    <rPh sb="59" eb="60">
      <t>ノ</t>
    </rPh>
    <rPh sb="109" eb="112">
      <t>ゲンジテン</t>
    </rPh>
    <rPh sb="113" eb="115">
      <t>セイフ</t>
    </rPh>
    <rPh sb="116" eb="118">
      <t>モクヒョウ</t>
    </rPh>
    <rPh sb="121" eb="122">
      <t>カカ</t>
    </rPh>
    <rPh sb="131" eb="133">
      <t>イコウ</t>
    </rPh>
    <rPh sb="135" eb="137">
      <t>モクヒョウ</t>
    </rPh>
    <rPh sb="142" eb="144">
      <t>ハッセイ</t>
    </rPh>
    <rPh sb="150" eb="151">
      <t>フ</t>
    </rPh>
    <rPh sb="190" eb="192">
      <t>コンゴ</t>
    </rPh>
    <rPh sb="193" eb="195">
      <t>ケントウ</t>
    </rPh>
    <phoneticPr fontId="9"/>
  </si>
  <si>
    <r>
      <t>副学長</t>
    </r>
    <r>
      <rPr>
        <sz val="11"/>
        <rFont val="MS PGothic"/>
        <family val="3"/>
        <charset val="128"/>
      </rPr>
      <t>補佐</t>
    </r>
    <r>
      <rPr>
        <sz val="11"/>
        <rFont val="MS PGothic"/>
        <family val="2"/>
        <charset val="128"/>
      </rPr>
      <t>・全学共通教育機構長</t>
    </r>
    <rPh sb="3" eb="5">
      <t>ホサ</t>
    </rPh>
    <phoneticPr fontId="9"/>
  </si>
  <si>
    <r>
      <t>副学長</t>
    </r>
    <r>
      <rPr>
        <sz val="12"/>
        <rFont val="MS PGothic"/>
        <family val="3"/>
        <charset val="128"/>
      </rPr>
      <t>補佐</t>
    </r>
    <r>
      <rPr>
        <sz val="12"/>
        <rFont val="MS PGothic"/>
        <family val="2"/>
        <charset val="128"/>
      </rPr>
      <t>・全学共通教育機構長</t>
    </r>
    <rPh sb="3" eb="5">
      <t>ホサ</t>
    </rPh>
    <phoneticPr fontId="9"/>
  </si>
  <si>
    <r>
      <t>データ駆動型社会における素養となるDSとAIに関する基礎的な知識と技能を備えた人材を育成することを目的に設置。本部会では、この目的を達成するために、</t>
    </r>
    <r>
      <rPr>
        <sz val="12"/>
        <rFont val="MS PGothic"/>
        <family val="3"/>
        <charset val="128"/>
      </rPr>
      <t>主として当該教育プログラムを改善・進化させる活動を行う。</t>
    </r>
    <r>
      <rPr>
        <strike/>
        <sz val="12"/>
        <color theme="1"/>
        <rFont val="MS PGothic"/>
        <family val="3"/>
        <charset val="128"/>
      </rPr>
      <t/>
    </r>
    <rPh sb="0" eb="2">
      <t xml:space="preserve">スウリ </t>
    </rPh>
    <rPh sb="12" eb="14">
      <t xml:space="preserve">ソヨウト </t>
    </rPh>
    <rPh sb="17" eb="20">
      <t xml:space="preserve">ニンテイセイド </t>
    </rPh>
    <rPh sb="36" eb="37">
      <t xml:space="preserve">ソナエタ </t>
    </rPh>
    <rPh sb="39" eb="41">
      <t xml:space="preserve">ジンザイヲ </t>
    </rPh>
    <rPh sb="42" eb="44">
      <t xml:space="preserve">イクセイスルコトヲ </t>
    </rPh>
    <rPh sb="49" eb="51">
      <t xml:space="preserve">モクテキニ </t>
    </rPh>
    <rPh sb="52" eb="54">
      <t xml:space="preserve">セッチ </t>
    </rPh>
    <rPh sb="55" eb="56">
      <t xml:space="preserve">ホン </t>
    </rPh>
    <rPh sb="56" eb="58">
      <t xml:space="preserve">ブカイ </t>
    </rPh>
    <rPh sb="63" eb="65">
      <t xml:space="preserve">モクテキニ </t>
    </rPh>
    <rPh sb="66" eb="68">
      <t xml:space="preserve">タッセイスルタメニ </t>
    </rPh>
    <rPh sb="74" eb="75">
      <t>シュ</t>
    </rPh>
    <rPh sb="78" eb="82">
      <t>トウガイキョウイク</t>
    </rPh>
    <rPh sb="88" eb="90">
      <t>カイゼン</t>
    </rPh>
    <rPh sb="91" eb="93">
      <t>シンカ</t>
    </rPh>
    <rPh sb="99" eb="100">
      <t>オコナ</t>
    </rPh>
    <phoneticPr fontId="9"/>
  </si>
  <si>
    <r>
      <t>本教育プログラムの科目は、共通教養科目</t>
    </r>
    <r>
      <rPr>
        <sz val="12"/>
        <rFont val="MS PGothic"/>
        <family val="3"/>
        <charset val="128"/>
      </rPr>
      <t>として設定し、</t>
    </r>
    <r>
      <rPr>
        <sz val="12"/>
        <rFont val="MS PGothic"/>
        <family val="2"/>
        <charset val="128"/>
      </rPr>
      <t>オンデマンド受講を全学生に可能にする</t>
    </r>
    <r>
      <rPr>
        <sz val="12"/>
        <rFont val="MS PGothic"/>
        <family val="3"/>
        <charset val="128"/>
      </rPr>
      <t>システムを構築している。このため、</t>
    </r>
    <r>
      <rPr>
        <sz val="12"/>
        <rFont val="MS PGothic"/>
        <family val="2"/>
        <charset val="128"/>
      </rPr>
      <t>本学の全学生がオンデマンド</t>
    </r>
    <r>
      <rPr>
        <sz val="12"/>
        <rFont val="MS PGothic"/>
        <family val="3"/>
        <charset val="128"/>
      </rPr>
      <t>科目として履修・</t>
    </r>
    <r>
      <rPr>
        <sz val="12"/>
        <rFont val="MS PGothic"/>
        <family val="2"/>
        <charset val="128"/>
      </rPr>
      <t>受講できるようになっている。また</t>
    </r>
    <r>
      <rPr>
        <sz val="12"/>
        <rFont val="MS PGothic"/>
        <family val="3"/>
        <charset val="128"/>
      </rPr>
      <t>オンデマンドの特性上、</t>
    </r>
    <r>
      <rPr>
        <sz val="12"/>
        <rFont val="MS PGothic"/>
        <family val="2"/>
        <charset val="128"/>
      </rPr>
      <t>本教育プログラムの科目の授業は、履修期間中であれば、インターネットに接続できる環境からいつでも受講できる状況となっている。</t>
    </r>
    <rPh sb="22" eb="24">
      <t>セッテイ</t>
    </rPh>
    <rPh sb="49" eb="51">
      <t>コウチク</t>
    </rPh>
    <rPh sb="74" eb="76">
      <t>カモク</t>
    </rPh>
    <rPh sb="79" eb="81">
      <t>リシュウ</t>
    </rPh>
    <rPh sb="105" eb="108">
      <t>トクセイジョウ</t>
    </rPh>
    <phoneticPr fontId="9"/>
  </si>
  <si>
    <t>本教育プログラムの科目が提供する教材については、履修期間中であれば、LMSを通じていつでも利用できるので、受講生は不明点等を必要なタイミングで確認できる。また、受講生は、履修期間中であれば、本学が導入しているチャットツールを通じていつでも質問が可能となっている。さらにチャットツールだけではなくZoomでの質問対応時間も設けている。</t>
    <phoneticPr fontId="9"/>
  </si>
  <si>
    <t>本教育プログラムを構成する科目「データリテラシー入門」については、令和4年度から全学生が受講可能な共通教養科目として開講している。現在は選択科目であるが、数年以内に必修科目とすることも視野に入れ、履修者数と履修率の向上に向けた検討を行っている。
また本教育プログラムの履修については、担当の事務職員および教材作成担当教員にて打合せを実施し、履修向上につながるような施策を検討している。</t>
    <phoneticPr fontId="9"/>
  </si>
  <si>
    <t>副学長補佐・全学共通教育機構長</t>
    <rPh sb="3" eb="5">
      <t>ホサ</t>
    </rPh>
    <phoneticPr fontId="9"/>
  </si>
  <si>
    <t xml:space="preserve">プログラム履修を促進するため、令和4年度から各学部で実施されるオリエンテーションでの周知徹底や学生ポータルサイトでの周知等を積極的に行っている。今後は必修化も視野に入れて計画予定としているが、通信教育部生に対する必修化の課題や、履修率の算出方法が、「収容定員に対する履修者」となることから、全学年に開講となる令和7年度までは、履修率の大幅な向上は見込めないため、上記のパーセンテージとなっている。
</t>
    <rPh sb="15" eb="17">
      <t>レイワ</t>
    </rPh>
    <rPh sb="18" eb="20">
      <t>ネンド</t>
    </rPh>
    <rPh sb="22" eb="25">
      <t>カクガクブ</t>
    </rPh>
    <rPh sb="26" eb="28">
      <t>ジッシ</t>
    </rPh>
    <rPh sb="42" eb="44">
      <t>シュウチ</t>
    </rPh>
    <rPh sb="44" eb="46">
      <t>テッテイ</t>
    </rPh>
    <rPh sb="47" eb="49">
      <t>ガクセイ</t>
    </rPh>
    <rPh sb="58" eb="60">
      <t>シュウチ</t>
    </rPh>
    <rPh sb="60" eb="61">
      <t>トウ</t>
    </rPh>
    <rPh sb="62" eb="65">
      <t>セッキョクテキ</t>
    </rPh>
    <rPh sb="66" eb="67">
      <t>オコナ</t>
    </rPh>
    <rPh sb="72" eb="74">
      <t>コンゴ</t>
    </rPh>
    <rPh sb="75" eb="78">
      <t>ヒッシュウカ</t>
    </rPh>
    <rPh sb="79" eb="81">
      <t>シヤ</t>
    </rPh>
    <rPh sb="82" eb="83">
      <t>イ</t>
    </rPh>
    <rPh sb="85" eb="87">
      <t>ケイカク</t>
    </rPh>
    <rPh sb="87" eb="89">
      <t>ヨテイ</t>
    </rPh>
    <rPh sb="114" eb="116">
      <t>リシュウ</t>
    </rPh>
    <rPh sb="116" eb="117">
      <t>リツ</t>
    </rPh>
    <rPh sb="118" eb="120">
      <t>サンシュツ</t>
    </rPh>
    <rPh sb="120" eb="122">
      <t>ホウホウ</t>
    </rPh>
    <rPh sb="125" eb="127">
      <t>シュウヨウ</t>
    </rPh>
    <rPh sb="127" eb="129">
      <t>テイイン</t>
    </rPh>
    <rPh sb="130" eb="131">
      <t>タイ</t>
    </rPh>
    <rPh sb="133" eb="135">
      <t>リシュウ</t>
    </rPh>
    <rPh sb="135" eb="136">
      <t>シャ</t>
    </rPh>
    <rPh sb="145" eb="146">
      <t>ゼン</t>
    </rPh>
    <rPh sb="146" eb="148">
      <t>ガクネン</t>
    </rPh>
    <rPh sb="149" eb="151">
      <t>カイコウ</t>
    </rPh>
    <rPh sb="154" eb="156">
      <t>レイワ</t>
    </rPh>
    <rPh sb="157" eb="158">
      <t>ネン</t>
    </rPh>
    <rPh sb="158" eb="159">
      <t>ド</t>
    </rPh>
    <rPh sb="163" eb="165">
      <t>リシュウ</t>
    </rPh>
    <rPh sb="165" eb="166">
      <t>リツ</t>
    </rPh>
    <rPh sb="167" eb="169">
      <t>オオハバ</t>
    </rPh>
    <rPh sb="170" eb="172">
      <t>コウジョウ</t>
    </rPh>
    <rPh sb="173" eb="175">
      <t>ミコ</t>
    </rPh>
    <rPh sb="181" eb="183">
      <t>ジョウキ</t>
    </rPh>
    <phoneticPr fontId="9"/>
  </si>
  <si>
    <t>モデルカリキュラム_リテラシーレベルのコア学習項目に取り上げられているキーワードの説明を中心にした講義内容としている。講義については、教示内容を自身で深めるための時間を設けており、受講生が主体的に取り組むための要素を取り入れている。また、授業で学んだ概念間の関係を可視化するアプリケーションや、データを操作分析するための表計算ソフトなどを取り入れて、授業で学んだ内容をすぐに実践できる場を設けている。さらに、授業期間中に2回、受講生を対象としたグループディスカッションを学部の垣根を越えて実施し、自身の理解を他者と共有できる場を設けている。</t>
    <rPh sb="235" eb="237">
      <t>ガクブ</t>
    </rPh>
    <rPh sb="238" eb="240">
      <t>カキネ</t>
    </rPh>
    <rPh sb="241" eb="242">
      <t>コ</t>
    </rPh>
    <phoneticPr fontId="9"/>
  </si>
  <si>
    <r>
      <t xml:space="preserve">本教育プログラムの科目は共通教養に位置付けたオンデマンド科目であるため、使用しているLMSから授業動画の視聴時間やリピート再生の情報を抽出することで、学生の学修履歴が可視化できるようになっている。また、本教育プログラムの科目については、共通教養の担当所管のみならず、各学部においても自学部の履修状況を確認できるようになっている。
</t>
    </r>
    <r>
      <rPr>
        <sz val="12"/>
        <color theme="4"/>
        <rFont val="MS PGothic"/>
        <family val="3"/>
        <charset val="128"/>
      </rPr>
      <t/>
    </r>
    <phoneticPr fontId="9"/>
  </si>
  <si>
    <r>
      <t>本教育プログラム受講者全員に対して行っている授業評価アンケートは、現状授業改善の用途に限って利用しており、後輩学生や他の学生への推奨を促す用途には利用していない。</t>
    </r>
    <r>
      <rPr>
        <sz val="12"/>
        <rFont val="MS PGothic"/>
        <family val="3"/>
        <charset val="128"/>
      </rPr>
      <t>授業評価アンケートを本用途に利用することについては</t>
    </r>
    <r>
      <rPr>
        <sz val="12"/>
        <color rgb="FFFF0000"/>
        <rFont val="MS PGothic"/>
        <family val="3"/>
        <charset val="128"/>
      </rPr>
      <t>、</t>
    </r>
    <r>
      <rPr>
        <sz val="12"/>
        <color theme="1"/>
        <rFont val="MS PGothic"/>
        <family val="3"/>
        <charset val="128"/>
      </rPr>
      <t>今後質問項目を追加予定である。</t>
    </r>
    <phoneticPr fontId="9"/>
  </si>
  <si>
    <t>本教育プログラム受講生対象に実施したアンケートでは、「（1）この授業を受けることで、自分の知識や考えが深まりましたか。」の質問に対し、82.5％の学生が「非常にそう思う」、「そう思う」と回答、「（2）この授業を受けて、シラバスにある学習到達目標に到達できたと思いますか。」の質問に対し、73.3％の学生が「非常にそう思う」、「そう思う」と回答していることから理解度は高いと考えられる。</t>
    <rPh sb="0" eb="1">
      <t>ホン</t>
    </rPh>
    <rPh sb="1" eb="3">
      <t>キョウイク</t>
    </rPh>
    <rPh sb="8" eb="11">
      <t>ジュコウセイ</t>
    </rPh>
    <rPh sb="11" eb="13">
      <t>タイショウ</t>
    </rPh>
    <rPh sb="14" eb="16">
      <t>ジッシ</t>
    </rPh>
    <rPh sb="61" eb="63">
      <t>シツモン</t>
    </rPh>
    <rPh sb="64" eb="65">
      <t>タイ</t>
    </rPh>
    <rPh sb="137" eb="139">
      <t>シツモン</t>
    </rPh>
    <rPh sb="140" eb="141">
      <t>タイ</t>
    </rPh>
    <rPh sb="179" eb="182">
      <t>リカイド</t>
    </rPh>
    <rPh sb="183" eb="184">
      <t>タカ</t>
    </rPh>
    <rPh sb="186" eb="187">
      <t>カンガ</t>
    </rPh>
    <phoneticPr fontId="9"/>
  </si>
  <si>
    <t>本教育プログラムでは、授業評価アンケートを実施し、学生の意見を反映させることで授業の質の向上に努めている。例えば令和4年度に実施した授業評価アンケートでは、「授業で使用するシステムが多く煩雑である」という記述がみられたため、動画教材に補足説明のスライドを追加した。このようにアンケートから得られた意見や課題を参考にして、見直しを図っている。</t>
    <rPh sb="25" eb="27">
      <t>ガクセイ</t>
    </rPh>
    <rPh sb="28" eb="30">
      <t>イケン</t>
    </rPh>
    <rPh sb="31" eb="33">
      <t>ハンエイ</t>
    </rPh>
    <rPh sb="39" eb="41">
      <t>ジュギョウ</t>
    </rPh>
    <rPh sb="42" eb="43">
      <t>シツ</t>
    </rPh>
    <rPh sb="44" eb="46">
      <t>コウジョウ</t>
    </rPh>
    <rPh sb="47" eb="48">
      <t>ツト</t>
    </rPh>
    <rPh sb="53" eb="54">
      <t>タト</t>
    </rPh>
    <phoneticPr fontId="9"/>
  </si>
  <si>
    <t>本教育プログラムの科目では、ほぼすべての授業回において理解度を確認するテストや課題を実施している。その結果を集約し、懸案事項を関係者で協議の上、教材作成担当者が対処している。さらに学期末に実施している授業評価アンケートからも学生の授業内容の理解度を把握することができるため、本科目の授業内容の改善に活用している。</t>
    <phoneticPr fontId="9"/>
  </si>
  <si>
    <t>自己点検・評価委員会専門部会(数理・データサイエンス・AI 教育プログラムリテラシーレベル)</t>
    <phoneticPr fontId="9"/>
  </si>
  <si>
    <r>
      <t xml:space="preserve">履修者数・履修率の向上に向けた計画 </t>
    </r>
    <r>
      <rPr>
        <sz val="6"/>
        <color theme="1"/>
        <rFont val="ＭＳ Ｐゴシック"/>
        <family val="2"/>
        <charset val="128"/>
      </rPr>
      <t>※様式１の「履修必須の有無」で「計画がある」としている場合は詳細について記載すること</t>
    </r>
    <phoneticPr fontId="9"/>
  </si>
  <si>
    <t>近畿大学データサイエンス・AIリテラシー教育プログラム</t>
    <rPh sb="0" eb="2">
      <t>キンキ</t>
    </rPh>
    <rPh sb="2" eb="4">
      <t>ダイガク</t>
    </rPh>
    <rPh sb="20" eb="22">
      <t>キョウイク</t>
    </rPh>
    <phoneticPr fontId="9"/>
  </si>
  <si>
    <t>近畿大学数理・データサイエンス・AI教育プログラム委員会</t>
    <phoneticPr fontId="9"/>
  </si>
  <si>
    <r>
      <t>3</t>
    </r>
    <r>
      <rPr>
        <sz val="8"/>
        <color theme="1"/>
        <rFont val="MS PGothic"/>
        <family val="3"/>
        <charset val="128"/>
      </rPr>
      <t>※</t>
    </r>
    <phoneticPr fontId="9"/>
  </si>
  <si>
    <t>※全回オンデマンド授業であり、動画コンテンツで授業を担当している教員数</t>
    <phoneticPr fontId="9"/>
  </si>
  <si>
    <t>・データの種類「データリテラシー入門」（10回目）
・母集団と標本抽出「データリテラシー入門」（10回目）
・観測データに含まれる誤差の扱い、打ち切りや脱落を含むデータ「データリテラシー入門」（10回目）
・統計情報の正しい理解「データリテラシー入門」（13回目）
・データの分布と代表値，データのばらつき「データリテラシー入門」（14回目）
・層別の必要なデータ「データリテラシー入門」（14回目）
・相関と因果、クロス集計表、分割表、相関係数行列、散布図行列「データリテラシー入門」（15回目）</t>
    <phoneticPr fontId="9"/>
  </si>
  <si>
    <t>・データ表現「データリテラシー入門」（13回目）
・データの図表表現「データリテラシー入門」（13回目）
・不適切なグラフ表現「データリテラシー入門」（13回目）
・優れた可視化事例の紹介「データリテラシー入門」（13回目）
・データの比較「データリテラシー入門」（15回目）</t>
    <phoneticPr fontId="9"/>
  </si>
  <si>
    <t>・AI等を活用した新しいビジネスモデル「データリテラシー入門」（3回目）
・AI最新技術の活用例「データリテラシー入門」（3回目）</t>
    <phoneticPr fontId="9"/>
  </si>
  <si>
    <t>・1次データ、2次データ、メタデータ，アノテーション「データリテラシー入門」（4回目）
・構造化データ、非構造化データ「データリテラシー入門」（4回目）
・オープンデータ「データリテラシー入門」（4回目）</t>
    <phoneticPr fontId="9"/>
  </si>
  <si>
    <t>・データ・AI活用領域の広がり(生産、消費、文化活動など)「データリテラシー入門」（1回目）
・研究開発、調達、製造、物流、販売、マーケティング、サービスなど「データリテラシー入門」（1回目）
・仮説検証、知識発見、原因究明、計画策定、判断支援、活動代替、新規生成など「データリテラシー入門」（2回目）</t>
    <phoneticPr fontId="9"/>
  </si>
  <si>
    <t xml:space="preserve">・非構造化データ処理：言語処理、画像/動画処理、音声/音楽処理など「データリテラシー入門」（4回目）
・今のAIで出来ることと出来ないこと、AIとビッグデータ「データリテラシー入門」（1回目）
・自動化技術「データリテラシー入門」（1回目）
</t>
    <phoneticPr fontId="9"/>
  </si>
  <si>
    <t>・データサイエンスのサイクル「データリテラシー入門」（5回目）
・流通、製造、金融、サービス、インフラ、公共、ヘルスケア等におけるデータ・AI利活用事例紹介「データリテラシー入門」（1回目、2回目）</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</si>
</sst>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0%"/>
  </numFmts>
  <fonts count="31">
    <font>
      <sz val="11"/>
      <color theme="1"/>
      <name val="Calibri"/>
      <scheme val="minor"/>
    </font>
    <font>
      <sz val="11"/>
      <color theme="1"/>
      <name val="Calibri"/>
      <family val="2"/>
      <charset val="128"/>
      <scheme val="minor"/>
    </font>
    <font>
      <sz val="12"/>
      <color theme="1"/>
      <name val="MS PGothic"/>
      <family val="2"/>
      <charset val="128"/>
    </font>
    <font>
      <sz val="11"/>
      <color theme="1"/>
      <name val="MS PGothic"/>
      <family val="2"/>
      <charset val="128"/>
    </font>
    <font>
      <sz val="11"/>
      <name val="Calibri"/>
      <family val="2"/>
    </font>
    <font>
      <sz val="14"/>
      <color theme="1"/>
      <name val="MS PGothic"/>
      <family val="2"/>
      <charset val="128"/>
    </font>
    <font>
      <sz val="9"/>
      <color theme="1"/>
      <name val="MS PGothic"/>
      <family val="2"/>
      <charset val="128"/>
    </font>
    <font>
      <sz val="10"/>
      <color theme="1"/>
      <name val="MS PGothic"/>
      <family val="2"/>
      <charset val="128"/>
    </font>
    <font>
      <sz val="6"/>
      <color theme="1"/>
      <name val="ＭＳ Ｐゴシック"/>
      <family val="2"/>
      <charset val="128"/>
    </font>
    <font>
      <sz val="6"/>
      <name val="Calibri"/>
      <family val="3"/>
      <charset val="128"/>
      <scheme val="minor"/>
    </font>
    <font>
      <sz val="12"/>
      <name val="Calibri"/>
      <family val="2"/>
    </font>
    <font>
      <sz val="12"/>
      <name val="MS PGothic"/>
      <family val="2"/>
      <charset val="128"/>
    </font>
    <font>
      <sz val="11"/>
      <color theme="1"/>
      <name val="Calibri"/>
      <family val="2"/>
      <scheme val="minor"/>
    </font>
    <font>
      <sz val="10"/>
      <color theme="1"/>
      <name val="Calibri"/>
      <family val="2"/>
    </font>
    <font>
      <sz val="12"/>
      <color theme="1"/>
      <name val="Calibri"/>
      <family val="3"/>
      <charset val="128"/>
      <scheme val="minor"/>
    </font>
    <font>
      <sz val="6"/>
      <name val="Calibri"/>
      <family val="2"/>
      <charset val="128"/>
      <scheme val="minor"/>
    </font>
    <font>
      <sz val="14"/>
      <color theme="1"/>
      <name val="Calibri"/>
      <family val="3"/>
      <charset val="128"/>
      <scheme val="minor"/>
    </font>
    <font>
      <sz val="10"/>
      <color theme="1"/>
      <name val="Calibri"/>
      <family val="3"/>
      <charset val="128"/>
      <scheme val="minor"/>
    </font>
    <font>
      <sz val="7"/>
      <color theme="1"/>
      <name val="Calibri"/>
      <family val="3"/>
      <charset val="128"/>
      <scheme val="minor"/>
    </font>
    <font>
      <sz val="11"/>
      <color theme="1"/>
      <name val="Calibri"/>
      <family val="3"/>
      <charset val="128"/>
      <scheme val="minor"/>
    </font>
    <font>
      <sz val="8"/>
      <color theme="1"/>
      <name val="Calibri"/>
      <family val="3"/>
      <charset val="128"/>
      <scheme val="minor"/>
    </font>
    <font>
      <sz val="11"/>
      <name val="Calibri"/>
      <family val="2"/>
      <scheme val="minor"/>
    </font>
    <font>
      <sz val="12"/>
      <color theme="4"/>
      <name val="MS PGothic"/>
      <family val="3"/>
      <charset val="128"/>
    </font>
    <font>
      <strike/>
      <sz val="12"/>
      <color theme="1"/>
      <name val="MS PGothic"/>
      <family val="3"/>
      <charset val="128"/>
    </font>
    <font>
      <sz val="11"/>
      <name val="MS PGothic"/>
      <family val="2"/>
      <charset val="128"/>
    </font>
    <font>
      <sz val="11"/>
      <name val="MS PGothic"/>
      <family val="3"/>
      <charset val="128"/>
    </font>
    <font>
      <sz val="12"/>
      <name val="MS PGothic"/>
      <family val="3"/>
      <charset val="128"/>
    </font>
    <font>
      <sz val="12"/>
      <color rgb="FFFF0000"/>
      <name val="MS PGothic"/>
      <family val="3"/>
      <charset val="128"/>
    </font>
    <font>
      <sz val="12"/>
      <color theme="1"/>
      <name val="MS PGothic"/>
      <family val="3"/>
      <charset val="128"/>
    </font>
    <font>
      <sz val="9"/>
      <color theme="1"/>
      <name val="MS PGothic"/>
      <family val="3"/>
      <charset val="128"/>
    </font>
    <font>
      <sz val="8"/>
      <color theme="1"/>
      <name val="MS PGothic"/>
      <family val="3"/>
      <charset val="128"/>
    </font>
  </fonts>
  <fills count="3">
    <fill>
      <patternFill patternType="none"/>
    </fill>
    <fill>
      <patternFill patternType="gray125"/>
    </fill>
    <fill>
      <patternFill patternType="solid">
        <fgColor rgb="FFF2F2F2"/>
        <bgColor rgb="FFF2F2F2"/>
      </patternFill>
    </fill>
  </fills>
  <borders count="10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style="thin">
        <color auto="1"/>
      </left>
      <right/>
      <top style="hair">
        <color auto="1"/>
      </top>
      <bottom/>
      <diagonal/>
    </border>
    <border>
      <left/>
      <right/>
      <top style="hair">
        <color auto="1"/>
      </top>
      <bottom/>
      <diagonal/>
    </border>
    <border>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right style="thin">
        <color auto="1"/>
      </right>
      <top/>
      <bottom style="thin">
        <color auto="1"/>
      </bottom>
      <diagonal/>
    </border>
    <border diagonalUp="1">
      <left style="dotted">
        <color auto="1"/>
      </left>
      <right style="hair">
        <color auto="1"/>
      </right>
      <top style="thin">
        <color auto="1"/>
      </top>
      <bottom/>
      <diagonal style="thin">
        <color auto="1"/>
      </diagonal>
    </border>
    <border>
      <left style="dotted">
        <color auto="1"/>
      </left>
      <right/>
      <top/>
      <bottom/>
      <diagonal/>
    </border>
    <border>
      <left style="hair">
        <color auto="1"/>
      </left>
      <right style="thin">
        <color auto="1"/>
      </right>
      <top/>
      <bottom/>
      <diagonal/>
    </border>
    <border>
      <left style="thin">
        <color auto="1"/>
      </left>
      <right style="thin">
        <color auto="1"/>
      </right>
      <top style="hair">
        <color auto="1"/>
      </top>
      <bottom style="hair">
        <color auto="1"/>
      </bottom>
      <diagonal/>
    </border>
    <border>
      <left/>
      <right/>
      <top style="hair">
        <color auto="1"/>
      </top>
      <bottom style="hair">
        <color auto="1"/>
      </bottom>
      <diagonal/>
    </border>
    <border>
      <left style="thin">
        <color auto="1"/>
      </left>
      <right/>
      <top style="hair">
        <color auto="1"/>
      </top>
      <bottom style="hair">
        <color auto="1"/>
      </bottom>
      <diagonal/>
    </border>
    <border>
      <left style="thin">
        <color auto="1"/>
      </left>
      <right style="dotted">
        <color auto="1"/>
      </right>
      <top style="hair">
        <color auto="1"/>
      </top>
      <bottom style="hair">
        <color auto="1"/>
      </bottom>
      <diagonal/>
    </border>
    <border diagonalUp="1">
      <left style="dotted">
        <color auto="1"/>
      </left>
      <right style="hair">
        <color auto="1"/>
      </right>
      <top style="dotted">
        <color auto="1"/>
      </top>
      <bottom/>
      <diagonal style="thin">
        <color auto="1"/>
      </diagonal>
    </border>
    <border diagonalUp="1">
      <left style="dotted">
        <color auto="1"/>
      </left>
      <right style="thin">
        <color auto="1"/>
      </right>
      <top style="dotted">
        <color auto="1"/>
      </top>
      <bottom/>
      <diagonal style="thin">
        <color auto="1"/>
      </diagonal>
    </border>
    <border>
      <left style="dotted">
        <color auto="1"/>
      </left>
      <right/>
      <top style="hair">
        <color auto="1"/>
      </top>
      <bottom style="hair">
        <color auto="1"/>
      </bottom>
      <diagonal/>
    </border>
    <border>
      <left style="hair">
        <color auto="1"/>
      </left>
      <right style="thin">
        <color auto="1"/>
      </right>
      <top style="hair">
        <color auto="1"/>
      </top>
      <bottom style="hair">
        <color auto="1"/>
      </bottom>
      <diagonal/>
    </border>
    <border diagonalUp="1">
      <left style="dotted">
        <color auto="1"/>
      </left>
      <right style="hair">
        <color auto="1"/>
      </right>
      <top style="dotted">
        <color auto="1"/>
      </top>
      <bottom style="dotted">
        <color auto="1"/>
      </bottom>
      <diagonal style="thin">
        <color auto="1"/>
      </diagonal>
    </border>
    <border diagonalUp="1">
      <left style="dotted">
        <color auto="1"/>
      </left>
      <right style="thin">
        <color auto="1"/>
      </right>
      <top style="dotted">
        <color auto="1"/>
      </top>
      <bottom style="dotted">
        <color auto="1"/>
      </bottom>
      <diagonal style="thin">
        <color auto="1"/>
      </diagonal>
    </border>
    <border diagonalUp="1">
      <left style="dotted">
        <color auto="1"/>
      </left>
      <right style="hair">
        <color auto="1"/>
      </right>
      <top/>
      <bottom style="dotted">
        <color auto="1"/>
      </bottom>
      <diagonal style="thin">
        <color auto="1"/>
      </diagonal>
    </border>
    <border diagonalUp="1">
      <left style="dotted">
        <color auto="1"/>
      </left>
      <right style="thin">
        <color auto="1"/>
      </right>
      <top/>
      <bottom style="dotted">
        <color auto="1"/>
      </bottom>
      <diagonal style="thin">
        <color auto="1"/>
      </diagonal>
    </border>
    <border diagonalUp="1">
      <left style="dotted">
        <color auto="1"/>
      </left>
      <right style="hair">
        <color auto="1"/>
      </right>
      <top/>
      <bottom/>
      <diagonal style="thin">
        <color auto="1"/>
      </diagonal>
    </border>
    <border>
      <left/>
      <right style="thin">
        <color auto="1"/>
      </right>
      <top style="hair">
        <color auto="1"/>
      </top>
      <bottom style="hair">
        <color auto="1"/>
      </bottom>
      <diagonal/>
    </border>
    <border>
      <left style="thin">
        <color auto="1"/>
      </left>
      <right style="thin">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style="dotted">
        <color auto="1"/>
      </left>
      <right style="hair">
        <color auto="1"/>
      </right>
      <top style="double">
        <color auto="1"/>
      </top>
      <bottom style="thin">
        <color auto="1"/>
      </bottom>
      <diagonal/>
    </border>
    <border>
      <left style="hair">
        <color auto="1"/>
      </left>
      <right style="thin">
        <color auto="1"/>
      </right>
      <top style="double">
        <color auto="1"/>
      </top>
      <bottom style="thin">
        <color auto="1"/>
      </bottom>
      <diagonal/>
    </border>
    <border>
      <left style="thin">
        <color rgb="FF000000"/>
      </left>
      <right/>
      <top style="hair">
        <color rgb="FF000000"/>
      </top>
      <bottom style="thin">
        <color indexed="64"/>
      </bottom>
      <diagonal/>
    </border>
    <border>
      <left/>
      <right/>
      <top style="hair">
        <color rgb="FF000000"/>
      </top>
      <bottom style="thin">
        <color indexed="64"/>
      </bottom>
      <diagonal/>
    </border>
    <border>
      <left/>
      <right style="thin">
        <color rgb="FF000000"/>
      </right>
      <top style="hair">
        <color rgb="FF000000"/>
      </top>
      <bottom style="thin">
        <color indexed="64"/>
      </bottom>
      <diagonal/>
    </border>
    <border>
      <left style="hair">
        <color rgb="FF000000"/>
      </left>
      <right/>
      <top style="thin">
        <color rgb="FF000000"/>
      </top>
      <bottom style="hair">
        <color rgb="FF000000"/>
      </bottom>
      <diagonal/>
    </border>
    <border>
      <left style="hair">
        <color rgb="FF000000"/>
      </left>
      <right/>
      <top/>
      <bottom style="thin">
        <color rgb="FF000000"/>
      </bottom>
      <diagonal/>
    </border>
    <border>
      <left style="thin">
        <color indexed="64"/>
      </left>
      <right/>
      <top style="thin">
        <color indexed="64"/>
      </top>
      <bottom style="hair">
        <color rgb="FF000000"/>
      </bottom>
      <diagonal/>
    </border>
    <border>
      <left/>
      <right/>
      <top style="thin">
        <color indexed="64"/>
      </top>
      <bottom style="hair">
        <color rgb="FF000000"/>
      </bottom>
      <diagonal/>
    </border>
    <border>
      <left/>
      <right style="thin">
        <color indexed="64"/>
      </right>
      <top style="thin">
        <color indexed="64"/>
      </top>
      <bottom style="hair">
        <color rgb="FF000000"/>
      </bottom>
      <diagonal/>
    </border>
    <border>
      <left style="thin">
        <color indexed="64"/>
      </left>
      <right/>
      <top style="hair">
        <color rgb="FF000000"/>
      </top>
      <bottom style="thin">
        <color indexed="64"/>
      </bottom>
      <diagonal/>
    </border>
    <border>
      <left/>
      <right style="thin">
        <color indexed="64"/>
      </right>
      <top style="hair">
        <color rgb="FF000000"/>
      </top>
      <bottom style="thin">
        <color indexed="64"/>
      </bottom>
      <diagonal/>
    </border>
  </borders>
  <cellStyleXfs count="4">
    <xf numFmtId="0" fontId="0" fillId="0" borderId="0"/>
    <xf numFmtId="38" fontId="12" fillId="0" borderId="0" applyFont="0" applyFill="0" applyBorder="0" applyAlignment="0" applyProtection="0">
      <alignment vertical="center"/>
    </xf>
    <xf numFmtId="0" fontId="1" fillId="0" borderId="39">
      <alignment vertical="center"/>
    </xf>
    <xf numFmtId="38" fontId="1" fillId="0" borderId="39" applyFont="0" applyFill="0" applyBorder="0" applyAlignment="0" applyProtection="0">
      <alignment vertical="center"/>
    </xf>
  </cellStyleXfs>
  <cellXfs count="264">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vertical="center"/>
    </xf>
    <xf numFmtId="0" fontId="2" fillId="0" borderId="1" xfId="0" applyFont="1" applyBorder="1" applyAlignment="1">
      <alignment horizontal="center" vertical="center"/>
    </xf>
    <xf numFmtId="0" fontId="2" fillId="0" borderId="0" xfId="0" applyFont="1" applyAlignment="1">
      <alignment vertical="center" shrinkToFit="1"/>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right" vertical="center"/>
    </xf>
    <xf numFmtId="0" fontId="2" fillId="0" borderId="0" xfId="0" applyFont="1" applyAlignment="1">
      <alignment horizontal="left" vertical="center"/>
    </xf>
    <xf numFmtId="0" fontId="3" fillId="0" borderId="0" xfId="0" applyFont="1" applyAlignment="1">
      <alignment horizontal="center" vertical="center"/>
    </xf>
    <xf numFmtId="0" fontId="2" fillId="0" borderId="12" xfId="0" applyFont="1" applyBorder="1" applyAlignment="1">
      <alignment vertical="center"/>
    </xf>
    <xf numFmtId="0" fontId="2" fillId="0" borderId="0" xfId="0" applyFont="1" applyAlignment="1">
      <alignment vertical="center" wrapText="1"/>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2" fillId="0" borderId="16"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24" xfId="0" applyFont="1" applyBorder="1" applyAlignment="1">
      <alignment horizontal="center"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horizontal="center" vertical="center" shrinkToFit="1"/>
    </xf>
    <xf numFmtId="49" fontId="6" fillId="0" borderId="27"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30"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6" fillId="0" borderId="33" xfId="0" applyNumberFormat="1" applyFont="1" applyBorder="1" applyAlignment="1">
      <alignment horizontal="center" vertical="center"/>
    </xf>
    <xf numFmtId="49" fontId="6" fillId="0" borderId="34" xfId="0" applyNumberFormat="1" applyFont="1" applyBorder="1" applyAlignment="1">
      <alignment horizontal="center" vertical="center"/>
    </xf>
    <xf numFmtId="0" fontId="6" fillId="0" borderId="0" xfId="0" applyFont="1" applyAlignment="1">
      <alignment vertical="center"/>
    </xf>
    <xf numFmtId="0" fontId="3" fillId="0" borderId="0" xfId="0" applyFont="1" applyAlignment="1">
      <alignment horizontal="left" vertical="center"/>
    </xf>
    <xf numFmtId="0" fontId="6" fillId="0" borderId="0" xfId="0" applyFont="1" applyAlignment="1">
      <alignment vertical="top" wrapText="1"/>
    </xf>
    <xf numFmtId="9" fontId="2" fillId="0" borderId="0" xfId="0" applyNumberFormat="1" applyFont="1" applyAlignment="1">
      <alignment horizontal="center" vertical="center"/>
    </xf>
    <xf numFmtId="0" fontId="6" fillId="0" borderId="0" xfId="0" applyFont="1" applyAlignment="1">
      <alignment vertical="top" shrinkToFit="1"/>
    </xf>
    <xf numFmtId="0" fontId="6" fillId="0" borderId="0" xfId="0" applyFont="1" applyAlignment="1">
      <alignment vertical="center" wrapText="1"/>
    </xf>
    <xf numFmtId="0" fontId="2" fillId="2" borderId="38" xfId="0" applyFont="1" applyFill="1" applyBorder="1" applyAlignment="1">
      <alignment vertical="center"/>
    </xf>
    <xf numFmtId="0" fontId="6" fillId="2" borderId="39" xfId="0" applyFont="1" applyFill="1" applyBorder="1" applyAlignment="1">
      <alignment vertical="top" wrapText="1"/>
    </xf>
    <xf numFmtId="0" fontId="6" fillId="2" borderId="40" xfId="0" applyFont="1" applyFill="1" applyBorder="1" applyAlignment="1">
      <alignment vertical="top" wrapText="1"/>
    </xf>
    <xf numFmtId="0" fontId="2" fillId="2" borderId="39" xfId="0" applyFont="1" applyFill="1" applyBorder="1" applyAlignment="1">
      <alignment vertical="center"/>
    </xf>
    <xf numFmtId="0" fontId="6" fillId="2" borderId="38" xfId="0" applyFont="1" applyFill="1" applyBorder="1" applyAlignment="1">
      <alignment vertical="top" wrapText="1"/>
    </xf>
    <xf numFmtId="0" fontId="6" fillId="2" borderId="42" xfId="0" applyFont="1" applyFill="1" applyBorder="1" applyAlignment="1">
      <alignment vertical="top" wrapText="1"/>
    </xf>
    <xf numFmtId="0" fontId="6" fillId="2" borderId="44" xfId="0" applyFont="1" applyFill="1" applyBorder="1" applyAlignment="1">
      <alignment vertical="top" wrapText="1"/>
    </xf>
    <xf numFmtId="0" fontId="6" fillId="2" borderId="45" xfId="0" applyFont="1" applyFill="1" applyBorder="1" applyAlignment="1">
      <alignment vertical="top" wrapText="1"/>
    </xf>
    <xf numFmtId="0" fontId="2" fillId="0" borderId="1" xfId="0" applyFont="1" applyBorder="1" applyAlignment="1">
      <alignment horizontal="left" vertical="center"/>
    </xf>
    <xf numFmtId="0" fontId="14" fillId="0" borderId="39" xfId="2" applyFont="1">
      <alignment vertical="center"/>
    </xf>
    <xf numFmtId="0" fontId="14" fillId="0" borderId="39" xfId="2" applyFont="1" applyAlignment="1">
      <alignment horizontal="right" vertical="center"/>
    </xf>
    <xf numFmtId="0" fontId="14" fillId="0" borderId="39" xfId="2" applyFont="1" applyAlignment="1">
      <alignment horizontal="center" vertical="center"/>
    </xf>
    <xf numFmtId="0" fontId="14" fillId="0" borderId="39" xfId="2" applyFont="1" applyAlignment="1">
      <alignment vertical="center" shrinkToFit="1"/>
    </xf>
    <xf numFmtId="0" fontId="19" fillId="0" borderId="39" xfId="2" applyFont="1">
      <alignment vertical="center"/>
    </xf>
    <xf numFmtId="0" fontId="20" fillId="0" borderId="64" xfId="2" applyFont="1" applyBorder="1" applyAlignment="1">
      <alignment horizontal="center" vertical="center"/>
    </xf>
    <xf numFmtId="0" fontId="20" fillId="0" borderId="65" xfId="2" applyFont="1" applyBorder="1" applyAlignment="1">
      <alignment horizontal="center" vertical="center"/>
    </xf>
    <xf numFmtId="0" fontId="20" fillId="0" borderId="66" xfId="2" applyFont="1" applyBorder="1" applyAlignment="1">
      <alignment horizontal="center" vertical="center"/>
    </xf>
    <xf numFmtId="0" fontId="14" fillId="0" borderId="55" xfId="2" applyFont="1" applyBorder="1" applyAlignment="1">
      <alignment horizontal="left" vertical="center" shrinkToFit="1"/>
    </xf>
    <xf numFmtId="38" fontId="14" fillId="0" borderId="57" xfId="3" applyFont="1" applyBorder="1" applyAlignment="1">
      <alignment vertical="center" shrinkToFit="1"/>
    </xf>
    <xf numFmtId="38" fontId="14" fillId="0" borderId="39" xfId="3" applyFont="1" applyAlignment="1">
      <alignment vertical="center" shrinkToFit="1"/>
    </xf>
    <xf numFmtId="38" fontId="14" fillId="0" borderId="58" xfId="3" applyFont="1" applyBorder="1" applyAlignment="1">
      <alignment vertical="center" shrinkToFit="1"/>
    </xf>
    <xf numFmtId="38" fontId="14" fillId="0" borderId="68" xfId="3" applyFont="1" applyBorder="1" applyAlignment="1">
      <alignment horizontal="center" vertical="center" shrinkToFit="1"/>
    </xf>
    <xf numFmtId="38" fontId="14" fillId="0" borderId="69" xfId="3" applyFont="1" applyBorder="1" applyAlignment="1">
      <alignment vertical="center" shrinkToFit="1"/>
    </xf>
    <xf numFmtId="38" fontId="14" fillId="0" borderId="70" xfId="3" applyFont="1" applyBorder="1" applyAlignment="1">
      <alignment vertical="center" shrinkToFit="1"/>
    </xf>
    <xf numFmtId="0" fontId="14" fillId="0" borderId="71" xfId="2" applyFont="1" applyBorder="1" applyAlignment="1">
      <alignment horizontal="left" vertical="center" shrinkToFit="1"/>
    </xf>
    <xf numFmtId="38" fontId="14" fillId="0" borderId="71" xfId="3" applyFont="1" applyBorder="1" applyAlignment="1">
      <alignment vertical="center" shrinkToFit="1"/>
    </xf>
    <xf numFmtId="38" fontId="14" fillId="0" borderId="72" xfId="3" applyFont="1" applyBorder="1" applyAlignment="1">
      <alignment vertical="center" shrinkToFit="1"/>
    </xf>
    <xf numFmtId="38" fontId="14" fillId="0" borderId="73" xfId="3" applyFont="1" applyBorder="1" applyAlignment="1">
      <alignment vertical="center" shrinkToFit="1"/>
    </xf>
    <xf numFmtId="38" fontId="14" fillId="0" borderId="74" xfId="3" applyFont="1" applyBorder="1" applyAlignment="1">
      <alignment vertical="center" shrinkToFit="1"/>
    </xf>
    <xf numFmtId="38" fontId="14" fillId="0" borderId="75" xfId="3" applyFont="1" applyBorder="1" applyAlignment="1">
      <alignment horizontal="center" vertical="center" shrinkToFit="1"/>
    </xf>
    <xf numFmtId="38" fontId="14" fillId="0" borderId="76" xfId="3" applyFont="1" applyBorder="1" applyAlignment="1">
      <alignment horizontal="center" vertical="center" shrinkToFit="1"/>
    </xf>
    <xf numFmtId="38" fontId="14" fillId="0" borderId="77" xfId="3" applyFont="1" applyBorder="1" applyAlignment="1">
      <alignment vertical="center" shrinkToFit="1"/>
    </xf>
    <xf numFmtId="38" fontId="14" fillId="0" borderId="78" xfId="3" applyFont="1" applyBorder="1" applyAlignment="1">
      <alignment vertical="center" shrinkToFit="1"/>
    </xf>
    <xf numFmtId="38" fontId="14" fillId="0" borderId="79" xfId="3" applyFont="1" applyBorder="1" applyAlignment="1">
      <alignment horizontal="center" vertical="center" shrinkToFit="1"/>
    </xf>
    <xf numFmtId="38" fontId="14" fillId="0" borderId="80" xfId="3" applyFont="1" applyBorder="1" applyAlignment="1">
      <alignment horizontal="center" vertical="center" shrinkToFit="1"/>
    </xf>
    <xf numFmtId="9" fontId="14" fillId="0" borderId="71" xfId="2" applyNumberFormat="1" applyFont="1" applyBorder="1" applyAlignment="1">
      <alignment vertical="center" shrinkToFit="1"/>
    </xf>
    <xf numFmtId="38" fontId="14" fillId="0" borderId="81" xfId="3" applyFont="1" applyBorder="1" applyAlignment="1">
      <alignment horizontal="center" vertical="center" shrinkToFit="1"/>
    </xf>
    <xf numFmtId="38" fontId="14" fillId="0" borderId="82" xfId="3" applyFont="1" applyBorder="1" applyAlignment="1">
      <alignment horizontal="center" vertical="center" shrinkToFit="1"/>
    </xf>
    <xf numFmtId="38" fontId="14" fillId="0" borderId="83" xfId="3" applyFont="1" applyBorder="1" applyAlignment="1">
      <alignment horizontal="center" vertical="center" shrinkToFit="1"/>
    </xf>
    <xf numFmtId="38" fontId="14" fillId="0" borderId="84" xfId="3" applyFont="1" applyBorder="1" applyAlignment="1">
      <alignment vertical="center" shrinkToFit="1"/>
    </xf>
    <xf numFmtId="0" fontId="14" fillId="0" borderId="85" xfId="2" applyFont="1" applyBorder="1" applyAlignment="1">
      <alignment horizontal="center" vertical="center" shrinkToFit="1"/>
    </xf>
    <xf numFmtId="38" fontId="14" fillId="0" borderId="85" xfId="3" applyFont="1" applyBorder="1" applyAlignment="1">
      <alignment vertical="center" shrinkToFit="1"/>
    </xf>
    <xf numFmtId="38" fontId="14" fillId="0" borderId="86" xfId="3" applyFont="1" applyBorder="1" applyAlignment="1">
      <alignment vertical="center" shrinkToFit="1"/>
    </xf>
    <xf numFmtId="38" fontId="14" fillId="0" borderId="87" xfId="3" applyFont="1" applyBorder="1" applyAlignment="1">
      <alignment vertical="center" shrinkToFit="1"/>
    </xf>
    <xf numFmtId="38" fontId="14" fillId="0" borderId="88" xfId="3" applyFont="1" applyBorder="1" applyAlignment="1">
      <alignment vertical="center" shrinkToFit="1"/>
    </xf>
    <xf numFmtId="38" fontId="14" fillId="0" borderId="89" xfId="3" applyFont="1" applyBorder="1" applyAlignment="1">
      <alignment vertical="center" shrinkToFit="1"/>
    </xf>
    <xf numFmtId="38" fontId="2" fillId="0" borderId="1" xfId="1" applyFont="1" applyFill="1" applyBorder="1" applyAlignment="1">
      <alignment horizontal="center" vertical="center"/>
    </xf>
    <xf numFmtId="9" fontId="14" fillId="0" borderId="52" xfId="2" applyNumberFormat="1" applyFont="1" applyBorder="1" applyAlignment="1">
      <alignment vertical="center" shrinkToFit="1"/>
    </xf>
    <xf numFmtId="9" fontId="14" fillId="0" borderId="85" xfId="2" applyNumberFormat="1" applyFont="1" applyBorder="1" applyAlignment="1">
      <alignment vertical="center" shrinkToFit="1"/>
    </xf>
    <xf numFmtId="0" fontId="2" fillId="0" borderId="0" xfId="0" applyFont="1" applyAlignment="1">
      <alignment vertical="center"/>
    </xf>
    <xf numFmtId="0" fontId="7" fillId="0" borderId="1" xfId="0" applyFont="1" applyBorder="1" applyAlignment="1">
      <alignment horizontal="left" vertical="center"/>
    </xf>
    <xf numFmtId="0" fontId="2" fillId="0" borderId="1" xfId="0" applyFont="1" applyFill="1" applyBorder="1" applyAlignment="1">
      <alignment horizontal="center" vertical="center" shrinkToFit="1"/>
    </xf>
    <xf numFmtId="176" fontId="2" fillId="0" borderId="1" xfId="0" applyNumberFormat="1" applyFont="1" applyFill="1" applyBorder="1" applyAlignment="1">
      <alignment horizontal="center" vertical="center" shrinkToFit="1"/>
    </xf>
    <xf numFmtId="0" fontId="6" fillId="0" borderId="44" xfId="0" applyFont="1" applyBorder="1" applyAlignment="1">
      <alignment vertical="center" wrapText="1" shrinkToFit="1"/>
    </xf>
    <xf numFmtId="0" fontId="6" fillId="0" borderId="45" xfId="0" applyFont="1" applyBorder="1" applyAlignment="1">
      <alignment vertical="center" wrapText="1" shrinkToFit="1"/>
    </xf>
    <xf numFmtId="0" fontId="0" fillId="0" borderId="0" xfId="0" applyAlignment="1">
      <alignment vertical="center"/>
    </xf>
    <xf numFmtId="0" fontId="2" fillId="0" borderId="0" xfId="0" applyFont="1" applyAlignment="1">
      <alignment vertical="center"/>
    </xf>
    <xf numFmtId="177" fontId="2" fillId="0" borderId="1" xfId="0" applyNumberFormat="1" applyFont="1" applyFill="1" applyBorder="1" applyAlignment="1">
      <alignment horizontal="center" vertical="center" shrinkToFit="1"/>
    </xf>
    <xf numFmtId="0" fontId="2" fillId="0" borderId="17" xfId="0" applyFont="1" applyBorder="1" applyAlignment="1">
      <alignment horizontal="center" vertical="center" shrinkToFit="1"/>
    </xf>
    <xf numFmtId="0" fontId="4" fillId="0" borderId="18" xfId="0" applyFont="1" applyBorder="1" applyAlignment="1">
      <alignment vertical="center"/>
    </xf>
    <xf numFmtId="0" fontId="4" fillId="0" borderId="19" xfId="0" applyFont="1" applyBorder="1" applyAlignment="1">
      <alignment vertical="center"/>
    </xf>
    <xf numFmtId="0" fontId="2" fillId="0" borderId="17" xfId="0" applyFont="1" applyBorder="1" applyAlignment="1">
      <alignment vertical="center" shrinkToFit="1"/>
    </xf>
    <xf numFmtId="0" fontId="2" fillId="0" borderId="21" xfId="0" applyFont="1" applyBorder="1" applyAlignment="1">
      <alignment vertical="center" shrinkToFit="1"/>
    </xf>
    <xf numFmtId="0" fontId="4" fillId="0" borderId="22" xfId="0" applyFont="1" applyBorder="1" applyAlignment="1">
      <alignment vertical="center"/>
    </xf>
    <xf numFmtId="0" fontId="4" fillId="0" borderId="23" xfId="0" applyFont="1" applyBorder="1" applyAlignment="1">
      <alignment vertical="center"/>
    </xf>
    <xf numFmtId="0" fontId="2" fillId="0" borderId="21" xfId="0" applyFont="1" applyBorder="1" applyAlignment="1">
      <alignment horizontal="center" vertical="center" shrinkToFit="1"/>
    </xf>
    <xf numFmtId="0" fontId="2" fillId="0" borderId="2" xfId="0" applyFont="1" applyBorder="1" applyAlignment="1">
      <alignment vertical="center" wrapText="1" shrinkToFit="1"/>
    </xf>
    <xf numFmtId="0" fontId="4" fillId="0" borderId="3" xfId="0" applyFont="1" applyBorder="1" applyAlignment="1">
      <alignment vertical="center"/>
    </xf>
    <xf numFmtId="0" fontId="4" fillId="0" borderId="4" xfId="0" applyFont="1" applyBorder="1" applyAlignment="1">
      <alignment vertical="center"/>
    </xf>
    <xf numFmtId="0" fontId="7" fillId="0" borderId="2" xfId="0" applyFont="1" applyBorder="1" applyAlignment="1">
      <alignment horizontal="center" vertical="center" shrinkToFit="1"/>
    </xf>
    <xf numFmtId="0" fontId="2" fillId="0" borderId="3" xfId="0" applyFont="1" applyBorder="1" applyAlignment="1">
      <alignment horizontal="center" vertical="center"/>
    </xf>
    <xf numFmtId="0" fontId="6" fillId="0" borderId="26" xfId="0" applyFont="1" applyBorder="1" applyAlignment="1">
      <alignment vertical="center" wrapText="1"/>
    </xf>
    <xf numFmtId="0" fontId="4" fillId="0" borderId="28"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2" fillId="0" borderId="14" xfId="0" applyFont="1" applyBorder="1" applyAlignment="1">
      <alignment horizontal="left" vertical="center" wrapText="1" shrinkToFit="1"/>
    </xf>
    <xf numFmtId="0" fontId="4" fillId="0" borderId="14" xfId="0" applyFont="1" applyBorder="1" applyAlignment="1">
      <alignment vertical="center"/>
    </xf>
    <xf numFmtId="0" fontId="4" fillId="0" borderId="15" xfId="0" applyFont="1" applyBorder="1" applyAlignment="1">
      <alignment vertical="center"/>
    </xf>
    <xf numFmtId="0" fontId="2" fillId="0" borderId="22" xfId="0" applyFont="1" applyBorder="1" applyAlignment="1">
      <alignment horizontal="left" vertical="center" wrapText="1" shrinkToFi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2" fillId="0" borderId="13" xfId="0" applyFont="1" applyBorder="1" applyAlignment="1">
      <alignment horizontal="center" vertical="center" shrinkToFit="1"/>
    </xf>
    <xf numFmtId="0" fontId="2" fillId="0" borderId="13" xfId="0" applyFont="1" applyBorder="1" applyAlignment="1">
      <alignment vertical="center" shrinkToFit="1"/>
    </xf>
    <xf numFmtId="0" fontId="4" fillId="0" borderId="31"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2" fillId="0" borderId="14" xfId="0" applyFont="1" applyBorder="1" applyAlignment="1">
      <alignment vertical="center" wrapText="1" shrinkToFit="1"/>
    </xf>
    <xf numFmtId="0" fontId="2" fillId="0" borderId="17" xfId="0" applyFont="1" applyBorder="1" applyAlignment="1">
      <alignment vertical="center" wrapText="1" shrinkToFit="1"/>
    </xf>
    <xf numFmtId="0" fontId="2" fillId="0" borderId="0" xfId="0" applyFont="1" applyAlignment="1">
      <alignment vertical="center" wrapText="1"/>
    </xf>
    <xf numFmtId="0" fontId="0" fillId="0" borderId="0" xfId="0" applyAlignment="1">
      <alignment vertical="center"/>
    </xf>
    <xf numFmtId="0" fontId="2" fillId="0" borderId="0" xfId="0" applyFont="1" applyAlignment="1">
      <alignment horizontal="right" vertical="center"/>
    </xf>
    <xf numFmtId="0" fontId="7" fillId="0" borderId="2" xfId="0" applyFont="1" applyFill="1" applyBorder="1" applyAlignment="1">
      <alignment horizontal="center" vertical="center" shrinkToFit="1"/>
    </xf>
    <xf numFmtId="0" fontId="13" fillId="0" borderId="3" xfId="0" applyFont="1" applyFill="1" applyBorder="1" applyAlignment="1">
      <alignment vertical="center" shrinkToFit="1"/>
    </xf>
    <xf numFmtId="0" fontId="13" fillId="0" borderId="4" xfId="0" applyFont="1" applyFill="1" applyBorder="1" applyAlignment="1">
      <alignment vertical="center" shrinkToFit="1"/>
    </xf>
    <xf numFmtId="0" fontId="5" fillId="0" borderId="0" xfId="0" applyFont="1" applyAlignment="1">
      <alignment horizontal="center" vertical="center"/>
    </xf>
    <xf numFmtId="0" fontId="3" fillId="0" borderId="2" xfId="0" applyFont="1" applyBorder="1" applyAlignment="1">
      <alignment horizontal="center" vertical="center"/>
    </xf>
    <xf numFmtId="0" fontId="2" fillId="0" borderId="6" xfId="0" applyFont="1" applyBorder="1" applyAlignment="1">
      <alignment horizontal="left" vertical="center" wrapText="1"/>
    </xf>
    <xf numFmtId="0" fontId="4" fillId="0" borderId="9" xfId="0" applyFont="1" applyBorder="1" applyAlignment="1">
      <alignment vertical="center"/>
    </xf>
    <xf numFmtId="0" fontId="2" fillId="0" borderId="6" xfId="0" applyFont="1" applyBorder="1" applyAlignment="1">
      <alignment horizontal="left" vertical="top" shrinkToFit="1"/>
    </xf>
    <xf numFmtId="0" fontId="4" fillId="0" borderId="12" xfId="0" applyFont="1" applyBorder="1" applyAlignment="1">
      <alignment vertical="center"/>
    </xf>
    <xf numFmtId="0" fontId="4" fillId="0" borderId="5" xfId="0" applyFont="1" applyBorder="1" applyAlignment="1">
      <alignment vertical="center"/>
    </xf>
    <xf numFmtId="0" fontId="3" fillId="0" borderId="2" xfId="0" applyFont="1" applyBorder="1" applyAlignment="1">
      <alignment horizontal="center" vertical="center" shrinkToFit="1"/>
    </xf>
    <xf numFmtId="0" fontId="19" fillId="0" borderId="59" xfId="2" applyFont="1" applyBorder="1" applyAlignment="1">
      <alignment horizontal="center" vertical="center"/>
    </xf>
    <xf numFmtId="0" fontId="19" fillId="0" borderId="60" xfId="2" applyFont="1" applyBorder="1" applyAlignment="1">
      <alignment horizontal="center" vertical="center"/>
    </xf>
    <xf numFmtId="0" fontId="14" fillId="0" borderId="55" xfId="2" applyFont="1" applyBorder="1" applyAlignment="1">
      <alignment horizontal="center" vertical="center"/>
    </xf>
    <xf numFmtId="0" fontId="18" fillId="0" borderId="52" xfId="2" applyFont="1" applyBorder="1" applyAlignment="1">
      <alignment horizontal="center" vertical="center" wrapText="1"/>
    </xf>
    <xf numFmtId="0" fontId="18" fillId="0" borderId="57" xfId="2" applyFont="1" applyBorder="1" applyAlignment="1">
      <alignment horizontal="center" vertical="center" wrapText="1"/>
    </xf>
    <xf numFmtId="0" fontId="18" fillId="0" borderId="62" xfId="2" applyFont="1" applyBorder="1" applyAlignment="1">
      <alignment horizontal="center" vertical="center"/>
    </xf>
    <xf numFmtId="0" fontId="17" fillId="0" borderId="56" xfId="2" applyFont="1" applyBorder="1" applyAlignment="1">
      <alignment horizontal="center" vertical="center"/>
    </xf>
    <xf numFmtId="0" fontId="17" fillId="0" borderId="61" xfId="2" applyFont="1" applyBorder="1" applyAlignment="1">
      <alignment horizontal="center" vertical="center"/>
    </xf>
    <xf numFmtId="0" fontId="17" fillId="0" borderId="67" xfId="2" applyFont="1" applyBorder="1" applyAlignment="1">
      <alignment horizontal="center" vertical="center"/>
    </xf>
    <xf numFmtId="0" fontId="14" fillId="0" borderId="49" xfId="2" applyFont="1" applyBorder="1" applyAlignment="1">
      <alignment horizontal="center" vertical="center"/>
    </xf>
    <xf numFmtId="0" fontId="16" fillId="0" borderId="39" xfId="2" applyFont="1" applyAlignment="1">
      <alignment horizontal="center" vertical="center"/>
    </xf>
    <xf numFmtId="0" fontId="14" fillId="0" borderId="50" xfId="2" applyFont="1" applyBorder="1" applyAlignment="1">
      <alignment horizontal="center" vertical="center" shrinkToFit="1"/>
    </xf>
    <xf numFmtId="0" fontId="14" fillId="0" borderId="51" xfId="2" applyFont="1" applyBorder="1" applyAlignment="1">
      <alignment horizontal="center" vertical="center" shrinkToFit="1"/>
    </xf>
    <xf numFmtId="0" fontId="14" fillId="0" borderId="52" xfId="2" applyFont="1" applyBorder="1" applyAlignment="1">
      <alignment horizontal="center" vertical="center"/>
    </xf>
    <xf numFmtId="0" fontId="14" fillId="0" borderId="57" xfId="2" applyFont="1" applyBorder="1" applyAlignment="1">
      <alignment horizontal="center" vertical="center"/>
    </xf>
    <xf numFmtId="0" fontId="14" fillId="0" borderId="62" xfId="2" applyFont="1" applyBorder="1" applyAlignment="1">
      <alignment horizontal="center" vertical="center"/>
    </xf>
    <xf numFmtId="0" fontId="17" fillId="0" borderId="52" xfId="2" applyFont="1" applyBorder="1" applyAlignment="1">
      <alignment horizontal="center" vertical="center" wrapText="1"/>
    </xf>
    <xf numFmtId="0" fontId="17" fillId="0" borderId="57" xfId="2" applyFont="1" applyBorder="1" applyAlignment="1">
      <alignment horizontal="center" vertical="center" wrapText="1"/>
    </xf>
    <xf numFmtId="0" fontId="17" fillId="0" borderId="62" xfId="2" applyFont="1" applyBorder="1" applyAlignment="1">
      <alignment horizontal="center" vertical="center"/>
    </xf>
    <xf numFmtId="0" fontId="17" fillId="0" borderId="53" xfId="2" applyFont="1" applyBorder="1" applyAlignment="1">
      <alignment horizontal="center" vertical="center" wrapText="1"/>
    </xf>
    <xf numFmtId="0" fontId="17" fillId="0" borderId="39" xfId="2" applyFont="1" applyAlignment="1">
      <alignment horizontal="center" vertical="center" wrapText="1"/>
    </xf>
    <xf numFmtId="0" fontId="17" fillId="0" borderId="63" xfId="2" applyFont="1" applyBorder="1" applyAlignment="1">
      <alignment horizontal="center" vertical="center"/>
    </xf>
    <xf numFmtId="0" fontId="17" fillId="0" borderId="54" xfId="2" applyFont="1" applyBorder="1" applyAlignment="1">
      <alignment horizontal="center" vertical="center" wrapText="1"/>
    </xf>
    <xf numFmtId="0" fontId="17" fillId="0" borderId="58" xfId="2" applyFont="1" applyBorder="1" applyAlignment="1">
      <alignment horizontal="center" vertical="center" wrapText="1"/>
    </xf>
    <xf numFmtId="0" fontId="17" fillId="0" borderId="64" xfId="2" applyFont="1" applyBorder="1" applyAlignment="1">
      <alignment horizontal="center" vertical="center"/>
    </xf>
    <xf numFmtId="0" fontId="2" fillId="0" borderId="6" xfId="0" applyFont="1" applyBorder="1" applyAlignment="1">
      <alignment vertical="top" wrapText="1"/>
    </xf>
    <xf numFmtId="0" fontId="11" fillId="0" borderId="6" xfId="0" applyFont="1" applyBorder="1" applyAlignment="1">
      <alignment vertical="top" wrapText="1"/>
    </xf>
    <xf numFmtId="0" fontId="21" fillId="0" borderId="0" xfId="0" applyFont="1" applyAlignment="1">
      <alignment vertical="center"/>
    </xf>
    <xf numFmtId="0" fontId="11" fillId="0" borderId="6" xfId="0" applyFont="1" applyBorder="1" applyAlignment="1">
      <alignment vertical="top" wrapText="1" shrinkToFi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12" xfId="0" applyFont="1" applyBorder="1" applyAlignment="1">
      <alignment vertical="center" wrapText="1"/>
    </xf>
    <xf numFmtId="0" fontId="21" fillId="0" borderId="0" xfId="0" applyFont="1" applyAlignment="1">
      <alignment vertical="center" wrapText="1"/>
    </xf>
    <xf numFmtId="0" fontId="4" fillId="0" borderId="5"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2" fillId="0" borderId="0" xfId="0" applyFont="1" applyAlignment="1">
      <alignment vertical="center"/>
    </xf>
    <xf numFmtId="0" fontId="2" fillId="0" borderId="6" xfId="0" applyFont="1" applyBorder="1" applyAlignment="1">
      <alignment vertical="top" wrapText="1" shrinkToFit="1"/>
    </xf>
    <xf numFmtId="0" fontId="0" fillId="0" borderId="0" xfId="0" applyAlignment="1">
      <alignment vertical="center" wrapText="1"/>
    </xf>
    <xf numFmtId="0" fontId="2" fillId="0" borderId="2" xfId="0" applyFont="1" applyBorder="1" applyAlignment="1">
      <alignment horizontal="left" vertical="center"/>
    </xf>
    <xf numFmtId="0" fontId="10" fillId="0" borderId="3" xfId="0" applyFont="1" applyBorder="1" applyAlignment="1">
      <alignment vertical="center"/>
    </xf>
    <xf numFmtId="0" fontId="10" fillId="0" borderId="4" xfId="0" applyFont="1" applyBorder="1" applyAlignment="1">
      <alignment vertical="center"/>
    </xf>
    <xf numFmtId="0" fontId="11" fillId="0" borderId="2" xfId="0" applyFont="1" applyBorder="1" applyAlignment="1">
      <alignment horizontal="left" vertical="center" shrinkToFit="1"/>
    </xf>
    <xf numFmtId="0" fontId="4" fillId="0" borderId="4" xfId="0" applyFont="1" applyBorder="1" applyAlignment="1">
      <alignment vertical="center" shrinkToFit="1"/>
    </xf>
    <xf numFmtId="177" fontId="2" fillId="0" borderId="2" xfId="0" applyNumberFormat="1" applyFont="1" applyFill="1" applyBorder="1" applyAlignment="1">
      <alignment horizontal="center" vertical="center" shrinkToFit="1"/>
    </xf>
    <xf numFmtId="177" fontId="4" fillId="0" borderId="4" xfId="0" applyNumberFormat="1" applyFont="1" applyFill="1" applyBorder="1" applyAlignment="1">
      <alignment vertical="center"/>
    </xf>
    <xf numFmtId="0" fontId="2" fillId="0" borderId="35" xfId="0" applyFont="1" applyFill="1" applyBorder="1" applyAlignment="1">
      <alignment horizontal="center" vertical="center" shrinkToFit="1"/>
    </xf>
    <xf numFmtId="0" fontId="4" fillId="0" borderId="36" xfId="0" applyFont="1" applyFill="1" applyBorder="1" applyAlignment="1">
      <alignment vertical="center"/>
    </xf>
    <xf numFmtId="0" fontId="4" fillId="0" borderId="37" xfId="0" applyFont="1" applyFill="1" applyBorder="1" applyAlignment="1">
      <alignment vertical="center"/>
    </xf>
    <xf numFmtId="0" fontId="11" fillId="0" borderId="6" xfId="0" applyFont="1" applyFill="1" applyBorder="1" applyAlignment="1">
      <alignment horizontal="left" vertical="top" wrapText="1"/>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12" xfId="0" applyFont="1" applyFill="1" applyBorder="1" applyAlignment="1">
      <alignment vertical="center"/>
    </xf>
    <xf numFmtId="0" fontId="21" fillId="0" borderId="0" xfId="0" applyFont="1" applyFill="1" applyAlignment="1">
      <alignment vertical="center"/>
    </xf>
    <xf numFmtId="0" fontId="4" fillId="0" borderId="5" xfId="0" applyFont="1" applyFill="1" applyBorder="1" applyAlignment="1">
      <alignment vertical="center"/>
    </xf>
    <xf numFmtId="0" fontId="4" fillId="0" borderId="9" xfId="0" applyFont="1" applyFill="1" applyBorder="1" applyAlignment="1">
      <alignment vertical="center"/>
    </xf>
    <xf numFmtId="0" fontId="4" fillId="0" borderId="10" xfId="0" applyFont="1" applyFill="1" applyBorder="1" applyAlignment="1">
      <alignment vertical="center"/>
    </xf>
    <xf numFmtId="0" fontId="4" fillId="0" borderId="11" xfId="0" applyFont="1" applyFill="1" applyBorder="1" applyAlignment="1">
      <alignment vertical="center"/>
    </xf>
    <xf numFmtId="0" fontId="2" fillId="0" borderId="2" xfId="0" applyFont="1" applyFill="1" applyBorder="1" applyAlignment="1">
      <alignment vertical="center" shrinkToFit="1"/>
    </xf>
    <xf numFmtId="0" fontId="4" fillId="0" borderId="3" xfId="0" applyFont="1" applyFill="1" applyBorder="1" applyAlignment="1">
      <alignment vertical="center"/>
    </xf>
    <xf numFmtId="0" fontId="4" fillId="0" borderId="4" xfId="0" applyFont="1" applyFill="1" applyBorder="1" applyAlignment="1">
      <alignment vertical="center"/>
    </xf>
    <xf numFmtId="0" fontId="11" fillId="0" borderId="6" xfId="0" applyFont="1" applyFill="1" applyBorder="1" applyAlignment="1">
      <alignment vertical="top" wrapText="1" shrinkToFit="1"/>
    </xf>
    <xf numFmtId="0" fontId="4" fillId="0" borderId="7" xfId="0" applyFont="1" applyFill="1" applyBorder="1" applyAlignment="1">
      <alignment vertical="center" wrapText="1"/>
    </xf>
    <xf numFmtId="0" fontId="4" fillId="0" borderId="8" xfId="0" applyFont="1" applyFill="1" applyBorder="1" applyAlignment="1">
      <alignment vertical="center" wrapText="1"/>
    </xf>
    <xf numFmtId="0" fontId="4" fillId="0" borderId="12" xfId="0" applyFont="1" applyFill="1" applyBorder="1" applyAlignment="1">
      <alignment vertical="center" wrapText="1"/>
    </xf>
    <xf numFmtId="0" fontId="21" fillId="0" borderId="0" xfId="0" applyFont="1" applyFill="1" applyAlignment="1">
      <alignment vertical="center" wrapText="1"/>
    </xf>
    <xf numFmtId="0" fontId="4" fillId="0" borderId="5" xfId="0" applyFont="1" applyFill="1" applyBorder="1" applyAlignment="1">
      <alignment vertical="center" wrapText="1"/>
    </xf>
    <xf numFmtId="0" fontId="4" fillId="0" borderId="9" xfId="0" applyFont="1" applyFill="1" applyBorder="1" applyAlignment="1">
      <alignment vertical="center" wrapText="1"/>
    </xf>
    <xf numFmtId="0" fontId="4" fillId="0" borderId="10" xfId="0" applyFont="1" applyFill="1" applyBorder="1" applyAlignment="1">
      <alignment vertical="center" wrapText="1"/>
    </xf>
    <xf numFmtId="0" fontId="4" fillId="0" borderId="11" xfId="0" applyFont="1" applyFill="1" applyBorder="1" applyAlignment="1">
      <alignment vertical="center" wrapText="1"/>
    </xf>
    <xf numFmtId="0" fontId="2" fillId="0" borderId="0" xfId="0" applyFont="1" applyAlignment="1">
      <alignment horizontal="center" vertical="center"/>
    </xf>
    <xf numFmtId="0" fontId="24" fillId="0" borderId="2" xfId="0" applyFont="1" applyBorder="1" applyAlignment="1">
      <alignment horizontal="left" vertical="center" shrinkToFit="1"/>
    </xf>
    <xf numFmtId="0" fontId="29" fillId="0" borderId="39" xfId="0" applyFont="1" applyBorder="1" applyAlignment="1">
      <alignment horizontal="right" vertical="center"/>
    </xf>
    <xf numFmtId="0" fontId="2" fillId="0" borderId="17" xfId="0" applyFont="1" applyFill="1" applyBorder="1" applyAlignment="1">
      <alignment vertical="center" wrapText="1" shrinkToFit="1"/>
    </xf>
    <xf numFmtId="0" fontId="2" fillId="0" borderId="18" xfId="0" applyFont="1" applyFill="1" applyBorder="1" applyAlignment="1">
      <alignment vertical="center" wrapText="1" shrinkToFit="1"/>
    </xf>
    <xf numFmtId="0" fontId="2" fillId="0" borderId="19" xfId="0" applyFont="1" applyFill="1" applyBorder="1" applyAlignment="1">
      <alignment vertical="center" wrapText="1" shrinkToFit="1"/>
    </xf>
    <xf numFmtId="0" fontId="2" fillId="0" borderId="2" xfId="0" applyFont="1" applyBorder="1" applyAlignment="1">
      <alignment horizontal="left" vertical="center" wrapText="1"/>
    </xf>
    <xf numFmtId="0" fontId="2" fillId="0" borderId="41" xfId="0" applyFont="1" applyBorder="1" applyAlignment="1">
      <alignment vertical="center" wrapText="1"/>
    </xf>
    <xf numFmtId="0" fontId="2" fillId="0" borderId="41" xfId="0" applyFont="1" applyBorder="1" applyAlignment="1">
      <alignment vertical="center"/>
    </xf>
    <xf numFmtId="0" fontId="2" fillId="0" borderId="43" xfId="0" applyFont="1" applyBorder="1" applyAlignment="1">
      <alignment vertical="center" wrapText="1"/>
    </xf>
    <xf numFmtId="0" fontId="2" fillId="0" borderId="46" xfId="0" applyFont="1" applyBorder="1" applyAlignment="1">
      <alignment vertical="center" wrapText="1"/>
    </xf>
    <xf numFmtId="0" fontId="4" fillId="0" borderId="47" xfId="0" applyFont="1" applyBorder="1" applyAlignment="1">
      <alignment vertical="center"/>
    </xf>
    <xf numFmtId="0" fontId="4" fillId="0" borderId="48" xfId="0" applyFont="1" applyBorder="1" applyAlignment="1">
      <alignment vertical="center"/>
    </xf>
    <xf numFmtId="0" fontId="2" fillId="0" borderId="9" xfId="0" applyFont="1" applyBorder="1" applyAlignment="1">
      <alignment vertical="center" wrapText="1"/>
    </xf>
    <xf numFmtId="0" fontId="28" fillId="0" borderId="17" xfId="0" applyFont="1" applyFill="1" applyBorder="1" applyAlignment="1">
      <alignment vertical="center" wrapText="1" shrinkToFit="1"/>
    </xf>
    <xf numFmtId="0" fontId="28" fillId="0" borderId="18" xfId="0" applyFont="1" applyFill="1" applyBorder="1" applyAlignment="1">
      <alignment vertical="center" wrapText="1" shrinkToFit="1"/>
    </xf>
    <xf numFmtId="0" fontId="28" fillId="0" borderId="19" xfId="0" applyFont="1" applyFill="1" applyBorder="1" applyAlignment="1">
      <alignment vertical="center" wrapText="1" shrinkToFit="1"/>
    </xf>
    <xf numFmtId="0" fontId="2" fillId="0" borderId="18" xfId="0" applyFont="1" applyBorder="1" applyAlignment="1">
      <alignment vertical="center" wrapText="1" shrinkToFit="1"/>
    </xf>
    <xf numFmtId="0" fontId="2" fillId="0" borderId="19" xfId="0" applyFont="1" applyBorder="1" applyAlignment="1">
      <alignment vertical="center" wrapText="1" shrinkToFit="1"/>
    </xf>
    <xf numFmtId="0" fontId="2" fillId="0" borderId="21" xfId="0" applyFont="1" applyFill="1" applyBorder="1" applyAlignment="1">
      <alignment vertical="center" wrapText="1" shrinkToFit="1"/>
    </xf>
    <xf numFmtId="0" fontId="2" fillId="0" borderId="22" xfId="0" applyFont="1" applyFill="1" applyBorder="1" applyAlignment="1">
      <alignment vertical="center" wrapText="1" shrinkToFit="1"/>
    </xf>
    <xf numFmtId="0" fontId="2" fillId="0" borderId="23" xfId="0" applyFont="1" applyFill="1" applyBorder="1" applyAlignment="1">
      <alignment vertical="center" wrapText="1" shrinkToFit="1"/>
    </xf>
    <xf numFmtId="0" fontId="2" fillId="0" borderId="21" xfId="0" applyFont="1" applyBorder="1" applyAlignment="1">
      <alignment vertical="center" wrapText="1" shrinkToFit="1"/>
    </xf>
    <xf numFmtId="0" fontId="2" fillId="0" borderId="22" xfId="0" applyFont="1" applyBorder="1" applyAlignment="1">
      <alignment vertical="center" wrapText="1" shrinkToFit="1"/>
    </xf>
    <xf numFmtId="0" fontId="2" fillId="0" borderId="23" xfId="0" applyFont="1" applyBorder="1" applyAlignment="1">
      <alignment vertical="center" wrapText="1" shrinkToFit="1"/>
    </xf>
    <xf numFmtId="0" fontId="11" fillId="0" borderId="13" xfId="0" applyFont="1" applyBorder="1" applyAlignment="1">
      <alignment vertical="center" wrapText="1" shrinkToFit="1"/>
    </xf>
    <xf numFmtId="0" fontId="2" fillId="0" borderId="15" xfId="0" applyFont="1" applyBorder="1" applyAlignment="1">
      <alignment vertical="center" wrapText="1" shrinkToFit="1"/>
    </xf>
    <xf numFmtId="0" fontId="2" fillId="0" borderId="21" xfId="0" applyFont="1" applyBorder="1" applyAlignment="1">
      <alignment horizontal="left" vertical="center" wrapText="1" shrinkToFit="1"/>
    </xf>
    <xf numFmtId="0" fontId="2" fillId="0" borderId="23" xfId="0" applyFont="1" applyBorder="1" applyAlignment="1">
      <alignment horizontal="left" vertical="center" wrapText="1" shrinkToFit="1"/>
    </xf>
    <xf numFmtId="0" fontId="2" fillId="0" borderId="13" xfId="0" applyFont="1" applyBorder="1" applyAlignment="1">
      <alignment horizontal="left" vertical="center" wrapText="1" shrinkToFit="1"/>
    </xf>
    <xf numFmtId="0" fontId="2" fillId="0" borderId="15" xfId="0" applyFont="1" applyBorder="1" applyAlignment="1">
      <alignment horizontal="left" vertical="center" wrapText="1" shrinkToFit="1"/>
    </xf>
    <xf numFmtId="0" fontId="2" fillId="0" borderId="17" xfId="0" applyFont="1" applyBorder="1" applyAlignment="1">
      <alignment horizontal="left" vertical="center" wrapText="1" shrinkToFit="1"/>
    </xf>
    <xf numFmtId="0" fontId="2" fillId="0" borderId="18" xfId="0" applyFont="1" applyBorder="1" applyAlignment="1">
      <alignment horizontal="left" vertical="center" wrapText="1" shrinkToFit="1"/>
    </xf>
    <xf numFmtId="0" fontId="2" fillId="0" borderId="19" xfId="0" applyFont="1" applyBorder="1" applyAlignment="1">
      <alignment horizontal="left" vertical="center" wrapText="1" shrinkToFit="1"/>
    </xf>
    <xf numFmtId="0" fontId="26" fillId="0" borderId="46" xfId="0" applyFont="1" applyBorder="1" applyAlignment="1">
      <alignment horizontal="left" vertical="center" wrapText="1" shrinkToFit="1"/>
    </xf>
    <xf numFmtId="0" fontId="26" fillId="0" borderId="47" xfId="0" applyFont="1" applyBorder="1" applyAlignment="1">
      <alignment horizontal="left" vertical="center" wrapText="1" shrinkToFit="1"/>
    </xf>
    <xf numFmtId="0" fontId="26" fillId="0" borderId="48" xfId="0" applyFont="1" applyBorder="1" applyAlignment="1">
      <alignment horizontal="left" vertical="center" wrapText="1" shrinkToFit="1"/>
    </xf>
    <xf numFmtId="0" fontId="11" fillId="0" borderId="90" xfId="0" applyFont="1" applyBorder="1" applyAlignment="1">
      <alignment horizontal="left" vertical="center" wrapText="1" shrinkToFit="1"/>
    </xf>
    <xf numFmtId="0" fontId="26" fillId="0" borderId="91" xfId="0" applyFont="1" applyBorder="1" applyAlignment="1">
      <alignment horizontal="left" vertical="center" wrapText="1" shrinkToFit="1"/>
    </xf>
    <xf numFmtId="0" fontId="26" fillId="0" borderId="92" xfId="0" applyFont="1" applyBorder="1" applyAlignment="1">
      <alignment horizontal="left" vertical="center" wrapText="1" shrinkToFit="1"/>
    </xf>
    <xf numFmtId="0" fontId="2" fillId="0" borderId="46" xfId="0" applyFont="1" applyBorder="1" applyAlignment="1">
      <alignment horizontal="left" vertical="center" wrapText="1"/>
    </xf>
    <xf numFmtId="0" fontId="2" fillId="0" borderId="47" xfId="0" applyFont="1" applyBorder="1" applyAlignment="1">
      <alignment horizontal="left" vertical="center" wrapText="1"/>
    </xf>
    <xf numFmtId="0" fontId="2" fillId="0" borderId="48" xfId="0" applyFont="1" applyBorder="1" applyAlignment="1">
      <alignment horizontal="left" vertical="center" wrapText="1"/>
    </xf>
    <xf numFmtId="0" fontId="2" fillId="0" borderId="46" xfId="0" applyFont="1" applyBorder="1" applyAlignment="1">
      <alignment horizontal="left" vertical="center" wrapText="1" shrinkToFit="1"/>
    </xf>
    <xf numFmtId="0" fontId="2" fillId="0" borderId="47" xfId="0" applyFont="1" applyBorder="1" applyAlignment="1">
      <alignment horizontal="left" vertical="center" wrapText="1" shrinkToFit="1"/>
    </xf>
    <xf numFmtId="0" fontId="2" fillId="0" borderId="48" xfId="0" applyFont="1" applyBorder="1" applyAlignment="1">
      <alignment horizontal="left" vertical="center" wrapText="1" shrinkToFit="1"/>
    </xf>
    <xf numFmtId="0" fontId="2" fillId="0" borderId="90" xfId="0" applyFont="1" applyBorder="1" applyAlignment="1">
      <alignment horizontal="left" vertical="center" wrapText="1" shrinkToFit="1"/>
    </xf>
    <xf numFmtId="0" fontId="2" fillId="0" borderId="91" xfId="0" applyFont="1" applyBorder="1" applyAlignment="1">
      <alignment horizontal="left" vertical="center" wrapText="1" shrinkToFit="1"/>
    </xf>
    <xf numFmtId="0" fontId="2" fillId="0" borderId="92" xfId="0" applyFont="1" applyBorder="1" applyAlignment="1">
      <alignment horizontal="left" vertical="center" wrapText="1" shrinkToFit="1"/>
    </xf>
    <xf numFmtId="49" fontId="6" fillId="0" borderId="93" xfId="0" applyNumberFormat="1" applyFont="1" applyBorder="1" applyAlignment="1">
      <alignment horizontal="center" vertical="center"/>
    </xf>
    <xf numFmtId="49" fontId="6" fillId="0" borderId="94" xfId="0" applyNumberFormat="1" applyFont="1" applyBorder="1" applyAlignment="1">
      <alignment horizontal="center" vertical="center"/>
    </xf>
    <xf numFmtId="0" fontId="26" fillId="0" borderId="95" xfId="0" applyFont="1" applyBorder="1" applyAlignment="1">
      <alignment horizontal="left" vertical="center" wrapText="1" shrinkToFit="1"/>
    </xf>
    <xf numFmtId="0" fontId="26" fillId="0" borderId="96" xfId="0" applyFont="1" applyBorder="1" applyAlignment="1">
      <alignment horizontal="left" vertical="center" wrapText="1" shrinkToFit="1"/>
    </xf>
    <xf numFmtId="0" fontId="26" fillId="0" borderId="97" xfId="0" applyFont="1" applyBorder="1" applyAlignment="1">
      <alignment horizontal="left" vertical="center" wrapText="1" shrinkToFit="1"/>
    </xf>
    <xf numFmtId="0" fontId="26" fillId="0" borderId="98" xfId="0" applyFont="1" applyBorder="1" applyAlignment="1">
      <alignment horizontal="left" vertical="center" wrapText="1" shrinkToFit="1"/>
    </xf>
    <xf numFmtId="0" fontId="26" fillId="0" borderId="99" xfId="0" applyFont="1" applyBorder="1" applyAlignment="1">
      <alignment horizontal="left" vertical="center" wrapText="1" shrinkToFit="1"/>
    </xf>
  </cellXfs>
  <cellStyles count="4">
    <cellStyle name="桁区切り" xfId="1" builtinId="6"/>
    <cellStyle name="桁区切り 2" xfId="3"/>
    <cellStyle name="標準" xfId="0" builtinId="0"/>
    <cellStyle name="標準 2" xfId="2"/>
  </cellStyles>
  <dxfs count="1">
    <dxf>
      <font>
        <color rgb="FFA5A5A5"/>
      </font>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8"/>
  <sheetViews>
    <sheetView tabSelected="1" view="pageBreakPreview" topLeftCell="A63" zoomScale="94" zoomScaleNormal="100" zoomScaleSheetLayoutView="94" workbookViewId="0">
      <selection activeCell="Y91" sqref="Y91"/>
    </sheetView>
  </sheetViews>
  <sheetFormatPr defaultColWidth="14.44140625" defaultRowHeight="15" customHeight="1"/>
  <cols>
    <col min="1" max="1" width="2.44140625" customWidth="1"/>
    <col min="2" max="2" width="16.44140625" customWidth="1"/>
    <col min="3" max="19" width="5.6640625" customWidth="1"/>
    <col min="20" max="20" width="9" customWidth="1"/>
    <col min="21" max="21" width="3.6640625" customWidth="1"/>
    <col min="22" max="22" width="48.6640625" hidden="1" customWidth="1"/>
    <col min="23" max="26" width="9" customWidth="1"/>
  </cols>
  <sheetData>
    <row r="1" spans="1:26" ht="18" customHeight="1">
      <c r="A1" s="1"/>
      <c r="B1" s="1"/>
      <c r="C1" s="1"/>
      <c r="D1" s="1"/>
      <c r="E1" s="1"/>
      <c r="F1" s="1"/>
      <c r="G1" s="1"/>
      <c r="H1" s="1"/>
      <c r="I1" s="1"/>
      <c r="J1" s="1"/>
      <c r="K1" s="1"/>
      <c r="L1" s="1"/>
      <c r="M1" s="1"/>
      <c r="N1" s="1"/>
      <c r="O1" s="1"/>
      <c r="P1" s="1"/>
      <c r="Q1" s="1"/>
      <c r="R1" s="125" t="s">
        <v>0</v>
      </c>
      <c r="S1" s="124"/>
      <c r="T1" s="3" t="s">
        <v>1</v>
      </c>
      <c r="U1" s="1"/>
      <c r="V1" s="1"/>
      <c r="W1" s="1"/>
      <c r="X1" s="1"/>
      <c r="Y1" s="1"/>
      <c r="Z1" s="1"/>
    </row>
    <row r="2" spans="1:26" ht="18.75" customHeight="1">
      <c r="A2" s="1"/>
      <c r="B2" s="4" t="s">
        <v>2</v>
      </c>
      <c r="C2" s="114" t="s">
        <v>3</v>
      </c>
      <c r="D2" s="102"/>
      <c r="E2" s="102"/>
      <c r="F2" s="102"/>
      <c r="G2" s="102"/>
      <c r="H2" s="102"/>
      <c r="I2" s="103"/>
      <c r="J2" s="2"/>
      <c r="K2" s="5"/>
      <c r="L2" s="5"/>
      <c r="M2" s="5"/>
      <c r="N2" s="5"/>
      <c r="O2" s="5"/>
      <c r="P2" s="5"/>
      <c r="Q2" s="5"/>
      <c r="R2" s="5"/>
      <c r="S2" s="5"/>
      <c r="T2" s="1"/>
      <c r="U2" s="1"/>
      <c r="V2" s="1"/>
      <c r="W2" s="1"/>
      <c r="X2" s="1"/>
      <c r="Y2" s="1"/>
      <c r="Z2" s="1"/>
    </row>
    <row r="3" spans="1:26" ht="18.75" customHeight="1">
      <c r="A3" s="1"/>
      <c r="B3" s="4" t="s">
        <v>4</v>
      </c>
      <c r="C3" s="126" t="s">
        <v>178</v>
      </c>
      <c r="D3" s="127"/>
      <c r="E3" s="127"/>
      <c r="F3" s="127"/>
      <c r="G3" s="127"/>
      <c r="H3" s="127"/>
      <c r="I3" s="128"/>
      <c r="J3" s="2"/>
      <c r="K3" s="5"/>
      <c r="L3" s="5"/>
      <c r="M3" s="5"/>
      <c r="N3" s="5"/>
      <c r="O3" s="5"/>
      <c r="P3" s="5"/>
      <c r="Q3" s="5"/>
      <c r="R3" s="5"/>
      <c r="S3" s="5"/>
      <c r="T3" s="1"/>
      <c r="U3" s="1"/>
      <c r="V3" s="1"/>
      <c r="W3" s="1"/>
      <c r="X3" s="1"/>
      <c r="Y3" s="1"/>
      <c r="Z3" s="1"/>
    </row>
    <row r="4" spans="1:26" ht="15" customHeight="1">
      <c r="A4" s="1"/>
      <c r="B4" s="1"/>
      <c r="C4" s="1"/>
      <c r="D4" s="1"/>
      <c r="E4" s="1"/>
      <c r="F4" s="1"/>
      <c r="G4" s="1"/>
      <c r="H4" s="1"/>
      <c r="I4" s="1"/>
      <c r="J4" s="1"/>
      <c r="K4" s="2"/>
      <c r="L4" s="6"/>
      <c r="M4" s="6"/>
      <c r="N4" s="6"/>
      <c r="O4" s="6"/>
      <c r="P4" s="6"/>
      <c r="Q4" s="6"/>
      <c r="R4" s="6"/>
      <c r="S4" s="6"/>
      <c r="T4" s="1"/>
      <c r="U4" s="1"/>
      <c r="V4" s="1"/>
      <c r="W4" s="1"/>
      <c r="X4" s="1"/>
      <c r="Y4" s="1"/>
      <c r="Z4" s="1"/>
    </row>
    <row r="5" spans="1:26" ht="18" customHeight="1">
      <c r="A5" s="129" t="s">
        <v>5</v>
      </c>
      <c r="B5" s="124"/>
      <c r="C5" s="124"/>
      <c r="D5" s="124"/>
      <c r="E5" s="124"/>
      <c r="F5" s="124"/>
      <c r="G5" s="124"/>
      <c r="H5" s="124"/>
      <c r="I5" s="124"/>
      <c r="J5" s="124"/>
      <c r="K5" s="124"/>
      <c r="L5" s="124"/>
      <c r="M5" s="124"/>
      <c r="N5" s="124"/>
      <c r="O5" s="124"/>
      <c r="P5" s="124"/>
      <c r="Q5" s="124"/>
      <c r="R5" s="124"/>
      <c r="S5" s="124"/>
      <c r="T5" s="1"/>
      <c r="U5" s="1"/>
      <c r="V5" s="1"/>
      <c r="W5" s="1"/>
      <c r="X5" s="1"/>
      <c r="Y5" s="1"/>
      <c r="Z5" s="1"/>
    </row>
    <row r="6" spans="1:26" ht="15" customHeight="1">
      <c r="A6" s="1"/>
      <c r="B6" s="8"/>
      <c r="C6" s="8"/>
      <c r="D6" s="8"/>
      <c r="E6" s="8"/>
      <c r="F6" s="8"/>
      <c r="G6" s="8"/>
      <c r="H6" s="8"/>
      <c r="I6" s="8"/>
      <c r="J6" s="8"/>
      <c r="K6" s="8"/>
      <c r="L6" s="8"/>
      <c r="M6" s="8"/>
      <c r="N6" s="8"/>
      <c r="O6" s="8"/>
      <c r="P6" s="8"/>
      <c r="Q6" s="8"/>
      <c r="R6" s="8"/>
      <c r="S6" s="8"/>
      <c r="T6" s="1"/>
      <c r="U6" s="1"/>
      <c r="V6" s="1"/>
      <c r="W6" s="1"/>
      <c r="X6" s="1"/>
      <c r="Y6" s="1"/>
      <c r="Z6" s="1"/>
    </row>
    <row r="7" spans="1:26" ht="18" customHeight="1">
      <c r="A7" s="1" t="s">
        <v>6</v>
      </c>
      <c r="B7" s="1"/>
      <c r="C7" s="8"/>
      <c r="D7" s="1"/>
      <c r="E7" s="1"/>
      <c r="F7" s="1"/>
      <c r="G7" s="1"/>
      <c r="H7" s="1"/>
      <c r="I7" s="1"/>
      <c r="J7" s="9" t="s">
        <v>7</v>
      </c>
      <c r="K7" s="130" t="s">
        <v>8</v>
      </c>
      <c r="L7" s="102"/>
      <c r="M7" s="102"/>
      <c r="N7" s="102"/>
      <c r="O7" s="102"/>
      <c r="P7" s="102"/>
      <c r="Q7" s="102"/>
      <c r="R7" s="102"/>
      <c r="S7" s="103"/>
      <c r="T7" s="1"/>
      <c r="U7" s="1"/>
      <c r="V7" s="1"/>
      <c r="W7" s="1"/>
      <c r="X7" s="1"/>
      <c r="Y7" s="1"/>
      <c r="Z7" s="1"/>
    </row>
    <row r="8" spans="1:26" ht="6" customHeight="1">
      <c r="A8" s="1"/>
      <c r="B8" s="8"/>
      <c r="C8" s="8"/>
      <c r="D8" s="8"/>
      <c r="E8" s="8"/>
      <c r="F8" s="8"/>
      <c r="G8" s="8"/>
      <c r="H8" s="8"/>
      <c r="I8" s="8"/>
      <c r="J8" s="8"/>
      <c r="K8" s="10"/>
      <c r="L8" s="8"/>
      <c r="M8" s="8"/>
      <c r="N8" s="8"/>
      <c r="O8" s="8"/>
      <c r="P8" s="8"/>
      <c r="Q8" s="8"/>
      <c r="R8" s="8"/>
      <c r="S8" s="8"/>
      <c r="T8" s="1"/>
      <c r="U8" s="1"/>
      <c r="V8" s="1"/>
      <c r="W8" s="1"/>
      <c r="X8" s="1"/>
      <c r="Y8" s="1"/>
      <c r="Z8" s="1"/>
    </row>
    <row r="9" spans="1:26" ht="18" customHeight="1">
      <c r="A9" s="1"/>
      <c r="B9" s="131"/>
      <c r="C9" s="108"/>
      <c r="D9" s="108"/>
      <c r="E9" s="108"/>
      <c r="F9" s="108"/>
      <c r="G9" s="108"/>
      <c r="H9" s="108"/>
      <c r="I9" s="108"/>
      <c r="J9" s="108"/>
      <c r="K9" s="108"/>
      <c r="L9" s="108"/>
      <c r="M9" s="108"/>
      <c r="N9" s="108"/>
      <c r="O9" s="108"/>
      <c r="P9" s="108"/>
      <c r="Q9" s="108"/>
      <c r="R9" s="108"/>
      <c r="S9" s="109"/>
      <c r="T9" s="1"/>
      <c r="U9" s="1"/>
      <c r="V9" s="1"/>
      <c r="W9" s="1"/>
      <c r="X9" s="1"/>
      <c r="Y9" s="1"/>
      <c r="Z9" s="1"/>
    </row>
    <row r="10" spans="1:26" ht="18" customHeight="1">
      <c r="A10" s="1"/>
      <c r="B10" s="132"/>
      <c r="C10" s="119"/>
      <c r="D10" s="119"/>
      <c r="E10" s="119"/>
      <c r="F10" s="119"/>
      <c r="G10" s="119"/>
      <c r="H10" s="119"/>
      <c r="I10" s="119"/>
      <c r="J10" s="119"/>
      <c r="K10" s="119"/>
      <c r="L10" s="119"/>
      <c r="M10" s="119"/>
      <c r="N10" s="119"/>
      <c r="O10" s="119"/>
      <c r="P10" s="119"/>
      <c r="Q10" s="119"/>
      <c r="R10" s="119"/>
      <c r="S10" s="120"/>
      <c r="T10" s="1"/>
      <c r="U10" s="1"/>
      <c r="V10" s="1"/>
      <c r="W10" s="1"/>
      <c r="X10" s="1"/>
      <c r="Y10" s="1"/>
      <c r="Z10" s="1"/>
    </row>
    <row r="11" spans="1:26" ht="6" customHeight="1">
      <c r="A11" s="1"/>
      <c r="B11" s="8"/>
      <c r="C11" s="8"/>
      <c r="D11" s="8"/>
      <c r="E11" s="8"/>
      <c r="F11" s="8"/>
      <c r="G11" s="8"/>
      <c r="H11" s="8"/>
      <c r="I11" s="8"/>
      <c r="J11" s="8"/>
      <c r="K11" s="10"/>
      <c r="L11" s="8"/>
      <c r="M11" s="8"/>
      <c r="N11" s="8"/>
      <c r="O11" s="8"/>
      <c r="P11" s="8"/>
      <c r="Q11" s="8"/>
      <c r="R11" s="8"/>
      <c r="S11" s="8"/>
      <c r="T11" s="1"/>
      <c r="U11" s="1"/>
      <c r="V11" s="1"/>
      <c r="W11" s="1"/>
      <c r="X11" s="1"/>
      <c r="Y11" s="1"/>
      <c r="Z11" s="1"/>
    </row>
    <row r="12" spans="1:26" ht="18" customHeight="1">
      <c r="A12" s="1" t="s">
        <v>9</v>
      </c>
      <c r="B12" s="8"/>
      <c r="C12" s="8"/>
      <c r="D12" s="2"/>
      <c r="E12" s="2"/>
      <c r="F12" s="2"/>
      <c r="G12" s="2"/>
      <c r="H12" s="2"/>
      <c r="I12" s="2"/>
      <c r="J12" s="2"/>
      <c r="K12" s="11" t="s">
        <v>8</v>
      </c>
      <c r="L12" s="11"/>
      <c r="M12" s="11"/>
      <c r="N12" s="11"/>
      <c r="O12" s="11"/>
      <c r="P12" s="11"/>
      <c r="Q12" s="11"/>
      <c r="R12" s="11"/>
      <c r="S12" s="11"/>
      <c r="T12" s="1"/>
      <c r="U12" s="1"/>
      <c r="V12" s="1"/>
      <c r="W12" s="1"/>
      <c r="X12" s="1"/>
      <c r="Y12" s="1"/>
      <c r="Z12" s="1"/>
    </row>
    <row r="13" spans="1:26" ht="18" customHeight="1">
      <c r="A13" s="1"/>
      <c r="B13" s="133" t="s">
        <v>102</v>
      </c>
      <c r="C13" s="108"/>
      <c r="D13" s="108"/>
      <c r="E13" s="108"/>
      <c r="F13" s="108"/>
      <c r="G13" s="108"/>
      <c r="H13" s="108"/>
      <c r="I13" s="108"/>
      <c r="J13" s="108"/>
      <c r="K13" s="108"/>
      <c r="L13" s="108"/>
      <c r="M13" s="108"/>
      <c r="N13" s="108"/>
      <c r="O13" s="108"/>
      <c r="P13" s="108"/>
      <c r="Q13" s="108"/>
      <c r="R13" s="108"/>
      <c r="S13" s="109"/>
      <c r="T13" s="1"/>
      <c r="U13" s="1"/>
      <c r="V13" s="1" t="s">
        <v>10</v>
      </c>
      <c r="W13" s="1"/>
      <c r="X13" s="1"/>
      <c r="Y13" s="1"/>
      <c r="Z13" s="1"/>
    </row>
    <row r="14" spans="1:26" ht="18" customHeight="1">
      <c r="A14" s="1"/>
      <c r="B14" s="134"/>
      <c r="C14" s="124"/>
      <c r="D14" s="124"/>
      <c r="E14" s="124"/>
      <c r="F14" s="124"/>
      <c r="G14" s="124"/>
      <c r="H14" s="124"/>
      <c r="I14" s="124"/>
      <c r="J14" s="124"/>
      <c r="K14" s="124"/>
      <c r="L14" s="124"/>
      <c r="M14" s="124"/>
      <c r="N14" s="124"/>
      <c r="O14" s="124"/>
      <c r="P14" s="124"/>
      <c r="Q14" s="124"/>
      <c r="R14" s="124"/>
      <c r="S14" s="135"/>
      <c r="T14" s="1"/>
      <c r="U14" s="1"/>
      <c r="V14" s="1" t="s">
        <v>11</v>
      </c>
      <c r="W14" s="1"/>
      <c r="X14" s="1"/>
      <c r="Y14" s="1"/>
      <c r="Z14" s="1"/>
    </row>
    <row r="15" spans="1:26" ht="18" customHeight="1">
      <c r="A15" s="1"/>
      <c r="B15" s="134"/>
      <c r="C15" s="124"/>
      <c r="D15" s="124"/>
      <c r="E15" s="124"/>
      <c r="F15" s="124"/>
      <c r="G15" s="124"/>
      <c r="H15" s="124"/>
      <c r="I15" s="124"/>
      <c r="J15" s="124"/>
      <c r="K15" s="124"/>
      <c r="L15" s="124"/>
      <c r="M15" s="124"/>
      <c r="N15" s="124"/>
      <c r="O15" s="124"/>
      <c r="P15" s="124"/>
      <c r="Q15" s="124"/>
      <c r="R15" s="124"/>
      <c r="S15" s="135"/>
      <c r="T15" s="1"/>
      <c r="U15" s="1"/>
      <c r="V15" s="1" t="s">
        <v>12</v>
      </c>
      <c r="W15" s="1"/>
      <c r="X15" s="1"/>
      <c r="Y15" s="1"/>
      <c r="Z15" s="1"/>
    </row>
    <row r="16" spans="1:26" ht="18" customHeight="1">
      <c r="A16" s="1"/>
      <c r="B16" s="134"/>
      <c r="C16" s="124"/>
      <c r="D16" s="124"/>
      <c r="E16" s="124"/>
      <c r="F16" s="124"/>
      <c r="G16" s="124"/>
      <c r="H16" s="124"/>
      <c r="I16" s="124"/>
      <c r="J16" s="124"/>
      <c r="K16" s="124"/>
      <c r="L16" s="124"/>
      <c r="M16" s="124"/>
      <c r="N16" s="124"/>
      <c r="O16" s="124"/>
      <c r="P16" s="124"/>
      <c r="Q16" s="124"/>
      <c r="R16" s="124"/>
      <c r="S16" s="135"/>
      <c r="T16" s="1"/>
      <c r="U16" s="1"/>
      <c r="V16" s="1" t="s">
        <v>13</v>
      </c>
      <c r="W16" s="1"/>
      <c r="X16" s="1"/>
      <c r="Y16" s="1"/>
      <c r="Z16" s="1"/>
    </row>
    <row r="17" spans="1:26" ht="18" customHeight="1">
      <c r="A17" s="1"/>
      <c r="B17" s="134"/>
      <c r="C17" s="124"/>
      <c r="D17" s="124"/>
      <c r="E17" s="124"/>
      <c r="F17" s="124"/>
      <c r="G17" s="124"/>
      <c r="H17" s="124"/>
      <c r="I17" s="124"/>
      <c r="J17" s="124"/>
      <c r="K17" s="124"/>
      <c r="L17" s="124"/>
      <c r="M17" s="124"/>
      <c r="N17" s="124"/>
      <c r="O17" s="124"/>
      <c r="P17" s="124"/>
      <c r="Q17" s="124"/>
      <c r="R17" s="124"/>
      <c r="S17" s="135"/>
      <c r="T17" s="1"/>
      <c r="U17" s="1"/>
      <c r="V17" s="1"/>
      <c r="W17" s="1"/>
      <c r="X17" s="1"/>
      <c r="Y17" s="1"/>
      <c r="Z17" s="1"/>
    </row>
    <row r="18" spans="1:26" ht="18" customHeight="1">
      <c r="A18" s="1"/>
      <c r="B18" s="132"/>
      <c r="C18" s="119"/>
      <c r="D18" s="119"/>
      <c r="E18" s="119"/>
      <c r="F18" s="119"/>
      <c r="G18" s="119"/>
      <c r="H18" s="119"/>
      <c r="I18" s="119"/>
      <c r="J18" s="119"/>
      <c r="K18" s="119"/>
      <c r="L18" s="119"/>
      <c r="M18" s="119"/>
      <c r="N18" s="119"/>
      <c r="O18" s="119"/>
      <c r="P18" s="119"/>
      <c r="Q18" s="119"/>
      <c r="R18" s="119"/>
      <c r="S18" s="120"/>
      <c r="T18" s="1"/>
      <c r="U18" s="1"/>
      <c r="V18" s="1"/>
      <c r="W18" s="1"/>
      <c r="X18" s="1"/>
      <c r="Y18" s="1"/>
      <c r="Z18" s="1"/>
    </row>
    <row r="19" spans="1:26" ht="7.5" customHeight="1">
      <c r="A19" s="1"/>
      <c r="B19" s="8"/>
      <c r="C19" s="8"/>
      <c r="D19" s="8"/>
      <c r="E19" s="8"/>
      <c r="F19" s="8"/>
      <c r="G19" s="8"/>
      <c r="H19" s="8"/>
      <c r="I19" s="8"/>
      <c r="J19" s="8"/>
      <c r="K19" s="8"/>
      <c r="L19" s="8"/>
      <c r="M19" s="8"/>
      <c r="N19" s="8"/>
      <c r="O19" s="8"/>
      <c r="P19" s="8"/>
      <c r="Q19" s="8"/>
      <c r="R19" s="8"/>
      <c r="S19" s="8"/>
      <c r="T19" s="1"/>
      <c r="U19" s="1"/>
      <c r="V19" s="1"/>
      <c r="W19" s="1"/>
      <c r="X19" s="1"/>
      <c r="Y19" s="1"/>
      <c r="Z19" s="1"/>
    </row>
    <row r="20" spans="1:26" ht="19.5" customHeight="1">
      <c r="A20" s="1"/>
      <c r="B20" s="1" t="s">
        <v>14</v>
      </c>
      <c r="C20" s="114">
        <v>2</v>
      </c>
      <c r="D20" s="103"/>
      <c r="E20" s="12" t="s">
        <v>15</v>
      </c>
      <c r="F20" s="1"/>
      <c r="G20" s="10"/>
      <c r="H20" s="8"/>
      <c r="I20" s="8"/>
      <c r="J20" s="2" t="s">
        <v>16</v>
      </c>
      <c r="K20" s="136" t="s">
        <v>13</v>
      </c>
      <c r="L20" s="102"/>
      <c r="M20" s="102"/>
      <c r="N20" s="102"/>
      <c r="O20" s="102"/>
      <c r="P20" s="102"/>
      <c r="Q20" s="102"/>
      <c r="R20" s="102"/>
      <c r="S20" s="103"/>
      <c r="T20" s="1"/>
      <c r="U20" s="1"/>
      <c r="V20" s="1"/>
      <c r="W20" s="1"/>
      <c r="X20" s="1"/>
      <c r="Y20" s="1"/>
      <c r="Z20" s="1"/>
    </row>
    <row r="21" spans="1:26" ht="7.5" customHeight="1">
      <c r="A21" s="1"/>
      <c r="B21" s="8"/>
      <c r="C21" s="8"/>
      <c r="D21" s="8"/>
      <c r="E21" s="8"/>
      <c r="F21" s="8"/>
      <c r="G21" s="8"/>
      <c r="H21" s="8"/>
      <c r="I21" s="8"/>
      <c r="J21" s="8"/>
      <c r="K21" s="8"/>
      <c r="L21" s="8"/>
      <c r="M21" s="8"/>
      <c r="N21" s="8"/>
      <c r="O21" s="8"/>
      <c r="P21" s="8"/>
      <c r="Q21" s="8"/>
      <c r="R21" s="8"/>
      <c r="S21" s="8"/>
      <c r="T21" s="1"/>
      <c r="U21" s="1"/>
      <c r="V21" s="1"/>
      <c r="W21" s="1"/>
      <c r="X21" s="1"/>
      <c r="Y21" s="1"/>
      <c r="Z21" s="1"/>
    </row>
    <row r="22" spans="1:26" ht="18" customHeight="1">
      <c r="A22" s="123" t="s">
        <v>17</v>
      </c>
      <c r="B22" s="124"/>
      <c r="C22" s="124"/>
      <c r="D22" s="124"/>
      <c r="E22" s="124"/>
      <c r="F22" s="124"/>
      <c r="G22" s="124"/>
      <c r="H22" s="124"/>
      <c r="I22" s="124"/>
      <c r="J22" s="124"/>
      <c r="K22" s="124"/>
      <c r="L22" s="124"/>
      <c r="M22" s="124"/>
      <c r="N22" s="124"/>
      <c r="O22" s="124"/>
      <c r="P22" s="124"/>
      <c r="Q22" s="124"/>
      <c r="R22" s="124"/>
      <c r="S22" s="124"/>
      <c r="T22" s="1"/>
      <c r="U22" s="1"/>
      <c r="V22" s="1"/>
      <c r="W22" s="1"/>
      <c r="X22" s="1"/>
      <c r="Y22" s="1"/>
      <c r="Z22" s="1"/>
    </row>
    <row r="23" spans="1:26" ht="18" customHeight="1">
      <c r="A23" s="124"/>
      <c r="B23" s="124"/>
      <c r="C23" s="124"/>
      <c r="D23" s="124"/>
      <c r="E23" s="124"/>
      <c r="F23" s="124"/>
      <c r="G23" s="124"/>
      <c r="H23" s="124"/>
      <c r="I23" s="124"/>
      <c r="J23" s="124"/>
      <c r="K23" s="124"/>
      <c r="L23" s="124"/>
      <c r="M23" s="124"/>
      <c r="N23" s="124"/>
      <c r="O23" s="124"/>
      <c r="P23" s="124"/>
      <c r="Q23" s="124"/>
      <c r="R23" s="124"/>
      <c r="S23" s="124"/>
      <c r="T23" s="1"/>
      <c r="U23" s="1"/>
      <c r="V23" s="1"/>
      <c r="W23" s="1"/>
      <c r="X23" s="1"/>
      <c r="Y23" s="1"/>
      <c r="Z23" s="1"/>
    </row>
    <row r="24" spans="1:26" ht="18" customHeight="1">
      <c r="A24" s="1"/>
      <c r="B24" s="114" t="s">
        <v>18</v>
      </c>
      <c r="C24" s="102"/>
      <c r="D24" s="102"/>
      <c r="E24" s="103"/>
      <c r="F24" s="14" t="s">
        <v>19</v>
      </c>
      <c r="G24" s="15" t="s">
        <v>20</v>
      </c>
      <c r="H24" s="16" t="s">
        <v>21</v>
      </c>
      <c r="I24" s="16" t="s">
        <v>22</v>
      </c>
      <c r="J24" s="114" t="s">
        <v>18</v>
      </c>
      <c r="K24" s="102"/>
      <c r="L24" s="102"/>
      <c r="M24" s="102"/>
      <c r="N24" s="102"/>
      <c r="O24" s="103"/>
      <c r="P24" s="14" t="s">
        <v>19</v>
      </c>
      <c r="Q24" s="15" t="s">
        <v>20</v>
      </c>
      <c r="R24" s="16" t="s">
        <v>21</v>
      </c>
      <c r="S24" s="16" t="s">
        <v>22</v>
      </c>
      <c r="T24" s="1"/>
      <c r="U24" s="1"/>
      <c r="V24" s="1"/>
      <c r="W24" s="1"/>
      <c r="X24" s="1"/>
      <c r="Y24" s="1"/>
      <c r="Z24" s="1"/>
    </row>
    <row r="25" spans="1:26" ht="18" customHeight="1">
      <c r="A25" s="1"/>
      <c r="B25" s="117" t="s">
        <v>103</v>
      </c>
      <c r="C25" s="111"/>
      <c r="D25" s="111"/>
      <c r="E25" s="112"/>
      <c r="F25" s="17">
        <v>2</v>
      </c>
      <c r="G25" s="17" t="s">
        <v>105</v>
      </c>
      <c r="H25" s="17" t="s">
        <v>105</v>
      </c>
      <c r="I25" s="17" t="s">
        <v>105</v>
      </c>
      <c r="J25" s="117"/>
      <c r="K25" s="111"/>
      <c r="L25" s="111"/>
      <c r="M25" s="111"/>
      <c r="N25" s="111"/>
      <c r="O25" s="112"/>
      <c r="P25" s="17"/>
      <c r="Q25" s="17"/>
      <c r="R25" s="17"/>
      <c r="S25" s="17"/>
      <c r="T25" s="1"/>
      <c r="U25" s="1"/>
      <c r="V25" s="1"/>
      <c r="W25" s="1"/>
      <c r="X25" s="1"/>
      <c r="Y25" s="1"/>
      <c r="Z25" s="1"/>
    </row>
    <row r="26" spans="1:26" ht="18" customHeight="1">
      <c r="A26" s="1"/>
      <c r="B26" s="96"/>
      <c r="C26" s="94"/>
      <c r="D26" s="94"/>
      <c r="E26" s="95"/>
      <c r="F26" s="18"/>
      <c r="G26" s="18"/>
      <c r="H26" s="18"/>
      <c r="I26" s="18"/>
      <c r="J26" s="96"/>
      <c r="K26" s="94"/>
      <c r="L26" s="94"/>
      <c r="M26" s="94"/>
      <c r="N26" s="94"/>
      <c r="O26" s="95"/>
      <c r="P26" s="18"/>
      <c r="Q26" s="18"/>
      <c r="R26" s="18"/>
      <c r="S26" s="18"/>
      <c r="T26" s="1"/>
      <c r="U26" s="1"/>
      <c r="V26" s="1"/>
      <c r="W26" s="1"/>
      <c r="X26" s="1"/>
      <c r="Y26" s="1"/>
      <c r="Z26" s="1"/>
    </row>
    <row r="27" spans="1:26" ht="18" customHeight="1">
      <c r="A27" s="1"/>
      <c r="B27" s="96"/>
      <c r="C27" s="94"/>
      <c r="D27" s="94"/>
      <c r="E27" s="95"/>
      <c r="F27" s="18"/>
      <c r="G27" s="18"/>
      <c r="H27" s="18"/>
      <c r="I27" s="18"/>
      <c r="J27" s="96"/>
      <c r="K27" s="94"/>
      <c r="L27" s="94"/>
      <c r="M27" s="94"/>
      <c r="N27" s="94"/>
      <c r="O27" s="95"/>
      <c r="P27" s="18"/>
      <c r="Q27" s="18"/>
      <c r="R27" s="18"/>
      <c r="S27" s="18"/>
      <c r="T27" s="1"/>
      <c r="U27" s="1"/>
      <c r="V27" s="1"/>
      <c r="W27" s="1"/>
      <c r="X27" s="1"/>
      <c r="Y27" s="1"/>
      <c r="Z27" s="1"/>
    </row>
    <row r="28" spans="1:26" ht="18" customHeight="1">
      <c r="A28" s="1"/>
      <c r="B28" s="96"/>
      <c r="C28" s="94"/>
      <c r="D28" s="94"/>
      <c r="E28" s="95"/>
      <c r="F28" s="18"/>
      <c r="G28" s="18"/>
      <c r="H28" s="18"/>
      <c r="I28" s="18"/>
      <c r="J28" s="96"/>
      <c r="K28" s="94"/>
      <c r="L28" s="94"/>
      <c r="M28" s="94"/>
      <c r="N28" s="94"/>
      <c r="O28" s="95"/>
      <c r="P28" s="18"/>
      <c r="Q28" s="18"/>
      <c r="R28" s="18"/>
      <c r="S28" s="18"/>
      <c r="T28" s="1"/>
      <c r="U28" s="1"/>
      <c r="V28" s="1"/>
      <c r="W28" s="1"/>
      <c r="X28" s="1"/>
      <c r="Y28" s="1"/>
      <c r="Z28" s="1"/>
    </row>
    <row r="29" spans="1:26" ht="18" customHeight="1">
      <c r="A29" s="1"/>
      <c r="B29" s="96"/>
      <c r="C29" s="94"/>
      <c r="D29" s="94"/>
      <c r="E29" s="95"/>
      <c r="F29" s="18"/>
      <c r="G29" s="18"/>
      <c r="H29" s="18"/>
      <c r="I29" s="18"/>
      <c r="J29" s="96"/>
      <c r="K29" s="94"/>
      <c r="L29" s="94"/>
      <c r="M29" s="94"/>
      <c r="N29" s="94"/>
      <c r="O29" s="95"/>
      <c r="P29" s="18"/>
      <c r="Q29" s="18"/>
      <c r="R29" s="18"/>
      <c r="S29" s="18"/>
      <c r="T29" s="1"/>
      <c r="U29" s="1"/>
      <c r="V29" s="1"/>
      <c r="W29" s="1"/>
      <c r="X29" s="1"/>
      <c r="Y29" s="1"/>
      <c r="Z29" s="1"/>
    </row>
    <row r="30" spans="1:26" ht="18" customHeight="1">
      <c r="A30" s="8"/>
      <c r="B30" s="96"/>
      <c r="C30" s="94"/>
      <c r="D30" s="94"/>
      <c r="E30" s="95"/>
      <c r="F30" s="18"/>
      <c r="G30" s="18"/>
      <c r="H30" s="18"/>
      <c r="I30" s="18"/>
      <c r="J30" s="96"/>
      <c r="K30" s="94"/>
      <c r="L30" s="94"/>
      <c r="M30" s="94"/>
      <c r="N30" s="94"/>
      <c r="O30" s="95"/>
      <c r="P30" s="18"/>
      <c r="Q30" s="18"/>
      <c r="R30" s="18"/>
      <c r="S30" s="18"/>
      <c r="T30" s="1"/>
      <c r="U30" s="1"/>
      <c r="V30" s="1"/>
      <c r="W30" s="1"/>
      <c r="X30" s="1"/>
      <c r="Y30" s="1"/>
      <c r="Z30" s="1"/>
    </row>
    <row r="31" spans="1:26" ht="18" customHeight="1">
      <c r="A31" s="8"/>
      <c r="B31" s="97"/>
      <c r="C31" s="98"/>
      <c r="D31" s="98"/>
      <c r="E31" s="99"/>
      <c r="F31" s="19"/>
      <c r="G31" s="19"/>
      <c r="H31" s="20"/>
      <c r="I31" s="20"/>
      <c r="J31" s="97"/>
      <c r="K31" s="98"/>
      <c r="L31" s="98"/>
      <c r="M31" s="98"/>
      <c r="N31" s="98"/>
      <c r="O31" s="99"/>
      <c r="P31" s="19"/>
      <c r="Q31" s="19"/>
      <c r="R31" s="20"/>
      <c r="S31" s="20"/>
      <c r="T31" s="1"/>
      <c r="U31" s="1"/>
      <c r="V31" s="1"/>
      <c r="W31" s="1"/>
      <c r="X31" s="1"/>
      <c r="Y31" s="1"/>
      <c r="Z31" s="1"/>
    </row>
    <row r="32" spans="1:26" ht="7.5" customHeight="1">
      <c r="A32" s="8"/>
      <c r="B32" s="5"/>
      <c r="C32" s="5"/>
      <c r="D32" s="8"/>
      <c r="E32" s="8"/>
      <c r="F32" s="8"/>
      <c r="G32" s="8"/>
      <c r="H32" s="5"/>
      <c r="I32" s="5"/>
      <c r="J32" s="5"/>
      <c r="K32" s="5"/>
      <c r="L32" s="5"/>
      <c r="M32" s="5"/>
      <c r="N32" s="5"/>
      <c r="O32" s="5"/>
      <c r="P32" s="5"/>
      <c r="Q32" s="5"/>
      <c r="R32" s="5"/>
      <c r="S32" s="8"/>
      <c r="T32" s="1"/>
      <c r="U32" s="1"/>
      <c r="V32" s="1"/>
      <c r="W32" s="1"/>
      <c r="X32" s="1"/>
      <c r="Y32" s="1"/>
      <c r="Z32" s="1"/>
    </row>
    <row r="33" spans="1:26" ht="18" customHeight="1">
      <c r="A33" s="123" t="s">
        <v>23</v>
      </c>
      <c r="B33" s="124"/>
      <c r="C33" s="124"/>
      <c r="D33" s="124"/>
      <c r="E33" s="124"/>
      <c r="F33" s="124"/>
      <c r="G33" s="124"/>
      <c r="H33" s="124"/>
      <c r="I33" s="124"/>
      <c r="J33" s="124"/>
      <c r="K33" s="124"/>
      <c r="L33" s="124"/>
      <c r="M33" s="124"/>
      <c r="N33" s="124"/>
      <c r="O33" s="124"/>
      <c r="P33" s="124"/>
      <c r="Q33" s="124"/>
      <c r="R33" s="124"/>
      <c r="S33" s="124"/>
      <c r="T33" s="1"/>
      <c r="U33" s="1"/>
      <c r="V33" s="1"/>
      <c r="W33" s="1"/>
      <c r="X33" s="1"/>
      <c r="Y33" s="1"/>
      <c r="Z33" s="1"/>
    </row>
    <row r="34" spans="1:26" ht="18" customHeight="1">
      <c r="A34" s="124"/>
      <c r="B34" s="124"/>
      <c r="C34" s="124"/>
      <c r="D34" s="124"/>
      <c r="E34" s="124"/>
      <c r="F34" s="124"/>
      <c r="G34" s="124"/>
      <c r="H34" s="124"/>
      <c r="I34" s="124"/>
      <c r="J34" s="124"/>
      <c r="K34" s="124"/>
      <c r="L34" s="124"/>
      <c r="M34" s="124"/>
      <c r="N34" s="124"/>
      <c r="O34" s="124"/>
      <c r="P34" s="124"/>
      <c r="Q34" s="124"/>
      <c r="R34" s="124"/>
      <c r="S34" s="124"/>
      <c r="T34" s="1"/>
      <c r="U34" s="1"/>
      <c r="V34" s="1"/>
      <c r="W34" s="1"/>
      <c r="X34" s="1"/>
      <c r="Y34" s="1"/>
      <c r="Z34" s="1"/>
    </row>
    <row r="35" spans="1:26" ht="18" customHeight="1">
      <c r="A35" s="1"/>
      <c r="B35" s="114" t="s">
        <v>18</v>
      </c>
      <c r="C35" s="102"/>
      <c r="D35" s="102"/>
      <c r="E35" s="103"/>
      <c r="F35" s="14" t="s">
        <v>19</v>
      </c>
      <c r="G35" s="15" t="s">
        <v>20</v>
      </c>
      <c r="H35" s="16" t="s">
        <v>24</v>
      </c>
      <c r="I35" s="16" t="s">
        <v>25</v>
      </c>
      <c r="J35" s="114" t="s">
        <v>18</v>
      </c>
      <c r="K35" s="102"/>
      <c r="L35" s="102"/>
      <c r="M35" s="102"/>
      <c r="N35" s="102"/>
      <c r="O35" s="103"/>
      <c r="P35" s="14" t="s">
        <v>19</v>
      </c>
      <c r="Q35" s="15" t="s">
        <v>20</v>
      </c>
      <c r="R35" s="16" t="s">
        <v>24</v>
      </c>
      <c r="S35" s="16" t="s">
        <v>25</v>
      </c>
      <c r="T35" s="1"/>
      <c r="U35" s="1"/>
      <c r="V35" s="1"/>
      <c r="W35" s="1"/>
      <c r="X35" s="1"/>
      <c r="Y35" s="1"/>
      <c r="Z35" s="1"/>
    </row>
    <row r="36" spans="1:26" ht="18" customHeight="1">
      <c r="A36" s="1"/>
      <c r="B36" s="117" t="s">
        <v>104</v>
      </c>
      <c r="C36" s="111"/>
      <c r="D36" s="111"/>
      <c r="E36" s="112"/>
      <c r="F36" s="17">
        <v>2</v>
      </c>
      <c r="G36" s="17" t="s">
        <v>105</v>
      </c>
      <c r="H36" s="17" t="s">
        <v>105</v>
      </c>
      <c r="I36" s="17" t="s">
        <v>105</v>
      </c>
      <c r="J36" s="117"/>
      <c r="K36" s="111"/>
      <c r="L36" s="111"/>
      <c r="M36" s="111"/>
      <c r="N36" s="111"/>
      <c r="O36" s="112"/>
      <c r="P36" s="17"/>
      <c r="Q36" s="17"/>
      <c r="R36" s="17"/>
      <c r="S36" s="17"/>
      <c r="T36" s="1"/>
      <c r="U36" s="1"/>
      <c r="V36" s="1"/>
      <c r="W36" s="1"/>
      <c r="X36" s="1"/>
      <c r="Y36" s="1"/>
      <c r="Z36" s="1"/>
    </row>
    <row r="37" spans="1:26" ht="18" customHeight="1">
      <c r="A37" s="1"/>
      <c r="B37" s="96"/>
      <c r="C37" s="94"/>
      <c r="D37" s="94"/>
      <c r="E37" s="95"/>
      <c r="F37" s="18"/>
      <c r="G37" s="18"/>
      <c r="H37" s="18"/>
      <c r="I37" s="18"/>
      <c r="J37" s="96"/>
      <c r="K37" s="94"/>
      <c r="L37" s="94"/>
      <c r="M37" s="94"/>
      <c r="N37" s="94"/>
      <c r="O37" s="95"/>
      <c r="P37" s="18"/>
      <c r="Q37" s="18"/>
      <c r="R37" s="18"/>
      <c r="S37" s="18"/>
      <c r="T37" s="1"/>
      <c r="U37" s="1"/>
      <c r="V37" s="1"/>
      <c r="W37" s="1"/>
      <c r="X37" s="1"/>
      <c r="Y37" s="1"/>
      <c r="Z37" s="1"/>
    </row>
    <row r="38" spans="1:26" ht="18" customHeight="1">
      <c r="A38" s="1"/>
      <c r="B38" s="96"/>
      <c r="C38" s="94"/>
      <c r="D38" s="94"/>
      <c r="E38" s="95"/>
      <c r="F38" s="18"/>
      <c r="G38" s="18"/>
      <c r="H38" s="18"/>
      <c r="I38" s="18"/>
      <c r="J38" s="96"/>
      <c r="K38" s="94"/>
      <c r="L38" s="94"/>
      <c r="M38" s="94"/>
      <c r="N38" s="94"/>
      <c r="O38" s="95"/>
      <c r="P38" s="18"/>
      <c r="Q38" s="18"/>
      <c r="R38" s="18"/>
      <c r="S38" s="18"/>
      <c r="T38" s="1"/>
      <c r="U38" s="1"/>
      <c r="V38" s="1"/>
      <c r="W38" s="1"/>
      <c r="X38" s="1"/>
      <c r="Y38" s="1"/>
      <c r="Z38" s="1"/>
    </row>
    <row r="39" spans="1:26" ht="18" customHeight="1">
      <c r="A39" s="1"/>
      <c r="B39" s="96"/>
      <c r="C39" s="94"/>
      <c r="D39" s="94"/>
      <c r="E39" s="95"/>
      <c r="F39" s="18"/>
      <c r="G39" s="18"/>
      <c r="H39" s="18"/>
      <c r="I39" s="18"/>
      <c r="J39" s="96"/>
      <c r="K39" s="94"/>
      <c r="L39" s="94"/>
      <c r="M39" s="94"/>
      <c r="N39" s="94"/>
      <c r="O39" s="95"/>
      <c r="P39" s="18"/>
      <c r="Q39" s="18"/>
      <c r="R39" s="18"/>
      <c r="S39" s="18"/>
      <c r="T39" s="1"/>
      <c r="U39" s="1"/>
      <c r="V39" s="1"/>
      <c r="W39" s="1"/>
      <c r="X39" s="1"/>
      <c r="Y39" s="1"/>
      <c r="Z39" s="1"/>
    </row>
    <row r="40" spans="1:26" ht="18" customHeight="1">
      <c r="A40" s="1"/>
      <c r="B40" s="96"/>
      <c r="C40" s="94"/>
      <c r="D40" s="94"/>
      <c r="E40" s="95"/>
      <c r="F40" s="18"/>
      <c r="G40" s="18"/>
      <c r="H40" s="18"/>
      <c r="I40" s="18"/>
      <c r="J40" s="96"/>
      <c r="K40" s="94"/>
      <c r="L40" s="94"/>
      <c r="M40" s="94"/>
      <c r="N40" s="94"/>
      <c r="O40" s="95"/>
      <c r="P40" s="18"/>
      <c r="Q40" s="18"/>
      <c r="R40" s="18"/>
      <c r="S40" s="18"/>
      <c r="T40" s="1"/>
      <c r="U40" s="1"/>
      <c r="V40" s="1"/>
      <c r="W40" s="1"/>
      <c r="X40" s="1"/>
      <c r="Y40" s="1"/>
      <c r="Z40" s="1"/>
    </row>
    <row r="41" spans="1:26" ht="18" customHeight="1">
      <c r="A41" s="1"/>
      <c r="B41" s="96"/>
      <c r="C41" s="94"/>
      <c r="D41" s="94"/>
      <c r="E41" s="95"/>
      <c r="F41" s="18"/>
      <c r="G41" s="18"/>
      <c r="H41" s="18"/>
      <c r="I41" s="18"/>
      <c r="J41" s="96"/>
      <c r="K41" s="94"/>
      <c r="L41" s="94"/>
      <c r="M41" s="94"/>
      <c r="N41" s="94"/>
      <c r="O41" s="95"/>
      <c r="P41" s="18"/>
      <c r="Q41" s="18"/>
      <c r="R41" s="18"/>
      <c r="S41" s="18"/>
      <c r="T41" s="1"/>
      <c r="U41" s="1"/>
      <c r="V41" s="1"/>
      <c r="W41" s="1"/>
      <c r="X41" s="1"/>
      <c r="Y41" s="1"/>
      <c r="Z41" s="1"/>
    </row>
    <row r="42" spans="1:26" ht="18" customHeight="1">
      <c r="A42" s="1"/>
      <c r="B42" s="97"/>
      <c r="C42" s="98"/>
      <c r="D42" s="98"/>
      <c r="E42" s="99"/>
      <c r="F42" s="19"/>
      <c r="G42" s="19"/>
      <c r="H42" s="20"/>
      <c r="I42" s="20"/>
      <c r="J42" s="97"/>
      <c r="K42" s="98"/>
      <c r="L42" s="98"/>
      <c r="M42" s="98"/>
      <c r="N42" s="98"/>
      <c r="O42" s="99"/>
      <c r="P42" s="19"/>
      <c r="Q42" s="19"/>
      <c r="R42" s="20"/>
      <c r="S42" s="20"/>
      <c r="T42" s="1"/>
      <c r="U42" s="1"/>
      <c r="V42" s="1"/>
      <c r="W42" s="1"/>
      <c r="X42" s="1"/>
      <c r="Y42" s="1"/>
      <c r="Z42" s="1"/>
    </row>
    <row r="43" spans="1:26" ht="7.5" customHeight="1">
      <c r="A43" s="8"/>
      <c r="B43" s="5"/>
      <c r="C43" s="5"/>
      <c r="D43" s="8"/>
      <c r="E43" s="8"/>
      <c r="F43" s="8"/>
      <c r="G43" s="8"/>
      <c r="H43" s="5"/>
      <c r="I43" s="5"/>
      <c r="J43" s="5"/>
      <c r="K43" s="5"/>
      <c r="L43" s="5"/>
      <c r="M43" s="5"/>
      <c r="N43" s="5"/>
      <c r="O43" s="5"/>
      <c r="P43" s="5"/>
      <c r="Q43" s="5"/>
      <c r="R43" s="5"/>
      <c r="S43" s="8"/>
      <c r="T43" s="1"/>
      <c r="U43" s="1"/>
      <c r="V43" s="1"/>
      <c r="W43" s="1"/>
      <c r="X43" s="1"/>
      <c r="Y43" s="1"/>
      <c r="Z43" s="1"/>
    </row>
    <row r="44" spans="1:26" ht="18" customHeight="1">
      <c r="A44" s="123" t="s">
        <v>26</v>
      </c>
      <c r="B44" s="124"/>
      <c r="C44" s="124"/>
      <c r="D44" s="124"/>
      <c r="E44" s="124"/>
      <c r="F44" s="124"/>
      <c r="G44" s="124"/>
      <c r="H44" s="124"/>
      <c r="I44" s="124"/>
      <c r="J44" s="124"/>
      <c r="K44" s="124"/>
      <c r="L44" s="124"/>
      <c r="M44" s="124"/>
      <c r="N44" s="124"/>
      <c r="O44" s="124"/>
      <c r="P44" s="124"/>
      <c r="Q44" s="124"/>
      <c r="R44" s="124"/>
      <c r="S44" s="124"/>
      <c r="T44" s="1"/>
      <c r="U44" s="1"/>
      <c r="V44" s="1"/>
      <c r="W44" s="1"/>
      <c r="X44" s="1"/>
      <c r="Y44" s="1"/>
      <c r="Z44" s="1"/>
    </row>
    <row r="45" spans="1:26" ht="18" customHeight="1">
      <c r="A45" s="124"/>
      <c r="B45" s="124"/>
      <c r="C45" s="124"/>
      <c r="D45" s="124"/>
      <c r="E45" s="124"/>
      <c r="F45" s="124"/>
      <c r="G45" s="124"/>
      <c r="H45" s="124"/>
      <c r="I45" s="124"/>
      <c r="J45" s="124"/>
      <c r="K45" s="124"/>
      <c r="L45" s="124"/>
      <c r="M45" s="124"/>
      <c r="N45" s="124"/>
      <c r="O45" s="124"/>
      <c r="P45" s="124"/>
      <c r="Q45" s="124"/>
      <c r="R45" s="124"/>
      <c r="S45" s="124"/>
      <c r="T45" s="1"/>
      <c r="U45" s="1"/>
      <c r="V45" s="1"/>
      <c r="W45" s="1"/>
      <c r="X45" s="1"/>
      <c r="Y45" s="1"/>
      <c r="Z45" s="1"/>
    </row>
    <row r="46" spans="1:26" ht="18" customHeight="1">
      <c r="A46" s="1"/>
      <c r="B46" s="114" t="s">
        <v>18</v>
      </c>
      <c r="C46" s="102"/>
      <c r="D46" s="102"/>
      <c r="E46" s="103"/>
      <c r="F46" s="14" t="s">
        <v>19</v>
      </c>
      <c r="G46" s="15" t="s">
        <v>20</v>
      </c>
      <c r="H46" s="16" t="s">
        <v>27</v>
      </c>
      <c r="I46" s="16" t="s">
        <v>28</v>
      </c>
      <c r="J46" s="114" t="s">
        <v>18</v>
      </c>
      <c r="K46" s="102"/>
      <c r="L46" s="102"/>
      <c r="M46" s="102"/>
      <c r="N46" s="102"/>
      <c r="O46" s="103"/>
      <c r="P46" s="14" t="s">
        <v>19</v>
      </c>
      <c r="Q46" s="15" t="s">
        <v>20</v>
      </c>
      <c r="R46" s="16" t="s">
        <v>27</v>
      </c>
      <c r="S46" s="16" t="s">
        <v>28</v>
      </c>
      <c r="T46" s="1"/>
      <c r="U46" s="1"/>
      <c r="V46" s="1"/>
      <c r="W46" s="1"/>
      <c r="X46" s="1"/>
      <c r="Y46" s="1"/>
      <c r="Z46" s="1"/>
    </row>
    <row r="47" spans="1:26" ht="18" customHeight="1">
      <c r="A47" s="8"/>
      <c r="B47" s="117" t="s">
        <v>103</v>
      </c>
      <c r="C47" s="111"/>
      <c r="D47" s="111"/>
      <c r="E47" s="112"/>
      <c r="F47" s="17">
        <v>2</v>
      </c>
      <c r="G47" s="17" t="s">
        <v>105</v>
      </c>
      <c r="H47" s="17" t="s">
        <v>105</v>
      </c>
      <c r="I47" s="17" t="s">
        <v>105</v>
      </c>
      <c r="J47" s="117"/>
      <c r="K47" s="111"/>
      <c r="L47" s="111"/>
      <c r="M47" s="111"/>
      <c r="N47" s="111"/>
      <c r="O47" s="112"/>
      <c r="P47" s="17"/>
      <c r="Q47" s="17"/>
      <c r="R47" s="17"/>
      <c r="S47" s="17"/>
      <c r="T47" s="1"/>
      <c r="U47" s="1"/>
      <c r="V47" s="1"/>
      <c r="W47" s="1"/>
      <c r="X47" s="1"/>
      <c r="Y47" s="1"/>
      <c r="Z47" s="1"/>
    </row>
    <row r="48" spans="1:26" ht="18" customHeight="1">
      <c r="A48" s="8"/>
      <c r="B48" s="96"/>
      <c r="C48" s="94"/>
      <c r="D48" s="94"/>
      <c r="E48" s="95"/>
      <c r="F48" s="18"/>
      <c r="G48" s="18"/>
      <c r="H48" s="18"/>
      <c r="I48" s="18"/>
      <c r="J48" s="96"/>
      <c r="K48" s="94"/>
      <c r="L48" s="94"/>
      <c r="M48" s="94"/>
      <c r="N48" s="94"/>
      <c r="O48" s="95"/>
      <c r="P48" s="18"/>
      <c r="Q48" s="18"/>
      <c r="R48" s="18"/>
      <c r="S48" s="18"/>
      <c r="T48" s="1"/>
      <c r="U48" s="1"/>
      <c r="V48" s="1"/>
      <c r="W48" s="1"/>
      <c r="X48" s="1"/>
      <c r="Y48" s="1"/>
      <c r="Z48" s="1"/>
    </row>
    <row r="49" spans="1:26" ht="18" customHeight="1">
      <c r="A49" s="8"/>
      <c r="B49" s="96"/>
      <c r="C49" s="94"/>
      <c r="D49" s="94"/>
      <c r="E49" s="95"/>
      <c r="F49" s="18"/>
      <c r="G49" s="18"/>
      <c r="H49" s="18"/>
      <c r="I49" s="18"/>
      <c r="J49" s="96"/>
      <c r="K49" s="94"/>
      <c r="L49" s="94"/>
      <c r="M49" s="94"/>
      <c r="N49" s="94"/>
      <c r="O49" s="95"/>
      <c r="P49" s="18"/>
      <c r="Q49" s="18"/>
      <c r="R49" s="18"/>
      <c r="S49" s="18"/>
      <c r="T49" s="1"/>
      <c r="U49" s="1"/>
      <c r="V49" s="1"/>
      <c r="W49" s="1"/>
      <c r="X49" s="1"/>
      <c r="Y49" s="1"/>
      <c r="Z49" s="1"/>
    </row>
    <row r="50" spans="1:26" ht="18" customHeight="1">
      <c r="A50" s="8"/>
      <c r="B50" s="96"/>
      <c r="C50" s="94"/>
      <c r="D50" s="94"/>
      <c r="E50" s="95"/>
      <c r="F50" s="18"/>
      <c r="G50" s="18"/>
      <c r="H50" s="18"/>
      <c r="I50" s="18"/>
      <c r="J50" s="96"/>
      <c r="K50" s="94"/>
      <c r="L50" s="94"/>
      <c r="M50" s="94"/>
      <c r="N50" s="94"/>
      <c r="O50" s="95"/>
      <c r="P50" s="18"/>
      <c r="Q50" s="18"/>
      <c r="R50" s="18"/>
      <c r="S50" s="18"/>
      <c r="T50" s="1"/>
      <c r="U50" s="1"/>
      <c r="V50" s="1"/>
      <c r="W50" s="1"/>
      <c r="X50" s="1"/>
      <c r="Y50" s="1"/>
      <c r="Z50" s="1"/>
    </row>
    <row r="51" spans="1:26" ht="18" customHeight="1">
      <c r="A51" s="8"/>
      <c r="B51" s="96"/>
      <c r="C51" s="94"/>
      <c r="D51" s="94"/>
      <c r="E51" s="95"/>
      <c r="F51" s="18"/>
      <c r="G51" s="18"/>
      <c r="H51" s="18"/>
      <c r="I51" s="18"/>
      <c r="J51" s="96"/>
      <c r="K51" s="94"/>
      <c r="L51" s="94"/>
      <c r="M51" s="94"/>
      <c r="N51" s="94"/>
      <c r="O51" s="95"/>
      <c r="P51" s="18"/>
      <c r="Q51" s="18"/>
      <c r="R51" s="18"/>
      <c r="S51" s="18"/>
      <c r="T51" s="1"/>
      <c r="U51" s="1"/>
      <c r="V51" s="1"/>
      <c r="W51" s="1"/>
      <c r="X51" s="1"/>
      <c r="Y51" s="1"/>
      <c r="Z51" s="1"/>
    </row>
    <row r="52" spans="1:26" ht="18" customHeight="1">
      <c r="A52" s="8"/>
      <c r="B52" s="96"/>
      <c r="C52" s="94"/>
      <c r="D52" s="94"/>
      <c r="E52" s="95"/>
      <c r="F52" s="18"/>
      <c r="G52" s="18"/>
      <c r="H52" s="18"/>
      <c r="I52" s="18"/>
      <c r="J52" s="96"/>
      <c r="K52" s="94"/>
      <c r="L52" s="94"/>
      <c r="M52" s="94"/>
      <c r="N52" s="94"/>
      <c r="O52" s="95"/>
      <c r="P52" s="18"/>
      <c r="Q52" s="18"/>
      <c r="R52" s="18"/>
      <c r="S52" s="18"/>
      <c r="T52" s="1"/>
      <c r="U52" s="1"/>
      <c r="V52" s="1"/>
      <c r="W52" s="1"/>
      <c r="X52" s="1"/>
      <c r="Y52" s="1"/>
      <c r="Z52" s="1"/>
    </row>
    <row r="53" spans="1:26" ht="18" customHeight="1">
      <c r="A53" s="8"/>
      <c r="B53" s="97"/>
      <c r="C53" s="98"/>
      <c r="D53" s="98"/>
      <c r="E53" s="99"/>
      <c r="F53" s="19"/>
      <c r="G53" s="19"/>
      <c r="H53" s="20"/>
      <c r="I53" s="20"/>
      <c r="J53" s="97"/>
      <c r="K53" s="98"/>
      <c r="L53" s="98"/>
      <c r="M53" s="98"/>
      <c r="N53" s="98"/>
      <c r="O53" s="99"/>
      <c r="P53" s="19"/>
      <c r="Q53" s="19"/>
      <c r="R53" s="20"/>
      <c r="S53" s="20"/>
      <c r="T53" s="1"/>
      <c r="U53" s="1"/>
      <c r="V53" s="1"/>
      <c r="W53" s="1"/>
      <c r="X53" s="1"/>
      <c r="Y53" s="1"/>
      <c r="Z53" s="1"/>
    </row>
    <row r="54" spans="1:26" ht="7.5" customHeight="1">
      <c r="A54" s="1"/>
      <c r="B54" s="21"/>
      <c r="C54" s="21"/>
      <c r="D54" s="21"/>
      <c r="E54" s="21"/>
      <c r="F54" s="21"/>
      <c r="G54" s="21"/>
      <c r="H54" s="21"/>
      <c r="I54" s="21"/>
      <c r="J54" s="21"/>
      <c r="K54" s="21"/>
      <c r="L54" s="21"/>
      <c r="M54" s="21"/>
      <c r="N54" s="21"/>
      <c r="O54" s="21"/>
      <c r="P54" s="21"/>
      <c r="Q54" s="21"/>
      <c r="R54" s="21"/>
      <c r="S54" s="1"/>
      <c r="T54" s="1"/>
      <c r="U54" s="1"/>
      <c r="V54" s="1"/>
      <c r="W54" s="1"/>
      <c r="X54" s="1"/>
      <c r="Y54" s="1"/>
      <c r="Z54" s="1"/>
    </row>
    <row r="55" spans="1:26" ht="18" customHeight="1">
      <c r="A55" s="123" t="s">
        <v>29</v>
      </c>
      <c r="B55" s="124"/>
      <c r="C55" s="124"/>
      <c r="D55" s="124"/>
      <c r="E55" s="124"/>
      <c r="F55" s="124"/>
      <c r="G55" s="124"/>
      <c r="H55" s="124"/>
      <c r="I55" s="124"/>
      <c r="J55" s="124"/>
      <c r="K55" s="124"/>
      <c r="L55" s="124"/>
      <c r="M55" s="124"/>
      <c r="N55" s="124"/>
      <c r="O55" s="124"/>
      <c r="P55" s="124"/>
      <c r="Q55" s="124"/>
      <c r="R55" s="124"/>
      <c r="S55" s="124"/>
      <c r="T55" s="1"/>
      <c r="U55" s="1"/>
      <c r="V55" s="1"/>
      <c r="W55" s="1"/>
      <c r="X55" s="1"/>
      <c r="Y55" s="1"/>
      <c r="Z55" s="1"/>
    </row>
    <row r="56" spans="1:26" ht="18" customHeight="1">
      <c r="A56" s="124"/>
      <c r="B56" s="124"/>
      <c r="C56" s="124"/>
      <c r="D56" s="124"/>
      <c r="E56" s="124"/>
      <c r="F56" s="124"/>
      <c r="G56" s="124"/>
      <c r="H56" s="124"/>
      <c r="I56" s="124"/>
      <c r="J56" s="124"/>
      <c r="K56" s="124"/>
      <c r="L56" s="124"/>
      <c r="M56" s="124"/>
      <c r="N56" s="124"/>
      <c r="O56" s="124"/>
      <c r="P56" s="124"/>
      <c r="Q56" s="124"/>
      <c r="R56" s="124"/>
      <c r="S56" s="124"/>
      <c r="T56" s="1"/>
      <c r="U56" s="1"/>
      <c r="V56" s="1"/>
      <c r="W56" s="1"/>
      <c r="X56" s="1"/>
      <c r="Y56" s="1"/>
      <c r="Z56" s="1"/>
    </row>
    <row r="57" spans="1:26" ht="18" customHeight="1">
      <c r="A57" s="1"/>
      <c r="B57" s="114" t="s">
        <v>18</v>
      </c>
      <c r="C57" s="102"/>
      <c r="D57" s="102"/>
      <c r="E57" s="103"/>
      <c r="F57" s="14" t="s">
        <v>19</v>
      </c>
      <c r="G57" s="15" t="s">
        <v>20</v>
      </c>
      <c r="H57" s="16" t="s">
        <v>30</v>
      </c>
      <c r="I57" s="16" t="s">
        <v>31</v>
      </c>
      <c r="J57" s="114" t="s">
        <v>18</v>
      </c>
      <c r="K57" s="102"/>
      <c r="L57" s="102"/>
      <c r="M57" s="102"/>
      <c r="N57" s="102"/>
      <c r="O57" s="103"/>
      <c r="P57" s="14" t="s">
        <v>19</v>
      </c>
      <c r="Q57" s="15" t="s">
        <v>20</v>
      </c>
      <c r="R57" s="16" t="s">
        <v>30</v>
      </c>
      <c r="S57" s="16" t="s">
        <v>31</v>
      </c>
      <c r="T57" s="1"/>
      <c r="U57" s="1"/>
      <c r="V57" s="1"/>
      <c r="W57" s="1"/>
      <c r="X57" s="1"/>
      <c r="Y57" s="1"/>
      <c r="Z57" s="1"/>
    </row>
    <row r="58" spans="1:26" ht="18" customHeight="1">
      <c r="A58" s="8"/>
      <c r="B58" s="117" t="s">
        <v>103</v>
      </c>
      <c r="C58" s="111"/>
      <c r="D58" s="111"/>
      <c r="E58" s="112"/>
      <c r="F58" s="17">
        <v>2</v>
      </c>
      <c r="G58" s="17" t="s">
        <v>105</v>
      </c>
      <c r="H58" s="17" t="s">
        <v>105</v>
      </c>
      <c r="I58" s="17" t="s">
        <v>105</v>
      </c>
      <c r="J58" s="117"/>
      <c r="K58" s="111"/>
      <c r="L58" s="111"/>
      <c r="M58" s="111"/>
      <c r="N58" s="111"/>
      <c r="O58" s="112"/>
      <c r="P58" s="17"/>
      <c r="Q58" s="17"/>
      <c r="R58" s="17"/>
      <c r="S58" s="17"/>
      <c r="T58" s="1"/>
      <c r="U58" s="1"/>
      <c r="V58" s="1"/>
      <c r="W58" s="1"/>
      <c r="X58" s="1"/>
      <c r="Y58" s="1"/>
      <c r="Z58" s="1"/>
    </row>
    <row r="59" spans="1:26" ht="18" customHeight="1">
      <c r="A59" s="8"/>
      <c r="B59" s="96"/>
      <c r="C59" s="94"/>
      <c r="D59" s="94"/>
      <c r="E59" s="95"/>
      <c r="F59" s="18"/>
      <c r="G59" s="18"/>
      <c r="H59" s="18"/>
      <c r="I59" s="18"/>
      <c r="J59" s="96"/>
      <c r="K59" s="94"/>
      <c r="L59" s="94"/>
      <c r="M59" s="94"/>
      <c r="N59" s="94"/>
      <c r="O59" s="95"/>
      <c r="P59" s="18"/>
      <c r="Q59" s="18"/>
      <c r="R59" s="18"/>
      <c r="S59" s="18"/>
      <c r="T59" s="1"/>
      <c r="U59" s="1"/>
      <c r="V59" s="1"/>
      <c r="W59" s="1"/>
      <c r="X59" s="1"/>
      <c r="Y59" s="1"/>
      <c r="Z59" s="1"/>
    </row>
    <row r="60" spans="1:26" ht="18" customHeight="1">
      <c r="A60" s="8"/>
      <c r="B60" s="96"/>
      <c r="C60" s="94"/>
      <c r="D60" s="94"/>
      <c r="E60" s="95"/>
      <c r="F60" s="18"/>
      <c r="G60" s="18"/>
      <c r="H60" s="18"/>
      <c r="I60" s="18"/>
      <c r="J60" s="96"/>
      <c r="K60" s="94"/>
      <c r="L60" s="94"/>
      <c r="M60" s="94"/>
      <c r="N60" s="94"/>
      <c r="O60" s="95"/>
      <c r="P60" s="18"/>
      <c r="Q60" s="18"/>
      <c r="R60" s="18"/>
      <c r="S60" s="18"/>
      <c r="T60" s="1"/>
      <c r="U60" s="1"/>
      <c r="V60" s="1"/>
      <c r="W60" s="1"/>
      <c r="X60" s="1"/>
      <c r="Y60" s="1"/>
      <c r="Z60" s="1"/>
    </row>
    <row r="61" spans="1:26" ht="18" customHeight="1">
      <c r="A61" s="8"/>
      <c r="B61" s="96"/>
      <c r="C61" s="94"/>
      <c r="D61" s="94"/>
      <c r="E61" s="95"/>
      <c r="F61" s="18"/>
      <c r="G61" s="18"/>
      <c r="H61" s="18"/>
      <c r="I61" s="18"/>
      <c r="J61" s="96"/>
      <c r="K61" s="94"/>
      <c r="L61" s="94"/>
      <c r="M61" s="94"/>
      <c r="N61" s="94"/>
      <c r="O61" s="95"/>
      <c r="P61" s="18"/>
      <c r="Q61" s="18"/>
      <c r="R61" s="18"/>
      <c r="S61" s="18"/>
      <c r="T61" s="1"/>
      <c r="U61" s="1"/>
      <c r="V61" s="1"/>
      <c r="W61" s="1"/>
      <c r="X61" s="1"/>
      <c r="Y61" s="1"/>
      <c r="Z61" s="1"/>
    </row>
    <row r="62" spans="1:26" ht="18" customHeight="1">
      <c r="A62" s="8"/>
      <c r="B62" s="97"/>
      <c r="C62" s="98"/>
      <c r="D62" s="98"/>
      <c r="E62" s="99"/>
      <c r="F62" s="19"/>
      <c r="G62" s="19"/>
      <c r="H62" s="20"/>
      <c r="I62" s="20"/>
      <c r="J62" s="97"/>
      <c r="K62" s="98"/>
      <c r="L62" s="98"/>
      <c r="M62" s="98"/>
      <c r="N62" s="98"/>
      <c r="O62" s="99"/>
      <c r="P62" s="19"/>
      <c r="Q62" s="19"/>
      <c r="R62" s="20"/>
      <c r="S62" s="20"/>
      <c r="T62" s="1"/>
      <c r="U62" s="1"/>
      <c r="V62" s="1"/>
      <c r="W62" s="1"/>
      <c r="X62" s="1"/>
      <c r="Y62" s="1"/>
      <c r="Z62" s="1"/>
    </row>
    <row r="63" spans="1:26" ht="7.5" customHeight="1">
      <c r="A63" s="1"/>
      <c r="B63" s="21"/>
      <c r="C63" s="21"/>
      <c r="D63" s="21"/>
      <c r="E63" s="21"/>
      <c r="F63" s="21"/>
      <c r="G63" s="21"/>
      <c r="H63" s="21"/>
      <c r="I63" s="21"/>
      <c r="J63" s="21"/>
      <c r="K63" s="21"/>
      <c r="L63" s="21"/>
      <c r="M63" s="21"/>
      <c r="N63" s="21"/>
      <c r="O63" s="21"/>
      <c r="P63" s="21"/>
      <c r="Q63" s="21"/>
      <c r="R63" s="21"/>
      <c r="S63" s="1"/>
      <c r="T63" s="1"/>
      <c r="U63" s="1"/>
      <c r="V63" s="1"/>
      <c r="W63" s="1"/>
      <c r="X63" s="1"/>
      <c r="Y63" s="1"/>
      <c r="Z63" s="1"/>
    </row>
    <row r="64" spans="1:26" ht="18" customHeight="1">
      <c r="A64" s="123" t="s">
        <v>32</v>
      </c>
      <c r="B64" s="124"/>
      <c r="C64" s="124"/>
      <c r="D64" s="124"/>
      <c r="E64" s="124"/>
      <c r="F64" s="124"/>
      <c r="G64" s="124"/>
      <c r="H64" s="124"/>
      <c r="I64" s="124"/>
      <c r="J64" s="124"/>
      <c r="K64" s="124"/>
      <c r="L64" s="124"/>
      <c r="M64" s="124"/>
      <c r="N64" s="124"/>
      <c r="O64" s="124"/>
      <c r="P64" s="124"/>
      <c r="Q64" s="124"/>
      <c r="R64" s="124"/>
      <c r="S64" s="124"/>
      <c r="T64" s="1"/>
      <c r="U64" s="1"/>
      <c r="V64" s="1"/>
      <c r="W64" s="1"/>
      <c r="X64" s="1"/>
      <c r="Y64" s="1"/>
      <c r="Z64" s="1"/>
    </row>
    <row r="65" spans="1:26" ht="18" customHeight="1">
      <c r="A65" s="124"/>
      <c r="B65" s="124"/>
      <c r="C65" s="124"/>
      <c r="D65" s="124"/>
      <c r="E65" s="124"/>
      <c r="F65" s="124"/>
      <c r="G65" s="124"/>
      <c r="H65" s="124"/>
      <c r="I65" s="124"/>
      <c r="J65" s="124"/>
      <c r="K65" s="124"/>
      <c r="L65" s="124"/>
      <c r="M65" s="124"/>
      <c r="N65" s="124"/>
      <c r="O65" s="124"/>
      <c r="P65" s="124"/>
      <c r="Q65" s="124"/>
      <c r="R65" s="124"/>
      <c r="S65" s="124"/>
      <c r="T65" s="1"/>
      <c r="U65" s="1"/>
      <c r="V65" s="1"/>
      <c r="W65" s="1"/>
      <c r="X65" s="1"/>
      <c r="Y65" s="1"/>
      <c r="Z65" s="1"/>
    </row>
    <row r="66" spans="1:26" ht="18" customHeight="1">
      <c r="A66" s="1"/>
      <c r="B66" s="114" t="s">
        <v>18</v>
      </c>
      <c r="C66" s="102"/>
      <c r="D66" s="102"/>
      <c r="E66" s="14" t="s">
        <v>19</v>
      </c>
      <c r="F66" s="15" t="s">
        <v>20</v>
      </c>
      <c r="G66" s="16" t="s">
        <v>33</v>
      </c>
      <c r="H66" s="16" t="s">
        <v>34</v>
      </c>
      <c r="I66" s="16" t="s">
        <v>35</v>
      </c>
      <c r="J66" s="114" t="s">
        <v>18</v>
      </c>
      <c r="K66" s="102"/>
      <c r="L66" s="102"/>
      <c r="M66" s="102"/>
      <c r="N66" s="103"/>
      <c r="O66" s="14" t="s">
        <v>19</v>
      </c>
      <c r="P66" s="15" t="s">
        <v>20</v>
      </c>
      <c r="Q66" s="16" t="s">
        <v>33</v>
      </c>
      <c r="R66" s="16" t="s">
        <v>34</v>
      </c>
      <c r="S66" s="16" t="s">
        <v>35</v>
      </c>
      <c r="T66" s="1"/>
      <c r="U66" s="1"/>
      <c r="V66" s="1"/>
      <c r="W66" s="1"/>
      <c r="X66" s="1"/>
      <c r="Y66" s="1"/>
      <c r="Z66" s="1"/>
    </row>
    <row r="67" spans="1:26" ht="18" customHeight="1">
      <c r="A67" s="8"/>
      <c r="B67" s="117" t="s">
        <v>104</v>
      </c>
      <c r="C67" s="111"/>
      <c r="D67" s="111"/>
      <c r="E67" s="17">
        <v>2</v>
      </c>
      <c r="F67" s="17" t="s">
        <v>105</v>
      </c>
      <c r="G67" s="17" t="s">
        <v>105</v>
      </c>
      <c r="H67" s="17" t="s">
        <v>105</v>
      </c>
      <c r="I67" s="17" t="s">
        <v>105</v>
      </c>
      <c r="J67" s="117"/>
      <c r="K67" s="111"/>
      <c r="L67" s="111"/>
      <c r="M67" s="111"/>
      <c r="N67" s="112"/>
      <c r="O67" s="17"/>
      <c r="P67" s="17"/>
      <c r="Q67" s="17"/>
      <c r="R67" s="17"/>
      <c r="S67" s="17"/>
      <c r="T67" s="1"/>
      <c r="U67" s="1"/>
      <c r="V67" s="1"/>
      <c r="W67" s="1"/>
      <c r="X67" s="1"/>
      <c r="Y67" s="1"/>
      <c r="Z67" s="1"/>
    </row>
    <row r="68" spans="1:26" ht="18" customHeight="1">
      <c r="A68" s="8"/>
      <c r="B68" s="96"/>
      <c r="C68" s="94"/>
      <c r="D68" s="94"/>
      <c r="E68" s="18"/>
      <c r="F68" s="18"/>
      <c r="G68" s="18"/>
      <c r="H68" s="18"/>
      <c r="I68" s="18"/>
      <c r="J68" s="96"/>
      <c r="K68" s="94"/>
      <c r="L68" s="94"/>
      <c r="M68" s="94"/>
      <c r="N68" s="95"/>
      <c r="O68" s="18"/>
      <c r="P68" s="18"/>
      <c r="Q68" s="18"/>
      <c r="R68" s="18"/>
      <c r="S68" s="18"/>
      <c r="T68" s="1"/>
      <c r="U68" s="1"/>
      <c r="V68" s="1"/>
      <c r="W68" s="1"/>
      <c r="X68" s="1"/>
      <c r="Y68" s="1"/>
      <c r="Z68" s="1"/>
    </row>
    <row r="69" spans="1:26" ht="18" customHeight="1">
      <c r="A69" s="8"/>
      <c r="B69" s="96"/>
      <c r="C69" s="94"/>
      <c r="D69" s="94"/>
      <c r="E69" s="18"/>
      <c r="F69" s="18"/>
      <c r="G69" s="18"/>
      <c r="H69" s="18"/>
      <c r="I69" s="18"/>
      <c r="J69" s="96"/>
      <c r="K69" s="94"/>
      <c r="L69" s="94"/>
      <c r="M69" s="94"/>
      <c r="N69" s="95"/>
      <c r="O69" s="18"/>
      <c r="P69" s="18"/>
      <c r="Q69" s="18"/>
      <c r="R69" s="18"/>
      <c r="S69" s="18"/>
      <c r="T69" s="1"/>
      <c r="U69" s="1"/>
      <c r="V69" s="1"/>
      <c r="W69" s="1"/>
      <c r="X69" s="1"/>
      <c r="Y69" s="1"/>
      <c r="Z69" s="1"/>
    </row>
    <row r="70" spans="1:26" ht="18" customHeight="1">
      <c r="A70" s="8"/>
      <c r="B70" s="96"/>
      <c r="C70" s="94"/>
      <c r="D70" s="94"/>
      <c r="E70" s="18"/>
      <c r="F70" s="18"/>
      <c r="G70" s="18"/>
      <c r="H70" s="18"/>
      <c r="I70" s="18"/>
      <c r="J70" s="96"/>
      <c r="K70" s="94"/>
      <c r="L70" s="94"/>
      <c r="M70" s="94"/>
      <c r="N70" s="95"/>
      <c r="O70" s="18"/>
      <c r="P70" s="18"/>
      <c r="Q70" s="18"/>
      <c r="R70" s="18"/>
      <c r="S70" s="18"/>
      <c r="T70" s="1"/>
      <c r="U70" s="1"/>
      <c r="V70" s="1"/>
      <c r="W70" s="1"/>
      <c r="X70" s="1"/>
      <c r="Y70" s="1"/>
      <c r="Z70" s="1"/>
    </row>
    <row r="71" spans="1:26" ht="18" customHeight="1">
      <c r="A71" s="8"/>
      <c r="B71" s="96"/>
      <c r="C71" s="94"/>
      <c r="D71" s="94"/>
      <c r="E71" s="18"/>
      <c r="F71" s="18"/>
      <c r="G71" s="18"/>
      <c r="H71" s="18"/>
      <c r="I71" s="18"/>
      <c r="J71" s="96"/>
      <c r="K71" s="94"/>
      <c r="L71" s="94"/>
      <c r="M71" s="94"/>
      <c r="N71" s="95"/>
      <c r="O71" s="18"/>
      <c r="P71" s="18"/>
      <c r="Q71" s="18"/>
      <c r="R71" s="18"/>
      <c r="S71" s="18"/>
      <c r="T71" s="1"/>
      <c r="U71" s="1"/>
      <c r="V71" s="1"/>
      <c r="W71" s="1"/>
      <c r="X71" s="1"/>
      <c r="Y71" s="1"/>
      <c r="Z71" s="1"/>
    </row>
    <row r="72" spans="1:26" ht="18" customHeight="1">
      <c r="A72" s="8"/>
      <c r="B72" s="96"/>
      <c r="C72" s="94"/>
      <c r="D72" s="94"/>
      <c r="E72" s="18"/>
      <c r="F72" s="18"/>
      <c r="G72" s="18"/>
      <c r="H72" s="18"/>
      <c r="I72" s="18"/>
      <c r="J72" s="96"/>
      <c r="K72" s="94"/>
      <c r="L72" s="94"/>
      <c r="M72" s="94"/>
      <c r="N72" s="95"/>
      <c r="O72" s="18"/>
      <c r="P72" s="18"/>
      <c r="Q72" s="18"/>
      <c r="R72" s="18"/>
      <c r="S72" s="18"/>
      <c r="T72" s="1"/>
      <c r="U72" s="1"/>
      <c r="V72" s="1"/>
      <c r="W72" s="1"/>
      <c r="X72" s="1"/>
      <c r="Y72" s="1"/>
      <c r="Z72" s="1"/>
    </row>
    <row r="73" spans="1:26" ht="18" customHeight="1">
      <c r="A73" s="8"/>
      <c r="B73" s="97"/>
      <c r="C73" s="98"/>
      <c r="D73" s="98"/>
      <c r="E73" s="19"/>
      <c r="F73" s="19"/>
      <c r="G73" s="20"/>
      <c r="H73" s="20"/>
      <c r="I73" s="20"/>
      <c r="J73" s="97"/>
      <c r="K73" s="98"/>
      <c r="L73" s="98"/>
      <c r="M73" s="98"/>
      <c r="N73" s="99"/>
      <c r="O73" s="19"/>
      <c r="P73" s="19"/>
      <c r="Q73" s="20"/>
      <c r="R73" s="20"/>
      <c r="S73" s="20"/>
      <c r="T73" s="1"/>
      <c r="U73" s="1"/>
      <c r="V73" s="1"/>
      <c r="W73" s="1"/>
      <c r="X73" s="1"/>
      <c r="Y73" s="1"/>
      <c r="Z73" s="1"/>
    </row>
    <row r="74" spans="1:26" ht="7.5" customHeight="1">
      <c r="A74" s="1"/>
      <c r="B74" s="21"/>
      <c r="C74" s="21"/>
      <c r="D74" s="21"/>
      <c r="E74" s="21"/>
      <c r="F74" s="21"/>
      <c r="G74" s="21"/>
      <c r="H74" s="21"/>
      <c r="I74" s="21"/>
      <c r="J74" s="21"/>
      <c r="K74" s="21"/>
      <c r="L74" s="21"/>
      <c r="M74" s="21"/>
      <c r="N74" s="21"/>
      <c r="O74" s="21"/>
      <c r="P74" s="21"/>
      <c r="Q74" s="21"/>
      <c r="R74" s="21"/>
      <c r="S74" s="1"/>
      <c r="T74" s="1"/>
      <c r="U74" s="1"/>
      <c r="V74" s="1"/>
      <c r="W74" s="1"/>
      <c r="X74" s="1"/>
      <c r="Y74" s="1"/>
      <c r="Z74" s="1"/>
    </row>
    <row r="75" spans="1:26" ht="18" customHeight="1">
      <c r="A75" s="1" t="s">
        <v>36</v>
      </c>
      <c r="B75" s="1"/>
      <c r="C75" s="1"/>
      <c r="D75" s="1"/>
      <c r="E75" s="1"/>
      <c r="F75" s="1"/>
      <c r="G75" s="1"/>
      <c r="H75" s="8"/>
      <c r="I75" s="8"/>
      <c r="J75" s="8"/>
      <c r="K75" s="8"/>
      <c r="L75" s="8"/>
      <c r="M75" s="8"/>
      <c r="N75" s="8"/>
      <c r="O75" s="8"/>
      <c r="P75" s="8"/>
      <c r="Q75" s="8"/>
      <c r="R75" s="8"/>
      <c r="S75" s="8"/>
      <c r="T75" s="1"/>
      <c r="U75" s="1"/>
      <c r="V75" s="1"/>
      <c r="W75" s="1"/>
      <c r="X75" s="1"/>
      <c r="Y75" s="1"/>
      <c r="Z75" s="1"/>
    </row>
    <row r="76" spans="1:26" ht="18" customHeight="1">
      <c r="A76" s="1"/>
      <c r="B76" s="114" t="s">
        <v>18</v>
      </c>
      <c r="C76" s="102"/>
      <c r="D76" s="102"/>
      <c r="E76" s="103"/>
      <c r="F76" s="114" t="s">
        <v>37</v>
      </c>
      <c r="G76" s="102"/>
      <c r="H76" s="102"/>
      <c r="I76" s="103"/>
      <c r="J76" s="115" t="s">
        <v>18</v>
      </c>
      <c r="K76" s="108"/>
      <c r="L76" s="108"/>
      <c r="M76" s="108"/>
      <c r="N76" s="108"/>
      <c r="O76" s="109"/>
      <c r="P76" s="114" t="s">
        <v>37</v>
      </c>
      <c r="Q76" s="102"/>
      <c r="R76" s="102"/>
      <c r="S76" s="103"/>
      <c r="T76" s="1"/>
      <c r="U76" s="1"/>
      <c r="V76" s="1"/>
      <c r="W76" s="1"/>
      <c r="X76" s="1"/>
      <c r="Y76" s="1"/>
      <c r="Z76" s="1"/>
    </row>
    <row r="77" spans="1:26" ht="18" customHeight="1">
      <c r="A77" s="8"/>
      <c r="B77" s="117"/>
      <c r="C77" s="111"/>
      <c r="D77" s="111"/>
      <c r="E77" s="112"/>
      <c r="F77" s="116"/>
      <c r="G77" s="111"/>
      <c r="H77" s="111"/>
      <c r="I77" s="112"/>
      <c r="J77" s="117"/>
      <c r="K77" s="111"/>
      <c r="L77" s="111"/>
      <c r="M77" s="111"/>
      <c r="N77" s="111"/>
      <c r="O77" s="112"/>
      <c r="P77" s="116"/>
      <c r="Q77" s="111"/>
      <c r="R77" s="111"/>
      <c r="S77" s="112"/>
      <c r="T77" s="1"/>
      <c r="U77" s="1"/>
      <c r="V77" s="1"/>
      <c r="W77" s="1"/>
      <c r="X77" s="1"/>
      <c r="Y77" s="1"/>
      <c r="Z77" s="1"/>
    </row>
    <row r="78" spans="1:26" ht="18" customHeight="1">
      <c r="A78" s="8"/>
      <c r="B78" s="96"/>
      <c r="C78" s="94"/>
      <c r="D78" s="94"/>
      <c r="E78" s="95"/>
      <c r="F78" s="93"/>
      <c r="G78" s="94"/>
      <c r="H78" s="94"/>
      <c r="I78" s="95"/>
      <c r="J78" s="96"/>
      <c r="K78" s="94"/>
      <c r="L78" s="94"/>
      <c r="M78" s="94"/>
      <c r="N78" s="94"/>
      <c r="O78" s="95"/>
      <c r="P78" s="93"/>
      <c r="Q78" s="94"/>
      <c r="R78" s="94"/>
      <c r="S78" s="95"/>
      <c r="T78" s="1"/>
      <c r="U78" s="1"/>
      <c r="V78" s="1"/>
      <c r="W78" s="1"/>
      <c r="X78" s="1"/>
      <c r="Y78" s="1"/>
      <c r="Z78" s="1"/>
    </row>
    <row r="79" spans="1:26" ht="18" customHeight="1">
      <c r="A79" s="8"/>
      <c r="B79" s="96"/>
      <c r="C79" s="94"/>
      <c r="D79" s="94"/>
      <c r="E79" s="95"/>
      <c r="F79" s="93"/>
      <c r="G79" s="94"/>
      <c r="H79" s="94"/>
      <c r="I79" s="95"/>
      <c r="J79" s="96"/>
      <c r="K79" s="94"/>
      <c r="L79" s="94"/>
      <c r="M79" s="94"/>
      <c r="N79" s="94"/>
      <c r="O79" s="95"/>
      <c r="P79" s="93"/>
      <c r="Q79" s="94"/>
      <c r="R79" s="94"/>
      <c r="S79" s="95"/>
      <c r="T79" s="1"/>
      <c r="U79" s="1"/>
      <c r="V79" s="1"/>
      <c r="W79" s="1"/>
      <c r="X79" s="1"/>
      <c r="Y79" s="1"/>
      <c r="Z79" s="1"/>
    </row>
    <row r="80" spans="1:26" ht="18" customHeight="1">
      <c r="A80" s="8"/>
      <c r="B80" s="96"/>
      <c r="C80" s="94"/>
      <c r="D80" s="94"/>
      <c r="E80" s="95"/>
      <c r="F80" s="93"/>
      <c r="G80" s="94"/>
      <c r="H80" s="94"/>
      <c r="I80" s="95"/>
      <c r="J80" s="96"/>
      <c r="K80" s="94"/>
      <c r="L80" s="94"/>
      <c r="M80" s="94"/>
      <c r="N80" s="94"/>
      <c r="O80" s="95"/>
      <c r="P80" s="93"/>
      <c r="Q80" s="94"/>
      <c r="R80" s="94"/>
      <c r="S80" s="95"/>
      <c r="T80" s="1"/>
      <c r="U80" s="1"/>
      <c r="V80" s="1"/>
      <c r="W80" s="1"/>
      <c r="X80" s="1"/>
      <c r="Y80" s="1"/>
      <c r="Z80" s="1"/>
    </row>
    <row r="81" spans="1:26" ht="18" customHeight="1">
      <c r="A81" s="8"/>
      <c r="B81" s="96"/>
      <c r="C81" s="94"/>
      <c r="D81" s="94"/>
      <c r="E81" s="95"/>
      <c r="F81" s="93"/>
      <c r="G81" s="94"/>
      <c r="H81" s="94"/>
      <c r="I81" s="95"/>
      <c r="J81" s="96"/>
      <c r="K81" s="94"/>
      <c r="L81" s="94"/>
      <c r="M81" s="94"/>
      <c r="N81" s="94"/>
      <c r="O81" s="95"/>
      <c r="P81" s="93"/>
      <c r="Q81" s="94"/>
      <c r="R81" s="94"/>
      <c r="S81" s="95"/>
      <c r="T81" s="1"/>
      <c r="U81" s="1"/>
      <c r="V81" s="1"/>
      <c r="W81" s="1"/>
      <c r="X81" s="1"/>
      <c r="Y81" s="1"/>
      <c r="Z81" s="1"/>
    </row>
    <row r="82" spans="1:26" ht="18" customHeight="1">
      <c r="A82" s="8"/>
      <c r="B82" s="96"/>
      <c r="C82" s="94"/>
      <c r="D82" s="94"/>
      <c r="E82" s="95"/>
      <c r="F82" s="93"/>
      <c r="G82" s="94"/>
      <c r="H82" s="94"/>
      <c r="I82" s="95"/>
      <c r="J82" s="96"/>
      <c r="K82" s="94"/>
      <c r="L82" s="94"/>
      <c r="M82" s="94"/>
      <c r="N82" s="94"/>
      <c r="O82" s="95"/>
      <c r="P82" s="93"/>
      <c r="Q82" s="94"/>
      <c r="R82" s="94"/>
      <c r="S82" s="95"/>
      <c r="T82" s="1"/>
      <c r="U82" s="1"/>
      <c r="V82" s="1"/>
      <c r="W82" s="1"/>
      <c r="X82" s="1"/>
      <c r="Y82" s="1"/>
      <c r="Z82" s="1"/>
    </row>
    <row r="83" spans="1:26" ht="18" customHeight="1">
      <c r="A83" s="8"/>
      <c r="B83" s="97"/>
      <c r="C83" s="98"/>
      <c r="D83" s="98"/>
      <c r="E83" s="99"/>
      <c r="F83" s="100"/>
      <c r="G83" s="98"/>
      <c r="H83" s="98"/>
      <c r="I83" s="99"/>
      <c r="J83" s="97"/>
      <c r="K83" s="98"/>
      <c r="L83" s="98"/>
      <c r="M83" s="98"/>
      <c r="N83" s="98"/>
      <c r="O83" s="99"/>
      <c r="P83" s="100"/>
      <c r="Q83" s="98"/>
      <c r="R83" s="98"/>
      <c r="S83" s="99"/>
      <c r="T83" s="1"/>
      <c r="U83" s="1"/>
      <c r="V83" s="1"/>
      <c r="W83" s="1"/>
      <c r="X83" s="1"/>
      <c r="Y83" s="1"/>
      <c r="Z83" s="1"/>
    </row>
    <row r="84" spans="1:26" ht="18" customHeight="1">
      <c r="A84" s="8"/>
      <c r="B84" s="5"/>
      <c r="C84" s="5"/>
      <c r="D84" s="5"/>
      <c r="E84" s="5"/>
      <c r="F84" s="22"/>
      <c r="G84" s="22"/>
      <c r="H84" s="22"/>
      <c r="I84" s="22"/>
      <c r="J84" s="5"/>
      <c r="K84" s="5"/>
      <c r="L84" s="5"/>
      <c r="M84" s="5"/>
      <c r="N84" s="5"/>
      <c r="O84" s="5"/>
      <c r="P84" s="22"/>
      <c r="Q84" s="22"/>
      <c r="R84" s="22"/>
      <c r="S84" s="22"/>
      <c r="T84" s="1"/>
      <c r="U84" s="1"/>
      <c r="V84" s="1"/>
      <c r="W84" s="1"/>
      <c r="X84" s="1"/>
      <c r="Y84" s="1"/>
      <c r="Z84" s="1"/>
    </row>
    <row r="85" spans="1:26" ht="18.75" customHeight="1">
      <c r="A85" s="1" t="s">
        <v>38</v>
      </c>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04" t="s">
        <v>39</v>
      </c>
      <c r="C86" s="103"/>
      <c r="D86" s="105" t="s">
        <v>40</v>
      </c>
      <c r="E86" s="102"/>
      <c r="F86" s="102"/>
      <c r="G86" s="102"/>
      <c r="H86" s="102"/>
      <c r="I86" s="102"/>
      <c r="J86" s="102"/>
      <c r="K86" s="102"/>
      <c r="L86" s="102"/>
      <c r="M86" s="102"/>
      <c r="N86" s="102"/>
      <c r="O86" s="102"/>
      <c r="P86" s="102"/>
      <c r="Q86" s="102"/>
      <c r="R86" s="102"/>
      <c r="S86" s="103"/>
      <c r="T86" s="1"/>
      <c r="U86" s="1"/>
      <c r="V86" s="1"/>
      <c r="W86" s="1"/>
      <c r="X86" s="1"/>
      <c r="Y86" s="1"/>
      <c r="Z86" s="1"/>
    </row>
    <row r="87" spans="1:26" ht="97.5" customHeight="1">
      <c r="A87" s="1"/>
      <c r="B87" s="106" t="s">
        <v>41</v>
      </c>
      <c r="C87" s="23" t="s">
        <v>21</v>
      </c>
      <c r="D87" s="237" t="s">
        <v>107</v>
      </c>
      <c r="E87" s="110"/>
      <c r="F87" s="110"/>
      <c r="G87" s="110"/>
      <c r="H87" s="110"/>
      <c r="I87" s="110"/>
      <c r="J87" s="110"/>
      <c r="K87" s="110"/>
      <c r="L87" s="110"/>
      <c r="M87" s="110"/>
      <c r="N87" s="110"/>
      <c r="O87" s="110"/>
      <c r="P87" s="110"/>
      <c r="Q87" s="110"/>
      <c r="R87" s="110"/>
      <c r="S87" s="238"/>
      <c r="T87" s="1"/>
      <c r="U87" s="1"/>
      <c r="V87" s="1"/>
      <c r="W87" s="1"/>
      <c r="X87" s="1"/>
      <c r="Y87" s="1"/>
      <c r="Z87" s="1"/>
    </row>
    <row r="88" spans="1:26" ht="97.5" customHeight="1">
      <c r="A88" s="1"/>
      <c r="B88" s="107"/>
      <c r="C88" s="24" t="s">
        <v>22</v>
      </c>
      <c r="D88" s="245" t="s">
        <v>184</v>
      </c>
      <c r="E88" s="246"/>
      <c r="F88" s="246"/>
      <c r="G88" s="246"/>
      <c r="H88" s="246"/>
      <c r="I88" s="246"/>
      <c r="J88" s="246"/>
      <c r="K88" s="246"/>
      <c r="L88" s="246"/>
      <c r="M88" s="246"/>
      <c r="N88" s="246"/>
      <c r="O88" s="246"/>
      <c r="P88" s="246"/>
      <c r="Q88" s="246"/>
      <c r="R88" s="246"/>
      <c r="S88" s="247"/>
      <c r="T88" s="1"/>
      <c r="U88" s="1"/>
      <c r="V88" s="1"/>
      <c r="W88" s="1"/>
      <c r="X88" s="1"/>
      <c r="Y88" s="1"/>
      <c r="Z88" s="1"/>
    </row>
    <row r="89" spans="1:26" ht="97.5" customHeight="1">
      <c r="A89" s="1"/>
      <c r="B89" s="106" t="s">
        <v>42</v>
      </c>
      <c r="C89" s="25" t="s">
        <v>24</v>
      </c>
      <c r="D89" s="242" t="s">
        <v>185</v>
      </c>
      <c r="E89" s="243"/>
      <c r="F89" s="243"/>
      <c r="G89" s="243"/>
      <c r="H89" s="243"/>
      <c r="I89" s="243"/>
      <c r="J89" s="243"/>
      <c r="K89" s="243"/>
      <c r="L89" s="243"/>
      <c r="M89" s="243"/>
      <c r="N89" s="243"/>
      <c r="O89" s="243"/>
      <c r="P89" s="243"/>
      <c r="Q89" s="243"/>
      <c r="R89" s="243"/>
      <c r="S89" s="244"/>
      <c r="T89" s="1"/>
      <c r="U89" s="1"/>
      <c r="V89" s="1"/>
      <c r="W89" s="1"/>
      <c r="X89" s="1"/>
      <c r="Y89" s="1"/>
      <c r="Z89" s="1"/>
    </row>
    <row r="90" spans="1:26" ht="97.5" customHeight="1">
      <c r="A90" s="1"/>
      <c r="B90" s="118"/>
      <c r="C90" s="26" t="s">
        <v>25</v>
      </c>
      <c r="D90" s="245" t="s">
        <v>186</v>
      </c>
      <c r="E90" s="246"/>
      <c r="F90" s="246"/>
      <c r="G90" s="246"/>
      <c r="H90" s="246"/>
      <c r="I90" s="246"/>
      <c r="J90" s="246"/>
      <c r="K90" s="246"/>
      <c r="L90" s="246"/>
      <c r="M90" s="246"/>
      <c r="N90" s="246"/>
      <c r="O90" s="246"/>
      <c r="P90" s="246"/>
      <c r="Q90" s="246"/>
      <c r="R90" s="246"/>
      <c r="S90" s="247"/>
      <c r="T90" s="1"/>
      <c r="U90" s="1"/>
      <c r="V90" s="1"/>
      <c r="W90" s="1"/>
      <c r="X90" s="1"/>
      <c r="Y90" s="1"/>
      <c r="Z90" s="1"/>
    </row>
    <row r="91" spans="1:26" ht="97.5" customHeight="1">
      <c r="A91" s="1"/>
      <c r="B91" s="106" t="s">
        <v>43</v>
      </c>
      <c r="C91" s="257" t="s">
        <v>27</v>
      </c>
      <c r="D91" s="259" t="s">
        <v>187</v>
      </c>
      <c r="E91" s="260"/>
      <c r="F91" s="260"/>
      <c r="G91" s="260"/>
      <c r="H91" s="260"/>
      <c r="I91" s="260"/>
      <c r="J91" s="260"/>
      <c r="K91" s="260"/>
      <c r="L91" s="260"/>
      <c r="M91" s="260"/>
      <c r="N91" s="260"/>
      <c r="O91" s="260"/>
      <c r="P91" s="260"/>
      <c r="Q91" s="260"/>
      <c r="R91" s="260"/>
      <c r="S91" s="261"/>
      <c r="T91" s="1"/>
      <c r="U91" s="1"/>
      <c r="V91" s="1"/>
      <c r="W91" s="1"/>
      <c r="X91" s="1"/>
      <c r="Y91" s="1"/>
      <c r="Z91" s="1"/>
    </row>
    <row r="92" spans="1:26" ht="97.5" customHeight="1">
      <c r="A92" s="1"/>
      <c r="B92" s="118"/>
      <c r="C92" s="258" t="s">
        <v>28</v>
      </c>
      <c r="D92" s="262" t="s">
        <v>188</v>
      </c>
      <c r="E92" s="246"/>
      <c r="F92" s="246"/>
      <c r="G92" s="246"/>
      <c r="H92" s="246"/>
      <c r="I92" s="246"/>
      <c r="J92" s="246"/>
      <c r="K92" s="246"/>
      <c r="L92" s="246"/>
      <c r="M92" s="246"/>
      <c r="N92" s="246"/>
      <c r="O92" s="246"/>
      <c r="P92" s="246"/>
      <c r="Q92" s="246"/>
      <c r="R92" s="246"/>
      <c r="S92" s="263"/>
      <c r="T92" s="1"/>
      <c r="U92" s="1"/>
      <c r="V92" s="1"/>
      <c r="W92" s="1"/>
      <c r="X92" s="1"/>
      <c r="Y92" s="1"/>
      <c r="Z92" s="1"/>
    </row>
    <row r="93" spans="1:26" ht="134.55000000000001" customHeight="1">
      <c r="A93" s="1"/>
      <c r="B93" s="106" t="s">
        <v>44</v>
      </c>
      <c r="C93" s="23" t="s">
        <v>30</v>
      </c>
      <c r="D93" s="248" t="s">
        <v>108</v>
      </c>
      <c r="E93" s="249"/>
      <c r="F93" s="249"/>
      <c r="G93" s="249"/>
      <c r="H93" s="249"/>
      <c r="I93" s="249"/>
      <c r="J93" s="249"/>
      <c r="K93" s="249"/>
      <c r="L93" s="249"/>
      <c r="M93" s="249"/>
      <c r="N93" s="249"/>
      <c r="O93" s="249"/>
      <c r="P93" s="249"/>
      <c r="Q93" s="249"/>
      <c r="R93" s="249"/>
      <c r="S93" s="250"/>
      <c r="T93" s="1"/>
      <c r="U93" s="1"/>
      <c r="V93" s="1"/>
      <c r="W93" s="1"/>
      <c r="X93" s="1"/>
      <c r="Y93" s="1"/>
      <c r="Z93" s="1"/>
    </row>
    <row r="94" spans="1:26" ht="97.5" customHeight="1">
      <c r="A94" s="1"/>
      <c r="B94" s="118"/>
      <c r="C94" s="26" t="s">
        <v>31</v>
      </c>
      <c r="D94" s="254" t="s">
        <v>106</v>
      </c>
      <c r="E94" s="255"/>
      <c r="F94" s="255"/>
      <c r="G94" s="255"/>
      <c r="H94" s="255"/>
      <c r="I94" s="255"/>
      <c r="J94" s="255"/>
      <c r="K94" s="255"/>
      <c r="L94" s="255"/>
      <c r="M94" s="255"/>
      <c r="N94" s="255"/>
      <c r="O94" s="255"/>
      <c r="P94" s="255"/>
      <c r="Q94" s="255"/>
      <c r="R94" s="255"/>
      <c r="S94" s="256"/>
      <c r="T94" s="1"/>
      <c r="U94" s="1"/>
      <c r="V94" s="1"/>
      <c r="W94" s="1"/>
      <c r="X94" s="1"/>
      <c r="Y94" s="1"/>
      <c r="Z94" s="1"/>
    </row>
    <row r="95" spans="1:26" ht="132.44999999999999" customHeight="1">
      <c r="A95" s="1"/>
      <c r="B95" s="106" t="s">
        <v>45</v>
      </c>
      <c r="C95" s="25" t="s">
        <v>33</v>
      </c>
      <c r="D95" s="251" t="s">
        <v>182</v>
      </c>
      <c r="E95" s="252"/>
      <c r="F95" s="252"/>
      <c r="G95" s="252"/>
      <c r="H95" s="252"/>
      <c r="I95" s="252"/>
      <c r="J95" s="252"/>
      <c r="K95" s="252"/>
      <c r="L95" s="252"/>
      <c r="M95" s="252"/>
      <c r="N95" s="252"/>
      <c r="O95" s="252"/>
      <c r="P95" s="252"/>
      <c r="Q95" s="252"/>
      <c r="R95" s="252"/>
      <c r="S95" s="253"/>
      <c r="T95" s="1"/>
      <c r="U95" s="1"/>
      <c r="V95" s="1"/>
      <c r="W95" s="1"/>
      <c r="X95" s="1"/>
      <c r="Y95" s="1"/>
      <c r="Z95" s="1"/>
    </row>
    <row r="96" spans="1:26" ht="97.5" customHeight="1">
      <c r="A96" s="1"/>
      <c r="B96" s="107"/>
      <c r="C96" s="28" t="s">
        <v>34</v>
      </c>
      <c r="D96" s="239" t="s">
        <v>183</v>
      </c>
      <c r="E96" s="240"/>
      <c r="F96" s="240"/>
      <c r="G96" s="240"/>
      <c r="H96" s="240"/>
      <c r="I96" s="240"/>
      <c r="J96" s="240"/>
      <c r="K96" s="240"/>
      <c r="L96" s="240"/>
      <c r="M96" s="240"/>
      <c r="N96" s="240"/>
      <c r="O96" s="240"/>
      <c r="P96" s="240"/>
      <c r="Q96" s="240"/>
      <c r="R96" s="240"/>
      <c r="S96" s="241"/>
      <c r="T96" s="1"/>
      <c r="U96" s="1"/>
      <c r="V96" s="1"/>
      <c r="W96" s="1"/>
      <c r="X96" s="1"/>
      <c r="Y96" s="1"/>
      <c r="Z96" s="1"/>
    </row>
    <row r="97" spans="1:26" ht="97.5" customHeight="1">
      <c r="A97" s="1"/>
      <c r="B97" s="118"/>
      <c r="C97" s="27" t="s">
        <v>35</v>
      </c>
      <c r="D97" s="235" t="s">
        <v>109</v>
      </c>
      <c r="E97" s="113"/>
      <c r="F97" s="113"/>
      <c r="G97" s="113"/>
      <c r="H97" s="113"/>
      <c r="I97" s="113"/>
      <c r="J97" s="113"/>
      <c r="K97" s="113"/>
      <c r="L97" s="113"/>
      <c r="M97" s="113"/>
      <c r="N97" s="113"/>
      <c r="O97" s="113"/>
      <c r="P97" s="113"/>
      <c r="Q97" s="113"/>
      <c r="R97" s="113"/>
      <c r="S97" s="236"/>
      <c r="T97" s="1"/>
      <c r="U97" s="1"/>
      <c r="V97" s="1"/>
      <c r="W97" s="1"/>
      <c r="X97" s="1"/>
      <c r="Y97" s="1"/>
      <c r="Z97" s="1"/>
    </row>
    <row r="98" spans="1:26" ht="6"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t="s">
        <v>46</v>
      </c>
      <c r="B99" s="1"/>
      <c r="C99" s="1"/>
      <c r="D99" s="1"/>
      <c r="E99" s="1"/>
      <c r="F99" s="1"/>
      <c r="G99" s="1"/>
      <c r="H99" s="1"/>
      <c r="I99" s="1"/>
      <c r="J99" s="1"/>
      <c r="K99" s="1"/>
      <c r="L99" s="1"/>
      <c r="M99" s="1"/>
      <c r="N99" s="1"/>
      <c r="O99" s="1"/>
      <c r="P99" s="1"/>
      <c r="Q99" s="1"/>
      <c r="R99" s="1"/>
      <c r="S99" s="1"/>
      <c r="T99" s="1"/>
      <c r="U99" s="1"/>
      <c r="V99" s="1"/>
      <c r="W99" s="1"/>
      <c r="X99" s="1"/>
      <c r="Y99" s="1"/>
      <c r="Z99" s="1"/>
    </row>
    <row r="100" spans="1:26" ht="81.75" customHeight="1">
      <c r="A100" s="1"/>
      <c r="B100" s="101" t="s">
        <v>110</v>
      </c>
      <c r="C100" s="102"/>
      <c r="D100" s="102"/>
      <c r="E100" s="102"/>
      <c r="F100" s="102"/>
      <c r="G100" s="102"/>
      <c r="H100" s="102"/>
      <c r="I100" s="102"/>
      <c r="J100" s="102"/>
      <c r="K100" s="102"/>
      <c r="L100" s="102"/>
      <c r="M100" s="102"/>
      <c r="N100" s="102"/>
      <c r="O100" s="102"/>
      <c r="P100" s="102"/>
      <c r="Q100" s="102"/>
      <c r="R100" s="102"/>
      <c r="S100" s="103"/>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141">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 ref="B58:E58"/>
    <mergeCell ref="J58:O58"/>
    <mergeCell ref="J59:O59"/>
    <mergeCell ref="J60:O60"/>
    <mergeCell ref="J61:O61"/>
    <mergeCell ref="B59:E59"/>
    <mergeCell ref="B60:E60"/>
    <mergeCell ref="B61:E61"/>
    <mergeCell ref="B51:E51"/>
    <mergeCell ref="J51:O51"/>
    <mergeCell ref="B52:E52"/>
    <mergeCell ref="J52:O52"/>
    <mergeCell ref="B53:E53"/>
    <mergeCell ref="J53:O53"/>
    <mergeCell ref="A55:S56"/>
    <mergeCell ref="B57:E57"/>
    <mergeCell ref="J57:O57"/>
    <mergeCell ref="J67:N67"/>
    <mergeCell ref="J68:N68"/>
    <mergeCell ref="B62:E62"/>
    <mergeCell ref="J62:O62"/>
    <mergeCell ref="A64:S65"/>
    <mergeCell ref="B66:D66"/>
    <mergeCell ref="J66:N66"/>
    <mergeCell ref="B67:D67"/>
    <mergeCell ref="B68:D68"/>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B27:E27"/>
    <mergeCell ref="J27:O27"/>
    <mergeCell ref="B28:E28"/>
    <mergeCell ref="J28:O28"/>
    <mergeCell ref="B29:E29"/>
    <mergeCell ref="J29:O29"/>
    <mergeCell ref="J30:O30"/>
    <mergeCell ref="B30:E30"/>
    <mergeCell ref="B31:E31"/>
    <mergeCell ref="B35:E35"/>
    <mergeCell ref="B36:E36"/>
    <mergeCell ref="B37:E37"/>
    <mergeCell ref="B38:E38"/>
    <mergeCell ref="B39:E39"/>
    <mergeCell ref="J31:O31"/>
    <mergeCell ref="A33:S34"/>
    <mergeCell ref="J35:O35"/>
    <mergeCell ref="J36:O36"/>
    <mergeCell ref="J37:O37"/>
    <mergeCell ref="J38:O38"/>
    <mergeCell ref="J39:O39"/>
    <mergeCell ref="F77:I77"/>
    <mergeCell ref="J77:O77"/>
    <mergeCell ref="B89:B90"/>
    <mergeCell ref="B91:B92"/>
    <mergeCell ref="B93:B94"/>
    <mergeCell ref="B95:B97"/>
    <mergeCell ref="D91:S91"/>
    <mergeCell ref="D92:S92"/>
    <mergeCell ref="D93:S93"/>
    <mergeCell ref="D94:S94"/>
    <mergeCell ref="D95:S95"/>
    <mergeCell ref="D96:S96"/>
    <mergeCell ref="D97:S97"/>
    <mergeCell ref="P79:S79"/>
    <mergeCell ref="B77:E77"/>
    <mergeCell ref="B78:E78"/>
    <mergeCell ref="F78:I78"/>
    <mergeCell ref="J78:O78"/>
    <mergeCell ref="P78:S78"/>
    <mergeCell ref="B79:E79"/>
    <mergeCell ref="F79:I79"/>
    <mergeCell ref="B80:E80"/>
    <mergeCell ref="F80:I80"/>
    <mergeCell ref="J80:O80"/>
    <mergeCell ref="B100:S100"/>
    <mergeCell ref="B86:C86"/>
    <mergeCell ref="D86:S86"/>
    <mergeCell ref="B87:B88"/>
    <mergeCell ref="D87:S87"/>
    <mergeCell ref="D88:S88"/>
    <mergeCell ref="D89:S89"/>
    <mergeCell ref="D90:S90"/>
    <mergeCell ref="B69:D69"/>
    <mergeCell ref="J69:N69"/>
    <mergeCell ref="B70:D70"/>
    <mergeCell ref="J70:N70"/>
    <mergeCell ref="B71:D71"/>
    <mergeCell ref="J71:N71"/>
    <mergeCell ref="J72:N72"/>
    <mergeCell ref="J73:N73"/>
    <mergeCell ref="B72:D72"/>
    <mergeCell ref="B73:D73"/>
    <mergeCell ref="B76:E76"/>
    <mergeCell ref="F76:I76"/>
    <mergeCell ref="J76:O76"/>
    <mergeCell ref="P76:S76"/>
    <mergeCell ref="P77:S77"/>
    <mergeCell ref="J79:O79"/>
    <mergeCell ref="P80:S80"/>
    <mergeCell ref="F81:I81"/>
    <mergeCell ref="J81:O81"/>
    <mergeCell ref="P81:S81"/>
    <mergeCell ref="J83:O83"/>
    <mergeCell ref="P83:S83"/>
    <mergeCell ref="B81:E81"/>
    <mergeCell ref="B82:E82"/>
    <mergeCell ref="F82:I82"/>
    <mergeCell ref="J82:O82"/>
    <mergeCell ref="P82:S82"/>
    <mergeCell ref="B83:E83"/>
    <mergeCell ref="F83:I83"/>
  </mergeCells>
  <phoneticPr fontId="9"/>
  <conditionalFormatting sqref="B9:S10">
    <cfRule type="expression" dxfId="0" priority="1">
      <formula>$K$7="学部・学科によって、修了要件は相違しない"</formula>
    </cfRule>
  </conditionalFormatting>
  <dataValidations count="5">
    <dataValidation type="list" allowBlank="1" showErrorMessage="1" sqref="K7 K12">
      <formula1>"学部・学科によって、修了要件は相違する,学部・学科によって、修了要件は相違しない"</formula1>
    </dataValidation>
    <dataValidation type="list" allowBlank="1" showErrorMessage="1" sqref="F77:F83 P77:P83 F84:I84 P84:S8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D32:G32 S32 D43:G43 S43">
      <formula1>"全学開講,一部開講"</formula1>
    </dataValidation>
    <dataValidation type="list" allowBlank="1" showErrorMessage="1" sqref="K20">
      <formula1>$V$14:$V$16</formula1>
    </dataValidation>
    <dataValidation type="list" allowBlank="1" showErrorMessage="1" sqref="G25:I31 Q25:S31 G36:I42 Q36:S42 G47:I53 Q47:S53 F67:I73 P67:S73 Q58:S62 G58:I62">
      <formula1>"○"</formula1>
    </dataValidation>
  </dataValidations>
  <printOptions horizontalCentered="1"/>
  <pageMargins left="0.78740157480314965" right="0.78740157480314965" top="0.78740157480314965" bottom="0.19685039370078741" header="0" footer="0"/>
  <pageSetup paperSize="9" scale="74" fitToHeight="0" orientation="portrait" r:id="rId1"/>
  <headerFooter>
    <oddHeader>&amp;C数理・データサイエンス・AI教育プログラム認定制度【リテラシーレベル】</oddHeader>
  </headerFooter>
  <rowBreaks count="1" manualBreakCount="1">
    <brk id="9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0"/>
  <sheetViews>
    <sheetView view="pageBreakPreview" topLeftCell="A8" zoomScaleNormal="100" zoomScaleSheetLayoutView="100" workbookViewId="0">
      <selection activeCell="AQ31" sqref="AQ31"/>
    </sheetView>
  </sheetViews>
  <sheetFormatPr defaultColWidth="9" defaultRowHeight="18.75" customHeight="1"/>
  <cols>
    <col min="1" max="1" width="2.77734375" style="44" customWidth="1"/>
    <col min="2" max="2" width="20.77734375" style="44" customWidth="1"/>
    <col min="3" max="5" width="6.109375" style="44" customWidth="1"/>
    <col min="6" max="42" width="4.77734375" style="44" customWidth="1"/>
    <col min="43" max="43" width="6.6640625" style="44" customWidth="1"/>
    <col min="44" max="16384" width="9" style="44"/>
  </cols>
  <sheetData>
    <row r="1" spans="1:45" ht="18" customHeight="1">
      <c r="AQ1" s="44" t="s">
        <v>113</v>
      </c>
    </row>
    <row r="2" spans="1:45" ht="18" customHeight="1">
      <c r="K2" s="45"/>
      <c r="Q2" s="45"/>
      <c r="W2" s="45"/>
      <c r="AC2" s="45"/>
      <c r="AI2" s="45"/>
      <c r="AL2" s="45" t="s">
        <v>114</v>
      </c>
      <c r="AM2" s="146" t="s">
        <v>3</v>
      </c>
      <c r="AN2" s="146"/>
      <c r="AO2" s="146"/>
      <c r="AP2" s="146"/>
      <c r="AQ2" s="146"/>
    </row>
    <row r="3" spans="1:45" ht="18" customHeight="1">
      <c r="A3" s="147" t="s">
        <v>115</v>
      </c>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row>
    <row r="4" spans="1:45" ht="7.5" customHeight="1">
      <c r="A4" s="46"/>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row>
    <row r="5" spans="1:45" ht="18" customHeight="1">
      <c r="A5" s="44" t="s">
        <v>116</v>
      </c>
      <c r="C5" s="148" t="s">
        <v>117</v>
      </c>
      <c r="D5" s="149"/>
      <c r="E5" s="46" t="s">
        <v>118</v>
      </c>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7"/>
      <c r="AQ5" s="47"/>
    </row>
    <row r="6" spans="1:45" ht="6" customHeight="1">
      <c r="A6" s="46"/>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row>
    <row r="7" spans="1:45" ht="18" customHeight="1">
      <c r="A7" s="44" t="s">
        <v>119</v>
      </c>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row>
    <row r="8" spans="1:45" ht="6" customHeight="1">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row>
    <row r="9" spans="1:45" ht="18" customHeight="1">
      <c r="B9" s="150" t="s">
        <v>120</v>
      </c>
      <c r="C9" s="153" t="s">
        <v>121</v>
      </c>
      <c r="D9" s="156" t="s">
        <v>122</v>
      </c>
      <c r="E9" s="159" t="s">
        <v>123</v>
      </c>
      <c r="F9" s="139" t="s">
        <v>124</v>
      </c>
      <c r="G9" s="139"/>
      <c r="H9" s="139"/>
      <c r="I9" s="139"/>
      <c r="J9" s="139"/>
      <c r="K9" s="139"/>
      <c r="L9" s="139" t="s">
        <v>125</v>
      </c>
      <c r="M9" s="139"/>
      <c r="N9" s="139"/>
      <c r="O9" s="139"/>
      <c r="P9" s="139"/>
      <c r="Q9" s="139"/>
      <c r="R9" s="139" t="s">
        <v>126</v>
      </c>
      <c r="S9" s="139"/>
      <c r="T9" s="139"/>
      <c r="U9" s="139"/>
      <c r="V9" s="139"/>
      <c r="W9" s="139"/>
      <c r="X9" s="139" t="s">
        <v>127</v>
      </c>
      <c r="Y9" s="139"/>
      <c r="Z9" s="139"/>
      <c r="AA9" s="139"/>
      <c r="AB9" s="139"/>
      <c r="AC9" s="139"/>
      <c r="AD9" s="139" t="s">
        <v>128</v>
      </c>
      <c r="AE9" s="139"/>
      <c r="AF9" s="139"/>
      <c r="AG9" s="139"/>
      <c r="AH9" s="139"/>
      <c r="AI9" s="139"/>
      <c r="AJ9" s="139" t="s">
        <v>129</v>
      </c>
      <c r="AK9" s="139"/>
      <c r="AL9" s="139"/>
      <c r="AM9" s="139"/>
      <c r="AN9" s="139"/>
      <c r="AO9" s="139"/>
      <c r="AP9" s="140" t="s">
        <v>130</v>
      </c>
      <c r="AQ9" s="143" t="s">
        <v>131</v>
      </c>
      <c r="AS9" s="48"/>
    </row>
    <row r="10" spans="1:45" ht="16.95" customHeight="1">
      <c r="B10" s="151"/>
      <c r="C10" s="154"/>
      <c r="D10" s="157"/>
      <c r="E10" s="160"/>
      <c r="F10" s="137" t="s">
        <v>132</v>
      </c>
      <c r="G10" s="138"/>
      <c r="H10" s="138"/>
      <c r="I10" s="137" t="s">
        <v>133</v>
      </c>
      <c r="J10" s="138"/>
      <c r="K10" s="138"/>
      <c r="L10" s="137" t="s">
        <v>132</v>
      </c>
      <c r="M10" s="138"/>
      <c r="N10" s="138"/>
      <c r="O10" s="137" t="s">
        <v>133</v>
      </c>
      <c r="P10" s="138"/>
      <c r="Q10" s="138"/>
      <c r="R10" s="137" t="s">
        <v>132</v>
      </c>
      <c r="S10" s="138"/>
      <c r="T10" s="138"/>
      <c r="U10" s="137" t="s">
        <v>133</v>
      </c>
      <c r="V10" s="138"/>
      <c r="W10" s="138"/>
      <c r="X10" s="137" t="s">
        <v>132</v>
      </c>
      <c r="Y10" s="138"/>
      <c r="Z10" s="138"/>
      <c r="AA10" s="137" t="s">
        <v>133</v>
      </c>
      <c r="AB10" s="138"/>
      <c r="AC10" s="138"/>
      <c r="AD10" s="137" t="s">
        <v>132</v>
      </c>
      <c r="AE10" s="138"/>
      <c r="AF10" s="138"/>
      <c r="AG10" s="137" t="s">
        <v>133</v>
      </c>
      <c r="AH10" s="138"/>
      <c r="AI10" s="138"/>
      <c r="AJ10" s="137" t="s">
        <v>132</v>
      </c>
      <c r="AK10" s="138"/>
      <c r="AL10" s="138"/>
      <c r="AM10" s="137" t="s">
        <v>133</v>
      </c>
      <c r="AN10" s="138"/>
      <c r="AO10" s="138"/>
      <c r="AP10" s="141"/>
      <c r="AQ10" s="144"/>
      <c r="AS10" s="48"/>
    </row>
    <row r="11" spans="1:45" ht="18" customHeight="1">
      <c r="B11" s="152"/>
      <c r="C11" s="155"/>
      <c r="D11" s="158"/>
      <c r="E11" s="161"/>
      <c r="F11" s="49" t="s">
        <v>134</v>
      </c>
      <c r="G11" s="50" t="s">
        <v>135</v>
      </c>
      <c r="H11" s="51" t="s">
        <v>136</v>
      </c>
      <c r="I11" s="49" t="s">
        <v>134</v>
      </c>
      <c r="J11" s="50" t="s">
        <v>135</v>
      </c>
      <c r="K11" s="51" t="s">
        <v>136</v>
      </c>
      <c r="L11" s="49" t="s">
        <v>134</v>
      </c>
      <c r="M11" s="50" t="s">
        <v>135</v>
      </c>
      <c r="N11" s="51" t="s">
        <v>136</v>
      </c>
      <c r="O11" s="49" t="s">
        <v>134</v>
      </c>
      <c r="P11" s="50" t="s">
        <v>135</v>
      </c>
      <c r="Q11" s="51" t="s">
        <v>136</v>
      </c>
      <c r="R11" s="49" t="s">
        <v>134</v>
      </c>
      <c r="S11" s="50" t="s">
        <v>135</v>
      </c>
      <c r="T11" s="51" t="s">
        <v>136</v>
      </c>
      <c r="U11" s="49" t="s">
        <v>134</v>
      </c>
      <c r="V11" s="50" t="s">
        <v>135</v>
      </c>
      <c r="W11" s="51" t="s">
        <v>136</v>
      </c>
      <c r="X11" s="49" t="s">
        <v>134</v>
      </c>
      <c r="Y11" s="50" t="s">
        <v>135</v>
      </c>
      <c r="Z11" s="51" t="s">
        <v>136</v>
      </c>
      <c r="AA11" s="49" t="s">
        <v>134</v>
      </c>
      <c r="AB11" s="50" t="s">
        <v>135</v>
      </c>
      <c r="AC11" s="51" t="s">
        <v>136</v>
      </c>
      <c r="AD11" s="49" t="s">
        <v>134</v>
      </c>
      <c r="AE11" s="50" t="s">
        <v>135</v>
      </c>
      <c r="AF11" s="51" t="s">
        <v>136</v>
      </c>
      <c r="AG11" s="49" t="s">
        <v>134</v>
      </c>
      <c r="AH11" s="50" t="s">
        <v>135</v>
      </c>
      <c r="AI11" s="51" t="s">
        <v>136</v>
      </c>
      <c r="AJ11" s="49" t="s">
        <v>134</v>
      </c>
      <c r="AK11" s="50" t="s">
        <v>135</v>
      </c>
      <c r="AL11" s="51" t="s">
        <v>136</v>
      </c>
      <c r="AM11" s="49" t="s">
        <v>134</v>
      </c>
      <c r="AN11" s="50" t="s">
        <v>135</v>
      </c>
      <c r="AO11" s="51" t="s">
        <v>136</v>
      </c>
      <c r="AP11" s="142"/>
      <c r="AQ11" s="145"/>
      <c r="AS11" s="48"/>
    </row>
    <row r="12" spans="1:45" ht="18" customHeight="1">
      <c r="A12" s="47"/>
      <c r="B12" s="52" t="s">
        <v>137</v>
      </c>
      <c r="C12" s="53">
        <v>2070</v>
      </c>
      <c r="D12" s="54">
        <v>500</v>
      </c>
      <c r="E12" s="55">
        <v>2000</v>
      </c>
      <c r="F12" s="55">
        <v>140</v>
      </c>
      <c r="G12" s="56"/>
      <c r="H12" s="56"/>
      <c r="I12" s="55">
        <v>82</v>
      </c>
      <c r="J12" s="56"/>
      <c r="K12" s="56"/>
      <c r="L12" s="55">
        <f>M12+N12</f>
        <v>0</v>
      </c>
      <c r="M12" s="57"/>
      <c r="N12" s="58"/>
      <c r="O12" s="55">
        <f>P12+Q12</f>
        <v>0</v>
      </c>
      <c r="P12" s="57"/>
      <c r="Q12" s="58"/>
      <c r="R12" s="55">
        <f>S12+T12</f>
        <v>0</v>
      </c>
      <c r="S12" s="57"/>
      <c r="T12" s="58"/>
      <c r="U12" s="55">
        <f>V12+W12</f>
        <v>0</v>
      </c>
      <c r="V12" s="57"/>
      <c r="W12" s="58"/>
      <c r="X12" s="55">
        <f>Y12+Z12</f>
        <v>0</v>
      </c>
      <c r="Y12" s="57"/>
      <c r="Z12" s="58"/>
      <c r="AA12" s="55">
        <f>AB12+AC12</f>
        <v>0</v>
      </c>
      <c r="AB12" s="57"/>
      <c r="AC12" s="58"/>
      <c r="AD12" s="55">
        <f>AE12+AF12</f>
        <v>0</v>
      </c>
      <c r="AE12" s="57"/>
      <c r="AF12" s="58"/>
      <c r="AG12" s="55">
        <f>AH12+AI12</f>
        <v>0</v>
      </c>
      <c r="AH12" s="57"/>
      <c r="AI12" s="58"/>
      <c r="AJ12" s="55">
        <f>AK12+AL12</f>
        <v>0</v>
      </c>
      <c r="AK12" s="57"/>
      <c r="AL12" s="58"/>
      <c r="AM12" s="55">
        <f>AN12+AO12</f>
        <v>0</v>
      </c>
      <c r="AN12" s="57"/>
      <c r="AO12" s="58"/>
      <c r="AP12" s="54">
        <f>F12+L12+R12+X12+AD12+AJ12</f>
        <v>140</v>
      </c>
      <c r="AQ12" s="82">
        <f>AP12/E12</f>
        <v>7.0000000000000007E-2</v>
      </c>
    </row>
    <row r="13" spans="1:45" ht="18" customHeight="1">
      <c r="A13" s="47"/>
      <c r="B13" s="59" t="s">
        <v>138</v>
      </c>
      <c r="C13" s="60">
        <v>3180</v>
      </c>
      <c r="D13" s="61">
        <v>760</v>
      </c>
      <c r="E13" s="62">
        <v>3040</v>
      </c>
      <c r="F13" s="63">
        <v>84</v>
      </c>
      <c r="G13" s="64"/>
      <c r="H13" s="65"/>
      <c r="I13" s="63">
        <v>43</v>
      </c>
      <c r="J13" s="64"/>
      <c r="K13" s="65"/>
      <c r="L13" s="63">
        <f t="shared" ref="L13:L29" si="0">M13+N13</f>
        <v>0</v>
      </c>
      <c r="M13" s="66"/>
      <c r="N13" s="67"/>
      <c r="O13" s="63">
        <f t="shared" ref="O13:O29" si="1">P13+Q13</f>
        <v>0</v>
      </c>
      <c r="P13" s="66"/>
      <c r="Q13" s="67"/>
      <c r="R13" s="63">
        <f t="shared" ref="R13:R29" si="2">S13+T13</f>
        <v>0</v>
      </c>
      <c r="S13" s="66"/>
      <c r="T13" s="67"/>
      <c r="U13" s="63">
        <f t="shared" ref="U13:U29" si="3">V13+W13</f>
        <v>0</v>
      </c>
      <c r="V13" s="66"/>
      <c r="W13" s="67"/>
      <c r="X13" s="63">
        <f t="shared" ref="X13:X29" si="4">Y13+Z13</f>
        <v>0</v>
      </c>
      <c r="Y13" s="66"/>
      <c r="Z13" s="67"/>
      <c r="AA13" s="63">
        <f t="shared" ref="AA13:AA29" si="5">AB13+AC13</f>
        <v>0</v>
      </c>
      <c r="AB13" s="66"/>
      <c r="AC13" s="67"/>
      <c r="AD13" s="63">
        <f t="shared" ref="AD13:AD29" si="6">AE13+AF13</f>
        <v>0</v>
      </c>
      <c r="AE13" s="66"/>
      <c r="AF13" s="67"/>
      <c r="AG13" s="63">
        <f t="shared" ref="AG13:AG29" si="7">AH13+AI13</f>
        <v>0</v>
      </c>
      <c r="AH13" s="66"/>
      <c r="AI13" s="67"/>
      <c r="AJ13" s="63">
        <f t="shared" ref="AJ13:AJ29" si="8">AK13+AL13</f>
        <v>0</v>
      </c>
      <c r="AK13" s="66"/>
      <c r="AL13" s="67"/>
      <c r="AM13" s="63">
        <f t="shared" ref="AM13:AM29" si="9">AN13+AO13</f>
        <v>0</v>
      </c>
      <c r="AN13" s="66"/>
      <c r="AO13" s="67"/>
      <c r="AP13" s="61">
        <f t="shared" ref="AP13:AP28" si="10">F13+L13+R13+X13+AD13+AJ13</f>
        <v>84</v>
      </c>
      <c r="AQ13" s="70">
        <f t="shared" ref="AQ13:AQ29" si="11">AP13/E13</f>
        <v>2.763157894736842E-2</v>
      </c>
    </row>
    <row r="14" spans="1:45" ht="18" customHeight="1">
      <c r="A14" s="47"/>
      <c r="B14" s="59" t="s">
        <v>139</v>
      </c>
      <c r="C14" s="60">
        <v>5901</v>
      </c>
      <c r="D14" s="61">
        <v>1340</v>
      </c>
      <c r="E14" s="62">
        <v>5360</v>
      </c>
      <c r="F14" s="63">
        <v>224</v>
      </c>
      <c r="G14" s="68"/>
      <c r="H14" s="69"/>
      <c r="I14" s="63">
        <v>121</v>
      </c>
      <c r="J14" s="68"/>
      <c r="K14" s="69"/>
      <c r="L14" s="63">
        <f t="shared" si="0"/>
        <v>0</v>
      </c>
      <c r="M14" s="66"/>
      <c r="N14" s="67"/>
      <c r="O14" s="63">
        <f t="shared" si="1"/>
        <v>0</v>
      </c>
      <c r="P14" s="66"/>
      <c r="Q14" s="67"/>
      <c r="R14" s="63">
        <f t="shared" si="2"/>
        <v>0</v>
      </c>
      <c r="S14" s="66"/>
      <c r="T14" s="67"/>
      <c r="U14" s="63">
        <f t="shared" si="3"/>
        <v>0</v>
      </c>
      <c r="V14" s="66"/>
      <c r="W14" s="67"/>
      <c r="X14" s="63">
        <f t="shared" si="4"/>
        <v>0</v>
      </c>
      <c r="Y14" s="66"/>
      <c r="Z14" s="67"/>
      <c r="AA14" s="63">
        <f t="shared" si="5"/>
        <v>0</v>
      </c>
      <c r="AB14" s="66"/>
      <c r="AC14" s="67"/>
      <c r="AD14" s="63">
        <f t="shared" si="6"/>
        <v>0</v>
      </c>
      <c r="AE14" s="66"/>
      <c r="AF14" s="67"/>
      <c r="AG14" s="63">
        <f t="shared" si="7"/>
        <v>0</v>
      </c>
      <c r="AH14" s="66"/>
      <c r="AI14" s="67"/>
      <c r="AJ14" s="63">
        <f t="shared" si="8"/>
        <v>0</v>
      </c>
      <c r="AK14" s="66"/>
      <c r="AL14" s="67"/>
      <c r="AM14" s="63">
        <f t="shared" si="9"/>
        <v>0</v>
      </c>
      <c r="AN14" s="66"/>
      <c r="AO14" s="67"/>
      <c r="AP14" s="61">
        <f t="shared" si="10"/>
        <v>224</v>
      </c>
      <c r="AQ14" s="70">
        <f t="shared" si="11"/>
        <v>4.1791044776119404E-2</v>
      </c>
    </row>
    <row r="15" spans="1:45" ht="18" customHeight="1">
      <c r="A15" s="47"/>
      <c r="B15" s="59" t="s">
        <v>140</v>
      </c>
      <c r="C15" s="60">
        <v>4664</v>
      </c>
      <c r="D15" s="61">
        <v>1040</v>
      </c>
      <c r="E15" s="62">
        <v>4430</v>
      </c>
      <c r="F15" s="63">
        <v>246</v>
      </c>
      <c r="G15" s="68"/>
      <c r="H15" s="69"/>
      <c r="I15" s="63">
        <v>156</v>
      </c>
      <c r="J15" s="68"/>
      <c r="K15" s="69"/>
      <c r="L15" s="63">
        <f t="shared" si="0"/>
        <v>0</v>
      </c>
      <c r="M15" s="66"/>
      <c r="N15" s="67"/>
      <c r="O15" s="63">
        <f t="shared" si="1"/>
        <v>0</v>
      </c>
      <c r="P15" s="66"/>
      <c r="Q15" s="67"/>
      <c r="R15" s="63">
        <f t="shared" si="2"/>
        <v>0</v>
      </c>
      <c r="S15" s="66"/>
      <c r="T15" s="67"/>
      <c r="U15" s="63">
        <f t="shared" si="3"/>
        <v>0</v>
      </c>
      <c r="V15" s="66"/>
      <c r="W15" s="67"/>
      <c r="X15" s="63">
        <f t="shared" si="4"/>
        <v>0</v>
      </c>
      <c r="Y15" s="66"/>
      <c r="Z15" s="67"/>
      <c r="AA15" s="63">
        <f t="shared" si="5"/>
        <v>0</v>
      </c>
      <c r="AB15" s="66"/>
      <c r="AC15" s="67"/>
      <c r="AD15" s="63">
        <f t="shared" si="6"/>
        <v>0</v>
      </c>
      <c r="AE15" s="66"/>
      <c r="AF15" s="67"/>
      <c r="AG15" s="63">
        <f t="shared" si="7"/>
        <v>0</v>
      </c>
      <c r="AH15" s="66"/>
      <c r="AI15" s="67"/>
      <c r="AJ15" s="63">
        <f t="shared" si="8"/>
        <v>0</v>
      </c>
      <c r="AK15" s="66"/>
      <c r="AL15" s="67"/>
      <c r="AM15" s="63">
        <f t="shared" si="9"/>
        <v>0</v>
      </c>
      <c r="AN15" s="66"/>
      <c r="AO15" s="67"/>
      <c r="AP15" s="61">
        <f t="shared" si="10"/>
        <v>246</v>
      </c>
      <c r="AQ15" s="70">
        <f t="shared" si="11"/>
        <v>5.5530474040632057E-2</v>
      </c>
    </row>
    <row r="16" spans="1:45" ht="18" customHeight="1">
      <c r="A16" s="47"/>
      <c r="B16" s="59" t="s">
        <v>141</v>
      </c>
      <c r="C16" s="60">
        <v>1198</v>
      </c>
      <c r="D16" s="61">
        <v>280</v>
      </c>
      <c r="E16" s="62">
        <v>1120</v>
      </c>
      <c r="F16" s="63">
        <v>7</v>
      </c>
      <c r="G16" s="68"/>
      <c r="H16" s="69"/>
      <c r="I16" s="63">
        <v>3</v>
      </c>
      <c r="J16" s="68"/>
      <c r="K16" s="69"/>
      <c r="L16" s="63">
        <f t="shared" si="0"/>
        <v>0</v>
      </c>
      <c r="M16" s="66"/>
      <c r="N16" s="67"/>
      <c r="O16" s="63">
        <f t="shared" si="1"/>
        <v>0</v>
      </c>
      <c r="P16" s="66"/>
      <c r="Q16" s="67"/>
      <c r="R16" s="63">
        <f t="shared" si="2"/>
        <v>0</v>
      </c>
      <c r="S16" s="66"/>
      <c r="T16" s="67"/>
      <c r="U16" s="63">
        <f t="shared" si="3"/>
        <v>0</v>
      </c>
      <c r="V16" s="66"/>
      <c r="W16" s="67"/>
      <c r="X16" s="63">
        <f t="shared" si="4"/>
        <v>0</v>
      </c>
      <c r="Y16" s="66"/>
      <c r="Z16" s="67"/>
      <c r="AA16" s="63">
        <f t="shared" si="5"/>
        <v>0</v>
      </c>
      <c r="AB16" s="66"/>
      <c r="AC16" s="67"/>
      <c r="AD16" s="63">
        <f t="shared" si="6"/>
        <v>0</v>
      </c>
      <c r="AE16" s="66"/>
      <c r="AF16" s="67"/>
      <c r="AG16" s="63">
        <f t="shared" si="7"/>
        <v>0</v>
      </c>
      <c r="AH16" s="66"/>
      <c r="AI16" s="67"/>
      <c r="AJ16" s="63">
        <f t="shared" si="8"/>
        <v>0</v>
      </c>
      <c r="AK16" s="66"/>
      <c r="AL16" s="67"/>
      <c r="AM16" s="63">
        <f t="shared" si="9"/>
        <v>0</v>
      </c>
      <c r="AN16" s="66"/>
      <c r="AO16" s="67"/>
      <c r="AP16" s="61">
        <f t="shared" si="10"/>
        <v>7</v>
      </c>
      <c r="AQ16" s="70">
        <f t="shared" si="11"/>
        <v>6.2500000000000003E-3</v>
      </c>
    </row>
    <row r="17" spans="1:43" ht="18" customHeight="1">
      <c r="A17" s="47"/>
      <c r="B17" s="59" t="s">
        <v>142</v>
      </c>
      <c r="C17" s="60">
        <v>1110</v>
      </c>
      <c r="D17" s="61">
        <v>190</v>
      </c>
      <c r="E17" s="62">
        <v>1060</v>
      </c>
      <c r="F17" s="63">
        <v>52</v>
      </c>
      <c r="G17" s="68"/>
      <c r="H17" s="69"/>
      <c r="I17" s="63">
        <v>28</v>
      </c>
      <c r="J17" s="68"/>
      <c r="K17" s="69"/>
      <c r="L17" s="63">
        <f t="shared" si="0"/>
        <v>0</v>
      </c>
      <c r="M17" s="66"/>
      <c r="N17" s="67"/>
      <c r="O17" s="63">
        <f t="shared" si="1"/>
        <v>0</v>
      </c>
      <c r="P17" s="66"/>
      <c r="Q17" s="67"/>
      <c r="R17" s="63">
        <f t="shared" si="2"/>
        <v>0</v>
      </c>
      <c r="S17" s="66"/>
      <c r="T17" s="67"/>
      <c r="U17" s="63">
        <f t="shared" si="3"/>
        <v>0</v>
      </c>
      <c r="V17" s="66"/>
      <c r="W17" s="67"/>
      <c r="X17" s="63">
        <f t="shared" si="4"/>
        <v>0</v>
      </c>
      <c r="Y17" s="66"/>
      <c r="Z17" s="67"/>
      <c r="AA17" s="63">
        <f t="shared" si="5"/>
        <v>0</v>
      </c>
      <c r="AB17" s="66"/>
      <c r="AC17" s="67"/>
      <c r="AD17" s="63">
        <f t="shared" si="6"/>
        <v>0</v>
      </c>
      <c r="AE17" s="66"/>
      <c r="AF17" s="67"/>
      <c r="AG17" s="63">
        <f t="shared" si="7"/>
        <v>0</v>
      </c>
      <c r="AH17" s="66"/>
      <c r="AI17" s="67"/>
      <c r="AJ17" s="63">
        <f t="shared" si="8"/>
        <v>0</v>
      </c>
      <c r="AK17" s="66"/>
      <c r="AL17" s="67"/>
      <c r="AM17" s="63">
        <f t="shared" si="9"/>
        <v>0</v>
      </c>
      <c r="AN17" s="66"/>
      <c r="AO17" s="67"/>
      <c r="AP17" s="61">
        <f t="shared" si="10"/>
        <v>52</v>
      </c>
      <c r="AQ17" s="70">
        <f t="shared" si="11"/>
        <v>4.9056603773584909E-2</v>
      </c>
    </row>
    <row r="18" spans="1:43" ht="18" customHeight="1">
      <c r="A18" s="47"/>
      <c r="B18" s="59" t="s">
        <v>143</v>
      </c>
      <c r="C18" s="60">
        <v>2182</v>
      </c>
      <c r="D18" s="61">
        <v>515</v>
      </c>
      <c r="E18" s="62">
        <v>2060</v>
      </c>
      <c r="F18" s="63">
        <v>20</v>
      </c>
      <c r="G18" s="68"/>
      <c r="H18" s="69"/>
      <c r="I18" s="63">
        <v>11</v>
      </c>
      <c r="J18" s="68"/>
      <c r="K18" s="69"/>
      <c r="L18" s="63">
        <f t="shared" si="0"/>
        <v>0</v>
      </c>
      <c r="M18" s="66"/>
      <c r="N18" s="67"/>
      <c r="O18" s="63">
        <f t="shared" si="1"/>
        <v>0</v>
      </c>
      <c r="P18" s="66"/>
      <c r="Q18" s="67"/>
      <c r="R18" s="63">
        <f t="shared" si="2"/>
        <v>0</v>
      </c>
      <c r="S18" s="66"/>
      <c r="T18" s="67"/>
      <c r="U18" s="63">
        <f t="shared" si="3"/>
        <v>0</v>
      </c>
      <c r="V18" s="66"/>
      <c r="W18" s="67"/>
      <c r="X18" s="63">
        <f t="shared" si="4"/>
        <v>0</v>
      </c>
      <c r="Y18" s="66"/>
      <c r="Z18" s="67"/>
      <c r="AA18" s="63">
        <f t="shared" si="5"/>
        <v>0</v>
      </c>
      <c r="AB18" s="66"/>
      <c r="AC18" s="67"/>
      <c r="AD18" s="63">
        <f t="shared" si="6"/>
        <v>0</v>
      </c>
      <c r="AE18" s="66"/>
      <c r="AF18" s="67"/>
      <c r="AG18" s="63">
        <f t="shared" si="7"/>
        <v>0</v>
      </c>
      <c r="AH18" s="66"/>
      <c r="AI18" s="67"/>
      <c r="AJ18" s="63">
        <f t="shared" si="8"/>
        <v>0</v>
      </c>
      <c r="AK18" s="66"/>
      <c r="AL18" s="67"/>
      <c r="AM18" s="63">
        <f t="shared" si="9"/>
        <v>0</v>
      </c>
      <c r="AN18" s="66"/>
      <c r="AO18" s="67"/>
      <c r="AP18" s="61">
        <f t="shared" si="10"/>
        <v>20</v>
      </c>
      <c r="AQ18" s="70">
        <f t="shared" si="11"/>
        <v>9.7087378640776691E-3</v>
      </c>
    </row>
    <row r="19" spans="1:43" ht="18" customHeight="1">
      <c r="A19" s="47"/>
      <c r="B19" s="59" t="s">
        <v>144</v>
      </c>
      <c r="C19" s="60">
        <v>2085</v>
      </c>
      <c r="D19" s="61">
        <v>510</v>
      </c>
      <c r="E19" s="62">
        <v>2040</v>
      </c>
      <c r="F19" s="63">
        <v>37</v>
      </c>
      <c r="G19" s="68"/>
      <c r="H19" s="69"/>
      <c r="I19" s="63">
        <v>16</v>
      </c>
      <c r="J19" s="68"/>
      <c r="K19" s="69"/>
      <c r="L19" s="63">
        <f t="shared" si="0"/>
        <v>0</v>
      </c>
      <c r="M19" s="66"/>
      <c r="N19" s="67"/>
      <c r="O19" s="63">
        <f t="shared" si="1"/>
        <v>0</v>
      </c>
      <c r="P19" s="66"/>
      <c r="Q19" s="67"/>
      <c r="R19" s="63">
        <f t="shared" si="2"/>
        <v>0</v>
      </c>
      <c r="S19" s="66"/>
      <c r="T19" s="67"/>
      <c r="U19" s="63">
        <f t="shared" si="3"/>
        <v>0</v>
      </c>
      <c r="V19" s="66"/>
      <c r="W19" s="67"/>
      <c r="X19" s="63">
        <f t="shared" si="4"/>
        <v>0</v>
      </c>
      <c r="Y19" s="66"/>
      <c r="Z19" s="67"/>
      <c r="AA19" s="63">
        <f t="shared" si="5"/>
        <v>0</v>
      </c>
      <c r="AB19" s="66"/>
      <c r="AC19" s="67"/>
      <c r="AD19" s="63">
        <f t="shared" si="6"/>
        <v>0</v>
      </c>
      <c r="AE19" s="66"/>
      <c r="AF19" s="67"/>
      <c r="AG19" s="63">
        <f t="shared" si="7"/>
        <v>0</v>
      </c>
      <c r="AH19" s="66"/>
      <c r="AI19" s="67"/>
      <c r="AJ19" s="63">
        <f t="shared" si="8"/>
        <v>0</v>
      </c>
      <c r="AK19" s="66"/>
      <c r="AL19" s="67"/>
      <c r="AM19" s="63">
        <f t="shared" si="9"/>
        <v>0</v>
      </c>
      <c r="AN19" s="66"/>
      <c r="AO19" s="67"/>
      <c r="AP19" s="61">
        <f t="shared" si="10"/>
        <v>37</v>
      </c>
      <c r="AQ19" s="70">
        <f t="shared" si="11"/>
        <v>1.8137254901960786E-2</v>
      </c>
    </row>
    <row r="20" spans="1:43" ht="18" customHeight="1">
      <c r="A20" s="47"/>
      <c r="B20" s="59" t="s">
        <v>145</v>
      </c>
      <c r="C20" s="60">
        <v>2098</v>
      </c>
      <c r="D20" s="61">
        <v>500</v>
      </c>
      <c r="E20" s="62">
        <v>2000</v>
      </c>
      <c r="F20" s="63">
        <v>0</v>
      </c>
      <c r="G20" s="68"/>
      <c r="H20" s="69"/>
      <c r="I20" s="63">
        <v>0</v>
      </c>
      <c r="J20" s="68"/>
      <c r="K20" s="69"/>
      <c r="L20" s="63">
        <f t="shared" si="0"/>
        <v>0</v>
      </c>
      <c r="M20" s="66"/>
      <c r="N20" s="67"/>
      <c r="O20" s="63">
        <f t="shared" si="1"/>
        <v>0</v>
      </c>
      <c r="P20" s="66"/>
      <c r="Q20" s="67"/>
      <c r="R20" s="63">
        <f t="shared" si="2"/>
        <v>0</v>
      </c>
      <c r="S20" s="66"/>
      <c r="T20" s="67"/>
      <c r="U20" s="63">
        <f t="shared" si="3"/>
        <v>0</v>
      </c>
      <c r="V20" s="66"/>
      <c r="W20" s="67"/>
      <c r="X20" s="63">
        <f t="shared" si="4"/>
        <v>0</v>
      </c>
      <c r="Y20" s="66"/>
      <c r="Z20" s="67"/>
      <c r="AA20" s="63">
        <f t="shared" si="5"/>
        <v>0</v>
      </c>
      <c r="AB20" s="66"/>
      <c r="AC20" s="67"/>
      <c r="AD20" s="63">
        <f t="shared" si="6"/>
        <v>0</v>
      </c>
      <c r="AE20" s="66"/>
      <c r="AF20" s="67"/>
      <c r="AG20" s="63">
        <f t="shared" si="7"/>
        <v>0</v>
      </c>
      <c r="AH20" s="66"/>
      <c r="AI20" s="67"/>
      <c r="AJ20" s="63">
        <f t="shared" si="8"/>
        <v>0</v>
      </c>
      <c r="AK20" s="66"/>
      <c r="AL20" s="67"/>
      <c r="AM20" s="63">
        <f t="shared" si="9"/>
        <v>0</v>
      </c>
      <c r="AN20" s="66"/>
      <c r="AO20" s="67"/>
      <c r="AP20" s="61">
        <f t="shared" si="10"/>
        <v>0</v>
      </c>
      <c r="AQ20" s="70">
        <f t="shared" si="11"/>
        <v>0</v>
      </c>
    </row>
    <row r="21" spans="1:43" ht="18" customHeight="1">
      <c r="A21" s="47"/>
      <c r="B21" s="59" t="s">
        <v>146</v>
      </c>
      <c r="C21" s="60">
        <v>360</v>
      </c>
      <c r="D21" s="61">
        <v>330</v>
      </c>
      <c r="E21" s="62">
        <v>330</v>
      </c>
      <c r="F21" s="63">
        <v>315</v>
      </c>
      <c r="G21" s="68"/>
      <c r="H21" s="69"/>
      <c r="I21" s="63">
        <v>232</v>
      </c>
      <c r="J21" s="68"/>
      <c r="K21" s="69"/>
      <c r="L21" s="63">
        <f t="shared" si="0"/>
        <v>0</v>
      </c>
      <c r="M21" s="66"/>
      <c r="N21" s="67"/>
      <c r="O21" s="63">
        <f t="shared" si="1"/>
        <v>0</v>
      </c>
      <c r="P21" s="66"/>
      <c r="Q21" s="67"/>
      <c r="R21" s="63">
        <f t="shared" si="2"/>
        <v>0</v>
      </c>
      <c r="S21" s="66"/>
      <c r="T21" s="67"/>
      <c r="U21" s="63">
        <f t="shared" si="3"/>
        <v>0</v>
      </c>
      <c r="V21" s="66"/>
      <c r="W21" s="67"/>
      <c r="X21" s="63">
        <f t="shared" si="4"/>
        <v>0</v>
      </c>
      <c r="Y21" s="66"/>
      <c r="Z21" s="67"/>
      <c r="AA21" s="63">
        <f t="shared" si="5"/>
        <v>0</v>
      </c>
      <c r="AB21" s="66"/>
      <c r="AC21" s="67"/>
      <c r="AD21" s="63">
        <f t="shared" si="6"/>
        <v>0</v>
      </c>
      <c r="AE21" s="66"/>
      <c r="AF21" s="67"/>
      <c r="AG21" s="63">
        <f t="shared" si="7"/>
        <v>0</v>
      </c>
      <c r="AH21" s="66"/>
      <c r="AI21" s="67"/>
      <c r="AJ21" s="63">
        <f t="shared" si="8"/>
        <v>0</v>
      </c>
      <c r="AK21" s="66"/>
      <c r="AL21" s="67"/>
      <c r="AM21" s="63">
        <f t="shared" si="9"/>
        <v>0</v>
      </c>
      <c r="AN21" s="66"/>
      <c r="AO21" s="67"/>
      <c r="AP21" s="61">
        <f t="shared" si="10"/>
        <v>315</v>
      </c>
      <c r="AQ21" s="70">
        <f t="shared" si="11"/>
        <v>0.95454545454545459</v>
      </c>
    </row>
    <row r="22" spans="1:43" ht="18" customHeight="1">
      <c r="A22" s="47"/>
      <c r="B22" s="59" t="s">
        <v>147</v>
      </c>
      <c r="C22" s="60">
        <v>190</v>
      </c>
      <c r="D22" s="61">
        <v>80</v>
      </c>
      <c r="E22" s="62">
        <v>160</v>
      </c>
      <c r="F22" s="63">
        <v>6</v>
      </c>
      <c r="G22" s="68"/>
      <c r="H22" s="69"/>
      <c r="I22" s="63">
        <v>0</v>
      </c>
      <c r="J22" s="68"/>
      <c r="K22" s="69"/>
      <c r="L22" s="63">
        <f t="shared" si="0"/>
        <v>0</v>
      </c>
      <c r="M22" s="66"/>
      <c r="N22" s="67"/>
      <c r="O22" s="63">
        <f t="shared" si="1"/>
        <v>0</v>
      </c>
      <c r="P22" s="66"/>
      <c r="Q22" s="67"/>
      <c r="R22" s="63">
        <f t="shared" si="2"/>
        <v>0</v>
      </c>
      <c r="S22" s="66"/>
      <c r="T22" s="67"/>
      <c r="U22" s="63">
        <f t="shared" si="3"/>
        <v>0</v>
      </c>
      <c r="V22" s="66"/>
      <c r="W22" s="67"/>
      <c r="X22" s="63">
        <f t="shared" si="4"/>
        <v>0</v>
      </c>
      <c r="Y22" s="66"/>
      <c r="Z22" s="67"/>
      <c r="AA22" s="63">
        <f t="shared" si="5"/>
        <v>0</v>
      </c>
      <c r="AB22" s="66"/>
      <c r="AC22" s="67"/>
      <c r="AD22" s="63">
        <f t="shared" si="6"/>
        <v>0</v>
      </c>
      <c r="AE22" s="66"/>
      <c r="AF22" s="67"/>
      <c r="AG22" s="63">
        <f t="shared" si="7"/>
        <v>0</v>
      </c>
      <c r="AH22" s="66"/>
      <c r="AI22" s="67"/>
      <c r="AJ22" s="63">
        <f t="shared" si="8"/>
        <v>0</v>
      </c>
      <c r="AK22" s="66"/>
      <c r="AL22" s="67"/>
      <c r="AM22" s="63">
        <f t="shared" si="9"/>
        <v>0</v>
      </c>
      <c r="AN22" s="66"/>
      <c r="AO22" s="67"/>
      <c r="AP22" s="61">
        <f t="shared" si="10"/>
        <v>6</v>
      </c>
      <c r="AQ22" s="70">
        <f t="shared" si="11"/>
        <v>3.7499999999999999E-2</v>
      </c>
    </row>
    <row r="23" spans="1:43" ht="18" customHeight="1">
      <c r="A23" s="47"/>
      <c r="B23" s="59" t="s">
        <v>148</v>
      </c>
      <c r="C23" s="60">
        <v>2780</v>
      </c>
      <c r="D23" s="61">
        <v>680</v>
      </c>
      <c r="E23" s="62">
        <v>2720</v>
      </c>
      <c r="F23" s="63">
        <v>226</v>
      </c>
      <c r="G23" s="68"/>
      <c r="H23" s="69"/>
      <c r="I23" s="63">
        <v>169</v>
      </c>
      <c r="J23" s="68"/>
      <c r="K23" s="69"/>
      <c r="L23" s="63">
        <f t="shared" si="0"/>
        <v>0</v>
      </c>
      <c r="M23" s="66"/>
      <c r="N23" s="67"/>
      <c r="O23" s="63">
        <f t="shared" si="1"/>
        <v>0</v>
      </c>
      <c r="P23" s="66"/>
      <c r="Q23" s="67"/>
      <c r="R23" s="63">
        <f t="shared" si="2"/>
        <v>0</v>
      </c>
      <c r="S23" s="66"/>
      <c r="T23" s="67"/>
      <c r="U23" s="63">
        <f t="shared" si="3"/>
        <v>0</v>
      </c>
      <c r="V23" s="66"/>
      <c r="W23" s="67"/>
      <c r="X23" s="63">
        <f t="shared" si="4"/>
        <v>0</v>
      </c>
      <c r="Y23" s="66"/>
      <c r="Z23" s="67"/>
      <c r="AA23" s="63">
        <f t="shared" si="5"/>
        <v>0</v>
      </c>
      <c r="AB23" s="66"/>
      <c r="AC23" s="67"/>
      <c r="AD23" s="63">
        <f t="shared" si="6"/>
        <v>0</v>
      </c>
      <c r="AE23" s="66"/>
      <c r="AF23" s="67"/>
      <c r="AG23" s="63">
        <f t="shared" si="7"/>
        <v>0</v>
      </c>
      <c r="AH23" s="66"/>
      <c r="AI23" s="67"/>
      <c r="AJ23" s="63">
        <f t="shared" si="8"/>
        <v>0</v>
      </c>
      <c r="AK23" s="66"/>
      <c r="AL23" s="67"/>
      <c r="AM23" s="63">
        <f t="shared" si="9"/>
        <v>0</v>
      </c>
      <c r="AN23" s="66"/>
      <c r="AO23" s="67"/>
      <c r="AP23" s="61">
        <f t="shared" si="10"/>
        <v>226</v>
      </c>
      <c r="AQ23" s="70">
        <f t="shared" si="11"/>
        <v>8.3088235294117643E-2</v>
      </c>
    </row>
    <row r="24" spans="1:43" ht="18" customHeight="1">
      <c r="A24" s="47"/>
      <c r="B24" s="59" t="s">
        <v>149</v>
      </c>
      <c r="C24" s="60">
        <v>704</v>
      </c>
      <c r="D24" s="61">
        <v>112</v>
      </c>
      <c r="E24" s="62">
        <v>676</v>
      </c>
      <c r="F24" s="63">
        <v>15</v>
      </c>
      <c r="G24" s="68"/>
      <c r="H24" s="69"/>
      <c r="I24" s="63">
        <v>4</v>
      </c>
      <c r="J24" s="68"/>
      <c r="K24" s="69"/>
      <c r="L24" s="63">
        <f t="shared" si="0"/>
        <v>0</v>
      </c>
      <c r="M24" s="66"/>
      <c r="N24" s="67"/>
      <c r="O24" s="63">
        <f t="shared" si="1"/>
        <v>0</v>
      </c>
      <c r="P24" s="66"/>
      <c r="Q24" s="67"/>
      <c r="R24" s="63">
        <f t="shared" si="2"/>
        <v>0</v>
      </c>
      <c r="S24" s="66"/>
      <c r="T24" s="67"/>
      <c r="U24" s="63">
        <f t="shared" si="3"/>
        <v>0</v>
      </c>
      <c r="V24" s="66"/>
      <c r="W24" s="67"/>
      <c r="X24" s="63">
        <f t="shared" si="4"/>
        <v>0</v>
      </c>
      <c r="Y24" s="66"/>
      <c r="Z24" s="67"/>
      <c r="AA24" s="63">
        <f t="shared" si="5"/>
        <v>0</v>
      </c>
      <c r="AB24" s="66"/>
      <c r="AC24" s="67"/>
      <c r="AD24" s="63">
        <f t="shared" si="6"/>
        <v>0</v>
      </c>
      <c r="AE24" s="66"/>
      <c r="AF24" s="67"/>
      <c r="AG24" s="63">
        <f t="shared" si="7"/>
        <v>0</v>
      </c>
      <c r="AH24" s="66"/>
      <c r="AI24" s="67"/>
      <c r="AJ24" s="63">
        <f t="shared" si="8"/>
        <v>0</v>
      </c>
      <c r="AK24" s="66"/>
      <c r="AL24" s="67"/>
      <c r="AM24" s="63">
        <f t="shared" si="9"/>
        <v>0</v>
      </c>
      <c r="AN24" s="66"/>
      <c r="AO24" s="67"/>
      <c r="AP24" s="61">
        <f t="shared" si="10"/>
        <v>15</v>
      </c>
      <c r="AQ24" s="70">
        <f t="shared" si="11"/>
        <v>2.2189349112426034E-2</v>
      </c>
    </row>
    <row r="25" spans="1:43" ht="18" customHeight="1">
      <c r="A25" s="47"/>
      <c r="B25" s="59" t="s">
        <v>150</v>
      </c>
      <c r="C25" s="60">
        <v>1927</v>
      </c>
      <c r="D25" s="61">
        <v>485</v>
      </c>
      <c r="E25" s="62">
        <v>1940</v>
      </c>
      <c r="F25" s="63">
        <v>260</v>
      </c>
      <c r="G25" s="68"/>
      <c r="H25" s="69"/>
      <c r="I25" s="63">
        <v>147</v>
      </c>
      <c r="J25" s="68"/>
      <c r="K25" s="69"/>
      <c r="L25" s="63">
        <f t="shared" si="0"/>
        <v>0</v>
      </c>
      <c r="M25" s="66"/>
      <c r="N25" s="67"/>
      <c r="O25" s="63">
        <f t="shared" si="1"/>
        <v>0</v>
      </c>
      <c r="P25" s="66"/>
      <c r="Q25" s="67"/>
      <c r="R25" s="63">
        <f t="shared" si="2"/>
        <v>0</v>
      </c>
      <c r="S25" s="66"/>
      <c r="T25" s="67"/>
      <c r="U25" s="63">
        <f t="shared" si="3"/>
        <v>0</v>
      </c>
      <c r="V25" s="66"/>
      <c r="W25" s="67"/>
      <c r="X25" s="63">
        <f t="shared" si="4"/>
        <v>0</v>
      </c>
      <c r="Y25" s="66"/>
      <c r="Z25" s="67"/>
      <c r="AA25" s="63">
        <f t="shared" si="5"/>
        <v>0</v>
      </c>
      <c r="AB25" s="66"/>
      <c r="AC25" s="67"/>
      <c r="AD25" s="63">
        <f t="shared" si="6"/>
        <v>0</v>
      </c>
      <c r="AE25" s="66"/>
      <c r="AF25" s="67"/>
      <c r="AG25" s="63">
        <f t="shared" si="7"/>
        <v>0</v>
      </c>
      <c r="AH25" s="66"/>
      <c r="AI25" s="67"/>
      <c r="AJ25" s="63">
        <f t="shared" si="8"/>
        <v>0</v>
      </c>
      <c r="AK25" s="66"/>
      <c r="AL25" s="67"/>
      <c r="AM25" s="63">
        <f t="shared" si="9"/>
        <v>0</v>
      </c>
      <c r="AN25" s="66"/>
      <c r="AO25" s="67"/>
      <c r="AP25" s="61">
        <f t="shared" si="10"/>
        <v>260</v>
      </c>
      <c r="AQ25" s="70">
        <f t="shared" si="11"/>
        <v>0.13402061855670103</v>
      </c>
    </row>
    <row r="26" spans="1:43" ht="18" customHeight="1">
      <c r="A26" s="47"/>
      <c r="B26" s="59" t="s">
        <v>151</v>
      </c>
      <c r="C26" s="60">
        <v>2177</v>
      </c>
      <c r="D26" s="61">
        <v>545</v>
      </c>
      <c r="E26" s="62">
        <v>2180</v>
      </c>
      <c r="F26" s="63">
        <v>110</v>
      </c>
      <c r="G26" s="68"/>
      <c r="H26" s="69"/>
      <c r="I26" s="63">
        <v>56</v>
      </c>
      <c r="J26" s="68"/>
      <c r="K26" s="69"/>
      <c r="L26" s="63">
        <f t="shared" si="0"/>
        <v>0</v>
      </c>
      <c r="M26" s="66"/>
      <c r="N26" s="67"/>
      <c r="O26" s="63">
        <f t="shared" si="1"/>
        <v>0</v>
      </c>
      <c r="P26" s="66"/>
      <c r="Q26" s="67"/>
      <c r="R26" s="63">
        <f t="shared" si="2"/>
        <v>0</v>
      </c>
      <c r="S26" s="66"/>
      <c r="T26" s="67"/>
      <c r="U26" s="63">
        <f t="shared" si="3"/>
        <v>0</v>
      </c>
      <c r="V26" s="66"/>
      <c r="W26" s="67"/>
      <c r="X26" s="63">
        <f t="shared" si="4"/>
        <v>0</v>
      </c>
      <c r="Y26" s="66"/>
      <c r="Z26" s="67"/>
      <c r="AA26" s="63">
        <f t="shared" si="5"/>
        <v>0</v>
      </c>
      <c r="AB26" s="66"/>
      <c r="AC26" s="67"/>
      <c r="AD26" s="63">
        <f t="shared" si="6"/>
        <v>0</v>
      </c>
      <c r="AE26" s="66"/>
      <c r="AF26" s="67"/>
      <c r="AG26" s="63">
        <f t="shared" si="7"/>
        <v>0</v>
      </c>
      <c r="AH26" s="66"/>
      <c r="AI26" s="67"/>
      <c r="AJ26" s="63">
        <f t="shared" si="8"/>
        <v>0</v>
      </c>
      <c r="AK26" s="66"/>
      <c r="AL26" s="67"/>
      <c r="AM26" s="63">
        <f t="shared" si="9"/>
        <v>0</v>
      </c>
      <c r="AN26" s="66"/>
      <c r="AO26" s="67"/>
      <c r="AP26" s="61">
        <f t="shared" si="10"/>
        <v>110</v>
      </c>
      <c r="AQ26" s="70">
        <f t="shared" si="11"/>
        <v>5.0458715596330278E-2</v>
      </c>
    </row>
    <row r="27" spans="1:43" ht="18" customHeight="1">
      <c r="A27" s="47"/>
      <c r="B27" s="59" t="s">
        <v>152</v>
      </c>
      <c r="C27" s="60">
        <v>1720</v>
      </c>
      <c r="D27" s="61">
        <v>420</v>
      </c>
      <c r="E27" s="62">
        <v>1680</v>
      </c>
      <c r="F27" s="63">
        <v>15</v>
      </c>
      <c r="G27" s="71"/>
      <c r="H27" s="72"/>
      <c r="I27" s="63">
        <v>8</v>
      </c>
      <c r="J27" s="71"/>
      <c r="K27" s="72"/>
      <c r="L27" s="63">
        <f t="shared" si="0"/>
        <v>0</v>
      </c>
      <c r="M27" s="66"/>
      <c r="N27" s="67"/>
      <c r="O27" s="63">
        <f t="shared" si="1"/>
        <v>0</v>
      </c>
      <c r="P27" s="66"/>
      <c r="Q27" s="67"/>
      <c r="R27" s="63">
        <f t="shared" si="2"/>
        <v>0</v>
      </c>
      <c r="S27" s="66"/>
      <c r="T27" s="67"/>
      <c r="U27" s="63">
        <f t="shared" si="3"/>
        <v>0</v>
      </c>
      <c r="V27" s="66"/>
      <c r="W27" s="67"/>
      <c r="X27" s="63">
        <f t="shared" si="4"/>
        <v>0</v>
      </c>
      <c r="Y27" s="66"/>
      <c r="Z27" s="67"/>
      <c r="AA27" s="63">
        <f t="shared" si="5"/>
        <v>0</v>
      </c>
      <c r="AB27" s="66"/>
      <c r="AC27" s="67"/>
      <c r="AD27" s="63">
        <f t="shared" si="6"/>
        <v>0</v>
      </c>
      <c r="AE27" s="66"/>
      <c r="AF27" s="67"/>
      <c r="AG27" s="63">
        <f t="shared" si="7"/>
        <v>0</v>
      </c>
      <c r="AH27" s="66"/>
      <c r="AI27" s="67"/>
      <c r="AJ27" s="63">
        <f t="shared" si="8"/>
        <v>0</v>
      </c>
      <c r="AK27" s="66"/>
      <c r="AL27" s="67"/>
      <c r="AM27" s="63">
        <f t="shared" si="9"/>
        <v>0</v>
      </c>
      <c r="AN27" s="66"/>
      <c r="AO27" s="67"/>
      <c r="AP27" s="61">
        <f t="shared" si="10"/>
        <v>15</v>
      </c>
      <c r="AQ27" s="70">
        <f t="shared" si="11"/>
        <v>8.9285714285714281E-3</v>
      </c>
    </row>
    <row r="28" spans="1:43" ht="18" customHeight="1">
      <c r="A28" s="47"/>
      <c r="B28" s="59" t="s">
        <v>153</v>
      </c>
      <c r="C28" s="60">
        <v>1443</v>
      </c>
      <c r="D28" s="61">
        <v>2000</v>
      </c>
      <c r="E28" s="62">
        <v>8000</v>
      </c>
      <c r="F28" s="63">
        <v>0</v>
      </c>
      <c r="G28" s="68"/>
      <c r="H28" s="69"/>
      <c r="I28" s="63">
        <v>0</v>
      </c>
      <c r="J28" s="68"/>
      <c r="K28" s="69"/>
      <c r="L28" s="63">
        <f t="shared" si="0"/>
        <v>0</v>
      </c>
      <c r="M28" s="66"/>
      <c r="N28" s="67"/>
      <c r="O28" s="63">
        <f t="shared" si="1"/>
        <v>0</v>
      </c>
      <c r="P28" s="66"/>
      <c r="Q28" s="67"/>
      <c r="R28" s="63">
        <f t="shared" si="2"/>
        <v>0</v>
      </c>
      <c r="S28" s="66"/>
      <c r="T28" s="67"/>
      <c r="U28" s="63">
        <f t="shared" si="3"/>
        <v>0</v>
      </c>
      <c r="V28" s="66"/>
      <c r="W28" s="67"/>
      <c r="X28" s="63">
        <f t="shared" si="4"/>
        <v>0</v>
      </c>
      <c r="Y28" s="66"/>
      <c r="Z28" s="67"/>
      <c r="AA28" s="63">
        <f t="shared" si="5"/>
        <v>0</v>
      </c>
      <c r="AB28" s="66"/>
      <c r="AC28" s="67"/>
      <c r="AD28" s="63">
        <f t="shared" si="6"/>
        <v>0</v>
      </c>
      <c r="AE28" s="66"/>
      <c r="AF28" s="67"/>
      <c r="AG28" s="63">
        <f t="shared" si="7"/>
        <v>0</v>
      </c>
      <c r="AH28" s="66"/>
      <c r="AI28" s="67"/>
      <c r="AJ28" s="63">
        <f t="shared" si="8"/>
        <v>0</v>
      </c>
      <c r="AK28" s="66"/>
      <c r="AL28" s="67"/>
      <c r="AM28" s="63">
        <f t="shared" si="9"/>
        <v>0</v>
      </c>
      <c r="AN28" s="66"/>
      <c r="AO28" s="67"/>
      <c r="AP28" s="61">
        <f t="shared" si="10"/>
        <v>0</v>
      </c>
      <c r="AQ28" s="70">
        <f t="shared" si="11"/>
        <v>0</v>
      </c>
    </row>
    <row r="29" spans="1:43" ht="18" customHeight="1" thickBot="1">
      <c r="A29" s="47"/>
      <c r="B29" s="59" t="s">
        <v>154</v>
      </c>
      <c r="C29" s="60">
        <v>1780</v>
      </c>
      <c r="D29" s="74">
        <v>2000</v>
      </c>
      <c r="E29" s="62">
        <v>4000</v>
      </c>
      <c r="F29" s="63">
        <v>4</v>
      </c>
      <c r="G29" s="73"/>
      <c r="H29" s="73"/>
      <c r="I29" s="63">
        <v>3</v>
      </c>
      <c r="J29" s="73"/>
      <c r="K29" s="73"/>
      <c r="L29" s="63">
        <f t="shared" si="0"/>
        <v>0</v>
      </c>
      <c r="M29" s="66"/>
      <c r="N29" s="67"/>
      <c r="O29" s="63">
        <f t="shared" si="1"/>
        <v>0</v>
      </c>
      <c r="P29" s="66"/>
      <c r="Q29" s="67"/>
      <c r="R29" s="63">
        <f t="shared" si="2"/>
        <v>0</v>
      </c>
      <c r="S29" s="66"/>
      <c r="T29" s="67"/>
      <c r="U29" s="63">
        <f t="shared" si="3"/>
        <v>0</v>
      </c>
      <c r="V29" s="66"/>
      <c r="W29" s="67"/>
      <c r="X29" s="63">
        <f t="shared" si="4"/>
        <v>0</v>
      </c>
      <c r="Y29" s="66"/>
      <c r="Z29" s="67"/>
      <c r="AA29" s="63">
        <f t="shared" si="5"/>
        <v>0</v>
      </c>
      <c r="AB29" s="66"/>
      <c r="AC29" s="67"/>
      <c r="AD29" s="63">
        <f t="shared" si="6"/>
        <v>0</v>
      </c>
      <c r="AE29" s="66"/>
      <c r="AF29" s="67"/>
      <c r="AG29" s="63">
        <f t="shared" si="7"/>
        <v>0</v>
      </c>
      <c r="AH29" s="66"/>
      <c r="AI29" s="67"/>
      <c r="AJ29" s="63">
        <f t="shared" si="8"/>
        <v>0</v>
      </c>
      <c r="AK29" s="66"/>
      <c r="AL29" s="67"/>
      <c r="AM29" s="63">
        <f t="shared" si="9"/>
        <v>0</v>
      </c>
      <c r="AN29" s="66"/>
      <c r="AO29" s="67"/>
      <c r="AP29" s="74">
        <f>F29+L29+R29+X29+AD29+AJ29</f>
        <v>4</v>
      </c>
      <c r="AQ29" s="70">
        <f t="shared" si="11"/>
        <v>1E-3</v>
      </c>
    </row>
    <row r="30" spans="1:43" ht="18" customHeight="1" thickTop="1">
      <c r="B30" s="75" t="s">
        <v>155</v>
      </c>
      <c r="C30" s="76">
        <f t="shared" ref="C30:AP30" si="12">SUM(C12:C29)</f>
        <v>37569</v>
      </c>
      <c r="D30" s="77">
        <f t="shared" si="12"/>
        <v>12287</v>
      </c>
      <c r="E30" s="78">
        <f t="shared" si="12"/>
        <v>44796</v>
      </c>
      <c r="F30" s="78">
        <f t="shared" si="12"/>
        <v>1761</v>
      </c>
      <c r="G30" s="79">
        <f t="shared" si="12"/>
        <v>0</v>
      </c>
      <c r="H30" s="80">
        <f t="shared" si="12"/>
        <v>0</v>
      </c>
      <c r="I30" s="78">
        <f t="shared" si="12"/>
        <v>1079</v>
      </c>
      <c r="J30" s="79">
        <f t="shared" si="12"/>
        <v>0</v>
      </c>
      <c r="K30" s="80">
        <f t="shared" si="12"/>
        <v>0</v>
      </c>
      <c r="L30" s="78">
        <f t="shared" si="12"/>
        <v>0</v>
      </c>
      <c r="M30" s="79">
        <f t="shared" si="12"/>
        <v>0</v>
      </c>
      <c r="N30" s="80">
        <f t="shared" si="12"/>
        <v>0</v>
      </c>
      <c r="O30" s="78">
        <f t="shared" si="12"/>
        <v>0</v>
      </c>
      <c r="P30" s="79">
        <f t="shared" si="12"/>
        <v>0</v>
      </c>
      <c r="Q30" s="80">
        <f t="shared" si="12"/>
        <v>0</v>
      </c>
      <c r="R30" s="78">
        <f t="shared" si="12"/>
        <v>0</v>
      </c>
      <c r="S30" s="79">
        <f t="shared" si="12"/>
        <v>0</v>
      </c>
      <c r="T30" s="80">
        <f t="shared" si="12"/>
        <v>0</v>
      </c>
      <c r="U30" s="78">
        <f t="shared" si="12"/>
        <v>0</v>
      </c>
      <c r="V30" s="79">
        <f t="shared" si="12"/>
        <v>0</v>
      </c>
      <c r="W30" s="80">
        <f t="shared" si="12"/>
        <v>0</v>
      </c>
      <c r="X30" s="78">
        <f t="shared" si="12"/>
        <v>0</v>
      </c>
      <c r="Y30" s="79">
        <f t="shared" si="12"/>
        <v>0</v>
      </c>
      <c r="Z30" s="80">
        <f t="shared" si="12"/>
        <v>0</v>
      </c>
      <c r="AA30" s="78">
        <f t="shared" si="12"/>
        <v>0</v>
      </c>
      <c r="AB30" s="79">
        <f t="shared" si="12"/>
        <v>0</v>
      </c>
      <c r="AC30" s="80">
        <f t="shared" si="12"/>
        <v>0</v>
      </c>
      <c r="AD30" s="78">
        <f t="shared" si="12"/>
        <v>0</v>
      </c>
      <c r="AE30" s="79">
        <f t="shared" si="12"/>
        <v>0</v>
      </c>
      <c r="AF30" s="80">
        <f t="shared" si="12"/>
        <v>0</v>
      </c>
      <c r="AG30" s="78">
        <f t="shared" si="12"/>
        <v>0</v>
      </c>
      <c r="AH30" s="79">
        <f t="shared" si="12"/>
        <v>0</v>
      </c>
      <c r="AI30" s="80">
        <f t="shared" si="12"/>
        <v>0</v>
      </c>
      <c r="AJ30" s="78">
        <f t="shared" si="12"/>
        <v>0</v>
      </c>
      <c r="AK30" s="79">
        <f t="shared" si="12"/>
        <v>0</v>
      </c>
      <c r="AL30" s="80">
        <f t="shared" si="12"/>
        <v>0</v>
      </c>
      <c r="AM30" s="78">
        <f t="shared" si="12"/>
        <v>0</v>
      </c>
      <c r="AN30" s="79">
        <f t="shared" si="12"/>
        <v>0</v>
      </c>
      <c r="AO30" s="80">
        <f t="shared" si="12"/>
        <v>0</v>
      </c>
      <c r="AP30" s="77">
        <f t="shared" si="12"/>
        <v>1761</v>
      </c>
      <c r="AQ30" s="83">
        <f>AP30/E30</f>
        <v>3.9311545673720867E-2</v>
      </c>
    </row>
  </sheetData>
  <mergeCells count="27">
    <mergeCell ref="AM2:AQ2"/>
    <mergeCell ref="A3:AQ3"/>
    <mergeCell ref="C5:D5"/>
    <mergeCell ref="B9:B11"/>
    <mergeCell ref="C9:C11"/>
    <mergeCell ref="D9:D11"/>
    <mergeCell ref="E9:E11"/>
    <mergeCell ref="F9:K9"/>
    <mergeCell ref="L9:Q9"/>
    <mergeCell ref="R9:W9"/>
    <mergeCell ref="F10:H10"/>
    <mergeCell ref="I10:K10"/>
    <mergeCell ref="L10:N10"/>
    <mergeCell ref="O10:Q10"/>
    <mergeCell ref="R10:T10"/>
    <mergeCell ref="X9:AC9"/>
    <mergeCell ref="AD9:AI9"/>
    <mergeCell ref="AJ9:AO9"/>
    <mergeCell ref="AP9:AP11"/>
    <mergeCell ref="AQ9:AQ11"/>
    <mergeCell ref="AM10:AO10"/>
    <mergeCell ref="AJ10:AL10"/>
    <mergeCell ref="U10:W10"/>
    <mergeCell ref="X10:Z10"/>
    <mergeCell ref="AA10:AC10"/>
    <mergeCell ref="AD10:AF10"/>
    <mergeCell ref="AG10:AI10"/>
  </mergeCells>
  <phoneticPr fontId="9"/>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57"/>
  <sheetViews>
    <sheetView topLeftCell="A10" zoomScaleNormal="100" workbookViewId="0">
      <selection activeCell="L36" sqref="L36"/>
    </sheetView>
  </sheetViews>
  <sheetFormatPr defaultColWidth="14.44140625" defaultRowHeight="15" customHeight="1"/>
  <cols>
    <col min="1" max="1" width="2.6640625" customWidth="1"/>
    <col min="2" max="2" width="16.6640625" customWidth="1"/>
    <col min="3" max="3" width="8.77734375" customWidth="1"/>
    <col min="4" max="4" width="2.33203125" customWidth="1"/>
    <col min="5" max="5" width="16.6640625" customWidth="1"/>
    <col min="6" max="6" width="4.33203125" customWidth="1"/>
    <col min="7" max="7" width="9" customWidth="1"/>
    <col min="8" max="8" width="16.6640625" customWidth="1"/>
    <col min="9" max="9" width="12.109375" customWidth="1"/>
    <col min="10" max="26" width="11.33203125" customWidth="1"/>
  </cols>
  <sheetData>
    <row r="1" spans="1:26" ht="18.75" customHeight="1">
      <c r="A1" s="29" t="s">
        <v>47</v>
      </c>
      <c r="B1" s="1"/>
      <c r="C1" s="1"/>
      <c r="D1" s="1"/>
      <c r="E1" s="1"/>
      <c r="F1" s="1"/>
      <c r="G1" s="1"/>
      <c r="H1" s="1"/>
      <c r="I1" s="2" t="s">
        <v>48</v>
      </c>
      <c r="J1" s="1"/>
      <c r="K1" s="1"/>
      <c r="L1" s="1"/>
      <c r="M1" s="1"/>
      <c r="N1" s="1"/>
      <c r="O1" s="1"/>
      <c r="P1" s="1"/>
      <c r="Q1" s="1"/>
      <c r="R1" s="1"/>
      <c r="S1" s="1"/>
      <c r="T1" s="1"/>
      <c r="U1" s="1"/>
      <c r="V1" s="1"/>
      <c r="W1" s="1"/>
      <c r="X1" s="1"/>
      <c r="Y1" s="1"/>
      <c r="Z1" s="1"/>
    </row>
    <row r="2" spans="1:26" ht="18.75" customHeight="1">
      <c r="A2" s="29"/>
      <c r="B2" s="1"/>
      <c r="C2" s="1"/>
      <c r="D2" s="1"/>
      <c r="E2" s="1"/>
      <c r="F2" s="1"/>
      <c r="G2" s="2" t="s">
        <v>2</v>
      </c>
      <c r="H2" s="114" t="str">
        <f>'様式１　プログラムを構成する授業科目'!C2</f>
        <v>近畿大学</v>
      </c>
      <c r="I2" s="103"/>
      <c r="J2" s="1"/>
      <c r="K2" s="1"/>
      <c r="L2" s="1"/>
      <c r="M2" s="1"/>
      <c r="N2" s="1"/>
      <c r="O2" s="1"/>
      <c r="P2" s="1"/>
      <c r="Q2" s="1"/>
      <c r="R2" s="1"/>
      <c r="S2" s="1"/>
      <c r="T2" s="1"/>
      <c r="U2" s="1"/>
      <c r="V2" s="1"/>
      <c r="W2" s="1"/>
      <c r="X2" s="1"/>
      <c r="Y2" s="1"/>
      <c r="Z2" s="1"/>
    </row>
    <row r="3" spans="1:26" ht="18.75" customHeight="1">
      <c r="A3" s="29"/>
      <c r="B3" s="1"/>
      <c r="C3" s="1"/>
      <c r="D3" s="1"/>
      <c r="E3" s="1"/>
      <c r="F3" s="1"/>
      <c r="G3" s="2"/>
      <c r="H3" s="10"/>
      <c r="I3" s="10"/>
      <c r="J3" s="1"/>
      <c r="K3" s="1"/>
      <c r="L3" s="1"/>
      <c r="M3" s="1"/>
      <c r="N3" s="1"/>
      <c r="O3" s="1"/>
      <c r="P3" s="1"/>
      <c r="Q3" s="1"/>
      <c r="R3" s="1"/>
      <c r="S3" s="1"/>
      <c r="T3" s="1"/>
      <c r="U3" s="1"/>
      <c r="V3" s="1"/>
      <c r="W3" s="1"/>
      <c r="X3" s="1"/>
      <c r="Y3" s="1"/>
      <c r="Z3" s="1"/>
    </row>
    <row r="4" spans="1:26" ht="18" customHeight="1">
      <c r="A4" s="129" t="s">
        <v>49</v>
      </c>
      <c r="B4" s="124"/>
      <c r="C4" s="124"/>
      <c r="D4" s="124"/>
      <c r="E4" s="124"/>
      <c r="F4" s="124"/>
      <c r="G4" s="124"/>
      <c r="H4" s="124"/>
      <c r="I4" s="124"/>
      <c r="J4" s="1"/>
      <c r="K4" s="1"/>
      <c r="L4" s="1"/>
      <c r="M4" s="1"/>
      <c r="N4" s="1"/>
      <c r="O4" s="1"/>
      <c r="P4" s="1"/>
      <c r="Q4" s="1"/>
      <c r="R4" s="1"/>
      <c r="S4" s="1"/>
      <c r="T4" s="1"/>
      <c r="U4" s="1"/>
      <c r="V4" s="1"/>
      <c r="W4" s="1"/>
      <c r="X4" s="1"/>
      <c r="Y4" s="1"/>
      <c r="Z4" s="1"/>
    </row>
    <row r="5" spans="1:26" ht="12.75" customHeight="1">
      <c r="A5" s="29"/>
      <c r="B5" s="8"/>
      <c r="C5" s="8"/>
      <c r="D5" s="8"/>
      <c r="E5" s="8"/>
      <c r="F5" s="8"/>
      <c r="G5" s="8"/>
      <c r="H5" s="8"/>
      <c r="I5" s="8"/>
      <c r="J5" s="1"/>
      <c r="K5" s="1"/>
      <c r="L5" s="1"/>
      <c r="M5" s="1"/>
      <c r="N5" s="1"/>
      <c r="O5" s="1"/>
      <c r="P5" s="1"/>
      <c r="Q5" s="1"/>
      <c r="R5" s="1"/>
      <c r="S5" s="1"/>
      <c r="T5" s="1"/>
      <c r="U5" s="1"/>
      <c r="V5" s="1"/>
      <c r="W5" s="1"/>
      <c r="X5" s="1"/>
      <c r="Y5" s="1"/>
      <c r="Z5" s="1"/>
    </row>
    <row r="6" spans="1:26" ht="18" customHeight="1">
      <c r="A6" s="1" t="s">
        <v>50</v>
      </c>
      <c r="B6" s="10" t="s">
        <v>51</v>
      </c>
      <c r="C6" s="208" t="s">
        <v>52</v>
      </c>
      <c r="D6" s="124"/>
      <c r="E6" s="81">
        <v>2268</v>
      </c>
      <c r="F6" s="8" t="s">
        <v>53</v>
      </c>
      <c r="G6" s="8" t="s">
        <v>54</v>
      </c>
      <c r="H6" s="81">
        <v>3578</v>
      </c>
      <c r="I6" s="10" t="s">
        <v>53</v>
      </c>
      <c r="J6" s="1"/>
      <c r="K6" s="1"/>
      <c r="L6" s="1"/>
      <c r="M6" s="1"/>
      <c r="N6" s="1"/>
      <c r="O6" s="1"/>
      <c r="P6" s="1"/>
      <c r="Q6" s="1"/>
      <c r="R6" s="1"/>
      <c r="S6" s="1"/>
      <c r="T6" s="1"/>
      <c r="U6" s="1"/>
      <c r="V6" s="1"/>
      <c r="W6" s="1"/>
      <c r="X6" s="1"/>
      <c r="Y6" s="1"/>
      <c r="Z6" s="1"/>
    </row>
    <row r="7" spans="1:26" ht="12" customHeight="1">
      <c r="A7" s="29"/>
      <c r="B7" s="1"/>
      <c r="C7" s="3"/>
      <c r="D7" s="3"/>
      <c r="E7" s="3"/>
      <c r="F7" s="3"/>
      <c r="G7" s="3"/>
      <c r="H7" s="3"/>
      <c r="I7" s="30"/>
      <c r="J7" s="1"/>
      <c r="K7" s="1"/>
      <c r="L7" s="1"/>
      <c r="M7" s="1"/>
      <c r="N7" s="1"/>
      <c r="O7" s="1"/>
      <c r="P7" s="1"/>
      <c r="Q7" s="1"/>
      <c r="R7" s="1"/>
      <c r="S7" s="1"/>
      <c r="T7" s="1"/>
      <c r="U7" s="1"/>
      <c r="V7" s="1"/>
      <c r="W7" s="1"/>
      <c r="X7" s="1"/>
      <c r="Y7" s="1"/>
      <c r="Z7" s="1"/>
    </row>
    <row r="8" spans="1:26" ht="18" customHeight="1">
      <c r="A8" s="1" t="s">
        <v>55</v>
      </c>
      <c r="B8" s="10" t="s">
        <v>56</v>
      </c>
      <c r="C8" s="1"/>
      <c r="D8" s="1"/>
      <c r="E8" s="8"/>
      <c r="F8" s="8"/>
      <c r="G8" s="8"/>
      <c r="H8" s="4" t="s">
        <v>180</v>
      </c>
      <c r="I8" s="10" t="s">
        <v>53</v>
      </c>
      <c r="J8" s="1"/>
      <c r="K8" s="1"/>
      <c r="L8" s="1"/>
      <c r="M8" s="1"/>
      <c r="N8" s="1"/>
      <c r="O8" s="1"/>
      <c r="P8" s="1"/>
      <c r="Q8" s="1"/>
      <c r="R8" s="1"/>
      <c r="S8" s="1"/>
      <c r="T8" s="1"/>
      <c r="U8" s="1"/>
      <c r="V8" s="1"/>
      <c r="W8" s="1"/>
      <c r="X8" s="1"/>
      <c r="Y8" s="1"/>
      <c r="Z8" s="1"/>
    </row>
    <row r="9" spans="1:26" s="90" customFormat="1" ht="18" customHeight="1">
      <c r="A9" s="91"/>
      <c r="B9" s="210" t="s">
        <v>181</v>
      </c>
      <c r="C9" s="210"/>
      <c r="D9" s="210"/>
      <c r="E9" s="210"/>
      <c r="F9" s="210"/>
      <c r="G9" s="210"/>
      <c r="H9" s="210"/>
      <c r="I9" s="210"/>
      <c r="J9" s="91"/>
      <c r="K9" s="91"/>
      <c r="L9" s="91"/>
      <c r="M9" s="91"/>
      <c r="N9" s="91"/>
      <c r="O9" s="91"/>
      <c r="P9" s="91"/>
      <c r="Q9" s="91"/>
      <c r="R9" s="91"/>
      <c r="S9" s="91"/>
      <c r="T9" s="91"/>
      <c r="U9" s="91"/>
      <c r="V9" s="91"/>
      <c r="W9" s="91"/>
      <c r="X9" s="91"/>
      <c r="Y9" s="91"/>
      <c r="Z9" s="91"/>
    </row>
    <row r="10" spans="1:26" ht="9" customHeight="1">
      <c r="A10" s="29"/>
      <c r="B10" s="8"/>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1" t="s">
        <v>57</v>
      </c>
      <c r="B11" s="10" t="s">
        <v>58</v>
      </c>
      <c r="C11" s="8"/>
      <c r="D11" s="8"/>
      <c r="E11" s="8"/>
      <c r="F11" s="8"/>
      <c r="G11" s="8"/>
      <c r="H11" s="8"/>
      <c r="I11" s="8"/>
      <c r="J11" s="1"/>
      <c r="K11" s="1"/>
      <c r="L11" s="1"/>
      <c r="M11" s="1"/>
      <c r="N11" s="1"/>
      <c r="O11" s="1"/>
      <c r="P11" s="1"/>
      <c r="Q11" s="1"/>
      <c r="R11" s="1"/>
      <c r="S11" s="1"/>
      <c r="T11" s="1"/>
      <c r="U11" s="1"/>
      <c r="V11" s="1"/>
      <c r="W11" s="1"/>
      <c r="X11" s="1"/>
      <c r="Y11" s="1"/>
      <c r="Z11" s="1"/>
    </row>
    <row r="12" spans="1:26" ht="18" customHeight="1">
      <c r="A12" s="29"/>
      <c r="B12" s="2" t="s">
        <v>59</v>
      </c>
      <c r="C12" s="177" t="s">
        <v>111</v>
      </c>
      <c r="D12" s="102"/>
      <c r="E12" s="103"/>
      <c r="F12" s="30"/>
      <c r="G12" s="2" t="s">
        <v>60</v>
      </c>
      <c r="H12" s="209" t="s">
        <v>162</v>
      </c>
      <c r="I12" s="181"/>
      <c r="J12" s="1"/>
      <c r="K12" s="1"/>
      <c r="L12" s="1"/>
      <c r="M12" s="1"/>
      <c r="N12" s="1"/>
      <c r="O12" s="1"/>
      <c r="P12" s="1"/>
      <c r="Q12" s="1"/>
      <c r="R12" s="1"/>
      <c r="S12" s="1"/>
      <c r="T12" s="1"/>
      <c r="U12" s="1"/>
      <c r="V12" s="1"/>
      <c r="W12" s="1"/>
      <c r="X12" s="1"/>
      <c r="Y12" s="1"/>
      <c r="Z12" s="1"/>
    </row>
    <row r="13" spans="1:26" ht="9.75" customHeight="1">
      <c r="A13" s="29"/>
      <c r="B13" s="2"/>
      <c r="C13" s="10"/>
      <c r="D13" s="30"/>
      <c r="E13" s="30"/>
      <c r="F13" s="30"/>
      <c r="G13" s="2"/>
      <c r="H13" s="10"/>
      <c r="I13" s="30"/>
      <c r="J13" s="1"/>
      <c r="K13" s="1"/>
      <c r="L13" s="1"/>
      <c r="M13" s="1"/>
      <c r="N13" s="1"/>
      <c r="O13" s="1"/>
      <c r="P13" s="1"/>
      <c r="Q13" s="1"/>
      <c r="R13" s="1"/>
      <c r="S13" s="1"/>
      <c r="T13" s="1"/>
      <c r="U13" s="1"/>
      <c r="V13" s="1"/>
      <c r="W13" s="1"/>
      <c r="X13" s="1"/>
      <c r="Y13" s="1"/>
      <c r="Z13" s="1"/>
    </row>
    <row r="14" spans="1:26" ht="18" customHeight="1">
      <c r="A14" s="1" t="s">
        <v>61</v>
      </c>
      <c r="B14" s="10" t="s">
        <v>62</v>
      </c>
      <c r="C14" s="8"/>
      <c r="D14" s="8"/>
      <c r="E14" s="8"/>
      <c r="F14" s="8"/>
      <c r="G14" s="8"/>
      <c r="H14" s="8"/>
      <c r="I14" s="8"/>
      <c r="J14" s="1"/>
      <c r="K14" s="1"/>
      <c r="L14" s="1"/>
      <c r="M14" s="1"/>
      <c r="N14" s="1"/>
      <c r="O14" s="1"/>
      <c r="P14" s="1"/>
      <c r="Q14" s="1"/>
      <c r="R14" s="1"/>
      <c r="S14" s="1"/>
      <c r="T14" s="1"/>
      <c r="U14" s="1"/>
      <c r="V14" s="1"/>
      <c r="W14" s="1"/>
      <c r="X14" s="1"/>
      <c r="Y14" s="1"/>
      <c r="Z14" s="1"/>
    </row>
    <row r="15" spans="1:26" ht="18" customHeight="1">
      <c r="A15" s="29"/>
      <c r="B15" s="177" t="s">
        <v>179</v>
      </c>
      <c r="C15" s="178"/>
      <c r="D15" s="178"/>
      <c r="E15" s="178"/>
      <c r="F15" s="178"/>
      <c r="G15" s="178"/>
      <c r="H15" s="178"/>
      <c r="I15" s="179"/>
      <c r="J15" s="1"/>
      <c r="K15" s="1"/>
      <c r="L15" s="1"/>
      <c r="M15" s="1"/>
      <c r="N15" s="1"/>
      <c r="O15" s="1"/>
      <c r="P15" s="1"/>
      <c r="Q15" s="1"/>
      <c r="R15" s="1"/>
      <c r="S15" s="1"/>
      <c r="T15" s="1"/>
      <c r="U15" s="1"/>
      <c r="V15" s="1"/>
      <c r="W15" s="1"/>
      <c r="X15" s="1"/>
      <c r="Y15" s="1"/>
      <c r="Z15" s="1"/>
    </row>
    <row r="16" spans="1:26" ht="9" customHeight="1">
      <c r="A16" s="29"/>
      <c r="B16" s="8"/>
      <c r="C16" s="8"/>
      <c r="D16" s="8"/>
      <c r="E16" s="8"/>
      <c r="F16" s="8"/>
      <c r="G16" s="8"/>
      <c r="H16" s="8"/>
      <c r="I16" s="8"/>
      <c r="J16" s="1"/>
      <c r="K16" s="1"/>
      <c r="L16" s="1"/>
      <c r="M16" s="1"/>
      <c r="N16" s="1"/>
      <c r="O16" s="1"/>
      <c r="P16" s="1"/>
      <c r="Q16" s="1"/>
      <c r="R16" s="1"/>
      <c r="S16" s="1"/>
      <c r="T16" s="1"/>
      <c r="U16" s="1"/>
      <c r="V16" s="1"/>
      <c r="W16" s="1"/>
      <c r="X16" s="1"/>
      <c r="Y16" s="1"/>
      <c r="Z16" s="1"/>
    </row>
    <row r="17" spans="1:26" ht="18" customHeight="1">
      <c r="A17" s="29"/>
      <c r="B17" s="2" t="s">
        <v>59</v>
      </c>
      <c r="C17" s="177" t="s">
        <v>111</v>
      </c>
      <c r="D17" s="102"/>
      <c r="E17" s="103"/>
      <c r="F17" s="30"/>
      <c r="G17" s="2" t="s">
        <v>60</v>
      </c>
      <c r="H17" s="180" t="s">
        <v>163</v>
      </c>
      <c r="I17" s="181"/>
      <c r="J17" s="1"/>
      <c r="K17" s="1"/>
      <c r="L17" s="1"/>
      <c r="M17" s="1"/>
      <c r="N17" s="1"/>
      <c r="O17" s="1"/>
      <c r="P17" s="1"/>
      <c r="Q17" s="1"/>
      <c r="R17" s="1"/>
      <c r="S17" s="1"/>
      <c r="T17" s="1"/>
      <c r="U17" s="1"/>
      <c r="V17" s="1"/>
      <c r="W17" s="1"/>
      <c r="X17" s="1"/>
      <c r="Y17" s="1"/>
      <c r="Z17" s="1"/>
    </row>
    <row r="18" spans="1:26" ht="18" customHeight="1">
      <c r="A18" s="29"/>
      <c r="B18" s="8"/>
      <c r="C18" s="8"/>
      <c r="D18" s="8"/>
      <c r="E18" s="8"/>
      <c r="F18" s="8"/>
      <c r="G18" s="8"/>
      <c r="H18" s="8"/>
      <c r="I18" s="8"/>
      <c r="J18" s="1"/>
      <c r="K18" s="1"/>
      <c r="L18" s="1"/>
      <c r="M18" s="1"/>
      <c r="N18" s="1"/>
      <c r="O18" s="1"/>
      <c r="P18" s="1"/>
      <c r="Q18" s="1"/>
      <c r="R18" s="1"/>
      <c r="S18" s="1"/>
      <c r="T18" s="1"/>
      <c r="U18" s="1"/>
      <c r="V18" s="1"/>
      <c r="W18" s="1"/>
      <c r="X18" s="1"/>
      <c r="Y18" s="1"/>
      <c r="Z18" s="1"/>
    </row>
    <row r="19" spans="1:26" ht="18.75" customHeight="1">
      <c r="A19" s="1" t="s">
        <v>63</v>
      </c>
      <c r="B19" s="1" t="s">
        <v>64</v>
      </c>
      <c r="C19" s="1"/>
      <c r="D19" s="1"/>
      <c r="E19" s="1"/>
      <c r="F19" s="1"/>
      <c r="G19" s="1"/>
      <c r="H19" s="1"/>
      <c r="I19" s="8"/>
      <c r="J19" s="1"/>
      <c r="K19" s="1"/>
      <c r="L19" s="1"/>
      <c r="M19" s="1"/>
      <c r="N19" s="1"/>
      <c r="O19" s="1"/>
      <c r="P19" s="1"/>
      <c r="Q19" s="1"/>
      <c r="R19" s="1"/>
      <c r="S19" s="1"/>
      <c r="T19" s="1"/>
      <c r="U19" s="1"/>
      <c r="V19" s="1"/>
      <c r="W19" s="1"/>
      <c r="X19" s="1"/>
      <c r="Y19" s="1"/>
      <c r="Z19" s="1"/>
    </row>
    <row r="20" spans="1:26" ht="18.75" customHeight="1">
      <c r="A20" s="1"/>
      <c r="B20" s="196" t="s">
        <v>156</v>
      </c>
      <c r="C20" s="197"/>
      <c r="D20" s="197"/>
      <c r="E20" s="197"/>
      <c r="F20" s="197"/>
      <c r="G20" s="197"/>
      <c r="H20" s="197"/>
      <c r="I20" s="198"/>
      <c r="J20" s="1"/>
      <c r="K20" s="1"/>
      <c r="L20" s="1"/>
      <c r="M20" s="1"/>
      <c r="N20" s="1"/>
      <c r="O20" s="1"/>
      <c r="P20" s="1"/>
      <c r="Q20" s="1"/>
      <c r="R20" s="1"/>
      <c r="S20" s="1"/>
      <c r="T20" s="1"/>
      <c r="U20" s="1"/>
      <c r="V20" s="1"/>
      <c r="W20" s="1"/>
      <c r="X20" s="1"/>
      <c r="Y20" s="1"/>
      <c r="Z20" s="1"/>
    </row>
    <row r="21" spans="1:26" ht="7.5" customHeight="1">
      <c r="A21" s="29"/>
      <c r="B21" s="8"/>
      <c r="C21" s="8"/>
      <c r="D21" s="8"/>
      <c r="E21" s="8"/>
      <c r="F21" s="8"/>
      <c r="G21" s="8"/>
      <c r="H21" s="8"/>
      <c r="I21" s="8"/>
      <c r="J21" s="1"/>
      <c r="K21" s="1"/>
      <c r="L21" s="1"/>
      <c r="M21" s="1"/>
      <c r="N21" s="1"/>
      <c r="O21" s="1"/>
      <c r="P21" s="1"/>
      <c r="Q21" s="1"/>
      <c r="R21" s="1"/>
      <c r="S21" s="1"/>
      <c r="T21" s="1"/>
      <c r="U21" s="1"/>
      <c r="V21" s="1"/>
      <c r="W21" s="1"/>
      <c r="X21" s="1"/>
      <c r="Y21" s="1"/>
      <c r="Z21" s="1"/>
    </row>
    <row r="22" spans="1:26" ht="18.75" customHeight="1">
      <c r="A22" s="1" t="s">
        <v>65</v>
      </c>
      <c r="B22" s="1" t="s">
        <v>66</v>
      </c>
      <c r="C22" s="1"/>
      <c r="D22" s="1"/>
      <c r="E22" s="1"/>
      <c r="F22" s="1"/>
      <c r="G22" s="1"/>
      <c r="H22" s="1"/>
      <c r="I22" s="1"/>
      <c r="J22" s="1"/>
      <c r="K22" s="1"/>
      <c r="L22" s="1"/>
      <c r="M22" s="1"/>
      <c r="N22" s="1"/>
      <c r="O22" s="1"/>
      <c r="P22" s="1"/>
      <c r="Q22" s="1"/>
      <c r="R22" s="1"/>
      <c r="S22" s="1"/>
      <c r="T22" s="1"/>
      <c r="U22" s="1"/>
      <c r="V22" s="1"/>
      <c r="W22" s="1"/>
      <c r="X22" s="1"/>
      <c r="Y22" s="1"/>
      <c r="Z22" s="1"/>
    </row>
    <row r="23" spans="1:26" ht="18.75" customHeight="1">
      <c r="A23" s="21"/>
      <c r="B23" s="199" t="s">
        <v>164</v>
      </c>
      <c r="C23" s="200"/>
      <c r="D23" s="200"/>
      <c r="E23" s="200"/>
      <c r="F23" s="200"/>
      <c r="G23" s="200"/>
      <c r="H23" s="200"/>
      <c r="I23" s="201"/>
      <c r="J23" s="1"/>
      <c r="K23" s="1"/>
      <c r="L23" s="1"/>
      <c r="M23" s="1"/>
      <c r="N23" s="1"/>
      <c r="O23" s="1"/>
      <c r="P23" s="1"/>
      <c r="Q23" s="1"/>
      <c r="R23" s="1"/>
      <c r="S23" s="1"/>
      <c r="T23" s="1"/>
      <c r="U23" s="1"/>
      <c r="V23" s="1"/>
      <c r="W23" s="1"/>
      <c r="X23" s="1"/>
      <c r="Y23" s="1"/>
      <c r="Z23" s="1"/>
    </row>
    <row r="24" spans="1:26" ht="18.75" customHeight="1">
      <c r="A24" s="21"/>
      <c r="B24" s="202"/>
      <c r="C24" s="203"/>
      <c r="D24" s="203"/>
      <c r="E24" s="203"/>
      <c r="F24" s="203"/>
      <c r="G24" s="203"/>
      <c r="H24" s="203"/>
      <c r="I24" s="204"/>
      <c r="J24" s="1"/>
      <c r="K24" s="1"/>
      <c r="L24" s="1"/>
      <c r="M24" s="1"/>
      <c r="N24" s="1"/>
      <c r="O24" s="1"/>
      <c r="P24" s="1"/>
      <c r="Q24" s="1"/>
      <c r="R24" s="1"/>
      <c r="S24" s="1"/>
      <c r="T24" s="1"/>
      <c r="U24" s="1"/>
      <c r="V24" s="1"/>
      <c r="W24" s="1"/>
      <c r="X24" s="1"/>
      <c r="Y24" s="1"/>
      <c r="Z24" s="1"/>
    </row>
    <row r="25" spans="1:26" ht="18.75" customHeight="1">
      <c r="A25" s="21"/>
      <c r="B25" s="202"/>
      <c r="C25" s="203"/>
      <c r="D25" s="203"/>
      <c r="E25" s="203"/>
      <c r="F25" s="203"/>
      <c r="G25" s="203"/>
      <c r="H25" s="203"/>
      <c r="I25" s="204"/>
      <c r="J25" s="1"/>
      <c r="K25" s="1"/>
      <c r="L25" s="1"/>
      <c r="M25" s="1"/>
      <c r="N25" s="1"/>
      <c r="O25" s="1"/>
      <c r="P25" s="1"/>
      <c r="Q25" s="1"/>
      <c r="R25" s="1"/>
      <c r="S25" s="1"/>
      <c r="T25" s="1"/>
      <c r="U25" s="1"/>
      <c r="V25" s="1"/>
      <c r="W25" s="1"/>
      <c r="X25" s="1"/>
      <c r="Y25" s="1"/>
      <c r="Z25" s="1"/>
    </row>
    <row r="26" spans="1:26" ht="18.75" customHeight="1">
      <c r="A26" s="21"/>
      <c r="B26" s="202"/>
      <c r="C26" s="203"/>
      <c r="D26" s="203"/>
      <c r="E26" s="203"/>
      <c r="F26" s="203"/>
      <c r="G26" s="203"/>
      <c r="H26" s="203"/>
      <c r="I26" s="204"/>
      <c r="J26" s="1"/>
      <c r="K26" s="1"/>
      <c r="L26" s="1"/>
      <c r="M26" s="1"/>
      <c r="N26" s="1"/>
      <c r="O26" s="1"/>
      <c r="P26" s="1"/>
      <c r="Q26" s="1"/>
      <c r="R26" s="1"/>
      <c r="S26" s="1"/>
      <c r="T26" s="1"/>
      <c r="U26" s="1"/>
      <c r="V26" s="1"/>
      <c r="W26" s="1"/>
      <c r="X26" s="1"/>
      <c r="Y26" s="1"/>
      <c r="Z26" s="1"/>
    </row>
    <row r="27" spans="1:26" ht="18.75" customHeight="1">
      <c r="A27" s="21"/>
      <c r="B27" s="205"/>
      <c r="C27" s="206"/>
      <c r="D27" s="206"/>
      <c r="E27" s="206"/>
      <c r="F27" s="206"/>
      <c r="G27" s="206"/>
      <c r="H27" s="206"/>
      <c r="I27" s="207"/>
      <c r="J27" s="1"/>
      <c r="K27" s="1"/>
      <c r="L27" s="1"/>
      <c r="M27" s="1"/>
      <c r="N27" s="1"/>
      <c r="O27" s="1"/>
      <c r="P27" s="1"/>
      <c r="Q27" s="1"/>
      <c r="R27" s="1"/>
      <c r="S27" s="1"/>
      <c r="T27" s="1"/>
      <c r="U27" s="1"/>
      <c r="V27" s="1"/>
      <c r="W27" s="1"/>
      <c r="X27" s="1"/>
      <c r="Y27" s="1"/>
      <c r="Z27" s="1"/>
    </row>
    <row r="28" spans="1:26" ht="7.5" customHeight="1">
      <c r="A28" s="2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18.75" customHeight="1">
      <c r="A29" s="13" t="s">
        <v>67</v>
      </c>
      <c r="B29" s="13" t="s">
        <v>68</v>
      </c>
      <c r="C29" s="10"/>
      <c r="D29" s="13"/>
      <c r="E29" s="13"/>
      <c r="F29" s="13"/>
      <c r="G29" s="13"/>
      <c r="H29" s="13"/>
      <c r="I29" s="13"/>
      <c r="J29" s="1"/>
      <c r="K29" s="1"/>
      <c r="L29" s="1"/>
      <c r="M29" s="1"/>
      <c r="N29" s="1"/>
      <c r="O29" s="1"/>
      <c r="P29" s="1"/>
      <c r="Q29" s="1"/>
      <c r="R29" s="1"/>
      <c r="S29" s="1"/>
      <c r="T29" s="1"/>
      <c r="U29" s="1"/>
      <c r="V29" s="1"/>
      <c r="W29" s="1"/>
      <c r="X29" s="1"/>
      <c r="Y29" s="1"/>
      <c r="Z29" s="1"/>
    </row>
    <row r="30" spans="1:26" ht="18.75" customHeight="1">
      <c r="A30" s="21"/>
      <c r="B30" s="175" t="s">
        <v>157</v>
      </c>
      <c r="C30" s="108"/>
      <c r="D30" s="108"/>
      <c r="E30" s="108"/>
      <c r="F30" s="108"/>
      <c r="G30" s="108"/>
      <c r="H30" s="108"/>
      <c r="I30" s="109"/>
      <c r="J30" s="1"/>
      <c r="K30" s="1"/>
      <c r="L30" s="1"/>
      <c r="M30" s="1"/>
      <c r="N30" s="1"/>
      <c r="O30" s="1"/>
      <c r="P30" s="1"/>
      <c r="Q30" s="1"/>
      <c r="R30" s="1"/>
      <c r="S30" s="1"/>
      <c r="T30" s="1"/>
      <c r="U30" s="1"/>
      <c r="V30" s="1"/>
      <c r="W30" s="1"/>
      <c r="X30" s="1"/>
      <c r="Y30" s="1"/>
      <c r="Z30" s="1"/>
    </row>
    <row r="31" spans="1:26" ht="18.75" customHeight="1">
      <c r="A31" s="21"/>
      <c r="B31" s="134"/>
      <c r="C31" s="124"/>
      <c r="D31" s="124"/>
      <c r="E31" s="124"/>
      <c r="F31" s="124"/>
      <c r="G31" s="124"/>
      <c r="H31" s="124"/>
      <c r="I31" s="135"/>
      <c r="J31" s="1"/>
      <c r="K31" s="1"/>
      <c r="L31" s="1"/>
      <c r="M31" s="1"/>
      <c r="N31" s="1"/>
      <c r="O31" s="1"/>
      <c r="P31" s="1"/>
      <c r="Q31" s="1"/>
      <c r="R31" s="1"/>
      <c r="S31" s="1"/>
      <c r="T31" s="1"/>
      <c r="U31" s="1"/>
      <c r="V31" s="1"/>
      <c r="W31" s="1"/>
      <c r="X31" s="1"/>
      <c r="Y31" s="1"/>
      <c r="Z31" s="1"/>
    </row>
    <row r="32" spans="1:26" ht="18.75" customHeight="1">
      <c r="A32" s="21"/>
      <c r="B32" s="134"/>
      <c r="C32" s="124"/>
      <c r="D32" s="124"/>
      <c r="E32" s="124"/>
      <c r="F32" s="124"/>
      <c r="G32" s="124"/>
      <c r="H32" s="124"/>
      <c r="I32" s="135"/>
      <c r="J32" s="1"/>
      <c r="K32" s="1"/>
      <c r="L32" s="1"/>
      <c r="M32" s="1"/>
      <c r="N32" s="1"/>
      <c r="O32" s="1"/>
      <c r="P32" s="1"/>
      <c r="Q32" s="1"/>
      <c r="R32" s="1"/>
      <c r="S32" s="1"/>
      <c r="T32" s="1"/>
      <c r="U32" s="1"/>
      <c r="V32" s="1"/>
      <c r="W32" s="1"/>
      <c r="X32" s="1"/>
      <c r="Y32" s="1"/>
      <c r="Z32" s="1"/>
    </row>
    <row r="33" spans="1:26" ht="18.75" customHeight="1">
      <c r="A33" s="21"/>
      <c r="B33" s="134"/>
      <c r="C33" s="124"/>
      <c r="D33" s="124"/>
      <c r="E33" s="124"/>
      <c r="F33" s="124"/>
      <c r="G33" s="124"/>
      <c r="H33" s="124"/>
      <c r="I33" s="135"/>
      <c r="J33" s="1"/>
      <c r="K33" s="1"/>
      <c r="L33" s="1"/>
      <c r="M33" s="1"/>
      <c r="N33" s="1"/>
      <c r="O33" s="1"/>
      <c r="P33" s="1"/>
      <c r="Q33" s="1"/>
      <c r="R33" s="1"/>
      <c r="S33" s="1"/>
      <c r="T33" s="1"/>
      <c r="U33" s="1"/>
      <c r="V33" s="1"/>
      <c r="W33" s="1"/>
      <c r="X33" s="1"/>
      <c r="Y33" s="1"/>
      <c r="Z33" s="1"/>
    </row>
    <row r="34" spans="1:26" ht="18.75" customHeight="1">
      <c r="A34" s="21"/>
      <c r="B34" s="132"/>
      <c r="C34" s="119"/>
      <c r="D34" s="119"/>
      <c r="E34" s="119"/>
      <c r="F34" s="119"/>
      <c r="G34" s="119"/>
      <c r="H34" s="119"/>
      <c r="I34" s="120"/>
      <c r="J34" s="1"/>
      <c r="K34" s="1"/>
      <c r="L34" s="1"/>
      <c r="M34" s="1"/>
      <c r="N34" s="1"/>
      <c r="O34" s="1"/>
      <c r="P34" s="1"/>
      <c r="Q34" s="1"/>
      <c r="R34" s="1"/>
      <c r="S34" s="1"/>
      <c r="T34" s="1"/>
      <c r="U34" s="1"/>
      <c r="V34" s="1"/>
      <c r="W34" s="1"/>
      <c r="X34" s="1"/>
      <c r="Y34" s="1"/>
      <c r="Z34" s="1"/>
    </row>
    <row r="35" spans="1:26" ht="7.5" customHeight="1">
      <c r="A35" s="31"/>
      <c r="B35" s="31"/>
      <c r="C35" s="31"/>
      <c r="D35" s="31"/>
      <c r="E35" s="31"/>
      <c r="F35" s="31"/>
      <c r="G35" s="31"/>
      <c r="H35" s="31"/>
      <c r="I35" s="31"/>
      <c r="J35" s="1"/>
      <c r="K35" s="1"/>
      <c r="L35" s="1"/>
      <c r="M35" s="1"/>
      <c r="N35" s="1"/>
      <c r="O35" s="1"/>
      <c r="P35" s="1"/>
      <c r="Q35" s="1"/>
      <c r="R35" s="1"/>
      <c r="S35" s="1"/>
      <c r="T35" s="1"/>
      <c r="U35" s="1"/>
      <c r="V35" s="1"/>
      <c r="W35" s="1"/>
      <c r="X35" s="1"/>
      <c r="Y35" s="1"/>
      <c r="Z35" s="1"/>
    </row>
    <row r="36" spans="1:26" ht="18.75" customHeight="1">
      <c r="A36" s="1" t="s">
        <v>69</v>
      </c>
      <c r="B36" s="1" t="s">
        <v>177</v>
      </c>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8"/>
      <c r="B37" s="86" t="s">
        <v>70</v>
      </c>
      <c r="C37" s="182">
        <f>'様式２ 履修者等数の実績'!AQ30</f>
        <v>3.9311545673720867E-2</v>
      </c>
      <c r="D37" s="183"/>
      <c r="E37" s="86" t="s">
        <v>71</v>
      </c>
      <c r="F37" s="182">
        <v>8.5000000000000006E-2</v>
      </c>
      <c r="G37" s="183"/>
      <c r="H37" s="86" t="s">
        <v>72</v>
      </c>
      <c r="I37" s="92">
        <v>0.13500000000000001</v>
      </c>
      <c r="J37" s="1"/>
      <c r="K37" s="8"/>
      <c r="L37" s="8"/>
      <c r="M37" s="1"/>
      <c r="N37" s="32"/>
      <c r="O37" s="8"/>
      <c r="P37" s="8"/>
      <c r="Q37" s="8"/>
      <c r="R37" s="8"/>
      <c r="S37" s="8"/>
      <c r="T37" s="8"/>
      <c r="U37" s="8"/>
      <c r="V37" s="8"/>
      <c r="W37" s="8"/>
      <c r="X37" s="8"/>
      <c r="Y37" s="8"/>
      <c r="Z37" s="8"/>
    </row>
    <row r="38" spans="1:26" ht="18.75" customHeight="1">
      <c r="A38" s="8"/>
      <c r="B38" s="86" t="s">
        <v>73</v>
      </c>
      <c r="C38" s="182">
        <v>0.19</v>
      </c>
      <c r="D38" s="183"/>
      <c r="E38" s="86" t="s">
        <v>74</v>
      </c>
      <c r="F38" s="182">
        <v>0.21</v>
      </c>
      <c r="G38" s="183"/>
      <c r="H38" s="86" t="s">
        <v>75</v>
      </c>
      <c r="I38" s="87">
        <f>'様式２ 履修者等数の実績'!E30</f>
        <v>44796</v>
      </c>
      <c r="J38" s="1"/>
      <c r="K38" s="8"/>
      <c r="L38" s="8"/>
      <c r="M38" s="1"/>
      <c r="N38" s="32"/>
      <c r="O38" s="8"/>
      <c r="P38" s="8"/>
      <c r="Q38" s="8"/>
      <c r="R38" s="8"/>
      <c r="S38" s="8"/>
      <c r="T38" s="8"/>
      <c r="U38" s="8"/>
      <c r="V38" s="8"/>
      <c r="W38" s="8"/>
      <c r="X38" s="8"/>
      <c r="Y38" s="8"/>
      <c r="Z38" s="8"/>
    </row>
    <row r="39" spans="1:26" ht="18.75" customHeight="1">
      <c r="A39" s="1"/>
      <c r="B39" s="184" t="s">
        <v>76</v>
      </c>
      <c r="C39" s="185"/>
      <c r="D39" s="185"/>
      <c r="E39" s="185"/>
      <c r="F39" s="185"/>
      <c r="G39" s="185"/>
      <c r="H39" s="185"/>
      <c r="I39" s="186"/>
      <c r="J39" s="1"/>
      <c r="K39" s="1"/>
      <c r="L39" s="1"/>
      <c r="M39" s="1"/>
      <c r="N39" s="32"/>
      <c r="O39" s="8"/>
      <c r="P39" s="1"/>
      <c r="Q39" s="1"/>
      <c r="R39" s="1"/>
      <c r="S39" s="1"/>
      <c r="T39" s="1"/>
      <c r="U39" s="1"/>
      <c r="V39" s="1"/>
      <c r="W39" s="1"/>
      <c r="X39" s="1"/>
      <c r="Y39" s="1"/>
      <c r="Z39" s="1"/>
    </row>
    <row r="40" spans="1:26" ht="18.75" customHeight="1">
      <c r="A40" s="1"/>
      <c r="B40" s="187" t="s">
        <v>169</v>
      </c>
      <c r="C40" s="188"/>
      <c r="D40" s="188"/>
      <c r="E40" s="188"/>
      <c r="F40" s="188"/>
      <c r="G40" s="188"/>
      <c r="H40" s="188"/>
      <c r="I40" s="189"/>
      <c r="J40" s="1"/>
      <c r="K40" s="1"/>
      <c r="L40" s="1"/>
      <c r="M40" s="1"/>
      <c r="N40" s="32"/>
      <c r="O40" s="8"/>
      <c r="P40" s="1"/>
      <c r="Q40" s="1"/>
      <c r="R40" s="1"/>
      <c r="S40" s="1"/>
      <c r="T40" s="1"/>
      <c r="U40" s="1"/>
      <c r="V40" s="1"/>
      <c r="W40" s="1"/>
      <c r="X40" s="1"/>
      <c r="Y40" s="1"/>
      <c r="Z40" s="1"/>
    </row>
    <row r="41" spans="1:26" ht="18.75" customHeight="1">
      <c r="A41" s="1"/>
      <c r="B41" s="190"/>
      <c r="C41" s="191"/>
      <c r="D41" s="191"/>
      <c r="E41" s="191"/>
      <c r="F41" s="191"/>
      <c r="G41" s="191"/>
      <c r="H41" s="191"/>
      <c r="I41" s="192"/>
      <c r="J41" s="1"/>
      <c r="K41" s="1"/>
      <c r="L41" s="1"/>
      <c r="M41" s="1"/>
      <c r="N41" s="32"/>
      <c r="O41" s="8"/>
      <c r="P41" s="1"/>
      <c r="Q41" s="1"/>
      <c r="R41" s="1"/>
      <c r="S41" s="1"/>
      <c r="T41" s="1"/>
      <c r="U41" s="1"/>
      <c r="V41" s="1"/>
      <c r="W41" s="1"/>
      <c r="X41" s="1"/>
      <c r="Y41" s="1"/>
      <c r="Z41" s="1"/>
    </row>
    <row r="42" spans="1:26" ht="18.75" customHeight="1">
      <c r="A42" s="1"/>
      <c r="B42" s="190"/>
      <c r="C42" s="191"/>
      <c r="D42" s="191"/>
      <c r="E42" s="191"/>
      <c r="F42" s="191"/>
      <c r="G42" s="191"/>
      <c r="H42" s="191"/>
      <c r="I42" s="192"/>
      <c r="J42" s="1"/>
      <c r="K42" s="1"/>
      <c r="L42" s="1"/>
      <c r="M42" s="1"/>
      <c r="N42" s="1"/>
      <c r="O42" s="1"/>
      <c r="P42" s="1"/>
      <c r="Q42" s="1"/>
      <c r="R42" s="1"/>
      <c r="S42" s="1"/>
      <c r="T42" s="1"/>
      <c r="U42" s="1"/>
      <c r="V42" s="1"/>
      <c r="W42" s="1"/>
      <c r="X42" s="1"/>
      <c r="Y42" s="1"/>
      <c r="Z42" s="1"/>
    </row>
    <row r="43" spans="1:26" ht="18.75" customHeight="1">
      <c r="A43" s="1"/>
      <c r="B43" s="190"/>
      <c r="C43" s="191"/>
      <c r="D43" s="191"/>
      <c r="E43" s="191"/>
      <c r="F43" s="191"/>
      <c r="G43" s="191"/>
      <c r="H43" s="191"/>
      <c r="I43" s="192"/>
      <c r="J43" s="1"/>
      <c r="K43" s="1"/>
      <c r="L43" s="1"/>
      <c r="M43" s="1"/>
      <c r="N43" s="1"/>
      <c r="O43" s="1"/>
      <c r="P43" s="1"/>
      <c r="Q43" s="1"/>
      <c r="R43" s="1"/>
      <c r="S43" s="1"/>
      <c r="T43" s="1"/>
      <c r="U43" s="1"/>
      <c r="V43" s="1"/>
      <c r="W43" s="1"/>
      <c r="X43" s="1"/>
      <c r="Y43" s="1"/>
      <c r="Z43" s="1"/>
    </row>
    <row r="44" spans="1:26" ht="18.75" customHeight="1">
      <c r="A44" s="1"/>
      <c r="B44" s="193"/>
      <c r="C44" s="194"/>
      <c r="D44" s="194"/>
      <c r="E44" s="194"/>
      <c r="F44" s="194"/>
      <c r="G44" s="194"/>
      <c r="H44" s="194"/>
      <c r="I44" s="195"/>
      <c r="J44" s="1"/>
      <c r="K44" s="1"/>
      <c r="L44" s="1"/>
      <c r="M44" s="1"/>
      <c r="N44" s="1"/>
      <c r="O44" s="1"/>
      <c r="P44" s="1"/>
      <c r="Q44" s="1"/>
      <c r="R44" s="1"/>
      <c r="S44" s="1"/>
      <c r="T44" s="1"/>
      <c r="U44" s="1"/>
      <c r="V44" s="1"/>
      <c r="W44" s="1"/>
      <c r="X44" s="1"/>
      <c r="Y44" s="1"/>
      <c r="Z44" s="1"/>
    </row>
    <row r="45" spans="1:26" ht="7.5" customHeight="1">
      <c r="A45" s="21"/>
      <c r="B45" s="21"/>
      <c r="C45" s="21"/>
      <c r="D45" s="21"/>
      <c r="E45" s="21"/>
      <c r="F45" s="21"/>
      <c r="G45" s="21"/>
      <c r="H45" s="21"/>
      <c r="I45" s="21"/>
      <c r="J45" s="1"/>
      <c r="K45" s="1"/>
      <c r="L45" s="1"/>
      <c r="M45" s="1"/>
      <c r="N45" s="1"/>
      <c r="O45" s="1"/>
      <c r="P45" s="1"/>
      <c r="Q45" s="1"/>
      <c r="R45" s="1"/>
      <c r="S45" s="1"/>
      <c r="T45" s="1"/>
      <c r="U45" s="1"/>
      <c r="V45" s="1"/>
      <c r="W45" s="1"/>
      <c r="X45" s="1"/>
      <c r="Y45" s="1"/>
      <c r="Z45" s="1"/>
    </row>
    <row r="46" spans="1:26" ht="18.75" customHeight="1">
      <c r="A46" s="13" t="s">
        <v>77</v>
      </c>
      <c r="B46" s="1" t="s">
        <v>78</v>
      </c>
      <c r="C46" s="1"/>
      <c r="D46" s="1"/>
      <c r="E46" s="1"/>
      <c r="F46" s="1"/>
      <c r="G46" s="1"/>
      <c r="H46" s="1"/>
      <c r="I46" s="13"/>
      <c r="J46" s="1"/>
      <c r="K46" s="1"/>
      <c r="L46" s="1"/>
      <c r="M46" s="1"/>
      <c r="N46" s="1"/>
      <c r="O46" s="1"/>
      <c r="P46" s="1"/>
      <c r="Q46" s="1"/>
      <c r="R46" s="1"/>
      <c r="S46" s="1"/>
      <c r="T46" s="1"/>
      <c r="U46" s="1"/>
      <c r="V46" s="1"/>
      <c r="W46" s="1"/>
      <c r="X46" s="1"/>
      <c r="Y46" s="1"/>
      <c r="Z46" s="1"/>
    </row>
    <row r="47" spans="1:26" ht="18.75" customHeight="1">
      <c r="A47" s="31"/>
      <c r="B47" s="162" t="s">
        <v>158</v>
      </c>
      <c r="C47" s="108"/>
      <c r="D47" s="108"/>
      <c r="E47" s="108"/>
      <c r="F47" s="108"/>
      <c r="G47" s="108"/>
      <c r="H47" s="108"/>
      <c r="I47" s="109"/>
      <c r="J47" s="1"/>
      <c r="K47" s="1"/>
      <c r="L47" s="1"/>
      <c r="M47" s="1"/>
      <c r="N47" s="1"/>
      <c r="O47" s="1"/>
      <c r="P47" s="1"/>
      <c r="Q47" s="1"/>
      <c r="R47" s="1"/>
      <c r="S47" s="1"/>
      <c r="T47" s="1"/>
      <c r="U47" s="1"/>
      <c r="V47" s="1"/>
      <c r="W47" s="1"/>
      <c r="X47" s="1"/>
      <c r="Y47" s="1"/>
      <c r="Z47" s="1"/>
    </row>
    <row r="48" spans="1:26" ht="18.75" customHeight="1">
      <c r="A48" s="31"/>
      <c r="B48" s="134"/>
      <c r="C48" s="124"/>
      <c r="D48" s="124"/>
      <c r="E48" s="124"/>
      <c r="F48" s="124"/>
      <c r="G48" s="124"/>
      <c r="H48" s="124"/>
      <c r="I48" s="135"/>
      <c r="J48" s="1"/>
      <c r="K48" s="1"/>
      <c r="L48" s="1"/>
      <c r="M48" s="1"/>
      <c r="N48" s="1"/>
      <c r="O48" s="1"/>
      <c r="P48" s="1"/>
      <c r="Q48" s="1"/>
      <c r="R48" s="1"/>
      <c r="S48" s="1"/>
      <c r="T48" s="1"/>
      <c r="U48" s="1"/>
      <c r="V48" s="1"/>
      <c r="W48" s="1"/>
      <c r="X48" s="1"/>
      <c r="Y48" s="1"/>
      <c r="Z48" s="1"/>
    </row>
    <row r="49" spans="1:26" ht="18.75" customHeight="1">
      <c r="A49" s="31"/>
      <c r="B49" s="134"/>
      <c r="C49" s="124"/>
      <c r="D49" s="124"/>
      <c r="E49" s="124"/>
      <c r="F49" s="124"/>
      <c r="G49" s="124"/>
      <c r="H49" s="124"/>
      <c r="I49" s="135"/>
      <c r="J49" s="1"/>
      <c r="K49" s="1"/>
      <c r="L49" s="1"/>
      <c r="M49" s="1"/>
      <c r="N49" s="1"/>
      <c r="O49" s="1"/>
      <c r="P49" s="1"/>
      <c r="Q49" s="1"/>
      <c r="R49" s="1"/>
      <c r="S49" s="1"/>
      <c r="T49" s="1"/>
      <c r="U49" s="1"/>
      <c r="V49" s="1"/>
      <c r="W49" s="1"/>
      <c r="X49" s="1"/>
      <c r="Y49" s="1"/>
      <c r="Z49" s="1"/>
    </row>
    <row r="50" spans="1:26" ht="18.75" customHeight="1">
      <c r="A50" s="31"/>
      <c r="B50" s="134"/>
      <c r="C50" s="124"/>
      <c r="D50" s="124"/>
      <c r="E50" s="124"/>
      <c r="F50" s="124"/>
      <c r="G50" s="124"/>
      <c r="H50" s="124"/>
      <c r="I50" s="135"/>
      <c r="J50" s="1"/>
      <c r="K50" s="1"/>
      <c r="L50" s="1"/>
      <c r="M50" s="1"/>
      <c r="N50" s="1"/>
      <c r="O50" s="1"/>
      <c r="P50" s="1"/>
      <c r="Q50" s="1"/>
      <c r="R50" s="1"/>
      <c r="S50" s="1"/>
      <c r="T50" s="1"/>
      <c r="U50" s="1"/>
      <c r="V50" s="1"/>
      <c r="W50" s="1"/>
      <c r="X50" s="1"/>
      <c r="Y50" s="1"/>
      <c r="Z50" s="1"/>
    </row>
    <row r="51" spans="1:26" ht="18.75" customHeight="1">
      <c r="A51" s="31"/>
      <c r="B51" s="134"/>
      <c r="C51" s="124"/>
      <c r="D51" s="124"/>
      <c r="E51" s="124"/>
      <c r="F51" s="124"/>
      <c r="G51" s="124"/>
      <c r="H51" s="124"/>
      <c r="I51" s="135"/>
      <c r="J51" s="1"/>
      <c r="K51" s="1"/>
      <c r="L51" s="1"/>
      <c r="M51" s="1"/>
      <c r="N51" s="1"/>
      <c r="O51" s="1"/>
      <c r="P51" s="1"/>
      <c r="Q51" s="1"/>
      <c r="R51" s="1"/>
      <c r="S51" s="1"/>
      <c r="T51" s="1"/>
      <c r="U51" s="1"/>
      <c r="V51" s="1"/>
      <c r="W51" s="1"/>
      <c r="X51" s="1"/>
      <c r="Y51" s="1"/>
      <c r="Z51" s="1"/>
    </row>
    <row r="52" spans="1:26" ht="18.75" customHeight="1">
      <c r="A52" s="31"/>
      <c r="B52" s="132"/>
      <c r="C52" s="119"/>
      <c r="D52" s="119"/>
      <c r="E52" s="119"/>
      <c r="F52" s="119"/>
      <c r="G52" s="119"/>
      <c r="H52" s="119"/>
      <c r="I52" s="120"/>
      <c r="J52" s="1"/>
      <c r="K52" s="1"/>
      <c r="L52" s="1"/>
      <c r="M52" s="1"/>
      <c r="N52" s="1"/>
      <c r="O52" s="1"/>
      <c r="P52" s="1"/>
      <c r="Q52" s="1"/>
      <c r="R52" s="1"/>
      <c r="S52" s="1"/>
      <c r="T52" s="1"/>
      <c r="U52" s="1"/>
      <c r="V52" s="1"/>
      <c r="W52" s="1"/>
      <c r="X52" s="1"/>
      <c r="Y52" s="1"/>
      <c r="Z52" s="1"/>
    </row>
    <row r="53" spans="1:26" ht="7.5" customHeight="1">
      <c r="A53" s="31"/>
      <c r="B53" s="31"/>
      <c r="C53" s="31"/>
      <c r="D53" s="31"/>
      <c r="E53" s="31"/>
      <c r="F53" s="31"/>
      <c r="G53" s="31"/>
      <c r="H53" s="31"/>
      <c r="I53" s="31"/>
      <c r="J53" s="1"/>
      <c r="K53" s="1"/>
      <c r="L53" s="1"/>
      <c r="M53" s="1"/>
      <c r="N53" s="1"/>
      <c r="O53" s="1"/>
      <c r="P53" s="1"/>
      <c r="Q53" s="1"/>
      <c r="R53" s="1"/>
      <c r="S53" s="1"/>
      <c r="T53" s="1"/>
      <c r="U53" s="1"/>
      <c r="V53" s="1"/>
      <c r="W53" s="1"/>
      <c r="X53" s="1"/>
      <c r="Y53" s="1"/>
      <c r="Z53" s="1"/>
    </row>
    <row r="54" spans="1:26" ht="18.75" customHeight="1">
      <c r="A54" s="1" t="s">
        <v>79</v>
      </c>
      <c r="B54" s="1" t="s">
        <v>80</v>
      </c>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63" t="s">
        <v>159</v>
      </c>
      <c r="C55" s="108"/>
      <c r="D55" s="108"/>
      <c r="E55" s="108"/>
      <c r="F55" s="108"/>
      <c r="G55" s="108"/>
      <c r="H55" s="108"/>
      <c r="I55" s="109"/>
      <c r="J55" s="1"/>
      <c r="K55" s="1"/>
      <c r="L55" s="1"/>
      <c r="M55" s="1"/>
      <c r="N55" s="1"/>
      <c r="O55" s="1"/>
      <c r="P55" s="1"/>
      <c r="Q55" s="1"/>
      <c r="R55" s="1"/>
      <c r="S55" s="1"/>
      <c r="T55" s="1"/>
      <c r="U55" s="1"/>
      <c r="V55" s="1"/>
      <c r="W55" s="1"/>
      <c r="X55" s="1"/>
      <c r="Y55" s="1"/>
      <c r="Z55" s="1"/>
    </row>
    <row r="56" spans="1:26" ht="18.75" customHeight="1">
      <c r="A56" s="1"/>
      <c r="B56" s="134"/>
      <c r="C56" s="164"/>
      <c r="D56" s="164"/>
      <c r="E56" s="164"/>
      <c r="F56" s="164"/>
      <c r="G56" s="164"/>
      <c r="H56" s="164"/>
      <c r="I56" s="135"/>
      <c r="J56" s="1"/>
      <c r="K56" s="1"/>
      <c r="L56" s="1"/>
      <c r="M56" s="1"/>
      <c r="N56" s="1"/>
      <c r="O56" s="1"/>
      <c r="P56" s="1"/>
      <c r="Q56" s="1"/>
      <c r="R56" s="1"/>
      <c r="S56" s="1"/>
      <c r="T56" s="1"/>
      <c r="U56" s="1"/>
      <c r="V56" s="1"/>
      <c r="W56" s="1"/>
      <c r="X56" s="1"/>
      <c r="Y56" s="1"/>
      <c r="Z56" s="1"/>
    </row>
    <row r="57" spans="1:26" ht="18.75" customHeight="1">
      <c r="A57" s="1"/>
      <c r="B57" s="134"/>
      <c r="C57" s="164"/>
      <c r="D57" s="164"/>
      <c r="E57" s="164"/>
      <c r="F57" s="164"/>
      <c r="G57" s="164"/>
      <c r="H57" s="164"/>
      <c r="I57" s="135"/>
      <c r="J57" s="1"/>
      <c r="K57" s="1"/>
      <c r="L57" s="1"/>
      <c r="M57" s="1"/>
      <c r="N57" s="1"/>
      <c r="O57" s="1"/>
      <c r="P57" s="1"/>
      <c r="Q57" s="1"/>
      <c r="R57" s="1"/>
      <c r="S57" s="1"/>
      <c r="T57" s="1"/>
      <c r="U57" s="1"/>
      <c r="V57" s="1"/>
      <c r="W57" s="1"/>
      <c r="X57" s="1"/>
      <c r="Y57" s="1"/>
      <c r="Z57" s="1"/>
    </row>
    <row r="58" spans="1:26" ht="18.75" customHeight="1">
      <c r="A58" s="1"/>
      <c r="B58" s="134"/>
      <c r="C58" s="164"/>
      <c r="D58" s="164"/>
      <c r="E58" s="164"/>
      <c r="F58" s="164"/>
      <c r="G58" s="164"/>
      <c r="H58" s="164"/>
      <c r="I58" s="135"/>
      <c r="J58" s="1"/>
      <c r="K58" s="1"/>
      <c r="L58" s="1"/>
      <c r="M58" s="1"/>
      <c r="N58" s="1"/>
      <c r="O58" s="1"/>
      <c r="P58" s="1"/>
      <c r="Q58" s="1"/>
      <c r="R58" s="1"/>
      <c r="S58" s="1"/>
      <c r="T58" s="1"/>
      <c r="U58" s="1"/>
      <c r="V58" s="1"/>
      <c r="W58" s="1"/>
      <c r="X58" s="1"/>
      <c r="Y58" s="1"/>
      <c r="Z58" s="1"/>
    </row>
    <row r="59" spans="1:26" ht="18.75" customHeight="1">
      <c r="A59" s="31"/>
      <c r="B59" s="134"/>
      <c r="C59" s="164"/>
      <c r="D59" s="164"/>
      <c r="E59" s="164"/>
      <c r="F59" s="164"/>
      <c r="G59" s="164"/>
      <c r="H59" s="164"/>
      <c r="I59" s="135"/>
      <c r="J59" s="1"/>
      <c r="K59" s="1"/>
      <c r="L59" s="1"/>
      <c r="M59" s="1"/>
      <c r="N59" s="1"/>
      <c r="O59" s="1"/>
      <c r="P59" s="1"/>
      <c r="Q59" s="1"/>
      <c r="R59" s="1"/>
      <c r="S59" s="1"/>
      <c r="T59" s="1"/>
      <c r="U59" s="1"/>
      <c r="V59" s="1"/>
      <c r="W59" s="1"/>
      <c r="X59" s="1"/>
      <c r="Y59" s="1"/>
      <c r="Z59" s="1"/>
    </row>
    <row r="60" spans="1:26" ht="18.75" customHeight="1">
      <c r="A60" s="31"/>
      <c r="B60" s="132"/>
      <c r="C60" s="119"/>
      <c r="D60" s="119"/>
      <c r="E60" s="119"/>
      <c r="F60" s="119"/>
      <c r="G60" s="119"/>
      <c r="H60" s="119"/>
      <c r="I60" s="120"/>
      <c r="J60" s="1"/>
      <c r="K60" s="1"/>
      <c r="L60" s="1"/>
      <c r="M60" s="1"/>
      <c r="N60" s="1"/>
      <c r="O60" s="1"/>
      <c r="P60" s="1"/>
      <c r="Q60" s="1"/>
      <c r="R60" s="1"/>
      <c r="S60" s="1"/>
      <c r="T60" s="1"/>
      <c r="U60" s="1"/>
      <c r="V60" s="1"/>
      <c r="W60" s="1"/>
      <c r="X60" s="1"/>
      <c r="Y60" s="1"/>
      <c r="Z60" s="1"/>
    </row>
    <row r="61" spans="1:26" ht="7.5" customHeight="1">
      <c r="A61" s="31"/>
      <c r="B61" s="31"/>
      <c r="C61" s="31"/>
      <c r="D61" s="31"/>
      <c r="E61" s="31"/>
      <c r="F61" s="31"/>
      <c r="G61" s="31"/>
      <c r="H61" s="31"/>
      <c r="I61" s="31"/>
      <c r="J61" s="1"/>
      <c r="K61" s="1"/>
      <c r="L61" s="1"/>
      <c r="M61" s="1"/>
      <c r="N61" s="1"/>
      <c r="O61" s="1"/>
      <c r="P61" s="1"/>
      <c r="Q61" s="1"/>
      <c r="R61" s="1"/>
      <c r="S61" s="1"/>
      <c r="T61" s="1"/>
      <c r="U61" s="1"/>
      <c r="V61" s="1"/>
      <c r="W61" s="1"/>
      <c r="X61" s="1"/>
      <c r="Y61" s="1"/>
      <c r="Z61" s="1"/>
    </row>
    <row r="62" spans="1:26" ht="18.75" customHeight="1">
      <c r="A62" s="1" t="s">
        <v>81</v>
      </c>
      <c r="B62" s="1" t="s">
        <v>82</v>
      </c>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65" t="s">
        <v>165</v>
      </c>
      <c r="C63" s="166"/>
      <c r="D63" s="166"/>
      <c r="E63" s="166"/>
      <c r="F63" s="166"/>
      <c r="G63" s="166"/>
      <c r="H63" s="166"/>
      <c r="I63" s="167"/>
      <c r="J63" s="1"/>
      <c r="K63" s="1"/>
      <c r="L63" s="1"/>
      <c r="M63" s="1"/>
      <c r="N63" s="1"/>
      <c r="O63" s="1"/>
      <c r="P63" s="1"/>
      <c r="Q63" s="1"/>
      <c r="R63" s="1"/>
      <c r="S63" s="1"/>
      <c r="T63" s="1"/>
      <c r="U63" s="1"/>
      <c r="V63" s="1"/>
      <c r="W63" s="1"/>
      <c r="X63" s="1"/>
      <c r="Y63" s="1"/>
      <c r="Z63" s="1"/>
    </row>
    <row r="64" spans="1:26" ht="18.75" customHeight="1">
      <c r="A64" s="1"/>
      <c r="B64" s="168"/>
      <c r="C64" s="169"/>
      <c r="D64" s="169"/>
      <c r="E64" s="169"/>
      <c r="F64" s="169"/>
      <c r="G64" s="169"/>
      <c r="H64" s="169"/>
      <c r="I64" s="170"/>
      <c r="J64" s="1"/>
      <c r="K64" s="1"/>
      <c r="L64" s="1"/>
      <c r="M64" s="1"/>
      <c r="N64" s="1"/>
      <c r="O64" s="1"/>
      <c r="P64" s="1"/>
      <c r="Q64" s="1"/>
      <c r="R64" s="1"/>
      <c r="S64" s="1"/>
      <c r="T64" s="1"/>
      <c r="U64" s="1"/>
      <c r="V64" s="1"/>
      <c r="W64" s="1"/>
      <c r="X64" s="1"/>
      <c r="Y64" s="1"/>
      <c r="Z64" s="1"/>
    </row>
    <row r="65" spans="1:26" ht="18.75" customHeight="1">
      <c r="A65" s="1"/>
      <c r="B65" s="168"/>
      <c r="C65" s="169"/>
      <c r="D65" s="169"/>
      <c r="E65" s="169"/>
      <c r="F65" s="169"/>
      <c r="G65" s="169"/>
      <c r="H65" s="169"/>
      <c r="I65" s="170"/>
      <c r="J65" s="1"/>
      <c r="K65" s="1"/>
      <c r="L65" s="1"/>
      <c r="M65" s="1"/>
      <c r="N65" s="1"/>
      <c r="O65" s="1"/>
      <c r="P65" s="1"/>
      <c r="Q65" s="1"/>
      <c r="R65" s="1"/>
      <c r="S65" s="1"/>
      <c r="T65" s="1"/>
      <c r="U65" s="1"/>
      <c r="V65" s="1"/>
      <c r="W65" s="1"/>
      <c r="X65" s="1"/>
      <c r="Y65" s="1"/>
      <c r="Z65" s="1"/>
    </row>
    <row r="66" spans="1:26" ht="18.75" customHeight="1">
      <c r="A66" s="1"/>
      <c r="B66" s="168"/>
      <c r="C66" s="169"/>
      <c r="D66" s="169"/>
      <c r="E66" s="169"/>
      <c r="F66" s="169"/>
      <c r="G66" s="169"/>
      <c r="H66" s="169"/>
      <c r="I66" s="170"/>
      <c r="J66" s="1"/>
      <c r="K66" s="1"/>
      <c r="L66" s="1"/>
      <c r="M66" s="1"/>
      <c r="N66" s="1"/>
      <c r="O66" s="1"/>
      <c r="P66" s="1"/>
      <c r="Q66" s="1"/>
      <c r="R66" s="1"/>
      <c r="S66" s="1"/>
      <c r="T66" s="1"/>
      <c r="U66" s="1"/>
      <c r="V66" s="1"/>
      <c r="W66" s="1"/>
      <c r="X66" s="1"/>
      <c r="Y66" s="1"/>
      <c r="Z66" s="1"/>
    </row>
    <row r="67" spans="1:26" ht="18.75" customHeight="1">
      <c r="A67" s="1"/>
      <c r="B67" s="168"/>
      <c r="C67" s="169"/>
      <c r="D67" s="169"/>
      <c r="E67" s="169"/>
      <c r="F67" s="169"/>
      <c r="G67" s="169"/>
      <c r="H67" s="169"/>
      <c r="I67" s="170"/>
      <c r="J67" s="1"/>
      <c r="K67" s="1"/>
      <c r="L67" s="1"/>
      <c r="M67" s="1"/>
      <c r="N67" s="1"/>
      <c r="O67" s="1"/>
      <c r="P67" s="1"/>
      <c r="Q67" s="1"/>
      <c r="R67" s="1"/>
      <c r="S67" s="1"/>
      <c r="T67" s="1"/>
      <c r="U67" s="1"/>
      <c r="V67" s="1"/>
      <c r="W67" s="1"/>
      <c r="X67" s="1"/>
      <c r="Y67" s="1"/>
      <c r="Z67" s="1"/>
    </row>
    <row r="68" spans="1:26" ht="18.75" customHeight="1">
      <c r="A68" s="31"/>
      <c r="B68" s="171"/>
      <c r="C68" s="172"/>
      <c r="D68" s="172"/>
      <c r="E68" s="172"/>
      <c r="F68" s="172"/>
      <c r="G68" s="172"/>
      <c r="H68" s="172"/>
      <c r="I68" s="173"/>
      <c r="J68" s="1"/>
      <c r="K68" s="1"/>
      <c r="L68" s="1"/>
      <c r="M68" s="1"/>
      <c r="N68" s="1"/>
      <c r="O68" s="1"/>
      <c r="P68" s="1"/>
      <c r="Q68" s="1"/>
      <c r="R68" s="1"/>
      <c r="S68" s="1"/>
      <c r="T68" s="1"/>
      <c r="U68" s="1"/>
      <c r="V68" s="1"/>
      <c r="W68" s="1"/>
      <c r="X68" s="1"/>
      <c r="Y68" s="1"/>
      <c r="Z68" s="1"/>
    </row>
    <row r="69" spans="1:26" ht="7.5" customHeight="1">
      <c r="A69" s="31"/>
      <c r="B69" s="31"/>
      <c r="C69" s="31"/>
      <c r="D69" s="31"/>
      <c r="E69" s="31"/>
      <c r="F69" s="31"/>
      <c r="G69" s="31"/>
      <c r="H69" s="31"/>
      <c r="I69" s="31"/>
      <c r="J69" s="1"/>
      <c r="K69" s="1"/>
      <c r="L69" s="1"/>
      <c r="M69" s="1"/>
      <c r="N69" s="1"/>
      <c r="O69" s="1"/>
      <c r="P69" s="1"/>
      <c r="Q69" s="1"/>
      <c r="R69" s="1"/>
      <c r="S69" s="1"/>
      <c r="T69" s="1"/>
      <c r="U69" s="1"/>
      <c r="V69" s="1"/>
      <c r="W69" s="1"/>
      <c r="X69" s="1"/>
      <c r="Y69" s="1"/>
      <c r="Z69" s="1"/>
    </row>
    <row r="70" spans="1:26" ht="18.75" customHeight="1">
      <c r="A70" s="1" t="s">
        <v>83</v>
      </c>
      <c r="B70" s="174" t="s">
        <v>84</v>
      </c>
      <c r="C70" s="124"/>
      <c r="D70" s="124"/>
      <c r="E70" s="124"/>
      <c r="F70" s="124"/>
      <c r="G70" s="124"/>
      <c r="H70" s="124"/>
      <c r="I70" s="124"/>
      <c r="J70" s="1"/>
      <c r="K70" s="1"/>
      <c r="L70" s="1"/>
      <c r="M70" s="1"/>
      <c r="N70" s="1"/>
      <c r="O70" s="1"/>
      <c r="P70" s="1"/>
      <c r="Q70" s="1"/>
      <c r="R70" s="1"/>
      <c r="S70" s="1"/>
      <c r="T70" s="1"/>
      <c r="U70" s="1"/>
      <c r="V70" s="1"/>
      <c r="W70" s="1"/>
      <c r="X70" s="1"/>
      <c r="Y70" s="1"/>
      <c r="Z70" s="1"/>
    </row>
    <row r="71" spans="1:26" ht="18.75" customHeight="1">
      <c r="A71" s="31"/>
      <c r="B71" s="175" t="s">
        <v>166</v>
      </c>
      <c r="C71" s="166"/>
      <c r="D71" s="166"/>
      <c r="E71" s="166"/>
      <c r="F71" s="166"/>
      <c r="G71" s="166"/>
      <c r="H71" s="166"/>
      <c r="I71" s="167"/>
      <c r="J71" s="84"/>
      <c r="K71" s="1"/>
      <c r="L71" s="1"/>
      <c r="M71" s="1"/>
      <c r="N71" s="1"/>
      <c r="O71" s="1"/>
      <c r="P71" s="1"/>
      <c r="Q71" s="1"/>
      <c r="R71" s="1"/>
      <c r="S71" s="1"/>
      <c r="T71" s="1"/>
      <c r="U71" s="1"/>
      <c r="V71" s="1"/>
      <c r="W71" s="1"/>
      <c r="X71" s="1"/>
      <c r="Y71" s="1"/>
      <c r="Z71" s="1"/>
    </row>
    <row r="72" spans="1:26" ht="18.75" customHeight="1">
      <c r="A72" s="31"/>
      <c r="B72" s="168"/>
      <c r="C72" s="176"/>
      <c r="D72" s="176"/>
      <c r="E72" s="176"/>
      <c r="F72" s="176"/>
      <c r="G72" s="176"/>
      <c r="H72" s="176"/>
      <c r="I72" s="170"/>
      <c r="J72" s="1"/>
      <c r="K72" s="1"/>
      <c r="L72" s="1"/>
      <c r="M72" s="1"/>
      <c r="N72" s="1"/>
      <c r="O72" s="1"/>
      <c r="P72" s="1"/>
      <c r="Q72" s="1"/>
      <c r="R72" s="1"/>
      <c r="S72" s="1"/>
      <c r="T72" s="1"/>
      <c r="U72" s="1"/>
      <c r="V72" s="1"/>
      <c r="W72" s="1"/>
      <c r="X72" s="1"/>
      <c r="Y72" s="1"/>
      <c r="Z72" s="1"/>
    </row>
    <row r="73" spans="1:26" ht="18.75" customHeight="1">
      <c r="A73" s="31"/>
      <c r="B73" s="168"/>
      <c r="C73" s="176"/>
      <c r="D73" s="176"/>
      <c r="E73" s="176"/>
      <c r="F73" s="176"/>
      <c r="G73" s="176"/>
      <c r="H73" s="176"/>
      <c r="I73" s="170"/>
      <c r="J73" s="1"/>
      <c r="K73" s="1"/>
      <c r="L73" s="1"/>
      <c r="M73" s="1"/>
      <c r="N73" s="1"/>
      <c r="O73" s="1"/>
      <c r="P73" s="1"/>
      <c r="Q73" s="1"/>
      <c r="R73" s="1"/>
      <c r="S73" s="1"/>
      <c r="T73" s="1"/>
      <c r="U73" s="1"/>
      <c r="V73" s="1"/>
      <c r="W73" s="1"/>
      <c r="X73" s="1"/>
      <c r="Y73" s="1"/>
      <c r="Z73" s="1"/>
    </row>
    <row r="74" spans="1:26" ht="18.75" customHeight="1">
      <c r="A74" s="31"/>
      <c r="B74" s="168"/>
      <c r="C74" s="176"/>
      <c r="D74" s="176"/>
      <c r="E74" s="176"/>
      <c r="F74" s="176"/>
      <c r="G74" s="176"/>
      <c r="H74" s="176"/>
      <c r="I74" s="170"/>
      <c r="J74" s="1"/>
      <c r="K74" s="1"/>
      <c r="L74" s="1"/>
      <c r="M74" s="1"/>
      <c r="N74" s="1"/>
      <c r="O74" s="1"/>
      <c r="P74" s="1"/>
      <c r="Q74" s="1"/>
      <c r="R74" s="1"/>
      <c r="S74" s="1"/>
      <c r="T74" s="1"/>
      <c r="U74" s="1"/>
      <c r="V74" s="1"/>
      <c r="W74" s="1"/>
      <c r="X74" s="1"/>
      <c r="Y74" s="1"/>
      <c r="Z74" s="1"/>
    </row>
    <row r="75" spans="1:26" ht="18.75" customHeight="1">
      <c r="A75" s="31"/>
      <c r="B75" s="168"/>
      <c r="C75" s="176"/>
      <c r="D75" s="176"/>
      <c r="E75" s="176"/>
      <c r="F75" s="176"/>
      <c r="G75" s="176"/>
      <c r="H75" s="176"/>
      <c r="I75" s="170"/>
      <c r="J75" s="1"/>
      <c r="K75" s="1"/>
      <c r="L75" s="1"/>
      <c r="M75" s="1"/>
      <c r="N75" s="1"/>
      <c r="O75" s="1"/>
      <c r="P75" s="1"/>
      <c r="Q75" s="1"/>
      <c r="R75" s="1"/>
      <c r="S75" s="1"/>
      <c r="T75" s="1"/>
      <c r="U75" s="1"/>
      <c r="V75" s="1"/>
      <c r="W75" s="1"/>
      <c r="X75" s="1"/>
      <c r="Y75" s="1"/>
      <c r="Z75" s="1"/>
    </row>
    <row r="76" spans="1:26" ht="18.75" customHeight="1">
      <c r="A76" s="31"/>
      <c r="B76" s="171"/>
      <c r="C76" s="172"/>
      <c r="D76" s="172"/>
      <c r="E76" s="172"/>
      <c r="F76" s="172"/>
      <c r="G76" s="172"/>
      <c r="H76" s="172"/>
      <c r="I76" s="173"/>
      <c r="J76" s="1"/>
      <c r="K76" s="1"/>
      <c r="L76" s="1"/>
      <c r="M76" s="1"/>
      <c r="N76" s="1"/>
      <c r="O76" s="1"/>
      <c r="P76" s="1"/>
      <c r="Q76" s="1"/>
      <c r="R76" s="1"/>
      <c r="S76" s="1"/>
      <c r="T76" s="1"/>
      <c r="U76" s="1"/>
      <c r="V76" s="1"/>
      <c r="W76" s="1"/>
      <c r="X76" s="1"/>
      <c r="Y76" s="1"/>
      <c r="Z76" s="1"/>
    </row>
    <row r="77" spans="1:26" ht="7.5" customHeight="1">
      <c r="A77" s="31"/>
      <c r="B77" s="33"/>
      <c r="C77" s="33"/>
      <c r="D77" s="33"/>
      <c r="E77" s="33"/>
      <c r="F77" s="33"/>
      <c r="G77" s="33"/>
      <c r="H77" s="33"/>
      <c r="I77" s="33"/>
      <c r="J77" s="1"/>
      <c r="K77" s="1"/>
      <c r="L77" s="1"/>
      <c r="M77" s="1"/>
      <c r="N77" s="1"/>
      <c r="O77" s="1"/>
      <c r="P77" s="1"/>
      <c r="Q77" s="1"/>
      <c r="R77" s="1"/>
      <c r="S77" s="1"/>
      <c r="T77" s="1"/>
      <c r="U77" s="1"/>
      <c r="V77" s="1"/>
      <c r="W77" s="1"/>
      <c r="X77" s="1"/>
      <c r="Y77" s="1"/>
      <c r="Z77" s="1"/>
    </row>
    <row r="78" spans="1:26" ht="18.75" customHeight="1">
      <c r="A78" s="31"/>
      <c r="B78" s="31"/>
      <c r="C78" s="31"/>
      <c r="D78" s="31"/>
      <c r="E78" s="31"/>
      <c r="F78" s="31"/>
      <c r="G78" s="31"/>
      <c r="H78" s="31"/>
      <c r="I78" s="31"/>
      <c r="J78" s="1"/>
      <c r="K78" s="1"/>
      <c r="L78" s="1"/>
      <c r="M78" s="1"/>
      <c r="N78" s="1"/>
      <c r="O78" s="1"/>
      <c r="P78" s="1"/>
      <c r="Q78" s="1"/>
      <c r="R78" s="1"/>
      <c r="S78" s="1"/>
      <c r="T78" s="1"/>
      <c r="U78" s="1"/>
      <c r="V78" s="1"/>
      <c r="W78" s="1"/>
      <c r="X78" s="1"/>
      <c r="Y78" s="1"/>
      <c r="Z78" s="1"/>
    </row>
    <row r="79" spans="1:26" ht="18.75" customHeight="1">
      <c r="A79" s="31"/>
      <c r="B79" s="31"/>
      <c r="C79" s="31"/>
      <c r="D79" s="31"/>
      <c r="E79" s="31"/>
      <c r="F79" s="31"/>
      <c r="G79" s="31"/>
      <c r="H79" s="31"/>
      <c r="I79" s="31"/>
      <c r="J79" s="1"/>
      <c r="K79" s="1"/>
      <c r="L79" s="1"/>
      <c r="M79" s="1"/>
      <c r="N79" s="1"/>
      <c r="O79" s="1"/>
      <c r="P79" s="1"/>
      <c r="Q79" s="1"/>
      <c r="R79" s="1"/>
      <c r="S79" s="1"/>
      <c r="T79" s="1"/>
      <c r="U79" s="1"/>
      <c r="V79" s="1"/>
      <c r="W79" s="1"/>
      <c r="X79" s="1"/>
      <c r="Y79" s="1"/>
      <c r="Z79" s="1"/>
    </row>
    <row r="80" spans="1:26" ht="18.75" customHeight="1">
      <c r="A80" s="31"/>
      <c r="B80" s="31"/>
      <c r="C80" s="31"/>
      <c r="D80" s="31"/>
      <c r="E80" s="31"/>
      <c r="F80" s="31"/>
      <c r="G80" s="31"/>
      <c r="H80" s="31"/>
      <c r="I80" s="31"/>
      <c r="J80" s="1"/>
      <c r="K80" s="1"/>
      <c r="L80" s="1"/>
      <c r="M80" s="1"/>
      <c r="N80" s="1"/>
      <c r="O80" s="1"/>
      <c r="P80" s="1"/>
      <c r="Q80" s="1"/>
      <c r="R80" s="1"/>
      <c r="S80" s="1"/>
      <c r="T80" s="1"/>
      <c r="U80" s="1"/>
      <c r="V80" s="1"/>
      <c r="W80" s="1"/>
      <c r="X80" s="1"/>
      <c r="Y80" s="1"/>
      <c r="Z80" s="1"/>
    </row>
    <row r="81" spans="1:26" ht="18.75" customHeight="1">
      <c r="A81" s="31"/>
      <c r="B81" s="31"/>
      <c r="C81" s="31"/>
      <c r="D81" s="31"/>
      <c r="E81" s="31"/>
      <c r="F81" s="31"/>
      <c r="G81" s="31"/>
      <c r="H81" s="31"/>
      <c r="I81" s="31"/>
      <c r="J81" s="1"/>
      <c r="K81" s="1"/>
      <c r="L81" s="1"/>
      <c r="M81" s="1"/>
      <c r="N81" s="1"/>
      <c r="O81" s="1"/>
      <c r="P81" s="1"/>
      <c r="Q81" s="1"/>
      <c r="R81" s="1"/>
      <c r="S81" s="1"/>
      <c r="T81" s="1"/>
      <c r="U81" s="1"/>
      <c r="V81" s="1"/>
      <c r="W81" s="1"/>
      <c r="X81" s="1"/>
      <c r="Y81" s="1"/>
      <c r="Z81" s="1"/>
    </row>
    <row r="82" spans="1:26" ht="18.75" customHeight="1">
      <c r="A82" s="31"/>
      <c r="B82" s="31"/>
      <c r="C82" s="31"/>
      <c r="D82" s="31"/>
      <c r="E82" s="31"/>
      <c r="F82" s="31"/>
      <c r="G82" s="31"/>
      <c r="H82" s="31"/>
      <c r="I82" s="31"/>
      <c r="J82" s="1"/>
      <c r="K82" s="1"/>
      <c r="L82" s="1"/>
      <c r="M82" s="1"/>
      <c r="N82" s="1"/>
      <c r="O82" s="1"/>
      <c r="P82" s="1"/>
      <c r="Q82" s="1"/>
      <c r="R82" s="1"/>
      <c r="S82" s="1"/>
      <c r="T82" s="1"/>
      <c r="U82" s="1"/>
      <c r="V82" s="1"/>
      <c r="W82" s="1"/>
      <c r="X82" s="1"/>
      <c r="Y82" s="1"/>
      <c r="Z82" s="1"/>
    </row>
    <row r="83" spans="1:26" ht="18.75" customHeight="1">
      <c r="A83" s="31"/>
      <c r="B83" s="31"/>
      <c r="C83" s="31"/>
      <c r="D83" s="31"/>
      <c r="E83" s="31"/>
      <c r="F83" s="31"/>
      <c r="G83" s="31"/>
      <c r="H83" s="31"/>
      <c r="I83" s="31"/>
      <c r="J83" s="1"/>
      <c r="K83" s="1"/>
      <c r="L83" s="1"/>
      <c r="M83" s="1"/>
      <c r="N83" s="1"/>
      <c r="O83" s="1"/>
      <c r="P83" s="1"/>
      <c r="Q83" s="1"/>
      <c r="R83" s="1"/>
      <c r="S83" s="1"/>
      <c r="T83" s="1"/>
      <c r="U83" s="1"/>
      <c r="V83" s="1"/>
      <c r="W83" s="1"/>
      <c r="X83" s="1"/>
      <c r="Y83" s="1"/>
      <c r="Z83" s="1"/>
    </row>
    <row r="84" spans="1:26" ht="18.75" customHeight="1">
      <c r="A84" s="31"/>
      <c r="B84" s="31"/>
      <c r="C84" s="31"/>
      <c r="D84" s="31"/>
      <c r="E84" s="31"/>
      <c r="F84" s="31"/>
      <c r="G84" s="31"/>
      <c r="H84" s="31"/>
      <c r="I84" s="31"/>
      <c r="J84" s="1"/>
      <c r="K84" s="1"/>
      <c r="L84" s="1"/>
      <c r="M84" s="1"/>
      <c r="N84" s="1"/>
      <c r="O84" s="1"/>
      <c r="P84" s="1"/>
      <c r="Q84" s="1"/>
      <c r="R84" s="1"/>
      <c r="S84" s="1"/>
      <c r="T84" s="1"/>
      <c r="U84" s="1"/>
      <c r="V84" s="1"/>
      <c r="W84" s="1"/>
      <c r="X84" s="1"/>
      <c r="Y84" s="1"/>
      <c r="Z84" s="1"/>
    </row>
    <row r="85" spans="1:26" ht="18.75" customHeight="1">
      <c r="A85" s="31"/>
      <c r="B85" s="31"/>
      <c r="C85" s="31"/>
      <c r="D85" s="31"/>
      <c r="E85" s="31"/>
      <c r="F85" s="31"/>
      <c r="G85" s="31"/>
      <c r="H85" s="31"/>
      <c r="I85" s="31"/>
      <c r="J85" s="1"/>
      <c r="K85" s="1"/>
      <c r="L85" s="1"/>
      <c r="M85" s="1"/>
      <c r="N85" s="1"/>
      <c r="O85" s="1"/>
      <c r="P85" s="1"/>
      <c r="Q85" s="1"/>
      <c r="R85" s="1"/>
      <c r="S85" s="1"/>
      <c r="T85" s="1"/>
      <c r="U85" s="1"/>
      <c r="V85" s="1"/>
      <c r="W85" s="1"/>
      <c r="X85" s="1"/>
      <c r="Y85" s="1"/>
      <c r="Z85" s="1"/>
    </row>
    <row r="86" spans="1:26" ht="18.75" customHeight="1">
      <c r="A86" s="31"/>
      <c r="B86" s="31"/>
      <c r="C86" s="31"/>
      <c r="D86" s="31"/>
      <c r="E86" s="31"/>
      <c r="F86" s="31"/>
      <c r="G86" s="31"/>
      <c r="H86" s="31"/>
      <c r="I86" s="31"/>
      <c r="J86" s="1"/>
      <c r="K86" s="1"/>
      <c r="L86" s="1"/>
      <c r="M86" s="1"/>
      <c r="N86" s="1"/>
      <c r="O86" s="1"/>
      <c r="P86" s="1"/>
      <c r="Q86" s="1"/>
      <c r="R86" s="1"/>
      <c r="S86" s="1"/>
      <c r="T86" s="1"/>
      <c r="U86" s="1"/>
      <c r="V86" s="1"/>
      <c r="W86" s="1"/>
      <c r="X86" s="1"/>
      <c r="Y86" s="1"/>
      <c r="Z86" s="1"/>
    </row>
    <row r="87" spans="1:26" ht="18.75" customHeight="1">
      <c r="A87" s="31"/>
      <c r="B87" s="31"/>
      <c r="C87" s="31"/>
      <c r="D87" s="31"/>
      <c r="E87" s="31"/>
      <c r="F87" s="31"/>
      <c r="G87" s="31"/>
      <c r="H87" s="31"/>
      <c r="I87" s="31"/>
      <c r="J87" s="1"/>
      <c r="K87" s="1"/>
      <c r="L87" s="1"/>
      <c r="M87" s="1"/>
      <c r="N87" s="1"/>
      <c r="O87" s="1"/>
      <c r="P87" s="1"/>
      <c r="Q87" s="1"/>
      <c r="R87" s="1"/>
      <c r="S87" s="1"/>
      <c r="T87" s="1"/>
      <c r="U87" s="1"/>
      <c r="V87" s="1"/>
      <c r="W87" s="1"/>
      <c r="X87" s="1"/>
      <c r="Y87" s="1"/>
      <c r="Z87" s="1"/>
    </row>
    <row r="88" spans="1:26" ht="18.75" customHeight="1">
      <c r="A88" s="31"/>
      <c r="B88" s="31"/>
      <c r="C88" s="31"/>
      <c r="D88" s="31"/>
      <c r="E88" s="31"/>
      <c r="F88" s="31"/>
      <c r="G88" s="31"/>
      <c r="H88" s="31"/>
      <c r="I88" s="31"/>
      <c r="J88" s="1"/>
      <c r="K88" s="1"/>
      <c r="L88" s="1"/>
      <c r="M88" s="1"/>
      <c r="N88" s="1"/>
      <c r="O88" s="1"/>
      <c r="P88" s="1"/>
      <c r="Q88" s="1"/>
      <c r="R88" s="1"/>
      <c r="S88" s="1"/>
      <c r="T88" s="1"/>
      <c r="U88" s="1"/>
      <c r="V88" s="1"/>
      <c r="W88" s="1"/>
      <c r="X88" s="1"/>
      <c r="Y88" s="1"/>
      <c r="Z88" s="1"/>
    </row>
    <row r="89" spans="1:26" ht="18.75" customHeight="1">
      <c r="A89" s="31"/>
      <c r="B89" s="31"/>
      <c r="C89" s="31"/>
      <c r="D89" s="31"/>
      <c r="E89" s="31"/>
      <c r="F89" s="31"/>
      <c r="G89" s="31"/>
      <c r="H89" s="31"/>
      <c r="I89" s="31"/>
      <c r="J89" s="1"/>
      <c r="K89" s="1"/>
      <c r="L89" s="1"/>
      <c r="M89" s="1"/>
      <c r="N89" s="1"/>
      <c r="O89" s="1"/>
      <c r="P89" s="1"/>
      <c r="Q89" s="1"/>
      <c r="R89" s="1"/>
      <c r="S89" s="1"/>
      <c r="T89" s="1"/>
      <c r="U89" s="1"/>
      <c r="V89" s="1"/>
      <c r="W89" s="1"/>
      <c r="X89" s="1"/>
      <c r="Y89" s="1"/>
      <c r="Z89" s="1"/>
    </row>
    <row r="90" spans="1:26" ht="18.75" customHeight="1">
      <c r="A90" s="31"/>
      <c r="B90" s="31"/>
      <c r="C90" s="31"/>
      <c r="D90" s="31"/>
      <c r="E90" s="31"/>
      <c r="F90" s="31"/>
      <c r="G90" s="31"/>
      <c r="H90" s="31"/>
      <c r="I90" s="31"/>
      <c r="J90" s="1"/>
      <c r="K90" s="1"/>
      <c r="L90" s="1"/>
      <c r="M90" s="1"/>
      <c r="N90" s="1"/>
      <c r="O90" s="1"/>
      <c r="P90" s="1"/>
      <c r="Q90" s="1"/>
      <c r="R90" s="1"/>
      <c r="S90" s="1"/>
      <c r="T90" s="1"/>
      <c r="U90" s="1"/>
      <c r="V90" s="1"/>
      <c r="W90" s="1"/>
      <c r="X90" s="1"/>
      <c r="Y90" s="1"/>
      <c r="Z90" s="1"/>
    </row>
    <row r="91" spans="1:26" ht="7.5" customHeight="1">
      <c r="A91" s="34"/>
      <c r="B91" s="34"/>
      <c r="C91" s="34"/>
      <c r="D91" s="34"/>
      <c r="E91" s="34"/>
      <c r="F91" s="34"/>
      <c r="G91" s="34"/>
      <c r="H91" s="34"/>
      <c r="I91" s="34"/>
      <c r="J91" s="1"/>
      <c r="K91" s="1"/>
      <c r="L91" s="1"/>
      <c r="M91" s="1"/>
      <c r="N91" s="1"/>
      <c r="O91" s="1"/>
      <c r="P91" s="1"/>
      <c r="Q91" s="1"/>
      <c r="R91" s="1"/>
      <c r="S91" s="1"/>
      <c r="T91" s="1"/>
      <c r="U91" s="1"/>
      <c r="V91" s="1"/>
      <c r="W91" s="1"/>
      <c r="X91" s="1"/>
      <c r="Y91" s="1"/>
      <c r="Z91" s="1"/>
    </row>
    <row r="92" spans="1:26" ht="18.75" customHeight="1">
      <c r="A92" s="29"/>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29"/>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29"/>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29"/>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29"/>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29"/>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29"/>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29"/>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29"/>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29"/>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29"/>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29"/>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29"/>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29"/>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29"/>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29"/>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29"/>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29"/>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29"/>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29"/>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29"/>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29"/>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29"/>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29"/>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29"/>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29"/>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29"/>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29"/>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29"/>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29"/>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29"/>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29"/>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29"/>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29"/>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29"/>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29"/>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29"/>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29"/>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29"/>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29"/>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29"/>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29"/>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29"/>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29"/>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29"/>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29"/>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29"/>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29"/>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29"/>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29"/>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29"/>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29"/>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29"/>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29"/>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29"/>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29"/>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29"/>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29"/>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29"/>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29"/>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29"/>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29"/>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29"/>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29"/>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29"/>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29"/>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29"/>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29"/>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29"/>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29"/>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29"/>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29"/>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29"/>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29"/>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29"/>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29"/>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29"/>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29"/>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29"/>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29"/>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29"/>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29"/>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29"/>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29"/>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29"/>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29"/>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29"/>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29"/>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29"/>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29"/>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29"/>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29"/>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29"/>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29"/>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29"/>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29"/>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29"/>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29"/>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29"/>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29"/>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29"/>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29"/>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29"/>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29"/>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29"/>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29"/>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29"/>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29"/>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29"/>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29"/>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29"/>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29"/>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29"/>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29"/>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29"/>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29"/>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29"/>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29"/>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29"/>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29"/>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29"/>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29"/>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29"/>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29"/>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29"/>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29"/>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29"/>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29"/>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29"/>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29"/>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29"/>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29"/>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29"/>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29"/>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29"/>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29"/>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29"/>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29"/>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29"/>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29"/>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29"/>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29"/>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29"/>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29"/>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29"/>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29"/>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29"/>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29"/>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29"/>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29"/>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29"/>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29"/>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29"/>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29"/>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29"/>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29"/>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29"/>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29"/>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29"/>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29"/>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29"/>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29"/>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29"/>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29"/>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29"/>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29"/>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29"/>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29"/>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29"/>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29"/>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29"/>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29"/>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29"/>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29"/>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29"/>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29"/>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29"/>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29"/>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29"/>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29"/>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29"/>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29"/>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29"/>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29"/>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29"/>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29"/>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29"/>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29"/>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29"/>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29"/>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29"/>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29"/>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29"/>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29"/>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29"/>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29"/>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29"/>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29"/>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29"/>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29"/>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29"/>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29"/>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29"/>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29"/>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29"/>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29"/>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29"/>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29"/>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29"/>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29"/>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29"/>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29"/>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29"/>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29"/>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29"/>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29"/>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29"/>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29"/>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29"/>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29"/>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29"/>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29"/>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29"/>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29"/>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29"/>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29"/>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29"/>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29"/>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29"/>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29"/>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29"/>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29"/>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29"/>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29"/>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29"/>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29"/>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29"/>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29"/>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29"/>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29"/>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29"/>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29"/>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29"/>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29"/>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29"/>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29"/>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29"/>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29"/>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29"/>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29"/>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29"/>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29"/>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29"/>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29"/>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29"/>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29"/>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29"/>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29"/>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29"/>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29"/>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29"/>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29"/>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29"/>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29"/>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29"/>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29"/>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29"/>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29"/>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29"/>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29"/>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29"/>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29"/>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29"/>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29"/>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29"/>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29"/>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29"/>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29"/>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29"/>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29"/>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29"/>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29"/>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29"/>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29"/>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29"/>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29"/>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29"/>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29"/>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29"/>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29"/>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29"/>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29"/>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29"/>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29"/>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29"/>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29"/>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29"/>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29"/>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29"/>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29"/>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29"/>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29"/>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29"/>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29"/>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29"/>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29"/>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29"/>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29"/>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29"/>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29"/>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29"/>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29"/>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29"/>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29"/>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29"/>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29"/>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29"/>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29"/>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29"/>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29"/>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29"/>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29"/>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29"/>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29"/>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29"/>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29"/>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29"/>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29"/>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29"/>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29"/>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29"/>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29"/>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29"/>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29"/>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29"/>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29"/>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29"/>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29"/>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29"/>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29"/>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29"/>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29"/>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29"/>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29"/>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29"/>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29"/>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29"/>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29"/>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29"/>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29"/>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29"/>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29"/>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29"/>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29"/>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29"/>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29"/>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29"/>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29"/>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29"/>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29"/>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29"/>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29"/>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29"/>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29"/>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29"/>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29"/>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29"/>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29"/>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29"/>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29"/>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29"/>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29"/>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29"/>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29"/>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29"/>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29"/>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29"/>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29"/>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29"/>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29"/>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29"/>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29"/>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29"/>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29"/>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29"/>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29"/>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29"/>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29"/>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29"/>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29"/>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29"/>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29"/>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29"/>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29"/>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29"/>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29"/>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29"/>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29"/>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29"/>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29"/>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29"/>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29"/>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29"/>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29"/>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29"/>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29"/>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29"/>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29"/>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29"/>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29"/>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29"/>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29"/>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29"/>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29"/>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29"/>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29"/>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29"/>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29"/>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29"/>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29"/>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29"/>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29"/>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29"/>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29"/>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29"/>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29"/>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29"/>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29"/>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29"/>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29"/>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29"/>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29"/>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29"/>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29"/>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29"/>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29"/>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29"/>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29"/>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29"/>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29"/>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29"/>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29"/>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29"/>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29"/>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29"/>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29"/>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29"/>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29"/>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29"/>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29"/>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29"/>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29"/>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29"/>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29"/>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29"/>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29"/>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29"/>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29"/>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29"/>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29"/>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29"/>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29"/>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29"/>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29"/>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29"/>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29"/>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29"/>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29"/>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29"/>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29"/>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29"/>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29"/>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29"/>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29"/>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29"/>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29"/>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29"/>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29"/>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29"/>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29"/>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29"/>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29"/>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29"/>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29"/>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29"/>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29"/>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29"/>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29"/>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29"/>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29"/>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29"/>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29"/>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29"/>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29"/>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29"/>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29"/>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29"/>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29"/>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29"/>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29"/>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29"/>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29"/>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29"/>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29"/>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29"/>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29"/>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29"/>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29"/>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29"/>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29"/>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29"/>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29"/>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29"/>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29"/>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29"/>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29"/>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29"/>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29"/>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29"/>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29"/>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29"/>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29"/>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29"/>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29"/>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29"/>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29"/>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29"/>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29"/>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29"/>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29"/>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29"/>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29"/>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29"/>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29"/>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29"/>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29"/>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29"/>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29"/>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29"/>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29"/>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29"/>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29"/>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29"/>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29"/>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29"/>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29"/>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29"/>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29"/>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29"/>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29"/>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29"/>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29"/>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29"/>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29"/>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29"/>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29"/>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29"/>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29"/>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29"/>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29"/>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29"/>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29"/>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29"/>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29"/>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29"/>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29"/>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29"/>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29"/>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29"/>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29"/>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29"/>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29"/>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29"/>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29"/>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29"/>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29"/>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29"/>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29"/>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29"/>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29"/>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29"/>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29"/>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29"/>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29"/>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29"/>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29"/>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29"/>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29"/>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29"/>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29"/>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29"/>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29"/>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29"/>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29"/>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29"/>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29"/>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29"/>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29"/>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29"/>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29"/>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29"/>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29"/>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29"/>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29"/>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29"/>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29"/>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29"/>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29"/>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29"/>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29"/>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29"/>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29"/>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29"/>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29"/>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29"/>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29"/>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29"/>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29"/>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29"/>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29"/>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29"/>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29"/>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29"/>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29"/>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29"/>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29"/>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29"/>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29"/>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29"/>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29"/>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29"/>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29"/>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29"/>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29"/>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29"/>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29"/>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29"/>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29"/>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29"/>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29"/>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29"/>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29"/>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29"/>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29"/>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29"/>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29"/>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29"/>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29"/>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29"/>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29"/>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29"/>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29"/>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29"/>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29"/>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29"/>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29"/>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29"/>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29"/>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29"/>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29"/>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29"/>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29"/>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29"/>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29"/>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29"/>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29"/>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29"/>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29"/>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29"/>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29"/>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29"/>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29"/>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29"/>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29"/>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29"/>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29"/>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29"/>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29"/>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29"/>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29"/>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29"/>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29"/>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29"/>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29"/>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29"/>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29"/>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29"/>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29"/>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29"/>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29"/>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29"/>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29"/>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29"/>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29"/>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29"/>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29"/>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29"/>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29"/>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29"/>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29"/>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29"/>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29"/>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29"/>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29"/>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29"/>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29"/>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29"/>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29"/>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29"/>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29"/>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29"/>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29"/>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29"/>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29"/>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29"/>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29"/>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29"/>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29"/>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29"/>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29"/>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29"/>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29"/>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29"/>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29"/>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29"/>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29"/>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29"/>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29"/>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29"/>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29"/>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29"/>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29"/>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29"/>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29"/>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29"/>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29"/>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29"/>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29"/>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29"/>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29"/>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29"/>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29"/>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29"/>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29"/>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29"/>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29"/>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29"/>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29"/>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29"/>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29"/>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29"/>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29"/>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29"/>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29"/>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29"/>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29"/>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29"/>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29"/>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29"/>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29"/>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29"/>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29"/>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29"/>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29"/>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29"/>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29"/>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29"/>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29"/>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29"/>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29"/>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29"/>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29"/>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29"/>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29"/>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29"/>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29"/>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29"/>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29"/>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29"/>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29"/>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29"/>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29"/>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29"/>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29"/>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29"/>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29"/>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29"/>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29"/>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29"/>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29"/>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29"/>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29"/>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29"/>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29"/>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29"/>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29"/>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29"/>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29"/>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29"/>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29"/>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29"/>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29"/>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29"/>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29"/>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29"/>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29"/>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29"/>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29"/>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29"/>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29"/>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29"/>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29"/>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29"/>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29"/>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29"/>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29"/>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29"/>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29"/>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29"/>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29"/>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29"/>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29"/>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29"/>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29"/>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29"/>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29"/>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29"/>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29"/>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29"/>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29"/>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29"/>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29"/>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29"/>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29"/>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29"/>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29"/>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29"/>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29"/>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29"/>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29"/>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29"/>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29"/>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29"/>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29"/>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29"/>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29"/>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29"/>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29"/>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29"/>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29"/>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29"/>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29"/>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29"/>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29"/>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29"/>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29"/>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29"/>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29"/>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29"/>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29"/>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29"/>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29"/>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29"/>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29"/>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29"/>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29"/>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sheetData>
  <mergeCells count="23">
    <mergeCell ref="H2:I2"/>
    <mergeCell ref="A4:I4"/>
    <mergeCell ref="C6:D6"/>
    <mergeCell ref="C12:E12"/>
    <mergeCell ref="H12:I12"/>
    <mergeCell ref="B9:I9"/>
    <mergeCell ref="B15:I15"/>
    <mergeCell ref="H17:I17"/>
    <mergeCell ref="F38:G38"/>
    <mergeCell ref="B39:I39"/>
    <mergeCell ref="B40:I44"/>
    <mergeCell ref="C17:E17"/>
    <mergeCell ref="B20:I20"/>
    <mergeCell ref="B23:I27"/>
    <mergeCell ref="B30:I34"/>
    <mergeCell ref="C37:D37"/>
    <mergeCell ref="F37:G37"/>
    <mergeCell ref="C38:D38"/>
    <mergeCell ref="B47:I52"/>
    <mergeCell ref="B55:I60"/>
    <mergeCell ref="B63:I68"/>
    <mergeCell ref="B70:I70"/>
    <mergeCell ref="B71:I76"/>
  </mergeCells>
  <phoneticPr fontId="9"/>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zoomScale="90" zoomScaleNormal="90" zoomScaleSheetLayoutView="32" workbookViewId="0">
      <selection activeCell="B6" sqref="B6:H6"/>
    </sheetView>
  </sheetViews>
  <sheetFormatPr defaultColWidth="14.44140625" defaultRowHeight="15" customHeight="1"/>
  <cols>
    <col min="1" max="3" width="2.6640625" customWidth="1"/>
    <col min="4" max="4" width="22.33203125" customWidth="1"/>
    <col min="5" max="5" width="30.6640625" customWidth="1"/>
    <col min="6" max="7" width="7.6640625" customWidth="1"/>
    <col min="8" max="9" width="30.6640625" customWidth="1"/>
    <col min="10" max="26" width="11.33203125" customWidth="1"/>
  </cols>
  <sheetData>
    <row r="1" spans="1:26" ht="18.75" customHeight="1">
      <c r="A1" s="1" t="s">
        <v>85</v>
      </c>
      <c r="B1" s="1"/>
      <c r="C1" s="1"/>
      <c r="D1" s="1"/>
      <c r="E1" s="1"/>
      <c r="F1" s="1"/>
      <c r="G1" s="1"/>
      <c r="H1" s="1"/>
      <c r="I1" s="2" t="s">
        <v>86</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近畿大学</v>
      </c>
      <c r="J2" s="1"/>
      <c r="K2" s="1"/>
      <c r="L2" s="1"/>
      <c r="M2" s="1"/>
      <c r="N2" s="1"/>
      <c r="O2" s="1"/>
      <c r="P2" s="1"/>
      <c r="Q2" s="1"/>
      <c r="R2" s="1"/>
      <c r="S2" s="1"/>
      <c r="T2" s="1"/>
      <c r="U2" s="1"/>
      <c r="V2" s="1"/>
      <c r="W2" s="1"/>
      <c r="X2" s="1"/>
      <c r="Y2" s="1"/>
      <c r="Z2" s="1"/>
    </row>
    <row r="3" spans="1:26" ht="18.75" customHeight="1">
      <c r="A3" s="129" t="s">
        <v>87</v>
      </c>
      <c r="B3" s="124"/>
      <c r="C3" s="124"/>
      <c r="D3" s="124"/>
      <c r="E3" s="124"/>
      <c r="F3" s="124"/>
      <c r="G3" s="124"/>
      <c r="H3" s="124"/>
      <c r="I3" s="124"/>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50</v>
      </c>
      <c r="B5" s="10" t="s">
        <v>88</v>
      </c>
      <c r="C5" s="7"/>
      <c r="D5" s="7"/>
      <c r="E5" s="7"/>
      <c r="F5" s="7"/>
      <c r="G5" s="7"/>
      <c r="H5" s="7"/>
      <c r="I5" s="7"/>
      <c r="J5" s="1"/>
      <c r="K5" s="1"/>
      <c r="L5" s="1"/>
      <c r="M5" s="1"/>
      <c r="N5" s="1"/>
      <c r="O5" s="1"/>
      <c r="P5" s="1"/>
      <c r="Q5" s="1"/>
      <c r="R5" s="1"/>
      <c r="S5" s="1"/>
      <c r="T5" s="1"/>
      <c r="U5" s="1"/>
      <c r="V5" s="1"/>
      <c r="W5" s="1"/>
      <c r="X5" s="1"/>
      <c r="Y5" s="1"/>
      <c r="Z5" s="1"/>
    </row>
    <row r="6" spans="1:26" ht="26.25" customHeight="1">
      <c r="A6" s="7"/>
      <c r="B6" s="214" t="s">
        <v>176</v>
      </c>
      <c r="C6" s="102"/>
      <c r="D6" s="102"/>
      <c r="E6" s="102"/>
      <c r="F6" s="102"/>
      <c r="G6" s="102"/>
      <c r="H6" s="103"/>
      <c r="I6" s="8"/>
      <c r="J6" s="1"/>
      <c r="K6" s="1"/>
      <c r="L6" s="1"/>
      <c r="M6" s="1"/>
      <c r="N6" s="1"/>
      <c r="O6" s="1"/>
      <c r="P6" s="1"/>
      <c r="Q6" s="1"/>
      <c r="R6" s="1"/>
      <c r="S6" s="1"/>
      <c r="T6" s="1"/>
      <c r="U6" s="1"/>
      <c r="V6" s="1"/>
      <c r="W6" s="1"/>
      <c r="X6" s="1"/>
      <c r="Y6" s="1"/>
      <c r="Z6" s="1"/>
    </row>
    <row r="7" spans="1:26" ht="9" customHeight="1">
      <c r="A7" s="7"/>
      <c r="B7" s="10"/>
      <c r="C7" s="10"/>
      <c r="D7" s="10"/>
      <c r="E7" s="10"/>
      <c r="F7" s="10"/>
      <c r="G7" s="10"/>
      <c r="H7" s="10"/>
      <c r="I7" s="8"/>
      <c r="J7" s="1"/>
      <c r="K7" s="1"/>
      <c r="L7" s="1"/>
      <c r="M7" s="1"/>
      <c r="N7" s="1"/>
      <c r="O7" s="1"/>
      <c r="P7" s="1"/>
      <c r="Q7" s="1"/>
      <c r="R7" s="1"/>
      <c r="S7" s="1"/>
      <c r="T7" s="1"/>
      <c r="U7" s="1"/>
      <c r="V7" s="1"/>
      <c r="W7" s="1"/>
      <c r="X7" s="1"/>
      <c r="Y7" s="1"/>
      <c r="Z7" s="1"/>
    </row>
    <row r="8" spans="1:26" ht="18.75" customHeight="1">
      <c r="A8" s="7"/>
      <c r="B8" s="8"/>
      <c r="C8" s="8"/>
      <c r="D8" s="2" t="s">
        <v>59</v>
      </c>
      <c r="E8" s="43" t="s">
        <v>111</v>
      </c>
      <c r="F8" s="8"/>
      <c r="G8" s="2" t="s">
        <v>60</v>
      </c>
      <c r="H8" s="85" t="s">
        <v>168</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55</v>
      </c>
      <c r="B10" s="1" t="s">
        <v>89</v>
      </c>
      <c r="C10" s="31"/>
      <c r="D10" s="31"/>
      <c r="E10" s="31"/>
      <c r="F10" s="31"/>
      <c r="G10" s="31"/>
      <c r="H10" s="31"/>
      <c r="I10" s="31"/>
      <c r="J10" s="1"/>
      <c r="K10" s="1"/>
      <c r="L10" s="1"/>
      <c r="M10" s="1"/>
      <c r="N10" s="1"/>
      <c r="O10" s="1"/>
      <c r="P10" s="1"/>
      <c r="Q10" s="1"/>
      <c r="R10" s="1"/>
      <c r="S10" s="1"/>
      <c r="T10" s="1"/>
      <c r="U10" s="1"/>
      <c r="V10" s="1"/>
      <c r="W10" s="1"/>
      <c r="X10" s="1"/>
      <c r="Y10" s="1"/>
      <c r="Z10" s="1"/>
    </row>
    <row r="11" spans="1:26" ht="18.75" customHeight="1">
      <c r="A11" s="1"/>
      <c r="B11" s="114" t="s">
        <v>90</v>
      </c>
      <c r="C11" s="102"/>
      <c r="D11" s="103"/>
      <c r="E11" s="105" t="s">
        <v>91</v>
      </c>
      <c r="F11" s="102"/>
      <c r="G11" s="102"/>
      <c r="H11" s="102"/>
      <c r="I11" s="103"/>
      <c r="J11" s="1"/>
      <c r="K11" s="1"/>
      <c r="L11" s="1"/>
      <c r="M11" s="1"/>
      <c r="N11" s="1"/>
      <c r="O11" s="1"/>
      <c r="P11" s="1"/>
      <c r="Q11" s="1"/>
      <c r="R11" s="1"/>
      <c r="S11" s="1"/>
      <c r="T11" s="1"/>
      <c r="U11" s="1"/>
      <c r="V11" s="1"/>
      <c r="W11" s="1"/>
      <c r="X11" s="1"/>
      <c r="Y11" s="1"/>
      <c r="Z11" s="1"/>
    </row>
    <row r="12" spans="1:26" ht="26.25" customHeight="1">
      <c r="A12" s="1"/>
      <c r="B12" s="35" t="s">
        <v>92</v>
      </c>
      <c r="C12" s="36"/>
      <c r="D12" s="37"/>
      <c r="E12" s="38"/>
      <c r="F12" s="38"/>
      <c r="G12" s="38"/>
      <c r="H12" s="38"/>
      <c r="I12" s="37"/>
      <c r="J12" s="1"/>
      <c r="K12" s="1"/>
      <c r="L12" s="1"/>
      <c r="M12" s="1"/>
      <c r="N12" s="1"/>
      <c r="O12" s="1"/>
      <c r="P12" s="1"/>
      <c r="Q12" s="1"/>
      <c r="R12" s="1"/>
      <c r="S12" s="1"/>
      <c r="T12" s="1"/>
      <c r="U12" s="1"/>
      <c r="V12" s="1"/>
      <c r="W12" s="1"/>
      <c r="X12" s="1"/>
      <c r="Y12" s="1"/>
      <c r="Z12" s="1"/>
    </row>
    <row r="13" spans="1:26" ht="89.4" customHeight="1">
      <c r="A13" s="1"/>
      <c r="B13" s="39"/>
      <c r="C13" s="215" t="s">
        <v>93</v>
      </c>
      <c r="D13" s="95"/>
      <c r="E13" s="211" t="s">
        <v>171</v>
      </c>
      <c r="F13" s="212"/>
      <c r="G13" s="212"/>
      <c r="H13" s="212"/>
      <c r="I13" s="213"/>
      <c r="J13" s="1"/>
      <c r="K13" s="1"/>
      <c r="L13" s="1"/>
      <c r="M13" s="1"/>
      <c r="N13" s="1"/>
      <c r="O13" s="1"/>
      <c r="P13" s="1"/>
      <c r="Q13" s="1"/>
      <c r="R13" s="1"/>
      <c r="S13" s="1"/>
      <c r="T13" s="1"/>
      <c r="U13" s="1"/>
      <c r="V13" s="1"/>
      <c r="W13" s="1"/>
      <c r="X13" s="1"/>
      <c r="Y13" s="1"/>
      <c r="Z13" s="1"/>
    </row>
    <row r="14" spans="1:26" ht="81.599999999999994" customHeight="1">
      <c r="A14" s="1"/>
      <c r="B14" s="39"/>
      <c r="C14" s="216" t="s">
        <v>94</v>
      </c>
      <c r="D14" s="95"/>
      <c r="E14" s="211" t="s">
        <v>175</v>
      </c>
      <c r="F14" s="212"/>
      <c r="G14" s="212"/>
      <c r="H14" s="212"/>
      <c r="I14" s="213"/>
      <c r="J14" s="1"/>
      <c r="K14" s="1"/>
      <c r="L14" s="1"/>
      <c r="M14" s="1"/>
      <c r="N14" s="1"/>
      <c r="O14" s="1"/>
      <c r="P14" s="1"/>
      <c r="Q14" s="1"/>
      <c r="R14" s="1"/>
      <c r="S14" s="1"/>
      <c r="T14" s="1"/>
      <c r="U14" s="1"/>
      <c r="V14" s="1"/>
      <c r="W14" s="1"/>
      <c r="X14" s="1"/>
      <c r="Y14" s="1"/>
      <c r="Z14" s="1"/>
    </row>
    <row r="15" spans="1:26" ht="88.8" customHeight="1">
      <c r="A15" s="1"/>
      <c r="B15" s="39"/>
      <c r="C15" s="215" t="s">
        <v>95</v>
      </c>
      <c r="D15" s="95"/>
      <c r="E15" s="222" t="s">
        <v>173</v>
      </c>
      <c r="F15" s="223"/>
      <c r="G15" s="223"/>
      <c r="H15" s="223"/>
      <c r="I15" s="224"/>
      <c r="J15" s="1"/>
      <c r="K15" s="1"/>
      <c r="L15" s="1"/>
      <c r="M15" s="1"/>
      <c r="N15" s="1"/>
      <c r="O15" s="1"/>
      <c r="P15" s="1"/>
      <c r="Q15" s="1"/>
      <c r="R15" s="1"/>
      <c r="S15" s="1"/>
      <c r="T15" s="1"/>
      <c r="U15" s="1"/>
      <c r="V15" s="1"/>
      <c r="W15" s="1"/>
      <c r="X15" s="1"/>
      <c r="Y15" s="1"/>
      <c r="Z15" s="1"/>
    </row>
    <row r="16" spans="1:26" ht="88.8" customHeight="1">
      <c r="A16" s="1"/>
      <c r="B16" s="39"/>
      <c r="C16" s="215" t="s">
        <v>112</v>
      </c>
      <c r="D16" s="95"/>
      <c r="E16" s="122" t="s">
        <v>172</v>
      </c>
      <c r="F16" s="225"/>
      <c r="G16" s="225"/>
      <c r="H16" s="225"/>
      <c r="I16" s="226"/>
      <c r="J16" s="1"/>
      <c r="K16" s="1"/>
      <c r="L16" s="1"/>
      <c r="M16" s="1"/>
      <c r="N16" s="1"/>
      <c r="O16" s="1"/>
      <c r="P16" s="1"/>
      <c r="Q16" s="1"/>
      <c r="R16" s="1"/>
      <c r="S16" s="1"/>
      <c r="T16" s="1"/>
      <c r="U16" s="1"/>
      <c r="V16" s="1"/>
      <c r="W16" s="1"/>
      <c r="X16" s="1"/>
      <c r="Y16" s="1"/>
      <c r="Z16" s="1"/>
    </row>
    <row r="17" spans="1:26" ht="106.2" customHeight="1">
      <c r="A17" s="1"/>
      <c r="B17" s="40"/>
      <c r="C17" s="217" t="s">
        <v>96</v>
      </c>
      <c r="D17" s="99"/>
      <c r="E17" s="227" t="s">
        <v>167</v>
      </c>
      <c r="F17" s="228"/>
      <c r="G17" s="228"/>
      <c r="H17" s="228"/>
      <c r="I17" s="229"/>
      <c r="J17" s="1"/>
      <c r="K17" s="1"/>
      <c r="L17" s="1"/>
      <c r="M17" s="1"/>
      <c r="N17" s="1"/>
      <c r="O17" s="1"/>
      <c r="P17" s="1"/>
      <c r="Q17" s="1"/>
      <c r="R17" s="1"/>
      <c r="S17" s="1"/>
      <c r="T17" s="1"/>
      <c r="U17" s="1"/>
      <c r="V17" s="1"/>
      <c r="W17" s="1"/>
      <c r="X17" s="1"/>
      <c r="Y17" s="1"/>
      <c r="Z17" s="1"/>
    </row>
    <row r="18" spans="1:26" ht="24" customHeight="1">
      <c r="A18" s="1"/>
      <c r="B18" s="35" t="s">
        <v>97</v>
      </c>
      <c r="C18" s="41"/>
      <c r="D18" s="42"/>
      <c r="E18" s="88"/>
      <c r="F18" s="88"/>
      <c r="G18" s="88"/>
      <c r="H18" s="88"/>
      <c r="I18" s="89"/>
      <c r="J18" s="1"/>
      <c r="K18" s="1"/>
      <c r="L18" s="1"/>
      <c r="M18" s="1"/>
      <c r="N18" s="1"/>
      <c r="O18" s="1"/>
      <c r="P18" s="1"/>
      <c r="Q18" s="1"/>
      <c r="R18" s="1"/>
      <c r="S18" s="1"/>
      <c r="T18" s="1"/>
      <c r="U18" s="1"/>
      <c r="V18" s="1"/>
      <c r="W18" s="1"/>
      <c r="X18" s="1"/>
      <c r="Y18" s="1"/>
      <c r="Z18" s="1"/>
    </row>
    <row r="19" spans="1:26" ht="66.599999999999994" customHeight="1">
      <c r="A19" s="1"/>
      <c r="B19" s="39"/>
      <c r="C19" s="215" t="s">
        <v>98</v>
      </c>
      <c r="D19" s="95"/>
      <c r="E19" s="122" t="s">
        <v>160</v>
      </c>
      <c r="F19" s="225"/>
      <c r="G19" s="225"/>
      <c r="H19" s="225"/>
      <c r="I19" s="226"/>
      <c r="J19" s="1"/>
      <c r="K19" s="1"/>
      <c r="L19" s="1"/>
      <c r="M19" s="1"/>
      <c r="N19" s="1"/>
      <c r="O19" s="1"/>
      <c r="P19" s="1"/>
      <c r="Q19" s="1"/>
      <c r="R19" s="1"/>
      <c r="S19" s="1"/>
      <c r="T19" s="1"/>
      <c r="U19" s="1"/>
      <c r="V19" s="1"/>
      <c r="W19" s="1"/>
      <c r="X19" s="1"/>
      <c r="Y19" s="1"/>
      <c r="Z19" s="1"/>
    </row>
    <row r="20" spans="1:26" ht="188.4" customHeight="1">
      <c r="A20" s="1"/>
      <c r="B20" s="40"/>
      <c r="C20" s="217" t="s">
        <v>99</v>
      </c>
      <c r="D20" s="99"/>
      <c r="E20" s="230" t="s">
        <v>161</v>
      </c>
      <c r="F20" s="231"/>
      <c r="G20" s="231"/>
      <c r="H20" s="231"/>
      <c r="I20" s="232"/>
      <c r="J20" s="1"/>
      <c r="K20" s="1"/>
      <c r="L20" s="1"/>
      <c r="M20" s="1"/>
      <c r="N20" s="1"/>
      <c r="O20" s="1"/>
      <c r="P20" s="1"/>
      <c r="Q20" s="1"/>
      <c r="R20" s="1"/>
      <c r="S20" s="1"/>
      <c r="T20" s="1"/>
      <c r="U20" s="1"/>
      <c r="V20" s="1"/>
      <c r="W20" s="1"/>
      <c r="X20" s="1"/>
      <c r="Y20" s="1"/>
      <c r="Z20" s="1"/>
    </row>
    <row r="21" spans="1:26" ht="115.2" customHeight="1">
      <c r="A21" s="1"/>
      <c r="B21" s="218" t="s">
        <v>100</v>
      </c>
      <c r="C21" s="219"/>
      <c r="D21" s="220"/>
      <c r="E21" s="233" t="s">
        <v>170</v>
      </c>
      <c r="F21" s="121"/>
      <c r="G21" s="121"/>
      <c r="H21" s="121"/>
      <c r="I21" s="234"/>
      <c r="J21" s="1"/>
      <c r="K21" s="1"/>
      <c r="L21" s="1"/>
      <c r="M21" s="1"/>
      <c r="N21" s="1"/>
      <c r="O21" s="1"/>
      <c r="P21" s="1"/>
      <c r="Q21" s="1"/>
      <c r="R21" s="1"/>
      <c r="S21" s="1"/>
      <c r="T21" s="1"/>
      <c r="U21" s="1"/>
      <c r="V21" s="1"/>
      <c r="W21" s="1"/>
      <c r="X21" s="1"/>
      <c r="Y21" s="1"/>
      <c r="Z21" s="1"/>
    </row>
    <row r="22" spans="1:26" ht="107.4" customHeight="1">
      <c r="A22" s="1"/>
      <c r="B22" s="221" t="s">
        <v>101</v>
      </c>
      <c r="C22" s="119"/>
      <c r="D22" s="120"/>
      <c r="E22" s="227" t="s">
        <v>174</v>
      </c>
      <c r="F22" s="228"/>
      <c r="G22" s="228"/>
      <c r="H22" s="228"/>
      <c r="I22" s="229"/>
      <c r="J22" s="1"/>
      <c r="K22" s="1"/>
      <c r="L22" s="1"/>
      <c r="M22" s="1"/>
      <c r="N22" s="1"/>
      <c r="O22" s="1"/>
      <c r="P22" s="1"/>
      <c r="Q22" s="1"/>
      <c r="R22" s="1"/>
      <c r="S22" s="1"/>
      <c r="T22" s="1"/>
      <c r="U22" s="1"/>
      <c r="V22" s="1"/>
      <c r="W22" s="1"/>
      <c r="X22" s="1"/>
      <c r="Y22" s="1"/>
      <c r="Z22" s="1"/>
    </row>
    <row r="23" spans="1:26" ht="22.5" customHeight="1">
      <c r="A23" s="1"/>
      <c r="B23" s="31"/>
      <c r="C23" s="31"/>
      <c r="D23" s="31"/>
      <c r="E23" s="31"/>
      <c r="F23" s="31"/>
      <c r="G23" s="31"/>
      <c r="H23" s="31"/>
      <c r="I23" s="31"/>
      <c r="J23" s="1"/>
      <c r="K23" s="1"/>
      <c r="L23" s="1"/>
      <c r="M23" s="1"/>
      <c r="N23" s="1"/>
      <c r="O23" s="1"/>
      <c r="P23" s="1"/>
      <c r="Q23" s="1"/>
      <c r="R23" s="1"/>
      <c r="S23" s="1"/>
      <c r="T23" s="1"/>
      <c r="U23" s="1"/>
      <c r="V23" s="1"/>
      <c r="W23" s="1"/>
      <c r="X23" s="1"/>
      <c r="Y23" s="1"/>
      <c r="Z23" s="1"/>
    </row>
    <row r="24" spans="1:26" ht="22.5" customHeight="1">
      <c r="A24" s="1"/>
      <c r="B24" s="31"/>
      <c r="C24" s="31"/>
      <c r="D24" s="31"/>
      <c r="E24" s="31"/>
      <c r="F24" s="31"/>
      <c r="G24" s="31"/>
      <c r="H24" s="31"/>
      <c r="I24" s="31"/>
      <c r="J24" s="1"/>
      <c r="K24" s="1"/>
      <c r="L24" s="1"/>
      <c r="M24" s="1"/>
      <c r="N24" s="1"/>
      <c r="O24" s="1"/>
      <c r="P24" s="1"/>
      <c r="Q24" s="1"/>
      <c r="R24" s="1"/>
      <c r="S24" s="1"/>
      <c r="T24" s="1"/>
      <c r="U24" s="1"/>
      <c r="V24" s="1"/>
      <c r="W24" s="1"/>
      <c r="X24" s="1"/>
      <c r="Y24" s="1"/>
      <c r="Z24" s="1"/>
    </row>
    <row r="25" spans="1:26" ht="22.5" customHeight="1">
      <c r="A25" s="1"/>
      <c r="B25" s="31"/>
      <c r="C25" s="31"/>
      <c r="D25" s="31"/>
      <c r="E25" s="31"/>
      <c r="F25" s="31"/>
      <c r="G25" s="31"/>
      <c r="H25" s="31"/>
      <c r="I25" s="31"/>
      <c r="J25" s="1"/>
      <c r="K25" s="1"/>
      <c r="L25" s="1"/>
      <c r="M25" s="1"/>
      <c r="N25" s="1"/>
      <c r="O25" s="1"/>
      <c r="P25" s="1"/>
      <c r="Q25" s="1"/>
      <c r="R25" s="1"/>
      <c r="S25" s="1"/>
      <c r="T25" s="1"/>
      <c r="U25" s="1"/>
      <c r="V25" s="1"/>
      <c r="W25" s="1"/>
      <c r="X25" s="1"/>
      <c r="Y25" s="1"/>
      <c r="Z25" s="1"/>
    </row>
    <row r="26" spans="1:26" ht="22.5" customHeight="1">
      <c r="A26" s="1"/>
      <c r="B26" s="31"/>
      <c r="C26" s="31"/>
      <c r="D26" s="31"/>
      <c r="E26" s="31"/>
      <c r="F26" s="31"/>
      <c r="G26" s="31"/>
      <c r="H26" s="31"/>
      <c r="I26" s="31"/>
      <c r="J26" s="1"/>
      <c r="K26" s="1"/>
      <c r="L26" s="1"/>
      <c r="M26" s="1"/>
      <c r="N26" s="1"/>
      <c r="O26" s="1"/>
      <c r="P26" s="1"/>
      <c r="Q26" s="1"/>
      <c r="R26" s="1"/>
      <c r="S26" s="1"/>
      <c r="T26" s="1"/>
      <c r="U26" s="1"/>
      <c r="V26" s="1"/>
      <c r="W26" s="1"/>
      <c r="X26" s="1"/>
      <c r="Y26" s="1"/>
      <c r="Z26" s="1"/>
    </row>
    <row r="27" spans="1:26" ht="22.5" customHeight="1">
      <c r="A27" s="1"/>
      <c r="B27" s="31"/>
      <c r="C27" s="31"/>
      <c r="D27" s="31"/>
      <c r="E27" s="31"/>
      <c r="F27" s="31"/>
      <c r="G27" s="31"/>
      <c r="H27" s="31"/>
      <c r="I27" s="31"/>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 ref="E14:I14"/>
    <mergeCell ref="A3:I3"/>
    <mergeCell ref="B6:H6"/>
    <mergeCell ref="B11:D11"/>
    <mergeCell ref="E11:I11"/>
    <mergeCell ref="C13:D13"/>
    <mergeCell ref="E13:I13"/>
    <mergeCell ref="C14:D14"/>
  </mergeCells>
  <phoneticPr fontId="9"/>
  <printOptions horizontalCentered="1"/>
  <pageMargins left="0.78740157480314965" right="0.78740157480314965" top="0.78740157480314965" bottom="0.59055118110236227" header="0" footer="0"/>
  <pageSetup paperSize="9" scale="62"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tanaka</cp:lastModifiedBy>
  <cp:lastPrinted>2023-06-27T01:04:23Z</cp:lastPrinted>
  <dcterms:created xsi:type="dcterms:W3CDTF">2011-06-14T05:32:50Z</dcterms:created>
  <dcterms:modified xsi:type="dcterms:W3CDTF">2023-06-27T01:05:37Z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