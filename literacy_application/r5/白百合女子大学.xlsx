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ileserver\share\01_事務局長室\非公開\見留\数理データサイエンスAI教育プログラム認定制度\申請用資料\"/>
    </mc:Choice>
  </mc:AlternateContent>
  <bookViews>
    <workbookView xWindow="-105" yWindow="-105" windowWidth="19425" windowHeight="10305" tabRatio="885"/>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Titles" localSheetId="3">'様式４　自己点検・評価'!$11:$11</definedName>
  </definedNames>
  <calcPr calcId="162913"/>
</workbook>
</file>

<file path=xl/calcChain.xml><?xml version="1.0" encoding="utf-8"?>
<calcChain xmlns="http://schemas.openxmlformats.org/spreadsheetml/2006/main">
  <c r="AM2" i="40" l="1"/>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12" i="40"/>
  <c r="L12"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G32" i="40"/>
  <c r="H32" i="40"/>
  <c r="AP13" i="40"/>
  <c r="AP14" i="40"/>
  <c r="AP15" i="40"/>
  <c r="AP16" i="40"/>
  <c r="AP17" i="40"/>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AP12" i="40"/>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<sst xmlns="http://schemas.openxmlformats.org/spreadsheetml/2006/main" count="299" uniqueCount="170">
  <si>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</si>
  <si>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</si>
  <si>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</si>
  <si>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</si>
  <si>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</si>
  <si>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</si>
  <si>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</si>
  <si>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</si>
  <si>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</si>
  <si>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</si>
  <si>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</si>
  <si>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</si>
  <si>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</si>
  <si>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</si>
  <si>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</si>
  <si>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</si>
  <si>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</si>
  <si>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</si>
  <si>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</si>
  <si>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</si>
  <si>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</si>
  <si>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</si>
  <si>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</si>
  <si>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</si>
  <si>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</si>
  <si>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</si>
  <si>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</si>
  <si>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</si>
  <si>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</si>
  <si>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</si>
  <si>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</si>
  <si>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</si>
  <si>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</si>
  <si>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</si>
  <si>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</si>
  <si>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</si>
  <si>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</si>
  <si>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</si>
  <si>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</si>
  <si>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</si>
  <si>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</si>
  <si>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</si>
  <si>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</si>
  <si>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</si>
  <si>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</si>
  <si>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</si>
  <si>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</si>
  <si>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</si>
  <si>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</si>
  <si>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</si>
  <si>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</si>
  <si>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</si>
  <si>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</si>
  <si>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</si>
  <si>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</si>
  <si>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</si>
  <si>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</si>
  <si>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</si>
  <si>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</si>
  <si>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</si>
  <si>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</si>
  <si>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</si>
  <si>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</si>
  <si>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</si>
  <si>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</si>
  <si>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</si>
  <si>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</si>
  <si>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</si>
  <si>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</si>
  <si>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</si>
  <si>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</si>
  <si>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</si>
  <si>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</si>
  <si>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</si>
  <si>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</si>
  <si>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</si>
  <si>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</si>
  <si>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</si>
  <si>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</si>
  <si>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</si>
  <si>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</si>
  <si>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</si>
  <si>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</si>
  <si>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</si>
  <si>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</si>
  <si>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</si>
  <si>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</si>
  <si>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</si>
  <si>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</si>
  <si>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</si>
  <si>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</si>
  <si>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</si>
  <si>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</si>
  <si>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</si>
  <si>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</si>
  <si>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</si>
  <si>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</si>
  <si>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</si>
  <si>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</si>
  <si>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</si>
  <si>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</si>
  <si>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</si>
  <si>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</si>
  <si>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</si>
  <si>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</si>
  <si>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</si>
  <si>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</si>
  <si>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</si>
  <si>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</si>
  <si>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</si>
  <si>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</si>
  <si>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</si>
  <si>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</si>
  <si>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</si>
  <si>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</si>
  <si>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</si>
  <si>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</si>
  <si>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</si>
  <si>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</si>
  <si>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</si>
  <si>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</si>
  <si>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</si>
  <si>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</si>
  <si>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</si>
  <si>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</si>
  <si>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</si>
  <si>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</si>
  <si>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白百合女子大学</t>
    <rPh sb="0" eb="7">
      <t>シラユリジョシダイガク</t>
    </rPh>
    <phoneticPr fontId="1"/>
  </si>
  <si>
    <t>白百合女子大学データサイエンス教育運営会議</t>
    <phoneticPr fontId="1"/>
  </si>
  <si>
    <t>海老根龍介</t>
    <rPh sb="0" eb="5">
      <t>エビネリュウスケ</t>
    </rPh>
    <phoneticPr fontId="1"/>
  </si>
  <si>
    <t>教学担当副学長</t>
    <rPh sb="0" eb="7">
      <t>キョウガクタントウフクガクチョウ</t>
    </rPh>
    <phoneticPr fontId="1"/>
  </si>
  <si>
    <t>白百合女子大学データサイエンス教育運営会議規程</t>
    <phoneticPr fontId="1"/>
  </si>
  <si>
    <t>白百合女子大学データサイエンス教育運営会議自己点検・評価部会</t>
    <rPh sb="21" eb="25">
      <t>ジコテンケン</t>
    </rPh>
    <rPh sb="26" eb="30">
      <t>ヒョウカブカイ</t>
    </rPh>
    <phoneticPr fontId="1"/>
  </si>
  <si>
    <t>委員長：教学担当副学長（文学部フランス語フランス文学科教授）　海老根龍介
委員： 文学部長（文学部国語国文学科教授）　猪狩友一
委員： 人間総合学部長（人間総合学部発達心理学科教授）　鈴木忠
委員： 全学教養教育連絡会議主事（基礎教育センター教授）  佐々木裕子
委員： 基礎教育センター准教授　匂坂智子
委員： 基礎教育センター講師　山梨有希子 
委員： 教務部　部長　川井扶佐子
委員： 入試広報部入試広報課　課長　遠藤歩美
委員： 学生支援部キャリア支援課　課長　横田悦二郎</t>
    <rPh sb="0" eb="3">
      <t>イインチョウ</t>
    </rPh>
    <rPh sb="4" eb="11">
      <t>キョウガクタントウフクガクチョウ</t>
    </rPh>
    <rPh sb="12" eb="15">
      <t>ブンガクブ</t>
    </rPh>
    <rPh sb="19" eb="20">
      <t>ゴ</t>
    </rPh>
    <rPh sb="24" eb="27">
      <t>ブンガッカ</t>
    </rPh>
    <rPh sb="27" eb="29">
      <t>キョウジュ</t>
    </rPh>
    <rPh sb="31" eb="36">
      <t>エビネリュウスケ</t>
    </rPh>
    <rPh sb="37" eb="39">
      <t>イイン</t>
    </rPh>
    <rPh sb="41" eb="45">
      <t>ブンガクブチョウ</t>
    </rPh>
    <rPh sb="46" eb="49">
      <t>ブンガクブ</t>
    </rPh>
    <rPh sb="49" eb="57">
      <t>コクゴコクブンガッカキョウジュ</t>
    </rPh>
    <rPh sb="59" eb="61">
      <t>イカリ</t>
    </rPh>
    <rPh sb="61" eb="63">
      <t>トモイチ</t>
    </rPh>
    <rPh sb="64" eb="66">
      <t>イイン</t>
    </rPh>
    <rPh sb="68" eb="75">
      <t>ニンゲンソウゴウガクブチョウ</t>
    </rPh>
    <rPh sb="76" eb="82">
      <t>ニンゲンソウゴウガクブ</t>
    </rPh>
    <rPh sb="82" eb="88">
      <t>ハッタツシンリガッカ</t>
    </rPh>
    <rPh sb="88" eb="90">
      <t>キョウジュ</t>
    </rPh>
    <rPh sb="92" eb="94">
      <t>スズキ</t>
    </rPh>
    <rPh sb="94" eb="95">
      <t>タダシ</t>
    </rPh>
    <rPh sb="96" eb="98">
      <t>イイン</t>
    </rPh>
    <rPh sb="100" eb="106">
      <t>ゼンガクキョウヨウキョウイク</t>
    </rPh>
    <rPh sb="106" eb="112">
      <t>レンラクカイギシュジ</t>
    </rPh>
    <rPh sb="113" eb="117">
      <t>キソキョウイク</t>
    </rPh>
    <rPh sb="121" eb="123">
      <t>キョウジュ</t>
    </rPh>
    <rPh sb="144" eb="147">
      <t>ジュンキョウジュ</t>
    </rPh>
    <rPh sb="148" eb="150">
      <t>サキサカ</t>
    </rPh>
    <rPh sb="150" eb="152">
      <t>トモコ</t>
    </rPh>
    <rPh sb="153" eb="155">
      <t>イイン</t>
    </rPh>
    <rPh sb="157" eb="161">
      <t>キソキョウイク</t>
    </rPh>
    <rPh sb="165" eb="167">
      <t>コウシ</t>
    </rPh>
    <rPh sb="168" eb="170">
      <t>ヤマナシ</t>
    </rPh>
    <rPh sb="175" eb="177">
      <t>イイン</t>
    </rPh>
    <rPh sb="186" eb="188">
      <t>カワイ</t>
    </rPh>
    <rPh sb="188" eb="191">
      <t>フサコ</t>
    </rPh>
    <rPh sb="192" eb="194">
      <t>イイン</t>
    </rPh>
    <rPh sb="207" eb="209">
      <t>カチョウ</t>
    </rPh>
    <rPh sb="210" eb="212">
      <t>エンドウ</t>
    </rPh>
    <rPh sb="212" eb="213">
      <t>アユ</t>
    </rPh>
    <rPh sb="213" eb="214">
      <t>ウツク</t>
    </rPh>
    <rPh sb="215" eb="217">
      <t>イイン</t>
    </rPh>
    <rPh sb="219" eb="224">
      <t>ガクセイシエンブ</t>
    </rPh>
    <rPh sb="235" eb="237">
      <t>ヨコタ</t>
    </rPh>
    <rPh sb="237" eb="240">
      <t>エツジロウ</t>
    </rPh>
    <phoneticPr fontId="1"/>
  </si>
  <si>
    <t>白百合 数理・データサイエンス・AI 教育プログラム</t>
    <phoneticPr fontId="1"/>
  </si>
  <si>
    <t>令和4</t>
    <rPh sb="0" eb="2">
      <t>レイワ</t>
    </rPh>
    <phoneticPr fontId="1"/>
  </si>
  <si>
    <t>文学部</t>
    <rPh sb="0" eb="3">
      <t>ブンガクブ</t>
    </rPh>
    <phoneticPr fontId="1"/>
  </si>
  <si>
    <t>人間総合学部</t>
    <rPh sb="0" eb="2">
      <t>ニンゲン</t>
    </rPh>
    <rPh sb="2" eb="4">
      <t>ソウゴウ</t>
    </rPh>
    <rPh sb="4" eb="6">
      <t>ガクブ</t>
    </rPh>
    <phoneticPr fontId="1"/>
  </si>
  <si>
    <t>学部・学科によって、修了要件は相違しない</t>
  </si>
  <si>
    <t>「はじめてのデータサイエンス」 2単位を取得すること。</t>
    <rPh sb="17" eb="19">
      <t>タンイ</t>
    </rPh>
    <rPh sb="20" eb="22">
      <t>シュトク</t>
    </rPh>
    <phoneticPr fontId="1"/>
  </si>
  <si>
    <t>はじめてのデータサイエンス</t>
  </si>
  <si>
    <t>はじめてのデータサイエンス</t>
    <phoneticPr fontId="1"/>
  </si>
  <si>
    <t>○</t>
  </si>
  <si>
    <t>1．AIについての正しい知識を持ち、社会における変化を柔軟に受け入れることができるようになる。
2．基礎的な統計知識を身につけ、「データを正しく読む力」と「データを正確に伝える力」を身につけることができる。
3．データ・AIを活用するうえで求められるモラルや倫理について理解し、個人のデータを守るうえで注意すべきことを理解できるようになる。</t>
    <phoneticPr fontId="1"/>
  </si>
  <si>
    <t>2022 年度前期は希望者が 119 名で登録者は34名、後期は希望者が 82 名で登録者は 29 名であった。これは履修上限人数を設定したためであるが、2023 年度からは前後期ともにクラス数を増やし、2024 年度は必修化を予定しているので、すべての学生が履修できる体制を整える過程と捉えられる。修了率は2022 年度前期で80%、後期で72.4%である。選択科目として開講し内容を十分に修得した者を合格させる方針をとったため、修了者の質の担保がしっかりとされたが、必修化を見据え誰もが一定のレベルに達するためのサポート体制、再履修制度の設計など、課題の解決を今後期待したい。</t>
    <phoneticPr fontId="1"/>
  </si>
  <si>
    <t>ICT を用いたオンデマンド形式で授業を実施した。教員は毎週月曜日に教材を配信し、学生は「実習課題」を翌週までに提出する。TA の補助を得ながら、課題のチェックと評価を行い、締め切り２日後以内に学生へフィードバックしている。また動画視聴後の「確認テスト」を、期日までに合格点に達するまで繰り返すドリル式も取り入れるなど、履修
者の成果把握を確実に行うことができている。各回において課される実習課題(70%)と応用課題ならびに期末テスト(30%)の合計が６割以上であることをもって、単位認定の条件としている。</t>
    <phoneticPr fontId="1"/>
  </si>
  <si>
    <t>授業全回数終了後にアンケートを実施して把握に努めている。2022 年度前期については、修了者 27 名のうち、22 名から回答があり、回収率は 81％であった。回収率をさらに高める工夫は必要であろう。回答者の内「そう思う」「どちらかといえばそう思う」のいずれかと答えた割合が、「授業に真剣に取り組んだか」で 95.5%、「質問したり調べたりして不明点を解決したか」で 77.3％、「到達目標を達成できたか」で 72.3％、「授業内容が適切だったか」で 86.4％であった。学生が意欲をもって取り組み、授業内容にも納得していることが分かる一方、サポート体制等はさらに強化の方策を検討する必要があろう。</t>
    <phoneticPr fontId="1"/>
  </si>
  <si>
    <t>授業全回数終了後にアンケートを実施して把握に努めている。2022 年度前期は、「履修したことが今後の大学の学習活動に活きる」という項目には、「そう思う」「どちらかといえばそう思う」を合わせて回答者の 100％が肯定的に答えた。また「この講義を受けて良かった」に対しては回答者の 81.8%が、「他の学生にもすすめたい」に対しては72.8%が、「そう思う」「どちらかといえばそう思う」のいずれかと答えた。役に立つという実感をすべての回答者が得ていながら、他の学生への推奨度が 7 割強にとどまったことについて、充実した内容と負担感のバランスなどいくつかの可能性が考えられ、今後の検証が求められる。</t>
    <phoneticPr fontId="1"/>
  </si>
  <si>
    <t>授業ではリテラシーレベルのモデルカリキュラムに沿って、AI が使われている身近な例を多数紹介し、AI の社会実装が進んでいることを紹介している。単に事例を紹介するだけでなく、実際に人工知能を体験する（人工知能に「学習させる」）シュミレーションプログラムを動かしてもらいながら、AI の仕組みや原理について楽しみながら理解を深めても
らう工夫をしている。AI の仕掛けを知ることで、AI が万能ではないこと、AI の限界や負の側面、人間との違いを理解させ、将来どのようにデータサイエンスや AI と関わっていくか意識させている。</t>
    <phoneticPr fontId="1"/>
  </si>
  <si>
    <t>授業では各回のはじめに何を学ぶのかについての到達目標と主要なキーワードを必ず提示する。文系向けの授業であるため、高度な数学的知識や数式など多用せず、図やグラフなどを用いて視覚的にも理解できるように工夫している。イメージしにくい用語や新しい概念は、シュミレーションプログラムを動かしながら理解してもらえるようにしている。
「講義」のあとは「実習」やドリル教材で定着を図っている。今後は授業アンケートを参考に、分かりやすさの点から授業内容の改善を行うこととしている。</t>
    <phoneticPr fontId="1"/>
  </si>
  <si>
    <t>教育プログラム履修者の進路／活躍状況については、2022 年度より設置した教育プログラムであり、今後、本教育プログラム修了者の卒業後の進路調査を実施するとともに、就業後一定年次が経過した時点で活躍状況を確認する。また企業等の評価については、これまでも企業に対して行ってきたアンケートに「本学卒業生の情報活用力に係る設問」を新たに設け、実態把握に努める予定である。</t>
    <phoneticPr fontId="1"/>
  </si>
  <si>
    <t>現在まだプログラム修了者が卒業していない状況であるが、産業界および産業界出身者を外部評価委員として委嘱し、定期的に本プログラムについての評価、提言が得られる仕組みを構築する方向で動いている。</t>
    <phoneticPr fontId="1"/>
  </si>
  <si>
    <t>本プログラムを、他の全学プログラムである「グローバルビジネスプログラム」、「ホスピタリティ・マネジメントプログラム」と並ぶ、「キャリアデザインプログラム」と位置づけたうえで、学内外に周知している。2023 年度からクラス数を半期 1 クラスから 2 クラスに増やして、履修率向上にたえる体制を整えながら、2024 年度入学者からの全学必修化に備えることにしている。</t>
    <phoneticPr fontId="1"/>
  </si>
  <si>
    <t>AI・データサイエンスに関する正しい知識を持ち、それを日常や仕事の場で使いこなすための基礎的なリテラシーを習得することを目標とした、「白百合 数理・データサイエンス・AI教育プログラム」に関して、プログラム内容の立案・改善、プログラムの運営・普及、プログラムの自己点検・評価ならびに情報公開を担う組織として、白百合女子大学データサイエンス教育運営会議を設置している。プログラムそのものを立案・改善・運営するほか、会議内に置かれた自己点検・評価部会で自己点検・評価を行う。さらにプログラム構成科目以外の情報科目の運営主体である基礎教育センターと連携し、大学の情報教育全体とプログラムとの関係についても、継続的に検討を重ねている。</t>
    <rPh sb="94" eb="95">
      <t>カン</t>
    </rPh>
    <rPh sb="103" eb="105">
      <t>ナイヨウ</t>
    </rPh>
    <rPh sb="118" eb="120">
      <t>ウンエイ</t>
    </rPh>
    <rPh sb="121" eb="123">
      <t>フキュウ</t>
    </rPh>
    <rPh sb="130" eb="134">
      <t>ジコテンケン</t>
    </rPh>
    <rPh sb="135" eb="137">
      <t>ヒョウカ</t>
    </rPh>
    <rPh sb="141" eb="145">
      <t>ジョウホウコウカイ</t>
    </rPh>
    <rPh sb="146" eb="147">
      <t>ニナ</t>
    </rPh>
    <rPh sb="148" eb="150">
      <t>ソシキ</t>
    </rPh>
    <rPh sb="154" eb="161">
      <t>シラユリジョシダイガク</t>
    </rPh>
    <rPh sb="169" eb="171">
      <t>キョウイク</t>
    </rPh>
    <rPh sb="171" eb="175">
      <t>ウンエイカイギ</t>
    </rPh>
    <rPh sb="176" eb="178">
      <t>セッチ</t>
    </rPh>
    <rPh sb="193" eb="195">
      <t>リツアン</t>
    </rPh>
    <rPh sb="196" eb="198">
      <t>カイゼン</t>
    </rPh>
    <rPh sb="199" eb="201">
      <t>ウンエイ</t>
    </rPh>
    <rPh sb="206" eb="208">
      <t>カイギ</t>
    </rPh>
    <rPh sb="208" eb="209">
      <t>ナイ</t>
    </rPh>
    <rPh sb="210" eb="211">
      <t>オ</t>
    </rPh>
    <rPh sb="214" eb="218">
      <t>ジコテンケン</t>
    </rPh>
    <rPh sb="219" eb="221">
      <t>ヒョウカ</t>
    </rPh>
    <rPh sb="221" eb="223">
      <t>ブカイ</t>
    </rPh>
    <rPh sb="224" eb="228">
      <t>ジコテンケン</t>
    </rPh>
    <rPh sb="229" eb="231">
      <t>ヒョウカ</t>
    </rPh>
    <rPh sb="232" eb="233">
      <t>オコナ</t>
    </rPh>
    <rPh sb="243" eb="249">
      <t>コウセイカモクイガイ</t>
    </rPh>
    <rPh sb="250" eb="254">
      <t>ジョウホウカモク</t>
    </rPh>
    <rPh sb="255" eb="257">
      <t>ウンエイ</t>
    </rPh>
    <rPh sb="257" eb="259">
      <t>シュタイ</t>
    </rPh>
    <rPh sb="262" eb="266">
      <t>キソキョウイク</t>
    </rPh>
    <rPh sb="271" eb="273">
      <t>レンケイ</t>
    </rPh>
    <rPh sb="292" eb="294">
      <t>カンケイ</t>
    </rPh>
    <rPh sb="300" eb="303">
      <t>ケイゾクテキ</t>
    </rPh>
    <rPh sb="304" eb="306">
      <t>ケントウ</t>
    </rPh>
    <rPh sb="307" eb="308">
      <t>カサ</t>
    </rPh>
    <phoneticPr fontId="1"/>
  </si>
  <si>
    <r>
      <t>希望学生が受講しやすいように、前期・後期に授業を開講し、かつ学生が繰り返し学べるようにe-Learningオンデマンド授業として実施している。</t>
    </r>
    <r>
      <rPr>
        <sz val="12"/>
        <rFont val="ＭＳ Ｐゴシック"/>
        <family val="3"/>
        <charset val="128"/>
        <scheme val="minor"/>
      </rPr>
      <t>2022年12月には全学FD・SD研修会において「データサイエンスに関する動向と本学における取り組みについて」をテーマとする講演会を行い、</t>
    </r>
    <r>
      <rPr>
        <sz val="12"/>
        <color theme="1"/>
        <rFont val="ＭＳ Ｐゴシック"/>
        <family val="3"/>
        <charset val="128"/>
        <scheme val="minor"/>
      </rPr>
      <t>全教職員に数理・データサイエンス・AI教育の必要性と重要性の理解を深めてもらう機会をもった。教学担当副学長・両学部長・情報科目担当教員および関連部署（教務課・学生支援部・入試広報部）の事務職員からなる全学的な会議を組織し、学修状況の調査、本プログラムへの提言、学内外にむけた広報等を行っている。</t>
    </r>
    <rPh sb="59" eb="61">
      <t>ジュギョウ</t>
    </rPh>
    <rPh sb="64" eb="66">
      <t>ジッシ</t>
    </rPh>
    <phoneticPr fontId="1"/>
  </si>
  <si>
    <t>入学時オリエンテーションや2年生以上を対象とした新学期の履修オリエンテーションで、プログラム内容についてリーフレットを配布しアナウンスをしている。その効果もあり、定員を上回る受講希望者が出ている。また、全学必修科目である初年次教育科目においても、プログラム内容およびその意義について説明する時間を確保している。学内ポスターを掲示したり、大学ウェブサイトにて「白百合 数理・データサイエンス・AI教育プログラム」の特集ページを設け、学内外に広く周知している。</t>
    <rPh sb="14" eb="16">
      <t>ネンセイ</t>
    </rPh>
    <rPh sb="16" eb="18">
      <t>イジョウ</t>
    </rPh>
    <rPh sb="19" eb="21">
      <t>タイショウ</t>
    </rPh>
    <rPh sb="24" eb="27">
      <t>シンガッキ</t>
    </rPh>
    <rPh sb="28" eb="30">
      <t>リシュウ</t>
    </rPh>
    <rPh sb="155" eb="157">
      <t>ガクナイ</t>
    </rPh>
    <rPh sb="162" eb="164">
      <t>ケイジ</t>
    </rPh>
    <phoneticPr fontId="1"/>
  </si>
  <si>
    <t>時間や場所に縛られず、いつでもどこでも授業を視聴したり、教材を繰り返し閲覧したりできるように授業はe-Learningのオンデマンド方式で実施している。担当者はLMSで履修者の学修状況を管理し、履修者が躓く課題があれば、コースニュースで解説ポイントをタイムリーに配信している。また履修者からは、掲示板やメールなどで質問を随時受け付けている。オンデマンド授業は、いつでも視聴できるという性質上、履修者の主体性の有無が学習進度に大きく影響する。そこで毎週、講義を視聴したあとには、締め切り日を設けた確認テストや実習課題を課し、TAと協力しながら、履修者の取り組み状況や理解状態を確認している。提出された実習課題は、締め切り２日後以内に評価やコメントをフィードバックすることで、履修者の授業に対する意識やモチベーションを維持できるようにしている。</t>
    <rPh sb="0" eb="2">
      <t>ジカン</t>
    </rPh>
    <rPh sb="3" eb="5">
      <t>バショ</t>
    </rPh>
    <rPh sb="6" eb="7">
      <t>シバ</t>
    </rPh>
    <rPh sb="19" eb="21">
      <t>ジュギョウ</t>
    </rPh>
    <rPh sb="22" eb="24">
      <t>シチョウ</t>
    </rPh>
    <rPh sb="28" eb="30">
      <t>キョウザイ</t>
    </rPh>
    <rPh sb="31" eb="32">
      <t>ク</t>
    </rPh>
    <rPh sb="33" eb="34">
      <t>カエ</t>
    </rPh>
    <rPh sb="35" eb="37">
      <t>エツラン</t>
    </rPh>
    <rPh sb="46" eb="48">
      <t>ジュギョウ</t>
    </rPh>
    <rPh sb="69" eb="71">
      <t>ジッシ</t>
    </rPh>
    <rPh sb="76" eb="79">
      <t>タントウシャ</t>
    </rPh>
    <rPh sb="84" eb="87">
      <t>リシュウシャ</t>
    </rPh>
    <rPh sb="88" eb="90">
      <t>ガクシュウ</t>
    </rPh>
    <rPh sb="90" eb="92">
      <t>ジョウキョウ</t>
    </rPh>
    <rPh sb="93" eb="95">
      <t>カンリ</t>
    </rPh>
    <rPh sb="97" eb="100">
      <t>リシュウシャ</t>
    </rPh>
    <rPh sb="101" eb="102">
      <t>ツマヅ</t>
    </rPh>
    <rPh sb="103" eb="105">
      <t>カダイ</t>
    </rPh>
    <rPh sb="118" eb="120">
      <t>カイセツ</t>
    </rPh>
    <rPh sb="131" eb="133">
      <t>ハイシン</t>
    </rPh>
    <rPh sb="140" eb="143">
      <t>リシュウシャ</t>
    </rPh>
    <rPh sb="147" eb="150">
      <t>ケイジバン</t>
    </rPh>
    <rPh sb="157" eb="159">
      <t>シツモン</t>
    </rPh>
    <rPh sb="160" eb="162">
      <t>ズイジ</t>
    </rPh>
    <rPh sb="162" eb="163">
      <t>ウ</t>
    </rPh>
    <rPh sb="164" eb="165">
      <t>ツ</t>
    </rPh>
    <rPh sb="176" eb="178">
      <t>ジュギョウ</t>
    </rPh>
    <rPh sb="184" eb="186">
      <t>シチョウ</t>
    </rPh>
    <rPh sb="192" eb="194">
      <t>セイシツ</t>
    </rPh>
    <rPh sb="194" eb="195">
      <t>ウエ</t>
    </rPh>
    <rPh sb="196" eb="199">
      <t>リシュウシャ</t>
    </rPh>
    <rPh sb="200" eb="203">
      <t>シュタイセイ</t>
    </rPh>
    <rPh sb="204" eb="206">
      <t>ウム</t>
    </rPh>
    <rPh sb="207" eb="209">
      <t>ガクシュウ</t>
    </rPh>
    <rPh sb="209" eb="211">
      <t>シンド</t>
    </rPh>
    <rPh sb="212" eb="213">
      <t>オオ</t>
    </rPh>
    <rPh sb="215" eb="217">
      <t>エイキョウ</t>
    </rPh>
    <rPh sb="223" eb="225">
      <t>マイシュウ</t>
    </rPh>
    <rPh sb="226" eb="228">
      <t>コウギ</t>
    </rPh>
    <rPh sb="229" eb="231">
      <t>シチョウ</t>
    </rPh>
    <rPh sb="238" eb="239">
      <t>シ</t>
    </rPh>
    <rPh sb="240" eb="241">
      <t>キ</t>
    </rPh>
    <rPh sb="242" eb="243">
      <t>ヒ</t>
    </rPh>
    <rPh sb="244" eb="245">
      <t>モウ</t>
    </rPh>
    <rPh sb="247" eb="249">
      <t>カクニン</t>
    </rPh>
    <rPh sb="253" eb="255">
      <t>ジッシュウ</t>
    </rPh>
    <rPh sb="255" eb="257">
      <t>カダイ</t>
    </rPh>
    <rPh sb="258" eb="259">
      <t>カ</t>
    </rPh>
    <rPh sb="264" eb="266">
      <t>キョウリョク</t>
    </rPh>
    <rPh sb="271" eb="274">
      <t>リシュウシャ</t>
    </rPh>
    <rPh sb="275" eb="276">
      <t>ト</t>
    </rPh>
    <rPh sb="277" eb="278">
      <t>ク</t>
    </rPh>
    <rPh sb="279" eb="281">
      <t>ジョウキョウ</t>
    </rPh>
    <rPh sb="282" eb="284">
      <t>リカイ</t>
    </rPh>
    <rPh sb="284" eb="286">
      <t>ジョウタイ</t>
    </rPh>
    <rPh sb="287" eb="289">
      <t>カクニン</t>
    </rPh>
    <rPh sb="294" eb="296">
      <t>テイシュツ</t>
    </rPh>
    <rPh sb="299" eb="301">
      <t>ジッシュウ</t>
    </rPh>
    <rPh sb="336" eb="339">
      <t>リシュウシャ</t>
    </rPh>
    <rPh sb="346" eb="348">
      <t>イシキ</t>
    </rPh>
    <phoneticPr fontId="1"/>
  </si>
  <si>
    <t>履修者からの質問についてはメールやZoom、LMSの掲示板機能で受付けている。またオフィスアワー制度もあり、対面で担当者が各種質問について対応できる体制が整っている。</t>
    <rPh sb="26" eb="29">
      <t>ケイジバン</t>
    </rPh>
    <rPh sb="29" eb="31">
      <t>キノウ</t>
    </rPh>
    <rPh sb="32" eb="34">
      <t>ウケツ</t>
    </rPh>
    <rPh sb="48" eb="50">
      <t>セイド</t>
    </rPh>
    <rPh sb="54" eb="56">
      <t>タイメン</t>
    </rPh>
    <rPh sb="61" eb="65">
      <t>カクシュシツモン</t>
    </rPh>
    <rPh sb="69" eb="71">
      <t>タイオウ</t>
    </rPh>
    <rPh sb="74" eb="76">
      <t>タイセイ</t>
    </rPh>
    <rPh sb="77" eb="78">
      <t>トトノ</t>
    </rPh>
    <phoneticPr fontId="1"/>
  </si>
  <si>
    <t>データを扱う
 ・表計算ソフトの操作確認 (１回～3回実習)
　 （数式と関数による集計表、グラフ作成、並び替え）
 ・データの集計（ピポットテーブル、分析ツールの使用）    (10～13回目実習)</t>
    <rPh sb="4" eb="5">
      <t>アツカ</t>
    </rPh>
    <rPh sb="9" eb="12">
      <t>ヒョウケイサン</t>
    </rPh>
    <rPh sb="16" eb="18">
      <t>ソウサ</t>
    </rPh>
    <rPh sb="18" eb="20">
      <t>カクニン</t>
    </rPh>
    <rPh sb="34" eb="36">
      <t>スウシキ</t>
    </rPh>
    <rPh sb="37" eb="39">
      <t>カンスウ</t>
    </rPh>
    <rPh sb="42" eb="45">
      <t>シュウケイヒョウ</t>
    </rPh>
    <rPh sb="49" eb="51">
      <t>サクセイ</t>
    </rPh>
    <rPh sb="52" eb="53">
      <t>ナラ</t>
    </rPh>
    <rPh sb="54" eb="55">
      <t>カ</t>
    </rPh>
    <rPh sb="64" eb="66">
      <t>シュウケイ</t>
    </rPh>
    <rPh sb="76" eb="78">
      <t>ブンセキ</t>
    </rPh>
    <rPh sb="82" eb="84">
      <t>シヨウ</t>
    </rPh>
    <phoneticPr fontId="1"/>
  </si>
  <si>
    <t>データを説明する     
 ・データ表現（グラフの作成）                                      (3回目実習)
 ・データの図表表現（チャート化）　適切な可視化の選択  (3回目実習)
 ・データの散らばり、データとデータの間にどのような関係があるのか
  可視化や数値化して特徴をとらえる                          (5回～8目実習)
 ・様々なデータの関係を仮説をたてて分析・考察し、レポートにまとめる方法 (9回目実習)
 ・応用課題：大規模データの分析レポート作成   (9回,14回目実習)</t>
    <phoneticPr fontId="1"/>
  </si>
  <si>
    <t>AIの最新動向について知る
　　（「はじめてのデータサイエンス」 2回目, 8回目講義）
 ・AIの最新動向と様々なサービス事例（商品レコメンデーション、シェアリングエコノミーなど)
　新しいサービスの提供、AIやIoT機器、ロボットを活用する生産現場
 ・AIの最新技術：　深層学習、敵対的生成ネットワーク、ディープフェイクなど</t>
    <rPh sb="3" eb="5">
      <t>サイシン</t>
    </rPh>
    <rPh sb="5" eb="7">
      <t>ドウコウ</t>
    </rPh>
    <rPh sb="11" eb="12">
      <t>シ</t>
    </rPh>
    <rPh sb="50" eb="52">
      <t>サイシン</t>
    </rPh>
    <rPh sb="52" eb="54">
      <t>ドウコウ</t>
    </rPh>
    <rPh sb="55" eb="57">
      <t>サマザマ</t>
    </rPh>
    <rPh sb="62" eb="64">
      <t>ジレイ</t>
    </rPh>
    <rPh sb="65" eb="67">
      <t>ショウヒン</t>
    </rPh>
    <rPh sb="93" eb="94">
      <t>アタラ</t>
    </rPh>
    <rPh sb="101" eb="103">
      <t>テイキョウ</t>
    </rPh>
    <rPh sb="110" eb="112">
      <t>キキ</t>
    </rPh>
    <rPh sb="118" eb="120">
      <t>カツヨウ</t>
    </rPh>
    <rPh sb="122" eb="124">
      <t>セイサン</t>
    </rPh>
    <rPh sb="124" eb="126">
      <t>ゲンバ</t>
    </rPh>
    <rPh sb="132" eb="134">
      <t>サイシン</t>
    </rPh>
    <rPh sb="134" eb="136">
      <t>ギジュツ</t>
    </rPh>
    <rPh sb="140" eb="142">
      <t>ガクシュウ</t>
    </rPh>
    <phoneticPr fontId="1"/>
  </si>
  <si>
    <t>データに基づく社会の変化について知る  
　　（「はじめてのデータサイエンス」 1回目,2回目講義）　
 ・ビッグデータ、AI、IoT(Internet of Things)、ロボット
 ・データ駆動型社会、第4次産業革命、Society5.0、AI時代に求められる人材
 ・複数技術を組み合わせたAIサービスの事例</t>
    <rPh sb="4" eb="5">
      <t>モト</t>
    </rPh>
    <rPh sb="7" eb="9">
      <t>シャカイ</t>
    </rPh>
    <rPh sb="10" eb="12">
      <t>ヘンカ</t>
    </rPh>
    <rPh sb="16" eb="17">
      <t>シ</t>
    </rPh>
    <rPh sb="125" eb="127">
      <t>ジダイ</t>
    </rPh>
    <rPh sb="128" eb="129">
      <t>モト</t>
    </rPh>
    <rPh sb="133" eb="135">
      <t>ジンザイ</t>
    </rPh>
    <rPh sb="138" eb="140">
      <t>フクスウ</t>
    </rPh>
    <rPh sb="140" eb="142">
      <t>ギジュツ</t>
    </rPh>
    <rPh sb="143" eb="144">
      <t>ク</t>
    </rPh>
    <rPh sb="145" eb="146">
      <t>ア</t>
    </rPh>
    <rPh sb="156" eb="158">
      <t>ジレイ</t>
    </rPh>
    <phoneticPr fontId="1"/>
  </si>
  <si>
    <t>データがどのように集められ活用されているのかについて知る
　　（「はじめてのデータサイエンス」 3回目講義）
 ・データの種類（調査データ、実験データ、行動ログ、機械ログデータ）
 ・1次データ、2次データ、3次データ
 ・オープンデータ
 ・構造化データと非構造化データ、データのメタ化、アノテーション</t>
    <rPh sb="9" eb="10">
      <t>アツ</t>
    </rPh>
    <rPh sb="13" eb="15">
      <t>カツヨウ</t>
    </rPh>
    <rPh sb="26" eb="27">
      <t>シ</t>
    </rPh>
    <rPh sb="61" eb="63">
      <t>シュルイ</t>
    </rPh>
    <rPh sb="105" eb="106">
      <t>ツギ</t>
    </rPh>
    <rPh sb="143" eb="144">
      <t>カ</t>
    </rPh>
    <phoneticPr fontId="1"/>
  </si>
  <si>
    <t>さまざまな領域でデータ・AIが活用されていることを知る
　　（「はじめてのデータサイエンス」4回目講義）
 ・エンターテイメント、生産、小売販売、医療、研究開発、文化活動
　（仮説検証、知識発見、原因究明、計画策定、判断支援、
　消費動向の把握、IoT機器やロボットによる自動化、新規生成）
 ・ AIで変わる私たちの暮らし（農業、防災、環境、まちづくり）</t>
    <rPh sb="65" eb="67">
      <t>セイサン</t>
    </rPh>
    <rPh sb="68" eb="70">
      <t>コウ</t>
    </rPh>
    <rPh sb="70" eb="72">
      <t>ハンバイ</t>
    </rPh>
    <rPh sb="73" eb="75">
      <t>イリョウ</t>
    </rPh>
    <rPh sb="76" eb="78">
      <t>ケンキュウ</t>
    </rPh>
    <rPh sb="78" eb="80">
      <t>カイハツ</t>
    </rPh>
    <rPh sb="81" eb="83">
      <t>ブンカ</t>
    </rPh>
    <rPh sb="83" eb="85">
      <t>カツドウ</t>
    </rPh>
    <rPh sb="115" eb="117">
      <t>ショウヒ</t>
    </rPh>
    <rPh sb="117" eb="119">
      <t>ドウコウ</t>
    </rPh>
    <rPh sb="120" eb="122">
      <t>ハアク</t>
    </rPh>
    <rPh sb="126" eb="128">
      <t>キキ</t>
    </rPh>
    <rPh sb="136" eb="139">
      <t>ジドウカ</t>
    </rPh>
    <phoneticPr fontId="1"/>
  </si>
  <si>
    <t>データ・AIを活用するための技術の概要について知る
　　（「はじめてのデータサイエンス」5回～8回目講義）
 ・データ解析とデータ解析の手法（機械学習：教師あり学習、教師なし学習）
 ・ニューラルネットワークと深層学習
 ・データの可視化手法（グラフ、多次元、関係性、地図上の可視化など）
 ・言語や画像、音声処理について知る
 ・AIで出来ることと出来ないことを理解する：特化型AI、汎用AI
 ・実習：AIのシミュレーションプログラムを体験してみよう</t>
    <rPh sb="17" eb="19">
      <t>ガイヨウ</t>
    </rPh>
    <rPh sb="23" eb="24">
      <t>シ</t>
    </rPh>
    <rPh sb="71" eb="73">
      <t>キカイ</t>
    </rPh>
    <rPh sb="73" eb="75">
      <t>ガクシュウ</t>
    </rPh>
    <rPh sb="76" eb="78">
      <t>キョウシ</t>
    </rPh>
    <rPh sb="80" eb="82">
      <t>ガクシュウ</t>
    </rPh>
    <rPh sb="83" eb="85">
      <t>キョウシ</t>
    </rPh>
    <rPh sb="87" eb="89">
      <t>ガクシュウ</t>
    </rPh>
    <rPh sb="116" eb="119">
      <t>カシカ</t>
    </rPh>
    <rPh sb="126" eb="129">
      <t>タジゲン</t>
    </rPh>
    <rPh sb="130" eb="133">
      <t>カンケイセイ</t>
    </rPh>
    <rPh sb="134" eb="136">
      <t>チズ</t>
    </rPh>
    <rPh sb="136" eb="137">
      <t>ウエ</t>
    </rPh>
    <rPh sb="138" eb="141">
      <t>カシカ</t>
    </rPh>
    <rPh sb="201" eb="203">
      <t>ジッシュウ</t>
    </rPh>
    <rPh sb="221" eb="223">
      <t>タイケン</t>
    </rPh>
    <phoneticPr fontId="1"/>
  </si>
  <si>
    <t>データ・AI活用の現場とデータサイエンスのサイクルについて知る
　　 (「はじめてのデータサイエンス」7回目講義）
 ・PPDACサイクルの概要
  データ活用のプロセス：目的設定、データ分析の手順、結果の共有と伝達、
  課題解決に向けた提案と様々な領域における活用事例</t>
    <rPh sb="6" eb="8">
      <t>カツヨウ</t>
    </rPh>
    <phoneticPr fontId="1"/>
  </si>
  <si>
    <t>データ・AIを活用する上での注意点について知る
　　(「はじめてのデータサイエンス」11回,12回目講義）
 ・ELSI（Ethical, Legal and Social Issues）
 ・個人情報保護、EU一般データ保護規則、忘れられる権利、オプトイン・オプトアウト
 ・データ倫理：データのねつ造、改ざん、盗用、プライバシー保護
 ・AI社会原則（公平性、説明責任、透明性、人間中心の判断）
 ・データバイアス、アルゴリズムバイアス
 ・AIサービスの責任論とデータ・AI活用における負の事例紹介</t>
    <rPh sb="7" eb="9">
      <t>カツヨウ</t>
    </rPh>
    <rPh sb="11" eb="12">
      <t>ウエ</t>
    </rPh>
    <rPh sb="14" eb="16">
      <t>チュウイ</t>
    </rPh>
    <rPh sb="16" eb="17">
      <t>テン</t>
    </rPh>
    <rPh sb="21" eb="22">
      <t>シ</t>
    </rPh>
    <phoneticPr fontId="1"/>
  </si>
  <si>
    <t>データを守る上での注意点について知る
　　 (「はじめてのデータサイエンス」13回目講義）
 ・情報セキュリティの3要素(CIA) ：機密性、完全性、可用性
 ・匿名加工情報、暗号化、パスワード設定方法、
 ・悪意ある攻撃とセキュリティ事故の事例</t>
    <rPh sb="4" eb="5">
      <t>マモ</t>
    </rPh>
    <rPh sb="58" eb="60">
      <t>ヨウソ</t>
    </rPh>
    <rPh sb="97" eb="99">
      <t>セッテイ</t>
    </rPh>
    <rPh sb="99" eb="101">
      <t>ホウホウ</t>
    </rPh>
    <rPh sb="105" eb="107">
      <t>アクイ</t>
    </rPh>
    <rPh sb="109" eb="111">
      <t>コウゲキ</t>
    </rPh>
    <phoneticPr fontId="1"/>
  </si>
  <si>
    <t xml:space="preserve">令和4年度4月から、全学向けの選択科目として「はじめてのデータサイエンス」を前期と後期に１コマずつ（計2コマ）配置した。令和5年度からはクラス数を倍に増やし、さらに令和5年に文部科学省のリテラシーレベルに申請し認定された場合は、令和6年度の新入生から同科目を必修科目にして、さらに履修率の向上をはかる予定である。また本プログラムを履修するための動機づけとして、就職活動で使用できるよう、プログラムの修了者には履修証明書を発行している。
</t>
    <rPh sb="0" eb="2">
      <t>レイワ</t>
    </rPh>
    <rPh sb="3" eb="5">
      <t>ネンド</t>
    </rPh>
    <rPh sb="6" eb="7">
      <t>ガツ</t>
    </rPh>
    <rPh sb="10" eb="12">
      <t>ゼンガク</t>
    </rPh>
    <rPh sb="12" eb="13">
      <t>ム</t>
    </rPh>
    <rPh sb="15" eb="17">
      <t>センタク</t>
    </rPh>
    <rPh sb="17" eb="19">
      <t>カモク</t>
    </rPh>
    <rPh sb="38" eb="40">
      <t>ゼンキ</t>
    </rPh>
    <rPh sb="41" eb="43">
      <t>コウキ</t>
    </rPh>
    <rPh sb="50" eb="51">
      <t>ケイ</t>
    </rPh>
    <rPh sb="55" eb="57">
      <t>ハイチ</t>
    </rPh>
    <rPh sb="60" eb="62">
      <t>レイワ</t>
    </rPh>
    <rPh sb="63" eb="65">
      <t>ネンド</t>
    </rPh>
    <rPh sb="71" eb="72">
      <t>スウ</t>
    </rPh>
    <rPh sb="73" eb="74">
      <t>バイ</t>
    </rPh>
    <rPh sb="75" eb="76">
      <t>フ</t>
    </rPh>
    <rPh sb="82" eb="84">
      <t>レイカズ</t>
    </rPh>
    <rPh sb="85" eb="86">
      <t>ネン</t>
    </rPh>
    <rPh sb="87" eb="89">
      <t>モンブ</t>
    </rPh>
    <rPh sb="89" eb="92">
      <t>カガクショウ</t>
    </rPh>
    <rPh sb="102" eb="104">
      <t>シンセイ</t>
    </rPh>
    <rPh sb="105" eb="107">
      <t>ニンテイ</t>
    </rPh>
    <rPh sb="110" eb="112">
      <t>バアイ</t>
    </rPh>
    <rPh sb="114" eb="116">
      <t>レイワ</t>
    </rPh>
    <rPh sb="117" eb="119">
      <t>ネンド</t>
    </rPh>
    <rPh sb="120" eb="123">
      <t>シンニュウセイ</t>
    </rPh>
    <rPh sb="125" eb="128">
      <t>ドウカモク</t>
    </rPh>
    <rPh sb="144" eb="146">
      <t>コウジョウ</t>
    </rPh>
    <rPh sb="150" eb="152">
      <t>ヨテイ</t>
    </rPh>
    <rPh sb="180" eb="182">
      <t>シュウショク</t>
    </rPh>
    <rPh sb="182" eb="184">
      <t>カツドウ</t>
    </rPh>
    <rPh sb="185" eb="187">
      <t>シヨウ</t>
    </rPh>
    <phoneticPr fontId="1"/>
  </si>
  <si>
    <t xml:space="preserve">データを読む  
 ・データの種類（量的変数、質的変数）、度数分布表とヒストグラム　
　　(「はじめてのデータサイエンス」　（4回目実習）
　　　　※以下 「実習」とは、同科目内で「実習」を行う授業回を示す)
 ・基本統計量、代表値（平均値、中央値、最頻値）　(5回目実習)　　
 ・データのばらつき（分散、標準偏差、偏差値）      （6～7回目実習)　
 ・時系列データ                                                (8回目実習)　　
 ・2変数の関係：散布図と外れ値、クロス集計        （10回目実習)　　
 ・相関と因果（相関係数、相関分析、回帰分析）、母集団と標本 (11～13回目実習)　     </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</si>
</sst>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sz val="12"/>
      <name val="ＭＳ Ｐゴシック"/>
      <family val="3"/>
      <charset val="128"/>
      <scheme val="minor"/>
    </font>
    <font>
      <sz val="12"/>
      <color rgb="FFFF0000"/>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91">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38" fontId="2" fillId="3" borderId="50" xfId="2" applyFont="1" applyFill="1" applyBorder="1" applyAlignment="1">
      <alignment vertical="center" shrinkToFit="1"/>
    </xf>
    <xf numFmtId="38" fontId="2" fillId="3" borderId="0" xfId="2" applyFont="1" applyFill="1" applyAlignment="1">
      <alignment vertical="center" shrinkToFit="1"/>
    </xf>
    <xf numFmtId="38" fontId="2" fillId="3" borderId="23" xfId="2" applyFont="1" applyFill="1" applyBorder="1" applyAlignment="1">
      <alignment vertical="center" shrinkToFit="1"/>
    </xf>
    <xf numFmtId="38" fontId="2" fillId="3" borderId="20" xfId="2" applyFont="1" applyFill="1" applyBorder="1" applyAlignment="1">
      <alignment vertical="center" shrinkToFit="1"/>
    </xf>
    <xf numFmtId="0" fontId="2" fillId="3" borderId="1" xfId="0" applyFont="1" applyFill="1" applyBorder="1" applyAlignment="1">
      <alignment horizontal="center" vertical="center"/>
    </xf>
    <xf numFmtId="0" fontId="2" fillId="3" borderId="0" xfId="0" applyFont="1" applyFill="1" applyAlignment="1">
      <alignment horizontal="center" vertical="center"/>
    </xf>
    <xf numFmtId="0" fontId="11" fillId="3" borderId="1" xfId="0" applyFont="1" applyFill="1" applyBorder="1" applyAlignment="1">
      <alignment horizontal="center" vertical="center" wrapText="1" shrinkToFit="1"/>
    </xf>
    <xf numFmtId="9" fontId="11" fillId="3" borderId="1" xfId="0" applyNumberFormat="1" applyFont="1" applyFill="1" applyBorder="1" applyAlignment="1">
      <alignment horizontal="center" vertical="center" shrinkToFit="1"/>
    </xf>
    <xf numFmtId="0" fontId="11" fillId="3" borderId="1" xfId="0" applyFont="1" applyFill="1" applyBorder="1" applyAlignment="1">
      <alignment horizontal="center" vertical="center" shrinkToFit="1"/>
    </xf>
    <xf numFmtId="176" fontId="11" fillId="3" borderId="1" xfId="0" applyNumberFormat="1" applyFont="1" applyFill="1" applyBorder="1" applyAlignment="1">
      <alignment horizontal="center" vertical="center" shrinkToFit="1"/>
    </xf>
    <xf numFmtId="38" fontId="11" fillId="3" borderId="5" xfId="2" applyFont="1" applyFill="1" applyBorder="1" applyAlignment="1">
      <alignment vertical="center" shrinkToFit="1"/>
    </xf>
    <xf numFmtId="38" fontId="11" fillId="3" borderId="19" xfId="2" applyFont="1" applyFill="1" applyBorder="1" applyAlignment="1">
      <alignment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11" fillId="3" borderId="36" xfId="0" applyFont="1" applyFill="1" applyBorder="1" applyAlignment="1">
      <alignment vertical="center" wrapText="1" shrinkToFit="1"/>
    </xf>
    <xf numFmtId="0" fontId="11" fillId="3" borderId="36" xfId="0" applyFont="1" applyFill="1" applyBorder="1" applyAlignment="1">
      <alignment vertical="center" shrinkToFit="1"/>
    </xf>
    <xf numFmtId="0" fontId="11" fillId="3" borderId="35" xfId="0" applyFont="1" applyFill="1" applyBorder="1" applyAlignment="1">
      <alignment vertical="center" shrinkToFit="1"/>
    </xf>
    <xf numFmtId="0" fontId="11" fillId="3" borderId="6" xfId="0" applyFont="1" applyFill="1" applyBorder="1" applyAlignment="1">
      <alignment vertical="center" wrapText="1" shrinkToFit="1"/>
    </xf>
    <xf numFmtId="0" fontId="11" fillId="3" borderId="6" xfId="0" applyFont="1" applyFill="1" applyBorder="1" applyAlignment="1">
      <alignment vertical="center" shrinkToFit="1"/>
    </xf>
    <xf numFmtId="0" fontId="11" fillId="3" borderId="12" xfId="0" applyFont="1" applyFill="1" applyBorder="1" applyAlignment="1">
      <alignment vertical="center" shrinkToFit="1"/>
    </xf>
    <xf numFmtId="0" fontId="11" fillId="3" borderId="8" xfId="0" applyFont="1" applyFill="1" applyBorder="1" applyAlignment="1">
      <alignment horizontal="left" vertical="center" wrapText="1" shrinkToFit="1"/>
    </xf>
    <xf numFmtId="0" fontId="11" fillId="3" borderId="8" xfId="0" applyFont="1" applyFill="1" applyBorder="1" applyAlignment="1">
      <alignment horizontal="left" vertical="center" shrinkToFit="1"/>
    </xf>
    <xf numFmtId="0" fontId="11" fillId="3" borderId="9" xfId="0" applyFont="1" applyFill="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3" borderId="8" xfId="0" applyFont="1" applyFill="1" applyBorder="1" applyAlignment="1">
      <alignment horizontal="left" vertical="center" wrapText="1" shrinkToFit="1"/>
    </xf>
    <xf numFmtId="0" fontId="2" fillId="3" borderId="8" xfId="0" applyFont="1" applyFill="1" applyBorder="1" applyAlignment="1">
      <alignment horizontal="left" vertical="center" shrinkToFit="1"/>
    </xf>
    <xf numFmtId="0" fontId="2" fillId="3" borderId="9" xfId="0" applyFont="1" applyFill="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11" fillId="3" borderId="34" xfId="0" applyFont="1" applyFill="1" applyBorder="1" applyAlignment="1">
      <alignment vertical="center" shrinkToFit="1"/>
    </xf>
    <xf numFmtId="0" fontId="12" fillId="3" borderId="36" xfId="0" applyFont="1" applyFill="1" applyBorder="1" applyAlignment="1">
      <alignment vertical="center" shrinkToFit="1"/>
    </xf>
    <xf numFmtId="0" fontId="12" fillId="3" borderId="35" xfId="0" applyFont="1" applyFill="1" applyBorder="1" applyAlignment="1">
      <alignment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3" borderId="2" xfId="0" applyFont="1" applyFill="1" applyBorder="1" applyAlignment="1">
      <alignment vertical="center" wrapText="1" shrinkToFit="1"/>
    </xf>
    <xf numFmtId="0" fontId="2" fillId="3" borderId="3" xfId="0" applyFont="1" applyFill="1" applyBorder="1" applyAlignment="1">
      <alignment vertical="center" wrapText="1" shrinkToFit="1"/>
    </xf>
    <xf numFmtId="0" fontId="2" fillId="3" borderId="4" xfId="0" applyFont="1" applyFill="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11" fillId="3" borderId="22" xfId="0" applyFont="1" applyFill="1" applyBorder="1" applyAlignment="1">
      <alignment horizontal="left" vertical="center" wrapText="1" shrinkToFit="1"/>
    </xf>
    <xf numFmtId="0" fontId="2" fillId="3" borderId="22" xfId="0" applyFont="1" applyFill="1" applyBorder="1" applyAlignment="1">
      <alignment horizontal="left" vertical="center" shrinkToFit="1"/>
    </xf>
    <xf numFmtId="0" fontId="2" fillId="3" borderId="21" xfId="0" applyFont="1" applyFill="1" applyBorder="1" applyAlignment="1">
      <alignment horizontal="left" vertical="center" shrinkToFit="1"/>
    </xf>
    <xf numFmtId="0" fontId="11" fillId="3" borderId="36" xfId="0" applyFont="1" applyFill="1" applyBorder="1" applyAlignment="1">
      <alignment horizontal="left" vertical="center" wrapText="1" shrinkToFit="1"/>
    </xf>
    <xf numFmtId="0" fontId="11" fillId="3" borderId="36" xfId="0" applyFont="1" applyFill="1" applyBorder="1" applyAlignment="1">
      <alignment horizontal="left" vertical="center" shrinkToFit="1"/>
    </xf>
    <xf numFmtId="0" fontId="11" fillId="3" borderId="35" xfId="0" applyFont="1" applyFill="1" applyBorder="1" applyAlignment="1">
      <alignment horizontal="left" vertical="center" shrinkToFit="1"/>
    </xf>
    <xf numFmtId="0" fontId="11" fillId="3" borderId="6" xfId="0" applyFont="1" applyFill="1" applyBorder="1" applyAlignment="1">
      <alignment horizontal="left" vertical="center" wrapText="1" shrinkToFit="1"/>
    </xf>
    <xf numFmtId="0" fontId="2" fillId="3" borderId="6" xfId="0" applyFont="1" applyFill="1" applyBorder="1" applyAlignment="1">
      <alignment horizontal="left" vertical="center" shrinkToFit="1"/>
    </xf>
    <xf numFmtId="0" fontId="2" fillId="3" borderId="12" xfId="0" applyFont="1" applyFill="1" applyBorder="1" applyAlignment="1">
      <alignment horizontal="left" vertical="center" shrinkToFit="1"/>
    </xf>
    <xf numFmtId="0" fontId="11" fillId="3" borderId="38" xfId="0" applyFont="1" applyFill="1" applyBorder="1" applyAlignment="1">
      <alignment horizontal="left" vertical="center" wrapText="1" shrinkToFit="1"/>
    </xf>
    <xf numFmtId="0" fontId="11" fillId="3" borderId="38" xfId="0" applyFont="1" applyFill="1" applyBorder="1" applyAlignment="1">
      <alignment horizontal="left" vertical="center" shrinkToFit="1"/>
    </xf>
    <xf numFmtId="0" fontId="11" fillId="3" borderId="39" xfId="0" applyFont="1" applyFill="1" applyBorder="1" applyAlignment="1">
      <alignment horizontal="left" vertical="center" shrinkToFit="1"/>
    </xf>
    <xf numFmtId="0" fontId="2" fillId="3" borderId="38" xfId="0" applyFont="1" applyFill="1" applyBorder="1" applyAlignment="1">
      <alignment horizontal="left" vertical="center" shrinkToFit="1"/>
    </xf>
    <xf numFmtId="0" fontId="2" fillId="3" borderId="39" xfId="0" applyFont="1" applyFill="1" applyBorder="1" applyAlignment="1">
      <alignment horizontal="left" vertical="center" shrinkToFit="1"/>
    </xf>
    <xf numFmtId="0" fontId="11" fillId="3" borderId="19" xfId="0" applyFont="1" applyFill="1" applyBorder="1" applyAlignment="1">
      <alignment vertical="center" wrapText="1" shrinkToFit="1"/>
    </xf>
    <xf numFmtId="0" fontId="11" fillId="3" borderId="20" xfId="0" applyFont="1" applyFill="1" applyBorder="1" applyAlignment="1">
      <alignment vertical="center" shrinkToFit="1"/>
    </xf>
    <xf numFmtId="0" fontId="11" fillId="3" borderId="18" xfId="0" applyFont="1" applyFill="1" applyBorder="1" applyAlignment="1">
      <alignment vertical="center"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7" fillId="0" borderId="2" xfId="0" applyFont="1" applyBorder="1" applyAlignment="1">
      <alignment horizontal="center" vertical="center"/>
    </xf>
    <xf numFmtId="0" fontId="7" fillId="0" borderId="3" xfId="0" applyFont="1" applyBorder="1" applyAlignment="1">
      <alignment horizontal="center" vertical="center"/>
    </xf>
    <xf numFmtId="0" fontId="7"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3" borderId="7" xfId="0" applyFont="1" applyFill="1" applyBorder="1" applyAlignment="1">
      <alignment vertical="top" wrapText="1" shrinkToFit="1"/>
    </xf>
    <xf numFmtId="0" fontId="2" fillId="3" borderId="8" xfId="0" applyFont="1" applyFill="1" applyBorder="1" applyAlignment="1">
      <alignment vertical="top" wrapText="1" shrinkToFit="1"/>
    </xf>
    <xf numFmtId="0" fontId="2" fillId="3" borderId="9" xfId="0" applyFont="1" applyFill="1" applyBorder="1" applyAlignment="1">
      <alignment vertical="top" shrinkToFit="1"/>
    </xf>
    <xf numFmtId="0" fontId="2" fillId="3" borderId="5" xfId="0" applyFont="1" applyFill="1" applyBorder="1" applyAlignment="1">
      <alignment vertical="top" shrinkToFit="1"/>
    </xf>
    <xf numFmtId="0" fontId="2" fillId="3" borderId="0" xfId="0" applyFont="1" applyFill="1" applyAlignment="1">
      <alignment vertical="top" shrinkToFit="1"/>
    </xf>
    <xf numFmtId="0" fontId="2" fillId="3" borderId="10" xfId="0" applyFont="1" applyFill="1" applyBorder="1" applyAlignment="1">
      <alignment vertical="top" shrinkToFit="1"/>
    </xf>
    <xf numFmtId="0" fontId="2" fillId="3" borderId="11" xfId="0" applyFont="1" applyFill="1" applyBorder="1" applyAlignment="1">
      <alignment vertical="top" shrinkToFit="1"/>
    </xf>
    <xf numFmtId="0" fontId="2" fillId="3" borderId="6" xfId="0" applyFont="1" applyFill="1" applyBorder="1" applyAlignment="1">
      <alignment vertical="top" shrinkToFit="1"/>
    </xf>
    <xf numFmtId="0" fontId="2" fillId="3" borderId="12" xfId="0" applyFont="1" applyFill="1" applyBorder="1" applyAlignment="1">
      <alignment vertical="top" shrinkToFit="1"/>
    </xf>
    <xf numFmtId="0" fontId="2" fillId="0" borderId="0" xfId="0" applyFont="1">
      <alignment vertical="center"/>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2" fillId="0" borderId="0" xfId="0" applyFont="1" applyAlignment="1">
      <alignment horizontal="center" vertical="center"/>
    </xf>
    <xf numFmtId="9" fontId="11" fillId="3" borderId="1" xfId="0" applyNumberFormat="1" applyFont="1" applyFill="1" applyBorder="1" applyAlignment="1">
      <alignment horizontal="center" vertical="center" shrinkToFit="1"/>
    </xf>
    <xf numFmtId="0" fontId="2" fillId="3" borderId="7" xfId="0" applyFont="1" applyFill="1" applyBorder="1" applyAlignment="1">
      <alignment vertical="top" wrapText="1"/>
    </xf>
    <xf numFmtId="0" fontId="2" fillId="3" borderId="8" xfId="0" applyFont="1" applyFill="1" applyBorder="1" applyAlignment="1">
      <alignment vertical="top" wrapText="1"/>
    </xf>
    <xf numFmtId="0" fontId="2" fillId="3" borderId="9" xfId="0" applyFont="1" applyFill="1" applyBorder="1" applyAlignment="1">
      <alignment vertical="top" wrapText="1"/>
    </xf>
    <xf numFmtId="0" fontId="2" fillId="3" borderId="5" xfId="0" applyFont="1" applyFill="1" applyBorder="1" applyAlignment="1">
      <alignment vertical="top" wrapText="1"/>
    </xf>
    <xf numFmtId="0" fontId="2" fillId="3" borderId="0" xfId="0" applyFont="1" applyFill="1" applyAlignment="1">
      <alignment vertical="top" wrapText="1"/>
    </xf>
    <xf numFmtId="0" fontId="2" fillId="3" borderId="10" xfId="0" applyFont="1" applyFill="1" applyBorder="1" applyAlignment="1">
      <alignment vertical="top" wrapText="1"/>
    </xf>
    <xf numFmtId="0" fontId="2" fillId="3" borderId="11" xfId="0" applyFont="1" applyFill="1" applyBorder="1" applyAlignment="1">
      <alignment vertical="top" wrapText="1"/>
    </xf>
    <xf numFmtId="0" fontId="2" fillId="3" borderId="6" xfId="0" applyFont="1" applyFill="1" applyBorder="1" applyAlignment="1">
      <alignment vertical="top" wrapText="1"/>
    </xf>
    <xf numFmtId="0" fontId="2" fillId="3" borderId="12" xfId="0" applyFont="1" applyFill="1" applyBorder="1" applyAlignment="1">
      <alignment vertical="top" wrapText="1"/>
    </xf>
    <xf numFmtId="0" fontId="2" fillId="3" borderId="9" xfId="0" applyFont="1" applyFill="1" applyBorder="1" applyAlignment="1">
      <alignment vertical="top"/>
    </xf>
    <xf numFmtId="0" fontId="2" fillId="3" borderId="5" xfId="0" applyFont="1" applyFill="1" applyBorder="1" applyAlignment="1">
      <alignment vertical="top"/>
    </xf>
    <xf numFmtId="0" fontId="2" fillId="3" borderId="0" xfId="0" applyFont="1" applyFill="1" applyAlignment="1">
      <alignment vertical="top"/>
    </xf>
    <xf numFmtId="0" fontId="2" fillId="3" borderId="10" xfId="0" applyFont="1" applyFill="1" applyBorder="1" applyAlignment="1">
      <alignment vertical="top"/>
    </xf>
    <xf numFmtId="0" fontId="2" fillId="3" borderId="11" xfId="0" applyFont="1" applyFill="1" applyBorder="1" applyAlignment="1">
      <alignment vertical="top"/>
    </xf>
    <xf numFmtId="0" fontId="2" fillId="3" borderId="6" xfId="0" applyFont="1" applyFill="1" applyBorder="1" applyAlignment="1">
      <alignment vertical="top"/>
    </xf>
    <xf numFmtId="0" fontId="2" fillId="3" borderId="12" xfId="0" applyFont="1" applyFill="1" applyBorder="1" applyAlignment="1">
      <alignment vertical="top"/>
    </xf>
    <xf numFmtId="9" fontId="11" fillId="3" borderId="1" xfId="0" applyNumberFormat="1" applyFont="1" applyFill="1" applyBorder="1" applyAlignment="1">
      <alignment horizontal="center" vertical="center" wrapText="1" shrinkToFit="1"/>
    </xf>
    <xf numFmtId="0" fontId="2" fillId="3" borderId="7" xfId="0" applyFont="1" applyFill="1" applyBorder="1" applyAlignment="1">
      <alignment horizontal="left" vertical="top" wrapText="1"/>
    </xf>
    <xf numFmtId="0" fontId="2" fillId="3" borderId="8" xfId="0" applyFont="1" applyFill="1" applyBorder="1" applyAlignment="1">
      <alignment horizontal="left" vertical="top" wrapText="1"/>
    </xf>
    <xf numFmtId="0" fontId="2" fillId="3" borderId="9" xfId="0" applyFont="1" applyFill="1" applyBorder="1" applyAlignment="1">
      <alignment horizontal="left" vertical="top" wrapText="1"/>
    </xf>
    <xf numFmtId="0" fontId="2" fillId="3" borderId="5" xfId="0" applyFont="1" applyFill="1" applyBorder="1" applyAlignment="1">
      <alignment horizontal="left" vertical="top" wrapText="1"/>
    </xf>
    <xf numFmtId="0" fontId="2" fillId="3" borderId="0" xfId="0" applyFont="1" applyFill="1" applyAlignment="1">
      <alignment horizontal="left" vertical="top" wrapText="1"/>
    </xf>
    <xf numFmtId="0" fontId="2" fillId="3" borderId="10" xfId="0" applyFont="1" applyFill="1" applyBorder="1" applyAlignment="1">
      <alignment horizontal="left" vertical="top" wrapText="1"/>
    </xf>
    <xf numFmtId="0" fontId="2" fillId="3" borderId="11" xfId="0" applyFont="1" applyFill="1" applyBorder="1" applyAlignment="1">
      <alignment horizontal="left" vertical="top" wrapText="1"/>
    </xf>
    <xf numFmtId="0" fontId="2" fillId="3" borderId="6" xfId="0" applyFont="1" applyFill="1" applyBorder="1" applyAlignment="1">
      <alignment horizontal="left" vertical="top" wrapText="1"/>
    </xf>
    <xf numFmtId="0" fontId="2" fillId="3" borderId="12" xfId="0" applyFont="1" applyFill="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3" borderId="19" xfId="0" applyFont="1" applyFill="1" applyBorder="1" applyAlignment="1">
      <alignment vertical="top" wrapText="1" shrinkToFit="1"/>
    </xf>
    <xf numFmtId="0" fontId="11" fillId="3" borderId="20" xfId="0" applyFont="1" applyFill="1" applyBorder="1" applyAlignment="1">
      <alignment vertical="top" wrapText="1" shrinkToFit="1"/>
    </xf>
    <xf numFmtId="0" fontId="11" fillId="3" borderId="18" xfId="0" applyFont="1" applyFill="1" applyBorder="1" applyAlignment="1">
      <alignment vertical="top" wrapText="1" shrinkToFi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10"/>
  <sheetViews>
    <sheetView showZeros="0" tabSelected="1" view="pageBreakPreview" topLeftCell="A94" zoomScaleNormal="100" zoomScaleSheetLayoutView="100" workbookViewId="0">
      <selection activeCell="W97" sqref="W9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56" t="s">
        <v>12</v>
      </c>
      <c r="S1" s="156"/>
      <c r="T1" s="2" t="s">
        <v>110</v>
      </c>
    </row>
    <row r="2" spans="1:22" ht="18.75" customHeight="1" x14ac:dyDescent="0.15">
      <c r="B2" s="34" t="s">
        <v>109</v>
      </c>
      <c r="C2" s="97" t="s">
        <v>127</v>
      </c>
      <c r="D2" s="98"/>
      <c r="E2" s="98"/>
      <c r="F2" s="98"/>
      <c r="G2" s="98"/>
      <c r="H2" s="98"/>
      <c r="I2" s="99"/>
      <c r="J2" s="35"/>
      <c r="K2" s="6"/>
      <c r="L2" s="6"/>
      <c r="M2" s="6"/>
      <c r="N2" s="6"/>
      <c r="O2" s="6"/>
      <c r="P2" s="6"/>
      <c r="Q2" s="6"/>
      <c r="R2" s="6"/>
      <c r="S2" s="6"/>
    </row>
    <row r="3" spans="1:22" ht="18.75" customHeight="1" x14ac:dyDescent="0.15">
      <c r="B3" s="34" t="s">
        <v>103</v>
      </c>
      <c r="C3" s="160" t="s">
        <v>134</v>
      </c>
      <c r="D3" s="161"/>
      <c r="E3" s="161"/>
      <c r="F3" s="161"/>
      <c r="G3" s="161"/>
      <c r="H3" s="161"/>
      <c r="I3" s="162"/>
      <c r="J3" s="35"/>
      <c r="K3" s="6"/>
      <c r="L3" s="6"/>
      <c r="M3" s="6"/>
      <c r="N3" s="6"/>
      <c r="O3" s="6"/>
      <c r="P3" s="6"/>
      <c r="Q3" s="6"/>
      <c r="R3" s="6"/>
      <c r="S3" s="6"/>
    </row>
    <row r="4" spans="1:22" ht="15" customHeight="1" x14ac:dyDescent="0.15">
      <c r="K4" s="35"/>
      <c r="L4" s="36"/>
      <c r="M4" s="36"/>
      <c r="N4" s="36"/>
      <c r="O4" s="36"/>
      <c r="P4" s="36"/>
      <c r="Q4" s="36"/>
      <c r="R4" s="36"/>
      <c r="S4" s="36"/>
    </row>
    <row r="5" spans="1:22" ht="18" customHeight="1" x14ac:dyDescent="0.15">
      <c r="A5" s="163" t="s">
        <v>39</v>
      </c>
      <c r="B5" s="163"/>
      <c r="C5" s="163"/>
      <c r="D5" s="163"/>
      <c r="E5" s="163"/>
      <c r="F5" s="163"/>
      <c r="G5" s="163"/>
      <c r="H5" s="163"/>
      <c r="I5" s="163"/>
      <c r="J5" s="163"/>
      <c r="K5" s="163"/>
      <c r="L5" s="163"/>
      <c r="M5" s="163"/>
      <c r="N5" s="163"/>
      <c r="O5" s="163"/>
      <c r="P5" s="163"/>
      <c r="Q5" s="163"/>
      <c r="R5" s="163"/>
      <c r="S5" s="163"/>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125</v>
      </c>
      <c r="C7" s="3"/>
      <c r="J7" s="37" t="s">
        <v>108</v>
      </c>
      <c r="K7" s="173" t="s">
        <v>138</v>
      </c>
      <c r="L7" s="174"/>
      <c r="M7" s="174"/>
      <c r="N7" s="174"/>
      <c r="O7" s="174"/>
      <c r="P7" s="174"/>
      <c r="Q7" s="174"/>
      <c r="R7" s="174"/>
      <c r="S7" s="175"/>
    </row>
    <row r="8" spans="1:22" ht="6" customHeight="1" x14ac:dyDescent="0.15">
      <c r="B8" s="3"/>
      <c r="C8" s="3"/>
      <c r="D8" s="3"/>
      <c r="E8" s="3"/>
      <c r="F8" s="3"/>
      <c r="G8" s="3"/>
      <c r="H8" s="3"/>
      <c r="I8" s="3"/>
      <c r="J8" s="3"/>
      <c r="K8" s="10"/>
      <c r="L8" s="3"/>
      <c r="M8" s="3"/>
      <c r="N8" s="3"/>
      <c r="O8" s="3"/>
      <c r="P8" s="3"/>
      <c r="Q8" s="3"/>
      <c r="R8" s="3"/>
      <c r="S8" s="3"/>
    </row>
    <row r="9" spans="1:22" ht="18" customHeight="1" x14ac:dyDescent="0.15">
      <c r="B9" s="176"/>
      <c r="C9" s="177"/>
      <c r="D9" s="177"/>
      <c r="E9" s="177"/>
      <c r="F9" s="177"/>
      <c r="G9" s="177"/>
      <c r="H9" s="177"/>
      <c r="I9" s="177"/>
      <c r="J9" s="177"/>
      <c r="K9" s="177"/>
      <c r="L9" s="177"/>
      <c r="M9" s="177"/>
      <c r="N9" s="177"/>
      <c r="O9" s="177"/>
      <c r="P9" s="177"/>
      <c r="Q9" s="177"/>
      <c r="R9" s="177"/>
      <c r="S9" s="178"/>
    </row>
    <row r="10" spans="1:22" ht="18" customHeight="1" x14ac:dyDescent="0.15">
      <c r="B10" s="179"/>
      <c r="C10" s="180"/>
      <c r="D10" s="180"/>
      <c r="E10" s="180"/>
      <c r="F10" s="180"/>
      <c r="G10" s="180"/>
      <c r="H10" s="180"/>
      <c r="I10" s="180"/>
      <c r="J10" s="180"/>
      <c r="K10" s="180"/>
      <c r="L10" s="180"/>
      <c r="M10" s="180"/>
      <c r="N10" s="180"/>
      <c r="O10" s="180"/>
      <c r="P10" s="180"/>
      <c r="Q10" s="180"/>
      <c r="R10" s="180"/>
      <c r="S10" s="181"/>
    </row>
    <row r="11" spans="1:22" ht="6" customHeight="1" x14ac:dyDescent="0.15">
      <c r="B11" s="3"/>
      <c r="C11" s="3"/>
      <c r="D11" s="3"/>
      <c r="E11" s="3"/>
      <c r="F11" s="3"/>
      <c r="G11" s="3"/>
      <c r="H11" s="3"/>
      <c r="I11" s="3"/>
      <c r="J11" s="3"/>
      <c r="K11" s="10"/>
      <c r="L11" s="3"/>
      <c r="M11" s="3"/>
      <c r="N11" s="3"/>
      <c r="O11" s="3"/>
      <c r="P11" s="3"/>
      <c r="Q11" s="3"/>
      <c r="R11" s="3"/>
      <c r="S11" s="3"/>
    </row>
    <row r="12" spans="1:22" ht="18" customHeight="1" x14ac:dyDescent="0.15">
      <c r="A12" s="1" t="s">
        <v>112</v>
      </c>
      <c r="B12" s="3"/>
      <c r="C12" s="3"/>
      <c r="D12" s="35"/>
      <c r="E12" s="35"/>
      <c r="F12" s="35"/>
      <c r="G12" s="35"/>
      <c r="H12" s="35"/>
      <c r="I12" s="35"/>
      <c r="J12" s="35"/>
      <c r="K12" s="38"/>
      <c r="L12" s="38"/>
      <c r="M12" s="38"/>
      <c r="N12" s="38"/>
      <c r="O12" s="38"/>
      <c r="P12" s="38"/>
      <c r="Q12" s="38"/>
      <c r="R12" s="38"/>
      <c r="S12" s="38"/>
    </row>
    <row r="13" spans="1:22" ht="18" customHeight="1" x14ac:dyDescent="0.15">
      <c r="B13" s="164" t="s">
        <v>139</v>
      </c>
      <c r="C13" s="165"/>
      <c r="D13" s="165"/>
      <c r="E13" s="165"/>
      <c r="F13" s="165"/>
      <c r="G13" s="165"/>
      <c r="H13" s="165"/>
      <c r="I13" s="165"/>
      <c r="J13" s="165"/>
      <c r="K13" s="165"/>
      <c r="L13" s="165"/>
      <c r="M13" s="165"/>
      <c r="N13" s="165"/>
      <c r="O13" s="165"/>
      <c r="P13" s="165"/>
      <c r="Q13" s="165"/>
      <c r="R13" s="165"/>
      <c r="S13" s="166"/>
      <c r="V13" s="1" t="s">
        <v>104</v>
      </c>
    </row>
    <row r="14" spans="1:22" ht="18" customHeight="1" x14ac:dyDescent="0.15">
      <c r="B14" s="167"/>
      <c r="C14" s="168"/>
      <c r="D14" s="168"/>
      <c r="E14" s="168"/>
      <c r="F14" s="168"/>
      <c r="G14" s="168"/>
      <c r="H14" s="168"/>
      <c r="I14" s="168"/>
      <c r="J14" s="168"/>
      <c r="K14" s="168"/>
      <c r="L14" s="168"/>
      <c r="M14" s="168"/>
      <c r="N14" s="168"/>
      <c r="O14" s="168"/>
      <c r="P14" s="168"/>
      <c r="Q14" s="168"/>
      <c r="R14" s="168"/>
      <c r="S14" s="169"/>
      <c r="V14" s="1" t="s">
        <v>111</v>
      </c>
    </row>
    <row r="15" spans="1:22" ht="18" customHeight="1" x14ac:dyDescent="0.15">
      <c r="B15" s="167"/>
      <c r="C15" s="168"/>
      <c r="D15" s="168"/>
      <c r="E15" s="168"/>
      <c r="F15" s="168"/>
      <c r="G15" s="168"/>
      <c r="H15" s="168"/>
      <c r="I15" s="168"/>
      <c r="J15" s="168"/>
      <c r="K15" s="168"/>
      <c r="L15" s="168"/>
      <c r="M15" s="168"/>
      <c r="N15" s="168"/>
      <c r="O15" s="168"/>
      <c r="P15" s="168"/>
      <c r="Q15" s="168"/>
      <c r="R15" s="168"/>
      <c r="S15" s="169"/>
      <c r="V15" s="1" t="s">
        <v>124</v>
      </c>
    </row>
    <row r="16" spans="1:22" ht="18" customHeight="1" x14ac:dyDescent="0.15">
      <c r="B16" s="167"/>
      <c r="C16" s="168"/>
      <c r="D16" s="168"/>
      <c r="E16" s="168"/>
      <c r="F16" s="168"/>
      <c r="G16" s="168"/>
      <c r="H16" s="168"/>
      <c r="I16" s="168"/>
      <c r="J16" s="168"/>
      <c r="K16" s="168"/>
      <c r="L16" s="168"/>
      <c r="M16" s="168"/>
      <c r="N16" s="168"/>
      <c r="O16" s="168"/>
      <c r="P16" s="168"/>
      <c r="Q16" s="168"/>
      <c r="R16" s="168"/>
      <c r="S16" s="169"/>
      <c r="V16" s="1" t="s">
        <v>126</v>
      </c>
    </row>
    <row r="17" spans="1:19" ht="18" customHeight="1" x14ac:dyDescent="0.15">
      <c r="B17" s="167"/>
      <c r="C17" s="168"/>
      <c r="D17" s="168"/>
      <c r="E17" s="168"/>
      <c r="F17" s="168"/>
      <c r="G17" s="168"/>
      <c r="H17" s="168"/>
      <c r="I17" s="168"/>
      <c r="J17" s="168"/>
      <c r="K17" s="168"/>
      <c r="L17" s="168"/>
      <c r="M17" s="168"/>
      <c r="N17" s="168"/>
      <c r="O17" s="168"/>
      <c r="P17" s="168"/>
      <c r="Q17" s="168"/>
      <c r="R17" s="168"/>
      <c r="S17" s="169"/>
    </row>
    <row r="18" spans="1:19" ht="18" customHeight="1" x14ac:dyDescent="0.15">
      <c r="B18" s="170"/>
      <c r="C18" s="171"/>
      <c r="D18" s="171"/>
      <c r="E18" s="171"/>
      <c r="F18" s="171"/>
      <c r="G18" s="171"/>
      <c r="H18" s="171"/>
      <c r="I18" s="171"/>
      <c r="J18" s="171"/>
      <c r="K18" s="171"/>
      <c r="L18" s="171"/>
      <c r="M18" s="171"/>
      <c r="N18" s="171"/>
      <c r="O18" s="171"/>
      <c r="P18" s="171"/>
      <c r="Q18" s="171"/>
      <c r="R18" s="171"/>
      <c r="S18" s="172"/>
    </row>
    <row r="19" spans="1:19" ht="7.5" customHeight="1" x14ac:dyDescent="0.15">
      <c r="B19" s="3"/>
      <c r="C19" s="3"/>
      <c r="D19" s="3"/>
      <c r="E19" s="3"/>
      <c r="F19" s="3"/>
      <c r="G19" s="3"/>
      <c r="H19" s="3"/>
      <c r="I19" s="3"/>
      <c r="J19" s="3"/>
      <c r="K19" s="3"/>
      <c r="L19" s="3"/>
      <c r="M19" s="3"/>
      <c r="N19" s="3"/>
      <c r="O19" s="3"/>
      <c r="P19" s="3"/>
      <c r="Q19" s="3"/>
      <c r="R19" s="3"/>
      <c r="S19" s="3"/>
    </row>
    <row r="20" spans="1:19" ht="20.100000000000001" customHeight="1" x14ac:dyDescent="0.15">
      <c r="B20" s="1" t="s">
        <v>113</v>
      </c>
      <c r="C20" s="97">
        <v>2</v>
      </c>
      <c r="D20" s="99"/>
      <c r="E20" s="39" t="s">
        <v>96</v>
      </c>
      <c r="G20" s="10"/>
      <c r="H20" s="3"/>
      <c r="I20" s="3"/>
      <c r="J20" s="35" t="s">
        <v>122</v>
      </c>
      <c r="K20" s="157" t="s">
        <v>124</v>
      </c>
      <c r="L20" s="158"/>
      <c r="M20" s="158"/>
      <c r="N20" s="158"/>
      <c r="O20" s="158"/>
      <c r="P20" s="158"/>
      <c r="Q20" s="158"/>
      <c r="R20" s="158"/>
      <c r="S20" s="159"/>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103" t="s">
        <v>114</v>
      </c>
      <c r="B22" s="103"/>
      <c r="C22" s="103"/>
      <c r="D22" s="103"/>
      <c r="E22" s="103"/>
      <c r="F22" s="103"/>
      <c r="G22" s="103"/>
      <c r="H22" s="103"/>
      <c r="I22" s="103"/>
      <c r="J22" s="103"/>
      <c r="K22" s="103"/>
      <c r="L22" s="103"/>
      <c r="M22" s="103"/>
      <c r="N22" s="103"/>
      <c r="O22" s="103"/>
      <c r="P22" s="103"/>
      <c r="Q22" s="103"/>
      <c r="R22" s="103"/>
      <c r="S22" s="103"/>
    </row>
    <row r="23" spans="1:19" ht="18" customHeight="1" x14ac:dyDescent="0.15">
      <c r="A23" s="103"/>
      <c r="B23" s="103"/>
      <c r="C23" s="103"/>
      <c r="D23" s="103"/>
      <c r="E23" s="103"/>
      <c r="F23" s="103"/>
      <c r="G23" s="103"/>
      <c r="H23" s="103"/>
      <c r="I23" s="103"/>
      <c r="J23" s="103"/>
      <c r="K23" s="103"/>
      <c r="L23" s="103"/>
      <c r="M23" s="103"/>
      <c r="N23" s="103"/>
      <c r="O23" s="103"/>
      <c r="P23" s="103"/>
      <c r="Q23" s="103"/>
      <c r="R23" s="103"/>
      <c r="S23" s="103"/>
    </row>
    <row r="24" spans="1:19" ht="18" customHeight="1" x14ac:dyDescent="0.15">
      <c r="B24" s="97" t="s">
        <v>54</v>
      </c>
      <c r="C24" s="98"/>
      <c r="D24" s="98"/>
      <c r="E24" s="99"/>
      <c r="F24" s="58" t="s">
        <v>81</v>
      </c>
      <c r="G24" s="57" t="s">
        <v>85</v>
      </c>
      <c r="H24" s="22" t="s">
        <v>57</v>
      </c>
      <c r="I24" s="22" t="s">
        <v>60</v>
      </c>
      <c r="J24" s="97" t="s">
        <v>54</v>
      </c>
      <c r="K24" s="98"/>
      <c r="L24" s="98"/>
      <c r="M24" s="98"/>
      <c r="N24" s="98"/>
      <c r="O24" s="99"/>
      <c r="P24" s="58" t="s">
        <v>81</v>
      </c>
      <c r="Q24" s="57" t="s">
        <v>85</v>
      </c>
      <c r="R24" s="22" t="s">
        <v>57</v>
      </c>
      <c r="S24" s="22" t="s">
        <v>60</v>
      </c>
    </row>
    <row r="25" spans="1:19" ht="18" customHeight="1" x14ac:dyDescent="0.15">
      <c r="B25" s="91" t="s">
        <v>141</v>
      </c>
      <c r="C25" s="92"/>
      <c r="D25" s="92"/>
      <c r="E25" s="93"/>
      <c r="F25" s="23">
        <v>2</v>
      </c>
      <c r="G25" s="23" t="s">
        <v>142</v>
      </c>
      <c r="H25" s="23" t="s">
        <v>142</v>
      </c>
      <c r="I25" s="23" t="s">
        <v>142</v>
      </c>
      <c r="J25" s="91"/>
      <c r="K25" s="92"/>
      <c r="L25" s="92"/>
      <c r="M25" s="92"/>
      <c r="N25" s="92"/>
      <c r="O25" s="93"/>
      <c r="P25" s="23"/>
      <c r="Q25" s="23"/>
      <c r="R25" s="23"/>
      <c r="S25" s="23"/>
    </row>
    <row r="26" spans="1:19" ht="18" customHeight="1" x14ac:dyDescent="0.15">
      <c r="B26" s="94"/>
      <c r="C26" s="95"/>
      <c r="D26" s="95"/>
      <c r="E26" s="96"/>
      <c r="F26" s="24"/>
      <c r="G26" s="24"/>
      <c r="H26" s="24"/>
      <c r="I26" s="24"/>
      <c r="J26" s="94"/>
      <c r="K26" s="95"/>
      <c r="L26" s="95"/>
      <c r="M26" s="95"/>
      <c r="N26" s="95"/>
      <c r="O26" s="96"/>
      <c r="P26" s="24"/>
      <c r="Q26" s="24"/>
      <c r="R26" s="24"/>
      <c r="S26" s="24"/>
    </row>
    <row r="27" spans="1:19" ht="18" customHeight="1" x14ac:dyDescent="0.15">
      <c r="B27" s="94"/>
      <c r="C27" s="95"/>
      <c r="D27" s="95"/>
      <c r="E27" s="96"/>
      <c r="F27" s="24"/>
      <c r="G27" s="24"/>
      <c r="H27" s="24"/>
      <c r="I27" s="24"/>
      <c r="J27" s="94"/>
      <c r="K27" s="95"/>
      <c r="L27" s="95"/>
      <c r="M27" s="95"/>
      <c r="N27" s="95"/>
      <c r="O27" s="96"/>
      <c r="P27" s="24"/>
      <c r="Q27" s="24"/>
      <c r="R27" s="24"/>
      <c r="S27" s="24"/>
    </row>
    <row r="28" spans="1:19" ht="18" customHeight="1" x14ac:dyDescent="0.15">
      <c r="B28" s="94"/>
      <c r="C28" s="95"/>
      <c r="D28" s="95"/>
      <c r="E28" s="96"/>
      <c r="F28" s="24"/>
      <c r="G28" s="24"/>
      <c r="H28" s="24"/>
      <c r="I28" s="24"/>
      <c r="J28" s="94"/>
      <c r="K28" s="95"/>
      <c r="L28" s="95"/>
      <c r="M28" s="95"/>
      <c r="N28" s="95"/>
      <c r="O28" s="96"/>
      <c r="P28" s="24"/>
      <c r="Q28" s="24"/>
      <c r="R28" s="24"/>
      <c r="S28" s="24"/>
    </row>
    <row r="29" spans="1:19" ht="18" customHeight="1" x14ac:dyDescent="0.15">
      <c r="B29" s="94"/>
      <c r="C29" s="95"/>
      <c r="D29" s="95"/>
      <c r="E29" s="96"/>
      <c r="F29" s="24"/>
      <c r="G29" s="24"/>
      <c r="H29" s="24"/>
      <c r="I29" s="24"/>
      <c r="J29" s="94"/>
      <c r="K29" s="95"/>
      <c r="L29" s="95"/>
      <c r="M29" s="95"/>
      <c r="N29" s="95"/>
      <c r="O29" s="96"/>
      <c r="P29" s="24"/>
      <c r="Q29" s="24"/>
      <c r="R29" s="24"/>
      <c r="S29" s="24"/>
    </row>
    <row r="30" spans="1:19" ht="18" customHeight="1" x14ac:dyDescent="0.15">
      <c r="A30" s="3"/>
      <c r="B30" s="94"/>
      <c r="C30" s="95"/>
      <c r="D30" s="95"/>
      <c r="E30" s="96"/>
      <c r="F30" s="24"/>
      <c r="G30" s="24"/>
      <c r="H30" s="24"/>
      <c r="I30" s="24"/>
      <c r="J30" s="94"/>
      <c r="K30" s="95"/>
      <c r="L30" s="95"/>
      <c r="M30" s="95"/>
      <c r="N30" s="95"/>
      <c r="O30" s="96"/>
      <c r="P30" s="24"/>
      <c r="Q30" s="24"/>
      <c r="R30" s="24"/>
      <c r="S30" s="24"/>
    </row>
    <row r="31" spans="1:19" ht="18" customHeight="1" x14ac:dyDescent="0.15">
      <c r="A31" s="3"/>
      <c r="B31" s="100"/>
      <c r="C31" s="101"/>
      <c r="D31" s="101"/>
      <c r="E31" s="102"/>
      <c r="F31" s="25"/>
      <c r="G31" s="25"/>
      <c r="H31" s="26"/>
      <c r="I31" s="26"/>
      <c r="J31" s="100"/>
      <c r="K31" s="101"/>
      <c r="L31" s="101"/>
      <c r="M31" s="101"/>
      <c r="N31" s="101"/>
      <c r="O31" s="102"/>
      <c r="P31" s="25"/>
      <c r="Q31" s="25"/>
      <c r="R31" s="26"/>
      <c r="S31" s="26"/>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103" t="s">
        <v>115</v>
      </c>
      <c r="B33" s="103"/>
      <c r="C33" s="103"/>
      <c r="D33" s="103"/>
      <c r="E33" s="103"/>
      <c r="F33" s="103"/>
      <c r="G33" s="103"/>
      <c r="H33" s="103"/>
      <c r="I33" s="103"/>
      <c r="J33" s="103"/>
      <c r="K33" s="103"/>
      <c r="L33" s="103"/>
      <c r="M33" s="103"/>
      <c r="N33" s="103"/>
      <c r="O33" s="103"/>
      <c r="P33" s="103"/>
      <c r="Q33" s="103"/>
      <c r="R33" s="103"/>
      <c r="S33" s="103"/>
    </row>
    <row r="34" spans="1:19" ht="18" customHeight="1" x14ac:dyDescent="0.15">
      <c r="A34" s="103"/>
      <c r="B34" s="103"/>
      <c r="C34" s="103"/>
      <c r="D34" s="103"/>
      <c r="E34" s="103"/>
      <c r="F34" s="103"/>
      <c r="G34" s="103"/>
      <c r="H34" s="103"/>
      <c r="I34" s="103"/>
      <c r="J34" s="103"/>
      <c r="K34" s="103"/>
      <c r="L34" s="103"/>
      <c r="M34" s="103"/>
      <c r="N34" s="103"/>
      <c r="O34" s="103"/>
      <c r="P34" s="103"/>
      <c r="Q34" s="103"/>
      <c r="R34" s="103"/>
      <c r="S34" s="103"/>
    </row>
    <row r="35" spans="1:19" ht="18" customHeight="1" x14ac:dyDescent="0.15">
      <c r="B35" s="97" t="s">
        <v>54</v>
      </c>
      <c r="C35" s="98"/>
      <c r="D35" s="98"/>
      <c r="E35" s="99"/>
      <c r="F35" s="58" t="s">
        <v>81</v>
      </c>
      <c r="G35" s="57" t="s">
        <v>85</v>
      </c>
      <c r="H35" s="22" t="s">
        <v>72</v>
      </c>
      <c r="I35" s="22" t="s">
        <v>73</v>
      </c>
      <c r="J35" s="97" t="s">
        <v>54</v>
      </c>
      <c r="K35" s="98"/>
      <c r="L35" s="98"/>
      <c r="M35" s="98"/>
      <c r="N35" s="98"/>
      <c r="O35" s="99"/>
      <c r="P35" s="58" t="s">
        <v>81</v>
      </c>
      <c r="Q35" s="57" t="s">
        <v>85</v>
      </c>
      <c r="R35" s="22" t="s">
        <v>72</v>
      </c>
      <c r="S35" s="22" t="s">
        <v>73</v>
      </c>
    </row>
    <row r="36" spans="1:19" ht="18" customHeight="1" x14ac:dyDescent="0.15">
      <c r="B36" s="91" t="s">
        <v>141</v>
      </c>
      <c r="C36" s="92"/>
      <c r="D36" s="92"/>
      <c r="E36" s="93"/>
      <c r="F36" s="23">
        <v>2</v>
      </c>
      <c r="G36" s="23" t="s">
        <v>142</v>
      </c>
      <c r="H36" s="23" t="s">
        <v>142</v>
      </c>
      <c r="I36" s="23" t="s">
        <v>142</v>
      </c>
      <c r="J36" s="91"/>
      <c r="K36" s="92"/>
      <c r="L36" s="92"/>
      <c r="M36" s="92"/>
      <c r="N36" s="92"/>
      <c r="O36" s="93"/>
      <c r="P36" s="23"/>
      <c r="Q36" s="23"/>
      <c r="R36" s="23"/>
      <c r="S36" s="23"/>
    </row>
    <row r="37" spans="1:19" ht="18" customHeight="1" x14ac:dyDescent="0.15">
      <c r="B37" s="94"/>
      <c r="C37" s="95"/>
      <c r="D37" s="95"/>
      <c r="E37" s="96"/>
      <c r="F37" s="24"/>
      <c r="G37" s="24"/>
      <c r="H37" s="24"/>
      <c r="I37" s="24"/>
      <c r="J37" s="94"/>
      <c r="K37" s="95"/>
      <c r="L37" s="95"/>
      <c r="M37" s="95"/>
      <c r="N37" s="95"/>
      <c r="O37" s="96"/>
      <c r="P37" s="24"/>
      <c r="Q37" s="24"/>
      <c r="R37" s="24"/>
      <c r="S37" s="24"/>
    </row>
    <row r="38" spans="1:19" ht="18" customHeight="1" x14ac:dyDescent="0.15">
      <c r="B38" s="94"/>
      <c r="C38" s="95"/>
      <c r="D38" s="95"/>
      <c r="E38" s="96"/>
      <c r="F38" s="24"/>
      <c r="G38" s="24"/>
      <c r="H38" s="24"/>
      <c r="I38" s="24"/>
      <c r="J38" s="94"/>
      <c r="K38" s="95"/>
      <c r="L38" s="95"/>
      <c r="M38" s="95"/>
      <c r="N38" s="95"/>
      <c r="O38" s="96"/>
      <c r="P38" s="24"/>
      <c r="Q38" s="24"/>
      <c r="R38" s="24"/>
      <c r="S38" s="24"/>
    </row>
    <row r="39" spans="1:19" ht="18" customHeight="1" x14ac:dyDescent="0.15">
      <c r="B39" s="94"/>
      <c r="C39" s="95"/>
      <c r="D39" s="95"/>
      <c r="E39" s="96"/>
      <c r="F39" s="24"/>
      <c r="G39" s="24"/>
      <c r="H39" s="24"/>
      <c r="I39" s="24"/>
      <c r="J39" s="94"/>
      <c r="K39" s="95"/>
      <c r="L39" s="95"/>
      <c r="M39" s="95"/>
      <c r="N39" s="95"/>
      <c r="O39" s="96"/>
      <c r="P39" s="24"/>
      <c r="Q39" s="24"/>
      <c r="R39" s="24"/>
      <c r="S39" s="24"/>
    </row>
    <row r="40" spans="1:19" ht="18" customHeight="1" x14ac:dyDescent="0.15">
      <c r="B40" s="94"/>
      <c r="C40" s="95"/>
      <c r="D40" s="95"/>
      <c r="E40" s="96"/>
      <c r="F40" s="24"/>
      <c r="G40" s="24"/>
      <c r="H40" s="24"/>
      <c r="I40" s="24"/>
      <c r="J40" s="94"/>
      <c r="K40" s="95"/>
      <c r="L40" s="95"/>
      <c r="M40" s="95"/>
      <c r="N40" s="95"/>
      <c r="O40" s="96"/>
      <c r="P40" s="24"/>
      <c r="Q40" s="24"/>
      <c r="R40" s="24"/>
      <c r="S40" s="24"/>
    </row>
    <row r="41" spans="1:19" ht="18" customHeight="1" x14ac:dyDescent="0.15">
      <c r="B41" s="94"/>
      <c r="C41" s="95"/>
      <c r="D41" s="95"/>
      <c r="E41" s="96"/>
      <c r="F41" s="24"/>
      <c r="G41" s="24"/>
      <c r="H41" s="24"/>
      <c r="I41" s="24"/>
      <c r="J41" s="94"/>
      <c r="K41" s="95"/>
      <c r="L41" s="95"/>
      <c r="M41" s="95"/>
      <c r="N41" s="95"/>
      <c r="O41" s="96"/>
      <c r="P41" s="24"/>
      <c r="Q41" s="24"/>
      <c r="R41" s="24"/>
      <c r="S41" s="24"/>
    </row>
    <row r="42" spans="1:19" ht="18" customHeight="1" x14ac:dyDescent="0.15">
      <c r="B42" s="100"/>
      <c r="C42" s="101"/>
      <c r="D42" s="101"/>
      <c r="E42" s="102"/>
      <c r="F42" s="25"/>
      <c r="G42" s="25"/>
      <c r="H42" s="26"/>
      <c r="I42" s="26"/>
      <c r="J42" s="100"/>
      <c r="K42" s="101"/>
      <c r="L42" s="101"/>
      <c r="M42" s="101"/>
      <c r="N42" s="101"/>
      <c r="O42" s="102"/>
      <c r="P42" s="25"/>
      <c r="Q42" s="25"/>
      <c r="R42" s="26"/>
      <c r="S42" s="26"/>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103" t="s">
        <v>116</v>
      </c>
      <c r="B44" s="103"/>
      <c r="C44" s="103"/>
      <c r="D44" s="103"/>
      <c r="E44" s="103"/>
      <c r="F44" s="103"/>
      <c r="G44" s="103"/>
      <c r="H44" s="103"/>
      <c r="I44" s="103"/>
      <c r="J44" s="103"/>
      <c r="K44" s="103"/>
      <c r="L44" s="103"/>
      <c r="M44" s="103"/>
      <c r="N44" s="103"/>
      <c r="O44" s="103"/>
      <c r="P44" s="103"/>
      <c r="Q44" s="103"/>
      <c r="R44" s="103"/>
      <c r="S44" s="103"/>
    </row>
    <row r="45" spans="1:19" ht="18" customHeight="1" x14ac:dyDescent="0.15">
      <c r="A45" s="103"/>
      <c r="B45" s="103"/>
      <c r="C45" s="103"/>
      <c r="D45" s="103"/>
      <c r="E45" s="103"/>
      <c r="F45" s="103"/>
      <c r="G45" s="103"/>
      <c r="H45" s="103"/>
      <c r="I45" s="103"/>
      <c r="J45" s="103"/>
      <c r="K45" s="103"/>
      <c r="L45" s="103"/>
      <c r="M45" s="103"/>
      <c r="N45" s="103"/>
      <c r="O45" s="103"/>
      <c r="P45" s="103"/>
      <c r="Q45" s="103"/>
      <c r="R45" s="103"/>
      <c r="S45" s="103"/>
    </row>
    <row r="46" spans="1:19" ht="18" customHeight="1" x14ac:dyDescent="0.15">
      <c r="B46" s="97" t="s">
        <v>54</v>
      </c>
      <c r="C46" s="98"/>
      <c r="D46" s="98"/>
      <c r="E46" s="99"/>
      <c r="F46" s="58" t="s">
        <v>81</v>
      </c>
      <c r="G46" s="57" t="s">
        <v>85</v>
      </c>
      <c r="H46" s="22" t="s">
        <v>74</v>
      </c>
      <c r="I46" s="22" t="s">
        <v>75</v>
      </c>
      <c r="J46" s="97" t="s">
        <v>54</v>
      </c>
      <c r="K46" s="98"/>
      <c r="L46" s="98"/>
      <c r="M46" s="98"/>
      <c r="N46" s="98"/>
      <c r="O46" s="99"/>
      <c r="P46" s="58" t="s">
        <v>81</v>
      </c>
      <c r="Q46" s="57" t="s">
        <v>85</v>
      </c>
      <c r="R46" s="22" t="s">
        <v>74</v>
      </c>
      <c r="S46" s="22" t="s">
        <v>75</v>
      </c>
    </row>
    <row r="47" spans="1:19" ht="18" customHeight="1" x14ac:dyDescent="0.15">
      <c r="A47" s="3"/>
      <c r="B47" s="91" t="s">
        <v>141</v>
      </c>
      <c r="C47" s="92"/>
      <c r="D47" s="92"/>
      <c r="E47" s="93"/>
      <c r="F47" s="23">
        <v>2</v>
      </c>
      <c r="G47" s="23" t="s">
        <v>142</v>
      </c>
      <c r="H47" s="23" t="s">
        <v>142</v>
      </c>
      <c r="I47" s="23" t="s">
        <v>142</v>
      </c>
      <c r="J47" s="91"/>
      <c r="K47" s="92"/>
      <c r="L47" s="92"/>
      <c r="M47" s="92"/>
      <c r="N47" s="92"/>
      <c r="O47" s="93"/>
      <c r="P47" s="23"/>
      <c r="Q47" s="23"/>
      <c r="R47" s="23"/>
      <c r="S47" s="23"/>
    </row>
    <row r="48" spans="1:19" ht="18" customHeight="1" x14ac:dyDescent="0.15">
      <c r="A48" s="3"/>
      <c r="B48" s="94"/>
      <c r="C48" s="95"/>
      <c r="D48" s="95"/>
      <c r="E48" s="96"/>
      <c r="F48" s="24"/>
      <c r="G48" s="24"/>
      <c r="H48" s="24"/>
      <c r="I48" s="24"/>
      <c r="J48" s="94"/>
      <c r="K48" s="95"/>
      <c r="L48" s="95"/>
      <c r="M48" s="95"/>
      <c r="N48" s="95"/>
      <c r="O48" s="96"/>
      <c r="P48" s="24"/>
      <c r="Q48" s="24"/>
      <c r="R48" s="24"/>
      <c r="S48" s="24"/>
    </row>
    <row r="49" spans="1:19" ht="18" customHeight="1" x14ac:dyDescent="0.15">
      <c r="A49" s="3"/>
      <c r="B49" s="94"/>
      <c r="C49" s="95"/>
      <c r="D49" s="95"/>
      <c r="E49" s="96"/>
      <c r="F49" s="24"/>
      <c r="G49" s="24"/>
      <c r="H49" s="24"/>
      <c r="I49" s="24"/>
      <c r="J49" s="94"/>
      <c r="K49" s="95"/>
      <c r="L49" s="95"/>
      <c r="M49" s="95"/>
      <c r="N49" s="95"/>
      <c r="O49" s="96"/>
      <c r="P49" s="24"/>
      <c r="Q49" s="24"/>
      <c r="R49" s="24"/>
      <c r="S49" s="24"/>
    </row>
    <row r="50" spans="1:19" ht="18" customHeight="1" x14ac:dyDescent="0.15">
      <c r="A50" s="3"/>
      <c r="B50" s="94"/>
      <c r="C50" s="95"/>
      <c r="D50" s="95"/>
      <c r="E50" s="96"/>
      <c r="F50" s="24"/>
      <c r="G50" s="24"/>
      <c r="H50" s="24"/>
      <c r="I50" s="24"/>
      <c r="J50" s="94"/>
      <c r="K50" s="95"/>
      <c r="L50" s="95"/>
      <c r="M50" s="95"/>
      <c r="N50" s="95"/>
      <c r="O50" s="96"/>
      <c r="P50" s="24"/>
      <c r="Q50" s="24"/>
      <c r="R50" s="24"/>
      <c r="S50" s="24"/>
    </row>
    <row r="51" spans="1:19" ht="18" customHeight="1" x14ac:dyDescent="0.15">
      <c r="A51" s="3"/>
      <c r="B51" s="94"/>
      <c r="C51" s="95"/>
      <c r="D51" s="95"/>
      <c r="E51" s="96"/>
      <c r="F51" s="24"/>
      <c r="G51" s="24"/>
      <c r="H51" s="24"/>
      <c r="I51" s="24"/>
      <c r="J51" s="94"/>
      <c r="K51" s="95"/>
      <c r="L51" s="95"/>
      <c r="M51" s="95"/>
      <c r="N51" s="95"/>
      <c r="O51" s="96"/>
      <c r="P51" s="24"/>
      <c r="Q51" s="24"/>
      <c r="R51" s="24"/>
      <c r="S51" s="24"/>
    </row>
    <row r="52" spans="1:19" ht="18" customHeight="1" x14ac:dyDescent="0.15">
      <c r="A52" s="3"/>
      <c r="B52" s="94"/>
      <c r="C52" s="95"/>
      <c r="D52" s="95"/>
      <c r="E52" s="96"/>
      <c r="F52" s="24"/>
      <c r="G52" s="24"/>
      <c r="H52" s="24"/>
      <c r="I52" s="24"/>
      <c r="J52" s="94"/>
      <c r="K52" s="95"/>
      <c r="L52" s="95"/>
      <c r="M52" s="95"/>
      <c r="N52" s="95"/>
      <c r="O52" s="96"/>
      <c r="P52" s="24"/>
      <c r="Q52" s="24"/>
      <c r="R52" s="24"/>
      <c r="S52" s="24"/>
    </row>
    <row r="53" spans="1:19" ht="18" customHeight="1" x14ac:dyDescent="0.15">
      <c r="A53" s="3"/>
      <c r="B53" s="100"/>
      <c r="C53" s="101"/>
      <c r="D53" s="101"/>
      <c r="E53" s="102"/>
      <c r="F53" s="25"/>
      <c r="G53" s="25"/>
      <c r="H53" s="26"/>
      <c r="I53" s="26"/>
      <c r="J53" s="100"/>
      <c r="K53" s="101"/>
      <c r="L53" s="101"/>
      <c r="M53" s="101"/>
      <c r="N53" s="101"/>
      <c r="O53" s="102"/>
      <c r="P53" s="25"/>
      <c r="Q53" s="25"/>
      <c r="R53" s="26"/>
      <c r="S53" s="26"/>
    </row>
    <row r="54" spans="1:19" ht="7.5" customHeight="1" x14ac:dyDescent="0.15">
      <c r="B54" s="15"/>
      <c r="C54" s="15"/>
      <c r="D54" s="15"/>
      <c r="E54" s="15"/>
      <c r="F54" s="15"/>
      <c r="G54" s="15"/>
      <c r="H54" s="15"/>
      <c r="I54" s="15"/>
      <c r="J54" s="15"/>
      <c r="K54" s="15"/>
      <c r="L54" s="15"/>
      <c r="M54" s="15"/>
      <c r="N54" s="15"/>
      <c r="O54" s="15"/>
      <c r="P54" s="15"/>
      <c r="Q54" s="15"/>
      <c r="R54" s="15"/>
    </row>
    <row r="55" spans="1:19" ht="18" customHeight="1" x14ac:dyDescent="0.15">
      <c r="A55" s="103" t="s">
        <v>117</v>
      </c>
      <c r="B55" s="103"/>
      <c r="C55" s="103"/>
      <c r="D55" s="103"/>
      <c r="E55" s="103"/>
      <c r="F55" s="103"/>
      <c r="G55" s="103"/>
      <c r="H55" s="103"/>
      <c r="I55" s="103"/>
      <c r="J55" s="103"/>
      <c r="K55" s="103"/>
      <c r="L55" s="103"/>
      <c r="M55" s="103"/>
      <c r="N55" s="103"/>
      <c r="O55" s="103"/>
      <c r="P55" s="103"/>
      <c r="Q55" s="103"/>
      <c r="R55" s="103"/>
      <c r="S55" s="103"/>
    </row>
    <row r="56" spans="1:19" ht="18" customHeight="1" x14ac:dyDescent="0.15">
      <c r="A56" s="103"/>
      <c r="B56" s="103"/>
      <c r="C56" s="103"/>
      <c r="D56" s="103"/>
      <c r="E56" s="103"/>
      <c r="F56" s="103"/>
      <c r="G56" s="103"/>
      <c r="H56" s="103"/>
      <c r="I56" s="103"/>
      <c r="J56" s="103"/>
      <c r="K56" s="103"/>
      <c r="L56" s="103"/>
      <c r="M56" s="103"/>
      <c r="N56" s="103"/>
      <c r="O56" s="103"/>
      <c r="P56" s="103"/>
      <c r="Q56" s="103"/>
      <c r="R56" s="103"/>
      <c r="S56" s="103"/>
    </row>
    <row r="57" spans="1:19" ht="18" customHeight="1" x14ac:dyDescent="0.15">
      <c r="B57" s="97" t="s">
        <v>54</v>
      </c>
      <c r="C57" s="98"/>
      <c r="D57" s="98"/>
      <c r="E57" s="99"/>
      <c r="F57" s="58" t="s">
        <v>81</v>
      </c>
      <c r="G57" s="57" t="s">
        <v>85</v>
      </c>
      <c r="H57" s="22" t="s">
        <v>59</v>
      </c>
      <c r="I57" s="22" t="s">
        <v>61</v>
      </c>
      <c r="J57" s="97" t="s">
        <v>54</v>
      </c>
      <c r="K57" s="98"/>
      <c r="L57" s="98"/>
      <c r="M57" s="98"/>
      <c r="N57" s="98"/>
      <c r="O57" s="99"/>
      <c r="P57" s="58" t="s">
        <v>81</v>
      </c>
      <c r="Q57" s="57" t="s">
        <v>85</v>
      </c>
      <c r="R57" s="22" t="s">
        <v>59</v>
      </c>
      <c r="S57" s="22" t="s">
        <v>61</v>
      </c>
    </row>
    <row r="58" spans="1:19" ht="18" customHeight="1" x14ac:dyDescent="0.15">
      <c r="A58" s="3"/>
      <c r="B58" s="91" t="s">
        <v>141</v>
      </c>
      <c r="C58" s="92"/>
      <c r="D58" s="92"/>
      <c r="E58" s="93"/>
      <c r="F58" s="23">
        <v>2</v>
      </c>
      <c r="G58" s="23" t="s">
        <v>142</v>
      </c>
      <c r="H58" s="23" t="s">
        <v>142</v>
      </c>
      <c r="I58" s="23" t="s">
        <v>142</v>
      </c>
      <c r="J58" s="91"/>
      <c r="K58" s="92"/>
      <c r="L58" s="92"/>
      <c r="M58" s="92"/>
      <c r="N58" s="92"/>
      <c r="O58" s="93"/>
      <c r="P58" s="23"/>
      <c r="Q58" s="23"/>
      <c r="R58" s="23"/>
      <c r="S58" s="23"/>
    </row>
    <row r="59" spans="1:19" ht="18" customHeight="1" x14ac:dyDescent="0.15">
      <c r="A59" s="3"/>
      <c r="B59" s="94"/>
      <c r="C59" s="95"/>
      <c r="D59" s="95"/>
      <c r="E59" s="96"/>
      <c r="F59" s="24"/>
      <c r="G59" s="24"/>
      <c r="H59" s="24"/>
      <c r="I59" s="24"/>
      <c r="J59" s="94"/>
      <c r="K59" s="95"/>
      <c r="L59" s="95"/>
      <c r="M59" s="95"/>
      <c r="N59" s="95"/>
      <c r="O59" s="96"/>
      <c r="P59" s="24"/>
      <c r="Q59" s="24"/>
      <c r="R59" s="24"/>
      <c r="S59" s="24"/>
    </row>
    <row r="60" spans="1:19" ht="18" customHeight="1" x14ac:dyDescent="0.15">
      <c r="A60" s="3"/>
      <c r="B60" s="94"/>
      <c r="C60" s="95"/>
      <c r="D60" s="95"/>
      <c r="E60" s="96"/>
      <c r="F60" s="24"/>
      <c r="G60" s="24"/>
      <c r="H60" s="24"/>
      <c r="I60" s="24"/>
      <c r="J60" s="94"/>
      <c r="K60" s="95"/>
      <c r="L60" s="95"/>
      <c r="M60" s="95"/>
      <c r="N60" s="95"/>
      <c r="O60" s="96"/>
      <c r="P60" s="24"/>
      <c r="Q60" s="24"/>
      <c r="R60" s="24"/>
      <c r="S60" s="24"/>
    </row>
    <row r="61" spans="1:19" ht="18" customHeight="1" x14ac:dyDescent="0.15">
      <c r="A61" s="3"/>
      <c r="B61" s="94"/>
      <c r="C61" s="95"/>
      <c r="D61" s="95"/>
      <c r="E61" s="96"/>
      <c r="F61" s="24"/>
      <c r="G61" s="24"/>
      <c r="H61" s="24"/>
      <c r="I61" s="24"/>
      <c r="J61" s="94"/>
      <c r="K61" s="95"/>
      <c r="L61" s="95"/>
      <c r="M61" s="95"/>
      <c r="N61" s="95"/>
      <c r="O61" s="96"/>
      <c r="P61" s="24"/>
      <c r="Q61" s="24"/>
      <c r="R61" s="24"/>
      <c r="S61" s="24"/>
    </row>
    <row r="62" spans="1:19" ht="18" customHeight="1" x14ac:dyDescent="0.15">
      <c r="A62" s="3"/>
      <c r="B62" s="94"/>
      <c r="C62" s="95"/>
      <c r="D62" s="95"/>
      <c r="E62" s="96"/>
      <c r="F62" s="24"/>
      <c r="G62" s="24"/>
      <c r="H62" s="24"/>
      <c r="I62" s="24"/>
      <c r="J62" s="94"/>
      <c r="K62" s="95"/>
      <c r="L62" s="95"/>
      <c r="M62" s="95"/>
      <c r="N62" s="95"/>
      <c r="O62" s="96"/>
      <c r="P62" s="24"/>
      <c r="Q62" s="24"/>
      <c r="R62" s="24"/>
      <c r="S62" s="24"/>
    </row>
    <row r="63" spans="1:19" ht="18" customHeight="1" x14ac:dyDescent="0.15">
      <c r="A63" s="3"/>
      <c r="B63" s="94"/>
      <c r="C63" s="95"/>
      <c r="D63" s="95"/>
      <c r="E63" s="96"/>
      <c r="F63" s="24"/>
      <c r="G63" s="24"/>
      <c r="H63" s="24"/>
      <c r="I63" s="24"/>
      <c r="J63" s="94"/>
      <c r="K63" s="95"/>
      <c r="L63" s="95"/>
      <c r="M63" s="95"/>
      <c r="N63" s="95"/>
      <c r="O63" s="96"/>
      <c r="P63" s="24"/>
      <c r="Q63" s="24"/>
      <c r="R63" s="24"/>
      <c r="S63" s="24"/>
    </row>
    <row r="64" spans="1:19" ht="18" customHeight="1" x14ac:dyDescent="0.15">
      <c r="A64" s="3"/>
      <c r="B64" s="100"/>
      <c r="C64" s="101"/>
      <c r="D64" s="101"/>
      <c r="E64" s="102"/>
      <c r="F64" s="25"/>
      <c r="G64" s="25"/>
      <c r="H64" s="26"/>
      <c r="I64" s="26"/>
      <c r="J64" s="100"/>
      <c r="K64" s="101"/>
      <c r="L64" s="101"/>
      <c r="M64" s="101"/>
      <c r="N64" s="101"/>
      <c r="O64" s="102"/>
      <c r="P64" s="25"/>
      <c r="Q64" s="25"/>
      <c r="R64" s="26"/>
      <c r="S64" s="26"/>
    </row>
    <row r="65" spans="1:19" ht="7.5" customHeight="1" x14ac:dyDescent="0.15">
      <c r="B65" s="15"/>
      <c r="C65" s="15"/>
      <c r="D65" s="15"/>
      <c r="E65" s="15"/>
      <c r="F65" s="15"/>
      <c r="G65" s="15"/>
      <c r="H65" s="15"/>
      <c r="I65" s="15"/>
      <c r="J65" s="15"/>
      <c r="K65" s="15"/>
      <c r="L65" s="15"/>
      <c r="M65" s="15"/>
      <c r="N65" s="15"/>
      <c r="O65" s="15"/>
      <c r="P65" s="15"/>
      <c r="Q65" s="15"/>
      <c r="R65" s="15"/>
    </row>
    <row r="66" spans="1:19" ht="18" customHeight="1" x14ac:dyDescent="0.15">
      <c r="A66" s="103" t="s">
        <v>118</v>
      </c>
      <c r="B66" s="103"/>
      <c r="C66" s="103"/>
      <c r="D66" s="103"/>
      <c r="E66" s="103"/>
      <c r="F66" s="103"/>
      <c r="G66" s="103"/>
      <c r="H66" s="103"/>
      <c r="I66" s="103"/>
      <c r="J66" s="103"/>
      <c r="K66" s="103"/>
      <c r="L66" s="103"/>
      <c r="M66" s="103"/>
      <c r="N66" s="103"/>
      <c r="O66" s="103"/>
      <c r="P66" s="103"/>
      <c r="Q66" s="103"/>
      <c r="R66" s="103"/>
      <c r="S66" s="103"/>
    </row>
    <row r="67" spans="1:19" ht="18" customHeight="1" x14ac:dyDescent="0.15">
      <c r="A67" s="103"/>
      <c r="B67" s="103"/>
      <c r="C67" s="103"/>
      <c r="D67" s="103"/>
      <c r="E67" s="103"/>
      <c r="F67" s="103"/>
      <c r="G67" s="103"/>
      <c r="H67" s="103"/>
      <c r="I67" s="103"/>
      <c r="J67" s="103"/>
      <c r="K67" s="103"/>
      <c r="L67" s="103"/>
      <c r="M67" s="103"/>
      <c r="N67" s="103"/>
      <c r="O67" s="103"/>
      <c r="P67" s="103"/>
      <c r="Q67" s="103"/>
      <c r="R67" s="103"/>
      <c r="S67" s="103"/>
    </row>
    <row r="68" spans="1:19" ht="18" customHeight="1" x14ac:dyDescent="0.15">
      <c r="B68" s="97" t="s">
        <v>54</v>
      </c>
      <c r="C68" s="98"/>
      <c r="D68" s="98"/>
      <c r="E68" s="58" t="s">
        <v>81</v>
      </c>
      <c r="F68" s="57" t="s">
        <v>85</v>
      </c>
      <c r="G68" s="22" t="s">
        <v>102</v>
      </c>
      <c r="H68" s="22" t="s">
        <v>76</v>
      </c>
      <c r="I68" s="22" t="s">
        <v>77</v>
      </c>
      <c r="J68" s="97" t="s">
        <v>54</v>
      </c>
      <c r="K68" s="98"/>
      <c r="L68" s="98"/>
      <c r="M68" s="98"/>
      <c r="N68" s="99"/>
      <c r="O68" s="58" t="s">
        <v>81</v>
      </c>
      <c r="P68" s="57" t="s">
        <v>85</v>
      </c>
      <c r="Q68" s="22" t="s">
        <v>102</v>
      </c>
      <c r="R68" s="22" t="s">
        <v>76</v>
      </c>
      <c r="S68" s="22" t="s">
        <v>77</v>
      </c>
    </row>
    <row r="69" spans="1:19" ht="18" customHeight="1" x14ac:dyDescent="0.15">
      <c r="A69" s="3"/>
      <c r="B69" s="91" t="s">
        <v>140</v>
      </c>
      <c r="C69" s="92"/>
      <c r="D69" s="92"/>
      <c r="E69" s="23">
        <v>2</v>
      </c>
      <c r="F69" s="23" t="s">
        <v>142</v>
      </c>
      <c r="G69" s="23" t="s">
        <v>142</v>
      </c>
      <c r="H69" s="23" t="s">
        <v>142</v>
      </c>
      <c r="I69" s="23" t="s">
        <v>142</v>
      </c>
      <c r="J69" s="91"/>
      <c r="K69" s="92"/>
      <c r="L69" s="92"/>
      <c r="M69" s="92"/>
      <c r="N69" s="93"/>
      <c r="O69" s="23"/>
      <c r="P69" s="23"/>
      <c r="Q69" s="23"/>
      <c r="R69" s="23"/>
      <c r="S69" s="23"/>
    </row>
    <row r="70" spans="1:19" ht="18" customHeight="1" x14ac:dyDescent="0.15">
      <c r="A70" s="3"/>
      <c r="B70" s="94"/>
      <c r="C70" s="95"/>
      <c r="D70" s="95"/>
      <c r="E70" s="24"/>
      <c r="F70" s="24"/>
      <c r="G70" s="24"/>
      <c r="H70" s="24"/>
      <c r="I70" s="24"/>
      <c r="J70" s="94"/>
      <c r="K70" s="95"/>
      <c r="L70" s="95"/>
      <c r="M70" s="95"/>
      <c r="N70" s="96"/>
      <c r="O70" s="24"/>
      <c r="P70" s="24"/>
      <c r="Q70" s="24"/>
      <c r="R70" s="24"/>
      <c r="S70" s="24"/>
    </row>
    <row r="71" spans="1:19" ht="18" customHeight="1" x14ac:dyDescent="0.15">
      <c r="A71" s="3"/>
      <c r="B71" s="94"/>
      <c r="C71" s="95"/>
      <c r="D71" s="95"/>
      <c r="E71" s="24"/>
      <c r="F71" s="24"/>
      <c r="G71" s="24"/>
      <c r="H71" s="24"/>
      <c r="I71" s="24"/>
      <c r="J71" s="94"/>
      <c r="K71" s="95"/>
      <c r="L71" s="95"/>
      <c r="M71" s="95"/>
      <c r="N71" s="96"/>
      <c r="O71" s="24"/>
      <c r="P71" s="24"/>
      <c r="Q71" s="24"/>
      <c r="R71" s="24"/>
      <c r="S71" s="24"/>
    </row>
    <row r="72" spans="1:19" ht="18" customHeight="1" x14ac:dyDescent="0.15">
      <c r="A72" s="3"/>
      <c r="B72" s="94"/>
      <c r="C72" s="95"/>
      <c r="D72" s="95"/>
      <c r="E72" s="24"/>
      <c r="F72" s="24"/>
      <c r="G72" s="24"/>
      <c r="H72" s="24"/>
      <c r="I72" s="24"/>
      <c r="J72" s="94"/>
      <c r="K72" s="95"/>
      <c r="L72" s="95"/>
      <c r="M72" s="95"/>
      <c r="N72" s="96"/>
      <c r="O72" s="24"/>
      <c r="P72" s="24"/>
      <c r="Q72" s="24"/>
      <c r="R72" s="24"/>
      <c r="S72" s="24"/>
    </row>
    <row r="73" spans="1:19" ht="18" customHeight="1" x14ac:dyDescent="0.15">
      <c r="A73" s="3"/>
      <c r="B73" s="94"/>
      <c r="C73" s="95"/>
      <c r="D73" s="95"/>
      <c r="E73" s="24"/>
      <c r="F73" s="24"/>
      <c r="G73" s="24"/>
      <c r="H73" s="24"/>
      <c r="I73" s="24"/>
      <c r="J73" s="94"/>
      <c r="K73" s="95"/>
      <c r="L73" s="95"/>
      <c r="M73" s="95"/>
      <c r="N73" s="96"/>
      <c r="O73" s="24"/>
      <c r="P73" s="24"/>
      <c r="Q73" s="24"/>
      <c r="R73" s="24"/>
      <c r="S73" s="24"/>
    </row>
    <row r="74" spans="1:19" ht="18" customHeight="1" x14ac:dyDescent="0.15">
      <c r="A74" s="3"/>
      <c r="B74" s="94"/>
      <c r="C74" s="95"/>
      <c r="D74" s="95"/>
      <c r="E74" s="24"/>
      <c r="F74" s="24"/>
      <c r="G74" s="24"/>
      <c r="H74" s="24"/>
      <c r="I74" s="24"/>
      <c r="J74" s="94"/>
      <c r="K74" s="95"/>
      <c r="L74" s="95"/>
      <c r="M74" s="95"/>
      <c r="N74" s="96"/>
      <c r="O74" s="24"/>
      <c r="P74" s="24"/>
      <c r="Q74" s="24"/>
      <c r="R74" s="24"/>
      <c r="S74" s="24"/>
    </row>
    <row r="75" spans="1:19" ht="18" customHeight="1" x14ac:dyDescent="0.15">
      <c r="A75" s="3"/>
      <c r="B75" s="100"/>
      <c r="C75" s="101"/>
      <c r="D75" s="101"/>
      <c r="E75" s="25"/>
      <c r="F75" s="25"/>
      <c r="G75" s="26"/>
      <c r="H75" s="26"/>
      <c r="I75" s="26"/>
      <c r="J75" s="100"/>
      <c r="K75" s="101"/>
      <c r="L75" s="101"/>
      <c r="M75" s="101"/>
      <c r="N75" s="102"/>
      <c r="O75" s="25"/>
      <c r="P75" s="25"/>
      <c r="Q75" s="26"/>
      <c r="R75" s="26"/>
      <c r="S75" s="26"/>
    </row>
    <row r="76" spans="1:19" ht="7.5" customHeight="1" x14ac:dyDescent="0.15">
      <c r="B76" s="15"/>
      <c r="C76" s="15"/>
      <c r="D76" s="15"/>
      <c r="E76" s="15"/>
      <c r="F76" s="15"/>
      <c r="G76" s="15"/>
      <c r="H76" s="15"/>
      <c r="I76" s="15"/>
      <c r="J76" s="15"/>
      <c r="K76" s="15"/>
      <c r="L76" s="15"/>
      <c r="M76" s="15"/>
      <c r="N76" s="15"/>
      <c r="O76" s="15"/>
      <c r="P76" s="15"/>
      <c r="Q76" s="15"/>
      <c r="R76" s="15"/>
    </row>
    <row r="77" spans="1:19" ht="18" customHeight="1" x14ac:dyDescent="0.15">
      <c r="A77" s="1" t="s">
        <v>119</v>
      </c>
      <c r="H77" s="3"/>
      <c r="I77" s="3"/>
      <c r="J77" s="3"/>
      <c r="K77" s="3"/>
      <c r="L77" s="3"/>
      <c r="M77" s="3"/>
      <c r="N77" s="3"/>
      <c r="O77" s="3"/>
      <c r="P77" s="3"/>
      <c r="Q77" s="3"/>
      <c r="R77" s="3"/>
      <c r="S77" s="3"/>
    </row>
    <row r="78" spans="1:19" ht="18" customHeight="1" x14ac:dyDescent="0.15">
      <c r="B78" s="97" t="s">
        <v>54</v>
      </c>
      <c r="C78" s="98"/>
      <c r="D78" s="98"/>
      <c r="E78" s="99"/>
      <c r="F78" s="97" t="s">
        <v>83</v>
      </c>
      <c r="G78" s="98"/>
      <c r="H78" s="98"/>
      <c r="I78" s="99"/>
      <c r="J78" s="130" t="s">
        <v>54</v>
      </c>
      <c r="K78" s="131"/>
      <c r="L78" s="131"/>
      <c r="M78" s="131"/>
      <c r="N78" s="131"/>
      <c r="O78" s="132"/>
      <c r="P78" s="97" t="s">
        <v>83</v>
      </c>
      <c r="Q78" s="98"/>
      <c r="R78" s="98"/>
      <c r="S78" s="99"/>
    </row>
    <row r="79" spans="1:19" ht="18" customHeight="1" x14ac:dyDescent="0.15">
      <c r="A79" s="3"/>
      <c r="B79" s="124"/>
      <c r="C79" s="125"/>
      <c r="D79" s="125"/>
      <c r="E79" s="126"/>
      <c r="F79" s="121"/>
      <c r="G79" s="122"/>
      <c r="H79" s="122"/>
      <c r="I79" s="123"/>
      <c r="J79" s="91"/>
      <c r="K79" s="92"/>
      <c r="L79" s="92"/>
      <c r="M79" s="92"/>
      <c r="N79" s="92"/>
      <c r="O79" s="93"/>
      <c r="P79" s="121"/>
      <c r="Q79" s="122"/>
      <c r="R79" s="122"/>
      <c r="S79" s="123"/>
    </row>
    <row r="80" spans="1:19" ht="18" customHeight="1" x14ac:dyDescent="0.15">
      <c r="A80" s="3"/>
      <c r="B80" s="94"/>
      <c r="C80" s="95"/>
      <c r="D80" s="95"/>
      <c r="E80" s="96"/>
      <c r="F80" s="127"/>
      <c r="G80" s="128"/>
      <c r="H80" s="128"/>
      <c r="I80" s="129"/>
      <c r="J80" s="94"/>
      <c r="K80" s="95"/>
      <c r="L80" s="95"/>
      <c r="M80" s="95"/>
      <c r="N80" s="95"/>
      <c r="O80" s="96"/>
      <c r="P80" s="127"/>
      <c r="Q80" s="128"/>
      <c r="R80" s="128"/>
      <c r="S80" s="129"/>
    </row>
    <row r="81" spans="1:19" ht="18" customHeight="1" x14ac:dyDescent="0.15">
      <c r="A81" s="3"/>
      <c r="B81" s="94"/>
      <c r="C81" s="95"/>
      <c r="D81" s="95"/>
      <c r="E81" s="96"/>
      <c r="F81" s="127"/>
      <c r="G81" s="128"/>
      <c r="H81" s="128"/>
      <c r="I81" s="129"/>
      <c r="J81" s="94"/>
      <c r="K81" s="95"/>
      <c r="L81" s="95"/>
      <c r="M81" s="95"/>
      <c r="N81" s="95"/>
      <c r="O81" s="96"/>
      <c r="P81" s="127"/>
      <c r="Q81" s="128"/>
      <c r="R81" s="128"/>
      <c r="S81" s="129"/>
    </row>
    <row r="82" spans="1:19" ht="18" customHeight="1" x14ac:dyDescent="0.15">
      <c r="A82" s="3"/>
      <c r="B82" s="94"/>
      <c r="C82" s="95"/>
      <c r="D82" s="95"/>
      <c r="E82" s="96"/>
      <c r="F82" s="127"/>
      <c r="G82" s="128"/>
      <c r="H82" s="128"/>
      <c r="I82" s="129"/>
      <c r="J82" s="94"/>
      <c r="K82" s="95"/>
      <c r="L82" s="95"/>
      <c r="M82" s="95"/>
      <c r="N82" s="95"/>
      <c r="O82" s="96"/>
      <c r="P82" s="127"/>
      <c r="Q82" s="128"/>
      <c r="R82" s="128"/>
      <c r="S82" s="129"/>
    </row>
    <row r="83" spans="1:19" ht="18" customHeight="1" x14ac:dyDescent="0.15">
      <c r="A83" s="3"/>
      <c r="B83" s="94"/>
      <c r="C83" s="95"/>
      <c r="D83" s="95"/>
      <c r="E83" s="96"/>
      <c r="F83" s="127"/>
      <c r="G83" s="128"/>
      <c r="H83" s="128"/>
      <c r="I83" s="129"/>
      <c r="J83" s="94"/>
      <c r="K83" s="95"/>
      <c r="L83" s="95"/>
      <c r="M83" s="95"/>
      <c r="N83" s="95"/>
      <c r="O83" s="96"/>
      <c r="P83" s="127"/>
      <c r="Q83" s="128"/>
      <c r="R83" s="128"/>
      <c r="S83" s="129"/>
    </row>
    <row r="84" spans="1:19" ht="18" customHeight="1" x14ac:dyDescent="0.15">
      <c r="A84" s="3"/>
      <c r="B84" s="94"/>
      <c r="C84" s="95"/>
      <c r="D84" s="95"/>
      <c r="E84" s="96"/>
      <c r="F84" s="127"/>
      <c r="G84" s="128"/>
      <c r="H84" s="128"/>
      <c r="I84" s="129"/>
      <c r="J84" s="94"/>
      <c r="K84" s="95"/>
      <c r="L84" s="95"/>
      <c r="M84" s="95"/>
      <c r="N84" s="95"/>
      <c r="O84" s="96"/>
      <c r="P84" s="127"/>
      <c r="Q84" s="128"/>
      <c r="R84" s="128"/>
      <c r="S84" s="129"/>
    </row>
    <row r="85" spans="1:19" ht="18" customHeight="1" x14ac:dyDescent="0.15">
      <c r="A85" s="3"/>
      <c r="B85" s="100"/>
      <c r="C85" s="101"/>
      <c r="D85" s="101"/>
      <c r="E85" s="102"/>
      <c r="F85" s="136"/>
      <c r="G85" s="137"/>
      <c r="H85" s="137"/>
      <c r="I85" s="138"/>
      <c r="J85" s="100"/>
      <c r="K85" s="101"/>
      <c r="L85" s="101"/>
      <c r="M85" s="101"/>
      <c r="N85" s="101"/>
      <c r="O85" s="102"/>
      <c r="P85" s="136"/>
      <c r="Q85" s="137"/>
      <c r="R85" s="137"/>
      <c r="S85" s="138"/>
    </row>
    <row r="86" spans="1:19" ht="18" customHeight="1" x14ac:dyDescent="0.15">
      <c r="A86" s="3"/>
      <c r="B86" s="6"/>
      <c r="C86" s="6"/>
      <c r="D86" s="6"/>
      <c r="E86" s="6"/>
      <c r="F86" s="27"/>
      <c r="G86" s="27"/>
      <c r="H86" s="27"/>
      <c r="I86" s="27"/>
      <c r="J86" s="6"/>
      <c r="K86" s="6"/>
      <c r="L86" s="6"/>
      <c r="M86" s="6"/>
      <c r="N86" s="6"/>
      <c r="O86" s="6"/>
      <c r="P86" s="27"/>
      <c r="Q86" s="27"/>
      <c r="R86" s="27"/>
      <c r="S86" s="27"/>
    </row>
    <row r="87" spans="1:19" ht="18.75" customHeight="1" x14ac:dyDescent="0.15">
      <c r="A87" s="1" t="s">
        <v>120</v>
      </c>
    </row>
    <row r="88" spans="1:19" ht="18.75" customHeight="1" x14ac:dyDescent="0.15">
      <c r="B88" s="116" t="s">
        <v>55</v>
      </c>
      <c r="C88" s="117"/>
      <c r="D88" s="98" t="s">
        <v>56</v>
      </c>
      <c r="E88" s="98"/>
      <c r="F88" s="98"/>
      <c r="G88" s="98"/>
      <c r="H88" s="98"/>
      <c r="I88" s="98"/>
      <c r="J88" s="98"/>
      <c r="K88" s="98"/>
      <c r="L88" s="98"/>
      <c r="M88" s="98"/>
      <c r="N88" s="98"/>
      <c r="O88" s="98"/>
      <c r="P88" s="98"/>
      <c r="Q88" s="98"/>
      <c r="R88" s="98"/>
      <c r="S88" s="99"/>
    </row>
    <row r="89" spans="1:19" ht="71.45" customHeight="1" x14ac:dyDescent="0.15">
      <c r="B89" s="104" t="s">
        <v>62</v>
      </c>
      <c r="C89" s="28" t="s">
        <v>57</v>
      </c>
      <c r="D89" s="118" t="s">
        <v>161</v>
      </c>
      <c r="E89" s="119"/>
      <c r="F89" s="119"/>
      <c r="G89" s="119"/>
      <c r="H89" s="119"/>
      <c r="I89" s="119"/>
      <c r="J89" s="119"/>
      <c r="K89" s="119"/>
      <c r="L89" s="119"/>
      <c r="M89" s="119"/>
      <c r="N89" s="119"/>
      <c r="O89" s="119"/>
      <c r="P89" s="119"/>
      <c r="Q89" s="119"/>
      <c r="R89" s="119"/>
      <c r="S89" s="120"/>
    </row>
    <row r="90" spans="1:19" ht="78.599999999999994" customHeight="1" x14ac:dyDescent="0.15">
      <c r="B90" s="105"/>
      <c r="C90" s="29" t="s">
        <v>78</v>
      </c>
      <c r="D90" s="139" t="s">
        <v>160</v>
      </c>
      <c r="E90" s="140"/>
      <c r="F90" s="140"/>
      <c r="G90" s="140"/>
      <c r="H90" s="140"/>
      <c r="I90" s="140"/>
      <c r="J90" s="140"/>
      <c r="K90" s="140"/>
      <c r="L90" s="140"/>
      <c r="M90" s="140"/>
      <c r="N90" s="140"/>
      <c r="O90" s="140"/>
      <c r="P90" s="140"/>
      <c r="Q90" s="140"/>
      <c r="R90" s="140"/>
      <c r="S90" s="141"/>
    </row>
    <row r="91" spans="1:19" ht="93" customHeight="1" x14ac:dyDescent="0.15">
      <c r="B91" s="104" t="s">
        <v>63</v>
      </c>
      <c r="C91" s="30" t="s">
        <v>72</v>
      </c>
      <c r="D91" s="142" t="s">
        <v>162</v>
      </c>
      <c r="E91" s="143"/>
      <c r="F91" s="143"/>
      <c r="G91" s="143"/>
      <c r="H91" s="143"/>
      <c r="I91" s="143"/>
      <c r="J91" s="143"/>
      <c r="K91" s="143"/>
      <c r="L91" s="143"/>
      <c r="M91" s="143"/>
      <c r="N91" s="143"/>
      <c r="O91" s="143"/>
      <c r="P91" s="143"/>
      <c r="Q91" s="143"/>
      <c r="R91" s="143"/>
      <c r="S91" s="144"/>
    </row>
    <row r="92" spans="1:19" ht="87" customHeight="1" x14ac:dyDescent="0.15">
      <c r="B92" s="106"/>
      <c r="C92" s="31" t="s">
        <v>73</v>
      </c>
      <c r="D92" s="148" t="s">
        <v>163</v>
      </c>
      <c r="E92" s="149"/>
      <c r="F92" s="149"/>
      <c r="G92" s="149"/>
      <c r="H92" s="149"/>
      <c r="I92" s="149"/>
      <c r="J92" s="149"/>
      <c r="K92" s="149"/>
      <c r="L92" s="149"/>
      <c r="M92" s="149"/>
      <c r="N92" s="149"/>
      <c r="O92" s="149"/>
      <c r="P92" s="149"/>
      <c r="Q92" s="149"/>
      <c r="R92" s="149"/>
      <c r="S92" s="150"/>
    </row>
    <row r="93" spans="1:19" ht="126.75" customHeight="1" x14ac:dyDescent="0.15">
      <c r="B93" s="104" t="s">
        <v>64</v>
      </c>
      <c r="C93" s="30" t="s">
        <v>74</v>
      </c>
      <c r="D93" s="142" t="s">
        <v>164</v>
      </c>
      <c r="E93" s="143"/>
      <c r="F93" s="143"/>
      <c r="G93" s="143"/>
      <c r="H93" s="143"/>
      <c r="I93" s="143"/>
      <c r="J93" s="143"/>
      <c r="K93" s="143"/>
      <c r="L93" s="143"/>
      <c r="M93" s="143"/>
      <c r="N93" s="143"/>
      <c r="O93" s="143"/>
      <c r="P93" s="143"/>
      <c r="Q93" s="143"/>
      <c r="R93" s="143"/>
      <c r="S93" s="144"/>
    </row>
    <row r="94" spans="1:19" ht="75.75" customHeight="1" x14ac:dyDescent="0.15">
      <c r="B94" s="106"/>
      <c r="C94" s="32" t="s">
        <v>75</v>
      </c>
      <c r="D94" s="145" t="s">
        <v>165</v>
      </c>
      <c r="E94" s="146"/>
      <c r="F94" s="146"/>
      <c r="G94" s="146"/>
      <c r="H94" s="146"/>
      <c r="I94" s="146"/>
      <c r="J94" s="146"/>
      <c r="K94" s="146"/>
      <c r="L94" s="146"/>
      <c r="M94" s="146"/>
      <c r="N94" s="146"/>
      <c r="O94" s="146"/>
      <c r="P94" s="146"/>
      <c r="Q94" s="146"/>
      <c r="R94" s="146"/>
      <c r="S94" s="147"/>
    </row>
    <row r="95" spans="1:19" ht="121.5" customHeight="1" x14ac:dyDescent="0.15">
      <c r="B95" s="104" t="s">
        <v>79</v>
      </c>
      <c r="C95" s="28" t="s">
        <v>59</v>
      </c>
      <c r="D95" s="113" t="s">
        <v>166</v>
      </c>
      <c r="E95" s="114"/>
      <c r="F95" s="114"/>
      <c r="G95" s="114"/>
      <c r="H95" s="114"/>
      <c r="I95" s="114"/>
      <c r="J95" s="114"/>
      <c r="K95" s="114"/>
      <c r="L95" s="114"/>
      <c r="M95" s="114"/>
      <c r="N95" s="114"/>
      <c r="O95" s="114"/>
      <c r="P95" s="114"/>
      <c r="Q95" s="114"/>
      <c r="R95" s="114"/>
      <c r="S95" s="115"/>
    </row>
    <row r="96" spans="1:19" ht="81.599999999999994" customHeight="1" x14ac:dyDescent="0.15">
      <c r="B96" s="106"/>
      <c r="C96" s="31" t="s">
        <v>61</v>
      </c>
      <c r="D96" s="148" t="s">
        <v>167</v>
      </c>
      <c r="E96" s="151"/>
      <c r="F96" s="151"/>
      <c r="G96" s="151"/>
      <c r="H96" s="151"/>
      <c r="I96" s="151"/>
      <c r="J96" s="151"/>
      <c r="K96" s="151"/>
      <c r="L96" s="151"/>
      <c r="M96" s="151"/>
      <c r="N96" s="151"/>
      <c r="O96" s="151"/>
      <c r="P96" s="151"/>
      <c r="Q96" s="151"/>
      <c r="R96" s="151"/>
      <c r="S96" s="152"/>
    </row>
    <row r="97" spans="1:19" ht="151.5" customHeight="1" x14ac:dyDescent="0.15">
      <c r="B97" s="104" t="s">
        <v>80</v>
      </c>
      <c r="C97" s="30" t="s">
        <v>58</v>
      </c>
      <c r="D97" s="107" t="s">
        <v>169</v>
      </c>
      <c r="E97" s="108"/>
      <c r="F97" s="108"/>
      <c r="G97" s="108"/>
      <c r="H97" s="108"/>
      <c r="I97" s="108"/>
      <c r="J97" s="108"/>
      <c r="K97" s="108"/>
      <c r="L97" s="108"/>
      <c r="M97" s="108"/>
      <c r="N97" s="108"/>
      <c r="O97" s="108"/>
      <c r="P97" s="108"/>
      <c r="Q97" s="108"/>
      <c r="R97" s="108"/>
      <c r="S97" s="109"/>
    </row>
    <row r="98" spans="1:19" ht="103.5" customHeight="1" x14ac:dyDescent="0.15">
      <c r="B98" s="105"/>
      <c r="C98" s="33" t="s">
        <v>76</v>
      </c>
      <c r="D98" s="153" t="s">
        <v>159</v>
      </c>
      <c r="E98" s="154"/>
      <c r="F98" s="154"/>
      <c r="G98" s="154"/>
      <c r="H98" s="154"/>
      <c r="I98" s="154"/>
      <c r="J98" s="154"/>
      <c r="K98" s="154"/>
      <c r="L98" s="154"/>
      <c r="M98" s="154"/>
      <c r="N98" s="154"/>
      <c r="O98" s="154"/>
      <c r="P98" s="154"/>
      <c r="Q98" s="154"/>
      <c r="R98" s="154"/>
      <c r="S98" s="155"/>
    </row>
    <row r="99" spans="1:19" ht="75" customHeight="1" x14ac:dyDescent="0.15">
      <c r="B99" s="106"/>
      <c r="C99" s="32" t="s">
        <v>77</v>
      </c>
      <c r="D99" s="110" t="s">
        <v>158</v>
      </c>
      <c r="E99" s="111"/>
      <c r="F99" s="111"/>
      <c r="G99" s="111"/>
      <c r="H99" s="111"/>
      <c r="I99" s="111"/>
      <c r="J99" s="111"/>
      <c r="K99" s="111"/>
      <c r="L99" s="111"/>
      <c r="M99" s="111"/>
      <c r="N99" s="111"/>
      <c r="O99" s="111"/>
      <c r="P99" s="111"/>
      <c r="Q99" s="111"/>
      <c r="R99" s="111"/>
      <c r="S99" s="112"/>
    </row>
    <row r="100" spans="1:19" ht="6" customHeight="1" x14ac:dyDescent="0.15"/>
    <row r="101" spans="1:19" ht="18.75" customHeight="1" x14ac:dyDescent="0.15">
      <c r="A101" s="1" t="s">
        <v>121</v>
      </c>
    </row>
    <row r="102" spans="1:19" ht="81.75" customHeight="1" x14ac:dyDescent="0.15">
      <c r="B102" s="133" t="s">
        <v>143</v>
      </c>
      <c r="C102" s="134"/>
      <c r="D102" s="134"/>
      <c r="E102" s="134"/>
      <c r="F102" s="134"/>
      <c r="G102" s="134"/>
      <c r="H102" s="134"/>
      <c r="I102" s="134"/>
      <c r="J102" s="134"/>
      <c r="K102" s="134"/>
      <c r="L102" s="134"/>
      <c r="M102" s="134"/>
      <c r="N102" s="134"/>
      <c r="O102" s="134"/>
      <c r="P102" s="134"/>
      <c r="Q102" s="134"/>
      <c r="R102" s="134"/>
      <c r="S102" s="135"/>
    </row>
    <row r="110" spans="1:19" ht="18" customHeight="1" x14ac:dyDescent="0.15"/>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F69:I75 P69:S75">
      <formula1>"○"</formula1>
    </dataValidation>
    <dataValidation type="list" allowBlank="1" showInputMessage="1" showErrorMessage="1" sqref="S32 S43 D32:G32 D43:G43">
      <formula1>"全学開講,一部開講"</formula1>
    </dataValidation>
    <dataValidation type="list" allowBlank="1" showInputMessage="1" showErrorMessage="1" sqref="K7 K12">
      <formula1>"学部・学科によって、修了要件は相違する,学部・学科によって、修了要件は相違しない"</formula1>
    </dataValidation>
    <dataValidation type="list" allowBlank="1" showInputMessage="1" showErrorMessage="1" sqref="F79:F86 P79:P86 G79:I80 G83:I86 Q83:S86 Q79:S8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1" manualBreakCount="1">
    <brk id="65"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S32"/>
  <sheetViews>
    <sheetView view="pageBreakPreview" topLeftCell="A10" zoomScaleNormal="100" zoomScaleSheetLayoutView="100" workbookViewId="0">
      <selection activeCell="AO5" sqref="AO5"/>
    </sheetView>
  </sheetViews>
  <sheetFormatPr defaultColWidth="9" defaultRowHeight="18.75" customHeight="1" x14ac:dyDescent="0.15"/>
  <cols>
    <col min="1" max="1" width="2.875" style="1" customWidth="1"/>
    <col min="2" max="2" width="20.875" style="1" customWidth="1"/>
    <col min="3" max="5" width="6.125" style="1" customWidth="1"/>
    <col min="6" max="42" width="4.875" style="1" customWidth="1"/>
    <col min="43" max="43" width="6.625" style="1" customWidth="1"/>
    <col min="44" max="16384" width="9" style="1"/>
  </cols>
  <sheetData>
    <row r="1" spans="1:45" ht="18" customHeight="1" x14ac:dyDescent="0.15">
      <c r="AQ1" s="1" t="s">
        <v>107</v>
      </c>
    </row>
    <row r="2" spans="1:45" ht="18" customHeight="1" x14ac:dyDescent="0.15">
      <c r="K2" s="35"/>
      <c r="Q2" s="35"/>
      <c r="W2" s="35"/>
      <c r="AC2" s="35"/>
      <c r="AI2" s="35"/>
      <c r="AL2" s="35" t="s">
        <v>109</v>
      </c>
      <c r="AM2" s="185" t="str">
        <f>'様式１　プログラムを構成する授業科目'!C2</f>
        <v>白百合女子大学</v>
      </c>
      <c r="AN2" s="185"/>
      <c r="AO2" s="185"/>
      <c r="AP2" s="185"/>
      <c r="AQ2" s="185"/>
    </row>
    <row r="3" spans="1:45" ht="18" customHeight="1" x14ac:dyDescent="0.15">
      <c r="A3" s="163" t="s">
        <v>48</v>
      </c>
      <c r="B3" s="163"/>
      <c r="C3" s="163"/>
      <c r="D3" s="163"/>
      <c r="E3" s="163"/>
      <c r="F3" s="163"/>
      <c r="G3" s="163"/>
      <c r="H3" s="163"/>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84</v>
      </c>
      <c r="C5" s="186" t="s">
        <v>135</v>
      </c>
      <c r="D5" s="187"/>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88" t="s">
        <v>45</v>
      </c>
      <c r="C9" s="203" t="s">
        <v>87</v>
      </c>
      <c r="D9" s="191" t="s">
        <v>47</v>
      </c>
      <c r="E9" s="194" t="s">
        <v>40</v>
      </c>
      <c r="F9" s="182" t="s">
        <v>86</v>
      </c>
      <c r="G9" s="182"/>
      <c r="H9" s="182"/>
      <c r="I9" s="182"/>
      <c r="J9" s="182"/>
      <c r="K9" s="182"/>
      <c r="L9" s="182" t="s">
        <v>49</v>
      </c>
      <c r="M9" s="182"/>
      <c r="N9" s="182"/>
      <c r="O9" s="182"/>
      <c r="P9" s="182"/>
      <c r="Q9" s="182"/>
      <c r="R9" s="182" t="s">
        <v>50</v>
      </c>
      <c r="S9" s="182"/>
      <c r="T9" s="182"/>
      <c r="U9" s="182"/>
      <c r="V9" s="182"/>
      <c r="W9" s="182"/>
      <c r="X9" s="182" t="s">
        <v>101</v>
      </c>
      <c r="Y9" s="182"/>
      <c r="Z9" s="182"/>
      <c r="AA9" s="182"/>
      <c r="AB9" s="182"/>
      <c r="AC9" s="182"/>
      <c r="AD9" s="182" t="s">
        <v>51</v>
      </c>
      <c r="AE9" s="182"/>
      <c r="AF9" s="182"/>
      <c r="AG9" s="182"/>
      <c r="AH9" s="182"/>
      <c r="AI9" s="182"/>
      <c r="AJ9" s="182" t="s">
        <v>52</v>
      </c>
      <c r="AK9" s="182"/>
      <c r="AL9" s="182"/>
      <c r="AM9" s="182"/>
      <c r="AN9" s="182"/>
      <c r="AO9" s="182"/>
      <c r="AP9" s="197" t="s">
        <v>35</v>
      </c>
      <c r="AQ9" s="200" t="s">
        <v>32</v>
      </c>
      <c r="AS9" s="2"/>
    </row>
    <row r="10" spans="1:45" ht="17.100000000000001" customHeight="1" x14ac:dyDescent="0.15">
      <c r="B10" s="189"/>
      <c r="C10" s="204"/>
      <c r="D10" s="192"/>
      <c r="E10" s="195"/>
      <c r="F10" s="183" t="s">
        <v>97</v>
      </c>
      <c r="G10" s="184"/>
      <c r="H10" s="184"/>
      <c r="I10" s="183" t="s">
        <v>29</v>
      </c>
      <c r="J10" s="184"/>
      <c r="K10" s="184"/>
      <c r="L10" s="183" t="s">
        <v>97</v>
      </c>
      <c r="M10" s="184"/>
      <c r="N10" s="184"/>
      <c r="O10" s="183" t="s">
        <v>29</v>
      </c>
      <c r="P10" s="184"/>
      <c r="Q10" s="184"/>
      <c r="R10" s="183" t="s">
        <v>97</v>
      </c>
      <c r="S10" s="184"/>
      <c r="T10" s="184"/>
      <c r="U10" s="183" t="s">
        <v>29</v>
      </c>
      <c r="V10" s="184"/>
      <c r="W10" s="184"/>
      <c r="X10" s="183" t="s">
        <v>97</v>
      </c>
      <c r="Y10" s="184"/>
      <c r="Z10" s="184"/>
      <c r="AA10" s="183" t="s">
        <v>29</v>
      </c>
      <c r="AB10" s="184"/>
      <c r="AC10" s="184"/>
      <c r="AD10" s="183" t="s">
        <v>97</v>
      </c>
      <c r="AE10" s="184"/>
      <c r="AF10" s="184"/>
      <c r="AG10" s="183" t="s">
        <v>29</v>
      </c>
      <c r="AH10" s="184"/>
      <c r="AI10" s="184"/>
      <c r="AJ10" s="183" t="s">
        <v>97</v>
      </c>
      <c r="AK10" s="184"/>
      <c r="AL10" s="184"/>
      <c r="AM10" s="183" t="s">
        <v>29</v>
      </c>
      <c r="AN10" s="184"/>
      <c r="AO10" s="184"/>
      <c r="AP10" s="198"/>
      <c r="AQ10" s="201"/>
      <c r="AS10" s="2"/>
    </row>
    <row r="11" spans="1:45" ht="18" customHeight="1" x14ac:dyDescent="0.15">
      <c r="B11" s="190"/>
      <c r="C11" s="205"/>
      <c r="D11" s="193"/>
      <c r="E11" s="196"/>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99"/>
      <c r="AQ11" s="202"/>
      <c r="AS11" s="2"/>
    </row>
    <row r="12" spans="1:45" ht="18" customHeight="1" x14ac:dyDescent="0.15">
      <c r="A12" s="6"/>
      <c r="B12" s="11" t="s">
        <v>136</v>
      </c>
      <c r="C12" s="79">
        <v>1103</v>
      </c>
      <c r="D12" s="80">
        <v>280</v>
      </c>
      <c r="E12" s="89">
        <v>1160</v>
      </c>
      <c r="F12" s="61">
        <v>34</v>
      </c>
      <c r="G12" s="62">
        <v>0</v>
      </c>
      <c r="H12" s="63">
        <v>34</v>
      </c>
      <c r="I12" s="61">
        <v>24</v>
      </c>
      <c r="J12" s="62">
        <v>0</v>
      </c>
      <c r="K12" s="63">
        <v>24</v>
      </c>
      <c r="L12" s="61">
        <f>M12+N12</f>
        <v>0</v>
      </c>
      <c r="M12" s="62"/>
      <c r="N12" s="63"/>
      <c r="O12" s="61">
        <f>P12+Q12</f>
        <v>0</v>
      </c>
      <c r="P12" s="62"/>
      <c r="Q12" s="63"/>
      <c r="R12" s="61">
        <f>S12+T12</f>
        <v>0</v>
      </c>
      <c r="S12" s="62"/>
      <c r="T12" s="63"/>
      <c r="U12" s="61">
        <f>V12+W12</f>
        <v>0</v>
      </c>
      <c r="V12" s="62"/>
      <c r="W12" s="63"/>
      <c r="X12" s="61">
        <f>Y12+Z12</f>
        <v>0</v>
      </c>
      <c r="Y12" s="62"/>
      <c r="Z12" s="63"/>
      <c r="AA12" s="61">
        <f>AB12+AC12</f>
        <v>0</v>
      </c>
      <c r="AB12" s="62"/>
      <c r="AC12" s="63"/>
      <c r="AD12" s="61">
        <f>AE12+AF12</f>
        <v>0</v>
      </c>
      <c r="AE12" s="62"/>
      <c r="AF12" s="63"/>
      <c r="AG12" s="61">
        <f>AH12+AI12</f>
        <v>0</v>
      </c>
      <c r="AH12" s="62"/>
      <c r="AI12" s="63"/>
      <c r="AJ12" s="61">
        <f>AK12+AL12</f>
        <v>0</v>
      </c>
      <c r="AK12" s="62"/>
      <c r="AL12" s="63"/>
      <c r="AM12" s="61">
        <f>AN12+AO12</f>
        <v>0</v>
      </c>
      <c r="AN12" s="62"/>
      <c r="AO12" s="63"/>
      <c r="AP12" s="60">
        <f>F12+L12+R12+X12+AD12+AJ12</f>
        <v>34</v>
      </c>
      <c r="AQ12" s="21">
        <f t="shared" ref="AQ12:AQ32" si="0">AP12/E12</f>
        <v>2.9310344827586206E-2</v>
      </c>
    </row>
    <row r="13" spans="1:45" ht="18" customHeight="1" x14ac:dyDescent="0.15">
      <c r="A13" s="6"/>
      <c r="B13" s="12" t="s">
        <v>137</v>
      </c>
      <c r="C13" s="81">
        <v>769</v>
      </c>
      <c r="D13" s="82">
        <v>195</v>
      </c>
      <c r="E13" s="90">
        <v>740</v>
      </c>
      <c r="F13" s="67">
        <v>29</v>
      </c>
      <c r="G13" s="62">
        <v>0</v>
      </c>
      <c r="H13" s="69">
        <v>29</v>
      </c>
      <c r="I13" s="67">
        <v>24</v>
      </c>
      <c r="J13" s="62">
        <v>0</v>
      </c>
      <c r="K13" s="69">
        <v>24</v>
      </c>
      <c r="L13" s="67">
        <f t="shared" ref="L13:L31" si="1">M13+N13</f>
        <v>0</v>
      </c>
      <c r="M13" s="68"/>
      <c r="N13" s="69"/>
      <c r="O13" s="67">
        <f t="shared" ref="O13:O31" si="2">P13+Q13</f>
        <v>0</v>
      </c>
      <c r="P13" s="68"/>
      <c r="Q13" s="69"/>
      <c r="R13" s="67">
        <f t="shared" ref="R13:R31" si="3">S13+T13</f>
        <v>0</v>
      </c>
      <c r="S13" s="68"/>
      <c r="T13" s="69"/>
      <c r="U13" s="67">
        <f t="shared" ref="U13:U31" si="4">V13+W13</f>
        <v>0</v>
      </c>
      <c r="V13" s="68"/>
      <c r="W13" s="69"/>
      <c r="X13" s="67">
        <f t="shared" ref="X13:X31" si="5">Y13+Z13</f>
        <v>0</v>
      </c>
      <c r="Y13" s="68"/>
      <c r="Z13" s="69"/>
      <c r="AA13" s="67">
        <f t="shared" ref="AA13:AA31" si="6">AB13+AC13</f>
        <v>0</v>
      </c>
      <c r="AB13" s="68"/>
      <c r="AC13" s="69"/>
      <c r="AD13" s="67">
        <f t="shared" ref="AD13:AD31" si="7">AE13+AF13</f>
        <v>0</v>
      </c>
      <c r="AE13" s="68"/>
      <c r="AF13" s="69"/>
      <c r="AG13" s="67">
        <f t="shared" ref="AG13:AG31" si="8">AH13+AI13</f>
        <v>0</v>
      </c>
      <c r="AH13" s="68"/>
      <c r="AI13" s="69"/>
      <c r="AJ13" s="67">
        <f t="shared" ref="AJ13:AJ31" si="9">AK13+AL13</f>
        <v>0</v>
      </c>
      <c r="AK13" s="68"/>
      <c r="AL13" s="69"/>
      <c r="AM13" s="67">
        <f t="shared" ref="AM13:AM31" si="10">AN13+AO13</f>
        <v>0</v>
      </c>
      <c r="AN13" s="68"/>
      <c r="AO13" s="69"/>
      <c r="AP13" s="65">
        <f t="shared" ref="AP13:AP31" si="11">F13+L13+R13+X13+AD13+AJ13</f>
        <v>29</v>
      </c>
      <c r="AQ13" s="20">
        <f t="shared" si="0"/>
        <v>3.9189189189189191E-2</v>
      </c>
    </row>
    <row r="14" spans="1:45" ht="18" customHeight="1" x14ac:dyDescent="0.15">
      <c r="A14" s="6"/>
      <c r="B14" s="12"/>
      <c r="C14" s="64"/>
      <c r="D14" s="65"/>
      <c r="E14" s="66"/>
      <c r="F14" s="67">
        <v>0</v>
      </c>
      <c r="G14" s="62"/>
      <c r="H14" s="69"/>
      <c r="I14" s="67">
        <v>0</v>
      </c>
      <c r="J14" s="62"/>
      <c r="K14" s="69"/>
      <c r="L14" s="67">
        <f t="shared" si="1"/>
        <v>0</v>
      </c>
      <c r="M14" s="68"/>
      <c r="N14" s="69"/>
      <c r="O14" s="67">
        <f t="shared" si="2"/>
        <v>0</v>
      </c>
      <c r="P14" s="68"/>
      <c r="Q14" s="69"/>
      <c r="R14" s="67">
        <f t="shared" si="3"/>
        <v>0</v>
      </c>
      <c r="S14" s="68"/>
      <c r="T14" s="69"/>
      <c r="U14" s="67">
        <f t="shared" si="4"/>
        <v>0</v>
      </c>
      <c r="V14" s="68"/>
      <c r="W14" s="69"/>
      <c r="X14" s="67">
        <f t="shared" si="5"/>
        <v>0</v>
      </c>
      <c r="Y14" s="68"/>
      <c r="Z14" s="69"/>
      <c r="AA14" s="67">
        <f t="shared" si="6"/>
        <v>0</v>
      </c>
      <c r="AB14" s="68"/>
      <c r="AC14" s="69"/>
      <c r="AD14" s="67">
        <f t="shared" si="7"/>
        <v>0</v>
      </c>
      <c r="AE14" s="68"/>
      <c r="AF14" s="69"/>
      <c r="AG14" s="67">
        <f t="shared" si="8"/>
        <v>0</v>
      </c>
      <c r="AH14" s="68"/>
      <c r="AI14" s="69"/>
      <c r="AJ14" s="67">
        <f t="shared" si="9"/>
        <v>0</v>
      </c>
      <c r="AK14" s="68"/>
      <c r="AL14" s="69"/>
      <c r="AM14" s="67">
        <f t="shared" si="10"/>
        <v>0</v>
      </c>
      <c r="AN14" s="68"/>
      <c r="AO14" s="69"/>
      <c r="AP14" s="65">
        <f t="shared" si="11"/>
        <v>0</v>
      </c>
      <c r="AQ14" s="8" t="e">
        <f t="shared" si="0"/>
        <v>#DIV/0!</v>
      </c>
    </row>
    <row r="15" spans="1:45" ht="18" customHeight="1" x14ac:dyDescent="0.15">
      <c r="A15" s="6"/>
      <c r="B15" s="12"/>
      <c r="C15" s="64"/>
      <c r="D15" s="65"/>
      <c r="E15" s="66"/>
      <c r="F15" s="67">
        <v>0</v>
      </c>
      <c r="G15" s="62"/>
      <c r="H15" s="69"/>
      <c r="I15" s="67">
        <v>0</v>
      </c>
      <c r="J15" s="62"/>
      <c r="K15" s="69"/>
      <c r="L15" s="67">
        <f t="shared" si="1"/>
        <v>0</v>
      </c>
      <c r="M15" s="68"/>
      <c r="N15" s="69"/>
      <c r="O15" s="67">
        <f t="shared" si="2"/>
        <v>0</v>
      </c>
      <c r="P15" s="68"/>
      <c r="Q15" s="69"/>
      <c r="R15" s="67">
        <f t="shared" si="3"/>
        <v>0</v>
      </c>
      <c r="S15" s="68"/>
      <c r="T15" s="69"/>
      <c r="U15" s="67">
        <f t="shared" si="4"/>
        <v>0</v>
      </c>
      <c r="V15" s="68"/>
      <c r="W15" s="69"/>
      <c r="X15" s="67">
        <f t="shared" si="5"/>
        <v>0</v>
      </c>
      <c r="Y15" s="68"/>
      <c r="Z15" s="69"/>
      <c r="AA15" s="67">
        <f t="shared" si="6"/>
        <v>0</v>
      </c>
      <c r="AB15" s="68"/>
      <c r="AC15" s="69"/>
      <c r="AD15" s="67">
        <f t="shared" si="7"/>
        <v>0</v>
      </c>
      <c r="AE15" s="68"/>
      <c r="AF15" s="69"/>
      <c r="AG15" s="67">
        <f t="shared" si="8"/>
        <v>0</v>
      </c>
      <c r="AH15" s="68"/>
      <c r="AI15" s="69"/>
      <c r="AJ15" s="67">
        <f t="shared" si="9"/>
        <v>0</v>
      </c>
      <c r="AK15" s="68"/>
      <c r="AL15" s="69"/>
      <c r="AM15" s="67">
        <f t="shared" si="10"/>
        <v>0</v>
      </c>
      <c r="AN15" s="68"/>
      <c r="AO15" s="69"/>
      <c r="AP15" s="65">
        <f t="shared" si="11"/>
        <v>0</v>
      </c>
      <c r="AQ15" s="8" t="e">
        <f t="shared" si="0"/>
        <v>#DIV/0!</v>
      </c>
    </row>
    <row r="16" spans="1:45" ht="18" customHeight="1" x14ac:dyDescent="0.15">
      <c r="A16" s="6"/>
      <c r="B16" s="12"/>
      <c r="C16" s="64"/>
      <c r="D16" s="65"/>
      <c r="E16" s="66"/>
      <c r="F16" s="67">
        <v>0</v>
      </c>
      <c r="G16" s="62"/>
      <c r="H16" s="69"/>
      <c r="I16" s="67">
        <v>0</v>
      </c>
      <c r="J16" s="62"/>
      <c r="K16" s="69"/>
      <c r="L16" s="67">
        <f t="shared" si="1"/>
        <v>0</v>
      </c>
      <c r="M16" s="68"/>
      <c r="N16" s="69"/>
      <c r="O16" s="67">
        <f t="shared" si="2"/>
        <v>0</v>
      </c>
      <c r="P16" s="68"/>
      <c r="Q16" s="69"/>
      <c r="R16" s="67">
        <f t="shared" si="3"/>
        <v>0</v>
      </c>
      <c r="S16" s="68"/>
      <c r="T16" s="69"/>
      <c r="U16" s="67">
        <f t="shared" si="4"/>
        <v>0</v>
      </c>
      <c r="V16" s="68"/>
      <c r="W16" s="69"/>
      <c r="X16" s="67">
        <f t="shared" si="5"/>
        <v>0</v>
      </c>
      <c r="Y16" s="68"/>
      <c r="Z16" s="69"/>
      <c r="AA16" s="67">
        <f t="shared" si="6"/>
        <v>0</v>
      </c>
      <c r="AB16" s="68"/>
      <c r="AC16" s="69"/>
      <c r="AD16" s="67">
        <f t="shared" si="7"/>
        <v>0</v>
      </c>
      <c r="AE16" s="68"/>
      <c r="AF16" s="69"/>
      <c r="AG16" s="67">
        <f t="shared" si="8"/>
        <v>0</v>
      </c>
      <c r="AH16" s="68"/>
      <c r="AI16" s="69"/>
      <c r="AJ16" s="67">
        <f t="shared" si="9"/>
        <v>0</v>
      </c>
      <c r="AK16" s="68"/>
      <c r="AL16" s="69"/>
      <c r="AM16" s="67">
        <f t="shared" si="10"/>
        <v>0</v>
      </c>
      <c r="AN16" s="68"/>
      <c r="AO16" s="69"/>
      <c r="AP16" s="65">
        <f t="shared" si="11"/>
        <v>0</v>
      </c>
      <c r="AQ16" s="8" t="e">
        <f t="shared" si="0"/>
        <v>#DIV/0!</v>
      </c>
    </row>
    <row r="17" spans="1:43" ht="18" customHeight="1" x14ac:dyDescent="0.15">
      <c r="A17" s="6"/>
      <c r="B17" s="12"/>
      <c r="C17" s="64"/>
      <c r="D17" s="65"/>
      <c r="E17" s="66"/>
      <c r="F17" s="67">
        <v>0</v>
      </c>
      <c r="G17" s="62"/>
      <c r="H17" s="69"/>
      <c r="I17" s="67">
        <v>0</v>
      </c>
      <c r="J17" s="62"/>
      <c r="K17" s="69"/>
      <c r="L17" s="67">
        <f t="shared" si="1"/>
        <v>0</v>
      </c>
      <c r="M17" s="68"/>
      <c r="N17" s="69"/>
      <c r="O17" s="67">
        <f t="shared" si="2"/>
        <v>0</v>
      </c>
      <c r="P17" s="68"/>
      <c r="Q17" s="69"/>
      <c r="R17" s="67">
        <f t="shared" si="3"/>
        <v>0</v>
      </c>
      <c r="S17" s="68"/>
      <c r="T17" s="69"/>
      <c r="U17" s="67">
        <f t="shared" si="4"/>
        <v>0</v>
      </c>
      <c r="V17" s="68"/>
      <c r="W17" s="69"/>
      <c r="X17" s="67">
        <f t="shared" si="5"/>
        <v>0</v>
      </c>
      <c r="Y17" s="68"/>
      <c r="Z17" s="69"/>
      <c r="AA17" s="67">
        <f t="shared" si="6"/>
        <v>0</v>
      </c>
      <c r="AB17" s="68"/>
      <c r="AC17" s="69"/>
      <c r="AD17" s="67">
        <f t="shared" si="7"/>
        <v>0</v>
      </c>
      <c r="AE17" s="68"/>
      <c r="AF17" s="69"/>
      <c r="AG17" s="67">
        <f t="shared" si="8"/>
        <v>0</v>
      </c>
      <c r="AH17" s="68"/>
      <c r="AI17" s="69"/>
      <c r="AJ17" s="67">
        <f t="shared" si="9"/>
        <v>0</v>
      </c>
      <c r="AK17" s="68"/>
      <c r="AL17" s="69"/>
      <c r="AM17" s="67">
        <f t="shared" si="10"/>
        <v>0</v>
      </c>
      <c r="AN17" s="68"/>
      <c r="AO17" s="69"/>
      <c r="AP17" s="65">
        <f t="shared" si="11"/>
        <v>0</v>
      </c>
      <c r="AQ17" s="8" t="e">
        <f t="shared" si="0"/>
        <v>#DIV/0!</v>
      </c>
    </row>
    <row r="18" spans="1:43" ht="18" customHeight="1" x14ac:dyDescent="0.15">
      <c r="A18" s="6"/>
      <c r="B18" s="12"/>
      <c r="C18" s="64"/>
      <c r="D18" s="65"/>
      <c r="E18" s="66"/>
      <c r="F18" s="67">
        <f t="shared" ref="F18:F31" si="12">G18+H18</f>
        <v>0</v>
      </c>
      <c r="G18" s="68"/>
      <c r="H18" s="69"/>
      <c r="I18" s="67">
        <f t="shared" ref="I18:I31" si="13">J18+K18</f>
        <v>0</v>
      </c>
      <c r="J18" s="68"/>
      <c r="K18" s="69"/>
      <c r="L18" s="67">
        <f t="shared" si="1"/>
        <v>0</v>
      </c>
      <c r="M18" s="68"/>
      <c r="N18" s="69"/>
      <c r="O18" s="67">
        <f t="shared" si="2"/>
        <v>0</v>
      </c>
      <c r="P18" s="68"/>
      <c r="Q18" s="69"/>
      <c r="R18" s="67">
        <f t="shared" si="3"/>
        <v>0</v>
      </c>
      <c r="S18" s="68"/>
      <c r="T18" s="69"/>
      <c r="U18" s="67">
        <f t="shared" si="4"/>
        <v>0</v>
      </c>
      <c r="V18" s="68"/>
      <c r="W18" s="69"/>
      <c r="X18" s="67">
        <f t="shared" si="5"/>
        <v>0</v>
      </c>
      <c r="Y18" s="68"/>
      <c r="Z18" s="69"/>
      <c r="AA18" s="67">
        <f t="shared" si="6"/>
        <v>0</v>
      </c>
      <c r="AB18" s="68"/>
      <c r="AC18" s="69"/>
      <c r="AD18" s="67">
        <f t="shared" si="7"/>
        <v>0</v>
      </c>
      <c r="AE18" s="68"/>
      <c r="AF18" s="69"/>
      <c r="AG18" s="67">
        <f t="shared" si="8"/>
        <v>0</v>
      </c>
      <c r="AH18" s="68"/>
      <c r="AI18" s="69"/>
      <c r="AJ18" s="67">
        <f t="shared" si="9"/>
        <v>0</v>
      </c>
      <c r="AK18" s="68"/>
      <c r="AL18" s="69"/>
      <c r="AM18" s="67">
        <f t="shared" si="10"/>
        <v>0</v>
      </c>
      <c r="AN18" s="68"/>
      <c r="AO18" s="69"/>
      <c r="AP18" s="65">
        <f t="shared" si="11"/>
        <v>0</v>
      </c>
      <c r="AQ18" s="8" t="e">
        <f t="shared" si="0"/>
        <v>#DIV/0!</v>
      </c>
    </row>
    <row r="19" spans="1:43" ht="18" customHeight="1" x14ac:dyDescent="0.15">
      <c r="A19" s="6"/>
      <c r="B19" s="12"/>
      <c r="C19" s="64"/>
      <c r="D19" s="65"/>
      <c r="E19" s="66"/>
      <c r="F19" s="67">
        <f t="shared" si="12"/>
        <v>0</v>
      </c>
      <c r="G19" s="68"/>
      <c r="H19" s="69"/>
      <c r="I19" s="67">
        <f t="shared" si="13"/>
        <v>0</v>
      </c>
      <c r="J19" s="68"/>
      <c r="K19" s="69"/>
      <c r="L19" s="67">
        <f t="shared" si="1"/>
        <v>0</v>
      </c>
      <c r="M19" s="68"/>
      <c r="N19" s="69"/>
      <c r="O19" s="67">
        <f t="shared" si="2"/>
        <v>0</v>
      </c>
      <c r="P19" s="68"/>
      <c r="Q19" s="69"/>
      <c r="R19" s="67">
        <f t="shared" si="3"/>
        <v>0</v>
      </c>
      <c r="S19" s="68"/>
      <c r="T19" s="69"/>
      <c r="U19" s="67">
        <f t="shared" si="4"/>
        <v>0</v>
      </c>
      <c r="V19" s="68"/>
      <c r="W19" s="69"/>
      <c r="X19" s="67">
        <f t="shared" si="5"/>
        <v>0</v>
      </c>
      <c r="Y19" s="68"/>
      <c r="Z19" s="69"/>
      <c r="AA19" s="67">
        <f t="shared" si="6"/>
        <v>0</v>
      </c>
      <c r="AB19" s="68"/>
      <c r="AC19" s="69"/>
      <c r="AD19" s="67">
        <f t="shared" si="7"/>
        <v>0</v>
      </c>
      <c r="AE19" s="68"/>
      <c r="AF19" s="69"/>
      <c r="AG19" s="67">
        <f t="shared" si="8"/>
        <v>0</v>
      </c>
      <c r="AH19" s="68"/>
      <c r="AI19" s="69"/>
      <c r="AJ19" s="67">
        <f t="shared" si="9"/>
        <v>0</v>
      </c>
      <c r="AK19" s="68"/>
      <c r="AL19" s="69"/>
      <c r="AM19" s="67">
        <f t="shared" si="10"/>
        <v>0</v>
      </c>
      <c r="AN19" s="68"/>
      <c r="AO19" s="69"/>
      <c r="AP19" s="65">
        <f t="shared" si="11"/>
        <v>0</v>
      </c>
      <c r="AQ19" s="8" t="e">
        <f t="shared" si="0"/>
        <v>#DIV/0!</v>
      </c>
    </row>
    <row r="20" spans="1:43" ht="18" customHeight="1" x14ac:dyDescent="0.15">
      <c r="A20" s="6"/>
      <c r="B20" s="12"/>
      <c r="C20" s="64"/>
      <c r="D20" s="65"/>
      <c r="E20" s="66"/>
      <c r="F20" s="67">
        <f t="shared" si="12"/>
        <v>0</v>
      </c>
      <c r="G20" s="68"/>
      <c r="H20" s="69"/>
      <c r="I20" s="67">
        <f t="shared" si="13"/>
        <v>0</v>
      </c>
      <c r="J20" s="68"/>
      <c r="K20" s="69"/>
      <c r="L20" s="67">
        <f t="shared" si="1"/>
        <v>0</v>
      </c>
      <c r="M20" s="68"/>
      <c r="N20" s="69"/>
      <c r="O20" s="67">
        <f t="shared" si="2"/>
        <v>0</v>
      </c>
      <c r="P20" s="68"/>
      <c r="Q20" s="69"/>
      <c r="R20" s="67">
        <f t="shared" si="3"/>
        <v>0</v>
      </c>
      <c r="S20" s="68"/>
      <c r="T20" s="69"/>
      <c r="U20" s="67">
        <f t="shared" si="4"/>
        <v>0</v>
      </c>
      <c r="V20" s="68"/>
      <c r="W20" s="69"/>
      <c r="X20" s="67">
        <f t="shared" si="5"/>
        <v>0</v>
      </c>
      <c r="Y20" s="68"/>
      <c r="Z20" s="69"/>
      <c r="AA20" s="67">
        <f t="shared" si="6"/>
        <v>0</v>
      </c>
      <c r="AB20" s="68"/>
      <c r="AC20" s="69"/>
      <c r="AD20" s="67">
        <f t="shared" si="7"/>
        <v>0</v>
      </c>
      <c r="AE20" s="68"/>
      <c r="AF20" s="69"/>
      <c r="AG20" s="67">
        <f t="shared" si="8"/>
        <v>0</v>
      </c>
      <c r="AH20" s="68"/>
      <c r="AI20" s="69"/>
      <c r="AJ20" s="67">
        <f t="shared" si="9"/>
        <v>0</v>
      </c>
      <c r="AK20" s="68"/>
      <c r="AL20" s="69"/>
      <c r="AM20" s="67">
        <f t="shared" si="10"/>
        <v>0</v>
      </c>
      <c r="AN20" s="68"/>
      <c r="AO20" s="69"/>
      <c r="AP20" s="65">
        <f t="shared" si="11"/>
        <v>0</v>
      </c>
      <c r="AQ20" s="8" t="e">
        <f t="shared" si="0"/>
        <v>#DIV/0!</v>
      </c>
    </row>
    <row r="21" spans="1:43" ht="18" customHeight="1" x14ac:dyDescent="0.15">
      <c r="A21" s="6"/>
      <c r="B21" s="12"/>
      <c r="C21" s="64"/>
      <c r="D21" s="65"/>
      <c r="E21" s="66"/>
      <c r="F21" s="67">
        <f t="shared" si="12"/>
        <v>0</v>
      </c>
      <c r="G21" s="68"/>
      <c r="H21" s="69"/>
      <c r="I21" s="67">
        <f t="shared" si="13"/>
        <v>0</v>
      </c>
      <c r="J21" s="68"/>
      <c r="K21" s="69"/>
      <c r="L21" s="67">
        <f t="shared" si="1"/>
        <v>0</v>
      </c>
      <c r="M21" s="68"/>
      <c r="N21" s="69"/>
      <c r="O21" s="67">
        <f t="shared" si="2"/>
        <v>0</v>
      </c>
      <c r="P21" s="68"/>
      <c r="Q21" s="69"/>
      <c r="R21" s="67">
        <f t="shared" si="3"/>
        <v>0</v>
      </c>
      <c r="S21" s="68"/>
      <c r="T21" s="69"/>
      <c r="U21" s="67">
        <f t="shared" si="4"/>
        <v>0</v>
      </c>
      <c r="V21" s="68"/>
      <c r="W21" s="69"/>
      <c r="X21" s="67">
        <f t="shared" si="5"/>
        <v>0</v>
      </c>
      <c r="Y21" s="68"/>
      <c r="Z21" s="69"/>
      <c r="AA21" s="67">
        <f t="shared" si="6"/>
        <v>0</v>
      </c>
      <c r="AB21" s="68"/>
      <c r="AC21" s="69"/>
      <c r="AD21" s="67">
        <f t="shared" si="7"/>
        <v>0</v>
      </c>
      <c r="AE21" s="68"/>
      <c r="AF21" s="69"/>
      <c r="AG21" s="67">
        <f t="shared" si="8"/>
        <v>0</v>
      </c>
      <c r="AH21" s="68"/>
      <c r="AI21" s="69"/>
      <c r="AJ21" s="67">
        <f t="shared" si="9"/>
        <v>0</v>
      </c>
      <c r="AK21" s="68"/>
      <c r="AL21" s="69"/>
      <c r="AM21" s="67">
        <f t="shared" si="10"/>
        <v>0</v>
      </c>
      <c r="AN21" s="68"/>
      <c r="AO21" s="69"/>
      <c r="AP21" s="65">
        <f t="shared" si="11"/>
        <v>0</v>
      </c>
      <c r="AQ21" s="8" t="e">
        <f t="shared" si="0"/>
        <v>#DIV/0!</v>
      </c>
    </row>
    <row r="22" spans="1:43" ht="18" customHeight="1" x14ac:dyDescent="0.15">
      <c r="A22" s="6"/>
      <c r="B22" s="12"/>
      <c r="C22" s="64"/>
      <c r="D22" s="65"/>
      <c r="E22" s="66"/>
      <c r="F22" s="67">
        <f t="shared" si="12"/>
        <v>0</v>
      </c>
      <c r="G22" s="68"/>
      <c r="H22" s="69"/>
      <c r="I22" s="67">
        <f t="shared" si="13"/>
        <v>0</v>
      </c>
      <c r="J22" s="68"/>
      <c r="K22" s="69"/>
      <c r="L22" s="67">
        <f t="shared" si="1"/>
        <v>0</v>
      </c>
      <c r="M22" s="68"/>
      <c r="N22" s="69"/>
      <c r="O22" s="67">
        <f t="shared" si="2"/>
        <v>0</v>
      </c>
      <c r="P22" s="68"/>
      <c r="Q22" s="69"/>
      <c r="R22" s="67">
        <f t="shared" si="3"/>
        <v>0</v>
      </c>
      <c r="S22" s="68"/>
      <c r="T22" s="69"/>
      <c r="U22" s="67">
        <f t="shared" si="4"/>
        <v>0</v>
      </c>
      <c r="V22" s="68"/>
      <c r="W22" s="69"/>
      <c r="X22" s="67">
        <f t="shared" si="5"/>
        <v>0</v>
      </c>
      <c r="Y22" s="68"/>
      <c r="Z22" s="69"/>
      <c r="AA22" s="67">
        <f t="shared" si="6"/>
        <v>0</v>
      </c>
      <c r="AB22" s="68"/>
      <c r="AC22" s="69"/>
      <c r="AD22" s="67">
        <f t="shared" si="7"/>
        <v>0</v>
      </c>
      <c r="AE22" s="68"/>
      <c r="AF22" s="69"/>
      <c r="AG22" s="67">
        <f t="shared" si="8"/>
        <v>0</v>
      </c>
      <c r="AH22" s="68"/>
      <c r="AI22" s="69"/>
      <c r="AJ22" s="67">
        <f t="shared" si="9"/>
        <v>0</v>
      </c>
      <c r="AK22" s="68"/>
      <c r="AL22" s="69"/>
      <c r="AM22" s="67">
        <f t="shared" si="10"/>
        <v>0</v>
      </c>
      <c r="AN22" s="68"/>
      <c r="AO22" s="69"/>
      <c r="AP22" s="65">
        <f t="shared" si="11"/>
        <v>0</v>
      </c>
      <c r="AQ22" s="8" t="e">
        <f t="shared" si="0"/>
        <v>#DIV/0!</v>
      </c>
    </row>
    <row r="23" spans="1:43" ht="18" customHeight="1" x14ac:dyDescent="0.15">
      <c r="A23" s="6"/>
      <c r="B23" s="12"/>
      <c r="C23" s="64"/>
      <c r="D23" s="65"/>
      <c r="E23" s="66"/>
      <c r="F23" s="67">
        <f t="shared" si="12"/>
        <v>0</v>
      </c>
      <c r="G23" s="68"/>
      <c r="H23" s="69"/>
      <c r="I23" s="67">
        <f t="shared" si="13"/>
        <v>0</v>
      </c>
      <c r="J23" s="68"/>
      <c r="K23" s="69"/>
      <c r="L23" s="67">
        <f t="shared" si="1"/>
        <v>0</v>
      </c>
      <c r="M23" s="68"/>
      <c r="N23" s="69"/>
      <c r="O23" s="67">
        <f t="shared" si="2"/>
        <v>0</v>
      </c>
      <c r="P23" s="68"/>
      <c r="Q23" s="69"/>
      <c r="R23" s="67">
        <f t="shared" si="3"/>
        <v>0</v>
      </c>
      <c r="S23" s="68"/>
      <c r="T23" s="69"/>
      <c r="U23" s="67">
        <f t="shared" si="4"/>
        <v>0</v>
      </c>
      <c r="V23" s="68"/>
      <c r="W23" s="69"/>
      <c r="X23" s="67">
        <f t="shared" si="5"/>
        <v>0</v>
      </c>
      <c r="Y23" s="68"/>
      <c r="Z23" s="69"/>
      <c r="AA23" s="67">
        <f t="shared" si="6"/>
        <v>0</v>
      </c>
      <c r="AB23" s="68"/>
      <c r="AC23" s="69"/>
      <c r="AD23" s="67">
        <f t="shared" si="7"/>
        <v>0</v>
      </c>
      <c r="AE23" s="68"/>
      <c r="AF23" s="69"/>
      <c r="AG23" s="67">
        <f t="shared" si="8"/>
        <v>0</v>
      </c>
      <c r="AH23" s="68"/>
      <c r="AI23" s="69"/>
      <c r="AJ23" s="67">
        <f t="shared" si="9"/>
        <v>0</v>
      </c>
      <c r="AK23" s="68"/>
      <c r="AL23" s="69"/>
      <c r="AM23" s="67">
        <f t="shared" si="10"/>
        <v>0</v>
      </c>
      <c r="AN23" s="68"/>
      <c r="AO23" s="69"/>
      <c r="AP23" s="65">
        <f t="shared" si="11"/>
        <v>0</v>
      </c>
      <c r="AQ23" s="8" t="e">
        <f t="shared" si="0"/>
        <v>#DIV/0!</v>
      </c>
    </row>
    <row r="24" spans="1:43" ht="18" customHeight="1" x14ac:dyDescent="0.15">
      <c r="A24" s="6"/>
      <c r="B24" s="12"/>
      <c r="C24" s="64"/>
      <c r="D24" s="65"/>
      <c r="E24" s="66"/>
      <c r="F24" s="67">
        <f t="shared" si="12"/>
        <v>0</v>
      </c>
      <c r="G24" s="68"/>
      <c r="H24" s="69"/>
      <c r="I24" s="67">
        <f t="shared" si="13"/>
        <v>0</v>
      </c>
      <c r="J24" s="68"/>
      <c r="K24" s="69"/>
      <c r="L24" s="67">
        <f t="shared" si="1"/>
        <v>0</v>
      </c>
      <c r="M24" s="68"/>
      <c r="N24" s="69"/>
      <c r="O24" s="67">
        <f t="shared" si="2"/>
        <v>0</v>
      </c>
      <c r="P24" s="68"/>
      <c r="Q24" s="69"/>
      <c r="R24" s="67">
        <f t="shared" si="3"/>
        <v>0</v>
      </c>
      <c r="S24" s="68"/>
      <c r="T24" s="69"/>
      <c r="U24" s="67">
        <f t="shared" si="4"/>
        <v>0</v>
      </c>
      <c r="V24" s="68"/>
      <c r="W24" s="69"/>
      <c r="X24" s="67">
        <f t="shared" si="5"/>
        <v>0</v>
      </c>
      <c r="Y24" s="68"/>
      <c r="Z24" s="69"/>
      <c r="AA24" s="67">
        <f t="shared" si="6"/>
        <v>0</v>
      </c>
      <c r="AB24" s="68"/>
      <c r="AC24" s="69"/>
      <c r="AD24" s="67">
        <f t="shared" si="7"/>
        <v>0</v>
      </c>
      <c r="AE24" s="68"/>
      <c r="AF24" s="69"/>
      <c r="AG24" s="67">
        <f t="shared" si="8"/>
        <v>0</v>
      </c>
      <c r="AH24" s="68"/>
      <c r="AI24" s="69"/>
      <c r="AJ24" s="67">
        <f t="shared" si="9"/>
        <v>0</v>
      </c>
      <c r="AK24" s="68"/>
      <c r="AL24" s="69"/>
      <c r="AM24" s="67">
        <f t="shared" si="10"/>
        <v>0</v>
      </c>
      <c r="AN24" s="68"/>
      <c r="AO24" s="69"/>
      <c r="AP24" s="65">
        <f t="shared" si="11"/>
        <v>0</v>
      </c>
      <c r="AQ24" s="8" t="e">
        <f t="shared" si="0"/>
        <v>#DIV/0!</v>
      </c>
    </row>
    <row r="25" spans="1:43" ht="18" customHeight="1" x14ac:dyDescent="0.15">
      <c r="A25" s="6"/>
      <c r="B25" s="12"/>
      <c r="C25" s="64"/>
      <c r="D25" s="65"/>
      <c r="E25" s="66"/>
      <c r="F25" s="67">
        <f t="shared" si="12"/>
        <v>0</v>
      </c>
      <c r="G25" s="68"/>
      <c r="H25" s="69"/>
      <c r="I25" s="67">
        <f t="shared" si="13"/>
        <v>0</v>
      </c>
      <c r="J25" s="68"/>
      <c r="K25" s="69"/>
      <c r="L25" s="67">
        <f t="shared" si="1"/>
        <v>0</v>
      </c>
      <c r="M25" s="68"/>
      <c r="N25" s="69"/>
      <c r="O25" s="67">
        <f t="shared" si="2"/>
        <v>0</v>
      </c>
      <c r="P25" s="68"/>
      <c r="Q25" s="69"/>
      <c r="R25" s="67">
        <f t="shared" si="3"/>
        <v>0</v>
      </c>
      <c r="S25" s="68"/>
      <c r="T25" s="69"/>
      <c r="U25" s="67">
        <f t="shared" si="4"/>
        <v>0</v>
      </c>
      <c r="V25" s="68"/>
      <c r="W25" s="69"/>
      <c r="X25" s="67">
        <f t="shared" si="5"/>
        <v>0</v>
      </c>
      <c r="Y25" s="68"/>
      <c r="Z25" s="69"/>
      <c r="AA25" s="67">
        <f t="shared" si="6"/>
        <v>0</v>
      </c>
      <c r="AB25" s="68"/>
      <c r="AC25" s="69"/>
      <c r="AD25" s="67">
        <f t="shared" si="7"/>
        <v>0</v>
      </c>
      <c r="AE25" s="68"/>
      <c r="AF25" s="69"/>
      <c r="AG25" s="67">
        <f t="shared" si="8"/>
        <v>0</v>
      </c>
      <c r="AH25" s="68"/>
      <c r="AI25" s="69"/>
      <c r="AJ25" s="67">
        <f t="shared" si="9"/>
        <v>0</v>
      </c>
      <c r="AK25" s="68"/>
      <c r="AL25" s="69"/>
      <c r="AM25" s="67">
        <f t="shared" si="10"/>
        <v>0</v>
      </c>
      <c r="AN25" s="68"/>
      <c r="AO25" s="69"/>
      <c r="AP25" s="65">
        <f t="shared" si="11"/>
        <v>0</v>
      </c>
      <c r="AQ25" s="8" t="e">
        <f t="shared" si="0"/>
        <v>#DIV/0!</v>
      </c>
    </row>
    <row r="26" spans="1:43" ht="18" customHeight="1" x14ac:dyDescent="0.15">
      <c r="A26" s="6"/>
      <c r="B26" s="12"/>
      <c r="C26" s="64"/>
      <c r="D26" s="65"/>
      <c r="E26" s="66"/>
      <c r="F26" s="67">
        <f t="shared" si="12"/>
        <v>0</v>
      </c>
      <c r="G26" s="68"/>
      <c r="H26" s="69"/>
      <c r="I26" s="67">
        <f t="shared" si="13"/>
        <v>0</v>
      </c>
      <c r="J26" s="68"/>
      <c r="K26" s="69"/>
      <c r="L26" s="67">
        <f t="shared" si="1"/>
        <v>0</v>
      </c>
      <c r="M26" s="68"/>
      <c r="N26" s="69"/>
      <c r="O26" s="67">
        <f t="shared" si="2"/>
        <v>0</v>
      </c>
      <c r="P26" s="68"/>
      <c r="Q26" s="69"/>
      <c r="R26" s="67">
        <f t="shared" si="3"/>
        <v>0</v>
      </c>
      <c r="S26" s="68"/>
      <c r="T26" s="69"/>
      <c r="U26" s="67">
        <f t="shared" si="4"/>
        <v>0</v>
      </c>
      <c r="V26" s="68"/>
      <c r="W26" s="69"/>
      <c r="X26" s="67">
        <f t="shared" si="5"/>
        <v>0</v>
      </c>
      <c r="Y26" s="68"/>
      <c r="Z26" s="69"/>
      <c r="AA26" s="67">
        <f t="shared" si="6"/>
        <v>0</v>
      </c>
      <c r="AB26" s="68"/>
      <c r="AC26" s="69"/>
      <c r="AD26" s="67">
        <f t="shared" si="7"/>
        <v>0</v>
      </c>
      <c r="AE26" s="68"/>
      <c r="AF26" s="69"/>
      <c r="AG26" s="67">
        <f t="shared" si="8"/>
        <v>0</v>
      </c>
      <c r="AH26" s="68"/>
      <c r="AI26" s="69"/>
      <c r="AJ26" s="67">
        <f t="shared" si="9"/>
        <v>0</v>
      </c>
      <c r="AK26" s="68"/>
      <c r="AL26" s="69"/>
      <c r="AM26" s="67">
        <f t="shared" si="10"/>
        <v>0</v>
      </c>
      <c r="AN26" s="68"/>
      <c r="AO26" s="69"/>
      <c r="AP26" s="65">
        <f t="shared" si="11"/>
        <v>0</v>
      </c>
      <c r="AQ26" s="8" t="e">
        <f t="shared" si="0"/>
        <v>#DIV/0!</v>
      </c>
    </row>
    <row r="27" spans="1:43" ht="18" customHeight="1" x14ac:dyDescent="0.15">
      <c r="A27" s="6"/>
      <c r="B27" s="12"/>
      <c r="C27" s="64"/>
      <c r="D27" s="65"/>
      <c r="E27" s="66"/>
      <c r="F27" s="67">
        <f t="shared" si="12"/>
        <v>0</v>
      </c>
      <c r="G27" s="68"/>
      <c r="H27" s="69"/>
      <c r="I27" s="67">
        <f t="shared" si="13"/>
        <v>0</v>
      </c>
      <c r="J27" s="68"/>
      <c r="K27" s="69"/>
      <c r="L27" s="67">
        <f t="shared" si="1"/>
        <v>0</v>
      </c>
      <c r="M27" s="68"/>
      <c r="N27" s="69"/>
      <c r="O27" s="67">
        <f t="shared" si="2"/>
        <v>0</v>
      </c>
      <c r="P27" s="68"/>
      <c r="Q27" s="69"/>
      <c r="R27" s="67">
        <f t="shared" si="3"/>
        <v>0</v>
      </c>
      <c r="S27" s="68"/>
      <c r="T27" s="69"/>
      <c r="U27" s="67">
        <f t="shared" si="4"/>
        <v>0</v>
      </c>
      <c r="V27" s="68"/>
      <c r="W27" s="69"/>
      <c r="X27" s="67">
        <f t="shared" si="5"/>
        <v>0</v>
      </c>
      <c r="Y27" s="68"/>
      <c r="Z27" s="69"/>
      <c r="AA27" s="67">
        <f t="shared" si="6"/>
        <v>0</v>
      </c>
      <c r="AB27" s="68"/>
      <c r="AC27" s="69"/>
      <c r="AD27" s="67">
        <f t="shared" si="7"/>
        <v>0</v>
      </c>
      <c r="AE27" s="68"/>
      <c r="AF27" s="69"/>
      <c r="AG27" s="67">
        <f t="shared" si="8"/>
        <v>0</v>
      </c>
      <c r="AH27" s="68"/>
      <c r="AI27" s="69"/>
      <c r="AJ27" s="67">
        <f t="shared" si="9"/>
        <v>0</v>
      </c>
      <c r="AK27" s="68"/>
      <c r="AL27" s="69"/>
      <c r="AM27" s="67">
        <f t="shared" si="10"/>
        <v>0</v>
      </c>
      <c r="AN27" s="68"/>
      <c r="AO27" s="69"/>
      <c r="AP27" s="65">
        <f t="shared" si="11"/>
        <v>0</v>
      </c>
      <c r="AQ27" s="8" t="e">
        <f t="shared" si="0"/>
        <v>#DIV/0!</v>
      </c>
    </row>
    <row r="28" spans="1:43" ht="18" customHeight="1" x14ac:dyDescent="0.15">
      <c r="A28" s="6"/>
      <c r="B28" s="12"/>
      <c r="C28" s="64"/>
      <c r="D28" s="65"/>
      <c r="E28" s="66"/>
      <c r="F28" s="67">
        <f t="shared" si="12"/>
        <v>0</v>
      </c>
      <c r="G28" s="68"/>
      <c r="H28" s="69"/>
      <c r="I28" s="67">
        <f t="shared" si="13"/>
        <v>0</v>
      </c>
      <c r="J28" s="68"/>
      <c r="K28" s="69"/>
      <c r="L28" s="67">
        <f t="shared" si="1"/>
        <v>0</v>
      </c>
      <c r="M28" s="68"/>
      <c r="N28" s="69"/>
      <c r="O28" s="67">
        <f t="shared" si="2"/>
        <v>0</v>
      </c>
      <c r="P28" s="68"/>
      <c r="Q28" s="69"/>
      <c r="R28" s="67">
        <f t="shared" si="3"/>
        <v>0</v>
      </c>
      <c r="S28" s="68"/>
      <c r="T28" s="69"/>
      <c r="U28" s="67">
        <f t="shared" si="4"/>
        <v>0</v>
      </c>
      <c r="V28" s="68"/>
      <c r="W28" s="69"/>
      <c r="X28" s="67">
        <f t="shared" si="5"/>
        <v>0</v>
      </c>
      <c r="Y28" s="68"/>
      <c r="Z28" s="69"/>
      <c r="AA28" s="67">
        <f t="shared" si="6"/>
        <v>0</v>
      </c>
      <c r="AB28" s="68"/>
      <c r="AC28" s="69"/>
      <c r="AD28" s="67">
        <f t="shared" si="7"/>
        <v>0</v>
      </c>
      <c r="AE28" s="68"/>
      <c r="AF28" s="69"/>
      <c r="AG28" s="67">
        <f t="shared" si="8"/>
        <v>0</v>
      </c>
      <c r="AH28" s="68"/>
      <c r="AI28" s="69"/>
      <c r="AJ28" s="67">
        <f t="shared" si="9"/>
        <v>0</v>
      </c>
      <c r="AK28" s="68"/>
      <c r="AL28" s="69"/>
      <c r="AM28" s="67">
        <f t="shared" si="10"/>
        <v>0</v>
      </c>
      <c r="AN28" s="68"/>
      <c r="AO28" s="69"/>
      <c r="AP28" s="65">
        <f t="shared" si="11"/>
        <v>0</v>
      </c>
      <c r="AQ28" s="8" t="e">
        <f t="shared" si="0"/>
        <v>#DIV/0!</v>
      </c>
    </row>
    <row r="29" spans="1:43" ht="18" customHeight="1" x14ac:dyDescent="0.15">
      <c r="A29" s="6"/>
      <c r="B29" s="12"/>
      <c r="C29" s="64"/>
      <c r="D29" s="70"/>
      <c r="E29" s="66"/>
      <c r="F29" s="67">
        <f t="shared" si="12"/>
        <v>0</v>
      </c>
      <c r="G29" s="68"/>
      <c r="H29" s="69"/>
      <c r="I29" s="67">
        <f t="shared" si="13"/>
        <v>0</v>
      </c>
      <c r="J29" s="68"/>
      <c r="K29" s="69"/>
      <c r="L29" s="67">
        <f t="shared" si="1"/>
        <v>0</v>
      </c>
      <c r="M29" s="68"/>
      <c r="N29" s="69"/>
      <c r="O29" s="67">
        <f t="shared" si="2"/>
        <v>0</v>
      </c>
      <c r="P29" s="68"/>
      <c r="Q29" s="69"/>
      <c r="R29" s="67">
        <f t="shared" si="3"/>
        <v>0</v>
      </c>
      <c r="S29" s="68"/>
      <c r="T29" s="69"/>
      <c r="U29" s="67">
        <f t="shared" si="4"/>
        <v>0</v>
      </c>
      <c r="V29" s="68"/>
      <c r="W29" s="69"/>
      <c r="X29" s="67">
        <f t="shared" si="5"/>
        <v>0</v>
      </c>
      <c r="Y29" s="68"/>
      <c r="Z29" s="69"/>
      <c r="AA29" s="67">
        <f t="shared" si="6"/>
        <v>0</v>
      </c>
      <c r="AB29" s="68"/>
      <c r="AC29" s="69"/>
      <c r="AD29" s="67">
        <f t="shared" si="7"/>
        <v>0</v>
      </c>
      <c r="AE29" s="68"/>
      <c r="AF29" s="69"/>
      <c r="AG29" s="67">
        <f t="shared" si="8"/>
        <v>0</v>
      </c>
      <c r="AH29" s="68"/>
      <c r="AI29" s="69"/>
      <c r="AJ29" s="67">
        <f t="shared" si="9"/>
        <v>0</v>
      </c>
      <c r="AK29" s="68"/>
      <c r="AL29" s="69"/>
      <c r="AM29" s="67">
        <f t="shared" si="10"/>
        <v>0</v>
      </c>
      <c r="AN29" s="68"/>
      <c r="AO29" s="69"/>
      <c r="AP29" s="70">
        <f t="shared" si="11"/>
        <v>0</v>
      </c>
      <c r="AQ29" s="8" t="e">
        <f t="shared" si="0"/>
        <v>#DIV/0!</v>
      </c>
    </row>
    <row r="30" spans="1:43" ht="18" customHeight="1" x14ac:dyDescent="0.15">
      <c r="A30" s="6"/>
      <c r="B30" s="12"/>
      <c r="C30" s="64"/>
      <c r="D30" s="70"/>
      <c r="E30" s="66"/>
      <c r="F30" s="67">
        <f t="shared" si="12"/>
        <v>0</v>
      </c>
      <c r="G30" s="68"/>
      <c r="H30" s="69"/>
      <c r="I30" s="67">
        <f t="shared" si="13"/>
        <v>0</v>
      </c>
      <c r="J30" s="68"/>
      <c r="K30" s="69"/>
      <c r="L30" s="67">
        <f t="shared" si="1"/>
        <v>0</v>
      </c>
      <c r="M30" s="68"/>
      <c r="N30" s="69"/>
      <c r="O30" s="67">
        <f t="shared" si="2"/>
        <v>0</v>
      </c>
      <c r="P30" s="68"/>
      <c r="Q30" s="69"/>
      <c r="R30" s="67">
        <f t="shared" si="3"/>
        <v>0</v>
      </c>
      <c r="S30" s="68"/>
      <c r="T30" s="69"/>
      <c r="U30" s="67">
        <f t="shared" si="4"/>
        <v>0</v>
      </c>
      <c r="V30" s="68"/>
      <c r="W30" s="69"/>
      <c r="X30" s="67">
        <f t="shared" si="5"/>
        <v>0</v>
      </c>
      <c r="Y30" s="68"/>
      <c r="Z30" s="69"/>
      <c r="AA30" s="67">
        <f t="shared" si="6"/>
        <v>0</v>
      </c>
      <c r="AB30" s="68"/>
      <c r="AC30" s="69"/>
      <c r="AD30" s="67">
        <f t="shared" si="7"/>
        <v>0</v>
      </c>
      <c r="AE30" s="68"/>
      <c r="AF30" s="69"/>
      <c r="AG30" s="67">
        <f t="shared" si="8"/>
        <v>0</v>
      </c>
      <c r="AH30" s="68"/>
      <c r="AI30" s="69"/>
      <c r="AJ30" s="67">
        <f t="shared" si="9"/>
        <v>0</v>
      </c>
      <c r="AK30" s="68"/>
      <c r="AL30" s="69"/>
      <c r="AM30" s="67">
        <f t="shared" si="10"/>
        <v>0</v>
      </c>
      <c r="AN30" s="68"/>
      <c r="AO30" s="69"/>
      <c r="AP30" s="70">
        <f t="shared" si="11"/>
        <v>0</v>
      </c>
      <c r="AQ30" s="8" t="e">
        <f t="shared" si="0"/>
        <v>#DIV/0!</v>
      </c>
    </row>
    <row r="31" spans="1:43" ht="18" customHeight="1" thickBot="1" x14ac:dyDescent="0.2">
      <c r="A31" s="6"/>
      <c r="B31" s="13"/>
      <c r="C31" s="59"/>
      <c r="D31" s="71"/>
      <c r="E31" s="61"/>
      <c r="F31" s="61">
        <f t="shared" si="12"/>
        <v>0</v>
      </c>
      <c r="G31" s="72"/>
      <c r="H31" s="73"/>
      <c r="I31" s="61">
        <f t="shared" si="13"/>
        <v>0</v>
      </c>
      <c r="J31" s="72"/>
      <c r="K31" s="73"/>
      <c r="L31" s="61">
        <f t="shared" si="1"/>
        <v>0</v>
      </c>
      <c r="M31" s="72"/>
      <c r="N31" s="73"/>
      <c r="O31" s="61">
        <f t="shared" si="2"/>
        <v>0</v>
      </c>
      <c r="P31" s="72"/>
      <c r="Q31" s="73"/>
      <c r="R31" s="61">
        <f t="shared" si="3"/>
        <v>0</v>
      </c>
      <c r="S31" s="72"/>
      <c r="T31" s="73"/>
      <c r="U31" s="61">
        <f t="shared" si="4"/>
        <v>0</v>
      </c>
      <c r="V31" s="72"/>
      <c r="W31" s="73"/>
      <c r="X31" s="61">
        <f t="shared" si="5"/>
        <v>0</v>
      </c>
      <c r="Y31" s="72"/>
      <c r="Z31" s="73"/>
      <c r="AA31" s="61">
        <f t="shared" si="6"/>
        <v>0</v>
      </c>
      <c r="AB31" s="72"/>
      <c r="AC31" s="73"/>
      <c r="AD31" s="61">
        <f t="shared" si="7"/>
        <v>0</v>
      </c>
      <c r="AE31" s="72"/>
      <c r="AF31" s="73"/>
      <c r="AG31" s="61">
        <f t="shared" si="8"/>
        <v>0</v>
      </c>
      <c r="AH31" s="72"/>
      <c r="AI31" s="73"/>
      <c r="AJ31" s="61">
        <f t="shared" si="9"/>
        <v>0</v>
      </c>
      <c r="AK31" s="72"/>
      <c r="AL31" s="73"/>
      <c r="AM31" s="61">
        <f t="shared" si="10"/>
        <v>0</v>
      </c>
      <c r="AN31" s="72"/>
      <c r="AO31" s="73"/>
      <c r="AP31" s="71">
        <f t="shared" si="11"/>
        <v>0</v>
      </c>
      <c r="AQ31" s="7" t="e">
        <f t="shared" si="0"/>
        <v>#DIV/0!</v>
      </c>
    </row>
    <row r="32" spans="1:43" ht="18" customHeight="1" thickTop="1" x14ac:dyDescent="0.15">
      <c r="B32" s="14" t="s">
        <v>33</v>
      </c>
      <c r="C32" s="74">
        <f t="shared" ref="C32" si="14">SUM(C12:C31)</f>
        <v>1872</v>
      </c>
      <c r="D32" s="75">
        <f t="shared" ref="D32:AP32" si="15">SUM(D12:D31)</f>
        <v>475</v>
      </c>
      <c r="E32" s="76">
        <f t="shared" si="15"/>
        <v>1900</v>
      </c>
      <c r="F32" s="76">
        <f t="shared" si="15"/>
        <v>63</v>
      </c>
      <c r="G32" s="77">
        <f t="shared" si="15"/>
        <v>0</v>
      </c>
      <c r="H32" s="78">
        <f t="shared" si="15"/>
        <v>63</v>
      </c>
      <c r="I32" s="76">
        <f t="shared" ref="I32:N32" si="16">SUM(I12:I31)</f>
        <v>48</v>
      </c>
      <c r="J32" s="77">
        <f t="shared" si="16"/>
        <v>0</v>
      </c>
      <c r="K32" s="78">
        <f t="shared" si="16"/>
        <v>48</v>
      </c>
      <c r="L32" s="76">
        <f t="shared" si="16"/>
        <v>0</v>
      </c>
      <c r="M32" s="77">
        <f t="shared" si="16"/>
        <v>0</v>
      </c>
      <c r="N32" s="78">
        <f t="shared" si="16"/>
        <v>0</v>
      </c>
      <c r="O32" s="76">
        <f t="shared" ref="O32:T32" si="17">SUM(O12:O31)</f>
        <v>0</v>
      </c>
      <c r="P32" s="77">
        <f t="shared" si="17"/>
        <v>0</v>
      </c>
      <c r="Q32" s="78">
        <f t="shared" si="17"/>
        <v>0</v>
      </c>
      <c r="R32" s="76">
        <f t="shared" si="17"/>
        <v>0</v>
      </c>
      <c r="S32" s="77">
        <f t="shared" si="17"/>
        <v>0</v>
      </c>
      <c r="T32" s="78">
        <f t="shared" si="17"/>
        <v>0</v>
      </c>
      <c r="U32" s="76">
        <f t="shared" ref="U32:AI32" si="18">SUM(U12:U31)</f>
        <v>0</v>
      </c>
      <c r="V32" s="77">
        <f t="shared" si="18"/>
        <v>0</v>
      </c>
      <c r="W32" s="78">
        <f t="shared" si="18"/>
        <v>0</v>
      </c>
      <c r="X32" s="76">
        <f t="shared" si="18"/>
        <v>0</v>
      </c>
      <c r="Y32" s="77">
        <f t="shared" si="18"/>
        <v>0</v>
      </c>
      <c r="Z32" s="78">
        <f t="shared" si="18"/>
        <v>0</v>
      </c>
      <c r="AA32" s="76">
        <f t="shared" si="18"/>
        <v>0</v>
      </c>
      <c r="AB32" s="77">
        <f t="shared" si="18"/>
        <v>0</v>
      </c>
      <c r="AC32" s="78">
        <f t="shared" si="18"/>
        <v>0</v>
      </c>
      <c r="AD32" s="76">
        <f t="shared" si="18"/>
        <v>0</v>
      </c>
      <c r="AE32" s="77">
        <f t="shared" si="18"/>
        <v>0</v>
      </c>
      <c r="AF32" s="78">
        <f t="shared" si="18"/>
        <v>0</v>
      </c>
      <c r="AG32" s="76">
        <f t="shared" si="18"/>
        <v>0</v>
      </c>
      <c r="AH32" s="77">
        <f t="shared" si="18"/>
        <v>0</v>
      </c>
      <c r="AI32" s="78">
        <f t="shared" si="18"/>
        <v>0</v>
      </c>
      <c r="AJ32" s="76">
        <f t="shared" ref="AJ32:AO32" si="19">SUM(AJ12:AJ31)</f>
        <v>0</v>
      </c>
      <c r="AK32" s="77">
        <f t="shared" si="19"/>
        <v>0</v>
      </c>
      <c r="AL32" s="78">
        <f t="shared" si="19"/>
        <v>0</v>
      </c>
      <c r="AM32" s="76">
        <f t="shared" si="19"/>
        <v>0</v>
      </c>
      <c r="AN32" s="77">
        <f t="shared" si="19"/>
        <v>0</v>
      </c>
      <c r="AO32" s="78">
        <f t="shared" si="19"/>
        <v>0</v>
      </c>
      <c r="AP32" s="75">
        <f t="shared" si="15"/>
        <v>63</v>
      </c>
      <c r="AQ32" s="9">
        <f t="shared" si="0"/>
        <v>3.3157894736842108E-2</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topLeftCell="A7" zoomScaleNormal="100" zoomScaleSheetLayoutView="100" workbookViewId="0">
      <selection activeCell="L16" sqref="L16"/>
    </sheetView>
  </sheetViews>
  <sheetFormatPr defaultColWidth="11.375" defaultRowHeight="18.75" customHeight="1" x14ac:dyDescent="0.15"/>
  <cols>
    <col min="1" max="1" width="2.875" style="40" customWidth="1"/>
    <col min="2" max="2" width="16.625" style="1" customWidth="1"/>
    <col min="3" max="3" width="8.875" style="1" customWidth="1"/>
    <col min="4" max="4" width="2.1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12" ht="18.75" customHeight="1" x14ac:dyDescent="0.15">
      <c r="A1" s="40" t="s">
        <v>65</v>
      </c>
      <c r="I1" s="35" t="s">
        <v>106</v>
      </c>
    </row>
    <row r="2" spans="1:12" ht="18.75" customHeight="1" x14ac:dyDescent="0.15">
      <c r="G2" s="35" t="s">
        <v>109</v>
      </c>
      <c r="H2" s="97" t="s">
        <v>127</v>
      </c>
      <c r="I2" s="99"/>
    </row>
    <row r="3" spans="1:12" ht="18.75" customHeight="1" x14ac:dyDescent="0.15">
      <c r="G3" s="35"/>
      <c r="H3" s="10"/>
      <c r="I3" s="10"/>
    </row>
    <row r="4" spans="1:12" ht="18.600000000000001" customHeight="1" x14ac:dyDescent="0.15">
      <c r="A4" s="163" t="s">
        <v>36</v>
      </c>
      <c r="B4" s="163"/>
      <c r="C4" s="163"/>
      <c r="D4" s="163"/>
      <c r="E4" s="163"/>
      <c r="F4" s="163"/>
      <c r="G4" s="163"/>
      <c r="H4" s="163"/>
      <c r="I4" s="163"/>
    </row>
    <row r="5" spans="1:12" ht="13.35" customHeight="1" x14ac:dyDescent="0.15">
      <c r="B5" s="3"/>
      <c r="C5" s="3"/>
      <c r="D5" s="3"/>
      <c r="E5" s="3"/>
      <c r="F5" s="3"/>
      <c r="G5" s="3"/>
      <c r="H5" s="3"/>
      <c r="I5" s="3"/>
    </row>
    <row r="6" spans="1:12" ht="18" customHeight="1" x14ac:dyDescent="0.15">
      <c r="A6" s="1" t="s">
        <v>0</v>
      </c>
      <c r="B6" s="10" t="s">
        <v>91</v>
      </c>
      <c r="C6" s="236" t="s">
        <v>92</v>
      </c>
      <c r="D6" s="236"/>
      <c r="E6" s="83">
        <v>84</v>
      </c>
      <c r="F6" s="84" t="s">
        <v>1</v>
      </c>
      <c r="G6" s="84" t="s">
        <v>2</v>
      </c>
      <c r="H6" s="83">
        <v>304</v>
      </c>
      <c r="I6" s="10" t="s">
        <v>1</v>
      </c>
    </row>
    <row r="7" spans="1:12" ht="12" customHeight="1" x14ac:dyDescent="0.15">
      <c r="C7" s="2"/>
      <c r="D7" s="2"/>
      <c r="E7" s="2"/>
      <c r="F7" s="2"/>
      <c r="G7" s="2"/>
      <c r="H7" s="2"/>
      <c r="I7" s="41"/>
    </row>
    <row r="8" spans="1:12" ht="18" customHeight="1" x14ac:dyDescent="0.15">
      <c r="A8" s="1" t="s">
        <v>3</v>
      </c>
      <c r="B8" s="10" t="s">
        <v>93</v>
      </c>
      <c r="E8" s="3"/>
      <c r="F8" s="3"/>
      <c r="G8" s="3"/>
      <c r="H8" s="34">
        <v>1</v>
      </c>
      <c r="I8" s="10" t="s">
        <v>1</v>
      </c>
    </row>
    <row r="9" spans="1:12" ht="9" customHeight="1" x14ac:dyDescent="0.15">
      <c r="B9" s="3"/>
      <c r="C9" s="3"/>
      <c r="D9" s="3"/>
      <c r="E9" s="3"/>
      <c r="F9" s="3"/>
      <c r="G9" s="3"/>
      <c r="H9" s="3"/>
      <c r="I9" s="3"/>
    </row>
    <row r="10" spans="1:12" ht="18" customHeight="1" x14ac:dyDescent="0.15">
      <c r="A10" s="1" t="s">
        <v>4</v>
      </c>
      <c r="B10" s="10" t="s">
        <v>94</v>
      </c>
      <c r="C10" s="3"/>
      <c r="D10" s="3"/>
      <c r="E10" s="3"/>
      <c r="F10" s="3"/>
      <c r="G10" s="3"/>
      <c r="H10" s="3"/>
      <c r="I10" s="3"/>
    </row>
    <row r="11" spans="1:12" ht="18" customHeight="1" x14ac:dyDescent="0.15">
      <c r="B11" s="35" t="s">
        <v>43</v>
      </c>
      <c r="C11" s="97" t="s">
        <v>129</v>
      </c>
      <c r="D11" s="174"/>
      <c r="E11" s="175"/>
      <c r="F11" s="41"/>
      <c r="G11" s="35" t="s">
        <v>10</v>
      </c>
      <c r="H11" s="97" t="s">
        <v>130</v>
      </c>
      <c r="I11" s="175"/>
    </row>
    <row r="12" spans="1:12" ht="10.35" customHeight="1" x14ac:dyDescent="0.15">
      <c r="B12" s="35"/>
      <c r="C12" s="10"/>
      <c r="D12" s="41"/>
      <c r="E12" s="41"/>
      <c r="F12" s="41"/>
      <c r="G12" s="35"/>
      <c r="H12" s="10"/>
      <c r="I12" s="41"/>
    </row>
    <row r="13" spans="1:12" ht="18" customHeight="1" x14ac:dyDescent="0.15">
      <c r="A13" s="1" t="s">
        <v>7</v>
      </c>
      <c r="B13" s="10" t="s">
        <v>88</v>
      </c>
      <c r="C13" s="3"/>
      <c r="D13" s="3"/>
      <c r="E13" s="3"/>
      <c r="F13" s="3"/>
      <c r="G13" s="3"/>
      <c r="H13" s="3"/>
      <c r="I13" s="3"/>
      <c r="L13" s="3"/>
    </row>
    <row r="14" spans="1:12" ht="18" customHeight="1" x14ac:dyDescent="0.15">
      <c r="B14" s="233" t="s">
        <v>128</v>
      </c>
      <c r="C14" s="234"/>
      <c r="D14" s="234"/>
      <c r="E14" s="234"/>
      <c r="F14" s="234"/>
      <c r="G14" s="234"/>
      <c r="H14" s="234"/>
      <c r="I14" s="235"/>
    </row>
    <row r="15" spans="1:12" ht="9" customHeight="1" x14ac:dyDescent="0.15">
      <c r="B15" s="3"/>
      <c r="C15" s="3"/>
      <c r="D15" s="3"/>
      <c r="E15" s="3"/>
      <c r="F15" s="3"/>
      <c r="G15" s="3"/>
      <c r="H15" s="3"/>
      <c r="I15" s="3"/>
    </row>
    <row r="16" spans="1:12" ht="18" customHeight="1" x14ac:dyDescent="0.15">
      <c r="B16" s="35" t="s">
        <v>43</v>
      </c>
      <c r="C16" s="97" t="s">
        <v>129</v>
      </c>
      <c r="D16" s="174"/>
      <c r="E16" s="175"/>
      <c r="F16" s="41"/>
      <c r="G16" s="35" t="s">
        <v>10</v>
      </c>
      <c r="H16" s="97" t="s">
        <v>130</v>
      </c>
      <c r="I16" s="175"/>
    </row>
    <row r="17" spans="1:9" ht="18" customHeight="1" x14ac:dyDescent="0.15">
      <c r="B17" s="3"/>
      <c r="C17" s="3"/>
      <c r="D17" s="3"/>
      <c r="E17" s="3"/>
      <c r="F17" s="3"/>
      <c r="G17" s="3"/>
      <c r="H17" s="3"/>
      <c r="I17" s="3"/>
    </row>
    <row r="18" spans="1:9" ht="18.75" customHeight="1" x14ac:dyDescent="0.15">
      <c r="A18" s="1" t="s">
        <v>5</v>
      </c>
      <c r="B18" s="1" t="s">
        <v>42</v>
      </c>
      <c r="I18" s="3"/>
    </row>
    <row r="19" spans="1:9" ht="18.75" customHeight="1" x14ac:dyDescent="0.15">
      <c r="A19" s="1"/>
      <c r="B19" s="216" t="s">
        <v>131</v>
      </c>
      <c r="C19" s="217"/>
      <c r="D19" s="217"/>
      <c r="E19" s="217"/>
      <c r="F19" s="217"/>
      <c r="G19" s="217"/>
      <c r="H19" s="217"/>
      <c r="I19" s="218"/>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5"/>
      <c r="B22" s="219" t="s">
        <v>153</v>
      </c>
      <c r="C22" s="220"/>
      <c r="D22" s="220"/>
      <c r="E22" s="220"/>
      <c r="F22" s="220"/>
      <c r="G22" s="220"/>
      <c r="H22" s="220"/>
      <c r="I22" s="221"/>
    </row>
    <row r="23" spans="1:9" ht="18.75" customHeight="1" x14ac:dyDescent="0.15">
      <c r="A23" s="15"/>
      <c r="B23" s="222"/>
      <c r="C23" s="223"/>
      <c r="D23" s="223"/>
      <c r="E23" s="223"/>
      <c r="F23" s="223"/>
      <c r="G23" s="223"/>
      <c r="H23" s="223"/>
      <c r="I23" s="224"/>
    </row>
    <row r="24" spans="1:9" ht="18.75" customHeight="1" x14ac:dyDescent="0.15">
      <c r="A24" s="15"/>
      <c r="B24" s="222"/>
      <c r="C24" s="223"/>
      <c r="D24" s="223"/>
      <c r="E24" s="223"/>
      <c r="F24" s="223"/>
      <c r="G24" s="223"/>
      <c r="H24" s="223"/>
      <c r="I24" s="224"/>
    </row>
    <row r="25" spans="1:9" ht="18.75" customHeight="1" x14ac:dyDescent="0.15">
      <c r="A25" s="15"/>
      <c r="B25" s="222"/>
      <c r="C25" s="223"/>
      <c r="D25" s="223"/>
      <c r="E25" s="223"/>
      <c r="F25" s="223"/>
      <c r="G25" s="223"/>
      <c r="H25" s="223"/>
      <c r="I25" s="224"/>
    </row>
    <row r="26" spans="1:9" ht="18.75" customHeight="1" x14ac:dyDescent="0.15">
      <c r="A26" s="15"/>
      <c r="B26" s="222"/>
      <c r="C26" s="223"/>
      <c r="D26" s="223"/>
      <c r="E26" s="223"/>
      <c r="F26" s="223"/>
      <c r="G26" s="223"/>
      <c r="H26" s="223"/>
      <c r="I26" s="224"/>
    </row>
    <row r="27" spans="1:9" ht="18.75" customHeight="1" x14ac:dyDescent="0.15">
      <c r="A27" s="15"/>
      <c r="B27" s="222"/>
      <c r="C27" s="223"/>
      <c r="D27" s="223"/>
      <c r="E27" s="223"/>
      <c r="F27" s="223"/>
      <c r="G27" s="223"/>
      <c r="H27" s="223"/>
      <c r="I27" s="224"/>
    </row>
    <row r="28" spans="1:9" ht="18.75" customHeight="1" x14ac:dyDescent="0.15">
      <c r="A28" s="15"/>
      <c r="B28" s="222"/>
      <c r="C28" s="223"/>
      <c r="D28" s="223"/>
      <c r="E28" s="223"/>
      <c r="F28" s="223"/>
      <c r="G28" s="223"/>
      <c r="H28" s="223"/>
      <c r="I28" s="224"/>
    </row>
    <row r="29" spans="1:9" ht="18.75" customHeight="1" x14ac:dyDescent="0.15">
      <c r="A29" s="15"/>
      <c r="B29" s="222"/>
      <c r="C29" s="223"/>
      <c r="D29" s="223"/>
      <c r="E29" s="223"/>
      <c r="F29" s="223"/>
      <c r="G29" s="223"/>
      <c r="H29" s="223"/>
      <c r="I29" s="224"/>
    </row>
    <row r="30" spans="1:9" ht="18.75" customHeight="1" x14ac:dyDescent="0.15">
      <c r="A30" s="15"/>
      <c r="B30" s="225"/>
      <c r="C30" s="226"/>
      <c r="D30" s="226"/>
      <c r="E30" s="226"/>
      <c r="F30" s="226"/>
      <c r="G30" s="226"/>
      <c r="H30" s="226"/>
      <c r="I30" s="224"/>
    </row>
    <row r="31" spans="1:9" ht="18.75" customHeight="1" x14ac:dyDescent="0.15">
      <c r="A31" s="15"/>
      <c r="B31" s="225"/>
      <c r="C31" s="226"/>
      <c r="D31" s="226"/>
      <c r="E31" s="226"/>
      <c r="F31" s="226"/>
      <c r="G31" s="226"/>
      <c r="H31" s="226"/>
      <c r="I31" s="224"/>
    </row>
    <row r="32" spans="1:9" ht="18.75" customHeight="1" x14ac:dyDescent="0.15">
      <c r="A32" s="15"/>
      <c r="B32" s="227"/>
      <c r="C32" s="228"/>
      <c r="D32" s="228"/>
      <c r="E32" s="228"/>
      <c r="F32" s="228"/>
      <c r="G32" s="228"/>
      <c r="H32" s="228"/>
      <c r="I32" s="229"/>
    </row>
    <row r="33" spans="1:9" ht="7.5" customHeight="1" x14ac:dyDescent="0.15">
      <c r="A33" s="15"/>
      <c r="B33" s="15"/>
      <c r="C33" s="15"/>
      <c r="D33" s="15"/>
      <c r="E33" s="15"/>
      <c r="F33" s="15"/>
      <c r="G33" s="15"/>
      <c r="H33" s="15"/>
      <c r="I33" s="15"/>
    </row>
    <row r="34" spans="1:9" ht="18.75" customHeight="1" x14ac:dyDescent="0.15">
      <c r="A34" s="16" t="s">
        <v>6</v>
      </c>
      <c r="B34" s="16" t="s">
        <v>9</v>
      </c>
      <c r="C34" s="10"/>
      <c r="D34" s="16"/>
      <c r="E34" s="16"/>
      <c r="F34" s="16"/>
      <c r="G34" s="16"/>
      <c r="H34" s="16"/>
      <c r="I34" s="16"/>
    </row>
    <row r="35" spans="1:9" ht="18.75" customHeight="1" x14ac:dyDescent="0.15">
      <c r="A35" s="15"/>
      <c r="B35" s="219" t="s">
        <v>133</v>
      </c>
      <c r="C35" s="220"/>
      <c r="D35" s="220"/>
      <c r="E35" s="220"/>
      <c r="F35" s="220"/>
      <c r="G35" s="220"/>
      <c r="H35" s="220"/>
      <c r="I35" s="221"/>
    </row>
    <row r="36" spans="1:9" ht="18.75" customHeight="1" x14ac:dyDescent="0.15">
      <c r="A36" s="15"/>
      <c r="B36" s="225"/>
      <c r="C36" s="226"/>
      <c r="D36" s="226"/>
      <c r="E36" s="226"/>
      <c r="F36" s="226"/>
      <c r="G36" s="226"/>
      <c r="H36" s="226"/>
      <c r="I36" s="224"/>
    </row>
    <row r="37" spans="1:9" ht="18.75" customHeight="1" x14ac:dyDescent="0.15">
      <c r="A37" s="15"/>
      <c r="B37" s="225"/>
      <c r="C37" s="226"/>
      <c r="D37" s="226"/>
      <c r="E37" s="226"/>
      <c r="F37" s="226"/>
      <c r="G37" s="226"/>
      <c r="H37" s="226"/>
      <c r="I37" s="224"/>
    </row>
    <row r="38" spans="1:9" ht="18.75" customHeight="1" x14ac:dyDescent="0.15">
      <c r="A38" s="15"/>
      <c r="B38" s="225"/>
      <c r="C38" s="226"/>
      <c r="D38" s="226"/>
      <c r="E38" s="226"/>
      <c r="F38" s="226"/>
      <c r="G38" s="226"/>
      <c r="H38" s="226"/>
      <c r="I38" s="224"/>
    </row>
    <row r="39" spans="1:9" ht="18.75" customHeight="1" x14ac:dyDescent="0.15">
      <c r="A39" s="15"/>
      <c r="B39" s="225"/>
      <c r="C39" s="226"/>
      <c r="D39" s="226"/>
      <c r="E39" s="226"/>
      <c r="F39" s="226"/>
      <c r="G39" s="226"/>
      <c r="H39" s="226"/>
      <c r="I39" s="224"/>
    </row>
    <row r="40" spans="1:9" ht="18.75" customHeight="1" x14ac:dyDescent="0.15">
      <c r="A40" s="15"/>
      <c r="B40" s="225"/>
      <c r="C40" s="226"/>
      <c r="D40" s="226"/>
      <c r="E40" s="226"/>
      <c r="F40" s="226"/>
      <c r="G40" s="226"/>
      <c r="H40" s="226"/>
      <c r="I40" s="224"/>
    </row>
    <row r="41" spans="1:9" ht="18.75" customHeight="1" x14ac:dyDescent="0.15">
      <c r="A41" s="15"/>
      <c r="B41" s="225"/>
      <c r="C41" s="226"/>
      <c r="D41" s="226"/>
      <c r="E41" s="226"/>
      <c r="F41" s="226"/>
      <c r="G41" s="226"/>
      <c r="H41" s="226"/>
      <c r="I41" s="224"/>
    </row>
    <row r="42" spans="1:9" ht="18.75" customHeight="1" x14ac:dyDescent="0.15">
      <c r="A42" s="15"/>
      <c r="B42" s="225"/>
      <c r="C42" s="226"/>
      <c r="D42" s="226"/>
      <c r="E42" s="226"/>
      <c r="F42" s="226"/>
      <c r="G42" s="226"/>
      <c r="H42" s="226"/>
      <c r="I42" s="224"/>
    </row>
    <row r="43" spans="1:9" ht="18.75" customHeight="1" x14ac:dyDescent="0.15">
      <c r="A43" s="15"/>
      <c r="B43" s="225"/>
      <c r="C43" s="226"/>
      <c r="D43" s="226"/>
      <c r="E43" s="226"/>
      <c r="F43" s="226"/>
      <c r="G43" s="226"/>
      <c r="H43" s="226"/>
      <c r="I43" s="224"/>
    </row>
    <row r="44" spans="1:9" ht="18.75" customHeight="1" x14ac:dyDescent="0.15">
      <c r="A44" s="15"/>
      <c r="B44" s="225"/>
      <c r="C44" s="226"/>
      <c r="D44" s="226"/>
      <c r="E44" s="226"/>
      <c r="F44" s="226"/>
      <c r="G44" s="226"/>
      <c r="H44" s="226"/>
      <c r="I44" s="224"/>
    </row>
    <row r="45" spans="1:9" ht="18.75" customHeight="1" x14ac:dyDescent="0.15">
      <c r="A45" s="15"/>
      <c r="B45" s="225"/>
      <c r="C45" s="226"/>
      <c r="D45" s="226"/>
      <c r="E45" s="226"/>
      <c r="F45" s="226"/>
      <c r="G45" s="226"/>
      <c r="H45" s="226"/>
      <c r="I45" s="224"/>
    </row>
    <row r="46" spans="1:9" ht="18.75" customHeight="1" x14ac:dyDescent="0.15">
      <c r="A46" s="15"/>
      <c r="B46" s="227"/>
      <c r="C46" s="228"/>
      <c r="D46" s="228"/>
      <c r="E46" s="228"/>
      <c r="F46" s="228"/>
      <c r="G46" s="228"/>
      <c r="H46" s="228"/>
      <c r="I46" s="229"/>
    </row>
    <row r="47" spans="1:9" ht="7.5" customHeight="1" x14ac:dyDescent="0.15">
      <c r="A47" s="4"/>
      <c r="B47" s="4"/>
      <c r="C47" s="4"/>
      <c r="D47" s="4"/>
      <c r="E47" s="4"/>
      <c r="F47" s="4"/>
      <c r="G47" s="4"/>
      <c r="H47" s="4"/>
      <c r="I47" s="4"/>
    </row>
    <row r="48" spans="1:9" ht="18.75" customHeight="1" x14ac:dyDescent="0.15">
      <c r="A48" s="1" t="s">
        <v>31</v>
      </c>
      <c r="B48" s="1" t="s">
        <v>123</v>
      </c>
    </row>
    <row r="49" spans="1:15" s="3" customFormat="1" ht="18.75" customHeight="1" x14ac:dyDescent="0.15">
      <c r="B49" s="42" t="s">
        <v>89</v>
      </c>
      <c r="C49" s="254">
        <f>'様式２ 履修者等数の実績'!AQ32</f>
        <v>3.3157894736842108E-2</v>
      </c>
      <c r="D49" s="254"/>
      <c r="E49" s="85" t="s">
        <v>66</v>
      </c>
      <c r="F49" s="254">
        <v>7.0000000000000007E-2</v>
      </c>
      <c r="G49" s="254"/>
      <c r="H49" s="85" t="s">
        <v>67</v>
      </c>
      <c r="I49" s="86">
        <v>0.25</v>
      </c>
      <c r="J49" s="1"/>
      <c r="M49" s="1"/>
      <c r="N49" s="43"/>
    </row>
    <row r="50" spans="1:15" s="3" customFormat="1" ht="18.75" customHeight="1" x14ac:dyDescent="0.15">
      <c r="B50" s="44" t="s">
        <v>68</v>
      </c>
      <c r="C50" s="237">
        <v>0.5</v>
      </c>
      <c r="D50" s="237"/>
      <c r="E50" s="87" t="s">
        <v>90</v>
      </c>
      <c r="F50" s="237">
        <v>0.75</v>
      </c>
      <c r="G50" s="237"/>
      <c r="H50" s="87" t="s">
        <v>69</v>
      </c>
      <c r="I50" s="88">
        <f>'様式２ 履修者等数の実績'!E32</f>
        <v>1900</v>
      </c>
      <c r="J50" s="1"/>
      <c r="M50" s="1"/>
      <c r="N50" s="43"/>
    </row>
    <row r="51" spans="1:15" ht="18.75" customHeight="1" x14ac:dyDescent="0.15">
      <c r="A51" s="1"/>
      <c r="B51" s="230" t="s">
        <v>70</v>
      </c>
      <c r="C51" s="231"/>
      <c r="D51" s="231"/>
      <c r="E51" s="231"/>
      <c r="F51" s="231"/>
      <c r="G51" s="231"/>
      <c r="H51" s="231"/>
      <c r="I51" s="232"/>
      <c r="N51" s="43"/>
      <c r="O51" s="3"/>
    </row>
    <row r="52" spans="1:15" ht="18.75" customHeight="1" x14ac:dyDescent="0.15">
      <c r="A52" s="1"/>
      <c r="B52" s="255" t="s">
        <v>168</v>
      </c>
      <c r="C52" s="256"/>
      <c r="D52" s="256"/>
      <c r="E52" s="256"/>
      <c r="F52" s="256"/>
      <c r="G52" s="256"/>
      <c r="H52" s="256"/>
      <c r="I52" s="257"/>
      <c r="N52" s="43"/>
      <c r="O52" s="3"/>
    </row>
    <row r="53" spans="1:15" ht="18.75" customHeight="1" x14ac:dyDescent="0.15">
      <c r="A53" s="1"/>
      <c r="B53" s="258"/>
      <c r="C53" s="259"/>
      <c r="D53" s="259"/>
      <c r="E53" s="259"/>
      <c r="F53" s="259"/>
      <c r="G53" s="259"/>
      <c r="H53" s="259"/>
      <c r="I53" s="260"/>
      <c r="N53" s="43"/>
      <c r="O53" s="3"/>
    </row>
    <row r="54" spans="1:15" ht="18.75" customHeight="1" x14ac:dyDescent="0.15">
      <c r="A54" s="1"/>
      <c r="B54" s="258"/>
      <c r="C54" s="259"/>
      <c r="D54" s="259"/>
      <c r="E54" s="259"/>
      <c r="F54" s="259"/>
      <c r="G54" s="259"/>
      <c r="H54" s="259"/>
      <c r="I54" s="260"/>
    </row>
    <row r="55" spans="1:15" ht="18.75" customHeight="1" x14ac:dyDescent="0.15">
      <c r="A55" s="1"/>
      <c r="B55" s="258"/>
      <c r="C55" s="259"/>
      <c r="D55" s="259"/>
      <c r="E55" s="259"/>
      <c r="F55" s="259"/>
      <c r="G55" s="259"/>
      <c r="H55" s="259"/>
      <c r="I55" s="260"/>
    </row>
    <row r="56" spans="1:15" ht="18.75" customHeight="1" x14ac:dyDescent="0.15">
      <c r="A56" s="1"/>
      <c r="B56" s="258"/>
      <c r="C56" s="259"/>
      <c r="D56" s="259"/>
      <c r="E56" s="259"/>
      <c r="F56" s="259"/>
      <c r="G56" s="259"/>
      <c r="H56" s="259"/>
      <c r="I56" s="260"/>
    </row>
    <row r="57" spans="1:15" ht="18.75" customHeight="1" x14ac:dyDescent="0.15">
      <c r="A57" s="1"/>
      <c r="B57" s="258"/>
      <c r="C57" s="259"/>
      <c r="D57" s="259"/>
      <c r="E57" s="259"/>
      <c r="F57" s="259"/>
      <c r="G57" s="259"/>
      <c r="H57" s="259"/>
      <c r="I57" s="260"/>
    </row>
    <row r="58" spans="1:15" ht="18.75" customHeight="1" x14ac:dyDescent="0.15">
      <c r="A58" s="1"/>
      <c r="B58" s="258"/>
      <c r="C58" s="259"/>
      <c r="D58" s="259"/>
      <c r="E58" s="259"/>
      <c r="F58" s="259"/>
      <c r="G58" s="259"/>
      <c r="H58" s="259"/>
      <c r="I58" s="260"/>
    </row>
    <row r="59" spans="1:15" ht="18.75" customHeight="1" x14ac:dyDescent="0.15">
      <c r="A59" s="1"/>
      <c r="B59" s="258"/>
      <c r="C59" s="259"/>
      <c r="D59" s="259"/>
      <c r="E59" s="259"/>
      <c r="F59" s="259"/>
      <c r="G59" s="259"/>
      <c r="H59" s="259"/>
      <c r="I59" s="260"/>
    </row>
    <row r="60" spans="1:15" ht="18.75" customHeight="1" x14ac:dyDescent="0.15">
      <c r="A60" s="1"/>
      <c r="B60" s="258"/>
      <c r="C60" s="259"/>
      <c r="D60" s="259"/>
      <c r="E60" s="259"/>
      <c r="F60" s="259"/>
      <c r="G60" s="259"/>
      <c r="H60" s="259"/>
      <c r="I60" s="260"/>
    </row>
    <row r="61" spans="1:15" ht="18.75" customHeight="1" x14ac:dyDescent="0.15">
      <c r="A61" s="1"/>
      <c r="B61" s="258"/>
      <c r="C61" s="259"/>
      <c r="D61" s="259"/>
      <c r="E61" s="259"/>
      <c r="F61" s="259"/>
      <c r="G61" s="259"/>
      <c r="H61" s="259"/>
      <c r="I61" s="260"/>
    </row>
    <row r="62" spans="1:15" ht="18.75" customHeight="1" x14ac:dyDescent="0.15">
      <c r="A62" s="1"/>
      <c r="B62" s="258"/>
      <c r="C62" s="259"/>
      <c r="D62" s="259"/>
      <c r="E62" s="259"/>
      <c r="F62" s="259"/>
      <c r="G62" s="259"/>
      <c r="H62" s="259"/>
      <c r="I62" s="260"/>
    </row>
    <row r="63" spans="1:15" ht="18.75" customHeight="1" x14ac:dyDescent="0.15">
      <c r="A63" s="1"/>
      <c r="B63" s="261"/>
      <c r="C63" s="262"/>
      <c r="D63" s="262"/>
      <c r="E63" s="262"/>
      <c r="F63" s="262"/>
      <c r="G63" s="262"/>
      <c r="H63" s="262"/>
      <c r="I63" s="263"/>
    </row>
    <row r="64" spans="1:15" ht="7.5" customHeight="1" x14ac:dyDescent="0.15">
      <c r="A64" s="15"/>
      <c r="B64" s="15"/>
      <c r="C64" s="15"/>
      <c r="D64" s="15"/>
      <c r="E64" s="15"/>
      <c r="F64" s="15"/>
      <c r="G64" s="15"/>
      <c r="H64" s="15"/>
      <c r="I64" s="15"/>
    </row>
    <row r="65" spans="1:9" ht="18.75" customHeight="1" x14ac:dyDescent="0.15">
      <c r="A65" s="16" t="s">
        <v>34</v>
      </c>
      <c r="B65" s="1" t="s">
        <v>37</v>
      </c>
      <c r="I65" s="16"/>
    </row>
    <row r="66" spans="1:9" ht="18.75" customHeight="1" x14ac:dyDescent="0.15">
      <c r="A66" s="4"/>
      <c r="B66" s="238" t="s">
        <v>154</v>
      </c>
      <c r="C66" s="239"/>
      <c r="D66" s="239"/>
      <c r="E66" s="239"/>
      <c r="F66" s="239"/>
      <c r="G66" s="239"/>
      <c r="H66" s="239"/>
      <c r="I66" s="240"/>
    </row>
    <row r="67" spans="1:9" ht="18.75" customHeight="1" x14ac:dyDescent="0.15">
      <c r="A67" s="4"/>
      <c r="B67" s="241"/>
      <c r="C67" s="242"/>
      <c r="D67" s="242"/>
      <c r="E67" s="242"/>
      <c r="F67" s="242"/>
      <c r="G67" s="242"/>
      <c r="H67" s="242"/>
      <c r="I67" s="243"/>
    </row>
    <row r="68" spans="1:9" ht="18.75" customHeight="1" x14ac:dyDescent="0.15">
      <c r="A68" s="4"/>
      <c r="B68" s="241"/>
      <c r="C68" s="242"/>
      <c r="D68" s="242"/>
      <c r="E68" s="242"/>
      <c r="F68" s="242"/>
      <c r="G68" s="242"/>
      <c r="H68" s="242"/>
      <c r="I68" s="243"/>
    </row>
    <row r="69" spans="1:9" ht="18.75" customHeight="1" x14ac:dyDescent="0.15">
      <c r="A69" s="4"/>
      <c r="B69" s="241"/>
      <c r="C69" s="242"/>
      <c r="D69" s="242"/>
      <c r="E69" s="242"/>
      <c r="F69" s="242"/>
      <c r="G69" s="242"/>
      <c r="H69" s="242"/>
      <c r="I69" s="243"/>
    </row>
    <row r="70" spans="1:9" ht="18.75" customHeight="1" x14ac:dyDescent="0.15">
      <c r="A70" s="4"/>
      <c r="B70" s="241"/>
      <c r="C70" s="242"/>
      <c r="D70" s="242"/>
      <c r="E70" s="242"/>
      <c r="F70" s="242"/>
      <c r="G70" s="242"/>
      <c r="H70" s="242"/>
      <c r="I70" s="243"/>
    </row>
    <row r="71" spans="1:9" ht="18.75" customHeight="1" x14ac:dyDescent="0.15">
      <c r="A71" s="4"/>
      <c r="B71" s="241"/>
      <c r="C71" s="242"/>
      <c r="D71" s="242"/>
      <c r="E71" s="242"/>
      <c r="F71" s="242"/>
      <c r="G71" s="242"/>
      <c r="H71" s="242"/>
      <c r="I71" s="243"/>
    </row>
    <row r="72" spans="1:9" ht="18.75" customHeight="1" x14ac:dyDescent="0.15">
      <c r="A72" s="4"/>
      <c r="B72" s="241"/>
      <c r="C72" s="242"/>
      <c r="D72" s="242"/>
      <c r="E72" s="242"/>
      <c r="F72" s="242"/>
      <c r="G72" s="242"/>
      <c r="H72" s="242"/>
      <c r="I72" s="243"/>
    </row>
    <row r="73" spans="1:9" ht="18.75" customHeight="1" x14ac:dyDescent="0.15">
      <c r="A73" s="4"/>
      <c r="B73" s="241"/>
      <c r="C73" s="242"/>
      <c r="D73" s="242"/>
      <c r="E73" s="242"/>
      <c r="F73" s="242"/>
      <c r="G73" s="242"/>
      <c r="H73" s="242"/>
      <c r="I73" s="243"/>
    </row>
    <row r="74" spans="1:9" ht="18.75" customHeight="1" x14ac:dyDescent="0.15">
      <c r="A74" s="4"/>
      <c r="B74" s="241"/>
      <c r="C74" s="242"/>
      <c r="D74" s="242"/>
      <c r="E74" s="242"/>
      <c r="F74" s="242"/>
      <c r="G74" s="242"/>
      <c r="H74" s="242"/>
      <c r="I74" s="243"/>
    </row>
    <row r="75" spans="1:9" ht="18.75" customHeight="1" x14ac:dyDescent="0.15">
      <c r="A75" s="4"/>
      <c r="B75" s="241"/>
      <c r="C75" s="242"/>
      <c r="D75" s="242"/>
      <c r="E75" s="242"/>
      <c r="F75" s="242"/>
      <c r="G75" s="242"/>
      <c r="H75" s="242"/>
      <c r="I75" s="243"/>
    </row>
    <row r="76" spans="1:9" ht="18.75" customHeight="1" x14ac:dyDescent="0.15">
      <c r="A76" s="4"/>
      <c r="B76" s="241"/>
      <c r="C76" s="242"/>
      <c r="D76" s="242"/>
      <c r="E76" s="242"/>
      <c r="F76" s="242"/>
      <c r="G76" s="242"/>
      <c r="H76" s="242"/>
      <c r="I76" s="243"/>
    </row>
    <row r="77" spans="1:9" ht="18.75" customHeight="1" x14ac:dyDescent="0.15">
      <c r="A77" s="4"/>
      <c r="B77" s="244"/>
      <c r="C77" s="245"/>
      <c r="D77" s="245"/>
      <c r="E77" s="245"/>
      <c r="F77" s="245"/>
      <c r="G77" s="245"/>
      <c r="H77" s="245"/>
      <c r="I77" s="246"/>
    </row>
    <row r="78" spans="1:9" ht="7.5" customHeight="1" x14ac:dyDescent="0.15">
      <c r="A78" s="4"/>
      <c r="B78" s="4"/>
      <c r="C78" s="4"/>
      <c r="D78" s="4"/>
      <c r="E78" s="4"/>
      <c r="F78" s="4"/>
      <c r="G78" s="4"/>
      <c r="H78" s="4"/>
      <c r="I78" s="4"/>
    </row>
    <row r="79" spans="1:9" ht="18.75" customHeight="1" x14ac:dyDescent="0.15">
      <c r="A79" s="1" t="s">
        <v>11</v>
      </c>
      <c r="B79" s="1" t="s">
        <v>41</v>
      </c>
    </row>
    <row r="80" spans="1:9" ht="18.75" customHeight="1" x14ac:dyDescent="0.15">
      <c r="A80" s="1"/>
      <c r="B80" s="238" t="s">
        <v>155</v>
      </c>
      <c r="C80" s="239"/>
      <c r="D80" s="239"/>
      <c r="E80" s="239"/>
      <c r="F80" s="239"/>
      <c r="G80" s="239"/>
      <c r="H80" s="239"/>
      <c r="I80" s="247"/>
    </row>
    <row r="81" spans="1:9" ht="18.75" customHeight="1" x14ac:dyDescent="0.15">
      <c r="A81" s="1"/>
      <c r="B81" s="248"/>
      <c r="C81" s="249"/>
      <c r="D81" s="249"/>
      <c r="E81" s="249"/>
      <c r="F81" s="249"/>
      <c r="G81" s="249"/>
      <c r="H81" s="249"/>
      <c r="I81" s="250"/>
    </row>
    <row r="82" spans="1:9" ht="18.75" customHeight="1" x14ac:dyDescent="0.15">
      <c r="A82" s="1"/>
      <c r="B82" s="248"/>
      <c r="C82" s="249"/>
      <c r="D82" s="249"/>
      <c r="E82" s="249"/>
      <c r="F82" s="249"/>
      <c r="G82" s="249"/>
      <c r="H82" s="249"/>
      <c r="I82" s="250"/>
    </row>
    <row r="83" spans="1:9" ht="18.75" customHeight="1" x14ac:dyDescent="0.15">
      <c r="A83" s="1"/>
      <c r="B83" s="248"/>
      <c r="C83" s="249"/>
      <c r="D83" s="249"/>
      <c r="E83" s="249"/>
      <c r="F83" s="249"/>
      <c r="G83" s="249"/>
      <c r="H83" s="249"/>
      <c r="I83" s="250"/>
    </row>
    <row r="84" spans="1:9" ht="18.75" customHeight="1" x14ac:dyDescent="0.15">
      <c r="A84" s="1"/>
      <c r="B84" s="248"/>
      <c r="C84" s="249"/>
      <c r="D84" s="249"/>
      <c r="E84" s="249"/>
      <c r="F84" s="249"/>
      <c r="G84" s="249"/>
      <c r="H84" s="249"/>
      <c r="I84" s="250"/>
    </row>
    <row r="85" spans="1:9" ht="18.75" customHeight="1" x14ac:dyDescent="0.15">
      <c r="A85" s="1"/>
      <c r="B85" s="248"/>
      <c r="C85" s="249"/>
      <c r="D85" s="249"/>
      <c r="E85" s="249"/>
      <c r="F85" s="249"/>
      <c r="G85" s="249"/>
      <c r="H85" s="249"/>
      <c r="I85" s="250"/>
    </row>
    <row r="86" spans="1:9" ht="18.75" customHeight="1" x14ac:dyDescent="0.15">
      <c r="A86" s="1"/>
      <c r="B86" s="248"/>
      <c r="C86" s="249"/>
      <c r="D86" s="249"/>
      <c r="E86" s="249"/>
      <c r="F86" s="249"/>
      <c r="G86" s="249"/>
      <c r="H86" s="249"/>
      <c r="I86" s="250"/>
    </row>
    <row r="87" spans="1:9" ht="18.75" customHeight="1" x14ac:dyDescent="0.15">
      <c r="A87" s="1"/>
      <c r="B87" s="248"/>
      <c r="C87" s="249"/>
      <c r="D87" s="249"/>
      <c r="E87" s="249"/>
      <c r="F87" s="249"/>
      <c r="G87" s="249"/>
      <c r="H87" s="249"/>
      <c r="I87" s="250"/>
    </row>
    <row r="88" spans="1:9" ht="18.75" customHeight="1" x14ac:dyDescent="0.15">
      <c r="A88" s="1"/>
      <c r="B88" s="248"/>
      <c r="C88" s="249"/>
      <c r="D88" s="249"/>
      <c r="E88" s="249"/>
      <c r="F88" s="249"/>
      <c r="G88" s="249"/>
      <c r="H88" s="249"/>
      <c r="I88" s="250"/>
    </row>
    <row r="89" spans="1:9" ht="18.75" customHeight="1" x14ac:dyDescent="0.15">
      <c r="A89" s="1"/>
      <c r="B89" s="248"/>
      <c r="C89" s="249"/>
      <c r="D89" s="249"/>
      <c r="E89" s="249"/>
      <c r="F89" s="249"/>
      <c r="G89" s="249"/>
      <c r="H89" s="249"/>
      <c r="I89" s="250"/>
    </row>
    <row r="90" spans="1:9" ht="18.75" customHeight="1" x14ac:dyDescent="0.15">
      <c r="A90" s="4"/>
      <c r="B90" s="248"/>
      <c r="C90" s="249"/>
      <c r="D90" s="249"/>
      <c r="E90" s="249"/>
      <c r="F90" s="249"/>
      <c r="G90" s="249"/>
      <c r="H90" s="249"/>
      <c r="I90" s="250"/>
    </row>
    <row r="91" spans="1:9" ht="18.75" customHeight="1" x14ac:dyDescent="0.15">
      <c r="A91" s="4"/>
      <c r="B91" s="251"/>
      <c r="C91" s="252"/>
      <c r="D91" s="252"/>
      <c r="E91" s="252"/>
      <c r="F91" s="252"/>
      <c r="G91" s="252"/>
      <c r="H91" s="252"/>
      <c r="I91" s="253"/>
    </row>
    <row r="92" spans="1:9" ht="7.5" customHeight="1" x14ac:dyDescent="0.15">
      <c r="A92" s="4"/>
      <c r="B92" s="4"/>
      <c r="C92" s="4"/>
      <c r="D92" s="4"/>
      <c r="E92" s="4"/>
      <c r="F92" s="4"/>
      <c r="G92" s="4"/>
      <c r="H92" s="4"/>
      <c r="I92" s="4"/>
    </row>
    <row r="93" spans="1:9" ht="18.75" customHeight="1" x14ac:dyDescent="0.15">
      <c r="A93" s="1" t="s">
        <v>44</v>
      </c>
      <c r="B93" s="1" t="s">
        <v>13</v>
      </c>
    </row>
    <row r="94" spans="1:9" ht="18.75" customHeight="1" x14ac:dyDescent="0.15">
      <c r="A94" s="1"/>
      <c r="B94" s="206" t="s">
        <v>156</v>
      </c>
      <c r="C94" s="207"/>
      <c r="D94" s="207"/>
      <c r="E94" s="207"/>
      <c r="F94" s="207"/>
      <c r="G94" s="207"/>
      <c r="H94" s="207"/>
      <c r="I94" s="208"/>
    </row>
    <row r="95" spans="1:9" ht="18.75" customHeight="1" x14ac:dyDescent="0.15">
      <c r="A95" s="1"/>
      <c r="B95" s="209"/>
      <c r="C95" s="210"/>
      <c r="D95" s="210"/>
      <c r="E95" s="210"/>
      <c r="F95" s="210"/>
      <c r="G95" s="210"/>
      <c r="H95" s="210"/>
      <c r="I95" s="211"/>
    </row>
    <row r="96" spans="1:9" ht="18.75" customHeight="1" x14ac:dyDescent="0.15">
      <c r="A96" s="1"/>
      <c r="B96" s="209"/>
      <c r="C96" s="210"/>
      <c r="D96" s="210"/>
      <c r="E96" s="210"/>
      <c r="F96" s="210"/>
      <c r="G96" s="210"/>
      <c r="H96" s="210"/>
      <c r="I96" s="211"/>
    </row>
    <row r="97" spans="1:9" ht="18.75" customHeight="1" x14ac:dyDescent="0.15">
      <c r="A97" s="1"/>
      <c r="B97" s="209"/>
      <c r="C97" s="210"/>
      <c r="D97" s="210"/>
      <c r="E97" s="210"/>
      <c r="F97" s="210"/>
      <c r="G97" s="210"/>
      <c r="H97" s="210"/>
      <c r="I97" s="211"/>
    </row>
    <row r="98" spans="1:9" ht="18.75" customHeight="1" x14ac:dyDescent="0.15">
      <c r="A98" s="1"/>
      <c r="B98" s="209"/>
      <c r="C98" s="210"/>
      <c r="D98" s="210"/>
      <c r="E98" s="210"/>
      <c r="F98" s="210"/>
      <c r="G98" s="210"/>
      <c r="H98" s="210"/>
      <c r="I98" s="211"/>
    </row>
    <row r="99" spans="1:9" ht="18.75" customHeight="1" x14ac:dyDescent="0.15">
      <c r="A99" s="1"/>
      <c r="B99" s="209"/>
      <c r="C99" s="210"/>
      <c r="D99" s="210"/>
      <c r="E99" s="210"/>
      <c r="F99" s="210"/>
      <c r="G99" s="210"/>
      <c r="H99" s="210"/>
      <c r="I99" s="211"/>
    </row>
    <row r="100" spans="1:9" ht="18.75" customHeight="1" x14ac:dyDescent="0.15">
      <c r="A100" s="1"/>
      <c r="B100" s="209"/>
      <c r="C100" s="210"/>
      <c r="D100" s="210"/>
      <c r="E100" s="210"/>
      <c r="F100" s="210"/>
      <c r="G100" s="210"/>
      <c r="H100" s="210"/>
      <c r="I100" s="211"/>
    </row>
    <row r="101" spans="1:9" ht="18.75" customHeight="1" x14ac:dyDescent="0.15">
      <c r="A101" s="1"/>
      <c r="B101" s="209"/>
      <c r="C101" s="210"/>
      <c r="D101" s="210"/>
      <c r="E101" s="210"/>
      <c r="F101" s="210"/>
      <c r="G101" s="210"/>
      <c r="H101" s="210"/>
      <c r="I101" s="211"/>
    </row>
    <row r="102" spans="1:9" ht="18.75" customHeight="1" x14ac:dyDescent="0.15">
      <c r="A102" s="1"/>
      <c r="B102" s="209"/>
      <c r="C102" s="210"/>
      <c r="D102" s="210"/>
      <c r="E102" s="210"/>
      <c r="F102" s="210"/>
      <c r="G102" s="210"/>
      <c r="H102" s="210"/>
      <c r="I102" s="211"/>
    </row>
    <row r="103" spans="1:9" ht="18.75" customHeight="1" x14ac:dyDescent="0.15">
      <c r="A103" s="1"/>
      <c r="B103" s="209"/>
      <c r="C103" s="210"/>
      <c r="D103" s="210"/>
      <c r="E103" s="210"/>
      <c r="F103" s="210"/>
      <c r="G103" s="210"/>
      <c r="H103" s="210"/>
      <c r="I103" s="211"/>
    </row>
    <row r="104" spans="1:9" ht="18.75" customHeight="1" x14ac:dyDescent="0.15">
      <c r="A104" s="1"/>
      <c r="B104" s="209"/>
      <c r="C104" s="210"/>
      <c r="D104" s="210"/>
      <c r="E104" s="210"/>
      <c r="F104" s="210"/>
      <c r="G104" s="210"/>
      <c r="H104" s="210"/>
      <c r="I104" s="211"/>
    </row>
    <row r="105" spans="1:9" ht="18.75" customHeight="1" x14ac:dyDescent="0.15">
      <c r="A105" s="4"/>
      <c r="B105" s="212"/>
      <c r="C105" s="213"/>
      <c r="D105" s="213"/>
      <c r="E105" s="213"/>
      <c r="F105" s="213"/>
      <c r="G105" s="213"/>
      <c r="H105" s="213"/>
      <c r="I105" s="214"/>
    </row>
    <row r="106" spans="1:9" ht="7.5" customHeight="1" x14ac:dyDescent="0.15">
      <c r="A106" s="4"/>
      <c r="B106" s="4"/>
      <c r="C106" s="4"/>
      <c r="D106" s="4"/>
      <c r="E106" s="4"/>
      <c r="F106" s="4"/>
      <c r="G106" s="4"/>
      <c r="H106" s="4"/>
      <c r="I106" s="4"/>
    </row>
    <row r="107" spans="1:9" ht="18.75" customHeight="1" x14ac:dyDescent="0.15">
      <c r="A107" s="1" t="s">
        <v>30</v>
      </c>
      <c r="B107" s="215" t="s">
        <v>46</v>
      </c>
      <c r="C107" s="215"/>
      <c r="D107" s="215"/>
      <c r="E107" s="215"/>
      <c r="F107" s="215"/>
      <c r="G107" s="215"/>
      <c r="H107" s="215"/>
      <c r="I107" s="215"/>
    </row>
    <row r="108" spans="1:9" ht="18.75" customHeight="1" x14ac:dyDescent="0.15">
      <c r="A108" s="4"/>
      <c r="B108" s="206" t="s">
        <v>157</v>
      </c>
      <c r="C108" s="207"/>
      <c r="D108" s="207"/>
      <c r="E108" s="207"/>
      <c r="F108" s="207"/>
      <c r="G108" s="207"/>
      <c r="H108" s="207"/>
      <c r="I108" s="208"/>
    </row>
    <row r="109" spans="1:9" ht="18.75" customHeight="1" x14ac:dyDescent="0.15">
      <c r="A109" s="4"/>
      <c r="B109" s="209"/>
      <c r="C109" s="210"/>
      <c r="D109" s="210"/>
      <c r="E109" s="210"/>
      <c r="F109" s="210"/>
      <c r="G109" s="210"/>
      <c r="H109" s="210"/>
      <c r="I109" s="211"/>
    </row>
    <row r="110" spans="1:9" ht="18.75" customHeight="1" x14ac:dyDescent="0.15">
      <c r="A110" s="4"/>
      <c r="B110" s="209"/>
      <c r="C110" s="210"/>
      <c r="D110" s="210"/>
      <c r="E110" s="210"/>
      <c r="F110" s="210"/>
      <c r="G110" s="210"/>
      <c r="H110" s="210"/>
      <c r="I110" s="211"/>
    </row>
    <row r="111" spans="1:9" ht="18.75" customHeight="1" x14ac:dyDescent="0.15">
      <c r="A111" s="4"/>
      <c r="B111" s="209"/>
      <c r="C111" s="210"/>
      <c r="D111" s="210"/>
      <c r="E111" s="210"/>
      <c r="F111" s="210"/>
      <c r="G111" s="210"/>
      <c r="H111" s="210"/>
      <c r="I111" s="211"/>
    </row>
    <row r="112" spans="1:9" ht="18.75" customHeight="1" x14ac:dyDescent="0.15">
      <c r="A112" s="4"/>
      <c r="B112" s="209"/>
      <c r="C112" s="210"/>
      <c r="D112" s="210"/>
      <c r="E112" s="210"/>
      <c r="F112" s="210"/>
      <c r="G112" s="210"/>
      <c r="H112" s="210"/>
      <c r="I112" s="211"/>
    </row>
    <row r="113" spans="1:9" ht="18.75" customHeight="1" x14ac:dyDescent="0.15">
      <c r="A113" s="4"/>
      <c r="B113" s="209"/>
      <c r="C113" s="210"/>
      <c r="D113" s="210"/>
      <c r="E113" s="210"/>
      <c r="F113" s="210"/>
      <c r="G113" s="210"/>
      <c r="H113" s="210"/>
      <c r="I113" s="211"/>
    </row>
    <row r="114" spans="1:9" ht="18.75" customHeight="1" x14ac:dyDescent="0.15">
      <c r="A114" s="4"/>
      <c r="B114" s="209"/>
      <c r="C114" s="210"/>
      <c r="D114" s="210"/>
      <c r="E114" s="210"/>
      <c r="F114" s="210"/>
      <c r="G114" s="210"/>
      <c r="H114" s="210"/>
      <c r="I114" s="211"/>
    </row>
    <row r="115" spans="1:9" ht="18.75" customHeight="1" x14ac:dyDescent="0.15">
      <c r="A115" s="4"/>
      <c r="B115" s="209"/>
      <c r="C115" s="210"/>
      <c r="D115" s="210"/>
      <c r="E115" s="210"/>
      <c r="F115" s="210"/>
      <c r="G115" s="210"/>
      <c r="H115" s="210"/>
      <c r="I115" s="211"/>
    </row>
    <row r="116" spans="1:9" ht="18.75" customHeight="1" x14ac:dyDescent="0.15">
      <c r="A116" s="4"/>
      <c r="B116" s="209"/>
      <c r="C116" s="210"/>
      <c r="D116" s="210"/>
      <c r="E116" s="210"/>
      <c r="F116" s="210"/>
      <c r="G116" s="210"/>
      <c r="H116" s="210"/>
      <c r="I116" s="211"/>
    </row>
    <row r="117" spans="1:9" ht="18.75" customHeight="1" x14ac:dyDescent="0.15">
      <c r="A117" s="4"/>
      <c r="B117" s="209"/>
      <c r="C117" s="210"/>
      <c r="D117" s="210"/>
      <c r="E117" s="210"/>
      <c r="F117" s="210"/>
      <c r="G117" s="210"/>
      <c r="H117" s="210"/>
      <c r="I117" s="211"/>
    </row>
    <row r="118" spans="1:9" ht="18.75" customHeight="1" x14ac:dyDescent="0.15">
      <c r="A118" s="4"/>
      <c r="B118" s="209"/>
      <c r="C118" s="210"/>
      <c r="D118" s="210"/>
      <c r="E118" s="210"/>
      <c r="F118" s="210"/>
      <c r="G118" s="210"/>
      <c r="H118" s="210"/>
      <c r="I118" s="211"/>
    </row>
    <row r="119" spans="1:9" ht="18.75" customHeight="1" x14ac:dyDescent="0.15">
      <c r="A119" s="4"/>
      <c r="B119" s="212"/>
      <c r="C119" s="213"/>
      <c r="D119" s="213"/>
      <c r="E119" s="213"/>
      <c r="F119" s="213"/>
      <c r="G119" s="213"/>
      <c r="H119" s="213"/>
      <c r="I119" s="214"/>
    </row>
    <row r="120" spans="1:9" ht="7.5" customHeight="1" x14ac:dyDescent="0.15">
      <c r="A120" s="4"/>
      <c r="B120" s="45"/>
      <c r="C120" s="45"/>
      <c r="D120" s="45"/>
      <c r="E120" s="45"/>
      <c r="F120" s="45"/>
      <c r="G120" s="45"/>
      <c r="H120" s="45"/>
      <c r="I120" s="45"/>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6"/>
      <c r="B134" s="46"/>
      <c r="C134" s="46"/>
      <c r="D134" s="46"/>
      <c r="E134" s="46"/>
      <c r="F134" s="46"/>
      <c r="G134" s="46"/>
      <c r="H134" s="46"/>
      <c r="I134" s="46"/>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topLeftCell="A20" zoomScaleNormal="100" zoomScaleSheetLayoutView="100" workbookViewId="0">
      <selection activeCell="B22" sqref="B22:D22"/>
    </sheetView>
  </sheetViews>
  <sheetFormatPr defaultColWidth="11.375" defaultRowHeight="22.5" customHeight="1" x14ac:dyDescent="0.15"/>
  <cols>
    <col min="1" max="3" width="2.875" style="1" customWidth="1"/>
    <col min="4" max="4" width="22.125" style="1" customWidth="1"/>
    <col min="5" max="5" width="30.875" style="1" customWidth="1"/>
    <col min="6" max="7" width="7.875" style="1" customWidth="1"/>
    <col min="8" max="9" width="30.875" style="1" customWidth="1"/>
    <col min="10" max="10" width="4.125" style="1" customWidth="1"/>
    <col min="11" max="16384" width="11.375" style="1"/>
  </cols>
  <sheetData>
    <row r="1" spans="1:9" ht="18.75" customHeight="1" x14ac:dyDescent="0.15">
      <c r="A1" s="1" t="s">
        <v>71</v>
      </c>
      <c r="I1" s="35" t="s">
        <v>105</v>
      </c>
    </row>
    <row r="2" spans="1:9" ht="18.75" customHeight="1" x14ac:dyDescent="0.15">
      <c r="H2" s="35" t="s">
        <v>109</v>
      </c>
      <c r="I2" s="34" t="s">
        <v>127</v>
      </c>
    </row>
    <row r="3" spans="1:9" ht="18.75" customHeight="1" x14ac:dyDescent="0.15">
      <c r="A3" s="163" t="s">
        <v>28</v>
      </c>
      <c r="B3" s="163"/>
      <c r="C3" s="163"/>
      <c r="D3" s="163"/>
      <c r="E3" s="163"/>
      <c r="F3" s="163"/>
      <c r="G3" s="163"/>
      <c r="H3" s="163"/>
      <c r="I3" s="163"/>
    </row>
    <row r="4" spans="1:9" ht="18.75" customHeight="1" x14ac:dyDescent="0.15">
      <c r="A4" s="5"/>
      <c r="B4" s="5"/>
      <c r="C4" s="5"/>
      <c r="D4" s="5"/>
      <c r="E4" s="5"/>
      <c r="F4" s="5"/>
      <c r="G4" s="5"/>
      <c r="H4" s="5"/>
      <c r="I4" s="5"/>
    </row>
    <row r="5" spans="1:9" ht="18.75" customHeight="1" x14ac:dyDescent="0.15">
      <c r="A5" s="1" t="s">
        <v>0</v>
      </c>
      <c r="B5" s="10" t="s">
        <v>95</v>
      </c>
      <c r="C5" s="5"/>
      <c r="D5" s="5"/>
      <c r="E5" s="5"/>
      <c r="F5" s="5"/>
      <c r="G5" s="5"/>
      <c r="H5" s="5"/>
      <c r="I5" s="5"/>
    </row>
    <row r="6" spans="1:9" ht="26.25" customHeight="1" x14ac:dyDescent="0.15">
      <c r="A6" s="5"/>
      <c r="B6" s="233" t="s">
        <v>132</v>
      </c>
      <c r="C6" s="274"/>
      <c r="D6" s="274"/>
      <c r="E6" s="274"/>
      <c r="F6" s="274"/>
      <c r="G6" s="274"/>
      <c r="H6" s="275"/>
      <c r="I6" s="3"/>
    </row>
    <row r="7" spans="1:9" ht="9" customHeight="1" x14ac:dyDescent="0.15">
      <c r="A7" s="5"/>
      <c r="B7" s="10"/>
      <c r="C7" s="10"/>
      <c r="D7" s="10"/>
      <c r="E7" s="10"/>
      <c r="F7" s="10"/>
      <c r="G7" s="10"/>
      <c r="H7" s="10"/>
      <c r="I7" s="3"/>
    </row>
    <row r="8" spans="1:9" ht="18.75" customHeight="1" x14ac:dyDescent="0.15">
      <c r="A8" s="5"/>
      <c r="B8" s="3"/>
      <c r="C8" s="3"/>
      <c r="D8" s="35" t="s">
        <v>43</v>
      </c>
      <c r="E8" s="34" t="s">
        <v>129</v>
      </c>
      <c r="F8" s="3"/>
      <c r="G8" s="35" t="s">
        <v>10</v>
      </c>
      <c r="H8" s="34" t="s">
        <v>130</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7" t="s">
        <v>24</v>
      </c>
      <c r="C11" s="98"/>
      <c r="D11" s="99"/>
      <c r="E11" s="98" t="s">
        <v>26</v>
      </c>
      <c r="F11" s="98"/>
      <c r="G11" s="98"/>
      <c r="H11" s="98"/>
      <c r="I11" s="99"/>
    </row>
    <row r="12" spans="1:9" ht="26.25" customHeight="1" x14ac:dyDescent="0.15">
      <c r="B12" s="47" t="s">
        <v>14</v>
      </c>
      <c r="C12" s="54"/>
      <c r="D12" s="48"/>
      <c r="E12" s="55"/>
      <c r="F12" s="55"/>
      <c r="G12" s="55"/>
      <c r="H12" s="55"/>
      <c r="I12" s="48"/>
    </row>
    <row r="13" spans="1:9" ht="210.75" customHeight="1" x14ac:dyDescent="0.15">
      <c r="B13" s="49"/>
      <c r="C13" s="269" t="s">
        <v>15</v>
      </c>
      <c r="D13" s="270"/>
      <c r="E13" s="271" t="s">
        <v>144</v>
      </c>
      <c r="F13" s="272"/>
      <c r="G13" s="272"/>
      <c r="H13" s="272"/>
      <c r="I13" s="273"/>
    </row>
    <row r="14" spans="1:9" ht="210.75" customHeight="1" x14ac:dyDescent="0.15">
      <c r="B14" s="49"/>
      <c r="C14" s="264" t="s">
        <v>16</v>
      </c>
      <c r="D14" s="265"/>
      <c r="E14" s="266" t="s">
        <v>145</v>
      </c>
      <c r="F14" s="267"/>
      <c r="G14" s="267"/>
      <c r="H14" s="267"/>
      <c r="I14" s="268"/>
    </row>
    <row r="15" spans="1:9" ht="210.75" customHeight="1" x14ac:dyDescent="0.15">
      <c r="B15" s="49"/>
      <c r="C15" s="269" t="s">
        <v>17</v>
      </c>
      <c r="D15" s="270"/>
      <c r="E15" s="266" t="s">
        <v>146</v>
      </c>
      <c r="F15" s="267"/>
      <c r="G15" s="267"/>
      <c r="H15" s="267"/>
      <c r="I15" s="268"/>
    </row>
    <row r="16" spans="1:9" ht="210.75" customHeight="1" x14ac:dyDescent="0.15">
      <c r="B16" s="49"/>
      <c r="C16" s="269" t="s">
        <v>18</v>
      </c>
      <c r="D16" s="270"/>
      <c r="E16" s="266" t="s">
        <v>147</v>
      </c>
      <c r="F16" s="267"/>
      <c r="G16" s="267"/>
      <c r="H16" s="267"/>
      <c r="I16" s="268"/>
    </row>
    <row r="17" spans="2:9" ht="210.75" customHeight="1" x14ac:dyDescent="0.15">
      <c r="B17" s="50"/>
      <c r="C17" s="276" t="s">
        <v>19</v>
      </c>
      <c r="D17" s="277"/>
      <c r="E17" s="278" t="s">
        <v>152</v>
      </c>
      <c r="F17" s="279"/>
      <c r="G17" s="279"/>
      <c r="H17" s="279"/>
      <c r="I17" s="280"/>
    </row>
    <row r="18" spans="2:9" ht="24" customHeight="1" x14ac:dyDescent="0.15">
      <c r="B18" s="47" t="s">
        <v>20</v>
      </c>
      <c r="C18" s="51"/>
      <c r="D18" s="52"/>
      <c r="E18" s="53"/>
      <c r="F18" s="53"/>
      <c r="G18" s="53"/>
      <c r="H18" s="53"/>
      <c r="I18" s="56"/>
    </row>
    <row r="19" spans="2:9" ht="218.25" customHeight="1" x14ac:dyDescent="0.15">
      <c r="B19" s="49"/>
      <c r="C19" s="269" t="s">
        <v>21</v>
      </c>
      <c r="D19" s="270"/>
      <c r="E19" s="267" t="s">
        <v>150</v>
      </c>
      <c r="F19" s="267"/>
      <c r="G19" s="267"/>
      <c r="H19" s="267"/>
      <c r="I19" s="268"/>
    </row>
    <row r="20" spans="2:9" ht="218.25" customHeight="1" x14ac:dyDescent="0.15">
      <c r="B20" s="50"/>
      <c r="C20" s="276" t="s">
        <v>22</v>
      </c>
      <c r="D20" s="277"/>
      <c r="E20" s="279" t="s">
        <v>151</v>
      </c>
      <c r="F20" s="279"/>
      <c r="G20" s="279"/>
      <c r="H20" s="279"/>
      <c r="I20" s="280"/>
    </row>
    <row r="21" spans="2:9" ht="218.25" customHeight="1" x14ac:dyDescent="0.15">
      <c r="B21" s="286" t="s">
        <v>23</v>
      </c>
      <c r="C21" s="287"/>
      <c r="D21" s="288"/>
      <c r="E21" s="289" t="s">
        <v>148</v>
      </c>
      <c r="F21" s="289"/>
      <c r="G21" s="289"/>
      <c r="H21" s="289"/>
      <c r="I21" s="290"/>
    </row>
    <row r="22" spans="2:9" ht="218.25" customHeight="1" x14ac:dyDescent="0.15">
      <c r="B22" s="281" t="s">
        <v>38</v>
      </c>
      <c r="C22" s="282"/>
      <c r="D22" s="283"/>
      <c r="E22" s="284" t="s">
        <v>149</v>
      </c>
      <c r="F22" s="284"/>
      <c r="G22" s="284"/>
      <c r="H22" s="284"/>
      <c r="I22" s="285"/>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5"/>
      <c r="C28" s="15"/>
      <c r="D28" s="15"/>
      <c r="E28" s="15"/>
      <c r="F28" s="15"/>
      <c r="G28" s="15"/>
      <c r="H28" s="15"/>
      <c r="I28" s="15"/>
    </row>
    <row r="29" spans="2:9" ht="22.5" customHeight="1" x14ac:dyDescent="0.15">
      <c r="B29" s="15"/>
      <c r="C29" s="15"/>
      <c r="D29" s="15"/>
      <c r="E29" s="15"/>
      <c r="F29" s="15"/>
      <c r="G29" s="15"/>
      <c r="H29" s="15"/>
      <c r="I29" s="15"/>
    </row>
    <row r="30" spans="2:9" ht="22.5" customHeight="1" x14ac:dyDescent="0.15">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4</vt:i4>
      </vt:variant>
    </vt:vector>
  </HeadingPairs>
  <TitlesOfParts>
    <vt:vector size="8"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見留 香</cp:lastModifiedBy>
  <cp:lastPrinted>2023-04-28T11:03:29Z</cp:lastPrinted>
  <dcterms:created xsi:type="dcterms:W3CDTF">2011-06-14T05:32:50Z</dcterms:created>
  <dcterms:modified xsi:type="dcterms:W3CDTF">2023-04-28T11:03:53Z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