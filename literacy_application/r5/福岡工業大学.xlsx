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7"/>
  <workbookPr defaultThemeVersion="124226"/>
  <mc:AlternateContent xmlns:mc="http://schemas.openxmlformats.org/markup-compatibility/2006">
    <mc:Choice Requires="x15">
      <x15ac:absPath xmlns:x15ac="http://schemas.microsoft.com/office/spreadsheetml/2010/11/ac" url="M:\7_補助事業\（文科）10.数理データサイエンスAI教育プログラム認定制度\リテラシーレベル申請（令和5年度）\申請書様式等\提出用\提出データ(ZIPファイル）\福岡工業大学\01_福岡工業大学_リテラシー\"/>
    </mc:Choice>
  </mc:AlternateContent>
  <xr:revisionPtr revIDLastSave="0" documentId="13_ncr:1_{0AEDFF9E-A790-427A-A6D9-6083AD572261}" xr6:coauthVersionLast="36" xr6:coauthVersionMax="36" xr10:uidLastSave="{00000000-0000-0000-0000-000000000000}"/>
  <bookViews>
    <workbookView xWindow="0" yWindow="0" windowWidth="23040" windowHeight="8964"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<sst xmlns="http://schemas.openxmlformats.org/spreadsheetml/2006/main" count="298" uniqueCount="172">
  <si>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</si>
  <si>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</si>
  <si>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</si>
  <si>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</si>
  <si>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</si>
  <si>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</si>
  <si>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</si>
  <si>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</si>
  <si>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</si>
  <si>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</si>
  <si>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</si>
  <si>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</si>
  <si>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</si>
  <si>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</si>
  <si>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</si>
  <si>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</si>
  <si>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</si>
  <si>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</si>
  <si>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</si>
  <si>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</si>
  <si>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</si>
  <si>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</si>
  <si>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</si>
  <si>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</si>
  <si>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</si>
  <si>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</si>
  <si>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</si>
  <si>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</si>
  <si>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</si>
  <si>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</si>
  <si>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</si>
  <si>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</si>
  <si>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</si>
  <si>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</si>
  <si>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</si>
  <si>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</si>
  <si>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</si>
  <si>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</si>
  <si>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</si>
  <si>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</si>
  <si>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</si>
  <si>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</si>
  <si>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</si>
  <si>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</si>
  <si>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</si>
  <si>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</si>
  <si>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</si>
  <si>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</si>
  <si>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</si>
  <si>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</si>
  <si>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</si>
  <si>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</si>
  <si>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</si>
  <si>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</si>
  <si>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</si>
  <si>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</si>
  <si>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</si>
  <si>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</si>
  <si>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</si>
  <si>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</si>
  <si>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</si>
  <si>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</si>
  <si>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</si>
  <si>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</si>
  <si>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</si>
  <si>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</si>
  <si>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</si>
  <si>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</si>
  <si>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</si>
  <si>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</si>
  <si>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</si>
  <si>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</si>
  <si>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</si>
  <si>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</si>
  <si>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</si>
  <si>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</si>
  <si>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</si>
  <si>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</si>
  <si>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</si>
  <si>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</si>
  <si>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</si>
  <si>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</si>
  <si>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</si>
  <si>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</si>
  <si>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</si>
  <si>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</si>
  <si>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</si>
  <si>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</si>
  <si>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</si>
  <si>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</si>
  <si>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</si>
  <si>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</si>
  <si>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</si>
  <si>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</si>
  <si>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</si>
  <si>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</si>
  <si>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</si>
  <si>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</si>
  <si>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</si>
  <si>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</si>
  <si>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</si>
  <si>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</si>
  <si>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</si>
  <si>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</si>
  <si>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</si>
  <si>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</si>
  <si>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</si>
  <si>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</si>
  <si>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</si>
  <si>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</si>
  <si>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</si>
  <si>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</si>
  <si>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</si>
  <si>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</si>
  <si>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</si>
  <si>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</si>
  <si>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</si>
  <si>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</si>
  <si>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</si>
  <si>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</si>
  <si>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</si>
  <si>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</si>
  <si>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</si>
  <si>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</si>
  <si>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</si>
  <si>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</si>
  <si>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</si>
  <si>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</si>
  <si>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AIデータサイエンス基礎</t>
    <phoneticPr fontId="1"/>
  </si>
  <si>
    <t>○</t>
  </si>
  <si>
    <t>福岡工業大学</t>
    <rPh sb="0" eb="2">
      <t>フクオカ</t>
    </rPh>
    <rPh sb="2" eb="4">
      <t>コウギョウ</t>
    </rPh>
    <rPh sb="4" eb="6">
      <t>ダイガク</t>
    </rPh>
    <phoneticPr fontId="1"/>
  </si>
  <si>
    <t>AIデータサイエンス基礎（リテラシーレベル教育プログラム）</t>
    <phoneticPr fontId="1"/>
  </si>
  <si>
    <t>工学部</t>
    <rPh sb="0" eb="3">
      <t>コウガクブ</t>
    </rPh>
    <phoneticPr fontId="1"/>
  </si>
  <si>
    <t>令和4</t>
    <rPh sb="0" eb="2">
      <t>レイワ</t>
    </rPh>
    <phoneticPr fontId="1"/>
  </si>
  <si>
    <t>情報工学部</t>
    <rPh sb="0" eb="2">
      <t>ジョウホウ</t>
    </rPh>
    <rPh sb="2" eb="5">
      <t>コウガクブ</t>
    </rPh>
    <phoneticPr fontId="1"/>
  </si>
  <si>
    <t>社会環境学部</t>
    <rPh sb="0" eb="2">
      <t>シャカイ</t>
    </rPh>
    <rPh sb="2" eb="4">
      <t>カンキョウ</t>
    </rPh>
    <rPh sb="4" eb="6">
      <t>ガクブ</t>
    </rPh>
    <phoneticPr fontId="1"/>
  </si>
  <si>
    <t>FD推進機構教養力育成センター部会</t>
    <rPh sb="2" eb="4">
      <t>スイシン</t>
    </rPh>
    <rPh sb="4" eb="6">
      <t>キコウ</t>
    </rPh>
    <rPh sb="6" eb="8">
      <t>キョウヨウ</t>
    </rPh>
    <rPh sb="8" eb="9">
      <t>リョク</t>
    </rPh>
    <rPh sb="9" eb="11">
      <t>イクセイ</t>
    </rPh>
    <rPh sb="15" eb="17">
      <t>ブカイ</t>
    </rPh>
    <phoneticPr fontId="1"/>
  </si>
  <si>
    <t>土屋　麻衣子</t>
    <rPh sb="0" eb="2">
      <t>ツチヤ</t>
    </rPh>
    <rPh sb="3" eb="6">
      <t>マイコ</t>
    </rPh>
    <phoneticPr fontId="1"/>
  </si>
  <si>
    <t>教養力育成センター長</t>
    <rPh sb="0" eb="2">
      <t>キョウヨウ</t>
    </rPh>
    <rPh sb="2" eb="3">
      <t>リョク</t>
    </rPh>
    <rPh sb="3" eb="5">
      <t>イクセイ</t>
    </rPh>
    <rPh sb="9" eb="10">
      <t>チョウ</t>
    </rPh>
    <phoneticPr fontId="1"/>
  </si>
  <si>
    <t>AIやデータサイエンスを活用することによって社会がどのように変化するのか、またそうした状況に私たちがどのように対応していく必要があるのかについて論理的に考察できる視座を与えることができた。学期末の学生へのアンケートでは、「 人間中心の適切な判断を行うために必要なリテラシーを獲得することが出来た」「近代のコンピュータ技術やデータサイエンスについて学ぶことができた」「AIに任せきるのではなく、どのように使うことで私たちの暮しが豊かになるかを考えることが大切だとわかりました」等、これからのAIとの向き合い方を考えるきっかけを与える授業とすることができた。</t>
    <phoneticPr fontId="1"/>
  </si>
  <si>
    <t>学生の学修態度としてのアンケートでは、92%の学生が自主的かつ意欲をもって学習に取り組むことができ、同様に92%の学生が全体として意義あるものであったとの回答が得られており、一定の学修成果と共に満足度のある授業が提供できたと捉えている。具体的な学修成果としては、AIに関する社会の動きととそれに合わせた産業構造の変化を中心とした授業を行ったため「専門知識：当該分野において必要とされる専門知識とそれらを応用する能力」が身に着いた60%の回答が得られた。また、動画配信によるオンデマンド型授業形態を整え、提出期限等を厳守への指導を徹底したため、「主体性：自主的、継続的に学習する能力」が身に着いたとの回答も40%得られた。</t>
    <phoneticPr fontId="1"/>
  </si>
  <si>
    <t>学期末のアンケートの中で、次期履修者に向けてこの授業についてのアドバイスを記述してもらった。特にオンデマンド型として運用している点について、「主体性」「継続性」「計画性」を持って受講に臨むことの重要性についてアドバイスがなされていたため、本科目を受講する上での具体的なイメージを喚起することにつながり、受講を推奨することに寄与したと考えられる。</t>
    <phoneticPr fontId="1"/>
  </si>
  <si>
    <t>新入生への全学オリエンテーションの際に、オンデマンド型での運用となる本科目の案内の時間を設けている。また、本科目を紹介するための5分程度の短い動画を配信することで履修率向上に向けて取り組んでいる。</t>
    <phoneticPr fontId="1"/>
  </si>
  <si>
    <t>本科目は、2022 年度から 1 年次生を対象として開講されたため、本科目を履修し、単位を修得して卒業した学生はいない。2023年度から、工学部及び情報工学部において、応用基礎レベルモデルカリキュラムに沿ったプログラムを実施予定であり、それらの科目群を履修した学生の進路・採用状況等を把握していく。</t>
    <phoneticPr fontId="1"/>
  </si>
  <si>
    <t>本科目については、産業界の外部委員が参画する会議体にてオンデマンド講義での工夫や、受講者がデータサイエンスに興味を持つことができる内容であることについて報告を行い、評価を得た。（2022/9/26人材育成協議会）</t>
    <phoneticPr fontId="1"/>
  </si>
  <si>
    <t>AIやデータサイエンスの身近な活用事例を紹介することで、本科目の学習内容の重要性を具体的に伝えられるように工夫している。また、データサイエンスにおいては、実際のデータに触れることができる演習回を用意した。　学生への期末アンケートにおいても、「初めてのオンデマンドでの授業で予定通り行うことが少しできなかったけど、自分のペースで行い、自分が知らなかったたくさんの学びを得ることができました。」「説明や例がわかりやすく、図やグラフも多かったため理解しやすかったです」等の回答も得られた。</t>
    <phoneticPr fontId="1"/>
  </si>
  <si>
    <t>学生の履修状況及び期末アンケートの結果に基づき、授業内容及びその方法の見直しを行っている。特にオンデマンド型の授業形態における履修の姿勢に関しては単位取得に大きく関わるため、提出期限のリマインド等様々な工夫がなされている。</t>
    <phoneticPr fontId="1"/>
  </si>
  <si>
    <t>FD推進機構全学教育開発ワーキンググループ</t>
    <rPh sb="2" eb="4">
      <t>スイシン</t>
    </rPh>
    <rPh sb="4" eb="6">
      <t>キコウ</t>
    </rPh>
    <rPh sb="6" eb="8">
      <t>ゼンガク</t>
    </rPh>
    <rPh sb="8" eb="10">
      <t>キョウイク</t>
    </rPh>
    <rPh sb="10" eb="12">
      <t>カイハツ</t>
    </rPh>
    <phoneticPr fontId="1"/>
  </si>
  <si>
    <t>倪　宝栄</t>
    <rPh sb="0" eb="1">
      <t>ゲイ</t>
    </rPh>
    <rPh sb="2" eb="3">
      <t>タカラ</t>
    </rPh>
    <rPh sb="3" eb="4">
      <t>エイ</t>
    </rPh>
    <phoneticPr fontId="1"/>
  </si>
  <si>
    <t>全学教育開発ワーキンググループ長（教務部長）</t>
    <rPh sb="0" eb="2">
      <t>ゼンガク</t>
    </rPh>
    <rPh sb="2" eb="4">
      <t>キョウイク</t>
    </rPh>
    <rPh sb="4" eb="6">
      <t>カイハツ</t>
    </rPh>
    <rPh sb="15" eb="16">
      <t>チョウ</t>
    </rPh>
    <rPh sb="17" eb="19">
      <t>キョウム</t>
    </rPh>
    <rPh sb="19" eb="21">
      <t>ブチョウ</t>
    </rPh>
    <phoneticPr fontId="1"/>
  </si>
  <si>
    <t>【2022年度全学教育開発ワーキンググループ構成員】
工学部電子情報工学科　倪　宝栄（教授、WG長、教務部長）
工学部知能機械工学科　村山　理一（教授、工学部長）
情報工学部情報通信工学科　前田　洋（教授、情報工学部長）
社会環境学部社会環境学科　藤井　洋次（教授、社会環境学部長）
教養力育成センター　土屋　麻衣子（教授、教養力育成センター長）
工学部　電子情報工学科　松木　裕二（教授、情報基盤センター長）
工学部　電子情報工学科　江口　啓（教授）
工学部　電気工学科　松尾　敬二（教授）
情報工学部　システムマネジメント学科　藤岡　寛之（教授）</t>
    <rPh sb="5" eb="7">
      <t>ネンド</t>
    </rPh>
    <rPh sb="7" eb="9">
      <t>ゼンガク</t>
    </rPh>
    <rPh sb="9" eb="11">
      <t>キョウイク</t>
    </rPh>
    <rPh sb="11" eb="13">
      <t>カイハツ</t>
    </rPh>
    <rPh sb="22" eb="24">
      <t>コウセイ</t>
    </rPh>
    <rPh sb="24" eb="25">
      <t>イン</t>
    </rPh>
    <rPh sb="27" eb="30">
      <t>コウガクブ</t>
    </rPh>
    <rPh sb="30" eb="32">
      <t>デンシ</t>
    </rPh>
    <rPh sb="32" eb="34">
      <t>ジョウホウ</t>
    </rPh>
    <rPh sb="34" eb="37">
      <t>コウガクカ</t>
    </rPh>
    <rPh sb="38" eb="39">
      <t>ゲイ</t>
    </rPh>
    <rPh sb="40" eb="41">
      <t>タカラ</t>
    </rPh>
    <rPh sb="41" eb="42">
      <t>エイ</t>
    </rPh>
    <rPh sb="43" eb="45">
      <t>キョウジュ</t>
    </rPh>
    <rPh sb="48" eb="49">
      <t>チョウ</t>
    </rPh>
    <rPh sb="50" eb="52">
      <t>キョウム</t>
    </rPh>
    <rPh sb="52" eb="54">
      <t>ブチョウ</t>
    </rPh>
    <rPh sb="56" eb="59">
      <t>コウガクブ</t>
    </rPh>
    <rPh sb="59" eb="61">
      <t>チノウ</t>
    </rPh>
    <rPh sb="61" eb="63">
      <t>キカイ</t>
    </rPh>
    <rPh sb="63" eb="66">
      <t>コウガクカ</t>
    </rPh>
    <rPh sb="67" eb="69">
      <t>ムラヤマ</t>
    </rPh>
    <rPh sb="70" eb="71">
      <t>リ</t>
    </rPh>
    <rPh sb="71" eb="72">
      <t>イチ</t>
    </rPh>
    <rPh sb="73" eb="75">
      <t>キョウジュ</t>
    </rPh>
    <rPh sb="76" eb="79">
      <t>コウガクブ</t>
    </rPh>
    <rPh sb="79" eb="80">
      <t>チョウ</t>
    </rPh>
    <rPh sb="82" eb="84">
      <t>ジョウホウ</t>
    </rPh>
    <rPh sb="84" eb="87">
      <t>コウガクブ</t>
    </rPh>
    <rPh sb="87" eb="89">
      <t>ジョウホウ</t>
    </rPh>
    <rPh sb="89" eb="91">
      <t>ツウシン</t>
    </rPh>
    <rPh sb="91" eb="94">
      <t>コウガクカ</t>
    </rPh>
    <rPh sb="95" eb="97">
      <t>マエダ</t>
    </rPh>
    <rPh sb="98" eb="99">
      <t>ヨウ</t>
    </rPh>
    <rPh sb="100" eb="102">
      <t>キョウジュ</t>
    </rPh>
    <rPh sb="103" eb="105">
      <t>ジョウホウ</t>
    </rPh>
    <rPh sb="105" eb="108">
      <t>コウガクブ</t>
    </rPh>
    <rPh sb="108" eb="109">
      <t>チョウ</t>
    </rPh>
    <rPh sb="111" eb="113">
      <t>シャカイ</t>
    </rPh>
    <rPh sb="113" eb="115">
      <t>カンキョウ</t>
    </rPh>
    <rPh sb="115" eb="117">
      <t>ガクブ</t>
    </rPh>
    <rPh sb="117" eb="119">
      <t>シャカイ</t>
    </rPh>
    <rPh sb="119" eb="121">
      <t>カンキョウ</t>
    </rPh>
    <rPh sb="121" eb="123">
      <t>ガッカ</t>
    </rPh>
    <rPh sb="124" eb="126">
      <t>フジイ</t>
    </rPh>
    <rPh sb="127" eb="128">
      <t>ヨウ</t>
    </rPh>
    <rPh sb="128" eb="129">
      <t>ジ</t>
    </rPh>
    <rPh sb="130" eb="132">
      <t>キョウジュ</t>
    </rPh>
    <rPh sb="133" eb="135">
      <t>シャカイ</t>
    </rPh>
    <rPh sb="135" eb="137">
      <t>カンキョウ</t>
    </rPh>
    <rPh sb="137" eb="139">
      <t>ガクブ</t>
    </rPh>
    <rPh sb="139" eb="140">
      <t>チョウ</t>
    </rPh>
    <rPh sb="142" eb="144">
      <t>キョウヨウ</t>
    </rPh>
    <rPh sb="144" eb="145">
      <t>リョク</t>
    </rPh>
    <rPh sb="145" eb="147">
      <t>イクセイ</t>
    </rPh>
    <rPh sb="152" eb="154">
      <t>ツチヤ</t>
    </rPh>
    <rPh sb="155" eb="158">
      <t>マイコ</t>
    </rPh>
    <rPh sb="159" eb="161">
      <t>キョウジュ</t>
    </rPh>
    <rPh sb="162" eb="164">
      <t>キョウヨウ</t>
    </rPh>
    <rPh sb="164" eb="165">
      <t>リョク</t>
    </rPh>
    <rPh sb="165" eb="167">
      <t>イクセイ</t>
    </rPh>
    <rPh sb="171" eb="172">
      <t>チョウ</t>
    </rPh>
    <rPh sb="174" eb="177">
      <t>コウガクブ</t>
    </rPh>
    <rPh sb="178" eb="180">
      <t>デンシ</t>
    </rPh>
    <rPh sb="180" eb="182">
      <t>ジョウホウ</t>
    </rPh>
    <rPh sb="182" eb="185">
      <t>コウガクカ</t>
    </rPh>
    <rPh sb="186" eb="188">
      <t>マツキ</t>
    </rPh>
    <rPh sb="189" eb="191">
      <t>ユウジ</t>
    </rPh>
    <rPh sb="192" eb="194">
      <t>キョウジュ</t>
    </rPh>
    <rPh sb="195" eb="197">
      <t>ジョウホウ</t>
    </rPh>
    <rPh sb="197" eb="199">
      <t>キバン</t>
    </rPh>
    <rPh sb="203" eb="204">
      <t>チョウ</t>
    </rPh>
    <rPh sb="206" eb="209">
      <t>コウガクブ</t>
    </rPh>
    <rPh sb="210" eb="212">
      <t>デンシ</t>
    </rPh>
    <rPh sb="212" eb="214">
      <t>ジョウホウ</t>
    </rPh>
    <rPh sb="214" eb="217">
      <t>コウガクカ</t>
    </rPh>
    <rPh sb="218" eb="220">
      <t>エグチ</t>
    </rPh>
    <rPh sb="221" eb="222">
      <t>ケイ</t>
    </rPh>
    <rPh sb="223" eb="225">
      <t>キョウジュ</t>
    </rPh>
    <rPh sb="227" eb="230">
      <t>コウガクブ</t>
    </rPh>
    <rPh sb="231" eb="233">
      <t>デンキ</t>
    </rPh>
    <rPh sb="233" eb="236">
      <t>コウガクカ</t>
    </rPh>
    <rPh sb="237" eb="239">
      <t>マツオ</t>
    </rPh>
    <rPh sb="240" eb="241">
      <t>ケイ</t>
    </rPh>
    <rPh sb="241" eb="242">
      <t>ニ</t>
    </rPh>
    <rPh sb="243" eb="245">
      <t>キョウジュ</t>
    </rPh>
    <rPh sb="247" eb="249">
      <t>ジョウホウ</t>
    </rPh>
    <rPh sb="249" eb="252">
      <t>コウガクブ</t>
    </rPh>
    <rPh sb="263" eb="265">
      <t>ガッカ</t>
    </rPh>
    <rPh sb="266" eb="268">
      <t>フジオカ</t>
    </rPh>
    <rPh sb="269" eb="271">
      <t>ヒロユキ</t>
    </rPh>
    <rPh sb="272" eb="274">
      <t>キョウジュ</t>
    </rPh>
    <phoneticPr fontId="1"/>
  </si>
  <si>
    <t>福岡工業大学では、本学におけるＦＤ（Faculty Development）を、「教育内容及び方法を改善し向上させるための組織的な諸取組」と定義し、ＦＤに関する企画、開発、実施及び支援を行う組織として、FD推進機構を平成22（2010）年から設置し、教育力向上のためのFD活動の推進やアセスメントプランに基づく教育の質保証の取組に留まらず、全学共通の教養教育プログラム（教養力育成科目）のうち特にキャリア科目の運営、アクティブラーニング授業の全学展開等の取組を行っている。「AIデータサイエンス基礎」については、機構規程第11条に基づいて全学横断型教育の推進を目的に設置された「全学教育開発ワーキンググループ」（WG長、教務部長）において、授業計画案の策定・実施、履修者数の向上に向けた検討、学習支援の在り方等について検討を行った。</t>
    <rPh sb="308" eb="309">
      <t>チョウ</t>
    </rPh>
    <rPh sb="310" eb="312">
      <t>キョウム</t>
    </rPh>
    <rPh sb="312" eb="314">
      <t>ブチョウ</t>
    </rPh>
    <phoneticPr fontId="1"/>
  </si>
  <si>
    <t>「AIデータサイエンス基礎」は、全学部生が履修可能である「教養力育成科目」として開講し、単位取得した際には、卒業に必要な単位に算入できる制度となっている。また、全学部生が履修可能となるよう、学部学科で開講されている専門教育科目時間割との重複に配慮し、曜日・時限を設定しないオンデマンド型授業として開講している。</t>
    <rPh sb="11" eb="13">
      <t>キソ</t>
    </rPh>
    <rPh sb="16" eb="19">
      <t>ゼンガクブ</t>
    </rPh>
    <rPh sb="19" eb="20">
      <t>セイ</t>
    </rPh>
    <rPh sb="21" eb="23">
      <t>リシュウ</t>
    </rPh>
    <rPh sb="23" eb="25">
      <t>カノウ</t>
    </rPh>
    <rPh sb="29" eb="31">
      <t>キョウヨウ</t>
    </rPh>
    <rPh sb="31" eb="32">
      <t>リョク</t>
    </rPh>
    <rPh sb="32" eb="34">
      <t>イクセイ</t>
    </rPh>
    <rPh sb="34" eb="36">
      <t>カモク</t>
    </rPh>
    <rPh sb="40" eb="42">
      <t>カイコウ</t>
    </rPh>
    <rPh sb="44" eb="46">
      <t>タンイ</t>
    </rPh>
    <rPh sb="46" eb="48">
      <t>シュトク</t>
    </rPh>
    <rPh sb="50" eb="51">
      <t>サイ</t>
    </rPh>
    <rPh sb="54" eb="56">
      <t>ソツギョウ</t>
    </rPh>
    <rPh sb="57" eb="59">
      <t>ヒツヨウ</t>
    </rPh>
    <rPh sb="60" eb="62">
      <t>タンイ</t>
    </rPh>
    <rPh sb="63" eb="65">
      <t>サンニュウ</t>
    </rPh>
    <rPh sb="68" eb="70">
      <t>セイド</t>
    </rPh>
    <rPh sb="80" eb="83">
      <t>ゼンガクブ</t>
    </rPh>
    <rPh sb="83" eb="84">
      <t>セイ</t>
    </rPh>
    <rPh sb="85" eb="87">
      <t>リシュウ</t>
    </rPh>
    <rPh sb="87" eb="89">
      <t>カノウ</t>
    </rPh>
    <rPh sb="95" eb="97">
      <t>ガクブ</t>
    </rPh>
    <rPh sb="97" eb="99">
      <t>ガッカ</t>
    </rPh>
    <rPh sb="100" eb="102">
      <t>カイコウ</t>
    </rPh>
    <rPh sb="107" eb="109">
      <t>センモン</t>
    </rPh>
    <rPh sb="109" eb="111">
      <t>キョウイク</t>
    </rPh>
    <rPh sb="111" eb="113">
      <t>カモク</t>
    </rPh>
    <rPh sb="113" eb="116">
      <t>ジカンワリ</t>
    </rPh>
    <rPh sb="118" eb="120">
      <t>ジュウフク</t>
    </rPh>
    <rPh sb="121" eb="123">
      <t>ハイリョ</t>
    </rPh>
    <rPh sb="125" eb="127">
      <t>ヨウビ</t>
    </rPh>
    <rPh sb="128" eb="130">
      <t>ジゲン</t>
    </rPh>
    <rPh sb="131" eb="133">
      <t>セッテイ</t>
    </rPh>
    <rPh sb="142" eb="143">
      <t>カタ</t>
    </rPh>
    <rPh sb="143" eb="145">
      <t>ジュギョウ</t>
    </rPh>
    <rPh sb="148" eb="150">
      <t>カイコウ</t>
    </rPh>
    <phoneticPr fontId="1"/>
  </si>
  <si>
    <t>授業支援システム（ｍｙFIT)を活用し、学生はいつでも質問ができるようになっている。同機能は、担当教員の返信を受けて再質問するなど、何度もやりとりが可能なものであり、疑問の解消をタイムリーに行うことができる仕組みを構築している。
学修ポートフォリオ（FIT-AIM)上の機能である、授業の振り返りの記載、授業理解度を自己評価する機能を活用し、担当教員から学生個別にフィードバックを行うことができる仕組みを備えている。</t>
    <rPh sb="0" eb="2">
      <t>ジュギョウ</t>
    </rPh>
    <rPh sb="2" eb="4">
      <t>シエン</t>
    </rPh>
    <rPh sb="16" eb="18">
      <t>カツヨウ</t>
    </rPh>
    <rPh sb="20" eb="22">
      <t>ガクセイ</t>
    </rPh>
    <rPh sb="27" eb="29">
      <t>シツモン</t>
    </rPh>
    <rPh sb="42" eb="43">
      <t>ドウ</t>
    </rPh>
    <rPh sb="43" eb="45">
      <t>キノウ</t>
    </rPh>
    <rPh sb="47" eb="49">
      <t>タントウ</t>
    </rPh>
    <rPh sb="83" eb="85">
      <t>ギモン</t>
    </rPh>
    <rPh sb="86" eb="88">
      <t>カイショウ</t>
    </rPh>
    <rPh sb="95" eb="96">
      <t>オコナ</t>
    </rPh>
    <rPh sb="103" eb="105">
      <t>シク</t>
    </rPh>
    <rPh sb="107" eb="109">
      <t>コウチク</t>
    </rPh>
    <rPh sb="115" eb="117">
      <t>ガクシュウ</t>
    </rPh>
    <rPh sb="133" eb="134">
      <t>ジョウ</t>
    </rPh>
    <rPh sb="135" eb="137">
      <t>キノウ</t>
    </rPh>
    <rPh sb="141" eb="143">
      <t>ジュギョウ</t>
    </rPh>
    <rPh sb="144" eb="145">
      <t>フ</t>
    </rPh>
    <rPh sb="146" eb="147">
      <t>カエ</t>
    </rPh>
    <rPh sb="149" eb="151">
      <t>キサイ</t>
    </rPh>
    <rPh sb="152" eb="154">
      <t>ジュギョウ</t>
    </rPh>
    <rPh sb="154" eb="157">
      <t>リカイド</t>
    </rPh>
    <rPh sb="158" eb="160">
      <t>ジコ</t>
    </rPh>
    <rPh sb="160" eb="162">
      <t>ヒョウカ</t>
    </rPh>
    <rPh sb="164" eb="166">
      <t>キノウ</t>
    </rPh>
    <rPh sb="167" eb="169">
      <t>カツヨウ</t>
    </rPh>
    <rPh sb="171" eb="173">
      <t>タントウ</t>
    </rPh>
    <rPh sb="173" eb="175">
      <t>キョウイン</t>
    </rPh>
    <rPh sb="177" eb="179">
      <t>ガクセイ</t>
    </rPh>
    <rPh sb="179" eb="181">
      <t>コベツ</t>
    </rPh>
    <rPh sb="190" eb="191">
      <t>オコナ</t>
    </rPh>
    <rPh sb="198" eb="200">
      <t>シク</t>
    </rPh>
    <rPh sb="202" eb="203">
      <t>ソナ</t>
    </rPh>
    <phoneticPr fontId="1"/>
  </si>
  <si>
    <t xml:space="preserve">「AIデータサイエンス基礎」を1年次から履修可能な科目として開講し、数理・データサイエンス・AIに関連する科目の基礎となるものとして、1年次での履修を推奨している。
履修者数の目標は、主に入学定員（915名）に対する履修者数・割合を向上させることを目指す。
そのため、1年生を対象とした入学直後のオリエンテーションで周知を行うとともに、課外で「データサイエンスセミナー」として、学生向けにデータサイエンスに関連する次世代型企業を招聘し、産業界で起こっているDXに対する理解の浸透を目的とした講演会を開催するなどの取組を行い、履修への意欲喚起を図ることを検討している。
令和4年度　7%（261名）【実績】
令和5年度10%（372名）【予定】
令和6年度12%（446名）【予定】
令和7年度15%（558名）【予定】
令和8年度20%（744名）【予定】
</t>
    <rPh sb="11" eb="13">
      <t>キソ</t>
    </rPh>
    <rPh sb="16" eb="18">
      <t>ネンジ</t>
    </rPh>
    <rPh sb="20" eb="22">
      <t>リシュウ</t>
    </rPh>
    <rPh sb="22" eb="24">
      <t>カノウ</t>
    </rPh>
    <rPh sb="25" eb="27">
      <t>カモク</t>
    </rPh>
    <rPh sb="30" eb="32">
      <t>カイコウ</t>
    </rPh>
    <rPh sb="34" eb="36">
      <t>スウリ</t>
    </rPh>
    <rPh sb="49" eb="51">
      <t>カンレン</t>
    </rPh>
    <rPh sb="53" eb="55">
      <t>カモク</t>
    </rPh>
    <rPh sb="56" eb="58">
      <t>キソ</t>
    </rPh>
    <rPh sb="68" eb="70">
      <t>ネンジ</t>
    </rPh>
    <rPh sb="72" eb="74">
      <t>リシュウ</t>
    </rPh>
    <rPh sb="75" eb="77">
      <t>スイショウ</t>
    </rPh>
    <rPh sb="83" eb="85">
      <t>リシュウ</t>
    </rPh>
    <rPh sb="85" eb="86">
      <t>シャ</t>
    </rPh>
    <rPh sb="86" eb="87">
      <t>スウ</t>
    </rPh>
    <rPh sb="88" eb="90">
      <t>モクヒョウ</t>
    </rPh>
    <rPh sb="92" eb="93">
      <t>オモ</t>
    </rPh>
    <rPh sb="94" eb="96">
      <t>ニュウガク</t>
    </rPh>
    <rPh sb="96" eb="98">
      <t>テイイン</t>
    </rPh>
    <rPh sb="102" eb="103">
      <t>メイ</t>
    </rPh>
    <rPh sb="105" eb="106">
      <t>タイ</t>
    </rPh>
    <rPh sb="108" eb="110">
      <t>リシュウ</t>
    </rPh>
    <rPh sb="110" eb="111">
      <t>シャ</t>
    </rPh>
    <rPh sb="111" eb="112">
      <t>スウ</t>
    </rPh>
    <rPh sb="113" eb="115">
      <t>ワリアイ</t>
    </rPh>
    <rPh sb="116" eb="118">
      <t>コウジョウ</t>
    </rPh>
    <rPh sb="124" eb="126">
      <t>メザ</t>
    </rPh>
    <rPh sb="135" eb="137">
      <t>ネンセイ</t>
    </rPh>
    <rPh sb="138" eb="140">
      <t>タイショウ</t>
    </rPh>
    <rPh sb="143" eb="145">
      <t>ニュウガク</t>
    </rPh>
    <rPh sb="145" eb="147">
      <t>チョクゴ</t>
    </rPh>
    <rPh sb="158" eb="160">
      <t>シュウチ</t>
    </rPh>
    <rPh sb="161" eb="162">
      <t>オコナ</t>
    </rPh>
    <rPh sb="168" eb="170">
      <t>カガイ</t>
    </rPh>
    <rPh sb="189" eb="191">
      <t>ガクセイ</t>
    </rPh>
    <rPh sb="191" eb="192">
      <t>ム</t>
    </rPh>
    <rPh sb="203" eb="205">
      <t>カンレン</t>
    </rPh>
    <rPh sb="207" eb="210">
      <t>ジセダイ</t>
    </rPh>
    <rPh sb="210" eb="211">
      <t>カタ</t>
    </rPh>
    <rPh sb="211" eb="213">
      <t>キギョウ</t>
    </rPh>
    <rPh sb="214" eb="216">
      <t>ショウヘイ</t>
    </rPh>
    <rPh sb="249" eb="251">
      <t>カイサイ</t>
    </rPh>
    <rPh sb="256" eb="258">
      <t>トリクミ</t>
    </rPh>
    <rPh sb="259" eb="260">
      <t>オコナ</t>
    </rPh>
    <rPh sb="262" eb="264">
      <t>リシュウ</t>
    </rPh>
    <rPh sb="266" eb="268">
      <t>イヨク</t>
    </rPh>
    <rPh sb="268" eb="270">
      <t>カンキ</t>
    </rPh>
    <rPh sb="271" eb="272">
      <t>ハカ</t>
    </rPh>
    <rPh sb="276" eb="278">
      <t>ケントウ</t>
    </rPh>
    <rPh sb="285" eb="287">
      <t>レイワ</t>
    </rPh>
    <rPh sb="288" eb="290">
      <t>ネンド</t>
    </rPh>
    <rPh sb="297" eb="298">
      <t>メイ</t>
    </rPh>
    <rPh sb="300" eb="302">
      <t>ジッセキ</t>
    </rPh>
    <rPh sb="304" eb="306">
      <t>レイワ</t>
    </rPh>
    <rPh sb="307" eb="309">
      <t>ネンド</t>
    </rPh>
    <rPh sb="316" eb="317">
      <t>メイ</t>
    </rPh>
    <rPh sb="319" eb="321">
      <t>ヨテイ</t>
    </rPh>
    <rPh sb="323" eb="325">
      <t>レイワ</t>
    </rPh>
    <rPh sb="326" eb="328">
      <t>ネンド</t>
    </rPh>
    <rPh sb="335" eb="336">
      <t>メイ</t>
    </rPh>
    <rPh sb="342" eb="344">
      <t>レイワ</t>
    </rPh>
    <rPh sb="345" eb="347">
      <t>ネンド</t>
    </rPh>
    <rPh sb="354" eb="355">
      <t>メイ</t>
    </rPh>
    <rPh sb="361" eb="363">
      <t>レイワ</t>
    </rPh>
    <rPh sb="364" eb="366">
      <t>ネンド</t>
    </rPh>
    <rPh sb="373" eb="374">
      <t>メイ</t>
    </rPh>
    <phoneticPr fontId="1"/>
  </si>
  <si>
    <t>2022年度からの開講に合わせ、2022年3月中に大学ホームページ上で科目開講の告知を行った。
また、新入生に全員配布するパンフレットに同科目の案内を記載し、新入生オリエンテーションの際に、オンデマンド型での運用となる説明の時間を設けることにより、プログラムの目的や意義を周知し、履修推奨の働きかけを行った。</t>
    <rPh sb="4" eb="6">
      <t>ネンド</t>
    </rPh>
    <rPh sb="9" eb="11">
      <t>カイコウ</t>
    </rPh>
    <rPh sb="12" eb="13">
      <t>ア</t>
    </rPh>
    <rPh sb="20" eb="21">
      <t>ネン</t>
    </rPh>
    <rPh sb="22" eb="23">
      <t>ガツ</t>
    </rPh>
    <rPh sb="23" eb="24">
      <t>チュウ</t>
    </rPh>
    <rPh sb="25" eb="27">
      <t>ダイガク</t>
    </rPh>
    <rPh sb="33" eb="34">
      <t>ジョウ</t>
    </rPh>
    <rPh sb="35" eb="37">
      <t>カモク</t>
    </rPh>
    <rPh sb="37" eb="39">
      <t>カイコウ</t>
    </rPh>
    <rPh sb="40" eb="42">
      <t>コクチ</t>
    </rPh>
    <rPh sb="43" eb="44">
      <t>オコナ</t>
    </rPh>
    <rPh sb="55" eb="57">
      <t>ゼンイン</t>
    </rPh>
    <rPh sb="57" eb="59">
      <t>ハイフ</t>
    </rPh>
    <rPh sb="68" eb="69">
      <t>ドウ</t>
    </rPh>
    <rPh sb="69" eb="71">
      <t>カモク</t>
    </rPh>
    <rPh sb="72" eb="74">
      <t>アンナイ</t>
    </rPh>
    <rPh sb="75" eb="77">
      <t>キサイ</t>
    </rPh>
    <rPh sb="79" eb="82">
      <t>シンニュウセイ</t>
    </rPh>
    <rPh sb="109" eb="111">
      <t>セツメイ</t>
    </rPh>
    <rPh sb="130" eb="132">
      <t>モクテキ</t>
    </rPh>
    <rPh sb="133" eb="135">
      <t>イギ</t>
    </rPh>
    <rPh sb="136" eb="138">
      <t>シュウチ</t>
    </rPh>
    <rPh sb="140" eb="142">
      <t>リシュウ</t>
    </rPh>
    <rPh sb="142" eb="144">
      <t>スイショウ</t>
    </rPh>
    <rPh sb="145" eb="146">
      <t>ハタラ</t>
    </rPh>
    <rPh sb="150" eb="151">
      <t>オコナ</t>
    </rPh>
    <phoneticPr fontId="1"/>
  </si>
  <si>
    <t>2022年度に新規開講したプログラムであり、他に全学部学生が履修可能なオンデマンド型授業科目がなかったため、導入となる動画を配信（約5分）することでオンデマンド型授業を履修する心理的ハードルを下げ、履修意欲の喚起を図る取組を行った。また、担当教員が課題の提出状況を丁寧に確認し、提出期限を守って課題をこなすことができるようにサポートを行った。</t>
    <rPh sb="4" eb="6">
      <t>ネンド</t>
    </rPh>
    <rPh sb="7" eb="9">
      <t>シンキ</t>
    </rPh>
    <rPh sb="9" eb="11">
      <t>カイコウ</t>
    </rPh>
    <rPh sb="22" eb="23">
      <t>タ</t>
    </rPh>
    <rPh sb="24" eb="27">
      <t>ゼンガクブ</t>
    </rPh>
    <rPh sb="27" eb="29">
      <t>ガクセイ</t>
    </rPh>
    <rPh sb="30" eb="32">
      <t>リシュウ</t>
    </rPh>
    <rPh sb="32" eb="34">
      <t>カノウ</t>
    </rPh>
    <rPh sb="41" eb="42">
      <t>カタ</t>
    </rPh>
    <rPh sb="42" eb="44">
      <t>ジュギョウ</t>
    </rPh>
    <rPh sb="44" eb="46">
      <t>カモク</t>
    </rPh>
    <rPh sb="119" eb="121">
      <t>タントウ</t>
    </rPh>
    <rPh sb="121" eb="123">
      <t>キョウイン</t>
    </rPh>
    <rPh sb="124" eb="126">
      <t>カダイ</t>
    </rPh>
    <rPh sb="127" eb="129">
      <t>テイシュツ</t>
    </rPh>
    <rPh sb="129" eb="131">
      <t>ジョウキョウ</t>
    </rPh>
    <rPh sb="132" eb="134">
      <t>テイネイ</t>
    </rPh>
    <rPh sb="135" eb="137">
      <t>カクニン</t>
    </rPh>
    <rPh sb="139" eb="141">
      <t>テイシュツ</t>
    </rPh>
    <rPh sb="141" eb="143">
      <t>キゲン</t>
    </rPh>
    <rPh sb="144" eb="145">
      <t>マモ</t>
    </rPh>
    <rPh sb="147" eb="149">
      <t>カダイ</t>
    </rPh>
    <rPh sb="167" eb="168">
      <t>オコナ</t>
    </rPh>
    <phoneticPr fontId="1"/>
  </si>
  <si>
    <t>【第3回】調査データ、実験データ、人の行動ログデータ、機械の稼働ログデータ、1次データ、2次データ、構造化データ、非構造化データ</t>
    <rPh sb="1" eb="2">
      <t>ダイ</t>
    </rPh>
    <rPh sb="3" eb="4">
      <t>カイ</t>
    </rPh>
    <phoneticPr fontId="1"/>
  </si>
  <si>
    <t>【第4回】データ・AI活用領域の広がり、研究開発、調達、製造、物流、販売、マーケティング、サービス、仮説検証、知識発見、原因究明、計画策定、判断支援、活動代替、新規生成</t>
    <rPh sb="1" eb="2">
      <t>ダイ</t>
    </rPh>
    <rPh sb="3" eb="4">
      <t>カイ</t>
    </rPh>
    <phoneticPr fontId="1"/>
  </si>
  <si>
    <t>【第7回】データサイエンスのサイクル
【第8回】データ・AI利活用事例紹介</t>
    <rPh sb="1" eb="2">
      <t>ダイ</t>
    </rPh>
    <rPh sb="3" eb="4">
      <t>カイ</t>
    </rPh>
    <rPh sb="20" eb="21">
      <t>ダイ</t>
    </rPh>
    <rPh sb="22" eb="23">
      <t>カイ</t>
    </rPh>
    <phoneticPr fontId="1"/>
  </si>
  <si>
    <t>【第8回】AI等を活用した新しいビジネスモデル、AI最新技術の活用例</t>
    <rPh sb="1" eb="2">
      <t>ダイ</t>
    </rPh>
    <rPh sb="3" eb="4">
      <t>カイ</t>
    </rPh>
    <phoneticPr fontId="1"/>
  </si>
  <si>
    <t>【第9回】データの種類、データの分布と代表値、代表値の性質の違い 、データのばらつき 、観測データに含まれる誤差の扱い
【第10回】打ち切りや脱落を含むデータ、層別の必要なデータ、相関と因果性、母集団と標本抽出、クロス集計表、分割表、相関係数行列、散布図行列、統計情報の正しい理解</t>
    <rPh sb="1" eb="2">
      <t>ダイ</t>
    </rPh>
    <rPh sb="3" eb="4">
      <t>カイ</t>
    </rPh>
    <rPh sb="61" eb="62">
      <t>ダイ</t>
    </rPh>
    <rPh sb="64" eb="65">
      <t>カイ</t>
    </rPh>
    <phoneticPr fontId="1"/>
  </si>
  <si>
    <t>【第12回】データの集計、データの並び替え、ランキング、データ解析ツール、表形式のデータ</t>
    <rPh sb="1" eb="2">
      <t>ダイ</t>
    </rPh>
    <rPh sb="4" eb="5">
      <t>カイ</t>
    </rPh>
    <phoneticPr fontId="1"/>
  </si>
  <si>
    <t>【第13回】ELSI、個人情報保護、EU一般データ保護規則(GDPR)、データ倫理、AI社会原則、データバイアス、アルゴリズムバイアス、AIサービスの責任論、データ・AI活用における負の事例紹介</t>
    <rPh sb="1" eb="2">
      <t>ダイ</t>
    </rPh>
    <rPh sb="4" eb="5">
      <t>カイ</t>
    </rPh>
    <phoneticPr fontId="1"/>
  </si>
  <si>
    <t>【第14回】情報セキュリティ、匿名加工情報、暗号化、パスワード、悪意ある情報搾取、情報漏洩等によるセキュリティ事故の事例紹介</t>
    <rPh sb="1" eb="2">
      <t>ダイ</t>
    </rPh>
    <rPh sb="4" eb="5">
      <t>カイ</t>
    </rPh>
    <phoneticPr fontId="1"/>
  </si>
  <si>
    <t>・データサイエンスの動向及び分析結果をもとに、これからの社会の在り方を考察することができる素養を主体的に身に付けることができる
・データサイエンス・AIを活用することで人間の生活をどのように豊かなものにできるかという視点を持ち、人間中心の適切な判断を行うために必要なリテラシーを獲得することができる</t>
    <rPh sb="10" eb="12">
      <t>ドウコウ</t>
    </rPh>
    <rPh sb="12" eb="13">
      <t>オヨ</t>
    </rPh>
    <rPh sb="14" eb="16">
      <t>ブンセキ</t>
    </rPh>
    <rPh sb="16" eb="18">
      <t>ケッカ</t>
    </rPh>
    <rPh sb="28" eb="30">
      <t>シャカイ</t>
    </rPh>
    <rPh sb="31" eb="32">
      <t>ア</t>
    </rPh>
    <rPh sb="33" eb="34">
      <t>カタ</t>
    </rPh>
    <rPh sb="35" eb="37">
      <t>コウサツ</t>
    </rPh>
    <rPh sb="45" eb="47">
      <t>ソヨウ</t>
    </rPh>
    <rPh sb="48" eb="51">
      <t>シュタイテキ</t>
    </rPh>
    <rPh sb="52" eb="53">
      <t>ミ</t>
    </rPh>
    <rPh sb="54" eb="55">
      <t>ツ</t>
    </rPh>
    <rPh sb="77" eb="79">
      <t>カツヨウ</t>
    </rPh>
    <rPh sb="84" eb="86">
      <t>ニンゲン</t>
    </rPh>
    <rPh sb="87" eb="89">
      <t>セイカツ</t>
    </rPh>
    <rPh sb="95" eb="96">
      <t>ユタ</t>
    </rPh>
    <rPh sb="108" eb="110">
      <t>シテン</t>
    </rPh>
    <rPh sb="111" eb="112">
      <t>モ</t>
    </rPh>
    <rPh sb="114" eb="116">
      <t>ニンゲン</t>
    </rPh>
    <rPh sb="116" eb="118">
      <t>チュウシン</t>
    </rPh>
    <rPh sb="119" eb="121">
      <t>テキセツ</t>
    </rPh>
    <rPh sb="122" eb="124">
      <t>ハンダン</t>
    </rPh>
    <rPh sb="125" eb="126">
      <t>オコナ</t>
    </rPh>
    <rPh sb="130" eb="132">
      <t>ヒツヨウ</t>
    </rPh>
    <rPh sb="139" eb="141">
      <t>カクトク</t>
    </rPh>
    <phoneticPr fontId="1"/>
  </si>
  <si>
    <t>FD推進機構規程</t>
    <rPh sb="2" eb="4">
      <t>スイシン</t>
    </rPh>
    <rPh sb="4" eb="6">
      <t>キコウ</t>
    </rPh>
    <rPh sb="6" eb="8">
      <t>キテイ</t>
    </rPh>
    <phoneticPr fontId="1"/>
  </si>
  <si>
    <t>「AIデータサイエンス基礎」(2単位)を履修し、単位取得すること。</t>
    <rPh sb="11" eb="13">
      <t>キソ</t>
    </rPh>
    <phoneticPr fontId="1"/>
  </si>
  <si>
    <t>【第1回】第4次産業革命、Society 5.0、データ駆動型社会
【第2回】ビッグデータ、IoT、AI、データ量の増加、計算機の処理性能の向上、AIの非連続的進化、人間の知的活動とAIの関係性、複数技術を組み合わせたAIサービス</t>
    <rPh sb="1" eb="2">
      <t>ダイ</t>
    </rPh>
    <rPh sb="3" eb="4">
      <t>カイ</t>
    </rPh>
    <rPh sb="35" eb="36">
      <t>ダイ</t>
    </rPh>
    <rPh sb="37" eb="38">
      <t>カイ</t>
    </rPh>
    <phoneticPr fontId="1"/>
  </si>
  <si>
    <t>【第11回】データ表現、データの図解表現 、データの比較、不適切なグラフ表現、優れた可視化事例の紹介</t>
    <rPh sb="1" eb="2">
      <t>ダイ</t>
    </rPh>
    <rPh sb="4" eb="5">
      <t>カイ</t>
    </rPh>
    <rPh sb="45" eb="47">
      <t>ジレイ</t>
    </rPh>
    <rPh sb="48" eb="50">
      <t>ショウカイ</t>
    </rPh>
    <phoneticPr fontId="1"/>
  </si>
  <si>
    <t>履修者261名のうち合格者168名（全体の合格率64.4%、不合格者35.6%）であった。一方で、不合格者のうち30名は5回以上の欠席（オンデマンド授業のため課題の未提出）者であり、これを履修者の母数から取り除くと合格率は72.7％となる。 来年度以降の学生の単位取得率を向上させるため、情報リテラシーや課題提出がおろそかになってしまう者を早期に抽出し、個別に学習支援を行う。</t>
    <phoneticPr fontId="1"/>
  </si>
  <si>
    <t>【第5回】データ解析（予測、グルーピング、パターン発見、最適化、シミュレーション・データ同化）
【第6回】データ可視化（複合グラフ、2軸グラフ、多次元の可視化、関係性の可視化、地図上の可視化、挙動・軌跡の可視化、リアルタイム可視化）、非構造化データ処理、特化型AIと汎用AI、今のAIで出来ることと出来ないこと、認識技術
【第7回】ルールベース、自動化技術</t>
    <rPh sb="1" eb="2">
      <t>ダイ</t>
    </rPh>
    <rPh sb="3" eb="4">
      <t>カイ</t>
    </rPh>
    <rPh sb="49" eb="50">
      <t>ダイ</t>
    </rPh>
    <rPh sb="51" eb="52">
      <t>カイ</t>
    </rPh>
    <rPh sb="162" eb="163">
      <t>ダイ</t>
    </rPh>
    <rPh sb="164" eb="165">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</si>
</sst>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1" xfId="0" applyFont="1" applyFill="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vertical="center" wrapTex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5" xfId="0" applyFont="1" applyBorder="1" applyAlignment="1">
      <alignment horizontal="left" vertical="center" wrapText="1"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9"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36" xfId="0" applyFont="1" applyBorder="1" applyAlignment="1">
      <alignment vertical="center" wrapText="1" shrinkToFit="1"/>
    </xf>
    <xf numFmtId="0" fontId="2" fillId="0" borderId="35"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2" xfId="0" applyFont="1" applyBorder="1" applyAlignment="1">
      <alignment horizontal="left" vertical="center" shrinkToFit="1"/>
    </xf>
    <xf numFmtId="0" fontId="5" fillId="0" borderId="4" xfId="0" applyFont="1" applyBorder="1" applyAlignment="1">
      <alignment horizontal="left" vertical="center" shrinkToFit="1"/>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11" fillId="0" borderId="19" xfId="0" applyFont="1" applyBorder="1" applyAlignment="1">
      <alignment vertical="top" wrapText="1" shrinkToFi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110"/>
  <sheetViews>
    <sheetView showZeros="0" tabSelected="1"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02" t="s">
        <v>12</v>
      </c>
      <c r="S1" s="102"/>
      <c r="T1" s="2" t="s">
        <v>110</v>
      </c>
    </row>
    <row r="2" spans="1:22" ht="18.75" customHeight="1" x14ac:dyDescent="0.2">
      <c r="B2" s="34" t="s">
        <v>109</v>
      </c>
      <c r="C2" s="95" t="s">
        <v>130</v>
      </c>
      <c r="D2" s="96"/>
      <c r="E2" s="96"/>
      <c r="F2" s="96"/>
      <c r="G2" s="96"/>
      <c r="H2" s="96"/>
      <c r="I2" s="97"/>
      <c r="J2" s="35"/>
      <c r="K2" s="6"/>
      <c r="L2" s="6"/>
      <c r="M2" s="6"/>
      <c r="N2" s="6"/>
      <c r="O2" s="6"/>
      <c r="P2" s="6"/>
      <c r="Q2" s="6"/>
      <c r="R2" s="6"/>
      <c r="S2" s="6"/>
    </row>
    <row r="3" spans="1:22" ht="18.75" customHeight="1" x14ac:dyDescent="0.2">
      <c r="B3" s="34" t="s">
        <v>103</v>
      </c>
      <c r="C3" s="106" t="s">
        <v>131</v>
      </c>
      <c r="D3" s="107"/>
      <c r="E3" s="107"/>
      <c r="F3" s="107"/>
      <c r="G3" s="107"/>
      <c r="H3" s="107"/>
      <c r="I3" s="108"/>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09" t="s">
        <v>39</v>
      </c>
      <c r="B5" s="109"/>
      <c r="C5" s="109"/>
      <c r="D5" s="109"/>
      <c r="E5" s="109"/>
      <c r="F5" s="109"/>
      <c r="G5" s="109"/>
      <c r="H5" s="109"/>
      <c r="I5" s="109"/>
      <c r="J5" s="109"/>
      <c r="K5" s="109"/>
      <c r="L5" s="109"/>
      <c r="M5" s="109"/>
      <c r="N5" s="109"/>
      <c r="O5" s="109"/>
      <c r="P5" s="109"/>
      <c r="Q5" s="109"/>
      <c r="R5" s="109"/>
      <c r="S5" s="109"/>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19" t="s">
        <v>127</v>
      </c>
      <c r="L7" s="120"/>
      <c r="M7" s="120"/>
      <c r="N7" s="120"/>
      <c r="O7" s="120"/>
      <c r="P7" s="120"/>
      <c r="Q7" s="120"/>
      <c r="R7" s="120"/>
      <c r="S7" s="121"/>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83"/>
      <c r="C9" s="84"/>
      <c r="D9" s="84"/>
      <c r="E9" s="84"/>
      <c r="F9" s="84"/>
      <c r="G9" s="84"/>
      <c r="H9" s="84"/>
      <c r="I9" s="84"/>
      <c r="J9" s="84"/>
      <c r="K9" s="84"/>
      <c r="L9" s="84"/>
      <c r="M9" s="84"/>
      <c r="N9" s="84"/>
      <c r="O9" s="84"/>
      <c r="P9" s="84"/>
      <c r="Q9" s="84"/>
      <c r="R9" s="84"/>
      <c r="S9" s="85"/>
    </row>
    <row r="10" spans="1:22" ht="18" customHeight="1" x14ac:dyDescent="0.2">
      <c r="B10" s="86"/>
      <c r="C10" s="87"/>
      <c r="D10" s="87"/>
      <c r="E10" s="87"/>
      <c r="F10" s="87"/>
      <c r="G10" s="87"/>
      <c r="H10" s="87"/>
      <c r="I10" s="87"/>
      <c r="J10" s="87"/>
      <c r="K10" s="87"/>
      <c r="L10" s="87"/>
      <c r="M10" s="87"/>
      <c r="N10" s="87"/>
      <c r="O10" s="87"/>
      <c r="P10" s="87"/>
      <c r="Q10" s="87"/>
      <c r="R10" s="87"/>
      <c r="S10" s="88"/>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10" t="s">
        <v>167</v>
      </c>
      <c r="C13" s="111"/>
      <c r="D13" s="111"/>
      <c r="E13" s="111"/>
      <c r="F13" s="111"/>
      <c r="G13" s="111"/>
      <c r="H13" s="111"/>
      <c r="I13" s="111"/>
      <c r="J13" s="111"/>
      <c r="K13" s="111"/>
      <c r="L13" s="111"/>
      <c r="M13" s="111"/>
      <c r="N13" s="111"/>
      <c r="O13" s="111"/>
      <c r="P13" s="111"/>
      <c r="Q13" s="111"/>
      <c r="R13" s="111"/>
      <c r="S13" s="112"/>
      <c r="V13" s="1" t="s">
        <v>104</v>
      </c>
    </row>
    <row r="14" spans="1:22" ht="18" customHeight="1" x14ac:dyDescent="0.2">
      <c r="B14" s="113"/>
      <c r="C14" s="114"/>
      <c r="D14" s="114"/>
      <c r="E14" s="114"/>
      <c r="F14" s="114"/>
      <c r="G14" s="114"/>
      <c r="H14" s="114"/>
      <c r="I14" s="114"/>
      <c r="J14" s="114"/>
      <c r="K14" s="114"/>
      <c r="L14" s="114"/>
      <c r="M14" s="114"/>
      <c r="N14" s="114"/>
      <c r="O14" s="114"/>
      <c r="P14" s="114"/>
      <c r="Q14" s="114"/>
      <c r="R14" s="114"/>
      <c r="S14" s="115"/>
      <c r="V14" s="1" t="s">
        <v>111</v>
      </c>
    </row>
    <row r="15" spans="1:22" ht="18" customHeight="1" x14ac:dyDescent="0.2">
      <c r="B15" s="113"/>
      <c r="C15" s="114"/>
      <c r="D15" s="114"/>
      <c r="E15" s="114"/>
      <c r="F15" s="114"/>
      <c r="G15" s="114"/>
      <c r="H15" s="114"/>
      <c r="I15" s="114"/>
      <c r="J15" s="114"/>
      <c r="K15" s="114"/>
      <c r="L15" s="114"/>
      <c r="M15" s="114"/>
      <c r="N15" s="114"/>
      <c r="O15" s="114"/>
      <c r="P15" s="114"/>
      <c r="Q15" s="114"/>
      <c r="R15" s="114"/>
      <c r="S15" s="115"/>
      <c r="V15" s="1" t="s">
        <v>124</v>
      </c>
    </row>
    <row r="16" spans="1:22" ht="18" customHeight="1" x14ac:dyDescent="0.2">
      <c r="B16" s="113"/>
      <c r="C16" s="114"/>
      <c r="D16" s="114"/>
      <c r="E16" s="114"/>
      <c r="F16" s="114"/>
      <c r="G16" s="114"/>
      <c r="H16" s="114"/>
      <c r="I16" s="114"/>
      <c r="J16" s="114"/>
      <c r="K16" s="114"/>
      <c r="L16" s="114"/>
      <c r="M16" s="114"/>
      <c r="N16" s="114"/>
      <c r="O16" s="114"/>
      <c r="P16" s="114"/>
      <c r="Q16" s="114"/>
      <c r="R16" s="114"/>
      <c r="S16" s="115"/>
      <c r="V16" s="1" t="s">
        <v>126</v>
      </c>
    </row>
    <row r="17" spans="1:19" ht="18" customHeight="1" x14ac:dyDescent="0.2">
      <c r="B17" s="113"/>
      <c r="C17" s="114"/>
      <c r="D17" s="114"/>
      <c r="E17" s="114"/>
      <c r="F17" s="114"/>
      <c r="G17" s="114"/>
      <c r="H17" s="114"/>
      <c r="I17" s="114"/>
      <c r="J17" s="114"/>
      <c r="K17" s="114"/>
      <c r="L17" s="114"/>
      <c r="M17" s="114"/>
      <c r="N17" s="114"/>
      <c r="O17" s="114"/>
      <c r="P17" s="114"/>
      <c r="Q17" s="114"/>
      <c r="R17" s="114"/>
      <c r="S17" s="115"/>
    </row>
    <row r="18" spans="1:19" ht="18" customHeight="1" x14ac:dyDescent="0.2">
      <c r="B18" s="116"/>
      <c r="C18" s="117"/>
      <c r="D18" s="117"/>
      <c r="E18" s="117"/>
      <c r="F18" s="117"/>
      <c r="G18" s="117"/>
      <c r="H18" s="117"/>
      <c r="I18" s="117"/>
      <c r="J18" s="117"/>
      <c r="K18" s="117"/>
      <c r="L18" s="117"/>
      <c r="M18" s="117"/>
      <c r="N18" s="117"/>
      <c r="O18" s="117"/>
      <c r="P18" s="117"/>
      <c r="Q18" s="117"/>
      <c r="R18" s="117"/>
      <c r="S18" s="118"/>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95">
        <v>2</v>
      </c>
      <c r="D20" s="97"/>
      <c r="E20" s="40" t="s">
        <v>96</v>
      </c>
      <c r="G20" s="10"/>
      <c r="H20" s="3"/>
      <c r="I20" s="3"/>
      <c r="J20" s="35" t="s">
        <v>122</v>
      </c>
      <c r="K20" s="103" t="s">
        <v>126</v>
      </c>
      <c r="L20" s="104"/>
      <c r="M20" s="104"/>
      <c r="N20" s="104"/>
      <c r="O20" s="104"/>
      <c r="P20" s="104"/>
      <c r="Q20" s="104"/>
      <c r="R20" s="104"/>
      <c r="S20" s="105"/>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8" t="s">
        <v>114</v>
      </c>
      <c r="B22" s="98"/>
      <c r="C22" s="98"/>
      <c r="D22" s="98"/>
      <c r="E22" s="98"/>
      <c r="F22" s="98"/>
      <c r="G22" s="98"/>
      <c r="H22" s="98"/>
      <c r="I22" s="98"/>
      <c r="J22" s="98"/>
      <c r="K22" s="98"/>
      <c r="L22" s="98"/>
      <c r="M22" s="98"/>
      <c r="N22" s="98"/>
      <c r="O22" s="98"/>
      <c r="P22" s="98"/>
      <c r="Q22" s="98"/>
      <c r="R22" s="98"/>
      <c r="S22" s="98"/>
    </row>
    <row r="23" spans="1:19" ht="18" customHeight="1" x14ac:dyDescent="0.2">
      <c r="A23" s="98"/>
      <c r="B23" s="98"/>
      <c r="C23" s="98"/>
      <c r="D23" s="98"/>
      <c r="E23" s="98"/>
      <c r="F23" s="98"/>
      <c r="G23" s="98"/>
      <c r="H23" s="98"/>
      <c r="I23" s="98"/>
      <c r="J23" s="98"/>
      <c r="K23" s="98"/>
      <c r="L23" s="98"/>
      <c r="M23" s="98"/>
      <c r="N23" s="98"/>
      <c r="O23" s="98"/>
      <c r="P23" s="98"/>
      <c r="Q23" s="98"/>
      <c r="R23" s="98"/>
      <c r="S23" s="98"/>
    </row>
    <row r="24" spans="1:19" ht="18" customHeight="1" x14ac:dyDescent="0.2">
      <c r="B24" s="95" t="s">
        <v>54</v>
      </c>
      <c r="C24" s="96"/>
      <c r="D24" s="96"/>
      <c r="E24" s="97"/>
      <c r="F24" s="61" t="s">
        <v>81</v>
      </c>
      <c r="G24" s="60" t="s">
        <v>85</v>
      </c>
      <c r="H24" s="22" t="s">
        <v>57</v>
      </c>
      <c r="I24" s="22" t="s">
        <v>60</v>
      </c>
      <c r="J24" s="95" t="s">
        <v>54</v>
      </c>
      <c r="K24" s="96"/>
      <c r="L24" s="96"/>
      <c r="M24" s="96"/>
      <c r="N24" s="96"/>
      <c r="O24" s="97"/>
      <c r="P24" s="61" t="s">
        <v>81</v>
      </c>
      <c r="Q24" s="60" t="s">
        <v>85</v>
      </c>
      <c r="R24" s="22" t="s">
        <v>57</v>
      </c>
      <c r="S24" s="22" t="s">
        <v>60</v>
      </c>
    </row>
    <row r="25" spans="1:19" ht="18" customHeight="1" x14ac:dyDescent="0.2">
      <c r="B25" s="99" t="s">
        <v>128</v>
      </c>
      <c r="C25" s="100"/>
      <c r="D25" s="100"/>
      <c r="E25" s="101"/>
      <c r="F25" s="23">
        <v>2</v>
      </c>
      <c r="G25" s="23" t="s">
        <v>129</v>
      </c>
      <c r="H25" s="23" t="s">
        <v>129</v>
      </c>
      <c r="I25" s="23" t="s">
        <v>129</v>
      </c>
      <c r="J25" s="99"/>
      <c r="K25" s="100"/>
      <c r="L25" s="100"/>
      <c r="M25" s="100"/>
      <c r="N25" s="100"/>
      <c r="O25" s="101"/>
      <c r="P25" s="23"/>
      <c r="Q25" s="23"/>
      <c r="R25" s="23"/>
      <c r="S25" s="23"/>
    </row>
    <row r="26" spans="1:19" ht="18" customHeight="1" x14ac:dyDescent="0.2">
      <c r="B26" s="89"/>
      <c r="C26" s="90"/>
      <c r="D26" s="90"/>
      <c r="E26" s="91"/>
      <c r="F26" s="24"/>
      <c r="G26" s="24"/>
      <c r="H26" s="24"/>
      <c r="I26" s="24"/>
      <c r="J26" s="89"/>
      <c r="K26" s="90"/>
      <c r="L26" s="90"/>
      <c r="M26" s="90"/>
      <c r="N26" s="90"/>
      <c r="O26" s="91"/>
      <c r="P26" s="24"/>
      <c r="Q26" s="24"/>
      <c r="R26" s="24"/>
      <c r="S26" s="24"/>
    </row>
    <row r="27" spans="1:19" ht="18" customHeight="1" x14ac:dyDescent="0.2">
      <c r="B27" s="89"/>
      <c r="C27" s="90"/>
      <c r="D27" s="90"/>
      <c r="E27" s="91"/>
      <c r="F27" s="24"/>
      <c r="G27" s="24"/>
      <c r="H27" s="24"/>
      <c r="I27" s="24"/>
      <c r="J27" s="89"/>
      <c r="K27" s="90"/>
      <c r="L27" s="90"/>
      <c r="M27" s="90"/>
      <c r="N27" s="90"/>
      <c r="O27" s="91"/>
      <c r="P27" s="24"/>
      <c r="Q27" s="24"/>
      <c r="R27" s="24"/>
      <c r="S27" s="24"/>
    </row>
    <row r="28" spans="1:19" ht="18" customHeight="1" x14ac:dyDescent="0.2">
      <c r="B28" s="89"/>
      <c r="C28" s="90"/>
      <c r="D28" s="90"/>
      <c r="E28" s="91"/>
      <c r="F28" s="24"/>
      <c r="G28" s="24"/>
      <c r="H28" s="24"/>
      <c r="I28" s="24"/>
      <c r="J28" s="89"/>
      <c r="K28" s="90"/>
      <c r="L28" s="90"/>
      <c r="M28" s="90"/>
      <c r="N28" s="90"/>
      <c r="O28" s="91"/>
      <c r="P28" s="24"/>
      <c r="Q28" s="24"/>
      <c r="R28" s="24"/>
      <c r="S28" s="24"/>
    </row>
    <row r="29" spans="1:19" ht="18" customHeight="1" x14ac:dyDescent="0.2">
      <c r="B29" s="89"/>
      <c r="C29" s="90"/>
      <c r="D29" s="90"/>
      <c r="E29" s="91"/>
      <c r="F29" s="24"/>
      <c r="G29" s="24"/>
      <c r="H29" s="24"/>
      <c r="I29" s="24"/>
      <c r="J29" s="89"/>
      <c r="K29" s="90"/>
      <c r="L29" s="90"/>
      <c r="M29" s="90"/>
      <c r="N29" s="90"/>
      <c r="O29" s="91"/>
      <c r="P29" s="24"/>
      <c r="Q29" s="24"/>
      <c r="R29" s="24"/>
      <c r="S29" s="24"/>
    </row>
    <row r="30" spans="1:19" ht="18" customHeight="1" x14ac:dyDescent="0.2">
      <c r="A30" s="3"/>
      <c r="B30" s="89"/>
      <c r="C30" s="90"/>
      <c r="D30" s="90"/>
      <c r="E30" s="91"/>
      <c r="F30" s="24"/>
      <c r="G30" s="24"/>
      <c r="H30" s="24"/>
      <c r="I30" s="24"/>
      <c r="J30" s="89"/>
      <c r="K30" s="90"/>
      <c r="L30" s="90"/>
      <c r="M30" s="90"/>
      <c r="N30" s="90"/>
      <c r="O30" s="91"/>
      <c r="P30" s="24"/>
      <c r="Q30" s="24"/>
      <c r="R30" s="24"/>
      <c r="S30" s="24"/>
    </row>
    <row r="31" spans="1:19" ht="18" customHeight="1" x14ac:dyDescent="0.2">
      <c r="A31" s="3"/>
      <c r="B31" s="92"/>
      <c r="C31" s="93"/>
      <c r="D31" s="93"/>
      <c r="E31" s="94"/>
      <c r="F31" s="25"/>
      <c r="G31" s="25"/>
      <c r="H31" s="26"/>
      <c r="I31" s="26"/>
      <c r="J31" s="92"/>
      <c r="K31" s="93"/>
      <c r="L31" s="93"/>
      <c r="M31" s="93"/>
      <c r="N31" s="93"/>
      <c r="O31" s="94"/>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8" t="s">
        <v>115</v>
      </c>
      <c r="B33" s="98"/>
      <c r="C33" s="98"/>
      <c r="D33" s="98"/>
      <c r="E33" s="98"/>
      <c r="F33" s="98"/>
      <c r="G33" s="98"/>
      <c r="H33" s="98"/>
      <c r="I33" s="98"/>
      <c r="J33" s="98"/>
      <c r="K33" s="98"/>
      <c r="L33" s="98"/>
      <c r="M33" s="98"/>
      <c r="N33" s="98"/>
      <c r="O33" s="98"/>
      <c r="P33" s="98"/>
      <c r="Q33" s="98"/>
      <c r="R33" s="98"/>
      <c r="S33" s="98"/>
    </row>
    <row r="34" spans="1:19" ht="18" customHeight="1" x14ac:dyDescent="0.2">
      <c r="A34" s="98"/>
      <c r="B34" s="98"/>
      <c r="C34" s="98"/>
      <c r="D34" s="98"/>
      <c r="E34" s="98"/>
      <c r="F34" s="98"/>
      <c r="G34" s="98"/>
      <c r="H34" s="98"/>
      <c r="I34" s="98"/>
      <c r="J34" s="98"/>
      <c r="K34" s="98"/>
      <c r="L34" s="98"/>
      <c r="M34" s="98"/>
      <c r="N34" s="98"/>
      <c r="O34" s="98"/>
      <c r="P34" s="98"/>
      <c r="Q34" s="98"/>
      <c r="R34" s="98"/>
      <c r="S34" s="98"/>
    </row>
    <row r="35" spans="1:19" ht="18" customHeight="1" x14ac:dyDescent="0.2">
      <c r="B35" s="95" t="s">
        <v>54</v>
      </c>
      <c r="C35" s="96"/>
      <c r="D35" s="96"/>
      <c r="E35" s="97"/>
      <c r="F35" s="61" t="s">
        <v>81</v>
      </c>
      <c r="G35" s="60" t="s">
        <v>85</v>
      </c>
      <c r="H35" s="22" t="s">
        <v>72</v>
      </c>
      <c r="I35" s="22" t="s">
        <v>73</v>
      </c>
      <c r="J35" s="95" t="s">
        <v>54</v>
      </c>
      <c r="K35" s="96"/>
      <c r="L35" s="96"/>
      <c r="M35" s="96"/>
      <c r="N35" s="96"/>
      <c r="O35" s="97"/>
      <c r="P35" s="61" t="s">
        <v>81</v>
      </c>
      <c r="Q35" s="60" t="s">
        <v>85</v>
      </c>
      <c r="R35" s="22" t="s">
        <v>72</v>
      </c>
      <c r="S35" s="22" t="s">
        <v>73</v>
      </c>
    </row>
    <row r="36" spans="1:19" ht="18" customHeight="1" x14ac:dyDescent="0.2">
      <c r="B36" s="99" t="s">
        <v>128</v>
      </c>
      <c r="C36" s="100"/>
      <c r="D36" s="100"/>
      <c r="E36" s="101"/>
      <c r="F36" s="23">
        <v>2</v>
      </c>
      <c r="G36" s="23" t="s">
        <v>129</v>
      </c>
      <c r="H36" s="23" t="s">
        <v>129</v>
      </c>
      <c r="I36" s="23" t="s">
        <v>129</v>
      </c>
      <c r="J36" s="99"/>
      <c r="K36" s="100"/>
      <c r="L36" s="100"/>
      <c r="M36" s="100"/>
      <c r="N36" s="100"/>
      <c r="O36" s="101"/>
      <c r="P36" s="23"/>
      <c r="Q36" s="23"/>
      <c r="R36" s="23"/>
      <c r="S36" s="23"/>
    </row>
    <row r="37" spans="1:19" ht="18" customHeight="1" x14ac:dyDescent="0.2">
      <c r="B37" s="89"/>
      <c r="C37" s="90"/>
      <c r="D37" s="90"/>
      <c r="E37" s="91"/>
      <c r="F37" s="24"/>
      <c r="G37" s="24"/>
      <c r="H37" s="24"/>
      <c r="I37" s="24"/>
      <c r="J37" s="89"/>
      <c r="K37" s="90"/>
      <c r="L37" s="90"/>
      <c r="M37" s="90"/>
      <c r="N37" s="90"/>
      <c r="O37" s="91"/>
      <c r="P37" s="24"/>
      <c r="Q37" s="24"/>
      <c r="R37" s="24"/>
      <c r="S37" s="24"/>
    </row>
    <row r="38" spans="1:19" ht="18" customHeight="1" x14ac:dyDescent="0.2">
      <c r="B38" s="89"/>
      <c r="C38" s="90"/>
      <c r="D38" s="90"/>
      <c r="E38" s="91"/>
      <c r="F38" s="24"/>
      <c r="G38" s="24"/>
      <c r="H38" s="24"/>
      <c r="I38" s="24"/>
      <c r="J38" s="89"/>
      <c r="K38" s="90"/>
      <c r="L38" s="90"/>
      <c r="M38" s="90"/>
      <c r="N38" s="90"/>
      <c r="O38" s="91"/>
      <c r="P38" s="24"/>
      <c r="Q38" s="24"/>
      <c r="R38" s="24"/>
      <c r="S38" s="24"/>
    </row>
    <row r="39" spans="1:19" ht="18" customHeight="1" x14ac:dyDescent="0.2">
      <c r="B39" s="89"/>
      <c r="C39" s="90"/>
      <c r="D39" s="90"/>
      <c r="E39" s="91"/>
      <c r="F39" s="24"/>
      <c r="G39" s="24"/>
      <c r="H39" s="24"/>
      <c r="I39" s="24"/>
      <c r="J39" s="89"/>
      <c r="K39" s="90"/>
      <c r="L39" s="90"/>
      <c r="M39" s="90"/>
      <c r="N39" s="90"/>
      <c r="O39" s="91"/>
      <c r="P39" s="24"/>
      <c r="Q39" s="24"/>
      <c r="R39" s="24"/>
      <c r="S39" s="24"/>
    </row>
    <row r="40" spans="1:19" ht="18" customHeight="1" x14ac:dyDescent="0.2">
      <c r="B40" s="89"/>
      <c r="C40" s="90"/>
      <c r="D40" s="90"/>
      <c r="E40" s="91"/>
      <c r="F40" s="24"/>
      <c r="G40" s="24"/>
      <c r="H40" s="24"/>
      <c r="I40" s="24"/>
      <c r="J40" s="89"/>
      <c r="K40" s="90"/>
      <c r="L40" s="90"/>
      <c r="M40" s="90"/>
      <c r="N40" s="90"/>
      <c r="O40" s="91"/>
      <c r="P40" s="24"/>
      <c r="Q40" s="24"/>
      <c r="R40" s="24"/>
      <c r="S40" s="24"/>
    </row>
    <row r="41" spans="1:19" ht="18" customHeight="1" x14ac:dyDescent="0.2">
      <c r="B41" s="89"/>
      <c r="C41" s="90"/>
      <c r="D41" s="90"/>
      <c r="E41" s="91"/>
      <c r="F41" s="24"/>
      <c r="G41" s="24"/>
      <c r="H41" s="24"/>
      <c r="I41" s="24"/>
      <c r="J41" s="89"/>
      <c r="K41" s="90"/>
      <c r="L41" s="90"/>
      <c r="M41" s="90"/>
      <c r="N41" s="90"/>
      <c r="O41" s="91"/>
      <c r="P41" s="24"/>
      <c r="Q41" s="24"/>
      <c r="R41" s="24"/>
      <c r="S41" s="24"/>
    </row>
    <row r="42" spans="1:19" ht="18" customHeight="1" x14ac:dyDescent="0.2">
      <c r="B42" s="92"/>
      <c r="C42" s="93"/>
      <c r="D42" s="93"/>
      <c r="E42" s="94"/>
      <c r="F42" s="25"/>
      <c r="G42" s="25"/>
      <c r="H42" s="26"/>
      <c r="I42" s="26"/>
      <c r="J42" s="92"/>
      <c r="K42" s="93"/>
      <c r="L42" s="93"/>
      <c r="M42" s="93"/>
      <c r="N42" s="93"/>
      <c r="O42" s="94"/>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8" t="s">
        <v>116</v>
      </c>
      <c r="B44" s="98"/>
      <c r="C44" s="98"/>
      <c r="D44" s="98"/>
      <c r="E44" s="98"/>
      <c r="F44" s="98"/>
      <c r="G44" s="98"/>
      <c r="H44" s="98"/>
      <c r="I44" s="98"/>
      <c r="J44" s="98"/>
      <c r="K44" s="98"/>
      <c r="L44" s="98"/>
      <c r="M44" s="98"/>
      <c r="N44" s="98"/>
      <c r="O44" s="98"/>
      <c r="P44" s="98"/>
      <c r="Q44" s="98"/>
      <c r="R44" s="98"/>
      <c r="S44" s="98"/>
    </row>
    <row r="45" spans="1:19" ht="18" customHeight="1" x14ac:dyDescent="0.2">
      <c r="A45" s="98"/>
      <c r="B45" s="98"/>
      <c r="C45" s="98"/>
      <c r="D45" s="98"/>
      <c r="E45" s="98"/>
      <c r="F45" s="98"/>
      <c r="G45" s="98"/>
      <c r="H45" s="98"/>
      <c r="I45" s="98"/>
      <c r="J45" s="98"/>
      <c r="K45" s="98"/>
      <c r="L45" s="98"/>
      <c r="M45" s="98"/>
      <c r="N45" s="98"/>
      <c r="O45" s="98"/>
      <c r="P45" s="98"/>
      <c r="Q45" s="98"/>
      <c r="R45" s="98"/>
      <c r="S45" s="98"/>
    </row>
    <row r="46" spans="1:19" ht="18" customHeight="1" x14ac:dyDescent="0.2">
      <c r="B46" s="95" t="s">
        <v>54</v>
      </c>
      <c r="C46" s="96"/>
      <c r="D46" s="96"/>
      <c r="E46" s="97"/>
      <c r="F46" s="61" t="s">
        <v>81</v>
      </c>
      <c r="G46" s="60" t="s">
        <v>85</v>
      </c>
      <c r="H46" s="22" t="s">
        <v>74</v>
      </c>
      <c r="I46" s="22" t="s">
        <v>75</v>
      </c>
      <c r="J46" s="95" t="s">
        <v>54</v>
      </c>
      <c r="K46" s="96"/>
      <c r="L46" s="96"/>
      <c r="M46" s="96"/>
      <c r="N46" s="96"/>
      <c r="O46" s="97"/>
      <c r="P46" s="61" t="s">
        <v>81</v>
      </c>
      <c r="Q46" s="60" t="s">
        <v>85</v>
      </c>
      <c r="R46" s="22" t="s">
        <v>74</v>
      </c>
      <c r="S46" s="22" t="s">
        <v>75</v>
      </c>
    </row>
    <row r="47" spans="1:19" ht="18" customHeight="1" x14ac:dyDescent="0.2">
      <c r="A47" s="3"/>
      <c r="B47" s="99" t="s">
        <v>128</v>
      </c>
      <c r="C47" s="100"/>
      <c r="D47" s="100"/>
      <c r="E47" s="101"/>
      <c r="F47" s="23">
        <v>2</v>
      </c>
      <c r="G47" s="23" t="s">
        <v>129</v>
      </c>
      <c r="H47" s="23" t="s">
        <v>129</v>
      </c>
      <c r="I47" s="23" t="s">
        <v>129</v>
      </c>
      <c r="J47" s="99"/>
      <c r="K47" s="100"/>
      <c r="L47" s="100"/>
      <c r="M47" s="100"/>
      <c r="N47" s="100"/>
      <c r="O47" s="101"/>
      <c r="P47" s="23"/>
      <c r="Q47" s="23"/>
      <c r="R47" s="23"/>
      <c r="S47" s="23"/>
    </row>
    <row r="48" spans="1:19" ht="18" customHeight="1" x14ac:dyDescent="0.2">
      <c r="A48" s="3"/>
      <c r="B48" s="89"/>
      <c r="C48" s="90"/>
      <c r="D48" s="90"/>
      <c r="E48" s="91"/>
      <c r="F48" s="24"/>
      <c r="G48" s="24"/>
      <c r="H48" s="24"/>
      <c r="I48" s="24"/>
      <c r="J48" s="89"/>
      <c r="K48" s="90"/>
      <c r="L48" s="90"/>
      <c r="M48" s="90"/>
      <c r="N48" s="90"/>
      <c r="O48" s="91"/>
      <c r="P48" s="24"/>
      <c r="Q48" s="24"/>
      <c r="R48" s="24"/>
      <c r="S48" s="24"/>
    </row>
    <row r="49" spans="1:19" ht="18" customHeight="1" x14ac:dyDescent="0.2">
      <c r="A49" s="3"/>
      <c r="B49" s="89"/>
      <c r="C49" s="90"/>
      <c r="D49" s="90"/>
      <c r="E49" s="91"/>
      <c r="F49" s="24"/>
      <c r="G49" s="24"/>
      <c r="H49" s="24"/>
      <c r="I49" s="24"/>
      <c r="J49" s="89"/>
      <c r="K49" s="90"/>
      <c r="L49" s="90"/>
      <c r="M49" s="90"/>
      <c r="N49" s="90"/>
      <c r="O49" s="91"/>
      <c r="P49" s="24"/>
      <c r="Q49" s="24"/>
      <c r="R49" s="24"/>
      <c r="S49" s="24"/>
    </row>
    <row r="50" spans="1:19" ht="18" customHeight="1" x14ac:dyDescent="0.2">
      <c r="A50" s="3"/>
      <c r="B50" s="89"/>
      <c r="C50" s="90"/>
      <c r="D50" s="90"/>
      <c r="E50" s="91"/>
      <c r="F50" s="24"/>
      <c r="G50" s="24"/>
      <c r="H50" s="24"/>
      <c r="I50" s="24"/>
      <c r="J50" s="89"/>
      <c r="K50" s="90"/>
      <c r="L50" s="90"/>
      <c r="M50" s="90"/>
      <c r="N50" s="90"/>
      <c r="O50" s="91"/>
      <c r="P50" s="24"/>
      <c r="Q50" s="24"/>
      <c r="R50" s="24"/>
      <c r="S50" s="24"/>
    </row>
    <row r="51" spans="1:19" ht="18" customHeight="1" x14ac:dyDescent="0.2">
      <c r="A51" s="3"/>
      <c r="B51" s="89"/>
      <c r="C51" s="90"/>
      <c r="D51" s="90"/>
      <c r="E51" s="91"/>
      <c r="F51" s="24"/>
      <c r="G51" s="24"/>
      <c r="H51" s="24"/>
      <c r="I51" s="24"/>
      <c r="J51" s="89"/>
      <c r="K51" s="90"/>
      <c r="L51" s="90"/>
      <c r="M51" s="90"/>
      <c r="N51" s="90"/>
      <c r="O51" s="91"/>
      <c r="P51" s="24"/>
      <c r="Q51" s="24"/>
      <c r="R51" s="24"/>
      <c r="S51" s="24"/>
    </row>
    <row r="52" spans="1:19" ht="18" customHeight="1" x14ac:dyDescent="0.2">
      <c r="A52" s="3"/>
      <c r="B52" s="89"/>
      <c r="C52" s="90"/>
      <c r="D52" s="90"/>
      <c r="E52" s="91"/>
      <c r="F52" s="24"/>
      <c r="G52" s="24"/>
      <c r="H52" s="24"/>
      <c r="I52" s="24"/>
      <c r="J52" s="89"/>
      <c r="K52" s="90"/>
      <c r="L52" s="90"/>
      <c r="M52" s="90"/>
      <c r="N52" s="90"/>
      <c r="O52" s="91"/>
      <c r="P52" s="24"/>
      <c r="Q52" s="24"/>
      <c r="R52" s="24"/>
      <c r="S52" s="24"/>
    </row>
    <row r="53" spans="1:19" ht="18" customHeight="1" x14ac:dyDescent="0.2">
      <c r="A53" s="3"/>
      <c r="B53" s="92"/>
      <c r="C53" s="93"/>
      <c r="D53" s="93"/>
      <c r="E53" s="94"/>
      <c r="F53" s="25"/>
      <c r="G53" s="25"/>
      <c r="H53" s="26"/>
      <c r="I53" s="26"/>
      <c r="J53" s="92"/>
      <c r="K53" s="93"/>
      <c r="L53" s="93"/>
      <c r="M53" s="93"/>
      <c r="N53" s="93"/>
      <c r="O53" s="94"/>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8" t="s">
        <v>117</v>
      </c>
      <c r="B55" s="98"/>
      <c r="C55" s="98"/>
      <c r="D55" s="98"/>
      <c r="E55" s="98"/>
      <c r="F55" s="98"/>
      <c r="G55" s="98"/>
      <c r="H55" s="98"/>
      <c r="I55" s="98"/>
      <c r="J55" s="98"/>
      <c r="K55" s="98"/>
      <c r="L55" s="98"/>
      <c r="M55" s="98"/>
      <c r="N55" s="98"/>
      <c r="O55" s="98"/>
      <c r="P55" s="98"/>
      <c r="Q55" s="98"/>
      <c r="R55" s="98"/>
      <c r="S55" s="98"/>
    </row>
    <row r="56" spans="1:19" ht="18" customHeight="1" x14ac:dyDescent="0.2">
      <c r="A56" s="98"/>
      <c r="B56" s="98"/>
      <c r="C56" s="98"/>
      <c r="D56" s="98"/>
      <c r="E56" s="98"/>
      <c r="F56" s="98"/>
      <c r="G56" s="98"/>
      <c r="H56" s="98"/>
      <c r="I56" s="98"/>
      <c r="J56" s="98"/>
      <c r="K56" s="98"/>
      <c r="L56" s="98"/>
      <c r="M56" s="98"/>
      <c r="N56" s="98"/>
      <c r="O56" s="98"/>
      <c r="P56" s="98"/>
      <c r="Q56" s="98"/>
      <c r="R56" s="98"/>
      <c r="S56" s="98"/>
    </row>
    <row r="57" spans="1:19" ht="18" customHeight="1" x14ac:dyDescent="0.2">
      <c r="B57" s="95" t="s">
        <v>54</v>
      </c>
      <c r="C57" s="96"/>
      <c r="D57" s="96"/>
      <c r="E57" s="97"/>
      <c r="F57" s="61" t="s">
        <v>81</v>
      </c>
      <c r="G57" s="60" t="s">
        <v>85</v>
      </c>
      <c r="H57" s="22" t="s">
        <v>59</v>
      </c>
      <c r="I57" s="22" t="s">
        <v>61</v>
      </c>
      <c r="J57" s="95" t="s">
        <v>54</v>
      </c>
      <c r="K57" s="96"/>
      <c r="L57" s="96"/>
      <c r="M57" s="96"/>
      <c r="N57" s="96"/>
      <c r="O57" s="97"/>
      <c r="P57" s="61" t="s">
        <v>81</v>
      </c>
      <c r="Q57" s="60" t="s">
        <v>85</v>
      </c>
      <c r="R57" s="22" t="s">
        <v>59</v>
      </c>
      <c r="S57" s="22" t="s">
        <v>61</v>
      </c>
    </row>
    <row r="58" spans="1:19" ht="18" customHeight="1" x14ac:dyDescent="0.2">
      <c r="A58" s="3"/>
      <c r="B58" s="99" t="s">
        <v>128</v>
      </c>
      <c r="C58" s="100"/>
      <c r="D58" s="100"/>
      <c r="E58" s="101"/>
      <c r="F58" s="23">
        <v>2</v>
      </c>
      <c r="G58" s="23" t="s">
        <v>129</v>
      </c>
      <c r="H58" s="23" t="s">
        <v>129</v>
      </c>
      <c r="I58" s="23" t="s">
        <v>129</v>
      </c>
      <c r="J58" s="99"/>
      <c r="K58" s="100"/>
      <c r="L58" s="100"/>
      <c r="M58" s="100"/>
      <c r="N58" s="100"/>
      <c r="O58" s="101"/>
      <c r="P58" s="23"/>
      <c r="Q58" s="23"/>
      <c r="R58" s="23"/>
      <c r="S58" s="23"/>
    </row>
    <row r="59" spans="1:19" ht="18" customHeight="1" x14ac:dyDescent="0.2">
      <c r="A59" s="3"/>
      <c r="B59" s="89"/>
      <c r="C59" s="90"/>
      <c r="D59" s="90"/>
      <c r="E59" s="91"/>
      <c r="F59" s="24"/>
      <c r="G59" s="24"/>
      <c r="H59" s="24"/>
      <c r="I59" s="24"/>
      <c r="J59" s="89"/>
      <c r="K59" s="90"/>
      <c r="L59" s="90"/>
      <c r="M59" s="90"/>
      <c r="N59" s="90"/>
      <c r="O59" s="91"/>
      <c r="P59" s="24"/>
      <c r="Q59" s="24"/>
      <c r="R59" s="24"/>
      <c r="S59" s="24"/>
    </row>
    <row r="60" spans="1:19" ht="18" customHeight="1" x14ac:dyDescent="0.2">
      <c r="A60" s="3"/>
      <c r="B60" s="89"/>
      <c r="C60" s="90"/>
      <c r="D60" s="90"/>
      <c r="E60" s="91"/>
      <c r="F60" s="24"/>
      <c r="G60" s="24"/>
      <c r="H60" s="24"/>
      <c r="I60" s="24"/>
      <c r="J60" s="89"/>
      <c r="K60" s="90"/>
      <c r="L60" s="90"/>
      <c r="M60" s="90"/>
      <c r="N60" s="90"/>
      <c r="O60" s="91"/>
      <c r="P60" s="24"/>
      <c r="Q60" s="24"/>
      <c r="R60" s="24"/>
      <c r="S60" s="24"/>
    </row>
    <row r="61" spans="1:19" ht="18" customHeight="1" x14ac:dyDescent="0.2">
      <c r="A61" s="3"/>
      <c r="B61" s="89"/>
      <c r="C61" s="90"/>
      <c r="D61" s="90"/>
      <c r="E61" s="91"/>
      <c r="F61" s="24"/>
      <c r="G61" s="24"/>
      <c r="H61" s="24"/>
      <c r="I61" s="24"/>
      <c r="J61" s="89"/>
      <c r="K61" s="90"/>
      <c r="L61" s="90"/>
      <c r="M61" s="90"/>
      <c r="N61" s="90"/>
      <c r="O61" s="91"/>
      <c r="P61" s="24"/>
      <c r="Q61" s="24"/>
      <c r="R61" s="24"/>
      <c r="S61" s="24"/>
    </row>
    <row r="62" spans="1:19" ht="18" customHeight="1" x14ac:dyDescent="0.2">
      <c r="A62" s="3"/>
      <c r="B62" s="89"/>
      <c r="C62" s="90"/>
      <c r="D62" s="90"/>
      <c r="E62" s="91"/>
      <c r="F62" s="24"/>
      <c r="G62" s="24"/>
      <c r="H62" s="24"/>
      <c r="I62" s="24"/>
      <c r="J62" s="89"/>
      <c r="K62" s="90"/>
      <c r="L62" s="90"/>
      <c r="M62" s="90"/>
      <c r="N62" s="90"/>
      <c r="O62" s="91"/>
      <c r="P62" s="24"/>
      <c r="Q62" s="24"/>
      <c r="R62" s="24"/>
      <c r="S62" s="24"/>
    </row>
    <row r="63" spans="1:19" ht="18" customHeight="1" x14ac:dyDescent="0.2">
      <c r="A63" s="3"/>
      <c r="B63" s="89"/>
      <c r="C63" s="90"/>
      <c r="D63" s="90"/>
      <c r="E63" s="91"/>
      <c r="F63" s="24"/>
      <c r="G63" s="24"/>
      <c r="H63" s="24"/>
      <c r="I63" s="24"/>
      <c r="J63" s="89"/>
      <c r="K63" s="90"/>
      <c r="L63" s="90"/>
      <c r="M63" s="90"/>
      <c r="N63" s="90"/>
      <c r="O63" s="91"/>
      <c r="P63" s="24"/>
      <c r="Q63" s="24"/>
      <c r="R63" s="24"/>
      <c r="S63" s="24"/>
    </row>
    <row r="64" spans="1:19" ht="18" customHeight="1" x14ac:dyDescent="0.2">
      <c r="A64" s="3"/>
      <c r="B64" s="92"/>
      <c r="C64" s="93"/>
      <c r="D64" s="93"/>
      <c r="E64" s="94"/>
      <c r="F64" s="25"/>
      <c r="G64" s="25"/>
      <c r="H64" s="26"/>
      <c r="I64" s="26"/>
      <c r="J64" s="92"/>
      <c r="K64" s="93"/>
      <c r="L64" s="93"/>
      <c r="M64" s="93"/>
      <c r="N64" s="93"/>
      <c r="O64" s="94"/>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8" t="s">
        <v>118</v>
      </c>
      <c r="B66" s="98"/>
      <c r="C66" s="98"/>
      <c r="D66" s="98"/>
      <c r="E66" s="98"/>
      <c r="F66" s="98"/>
      <c r="G66" s="98"/>
      <c r="H66" s="98"/>
      <c r="I66" s="98"/>
      <c r="J66" s="98"/>
      <c r="K66" s="98"/>
      <c r="L66" s="98"/>
      <c r="M66" s="98"/>
      <c r="N66" s="98"/>
      <c r="O66" s="98"/>
      <c r="P66" s="98"/>
      <c r="Q66" s="98"/>
      <c r="R66" s="98"/>
      <c r="S66" s="98"/>
    </row>
    <row r="67" spans="1:19" ht="18" customHeight="1" x14ac:dyDescent="0.2">
      <c r="A67" s="98"/>
      <c r="B67" s="98"/>
      <c r="C67" s="98"/>
      <c r="D67" s="98"/>
      <c r="E67" s="98"/>
      <c r="F67" s="98"/>
      <c r="G67" s="98"/>
      <c r="H67" s="98"/>
      <c r="I67" s="98"/>
      <c r="J67" s="98"/>
      <c r="K67" s="98"/>
      <c r="L67" s="98"/>
      <c r="M67" s="98"/>
      <c r="N67" s="98"/>
      <c r="O67" s="98"/>
      <c r="P67" s="98"/>
      <c r="Q67" s="98"/>
      <c r="R67" s="98"/>
      <c r="S67" s="98"/>
    </row>
    <row r="68" spans="1:19" ht="18" customHeight="1" x14ac:dyDescent="0.2">
      <c r="B68" s="95" t="s">
        <v>54</v>
      </c>
      <c r="C68" s="96"/>
      <c r="D68" s="96"/>
      <c r="E68" s="61" t="s">
        <v>81</v>
      </c>
      <c r="F68" s="60" t="s">
        <v>85</v>
      </c>
      <c r="G68" s="22" t="s">
        <v>102</v>
      </c>
      <c r="H68" s="22" t="s">
        <v>76</v>
      </c>
      <c r="I68" s="22" t="s">
        <v>77</v>
      </c>
      <c r="J68" s="95" t="s">
        <v>54</v>
      </c>
      <c r="K68" s="96"/>
      <c r="L68" s="96"/>
      <c r="M68" s="96"/>
      <c r="N68" s="97"/>
      <c r="O68" s="61" t="s">
        <v>81</v>
      </c>
      <c r="P68" s="60" t="s">
        <v>85</v>
      </c>
      <c r="Q68" s="22" t="s">
        <v>102</v>
      </c>
      <c r="R68" s="22" t="s">
        <v>76</v>
      </c>
      <c r="S68" s="22" t="s">
        <v>77</v>
      </c>
    </row>
    <row r="69" spans="1:19" ht="18" customHeight="1" x14ac:dyDescent="0.2">
      <c r="A69" s="3"/>
      <c r="B69" s="99" t="s">
        <v>128</v>
      </c>
      <c r="C69" s="100"/>
      <c r="D69" s="100"/>
      <c r="E69" s="23">
        <v>2</v>
      </c>
      <c r="F69" s="23" t="s">
        <v>129</v>
      </c>
      <c r="G69" s="23" t="s">
        <v>129</v>
      </c>
      <c r="H69" s="23" t="s">
        <v>129</v>
      </c>
      <c r="I69" s="23" t="s">
        <v>129</v>
      </c>
      <c r="J69" s="99"/>
      <c r="K69" s="100"/>
      <c r="L69" s="100"/>
      <c r="M69" s="100"/>
      <c r="N69" s="101"/>
      <c r="O69" s="23"/>
      <c r="P69" s="23"/>
      <c r="Q69" s="23"/>
      <c r="R69" s="23"/>
      <c r="S69" s="23"/>
    </row>
    <row r="70" spans="1:19" ht="18" customHeight="1" x14ac:dyDescent="0.2">
      <c r="A70" s="3"/>
      <c r="B70" s="89"/>
      <c r="C70" s="90"/>
      <c r="D70" s="90"/>
      <c r="E70" s="24"/>
      <c r="F70" s="24"/>
      <c r="G70" s="24"/>
      <c r="H70" s="24"/>
      <c r="I70" s="24"/>
      <c r="J70" s="89"/>
      <c r="K70" s="90"/>
      <c r="L70" s="90"/>
      <c r="M70" s="90"/>
      <c r="N70" s="91"/>
      <c r="O70" s="24"/>
      <c r="P70" s="24"/>
      <c r="Q70" s="24"/>
      <c r="R70" s="24"/>
      <c r="S70" s="24"/>
    </row>
    <row r="71" spans="1:19" ht="18" customHeight="1" x14ac:dyDescent="0.2">
      <c r="A71" s="3"/>
      <c r="B71" s="89"/>
      <c r="C71" s="90"/>
      <c r="D71" s="90"/>
      <c r="E71" s="24"/>
      <c r="F71" s="24"/>
      <c r="G71" s="24"/>
      <c r="H71" s="24"/>
      <c r="I71" s="24"/>
      <c r="J71" s="89"/>
      <c r="K71" s="90"/>
      <c r="L71" s="90"/>
      <c r="M71" s="90"/>
      <c r="N71" s="91"/>
      <c r="O71" s="24"/>
      <c r="P71" s="24"/>
      <c r="Q71" s="24"/>
      <c r="R71" s="24"/>
      <c r="S71" s="24"/>
    </row>
    <row r="72" spans="1:19" ht="18" customHeight="1" x14ac:dyDescent="0.2">
      <c r="A72" s="3"/>
      <c r="B72" s="89"/>
      <c r="C72" s="90"/>
      <c r="D72" s="90"/>
      <c r="E72" s="24"/>
      <c r="F72" s="24"/>
      <c r="G72" s="24"/>
      <c r="H72" s="24"/>
      <c r="I72" s="24"/>
      <c r="J72" s="89"/>
      <c r="K72" s="90"/>
      <c r="L72" s="90"/>
      <c r="M72" s="90"/>
      <c r="N72" s="91"/>
      <c r="O72" s="24"/>
      <c r="P72" s="24"/>
      <c r="Q72" s="24"/>
      <c r="R72" s="24"/>
      <c r="S72" s="24"/>
    </row>
    <row r="73" spans="1:19" ht="18" customHeight="1" x14ac:dyDescent="0.2">
      <c r="A73" s="3"/>
      <c r="B73" s="89"/>
      <c r="C73" s="90"/>
      <c r="D73" s="90"/>
      <c r="E73" s="24"/>
      <c r="F73" s="24"/>
      <c r="G73" s="24"/>
      <c r="H73" s="24"/>
      <c r="I73" s="24"/>
      <c r="J73" s="89"/>
      <c r="K73" s="90"/>
      <c r="L73" s="90"/>
      <c r="M73" s="90"/>
      <c r="N73" s="91"/>
      <c r="O73" s="24"/>
      <c r="P73" s="24"/>
      <c r="Q73" s="24"/>
      <c r="R73" s="24"/>
      <c r="S73" s="24"/>
    </row>
    <row r="74" spans="1:19" ht="18" customHeight="1" x14ac:dyDescent="0.2">
      <c r="A74" s="3"/>
      <c r="B74" s="89"/>
      <c r="C74" s="90"/>
      <c r="D74" s="90"/>
      <c r="E74" s="24"/>
      <c r="F74" s="24"/>
      <c r="G74" s="24"/>
      <c r="H74" s="24"/>
      <c r="I74" s="24"/>
      <c r="J74" s="89"/>
      <c r="K74" s="90"/>
      <c r="L74" s="90"/>
      <c r="M74" s="90"/>
      <c r="N74" s="91"/>
      <c r="O74" s="24"/>
      <c r="P74" s="24"/>
      <c r="Q74" s="24"/>
      <c r="R74" s="24"/>
      <c r="S74" s="24"/>
    </row>
    <row r="75" spans="1:19" ht="18" customHeight="1" x14ac:dyDescent="0.2">
      <c r="A75" s="3"/>
      <c r="B75" s="92"/>
      <c r="C75" s="93"/>
      <c r="D75" s="93"/>
      <c r="E75" s="25"/>
      <c r="F75" s="25"/>
      <c r="G75" s="26"/>
      <c r="H75" s="26"/>
      <c r="I75" s="26"/>
      <c r="J75" s="92"/>
      <c r="K75" s="93"/>
      <c r="L75" s="93"/>
      <c r="M75" s="93"/>
      <c r="N75" s="94"/>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95" t="s">
        <v>54</v>
      </c>
      <c r="C78" s="96"/>
      <c r="D78" s="96"/>
      <c r="E78" s="97"/>
      <c r="F78" s="95" t="s">
        <v>83</v>
      </c>
      <c r="G78" s="96"/>
      <c r="H78" s="96"/>
      <c r="I78" s="97"/>
      <c r="J78" s="145" t="s">
        <v>54</v>
      </c>
      <c r="K78" s="146"/>
      <c r="L78" s="146"/>
      <c r="M78" s="146"/>
      <c r="N78" s="146"/>
      <c r="O78" s="147"/>
      <c r="P78" s="95" t="s">
        <v>83</v>
      </c>
      <c r="Q78" s="96"/>
      <c r="R78" s="96"/>
      <c r="S78" s="97"/>
    </row>
    <row r="79" spans="1:19" ht="18" customHeight="1" x14ac:dyDescent="0.2">
      <c r="A79" s="3"/>
      <c r="B79" s="99"/>
      <c r="C79" s="100"/>
      <c r="D79" s="100"/>
      <c r="E79" s="101"/>
      <c r="F79" s="161"/>
      <c r="G79" s="162"/>
      <c r="H79" s="162"/>
      <c r="I79" s="163"/>
      <c r="J79" s="99"/>
      <c r="K79" s="100"/>
      <c r="L79" s="100"/>
      <c r="M79" s="100"/>
      <c r="N79" s="100"/>
      <c r="O79" s="101"/>
      <c r="P79" s="161"/>
      <c r="Q79" s="162"/>
      <c r="R79" s="162"/>
      <c r="S79" s="163"/>
    </row>
    <row r="80" spans="1:19" ht="18" customHeight="1" x14ac:dyDescent="0.2">
      <c r="A80" s="3"/>
      <c r="B80" s="89"/>
      <c r="C80" s="90"/>
      <c r="D80" s="90"/>
      <c r="E80" s="91"/>
      <c r="F80" s="128"/>
      <c r="G80" s="129"/>
      <c r="H80" s="129"/>
      <c r="I80" s="130"/>
      <c r="J80" s="89"/>
      <c r="K80" s="90"/>
      <c r="L80" s="90"/>
      <c r="M80" s="90"/>
      <c r="N80" s="90"/>
      <c r="O80" s="91"/>
      <c r="P80" s="128"/>
      <c r="Q80" s="129"/>
      <c r="R80" s="129"/>
      <c r="S80" s="130"/>
    </row>
    <row r="81" spans="1:19" ht="18" customHeight="1" x14ac:dyDescent="0.2">
      <c r="A81" s="3"/>
      <c r="B81" s="89"/>
      <c r="C81" s="90"/>
      <c r="D81" s="90"/>
      <c r="E81" s="91"/>
      <c r="F81" s="128"/>
      <c r="G81" s="129"/>
      <c r="H81" s="129"/>
      <c r="I81" s="130"/>
      <c r="J81" s="89"/>
      <c r="K81" s="90"/>
      <c r="L81" s="90"/>
      <c r="M81" s="90"/>
      <c r="N81" s="90"/>
      <c r="O81" s="91"/>
      <c r="P81" s="128"/>
      <c r="Q81" s="129"/>
      <c r="R81" s="129"/>
      <c r="S81" s="130"/>
    </row>
    <row r="82" spans="1:19" ht="18" customHeight="1" x14ac:dyDescent="0.2">
      <c r="A82" s="3"/>
      <c r="B82" s="89"/>
      <c r="C82" s="90"/>
      <c r="D82" s="90"/>
      <c r="E82" s="91"/>
      <c r="F82" s="128"/>
      <c r="G82" s="129"/>
      <c r="H82" s="129"/>
      <c r="I82" s="130"/>
      <c r="J82" s="89"/>
      <c r="K82" s="90"/>
      <c r="L82" s="90"/>
      <c r="M82" s="90"/>
      <c r="N82" s="90"/>
      <c r="O82" s="91"/>
      <c r="P82" s="128"/>
      <c r="Q82" s="129"/>
      <c r="R82" s="129"/>
      <c r="S82" s="130"/>
    </row>
    <row r="83" spans="1:19" ht="18" customHeight="1" x14ac:dyDescent="0.2">
      <c r="A83" s="3"/>
      <c r="B83" s="89"/>
      <c r="C83" s="90"/>
      <c r="D83" s="90"/>
      <c r="E83" s="91"/>
      <c r="F83" s="128"/>
      <c r="G83" s="129"/>
      <c r="H83" s="129"/>
      <c r="I83" s="130"/>
      <c r="J83" s="89"/>
      <c r="K83" s="90"/>
      <c r="L83" s="90"/>
      <c r="M83" s="90"/>
      <c r="N83" s="90"/>
      <c r="O83" s="91"/>
      <c r="P83" s="128"/>
      <c r="Q83" s="129"/>
      <c r="R83" s="129"/>
      <c r="S83" s="130"/>
    </row>
    <row r="84" spans="1:19" ht="18" customHeight="1" x14ac:dyDescent="0.2">
      <c r="A84" s="3"/>
      <c r="B84" s="89"/>
      <c r="C84" s="90"/>
      <c r="D84" s="90"/>
      <c r="E84" s="91"/>
      <c r="F84" s="128"/>
      <c r="G84" s="129"/>
      <c r="H84" s="129"/>
      <c r="I84" s="130"/>
      <c r="J84" s="89"/>
      <c r="K84" s="90"/>
      <c r="L84" s="90"/>
      <c r="M84" s="90"/>
      <c r="N84" s="90"/>
      <c r="O84" s="91"/>
      <c r="P84" s="128"/>
      <c r="Q84" s="129"/>
      <c r="R84" s="129"/>
      <c r="S84" s="130"/>
    </row>
    <row r="85" spans="1:19" ht="18" customHeight="1" x14ac:dyDescent="0.2">
      <c r="A85" s="3"/>
      <c r="B85" s="92"/>
      <c r="C85" s="93"/>
      <c r="D85" s="93"/>
      <c r="E85" s="94"/>
      <c r="F85" s="125"/>
      <c r="G85" s="126"/>
      <c r="H85" s="126"/>
      <c r="I85" s="127"/>
      <c r="J85" s="92"/>
      <c r="K85" s="93"/>
      <c r="L85" s="93"/>
      <c r="M85" s="93"/>
      <c r="N85" s="93"/>
      <c r="O85" s="94"/>
      <c r="P85" s="125"/>
      <c r="Q85" s="126"/>
      <c r="R85" s="126"/>
      <c r="S85" s="127"/>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57" t="s">
        <v>55</v>
      </c>
      <c r="C88" s="158"/>
      <c r="D88" s="96" t="s">
        <v>56</v>
      </c>
      <c r="E88" s="96"/>
      <c r="F88" s="96"/>
      <c r="G88" s="96"/>
      <c r="H88" s="96"/>
      <c r="I88" s="96"/>
      <c r="J88" s="96"/>
      <c r="K88" s="96"/>
      <c r="L88" s="96"/>
      <c r="M88" s="96"/>
      <c r="N88" s="96"/>
      <c r="O88" s="96"/>
      <c r="P88" s="96"/>
      <c r="Q88" s="96"/>
      <c r="R88" s="96"/>
      <c r="S88" s="97"/>
    </row>
    <row r="89" spans="1:19" ht="97.5" customHeight="1" x14ac:dyDescent="0.2">
      <c r="B89" s="148" t="s">
        <v>62</v>
      </c>
      <c r="C89" s="28" t="s">
        <v>57</v>
      </c>
      <c r="D89" s="155" t="s">
        <v>168</v>
      </c>
      <c r="E89" s="159"/>
      <c r="F89" s="159"/>
      <c r="G89" s="159"/>
      <c r="H89" s="159"/>
      <c r="I89" s="159"/>
      <c r="J89" s="159"/>
      <c r="K89" s="159"/>
      <c r="L89" s="159"/>
      <c r="M89" s="159"/>
      <c r="N89" s="159"/>
      <c r="O89" s="159"/>
      <c r="P89" s="159"/>
      <c r="Q89" s="159"/>
      <c r="R89" s="159"/>
      <c r="S89" s="160"/>
    </row>
    <row r="90" spans="1:19" ht="97.5" customHeight="1" x14ac:dyDescent="0.2">
      <c r="B90" s="150"/>
      <c r="C90" s="29" t="s">
        <v>78</v>
      </c>
      <c r="D90" s="131" t="s">
        <v>160</v>
      </c>
      <c r="E90" s="131"/>
      <c r="F90" s="131"/>
      <c r="G90" s="131"/>
      <c r="H90" s="131"/>
      <c r="I90" s="131"/>
      <c r="J90" s="131"/>
      <c r="K90" s="131"/>
      <c r="L90" s="131"/>
      <c r="M90" s="131"/>
      <c r="N90" s="131"/>
      <c r="O90" s="131"/>
      <c r="P90" s="131"/>
      <c r="Q90" s="131"/>
      <c r="R90" s="131"/>
      <c r="S90" s="132"/>
    </row>
    <row r="91" spans="1:19" ht="97.5" customHeight="1" x14ac:dyDescent="0.2">
      <c r="B91" s="148" t="s">
        <v>63</v>
      </c>
      <c r="C91" s="30" t="s">
        <v>72</v>
      </c>
      <c r="D91" s="133" t="s">
        <v>157</v>
      </c>
      <c r="E91" s="133"/>
      <c r="F91" s="133"/>
      <c r="G91" s="133"/>
      <c r="H91" s="133"/>
      <c r="I91" s="133"/>
      <c r="J91" s="133"/>
      <c r="K91" s="133"/>
      <c r="L91" s="133"/>
      <c r="M91" s="133"/>
      <c r="N91" s="133"/>
      <c r="O91" s="133"/>
      <c r="P91" s="133"/>
      <c r="Q91" s="133"/>
      <c r="R91" s="133"/>
      <c r="S91" s="134"/>
    </row>
    <row r="92" spans="1:19" ht="97.5" customHeight="1" x14ac:dyDescent="0.2">
      <c r="B92" s="149"/>
      <c r="C92" s="31" t="s">
        <v>73</v>
      </c>
      <c r="D92" s="138" t="s">
        <v>158</v>
      </c>
      <c r="E92" s="138"/>
      <c r="F92" s="138"/>
      <c r="G92" s="138"/>
      <c r="H92" s="138"/>
      <c r="I92" s="138"/>
      <c r="J92" s="138"/>
      <c r="K92" s="138"/>
      <c r="L92" s="138"/>
      <c r="M92" s="138"/>
      <c r="N92" s="138"/>
      <c r="O92" s="138"/>
      <c r="P92" s="138"/>
      <c r="Q92" s="138"/>
      <c r="R92" s="138"/>
      <c r="S92" s="139"/>
    </row>
    <row r="93" spans="1:19" ht="97.5" customHeight="1" x14ac:dyDescent="0.2">
      <c r="B93" s="148" t="s">
        <v>64</v>
      </c>
      <c r="C93" s="30" t="s">
        <v>74</v>
      </c>
      <c r="D93" s="133" t="s">
        <v>171</v>
      </c>
      <c r="E93" s="140"/>
      <c r="F93" s="140"/>
      <c r="G93" s="140"/>
      <c r="H93" s="140"/>
      <c r="I93" s="140"/>
      <c r="J93" s="140"/>
      <c r="K93" s="140"/>
      <c r="L93" s="140"/>
      <c r="M93" s="140"/>
      <c r="N93" s="140"/>
      <c r="O93" s="140"/>
      <c r="P93" s="140"/>
      <c r="Q93" s="140"/>
      <c r="R93" s="140"/>
      <c r="S93" s="141"/>
    </row>
    <row r="94" spans="1:19" ht="97.5" customHeight="1" x14ac:dyDescent="0.2">
      <c r="B94" s="149"/>
      <c r="C94" s="32" t="s">
        <v>75</v>
      </c>
      <c r="D94" s="135" t="s">
        <v>159</v>
      </c>
      <c r="E94" s="136"/>
      <c r="F94" s="136"/>
      <c r="G94" s="136"/>
      <c r="H94" s="136"/>
      <c r="I94" s="136"/>
      <c r="J94" s="136"/>
      <c r="K94" s="136"/>
      <c r="L94" s="136"/>
      <c r="M94" s="136"/>
      <c r="N94" s="136"/>
      <c r="O94" s="136"/>
      <c r="P94" s="136"/>
      <c r="Q94" s="136"/>
      <c r="R94" s="136"/>
      <c r="S94" s="137"/>
    </row>
    <row r="95" spans="1:19" ht="97.5" customHeight="1" x14ac:dyDescent="0.2">
      <c r="B95" s="148" t="s">
        <v>79</v>
      </c>
      <c r="C95" s="28" t="s">
        <v>59</v>
      </c>
      <c r="D95" s="155" t="s">
        <v>163</v>
      </c>
      <c r="E95" s="155"/>
      <c r="F95" s="155"/>
      <c r="G95" s="155"/>
      <c r="H95" s="155"/>
      <c r="I95" s="155"/>
      <c r="J95" s="155"/>
      <c r="K95" s="155"/>
      <c r="L95" s="155"/>
      <c r="M95" s="155"/>
      <c r="N95" s="155"/>
      <c r="O95" s="155"/>
      <c r="P95" s="155"/>
      <c r="Q95" s="155"/>
      <c r="R95" s="155"/>
      <c r="S95" s="156"/>
    </row>
    <row r="96" spans="1:19" ht="97.5" customHeight="1" x14ac:dyDescent="0.2">
      <c r="B96" s="149"/>
      <c r="C96" s="31" t="s">
        <v>61</v>
      </c>
      <c r="D96" s="138" t="s">
        <v>164</v>
      </c>
      <c r="E96" s="138"/>
      <c r="F96" s="138"/>
      <c r="G96" s="138"/>
      <c r="H96" s="138"/>
      <c r="I96" s="138"/>
      <c r="J96" s="138"/>
      <c r="K96" s="138"/>
      <c r="L96" s="138"/>
      <c r="M96" s="138"/>
      <c r="N96" s="138"/>
      <c r="O96" s="138"/>
      <c r="P96" s="138"/>
      <c r="Q96" s="138"/>
      <c r="R96" s="138"/>
      <c r="S96" s="139"/>
    </row>
    <row r="97" spans="1:19" ht="97.5" customHeight="1" x14ac:dyDescent="0.2">
      <c r="B97" s="148" t="s">
        <v>80</v>
      </c>
      <c r="C97" s="30" t="s">
        <v>58</v>
      </c>
      <c r="D97" s="151" t="s">
        <v>161</v>
      </c>
      <c r="E97" s="151"/>
      <c r="F97" s="151"/>
      <c r="G97" s="151"/>
      <c r="H97" s="151"/>
      <c r="I97" s="151"/>
      <c r="J97" s="151"/>
      <c r="K97" s="151"/>
      <c r="L97" s="151"/>
      <c r="M97" s="151"/>
      <c r="N97" s="151"/>
      <c r="O97" s="151"/>
      <c r="P97" s="151"/>
      <c r="Q97" s="151"/>
      <c r="R97" s="151"/>
      <c r="S97" s="152"/>
    </row>
    <row r="98" spans="1:19" ht="97.5" customHeight="1" x14ac:dyDescent="0.2">
      <c r="B98" s="150"/>
      <c r="C98" s="33" t="s">
        <v>76</v>
      </c>
      <c r="D98" s="142" t="s">
        <v>169</v>
      </c>
      <c r="E98" s="143"/>
      <c r="F98" s="143"/>
      <c r="G98" s="143"/>
      <c r="H98" s="143"/>
      <c r="I98" s="143"/>
      <c r="J98" s="143"/>
      <c r="K98" s="143"/>
      <c r="L98" s="143"/>
      <c r="M98" s="143"/>
      <c r="N98" s="143"/>
      <c r="O98" s="143"/>
      <c r="P98" s="143"/>
      <c r="Q98" s="143"/>
      <c r="R98" s="143"/>
      <c r="S98" s="144"/>
    </row>
    <row r="99" spans="1:19" ht="97.5" customHeight="1" x14ac:dyDescent="0.2">
      <c r="B99" s="149"/>
      <c r="C99" s="32" t="s">
        <v>77</v>
      </c>
      <c r="D99" s="153" t="s">
        <v>162</v>
      </c>
      <c r="E99" s="153"/>
      <c r="F99" s="153"/>
      <c r="G99" s="153"/>
      <c r="H99" s="153"/>
      <c r="I99" s="153"/>
      <c r="J99" s="153"/>
      <c r="K99" s="153"/>
      <c r="L99" s="153"/>
      <c r="M99" s="153"/>
      <c r="N99" s="153"/>
      <c r="O99" s="153"/>
      <c r="P99" s="153"/>
      <c r="Q99" s="153"/>
      <c r="R99" s="153"/>
      <c r="S99" s="154"/>
    </row>
    <row r="100" spans="1:19" ht="6" customHeight="1" x14ac:dyDescent="0.2"/>
    <row r="101" spans="1:19" ht="18.75" customHeight="1" x14ac:dyDescent="0.2">
      <c r="A101" s="1" t="s">
        <v>121</v>
      </c>
    </row>
    <row r="102" spans="1:19" ht="81.75" customHeight="1" x14ac:dyDescent="0.2">
      <c r="B102" s="122" t="s">
        <v>165</v>
      </c>
      <c r="C102" s="123"/>
      <c r="D102" s="123"/>
      <c r="E102" s="123"/>
      <c r="F102" s="123"/>
      <c r="G102" s="123"/>
      <c r="H102" s="123"/>
      <c r="I102" s="123"/>
      <c r="J102" s="123"/>
      <c r="K102" s="123"/>
      <c r="L102" s="123"/>
      <c r="M102" s="123"/>
      <c r="N102" s="123"/>
      <c r="O102" s="123"/>
      <c r="P102" s="123"/>
      <c r="Q102" s="123"/>
      <c r="R102" s="123"/>
      <c r="S102" s="124"/>
    </row>
    <row r="110" spans="1:19" ht="18" customHeight="1" x14ac:dyDescent="0.2"/>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xr:uid="{00000000-0002-0000-0000-000000000000}">
      <formula1>"○"</formula1>
    </dataValidation>
    <dataValidation type="list" allowBlank="1" showInputMessage="1" showErrorMessage="1" sqref="S32 S43 D32:G32 D43:G43" xr:uid="{00000000-0002-0000-0000-000001000000}">
      <formula1>"全学開講,一部開講"</formula1>
    </dataValidation>
    <dataValidation type="list" allowBlank="1" showInputMessage="1" showErrorMessage="1" sqref="K7 K12" xr:uid="{00000000-0002-0000-0000-000002000000}">
      <formula1>"学部・学科によって、修了要件は相違する,学部・学科によって、修了要件は相違しない"</formula1>
    </dataValidation>
    <dataValidation type="list" allowBlank="1" showInputMessage="1" showErrorMessage="1" sqref="F79:F86 P79:P86 G79:I80 G83:I86 Q83:S86 Q79:S80"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00000000-0002-0000-0000-00000400000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32"/>
  <sheetViews>
    <sheetView view="pageBreakPreview" zoomScale="83" zoomScaleNormal="100" zoomScaleSheetLayoutView="83" workbookViewId="0"/>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67" t="str">
        <f>'様式１　プログラムを構成する授業科目'!C2</f>
        <v>福岡工業大学</v>
      </c>
      <c r="AN2" s="167"/>
      <c r="AO2" s="167"/>
      <c r="AP2" s="167"/>
      <c r="AQ2" s="167"/>
    </row>
    <row r="3" spans="1:45" ht="18" customHeight="1" x14ac:dyDescent="0.2">
      <c r="A3" s="109" t="s">
        <v>48</v>
      </c>
      <c r="B3" s="109"/>
      <c r="C3" s="109"/>
      <c r="D3" s="109"/>
      <c r="E3" s="109"/>
      <c r="F3" s="109"/>
      <c r="G3" s="109"/>
      <c r="H3" s="109"/>
      <c r="I3" s="109"/>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06" t="s">
        <v>133</v>
      </c>
      <c r="D5" s="108"/>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68" t="s">
        <v>45</v>
      </c>
      <c r="C9" s="183" t="s">
        <v>87</v>
      </c>
      <c r="D9" s="171" t="s">
        <v>47</v>
      </c>
      <c r="E9" s="174" t="s">
        <v>40</v>
      </c>
      <c r="F9" s="166" t="s">
        <v>86</v>
      </c>
      <c r="G9" s="166"/>
      <c r="H9" s="166"/>
      <c r="I9" s="166"/>
      <c r="J9" s="166"/>
      <c r="K9" s="166"/>
      <c r="L9" s="166" t="s">
        <v>49</v>
      </c>
      <c r="M9" s="166"/>
      <c r="N9" s="166"/>
      <c r="O9" s="166"/>
      <c r="P9" s="166"/>
      <c r="Q9" s="166"/>
      <c r="R9" s="166" t="s">
        <v>50</v>
      </c>
      <c r="S9" s="166"/>
      <c r="T9" s="166"/>
      <c r="U9" s="166"/>
      <c r="V9" s="166"/>
      <c r="W9" s="166"/>
      <c r="X9" s="166" t="s">
        <v>101</v>
      </c>
      <c r="Y9" s="166"/>
      <c r="Z9" s="166"/>
      <c r="AA9" s="166"/>
      <c r="AB9" s="166"/>
      <c r="AC9" s="166"/>
      <c r="AD9" s="166" t="s">
        <v>51</v>
      </c>
      <c r="AE9" s="166"/>
      <c r="AF9" s="166"/>
      <c r="AG9" s="166"/>
      <c r="AH9" s="166"/>
      <c r="AI9" s="166"/>
      <c r="AJ9" s="166" t="s">
        <v>52</v>
      </c>
      <c r="AK9" s="166"/>
      <c r="AL9" s="166"/>
      <c r="AM9" s="166"/>
      <c r="AN9" s="166"/>
      <c r="AO9" s="166"/>
      <c r="AP9" s="177" t="s">
        <v>35</v>
      </c>
      <c r="AQ9" s="180" t="s">
        <v>32</v>
      </c>
      <c r="AS9" s="2"/>
    </row>
    <row r="10" spans="1:45" ht="16.95" customHeight="1" x14ac:dyDescent="0.2">
      <c r="B10" s="169"/>
      <c r="C10" s="184"/>
      <c r="D10" s="172"/>
      <c r="E10" s="175"/>
      <c r="F10" s="164" t="s">
        <v>97</v>
      </c>
      <c r="G10" s="165"/>
      <c r="H10" s="165"/>
      <c r="I10" s="164" t="s">
        <v>29</v>
      </c>
      <c r="J10" s="165"/>
      <c r="K10" s="165"/>
      <c r="L10" s="164" t="s">
        <v>97</v>
      </c>
      <c r="M10" s="165"/>
      <c r="N10" s="165"/>
      <c r="O10" s="164" t="s">
        <v>29</v>
      </c>
      <c r="P10" s="165"/>
      <c r="Q10" s="165"/>
      <c r="R10" s="164" t="s">
        <v>97</v>
      </c>
      <c r="S10" s="165"/>
      <c r="T10" s="165"/>
      <c r="U10" s="164" t="s">
        <v>29</v>
      </c>
      <c r="V10" s="165"/>
      <c r="W10" s="165"/>
      <c r="X10" s="164" t="s">
        <v>97</v>
      </c>
      <c r="Y10" s="165"/>
      <c r="Z10" s="165"/>
      <c r="AA10" s="164" t="s">
        <v>29</v>
      </c>
      <c r="AB10" s="165"/>
      <c r="AC10" s="165"/>
      <c r="AD10" s="164" t="s">
        <v>97</v>
      </c>
      <c r="AE10" s="165"/>
      <c r="AF10" s="165"/>
      <c r="AG10" s="164" t="s">
        <v>29</v>
      </c>
      <c r="AH10" s="165"/>
      <c r="AI10" s="165"/>
      <c r="AJ10" s="164" t="s">
        <v>97</v>
      </c>
      <c r="AK10" s="165"/>
      <c r="AL10" s="165"/>
      <c r="AM10" s="164" t="s">
        <v>29</v>
      </c>
      <c r="AN10" s="165"/>
      <c r="AO10" s="165"/>
      <c r="AP10" s="178"/>
      <c r="AQ10" s="181"/>
      <c r="AS10" s="2"/>
    </row>
    <row r="11" spans="1:45" ht="18" customHeight="1" x14ac:dyDescent="0.2">
      <c r="B11" s="170"/>
      <c r="C11" s="185"/>
      <c r="D11" s="173"/>
      <c r="E11" s="17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79"/>
      <c r="AQ11" s="182"/>
      <c r="AS11" s="2"/>
    </row>
    <row r="12" spans="1:45" ht="18" customHeight="1" x14ac:dyDescent="0.2">
      <c r="A12" s="6"/>
      <c r="B12" s="11" t="s">
        <v>132</v>
      </c>
      <c r="C12" s="62">
        <v>1734</v>
      </c>
      <c r="D12" s="63">
        <v>380</v>
      </c>
      <c r="E12" s="64">
        <v>1520</v>
      </c>
      <c r="F12" s="64">
        <v>68</v>
      </c>
      <c r="G12" s="65">
        <v>66</v>
      </c>
      <c r="H12" s="66">
        <v>2</v>
      </c>
      <c r="I12" s="64">
        <f>J12+K12</f>
        <v>43</v>
      </c>
      <c r="J12" s="65">
        <v>42</v>
      </c>
      <c r="K12" s="66">
        <v>1</v>
      </c>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68</v>
      </c>
      <c r="AQ12" s="21">
        <f t="shared" ref="AQ12:AQ32" si="0">AP12/E12</f>
        <v>4.4736842105263158E-2</v>
      </c>
    </row>
    <row r="13" spans="1:45" ht="18" customHeight="1" x14ac:dyDescent="0.2">
      <c r="A13" s="6"/>
      <c r="B13" s="12" t="s">
        <v>134</v>
      </c>
      <c r="C13" s="67">
        <v>1715</v>
      </c>
      <c r="D13" s="68">
        <v>375</v>
      </c>
      <c r="E13" s="69">
        <v>1500</v>
      </c>
      <c r="F13" s="70">
        <v>185</v>
      </c>
      <c r="G13" s="71">
        <v>151</v>
      </c>
      <c r="H13" s="72">
        <v>34</v>
      </c>
      <c r="I13" s="70">
        <f t="shared" ref="I13:I31" si="1">J13+K13</f>
        <v>120</v>
      </c>
      <c r="J13" s="71">
        <v>90</v>
      </c>
      <c r="K13" s="72">
        <v>30</v>
      </c>
      <c r="L13" s="70">
        <f t="shared" ref="L13:L31" si="2">M13+N13</f>
        <v>0</v>
      </c>
      <c r="M13" s="71"/>
      <c r="N13" s="72"/>
      <c r="O13" s="70">
        <f t="shared" ref="O13:O31" si="3">P13+Q13</f>
        <v>0</v>
      </c>
      <c r="P13" s="71"/>
      <c r="Q13" s="7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 t="shared" ref="AP13:AP31" si="12">F13+L13+R13+X13+AD13+AJ13</f>
        <v>185</v>
      </c>
      <c r="AQ13" s="20">
        <f t="shared" si="0"/>
        <v>0.12333333333333334</v>
      </c>
    </row>
    <row r="14" spans="1:45" ht="18" customHeight="1" x14ac:dyDescent="0.2">
      <c r="A14" s="6"/>
      <c r="B14" s="12" t="s">
        <v>135</v>
      </c>
      <c r="C14" s="67">
        <v>716</v>
      </c>
      <c r="D14" s="68">
        <v>160</v>
      </c>
      <c r="E14" s="69">
        <v>700</v>
      </c>
      <c r="F14" s="70">
        <v>8</v>
      </c>
      <c r="G14" s="71">
        <v>5</v>
      </c>
      <c r="H14" s="72">
        <v>3</v>
      </c>
      <c r="I14" s="70">
        <f t="shared" si="1"/>
        <v>5</v>
      </c>
      <c r="J14" s="71">
        <v>4</v>
      </c>
      <c r="K14" s="72">
        <v>1</v>
      </c>
      <c r="L14" s="70">
        <f t="shared" si="2"/>
        <v>0</v>
      </c>
      <c r="M14" s="71"/>
      <c r="N14" s="72"/>
      <c r="O14" s="70">
        <f t="shared" si="3"/>
        <v>0</v>
      </c>
      <c r="P14" s="71"/>
      <c r="Q14" s="7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si="12"/>
        <v>8</v>
      </c>
      <c r="AQ14" s="8">
        <f t="shared" si="0"/>
        <v>1.1428571428571429E-2</v>
      </c>
    </row>
    <row r="15" spans="1:45" ht="18" customHeight="1" x14ac:dyDescent="0.2">
      <c r="A15" s="6"/>
      <c r="B15" s="12"/>
      <c r="C15" s="67"/>
      <c r="D15" s="68"/>
      <c r="E15" s="69"/>
      <c r="F15" s="70">
        <f t="shared" ref="F15:F31" si="13">G15+H15</f>
        <v>0</v>
      </c>
      <c r="G15" s="71"/>
      <c r="H15" s="72"/>
      <c r="I15" s="70">
        <f t="shared" si="1"/>
        <v>0</v>
      </c>
      <c r="J15" s="71"/>
      <c r="K15" s="72"/>
      <c r="L15" s="70">
        <f t="shared" si="2"/>
        <v>0</v>
      </c>
      <c r="M15" s="71"/>
      <c r="N15" s="72"/>
      <c r="O15" s="70">
        <f t="shared" si="3"/>
        <v>0</v>
      </c>
      <c r="P15" s="71"/>
      <c r="Q15" s="7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2"/>
        <v>0</v>
      </c>
      <c r="AQ15" s="8" t="e">
        <f t="shared" si="0"/>
        <v>#DIV/0!</v>
      </c>
    </row>
    <row r="16" spans="1:45" ht="18" customHeight="1" x14ac:dyDescent="0.2">
      <c r="A16" s="6"/>
      <c r="B16" s="12"/>
      <c r="C16" s="67"/>
      <c r="D16" s="68"/>
      <c r="E16" s="69"/>
      <c r="F16" s="70">
        <f t="shared" si="13"/>
        <v>0</v>
      </c>
      <c r="G16" s="71"/>
      <c r="H16" s="72"/>
      <c r="I16" s="70">
        <f t="shared" si="1"/>
        <v>0</v>
      </c>
      <c r="J16" s="71"/>
      <c r="K16" s="72"/>
      <c r="L16" s="70">
        <f t="shared" si="2"/>
        <v>0</v>
      </c>
      <c r="M16" s="71"/>
      <c r="N16" s="72"/>
      <c r="O16" s="70">
        <f t="shared" si="3"/>
        <v>0</v>
      </c>
      <c r="P16" s="71"/>
      <c r="Q16" s="7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2"/>
        <v>0</v>
      </c>
      <c r="AQ16" s="8" t="e">
        <f t="shared" si="0"/>
        <v>#DIV/0!</v>
      </c>
    </row>
    <row r="17" spans="1:43" ht="18" customHeight="1" x14ac:dyDescent="0.2">
      <c r="A17" s="6"/>
      <c r="B17" s="12"/>
      <c r="C17" s="67"/>
      <c r="D17" s="68"/>
      <c r="E17" s="69"/>
      <c r="F17" s="70">
        <f t="shared" si="13"/>
        <v>0</v>
      </c>
      <c r="G17" s="71"/>
      <c r="H17" s="72"/>
      <c r="I17" s="70">
        <f t="shared" si="1"/>
        <v>0</v>
      </c>
      <c r="J17" s="71"/>
      <c r="K17" s="72"/>
      <c r="L17" s="70">
        <f t="shared" si="2"/>
        <v>0</v>
      </c>
      <c r="M17" s="71"/>
      <c r="N17" s="72"/>
      <c r="O17" s="70">
        <f t="shared" si="3"/>
        <v>0</v>
      </c>
      <c r="P17" s="71"/>
      <c r="Q17" s="7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2"/>
        <v>0</v>
      </c>
      <c r="AQ17" s="8" t="e">
        <f t="shared" si="0"/>
        <v>#DIV/0!</v>
      </c>
    </row>
    <row r="18" spans="1:43" ht="18" customHeight="1" x14ac:dyDescent="0.2">
      <c r="A18" s="6"/>
      <c r="B18" s="12"/>
      <c r="C18" s="67"/>
      <c r="D18" s="68"/>
      <c r="E18" s="69"/>
      <c r="F18" s="70">
        <f t="shared" si="13"/>
        <v>0</v>
      </c>
      <c r="G18" s="71"/>
      <c r="H18" s="72"/>
      <c r="I18" s="70">
        <f t="shared" si="1"/>
        <v>0</v>
      </c>
      <c r="J18" s="71"/>
      <c r="K18" s="72"/>
      <c r="L18" s="70">
        <f t="shared" si="2"/>
        <v>0</v>
      </c>
      <c r="M18" s="71"/>
      <c r="N18" s="72"/>
      <c r="O18" s="70">
        <f t="shared" si="3"/>
        <v>0</v>
      </c>
      <c r="P18" s="71"/>
      <c r="Q18" s="7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2"/>
        <v>0</v>
      </c>
      <c r="AQ18" s="8" t="e">
        <f t="shared" si="0"/>
        <v>#DIV/0!</v>
      </c>
    </row>
    <row r="19" spans="1:43" ht="18" customHeight="1" x14ac:dyDescent="0.2">
      <c r="A19" s="6"/>
      <c r="B19" s="12"/>
      <c r="C19" s="67"/>
      <c r="D19" s="68"/>
      <c r="E19" s="69"/>
      <c r="F19" s="70">
        <f t="shared" si="13"/>
        <v>0</v>
      </c>
      <c r="G19" s="71"/>
      <c r="H19" s="72"/>
      <c r="I19" s="70">
        <f t="shared" si="1"/>
        <v>0</v>
      </c>
      <c r="J19" s="71"/>
      <c r="K19" s="72"/>
      <c r="L19" s="70">
        <f t="shared" si="2"/>
        <v>0</v>
      </c>
      <c r="M19" s="71"/>
      <c r="N19" s="72"/>
      <c r="O19" s="70">
        <f t="shared" si="3"/>
        <v>0</v>
      </c>
      <c r="P19" s="71"/>
      <c r="Q19" s="7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2"/>
        <v>0</v>
      </c>
      <c r="AQ19" s="8" t="e">
        <f t="shared" si="0"/>
        <v>#DIV/0!</v>
      </c>
    </row>
    <row r="20" spans="1:43" ht="18" customHeight="1" x14ac:dyDescent="0.2">
      <c r="A20" s="6"/>
      <c r="B20" s="12"/>
      <c r="C20" s="67"/>
      <c r="D20" s="68"/>
      <c r="E20" s="69"/>
      <c r="F20" s="70">
        <f t="shared" si="13"/>
        <v>0</v>
      </c>
      <c r="G20" s="71"/>
      <c r="H20" s="72"/>
      <c r="I20" s="70">
        <f t="shared" si="1"/>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2"/>
        <v>0</v>
      </c>
      <c r="AQ20" s="8" t="e">
        <f t="shared" si="0"/>
        <v>#DIV/0!</v>
      </c>
    </row>
    <row r="21" spans="1:43" ht="18" customHeight="1" x14ac:dyDescent="0.2">
      <c r="A21" s="6"/>
      <c r="B21" s="12"/>
      <c r="C21" s="67"/>
      <c r="D21" s="68"/>
      <c r="E21" s="69"/>
      <c r="F21" s="70">
        <f t="shared" si="13"/>
        <v>0</v>
      </c>
      <c r="G21" s="71"/>
      <c r="H21" s="72"/>
      <c r="I21" s="70">
        <f t="shared" si="1"/>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2"/>
        <v>0</v>
      </c>
      <c r="AQ21" s="8" t="e">
        <f t="shared" si="0"/>
        <v>#DIV/0!</v>
      </c>
    </row>
    <row r="22" spans="1:43" ht="18" customHeight="1" x14ac:dyDescent="0.2">
      <c r="A22" s="6"/>
      <c r="B22" s="12"/>
      <c r="C22" s="67"/>
      <c r="D22" s="68"/>
      <c r="E22" s="69"/>
      <c r="F22" s="70">
        <f t="shared" si="13"/>
        <v>0</v>
      </c>
      <c r="G22" s="71"/>
      <c r="H22" s="72"/>
      <c r="I22" s="70">
        <f t="shared" si="1"/>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2"/>
        <v>0</v>
      </c>
      <c r="AQ22" s="8" t="e">
        <f t="shared" si="0"/>
        <v>#DIV/0!</v>
      </c>
    </row>
    <row r="23" spans="1:43" ht="18" customHeight="1" x14ac:dyDescent="0.2">
      <c r="A23" s="6"/>
      <c r="B23" s="12"/>
      <c r="C23" s="67"/>
      <c r="D23" s="68"/>
      <c r="E23" s="69"/>
      <c r="F23" s="70">
        <f t="shared" si="13"/>
        <v>0</v>
      </c>
      <c r="G23" s="71"/>
      <c r="H23" s="72"/>
      <c r="I23" s="70">
        <f t="shared" si="1"/>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2"/>
        <v>0</v>
      </c>
      <c r="AQ23" s="8" t="e">
        <f t="shared" si="0"/>
        <v>#DIV/0!</v>
      </c>
    </row>
    <row r="24" spans="1:43" ht="18" customHeight="1" x14ac:dyDescent="0.2">
      <c r="A24" s="6"/>
      <c r="B24" s="12"/>
      <c r="C24" s="67"/>
      <c r="D24" s="68"/>
      <c r="E24" s="69"/>
      <c r="F24" s="70">
        <f t="shared" si="13"/>
        <v>0</v>
      </c>
      <c r="G24" s="71"/>
      <c r="H24" s="72"/>
      <c r="I24" s="70">
        <f t="shared" si="1"/>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2"/>
        <v>0</v>
      </c>
      <c r="AQ24" s="8" t="e">
        <f t="shared" si="0"/>
        <v>#DIV/0!</v>
      </c>
    </row>
    <row r="25" spans="1:43" ht="18" customHeight="1" x14ac:dyDescent="0.2">
      <c r="A25" s="6"/>
      <c r="B25" s="12"/>
      <c r="C25" s="67"/>
      <c r="D25" s="68"/>
      <c r="E25" s="69"/>
      <c r="F25" s="70">
        <f t="shared" si="13"/>
        <v>0</v>
      </c>
      <c r="G25" s="71"/>
      <c r="H25" s="72"/>
      <c r="I25" s="70">
        <f t="shared" si="1"/>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2"/>
        <v>0</v>
      </c>
      <c r="AQ25" s="8" t="e">
        <f t="shared" si="0"/>
        <v>#DIV/0!</v>
      </c>
    </row>
    <row r="26" spans="1:43" ht="18" customHeight="1" x14ac:dyDescent="0.2">
      <c r="A26" s="6"/>
      <c r="B26" s="12"/>
      <c r="C26" s="67"/>
      <c r="D26" s="68"/>
      <c r="E26" s="69"/>
      <c r="F26" s="70">
        <f t="shared" si="13"/>
        <v>0</v>
      </c>
      <c r="G26" s="71"/>
      <c r="H26" s="72"/>
      <c r="I26" s="70">
        <f t="shared" si="1"/>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2"/>
        <v>0</v>
      </c>
      <c r="AQ26" s="8" t="e">
        <f t="shared" si="0"/>
        <v>#DIV/0!</v>
      </c>
    </row>
    <row r="27" spans="1:43" ht="18" customHeight="1" x14ac:dyDescent="0.2">
      <c r="A27" s="6"/>
      <c r="B27" s="12"/>
      <c r="C27" s="67"/>
      <c r="D27" s="68"/>
      <c r="E27" s="69"/>
      <c r="F27" s="70">
        <f t="shared" si="13"/>
        <v>0</v>
      </c>
      <c r="G27" s="71"/>
      <c r="H27" s="72"/>
      <c r="I27" s="70">
        <f t="shared" si="1"/>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2"/>
        <v>0</v>
      </c>
      <c r="AQ27" s="8" t="e">
        <f t="shared" si="0"/>
        <v>#DIV/0!</v>
      </c>
    </row>
    <row r="28" spans="1:43" ht="18" customHeight="1" x14ac:dyDescent="0.2">
      <c r="A28" s="6"/>
      <c r="B28" s="12"/>
      <c r="C28" s="67"/>
      <c r="D28" s="68"/>
      <c r="E28" s="69"/>
      <c r="F28" s="70">
        <f t="shared" si="13"/>
        <v>0</v>
      </c>
      <c r="G28" s="71"/>
      <c r="H28" s="72"/>
      <c r="I28" s="70">
        <f t="shared" si="1"/>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2"/>
        <v>0</v>
      </c>
      <c r="AQ28" s="8" t="e">
        <f t="shared" si="0"/>
        <v>#DIV/0!</v>
      </c>
    </row>
    <row r="29" spans="1:43" ht="18" customHeight="1" x14ac:dyDescent="0.2">
      <c r="A29" s="6"/>
      <c r="B29" s="12"/>
      <c r="C29" s="67"/>
      <c r="D29" s="73"/>
      <c r="E29" s="69"/>
      <c r="F29" s="70">
        <f t="shared" si="13"/>
        <v>0</v>
      </c>
      <c r="G29" s="71"/>
      <c r="H29" s="72"/>
      <c r="I29" s="70">
        <f t="shared" si="1"/>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2"/>
        <v>0</v>
      </c>
      <c r="AQ29" s="8" t="e">
        <f t="shared" si="0"/>
        <v>#DIV/0!</v>
      </c>
    </row>
    <row r="30" spans="1:43" ht="18" customHeight="1" x14ac:dyDescent="0.2">
      <c r="A30" s="6"/>
      <c r="B30" s="12"/>
      <c r="C30" s="67"/>
      <c r="D30" s="73"/>
      <c r="E30" s="69"/>
      <c r="F30" s="70">
        <f t="shared" si="13"/>
        <v>0</v>
      </c>
      <c r="G30" s="71"/>
      <c r="H30" s="72"/>
      <c r="I30" s="70">
        <f t="shared" si="1"/>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2"/>
        <v>0</v>
      </c>
      <c r="AQ30" s="8" t="e">
        <f t="shared" si="0"/>
        <v>#DIV/0!</v>
      </c>
    </row>
    <row r="31" spans="1:43" ht="18" customHeight="1" thickBot="1" x14ac:dyDescent="0.25">
      <c r="A31" s="6"/>
      <c r="B31" s="13"/>
      <c r="C31" s="62"/>
      <c r="D31" s="74"/>
      <c r="E31" s="64"/>
      <c r="F31" s="64">
        <f t="shared" si="13"/>
        <v>0</v>
      </c>
      <c r="G31" s="75"/>
      <c r="H31" s="76"/>
      <c r="I31" s="64">
        <f t="shared" si="1"/>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2"/>
        <v>0</v>
      </c>
      <c r="AQ31" s="7" t="e">
        <f t="shared" si="0"/>
        <v>#DIV/0!</v>
      </c>
    </row>
    <row r="32" spans="1:43" ht="18" customHeight="1" thickTop="1" x14ac:dyDescent="0.2">
      <c r="B32" s="14" t="s">
        <v>33</v>
      </c>
      <c r="C32" s="77">
        <f t="shared" ref="C32" si="14">SUM(C12:C31)</f>
        <v>4165</v>
      </c>
      <c r="D32" s="78">
        <f t="shared" ref="D32:AP32" si="15">SUM(D12:D31)</f>
        <v>915</v>
      </c>
      <c r="E32" s="79">
        <f t="shared" si="15"/>
        <v>3720</v>
      </c>
      <c r="F32" s="79">
        <f t="shared" si="15"/>
        <v>261</v>
      </c>
      <c r="G32" s="80">
        <f t="shared" si="15"/>
        <v>222</v>
      </c>
      <c r="H32" s="81">
        <f t="shared" si="15"/>
        <v>39</v>
      </c>
      <c r="I32" s="79">
        <f t="shared" ref="I32:N32" si="16">SUM(I12:I31)</f>
        <v>168</v>
      </c>
      <c r="J32" s="80">
        <f t="shared" si="16"/>
        <v>136</v>
      </c>
      <c r="K32" s="81">
        <f t="shared" si="16"/>
        <v>32</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261</v>
      </c>
      <c r="AQ32" s="9">
        <f t="shared" si="0"/>
        <v>7.0161290322580644E-2</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95" t="str">
        <f>'様式１　プログラムを構成する授業科目'!C2</f>
        <v>福岡工業大学</v>
      </c>
      <c r="I2" s="97"/>
    </row>
    <row r="3" spans="1:9" ht="18.75" customHeight="1" x14ac:dyDescent="0.2">
      <c r="G3" s="35"/>
      <c r="H3" s="10"/>
      <c r="I3" s="10"/>
    </row>
    <row r="4" spans="1:9" ht="18.600000000000001" customHeight="1" x14ac:dyDescent="0.2">
      <c r="A4" s="109" t="s">
        <v>36</v>
      </c>
      <c r="B4" s="109"/>
      <c r="C4" s="109"/>
      <c r="D4" s="109"/>
      <c r="E4" s="109"/>
      <c r="F4" s="109"/>
      <c r="G4" s="109"/>
      <c r="H4" s="109"/>
      <c r="I4" s="109"/>
    </row>
    <row r="5" spans="1:9" ht="13.2" customHeight="1" x14ac:dyDescent="0.2">
      <c r="B5" s="3"/>
      <c r="C5" s="3"/>
      <c r="D5" s="3"/>
      <c r="E5" s="3"/>
      <c r="F5" s="3"/>
      <c r="G5" s="3"/>
      <c r="H5" s="3"/>
      <c r="I5" s="3"/>
    </row>
    <row r="6" spans="1:9" ht="18" customHeight="1" x14ac:dyDescent="0.2">
      <c r="A6" s="1" t="s">
        <v>0</v>
      </c>
      <c r="B6" s="10" t="s">
        <v>91</v>
      </c>
      <c r="C6" s="238" t="s">
        <v>92</v>
      </c>
      <c r="D6" s="238"/>
      <c r="E6" s="34">
        <v>143</v>
      </c>
      <c r="F6" s="3" t="s">
        <v>1</v>
      </c>
      <c r="G6" s="3" t="s">
        <v>2</v>
      </c>
      <c r="H6" s="82">
        <v>120</v>
      </c>
      <c r="I6" s="10" t="s">
        <v>1</v>
      </c>
    </row>
    <row r="7" spans="1:9" ht="12" customHeight="1" x14ac:dyDescent="0.2">
      <c r="C7" s="2"/>
      <c r="D7" s="2"/>
      <c r="E7" s="2"/>
      <c r="F7" s="2"/>
      <c r="G7" s="2"/>
      <c r="H7" s="2"/>
      <c r="I7" s="42"/>
    </row>
    <row r="8" spans="1:9" ht="18" customHeight="1" x14ac:dyDescent="0.2">
      <c r="A8" s="1" t="s">
        <v>3</v>
      </c>
      <c r="B8" s="10" t="s">
        <v>93</v>
      </c>
      <c r="E8" s="3"/>
      <c r="F8" s="3"/>
      <c r="G8" s="3"/>
      <c r="H8" s="34">
        <v>1</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31" t="s">
        <v>137</v>
      </c>
      <c r="D11" s="234"/>
      <c r="E11" s="235"/>
      <c r="F11" s="42"/>
      <c r="G11" s="35" t="s">
        <v>10</v>
      </c>
      <c r="H11" s="231" t="s">
        <v>138</v>
      </c>
      <c r="I11" s="235"/>
    </row>
    <row r="12" spans="1:9" ht="10.199999999999999"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31" t="s">
        <v>147</v>
      </c>
      <c r="C14" s="232"/>
      <c r="D14" s="232"/>
      <c r="E14" s="232"/>
      <c r="F14" s="232"/>
      <c r="G14" s="232"/>
      <c r="H14" s="232"/>
      <c r="I14" s="233"/>
    </row>
    <row r="15" spans="1:9" ht="9" customHeight="1" x14ac:dyDescent="0.2">
      <c r="B15" s="3"/>
      <c r="C15" s="3"/>
      <c r="D15" s="3"/>
      <c r="E15" s="3"/>
      <c r="F15" s="3"/>
      <c r="G15" s="3"/>
      <c r="H15" s="3"/>
      <c r="I15" s="3"/>
    </row>
    <row r="16" spans="1:9" ht="18" customHeight="1" x14ac:dyDescent="0.2">
      <c r="B16" s="35" t="s">
        <v>43</v>
      </c>
      <c r="C16" s="231" t="s">
        <v>148</v>
      </c>
      <c r="D16" s="234"/>
      <c r="E16" s="235"/>
      <c r="F16" s="42"/>
      <c r="G16" s="35" t="s">
        <v>10</v>
      </c>
      <c r="H16" s="236" t="s">
        <v>149</v>
      </c>
      <c r="I16" s="237"/>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23" t="s">
        <v>166</v>
      </c>
      <c r="C19" s="224"/>
      <c r="D19" s="224"/>
      <c r="E19" s="224"/>
      <c r="F19" s="224"/>
      <c r="G19" s="224"/>
      <c r="H19" s="224"/>
      <c r="I19" s="225"/>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213" t="s">
        <v>151</v>
      </c>
      <c r="C22" s="214"/>
      <c r="D22" s="214"/>
      <c r="E22" s="214"/>
      <c r="F22" s="214"/>
      <c r="G22" s="214"/>
      <c r="H22" s="214"/>
      <c r="I22" s="215"/>
    </row>
    <row r="23" spans="1:9" ht="18.75" customHeight="1" x14ac:dyDescent="0.2">
      <c r="A23" s="15"/>
      <c r="B23" s="226"/>
      <c r="C23" s="227"/>
      <c r="D23" s="227"/>
      <c r="E23" s="227"/>
      <c r="F23" s="227"/>
      <c r="G23" s="227"/>
      <c r="H23" s="227"/>
      <c r="I23" s="218"/>
    </row>
    <row r="24" spans="1:9" ht="18.75" customHeight="1" x14ac:dyDescent="0.2">
      <c r="A24" s="15"/>
      <c r="B24" s="226"/>
      <c r="C24" s="227"/>
      <c r="D24" s="227"/>
      <c r="E24" s="227"/>
      <c r="F24" s="227"/>
      <c r="G24" s="227"/>
      <c r="H24" s="227"/>
      <c r="I24" s="218"/>
    </row>
    <row r="25" spans="1:9" ht="18.75" customHeight="1" x14ac:dyDescent="0.2">
      <c r="A25" s="15"/>
      <c r="B25" s="226"/>
      <c r="C25" s="227"/>
      <c r="D25" s="227"/>
      <c r="E25" s="227"/>
      <c r="F25" s="227"/>
      <c r="G25" s="227"/>
      <c r="H25" s="227"/>
      <c r="I25" s="218"/>
    </row>
    <row r="26" spans="1:9" ht="18.75" customHeight="1" x14ac:dyDescent="0.2">
      <c r="A26" s="15"/>
      <c r="B26" s="226"/>
      <c r="C26" s="227"/>
      <c r="D26" s="227"/>
      <c r="E26" s="227"/>
      <c r="F26" s="227"/>
      <c r="G26" s="227"/>
      <c r="H26" s="227"/>
      <c r="I26" s="218"/>
    </row>
    <row r="27" spans="1:9" ht="18.75" customHeight="1" x14ac:dyDescent="0.2">
      <c r="A27" s="15"/>
      <c r="B27" s="226"/>
      <c r="C27" s="227"/>
      <c r="D27" s="227"/>
      <c r="E27" s="227"/>
      <c r="F27" s="227"/>
      <c r="G27" s="227"/>
      <c r="H27" s="227"/>
      <c r="I27" s="218"/>
    </row>
    <row r="28" spans="1:9" ht="18.75" customHeight="1" x14ac:dyDescent="0.2">
      <c r="A28" s="15"/>
      <c r="B28" s="226"/>
      <c r="C28" s="227"/>
      <c r="D28" s="227"/>
      <c r="E28" s="227"/>
      <c r="F28" s="227"/>
      <c r="G28" s="227"/>
      <c r="H28" s="227"/>
      <c r="I28" s="218"/>
    </row>
    <row r="29" spans="1:9" ht="18.75" customHeight="1" x14ac:dyDescent="0.2">
      <c r="A29" s="15"/>
      <c r="B29" s="226"/>
      <c r="C29" s="227"/>
      <c r="D29" s="227"/>
      <c r="E29" s="227"/>
      <c r="F29" s="227"/>
      <c r="G29" s="227"/>
      <c r="H29" s="227"/>
      <c r="I29" s="218"/>
    </row>
    <row r="30" spans="1:9" ht="18.75" customHeight="1" x14ac:dyDescent="0.2">
      <c r="A30" s="15"/>
      <c r="B30" s="216"/>
      <c r="C30" s="217"/>
      <c r="D30" s="217"/>
      <c r="E30" s="217"/>
      <c r="F30" s="217"/>
      <c r="G30" s="217"/>
      <c r="H30" s="217"/>
      <c r="I30" s="218"/>
    </row>
    <row r="31" spans="1:9" ht="18.75" customHeight="1" x14ac:dyDescent="0.2">
      <c r="A31" s="15"/>
      <c r="B31" s="216"/>
      <c r="C31" s="217"/>
      <c r="D31" s="217"/>
      <c r="E31" s="217"/>
      <c r="F31" s="217"/>
      <c r="G31" s="217"/>
      <c r="H31" s="217"/>
      <c r="I31" s="218"/>
    </row>
    <row r="32" spans="1:9" ht="18.75" customHeight="1" x14ac:dyDescent="0.2">
      <c r="A32" s="15"/>
      <c r="B32" s="219"/>
      <c r="C32" s="220"/>
      <c r="D32" s="220"/>
      <c r="E32" s="220"/>
      <c r="F32" s="220"/>
      <c r="G32" s="220"/>
      <c r="H32" s="220"/>
      <c r="I32" s="221"/>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213" t="s">
        <v>150</v>
      </c>
      <c r="C35" s="214"/>
      <c r="D35" s="214"/>
      <c r="E35" s="214"/>
      <c r="F35" s="214"/>
      <c r="G35" s="214"/>
      <c r="H35" s="214"/>
      <c r="I35" s="215"/>
    </row>
    <row r="36" spans="1:9" ht="18.75" customHeight="1" x14ac:dyDescent="0.2">
      <c r="A36" s="15"/>
      <c r="B36" s="216"/>
      <c r="C36" s="217"/>
      <c r="D36" s="217"/>
      <c r="E36" s="217"/>
      <c r="F36" s="217"/>
      <c r="G36" s="217"/>
      <c r="H36" s="217"/>
      <c r="I36" s="218"/>
    </row>
    <row r="37" spans="1:9" ht="18.75" customHeight="1" x14ac:dyDescent="0.2">
      <c r="A37" s="15"/>
      <c r="B37" s="216"/>
      <c r="C37" s="217"/>
      <c r="D37" s="217"/>
      <c r="E37" s="217"/>
      <c r="F37" s="217"/>
      <c r="G37" s="217"/>
      <c r="H37" s="217"/>
      <c r="I37" s="218"/>
    </row>
    <row r="38" spans="1:9" ht="18.75" customHeight="1" x14ac:dyDescent="0.2">
      <c r="A38" s="15"/>
      <c r="B38" s="216"/>
      <c r="C38" s="217"/>
      <c r="D38" s="217"/>
      <c r="E38" s="217"/>
      <c r="F38" s="217"/>
      <c r="G38" s="217"/>
      <c r="H38" s="217"/>
      <c r="I38" s="218"/>
    </row>
    <row r="39" spans="1:9" ht="18.75" customHeight="1" x14ac:dyDescent="0.2">
      <c r="A39" s="15"/>
      <c r="B39" s="216"/>
      <c r="C39" s="217"/>
      <c r="D39" s="217"/>
      <c r="E39" s="217"/>
      <c r="F39" s="217"/>
      <c r="G39" s="217"/>
      <c r="H39" s="217"/>
      <c r="I39" s="218"/>
    </row>
    <row r="40" spans="1:9" ht="18.75" customHeight="1" x14ac:dyDescent="0.2">
      <c r="A40" s="15"/>
      <c r="B40" s="216"/>
      <c r="C40" s="217"/>
      <c r="D40" s="217"/>
      <c r="E40" s="217"/>
      <c r="F40" s="217"/>
      <c r="G40" s="217"/>
      <c r="H40" s="217"/>
      <c r="I40" s="218"/>
    </row>
    <row r="41" spans="1:9" ht="18.75" customHeight="1" x14ac:dyDescent="0.2">
      <c r="A41" s="15"/>
      <c r="B41" s="216"/>
      <c r="C41" s="217"/>
      <c r="D41" s="217"/>
      <c r="E41" s="217"/>
      <c r="F41" s="217"/>
      <c r="G41" s="217"/>
      <c r="H41" s="217"/>
      <c r="I41" s="218"/>
    </row>
    <row r="42" spans="1:9" ht="18.75" customHeight="1" x14ac:dyDescent="0.2">
      <c r="A42" s="15"/>
      <c r="B42" s="216"/>
      <c r="C42" s="217"/>
      <c r="D42" s="217"/>
      <c r="E42" s="217"/>
      <c r="F42" s="217"/>
      <c r="G42" s="217"/>
      <c r="H42" s="217"/>
      <c r="I42" s="218"/>
    </row>
    <row r="43" spans="1:9" ht="18.75" customHeight="1" x14ac:dyDescent="0.2">
      <c r="A43" s="15"/>
      <c r="B43" s="216"/>
      <c r="C43" s="217"/>
      <c r="D43" s="217"/>
      <c r="E43" s="217"/>
      <c r="F43" s="217"/>
      <c r="G43" s="217"/>
      <c r="H43" s="217"/>
      <c r="I43" s="218"/>
    </row>
    <row r="44" spans="1:9" ht="18.75" customHeight="1" x14ac:dyDescent="0.2">
      <c r="A44" s="15"/>
      <c r="B44" s="216"/>
      <c r="C44" s="217"/>
      <c r="D44" s="217"/>
      <c r="E44" s="217"/>
      <c r="F44" s="217"/>
      <c r="G44" s="217"/>
      <c r="H44" s="217"/>
      <c r="I44" s="218"/>
    </row>
    <row r="45" spans="1:9" ht="18.75" customHeight="1" x14ac:dyDescent="0.2">
      <c r="A45" s="15"/>
      <c r="B45" s="216"/>
      <c r="C45" s="217"/>
      <c r="D45" s="217"/>
      <c r="E45" s="217"/>
      <c r="F45" s="217"/>
      <c r="G45" s="217"/>
      <c r="H45" s="217"/>
      <c r="I45" s="218"/>
    </row>
    <row r="46" spans="1:9" ht="18.75" customHeight="1" x14ac:dyDescent="0.2">
      <c r="A46" s="15"/>
      <c r="B46" s="219"/>
      <c r="C46" s="220"/>
      <c r="D46" s="220"/>
      <c r="E46" s="220"/>
      <c r="F46" s="220"/>
      <c r="G46" s="220"/>
      <c r="H46" s="220"/>
      <c r="I46" s="221"/>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3" t="s">
        <v>89</v>
      </c>
      <c r="C49" s="202">
        <f>'様式２ 履修者等数の実績'!AQ32</f>
        <v>7.0161290322580644E-2</v>
      </c>
      <c r="D49" s="202"/>
      <c r="E49" s="43" t="s">
        <v>66</v>
      </c>
      <c r="F49" s="202">
        <v>0.1</v>
      </c>
      <c r="G49" s="202"/>
      <c r="H49" s="43" t="s">
        <v>67</v>
      </c>
      <c r="I49" s="44">
        <v>0.12</v>
      </c>
      <c r="J49" s="1"/>
      <c r="M49" s="1"/>
      <c r="N49" s="45"/>
    </row>
    <row r="50" spans="1:15" s="3" customFormat="1" ht="18.75" customHeight="1" x14ac:dyDescent="0.2">
      <c r="B50" s="46" t="s">
        <v>68</v>
      </c>
      <c r="C50" s="203">
        <v>0.15</v>
      </c>
      <c r="D50" s="203"/>
      <c r="E50" s="46" t="s">
        <v>90</v>
      </c>
      <c r="F50" s="203">
        <v>0.2</v>
      </c>
      <c r="G50" s="203"/>
      <c r="H50" s="46" t="s">
        <v>69</v>
      </c>
      <c r="I50" s="47">
        <f>'様式２ 履修者等数の実績'!E32</f>
        <v>3720</v>
      </c>
      <c r="J50" s="1"/>
      <c r="M50" s="1"/>
      <c r="N50" s="45"/>
    </row>
    <row r="51" spans="1:15" ht="18.75" customHeight="1" x14ac:dyDescent="0.2">
      <c r="A51" s="1"/>
      <c r="B51" s="228" t="s">
        <v>70</v>
      </c>
      <c r="C51" s="229"/>
      <c r="D51" s="229"/>
      <c r="E51" s="229"/>
      <c r="F51" s="229"/>
      <c r="G51" s="229"/>
      <c r="H51" s="229"/>
      <c r="I51" s="230"/>
      <c r="N51" s="45"/>
      <c r="O51" s="3"/>
    </row>
    <row r="52" spans="1:15" ht="18.75" customHeight="1" x14ac:dyDescent="0.2">
      <c r="A52" s="1"/>
      <c r="B52" s="204" t="s">
        <v>154</v>
      </c>
      <c r="C52" s="205"/>
      <c r="D52" s="205"/>
      <c r="E52" s="205"/>
      <c r="F52" s="205"/>
      <c r="G52" s="205"/>
      <c r="H52" s="205"/>
      <c r="I52" s="206"/>
      <c r="N52" s="45"/>
      <c r="O52" s="3"/>
    </row>
    <row r="53" spans="1:15" ht="18.75" customHeight="1" x14ac:dyDescent="0.2">
      <c r="A53" s="1"/>
      <c r="B53" s="207"/>
      <c r="C53" s="208"/>
      <c r="D53" s="208"/>
      <c r="E53" s="208"/>
      <c r="F53" s="208"/>
      <c r="G53" s="208"/>
      <c r="H53" s="208"/>
      <c r="I53" s="209"/>
      <c r="N53" s="45"/>
      <c r="O53" s="3"/>
    </row>
    <row r="54" spans="1:15" ht="18.75" customHeight="1" x14ac:dyDescent="0.2">
      <c r="A54" s="1"/>
      <c r="B54" s="207"/>
      <c r="C54" s="208"/>
      <c r="D54" s="208"/>
      <c r="E54" s="208"/>
      <c r="F54" s="208"/>
      <c r="G54" s="208"/>
      <c r="H54" s="208"/>
      <c r="I54" s="209"/>
    </row>
    <row r="55" spans="1:15" ht="18.75" customHeight="1" x14ac:dyDescent="0.2">
      <c r="A55" s="1"/>
      <c r="B55" s="207"/>
      <c r="C55" s="208"/>
      <c r="D55" s="208"/>
      <c r="E55" s="208"/>
      <c r="F55" s="208"/>
      <c r="G55" s="208"/>
      <c r="H55" s="208"/>
      <c r="I55" s="209"/>
    </row>
    <row r="56" spans="1:15" ht="18.75" customHeight="1" x14ac:dyDescent="0.2">
      <c r="A56" s="1"/>
      <c r="B56" s="207"/>
      <c r="C56" s="208"/>
      <c r="D56" s="208"/>
      <c r="E56" s="208"/>
      <c r="F56" s="208"/>
      <c r="G56" s="208"/>
      <c r="H56" s="208"/>
      <c r="I56" s="209"/>
    </row>
    <row r="57" spans="1:15" ht="18.75" customHeight="1" x14ac:dyDescent="0.2">
      <c r="A57" s="1"/>
      <c r="B57" s="207"/>
      <c r="C57" s="208"/>
      <c r="D57" s="208"/>
      <c r="E57" s="208"/>
      <c r="F57" s="208"/>
      <c r="G57" s="208"/>
      <c r="H57" s="208"/>
      <c r="I57" s="209"/>
    </row>
    <row r="58" spans="1:15" ht="18.75" customHeight="1" x14ac:dyDescent="0.2">
      <c r="A58" s="1"/>
      <c r="B58" s="207"/>
      <c r="C58" s="208"/>
      <c r="D58" s="208"/>
      <c r="E58" s="208"/>
      <c r="F58" s="208"/>
      <c r="G58" s="208"/>
      <c r="H58" s="208"/>
      <c r="I58" s="209"/>
    </row>
    <row r="59" spans="1:15" ht="18.75" customHeight="1" x14ac:dyDescent="0.2">
      <c r="A59" s="1"/>
      <c r="B59" s="207"/>
      <c r="C59" s="208"/>
      <c r="D59" s="208"/>
      <c r="E59" s="208"/>
      <c r="F59" s="208"/>
      <c r="G59" s="208"/>
      <c r="H59" s="208"/>
      <c r="I59" s="209"/>
    </row>
    <row r="60" spans="1:15" ht="18.75" customHeight="1" x14ac:dyDescent="0.2">
      <c r="A60" s="1"/>
      <c r="B60" s="207"/>
      <c r="C60" s="208"/>
      <c r="D60" s="208"/>
      <c r="E60" s="208"/>
      <c r="F60" s="208"/>
      <c r="G60" s="208"/>
      <c r="H60" s="208"/>
      <c r="I60" s="209"/>
    </row>
    <row r="61" spans="1:15" ht="18.75" customHeight="1" x14ac:dyDescent="0.2">
      <c r="A61" s="1"/>
      <c r="B61" s="207"/>
      <c r="C61" s="208"/>
      <c r="D61" s="208"/>
      <c r="E61" s="208"/>
      <c r="F61" s="208"/>
      <c r="G61" s="208"/>
      <c r="H61" s="208"/>
      <c r="I61" s="209"/>
    </row>
    <row r="62" spans="1:15" ht="18.75" customHeight="1" x14ac:dyDescent="0.2">
      <c r="A62" s="1"/>
      <c r="B62" s="207"/>
      <c r="C62" s="208"/>
      <c r="D62" s="208"/>
      <c r="E62" s="208"/>
      <c r="F62" s="208"/>
      <c r="G62" s="208"/>
      <c r="H62" s="208"/>
      <c r="I62" s="209"/>
    </row>
    <row r="63" spans="1:15" ht="18.75" customHeight="1" x14ac:dyDescent="0.2">
      <c r="A63" s="1"/>
      <c r="B63" s="210"/>
      <c r="C63" s="211"/>
      <c r="D63" s="211"/>
      <c r="E63" s="211"/>
      <c r="F63" s="211"/>
      <c r="G63" s="211"/>
      <c r="H63" s="211"/>
      <c r="I63" s="212"/>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186" t="s">
        <v>152</v>
      </c>
      <c r="C66" s="187"/>
      <c r="D66" s="187"/>
      <c r="E66" s="187"/>
      <c r="F66" s="187"/>
      <c r="G66" s="187"/>
      <c r="H66" s="187"/>
      <c r="I66" s="188"/>
    </row>
    <row r="67" spans="1:9" ht="18.75" customHeight="1" x14ac:dyDescent="0.2">
      <c r="A67" s="4"/>
      <c r="B67" s="189"/>
      <c r="C67" s="190"/>
      <c r="D67" s="190"/>
      <c r="E67" s="190"/>
      <c r="F67" s="190"/>
      <c r="G67" s="190"/>
      <c r="H67" s="190"/>
      <c r="I67" s="191"/>
    </row>
    <row r="68" spans="1:9" ht="18.75" customHeight="1" x14ac:dyDescent="0.2">
      <c r="A68" s="4"/>
      <c r="B68" s="189"/>
      <c r="C68" s="190"/>
      <c r="D68" s="190"/>
      <c r="E68" s="190"/>
      <c r="F68" s="190"/>
      <c r="G68" s="190"/>
      <c r="H68" s="190"/>
      <c r="I68" s="191"/>
    </row>
    <row r="69" spans="1:9" ht="18.75" customHeight="1" x14ac:dyDescent="0.2">
      <c r="A69" s="4"/>
      <c r="B69" s="189"/>
      <c r="C69" s="190"/>
      <c r="D69" s="190"/>
      <c r="E69" s="190"/>
      <c r="F69" s="190"/>
      <c r="G69" s="190"/>
      <c r="H69" s="190"/>
      <c r="I69" s="191"/>
    </row>
    <row r="70" spans="1:9" ht="18.75" customHeight="1" x14ac:dyDescent="0.2">
      <c r="A70" s="4"/>
      <c r="B70" s="189"/>
      <c r="C70" s="190"/>
      <c r="D70" s="190"/>
      <c r="E70" s="190"/>
      <c r="F70" s="190"/>
      <c r="G70" s="190"/>
      <c r="H70" s="190"/>
      <c r="I70" s="191"/>
    </row>
    <row r="71" spans="1:9" ht="18.75" customHeight="1" x14ac:dyDescent="0.2">
      <c r="A71" s="4"/>
      <c r="B71" s="189"/>
      <c r="C71" s="190"/>
      <c r="D71" s="190"/>
      <c r="E71" s="190"/>
      <c r="F71" s="190"/>
      <c r="G71" s="190"/>
      <c r="H71" s="190"/>
      <c r="I71" s="191"/>
    </row>
    <row r="72" spans="1:9" ht="18.75" customHeight="1" x14ac:dyDescent="0.2">
      <c r="A72" s="4"/>
      <c r="B72" s="189"/>
      <c r="C72" s="190"/>
      <c r="D72" s="190"/>
      <c r="E72" s="190"/>
      <c r="F72" s="190"/>
      <c r="G72" s="190"/>
      <c r="H72" s="190"/>
      <c r="I72" s="191"/>
    </row>
    <row r="73" spans="1:9" ht="18.75" customHeight="1" x14ac:dyDescent="0.2">
      <c r="A73" s="4"/>
      <c r="B73" s="189"/>
      <c r="C73" s="190"/>
      <c r="D73" s="190"/>
      <c r="E73" s="190"/>
      <c r="F73" s="190"/>
      <c r="G73" s="190"/>
      <c r="H73" s="190"/>
      <c r="I73" s="191"/>
    </row>
    <row r="74" spans="1:9" ht="18.75" customHeight="1" x14ac:dyDescent="0.2">
      <c r="A74" s="4"/>
      <c r="B74" s="189"/>
      <c r="C74" s="190"/>
      <c r="D74" s="190"/>
      <c r="E74" s="190"/>
      <c r="F74" s="190"/>
      <c r="G74" s="190"/>
      <c r="H74" s="190"/>
      <c r="I74" s="191"/>
    </row>
    <row r="75" spans="1:9" ht="18.75" customHeight="1" x14ac:dyDescent="0.2">
      <c r="A75" s="4"/>
      <c r="B75" s="189"/>
      <c r="C75" s="190"/>
      <c r="D75" s="190"/>
      <c r="E75" s="190"/>
      <c r="F75" s="190"/>
      <c r="G75" s="190"/>
      <c r="H75" s="190"/>
      <c r="I75" s="191"/>
    </row>
    <row r="76" spans="1:9" ht="18.75" customHeight="1" x14ac:dyDescent="0.2">
      <c r="A76" s="4"/>
      <c r="B76" s="189"/>
      <c r="C76" s="190"/>
      <c r="D76" s="190"/>
      <c r="E76" s="190"/>
      <c r="F76" s="190"/>
      <c r="G76" s="190"/>
      <c r="H76" s="190"/>
      <c r="I76" s="191"/>
    </row>
    <row r="77" spans="1:9" ht="18.75" customHeight="1" x14ac:dyDescent="0.2">
      <c r="A77" s="4"/>
      <c r="B77" s="192"/>
      <c r="C77" s="193"/>
      <c r="D77" s="193"/>
      <c r="E77" s="193"/>
      <c r="F77" s="193"/>
      <c r="G77" s="193"/>
      <c r="H77" s="193"/>
      <c r="I77" s="194"/>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186" t="s">
        <v>155</v>
      </c>
      <c r="C80" s="187"/>
      <c r="D80" s="187"/>
      <c r="E80" s="187"/>
      <c r="F80" s="187"/>
      <c r="G80" s="187"/>
      <c r="H80" s="187"/>
      <c r="I80" s="195"/>
    </row>
    <row r="81" spans="1:9" ht="18.75" customHeight="1" x14ac:dyDescent="0.2">
      <c r="A81" s="1"/>
      <c r="B81" s="196"/>
      <c r="C81" s="197"/>
      <c r="D81" s="197"/>
      <c r="E81" s="197"/>
      <c r="F81" s="197"/>
      <c r="G81" s="197"/>
      <c r="H81" s="197"/>
      <c r="I81" s="198"/>
    </row>
    <row r="82" spans="1:9" ht="18.75" customHeight="1" x14ac:dyDescent="0.2">
      <c r="A82" s="1"/>
      <c r="B82" s="196"/>
      <c r="C82" s="197"/>
      <c r="D82" s="197"/>
      <c r="E82" s="197"/>
      <c r="F82" s="197"/>
      <c r="G82" s="197"/>
      <c r="H82" s="197"/>
      <c r="I82" s="198"/>
    </row>
    <row r="83" spans="1:9" ht="18.75" customHeight="1" x14ac:dyDescent="0.2">
      <c r="A83" s="1"/>
      <c r="B83" s="196"/>
      <c r="C83" s="197"/>
      <c r="D83" s="197"/>
      <c r="E83" s="197"/>
      <c r="F83" s="197"/>
      <c r="G83" s="197"/>
      <c r="H83" s="197"/>
      <c r="I83" s="198"/>
    </row>
    <row r="84" spans="1:9" ht="18.75" customHeight="1" x14ac:dyDescent="0.2">
      <c r="A84" s="1"/>
      <c r="B84" s="196"/>
      <c r="C84" s="197"/>
      <c r="D84" s="197"/>
      <c r="E84" s="197"/>
      <c r="F84" s="197"/>
      <c r="G84" s="197"/>
      <c r="H84" s="197"/>
      <c r="I84" s="198"/>
    </row>
    <row r="85" spans="1:9" ht="18.75" customHeight="1" x14ac:dyDescent="0.2">
      <c r="A85" s="1"/>
      <c r="B85" s="196"/>
      <c r="C85" s="197"/>
      <c r="D85" s="197"/>
      <c r="E85" s="197"/>
      <c r="F85" s="197"/>
      <c r="G85" s="197"/>
      <c r="H85" s="197"/>
      <c r="I85" s="198"/>
    </row>
    <row r="86" spans="1:9" ht="18.75" customHeight="1" x14ac:dyDescent="0.2">
      <c r="A86" s="1"/>
      <c r="B86" s="196"/>
      <c r="C86" s="197"/>
      <c r="D86" s="197"/>
      <c r="E86" s="197"/>
      <c r="F86" s="197"/>
      <c r="G86" s="197"/>
      <c r="H86" s="197"/>
      <c r="I86" s="198"/>
    </row>
    <row r="87" spans="1:9" ht="18.75" customHeight="1" x14ac:dyDescent="0.2">
      <c r="A87" s="1"/>
      <c r="B87" s="196"/>
      <c r="C87" s="197"/>
      <c r="D87" s="197"/>
      <c r="E87" s="197"/>
      <c r="F87" s="197"/>
      <c r="G87" s="197"/>
      <c r="H87" s="197"/>
      <c r="I87" s="198"/>
    </row>
    <row r="88" spans="1:9" ht="18.75" customHeight="1" x14ac:dyDescent="0.2">
      <c r="A88" s="1"/>
      <c r="B88" s="196"/>
      <c r="C88" s="197"/>
      <c r="D88" s="197"/>
      <c r="E88" s="197"/>
      <c r="F88" s="197"/>
      <c r="G88" s="197"/>
      <c r="H88" s="197"/>
      <c r="I88" s="198"/>
    </row>
    <row r="89" spans="1:9" ht="18.75" customHeight="1" x14ac:dyDescent="0.2">
      <c r="A89" s="1"/>
      <c r="B89" s="196"/>
      <c r="C89" s="197"/>
      <c r="D89" s="197"/>
      <c r="E89" s="197"/>
      <c r="F89" s="197"/>
      <c r="G89" s="197"/>
      <c r="H89" s="197"/>
      <c r="I89" s="198"/>
    </row>
    <row r="90" spans="1:9" ht="18.75" customHeight="1" x14ac:dyDescent="0.2">
      <c r="A90" s="4"/>
      <c r="B90" s="196"/>
      <c r="C90" s="197"/>
      <c r="D90" s="197"/>
      <c r="E90" s="197"/>
      <c r="F90" s="197"/>
      <c r="G90" s="197"/>
      <c r="H90" s="197"/>
      <c r="I90" s="198"/>
    </row>
    <row r="91" spans="1:9" ht="18.75" customHeight="1" x14ac:dyDescent="0.2">
      <c r="A91" s="4"/>
      <c r="B91" s="199"/>
      <c r="C91" s="200"/>
      <c r="D91" s="200"/>
      <c r="E91" s="200"/>
      <c r="F91" s="200"/>
      <c r="G91" s="200"/>
      <c r="H91" s="200"/>
      <c r="I91" s="201"/>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213" t="s">
        <v>156</v>
      </c>
      <c r="C94" s="214"/>
      <c r="D94" s="214"/>
      <c r="E94" s="214"/>
      <c r="F94" s="214"/>
      <c r="G94" s="214"/>
      <c r="H94" s="214"/>
      <c r="I94" s="215"/>
    </row>
    <row r="95" spans="1:9" ht="18.75" customHeight="1" x14ac:dyDescent="0.2">
      <c r="A95" s="1"/>
      <c r="B95" s="216"/>
      <c r="C95" s="217"/>
      <c r="D95" s="217"/>
      <c r="E95" s="217"/>
      <c r="F95" s="217"/>
      <c r="G95" s="217"/>
      <c r="H95" s="217"/>
      <c r="I95" s="218"/>
    </row>
    <row r="96" spans="1:9" ht="18.75" customHeight="1" x14ac:dyDescent="0.2">
      <c r="A96" s="1"/>
      <c r="B96" s="216"/>
      <c r="C96" s="217"/>
      <c r="D96" s="217"/>
      <c r="E96" s="217"/>
      <c r="F96" s="217"/>
      <c r="G96" s="217"/>
      <c r="H96" s="217"/>
      <c r="I96" s="218"/>
    </row>
    <row r="97" spans="1:9" ht="18.75" customHeight="1" x14ac:dyDescent="0.2">
      <c r="A97" s="1"/>
      <c r="B97" s="216"/>
      <c r="C97" s="217"/>
      <c r="D97" s="217"/>
      <c r="E97" s="217"/>
      <c r="F97" s="217"/>
      <c r="G97" s="217"/>
      <c r="H97" s="217"/>
      <c r="I97" s="218"/>
    </row>
    <row r="98" spans="1:9" ht="18.75" customHeight="1" x14ac:dyDescent="0.2">
      <c r="A98" s="1"/>
      <c r="B98" s="216"/>
      <c r="C98" s="217"/>
      <c r="D98" s="217"/>
      <c r="E98" s="217"/>
      <c r="F98" s="217"/>
      <c r="G98" s="217"/>
      <c r="H98" s="217"/>
      <c r="I98" s="218"/>
    </row>
    <row r="99" spans="1:9" ht="18.75" customHeight="1" x14ac:dyDescent="0.2">
      <c r="A99" s="1"/>
      <c r="B99" s="216"/>
      <c r="C99" s="217"/>
      <c r="D99" s="217"/>
      <c r="E99" s="217"/>
      <c r="F99" s="217"/>
      <c r="G99" s="217"/>
      <c r="H99" s="217"/>
      <c r="I99" s="218"/>
    </row>
    <row r="100" spans="1:9" ht="18.75" customHeight="1" x14ac:dyDescent="0.2">
      <c r="A100" s="1"/>
      <c r="B100" s="216"/>
      <c r="C100" s="217"/>
      <c r="D100" s="217"/>
      <c r="E100" s="217"/>
      <c r="F100" s="217"/>
      <c r="G100" s="217"/>
      <c r="H100" s="217"/>
      <c r="I100" s="218"/>
    </row>
    <row r="101" spans="1:9" ht="18.75" customHeight="1" x14ac:dyDescent="0.2">
      <c r="A101" s="1"/>
      <c r="B101" s="216"/>
      <c r="C101" s="217"/>
      <c r="D101" s="217"/>
      <c r="E101" s="217"/>
      <c r="F101" s="217"/>
      <c r="G101" s="217"/>
      <c r="H101" s="217"/>
      <c r="I101" s="218"/>
    </row>
    <row r="102" spans="1:9" ht="18.75" customHeight="1" x14ac:dyDescent="0.2">
      <c r="A102" s="1"/>
      <c r="B102" s="216"/>
      <c r="C102" s="217"/>
      <c r="D102" s="217"/>
      <c r="E102" s="217"/>
      <c r="F102" s="217"/>
      <c r="G102" s="217"/>
      <c r="H102" s="217"/>
      <c r="I102" s="218"/>
    </row>
    <row r="103" spans="1:9" ht="18.75" customHeight="1" x14ac:dyDescent="0.2">
      <c r="A103" s="1"/>
      <c r="B103" s="216"/>
      <c r="C103" s="217"/>
      <c r="D103" s="217"/>
      <c r="E103" s="217"/>
      <c r="F103" s="217"/>
      <c r="G103" s="217"/>
      <c r="H103" s="217"/>
      <c r="I103" s="218"/>
    </row>
    <row r="104" spans="1:9" ht="18.75" customHeight="1" x14ac:dyDescent="0.2">
      <c r="A104" s="1"/>
      <c r="B104" s="216"/>
      <c r="C104" s="217"/>
      <c r="D104" s="217"/>
      <c r="E104" s="217"/>
      <c r="F104" s="217"/>
      <c r="G104" s="217"/>
      <c r="H104" s="217"/>
      <c r="I104" s="218"/>
    </row>
    <row r="105" spans="1:9" ht="18.75" customHeight="1" x14ac:dyDescent="0.2">
      <c r="A105" s="4"/>
      <c r="B105" s="219"/>
      <c r="C105" s="220"/>
      <c r="D105" s="220"/>
      <c r="E105" s="220"/>
      <c r="F105" s="220"/>
      <c r="G105" s="220"/>
      <c r="H105" s="220"/>
      <c r="I105" s="221"/>
    </row>
    <row r="106" spans="1:9" ht="7.5" customHeight="1" x14ac:dyDescent="0.2">
      <c r="A106" s="4"/>
      <c r="B106" s="4"/>
      <c r="C106" s="4"/>
      <c r="D106" s="4"/>
      <c r="E106" s="4"/>
      <c r="F106" s="4"/>
      <c r="G106" s="4"/>
      <c r="H106" s="4"/>
      <c r="I106" s="4"/>
    </row>
    <row r="107" spans="1:9" ht="18.75" customHeight="1" x14ac:dyDescent="0.2">
      <c r="A107" s="1" t="s">
        <v>30</v>
      </c>
      <c r="B107" s="222" t="s">
        <v>46</v>
      </c>
      <c r="C107" s="222"/>
      <c r="D107" s="222"/>
      <c r="E107" s="222"/>
      <c r="F107" s="222"/>
      <c r="G107" s="222"/>
      <c r="H107" s="222"/>
      <c r="I107" s="222"/>
    </row>
    <row r="108" spans="1:9" ht="18.75" customHeight="1" x14ac:dyDescent="0.2">
      <c r="A108" s="4"/>
      <c r="B108" s="213" t="s">
        <v>153</v>
      </c>
      <c r="C108" s="214"/>
      <c r="D108" s="214"/>
      <c r="E108" s="214"/>
      <c r="F108" s="214"/>
      <c r="G108" s="214"/>
      <c r="H108" s="214"/>
      <c r="I108" s="215"/>
    </row>
    <row r="109" spans="1:9" ht="18.75" customHeight="1" x14ac:dyDescent="0.2">
      <c r="A109" s="4"/>
      <c r="B109" s="216"/>
      <c r="C109" s="217"/>
      <c r="D109" s="217"/>
      <c r="E109" s="217"/>
      <c r="F109" s="217"/>
      <c r="G109" s="217"/>
      <c r="H109" s="217"/>
      <c r="I109" s="218"/>
    </row>
    <row r="110" spans="1:9" ht="18.75" customHeight="1" x14ac:dyDescent="0.2">
      <c r="A110" s="4"/>
      <c r="B110" s="216"/>
      <c r="C110" s="217"/>
      <c r="D110" s="217"/>
      <c r="E110" s="217"/>
      <c r="F110" s="217"/>
      <c r="G110" s="217"/>
      <c r="H110" s="217"/>
      <c r="I110" s="218"/>
    </row>
    <row r="111" spans="1:9" ht="18.75" customHeight="1" x14ac:dyDescent="0.2">
      <c r="A111" s="4"/>
      <c r="B111" s="216"/>
      <c r="C111" s="217"/>
      <c r="D111" s="217"/>
      <c r="E111" s="217"/>
      <c r="F111" s="217"/>
      <c r="G111" s="217"/>
      <c r="H111" s="217"/>
      <c r="I111" s="218"/>
    </row>
    <row r="112" spans="1:9" ht="18.75" customHeight="1" x14ac:dyDescent="0.2">
      <c r="A112" s="4"/>
      <c r="B112" s="216"/>
      <c r="C112" s="217"/>
      <c r="D112" s="217"/>
      <c r="E112" s="217"/>
      <c r="F112" s="217"/>
      <c r="G112" s="217"/>
      <c r="H112" s="217"/>
      <c r="I112" s="218"/>
    </row>
    <row r="113" spans="1:9" ht="18.75" customHeight="1" x14ac:dyDescent="0.2">
      <c r="A113" s="4"/>
      <c r="B113" s="216"/>
      <c r="C113" s="217"/>
      <c r="D113" s="217"/>
      <c r="E113" s="217"/>
      <c r="F113" s="217"/>
      <c r="G113" s="217"/>
      <c r="H113" s="217"/>
      <c r="I113" s="218"/>
    </row>
    <row r="114" spans="1:9" ht="18.75" customHeight="1" x14ac:dyDescent="0.2">
      <c r="A114" s="4"/>
      <c r="B114" s="216"/>
      <c r="C114" s="217"/>
      <c r="D114" s="217"/>
      <c r="E114" s="217"/>
      <c r="F114" s="217"/>
      <c r="G114" s="217"/>
      <c r="H114" s="217"/>
      <c r="I114" s="218"/>
    </row>
    <row r="115" spans="1:9" ht="18.75" customHeight="1" x14ac:dyDescent="0.2">
      <c r="A115" s="4"/>
      <c r="B115" s="216"/>
      <c r="C115" s="217"/>
      <c r="D115" s="217"/>
      <c r="E115" s="217"/>
      <c r="F115" s="217"/>
      <c r="G115" s="217"/>
      <c r="H115" s="217"/>
      <c r="I115" s="218"/>
    </row>
    <row r="116" spans="1:9" ht="18.75" customHeight="1" x14ac:dyDescent="0.2">
      <c r="A116" s="4"/>
      <c r="B116" s="216"/>
      <c r="C116" s="217"/>
      <c r="D116" s="217"/>
      <c r="E116" s="217"/>
      <c r="F116" s="217"/>
      <c r="G116" s="217"/>
      <c r="H116" s="217"/>
      <c r="I116" s="218"/>
    </row>
    <row r="117" spans="1:9" ht="18.75" customHeight="1" x14ac:dyDescent="0.2">
      <c r="A117" s="4"/>
      <c r="B117" s="216"/>
      <c r="C117" s="217"/>
      <c r="D117" s="217"/>
      <c r="E117" s="217"/>
      <c r="F117" s="217"/>
      <c r="G117" s="217"/>
      <c r="H117" s="217"/>
      <c r="I117" s="218"/>
    </row>
    <row r="118" spans="1:9" ht="18.75" customHeight="1" x14ac:dyDescent="0.2">
      <c r="A118" s="4"/>
      <c r="B118" s="216"/>
      <c r="C118" s="217"/>
      <c r="D118" s="217"/>
      <c r="E118" s="217"/>
      <c r="F118" s="217"/>
      <c r="G118" s="217"/>
      <c r="H118" s="217"/>
      <c r="I118" s="218"/>
    </row>
    <row r="119" spans="1:9" ht="18.75" customHeight="1" x14ac:dyDescent="0.2">
      <c r="A119" s="4"/>
      <c r="B119" s="219"/>
      <c r="C119" s="220"/>
      <c r="D119" s="220"/>
      <c r="E119" s="220"/>
      <c r="F119" s="220"/>
      <c r="G119" s="220"/>
      <c r="H119" s="220"/>
      <c r="I119" s="221"/>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B1" sqref="B1"/>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5" t="s">
        <v>105</v>
      </c>
    </row>
    <row r="2" spans="1:9" ht="18.75" customHeight="1" x14ac:dyDescent="0.2">
      <c r="H2" s="35" t="s">
        <v>109</v>
      </c>
      <c r="I2" s="34" t="str">
        <f>'様式１　プログラムを構成する授業科目'!C2</f>
        <v>福岡工業大学</v>
      </c>
    </row>
    <row r="3" spans="1:9" ht="18.75" customHeight="1" x14ac:dyDescent="0.2">
      <c r="A3" s="109" t="s">
        <v>28</v>
      </c>
      <c r="B3" s="109"/>
      <c r="C3" s="109"/>
      <c r="D3" s="109"/>
      <c r="E3" s="109"/>
      <c r="F3" s="109"/>
      <c r="G3" s="109"/>
      <c r="H3" s="109"/>
      <c r="I3" s="109"/>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31" t="s">
        <v>136</v>
      </c>
      <c r="C6" s="264"/>
      <c r="D6" s="264"/>
      <c r="E6" s="264"/>
      <c r="F6" s="264"/>
      <c r="G6" s="264"/>
      <c r="H6" s="265"/>
      <c r="I6" s="3"/>
    </row>
    <row r="7" spans="1:9" ht="9" customHeight="1" x14ac:dyDescent="0.2">
      <c r="A7" s="5"/>
      <c r="B7" s="10"/>
      <c r="C7" s="10"/>
      <c r="D7" s="10"/>
      <c r="E7" s="10"/>
      <c r="F7" s="10"/>
      <c r="G7" s="10"/>
      <c r="H7" s="10"/>
      <c r="I7" s="3"/>
    </row>
    <row r="8" spans="1:9" ht="18.75" customHeight="1" x14ac:dyDescent="0.2">
      <c r="A8" s="5"/>
      <c r="B8" s="3"/>
      <c r="C8" s="3"/>
      <c r="D8" s="35" t="s">
        <v>43</v>
      </c>
      <c r="E8" s="36" t="s">
        <v>137</v>
      </c>
      <c r="F8" s="3"/>
      <c r="G8" s="35" t="s">
        <v>10</v>
      </c>
      <c r="H8" s="36" t="s">
        <v>138</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5" t="s">
        <v>24</v>
      </c>
      <c r="C11" s="96"/>
      <c r="D11" s="97"/>
      <c r="E11" s="96" t="s">
        <v>26</v>
      </c>
      <c r="F11" s="96"/>
      <c r="G11" s="96"/>
      <c r="H11" s="96"/>
      <c r="I11" s="97"/>
    </row>
    <row r="12" spans="1:9" ht="26.25" customHeight="1" x14ac:dyDescent="0.2">
      <c r="B12" s="50" t="s">
        <v>14</v>
      </c>
      <c r="C12" s="57"/>
      <c r="D12" s="51"/>
      <c r="E12" s="58"/>
      <c r="F12" s="58"/>
      <c r="G12" s="58"/>
      <c r="H12" s="58"/>
      <c r="I12" s="51"/>
    </row>
    <row r="13" spans="1:9" ht="210.75" customHeight="1" x14ac:dyDescent="0.2">
      <c r="B13" s="52"/>
      <c r="C13" s="244" t="s">
        <v>15</v>
      </c>
      <c r="D13" s="245"/>
      <c r="E13" s="261" t="s">
        <v>170</v>
      </c>
      <c r="F13" s="262"/>
      <c r="G13" s="262"/>
      <c r="H13" s="262"/>
      <c r="I13" s="263"/>
    </row>
    <row r="14" spans="1:9" ht="210.75" customHeight="1" x14ac:dyDescent="0.2">
      <c r="B14" s="52"/>
      <c r="C14" s="259" t="s">
        <v>16</v>
      </c>
      <c r="D14" s="260"/>
      <c r="E14" s="257" t="s">
        <v>139</v>
      </c>
      <c r="F14" s="246"/>
      <c r="G14" s="246"/>
      <c r="H14" s="246"/>
      <c r="I14" s="247"/>
    </row>
    <row r="15" spans="1:9" ht="210.75" customHeight="1" x14ac:dyDescent="0.2">
      <c r="B15" s="52"/>
      <c r="C15" s="244" t="s">
        <v>17</v>
      </c>
      <c r="D15" s="245"/>
      <c r="E15" s="257" t="s">
        <v>140</v>
      </c>
      <c r="F15" s="246"/>
      <c r="G15" s="246"/>
      <c r="H15" s="246"/>
      <c r="I15" s="247"/>
    </row>
    <row r="16" spans="1:9" ht="210.75" customHeight="1" x14ac:dyDescent="0.2">
      <c r="B16" s="52"/>
      <c r="C16" s="244" t="s">
        <v>18</v>
      </c>
      <c r="D16" s="245"/>
      <c r="E16" s="257" t="s">
        <v>141</v>
      </c>
      <c r="F16" s="246"/>
      <c r="G16" s="246"/>
      <c r="H16" s="246"/>
      <c r="I16" s="247"/>
    </row>
    <row r="17" spans="2:9" ht="210.75" customHeight="1" x14ac:dyDescent="0.2">
      <c r="B17" s="53"/>
      <c r="C17" s="248" t="s">
        <v>19</v>
      </c>
      <c r="D17" s="249"/>
      <c r="E17" s="258" t="s">
        <v>142</v>
      </c>
      <c r="F17" s="250"/>
      <c r="G17" s="250"/>
      <c r="H17" s="250"/>
      <c r="I17" s="251"/>
    </row>
    <row r="18" spans="2:9" ht="24" customHeight="1" x14ac:dyDescent="0.2">
      <c r="B18" s="50" t="s">
        <v>20</v>
      </c>
      <c r="C18" s="54"/>
      <c r="D18" s="55"/>
      <c r="E18" s="56"/>
      <c r="F18" s="56"/>
      <c r="G18" s="56"/>
      <c r="H18" s="56"/>
      <c r="I18" s="59"/>
    </row>
    <row r="19" spans="2:9" ht="218.25" customHeight="1" x14ac:dyDescent="0.2">
      <c r="B19" s="52"/>
      <c r="C19" s="244" t="s">
        <v>21</v>
      </c>
      <c r="D19" s="245"/>
      <c r="E19" s="246" t="s">
        <v>143</v>
      </c>
      <c r="F19" s="246"/>
      <c r="G19" s="246"/>
      <c r="H19" s="246"/>
      <c r="I19" s="247"/>
    </row>
    <row r="20" spans="2:9" ht="218.25" customHeight="1" x14ac:dyDescent="0.2">
      <c r="B20" s="53"/>
      <c r="C20" s="248" t="s">
        <v>22</v>
      </c>
      <c r="D20" s="249"/>
      <c r="E20" s="250" t="s">
        <v>144</v>
      </c>
      <c r="F20" s="250"/>
      <c r="G20" s="250"/>
      <c r="H20" s="250"/>
      <c r="I20" s="251"/>
    </row>
    <row r="21" spans="2:9" ht="218.25" customHeight="1" x14ac:dyDescent="0.2">
      <c r="B21" s="252" t="s">
        <v>23</v>
      </c>
      <c r="C21" s="253"/>
      <c r="D21" s="254"/>
      <c r="E21" s="255" t="s">
        <v>145</v>
      </c>
      <c r="F21" s="255"/>
      <c r="G21" s="255"/>
      <c r="H21" s="255"/>
      <c r="I21" s="256"/>
    </row>
    <row r="22" spans="2:9" ht="218.25" customHeight="1" x14ac:dyDescent="0.2">
      <c r="B22" s="239" t="s">
        <v>38</v>
      </c>
      <c r="C22" s="240"/>
      <c r="D22" s="241"/>
      <c r="E22" s="242" t="s">
        <v>146</v>
      </c>
      <c r="F22" s="242"/>
      <c r="G22" s="242"/>
      <c r="H22" s="242"/>
      <c r="I22" s="243"/>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諫山 真紀</cp:lastModifiedBy>
  <cp:lastPrinted>2023-04-27T04:33:28Z</cp:lastPrinted>
  <dcterms:created xsi:type="dcterms:W3CDTF">2011-06-14T05:32:50Z</dcterms:created>
  <dcterms:modified xsi:type="dcterms:W3CDTF">2023-05-10T04:20:36Z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