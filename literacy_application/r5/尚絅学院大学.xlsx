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1"/>
  <workbookPr defaultThemeVersion="124226"/>
  <mc:AlternateContent xmlns:mc="http://schemas.openxmlformats.org/markup-compatibility/2006">
    <mc:Choice Requires="x15">
      <x15ac:absPath xmlns:x15ac="http://schemas.microsoft.com/office/spreadsheetml/2010/11/ac" url="C:\Users\y_yoshida\Desktop\尚絅学院大学_再々提出\"/>
    </mc:Choice>
  </mc:AlternateContent>
  <xr:revisionPtr revIDLastSave="0" documentId="13_ncr:1_{344C0DEA-CBB2-458D-A47C-7923D1F69966}" xr6:coauthVersionLast="36" xr6:coauthVersionMax="36" xr10:uidLastSave="{00000000-0000-0000-0000-000000000000}"/>
  <bookViews>
    <workbookView xWindow="0" yWindow="0" windowWidth="21570" windowHeight="789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J32" i="40" l="1"/>
  <c r="U12" i="40" l="1"/>
  <c r="U13" i="40"/>
  <c r="U14" i="40"/>
  <c r="U15" i="40"/>
  <c r="U16" i="40"/>
  <c r="E32" i="40"/>
  <c r="L16" i="40"/>
  <c r="L15" i="40"/>
  <c r="L14" i="40"/>
  <c r="L13" i="40"/>
  <c r="L12" i="40"/>
  <c r="O16" i="40"/>
  <c r="O15" i="40"/>
  <c r="O14" i="40"/>
  <c r="O13" i="40"/>
  <c r="O12" i="40"/>
  <c r="R16" i="40"/>
  <c r="R15" i="40"/>
  <c r="R14" i="40"/>
  <c r="R13" i="40"/>
  <c r="R12" i="40"/>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AP12" i="40" s="1"/>
  <c r="AQ12" i="40" s="1"/>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32" i="40" l="1"/>
  <c r="AA32" i="40"/>
  <c r="AJ32" i="40"/>
  <c r="AM32" i="40"/>
  <c r="AG32" i="40"/>
  <c r="AD32" i="40"/>
  <c r="X32" i="40"/>
  <c r="R32" i="40"/>
  <c r="U32" i="40"/>
  <c r="L32" i="40"/>
  <c r="K32" i="40" l="1"/>
  <c r="I31" i="40"/>
  <c r="I30" i="40"/>
  <c r="I29" i="40"/>
  <c r="I28" i="40"/>
  <c r="I27" i="40"/>
  <c r="I26" i="40"/>
  <c r="I25" i="40"/>
  <c r="I24" i="40"/>
  <c r="I23" i="40"/>
  <c r="I22" i="40"/>
  <c r="I21" i="40"/>
  <c r="I20" i="40"/>
  <c r="I19" i="40"/>
  <c r="I18" i="40"/>
  <c r="I17" i="40"/>
  <c r="I32" i="40" s="1"/>
  <c r="G32" i="40"/>
  <c r="H32" i="40"/>
  <c r="AP13" i="40"/>
  <c r="AP14" i="40"/>
  <c r="AP15" i="40"/>
  <c r="AP16" i="40"/>
  <c r="F17" i="40"/>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C32" i="40"/>
  <c r="AP17" i="40" l="1"/>
  <c r="F32" i="40"/>
  <c r="I50" i="4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<sst xmlns="http://schemas.openxmlformats.org/spreadsheetml/2006/main" count="302" uniqueCount="175">
  <si>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</si>
  <si>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</si>
  <si>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</si>
  <si>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尚絅学院大学</t>
  </si>
  <si>
    <t>プログラム名</t>
    <rPh sb="5" eb="6">
      <t>メイ</t>
    </rPh>
    <phoneticPr fontId="1"/>
  </si>
  <si>
    <t>AIデータサイエンス教育プログラム</t>
  </si>
  <si>
    <t>プログラムを構成する授業科目について</t>
    <phoneticPr fontId="1"/>
  </si>
  <si>
    <t>① 対象となる学部・学科名称</t>
    <phoneticPr fontId="1"/>
  </si>
  <si>
    <t>② 教育プログラムの修了要件</t>
    <phoneticPr fontId="1"/>
  </si>
  <si>
    <t>学部・学科によって、修了要件は相違しない</t>
  </si>
  <si>
    <t>③ 修了要件</t>
    <phoneticPr fontId="1"/>
  </si>
  <si>
    <t xml:space="preserve">教養教育科目「AI社会とデータサイエンス」（必修・2単位）を履修し、単位を取得すること。
</t>
  </si>
  <si>
    <t>【プルダウンリスト】</t>
    <phoneticPr fontId="1"/>
  </si>
  <si>
    <t>令和４年度以前より、履修することが必須のプログラムとして実施</t>
    <rPh sb="0" eb="2">
      <t>レイワ</t>
    </rPh>
    <rPh sb="3" eb="5">
      <t>ネンド</t>
    </rPh>
    <rPh sb="5" eb="7">
      <t>イゼン</t>
    </rPh>
    <phoneticPr fontId="1"/>
  </si>
  <si>
    <t>令和７年度までに履修必須とする計画</t>
    <rPh sb="3" eb="4">
      <t>ネン</t>
    </rPh>
    <phoneticPr fontId="1"/>
  </si>
  <si>
    <t>令和８年度以降に履修必須とする計画、又は未定</t>
    <rPh sb="18" eb="19">
      <t>マタ</t>
    </rPh>
    <rPh sb="20" eb="22">
      <t>ミテイ</t>
    </rPh>
    <phoneticPr fontId="1"/>
  </si>
  <si>
    <t>必要最低単位数</t>
    <phoneticPr fontId="1"/>
  </si>
  <si>
    <t>単位</t>
    <rPh sb="0" eb="2">
      <t>タンイ</t>
    </rPh>
    <phoneticPr fontId="1"/>
  </si>
  <si>
    <t>履修必須の有無</t>
    <rPh sb="0" eb="2">
      <t>リシュウ</t>
    </rPh>
    <rPh sb="2" eb="4">
      <t>ヒッス</t>
    </rPh>
    <rPh sb="5" eb="7">
      <t>ウム</t>
    </rPh>
    <phoneticPr fontId="1"/>
  </si>
  <si>
    <t>令和４年度以前より、履修することが必須のプログラムとして実施</t>
  </si>
  <si>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</si>
  <si>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</si>
  <si>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</si>
  <si>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</si>
  <si>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</si>
  <si>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</si>
  <si>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AI社会とデータサイエンス</t>
  </si>
  <si>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</si>
  <si>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</si>
  <si>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</si>
  <si>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</si>
  <si>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</si>
  <si>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</si>
  <si>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</si>
  <si>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</si>
  <si>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</si>
  <si>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</si>
  <si>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</si>
  <si>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</si>
  <si>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</si>
  <si>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</si>
  <si>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</si>
  <si>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</si>
  <si>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</si>
  <si>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</si>
  <si>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</si>
  <si>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</si>
  <si>
    <t xml:space="preserve">AIやビックデータがもたらす社会の変化Ⅰ（1回目）
・コンピュータやICTの進展（コンピュータ、インターネット、情報通信システム、IoT、第4次産業革命、Society 5.0、データ駆動型社会）
・ビックデータの時代 </t>
  </si>
  <si>
    <t>1-6</t>
    <phoneticPr fontId="1"/>
  </si>
  <si>
    <t xml:space="preserve">AIやビックデータがもたらす社会の変化Ⅱ（2回目）
・AI等を活用した新しいビジネスモデル（シェアリングエコノミー、商品のレコメンデーションなど）
現代社会におけるAIの利活用（3回目）
・AI最新技術の活用例（敵対的生成ネットワーク、強化学習、転移学習など）						</t>
  </si>
  <si>
    <t>（２）「社会で活用されているデータ」や「データの活用領域」は非常に広範囲であって、日常生活や社会の課題を解決する有用なツールになり得るもの</t>
  </si>
  <si>
    <t>社会がもとめるデータサイエンス（6回目）
・データサイエンスとは何か、情報とデータの違い、データサイエンスの活用事例
・調査データ、実験データなど
・構造化データ、非構造化データ（文章、画像/動画、音声/音楽など）
データサイエンス演習Ⅰ（11回目）
・１次データ、２次データ、データのメタ化
・データのオープン化（オープンデータ）</t>
  </si>
  <si>
    <t>現代社会におけるAIの利活用（3回目）
・データ・AI活用の広がり（生産、消費、文化活動など）
・研究開発、調達、製造、物流、販売、マーケティング、サービスなど
・知識発見、原因究明、計画策定、判断支援など</t>
  </si>
  <si>
    <t>（３）様々なデータ利活用の現場におけるデータ利活用事例が示され、様々な適用領域（流通、製造、金融、サービス、インフラ、公共、ヘルスケア等）の知見と組み合わせることで価値を創出するもの</t>
    <phoneticPr fontId="1"/>
  </si>
  <si>
    <t>AIと人類（4回目）
・特化型AIと汎用AI、今のAIでできることとできないこと
・AIとビッグデータ
AIの技術（5回目）
・AIの種類と特徴（機械学習、教師あり学習、教師なし学習、深層学習など）
・認識技術、ルールベース、自動化技術
社会が求めるデータサイエンス（6回目）
・データ可視化：複合グラフ、2軸グラフ、多次元の可視化、関係性の可視化、地図上の可視化
多変量解析および質的研究（10回目）
・データ解析：予測、グルーピング、パターン発見、最適化など
・予測を行うための分析手法（重回帰、主成分分析、因子分析など）</t>
  </si>
  <si>
    <t xml:space="preserve">現代社会におけるAIの利活用（3回目）
・レコメンド機能、画像認識、音声認識、機械翻訳、自動運転など 
・製造、流通、モビリティ、金融、教育などの分野におけるAIの活用事例
AIやデータ社会の将来に向けて（15回目）
・AI社会での雇用の変化（失われる仕事、新たに生まれる仕事、将来の社会変化を見据えた学びと備え）
・SDGsにおけるAIやデータサイエンスの役割 </t>
  </si>
  <si>
    <t>（４）活用に当たっての様々な留意事項（ELSI、個人情報、データ倫理、ＡＩ社会原則等）を考慮し、情報セキュリティや情報漏洩等、データを守る上での留意事項への理解をする</t>
    <phoneticPr fontId="1"/>
  </si>
  <si>
    <t xml:space="preserve">AIやデータ社会がもたらす諸問題Ⅰ（13回目）
・コンピュータやAIが進展に伴う難しい問題（ELSI、個人情報保護法）
・ICTの進展と子どもの教育 </t>
  </si>
  <si>
    <t>AIやデータ社会がもたらす諸問題Ⅱ（14回目）
・AI社会にかかわる倫理的問題（データバイアス、アルゴリズムバイアス、フェイクニュースなど）
・ビッグデータ社会にかかわる倫理的問題(個人情報保護法、オプトイン、オプトアウト、プライバシー、忘れられる権利、自己情報コントロール権、GDPRなど）
・情報セキュリティ、匿名加工情報、暗号化など</t>
  </si>
  <si>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</si>
  <si>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</si>
  <si>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 xml:space="preserve">データの散らばりを読み取る（7回目）
・記述統計学(平均、分散、標準偏差など）、様々なグラフ（棒グラフ、円グラフ、散布図、ヒートマップなど）
・相関関係と因果関係（相関係数、線形回帰、交絡、相関と因果の違い） </t>
  </si>
  <si>
    <t>社会がもとめるデータサイエンス（6回目）
・データ表現（棒グラフ、折れ線グラフ、散布図、ヒートマップ）
・データの図表表現（チャート化）
・不適切なグラフ表現（不必要な視覚的要素）
データから全体を推測するⅠ（8回目）
・推測統計学（母平均、母分散、標本化、標本平均、標本の分散、不偏分散）
・いろいろな検定（二項検定、ｔ-検定など） 
データから全体を推測するⅡ（9回目）
・データの比較、統計学的判断
データサイエンス演習II（12回目）
・不適切なグラフ表現
・優れた可視化事例の紹介（可視化することによって新たな気づきがあった事例など）</t>
  </si>
  <si>
    <t>データサイエンス演習Ⅰ（11回目）
・データ解析ツール（スプレッドシート）
・表形式のデータ（csv）
・政府統計ポータルサイト e-Stat の活用
・実データを対象としたエクセルによるデータ処理演習
・データの集計（和、平均）、並び替え、ランキング
データサイエンス演習Ⅱ（12回目）
・統計 Dashboard の活用（人口ピラミッド、地域統計のレーダーチャート）
・データ可視化の演習（実データのグラフ化）</t>
  </si>
  <si>
    <t>⑪ プログラムの学修成果（学生等が身に付けられる能力等）</t>
    <phoneticPr fontId="1"/>
  </si>
  <si>
    <t xml:space="preserve">AIやデータサイエンスの基礎を理解し、社会の変化、とりわけAI技術とビックデータがもたらす可能性、適用事例、来たるべき社会に向け基盤となる必要な知識と能力を習得する。
・ICTおよびAIがもたらす社会の変化を概観できるようになる。
・AIの基本的仕組みに関する知識を習得する。
・多種多様なデ－タを扱うデ－タサイエンスの基礎を理解する。表計算ソフトを用いて、実データの基礎的な分析ができる。
・新たな社会変化に主体的に向き合える思考力および倫理観を身に付ける。 </t>
  </si>
  <si>
    <t>様式２</t>
    <phoneticPr fontId="1"/>
  </si>
  <si>
    <t>プログラムの履修者数等の実績について</t>
    <phoneticPr fontId="1"/>
  </si>
  <si>
    <t>①プログラム開設年度</t>
    <rPh sb="6" eb="8">
      <t>カイセツ</t>
    </rPh>
    <rPh sb="8" eb="10">
      <t>ネンド</t>
    </rPh>
    <phoneticPr fontId="1"/>
  </si>
  <si>
    <t>年度</t>
    <rPh sb="0" eb="2">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</si>
  <si>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</si>
  <si>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</si>
  <si>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</si>
  <si>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</si>
  <si>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</si>
  <si>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</si>
  <si>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</si>
  <si>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</si>
  <si>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</si>
  <si>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</si>
  <si>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</si>
  <si>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履修者数
合計</t>
    <rPh sb="0" eb="2">
      <t>リシュウ</t>
    </rPh>
    <rPh sb="2" eb="3">
      <t>シャ</t>
    </rPh>
    <rPh sb="3" eb="4">
      <t>スウ</t>
    </rPh>
    <rPh sb="5" eb="7">
      <t>ゴウケイ</t>
    </rPh>
    <phoneticPr fontId="1"/>
  </si>
  <si>
    <t>履修率</t>
  </si>
  <si>
    <t>履修者数</t>
    <rPh sb="0" eb="3">
      <t>リシュウシャ</t>
    </rPh>
    <rPh sb="3" eb="4">
      <t>スウ</t>
    </rPh>
    <phoneticPr fontId="1"/>
  </si>
  <si>
    <t>修了者数</t>
    <rPh sb="0" eb="3">
      <t>シュウリョウシャ</t>
    </rPh>
    <rPh sb="3" eb="4">
      <t>スウ</t>
    </rPh>
    <phoneticPr fontId="1"/>
  </si>
  <si>
    <t>合計</t>
    <rPh sb="0" eb="2">
      <t>ゴウケイ</t>
    </rPh>
    <phoneticPr fontId="1"/>
  </si>
  <si>
    <t>男性</t>
    <rPh sb="0" eb="2">
      <t>ダンセイ</t>
    </rPh>
    <phoneticPr fontId="1"/>
  </si>
  <si>
    <t>女性</t>
    <rPh sb="0" eb="2">
      <t>ジョセイ</t>
    </rPh>
    <phoneticPr fontId="1"/>
  </si>
  <si>
    <t>人文社会学類</t>
  </si>
  <si>
    <t>心理学類</t>
  </si>
  <si>
    <t>子ども学類</t>
  </si>
  <si>
    <t>学校教育学類</t>
  </si>
  <si>
    <t>健康栄養学類</t>
  </si>
  <si>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</si>
  <si>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</si>
  <si>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</si>
  <si>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</si>
  <si>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</si>
  <si>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</si>
  <si>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</si>
  <si>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人</t>
    <rPh sb="0" eb="1">
      <t>ニン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</si>
  <si>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</si>
  <si>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</si>
  <si>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</si>
  <si>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</si>
  <si>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</si>
  <si>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</si>
  <si>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片山　統裕</t>
  </si>
  <si>
    <t>（役職名）</t>
    <rPh sb="1" eb="4">
      <t>ヤクショクメイ</t>
    </rPh>
    <phoneticPr fontId="1"/>
  </si>
  <si>
    <t>教授・情報システムセンター長</t>
  </si>
  <si>
    <t>④</t>
    <phoneticPr fontId="1"/>
  </si>
  <si>
    <t>プログラムを改善・進化させるための体制（委員会・組織等）</t>
    <phoneticPr fontId="1"/>
  </si>
  <si>
    <t>教育開発推進委員会</t>
  </si>
  <si>
    <t>黄　梅英</t>
  </si>
  <si>
    <t>教授・副学長・委員長</t>
  </si>
  <si>
    <t>⑤</t>
    <phoneticPr fontId="1"/>
  </si>
  <si>
    <t>プログラムを改善・進化させるための体制を定める規則名称</t>
    <phoneticPr fontId="1"/>
  </si>
  <si>
    <t>尚絅学院大学教育開発推進委員会規程</t>
  </si>
  <si>
    <t>⑥</t>
    <phoneticPr fontId="1"/>
  </si>
  <si>
    <t>体制の目的</t>
    <rPh sb="0" eb="2">
      <t>タイセイ</t>
    </rPh>
    <rPh sb="3" eb="5">
      <t>モクテキ</t>
    </rPh>
    <phoneticPr fontId="1"/>
  </si>
  <si>
    <t>全学的な情報教育の推進を目的として、教育開発推進委員会に情報教育WGを置く。
本WGは各学類の担当委員から構成され、情報教育に関するカリキュラムを検討し、教育を進めるためのシラバスの共通化・ルールや教材を整備して提供する。</t>
  </si>
  <si>
    <t>⑦</t>
    <phoneticPr fontId="1"/>
  </si>
  <si>
    <t>具体的な構成員</t>
    <rPh sb="0" eb="3">
      <t>グタイテキ</t>
    </rPh>
    <rPh sb="4" eb="7">
      <t>コウセイイン</t>
    </rPh>
    <phoneticPr fontId="1"/>
  </si>
  <si>
    <t>＜教育開発推進委員会構成員＞
(1) 副学長（教学担当）：黄　梅英（社会部門）　委員長
(2) 教務部長：廣瀬　愛（人文部門）
(3) 教務課長：佐々木　エミ
(4) 総合人間科学系人文・社会科学系分野：能田　昴（教育部門）
(5) 総合人間科学系自然科学系：東門田　誠一（健康栄養部門）
＜情報教育WG構成員＞
(1)人文社会学類　：片山　統裕 教授（理工・自然部門）
(2)心理学類　　　　：行場　次朗 教授（心理部門）
(3)子ども学類　　　：東　義也 教授（教育部門）
(4)学校教育学類　：佐々木　健太郎 准教授（教育部門）
（5)健康栄養学類　：柳沼　梢 准教授（健康栄養部門）</t>
  </si>
  <si>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</si>
  <si>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</si>
  <si>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令和４年度実績</t>
    <rPh sb="0" eb="2">
      <t>レイワ</t>
    </rPh>
    <rPh sb="3" eb="5">
      <t>ネンド</t>
    </rPh>
    <rPh sb="5" eb="7">
      <t>ジッセキ</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</si>
  <si>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</si>
  <si>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</si>
  <si>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 xml:space="preserve">75%	</t>
  </si>
  <si>
    <t>令和７年度予定</t>
    <rPh sb="0" eb="2">
      <t>レイワ</t>
    </rPh>
    <rPh sb="3" eb="5">
      <t>ネンド</t>
    </rPh>
    <rPh sb="5" eb="7">
      <t>ヨテイ</t>
    </rPh>
    <phoneticPr fontId="1"/>
  </si>
  <si>
    <t>令和８年度予定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</si>
  <si>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</si>
  <si>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</si>
  <si>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本プログラムを構成する科目（AI社会とデータサイエンス）は、全学類で必修科目として開講しているため、令和4年度において、1年次の全学生（468名）が履修している。</t>
  </si>
  <si>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</si>
  <si>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</si>
  <si>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上記④の通り、全学類で必修科目として開講しているため、令和4年度において、1年次の全学生（468名）が履修している。</t>
  </si>
  <si>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</si>
  <si>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</si>
  <si>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⑪</t>
    <phoneticPr fontId="1"/>
  </si>
  <si>
    <t>できる限り多くの学生が履修・修得できるようなサポート体制</t>
    <rPh sb="26" eb="28">
      <t>タイセイ</t>
    </rPh>
    <phoneticPr fontId="1"/>
  </si>
  <si>
    <t>上記④の通り、全学類で必修科目として開講しているため、令和4年度において、1年次の全学生（468名）が履修している。また、再履修者対象とした科目を開講し、修得に向けたサポートを行っている。</t>
  </si>
  <si>
    <t>⑫</t>
    <phoneticPr fontId="1"/>
  </si>
  <si>
    <t>授業時間内外で学習指導、質問を受け付ける具体的な仕組み</t>
    <rPh sb="20" eb="23">
      <t>グタイテキ</t>
    </rPh>
    <phoneticPr fontId="1"/>
  </si>
  <si>
    <t xml:space="preserve">2022年度はコロナ対策のため、遠隔での授業形式（リアルタイム・オンデマンド）が中心となった。
LMS上で授業資料やビデオを公開し、学生はいつでも予習・復習・質問ができ、指導を受けることができるようにした。
質問については、科目担当教員とメールでやりとりする方法や、オフィスアワーに対面で対応する方法も併用した。
一部のクラスでは、コンピュータ実習室でデータ分析演習を対面授業で行い、それをZoomライブ配信した。コンピュータ実習室で受講した学生は対面で教員のサポートを受けながら演習した。非対面で受講した学生は自宅PC等を利用して同時に演習した。その際、チャット機能等を利用して遠隔で質問対応できるようにした。
</t>
  </si>
  <si>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</si>
  <si>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</si>
  <si>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</si>
  <si>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</si>
  <si>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自己点検・評価委員会</t>
  </si>
  <si>
    <t>水田　惠三</t>
  </si>
  <si>
    <t>副学長</t>
  </si>
  <si>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</si>
  <si>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</si>
  <si>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</si>
  <si>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</si>
  <si>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</si>
  <si>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「AI社会とデータサイエンス」については、全学類１年生の必修科目であり教務部委員会において単位修得状況を把握している。
教育開発推進委員会において、授業の内容や運営及び質向上に向けて取り組みを行っている。
初年次教育の位置づけで開設しており、不合格の場合は不合格者対象に特別開講を行うなど早い段階で修得できるよう対応している。</t>
  </si>
  <si>
    <t>学修成果</t>
    <rPh sb="0" eb="2">
      <t>ガクシュウ</t>
    </rPh>
    <rPh sb="2" eb="4">
      <t>セイカ</t>
    </rPh>
    <phoneticPr fontId="1"/>
  </si>
  <si>
    <t>尚絅学院大学で作成している「成績評価のガイドライン」に基づき、シラバスでは科目の到達目標を明示している。
毎回、授業の内容に関連した小テストやミニッツレポートを課すことで学生の理解度を図りながら到達目標をクリアできるよう取り組んでいる。
プログラムの学修成果は、単位修得率及び平均GPA並びに成績分布状況を確認することで点検・評価が可能である。
さらに、授業評価アンケートにおいて、学生自身が到達目標に対しどの程度修得できたのか自己評価を行うことを実施する予定であり、多面的に学修成果が把握できるように準備を進めている。</t>
  </si>
  <si>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</si>
  <si>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令和４年度全学類開講の「AI社会とデータサイエンス」で実施した授業改善アンケート結果において（1年生全学類）、アンケート回答率50%以上のクラスにおいては、「授業の到達目標に示された内容（知識や技能など）が身についたと思いますか」の問いに対して5段階評価で「そう思う」「ややそう思う」との回答が8割～9割を占め、学生から高い評価を得ている。令和5年度からは、授業の改善のみならず、授業を受講した学生の自己評価もアンケート項目に含まれるため、教員FDを実施し、さらなる学生の理解度向上に向けて授業方法及び教材の見直しを行う。</t>
  </si>
  <si>
    <t>学生アンケート等を通じた後輩等他の学生への推奨度</t>
  </si>
  <si>
    <t>「AI社会とデータサイエンス」については、全学類１年生の必修科目となっている。</t>
  </si>
  <si>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</si>
  <si>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</si>
  <si>
    <t>教育プログラム修了者の進路、活躍状況、企業等の評価</t>
  </si>
  <si>
    <t>進路就職課において全学類の卒業生について就職先の調査を行っている。
AI社会とデータサイエンス科目の開始は令和２年度であり、本プログラムの開始は令和4年度である。
本プログラムの修了者が社会に出るのは令和７年度以降となる見込みであるが、卒業調査においても可能な範囲で活躍状況及び企業の評価について調査する予定である。</t>
  </si>
  <si>
    <t>産業界からの視点を含めた教育プログラム内容・手法等への意見</t>
  </si>
  <si>
    <t>尚絅学院大学外部評価委員会において、地元産業界よりデジタル人材の深刻化と、ExcelやWordなどの特定の技術だけではなく、デジタル技術を複合的に活用できる人材が必要であることが話題として出された。
本学としては、卒業時までに「ITパスポート」を取得して社会へ送り出すことを目標としており、教養教育科目において「AI社会とデータサイエンス」及び「情報リテラシー」を必修科目として開設し、全学的にデジタル教育を実施している。</t>
  </si>
  <si>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</si>
  <si>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授業では、日常生活で利用されている身近なAIの事例を紹介して、幅広い関心を育むよう工夫している。
オンライン動画教材などを利用して、AIの動作原理やその意義を楽しく理解できるようにしている。
COVID-19の影響で、授業は主にオンライン型で実施されたが、オンラインチャットやアンケート機能などを利用して、学生の声を収集・分析して授業中にフィードバックするなど、学生参加型授業になるよう工夫をしている。
データ分析については、オープンデータの探し方、エクセルを用いた前処理や簡単なデータ分析のプロセスを実演し、学生自身に実際に操作させて体験させている。
各自が興味をもったデータを分析する課題を与え、試行錯誤や発見を経験できるように授業をデザインしている。</t>
  </si>
  <si>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</si>
  <si>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 xml:space="preserve">授業準備の教員負担が大きく、レベルのばらつきが生じやすいコンピュータ演習の授業コンテンツについては、情報教育WGが、授業計画、授業スライド、演習用データや課題を作成し、共通教材として担当教員に提供している。また、担当教員からのフィードバックを得て、教材の改良を行っている。
本学では、すべての授業について受講者による授業改善アンケートを行っている。本教育プログラムの授業については、教育開発推進委員会・情報教育WGにより分析・総括され、担当教員にフィードバックし、受講生の評価がより高まるよう内容を点検・改善していく。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</si>
</sst>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rgb="FF000000"/>
      <name val="ＭＳ Ｐゴシック"/>
      <family val="3"/>
      <charset val="128"/>
      <scheme val="minor"/>
    </font>
    <font>
      <sz val="12"/>
      <color rgb="FF000000"/>
      <name val="ＭＳ Ｐゴシック"/>
      <family val="3"/>
      <charset val="128"/>
    </font>
  </fonts>
  <fills count="4">
    <fill>
      <patternFill patternType="none"/>
    </fill>
    <fill>
      <patternFill patternType="gray125"/>
    </fill>
    <fill>
      <patternFill patternType="solid">
        <fgColor theme="0" tint="-4.9989318521683403E-2"/>
        <bgColor indexed="64"/>
      </patternFill>
    </fill>
    <fill>
      <patternFill patternType="solid">
        <fgColor rgb="FFFFFFFF"/>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9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38" fontId="2" fillId="0" borderId="5" xfId="2" applyFont="1" applyFill="1" applyBorder="1" applyAlignment="1">
      <alignment vertical="center" shrinkToFit="1"/>
    </xf>
    <xf numFmtId="38" fontId="2" fillId="0" borderId="54" xfId="2" applyFont="1" applyFill="1" applyBorder="1" applyAlignment="1">
      <alignment vertical="center" shrinkToFit="1"/>
    </xf>
    <xf numFmtId="38" fontId="2" fillId="0" borderId="30" xfId="2" applyFont="1" applyFill="1" applyBorder="1" applyAlignment="1">
      <alignment vertical="center" shrinkToFit="1"/>
    </xf>
    <xf numFmtId="38" fontId="2" fillId="0" borderId="57" xfId="2" applyFont="1" applyFill="1" applyBorder="1" applyAlignment="1">
      <alignment vertical="center" shrinkToFit="1"/>
    </xf>
    <xf numFmtId="38" fontId="2" fillId="0" borderId="55" xfId="2" applyFont="1" applyFill="1" applyBorder="1" applyAlignment="1">
      <alignment vertical="center" shrinkToFit="1"/>
    </xf>
    <xf numFmtId="38" fontId="2" fillId="0" borderId="32" xfId="2" applyFont="1" applyFill="1" applyBorder="1" applyAlignment="1">
      <alignment vertical="center" shrinkToFit="1"/>
    </xf>
    <xf numFmtId="0" fontId="5" fillId="0" borderId="0" xfId="0" applyFont="1" applyAlignment="1">
      <alignment horizontal="left" vertical="center"/>
    </xf>
    <xf numFmtId="38" fontId="2" fillId="0" borderId="0" xfId="2" applyFont="1" applyFill="1" applyAlignment="1">
      <alignment vertical="center" shrinkToFit="1"/>
    </xf>
    <xf numFmtId="9" fontId="2" fillId="0" borderId="1" xfId="0" applyNumberFormat="1" applyFont="1" applyBorder="1" applyAlignment="1">
      <alignment vertical="center" shrinkToFit="1"/>
    </xf>
    <xf numFmtId="38" fontId="2" fillId="0" borderId="19" xfId="2" applyFont="1" applyFill="1" applyBorder="1" applyAlignment="1">
      <alignment vertical="center" shrinkToFit="1"/>
    </xf>
    <xf numFmtId="38" fontId="2" fillId="0" borderId="20" xfId="2" applyFont="1" applyFill="1" applyBorder="1" applyAlignment="1">
      <alignment vertical="center" shrinkToFit="1"/>
    </xf>
    <xf numFmtId="9" fontId="2" fillId="0" borderId="60" xfId="0" applyNumberFormat="1" applyFont="1" applyBorder="1" applyAlignment="1">
      <alignment vertical="center" shrinkToFit="1"/>
    </xf>
    <xf numFmtId="49" fontId="3" fillId="0" borderId="49" xfId="0" applyNumberFormat="1" applyFont="1" applyFill="1" applyBorder="1" applyAlignment="1">
      <alignment horizontal="center" vertical="center"/>
    </xf>
    <xf numFmtId="49" fontId="3" fillId="0" borderId="44" xfId="0" applyNumberFormat="1" applyFont="1" applyFill="1" applyBorder="1" applyAlignment="1">
      <alignment horizontal="center" vertical="center"/>
    </xf>
    <xf numFmtId="49" fontId="3" fillId="0" borderId="29" xfId="0" applyNumberFormat="1" applyFont="1" applyFill="1" applyBorder="1" applyAlignment="1">
      <alignment horizontal="center" vertical="center"/>
    </xf>
    <xf numFmtId="49" fontId="3" fillId="0" borderId="47" xfId="0" applyNumberFormat="1" applyFont="1" applyFill="1" applyBorder="1" applyAlignment="1">
      <alignment horizontal="center" vertical="center"/>
    </xf>
    <xf numFmtId="49" fontId="3" fillId="0" borderId="48" xfId="0" applyNumberFormat="1" applyFont="1" applyFill="1" applyBorder="1" applyAlignment="1">
      <alignment horizontal="center" vertical="center"/>
    </xf>
    <xf numFmtId="49" fontId="3" fillId="0" borderId="32" xfId="0" applyNumberFormat="1" applyFont="1" applyFill="1" applyBorder="1" applyAlignment="1">
      <alignment horizontal="center" vertical="center"/>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0" xfId="0" applyFont="1" applyAlignment="1">
      <alignment vertical="center" wrapText="1"/>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2" fillId="0" borderId="34" xfId="0" applyFont="1" applyFill="1" applyBorder="1" applyAlignment="1">
      <alignment vertical="center" wrapText="1" shrinkToFit="1"/>
    </xf>
    <xf numFmtId="0" fontId="2" fillId="0" borderId="36" xfId="0" applyFont="1" applyFill="1" applyBorder="1" applyAlignment="1">
      <alignment vertical="center" shrinkToFit="1"/>
    </xf>
    <xf numFmtId="0" fontId="2" fillId="0" borderId="35" xfId="0" applyFont="1" applyFill="1" applyBorder="1" applyAlignment="1">
      <alignment vertical="center" shrinkToFit="1"/>
    </xf>
    <xf numFmtId="0" fontId="2" fillId="0" borderId="37" xfId="0" applyFont="1" applyFill="1" applyBorder="1" applyAlignment="1">
      <alignment vertical="center" wrapText="1" shrinkToFit="1"/>
    </xf>
    <xf numFmtId="0" fontId="2" fillId="0" borderId="38" xfId="0" applyFont="1" applyFill="1" applyBorder="1" applyAlignment="1">
      <alignment vertical="center" shrinkToFit="1"/>
    </xf>
    <xf numFmtId="0" fontId="2" fillId="0" borderId="39" xfId="0" applyFont="1" applyFill="1" applyBorder="1" applyAlignment="1">
      <alignment vertical="center" shrinkToFit="1"/>
    </xf>
    <xf numFmtId="0" fontId="2" fillId="0" borderId="8" xfId="0" applyFont="1" applyFill="1" applyBorder="1" applyAlignment="1">
      <alignment horizontal="left" vertical="center" wrapText="1" shrinkToFit="1"/>
    </xf>
    <xf numFmtId="0" fontId="2" fillId="0" borderId="8" xfId="0" applyFont="1" applyFill="1" applyBorder="1" applyAlignment="1">
      <alignment horizontal="left" vertical="center" shrinkToFit="1"/>
    </xf>
    <xf numFmtId="0" fontId="2" fillId="0" borderId="9" xfId="0" applyFont="1" applyFill="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22" xfId="0" applyFont="1" applyFill="1" applyBorder="1" applyAlignment="1">
      <alignment horizontal="left" vertical="center" wrapText="1" shrinkToFit="1"/>
    </xf>
    <xf numFmtId="0" fontId="2" fillId="0" borderId="22" xfId="0" applyFont="1" applyFill="1" applyBorder="1" applyAlignment="1">
      <alignment horizontal="left" vertical="center" shrinkToFit="1"/>
    </xf>
    <xf numFmtId="0" fontId="2" fillId="0" borderId="21" xfId="0" applyFont="1" applyFill="1" applyBorder="1" applyAlignment="1">
      <alignment horizontal="left" vertical="center" shrinkToFit="1"/>
    </xf>
    <xf numFmtId="0" fontId="2" fillId="0" borderId="36" xfId="0" applyFont="1" applyFill="1" applyBorder="1" applyAlignment="1">
      <alignment horizontal="left" vertical="center" wrapText="1" shrinkToFit="1"/>
    </xf>
    <xf numFmtId="0" fontId="2" fillId="0" borderId="36" xfId="0" applyFont="1" applyFill="1" applyBorder="1" applyAlignment="1">
      <alignment horizontal="left" vertical="center" shrinkToFit="1"/>
    </xf>
    <xf numFmtId="0" fontId="2" fillId="0" borderId="35" xfId="0" applyFont="1" applyFill="1" applyBorder="1" applyAlignment="1">
      <alignment horizontal="left" vertical="center" shrinkToFit="1"/>
    </xf>
    <xf numFmtId="0" fontId="2" fillId="0" borderId="6" xfId="0" applyFont="1" applyFill="1" applyBorder="1" applyAlignment="1">
      <alignment horizontal="left" vertical="center" wrapText="1" shrinkToFit="1"/>
    </xf>
    <xf numFmtId="0" fontId="2" fillId="0" borderId="6" xfId="0" applyFont="1" applyFill="1" applyBorder="1" applyAlignment="1">
      <alignment horizontal="left" vertical="center" shrinkToFit="1"/>
    </xf>
    <xf numFmtId="0" fontId="2" fillId="0" borderId="12" xfId="0" applyFont="1" applyFill="1" applyBorder="1" applyAlignment="1">
      <alignment horizontal="left" vertical="center" shrinkToFit="1"/>
    </xf>
    <xf numFmtId="0" fontId="2" fillId="0" borderId="38" xfId="0" applyFont="1" applyFill="1" applyBorder="1" applyAlignment="1">
      <alignment horizontal="left" vertical="center" wrapText="1" shrinkToFit="1"/>
    </xf>
    <xf numFmtId="0" fontId="2" fillId="0" borderId="38" xfId="0" applyFont="1" applyFill="1" applyBorder="1" applyAlignment="1">
      <alignment horizontal="left" vertical="center" shrinkToFit="1"/>
    </xf>
    <xf numFmtId="0" fontId="2" fillId="0" borderId="39" xfId="0" applyFont="1" applyFill="1" applyBorder="1" applyAlignment="1">
      <alignment horizontal="left" vertical="center" shrinkToFit="1"/>
    </xf>
    <xf numFmtId="0" fontId="2" fillId="0" borderId="37" xfId="0" applyFont="1" applyFill="1" applyBorder="1" applyAlignment="1">
      <alignment horizontal="left" vertical="center" wrapText="1" shrinkToFit="1"/>
    </xf>
    <xf numFmtId="0" fontId="2" fillId="0" borderId="19" xfId="0" applyFont="1" applyFill="1" applyBorder="1" applyAlignment="1">
      <alignment vertical="center" wrapText="1" shrinkToFit="1"/>
    </xf>
    <xf numFmtId="0" fontId="2" fillId="0" borderId="20" xfId="0" applyFont="1" applyFill="1" applyBorder="1" applyAlignment="1">
      <alignment vertical="center" shrinkToFit="1"/>
    </xf>
    <xf numFmtId="0" fontId="2" fillId="0" borderId="18" xfId="0" applyFont="1" applyFill="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2" fillId="0" borderId="34" xfId="0" applyFont="1" applyBorder="1" applyAlignment="1">
      <alignment horizontal="center" vertical="center"/>
    </xf>
    <xf numFmtId="0" fontId="2" fillId="0" borderId="36" xfId="0" applyFont="1" applyBorder="1" applyAlignment="1">
      <alignment horizontal="center" vertical="center"/>
    </xf>
    <xf numFmtId="0" fontId="2" fillId="0" borderId="35"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5" fillId="0" borderId="21"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pplyAlignment="1">
      <alignment vertical="center"/>
    </xf>
    <xf numFmtId="0" fontId="12" fillId="0" borderId="7" xfId="0" applyFont="1" applyBorder="1" applyAlignment="1">
      <alignment vertical="top" wrapText="1" shrinkToFit="1"/>
    </xf>
    <xf numFmtId="0" fontId="11" fillId="0" borderId="8" xfId="0" applyFont="1" applyBorder="1" applyAlignment="1">
      <alignment vertical="top" wrapText="1"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11" fillId="0" borderId="7" xfId="0" applyFont="1" applyBorder="1" applyAlignment="1">
      <alignment vertical="top" wrapText="1" shrinkToFit="1"/>
    </xf>
    <xf numFmtId="0" fontId="11" fillId="0" borderId="5" xfId="0" applyFont="1" applyBorder="1" applyAlignment="1">
      <alignment vertical="top" wrapText="1" shrinkToFit="1"/>
    </xf>
    <xf numFmtId="0" fontId="11"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2" fillId="0" borderId="2" xfId="0" applyFont="1" applyBorder="1" applyAlignment="1">
      <alignment horizontal="left" vertical="center"/>
    </xf>
    <xf numFmtId="0" fontId="5" fillId="0" borderId="3" xfId="0" applyFont="1" applyBorder="1" applyAlignment="1">
      <alignment vertical="center"/>
    </xf>
    <xf numFmtId="0" fontId="5" fillId="0" borderId="4" xfId="0" applyFont="1" applyBorder="1" applyAlignment="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2"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pplyAlignment="1">
      <alignment vertical="center"/>
    </xf>
    <xf numFmtId="0" fontId="5" fillId="0" borderId="18" xfId="0" applyFont="1" applyBorder="1" applyAlignment="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3" borderId="19" xfId="0" applyFont="1" applyFill="1" applyBorder="1" applyAlignment="1">
      <alignment vertical="top" wrapText="1" shrinkToFit="1"/>
    </xf>
    <xf numFmtId="0" fontId="2" fillId="3" borderId="20" xfId="0" applyFont="1" applyFill="1" applyBorder="1" applyAlignment="1">
      <alignment vertical="top" wrapText="1" shrinkToFit="1"/>
    </xf>
    <xf numFmtId="0" fontId="2" fillId="3" borderId="18" xfId="0" applyFont="1" applyFill="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3" borderId="37" xfId="0" applyFont="1" applyFill="1" applyBorder="1" applyAlignment="1">
      <alignment vertical="top" wrapText="1" shrinkToFit="1"/>
    </xf>
    <xf numFmtId="0" fontId="2" fillId="3" borderId="38" xfId="0" applyFont="1" applyFill="1" applyBorder="1" applyAlignment="1">
      <alignment vertical="top" wrapText="1" shrinkToFit="1"/>
    </xf>
    <xf numFmtId="0" fontId="2" fillId="3" borderId="39" xfId="0" applyFont="1" applyFill="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34" xfId="0" applyFont="1" applyBorder="1" applyAlignment="1">
      <alignment vertical="top" wrapText="1" shrinkToFit="1"/>
    </xf>
    <xf numFmtId="0" fontId="2" fillId="0" borderId="36" xfId="0" applyFont="1" applyBorder="1" applyAlignment="1">
      <alignment vertical="top" wrapText="1" shrinkToFit="1"/>
    </xf>
    <xf numFmtId="0" fontId="2" fillId="0" borderId="35" xfId="0" applyFont="1" applyBorder="1" applyAlignment="1">
      <alignment vertical="top"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view="pageBreakPreview" topLeftCell="A86" zoomScale="55" zoomScaleNormal="100" zoomScaleSheetLayoutView="55" workbookViewId="0">
      <selection activeCell="D86" sqref="D86"/>
    </sheetView>
  </sheetViews>
  <sheetFormatPr defaultColWidth="9" defaultRowHeight="18.75" customHeight="1" x14ac:dyDescent="0.15"/>
  <cols>
    <col min="1" max="1" width="2.375" style="1" customWidth="1"/>
    <col min="2" max="2" width="16.37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51" t="s">
        <v>0</v>
      </c>
      <c r="S1" s="151"/>
      <c r="T1" s="2" t="s">
        <v>1</v>
      </c>
    </row>
    <row r="2" spans="1:22" ht="18.75" customHeight="1" x14ac:dyDescent="0.15">
      <c r="B2" s="27" t="s">
        <v>2</v>
      </c>
      <c r="C2" s="96" t="s">
        <v>3</v>
      </c>
      <c r="D2" s="97"/>
      <c r="E2" s="97"/>
      <c r="F2" s="97"/>
      <c r="G2" s="97"/>
      <c r="H2" s="97"/>
      <c r="I2" s="98"/>
      <c r="J2" s="28"/>
      <c r="K2" s="6"/>
      <c r="L2" s="6"/>
      <c r="M2" s="6"/>
      <c r="N2" s="6"/>
      <c r="O2" s="6"/>
      <c r="P2" s="6"/>
      <c r="Q2" s="6"/>
      <c r="R2" s="6"/>
      <c r="S2" s="6"/>
    </row>
    <row r="3" spans="1:22" ht="18.75" customHeight="1" x14ac:dyDescent="0.15">
      <c r="B3" s="27" t="s">
        <v>4</v>
      </c>
      <c r="C3" s="96" t="s">
        <v>5</v>
      </c>
      <c r="D3" s="97"/>
      <c r="E3" s="97"/>
      <c r="F3" s="97"/>
      <c r="G3" s="97"/>
      <c r="H3" s="97"/>
      <c r="I3" s="98"/>
      <c r="J3" s="28"/>
      <c r="K3" s="6"/>
      <c r="L3" s="6"/>
      <c r="M3" s="6"/>
      <c r="N3" s="6"/>
      <c r="O3" s="6"/>
      <c r="P3" s="6"/>
      <c r="Q3" s="6"/>
      <c r="R3" s="6"/>
      <c r="S3" s="6"/>
    </row>
    <row r="4" spans="1:22" ht="15" customHeight="1" x14ac:dyDescent="0.15">
      <c r="K4" s="28"/>
      <c r="L4" s="30"/>
      <c r="M4" s="30"/>
      <c r="N4" s="30"/>
      <c r="O4" s="30"/>
      <c r="P4" s="30"/>
      <c r="Q4" s="30"/>
      <c r="R4" s="30"/>
      <c r="S4" s="30"/>
    </row>
    <row r="5" spans="1:22" ht="18" customHeight="1" x14ac:dyDescent="0.15">
      <c r="A5" s="155" t="s">
        <v>6</v>
      </c>
      <c r="B5" s="155"/>
      <c r="C5" s="155"/>
      <c r="D5" s="155"/>
      <c r="E5" s="155"/>
      <c r="F5" s="155"/>
      <c r="G5" s="155"/>
      <c r="H5" s="155"/>
      <c r="I5" s="155"/>
      <c r="J5" s="155"/>
      <c r="K5" s="155"/>
      <c r="L5" s="155"/>
      <c r="M5" s="155"/>
      <c r="N5" s="155"/>
      <c r="O5" s="155"/>
      <c r="P5" s="155"/>
      <c r="Q5" s="155"/>
      <c r="R5" s="155"/>
      <c r="S5" s="155"/>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7</v>
      </c>
      <c r="C7" s="3"/>
      <c r="J7" s="31" t="s">
        <v>8</v>
      </c>
      <c r="K7" s="165" t="s">
        <v>9</v>
      </c>
      <c r="L7" s="166"/>
      <c r="M7" s="166"/>
      <c r="N7" s="166"/>
      <c r="O7" s="166"/>
      <c r="P7" s="166"/>
      <c r="Q7" s="166"/>
      <c r="R7" s="166"/>
      <c r="S7" s="167"/>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68"/>
      <c r="C9" s="169"/>
      <c r="D9" s="169"/>
      <c r="E9" s="169"/>
      <c r="F9" s="169"/>
      <c r="G9" s="169"/>
      <c r="H9" s="169"/>
      <c r="I9" s="169"/>
      <c r="J9" s="169"/>
      <c r="K9" s="169"/>
      <c r="L9" s="169"/>
      <c r="M9" s="169"/>
      <c r="N9" s="169"/>
      <c r="O9" s="169"/>
      <c r="P9" s="169"/>
      <c r="Q9" s="169"/>
      <c r="R9" s="169"/>
      <c r="S9" s="170"/>
    </row>
    <row r="10" spans="1:22" ht="18" customHeight="1" x14ac:dyDescent="0.15">
      <c r="B10" s="171"/>
      <c r="C10" s="172"/>
      <c r="D10" s="172"/>
      <c r="E10" s="172"/>
      <c r="F10" s="172"/>
      <c r="G10" s="172"/>
      <c r="H10" s="172"/>
      <c r="I10" s="172"/>
      <c r="J10" s="172"/>
      <c r="K10" s="172"/>
      <c r="L10" s="172"/>
      <c r="M10" s="172"/>
      <c r="N10" s="172"/>
      <c r="O10" s="172"/>
      <c r="P10" s="172"/>
      <c r="Q10" s="172"/>
      <c r="R10" s="172"/>
      <c r="S10" s="173"/>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10</v>
      </c>
      <c r="B12" s="3"/>
      <c r="C12" s="3"/>
      <c r="D12" s="28"/>
      <c r="E12" s="28"/>
      <c r="F12" s="28"/>
      <c r="G12" s="28"/>
      <c r="H12" s="28"/>
      <c r="I12" s="28"/>
      <c r="J12" s="28"/>
      <c r="K12" s="32"/>
      <c r="L12" s="32"/>
      <c r="M12" s="32"/>
      <c r="N12" s="32"/>
      <c r="O12" s="32"/>
      <c r="P12" s="32"/>
      <c r="Q12" s="32"/>
      <c r="R12" s="32"/>
      <c r="S12" s="32"/>
    </row>
    <row r="13" spans="1:22" ht="18" customHeight="1" x14ac:dyDescent="0.15">
      <c r="B13" s="156" t="s">
        <v>11</v>
      </c>
      <c r="C13" s="157"/>
      <c r="D13" s="157"/>
      <c r="E13" s="157"/>
      <c r="F13" s="157"/>
      <c r="G13" s="157"/>
      <c r="H13" s="157"/>
      <c r="I13" s="157"/>
      <c r="J13" s="157"/>
      <c r="K13" s="157"/>
      <c r="L13" s="157"/>
      <c r="M13" s="157"/>
      <c r="N13" s="157"/>
      <c r="O13" s="157"/>
      <c r="P13" s="157"/>
      <c r="Q13" s="157"/>
      <c r="R13" s="157"/>
      <c r="S13" s="158"/>
      <c r="V13" s="1" t="s">
        <v>12</v>
      </c>
    </row>
    <row r="14" spans="1:22" ht="18" customHeight="1" x14ac:dyDescent="0.15">
      <c r="B14" s="159"/>
      <c r="C14" s="160"/>
      <c r="D14" s="160"/>
      <c r="E14" s="160"/>
      <c r="F14" s="160"/>
      <c r="G14" s="160"/>
      <c r="H14" s="160"/>
      <c r="I14" s="160"/>
      <c r="J14" s="160"/>
      <c r="K14" s="160"/>
      <c r="L14" s="160"/>
      <c r="M14" s="160"/>
      <c r="N14" s="160"/>
      <c r="O14" s="160"/>
      <c r="P14" s="160"/>
      <c r="Q14" s="160"/>
      <c r="R14" s="160"/>
      <c r="S14" s="161"/>
      <c r="V14" s="1" t="s">
        <v>13</v>
      </c>
    </row>
    <row r="15" spans="1:22" ht="18" customHeight="1" x14ac:dyDescent="0.15">
      <c r="B15" s="159"/>
      <c r="C15" s="160"/>
      <c r="D15" s="160"/>
      <c r="E15" s="160"/>
      <c r="F15" s="160"/>
      <c r="G15" s="160"/>
      <c r="H15" s="160"/>
      <c r="I15" s="160"/>
      <c r="J15" s="160"/>
      <c r="K15" s="160"/>
      <c r="L15" s="160"/>
      <c r="M15" s="160"/>
      <c r="N15" s="160"/>
      <c r="O15" s="160"/>
      <c r="P15" s="160"/>
      <c r="Q15" s="160"/>
      <c r="R15" s="160"/>
      <c r="S15" s="161"/>
      <c r="V15" s="1" t="s">
        <v>14</v>
      </c>
    </row>
    <row r="16" spans="1:22" ht="18" customHeight="1" x14ac:dyDescent="0.15">
      <c r="B16" s="159"/>
      <c r="C16" s="160"/>
      <c r="D16" s="160"/>
      <c r="E16" s="160"/>
      <c r="F16" s="160"/>
      <c r="G16" s="160"/>
      <c r="H16" s="160"/>
      <c r="I16" s="160"/>
      <c r="J16" s="160"/>
      <c r="K16" s="160"/>
      <c r="L16" s="160"/>
      <c r="M16" s="160"/>
      <c r="N16" s="160"/>
      <c r="O16" s="160"/>
      <c r="P16" s="160"/>
      <c r="Q16" s="160"/>
      <c r="R16" s="160"/>
      <c r="S16" s="161"/>
      <c r="V16" s="1" t="s">
        <v>15</v>
      </c>
    </row>
    <row r="17" spans="1:19" ht="18" customHeight="1" x14ac:dyDescent="0.15">
      <c r="B17" s="159"/>
      <c r="C17" s="160"/>
      <c r="D17" s="160"/>
      <c r="E17" s="160"/>
      <c r="F17" s="160"/>
      <c r="G17" s="160"/>
      <c r="H17" s="160"/>
      <c r="I17" s="160"/>
      <c r="J17" s="160"/>
      <c r="K17" s="160"/>
      <c r="L17" s="160"/>
      <c r="M17" s="160"/>
      <c r="N17" s="160"/>
      <c r="O17" s="160"/>
      <c r="P17" s="160"/>
      <c r="Q17" s="160"/>
      <c r="R17" s="160"/>
      <c r="S17" s="161"/>
    </row>
    <row r="18" spans="1:19" ht="18" customHeight="1" x14ac:dyDescent="0.15">
      <c r="B18" s="162"/>
      <c r="C18" s="163"/>
      <c r="D18" s="163"/>
      <c r="E18" s="163"/>
      <c r="F18" s="163"/>
      <c r="G18" s="163"/>
      <c r="H18" s="163"/>
      <c r="I18" s="163"/>
      <c r="J18" s="163"/>
      <c r="K18" s="163"/>
      <c r="L18" s="163"/>
      <c r="M18" s="163"/>
      <c r="N18" s="163"/>
      <c r="O18" s="163"/>
      <c r="P18" s="163"/>
      <c r="Q18" s="163"/>
      <c r="R18" s="163"/>
      <c r="S18" s="164"/>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16</v>
      </c>
      <c r="C20" s="96">
        <v>2</v>
      </c>
      <c r="D20" s="98"/>
      <c r="E20" s="33" t="s">
        <v>17</v>
      </c>
      <c r="G20" s="10"/>
      <c r="H20" s="3"/>
      <c r="I20" s="3"/>
      <c r="J20" s="28" t="s">
        <v>18</v>
      </c>
      <c r="K20" s="152" t="s">
        <v>19</v>
      </c>
      <c r="L20" s="153"/>
      <c r="M20" s="153"/>
      <c r="N20" s="153"/>
      <c r="O20" s="153"/>
      <c r="P20" s="153"/>
      <c r="Q20" s="153"/>
      <c r="R20" s="153"/>
      <c r="S20" s="154"/>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02" t="s">
        <v>20</v>
      </c>
      <c r="B22" s="102"/>
      <c r="C22" s="102"/>
      <c r="D22" s="102"/>
      <c r="E22" s="102"/>
      <c r="F22" s="102"/>
      <c r="G22" s="102"/>
      <c r="H22" s="102"/>
      <c r="I22" s="102"/>
      <c r="J22" s="102"/>
      <c r="K22" s="102"/>
      <c r="L22" s="102"/>
      <c r="M22" s="102"/>
      <c r="N22" s="102"/>
      <c r="O22" s="102"/>
      <c r="P22" s="102"/>
      <c r="Q22" s="102"/>
      <c r="R22" s="102"/>
      <c r="S22" s="102"/>
    </row>
    <row r="23" spans="1:19" ht="18" customHeight="1" x14ac:dyDescent="0.15">
      <c r="A23" s="102"/>
      <c r="B23" s="102"/>
      <c r="C23" s="102"/>
      <c r="D23" s="102"/>
      <c r="E23" s="102"/>
      <c r="F23" s="102"/>
      <c r="G23" s="102"/>
      <c r="H23" s="102"/>
      <c r="I23" s="102"/>
      <c r="J23" s="102"/>
      <c r="K23" s="102"/>
      <c r="L23" s="102"/>
      <c r="M23" s="102"/>
      <c r="N23" s="102"/>
      <c r="O23" s="102"/>
      <c r="P23" s="102"/>
      <c r="Q23" s="102"/>
      <c r="R23" s="102"/>
      <c r="S23" s="102"/>
    </row>
    <row r="24" spans="1:19" ht="18" customHeight="1" x14ac:dyDescent="0.15">
      <c r="B24" s="96" t="s">
        <v>21</v>
      </c>
      <c r="C24" s="97"/>
      <c r="D24" s="97"/>
      <c r="E24" s="98"/>
      <c r="F24" s="53" t="s">
        <v>22</v>
      </c>
      <c r="G24" s="52" t="s">
        <v>23</v>
      </c>
      <c r="H24" s="20" t="s">
        <v>24</v>
      </c>
      <c r="I24" s="20" t="s">
        <v>25</v>
      </c>
      <c r="J24" s="96" t="s">
        <v>21</v>
      </c>
      <c r="K24" s="97"/>
      <c r="L24" s="97"/>
      <c r="M24" s="97"/>
      <c r="N24" s="97"/>
      <c r="O24" s="98"/>
      <c r="P24" s="53" t="s">
        <v>22</v>
      </c>
      <c r="Q24" s="52" t="s">
        <v>23</v>
      </c>
      <c r="R24" s="20" t="s">
        <v>24</v>
      </c>
      <c r="S24" s="20" t="s">
        <v>25</v>
      </c>
    </row>
    <row r="25" spans="1:19" ht="18" customHeight="1" x14ac:dyDescent="0.15">
      <c r="B25" s="90" t="s">
        <v>26</v>
      </c>
      <c r="C25" s="91"/>
      <c r="D25" s="91"/>
      <c r="E25" s="92"/>
      <c r="F25" s="21">
        <v>2</v>
      </c>
      <c r="G25" s="21" t="s">
        <v>27</v>
      </c>
      <c r="H25" s="21" t="s">
        <v>27</v>
      </c>
      <c r="I25" s="21" t="s">
        <v>27</v>
      </c>
      <c r="J25" s="90"/>
      <c r="K25" s="91"/>
      <c r="L25" s="91"/>
      <c r="M25" s="91"/>
      <c r="N25" s="91"/>
      <c r="O25" s="92"/>
      <c r="P25" s="21"/>
      <c r="Q25" s="21"/>
      <c r="R25" s="21"/>
      <c r="S25" s="21"/>
    </row>
    <row r="26" spans="1:19" ht="18" customHeight="1" x14ac:dyDescent="0.15">
      <c r="B26" s="93"/>
      <c r="C26" s="94"/>
      <c r="D26" s="94"/>
      <c r="E26" s="95"/>
      <c r="F26" s="22"/>
      <c r="G26" s="22"/>
      <c r="H26" s="22"/>
      <c r="I26" s="22"/>
      <c r="J26" s="93"/>
      <c r="K26" s="94"/>
      <c r="L26" s="94"/>
      <c r="M26" s="94"/>
      <c r="N26" s="94"/>
      <c r="O26" s="95"/>
      <c r="P26" s="22"/>
      <c r="Q26" s="22"/>
      <c r="R26" s="22"/>
      <c r="S26" s="22"/>
    </row>
    <row r="27" spans="1:19" ht="18" customHeight="1" x14ac:dyDescent="0.15">
      <c r="B27" s="93"/>
      <c r="C27" s="94"/>
      <c r="D27" s="94"/>
      <c r="E27" s="95"/>
      <c r="F27" s="22"/>
      <c r="G27" s="22"/>
      <c r="H27" s="22"/>
      <c r="I27" s="22"/>
      <c r="J27" s="93"/>
      <c r="K27" s="94"/>
      <c r="L27" s="94"/>
      <c r="M27" s="94"/>
      <c r="N27" s="94"/>
      <c r="O27" s="95"/>
      <c r="P27" s="22"/>
      <c r="Q27" s="22"/>
      <c r="R27" s="22"/>
      <c r="S27" s="22"/>
    </row>
    <row r="28" spans="1:19" ht="18" customHeight="1" x14ac:dyDescent="0.15">
      <c r="B28" s="93"/>
      <c r="C28" s="94"/>
      <c r="D28" s="94"/>
      <c r="E28" s="95"/>
      <c r="F28" s="22"/>
      <c r="G28" s="22"/>
      <c r="H28" s="22"/>
      <c r="I28" s="22"/>
      <c r="J28" s="93"/>
      <c r="K28" s="94"/>
      <c r="L28" s="94"/>
      <c r="M28" s="94"/>
      <c r="N28" s="94"/>
      <c r="O28" s="95"/>
      <c r="P28" s="22"/>
      <c r="Q28" s="22"/>
      <c r="R28" s="22"/>
      <c r="S28" s="22"/>
    </row>
    <row r="29" spans="1:19" ht="18" customHeight="1" x14ac:dyDescent="0.15">
      <c r="B29" s="93"/>
      <c r="C29" s="94"/>
      <c r="D29" s="94"/>
      <c r="E29" s="95"/>
      <c r="F29" s="22"/>
      <c r="G29" s="22"/>
      <c r="H29" s="22"/>
      <c r="I29" s="22"/>
      <c r="J29" s="93"/>
      <c r="K29" s="94"/>
      <c r="L29" s="94"/>
      <c r="M29" s="94"/>
      <c r="N29" s="94"/>
      <c r="O29" s="95"/>
      <c r="P29" s="22"/>
      <c r="Q29" s="22"/>
      <c r="R29" s="22"/>
      <c r="S29" s="22"/>
    </row>
    <row r="30" spans="1:19" ht="18" customHeight="1" x14ac:dyDescent="0.15">
      <c r="A30" s="3"/>
      <c r="B30" s="93"/>
      <c r="C30" s="94"/>
      <c r="D30" s="94"/>
      <c r="E30" s="95"/>
      <c r="F30" s="22"/>
      <c r="G30" s="22"/>
      <c r="H30" s="22"/>
      <c r="I30" s="22"/>
      <c r="J30" s="93"/>
      <c r="K30" s="94"/>
      <c r="L30" s="94"/>
      <c r="M30" s="94"/>
      <c r="N30" s="94"/>
      <c r="O30" s="95"/>
      <c r="P30" s="22"/>
      <c r="Q30" s="22"/>
      <c r="R30" s="22"/>
      <c r="S30" s="22"/>
    </row>
    <row r="31" spans="1:19" ht="18" customHeight="1" x14ac:dyDescent="0.15">
      <c r="A31" s="3"/>
      <c r="B31" s="99"/>
      <c r="C31" s="100"/>
      <c r="D31" s="100"/>
      <c r="E31" s="101"/>
      <c r="F31" s="23"/>
      <c r="G31" s="23"/>
      <c r="H31" s="24"/>
      <c r="I31" s="24"/>
      <c r="J31" s="99"/>
      <c r="K31" s="100"/>
      <c r="L31" s="100"/>
      <c r="M31" s="100"/>
      <c r="N31" s="100"/>
      <c r="O31" s="101"/>
      <c r="P31" s="23"/>
      <c r="Q31" s="23"/>
      <c r="R31" s="24"/>
      <c r="S31" s="24"/>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02" t="s">
        <v>28</v>
      </c>
      <c r="B33" s="102"/>
      <c r="C33" s="102"/>
      <c r="D33" s="102"/>
      <c r="E33" s="102"/>
      <c r="F33" s="102"/>
      <c r="G33" s="102"/>
      <c r="H33" s="102"/>
      <c r="I33" s="102"/>
      <c r="J33" s="102"/>
      <c r="K33" s="102"/>
      <c r="L33" s="102"/>
      <c r="M33" s="102"/>
      <c r="N33" s="102"/>
      <c r="O33" s="102"/>
      <c r="P33" s="102"/>
      <c r="Q33" s="102"/>
      <c r="R33" s="102"/>
      <c r="S33" s="102"/>
    </row>
    <row r="34" spans="1:19" ht="18" customHeight="1" x14ac:dyDescent="0.15">
      <c r="A34" s="102"/>
      <c r="B34" s="102"/>
      <c r="C34" s="102"/>
      <c r="D34" s="102"/>
      <c r="E34" s="102"/>
      <c r="F34" s="102"/>
      <c r="G34" s="102"/>
      <c r="H34" s="102"/>
      <c r="I34" s="102"/>
      <c r="J34" s="102"/>
      <c r="K34" s="102"/>
      <c r="L34" s="102"/>
      <c r="M34" s="102"/>
      <c r="N34" s="102"/>
      <c r="O34" s="102"/>
      <c r="P34" s="102"/>
      <c r="Q34" s="102"/>
      <c r="R34" s="102"/>
      <c r="S34" s="102"/>
    </row>
    <row r="35" spans="1:19" ht="18" customHeight="1" x14ac:dyDescent="0.15">
      <c r="B35" s="96" t="s">
        <v>21</v>
      </c>
      <c r="C35" s="97"/>
      <c r="D35" s="97"/>
      <c r="E35" s="98"/>
      <c r="F35" s="53" t="s">
        <v>22</v>
      </c>
      <c r="G35" s="52" t="s">
        <v>23</v>
      </c>
      <c r="H35" s="20" t="s">
        <v>29</v>
      </c>
      <c r="I35" s="20" t="s">
        <v>30</v>
      </c>
      <c r="J35" s="96" t="s">
        <v>21</v>
      </c>
      <c r="K35" s="97"/>
      <c r="L35" s="97"/>
      <c r="M35" s="97"/>
      <c r="N35" s="97"/>
      <c r="O35" s="98"/>
      <c r="P35" s="53" t="s">
        <v>22</v>
      </c>
      <c r="Q35" s="52" t="s">
        <v>23</v>
      </c>
      <c r="R35" s="20" t="s">
        <v>29</v>
      </c>
      <c r="S35" s="20" t="s">
        <v>30</v>
      </c>
    </row>
    <row r="36" spans="1:19" ht="18" customHeight="1" x14ac:dyDescent="0.15">
      <c r="B36" s="90" t="s">
        <v>26</v>
      </c>
      <c r="C36" s="91"/>
      <c r="D36" s="91"/>
      <c r="E36" s="92"/>
      <c r="F36" s="21">
        <v>2</v>
      </c>
      <c r="G36" s="21" t="s">
        <v>27</v>
      </c>
      <c r="H36" s="21" t="s">
        <v>27</v>
      </c>
      <c r="I36" s="21" t="s">
        <v>27</v>
      </c>
      <c r="J36" s="90"/>
      <c r="K36" s="91"/>
      <c r="L36" s="91"/>
      <c r="M36" s="91"/>
      <c r="N36" s="91"/>
      <c r="O36" s="92"/>
      <c r="P36" s="21"/>
      <c r="Q36" s="21"/>
      <c r="R36" s="21"/>
      <c r="S36" s="21"/>
    </row>
    <row r="37" spans="1:19" ht="18" customHeight="1" x14ac:dyDescent="0.15">
      <c r="B37" s="93"/>
      <c r="C37" s="94"/>
      <c r="D37" s="94"/>
      <c r="E37" s="95"/>
      <c r="F37" s="22"/>
      <c r="G37" s="22"/>
      <c r="H37" s="22"/>
      <c r="I37" s="22"/>
      <c r="J37" s="93"/>
      <c r="K37" s="94"/>
      <c r="L37" s="94"/>
      <c r="M37" s="94"/>
      <c r="N37" s="94"/>
      <c r="O37" s="95"/>
      <c r="P37" s="22"/>
      <c r="Q37" s="22"/>
      <c r="R37" s="22"/>
      <c r="S37" s="22"/>
    </row>
    <row r="38" spans="1:19" ht="18" customHeight="1" x14ac:dyDescent="0.15">
      <c r="B38" s="93"/>
      <c r="C38" s="94"/>
      <c r="D38" s="94"/>
      <c r="E38" s="95"/>
      <c r="F38" s="22"/>
      <c r="G38" s="22"/>
      <c r="H38" s="22"/>
      <c r="I38" s="22"/>
      <c r="J38" s="93"/>
      <c r="K38" s="94"/>
      <c r="L38" s="94"/>
      <c r="M38" s="94"/>
      <c r="N38" s="94"/>
      <c r="O38" s="95"/>
      <c r="P38" s="22"/>
      <c r="Q38" s="22"/>
      <c r="R38" s="22"/>
      <c r="S38" s="22"/>
    </row>
    <row r="39" spans="1:19" ht="18" customHeight="1" x14ac:dyDescent="0.15">
      <c r="B39" s="93"/>
      <c r="C39" s="94"/>
      <c r="D39" s="94"/>
      <c r="E39" s="95"/>
      <c r="F39" s="22"/>
      <c r="G39" s="22"/>
      <c r="H39" s="22"/>
      <c r="I39" s="22"/>
      <c r="J39" s="93"/>
      <c r="K39" s="94"/>
      <c r="L39" s="94"/>
      <c r="M39" s="94"/>
      <c r="N39" s="94"/>
      <c r="O39" s="95"/>
      <c r="P39" s="22"/>
      <c r="Q39" s="22"/>
      <c r="R39" s="22"/>
      <c r="S39" s="22"/>
    </row>
    <row r="40" spans="1:19" ht="18" customHeight="1" x14ac:dyDescent="0.15">
      <c r="B40" s="93"/>
      <c r="C40" s="94"/>
      <c r="D40" s="94"/>
      <c r="E40" s="95"/>
      <c r="F40" s="22"/>
      <c r="G40" s="22"/>
      <c r="H40" s="22"/>
      <c r="I40" s="22"/>
      <c r="J40" s="93"/>
      <c r="K40" s="94"/>
      <c r="L40" s="94"/>
      <c r="M40" s="94"/>
      <c r="N40" s="94"/>
      <c r="O40" s="95"/>
      <c r="P40" s="22"/>
      <c r="Q40" s="22"/>
      <c r="R40" s="22"/>
      <c r="S40" s="22"/>
    </row>
    <row r="41" spans="1:19" ht="18" customHeight="1" x14ac:dyDescent="0.15">
      <c r="B41" s="93"/>
      <c r="C41" s="94"/>
      <c r="D41" s="94"/>
      <c r="E41" s="95"/>
      <c r="F41" s="22"/>
      <c r="G41" s="22"/>
      <c r="H41" s="22"/>
      <c r="I41" s="22"/>
      <c r="J41" s="93"/>
      <c r="K41" s="94"/>
      <c r="L41" s="94"/>
      <c r="M41" s="94"/>
      <c r="N41" s="94"/>
      <c r="O41" s="95"/>
      <c r="P41" s="22"/>
      <c r="Q41" s="22"/>
      <c r="R41" s="22"/>
      <c r="S41" s="22"/>
    </row>
    <row r="42" spans="1:19" ht="18" customHeight="1" x14ac:dyDescent="0.15">
      <c r="B42" s="99"/>
      <c r="C42" s="100"/>
      <c r="D42" s="100"/>
      <c r="E42" s="101"/>
      <c r="F42" s="23"/>
      <c r="G42" s="23"/>
      <c r="H42" s="24"/>
      <c r="I42" s="24"/>
      <c r="J42" s="99"/>
      <c r="K42" s="100"/>
      <c r="L42" s="100"/>
      <c r="M42" s="100"/>
      <c r="N42" s="100"/>
      <c r="O42" s="101"/>
      <c r="P42" s="23"/>
      <c r="Q42" s="23"/>
      <c r="R42" s="24"/>
      <c r="S42" s="24"/>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02" t="s">
        <v>31</v>
      </c>
      <c r="B44" s="102"/>
      <c r="C44" s="102"/>
      <c r="D44" s="102"/>
      <c r="E44" s="102"/>
      <c r="F44" s="102"/>
      <c r="G44" s="102"/>
      <c r="H44" s="102"/>
      <c r="I44" s="102"/>
      <c r="J44" s="102"/>
      <c r="K44" s="102"/>
      <c r="L44" s="102"/>
      <c r="M44" s="102"/>
      <c r="N44" s="102"/>
      <c r="O44" s="102"/>
      <c r="P44" s="102"/>
      <c r="Q44" s="102"/>
      <c r="R44" s="102"/>
      <c r="S44" s="102"/>
    </row>
    <row r="45" spans="1:19" ht="18" customHeight="1" x14ac:dyDescent="0.15">
      <c r="A45" s="102"/>
      <c r="B45" s="102"/>
      <c r="C45" s="102"/>
      <c r="D45" s="102"/>
      <c r="E45" s="102"/>
      <c r="F45" s="102"/>
      <c r="G45" s="102"/>
      <c r="H45" s="102"/>
      <c r="I45" s="102"/>
      <c r="J45" s="102"/>
      <c r="K45" s="102"/>
      <c r="L45" s="102"/>
      <c r="M45" s="102"/>
      <c r="N45" s="102"/>
      <c r="O45" s="102"/>
      <c r="P45" s="102"/>
      <c r="Q45" s="102"/>
      <c r="R45" s="102"/>
      <c r="S45" s="102"/>
    </row>
    <row r="46" spans="1:19" ht="18" customHeight="1" x14ac:dyDescent="0.15">
      <c r="B46" s="96" t="s">
        <v>21</v>
      </c>
      <c r="C46" s="97"/>
      <c r="D46" s="97"/>
      <c r="E46" s="98"/>
      <c r="F46" s="53" t="s">
        <v>22</v>
      </c>
      <c r="G46" s="52" t="s">
        <v>23</v>
      </c>
      <c r="H46" s="20" t="s">
        <v>32</v>
      </c>
      <c r="I46" s="20" t="s">
        <v>33</v>
      </c>
      <c r="J46" s="96" t="s">
        <v>21</v>
      </c>
      <c r="K46" s="97"/>
      <c r="L46" s="97"/>
      <c r="M46" s="97"/>
      <c r="N46" s="97"/>
      <c r="O46" s="98"/>
      <c r="P46" s="53" t="s">
        <v>22</v>
      </c>
      <c r="Q46" s="52" t="s">
        <v>23</v>
      </c>
      <c r="R46" s="20" t="s">
        <v>32</v>
      </c>
      <c r="S46" s="20" t="s">
        <v>33</v>
      </c>
    </row>
    <row r="47" spans="1:19" ht="18" customHeight="1" x14ac:dyDescent="0.15">
      <c r="A47" s="3"/>
      <c r="B47" s="90" t="s">
        <v>26</v>
      </c>
      <c r="C47" s="91"/>
      <c r="D47" s="91"/>
      <c r="E47" s="92"/>
      <c r="F47" s="21">
        <v>2</v>
      </c>
      <c r="G47" s="21" t="s">
        <v>27</v>
      </c>
      <c r="H47" s="21" t="s">
        <v>27</v>
      </c>
      <c r="I47" s="21" t="s">
        <v>27</v>
      </c>
      <c r="J47" s="90"/>
      <c r="K47" s="91"/>
      <c r="L47" s="91"/>
      <c r="M47" s="91"/>
      <c r="N47" s="91"/>
      <c r="O47" s="92"/>
      <c r="P47" s="21"/>
      <c r="Q47" s="21"/>
      <c r="R47" s="21"/>
      <c r="S47" s="21"/>
    </row>
    <row r="48" spans="1:19" ht="18" customHeight="1" x14ac:dyDescent="0.15">
      <c r="A48" s="3"/>
      <c r="B48" s="93"/>
      <c r="C48" s="94"/>
      <c r="D48" s="94"/>
      <c r="E48" s="95"/>
      <c r="F48" s="22"/>
      <c r="G48" s="22"/>
      <c r="H48" s="22"/>
      <c r="I48" s="22"/>
      <c r="J48" s="93"/>
      <c r="K48" s="94"/>
      <c r="L48" s="94"/>
      <c r="M48" s="94"/>
      <c r="N48" s="94"/>
      <c r="O48" s="95"/>
      <c r="P48" s="22"/>
      <c r="Q48" s="22"/>
      <c r="R48" s="22"/>
      <c r="S48" s="22"/>
    </row>
    <row r="49" spans="1:19" ht="18" customHeight="1" x14ac:dyDescent="0.15">
      <c r="A49" s="3"/>
      <c r="B49" s="93"/>
      <c r="C49" s="94"/>
      <c r="D49" s="94"/>
      <c r="E49" s="95"/>
      <c r="F49" s="22"/>
      <c r="G49" s="22"/>
      <c r="H49" s="22"/>
      <c r="I49" s="22"/>
      <c r="J49" s="93"/>
      <c r="K49" s="94"/>
      <c r="L49" s="94"/>
      <c r="M49" s="94"/>
      <c r="N49" s="94"/>
      <c r="O49" s="95"/>
      <c r="P49" s="22"/>
      <c r="Q49" s="22"/>
      <c r="R49" s="22"/>
      <c r="S49" s="22"/>
    </row>
    <row r="50" spans="1:19" ht="18" customHeight="1" x14ac:dyDescent="0.15">
      <c r="A50" s="3"/>
      <c r="B50" s="93"/>
      <c r="C50" s="94"/>
      <c r="D50" s="94"/>
      <c r="E50" s="95"/>
      <c r="F50" s="22"/>
      <c r="G50" s="22"/>
      <c r="H50" s="22"/>
      <c r="I50" s="22"/>
      <c r="J50" s="93"/>
      <c r="K50" s="94"/>
      <c r="L50" s="94"/>
      <c r="M50" s="94"/>
      <c r="N50" s="94"/>
      <c r="O50" s="95"/>
      <c r="P50" s="22"/>
      <c r="Q50" s="22"/>
      <c r="R50" s="22"/>
      <c r="S50" s="22"/>
    </row>
    <row r="51" spans="1:19" ht="18" customHeight="1" x14ac:dyDescent="0.15">
      <c r="A51" s="3"/>
      <c r="B51" s="93"/>
      <c r="C51" s="94"/>
      <c r="D51" s="94"/>
      <c r="E51" s="95"/>
      <c r="F51" s="22"/>
      <c r="G51" s="22"/>
      <c r="H51" s="22"/>
      <c r="I51" s="22"/>
      <c r="J51" s="93"/>
      <c r="K51" s="94"/>
      <c r="L51" s="94"/>
      <c r="M51" s="94"/>
      <c r="N51" s="94"/>
      <c r="O51" s="95"/>
      <c r="P51" s="22"/>
      <c r="Q51" s="22"/>
      <c r="R51" s="22"/>
      <c r="S51" s="22"/>
    </row>
    <row r="52" spans="1:19" ht="18" customHeight="1" x14ac:dyDescent="0.15">
      <c r="A52" s="3"/>
      <c r="B52" s="93"/>
      <c r="C52" s="94"/>
      <c r="D52" s="94"/>
      <c r="E52" s="95"/>
      <c r="F52" s="22"/>
      <c r="G52" s="22"/>
      <c r="H52" s="22"/>
      <c r="I52" s="22"/>
      <c r="J52" s="93"/>
      <c r="K52" s="94"/>
      <c r="L52" s="94"/>
      <c r="M52" s="94"/>
      <c r="N52" s="94"/>
      <c r="O52" s="95"/>
      <c r="P52" s="22"/>
      <c r="Q52" s="22"/>
      <c r="R52" s="22"/>
      <c r="S52" s="22"/>
    </row>
    <row r="53" spans="1:19" ht="18" customHeight="1" x14ac:dyDescent="0.15">
      <c r="A53" s="3"/>
      <c r="B53" s="99"/>
      <c r="C53" s="100"/>
      <c r="D53" s="100"/>
      <c r="E53" s="101"/>
      <c r="F53" s="23"/>
      <c r="G53" s="23"/>
      <c r="H53" s="24"/>
      <c r="I53" s="24"/>
      <c r="J53" s="99"/>
      <c r="K53" s="100"/>
      <c r="L53" s="100"/>
      <c r="M53" s="100"/>
      <c r="N53" s="100"/>
      <c r="O53" s="101"/>
      <c r="P53" s="23"/>
      <c r="Q53" s="23"/>
      <c r="R53" s="24"/>
      <c r="S53" s="24"/>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02" t="s">
        <v>34</v>
      </c>
      <c r="B55" s="102"/>
      <c r="C55" s="102"/>
      <c r="D55" s="102"/>
      <c r="E55" s="102"/>
      <c r="F55" s="102"/>
      <c r="G55" s="102"/>
      <c r="H55" s="102"/>
      <c r="I55" s="102"/>
      <c r="J55" s="102"/>
      <c r="K55" s="102"/>
      <c r="L55" s="102"/>
      <c r="M55" s="102"/>
      <c r="N55" s="102"/>
      <c r="O55" s="102"/>
      <c r="P55" s="102"/>
      <c r="Q55" s="102"/>
      <c r="R55" s="102"/>
      <c r="S55" s="102"/>
    </row>
    <row r="56" spans="1:19" ht="18" customHeight="1" x14ac:dyDescent="0.15">
      <c r="A56" s="102"/>
      <c r="B56" s="102"/>
      <c r="C56" s="102"/>
      <c r="D56" s="102"/>
      <c r="E56" s="102"/>
      <c r="F56" s="102"/>
      <c r="G56" s="102"/>
      <c r="H56" s="102"/>
      <c r="I56" s="102"/>
      <c r="J56" s="102"/>
      <c r="K56" s="102"/>
      <c r="L56" s="102"/>
      <c r="M56" s="102"/>
      <c r="N56" s="102"/>
      <c r="O56" s="102"/>
      <c r="P56" s="102"/>
      <c r="Q56" s="102"/>
      <c r="R56" s="102"/>
      <c r="S56" s="102"/>
    </row>
    <row r="57" spans="1:19" ht="18" customHeight="1" x14ac:dyDescent="0.15">
      <c r="B57" s="96" t="s">
        <v>21</v>
      </c>
      <c r="C57" s="97"/>
      <c r="D57" s="97"/>
      <c r="E57" s="98"/>
      <c r="F57" s="53" t="s">
        <v>22</v>
      </c>
      <c r="G57" s="52" t="s">
        <v>23</v>
      </c>
      <c r="H57" s="20" t="s">
        <v>35</v>
      </c>
      <c r="I57" s="20" t="s">
        <v>36</v>
      </c>
      <c r="J57" s="96" t="s">
        <v>21</v>
      </c>
      <c r="K57" s="97"/>
      <c r="L57" s="97"/>
      <c r="M57" s="97"/>
      <c r="N57" s="97"/>
      <c r="O57" s="98"/>
      <c r="P57" s="53" t="s">
        <v>22</v>
      </c>
      <c r="Q57" s="52" t="s">
        <v>23</v>
      </c>
      <c r="R57" s="20" t="s">
        <v>35</v>
      </c>
      <c r="S57" s="20" t="s">
        <v>36</v>
      </c>
    </row>
    <row r="58" spans="1:19" ht="18" customHeight="1" x14ac:dyDescent="0.15">
      <c r="A58" s="3"/>
      <c r="B58" s="90" t="s">
        <v>26</v>
      </c>
      <c r="C58" s="91"/>
      <c r="D58" s="91"/>
      <c r="E58" s="92"/>
      <c r="F58" s="21">
        <v>2</v>
      </c>
      <c r="G58" s="21" t="s">
        <v>27</v>
      </c>
      <c r="H58" s="21" t="s">
        <v>27</v>
      </c>
      <c r="I58" s="21" t="s">
        <v>27</v>
      </c>
      <c r="J58" s="90"/>
      <c r="K58" s="91"/>
      <c r="L58" s="91"/>
      <c r="M58" s="91"/>
      <c r="N58" s="91"/>
      <c r="O58" s="92"/>
      <c r="P58" s="21"/>
      <c r="Q58" s="21"/>
      <c r="R58" s="21"/>
      <c r="S58" s="21"/>
    </row>
    <row r="59" spans="1:19" ht="18" customHeight="1" x14ac:dyDescent="0.15">
      <c r="A59" s="3"/>
      <c r="B59" s="93"/>
      <c r="C59" s="94"/>
      <c r="D59" s="94"/>
      <c r="E59" s="95"/>
      <c r="F59" s="22"/>
      <c r="G59" s="22"/>
      <c r="H59" s="22"/>
      <c r="I59" s="22"/>
      <c r="J59" s="93"/>
      <c r="K59" s="94"/>
      <c r="L59" s="94"/>
      <c r="M59" s="94"/>
      <c r="N59" s="94"/>
      <c r="O59" s="95"/>
      <c r="P59" s="22"/>
      <c r="Q59" s="22"/>
      <c r="R59" s="22"/>
      <c r="S59" s="22"/>
    </row>
    <row r="60" spans="1:19" ht="18" customHeight="1" x14ac:dyDescent="0.15">
      <c r="A60" s="3"/>
      <c r="B60" s="93"/>
      <c r="C60" s="94"/>
      <c r="D60" s="94"/>
      <c r="E60" s="95"/>
      <c r="F60" s="22"/>
      <c r="G60" s="22"/>
      <c r="H60" s="22"/>
      <c r="I60" s="22"/>
      <c r="J60" s="93"/>
      <c r="K60" s="94"/>
      <c r="L60" s="94"/>
      <c r="M60" s="94"/>
      <c r="N60" s="94"/>
      <c r="O60" s="95"/>
      <c r="P60" s="22"/>
      <c r="Q60" s="22"/>
      <c r="R60" s="22"/>
      <c r="S60" s="22"/>
    </row>
    <row r="61" spans="1:19" ht="18" customHeight="1" x14ac:dyDescent="0.15">
      <c r="A61" s="3"/>
      <c r="B61" s="93"/>
      <c r="C61" s="94"/>
      <c r="D61" s="94"/>
      <c r="E61" s="95"/>
      <c r="F61" s="22"/>
      <c r="G61" s="22"/>
      <c r="H61" s="22"/>
      <c r="I61" s="22"/>
      <c r="J61" s="93"/>
      <c r="K61" s="94"/>
      <c r="L61" s="94"/>
      <c r="M61" s="94"/>
      <c r="N61" s="94"/>
      <c r="O61" s="95"/>
      <c r="P61" s="22"/>
      <c r="Q61" s="22"/>
      <c r="R61" s="22"/>
      <c r="S61" s="22"/>
    </row>
    <row r="62" spans="1:19" ht="18" customHeight="1" x14ac:dyDescent="0.15">
      <c r="A62" s="3"/>
      <c r="B62" s="93"/>
      <c r="C62" s="94"/>
      <c r="D62" s="94"/>
      <c r="E62" s="95"/>
      <c r="F62" s="22"/>
      <c r="G62" s="22"/>
      <c r="H62" s="22"/>
      <c r="I62" s="22"/>
      <c r="J62" s="93"/>
      <c r="K62" s="94"/>
      <c r="L62" s="94"/>
      <c r="M62" s="94"/>
      <c r="N62" s="94"/>
      <c r="O62" s="95"/>
      <c r="P62" s="22"/>
      <c r="Q62" s="22"/>
      <c r="R62" s="22"/>
      <c r="S62" s="22"/>
    </row>
    <row r="63" spans="1:19" ht="18" customHeight="1" x14ac:dyDescent="0.15">
      <c r="A63" s="3"/>
      <c r="B63" s="93"/>
      <c r="C63" s="94"/>
      <c r="D63" s="94"/>
      <c r="E63" s="95"/>
      <c r="F63" s="22"/>
      <c r="G63" s="22"/>
      <c r="H63" s="22"/>
      <c r="I63" s="22"/>
      <c r="J63" s="93"/>
      <c r="K63" s="94"/>
      <c r="L63" s="94"/>
      <c r="M63" s="94"/>
      <c r="N63" s="94"/>
      <c r="O63" s="95"/>
      <c r="P63" s="22"/>
      <c r="Q63" s="22"/>
      <c r="R63" s="22"/>
      <c r="S63" s="22"/>
    </row>
    <row r="64" spans="1:19" ht="18" customHeight="1" x14ac:dyDescent="0.15">
      <c r="A64" s="3"/>
      <c r="B64" s="99"/>
      <c r="C64" s="100"/>
      <c r="D64" s="100"/>
      <c r="E64" s="101"/>
      <c r="F64" s="23"/>
      <c r="G64" s="23"/>
      <c r="H64" s="24"/>
      <c r="I64" s="24"/>
      <c r="J64" s="99"/>
      <c r="K64" s="100"/>
      <c r="L64" s="100"/>
      <c r="M64" s="100"/>
      <c r="N64" s="100"/>
      <c r="O64" s="101"/>
      <c r="P64" s="23"/>
      <c r="Q64" s="23"/>
      <c r="R64" s="24"/>
      <c r="S64" s="24"/>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02" t="s">
        <v>37</v>
      </c>
      <c r="B66" s="102"/>
      <c r="C66" s="102"/>
      <c r="D66" s="102"/>
      <c r="E66" s="102"/>
      <c r="F66" s="102"/>
      <c r="G66" s="102"/>
      <c r="H66" s="102"/>
      <c r="I66" s="102"/>
      <c r="J66" s="102"/>
      <c r="K66" s="102"/>
      <c r="L66" s="102"/>
      <c r="M66" s="102"/>
      <c r="N66" s="102"/>
      <c r="O66" s="102"/>
      <c r="P66" s="102"/>
      <c r="Q66" s="102"/>
      <c r="R66" s="102"/>
      <c r="S66" s="102"/>
    </row>
    <row r="67" spans="1:19" ht="18" customHeight="1" x14ac:dyDescent="0.15">
      <c r="A67" s="102"/>
      <c r="B67" s="102"/>
      <c r="C67" s="102"/>
      <c r="D67" s="102"/>
      <c r="E67" s="102"/>
      <c r="F67" s="102"/>
      <c r="G67" s="102"/>
      <c r="H67" s="102"/>
      <c r="I67" s="102"/>
      <c r="J67" s="102"/>
      <c r="K67" s="102"/>
      <c r="L67" s="102"/>
      <c r="M67" s="102"/>
      <c r="N67" s="102"/>
      <c r="O67" s="102"/>
      <c r="P67" s="102"/>
      <c r="Q67" s="102"/>
      <c r="R67" s="102"/>
      <c r="S67" s="102"/>
    </row>
    <row r="68" spans="1:19" ht="18" customHeight="1" x14ac:dyDescent="0.15">
      <c r="B68" s="96" t="s">
        <v>21</v>
      </c>
      <c r="C68" s="97"/>
      <c r="D68" s="97"/>
      <c r="E68" s="53" t="s">
        <v>22</v>
      </c>
      <c r="F68" s="52" t="s">
        <v>23</v>
      </c>
      <c r="G68" s="20" t="s">
        <v>38</v>
      </c>
      <c r="H68" s="20" t="s">
        <v>39</v>
      </c>
      <c r="I68" s="20" t="s">
        <v>40</v>
      </c>
      <c r="J68" s="96" t="s">
        <v>21</v>
      </c>
      <c r="K68" s="97"/>
      <c r="L68" s="97"/>
      <c r="M68" s="97"/>
      <c r="N68" s="98"/>
      <c r="O68" s="53" t="s">
        <v>22</v>
      </c>
      <c r="P68" s="52" t="s">
        <v>23</v>
      </c>
      <c r="Q68" s="20" t="s">
        <v>38</v>
      </c>
      <c r="R68" s="20" t="s">
        <v>39</v>
      </c>
      <c r="S68" s="20" t="s">
        <v>40</v>
      </c>
    </row>
    <row r="69" spans="1:19" ht="18" customHeight="1" x14ac:dyDescent="0.15">
      <c r="A69" s="3"/>
      <c r="B69" s="90" t="s">
        <v>26</v>
      </c>
      <c r="C69" s="91"/>
      <c r="D69" s="92"/>
      <c r="E69" s="21">
        <v>2</v>
      </c>
      <c r="F69" s="21" t="s">
        <v>27</v>
      </c>
      <c r="G69" s="21" t="s">
        <v>27</v>
      </c>
      <c r="H69" s="21" t="s">
        <v>27</v>
      </c>
      <c r="I69" s="21" t="s">
        <v>27</v>
      </c>
      <c r="J69" s="90"/>
      <c r="K69" s="91"/>
      <c r="L69" s="91"/>
      <c r="M69" s="91"/>
      <c r="N69" s="92"/>
      <c r="O69" s="21"/>
      <c r="P69" s="21"/>
      <c r="Q69" s="21"/>
      <c r="R69" s="21"/>
      <c r="S69" s="21"/>
    </row>
    <row r="70" spans="1:19" ht="18" customHeight="1" x14ac:dyDescent="0.15">
      <c r="A70" s="3"/>
      <c r="B70" s="93"/>
      <c r="C70" s="94"/>
      <c r="D70" s="94"/>
      <c r="E70" s="22"/>
      <c r="F70" s="22"/>
      <c r="G70" s="22"/>
      <c r="H70" s="22"/>
      <c r="I70" s="22"/>
      <c r="J70" s="93"/>
      <c r="K70" s="94"/>
      <c r="L70" s="94"/>
      <c r="M70" s="94"/>
      <c r="N70" s="95"/>
      <c r="O70" s="22"/>
      <c r="P70" s="22"/>
      <c r="Q70" s="22"/>
      <c r="R70" s="22"/>
      <c r="S70" s="22"/>
    </row>
    <row r="71" spans="1:19" ht="18" customHeight="1" x14ac:dyDescent="0.15">
      <c r="A71" s="3"/>
      <c r="B71" s="93"/>
      <c r="C71" s="94"/>
      <c r="D71" s="94"/>
      <c r="E71" s="22"/>
      <c r="F71" s="22"/>
      <c r="G71" s="22"/>
      <c r="H71" s="22"/>
      <c r="I71" s="22"/>
      <c r="J71" s="93"/>
      <c r="K71" s="94"/>
      <c r="L71" s="94"/>
      <c r="M71" s="94"/>
      <c r="N71" s="95"/>
      <c r="O71" s="22"/>
      <c r="P71" s="22"/>
      <c r="Q71" s="22"/>
      <c r="R71" s="22"/>
      <c r="S71" s="22"/>
    </row>
    <row r="72" spans="1:19" ht="18" customHeight="1" x14ac:dyDescent="0.15">
      <c r="A72" s="3"/>
      <c r="B72" s="93"/>
      <c r="C72" s="94"/>
      <c r="D72" s="94"/>
      <c r="E72" s="22"/>
      <c r="F72" s="22"/>
      <c r="G72" s="22"/>
      <c r="H72" s="22"/>
      <c r="I72" s="22"/>
      <c r="J72" s="93"/>
      <c r="K72" s="94"/>
      <c r="L72" s="94"/>
      <c r="M72" s="94"/>
      <c r="N72" s="95"/>
      <c r="O72" s="22"/>
      <c r="P72" s="22"/>
      <c r="Q72" s="22"/>
      <c r="R72" s="22"/>
      <c r="S72" s="22"/>
    </row>
    <row r="73" spans="1:19" ht="18" customHeight="1" x14ac:dyDescent="0.15">
      <c r="A73" s="3"/>
      <c r="B73" s="93"/>
      <c r="C73" s="94"/>
      <c r="D73" s="94"/>
      <c r="E73" s="22"/>
      <c r="F73" s="22"/>
      <c r="G73" s="22"/>
      <c r="H73" s="22"/>
      <c r="I73" s="22"/>
      <c r="J73" s="93"/>
      <c r="K73" s="94"/>
      <c r="L73" s="94"/>
      <c r="M73" s="94"/>
      <c r="N73" s="95"/>
      <c r="O73" s="22"/>
      <c r="P73" s="22"/>
      <c r="Q73" s="22"/>
      <c r="R73" s="22"/>
      <c r="S73" s="22"/>
    </row>
    <row r="74" spans="1:19" ht="18" customHeight="1" x14ac:dyDescent="0.15">
      <c r="A74" s="3"/>
      <c r="B74" s="93"/>
      <c r="C74" s="94"/>
      <c r="D74" s="94"/>
      <c r="E74" s="22"/>
      <c r="F74" s="22"/>
      <c r="G74" s="22"/>
      <c r="H74" s="22"/>
      <c r="I74" s="22"/>
      <c r="J74" s="93"/>
      <c r="K74" s="94"/>
      <c r="L74" s="94"/>
      <c r="M74" s="94"/>
      <c r="N74" s="95"/>
      <c r="O74" s="22"/>
      <c r="P74" s="22"/>
      <c r="Q74" s="22"/>
      <c r="R74" s="22"/>
      <c r="S74" s="22"/>
    </row>
    <row r="75" spans="1:19" ht="18" customHeight="1" x14ac:dyDescent="0.15">
      <c r="A75" s="3"/>
      <c r="B75" s="99"/>
      <c r="C75" s="100"/>
      <c r="D75" s="100"/>
      <c r="E75" s="23"/>
      <c r="F75" s="23"/>
      <c r="G75" s="24"/>
      <c r="H75" s="24"/>
      <c r="I75" s="24"/>
      <c r="J75" s="99"/>
      <c r="K75" s="100"/>
      <c r="L75" s="100"/>
      <c r="M75" s="100"/>
      <c r="N75" s="101"/>
      <c r="O75" s="23"/>
      <c r="P75" s="23"/>
      <c r="Q75" s="24"/>
      <c r="R75" s="24"/>
      <c r="S75" s="24"/>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41</v>
      </c>
      <c r="H77" s="3"/>
      <c r="I77" s="3"/>
      <c r="J77" s="3"/>
      <c r="K77" s="3"/>
      <c r="L77" s="3"/>
      <c r="M77" s="3"/>
      <c r="N77" s="3"/>
      <c r="O77" s="3"/>
      <c r="P77" s="3"/>
      <c r="Q77" s="3"/>
      <c r="R77" s="3"/>
      <c r="S77" s="3"/>
    </row>
    <row r="78" spans="1:19" ht="18" customHeight="1" x14ac:dyDescent="0.15">
      <c r="B78" s="96" t="s">
        <v>21</v>
      </c>
      <c r="C78" s="97"/>
      <c r="D78" s="97"/>
      <c r="E78" s="98"/>
      <c r="F78" s="96" t="s">
        <v>42</v>
      </c>
      <c r="G78" s="97"/>
      <c r="H78" s="97"/>
      <c r="I78" s="98"/>
      <c r="J78" s="126" t="s">
        <v>21</v>
      </c>
      <c r="K78" s="127"/>
      <c r="L78" s="127"/>
      <c r="M78" s="127"/>
      <c r="N78" s="127"/>
      <c r="O78" s="128"/>
      <c r="P78" s="96" t="s">
        <v>42</v>
      </c>
      <c r="Q78" s="97"/>
      <c r="R78" s="97"/>
      <c r="S78" s="98"/>
    </row>
    <row r="79" spans="1:19" ht="18" customHeight="1" x14ac:dyDescent="0.15">
      <c r="A79" s="3"/>
      <c r="B79" s="90"/>
      <c r="C79" s="91"/>
      <c r="D79" s="91"/>
      <c r="E79" s="92"/>
      <c r="F79" s="120"/>
      <c r="G79" s="121"/>
      <c r="H79" s="121"/>
      <c r="I79" s="122"/>
      <c r="J79" s="90"/>
      <c r="K79" s="91"/>
      <c r="L79" s="91"/>
      <c r="M79" s="91"/>
      <c r="N79" s="91"/>
      <c r="O79" s="92"/>
      <c r="P79" s="120"/>
      <c r="Q79" s="121"/>
      <c r="R79" s="121"/>
      <c r="S79" s="122"/>
    </row>
    <row r="80" spans="1:19" ht="18" customHeight="1" x14ac:dyDescent="0.15">
      <c r="A80" s="3"/>
      <c r="B80" s="93"/>
      <c r="C80" s="94"/>
      <c r="D80" s="94"/>
      <c r="E80" s="95"/>
      <c r="F80" s="123"/>
      <c r="G80" s="124"/>
      <c r="H80" s="124"/>
      <c r="I80" s="125"/>
      <c r="J80" s="93"/>
      <c r="K80" s="94"/>
      <c r="L80" s="94"/>
      <c r="M80" s="94"/>
      <c r="N80" s="94"/>
      <c r="O80" s="95"/>
      <c r="P80" s="123"/>
      <c r="Q80" s="124"/>
      <c r="R80" s="124"/>
      <c r="S80" s="125"/>
    </row>
    <row r="81" spans="1:19" ht="18" customHeight="1" x14ac:dyDescent="0.15">
      <c r="A81" s="3"/>
      <c r="B81" s="93"/>
      <c r="C81" s="94"/>
      <c r="D81" s="94"/>
      <c r="E81" s="95"/>
      <c r="F81" s="123"/>
      <c r="G81" s="124"/>
      <c r="H81" s="124"/>
      <c r="I81" s="125"/>
      <c r="J81" s="93"/>
      <c r="K81" s="94"/>
      <c r="L81" s="94"/>
      <c r="M81" s="94"/>
      <c r="N81" s="94"/>
      <c r="O81" s="95"/>
      <c r="P81" s="123"/>
      <c r="Q81" s="124"/>
      <c r="R81" s="124"/>
      <c r="S81" s="125"/>
    </row>
    <row r="82" spans="1:19" ht="18" customHeight="1" x14ac:dyDescent="0.15">
      <c r="A82" s="3"/>
      <c r="B82" s="93"/>
      <c r="C82" s="94"/>
      <c r="D82" s="94"/>
      <c r="E82" s="95"/>
      <c r="F82" s="123"/>
      <c r="G82" s="124"/>
      <c r="H82" s="124"/>
      <c r="I82" s="125"/>
      <c r="J82" s="93"/>
      <c r="K82" s="94"/>
      <c r="L82" s="94"/>
      <c r="M82" s="94"/>
      <c r="N82" s="94"/>
      <c r="O82" s="95"/>
      <c r="P82" s="123"/>
      <c r="Q82" s="124"/>
      <c r="R82" s="124"/>
      <c r="S82" s="125"/>
    </row>
    <row r="83" spans="1:19" ht="18" customHeight="1" x14ac:dyDescent="0.15">
      <c r="A83" s="3"/>
      <c r="B83" s="93"/>
      <c r="C83" s="94"/>
      <c r="D83" s="94"/>
      <c r="E83" s="95"/>
      <c r="F83" s="123"/>
      <c r="G83" s="124"/>
      <c r="H83" s="124"/>
      <c r="I83" s="125"/>
      <c r="J83" s="93"/>
      <c r="K83" s="94"/>
      <c r="L83" s="94"/>
      <c r="M83" s="94"/>
      <c r="N83" s="94"/>
      <c r="O83" s="95"/>
      <c r="P83" s="123"/>
      <c r="Q83" s="124"/>
      <c r="R83" s="124"/>
      <c r="S83" s="125"/>
    </row>
    <row r="84" spans="1:19" ht="18" customHeight="1" x14ac:dyDescent="0.15">
      <c r="A84" s="3"/>
      <c r="B84" s="93"/>
      <c r="C84" s="94"/>
      <c r="D84" s="94"/>
      <c r="E84" s="95"/>
      <c r="F84" s="123"/>
      <c r="G84" s="124"/>
      <c r="H84" s="124"/>
      <c r="I84" s="125"/>
      <c r="J84" s="93"/>
      <c r="K84" s="94"/>
      <c r="L84" s="94"/>
      <c r="M84" s="94"/>
      <c r="N84" s="94"/>
      <c r="O84" s="95"/>
      <c r="P84" s="123"/>
      <c r="Q84" s="124"/>
      <c r="R84" s="124"/>
      <c r="S84" s="125"/>
    </row>
    <row r="85" spans="1:19" ht="18" customHeight="1" x14ac:dyDescent="0.15">
      <c r="A85" s="3"/>
      <c r="B85" s="99"/>
      <c r="C85" s="100"/>
      <c r="D85" s="100"/>
      <c r="E85" s="101"/>
      <c r="F85" s="132"/>
      <c r="G85" s="133"/>
      <c r="H85" s="133"/>
      <c r="I85" s="134"/>
      <c r="J85" s="99"/>
      <c r="K85" s="100"/>
      <c r="L85" s="100"/>
      <c r="M85" s="100"/>
      <c r="N85" s="100"/>
      <c r="O85" s="101"/>
      <c r="P85" s="132"/>
      <c r="Q85" s="133"/>
      <c r="R85" s="133"/>
      <c r="S85" s="134"/>
    </row>
    <row r="86" spans="1:19" ht="18" customHeight="1" x14ac:dyDescent="0.15">
      <c r="A86" s="3"/>
      <c r="B86" s="6"/>
      <c r="C86" s="6"/>
      <c r="D86" s="6"/>
      <c r="E86" s="6"/>
      <c r="F86" s="25"/>
      <c r="G86" s="25"/>
      <c r="H86" s="25"/>
      <c r="I86" s="25"/>
      <c r="J86" s="6"/>
      <c r="K86" s="6"/>
      <c r="L86" s="6"/>
      <c r="M86" s="6"/>
      <c r="N86" s="6"/>
      <c r="O86" s="6"/>
      <c r="P86" s="25"/>
      <c r="Q86" s="25"/>
      <c r="R86" s="25"/>
      <c r="S86" s="25"/>
    </row>
    <row r="87" spans="1:19" ht="18.75" customHeight="1" x14ac:dyDescent="0.15">
      <c r="A87" s="1" t="s">
        <v>43</v>
      </c>
    </row>
    <row r="88" spans="1:19" ht="18.75" customHeight="1" x14ac:dyDescent="0.15">
      <c r="B88" s="115" t="s">
        <v>44</v>
      </c>
      <c r="C88" s="116"/>
      <c r="D88" s="97" t="s">
        <v>45</v>
      </c>
      <c r="E88" s="97"/>
      <c r="F88" s="97"/>
      <c r="G88" s="97"/>
      <c r="H88" s="97"/>
      <c r="I88" s="97"/>
      <c r="J88" s="97"/>
      <c r="K88" s="97"/>
      <c r="L88" s="97"/>
      <c r="M88" s="97"/>
      <c r="N88" s="97"/>
      <c r="O88" s="97"/>
      <c r="P88" s="97"/>
      <c r="Q88" s="97"/>
      <c r="R88" s="97"/>
      <c r="S88" s="98"/>
    </row>
    <row r="89" spans="1:19" ht="91.5" customHeight="1" x14ac:dyDescent="0.15">
      <c r="B89" s="103" t="s">
        <v>46</v>
      </c>
      <c r="C89" s="26" t="s">
        <v>24</v>
      </c>
      <c r="D89" s="117" t="s">
        <v>47</v>
      </c>
      <c r="E89" s="118"/>
      <c r="F89" s="118"/>
      <c r="G89" s="118"/>
      <c r="H89" s="118"/>
      <c r="I89" s="118"/>
      <c r="J89" s="118"/>
      <c r="K89" s="118"/>
      <c r="L89" s="118"/>
      <c r="M89" s="118"/>
      <c r="N89" s="118"/>
      <c r="O89" s="118"/>
      <c r="P89" s="118"/>
      <c r="Q89" s="118"/>
      <c r="R89" s="118"/>
      <c r="S89" s="119"/>
    </row>
    <row r="90" spans="1:19" ht="123" customHeight="1" x14ac:dyDescent="0.15">
      <c r="B90" s="104"/>
      <c r="C90" s="84" t="s">
        <v>48</v>
      </c>
      <c r="D90" s="135" t="s">
        <v>49</v>
      </c>
      <c r="E90" s="136"/>
      <c r="F90" s="136"/>
      <c r="G90" s="136"/>
      <c r="H90" s="136"/>
      <c r="I90" s="136"/>
      <c r="J90" s="136"/>
      <c r="K90" s="136"/>
      <c r="L90" s="136"/>
      <c r="M90" s="136"/>
      <c r="N90" s="136"/>
      <c r="O90" s="136"/>
      <c r="P90" s="136"/>
      <c r="Q90" s="136"/>
      <c r="R90" s="136"/>
      <c r="S90" s="137"/>
    </row>
    <row r="91" spans="1:19" ht="156" customHeight="1" x14ac:dyDescent="0.15">
      <c r="B91" s="103" t="s">
        <v>50</v>
      </c>
      <c r="C91" s="85" t="s">
        <v>29</v>
      </c>
      <c r="D91" s="138" t="s">
        <v>51</v>
      </c>
      <c r="E91" s="139"/>
      <c r="F91" s="139"/>
      <c r="G91" s="139"/>
      <c r="H91" s="139"/>
      <c r="I91" s="139"/>
      <c r="J91" s="139"/>
      <c r="K91" s="139"/>
      <c r="L91" s="139"/>
      <c r="M91" s="139"/>
      <c r="N91" s="139"/>
      <c r="O91" s="139"/>
      <c r="P91" s="139"/>
      <c r="Q91" s="139"/>
      <c r="R91" s="139"/>
      <c r="S91" s="140"/>
    </row>
    <row r="92" spans="1:19" ht="102.75" customHeight="1" x14ac:dyDescent="0.15">
      <c r="B92" s="105"/>
      <c r="C92" s="86" t="s">
        <v>30</v>
      </c>
      <c r="D92" s="144" t="s">
        <v>52</v>
      </c>
      <c r="E92" s="145"/>
      <c r="F92" s="145"/>
      <c r="G92" s="145"/>
      <c r="H92" s="145"/>
      <c r="I92" s="145"/>
      <c r="J92" s="145"/>
      <c r="K92" s="145"/>
      <c r="L92" s="145"/>
      <c r="M92" s="145"/>
      <c r="N92" s="145"/>
      <c r="O92" s="145"/>
      <c r="P92" s="145"/>
      <c r="Q92" s="145"/>
      <c r="R92" s="145"/>
      <c r="S92" s="146"/>
    </row>
    <row r="93" spans="1:19" ht="244.5" customHeight="1" x14ac:dyDescent="0.15">
      <c r="B93" s="103" t="s">
        <v>53</v>
      </c>
      <c r="C93" s="85" t="s">
        <v>32</v>
      </c>
      <c r="D93" s="138" t="s">
        <v>54</v>
      </c>
      <c r="E93" s="139"/>
      <c r="F93" s="139"/>
      <c r="G93" s="139"/>
      <c r="H93" s="139"/>
      <c r="I93" s="139"/>
      <c r="J93" s="139"/>
      <c r="K93" s="139"/>
      <c r="L93" s="139"/>
      <c r="M93" s="139"/>
      <c r="N93" s="139"/>
      <c r="O93" s="139"/>
      <c r="P93" s="139"/>
      <c r="Q93" s="139"/>
      <c r="R93" s="139"/>
      <c r="S93" s="140"/>
    </row>
    <row r="94" spans="1:19" ht="147" customHeight="1" x14ac:dyDescent="0.15">
      <c r="B94" s="105"/>
      <c r="C94" s="87" t="s">
        <v>33</v>
      </c>
      <c r="D94" s="141" t="s">
        <v>55</v>
      </c>
      <c r="E94" s="142"/>
      <c r="F94" s="142"/>
      <c r="G94" s="142"/>
      <c r="H94" s="142"/>
      <c r="I94" s="142"/>
      <c r="J94" s="142"/>
      <c r="K94" s="142"/>
      <c r="L94" s="142"/>
      <c r="M94" s="142"/>
      <c r="N94" s="142"/>
      <c r="O94" s="142"/>
      <c r="P94" s="142"/>
      <c r="Q94" s="142"/>
      <c r="R94" s="142"/>
      <c r="S94" s="143"/>
    </row>
    <row r="95" spans="1:19" ht="75.75" customHeight="1" x14ac:dyDescent="0.15">
      <c r="B95" s="103" t="s">
        <v>56</v>
      </c>
      <c r="C95" s="88" t="s">
        <v>35</v>
      </c>
      <c r="D95" s="112" t="s">
        <v>57</v>
      </c>
      <c r="E95" s="113"/>
      <c r="F95" s="113"/>
      <c r="G95" s="113"/>
      <c r="H95" s="113"/>
      <c r="I95" s="113"/>
      <c r="J95" s="113"/>
      <c r="K95" s="113"/>
      <c r="L95" s="113"/>
      <c r="M95" s="113"/>
      <c r="N95" s="113"/>
      <c r="O95" s="113"/>
      <c r="P95" s="113"/>
      <c r="Q95" s="113"/>
      <c r="R95" s="113"/>
      <c r="S95" s="114"/>
    </row>
    <row r="96" spans="1:19" ht="90.75" customHeight="1" x14ac:dyDescent="0.15">
      <c r="B96" s="105"/>
      <c r="C96" s="86" t="s">
        <v>36</v>
      </c>
      <c r="D96" s="147" t="s">
        <v>58</v>
      </c>
      <c r="E96" s="145"/>
      <c r="F96" s="145"/>
      <c r="G96" s="145"/>
      <c r="H96" s="145"/>
      <c r="I96" s="145"/>
      <c r="J96" s="145"/>
      <c r="K96" s="145"/>
      <c r="L96" s="145"/>
      <c r="M96" s="145"/>
      <c r="N96" s="145"/>
      <c r="O96" s="145"/>
      <c r="P96" s="145"/>
      <c r="Q96" s="145"/>
      <c r="R96" s="145"/>
      <c r="S96" s="146"/>
    </row>
    <row r="97" spans="1:19" ht="81.75" customHeight="1" x14ac:dyDescent="0.15">
      <c r="B97" s="103" t="s">
        <v>59</v>
      </c>
      <c r="C97" s="85" t="s">
        <v>60</v>
      </c>
      <c r="D97" s="106" t="s">
        <v>61</v>
      </c>
      <c r="E97" s="107"/>
      <c r="F97" s="107"/>
      <c r="G97" s="107"/>
      <c r="H97" s="107"/>
      <c r="I97" s="107"/>
      <c r="J97" s="107"/>
      <c r="K97" s="107"/>
      <c r="L97" s="107"/>
      <c r="M97" s="107"/>
      <c r="N97" s="107"/>
      <c r="O97" s="107"/>
      <c r="P97" s="107"/>
      <c r="Q97" s="107"/>
      <c r="R97" s="107"/>
      <c r="S97" s="108"/>
    </row>
    <row r="98" spans="1:19" ht="229.5" customHeight="1" x14ac:dyDescent="0.15">
      <c r="B98" s="104"/>
      <c r="C98" s="89" t="s">
        <v>39</v>
      </c>
      <c r="D98" s="148" t="s">
        <v>62</v>
      </c>
      <c r="E98" s="149"/>
      <c r="F98" s="149"/>
      <c r="G98" s="149"/>
      <c r="H98" s="149"/>
      <c r="I98" s="149"/>
      <c r="J98" s="149"/>
      <c r="K98" s="149"/>
      <c r="L98" s="149"/>
      <c r="M98" s="149"/>
      <c r="N98" s="149"/>
      <c r="O98" s="149"/>
      <c r="P98" s="149"/>
      <c r="Q98" s="149"/>
      <c r="R98" s="149"/>
      <c r="S98" s="150"/>
    </row>
    <row r="99" spans="1:19" ht="152.25" customHeight="1" x14ac:dyDescent="0.15">
      <c r="B99" s="105"/>
      <c r="C99" s="87" t="s">
        <v>40</v>
      </c>
      <c r="D99" s="109" t="s">
        <v>63</v>
      </c>
      <c r="E99" s="110"/>
      <c r="F99" s="110"/>
      <c r="G99" s="110"/>
      <c r="H99" s="110"/>
      <c r="I99" s="110"/>
      <c r="J99" s="110"/>
      <c r="K99" s="110"/>
      <c r="L99" s="110"/>
      <c r="M99" s="110"/>
      <c r="N99" s="110"/>
      <c r="O99" s="110"/>
      <c r="P99" s="110"/>
      <c r="Q99" s="110"/>
      <c r="R99" s="110"/>
      <c r="S99" s="111"/>
    </row>
    <row r="100" spans="1:19" ht="6" customHeight="1" x14ac:dyDescent="0.15"/>
    <row r="101" spans="1:19" ht="18.75" customHeight="1" x14ac:dyDescent="0.15">
      <c r="A101" s="1" t="s">
        <v>64</v>
      </c>
    </row>
    <row r="102" spans="1:19" ht="105" customHeight="1" x14ac:dyDescent="0.15">
      <c r="B102" s="129" t="s">
        <v>65</v>
      </c>
      <c r="C102" s="130"/>
      <c r="D102" s="130"/>
      <c r="E102" s="130"/>
      <c r="F102" s="130"/>
      <c r="G102" s="130"/>
      <c r="H102" s="130"/>
      <c r="I102" s="130"/>
      <c r="J102" s="130"/>
      <c r="K102" s="130"/>
      <c r="L102" s="130"/>
      <c r="M102" s="130"/>
      <c r="N102" s="130"/>
      <c r="O102" s="130"/>
      <c r="P102" s="130"/>
      <c r="Q102" s="130"/>
      <c r="R102" s="130"/>
      <c r="S102" s="131"/>
    </row>
    <row r="110" spans="1:19" ht="18" customHeight="1" x14ac:dyDescent="0.15"/>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6"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97"/>
  <sheetViews>
    <sheetView tabSelected="1" view="pageBreakPreview" topLeftCell="A8" zoomScale="55" zoomScaleNormal="100" zoomScaleSheetLayoutView="55" workbookViewId="0">
      <selection activeCell="D86" sqref="D86"/>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66</v>
      </c>
    </row>
    <row r="2" spans="1:45" ht="18" customHeight="1" x14ac:dyDescent="0.15">
      <c r="K2" s="28"/>
      <c r="Q2" s="28"/>
      <c r="W2" s="28"/>
      <c r="AC2" s="28"/>
      <c r="AI2" s="28"/>
      <c r="AL2" s="28" t="s">
        <v>2</v>
      </c>
      <c r="AM2" s="177" t="str">
        <f>'様式１　プログラムを構成する授業科目'!C2</f>
        <v>尚絅学院大学</v>
      </c>
      <c r="AN2" s="177"/>
      <c r="AO2" s="177"/>
      <c r="AP2" s="177"/>
      <c r="AQ2" s="177"/>
    </row>
    <row r="3" spans="1:45" ht="18" customHeight="1" x14ac:dyDescent="0.15">
      <c r="A3" s="155" t="s">
        <v>67</v>
      </c>
      <c r="B3" s="155"/>
      <c r="C3" s="155"/>
      <c r="D3" s="155"/>
      <c r="E3" s="155"/>
      <c r="F3" s="155"/>
      <c r="G3" s="155"/>
      <c r="H3" s="155"/>
      <c r="I3" s="155"/>
      <c r="J3" s="155"/>
      <c r="K3" s="155"/>
      <c r="L3" s="155"/>
      <c r="M3" s="155"/>
      <c r="N3" s="155"/>
      <c r="O3" s="155"/>
      <c r="P3" s="155"/>
      <c r="Q3" s="155"/>
      <c r="R3" s="155"/>
      <c r="S3" s="155"/>
      <c r="T3" s="155"/>
      <c r="U3" s="155"/>
      <c r="V3" s="155"/>
      <c r="W3" s="155"/>
      <c r="X3" s="155"/>
      <c r="Y3" s="155"/>
      <c r="Z3" s="155"/>
      <c r="AA3" s="155"/>
      <c r="AB3" s="155"/>
      <c r="AC3" s="155"/>
      <c r="AD3" s="155"/>
      <c r="AE3" s="155"/>
      <c r="AF3" s="155"/>
      <c r="AG3" s="155"/>
      <c r="AH3" s="155"/>
      <c r="AI3" s="155"/>
      <c r="AJ3" s="155"/>
      <c r="AK3" s="155"/>
      <c r="AL3" s="155"/>
      <c r="AM3" s="155"/>
      <c r="AN3" s="155"/>
      <c r="AO3" s="155"/>
      <c r="AP3" s="155"/>
      <c r="AQ3" s="155"/>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68</v>
      </c>
      <c r="C5" s="178">
        <v>2022</v>
      </c>
      <c r="D5" s="179"/>
      <c r="E5" s="3" t="s">
        <v>69</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70</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80" t="s">
        <v>71</v>
      </c>
      <c r="C9" s="198" t="s">
        <v>72</v>
      </c>
      <c r="D9" s="183" t="s">
        <v>73</v>
      </c>
      <c r="E9" s="186" t="s">
        <v>74</v>
      </c>
      <c r="F9" s="189" t="s">
        <v>75</v>
      </c>
      <c r="G9" s="190"/>
      <c r="H9" s="190"/>
      <c r="I9" s="190"/>
      <c r="J9" s="190"/>
      <c r="K9" s="191"/>
      <c r="L9" s="174" t="s">
        <v>76</v>
      </c>
      <c r="M9" s="174"/>
      <c r="N9" s="174"/>
      <c r="O9" s="174"/>
      <c r="P9" s="174"/>
      <c r="Q9" s="174"/>
      <c r="R9" s="174" t="s">
        <v>77</v>
      </c>
      <c r="S9" s="174"/>
      <c r="T9" s="174"/>
      <c r="U9" s="174"/>
      <c r="V9" s="174"/>
      <c r="W9" s="174"/>
      <c r="X9" s="174" t="s">
        <v>78</v>
      </c>
      <c r="Y9" s="174"/>
      <c r="Z9" s="174"/>
      <c r="AA9" s="174"/>
      <c r="AB9" s="174"/>
      <c r="AC9" s="174"/>
      <c r="AD9" s="174" t="s">
        <v>79</v>
      </c>
      <c r="AE9" s="174"/>
      <c r="AF9" s="174"/>
      <c r="AG9" s="174"/>
      <c r="AH9" s="174"/>
      <c r="AI9" s="174"/>
      <c r="AJ9" s="174" t="s">
        <v>80</v>
      </c>
      <c r="AK9" s="174"/>
      <c r="AL9" s="174"/>
      <c r="AM9" s="174"/>
      <c r="AN9" s="174"/>
      <c r="AO9" s="174"/>
      <c r="AP9" s="192" t="s">
        <v>81</v>
      </c>
      <c r="AQ9" s="195" t="s">
        <v>82</v>
      </c>
      <c r="AS9" s="2"/>
    </row>
    <row r="10" spans="1:45" ht="16.899999999999999" customHeight="1" x14ac:dyDescent="0.15">
      <c r="B10" s="181"/>
      <c r="C10" s="199"/>
      <c r="D10" s="184"/>
      <c r="E10" s="187"/>
      <c r="F10" s="175" t="s">
        <v>83</v>
      </c>
      <c r="G10" s="176"/>
      <c r="H10" s="201"/>
      <c r="I10" s="175" t="s">
        <v>84</v>
      </c>
      <c r="J10" s="176"/>
      <c r="K10" s="201"/>
      <c r="L10" s="175" t="s">
        <v>83</v>
      </c>
      <c r="M10" s="176"/>
      <c r="N10" s="176"/>
      <c r="O10" s="175" t="s">
        <v>84</v>
      </c>
      <c r="P10" s="176"/>
      <c r="Q10" s="176"/>
      <c r="R10" s="175" t="s">
        <v>83</v>
      </c>
      <c r="S10" s="176"/>
      <c r="T10" s="176"/>
      <c r="U10" s="175" t="s">
        <v>84</v>
      </c>
      <c r="V10" s="176"/>
      <c r="W10" s="176"/>
      <c r="X10" s="175" t="s">
        <v>83</v>
      </c>
      <c r="Y10" s="176"/>
      <c r="Z10" s="176"/>
      <c r="AA10" s="175" t="s">
        <v>84</v>
      </c>
      <c r="AB10" s="176"/>
      <c r="AC10" s="176"/>
      <c r="AD10" s="175" t="s">
        <v>83</v>
      </c>
      <c r="AE10" s="176"/>
      <c r="AF10" s="176"/>
      <c r="AG10" s="175" t="s">
        <v>84</v>
      </c>
      <c r="AH10" s="176"/>
      <c r="AI10" s="176"/>
      <c r="AJ10" s="175" t="s">
        <v>83</v>
      </c>
      <c r="AK10" s="176"/>
      <c r="AL10" s="176"/>
      <c r="AM10" s="175" t="s">
        <v>84</v>
      </c>
      <c r="AN10" s="176"/>
      <c r="AO10" s="176"/>
      <c r="AP10" s="193"/>
      <c r="AQ10" s="196"/>
      <c r="AS10" s="2"/>
    </row>
    <row r="11" spans="1:45" ht="18" customHeight="1" x14ac:dyDescent="0.15">
      <c r="B11" s="182"/>
      <c r="C11" s="200"/>
      <c r="D11" s="185"/>
      <c r="E11" s="188"/>
      <c r="F11" s="17" t="s">
        <v>85</v>
      </c>
      <c r="G11" s="18" t="s">
        <v>86</v>
      </c>
      <c r="H11" s="19" t="s">
        <v>87</v>
      </c>
      <c r="I11" s="17" t="s">
        <v>85</v>
      </c>
      <c r="J11" s="18" t="s">
        <v>86</v>
      </c>
      <c r="K11" s="19" t="s">
        <v>87</v>
      </c>
      <c r="L11" s="17" t="s">
        <v>85</v>
      </c>
      <c r="M11" s="18" t="s">
        <v>86</v>
      </c>
      <c r="N11" s="19" t="s">
        <v>87</v>
      </c>
      <c r="O11" s="17" t="s">
        <v>85</v>
      </c>
      <c r="P11" s="18" t="s">
        <v>86</v>
      </c>
      <c r="Q11" s="19" t="s">
        <v>87</v>
      </c>
      <c r="R11" s="17" t="s">
        <v>85</v>
      </c>
      <c r="S11" s="18" t="s">
        <v>86</v>
      </c>
      <c r="T11" s="19" t="s">
        <v>87</v>
      </c>
      <c r="U11" s="17" t="s">
        <v>85</v>
      </c>
      <c r="V11" s="18" t="s">
        <v>86</v>
      </c>
      <c r="W11" s="19" t="s">
        <v>87</v>
      </c>
      <c r="X11" s="17" t="s">
        <v>85</v>
      </c>
      <c r="Y11" s="18" t="s">
        <v>86</v>
      </c>
      <c r="Z11" s="19" t="s">
        <v>87</v>
      </c>
      <c r="AA11" s="17" t="s">
        <v>85</v>
      </c>
      <c r="AB11" s="18" t="s">
        <v>86</v>
      </c>
      <c r="AC11" s="19" t="s">
        <v>87</v>
      </c>
      <c r="AD11" s="17" t="s">
        <v>85</v>
      </c>
      <c r="AE11" s="18" t="s">
        <v>86</v>
      </c>
      <c r="AF11" s="19" t="s">
        <v>87</v>
      </c>
      <c r="AG11" s="17" t="s">
        <v>85</v>
      </c>
      <c r="AH11" s="18" t="s">
        <v>86</v>
      </c>
      <c r="AI11" s="19" t="s">
        <v>87</v>
      </c>
      <c r="AJ11" s="17" t="s">
        <v>85</v>
      </c>
      <c r="AK11" s="18" t="s">
        <v>86</v>
      </c>
      <c r="AL11" s="19" t="s">
        <v>87</v>
      </c>
      <c r="AM11" s="17" t="s">
        <v>85</v>
      </c>
      <c r="AN11" s="18" t="s">
        <v>86</v>
      </c>
      <c r="AO11" s="19" t="s">
        <v>87</v>
      </c>
      <c r="AP11" s="194"/>
      <c r="AQ11" s="197"/>
      <c r="AS11" s="2"/>
    </row>
    <row r="12" spans="1:45" ht="18" customHeight="1" x14ac:dyDescent="0.15">
      <c r="A12" s="6"/>
      <c r="B12" s="11" t="s">
        <v>88</v>
      </c>
      <c r="C12" s="54">
        <v>872</v>
      </c>
      <c r="D12" s="55">
        <v>200</v>
      </c>
      <c r="E12" s="72">
        <v>808</v>
      </c>
      <c r="F12" s="72">
        <v>212</v>
      </c>
      <c r="G12" s="73">
        <v>126</v>
      </c>
      <c r="H12" s="74">
        <v>86</v>
      </c>
      <c r="I12" s="72">
        <v>196</v>
      </c>
      <c r="J12" s="73">
        <v>113</v>
      </c>
      <c r="K12" s="74">
        <v>83</v>
      </c>
      <c r="L12" s="72">
        <f>M12+N12</f>
        <v>0</v>
      </c>
      <c r="M12" s="73"/>
      <c r="N12" s="74"/>
      <c r="O12" s="72">
        <f>P12+Q12</f>
        <v>0</v>
      </c>
      <c r="P12" s="73"/>
      <c r="Q12" s="74"/>
      <c r="R12" s="72">
        <f>S12+T12</f>
        <v>0</v>
      </c>
      <c r="S12" s="73"/>
      <c r="T12" s="74"/>
      <c r="U12" s="72">
        <f>V12+W12</f>
        <v>0</v>
      </c>
      <c r="V12" s="73"/>
      <c r="W12" s="74"/>
      <c r="X12" s="72">
        <f>Y12+Z12</f>
        <v>0</v>
      </c>
      <c r="Y12" s="73"/>
      <c r="Z12" s="74"/>
      <c r="AA12" s="72">
        <f>AB12+AC12</f>
        <v>0</v>
      </c>
      <c r="AB12" s="73"/>
      <c r="AC12" s="74"/>
      <c r="AD12" s="72">
        <f>AE12+AF12</f>
        <v>0</v>
      </c>
      <c r="AE12" s="73"/>
      <c r="AF12" s="74"/>
      <c r="AG12" s="72">
        <f>AH12+AI12</f>
        <v>0</v>
      </c>
      <c r="AH12" s="73"/>
      <c r="AI12" s="74"/>
      <c r="AJ12" s="72">
        <f>AK12+AL12</f>
        <v>0</v>
      </c>
      <c r="AK12" s="73"/>
      <c r="AL12" s="74"/>
      <c r="AM12" s="72">
        <f>AN12+AO12</f>
        <v>0</v>
      </c>
      <c r="AN12" s="73"/>
      <c r="AO12" s="74"/>
      <c r="AP12" s="79">
        <f>F12+L12+R12+X12+AD12+AJ12</f>
        <v>212</v>
      </c>
      <c r="AQ12" s="80">
        <f>AP12/E12</f>
        <v>0.26237623762376239</v>
      </c>
    </row>
    <row r="13" spans="1:45" ht="18" customHeight="1" x14ac:dyDescent="0.15">
      <c r="A13" s="6"/>
      <c r="B13" s="12" t="s">
        <v>89</v>
      </c>
      <c r="C13" s="57">
        <v>286</v>
      </c>
      <c r="D13" s="58">
        <v>60</v>
      </c>
      <c r="E13" s="81">
        <v>244</v>
      </c>
      <c r="F13" s="75">
        <v>69</v>
      </c>
      <c r="G13" s="76">
        <v>24</v>
      </c>
      <c r="H13" s="77">
        <v>45</v>
      </c>
      <c r="I13" s="75">
        <v>65</v>
      </c>
      <c r="J13" s="76">
        <v>23</v>
      </c>
      <c r="K13" s="77">
        <v>42</v>
      </c>
      <c r="L13" s="75">
        <f t="shared" ref="L13:L16" si="0">M13+N13</f>
        <v>0</v>
      </c>
      <c r="M13" s="76"/>
      <c r="N13" s="77"/>
      <c r="O13" s="75">
        <f t="shared" ref="O13:O16" si="1">P13+Q13</f>
        <v>0</v>
      </c>
      <c r="P13" s="76"/>
      <c r="Q13" s="77"/>
      <c r="R13" s="75">
        <f t="shared" ref="R13:R16" si="2">S13+T13</f>
        <v>0</v>
      </c>
      <c r="S13" s="76"/>
      <c r="T13" s="77"/>
      <c r="U13" s="75">
        <f>V13+W13</f>
        <v>0</v>
      </c>
      <c r="V13" s="76"/>
      <c r="W13" s="77"/>
      <c r="X13" s="75">
        <f t="shared" ref="X13:X31" si="3">Y13+Z13</f>
        <v>0</v>
      </c>
      <c r="Y13" s="76"/>
      <c r="Z13" s="77"/>
      <c r="AA13" s="75">
        <f t="shared" ref="AA13:AA31" si="4">AB13+AC13</f>
        <v>0</v>
      </c>
      <c r="AB13" s="76"/>
      <c r="AC13" s="77"/>
      <c r="AD13" s="75">
        <f t="shared" ref="AD13:AD31" si="5">AE13+AF13</f>
        <v>0</v>
      </c>
      <c r="AE13" s="76"/>
      <c r="AF13" s="77"/>
      <c r="AG13" s="75">
        <f t="shared" ref="AG13:AG31" si="6">AH13+AI13</f>
        <v>0</v>
      </c>
      <c r="AH13" s="76"/>
      <c r="AI13" s="77"/>
      <c r="AJ13" s="75">
        <f t="shared" ref="AJ13:AJ31" si="7">AK13+AL13</f>
        <v>0</v>
      </c>
      <c r="AK13" s="76"/>
      <c r="AL13" s="77"/>
      <c r="AM13" s="75">
        <f t="shared" ref="AM13:AM31" si="8">AN13+AO13</f>
        <v>0</v>
      </c>
      <c r="AN13" s="76"/>
      <c r="AO13" s="77"/>
      <c r="AP13" s="82">
        <f t="shared" ref="AP13:AP31" si="9">F13+L13+R13+X13+AD13+AJ13</f>
        <v>69</v>
      </c>
      <c r="AQ13" s="83">
        <f t="shared" ref="AQ13:AQ32" si="10">AP13/E13</f>
        <v>0.28278688524590162</v>
      </c>
    </row>
    <row r="14" spans="1:45" ht="18" customHeight="1" x14ac:dyDescent="0.15">
      <c r="A14" s="6"/>
      <c r="B14" s="12" t="s">
        <v>90</v>
      </c>
      <c r="C14" s="57">
        <v>302</v>
      </c>
      <c r="D14" s="58">
        <v>80</v>
      </c>
      <c r="E14" s="81">
        <v>324</v>
      </c>
      <c r="F14" s="75">
        <v>69</v>
      </c>
      <c r="G14" s="76">
        <v>11</v>
      </c>
      <c r="H14" s="77">
        <v>58</v>
      </c>
      <c r="I14" s="75">
        <v>62</v>
      </c>
      <c r="J14" s="76">
        <v>5</v>
      </c>
      <c r="K14" s="77">
        <v>57</v>
      </c>
      <c r="L14" s="75">
        <f t="shared" si="0"/>
        <v>0</v>
      </c>
      <c r="M14" s="76"/>
      <c r="N14" s="77"/>
      <c r="O14" s="75">
        <f t="shared" si="1"/>
        <v>0</v>
      </c>
      <c r="P14" s="76"/>
      <c r="Q14" s="77"/>
      <c r="R14" s="75">
        <f t="shared" si="2"/>
        <v>0</v>
      </c>
      <c r="S14" s="76"/>
      <c r="T14" s="77"/>
      <c r="U14" s="75">
        <f>V14+W14</f>
        <v>0</v>
      </c>
      <c r="V14" s="76"/>
      <c r="W14" s="77"/>
      <c r="X14" s="75">
        <f t="shared" si="3"/>
        <v>0</v>
      </c>
      <c r="Y14" s="76"/>
      <c r="Z14" s="77"/>
      <c r="AA14" s="75">
        <f t="shared" si="4"/>
        <v>0</v>
      </c>
      <c r="AB14" s="76"/>
      <c r="AC14" s="77"/>
      <c r="AD14" s="75">
        <f t="shared" si="5"/>
        <v>0</v>
      </c>
      <c r="AE14" s="76"/>
      <c r="AF14" s="77"/>
      <c r="AG14" s="75">
        <f t="shared" si="6"/>
        <v>0</v>
      </c>
      <c r="AH14" s="76"/>
      <c r="AI14" s="77"/>
      <c r="AJ14" s="75">
        <f t="shared" si="7"/>
        <v>0</v>
      </c>
      <c r="AK14" s="76"/>
      <c r="AL14" s="77"/>
      <c r="AM14" s="75">
        <f t="shared" si="8"/>
        <v>0</v>
      </c>
      <c r="AN14" s="76"/>
      <c r="AO14" s="77"/>
      <c r="AP14" s="82">
        <f t="shared" si="9"/>
        <v>69</v>
      </c>
      <c r="AQ14" s="8">
        <f t="shared" si="10"/>
        <v>0.21296296296296297</v>
      </c>
    </row>
    <row r="15" spans="1:45" ht="18" customHeight="1" x14ac:dyDescent="0.15">
      <c r="A15" s="6"/>
      <c r="B15" s="12" t="s">
        <v>91</v>
      </c>
      <c r="C15" s="57">
        <v>185</v>
      </c>
      <c r="D15" s="58">
        <v>40</v>
      </c>
      <c r="E15" s="81">
        <v>164</v>
      </c>
      <c r="F15" s="75">
        <v>47</v>
      </c>
      <c r="G15" s="76">
        <v>29</v>
      </c>
      <c r="H15" s="77">
        <v>18</v>
      </c>
      <c r="I15" s="75">
        <v>37</v>
      </c>
      <c r="J15" s="76">
        <v>22</v>
      </c>
      <c r="K15" s="77">
        <v>15</v>
      </c>
      <c r="L15" s="75">
        <f t="shared" si="0"/>
        <v>0</v>
      </c>
      <c r="M15" s="76"/>
      <c r="N15" s="77"/>
      <c r="O15" s="75">
        <f t="shared" si="1"/>
        <v>0</v>
      </c>
      <c r="P15" s="76"/>
      <c r="Q15" s="77"/>
      <c r="R15" s="75">
        <f t="shared" si="2"/>
        <v>0</v>
      </c>
      <c r="S15" s="76"/>
      <c r="T15" s="77"/>
      <c r="U15" s="75">
        <f>V15+W15</f>
        <v>0</v>
      </c>
      <c r="V15" s="76"/>
      <c r="W15" s="77"/>
      <c r="X15" s="75">
        <f t="shared" si="3"/>
        <v>0</v>
      </c>
      <c r="Y15" s="76"/>
      <c r="Z15" s="77"/>
      <c r="AA15" s="75">
        <f t="shared" si="4"/>
        <v>0</v>
      </c>
      <c r="AB15" s="76"/>
      <c r="AC15" s="77"/>
      <c r="AD15" s="75">
        <f t="shared" si="5"/>
        <v>0</v>
      </c>
      <c r="AE15" s="76"/>
      <c r="AF15" s="77"/>
      <c r="AG15" s="75">
        <f t="shared" si="6"/>
        <v>0</v>
      </c>
      <c r="AH15" s="76"/>
      <c r="AI15" s="77"/>
      <c r="AJ15" s="75">
        <f t="shared" si="7"/>
        <v>0</v>
      </c>
      <c r="AK15" s="76"/>
      <c r="AL15" s="77"/>
      <c r="AM15" s="75">
        <f t="shared" si="8"/>
        <v>0</v>
      </c>
      <c r="AN15" s="76"/>
      <c r="AO15" s="77"/>
      <c r="AP15" s="82">
        <f t="shared" si="9"/>
        <v>47</v>
      </c>
      <c r="AQ15" s="8">
        <f t="shared" si="10"/>
        <v>0.28658536585365851</v>
      </c>
    </row>
    <row r="16" spans="1:45" ht="18" customHeight="1" x14ac:dyDescent="0.15">
      <c r="A16" s="6"/>
      <c r="B16" s="12" t="s">
        <v>92</v>
      </c>
      <c r="C16" s="57">
        <v>329</v>
      </c>
      <c r="D16" s="58">
        <v>80</v>
      </c>
      <c r="E16" s="81">
        <v>320</v>
      </c>
      <c r="F16" s="75">
        <v>71</v>
      </c>
      <c r="G16" s="76">
        <v>13</v>
      </c>
      <c r="H16" s="77">
        <v>58</v>
      </c>
      <c r="I16" s="75">
        <v>68</v>
      </c>
      <c r="J16" s="76">
        <v>12</v>
      </c>
      <c r="K16" s="77">
        <v>56</v>
      </c>
      <c r="L16" s="75">
        <f t="shared" si="0"/>
        <v>0</v>
      </c>
      <c r="M16" s="76"/>
      <c r="N16" s="77"/>
      <c r="O16" s="75">
        <f t="shared" si="1"/>
        <v>0</v>
      </c>
      <c r="P16" s="76"/>
      <c r="Q16" s="77"/>
      <c r="R16" s="75">
        <f t="shared" si="2"/>
        <v>0</v>
      </c>
      <c r="S16" s="76"/>
      <c r="T16" s="77"/>
      <c r="U16" s="75">
        <f>V16+W16</f>
        <v>0</v>
      </c>
      <c r="V16" s="76"/>
      <c r="W16" s="77"/>
      <c r="X16" s="75">
        <f t="shared" si="3"/>
        <v>0</v>
      </c>
      <c r="Y16" s="76"/>
      <c r="Z16" s="77"/>
      <c r="AA16" s="75">
        <f t="shared" si="4"/>
        <v>0</v>
      </c>
      <c r="AB16" s="76"/>
      <c r="AC16" s="77"/>
      <c r="AD16" s="75">
        <f t="shared" si="5"/>
        <v>0</v>
      </c>
      <c r="AE16" s="76"/>
      <c r="AF16" s="77"/>
      <c r="AG16" s="75">
        <f t="shared" si="6"/>
        <v>0</v>
      </c>
      <c r="AH16" s="76"/>
      <c r="AI16" s="77"/>
      <c r="AJ16" s="75">
        <f t="shared" si="7"/>
        <v>0</v>
      </c>
      <c r="AK16" s="76"/>
      <c r="AL16" s="77"/>
      <c r="AM16" s="75">
        <f t="shared" si="8"/>
        <v>0</v>
      </c>
      <c r="AN16" s="76"/>
      <c r="AO16" s="77"/>
      <c r="AP16" s="82">
        <f t="shared" si="9"/>
        <v>71</v>
      </c>
      <c r="AQ16" s="8">
        <f t="shared" si="10"/>
        <v>0.22187499999999999</v>
      </c>
    </row>
    <row r="17" spans="1:43" ht="18" customHeight="1" x14ac:dyDescent="0.15">
      <c r="A17" s="6"/>
      <c r="B17" s="12"/>
      <c r="C17" s="57"/>
      <c r="D17" s="58"/>
      <c r="E17" s="59"/>
      <c r="F17" s="60">
        <f t="shared" ref="F17:F31" si="11">G17+H17</f>
        <v>0</v>
      </c>
      <c r="G17" s="61"/>
      <c r="H17" s="62"/>
      <c r="I17" s="60">
        <f t="shared" ref="I17:I31" si="12">J17+K17</f>
        <v>0</v>
      </c>
      <c r="J17" s="61"/>
      <c r="K17" s="62"/>
      <c r="L17" s="60">
        <f t="shared" ref="L17:L31" si="13">M17+N17</f>
        <v>0</v>
      </c>
      <c r="M17" s="61"/>
      <c r="N17" s="62"/>
      <c r="O17" s="60">
        <f t="shared" ref="O17:O31" si="14">P17+Q17</f>
        <v>0</v>
      </c>
      <c r="P17" s="61"/>
      <c r="Q17" s="62"/>
      <c r="R17" s="60">
        <f t="shared" ref="R17:R31" si="15">S17+T17</f>
        <v>0</v>
      </c>
      <c r="S17" s="61"/>
      <c r="T17" s="62"/>
      <c r="U17" s="60">
        <f t="shared" ref="U17:U31" si="16">V17+W17</f>
        <v>0</v>
      </c>
      <c r="V17" s="61"/>
      <c r="W17" s="62"/>
      <c r="X17" s="60">
        <f t="shared" si="3"/>
        <v>0</v>
      </c>
      <c r="Y17" s="61"/>
      <c r="Z17" s="62"/>
      <c r="AA17" s="60">
        <f t="shared" si="4"/>
        <v>0</v>
      </c>
      <c r="AB17" s="61"/>
      <c r="AC17" s="62"/>
      <c r="AD17" s="60">
        <f t="shared" si="5"/>
        <v>0</v>
      </c>
      <c r="AE17" s="61"/>
      <c r="AF17" s="62"/>
      <c r="AG17" s="60">
        <f t="shared" si="6"/>
        <v>0</v>
      </c>
      <c r="AH17" s="61"/>
      <c r="AI17" s="62"/>
      <c r="AJ17" s="60">
        <f t="shared" si="7"/>
        <v>0</v>
      </c>
      <c r="AK17" s="61"/>
      <c r="AL17" s="62"/>
      <c r="AM17" s="60">
        <f t="shared" si="8"/>
        <v>0</v>
      </c>
      <c r="AN17" s="61"/>
      <c r="AO17" s="62"/>
      <c r="AP17" s="58">
        <f t="shared" si="9"/>
        <v>0</v>
      </c>
      <c r="AQ17" s="8" t="e">
        <f t="shared" si="10"/>
        <v>#DIV/0!</v>
      </c>
    </row>
    <row r="18" spans="1:43" ht="18" customHeight="1" x14ac:dyDescent="0.15">
      <c r="A18" s="6"/>
      <c r="B18" s="12"/>
      <c r="C18" s="57"/>
      <c r="D18" s="58"/>
      <c r="E18" s="59"/>
      <c r="F18" s="60">
        <f t="shared" si="11"/>
        <v>0</v>
      </c>
      <c r="G18" s="61"/>
      <c r="H18" s="62"/>
      <c r="I18" s="60">
        <f t="shared" si="12"/>
        <v>0</v>
      </c>
      <c r="J18" s="61"/>
      <c r="K18" s="62"/>
      <c r="L18" s="60">
        <f t="shared" si="13"/>
        <v>0</v>
      </c>
      <c r="M18" s="61"/>
      <c r="N18" s="62"/>
      <c r="O18" s="60">
        <f t="shared" si="14"/>
        <v>0</v>
      </c>
      <c r="P18" s="61"/>
      <c r="Q18" s="62"/>
      <c r="R18" s="60">
        <f t="shared" si="15"/>
        <v>0</v>
      </c>
      <c r="S18" s="61"/>
      <c r="T18" s="62"/>
      <c r="U18" s="60">
        <f t="shared" si="16"/>
        <v>0</v>
      </c>
      <c r="V18" s="61"/>
      <c r="W18" s="62"/>
      <c r="X18" s="60">
        <f t="shared" si="3"/>
        <v>0</v>
      </c>
      <c r="Y18" s="61"/>
      <c r="Z18" s="62"/>
      <c r="AA18" s="60">
        <f t="shared" si="4"/>
        <v>0</v>
      </c>
      <c r="AB18" s="61"/>
      <c r="AC18" s="62"/>
      <c r="AD18" s="60">
        <f t="shared" si="5"/>
        <v>0</v>
      </c>
      <c r="AE18" s="61"/>
      <c r="AF18" s="62"/>
      <c r="AG18" s="60">
        <f t="shared" si="6"/>
        <v>0</v>
      </c>
      <c r="AH18" s="61"/>
      <c r="AI18" s="62"/>
      <c r="AJ18" s="60">
        <f t="shared" si="7"/>
        <v>0</v>
      </c>
      <c r="AK18" s="61"/>
      <c r="AL18" s="62"/>
      <c r="AM18" s="60">
        <f t="shared" si="8"/>
        <v>0</v>
      </c>
      <c r="AN18" s="61"/>
      <c r="AO18" s="62"/>
      <c r="AP18" s="58">
        <f t="shared" si="9"/>
        <v>0</v>
      </c>
      <c r="AQ18" s="8" t="e">
        <f t="shared" si="10"/>
        <v>#DIV/0!</v>
      </c>
    </row>
    <row r="19" spans="1:43" ht="18" customHeight="1" x14ac:dyDescent="0.15">
      <c r="A19" s="6"/>
      <c r="B19" s="12"/>
      <c r="C19" s="57"/>
      <c r="D19" s="58"/>
      <c r="E19" s="59"/>
      <c r="F19" s="60">
        <f t="shared" si="11"/>
        <v>0</v>
      </c>
      <c r="G19" s="61"/>
      <c r="H19" s="62"/>
      <c r="I19" s="60">
        <f t="shared" si="12"/>
        <v>0</v>
      </c>
      <c r="J19" s="61"/>
      <c r="K19" s="62"/>
      <c r="L19" s="60">
        <f t="shared" si="13"/>
        <v>0</v>
      </c>
      <c r="M19" s="61"/>
      <c r="N19" s="62"/>
      <c r="O19" s="60">
        <f t="shared" si="14"/>
        <v>0</v>
      </c>
      <c r="P19" s="61"/>
      <c r="Q19" s="62"/>
      <c r="R19" s="60">
        <f t="shared" si="15"/>
        <v>0</v>
      </c>
      <c r="S19" s="61"/>
      <c r="T19" s="62"/>
      <c r="U19" s="60">
        <f t="shared" si="16"/>
        <v>0</v>
      </c>
      <c r="V19" s="61"/>
      <c r="W19" s="62"/>
      <c r="X19" s="60">
        <f t="shared" si="3"/>
        <v>0</v>
      </c>
      <c r="Y19" s="61"/>
      <c r="Z19" s="62"/>
      <c r="AA19" s="60">
        <f t="shared" si="4"/>
        <v>0</v>
      </c>
      <c r="AB19" s="61"/>
      <c r="AC19" s="62"/>
      <c r="AD19" s="60">
        <f t="shared" si="5"/>
        <v>0</v>
      </c>
      <c r="AE19" s="61"/>
      <c r="AF19" s="62"/>
      <c r="AG19" s="60">
        <f t="shared" si="6"/>
        <v>0</v>
      </c>
      <c r="AH19" s="61"/>
      <c r="AI19" s="62"/>
      <c r="AJ19" s="60">
        <f t="shared" si="7"/>
        <v>0</v>
      </c>
      <c r="AK19" s="61"/>
      <c r="AL19" s="62"/>
      <c r="AM19" s="60">
        <f t="shared" si="8"/>
        <v>0</v>
      </c>
      <c r="AN19" s="61"/>
      <c r="AO19" s="62"/>
      <c r="AP19" s="58">
        <f t="shared" si="9"/>
        <v>0</v>
      </c>
      <c r="AQ19" s="8" t="e">
        <f t="shared" si="10"/>
        <v>#DIV/0!</v>
      </c>
    </row>
    <row r="20" spans="1:43" ht="18" customHeight="1" x14ac:dyDescent="0.15">
      <c r="A20" s="6"/>
      <c r="B20" s="12"/>
      <c r="C20" s="57"/>
      <c r="D20" s="58"/>
      <c r="E20" s="59"/>
      <c r="F20" s="60">
        <f t="shared" si="11"/>
        <v>0</v>
      </c>
      <c r="G20" s="61"/>
      <c r="H20" s="62"/>
      <c r="I20" s="60">
        <f t="shared" si="12"/>
        <v>0</v>
      </c>
      <c r="J20" s="61"/>
      <c r="K20" s="62"/>
      <c r="L20" s="60">
        <f t="shared" si="13"/>
        <v>0</v>
      </c>
      <c r="M20" s="61"/>
      <c r="N20" s="62"/>
      <c r="O20" s="60">
        <f t="shared" si="14"/>
        <v>0</v>
      </c>
      <c r="P20" s="61"/>
      <c r="Q20" s="62"/>
      <c r="R20" s="60">
        <f t="shared" si="15"/>
        <v>0</v>
      </c>
      <c r="S20" s="61"/>
      <c r="T20" s="62"/>
      <c r="U20" s="60">
        <f t="shared" si="16"/>
        <v>0</v>
      </c>
      <c r="V20" s="61"/>
      <c r="W20" s="62"/>
      <c r="X20" s="60">
        <f t="shared" si="3"/>
        <v>0</v>
      </c>
      <c r="Y20" s="61"/>
      <c r="Z20" s="62"/>
      <c r="AA20" s="60">
        <f t="shared" si="4"/>
        <v>0</v>
      </c>
      <c r="AB20" s="61"/>
      <c r="AC20" s="62"/>
      <c r="AD20" s="60">
        <f t="shared" si="5"/>
        <v>0</v>
      </c>
      <c r="AE20" s="61"/>
      <c r="AF20" s="62"/>
      <c r="AG20" s="60">
        <f t="shared" si="6"/>
        <v>0</v>
      </c>
      <c r="AH20" s="61"/>
      <c r="AI20" s="62"/>
      <c r="AJ20" s="60">
        <f t="shared" si="7"/>
        <v>0</v>
      </c>
      <c r="AK20" s="61"/>
      <c r="AL20" s="62"/>
      <c r="AM20" s="60">
        <f t="shared" si="8"/>
        <v>0</v>
      </c>
      <c r="AN20" s="61"/>
      <c r="AO20" s="62"/>
      <c r="AP20" s="58">
        <f t="shared" si="9"/>
        <v>0</v>
      </c>
      <c r="AQ20" s="8" t="e">
        <f t="shared" si="10"/>
        <v>#DIV/0!</v>
      </c>
    </row>
    <row r="21" spans="1:43" ht="18" customHeight="1" x14ac:dyDescent="0.15">
      <c r="A21" s="6"/>
      <c r="B21" s="12"/>
      <c r="C21" s="57"/>
      <c r="D21" s="58"/>
      <c r="E21" s="59"/>
      <c r="F21" s="60">
        <f t="shared" si="11"/>
        <v>0</v>
      </c>
      <c r="G21" s="61"/>
      <c r="H21" s="62"/>
      <c r="I21" s="60">
        <f t="shared" si="12"/>
        <v>0</v>
      </c>
      <c r="J21" s="61"/>
      <c r="K21" s="62"/>
      <c r="L21" s="60">
        <f t="shared" si="13"/>
        <v>0</v>
      </c>
      <c r="M21" s="61"/>
      <c r="N21" s="62"/>
      <c r="O21" s="60">
        <f t="shared" si="14"/>
        <v>0</v>
      </c>
      <c r="P21" s="61"/>
      <c r="Q21" s="62"/>
      <c r="R21" s="60">
        <f t="shared" si="15"/>
        <v>0</v>
      </c>
      <c r="S21" s="61"/>
      <c r="T21" s="62"/>
      <c r="U21" s="60">
        <f t="shared" si="16"/>
        <v>0</v>
      </c>
      <c r="V21" s="61"/>
      <c r="W21" s="62"/>
      <c r="X21" s="60">
        <f t="shared" si="3"/>
        <v>0</v>
      </c>
      <c r="Y21" s="61"/>
      <c r="Z21" s="62"/>
      <c r="AA21" s="60">
        <f t="shared" si="4"/>
        <v>0</v>
      </c>
      <c r="AB21" s="61"/>
      <c r="AC21" s="62"/>
      <c r="AD21" s="60">
        <f t="shared" si="5"/>
        <v>0</v>
      </c>
      <c r="AE21" s="61"/>
      <c r="AF21" s="62"/>
      <c r="AG21" s="60">
        <f t="shared" si="6"/>
        <v>0</v>
      </c>
      <c r="AH21" s="61"/>
      <c r="AI21" s="62"/>
      <c r="AJ21" s="60">
        <f t="shared" si="7"/>
        <v>0</v>
      </c>
      <c r="AK21" s="61"/>
      <c r="AL21" s="62"/>
      <c r="AM21" s="60">
        <f t="shared" si="8"/>
        <v>0</v>
      </c>
      <c r="AN21" s="61"/>
      <c r="AO21" s="62"/>
      <c r="AP21" s="58">
        <f t="shared" si="9"/>
        <v>0</v>
      </c>
      <c r="AQ21" s="8" t="e">
        <f t="shared" si="10"/>
        <v>#DIV/0!</v>
      </c>
    </row>
    <row r="22" spans="1:43" ht="18" customHeight="1" x14ac:dyDescent="0.15">
      <c r="A22" s="6"/>
      <c r="B22" s="12"/>
      <c r="C22" s="57"/>
      <c r="D22" s="58"/>
      <c r="E22" s="59"/>
      <c r="F22" s="60">
        <f t="shared" si="11"/>
        <v>0</v>
      </c>
      <c r="G22" s="61"/>
      <c r="H22" s="62"/>
      <c r="I22" s="60">
        <f t="shared" si="12"/>
        <v>0</v>
      </c>
      <c r="J22" s="61"/>
      <c r="K22" s="62"/>
      <c r="L22" s="60">
        <f t="shared" si="13"/>
        <v>0</v>
      </c>
      <c r="M22" s="61"/>
      <c r="N22" s="62"/>
      <c r="O22" s="60">
        <f t="shared" si="14"/>
        <v>0</v>
      </c>
      <c r="P22" s="61"/>
      <c r="Q22" s="62"/>
      <c r="R22" s="60">
        <f t="shared" si="15"/>
        <v>0</v>
      </c>
      <c r="S22" s="61"/>
      <c r="T22" s="62"/>
      <c r="U22" s="60">
        <f t="shared" si="16"/>
        <v>0</v>
      </c>
      <c r="V22" s="61"/>
      <c r="W22" s="62"/>
      <c r="X22" s="60">
        <f t="shared" si="3"/>
        <v>0</v>
      </c>
      <c r="Y22" s="61"/>
      <c r="Z22" s="62"/>
      <c r="AA22" s="60">
        <f t="shared" si="4"/>
        <v>0</v>
      </c>
      <c r="AB22" s="61"/>
      <c r="AC22" s="62"/>
      <c r="AD22" s="60">
        <f t="shared" si="5"/>
        <v>0</v>
      </c>
      <c r="AE22" s="61"/>
      <c r="AF22" s="62"/>
      <c r="AG22" s="60">
        <f t="shared" si="6"/>
        <v>0</v>
      </c>
      <c r="AH22" s="61"/>
      <c r="AI22" s="62"/>
      <c r="AJ22" s="60">
        <f t="shared" si="7"/>
        <v>0</v>
      </c>
      <c r="AK22" s="61"/>
      <c r="AL22" s="62"/>
      <c r="AM22" s="60">
        <f t="shared" si="8"/>
        <v>0</v>
      </c>
      <c r="AN22" s="61"/>
      <c r="AO22" s="62"/>
      <c r="AP22" s="58">
        <f t="shared" si="9"/>
        <v>0</v>
      </c>
      <c r="AQ22" s="8" t="e">
        <f t="shared" si="10"/>
        <v>#DIV/0!</v>
      </c>
    </row>
    <row r="23" spans="1:43" ht="18" customHeight="1" x14ac:dyDescent="0.15">
      <c r="A23" s="6"/>
      <c r="B23" s="12"/>
      <c r="C23" s="57"/>
      <c r="D23" s="58"/>
      <c r="E23" s="59"/>
      <c r="F23" s="60">
        <f t="shared" si="11"/>
        <v>0</v>
      </c>
      <c r="G23" s="61"/>
      <c r="H23" s="62"/>
      <c r="I23" s="60">
        <f t="shared" si="12"/>
        <v>0</v>
      </c>
      <c r="J23" s="61"/>
      <c r="K23" s="62"/>
      <c r="L23" s="60">
        <f t="shared" si="13"/>
        <v>0</v>
      </c>
      <c r="M23" s="61"/>
      <c r="N23" s="62"/>
      <c r="O23" s="60">
        <f t="shared" si="14"/>
        <v>0</v>
      </c>
      <c r="P23" s="61"/>
      <c r="Q23" s="62"/>
      <c r="R23" s="60">
        <f t="shared" si="15"/>
        <v>0</v>
      </c>
      <c r="S23" s="61"/>
      <c r="T23" s="62"/>
      <c r="U23" s="60">
        <f t="shared" si="16"/>
        <v>0</v>
      </c>
      <c r="V23" s="61"/>
      <c r="W23" s="62"/>
      <c r="X23" s="60">
        <f t="shared" si="3"/>
        <v>0</v>
      </c>
      <c r="Y23" s="61"/>
      <c r="Z23" s="62"/>
      <c r="AA23" s="60">
        <f t="shared" si="4"/>
        <v>0</v>
      </c>
      <c r="AB23" s="61"/>
      <c r="AC23" s="62"/>
      <c r="AD23" s="60">
        <f t="shared" si="5"/>
        <v>0</v>
      </c>
      <c r="AE23" s="61"/>
      <c r="AF23" s="62"/>
      <c r="AG23" s="60">
        <f t="shared" si="6"/>
        <v>0</v>
      </c>
      <c r="AH23" s="61"/>
      <c r="AI23" s="62"/>
      <c r="AJ23" s="60">
        <f t="shared" si="7"/>
        <v>0</v>
      </c>
      <c r="AK23" s="61"/>
      <c r="AL23" s="62"/>
      <c r="AM23" s="60">
        <f t="shared" si="8"/>
        <v>0</v>
      </c>
      <c r="AN23" s="61"/>
      <c r="AO23" s="62"/>
      <c r="AP23" s="58">
        <f t="shared" si="9"/>
        <v>0</v>
      </c>
      <c r="AQ23" s="8" t="e">
        <f t="shared" si="10"/>
        <v>#DIV/0!</v>
      </c>
    </row>
    <row r="24" spans="1:43" ht="18" customHeight="1" x14ac:dyDescent="0.15">
      <c r="A24" s="6"/>
      <c r="B24" s="12"/>
      <c r="C24" s="57"/>
      <c r="D24" s="58"/>
      <c r="E24" s="59"/>
      <c r="F24" s="60">
        <f t="shared" si="11"/>
        <v>0</v>
      </c>
      <c r="G24" s="61"/>
      <c r="H24" s="62"/>
      <c r="I24" s="60">
        <f t="shared" si="12"/>
        <v>0</v>
      </c>
      <c r="J24" s="61"/>
      <c r="K24" s="62"/>
      <c r="L24" s="60">
        <f t="shared" si="13"/>
        <v>0</v>
      </c>
      <c r="M24" s="61"/>
      <c r="N24" s="62"/>
      <c r="O24" s="60">
        <f t="shared" si="14"/>
        <v>0</v>
      </c>
      <c r="P24" s="61"/>
      <c r="Q24" s="62"/>
      <c r="R24" s="60">
        <f t="shared" si="15"/>
        <v>0</v>
      </c>
      <c r="S24" s="61"/>
      <c r="T24" s="62"/>
      <c r="U24" s="60">
        <f t="shared" si="16"/>
        <v>0</v>
      </c>
      <c r="V24" s="61"/>
      <c r="W24" s="62"/>
      <c r="X24" s="60">
        <f t="shared" si="3"/>
        <v>0</v>
      </c>
      <c r="Y24" s="61"/>
      <c r="Z24" s="62"/>
      <c r="AA24" s="60">
        <f t="shared" si="4"/>
        <v>0</v>
      </c>
      <c r="AB24" s="61"/>
      <c r="AC24" s="62"/>
      <c r="AD24" s="60">
        <f t="shared" si="5"/>
        <v>0</v>
      </c>
      <c r="AE24" s="61"/>
      <c r="AF24" s="62"/>
      <c r="AG24" s="60">
        <f t="shared" si="6"/>
        <v>0</v>
      </c>
      <c r="AH24" s="61"/>
      <c r="AI24" s="62"/>
      <c r="AJ24" s="60">
        <f t="shared" si="7"/>
        <v>0</v>
      </c>
      <c r="AK24" s="61"/>
      <c r="AL24" s="62"/>
      <c r="AM24" s="60">
        <f t="shared" si="8"/>
        <v>0</v>
      </c>
      <c r="AN24" s="61"/>
      <c r="AO24" s="62"/>
      <c r="AP24" s="58">
        <f t="shared" si="9"/>
        <v>0</v>
      </c>
      <c r="AQ24" s="8" t="e">
        <f t="shared" si="10"/>
        <v>#DIV/0!</v>
      </c>
    </row>
    <row r="25" spans="1:43" ht="18" customHeight="1" x14ac:dyDescent="0.15">
      <c r="A25" s="6"/>
      <c r="B25" s="12"/>
      <c r="C25" s="57"/>
      <c r="D25" s="58"/>
      <c r="E25" s="59"/>
      <c r="F25" s="60">
        <f t="shared" si="11"/>
        <v>0</v>
      </c>
      <c r="G25" s="61"/>
      <c r="H25" s="62"/>
      <c r="I25" s="60">
        <f t="shared" si="12"/>
        <v>0</v>
      </c>
      <c r="J25" s="61"/>
      <c r="K25" s="62"/>
      <c r="L25" s="60">
        <f t="shared" si="13"/>
        <v>0</v>
      </c>
      <c r="M25" s="61"/>
      <c r="N25" s="62"/>
      <c r="O25" s="60">
        <f t="shared" si="14"/>
        <v>0</v>
      </c>
      <c r="P25" s="61"/>
      <c r="Q25" s="62"/>
      <c r="R25" s="60">
        <f t="shared" si="15"/>
        <v>0</v>
      </c>
      <c r="S25" s="61"/>
      <c r="T25" s="62"/>
      <c r="U25" s="60">
        <f t="shared" si="16"/>
        <v>0</v>
      </c>
      <c r="V25" s="61"/>
      <c r="W25" s="62"/>
      <c r="X25" s="60">
        <f t="shared" si="3"/>
        <v>0</v>
      </c>
      <c r="Y25" s="61"/>
      <c r="Z25" s="62"/>
      <c r="AA25" s="60">
        <f t="shared" si="4"/>
        <v>0</v>
      </c>
      <c r="AB25" s="61"/>
      <c r="AC25" s="62"/>
      <c r="AD25" s="60">
        <f t="shared" si="5"/>
        <v>0</v>
      </c>
      <c r="AE25" s="61"/>
      <c r="AF25" s="62"/>
      <c r="AG25" s="60">
        <f t="shared" si="6"/>
        <v>0</v>
      </c>
      <c r="AH25" s="61"/>
      <c r="AI25" s="62"/>
      <c r="AJ25" s="60">
        <f t="shared" si="7"/>
        <v>0</v>
      </c>
      <c r="AK25" s="61"/>
      <c r="AL25" s="62"/>
      <c r="AM25" s="60">
        <f t="shared" si="8"/>
        <v>0</v>
      </c>
      <c r="AN25" s="61"/>
      <c r="AO25" s="62"/>
      <c r="AP25" s="58">
        <f t="shared" si="9"/>
        <v>0</v>
      </c>
      <c r="AQ25" s="8" t="e">
        <f t="shared" si="10"/>
        <v>#DIV/0!</v>
      </c>
    </row>
    <row r="26" spans="1:43" ht="18" customHeight="1" x14ac:dyDescent="0.15">
      <c r="A26" s="6"/>
      <c r="B26" s="12"/>
      <c r="C26" s="57"/>
      <c r="D26" s="58"/>
      <c r="E26" s="59"/>
      <c r="F26" s="60">
        <f t="shared" si="11"/>
        <v>0</v>
      </c>
      <c r="G26" s="61"/>
      <c r="H26" s="62"/>
      <c r="I26" s="60">
        <f t="shared" si="12"/>
        <v>0</v>
      </c>
      <c r="J26" s="61"/>
      <c r="K26" s="62"/>
      <c r="L26" s="60">
        <f t="shared" si="13"/>
        <v>0</v>
      </c>
      <c r="M26" s="61"/>
      <c r="N26" s="62"/>
      <c r="O26" s="60">
        <f t="shared" si="14"/>
        <v>0</v>
      </c>
      <c r="P26" s="61"/>
      <c r="Q26" s="62"/>
      <c r="R26" s="60">
        <f t="shared" si="15"/>
        <v>0</v>
      </c>
      <c r="S26" s="61"/>
      <c r="T26" s="62"/>
      <c r="U26" s="60">
        <f t="shared" si="16"/>
        <v>0</v>
      </c>
      <c r="V26" s="61"/>
      <c r="W26" s="62"/>
      <c r="X26" s="60">
        <f t="shared" si="3"/>
        <v>0</v>
      </c>
      <c r="Y26" s="61"/>
      <c r="Z26" s="62"/>
      <c r="AA26" s="60">
        <f t="shared" si="4"/>
        <v>0</v>
      </c>
      <c r="AB26" s="61"/>
      <c r="AC26" s="62"/>
      <c r="AD26" s="60">
        <f t="shared" si="5"/>
        <v>0</v>
      </c>
      <c r="AE26" s="61"/>
      <c r="AF26" s="62"/>
      <c r="AG26" s="60">
        <f t="shared" si="6"/>
        <v>0</v>
      </c>
      <c r="AH26" s="61"/>
      <c r="AI26" s="62"/>
      <c r="AJ26" s="60">
        <f t="shared" si="7"/>
        <v>0</v>
      </c>
      <c r="AK26" s="61"/>
      <c r="AL26" s="62"/>
      <c r="AM26" s="60">
        <f t="shared" si="8"/>
        <v>0</v>
      </c>
      <c r="AN26" s="61"/>
      <c r="AO26" s="62"/>
      <c r="AP26" s="58">
        <f t="shared" si="9"/>
        <v>0</v>
      </c>
      <c r="AQ26" s="8" t="e">
        <f t="shared" si="10"/>
        <v>#DIV/0!</v>
      </c>
    </row>
    <row r="27" spans="1:43" ht="18" customHeight="1" x14ac:dyDescent="0.15">
      <c r="A27" s="6"/>
      <c r="B27" s="12"/>
      <c r="C27" s="57"/>
      <c r="D27" s="58"/>
      <c r="E27" s="59"/>
      <c r="F27" s="60">
        <f t="shared" si="11"/>
        <v>0</v>
      </c>
      <c r="G27" s="61"/>
      <c r="H27" s="62"/>
      <c r="I27" s="60">
        <f t="shared" si="12"/>
        <v>0</v>
      </c>
      <c r="J27" s="61"/>
      <c r="K27" s="62"/>
      <c r="L27" s="60">
        <f t="shared" si="13"/>
        <v>0</v>
      </c>
      <c r="M27" s="61"/>
      <c r="N27" s="62"/>
      <c r="O27" s="60">
        <f t="shared" si="14"/>
        <v>0</v>
      </c>
      <c r="P27" s="61"/>
      <c r="Q27" s="62"/>
      <c r="R27" s="60">
        <f t="shared" si="15"/>
        <v>0</v>
      </c>
      <c r="S27" s="61"/>
      <c r="T27" s="62"/>
      <c r="U27" s="60">
        <f t="shared" si="16"/>
        <v>0</v>
      </c>
      <c r="V27" s="61"/>
      <c r="W27" s="62"/>
      <c r="X27" s="60">
        <f t="shared" si="3"/>
        <v>0</v>
      </c>
      <c r="Y27" s="61"/>
      <c r="Z27" s="62"/>
      <c r="AA27" s="60">
        <f t="shared" si="4"/>
        <v>0</v>
      </c>
      <c r="AB27" s="61"/>
      <c r="AC27" s="62"/>
      <c r="AD27" s="60">
        <f t="shared" si="5"/>
        <v>0</v>
      </c>
      <c r="AE27" s="61"/>
      <c r="AF27" s="62"/>
      <c r="AG27" s="60">
        <f t="shared" si="6"/>
        <v>0</v>
      </c>
      <c r="AH27" s="61"/>
      <c r="AI27" s="62"/>
      <c r="AJ27" s="60">
        <f t="shared" si="7"/>
        <v>0</v>
      </c>
      <c r="AK27" s="61"/>
      <c r="AL27" s="62"/>
      <c r="AM27" s="60">
        <f t="shared" si="8"/>
        <v>0</v>
      </c>
      <c r="AN27" s="61"/>
      <c r="AO27" s="62"/>
      <c r="AP27" s="58">
        <f t="shared" si="9"/>
        <v>0</v>
      </c>
      <c r="AQ27" s="8" t="e">
        <f t="shared" si="10"/>
        <v>#DIV/0!</v>
      </c>
    </row>
    <row r="28" spans="1:43" ht="18" customHeight="1" x14ac:dyDescent="0.15">
      <c r="A28" s="6"/>
      <c r="B28" s="12"/>
      <c r="C28" s="57"/>
      <c r="D28" s="58"/>
      <c r="E28" s="59"/>
      <c r="F28" s="60">
        <f t="shared" si="11"/>
        <v>0</v>
      </c>
      <c r="G28" s="61"/>
      <c r="H28" s="62"/>
      <c r="I28" s="60">
        <f t="shared" si="12"/>
        <v>0</v>
      </c>
      <c r="J28" s="61"/>
      <c r="K28" s="62"/>
      <c r="L28" s="60">
        <f t="shared" si="13"/>
        <v>0</v>
      </c>
      <c r="M28" s="61"/>
      <c r="N28" s="62"/>
      <c r="O28" s="60">
        <f t="shared" si="14"/>
        <v>0</v>
      </c>
      <c r="P28" s="61"/>
      <c r="Q28" s="62"/>
      <c r="R28" s="60">
        <f t="shared" si="15"/>
        <v>0</v>
      </c>
      <c r="S28" s="61"/>
      <c r="T28" s="62"/>
      <c r="U28" s="60">
        <f t="shared" si="16"/>
        <v>0</v>
      </c>
      <c r="V28" s="61"/>
      <c r="W28" s="62"/>
      <c r="X28" s="60">
        <f t="shared" si="3"/>
        <v>0</v>
      </c>
      <c r="Y28" s="61"/>
      <c r="Z28" s="62"/>
      <c r="AA28" s="60">
        <f t="shared" si="4"/>
        <v>0</v>
      </c>
      <c r="AB28" s="61"/>
      <c r="AC28" s="62"/>
      <c r="AD28" s="60">
        <f t="shared" si="5"/>
        <v>0</v>
      </c>
      <c r="AE28" s="61"/>
      <c r="AF28" s="62"/>
      <c r="AG28" s="60">
        <f t="shared" si="6"/>
        <v>0</v>
      </c>
      <c r="AH28" s="61"/>
      <c r="AI28" s="62"/>
      <c r="AJ28" s="60">
        <f t="shared" si="7"/>
        <v>0</v>
      </c>
      <c r="AK28" s="61"/>
      <c r="AL28" s="62"/>
      <c r="AM28" s="60">
        <f t="shared" si="8"/>
        <v>0</v>
      </c>
      <c r="AN28" s="61"/>
      <c r="AO28" s="62"/>
      <c r="AP28" s="58">
        <f t="shared" si="9"/>
        <v>0</v>
      </c>
      <c r="AQ28" s="8" t="e">
        <f t="shared" si="10"/>
        <v>#DIV/0!</v>
      </c>
    </row>
    <row r="29" spans="1:43" ht="18" customHeight="1" x14ac:dyDescent="0.15">
      <c r="A29" s="6"/>
      <c r="B29" s="12"/>
      <c r="C29" s="57"/>
      <c r="D29" s="63"/>
      <c r="E29" s="59"/>
      <c r="F29" s="60">
        <f t="shared" si="11"/>
        <v>0</v>
      </c>
      <c r="G29" s="61"/>
      <c r="H29" s="62"/>
      <c r="I29" s="60">
        <f t="shared" si="12"/>
        <v>0</v>
      </c>
      <c r="J29" s="61"/>
      <c r="K29" s="62"/>
      <c r="L29" s="60">
        <f t="shared" si="13"/>
        <v>0</v>
      </c>
      <c r="M29" s="61"/>
      <c r="N29" s="62"/>
      <c r="O29" s="60">
        <f t="shared" si="14"/>
        <v>0</v>
      </c>
      <c r="P29" s="61"/>
      <c r="Q29" s="62"/>
      <c r="R29" s="60">
        <f t="shared" si="15"/>
        <v>0</v>
      </c>
      <c r="S29" s="61"/>
      <c r="T29" s="62"/>
      <c r="U29" s="60">
        <f t="shared" si="16"/>
        <v>0</v>
      </c>
      <c r="V29" s="61"/>
      <c r="W29" s="62"/>
      <c r="X29" s="60">
        <f t="shared" si="3"/>
        <v>0</v>
      </c>
      <c r="Y29" s="61"/>
      <c r="Z29" s="62"/>
      <c r="AA29" s="60">
        <f t="shared" si="4"/>
        <v>0</v>
      </c>
      <c r="AB29" s="61"/>
      <c r="AC29" s="62"/>
      <c r="AD29" s="60">
        <f t="shared" si="5"/>
        <v>0</v>
      </c>
      <c r="AE29" s="61"/>
      <c r="AF29" s="62"/>
      <c r="AG29" s="60">
        <f t="shared" si="6"/>
        <v>0</v>
      </c>
      <c r="AH29" s="61"/>
      <c r="AI29" s="62"/>
      <c r="AJ29" s="60">
        <f t="shared" si="7"/>
        <v>0</v>
      </c>
      <c r="AK29" s="61"/>
      <c r="AL29" s="62"/>
      <c r="AM29" s="60">
        <f t="shared" si="8"/>
        <v>0</v>
      </c>
      <c r="AN29" s="61"/>
      <c r="AO29" s="62"/>
      <c r="AP29" s="63">
        <f t="shared" si="9"/>
        <v>0</v>
      </c>
      <c r="AQ29" s="8" t="e">
        <f t="shared" si="10"/>
        <v>#DIV/0!</v>
      </c>
    </row>
    <row r="30" spans="1:43" ht="18" customHeight="1" x14ac:dyDescent="0.15">
      <c r="A30" s="6"/>
      <c r="B30" s="12"/>
      <c r="C30" s="57"/>
      <c r="D30" s="63"/>
      <c r="E30" s="59"/>
      <c r="F30" s="60">
        <f t="shared" si="11"/>
        <v>0</v>
      </c>
      <c r="G30" s="61"/>
      <c r="H30" s="62"/>
      <c r="I30" s="60">
        <f t="shared" si="12"/>
        <v>0</v>
      </c>
      <c r="J30" s="61"/>
      <c r="K30" s="62"/>
      <c r="L30" s="60">
        <f t="shared" si="13"/>
        <v>0</v>
      </c>
      <c r="M30" s="61"/>
      <c r="N30" s="62"/>
      <c r="O30" s="60">
        <f t="shared" si="14"/>
        <v>0</v>
      </c>
      <c r="P30" s="61"/>
      <c r="Q30" s="62"/>
      <c r="R30" s="60">
        <f t="shared" si="15"/>
        <v>0</v>
      </c>
      <c r="S30" s="61"/>
      <c r="T30" s="62"/>
      <c r="U30" s="60">
        <f t="shared" si="16"/>
        <v>0</v>
      </c>
      <c r="V30" s="61"/>
      <c r="W30" s="62"/>
      <c r="X30" s="60">
        <f t="shared" si="3"/>
        <v>0</v>
      </c>
      <c r="Y30" s="61"/>
      <c r="Z30" s="62"/>
      <c r="AA30" s="60">
        <f t="shared" si="4"/>
        <v>0</v>
      </c>
      <c r="AB30" s="61"/>
      <c r="AC30" s="62"/>
      <c r="AD30" s="60">
        <f t="shared" si="5"/>
        <v>0</v>
      </c>
      <c r="AE30" s="61"/>
      <c r="AF30" s="62"/>
      <c r="AG30" s="60">
        <f t="shared" si="6"/>
        <v>0</v>
      </c>
      <c r="AH30" s="61"/>
      <c r="AI30" s="62"/>
      <c r="AJ30" s="60">
        <f t="shared" si="7"/>
        <v>0</v>
      </c>
      <c r="AK30" s="61"/>
      <c r="AL30" s="62"/>
      <c r="AM30" s="60">
        <f t="shared" si="8"/>
        <v>0</v>
      </c>
      <c r="AN30" s="61"/>
      <c r="AO30" s="62"/>
      <c r="AP30" s="63">
        <f t="shared" si="9"/>
        <v>0</v>
      </c>
      <c r="AQ30" s="8" t="e">
        <f t="shared" si="10"/>
        <v>#DIV/0!</v>
      </c>
    </row>
    <row r="31" spans="1:43" ht="18" customHeight="1" thickBot="1" x14ac:dyDescent="0.2">
      <c r="A31" s="6"/>
      <c r="B31" s="13"/>
      <c r="C31" s="54"/>
      <c r="D31" s="64"/>
      <c r="E31" s="56"/>
      <c r="F31" s="56">
        <f t="shared" si="11"/>
        <v>0</v>
      </c>
      <c r="G31" s="65"/>
      <c r="H31" s="66"/>
      <c r="I31" s="56">
        <f t="shared" si="12"/>
        <v>0</v>
      </c>
      <c r="J31" s="65"/>
      <c r="K31" s="66"/>
      <c r="L31" s="56">
        <f t="shared" si="13"/>
        <v>0</v>
      </c>
      <c r="M31" s="65"/>
      <c r="N31" s="66"/>
      <c r="O31" s="56">
        <f t="shared" si="14"/>
        <v>0</v>
      </c>
      <c r="P31" s="65"/>
      <c r="Q31" s="66"/>
      <c r="R31" s="56">
        <f t="shared" si="15"/>
        <v>0</v>
      </c>
      <c r="S31" s="65"/>
      <c r="T31" s="66"/>
      <c r="U31" s="56">
        <f t="shared" si="16"/>
        <v>0</v>
      </c>
      <c r="V31" s="65"/>
      <c r="W31" s="66"/>
      <c r="X31" s="56">
        <f t="shared" si="3"/>
        <v>0</v>
      </c>
      <c r="Y31" s="65"/>
      <c r="Z31" s="66"/>
      <c r="AA31" s="56">
        <f t="shared" si="4"/>
        <v>0</v>
      </c>
      <c r="AB31" s="65"/>
      <c r="AC31" s="66"/>
      <c r="AD31" s="56">
        <f t="shared" si="5"/>
        <v>0</v>
      </c>
      <c r="AE31" s="65"/>
      <c r="AF31" s="66"/>
      <c r="AG31" s="56">
        <f t="shared" si="6"/>
        <v>0</v>
      </c>
      <c r="AH31" s="65"/>
      <c r="AI31" s="66"/>
      <c r="AJ31" s="56">
        <f t="shared" si="7"/>
        <v>0</v>
      </c>
      <c r="AK31" s="65"/>
      <c r="AL31" s="66"/>
      <c r="AM31" s="56">
        <f t="shared" si="8"/>
        <v>0</v>
      </c>
      <c r="AN31" s="65"/>
      <c r="AO31" s="66"/>
      <c r="AP31" s="64">
        <f t="shared" si="9"/>
        <v>0</v>
      </c>
      <c r="AQ31" s="7" t="e">
        <f t="shared" si="10"/>
        <v>#DIV/0!</v>
      </c>
    </row>
    <row r="32" spans="1:43" ht="18" customHeight="1" thickTop="1" x14ac:dyDescent="0.15">
      <c r="B32" s="14" t="s">
        <v>93</v>
      </c>
      <c r="C32" s="67">
        <f t="shared" ref="C32" si="17">SUM(C12:C31)</f>
        <v>1974</v>
      </c>
      <c r="D32" s="68">
        <f t="shared" ref="D32:AP32" si="18">SUM(D12:D31)</f>
        <v>460</v>
      </c>
      <c r="E32" s="69">
        <f>SUM(E12:E31)</f>
        <v>1860</v>
      </c>
      <c r="F32" s="69">
        <f>SUM(F12:F31)</f>
        <v>468</v>
      </c>
      <c r="G32" s="70">
        <f t="shared" si="18"/>
        <v>203</v>
      </c>
      <c r="H32" s="71">
        <f t="shared" si="18"/>
        <v>265</v>
      </c>
      <c r="I32" s="69">
        <f t="shared" ref="I32:N32" si="19">SUM(I12:I31)</f>
        <v>428</v>
      </c>
      <c r="J32" s="70">
        <f>SUM(J12:J31)</f>
        <v>175</v>
      </c>
      <c r="K32" s="71">
        <f t="shared" si="19"/>
        <v>253</v>
      </c>
      <c r="L32" s="69">
        <f t="shared" si="19"/>
        <v>0</v>
      </c>
      <c r="M32" s="70">
        <f t="shared" si="19"/>
        <v>0</v>
      </c>
      <c r="N32" s="71">
        <f t="shared" si="19"/>
        <v>0</v>
      </c>
      <c r="O32" s="69">
        <f t="shared" ref="O32:T32" si="20">SUM(O12:O31)</f>
        <v>0</v>
      </c>
      <c r="P32" s="70">
        <f t="shared" si="20"/>
        <v>0</v>
      </c>
      <c r="Q32" s="71">
        <f t="shared" si="20"/>
        <v>0</v>
      </c>
      <c r="R32" s="69">
        <f t="shared" si="20"/>
        <v>0</v>
      </c>
      <c r="S32" s="70">
        <f t="shared" si="20"/>
        <v>0</v>
      </c>
      <c r="T32" s="71">
        <f t="shared" si="20"/>
        <v>0</v>
      </c>
      <c r="U32" s="69">
        <f t="shared" ref="U32:AI32" si="21">SUM(U12:U31)</f>
        <v>0</v>
      </c>
      <c r="V32" s="70">
        <f t="shared" si="21"/>
        <v>0</v>
      </c>
      <c r="W32" s="71">
        <f t="shared" si="21"/>
        <v>0</v>
      </c>
      <c r="X32" s="69">
        <f t="shared" si="21"/>
        <v>0</v>
      </c>
      <c r="Y32" s="70">
        <f t="shared" si="21"/>
        <v>0</v>
      </c>
      <c r="Z32" s="71">
        <f t="shared" si="21"/>
        <v>0</v>
      </c>
      <c r="AA32" s="69">
        <f t="shared" si="21"/>
        <v>0</v>
      </c>
      <c r="AB32" s="70">
        <f t="shared" si="21"/>
        <v>0</v>
      </c>
      <c r="AC32" s="71">
        <f t="shared" si="21"/>
        <v>0</v>
      </c>
      <c r="AD32" s="69">
        <f t="shared" si="21"/>
        <v>0</v>
      </c>
      <c r="AE32" s="70">
        <f t="shared" si="21"/>
        <v>0</v>
      </c>
      <c r="AF32" s="71">
        <f t="shared" si="21"/>
        <v>0</v>
      </c>
      <c r="AG32" s="69">
        <f t="shared" si="21"/>
        <v>0</v>
      </c>
      <c r="AH32" s="70">
        <f t="shared" si="21"/>
        <v>0</v>
      </c>
      <c r="AI32" s="71">
        <f t="shared" si="21"/>
        <v>0</v>
      </c>
      <c r="AJ32" s="69">
        <f t="shared" ref="AJ32:AO32" si="22">SUM(AJ12:AJ31)</f>
        <v>0</v>
      </c>
      <c r="AK32" s="70">
        <f t="shared" si="22"/>
        <v>0</v>
      </c>
      <c r="AL32" s="71">
        <f t="shared" si="22"/>
        <v>0</v>
      </c>
      <c r="AM32" s="69">
        <f t="shared" si="22"/>
        <v>0</v>
      </c>
      <c r="AN32" s="70">
        <f t="shared" si="22"/>
        <v>0</v>
      </c>
      <c r="AO32" s="71">
        <f t="shared" si="22"/>
        <v>0</v>
      </c>
      <c r="AP32" s="68">
        <f t="shared" si="18"/>
        <v>468</v>
      </c>
      <c r="AQ32" s="9">
        <f t="shared" si="10"/>
        <v>0.25161290322580643</v>
      </c>
    </row>
    <row r="89" ht="91.5" customHeight="1" x14ac:dyDescent="0.15"/>
    <row r="90" ht="123" customHeight="1" x14ac:dyDescent="0.15"/>
    <row r="91" ht="156" customHeight="1" x14ac:dyDescent="0.15"/>
    <row r="92" ht="102.75" customHeight="1" x14ac:dyDescent="0.15"/>
    <row r="93" ht="244.5" customHeight="1" x14ac:dyDescent="0.15"/>
    <row r="94" ht="147" customHeight="1" x14ac:dyDescent="0.15"/>
    <row r="95" ht="75.75" customHeight="1" x14ac:dyDescent="0.15"/>
    <row r="97" ht="81.75" customHeight="1" x14ac:dyDescent="0.15"/>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tabSelected="1" view="pageBreakPreview" topLeftCell="A98" zoomScale="55" zoomScaleNormal="100" zoomScaleSheetLayoutView="55" workbookViewId="0">
      <selection activeCell="D86" sqref="D86"/>
    </sheetView>
  </sheetViews>
  <sheetFormatPr defaultColWidth="11.375" defaultRowHeight="18.75" customHeight="1" x14ac:dyDescent="0.15"/>
  <cols>
    <col min="1" max="1" width="2.75" style="34"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4" t="s">
        <v>94</v>
      </c>
      <c r="I1" s="28" t="s">
        <v>95</v>
      </c>
    </row>
    <row r="2" spans="1:9" ht="18.75" customHeight="1" x14ac:dyDescent="0.15">
      <c r="G2" s="28" t="s">
        <v>2</v>
      </c>
      <c r="H2" s="96" t="s">
        <v>3</v>
      </c>
      <c r="I2" s="98"/>
    </row>
    <row r="3" spans="1:9" ht="18.75" customHeight="1" x14ac:dyDescent="0.15">
      <c r="G3" s="28"/>
      <c r="H3" s="10"/>
      <c r="I3" s="10"/>
    </row>
    <row r="4" spans="1:9" ht="18.600000000000001" customHeight="1" x14ac:dyDescent="0.15">
      <c r="A4" s="155" t="s">
        <v>96</v>
      </c>
      <c r="B4" s="155"/>
      <c r="C4" s="155"/>
      <c r="D4" s="155"/>
      <c r="E4" s="155"/>
      <c r="F4" s="155"/>
      <c r="G4" s="155"/>
      <c r="H4" s="155"/>
      <c r="I4" s="155"/>
    </row>
    <row r="5" spans="1:9" ht="13.15" customHeight="1" x14ac:dyDescent="0.15">
      <c r="B5" s="3"/>
      <c r="C5" s="3"/>
      <c r="D5" s="3"/>
      <c r="E5" s="3"/>
      <c r="F5" s="3"/>
      <c r="G5" s="3"/>
      <c r="H5" s="3"/>
      <c r="I5" s="3"/>
    </row>
    <row r="6" spans="1:9" ht="18" customHeight="1" x14ac:dyDescent="0.15">
      <c r="A6" s="1" t="s">
        <v>97</v>
      </c>
      <c r="B6" s="10" t="s">
        <v>98</v>
      </c>
      <c r="C6" s="235" t="s">
        <v>99</v>
      </c>
      <c r="D6" s="235"/>
      <c r="E6" s="27">
        <v>93</v>
      </c>
      <c r="F6" s="3" t="s">
        <v>100</v>
      </c>
      <c r="G6" s="3" t="s">
        <v>101</v>
      </c>
      <c r="H6" s="27">
        <v>134</v>
      </c>
      <c r="I6" s="10" t="s">
        <v>100</v>
      </c>
    </row>
    <row r="7" spans="1:9" ht="12" customHeight="1" x14ac:dyDescent="0.15">
      <c r="C7" s="2"/>
      <c r="D7" s="2"/>
      <c r="E7" s="2"/>
      <c r="F7" s="2"/>
      <c r="G7" s="2"/>
      <c r="H7" s="2"/>
      <c r="I7" s="78"/>
    </row>
    <row r="8" spans="1:9" ht="18" customHeight="1" x14ac:dyDescent="0.15">
      <c r="A8" s="1" t="s">
        <v>102</v>
      </c>
      <c r="B8" s="10" t="s">
        <v>103</v>
      </c>
      <c r="E8" s="3"/>
      <c r="F8" s="3"/>
      <c r="G8" s="3"/>
      <c r="H8" s="27">
        <v>6</v>
      </c>
      <c r="I8" s="10" t="s">
        <v>100</v>
      </c>
    </row>
    <row r="9" spans="1:9" ht="9" customHeight="1" x14ac:dyDescent="0.15">
      <c r="B9" s="3"/>
      <c r="C9" s="3"/>
      <c r="D9" s="3"/>
      <c r="E9" s="3"/>
      <c r="F9" s="3"/>
      <c r="G9" s="3"/>
      <c r="H9" s="3"/>
      <c r="I9" s="3"/>
    </row>
    <row r="10" spans="1:9" ht="18" customHeight="1" x14ac:dyDescent="0.15">
      <c r="A10" s="1" t="s">
        <v>104</v>
      </c>
      <c r="B10" s="10" t="s">
        <v>105</v>
      </c>
      <c r="C10" s="3"/>
      <c r="D10" s="3"/>
      <c r="E10" s="3"/>
      <c r="F10" s="3"/>
      <c r="G10" s="3"/>
      <c r="H10" s="3"/>
      <c r="I10" s="3"/>
    </row>
    <row r="11" spans="1:9" ht="18" customHeight="1" x14ac:dyDescent="0.15">
      <c r="B11" s="28" t="s">
        <v>106</v>
      </c>
      <c r="C11" s="229" t="s">
        <v>107</v>
      </c>
      <c r="D11" s="232"/>
      <c r="E11" s="233"/>
      <c r="F11" s="78"/>
      <c r="G11" s="28" t="s">
        <v>108</v>
      </c>
      <c r="H11" s="234" t="s">
        <v>109</v>
      </c>
      <c r="I11" s="233"/>
    </row>
    <row r="12" spans="1:9" ht="10.15" customHeight="1" x14ac:dyDescent="0.15">
      <c r="B12" s="28"/>
      <c r="C12" s="10"/>
      <c r="D12" s="78"/>
      <c r="E12" s="78"/>
      <c r="F12" s="78"/>
      <c r="G12" s="28"/>
      <c r="H12" s="10"/>
      <c r="I12" s="78"/>
    </row>
    <row r="13" spans="1:9" ht="18" customHeight="1" x14ac:dyDescent="0.15">
      <c r="A13" s="1" t="s">
        <v>110</v>
      </c>
      <c r="B13" s="10" t="s">
        <v>111</v>
      </c>
      <c r="C13" s="3"/>
      <c r="D13" s="3"/>
      <c r="E13" s="3"/>
      <c r="F13" s="3"/>
      <c r="G13" s="3"/>
      <c r="H13" s="3"/>
      <c r="I13" s="3"/>
    </row>
    <row r="14" spans="1:9" ht="18" customHeight="1" x14ac:dyDescent="0.15">
      <c r="B14" s="229" t="s">
        <v>112</v>
      </c>
      <c r="C14" s="230"/>
      <c r="D14" s="230"/>
      <c r="E14" s="230"/>
      <c r="F14" s="230"/>
      <c r="G14" s="230"/>
      <c r="H14" s="230"/>
      <c r="I14" s="231"/>
    </row>
    <row r="15" spans="1:9" ht="9" customHeight="1" x14ac:dyDescent="0.15">
      <c r="B15" s="3"/>
      <c r="C15" s="3"/>
      <c r="D15" s="3"/>
      <c r="E15" s="3"/>
      <c r="F15" s="3"/>
      <c r="G15" s="3"/>
      <c r="H15" s="3"/>
      <c r="I15" s="3"/>
    </row>
    <row r="16" spans="1:9" ht="18" customHeight="1" x14ac:dyDescent="0.15">
      <c r="B16" s="28" t="s">
        <v>106</v>
      </c>
      <c r="C16" s="229" t="s">
        <v>113</v>
      </c>
      <c r="D16" s="232"/>
      <c r="E16" s="233"/>
      <c r="F16" s="78"/>
      <c r="G16" s="28" t="s">
        <v>108</v>
      </c>
      <c r="H16" s="234" t="s">
        <v>114</v>
      </c>
      <c r="I16" s="233"/>
    </row>
    <row r="17" spans="1:9" ht="18" customHeight="1" x14ac:dyDescent="0.15">
      <c r="B17" s="3"/>
      <c r="C17" s="3"/>
      <c r="D17" s="3"/>
      <c r="E17" s="3"/>
      <c r="F17" s="3"/>
      <c r="G17" s="3"/>
      <c r="H17" s="3"/>
      <c r="I17" s="3"/>
    </row>
    <row r="18" spans="1:9" ht="18.75" customHeight="1" x14ac:dyDescent="0.15">
      <c r="A18" s="1" t="s">
        <v>115</v>
      </c>
      <c r="B18" s="1" t="s">
        <v>116</v>
      </c>
      <c r="I18" s="3"/>
    </row>
    <row r="19" spans="1:9" ht="18.75" customHeight="1" x14ac:dyDescent="0.15">
      <c r="A19" s="1"/>
      <c r="B19" s="129" t="s">
        <v>117</v>
      </c>
      <c r="C19" s="221"/>
      <c r="D19" s="221"/>
      <c r="E19" s="221"/>
      <c r="F19" s="221"/>
      <c r="G19" s="221"/>
      <c r="H19" s="221"/>
      <c r="I19" s="222"/>
    </row>
    <row r="20" spans="1:9" ht="7.5" customHeight="1" x14ac:dyDescent="0.15">
      <c r="B20" s="3"/>
      <c r="C20" s="3"/>
      <c r="D20" s="3"/>
      <c r="E20" s="3"/>
      <c r="F20" s="3"/>
      <c r="G20" s="3"/>
      <c r="H20" s="3"/>
      <c r="I20" s="3"/>
    </row>
    <row r="21" spans="1:9" ht="18.75" customHeight="1" x14ac:dyDescent="0.15">
      <c r="A21" s="1" t="s">
        <v>118</v>
      </c>
      <c r="B21" s="1" t="s">
        <v>119</v>
      </c>
    </row>
    <row r="22" spans="1:9" ht="18.75" customHeight="1" x14ac:dyDescent="0.15">
      <c r="A22" s="15"/>
      <c r="B22" s="223" t="s">
        <v>120</v>
      </c>
      <c r="C22" s="213"/>
      <c r="D22" s="213"/>
      <c r="E22" s="213"/>
      <c r="F22" s="213"/>
      <c r="G22" s="213"/>
      <c r="H22" s="213"/>
      <c r="I22" s="214"/>
    </row>
    <row r="23" spans="1:9" ht="18.75" customHeight="1" x14ac:dyDescent="0.15">
      <c r="A23" s="15"/>
      <c r="B23" s="224"/>
      <c r="C23" s="225"/>
      <c r="D23" s="225"/>
      <c r="E23" s="225"/>
      <c r="F23" s="225"/>
      <c r="G23" s="225"/>
      <c r="H23" s="225"/>
      <c r="I23" s="217"/>
    </row>
    <row r="24" spans="1:9" ht="18.75" customHeight="1" x14ac:dyDescent="0.15">
      <c r="A24" s="15"/>
      <c r="B24" s="224"/>
      <c r="C24" s="225"/>
      <c r="D24" s="225"/>
      <c r="E24" s="225"/>
      <c r="F24" s="225"/>
      <c r="G24" s="225"/>
      <c r="H24" s="225"/>
      <c r="I24" s="217"/>
    </row>
    <row r="25" spans="1:9" ht="18.75" customHeight="1" x14ac:dyDescent="0.15">
      <c r="A25" s="15"/>
      <c r="B25" s="224"/>
      <c r="C25" s="225"/>
      <c r="D25" s="225"/>
      <c r="E25" s="225"/>
      <c r="F25" s="225"/>
      <c r="G25" s="225"/>
      <c r="H25" s="225"/>
      <c r="I25" s="217"/>
    </row>
    <row r="26" spans="1:9" ht="18.75" customHeight="1" x14ac:dyDescent="0.15">
      <c r="A26" s="15"/>
      <c r="B26" s="224"/>
      <c r="C26" s="225"/>
      <c r="D26" s="225"/>
      <c r="E26" s="225"/>
      <c r="F26" s="225"/>
      <c r="G26" s="225"/>
      <c r="H26" s="225"/>
      <c r="I26" s="217"/>
    </row>
    <row r="27" spans="1:9" ht="18.75" customHeight="1" x14ac:dyDescent="0.15">
      <c r="A27" s="15"/>
      <c r="B27" s="224"/>
      <c r="C27" s="225"/>
      <c r="D27" s="225"/>
      <c r="E27" s="225"/>
      <c r="F27" s="225"/>
      <c r="G27" s="225"/>
      <c r="H27" s="225"/>
      <c r="I27" s="217"/>
    </row>
    <row r="28" spans="1:9" ht="18.75" customHeight="1" x14ac:dyDescent="0.15">
      <c r="A28" s="15"/>
      <c r="B28" s="224"/>
      <c r="C28" s="225"/>
      <c r="D28" s="225"/>
      <c r="E28" s="225"/>
      <c r="F28" s="225"/>
      <c r="G28" s="225"/>
      <c r="H28" s="225"/>
      <c r="I28" s="217"/>
    </row>
    <row r="29" spans="1:9" ht="18.75" customHeight="1" x14ac:dyDescent="0.15">
      <c r="A29" s="15"/>
      <c r="B29" s="224"/>
      <c r="C29" s="225"/>
      <c r="D29" s="225"/>
      <c r="E29" s="225"/>
      <c r="F29" s="225"/>
      <c r="G29" s="225"/>
      <c r="H29" s="225"/>
      <c r="I29" s="217"/>
    </row>
    <row r="30" spans="1:9" ht="18.75" customHeight="1" x14ac:dyDescent="0.15">
      <c r="A30" s="15"/>
      <c r="B30" s="215"/>
      <c r="C30" s="216"/>
      <c r="D30" s="216"/>
      <c r="E30" s="216"/>
      <c r="F30" s="216"/>
      <c r="G30" s="216"/>
      <c r="H30" s="216"/>
      <c r="I30" s="217"/>
    </row>
    <row r="31" spans="1:9" ht="18.75" customHeight="1" x14ac:dyDescent="0.15">
      <c r="A31" s="15"/>
      <c r="B31" s="215"/>
      <c r="C31" s="216"/>
      <c r="D31" s="216"/>
      <c r="E31" s="216"/>
      <c r="F31" s="216"/>
      <c r="G31" s="216"/>
      <c r="H31" s="216"/>
      <c r="I31" s="217"/>
    </row>
    <row r="32" spans="1:9" ht="18.75" customHeight="1" x14ac:dyDescent="0.15">
      <c r="A32" s="15"/>
      <c r="B32" s="218"/>
      <c r="C32" s="219"/>
      <c r="D32" s="219"/>
      <c r="E32" s="219"/>
      <c r="F32" s="219"/>
      <c r="G32" s="219"/>
      <c r="H32" s="219"/>
      <c r="I32" s="220"/>
    </row>
    <row r="33" spans="1:9" ht="7.5" customHeight="1" x14ac:dyDescent="0.15">
      <c r="A33" s="15"/>
      <c r="B33" s="15"/>
      <c r="C33" s="15"/>
      <c r="D33" s="15"/>
      <c r="E33" s="15"/>
      <c r="F33" s="15"/>
      <c r="G33" s="15"/>
      <c r="H33" s="15"/>
      <c r="I33" s="15"/>
    </row>
    <row r="34" spans="1:9" ht="18.75" customHeight="1" x14ac:dyDescent="0.15">
      <c r="A34" s="16" t="s">
        <v>121</v>
      </c>
      <c r="B34" s="16" t="s">
        <v>122</v>
      </c>
      <c r="C34" s="10"/>
      <c r="D34" s="16"/>
      <c r="E34" s="16"/>
      <c r="F34" s="16"/>
      <c r="G34" s="16"/>
      <c r="H34" s="16"/>
      <c r="I34" s="16"/>
    </row>
    <row r="35" spans="1:9" ht="18.75" customHeight="1" x14ac:dyDescent="0.15">
      <c r="A35" s="15"/>
      <c r="B35" s="202" t="s">
        <v>123</v>
      </c>
      <c r="C35" s="203"/>
      <c r="D35" s="203"/>
      <c r="E35" s="203"/>
      <c r="F35" s="203"/>
      <c r="G35" s="203"/>
      <c r="H35" s="203"/>
      <c r="I35" s="204"/>
    </row>
    <row r="36" spans="1:9" ht="18.75" customHeight="1" x14ac:dyDescent="0.15">
      <c r="A36" s="15"/>
      <c r="B36" s="205"/>
      <c r="C36" s="206"/>
      <c r="D36" s="206"/>
      <c r="E36" s="206"/>
      <c r="F36" s="206"/>
      <c r="G36" s="206"/>
      <c r="H36" s="206"/>
      <c r="I36" s="207"/>
    </row>
    <row r="37" spans="1:9" ht="18.75" customHeight="1" x14ac:dyDescent="0.15">
      <c r="A37" s="15"/>
      <c r="B37" s="205"/>
      <c r="C37" s="206"/>
      <c r="D37" s="206"/>
      <c r="E37" s="206"/>
      <c r="F37" s="206"/>
      <c r="G37" s="206"/>
      <c r="H37" s="206"/>
      <c r="I37" s="207"/>
    </row>
    <row r="38" spans="1:9" ht="18.75" customHeight="1" x14ac:dyDescent="0.15">
      <c r="A38" s="15"/>
      <c r="B38" s="205"/>
      <c r="C38" s="206"/>
      <c r="D38" s="206"/>
      <c r="E38" s="206"/>
      <c r="F38" s="206"/>
      <c r="G38" s="206"/>
      <c r="H38" s="206"/>
      <c r="I38" s="207"/>
    </row>
    <row r="39" spans="1:9" ht="18.75" customHeight="1" x14ac:dyDescent="0.15">
      <c r="A39" s="15"/>
      <c r="B39" s="205"/>
      <c r="C39" s="206"/>
      <c r="D39" s="206"/>
      <c r="E39" s="206"/>
      <c r="F39" s="206"/>
      <c r="G39" s="206"/>
      <c r="H39" s="206"/>
      <c r="I39" s="207"/>
    </row>
    <row r="40" spans="1:9" ht="18.75" customHeight="1" x14ac:dyDescent="0.15">
      <c r="A40" s="15"/>
      <c r="B40" s="205"/>
      <c r="C40" s="206"/>
      <c r="D40" s="206"/>
      <c r="E40" s="206"/>
      <c r="F40" s="206"/>
      <c r="G40" s="206"/>
      <c r="H40" s="206"/>
      <c r="I40" s="207"/>
    </row>
    <row r="41" spans="1:9" ht="18.75" customHeight="1" x14ac:dyDescent="0.15">
      <c r="A41" s="15"/>
      <c r="B41" s="205"/>
      <c r="C41" s="206"/>
      <c r="D41" s="206"/>
      <c r="E41" s="206"/>
      <c r="F41" s="206"/>
      <c r="G41" s="206"/>
      <c r="H41" s="206"/>
      <c r="I41" s="207"/>
    </row>
    <row r="42" spans="1:9" ht="18.75" customHeight="1" x14ac:dyDescent="0.15">
      <c r="A42" s="15"/>
      <c r="B42" s="205"/>
      <c r="C42" s="206"/>
      <c r="D42" s="206"/>
      <c r="E42" s="206"/>
      <c r="F42" s="206"/>
      <c r="G42" s="206"/>
      <c r="H42" s="206"/>
      <c r="I42" s="207"/>
    </row>
    <row r="43" spans="1:9" ht="18.75" customHeight="1" x14ac:dyDescent="0.15">
      <c r="A43" s="15"/>
      <c r="B43" s="205"/>
      <c r="C43" s="206"/>
      <c r="D43" s="206"/>
      <c r="E43" s="206"/>
      <c r="F43" s="206"/>
      <c r="G43" s="206"/>
      <c r="H43" s="206"/>
      <c r="I43" s="207"/>
    </row>
    <row r="44" spans="1:9" ht="18.75" customHeight="1" x14ac:dyDescent="0.15">
      <c r="A44" s="15"/>
      <c r="B44" s="205"/>
      <c r="C44" s="206"/>
      <c r="D44" s="206"/>
      <c r="E44" s="206"/>
      <c r="F44" s="206"/>
      <c r="G44" s="206"/>
      <c r="H44" s="206"/>
      <c r="I44" s="207"/>
    </row>
    <row r="45" spans="1:9" ht="18.75" customHeight="1" x14ac:dyDescent="0.15">
      <c r="A45" s="15"/>
      <c r="B45" s="205"/>
      <c r="C45" s="206"/>
      <c r="D45" s="206"/>
      <c r="E45" s="206"/>
      <c r="F45" s="206"/>
      <c r="G45" s="206"/>
      <c r="H45" s="206"/>
      <c r="I45" s="207"/>
    </row>
    <row r="46" spans="1:9" ht="18.75" customHeight="1" x14ac:dyDescent="0.15">
      <c r="A46" s="15"/>
      <c r="B46" s="208"/>
      <c r="C46" s="209"/>
      <c r="D46" s="209"/>
      <c r="E46" s="209"/>
      <c r="F46" s="209"/>
      <c r="G46" s="209"/>
      <c r="H46" s="209"/>
      <c r="I46" s="210"/>
    </row>
    <row r="47" spans="1:9" ht="7.5" customHeight="1" x14ac:dyDescent="0.15">
      <c r="A47" s="4"/>
      <c r="B47" s="4"/>
      <c r="C47" s="4"/>
      <c r="D47" s="4"/>
      <c r="E47" s="4"/>
      <c r="F47" s="4"/>
      <c r="G47" s="4"/>
      <c r="H47" s="4"/>
      <c r="I47" s="4"/>
    </row>
    <row r="48" spans="1:9" ht="18.75" customHeight="1" x14ac:dyDescent="0.15">
      <c r="A48" s="1" t="s">
        <v>124</v>
      </c>
      <c r="B48" s="1" t="s">
        <v>125</v>
      </c>
    </row>
    <row r="49" spans="1:15" s="3" customFormat="1" ht="18.75" customHeight="1" x14ac:dyDescent="0.15">
      <c r="B49" s="35" t="s">
        <v>126</v>
      </c>
      <c r="C49" s="253">
        <f>'様式２ 履修者等数の実績'!AQ32</f>
        <v>0.25161290322580643</v>
      </c>
      <c r="D49" s="253"/>
      <c r="E49" s="35" t="s">
        <v>127</v>
      </c>
      <c r="F49" s="253">
        <v>0.5</v>
      </c>
      <c r="G49" s="253"/>
      <c r="H49" s="35" t="s">
        <v>128</v>
      </c>
      <c r="I49" s="36" t="s">
        <v>129</v>
      </c>
      <c r="J49" s="1"/>
      <c r="M49" s="1"/>
      <c r="N49" s="37"/>
    </row>
    <row r="50" spans="1:15" s="3" customFormat="1" ht="18.75" customHeight="1" x14ac:dyDescent="0.15">
      <c r="B50" s="38" t="s">
        <v>130</v>
      </c>
      <c r="C50" s="236">
        <v>1</v>
      </c>
      <c r="D50" s="236"/>
      <c r="E50" s="38" t="s">
        <v>131</v>
      </c>
      <c r="F50" s="236">
        <v>1</v>
      </c>
      <c r="G50" s="236"/>
      <c r="H50" s="38" t="s">
        <v>132</v>
      </c>
      <c r="I50" s="39">
        <f>'様式２ 履修者等数の実績'!E32</f>
        <v>1860</v>
      </c>
      <c r="J50" s="1"/>
      <c r="M50" s="1"/>
      <c r="N50" s="37"/>
    </row>
    <row r="51" spans="1:15" ht="18.75" customHeight="1" x14ac:dyDescent="0.15">
      <c r="A51" s="1"/>
      <c r="B51" s="226" t="s">
        <v>133</v>
      </c>
      <c r="C51" s="227"/>
      <c r="D51" s="227"/>
      <c r="E51" s="227"/>
      <c r="F51" s="227"/>
      <c r="G51" s="227"/>
      <c r="H51" s="227"/>
      <c r="I51" s="228"/>
      <c r="N51" s="37"/>
      <c r="O51" s="3"/>
    </row>
    <row r="52" spans="1:15" ht="18.75" customHeight="1" x14ac:dyDescent="0.15">
      <c r="A52" s="1"/>
      <c r="B52" s="254" t="s">
        <v>134</v>
      </c>
      <c r="C52" s="255"/>
      <c r="D52" s="255"/>
      <c r="E52" s="255"/>
      <c r="F52" s="255"/>
      <c r="G52" s="255"/>
      <c r="H52" s="255"/>
      <c r="I52" s="256"/>
      <c r="N52" s="37"/>
      <c r="O52" s="3"/>
    </row>
    <row r="53" spans="1:15" ht="18.75" customHeight="1" x14ac:dyDescent="0.15">
      <c r="A53" s="1"/>
      <c r="B53" s="257"/>
      <c r="C53" s="258"/>
      <c r="D53" s="258"/>
      <c r="E53" s="258"/>
      <c r="F53" s="258"/>
      <c r="G53" s="258"/>
      <c r="H53" s="258"/>
      <c r="I53" s="259"/>
      <c r="N53" s="37"/>
      <c r="O53" s="3"/>
    </row>
    <row r="54" spans="1:15" ht="18.75" customHeight="1" x14ac:dyDescent="0.15">
      <c r="A54" s="1"/>
      <c r="B54" s="257"/>
      <c r="C54" s="258"/>
      <c r="D54" s="258"/>
      <c r="E54" s="258"/>
      <c r="F54" s="258"/>
      <c r="G54" s="258"/>
      <c r="H54" s="258"/>
      <c r="I54" s="259"/>
    </row>
    <row r="55" spans="1:15" ht="18.75" customHeight="1" x14ac:dyDescent="0.15">
      <c r="A55" s="1"/>
      <c r="B55" s="257"/>
      <c r="C55" s="258"/>
      <c r="D55" s="258"/>
      <c r="E55" s="258"/>
      <c r="F55" s="258"/>
      <c r="G55" s="258"/>
      <c r="H55" s="258"/>
      <c r="I55" s="259"/>
    </row>
    <row r="56" spans="1:15" ht="18.75" customHeight="1" x14ac:dyDescent="0.15">
      <c r="A56" s="1"/>
      <c r="B56" s="257"/>
      <c r="C56" s="258"/>
      <c r="D56" s="258"/>
      <c r="E56" s="258"/>
      <c r="F56" s="258"/>
      <c r="G56" s="258"/>
      <c r="H56" s="258"/>
      <c r="I56" s="259"/>
    </row>
    <row r="57" spans="1:15" ht="18.75" customHeight="1" x14ac:dyDescent="0.15">
      <c r="A57" s="1"/>
      <c r="B57" s="257"/>
      <c r="C57" s="258"/>
      <c r="D57" s="258"/>
      <c r="E57" s="258"/>
      <c r="F57" s="258"/>
      <c r="G57" s="258"/>
      <c r="H57" s="258"/>
      <c r="I57" s="259"/>
    </row>
    <row r="58" spans="1:15" ht="18.75" customHeight="1" x14ac:dyDescent="0.15">
      <c r="A58" s="1"/>
      <c r="B58" s="257"/>
      <c r="C58" s="258"/>
      <c r="D58" s="258"/>
      <c r="E58" s="258"/>
      <c r="F58" s="258"/>
      <c r="G58" s="258"/>
      <c r="H58" s="258"/>
      <c r="I58" s="259"/>
    </row>
    <row r="59" spans="1:15" ht="18.75" customHeight="1" x14ac:dyDescent="0.15">
      <c r="A59" s="1"/>
      <c r="B59" s="257"/>
      <c r="C59" s="258"/>
      <c r="D59" s="258"/>
      <c r="E59" s="258"/>
      <c r="F59" s="258"/>
      <c r="G59" s="258"/>
      <c r="H59" s="258"/>
      <c r="I59" s="259"/>
    </row>
    <row r="60" spans="1:15" ht="18.75" customHeight="1" x14ac:dyDescent="0.15">
      <c r="A60" s="1"/>
      <c r="B60" s="257"/>
      <c r="C60" s="258"/>
      <c r="D60" s="258"/>
      <c r="E60" s="258"/>
      <c r="F60" s="258"/>
      <c r="G60" s="258"/>
      <c r="H60" s="258"/>
      <c r="I60" s="259"/>
    </row>
    <row r="61" spans="1:15" ht="18.75" customHeight="1" x14ac:dyDescent="0.15">
      <c r="A61" s="1"/>
      <c r="B61" s="257"/>
      <c r="C61" s="258"/>
      <c r="D61" s="258"/>
      <c r="E61" s="258"/>
      <c r="F61" s="258"/>
      <c r="G61" s="258"/>
      <c r="H61" s="258"/>
      <c r="I61" s="259"/>
    </row>
    <row r="62" spans="1:15" ht="18.75" customHeight="1" x14ac:dyDescent="0.15">
      <c r="A62" s="1"/>
      <c r="B62" s="257"/>
      <c r="C62" s="258"/>
      <c r="D62" s="258"/>
      <c r="E62" s="258"/>
      <c r="F62" s="258"/>
      <c r="G62" s="258"/>
      <c r="H62" s="258"/>
      <c r="I62" s="259"/>
    </row>
    <row r="63" spans="1:15" ht="18.75" customHeight="1" x14ac:dyDescent="0.15">
      <c r="A63" s="1"/>
      <c r="B63" s="260"/>
      <c r="C63" s="261"/>
      <c r="D63" s="261"/>
      <c r="E63" s="261"/>
      <c r="F63" s="261"/>
      <c r="G63" s="261"/>
      <c r="H63" s="261"/>
      <c r="I63" s="262"/>
    </row>
    <row r="64" spans="1:15" ht="7.5" customHeight="1" x14ac:dyDescent="0.15">
      <c r="A64" s="15"/>
      <c r="B64" s="15"/>
      <c r="C64" s="15"/>
      <c r="D64" s="15"/>
      <c r="E64" s="15"/>
      <c r="F64" s="15"/>
      <c r="G64" s="15"/>
      <c r="H64" s="15"/>
      <c r="I64" s="15"/>
    </row>
    <row r="65" spans="1:9" ht="18.75" customHeight="1" x14ac:dyDescent="0.15">
      <c r="A65" s="16" t="s">
        <v>135</v>
      </c>
      <c r="B65" s="1" t="s">
        <v>136</v>
      </c>
      <c r="I65" s="16"/>
    </row>
    <row r="66" spans="1:9" ht="18.75" customHeight="1" x14ac:dyDescent="0.15">
      <c r="A66" s="4"/>
      <c r="B66" s="237" t="s">
        <v>137</v>
      </c>
      <c r="C66" s="238"/>
      <c r="D66" s="238"/>
      <c r="E66" s="238"/>
      <c r="F66" s="238"/>
      <c r="G66" s="238"/>
      <c r="H66" s="238"/>
      <c r="I66" s="239"/>
    </row>
    <row r="67" spans="1:9" ht="18.75" customHeight="1" x14ac:dyDescent="0.15">
      <c r="A67" s="4"/>
      <c r="B67" s="240"/>
      <c r="C67" s="241"/>
      <c r="D67" s="241"/>
      <c r="E67" s="241"/>
      <c r="F67" s="241"/>
      <c r="G67" s="241"/>
      <c r="H67" s="241"/>
      <c r="I67" s="242"/>
    </row>
    <row r="68" spans="1:9" ht="18.75" customHeight="1" x14ac:dyDescent="0.15">
      <c r="A68" s="4"/>
      <c r="B68" s="240"/>
      <c r="C68" s="241"/>
      <c r="D68" s="241"/>
      <c r="E68" s="241"/>
      <c r="F68" s="241"/>
      <c r="G68" s="241"/>
      <c r="H68" s="241"/>
      <c r="I68" s="242"/>
    </row>
    <row r="69" spans="1:9" ht="18.75" customHeight="1" x14ac:dyDescent="0.15">
      <c r="A69" s="4"/>
      <c r="B69" s="240"/>
      <c r="C69" s="241"/>
      <c r="D69" s="241"/>
      <c r="E69" s="241"/>
      <c r="F69" s="241"/>
      <c r="G69" s="241"/>
      <c r="H69" s="241"/>
      <c r="I69" s="242"/>
    </row>
    <row r="70" spans="1:9" ht="18.75" customHeight="1" x14ac:dyDescent="0.15">
      <c r="A70" s="4"/>
      <c r="B70" s="240"/>
      <c r="C70" s="241"/>
      <c r="D70" s="241"/>
      <c r="E70" s="241"/>
      <c r="F70" s="241"/>
      <c r="G70" s="241"/>
      <c r="H70" s="241"/>
      <c r="I70" s="242"/>
    </row>
    <row r="71" spans="1:9" ht="18.75" customHeight="1" x14ac:dyDescent="0.15">
      <c r="A71" s="4"/>
      <c r="B71" s="240"/>
      <c r="C71" s="241"/>
      <c r="D71" s="241"/>
      <c r="E71" s="241"/>
      <c r="F71" s="241"/>
      <c r="G71" s="241"/>
      <c r="H71" s="241"/>
      <c r="I71" s="242"/>
    </row>
    <row r="72" spans="1:9" ht="18.75" customHeight="1" x14ac:dyDescent="0.15">
      <c r="A72" s="4"/>
      <c r="B72" s="240"/>
      <c r="C72" s="241"/>
      <c r="D72" s="241"/>
      <c r="E72" s="241"/>
      <c r="F72" s="241"/>
      <c r="G72" s="241"/>
      <c r="H72" s="241"/>
      <c r="I72" s="242"/>
    </row>
    <row r="73" spans="1:9" ht="18.75" customHeight="1" x14ac:dyDescent="0.15">
      <c r="A73" s="4"/>
      <c r="B73" s="240"/>
      <c r="C73" s="241"/>
      <c r="D73" s="241"/>
      <c r="E73" s="241"/>
      <c r="F73" s="241"/>
      <c r="G73" s="241"/>
      <c r="H73" s="241"/>
      <c r="I73" s="242"/>
    </row>
    <row r="74" spans="1:9" ht="18.75" customHeight="1" x14ac:dyDescent="0.15">
      <c r="A74" s="4"/>
      <c r="B74" s="240"/>
      <c r="C74" s="241"/>
      <c r="D74" s="241"/>
      <c r="E74" s="241"/>
      <c r="F74" s="241"/>
      <c r="G74" s="241"/>
      <c r="H74" s="241"/>
      <c r="I74" s="242"/>
    </row>
    <row r="75" spans="1:9" ht="18.75" customHeight="1" x14ac:dyDescent="0.15">
      <c r="A75" s="4"/>
      <c r="B75" s="240"/>
      <c r="C75" s="241"/>
      <c r="D75" s="241"/>
      <c r="E75" s="241"/>
      <c r="F75" s="241"/>
      <c r="G75" s="241"/>
      <c r="H75" s="241"/>
      <c r="I75" s="242"/>
    </row>
    <row r="76" spans="1:9" ht="18.75" customHeight="1" x14ac:dyDescent="0.15">
      <c r="A76" s="4"/>
      <c r="B76" s="240"/>
      <c r="C76" s="241"/>
      <c r="D76" s="241"/>
      <c r="E76" s="241"/>
      <c r="F76" s="241"/>
      <c r="G76" s="241"/>
      <c r="H76" s="241"/>
      <c r="I76" s="242"/>
    </row>
    <row r="77" spans="1:9" ht="18.75" customHeight="1" x14ac:dyDescent="0.15">
      <c r="A77" s="4"/>
      <c r="B77" s="243"/>
      <c r="C77" s="244"/>
      <c r="D77" s="244"/>
      <c r="E77" s="244"/>
      <c r="F77" s="244"/>
      <c r="G77" s="244"/>
      <c r="H77" s="244"/>
      <c r="I77" s="245"/>
    </row>
    <row r="78" spans="1:9" ht="7.5" customHeight="1" x14ac:dyDescent="0.15">
      <c r="A78" s="4"/>
      <c r="B78" s="4"/>
      <c r="C78" s="4"/>
      <c r="D78" s="4"/>
      <c r="E78" s="4"/>
      <c r="F78" s="4"/>
      <c r="G78" s="4"/>
      <c r="H78" s="4"/>
      <c r="I78" s="4"/>
    </row>
    <row r="79" spans="1:9" ht="18.75" customHeight="1" x14ac:dyDescent="0.15">
      <c r="A79" s="1" t="s">
        <v>138</v>
      </c>
      <c r="B79" s="1" t="s">
        <v>139</v>
      </c>
    </row>
    <row r="80" spans="1:9" ht="18.75" customHeight="1" x14ac:dyDescent="0.15">
      <c r="A80" s="1"/>
      <c r="B80" s="237" t="s">
        <v>137</v>
      </c>
      <c r="C80" s="238"/>
      <c r="D80" s="238"/>
      <c r="E80" s="238"/>
      <c r="F80" s="238"/>
      <c r="G80" s="238"/>
      <c r="H80" s="238"/>
      <c r="I80" s="246"/>
    </row>
    <row r="81" spans="1:9" ht="18.75" customHeight="1" x14ac:dyDescent="0.15">
      <c r="A81" s="1"/>
      <c r="B81" s="247"/>
      <c r="C81" s="248"/>
      <c r="D81" s="248"/>
      <c r="E81" s="248"/>
      <c r="F81" s="248"/>
      <c r="G81" s="248"/>
      <c r="H81" s="248"/>
      <c r="I81" s="249"/>
    </row>
    <row r="82" spans="1:9" ht="18.75" customHeight="1" x14ac:dyDescent="0.15">
      <c r="A82" s="1"/>
      <c r="B82" s="247"/>
      <c r="C82" s="248"/>
      <c r="D82" s="248"/>
      <c r="E82" s="248"/>
      <c r="F82" s="248"/>
      <c r="G82" s="248"/>
      <c r="H82" s="248"/>
      <c r="I82" s="249"/>
    </row>
    <row r="83" spans="1:9" ht="18.75" customHeight="1" x14ac:dyDescent="0.15">
      <c r="A83" s="1"/>
      <c r="B83" s="247"/>
      <c r="C83" s="248"/>
      <c r="D83" s="248"/>
      <c r="E83" s="248"/>
      <c r="F83" s="248"/>
      <c r="G83" s="248"/>
      <c r="H83" s="248"/>
      <c r="I83" s="249"/>
    </row>
    <row r="84" spans="1:9" ht="18.75" customHeight="1" x14ac:dyDescent="0.15">
      <c r="A84" s="1"/>
      <c r="B84" s="247"/>
      <c r="C84" s="248"/>
      <c r="D84" s="248"/>
      <c r="E84" s="248"/>
      <c r="F84" s="248"/>
      <c r="G84" s="248"/>
      <c r="H84" s="248"/>
      <c r="I84" s="249"/>
    </row>
    <row r="85" spans="1:9" ht="18.75" customHeight="1" x14ac:dyDescent="0.15">
      <c r="A85" s="1"/>
      <c r="B85" s="247"/>
      <c r="C85" s="248"/>
      <c r="D85" s="248"/>
      <c r="E85" s="248"/>
      <c r="F85" s="248"/>
      <c r="G85" s="248"/>
      <c r="H85" s="248"/>
      <c r="I85" s="249"/>
    </row>
    <row r="86" spans="1:9" ht="18.75" customHeight="1" x14ac:dyDescent="0.15">
      <c r="A86" s="1"/>
      <c r="B86" s="247"/>
      <c r="C86" s="248"/>
      <c r="D86" s="248"/>
      <c r="E86" s="248"/>
      <c r="F86" s="248"/>
      <c r="G86" s="248"/>
      <c r="H86" s="248"/>
      <c r="I86" s="249"/>
    </row>
    <row r="87" spans="1:9" ht="18.75" customHeight="1" x14ac:dyDescent="0.15">
      <c r="A87" s="1"/>
      <c r="B87" s="247"/>
      <c r="C87" s="248"/>
      <c r="D87" s="248"/>
      <c r="E87" s="248"/>
      <c r="F87" s="248"/>
      <c r="G87" s="248"/>
      <c r="H87" s="248"/>
      <c r="I87" s="249"/>
    </row>
    <row r="88" spans="1:9" ht="18.75" customHeight="1" x14ac:dyDescent="0.15">
      <c r="A88" s="1"/>
      <c r="B88" s="247"/>
      <c r="C88" s="248"/>
      <c r="D88" s="248"/>
      <c r="E88" s="248"/>
      <c r="F88" s="248"/>
      <c r="G88" s="248"/>
      <c r="H88" s="248"/>
      <c r="I88" s="249"/>
    </row>
    <row r="89" spans="1:9" ht="91.5" customHeight="1" x14ac:dyDescent="0.15">
      <c r="A89" s="1"/>
      <c r="B89" s="247"/>
      <c r="C89" s="248"/>
      <c r="D89" s="248"/>
      <c r="E89" s="248"/>
      <c r="F89" s="248"/>
      <c r="G89" s="248"/>
      <c r="H89" s="248"/>
      <c r="I89" s="249"/>
    </row>
    <row r="90" spans="1:9" ht="123" customHeight="1" x14ac:dyDescent="0.15">
      <c r="A90" s="4"/>
      <c r="B90" s="247"/>
      <c r="C90" s="248"/>
      <c r="D90" s="248"/>
      <c r="E90" s="248"/>
      <c r="F90" s="248"/>
      <c r="G90" s="248"/>
      <c r="H90" s="248"/>
      <c r="I90" s="249"/>
    </row>
    <row r="91" spans="1:9" ht="156" customHeight="1" x14ac:dyDescent="0.15">
      <c r="A91" s="4"/>
      <c r="B91" s="250"/>
      <c r="C91" s="251"/>
      <c r="D91" s="251"/>
      <c r="E91" s="251"/>
      <c r="F91" s="251"/>
      <c r="G91" s="251"/>
      <c r="H91" s="251"/>
      <c r="I91" s="252"/>
    </row>
    <row r="92" spans="1:9" ht="102.75" customHeight="1" x14ac:dyDescent="0.15">
      <c r="A92" s="4"/>
      <c r="B92" s="4"/>
      <c r="C92" s="4"/>
      <c r="D92" s="4"/>
      <c r="E92" s="4"/>
      <c r="F92" s="4"/>
      <c r="G92" s="4"/>
      <c r="H92" s="4"/>
      <c r="I92" s="4"/>
    </row>
    <row r="93" spans="1:9" ht="244.5" customHeight="1" x14ac:dyDescent="0.15">
      <c r="A93" s="1" t="s">
        <v>140</v>
      </c>
      <c r="B93" s="1" t="s">
        <v>141</v>
      </c>
    </row>
    <row r="94" spans="1:9" ht="147" customHeight="1" x14ac:dyDescent="0.15">
      <c r="A94" s="1"/>
      <c r="B94" s="202" t="s">
        <v>142</v>
      </c>
      <c r="C94" s="203"/>
      <c r="D94" s="203"/>
      <c r="E94" s="203"/>
      <c r="F94" s="203"/>
      <c r="G94" s="203"/>
      <c r="H94" s="203"/>
      <c r="I94" s="204"/>
    </row>
    <row r="95" spans="1:9" ht="75.75" customHeight="1" x14ac:dyDescent="0.15">
      <c r="A95" s="1"/>
      <c r="B95" s="205"/>
      <c r="C95" s="206"/>
      <c r="D95" s="206"/>
      <c r="E95" s="206"/>
      <c r="F95" s="206"/>
      <c r="G95" s="206"/>
      <c r="H95" s="206"/>
      <c r="I95" s="207"/>
    </row>
    <row r="96" spans="1:9" ht="18.75" customHeight="1" x14ac:dyDescent="0.15">
      <c r="A96" s="1"/>
      <c r="B96" s="205"/>
      <c r="C96" s="206"/>
      <c r="D96" s="206"/>
      <c r="E96" s="206"/>
      <c r="F96" s="206"/>
      <c r="G96" s="206"/>
      <c r="H96" s="206"/>
      <c r="I96" s="207"/>
    </row>
    <row r="97" spans="1:9" ht="81.75" customHeight="1" x14ac:dyDescent="0.15">
      <c r="A97" s="1"/>
      <c r="B97" s="205"/>
      <c r="C97" s="206"/>
      <c r="D97" s="206"/>
      <c r="E97" s="206"/>
      <c r="F97" s="206"/>
      <c r="G97" s="206"/>
      <c r="H97" s="206"/>
      <c r="I97" s="207"/>
    </row>
    <row r="98" spans="1:9" ht="18.75" customHeight="1" x14ac:dyDescent="0.15">
      <c r="A98" s="1"/>
      <c r="B98" s="205"/>
      <c r="C98" s="206"/>
      <c r="D98" s="206"/>
      <c r="E98" s="206"/>
      <c r="F98" s="206"/>
      <c r="G98" s="206"/>
      <c r="H98" s="206"/>
      <c r="I98" s="207"/>
    </row>
    <row r="99" spans="1:9" ht="18.75" customHeight="1" x14ac:dyDescent="0.15">
      <c r="A99" s="1"/>
      <c r="B99" s="205"/>
      <c r="C99" s="206"/>
      <c r="D99" s="206"/>
      <c r="E99" s="206"/>
      <c r="F99" s="206"/>
      <c r="G99" s="206"/>
      <c r="H99" s="206"/>
      <c r="I99" s="207"/>
    </row>
    <row r="100" spans="1:9" ht="18.75" customHeight="1" x14ac:dyDescent="0.15">
      <c r="A100" s="1"/>
      <c r="B100" s="205"/>
      <c r="C100" s="206"/>
      <c r="D100" s="206"/>
      <c r="E100" s="206"/>
      <c r="F100" s="206"/>
      <c r="G100" s="206"/>
      <c r="H100" s="206"/>
      <c r="I100" s="207"/>
    </row>
    <row r="101" spans="1:9" ht="18.75" customHeight="1" x14ac:dyDescent="0.15">
      <c r="A101" s="1"/>
      <c r="B101" s="205"/>
      <c r="C101" s="206"/>
      <c r="D101" s="206"/>
      <c r="E101" s="206"/>
      <c r="F101" s="206"/>
      <c r="G101" s="206"/>
      <c r="H101" s="206"/>
      <c r="I101" s="207"/>
    </row>
    <row r="102" spans="1:9" ht="18.75" customHeight="1" x14ac:dyDescent="0.15">
      <c r="A102" s="1"/>
      <c r="B102" s="205"/>
      <c r="C102" s="206"/>
      <c r="D102" s="206"/>
      <c r="E102" s="206"/>
      <c r="F102" s="206"/>
      <c r="G102" s="206"/>
      <c r="H102" s="206"/>
      <c r="I102" s="207"/>
    </row>
    <row r="103" spans="1:9" ht="18.75" customHeight="1" x14ac:dyDescent="0.15">
      <c r="A103" s="1"/>
      <c r="B103" s="205"/>
      <c r="C103" s="206"/>
      <c r="D103" s="206"/>
      <c r="E103" s="206"/>
      <c r="F103" s="206"/>
      <c r="G103" s="206"/>
      <c r="H103" s="206"/>
      <c r="I103" s="207"/>
    </row>
    <row r="104" spans="1:9" ht="18.75" customHeight="1" x14ac:dyDescent="0.15">
      <c r="A104" s="1"/>
      <c r="B104" s="205"/>
      <c r="C104" s="206"/>
      <c r="D104" s="206"/>
      <c r="E104" s="206"/>
      <c r="F104" s="206"/>
      <c r="G104" s="206"/>
      <c r="H104" s="206"/>
      <c r="I104" s="207"/>
    </row>
    <row r="105" spans="1:9" ht="18.75" customHeight="1" x14ac:dyDescent="0.15">
      <c r="A105" s="4"/>
      <c r="B105" s="208"/>
      <c r="C105" s="209"/>
      <c r="D105" s="209"/>
      <c r="E105" s="209"/>
      <c r="F105" s="209"/>
      <c r="G105" s="209"/>
      <c r="H105" s="209"/>
      <c r="I105" s="210"/>
    </row>
    <row r="106" spans="1:9" ht="7.5" customHeight="1" x14ac:dyDescent="0.15">
      <c r="A106" s="4"/>
      <c r="B106" s="4"/>
      <c r="C106" s="4"/>
      <c r="D106" s="4"/>
      <c r="E106" s="4"/>
      <c r="F106" s="4"/>
      <c r="G106" s="4"/>
      <c r="H106" s="4"/>
      <c r="I106" s="4"/>
    </row>
    <row r="107" spans="1:9" ht="18.75" customHeight="1" x14ac:dyDescent="0.15">
      <c r="A107" s="1" t="s">
        <v>143</v>
      </c>
      <c r="B107" s="211" t="s">
        <v>144</v>
      </c>
      <c r="C107" s="211"/>
      <c r="D107" s="211"/>
      <c r="E107" s="211"/>
      <c r="F107" s="211"/>
      <c r="G107" s="211"/>
      <c r="H107" s="211"/>
      <c r="I107" s="211"/>
    </row>
    <row r="108" spans="1:9" ht="18.75" customHeight="1" x14ac:dyDescent="0.15">
      <c r="A108" s="4"/>
      <c r="B108" s="212" t="s">
        <v>145</v>
      </c>
      <c r="C108" s="213"/>
      <c r="D108" s="213"/>
      <c r="E108" s="213"/>
      <c r="F108" s="213"/>
      <c r="G108" s="213"/>
      <c r="H108" s="213"/>
      <c r="I108" s="214"/>
    </row>
    <row r="109" spans="1:9" ht="18.75" customHeight="1" x14ac:dyDescent="0.15">
      <c r="A109" s="4"/>
      <c r="B109" s="215"/>
      <c r="C109" s="216"/>
      <c r="D109" s="216"/>
      <c r="E109" s="216"/>
      <c r="F109" s="216"/>
      <c r="G109" s="216"/>
      <c r="H109" s="216"/>
      <c r="I109" s="217"/>
    </row>
    <row r="110" spans="1:9" ht="18.75" customHeight="1" x14ac:dyDescent="0.15">
      <c r="A110" s="4"/>
      <c r="B110" s="215"/>
      <c r="C110" s="216"/>
      <c r="D110" s="216"/>
      <c r="E110" s="216"/>
      <c r="F110" s="216"/>
      <c r="G110" s="216"/>
      <c r="H110" s="216"/>
      <c r="I110" s="217"/>
    </row>
    <row r="111" spans="1:9" ht="18.75" customHeight="1" x14ac:dyDescent="0.15">
      <c r="A111" s="4"/>
      <c r="B111" s="215"/>
      <c r="C111" s="216"/>
      <c r="D111" s="216"/>
      <c r="E111" s="216"/>
      <c r="F111" s="216"/>
      <c r="G111" s="216"/>
      <c r="H111" s="216"/>
      <c r="I111" s="217"/>
    </row>
    <row r="112" spans="1:9" ht="18.75" customHeight="1" x14ac:dyDescent="0.15">
      <c r="A112" s="4"/>
      <c r="B112" s="215"/>
      <c r="C112" s="216"/>
      <c r="D112" s="216"/>
      <c r="E112" s="216"/>
      <c r="F112" s="216"/>
      <c r="G112" s="216"/>
      <c r="H112" s="216"/>
      <c r="I112" s="217"/>
    </row>
    <row r="113" spans="1:9" ht="18.75" customHeight="1" x14ac:dyDescent="0.15">
      <c r="A113" s="4"/>
      <c r="B113" s="215"/>
      <c r="C113" s="216"/>
      <c r="D113" s="216"/>
      <c r="E113" s="216"/>
      <c r="F113" s="216"/>
      <c r="G113" s="216"/>
      <c r="H113" s="216"/>
      <c r="I113" s="217"/>
    </row>
    <row r="114" spans="1:9" ht="18.75" customHeight="1" x14ac:dyDescent="0.15">
      <c r="A114" s="4"/>
      <c r="B114" s="215"/>
      <c r="C114" s="216"/>
      <c r="D114" s="216"/>
      <c r="E114" s="216"/>
      <c r="F114" s="216"/>
      <c r="G114" s="216"/>
      <c r="H114" s="216"/>
      <c r="I114" s="217"/>
    </row>
    <row r="115" spans="1:9" ht="18.75" customHeight="1" x14ac:dyDescent="0.15">
      <c r="A115" s="4"/>
      <c r="B115" s="215"/>
      <c r="C115" s="216"/>
      <c r="D115" s="216"/>
      <c r="E115" s="216"/>
      <c r="F115" s="216"/>
      <c r="G115" s="216"/>
      <c r="H115" s="216"/>
      <c r="I115" s="217"/>
    </row>
    <row r="116" spans="1:9" ht="18.75" customHeight="1" x14ac:dyDescent="0.15">
      <c r="A116" s="4"/>
      <c r="B116" s="215"/>
      <c r="C116" s="216"/>
      <c r="D116" s="216"/>
      <c r="E116" s="216"/>
      <c r="F116" s="216"/>
      <c r="G116" s="216"/>
      <c r="H116" s="216"/>
      <c r="I116" s="217"/>
    </row>
    <row r="117" spans="1:9" ht="18.75" customHeight="1" x14ac:dyDescent="0.15">
      <c r="A117" s="4"/>
      <c r="B117" s="215"/>
      <c r="C117" s="216"/>
      <c r="D117" s="216"/>
      <c r="E117" s="216"/>
      <c r="F117" s="216"/>
      <c r="G117" s="216"/>
      <c r="H117" s="216"/>
      <c r="I117" s="217"/>
    </row>
    <row r="118" spans="1:9" ht="18.75" customHeight="1" x14ac:dyDescent="0.15">
      <c r="A118" s="4"/>
      <c r="B118" s="215"/>
      <c r="C118" s="216"/>
      <c r="D118" s="216"/>
      <c r="E118" s="216"/>
      <c r="F118" s="216"/>
      <c r="G118" s="216"/>
      <c r="H118" s="216"/>
      <c r="I118" s="217"/>
    </row>
    <row r="119" spans="1:9" ht="18.75" customHeight="1" x14ac:dyDescent="0.15">
      <c r="A119" s="4"/>
      <c r="B119" s="218"/>
      <c r="C119" s="219"/>
      <c r="D119" s="219"/>
      <c r="E119" s="219"/>
      <c r="F119" s="219"/>
      <c r="G119" s="219"/>
      <c r="H119" s="219"/>
      <c r="I119" s="220"/>
    </row>
    <row r="120" spans="1:9" ht="7.5" customHeight="1" x14ac:dyDescent="0.15">
      <c r="A120" s="4"/>
      <c r="B120" s="40"/>
      <c r="C120" s="40"/>
      <c r="D120" s="40"/>
      <c r="E120" s="40"/>
      <c r="F120" s="40"/>
      <c r="G120" s="40"/>
      <c r="H120" s="40"/>
      <c r="I120" s="40"/>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1"/>
      <c r="B134" s="41"/>
      <c r="C134" s="41"/>
      <c r="D134" s="41"/>
      <c r="E134" s="41"/>
      <c r="F134" s="41"/>
      <c r="G134" s="41"/>
      <c r="H134" s="41"/>
      <c r="I134" s="41"/>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blackAndWhite="1"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97"/>
  <sheetViews>
    <sheetView showZeros="0" tabSelected="1" view="pageBreakPreview" topLeftCell="A12" zoomScale="55" zoomScaleNormal="100" zoomScaleSheetLayoutView="55" workbookViewId="0">
      <selection activeCell="D86" sqref="D86"/>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146</v>
      </c>
      <c r="I1" s="28" t="s">
        <v>147</v>
      </c>
    </row>
    <row r="2" spans="1:9" ht="18.75" customHeight="1" x14ac:dyDescent="0.15">
      <c r="H2" s="28" t="s">
        <v>2</v>
      </c>
      <c r="I2" s="27" t="s">
        <v>3</v>
      </c>
    </row>
    <row r="3" spans="1:9" ht="18.75" customHeight="1" x14ac:dyDescent="0.15">
      <c r="A3" s="155" t="s">
        <v>148</v>
      </c>
      <c r="B3" s="155"/>
      <c r="C3" s="155"/>
      <c r="D3" s="155"/>
      <c r="E3" s="155"/>
      <c r="F3" s="155"/>
      <c r="G3" s="155"/>
      <c r="H3" s="155"/>
      <c r="I3" s="155"/>
    </row>
    <row r="4" spans="1:9" ht="18.75" customHeight="1" x14ac:dyDescent="0.15">
      <c r="A4" s="5"/>
      <c r="B4" s="5"/>
      <c r="C4" s="5"/>
      <c r="D4" s="5"/>
      <c r="E4" s="5"/>
      <c r="F4" s="5"/>
      <c r="G4" s="5"/>
      <c r="H4" s="5"/>
      <c r="I4" s="5"/>
    </row>
    <row r="5" spans="1:9" ht="18.75" customHeight="1" x14ac:dyDescent="0.15">
      <c r="A5" s="1" t="s">
        <v>97</v>
      </c>
      <c r="B5" s="10" t="s">
        <v>149</v>
      </c>
      <c r="C5" s="5"/>
      <c r="D5" s="5"/>
      <c r="E5" s="5"/>
      <c r="F5" s="5"/>
      <c r="G5" s="5"/>
      <c r="H5" s="5"/>
      <c r="I5" s="5"/>
    </row>
    <row r="6" spans="1:9" ht="26.25" customHeight="1" x14ac:dyDescent="0.15">
      <c r="A6" s="5"/>
      <c r="B6" s="234" t="s">
        <v>150</v>
      </c>
      <c r="C6" s="270"/>
      <c r="D6" s="270"/>
      <c r="E6" s="270"/>
      <c r="F6" s="270"/>
      <c r="G6" s="270"/>
      <c r="H6" s="271"/>
      <c r="I6" s="3"/>
    </row>
    <row r="7" spans="1:9" ht="9" customHeight="1" x14ac:dyDescent="0.15">
      <c r="A7" s="5"/>
      <c r="B7" s="10"/>
      <c r="C7" s="10"/>
      <c r="D7" s="10"/>
      <c r="E7" s="10"/>
      <c r="F7" s="10"/>
      <c r="G7" s="10"/>
      <c r="H7" s="10"/>
      <c r="I7" s="3"/>
    </row>
    <row r="8" spans="1:9" ht="18.75" customHeight="1" x14ac:dyDescent="0.15">
      <c r="A8" s="5"/>
      <c r="B8" s="3"/>
      <c r="C8" s="3"/>
      <c r="D8" s="28" t="s">
        <v>106</v>
      </c>
      <c r="E8" s="29" t="s">
        <v>151</v>
      </c>
      <c r="F8" s="3"/>
      <c r="G8" s="28" t="s">
        <v>108</v>
      </c>
      <c r="H8" s="29" t="s">
        <v>152</v>
      </c>
      <c r="I8" s="3"/>
    </row>
    <row r="9" spans="1:9" ht="7.5" customHeight="1" x14ac:dyDescent="0.15">
      <c r="A9" s="5"/>
      <c r="B9" s="5"/>
      <c r="C9" s="5"/>
      <c r="D9" s="5"/>
      <c r="E9" s="5"/>
      <c r="F9" s="5"/>
      <c r="G9" s="5"/>
      <c r="H9" s="5"/>
      <c r="I9" s="5"/>
    </row>
    <row r="10" spans="1:9" ht="18.75" customHeight="1" x14ac:dyDescent="0.15">
      <c r="A10" s="1" t="s">
        <v>102</v>
      </c>
      <c r="B10" s="1" t="s">
        <v>153</v>
      </c>
      <c r="C10" s="4"/>
      <c r="D10" s="4"/>
      <c r="E10" s="4"/>
      <c r="F10" s="4"/>
      <c r="G10" s="4"/>
      <c r="H10" s="4"/>
      <c r="I10" s="4"/>
    </row>
    <row r="11" spans="1:9" ht="18.75" customHeight="1" x14ac:dyDescent="0.15">
      <c r="B11" s="96" t="s">
        <v>154</v>
      </c>
      <c r="C11" s="97"/>
      <c r="D11" s="98"/>
      <c r="E11" s="97" t="s">
        <v>155</v>
      </c>
      <c r="F11" s="97"/>
      <c r="G11" s="97"/>
      <c r="H11" s="97"/>
      <c r="I11" s="98"/>
    </row>
    <row r="12" spans="1:9" ht="26.25" customHeight="1" x14ac:dyDescent="0.15">
      <c r="B12" s="42" t="s">
        <v>156</v>
      </c>
      <c r="C12" s="49"/>
      <c r="D12" s="43"/>
      <c r="E12" s="50"/>
      <c r="F12" s="50"/>
      <c r="G12" s="50"/>
      <c r="H12" s="50"/>
      <c r="I12" s="43"/>
    </row>
    <row r="13" spans="1:9" ht="84" customHeight="1" x14ac:dyDescent="0.15">
      <c r="B13" s="44"/>
      <c r="C13" s="268" t="s">
        <v>157</v>
      </c>
      <c r="D13" s="269"/>
      <c r="E13" s="265" t="s">
        <v>158</v>
      </c>
      <c r="F13" s="266"/>
      <c r="G13" s="266"/>
      <c r="H13" s="266"/>
      <c r="I13" s="267"/>
    </row>
    <row r="14" spans="1:9" ht="210.75" customHeight="1" x14ac:dyDescent="0.15">
      <c r="B14" s="44"/>
      <c r="C14" s="263" t="s">
        <v>159</v>
      </c>
      <c r="D14" s="264"/>
      <c r="E14" s="265" t="s">
        <v>160</v>
      </c>
      <c r="F14" s="266"/>
      <c r="G14" s="266"/>
      <c r="H14" s="266"/>
      <c r="I14" s="267"/>
    </row>
    <row r="15" spans="1:9" ht="210.75" customHeight="1" x14ac:dyDescent="0.15">
      <c r="B15" s="44"/>
      <c r="C15" s="268" t="s">
        <v>161</v>
      </c>
      <c r="D15" s="269"/>
      <c r="E15" s="265" t="s">
        <v>162</v>
      </c>
      <c r="F15" s="266"/>
      <c r="G15" s="266"/>
      <c r="H15" s="266"/>
      <c r="I15" s="267"/>
    </row>
    <row r="16" spans="1:9" ht="210.75" customHeight="1" x14ac:dyDescent="0.15">
      <c r="B16" s="44"/>
      <c r="C16" s="268" t="s">
        <v>163</v>
      </c>
      <c r="D16" s="269"/>
      <c r="E16" s="272" t="s">
        <v>164</v>
      </c>
      <c r="F16" s="273"/>
      <c r="G16" s="273"/>
      <c r="H16" s="273"/>
      <c r="I16" s="274"/>
    </row>
    <row r="17" spans="2:9" ht="210.75" customHeight="1" x14ac:dyDescent="0.15">
      <c r="B17" s="45"/>
      <c r="C17" s="275" t="s">
        <v>165</v>
      </c>
      <c r="D17" s="276"/>
      <c r="E17" s="277" t="s">
        <v>164</v>
      </c>
      <c r="F17" s="278"/>
      <c r="G17" s="278"/>
      <c r="H17" s="278"/>
      <c r="I17" s="279"/>
    </row>
    <row r="18" spans="2:9" ht="24" customHeight="1" x14ac:dyDescent="0.15">
      <c r="B18" s="42" t="s">
        <v>166</v>
      </c>
      <c r="C18" s="46"/>
      <c r="D18" s="47"/>
      <c r="E18" s="48"/>
      <c r="F18" s="48"/>
      <c r="G18" s="48"/>
      <c r="H18" s="48"/>
      <c r="I18" s="51"/>
    </row>
    <row r="19" spans="2:9" ht="218.25" customHeight="1" x14ac:dyDescent="0.15">
      <c r="B19" s="44"/>
      <c r="C19" s="268" t="s">
        <v>167</v>
      </c>
      <c r="D19" s="269"/>
      <c r="E19" s="265" t="s">
        <v>168</v>
      </c>
      <c r="F19" s="266"/>
      <c r="G19" s="266"/>
      <c r="H19" s="266"/>
      <c r="I19" s="267"/>
    </row>
    <row r="20" spans="2:9" ht="218.25" customHeight="1" x14ac:dyDescent="0.15">
      <c r="B20" s="45"/>
      <c r="C20" s="275" t="s">
        <v>169</v>
      </c>
      <c r="D20" s="276"/>
      <c r="E20" s="283" t="s">
        <v>170</v>
      </c>
      <c r="F20" s="284"/>
      <c r="G20" s="284"/>
      <c r="H20" s="284"/>
      <c r="I20" s="285"/>
    </row>
    <row r="21" spans="2:9" ht="218.25" customHeight="1" x14ac:dyDescent="0.15">
      <c r="B21" s="286" t="s">
        <v>171</v>
      </c>
      <c r="C21" s="287"/>
      <c r="D21" s="288"/>
      <c r="E21" s="289" t="s">
        <v>172</v>
      </c>
      <c r="F21" s="290"/>
      <c r="G21" s="290"/>
      <c r="H21" s="290"/>
      <c r="I21" s="291"/>
    </row>
    <row r="22" spans="2:9" ht="218.25" customHeight="1" x14ac:dyDescent="0.15">
      <c r="B22" s="280" t="s">
        <v>173</v>
      </c>
      <c r="C22" s="281"/>
      <c r="D22" s="282"/>
      <c r="E22" s="283" t="s">
        <v>174</v>
      </c>
      <c r="F22" s="284"/>
      <c r="G22" s="284"/>
      <c r="H22" s="284"/>
      <c r="I22" s="285"/>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row r="89" ht="91.5" customHeight="1" x14ac:dyDescent="0.15"/>
    <row r="90" ht="123" customHeight="1" x14ac:dyDescent="0.15"/>
    <row r="91" ht="156" customHeight="1" x14ac:dyDescent="0.15"/>
    <row r="92" ht="102.75" customHeight="1" x14ac:dyDescent="0.15"/>
    <row r="93" ht="244.5" customHeight="1" x14ac:dyDescent="0.15"/>
    <row r="94" ht="147" customHeight="1" x14ac:dyDescent="0.15"/>
    <row r="95" ht="75.75" customHeight="1" x14ac:dyDescent="0.15"/>
    <row r="97" ht="81.75" customHeight="1" x14ac:dyDescent="0.15"/>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吉田　祐也</cp:lastModifiedBy>
  <cp:revision/>
  <cp:lastPrinted>2023-08-04T07:55:13Z</cp:lastPrinted>
  <dcterms:created xsi:type="dcterms:W3CDTF">2011-06-14T05:32:50Z</dcterms:created>
  <dcterms:modified xsi:type="dcterms:W3CDTF">2023-08-04T07:58:43Z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