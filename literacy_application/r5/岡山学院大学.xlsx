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defaultThemeVersion="124226"/>
  <mc:AlternateContent xmlns:mc="http://schemas.openxmlformats.org/markup-compatibility/2006">
    <mc:Choice Requires="x15">
      <x15ac:absPath xmlns:x15ac="http://schemas.microsoft.com/office/spreadsheetml/2010/11/ac" url="C:\Users\gakuz\OneDrive\ドキュメント\02エクセル\"/>
    </mc:Choice>
  </mc:AlternateContent>
  <xr:revisionPtr revIDLastSave="0" documentId="13_ncr:1_{B1FBA1CE-E566-4C9A-9607-96B19D075F1F}" xr6:coauthVersionLast="47" xr6:coauthVersionMax="47" xr10:uidLastSave="{00000000-0000-0000-0000-000000000000}"/>
  <bookViews>
    <workbookView xWindow="-108" yWindow="-108" windowWidth="23256" windowHeight="12456"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41" l="1"/>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<sst xmlns="http://schemas.openxmlformats.org/spreadsheetml/2006/main" count="339" uniqueCount="180">
  <si>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</si>
  <si>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</si>
  <si>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</si>
  <si>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</si>
  <si>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</si>
  <si>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</si>
  <si>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</si>
  <si>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</si>
  <si>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</si>
  <si>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</si>
  <si>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</si>
  <si>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</si>
  <si>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</si>
  <si>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</si>
  <si>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</si>
  <si>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</si>
  <si>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</si>
  <si>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</si>
  <si>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</si>
  <si>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</si>
  <si>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</si>
  <si>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</si>
  <si>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</si>
  <si>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</si>
  <si>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</si>
  <si>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</si>
  <si>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</si>
  <si>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</si>
  <si>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</si>
  <si>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</si>
  <si>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</si>
  <si>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</si>
  <si>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</si>
  <si>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</si>
  <si>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</si>
  <si>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</si>
  <si>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</si>
  <si>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</si>
  <si>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</si>
  <si>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</si>
  <si>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</si>
  <si>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</si>
  <si>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</si>
  <si>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</si>
  <si>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</si>
  <si>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</si>
  <si>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</si>
  <si>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</si>
  <si>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</si>
  <si>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</si>
  <si>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</si>
  <si>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</si>
  <si>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</si>
  <si>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</si>
  <si>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</si>
  <si>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</si>
  <si>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</si>
  <si>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</si>
  <si>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</si>
  <si>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</si>
  <si>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</si>
  <si>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</si>
  <si>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</si>
  <si>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</si>
  <si>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</si>
  <si>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</si>
  <si>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</si>
  <si>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</si>
  <si>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</si>
  <si>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</si>
  <si>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</si>
  <si>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</si>
  <si>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</si>
  <si>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</si>
  <si>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</si>
  <si>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</si>
  <si>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</si>
  <si>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</si>
  <si>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</si>
  <si>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</si>
  <si>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</si>
  <si>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</si>
  <si>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</si>
  <si>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</si>
  <si>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</si>
  <si>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</si>
  <si>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</si>
  <si>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</si>
  <si>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</si>
  <si>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</si>
  <si>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</si>
  <si>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</si>
  <si>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</si>
  <si>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</si>
  <si>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</si>
  <si>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</si>
  <si>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</si>
  <si>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</si>
  <si>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</si>
  <si>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</si>
  <si>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</si>
  <si>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</si>
  <si>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</si>
  <si>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</si>
  <si>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</si>
  <si>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</si>
  <si>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</si>
  <si>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</si>
  <si>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</si>
  <si>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</si>
  <si>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</si>
  <si>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</si>
  <si>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</si>
  <si>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</si>
  <si>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</si>
  <si>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</si>
  <si>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</si>
  <si>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</si>
  <si>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</si>
  <si>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</si>
  <si>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</si>
  <si>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</si>
  <si>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</si>
  <si>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</si>
  <si>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</si>
  <si>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</si>
  <si>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</si>
  <si>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岡山学院大学</t>
    <rPh sb="0" eb="6">
      <t>オカヤマガクインダイガク</t>
    </rPh>
    <phoneticPr fontId="1"/>
  </si>
  <si>
    <t>数理・データサイエンス・AI教育プログラム</t>
    <phoneticPr fontId="1"/>
  </si>
  <si>
    <t>学部・学科によって、修了要件は相違しない</t>
  </si>
  <si>
    <t>人間生活学部</t>
    <rPh sb="0" eb="6">
      <t>ニンゲンセイカツガクブ</t>
    </rPh>
    <phoneticPr fontId="1"/>
  </si>
  <si>
    <t>ソサエティ５.０理解</t>
    <rPh sb="8" eb="10">
      <t>リカイ</t>
    </rPh>
    <phoneticPr fontId="1"/>
  </si>
  <si>
    <t>○</t>
  </si>
  <si>
    <t>ICTリテラシーⅠ</t>
    <phoneticPr fontId="1"/>
  </si>
  <si>
    <t>基礎数学</t>
    <rPh sb="0" eb="4">
      <t>キソスウガク</t>
    </rPh>
    <phoneticPr fontId="1"/>
  </si>
  <si>
    <t>データサイエンスⅡ</t>
    <phoneticPr fontId="1"/>
  </si>
  <si>
    <t>ICTリテラシーⅡ</t>
    <phoneticPr fontId="1"/>
  </si>
  <si>
    <t>データサイエンスⅠ</t>
    <phoneticPr fontId="1"/>
  </si>
  <si>
    <t>4-1統計および数理基礎</t>
  </si>
  <si>
    <t>ソサエティ5.0理解</t>
    <rPh sb="8" eb="10">
      <t>リカイ</t>
    </rPh>
    <phoneticPr fontId="1"/>
  </si>
  <si>
    <t>原田　博史</t>
    <rPh sb="0" eb="2">
      <t>ハラダ</t>
    </rPh>
    <rPh sb="3" eb="5">
      <t>ヒロフミ</t>
    </rPh>
    <phoneticPr fontId="1"/>
  </si>
  <si>
    <t>学長</t>
    <rPh sb="0" eb="2">
      <t>ガクチョウ</t>
    </rPh>
    <phoneticPr fontId="1"/>
  </si>
  <si>
    <t>原田　俊孝</t>
    <rPh sb="0" eb="2">
      <t>ハラダ</t>
    </rPh>
    <rPh sb="3" eb="5">
      <t>トシタカ</t>
    </rPh>
    <phoneticPr fontId="1"/>
  </si>
  <si>
    <t>副学長</t>
    <rPh sb="0" eb="3">
      <t>フクガクチョウ</t>
    </rPh>
    <phoneticPr fontId="1"/>
  </si>
  <si>
    <t>数理・データサイエンス・AI教育プログラム推進委員会</t>
    <rPh sb="0" eb="2">
      <t>スウリ</t>
    </rPh>
    <rPh sb="14" eb="16">
      <t>キョウイク</t>
    </rPh>
    <rPh sb="21" eb="23">
      <t>スイシン</t>
    </rPh>
    <rPh sb="23" eb="26">
      <t>イインカイ</t>
    </rPh>
    <phoneticPr fontId="1"/>
  </si>
  <si>
    <t>岡山学院大学自己点検・評価委員会</t>
    <phoneticPr fontId="1"/>
  </si>
  <si>
    <t>畑伸秀</t>
    <rPh sb="0" eb="1">
      <t>ハタ</t>
    </rPh>
    <rPh sb="1" eb="2">
      <t>ノブ</t>
    </rPh>
    <rPh sb="2" eb="3">
      <t>ヒデ</t>
    </rPh>
    <phoneticPr fontId="1"/>
  </si>
  <si>
    <t>学科長</t>
    <rPh sb="0" eb="3">
      <t>ガッカチョウ</t>
    </rPh>
    <phoneticPr fontId="1"/>
  </si>
  <si>
    <t>ソサエティ5.0理解の授業で、管理栄養士・栄養士などの専門職の現場を意識したソサエティ5.0時代の時事トレンドを発信し、履修生の数理・データサイエンス・AI教育に対する好奇心の向上を図っている。年３回の推進委員会の課題及び解決策の内容は、プログラムの改善に活用している。</t>
    <rPh sb="8" eb="10">
      <t>リカイ</t>
    </rPh>
    <rPh sb="11" eb="13">
      <t>ジュギョウ</t>
    </rPh>
    <rPh sb="15" eb="20">
      <t>カンリエイヨウシ</t>
    </rPh>
    <rPh sb="21" eb="24">
      <t>エイヨウシ</t>
    </rPh>
    <rPh sb="27" eb="30">
      <t>センモンショク</t>
    </rPh>
    <rPh sb="31" eb="33">
      <t>ゲンバ</t>
    </rPh>
    <rPh sb="34" eb="36">
      <t>イシキ</t>
    </rPh>
    <rPh sb="46" eb="48">
      <t>ジダイ</t>
    </rPh>
    <rPh sb="49" eb="51">
      <t>ジジ</t>
    </rPh>
    <rPh sb="56" eb="58">
      <t>ハッシン</t>
    </rPh>
    <rPh sb="60" eb="63">
      <t>リシュウセイ</t>
    </rPh>
    <rPh sb="64" eb="66">
      <t>スウリ</t>
    </rPh>
    <rPh sb="78" eb="80">
      <t>キョウイク</t>
    </rPh>
    <rPh sb="81" eb="82">
      <t>タイ</t>
    </rPh>
    <rPh sb="84" eb="87">
      <t>コウキシン</t>
    </rPh>
    <rPh sb="88" eb="90">
      <t>コウジョウ</t>
    </rPh>
    <rPh sb="91" eb="92">
      <t>ハカ</t>
    </rPh>
    <rPh sb="97" eb="98">
      <t>ネン</t>
    </rPh>
    <rPh sb="99" eb="100">
      <t>カイ</t>
    </rPh>
    <rPh sb="101" eb="103">
      <t>スイシン</t>
    </rPh>
    <rPh sb="103" eb="106">
      <t>イインカイ</t>
    </rPh>
    <rPh sb="107" eb="109">
      <t>カダイ</t>
    </rPh>
    <rPh sb="109" eb="110">
      <t>オヨ</t>
    </rPh>
    <rPh sb="111" eb="113">
      <t>カイケツ</t>
    </rPh>
    <rPh sb="113" eb="114">
      <t>サク</t>
    </rPh>
    <rPh sb="115" eb="117">
      <t>ナイヨウ</t>
    </rPh>
    <phoneticPr fontId="1"/>
  </si>
  <si>
    <t>数理・データサイエンス・AI教育プログラム推進委員会（令和4年度）
学長　原田博史
副学長　原田俊孝
専任講師　納庄聡　
専任講師　平野聡</t>
    <rPh sb="27" eb="29">
      <t>レイワ</t>
    </rPh>
    <rPh sb="30" eb="32">
      <t>ネンド</t>
    </rPh>
    <rPh sb="34" eb="36">
      <t>ガクチョウ</t>
    </rPh>
    <rPh sb="37" eb="39">
      <t>ハラダ</t>
    </rPh>
    <rPh sb="39" eb="41">
      <t>ヒロフミ</t>
    </rPh>
    <rPh sb="42" eb="43">
      <t>フク</t>
    </rPh>
    <rPh sb="43" eb="45">
      <t>ガクチョウ</t>
    </rPh>
    <rPh sb="46" eb="50">
      <t>ハラダトシタカ</t>
    </rPh>
    <rPh sb="51" eb="53">
      <t>センニン</t>
    </rPh>
    <rPh sb="53" eb="55">
      <t>コウシ</t>
    </rPh>
    <rPh sb="56" eb="57">
      <t>オサメ</t>
    </rPh>
    <rPh sb="57" eb="58">
      <t>ソウ</t>
    </rPh>
    <rPh sb="58" eb="59">
      <t>サトシ</t>
    </rPh>
    <rPh sb="61" eb="63">
      <t>センニン</t>
    </rPh>
    <rPh sb="63" eb="65">
      <t>コウシ</t>
    </rPh>
    <rPh sb="66" eb="68">
      <t>ヒラノ</t>
    </rPh>
    <rPh sb="67" eb="68">
      <t>サトシ</t>
    </rPh>
    <phoneticPr fontId="1"/>
  </si>
  <si>
    <t>クラスメンターとの面談で履修指導を行っているので、本プログラムを履修するよう指導する。また、本プログラムの内容は、管理栄養士業務の実践力向上の基礎となるため、目的意識を持って履修するよう指導する。</t>
    <rPh sb="9" eb="11">
      <t>メンダン</t>
    </rPh>
    <rPh sb="12" eb="14">
      <t>リシュウ</t>
    </rPh>
    <rPh sb="14" eb="16">
      <t>シドウ</t>
    </rPh>
    <rPh sb="17" eb="18">
      <t>オコナ</t>
    </rPh>
    <rPh sb="25" eb="26">
      <t>ホン</t>
    </rPh>
    <rPh sb="32" eb="34">
      <t>リシュウ</t>
    </rPh>
    <rPh sb="38" eb="40">
      <t>シドウ</t>
    </rPh>
    <rPh sb="46" eb="47">
      <t>ホン</t>
    </rPh>
    <rPh sb="53" eb="55">
      <t>ナイヨウ</t>
    </rPh>
    <rPh sb="57" eb="62">
      <t>カンリエイヨウシ</t>
    </rPh>
    <rPh sb="62" eb="64">
      <t>ギョウム</t>
    </rPh>
    <rPh sb="65" eb="68">
      <t>ジッセンリョク</t>
    </rPh>
    <rPh sb="68" eb="70">
      <t>コウジョウ</t>
    </rPh>
    <rPh sb="71" eb="73">
      <t>キソ</t>
    </rPh>
    <rPh sb="79" eb="83">
      <t>モクテキイシキ</t>
    </rPh>
    <rPh sb="84" eb="85">
      <t>モ</t>
    </rPh>
    <rPh sb="87" eb="89">
      <t>リシュウ</t>
    </rPh>
    <rPh sb="93" eb="95">
      <t>シドウ</t>
    </rPh>
    <phoneticPr fontId="1"/>
  </si>
  <si>
    <t>構成員だけでなく、全教員が本プログラムの推進を図るため、学科FD会議で進捗状況及び学修成果達成状況を確認しプログラム向上・充実を図るPDCAサイクルを廻す。</t>
    <rPh sb="0" eb="3">
      <t>コウセイイン</t>
    </rPh>
    <rPh sb="9" eb="12">
      <t>ゼンキョウイン</t>
    </rPh>
    <rPh sb="13" eb="14">
      <t>ホン</t>
    </rPh>
    <rPh sb="20" eb="22">
      <t>スイシン</t>
    </rPh>
    <rPh sb="23" eb="24">
      <t>ハカ</t>
    </rPh>
    <rPh sb="28" eb="30">
      <t>ガッカ</t>
    </rPh>
    <rPh sb="32" eb="34">
      <t>カイギ</t>
    </rPh>
    <rPh sb="35" eb="39">
      <t>シンチョクジョウキョウ</t>
    </rPh>
    <rPh sb="39" eb="40">
      <t>オヨ</t>
    </rPh>
    <rPh sb="41" eb="45">
      <t>ガクシュウセイカ</t>
    </rPh>
    <rPh sb="45" eb="49">
      <t>タッセイジョウキョウ</t>
    </rPh>
    <rPh sb="50" eb="52">
      <t>カクニン</t>
    </rPh>
    <rPh sb="58" eb="60">
      <t>コウジョウ</t>
    </rPh>
    <rPh sb="61" eb="63">
      <t>ジュウジツ</t>
    </rPh>
    <rPh sb="64" eb="65">
      <t>ハカ</t>
    </rPh>
    <rPh sb="75" eb="76">
      <t>マワ</t>
    </rPh>
    <phoneticPr fontId="1"/>
  </si>
  <si>
    <t>カリキュラムポリシーにおいて、高大接続の観点がプログラム教育を編成及び実践することを入学志願者に徹底して案内すると共に、入学生にはプログラム教育のエンロールメントを徹底する。</t>
    <rPh sb="15" eb="19">
      <t>コウダイセツゾク</t>
    </rPh>
    <rPh sb="20" eb="22">
      <t>カンテン</t>
    </rPh>
    <rPh sb="28" eb="30">
      <t>キョウイク</t>
    </rPh>
    <rPh sb="31" eb="33">
      <t>ヘンセイ</t>
    </rPh>
    <rPh sb="33" eb="34">
      <t>オヨ</t>
    </rPh>
    <rPh sb="35" eb="37">
      <t>ジッセン</t>
    </rPh>
    <rPh sb="42" eb="44">
      <t>ニュウガク</t>
    </rPh>
    <rPh sb="44" eb="47">
      <t>シガンシャ</t>
    </rPh>
    <rPh sb="48" eb="50">
      <t>テッテイ</t>
    </rPh>
    <rPh sb="52" eb="54">
      <t>アンナイ</t>
    </rPh>
    <rPh sb="57" eb="58">
      <t>トモ</t>
    </rPh>
    <rPh sb="60" eb="62">
      <t>ニュウガク</t>
    </rPh>
    <rPh sb="62" eb="63">
      <t>セイ</t>
    </rPh>
    <rPh sb="70" eb="72">
      <t>キョウイク</t>
    </rPh>
    <rPh sb="82" eb="84">
      <t>テッテイ</t>
    </rPh>
    <phoneticPr fontId="1"/>
  </si>
  <si>
    <t xml:space="preserve">数理・データサイエンス・AI教育推進委員会で学生への推奨度を点検し改善する。構成員だけでなく、全教員が本プログラムの推進を図るため、学科FD会議で進捗状況及び学修成果達成状況を確認しプログラム向上・充実を図るPDCAサイクルを廻す。
令和3年度の授業アンケートの結果から後輩への推奨度は低いものと考えるが、令和4年度のデータサイエンスⅠ及びⅡの授業アンケートの結果から推奨度は上がっていると考察する。
推奨度の向上を図るためには、本プログラムの目的と意義を広報していくことが重要であると考える。
具体的には、入学前と在学中の広報活動を行い、本プログラムの目的と意義を十分に広報する。
</t>
    <rPh sb="117" eb="119">
      <t>レイワ</t>
    </rPh>
    <rPh sb="120" eb="122">
      <t>ネンド</t>
    </rPh>
    <rPh sb="123" eb="125">
      <t>ジュギョウ</t>
    </rPh>
    <rPh sb="131" eb="133">
      <t>ケッカ</t>
    </rPh>
    <rPh sb="135" eb="137">
      <t>コウハイ</t>
    </rPh>
    <rPh sb="139" eb="142">
      <t>スイショウド</t>
    </rPh>
    <rPh sb="143" eb="144">
      <t>ヒク</t>
    </rPh>
    <rPh sb="148" eb="149">
      <t>カンガ</t>
    </rPh>
    <rPh sb="153" eb="155">
      <t>レイワ</t>
    </rPh>
    <rPh sb="156" eb="158">
      <t>ネンド</t>
    </rPh>
    <rPh sb="168" eb="169">
      <t>オヨ</t>
    </rPh>
    <rPh sb="172" eb="174">
      <t>ジュギョウ</t>
    </rPh>
    <rPh sb="180" eb="182">
      <t>ケッカ</t>
    </rPh>
    <rPh sb="184" eb="187">
      <t>スイショウド</t>
    </rPh>
    <rPh sb="188" eb="189">
      <t>ア</t>
    </rPh>
    <rPh sb="195" eb="197">
      <t>コウサツ</t>
    </rPh>
    <rPh sb="201" eb="204">
      <t>スイショウド</t>
    </rPh>
    <rPh sb="205" eb="207">
      <t>コウジョウ</t>
    </rPh>
    <rPh sb="208" eb="209">
      <t>ハカ</t>
    </rPh>
    <rPh sb="215" eb="216">
      <t>ホン</t>
    </rPh>
    <rPh sb="222" eb="224">
      <t>モクテキ</t>
    </rPh>
    <rPh sb="225" eb="227">
      <t>イギ</t>
    </rPh>
    <rPh sb="228" eb="230">
      <t>コウホウ</t>
    </rPh>
    <rPh sb="237" eb="239">
      <t>ジュウヨウ</t>
    </rPh>
    <rPh sb="243" eb="244">
      <t>カンガ</t>
    </rPh>
    <rPh sb="248" eb="251">
      <t>グタイテキ</t>
    </rPh>
    <rPh sb="254" eb="257">
      <t>ニュウガクマエ</t>
    </rPh>
    <rPh sb="258" eb="261">
      <t>ザイガクチュウ</t>
    </rPh>
    <rPh sb="262" eb="266">
      <t>コウホウカツドウ</t>
    </rPh>
    <rPh sb="267" eb="268">
      <t>オコナ</t>
    </rPh>
    <rPh sb="270" eb="271">
      <t>ホン</t>
    </rPh>
    <rPh sb="277" eb="279">
      <t>モクテキ</t>
    </rPh>
    <rPh sb="280" eb="282">
      <t>イギ</t>
    </rPh>
    <rPh sb="283" eb="285">
      <t>ジュウブン</t>
    </rPh>
    <rPh sb="286" eb="288">
      <t>コウホウ</t>
    </rPh>
    <phoneticPr fontId="1"/>
  </si>
  <si>
    <r>
      <t>・ビッグデータ、IoT、AI、ロボット　</t>
    </r>
    <r>
      <rPr>
        <b/>
        <sz val="12"/>
        <color theme="1"/>
        <rFont val="ＭＳ Ｐゴシック"/>
        <family val="3"/>
        <charset val="128"/>
        <scheme val="minor"/>
      </rPr>
      <t>「ソサエティ5.0理解」（第１回）（第４回）（第５回）（第６回）（第９回）、「インターネットと法」（第3回）</t>
    </r>
    <r>
      <rPr>
        <sz val="12"/>
        <color theme="1"/>
        <rFont val="ＭＳ Ｐゴシック"/>
        <family val="3"/>
        <charset val="128"/>
        <scheme val="minor"/>
      </rPr>
      <t xml:space="preserve">
・データ量の増加、計算機の処理性能の向上、AIの非連続的進化　</t>
    </r>
    <r>
      <rPr>
        <b/>
        <sz val="12"/>
        <color theme="1"/>
        <rFont val="ＭＳ Ｐゴシック"/>
        <family val="3"/>
        <charset val="128"/>
        <scheme val="minor"/>
      </rPr>
      <t>「ソサエティ5.0理解」（第６回）（第７回）</t>
    </r>
    <r>
      <rPr>
        <sz val="12"/>
        <color theme="1"/>
        <rFont val="ＭＳ Ｐゴシック"/>
        <family val="3"/>
        <charset val="128"/>
        <scheme val="minor"/>
      </rPr>
      <t xml:space="preserve">
・第4次産業革命、Society 5.0、データ駆動型社会・複数技術を組み合わせたAIサービス　</t>
    </r>
    <r>
      <rPr>
        <b/>
        <sz val="12"/>
        <color theme="1"/>
        <rFont val="ＭＳ Ｐゴシック"/>
        <family val="3"/>
        <charset val="128"/>
        <scheme val="minor"/>
      </rPr>
      <t>「ソサエティ5.0理解」（第６回）（第７回）</t>
    </r>
    <r>
      <rPr>
        <sz val="12"/>
        <color theme="1"/>
        <rFont val="ＭＳ Ｐゴシック"/>
        <family val="3"/>
        <charset val="128"/>
        <scheme val="minor"/>
      </rPr>
      <t xml:space="preserve">
・人間の知的活動とAIの関係性　</t>
    </r>
    <r>
      <rPr>
        <b/>
        <sz val="12"/>
        <color theme="1"/>
        <rFont val="ＭＳ Ｐゴシック"/>
        <family val="3"/>
        <charset val="128"/>
        <scheme val="minor"/>
      </rPr>
      <t>「ソサエティ5.0理解」（第９回）</t>
    </r>
    <r>
      <rPr>
        <sz val="12"/>
        <color theme="1"/>
        <rFont val="ＭＳ Ｐゴシック"/>
        <family val="3"/>
        <charset val="128"/>
        <scheme val="minor"/>
      </rPr>
      <t xml:space="preserve">
・データを起点としたものの見方、人間の知的活動を起点としたものの見方　</t>
    </r>
    <r>
      <rPr>
        <b/>
        <sz val="12"/>
        <color theme="1"/>
        <rFont val="ＭＳ Ｐゴシック"/>
        <family val="3"/>
        <charset val="128"/>
        <scheme val="minor"/>
      </rPr>
      <t>「ソサエティ5.0理解」（第９回）</t>
    </r>
    <rPh sb="29" eb="31">
      <t>リカイ</t>
    </rPh>
    <rPh sb="33" eb="34">
      <t>ダイ</t>
    </rPh>
    <rPh sb="35" eb="36">
      <t>カイ</t>
    </rPh>
    <rPh sb="38" eb="39">
      <t>ダイ</t>
    </rPh>
    <rPh sb="40" eb="41">
      <t>カイ</t>
    </rPh>
    <rPh sb="43" eb="44">
      <t>ダイ</t>
    </rPh>
    <rPh sb="45" eb="46">
      <t>カイ</t>
    </rPh>
    <rPh sb="48" eb="49">
      <t>ダイ</t>
    </rPh>
    <rPh sb="50" eb="51">
      <t>カイ</t>
    </rPh>
    <rPh sb="53" eb="54">
      <t>ダイ</t>
    </rPh>
    <rPh sb="55" eb="56">
      <t>カイ</t>
    </rPh>
    <rPh sb="67" eb="68">
      <t>ホウ</t>
    </rPh>
    <rPh sb="70" eb="71">
      <t>ダイ</t>
    </rPh>
    <rPh sb="72" eb="73">
      <t>カイ</t>
    </rPh>
    <rPh sb="186" eb="188">
      <t>リカイ</t>
    </rPh>
    <rPh sb="190" eb="191">
      <t>ダイ</t>
    </rPh>
    <rPh sb="192" eb="193">
      <t>カイ</t>
    </rPh>
    <rPh sb="195" eb="196">
      <t>ダイ</t>
    </rPh>
    <rPh sb="197" eb="198">
      <t>カイ</t>
    </rPh>
    <rPh sb="225" eb="227">
      <t>リカイ</t>
    </rPh>
    <rPh sb="229" eb="230">
      <t>ダイ</t>
    </rPh>
    <rPh sb="231" eb="232">
      <t>カイ</t>
    </rPh>
    <rPh sb="282" eb="283">
      <t>ダイ</t>
    </rPh>
    <rPh sb="284" eb="285">
      <t>カイ</t>
    </rPh>
    <phoneticPr fontId="1"/>
  </si>
  <si>
    <r>
      <t>・AI等を活用した新しいビジネスモデル(シェアリングエコノミー、商品のレコメンデーションなど)　</t>
    </r>
    <r>
      <rPr>
        <b/>
        <sz val="12"/>
        <color theme="1"/>
        <rFont val="ＭＳ Ｐゴシック"/>
        <family val="3"/>
        <charset val="128"/>
        <scheme val="minor"/>
      </rPr>
      <t>「ソサエティ5.0理解」（第９回）、「インターネットと法」（第13回）</t>
    </r>
    <r>
      <rPr>
        <sz val="12"/>
        <color theme="1"/>
        <rFont val="ＭＳ Ｐゴシック"/>
        <family val="3"/>
        <charset val="128"/>
        <scheme val="minor"/>
      </rPr>
      <t xml:space="preserve">
・AI最新技術の活用例（深層生成モデル、敵対的生成ネットワーク、強化学習、転移学習など）　</t>
    </r>
    <r>
      <rPr>
        <b/>
        <sz val="12"/>
        <color theme="1"/>
        <rFont val="ＭＳ Ｐゴシック"/>
        <family val="3"/>
        <charset val="128"/>
        <scheme val="minor"/>
      </rPr>
      <t>「ソサエティ5.0理解」（第１０回）</t>
    </r>
    <rPh sb="57" eb="59">
      <t>リカイ</t>
    </rPh>
    <rPh sb="61" eb="62">
      <t>ダイ</t>
    </rPh>
    <rPh sb="63" eb="64">
      <t>カイ</t>
    </rPh>
    <rPh sb="75" eb="76">
      <t>ホウ</t>
    </rPh>
    <rPh sb="78" eb="79">
      <t>ダイ</t>
    </rPh>
    <rPh sb="81" eb="82">
      <t>カイ</t>
    </rPh>
    <phoneticPr fontId="1"/>
  </si>
  <si>
    <t>インターネットと法</t>
    <rPh sb="8" eb="9">
      <t>ホウ</t>
    </rPh>
    <phoneticPr fontId="1"/>
  </si>
  <si>
    <t>岡山学院大学数理・データサイエンス・AI教育プログラム推進委員会設置規則</t>
    <rPh sb="0" eb="6">
      <t>オカヤマガクインダイガク</t>
    </rPh>
    <rPh sb="6" eb="8">
      <t>スウリ</t>
    </rPh>
    <rPh sb="20" eb="22">
      <t>キョウイク</t>
    </rPh>
    <rPh sb="27" eb="29">
      <t>スイシン</t>
    </rPh>
    <rPh sb="29" eb="32">
      <t>イインカイ</t>
    </rPh>
    <rPh sb="32" eb="34">
      <t>セッチ</t>
    </rPh>
    <rPh sb="34" eb="36">
      <t>キソク</t>
    </rPh>
    <phoneticPr fontId="1"/>
  </si>
  <si>
    <t>数量的スキルやICT リテラシーでSociety 5.0 時代のビッグデータを管理・活用し、円滑なチームワーク、リーダーシップ、対人コミュニケーションで、Society 5.0 時代のビッグデータを管理・活用し、個人のヘルスプランを創案し、健康改善につなげるマネジメント力を獲得する。</t>
    <phoneticPr fontId="1"/>
  </si>
  <si>
    <t>汎用的学習成果に「数量的スキルやICT リテラシーでSociety 5.0 時代のビッグデータを管理・活用し、円滑なチームワーク、リーダーシップ、対人コミュニケーションで、Society 5.0 時代のビッグデータを管理・活用し、個人のヘルスプランを創案し、健康改善につなげるマネジメント力を獲得する。」と明記しプログラムに関係する授業を配置しているが、プログラムの目的を明確にするために再点検する。</t>
    <phoneticPr fontId="1"/>
  </si>
  <si>
    <t>学生の学習状況を把握するために、データサイエンスⅠの授業（10回目）にてアンケートを実施した。
①授業に積極的に参加できていますか？
②学習内容に満足していますか？
③授業の中で身に付いたと思うことを選択してください（複数回答可）。
Excelの操作ができる
数値の見方がわかる
数値をもとに説明できる
　アンケートの結果、学習に積極的に参加している学生（84.2％）や学習内容に満足している学生（100％）が多く、学生の期待通りの学習ができていることがわかる。一方、授業中に身に付いた内容としては、Excelの操作スキルが獲得できた学生（94.4％）が多くいるものの、数値をもとに説明できる学生（11.1％）は少なく、残りの授業回における課題である。</t>
    <phoneticPr fontId="1"/>
  </si>
  <si>
    <t>令和4年度実績について、履修者数22人中修了者数は8名であった。
少数であった理由として、令和3年度の基礎数学・データサイエンスⅠ・データサイエンスⅡの担当教員の授業内容が不明確であったため、学生授業評価も良くなかったためである。
令和4年度は、担当する教員を新規に採用した。また、FD・SDワークショップで授業科目「データサイエンスⅠ･Ⅱ」の実施及び学習状況について点検し情報共有を図った。さらに、数理・データサイエンス・AI教育推進委員会を令和5年3月に実施し「基礎数学」「データサイエンスⅠ」「データサイエンスⅡ」「ICTリテラシーⅠ」「ICTリテラシーⅡ」のシラバスを点検し改善を図った。</t>
    <rPh sb="0" eb="2">
      <t>レイワ</t>
    </rPh>
    <rPh sb="3" eb="5">
      <t>ネンド</t>
    </rPh>
    <rPh sb="5" eb="7">
      <t>ジッセキ</t>
    </rPh>
    <rPh sb="12" eb="16">
      <t>リシュウシャスウ</t>
    </rPh>
    <rPh sb="18" eb="20">
      <t>ニンチュウ</t>
    </rPh>
    <rPh sb="20" eb="24">
      <t>シュウリョウシャスウ</t>
    </rPh>
    <rPh sb="26" eb="27">
      <t>メイ</t>
    </rPh>
    <rPh sb="33" eb="35">
      <t>ショウスウ</t>
    </rPh>
    <rPh sb="39" eb="41">
      <t>リユウ</t>
    </rPh>
    <rPh sb="45" eb="47">
      <t>レイワ</t>
    </rPh>
    <rPh sb="48" eb="50">
      <t>ネンド</t>
    </rPh>
    <rPh sb="51" eb="55">
      <t>キソスウガク</t>
    </rPh>
    <rPh sb="76" eb="78">
      <t>タントウ</t>
    </rPh>
    <rPh sb="78" eb="80">
      <t>キョウイン</t>
    </rPh>
    <rPh sb="81" eb="85">
      <t>ジュギョウナイヨウ</t>
    </rPh>
    <rPh sb="86" eb="89">
      <t>フメイカク</t>
    </rPh>
    <rPh sb="96" eb="98">
      <t>ガクセイ</t>
    </rPh>
    <rPh sb="98" eb="100">
      <t>ジュギョウ</t>
    </rPh>
    <rPh sb="100" eb="102">
      <t>ヒョウカ</t>
    </rPh>
    <rPh sb="103" eb="104">
      <t>ヨ</t>
    </rPh>
    <phoneticPr fontId="1"/>
  </si>
  <si>
    <t>学生に、①専門職として予測困難な時代を生き抜くための、学生が自律的に学習し行動する力を身に付けること、②数理・データサイエンス・ＡＩへの関心を高め、かつ、数理・データサイエンス・ＡＩを適切に理解し、それを活用する基礎的な能力を身に付けることを目標とした「数理・データサイエンス・AI教育プログラム推進委員会」を設置。</t>
    <rPh sb="0" eb="2">
      <t>ガクセイ</t>
    </rPh>
    <rPh sb="121" eb="123">
      <t>モクヒョウ</t>
    </rPh>
    <rPh sb="127" eb="129">
      <t>スウリ</t>
    </rPh>
    <rPh sb="141" eb="143">
      <t>キョウイク</t>
    </rPh>
    <rPh sb="148" eb="150">
      <t>スイシン</t>
    </rPh>
    <rPh sb="150" eb="153">
      <t>イインカイ</t>
    </rPh>
    <rPh sb="155" eb="157">
      <t>セッチ</t>
    </rPh>
    <phoneticPr fontId="1"/>
  </si>
  <si>
    <r>
      <t>下記の授業科目を全て修めること
基礎教育科目：基礎数学、ICT リテラシーI、ICTリテラシーⅡ、データサイエンス</t>
    </r>
    <r>
      <rPr>
        <sz val="12"/>
        <color theme="1"/>
        <rFont val="ＭＳ Ｐゴシック"/>
        <family val="3"/>
        <charset val="128"/>
      </rPr>
      <t>Ⅰ、データサイエンスⅡ、ソサエティ5.0理解
現代基礎科目：インターネットと法</t>
    </r>
    <rPh sb="0" eb="2">
      <t>カキ</t>
    </rPh>
    <rPh sb="3" eb="7">
      <t>ジュギョウカモク</t>
    </rPh>
    <rPh sb="16" eb="18">
      <t>キソ</t>
    </rPh>
    <rPh sb="18" eb="22">
      <t>キョウイクカモク</t>
    </rPh>
    <rPh sb="23" eb="27">
      <t>キソスウガク</t>
    </rPh>
    <rPh sb="80" eb="82">
      <t>ゲンダイ</t>
    </rPh>
    <rPh sb="82" eb="84">
      <t>キソ</t>
    </rPh>
    <rPh sb="84" eb="86">
      <t>カモク</t>
    </rPh>
    <rPh sb="95" eb="96">
      <t>ホウ</t>
    </rPh>
    <phoneticPr fontId="1"/>
  </si>
  <si>
    <r>
      <t>・データサイエンスのサイクル（課題抽出と定式化、データの取得・管理・加工、探索的データ解析、データ解析と推論、結果の共有・伝達、課題解決に向けた提案）</t>
    </r>
    <r>
      <rPr>
        <b/>
        <sz val="12"/>
        <color theme="1"/>
        <rFont val="ＭＳ Ｐゴシック"/>
        <family val="3"/>
        <charset val="128"/>
        <scheme val="minor"/>
      </rPr>
      <t>「データサイエンスⅡ」（第１２回）</t>
    </r>
    <r>
      <rPr>
        <sz val="12"/>
        <color theme="1"/>
        <rFont val="ＭＳ Ｐゴシック"/>
        <family val="3"/>
        <charset val="128"/>
        <scheme val="minor"/>
      </rPr>
      <t xml:space="preserve">
・流通、製造、金融、サービス、インフラ、公共、ヘルスケア等におけるデータ・AI利活用事例紹介</t>
    </r>
    <r>
      <rPr>
        <b/>
        <sz val="12"/>
        <color theme="1"/>
        <rFont val="ＭＳ Ｐゴシック"/>
        <family val="3"/>
        <charset val="128"/>
        <scheme val="minor"/>
      </rPr>
      <t>ICTリテラシーⅠ（第１０回）（第１１回）</t>
    </r>
    <rPh sb="87" eb="88">
      <t>ダイ</t>
    </rPh>
    <rPh sb="90" eb="91">
      <t>カイ</t>
    </rPh>
    <rPh sb="149" eb="150">
      <t>ダイ</t>
    </rPh>
    <rPh sb="152" eb="153">
      <t>カイ</t>
    </rPh>
    <rPh sb="155" eb="156">
      <t>ダイ</t>
    </rPh>
    <rPh sb="158" eb="159">
      <t>カイ</t>
    </rPh>
    <phoneticPr fontId="1"/>
  </si>
  <si>
    <r>
      <t>・調査データ、実験データ、人の行動ログデータ、機械の稼働ログデータなど　</t>
    </r>
    <r>
      <rPr>
        <b/>
        <sz val="12"/>
        <color theme="1"/>
        <rFont val="ＭＳ Ｐゴシック"/>
        <family val="3"/>
        <charset val="128"/>
        <scheme val="minor"/>
      </rPr>
      <t>「データサイエンスⅡ」（第１４回）</t>
    </r>
    <r>
      <rPr>
        <sz val="12"/>
        <color theme="1"/>
        <rFont val="ＭＳ Ｐゴシック"/>
        <family val="3"/>
        <charset val="128"/>
        <scheme val="minor"/>
      </rPr>
      <t xml:space="preserve">
・1次データ、2次データ、データのメタ化　</t>
    </r>
    <r>
      <rPr>
        <b/>
        <sz val="12"/>
        <color theme="1"/>
        <rFont val="ＭＳ Ｐゴシック"/>
        <family val="3"/>
        <charset val="128"/>
        <scheme val="minor"/>
      </rPr>
      <t>「ICTリテラシーⅡ」（第７回）（第８回）（第９回）（第１０回）</t>
    </r>
    <r>
      <rPr>
        <sz val="12"/>
        <color theme="1"/>
        <rFont val="ＭＳ Ｐゴシック"/>
        <family val="3"/>
        <charset val="128"/>
        <scheme val="minor"/>
      </rPr>
      <t xml:space="preserve">
・構造化データ、非構造化データ（文章、画像/動画、音声/音楽など）　</t>
    </r>
    <r>
      <rPr>
        <b/>
        <sz val="12"/>
        <color theme="1"/>
        <rFont val="ＭＳ Ｐゴシック"/>
        <family val="3"/>
        <charset val="128"/>
        <scheme val="minor"/>
      </rPr>
      <t>「ICTリテラシーⅠ」（第４回）（第５回）</t>
    </r>
    <r>
      <rPr>
        <sz val="12"/>
        <color theme="1"/>
        <rFont val="ＭＳ Ｐゴシック"/>
        <family val="3"/>
        <charset val="128"/>
        <scheme val="minor"/>
      </rPr>
      <t xml:space="preserve">
・データ作成（ビッグデータとアノテーション）・データのオープン化（オープンデータ）</t>
    </r>
    <r>
      <rPr>
        <b/>
        <sz val="12"/>
        <color theme="1"/>
        <rFont val="ＭＳ Ｐゴシック"/>
        <family val="3"/>
        <charset val="128"/>
        <scheme val="minor"/>
      </rPr>
      <t>「ICTリテラシーⅡ」（第７回）（第８回）（第９回）（第１０回）</t>
    </r>
    <rPh sb="48" eb="49">
      <t>ダイ</t>
    </rPh>
    <rPh sb="51" eb="52">
      <t>カイ</t>
    </rPh>
    <rPh sb="92" eb="93">
      <t>ダイ</t>
    </rPh>
    <rPh sb="94" eb="95">
      <t>カイ</t>
    </rPh>
    <rPh sb="97" eb="98">
      <t>ダイ</t>
    </rPh>
    <rPh sb="99" eb="100">
      <t>カイ</t>
    </rPh>
    <rPh sb="102" eb="103">
      <t>ダイ</t>
    </rPh>
    <rPh sb="105" eb="106">
      <t>カイ</t>
    </rPh>
    <rPh sb="154" eb="155">
      <t>ダイ</t>
    </rPh>
    <rPh sb="156" eb="157">
      <t>カイ</t>
    </rPh>
    <rPh sb="159" eb="160">
      <t>ダイ</t>
    </rPh>
    <rPh sb="161" eb="162">
      <t>カイ</t>
    </rPh>
    <phoneticPr fontId="1"/>
  </si>
  <si>
    <r>
      <t>・データ・AI活用領域の広がり(生産、消費、文化活動など)</t>
    </r>
    <r>
      <rPr>
        <b/>
        <sz val="12"/>
        <color theme="1"/>
        <rFont val="ＭＳ Ｐゴシック"/>
        <family val="3"/>
        <charset val="128"/>
        <scheme val="minor"/>
      </rPr>
      <t>　「ICTリテラシーⅠ」（第１４回）</t>
    </r>
    <rPh sb="42" eb="43">
      <t>ダイ</t>
    </rPh>
    <rPh sb="45" eb="46">
      <t>カイ</t>
    </rPh>
    <phoneticPr fontId="1"/>
  </si>
  <si>
    <r>
      <t>・ELSI（Ethical, Legal and Social Issues）</t>
    </r>
    <r>
      <rPr>
        <b/>
        <sz val="12"/>
        <color theme="1"/>
        <rFont val="ＭＳ Ｐゴシック"/>
        <family val="3"/>
        <charset val="128"/>
        <scheme val="minor"/>
      </rPr>
      <t>「データサイエンスⅡ」（第１２回）</t>
    </r>
    <r>
      <rPr>
        <sz val="12"/>
        <color theme="1"/>
        <rFont val="ＭＳ Ｐゴシック"/>
        <family val="3"/>
        <charset val="128"/>
        <scheme val="minor"/>
      </rPr>
      <t xml:space="preserve">
・個人情報保護、EU一般データ保護規則(GDPR)、忘れられる権利、オプトアウト</t>
    </r>
    <r>
      <rPr>
        <b/>
        <sz val="12"/>
        <color theme="1"/>
        <rFont val="ＭＳ Ｐゴシック"/>
        <family val="3"/>
        <charset val="128"/>
        <scheme val="minor"/>
      </rPr>
      <t>「ICTリテラシーⅠ」（第１３回）（第１４回）</t>
    </r>
    <r>
      <rPr>
        <sz val="12"/>
        <color theme="1"/>
        <rFont val="ＭＳ Ｐゴシック"/>
        <family val="3"/>
        <charset val="128"/>
        <scheme val="minor"/>
      </rPr>
      <t xml:space="preserve">
・データ倫理：データのねつ造、改ざん、盗用、プライバシー保護　「</t>
    </r>
    <r>
      <rPr>
        <b/>
        <sz val="12"/>
        <color theme="1"/>
        <rFont val="ＭＳ Ｐゴシック"/>
        <family val="3"/>
        <charset val="128"/>
        <scheme val="minor"/>
      </rPr>
      <t>ICTリテラシーⅡ」（第５回）</t>
    </r>
    <r>
      <rPr>
        <sz val="12"/>
        <color theme="1"/>
        <rFont val="ＭＳ Ｐゴシック"/>
        <family val="3"/>
        <charset val="128"/>
        <scheme val="minor"/>
      </rPr>
      <t xml:space="preserve">
・AI社会原則（公平性、説明責任、透明性、人間中心の判断）</t>
    </r>
    <r>
      <rPr>
        <b/>
        <sz val="12"/>
        <color theme="1"/>
        <rFont val="ＭＳ Ｐゴシック"/>
        <family val="3"/>
        <charset val="128"/>
        <scheme val="minor"/>
      </rPr>
      <t>「ICTリテラシーⅠ」（第１３回）（第１４回）</t>
    </r>
    <r>
      <rPr>
        <sz val="12"/>
        <color theme="1"/>
        <rFont val="ＭＳ Ｐゴシック"/>
        <family val="3"/>
        <charset val="128"/>
        <scheme val="minor"/>
      </rPr>
      <t xml:space="preserve">
・データ・AI活用における負の事例紹介</t>
    </r>
    <r>
      <rPr>
        <b/>
        <sz val="12"/>
        <color theme="1"/>
        <rFont val="ＭＳ Ｐゴシック"/>
        <family val="3"/>
        <charset val="128"/>
        <scheme val="minor"/>
      </rPr>
      <t>「ICTリテラシーⅠ」（第１３回）（第１４回）</t>
    </r>
    <rPh sb="51" eb="52">
      <t>ダイ</t>
    </rPh>
    <rPh sb="54" eb="55">
      <t>カイ</t>
    </rPh>
    <rPh sb="115" eb="116">
      <t>ダイ</t>
    </rPh>
    <rPh sb="118" eb="119">
      <t>カイ</t>
    </rPh>
    <rPh sb="164" eb="165">
      <t>ダイ</t>
    </rPh>
    <rPh sb="166" eb="167">
      <t>カイ</t>
    </rPh>
    <phoneticPr fontId="1"/>
  </si>
  <si>
    <r>
      <t>・情報セキュリティ：機密性、完全性、可用性　</t>
    </r>
    <r>
      <rPr>
        <b/>
        <sz val="12"/>
        <color theme="1"/>
        <rFont val="ＭＳ Ｐゴシック"/>
        <family val="3"/>
        <charset val="128"/>
        <scheme val="minor"/>
      </rPr>
      <t>「ICTリテラシーⅠ」（第１３回）</t>
    </r>
    <r>
      <rPr>
        <sz val="12"/>
        <color theme="1"/>
        <rFont val="ＭＳ Ｐゴシック"/>
        <family val="3"/>
        <charset val="128"/>
        <scheme val="minor"/>
      </rPr>
      <t xml:space="preserve">
・匿名加工情報、暗号化、パスワード、悪意ある情報搾取</t>
    </r>
    <r>
      <rPr>
        <b/>
        <sz val="12"/>
        <color theme="1"/>
        <rFont val="ＭＳ Ｐゴシック"/>
        <family val="3"/>
        <charset val="128"/>
        <scheme val="minor"/>
      </rPr>
      <t>「ICTリテラシーⅠ」（第１３回）（第１４回）</t>
    </r>
    <r>
      <rPr>
        <sz val="12"/>
        <color theme="1"/>
        <rFont val="ＭＳ Ｐゴシック"/>
        <family val="3"/>
        <charset val="128"/>
        <scheme val="minor"/>
      </rPr>
      <t xml:space="preserve">
・情報漏洩等によるセキュリティ事故の事例紹介　</t>
    </r>
    <r>
      <rPr>
        <b/>
        <sz val="12"/>
        <color theme="1"/>
        <rFont val="ＭＳ Ｐゴシック"/>
        <family val="3"/>
        <charset val="128"/>
        <scheme val="minor"/>
      </rPr>
      <t>「ソサエティ5.0理解」（第13回）</t>
    </r>
    <r>
      <rPr>
        <sz val="12"/>
        <color theme="1"/>
        <rFont val="ＭＳ Ｐゴシック"/>
        <family val="3"/>
        <charset val="128"/>
        <scheme val="minor"/>
      </rPr>
      <t>、</t>
    </r>
    <r>
      <rPr>
        <b/>
        <sz val="12"/>
        <color theme="1"/>
        <rFont val="ＭＳ Ｐゴシック"/>
        <family val="3"/>
        <charset val="128"/>
        <scheme val="minor"/>
      </rPr>
      <t>「インターネットと法」（第11回）（第12回）「ICTリテラシーⅠ」（第１３回）</t>
    </r>
    <rPh sb="34" eb="35">
      <t>ダイ</t>
    </rPh>
    <rPh sb="37" eb="38">
      <t>カイ</t>
    </rPh>
    <rPh sb="122" eb="124">
      <t>リカイ</t>
    </rPh>
    <rPh sb="126" eb="127">
      <t>ダイ</t>
    </rPh>
    <rPh sb="129" eb="130">
      <t>カイ</t>
    </rPh>
    <rPh sb="141" eb="142">
      <t>ホウ</t>
    </rPh>
    <rPh sb="144" eb="145">
      <t>ダイ</t>
    </rPh>
    <rPh sb="147" eb="148">
      <t>カイ</t>
    </rPh>
    <rPh sb="150" eb="151">
      <t>ダイ</t>
    </rPh>
    <rPh sb="153" eb="154">
      <t>カイ</t>
    </rPh>
    <rPh sb="167" eb="168">
      <t>ダイ</t>
    </rPh>
    <rPh sb="170" eb="171">
      <t>カイ</t>
    </rPh>
    <phoneticPr fontId="1"/>
  </si>
  <si>
    <r>
      <t>・データの種類（量的変数、質的変数）</t>
    </r>
    <r>
      <rPr>
        <b/>
        <sz val="12"/>
        <color theme="1"/>
        <rFont val="ＭＳ Ｐゴシック"/>
        <family val="3"/>
        <charset val="128"/>
        <scheme val="minor"/>
      </rPr>
      <t>　「データサイエンスⅠ」（第２回）</t>
    </r>
    <r>
      <rPr>
        <sz val="12"/>
        <color theme="1"/>
        <rFont val="ＭＳ Ｐゴシック"/>
        <family val="3"/>
        <charset val="128"/>
        <scheme val="minor"/>
      </rPr>
      <t xml:space="preserve">
・データの分布(ヒストグラム)と代表値（平均値、中央値、最頻値）</t>
    </r>
    <r>
      <rPr>
        <b/>
        <sz val="12"/>
        <color theme="1"/>
        <rFont val="ＭＳ Ｐゴシック"/>
        <family val="3"/>
        <charset val="128"/>
        <scheme val="minor"/>
      </rPr>
      <t>「データサイエンスⅠ」（第２回）、「基礎数学」（第８回）</t>
    </r>
    <r>
      <rPr>
        <sz val="12"/>
        <color theme="1"/>
        <rFont val="ＭＳ Ｐゴシック"/>
        <family val="3"/>
        <charset val="128"/>
        <scheme val="minor"/>
      </rPr>
      <t xml:space="preserve">
・代表値の性質の違い（実社会では平均値＝最頻値でないことが多い）</t>
    </r>
    <r>
      <rPr>
        <b/>
        <sz val="12"/>
        <color theme="1"/>
        <rFont val="ＭＳ Ｐゴシック"/>
        <family val="3"/>
        <charset val="128"/>
        <scheme val="minor"/>
      </rPr>
      <t>「データサイエンスⅠ」（第２回）、「基礎数学」（第８回）</t>
    </r>
    <r>
      <rPr>
        <sz val="12"/>
        <color theme="1"/>
        <rFont val="ＭＳ Ｐゴシック"/>
        <family val="3"/>
        <charset val="128"/>
        <scheme val="minor"/>
      </rPr>
      <t xml:space="preserve">
・データのばらつき（分散、標準偏差、偏差値）・観測データに含まれる誤差の扱い</t>
    </r>
    <r>
      <rPr>
        <b/>
        <sz val="12"/>
        <color theme="1"/>
        <rFont val="ＭＳ Ｐゴシック"/>
        <family val="3"/>
        <charset val="128"/>
        <scheme val="minor"/>
      </rPr>
      <t>「データサイエンスⅠ」（第８回）、「基礎数学」（第９回）</t>
    </r>
    <r>
      <rPr>
        <sz val="12"/>
        <color theme="1"/>
        <rFont val="ＭＳ Ｐゴシック"/>
        <family val="3"/>
        <charset val="128"/>
        <scheme val="minor"/>
      </rPr>
      <t xml:space="preserve">
・相関と因果（相関係数、擬似相関、交絡）</t>
    </r>
    <r>
      <rPr>
        <b/>
        <sz val="12"/>
        <color theme="1"/>
        <rFont val="ＭＳ Ｐゴシック"/>
        <family val="3"/>
        <charset val="128"/>
        <scheme val="minor"/>
      </rPr>
      <t>「データサイエンスⅠ」（第１２回）</t>
    </r>
    <r>
      <rPr>
        <sz val="12"/>
        <color theme="1"/>
        <rFont val="ＭＳ Ｐゴシック"/>
        <family val="3"/>
        <charset val="128"/>
        <scheme val="minor"/>
      </rPr>
      <t xml:space="preserve">
・母集団と標本抽出（国勢調査、アンケート調査、全数調査、単純無作為抽出、層別抽出、多段抽出）</t>
    </r>
    <r>
      <rPr>
        <b/>
        <sz val="12"/>
        <color theme="1"/>
        <rFont val="ＭＳ Ｐゴシック"/>
        <family val="3"/>
        <charset val="128"/>
        <scheme val="minor"/>
      </rPr>
      <t>「データサイエンスⅠ」（第１０回）</t>
    </r>
    <r>
      <rPr>
        <sz val="12"/>
        <color theme="1"/>
        <rFont val="ＭＳ Ｐゴシック"/>
        <family val="3"/>
        <charset val="128"/>
        <scheme val="minor"/>
      </rPr>
      <t xml:space="preserve">
・クロス集計表　</t>
    </r>
    <r>
      <rPr>
        <b/>
        <sz val="12"/>
        <color theme="1"/>
        <rFont val="ＭＳ Ｐゴシック"/>
        <family val="3"/>
        <charset val="128"/>
        <scheme val="minor"/>
      </rPr>
      <t>「データサイエンスⅠ」（第４回）</t>
    </r>
    <r>
      <rPr>
        <sz val="12"/>
        <color theme="1"/>
        <rFont val="ＭＳ Ｐゴシック"/>
        <family val="3"/>
        <charset val="128"/>
        <scheme val="minor"/>
      </rPr>
      <t xml:space="preserve">
・統計情報の正しい理解（誇張表現に惑わされない）</t>
    </r>
    <r>
      <rPr>
        <b/>
        <sz val="12"/>
        <color theme="1"/>
        <rFont val="ＭＳ Ｐゴシック"/>
        <family val="3"/>
        <charset val="128"/>
        <scheme val="minor"/>
      </rPr>
      <t>「データサイエンスⅡ」（第１４回）</t>
    </r>
    <rPh sb="31" eb="32">
      <t>ダイ</t>
    </rPh>
    <rPh sb="33" eb="34">
      <t>カイ</t>
    </rPh>
    <rPh sb="86" eb="90">
      <t>キソスウガク</t>
    </rPh>
    <rPh sb="92" eb="93">
      <t>ダイ</t>
    </rPh>
    <rPh sb="94" eb="95">
      <t>カイ</t>
    </rPh>
    <rPh sb="257" eb="258">
      <t>ダイ</t>
    </rPh>
    <rPh sb="260" eb="261">
      <t>カイ</t>
    </rPh>
    <rPh sb="324" eb="325">
      <t>カイ</t>
    </rPh>
    <rPh sb="347" eb="348">
      <t>ダイ</t>
    </rPh>
    <rPh sb="349" eb="350">
      <t>カイ</t>
    </rPh>
    <phoneticPr fontId="1"/>
  </si>
  <si>
    <r>
      <t>・データ表現（棒グラフ、折線グラフ、散布図）</t>
    </r>
    <r>
      <rPr>
        <b/>
        <sz val="12"/>
        <color theme="1"/>
        <rFont val="ＭＳ Ｐゴシック"/>
        <family val="3"/>
        <charset val="128"/>
        <scheme val="minor"/>
      </rPr>
      <t>「ICTリテラシーⅡ」（第６回）（第９回）</t>
    </r>
    <r>
      <rPr>
        <sz val="12"/>
        <color theme="1"/>
        <rFont val="ＭＳ Ｐゴシック"/>
        <family val="3"/>
        <charset val="128"/>
        <scheme val="minor"/>
      </rPr>
      <t xml:space="preserve">
・データの図表表現（チャート化）</t>
    </r>
    <r>
      <rPr>
        <b/>
        <sz val="12"/>
        <color theme="1"/>
        <rFont val="ＭＳ Ｐゴシック"/>
        <family val="3"/>
        <charset val="128"/>
        <scheme val="minor"/>
      </rPr>
      <t>「データサイエンスⅠ」（第７回）</t>
    </r>
    <r>
      <rPr>
        <sz val="12"/>
        <color theme="1"/>
        <rFont val="ＭＳ Ｐゴシック"/>
        <family val="3"/>
        <charset val="128"/>
        <scheme val="minor"/>
      </rPr>
      <t xml:space="preserve">
・データの比較（条件をそろえた比較、処理の前後での比較)</t>
    </r>
    <r>
      <rPr>
        <b/>
        <sz val="12"/>
        <color theme="1"/>
        <rFont val="ＭＳ Ｐゴシック"/>
        <family val="3"/>
        <charset val="128"/>
        <scheme val="minor"/>
      </rPr>
      <t>「データサイエンスⅡ」（第２回）</t>
    </r>
    <r>
      <rPr>
        <sz val="12"/>
        <color theme="1"/>
        <rFont val="ＭＳ Ｐゴシック"/>
        <family val="3"/>
        <charset val="128"/>
        <scheme val="minor"/>
      </rPr>
      <t xml:space="preserve">
・不適切なグラフ表現（不必要な視覚的要素）</t>
    </r>
    <r>
      <rPr>
        <b/>
        <sz val="12"/>
        <color theme="1"/>
        <rFont val="ＭＳ Ｐゴシック"/>
        <family val="3"/>
        <charset val="128"/>
        <scheme val="minor"/>
      </rPr>
      <t>「データサイエンスⅡ」（第１２回）</t>
    </r>
    <rPh sb="34" eb="35">
      <t>ダイ</t>
    </rPh>
    <rPh sb="36" eb="37">
      <t>カイ</t>
    </rPh>
    <rPh sb="39" eb="40">
      <t>ダイ</t>
    </rPh>
    <rPh sb="41" eb="42">
      <t>カイ</t>
    </rPh>
    <rPh sb="72" eb="73">
      <t>ダイ</t>
    </rPh>
    <rPh sb="74" eb="75">
      <t>カイ</t>
    </rPh>
    <rPh sb="117" eb="118">
      <t>ダイ</t>
    </rPh>
    <rPh sb="119" eb="120">
      <t>カイ</t>
    </rPh>
    <rPh sb="155" eb="156">
      <t>ダイ</t>
    </rPh>
    <rPh sb="158" eb="159">
      <t>カイ</t>
    </rPh>
    <phoneticPr fontId="1"/>
  </si>
  <si>
    <r>
      <t>・データの集計（和、平均）</t>
    </r>
    <r>
      <rPr>
        <b/>
        <sz val="12"/>
        <color theme="1"/>
        <rFont val="ＭＳ Ｐゴシック"/>
        <family val="3"/>
        <charset val="128"/>
        <scheme val="minor"/>
      </rPr>
      <t>「基礎数学」（第２回）「データサイエンスⅠ」（第２回）「ICTリテラシーⅡ」（第７回）</t>
    </r>
    <r>
      <rPr>
        <sz val="12"/>
        <color theme="1"/>
        <rFont val="ＭＳ Ｐゴシック"/>
        <family val="3"/>
        <charset val="128"/>
        <scheme val="minor"/>
      </rPr>
      <t xml:space="preserve">
・データの並び替え、ランキング</t>
    </r>
    <r>
      <rPr>
        <b/>
        <sz val="12"/>
        <color theme="1"/>
        <rFont val="ＭＳ Ｐゴシック"/>
        <family val="3"/>
        <charset val="128"/>
        <scheme val="minor"/>
      </rPr>
      <t>　「ICTリテラシーⅡ」（第８回）</t>
    </r>
    <r>
      <rPr>
        <sz val="12"/>
        <color theme="1"/>
        <rFont val="ＭＳ Ｐゴシック"/>
        <family val="3"/>
        <charset val="128"/>
        <scheme val="minor"/>
      </rPr>
      <t xml:space="preserve">
・表形式のデータ（csv）</t>
    </r>
    <r>
      <rPr>
        <b/>
        <sz val="12"/>
        <color theme="1"/>
        <rFont val="ＭＳ Ｐゴシック"/>
        <family val="3"/>
        <charset val="128"/>
        <scheme val="minor"/>
      </rPr>
      <t>　「データサイエンスⅡ」（第１２回）（第１３回）</t>
    </r>
    <rPh sb="14" eb="16">
      <t>キソ</t>
    </rPh>
    <rPh sb="16" eb="18">
      <t>スウガク</t>
    </rPh>
    <rPh sb="20" eb="21">
      <t>ダイ</t>
    </rPh>
    <rPh sb="22" eb="23">
      <t>カイ</t>
    </rPh>
    <rPh sb="36" eb="37">
      <t>ダイ</t>
    </rPh>
    <rPh sb="38" eb="39">
      <t>カイ</t>
    </rPh>
    <rPh sb="52" eb="53">
      <t>ダイ</t>
    </rPh>
    <rPh sb="54" eb="55">
      <t>カイ</t>
    </rPh>
    <rPh sb="85" eb="86">
      <t>ダイ</t>
    </rPh>
    <rPh sb="87" eb="88">
      <t>カイ</t>
    </rPh>
    <rPh sb="116" eb="117">
      <t>ダイ</t>
    </rPh>
    <rPh sb="119" eb="120">
      <t>カイ</t>
    </rPh>
    <rPh sb="122" eb="123">
      <t>ダイ</t>
    </rPh>
    <rPh sb="125" eb="126">
      <t>カイ</t>
    </rPh>
    <phoneticPr fontId="1"/>
  </si>
  <si>
    <t>令和3</t>
    <rPh sb="0" eb="2">
      <t>レイワ</t>
    </rPh>
    <phoneticPr fontId="1"/>
  </si>
  <si>
    <t>【基礎数学、ICTリテラシーⅠ・Ⅱ、データサイエンスⅠ・Ⅱ】
授業時間内外共に、情報処理を専門としている専任講師が、学習指導及び質問を受け付ける。
【ソサエティ5.0理解】
授業時間内外共に、人間関係・哲学を専門としている併設の岡山短期大学の主任教授が、学習指導及び質問を受け付ける。
【インターネットと法】
授業時間内外共に、法学を専門としている非常勤教員が、学習指導及び質問を受け付ける。</t>
    <rPh sb="1" eb="5">
      <t>キソスウガク</t>
    </rPh>
    <rPh sb="31" eb="37">
      <t>ジュギョウジカンナイガイ</t>
    </rPh>
    <rPh sb="37" eb="38">
      <t>トモ</t>
    </rPh>
    <rPh sb="40" eb="44">
      <t>ジョウホウショリ</t>
    </rPh>
    <rPh sb="45" eb="47">
      <t>センモン</t>
    </rPh>
    <rPh sb="52" eb="56">
      <t>センニンコウシ</t>
    </rPh>
    <rPh sb="58" eb="62">
      <t>ガクシュウシドウ</t>
    </rPh>
    <rPh sb="62" eb="63">
      <t>オヨ</t>
    </rPh>
    <rPh sb="64" eb="66">
      <t>シツモン</t>
    </rPh>
    <rPh sb="67" eb="68">
      <t>ウ</t>
    </rPh>
    <rPh sb="69" eb="70">
      <t>ツ</t>
    </rPh>
    <rPh sb="84" eb="86">
      <t>リカイ</t>
    </rPh>
    <rPh sb="88" eb="90">
      <t>ジュギョウ</t>
    </rPh>
    <rPh sb="90" eb="94">
      <t>ジカンナイガイ</t>
    </rPh>
    <rPh sb="94" eb="95">
      <t>トモ</t>
    </rPh>
    <rPh sb="97" eb="101">
      <t>ニンゲンカンケイ</t>
    </rPh>
    <rPh sb="102" eb="104">
      <t>テツガク</t>
    </rPh>
    <rPh sb="105" eb="107">
      <t>センモン</t>
    </rPh>
    <rPh sb="112" eb="114">
      <t>ヘイセツ</t>
    </rPh>
    <rPh sb="115" eb="121">
      <t>オカヤマタンキダイガク</t>
    </rPh>
    <rPh sb="122" eb="126">
      <t>シュニンキョウジュ</t>
    </rPh>
    <rPh sb="132" eb="133">
      <t>オヨ</t>
    </rPh>
    <rPh sb="154" eb="155">
      <t>ホウ</t>
    </rPh>
    <rPh sb="166" eb="168">
      <t>ホウガク</t>
    </rPh>
    <rPh sb="176" eb="181">
      <t>ヒジョウキンキョウイン</t>
    </rPh>
    <phoneticPr fontId="1"/>
  </si>
  <si>
    <r>
      <t>・データ可視化：複合グラフ、2軸グラフ　</t>
    </r>
    <r>
      <rPr>
        <b/>
        <sz val="12"/>
        <color theme="1"/>
        <rFont val="ＭＳ Ｐゴシック"/>
        <family val="3"/>
        <charset val="128"/>
        <scheme val="minor"/>
      </rPr>
      <t>「ICTリテラシーⅡ」（第８回）</t>
    </r>
    <r>
      <rPr>
        <sz val="12"/>
        <color theme="1"/>
        <rFont val="ＭＳ Ｐゴシック"/>
        <family val="3"/>
        <charset val="128"/>
        <scheme val="minor"/>
      </rPr>
      <t xml:space="preserve">
・非構造化データ処理：言語処理、画像/動画処理、音声/音楽処理など　</t>
    </r>
    <r>
      <rPr>
        <b/>
        <sz val="12"/>
        <color theme="1"/>
        <rFont val="ＭＳ Ｐゴシック"/>
        <family val="3"/>
        <charset val="128"/>
        <scheme val="minor"/>
      </rPr>
      <t>「ICTリテラシーⅠ」（第４回）（第５回）</t>
    </r>
    <r>
      <rPr>
        <sz val="12"/>
        <color theme="1"/>
        <rFont val="ＭＳ Ｐゴシック"/>
        <family val="3"/>
        <charset val="128"/>
        <scheme val="minor"/>
      </rPr>
      <t xml:space="preserve">
・特化型AIと汎用AI、今のAIで出来ることと出来ないこと、AIとビッグデータ</t>
    </r>
    <r>
      <rPr>
        <b/>
        <sz val="12"/>
        <color theme="1"/>
        <rFont val="ＭＳ Ｐゴシック"/>
        <family val="3"/>
        <charset val="128"/>
        <scheme val="minor"/>
      </rPr>
      <t>「ICTリテラシーⅠ」（第９回）</t>
    </r>
    <r>
      <rPr>
        <sz val="12"/>
        <color theme="1"/>
        <rFont val="ＭＳ Ｐゴシック"/>
        <family val="3"/>
        <charset val="128"/>
        <scheme val="minor"/>
      </rPr>
      <t xml:space="preserve">
・認識技術、ルールベース、自動化技術　</t>
    </r>
    <r>
      <rPr>
        <b/>
        <sz val="12"/>
        <color theme="1"/>
        <rFont val="ＭＳ Ｐゴシック"/>
        <family val="3"/>
        <charset val="128"/>
        <scheme val="minor"/>
      </rPr>
      <t>「ICTリテラシーⅠ」（第９回）</t>
    </r>
    <rPh sb="32" eb="33">
      <t>ダイ</t>
    </rPh>
    <rPh sb="34" eb="35">
      <t>カイ</t>
    </rPh>
    <phoneticPr fontId="1"/>
  </si>
  <si>
    <t>プログラムの全学的な履修者数・履修率向上に向けた計画の達成・進捗状況を点検している。
下記の通り、数理・データサイエンス・AI教育プログラムの履修者22名に対し修了者8名であった。少数であった理由として、令和3年度の基礎数学・データサイエンスⅠ・データサイエンスⅡの担当教員の授業内容が不明確であったため、学生授業評価も良くなかったためである。
令和4年度は担当する教員を新規に採用した。また、FD・SDワークショップで授業科目「データサイエンスⅠ･Ⅱ」の実施及び学習状況について点検し情報共有を図った。さらに、数理・データサイエンス・AI教育推進委員会を令和5年3月に実施し「基礎数学」「データサイエンスⅠ」「データサイエンスⅡ」「ICTリテラシーⅠ」「ICTリテラシーⅡ」のシラバスを点検し改善を図った。</t>
    <phoneticPr fontId="1"/>
  </si>
  <si>
    <t>学生の卒業後評価への取組として、卒業生アンケートを毎年実施しFD・SDワークショップで報告し情報共有を図っている。
　プログラムに関係する「栄養計画（栄養状態の分析、栄養必要量設定）の立案・実行が的確にできる」項目が36.4％と低い。卒業生はプログラム履修生ではないため参考値であるが、プログラムを履修することで80％近い数値を獲得することができる。</t>
    <phoneticPr fontId="1"/>
  </si>
  <si>
    <t>外部評価の実施について、下記のとおりステークホルダーに対して外部評価を行っている。また、外部評価の結果をFD・SDワークショップで報告し全学的に情報共有を図っている。
　高校教員にSociety5.0の取組について確認してきたところ、良いと感じている教員が少ないことがわかった。プログラムに関係するため説明資料を早急に作成し広報活動などで活用する。</t>
    <phoneticPr fontId="1"/>
  </si>
  <si>
    <t>数理・データサイエンス・AI教育推進委員会でより「分かりやすい」授業をすることに対してPDCAサイクルを廻している。構成員だけでなく、全教員が本プログラムの推進を図るため、学科FD会議で進捗状況及び学修成果達成状況を確認しプログラム向上・充実を図るPDCAサイクルを廻す。</t>
    <rPh sb="25" eb="26">
      <t>ワ</t>
    </rPh>
    <rPh sb="32" eb="34">
      <t>ジュギョウ</t>
    </rPh>
    <rPh sb="40" eb="41">
      <t>タイ</t>
    </rPh>
    <rPh sb="52" eb="53">
      <t>マワ</t>
    </rPh>
    <phoneticPr fontId="1"/>
  </si>
  <si>
    <t>令和3年度実績について、履修者数22人中修了者数は8名であった。
少数であった理由として、令和3年度の基礎数学・データサイエンスⅠ・データサイエンスⅡの担当教員の授業内容が不明確であったため、学生授業評価も良くなかったためである。
令和4年度は、担当する教員を新規に採用したので多くなると予想する。
令和5年度は100％目標を達成するために、入学生対象のオリエンテーションから本プログラムの目的と意義について説明し、学生自身が目標を持って履修するよう指導する。また、「教学マネジメント」の授業で数理・データサイエンス・AI教育の内容を取り上げ、よりデータ分析を身近なものにする。さらに、高大接続の観点も取り入れ、学生募集などに反映させる。
令和6年度は、上記の内容を踏まえ、本プログラムの修得者が4年次生になるので、国試対策や就職活動などでどのように活かされたか分析する。
令和7年度・令和8年度は上記のことを踏まえ、卒後のアンケート結果を基に課題を発見し改善を図る。</t>
    <rPh sb="150" eb="152">
      <t>レイワ</t>
    </rPh>
    <rPh sb="153" eb="154">
      <t>ネン</t>
    </rPh>
    <rPh sb="154" eb="155">
      <t>ド</t>
    </rPh>
    <rPh sb="160" eb="162">
      <t>モクヒョウ</t>
    </rPh>
    <rPh sb="163" eb="165">
      <t>タッセイ</t>
    </rPh>
    <rPh sb="171" eb="174">
      <t>ニュウガクセイ</t>
    </rPh>
    <rPh sb="174" eb="176">
      <t>タイショウ</t>
    </rPh>
    <rPh sb="188" eb="189">
      <t>ホン</t>
    </rPh>
    <rPh sb="195" eb="197">
      <t>モクテキ</t>
    </rPh>
    <rPh sb="198" eb="200">
      <t>イギ</t>
    </rPh>
    <rPh sb="204" eb="206">
      <t>セツメイ</t>
    </rPh>
    <rPh sb="208" eb="210">
      <t>ガクセイ</t>
    </rPh>
    <rPh sb="210" eb="212">
      <t>ジシン</t>
    </rPh>
    <rPh sb="213" eb="215">
      <t>モクヒョウ</t>
    </rPh>
    <rPh sb="216" eb="217">
      <t>モ</t>
    </rPh>
    <rPh sb="219" eb="221">
      <t>リシュウ</t>
    </rPh>
    <rPh sb="225" eb="227">
      <t>シドウ</t>
    </rPh>
    <rPh sb="234" eb="236">
      <t>キョウガク</t>
    </rPh>
    <rPh sb="244" eb="246">
      <t>ジュギョウ</t>
    </rPh>
    <rPh sb="247" eb="249">
      <t>スウリ</t>
    </rPh>
    <rPh sb="261" eb="263">
      <t>キョウイク</t>
    </rPh>
    <rPh sb="264" eb="266">
      <t>ナイヨウ</t>
    </rPh>
    <rPh sb="267" eb="268">
      <t>ト</t>
    </rPh>
    <rPh sb="269" eb="270">
      <t>ア</t>
    </rPh>
    <rPh sb="277" eb="279">
      <t>ブンセキ</t>
    </rPh>
    <rPh sb="280" eb="282">
      <t>ミジカ</t>
    </rPh>
    <rPh sb="293" eb="295">
      <t>コウダイ</t>
    </rPh>
    <rPh sb="295" eb="297">
      <t>セツゾク</t>
    </rPh>
    <rPh sb="298" eb="300">
      <t>カンテン</t>
    </rPh>
    <rPh sb="301" eb="302">
      <t>ト</t>
    </rPh>
    <rPh sb="303" eb="304">
      <t>イ</t>
    </rPh>
    <rPh sb="306" eb="310">
      <t>ガクセイボシュウ</t>
    </rPh>
    <rPh sb="313" eb="315">
      <t>ハンエイ</t>
    </rPh>
    <rPh sb="320" eb="322">
      <t>レイワ</t>
    </rPh>
    <rPh sb="323" eb="325">
      <t>ネンド</t>
    </rPh>
    <rPh sb="327" eb="329">
      <t>ジョウキ</t>
    </rPh>
    <rPh sb="330" eb="332">
      <t>ナイヨウ</t>
    </rPh>
    <rPh sb="333" eb="334">
      <t>フ</t>
    </rPh>
    <rPh sb="337" eb="338">
      <t>ホン</t>
    </rPh>
    <rPh sb="344" eb="347">
      <t>シュウトクシャ</t>
    </rPh>
    <rPh sb="349" eb="351">
      <t>ネンジ</t>
    </rPh>
    <rPh sb="351" eb="352">
      <t>セイ</t>
    </rPh>
    <rPh sb="358" eb="362">
      <t>コクシタイサク</t>
    </rPh>
    <rPh sb="363" eb="367">
      <t>シュウショクカツドウ</t>
    </rPh>
    <rPh sb="375" eb="376">
      <t>イ</t>
    </rPh>
    <rPh sb="381" eb="383">
      <t>ブンセキ</t>
    </rPh>
    <rPh sb="387" eb="389">
      <t>レイワ</t>
    </rPh>
    <rPh sb="390" eb="392">
      <t>ネンド</t>
    </rPh>
    <rPh sb="393" eb="395">
      <t>レイワ</t>
    </rPh>
    <rPh sb="396" eb="398">
      <t>ネンド</t>
    </rPh>
    <rPh sb="399" eb="401">
      <t>ジョウキ</t>
    </rPh>
    <rPh sb="405" eb="406">
      <t>フ</t>
    </rPh>
    <rPh sb="409" eb="411">
      <t>ソツゴ</t>
    </rPh>
    <rPh sb="417" eb="419">
      <t>ケッカ</t>
    </rPh>
    <rPh sb="420" eb="421">
      <t>モト</t>
    </rPh>
    <rPh sb="422" eb="424">
      <t>カダイ</t>
    </rPh>
    <rPh sb="425" eb="427">
      <t>ハッケン</t>
    </rPh>
    <rPh sb="428" eb="430">
      <t>カイゼン</t>
    </rPh>
    <rPh sb="431" eb="432">
      <t>ハカ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</si>
</sst>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Ｐゴシック"/>
      <family val="3"/>
      <charset val="128"/>
    </font>
    <font>
      <b/>
      <sz val="12"/>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60"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43"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97" zoomScale="85" zoomScaleNormal="100" zoomScaleSheetLayoutView="85" workbookViewId="0">
      <selection activeCell="U94" sqref="U94"/>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5" t="s">
        <v>12</v>
      </c>
      <c r="S1" s="105"/>
      <c r="T1" s="2" t="s">
        <v>110</v>
      </c>
    </row>
    <row r="2" spans="1:22" ht="18.75" customHeight="1" x14ac:dyDescent="0.2">
      <c r="B2" s="34" t="s">
        <v>109</v>
      </c>
      <c r="C2" s="95" t="s">
        <v>127</v>
      </c>
      <c r="D2" s="96"/>
      <c r="E2" s="96"/>
      <c r="F2" s="96"/>
      <c r="G2" s="96"/>
      <c r="H2" s="96"/>
      <c r="I2" s="97"/>
      <c r="J2" s="35"/>
      <c r="K2" s="6"/>
      <c r="L2" s="6"/>
      <c r="M2" s="6"/>
      <c r="N2" s="6"/>
      <c r="O2" s="6"/>
      <c r="P2" s="6"/>
      <c r="Q2" s="6"/>
      <c r="R2" s="6"/>
      <c r="S2" s="6"/>
    </row>
    <row r="3" spans="1:22" ht="18.75" customHeight="1" x14ac:dyDescent="0.2">
      <c r="B3" s="34" t="s">
        <v>103</v>
      </c>
      <c r="C3" s="95" t="s">
        <v>128</v>
      </c>
      <c r="D3" s="96"/>
      <c r="E3" s="96"/>
      <c r="F3" s="96"/>
      <c r="G3" s="96"/>
      <c r="H3" s="96"/>
      <c r="I3" s="97"/>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9" t="s">
        <v>39</v>
      </c>
      <c r="B5" s="109"/>
      <c r="C5" s="109"/>
      <c r="D5" s="109"/>
      <c r="E5" s="109"/>
      <c r="F5" s="109"/>
      <c r="G5" s="109"/>
      <c r="H5" s="109"/>
      <c r="I5" s="109"/>
      <c r="J5" s="109"/>
      <c r="K5" s="109"/>
      <c r="L5" s="109"/>
      <c r="M5" s="109"/>
      <c r="N5" s="109"/>
      <c r="O5" s="109"/>
      <c r="P5" s="109"/>
      <c r="Q5" s="109"/>
      <c r="R5" s="109"/>
      <c r="S5" s="10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19" t="s">
        <v>129</v>
      </c>
      <c r="L7" s="120"/>
      <c r="M7" s="120"/>
      <c r="N7" s="120"/>
      <c r="O7" s="120"/>
      <c r="P7" s="120"/>
      <c r="Q7" s="120"/>
      <c r="R7" s="120"/>
      <c r="S7" s="12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3" t="s">
        <v>130</v>
      </c>
      <c r="C9" s="84"/>
      <c r="D9" s="84"/>
      <c r="E9" s="84"/>
      <c r="F9" s="84"/>
      <c r="G9" s="84"/>
      <c r="H9" s="84"/>
      <c r="I9" s="84"/>
      <c r="J9" s="84"/>
      <c r="K9" s="84"/>
      <c r="L9" s="84"/>
      <c r="M9" s="84"/>
      <c r="N9" s="84"/>
      <c r="O9" s="84"/>
      <c r="P9" s="84"/>
      <c r="Q9" s="84"/>
      <c r="R9" s="84"/>
      <c r="S9" s="85"/>
    </row>
    <row r="10" spans="1:22" ht="18" customHeight="1" x14ac:dyDescent="0.2">
      <c r="B10" s="86"/>
      <c r="C10" s="87"/>
      <c r="D10" s="87"/>
      <c r="E10" s="87"/>
      <c r="F10" s="87"/>
      <c r="G10" s="87"/>
      <c r="H10" s="87"/>
      <c r="I10" s="87"/>
      <c r="J10" s="87"/>
      <c r="K10" s="87"/>
      <c r="L10" s="87"/>
      <c r="M10" s="87"/>
      <c r="N10" s="87"/>
      <c r="O10" s="87"/>
      <c r="P10" s="87"/>
      <c r="Q10" s="87"/>
      <c r="R10" s="87"/>
      <c r="S10" s="8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10" t="s">
        <v>163</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2">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2">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2">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2">
      <c r="B17" s="113"/>
      <c r="C17" s="114"/>
      <c r="D17" s="114"/>
      <c r="E17" s="114"/>
      <c r="F17" s="114"/>
      <c r="G17" s="114"/>
      <c r="H17" s="114"/>
      <c r="I17" s="114"/>
      <c r="J17" s="114"/>
      <c r="K17" s="114"/>
      <c r="L17" s="114"/>
      <c r="M17" s="114"/>
      <c r="N17" s="114"/>
      <c r="O17" s="114"/>
      <c r="P17" s="114"/>
      <c r="Q17" s="114"/>
      <c r="R17" s="114"/>
      <c r="S17" s="115"/>
    </row>
    <row r="18" spans="1:19" ht="18" customHeight="1" x14ac:dyDescent="0.2">
      <c r="B18" s="116"/>
      <c r="C18" s="117"/>
      <c r="D18" s="117"/>
      <c r="E18" s="117"/>
      <c r="F18" s="117"/>
      <c r="G18" s="117"/>
      <c r="H18" s="117"/>
      <c r="I18" s="117"/>
      <c r="J18" s="117"/>
      <c r="K18" s="117"/>
      <c r="L18" s="117"/>
      <c r="M18" s="117"/>
      <c r="N18" s="117"/>
      <c r="O18" s="117"/>
      <c r="P18" s="117"/>
      <c r="Q18" s="117"/>
      <c r="R18" s="117"/>
      <c r="S18" s="118"/>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5">
        <v>14</v>
      </c>
      <c r="D20" s="97"/>
      <c r="E20" s="40" t="s">
        <v>96</v>
      </c>
      <c r="G20" s="10"/>
      <c r="H20" s="3"/>
      <c r="I20" s="3"/>
      <c r="J20" s="35" t="s">
        <v>122</v>
      </c>
      <c r="K20" s="106" t="s">
        <v>124</v>
      </c>
      <c r="L20" s="107"/>
      <c r="M20" s="107"/>
      <c r="N20" s="107"/>
      <c r="O20" s="107"/>
      <c r="P20" s="107"/>
      <c r="Q20" s="107"/>
      <c r="R20" s="107"/>
      <c r="S20" s="108"/>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8" t="s">
        <v>114</v>
      </c>
      <c r="B22" s="98"/>
      <c r="C22" s="98"/>
      <c r="D22" s="98"/>
      <c r="E22" s="98"/>
      <c r="F22" s="98"/>
      <c r="G22" s="98"/>
      <c r="H22" s="98"/>
      <c r="I22" s="98"/>
      <c r="J22" s="98"/>
      <c r="K22" s="98"/>
      <c r="L22" s="98"/>
      <c r="M22" s="98"/>
      <c r="N22" s="98"/>
      <c r="O22" s="98"/>
      <c r="P22" s="98"/>
      <c r="Q22" s="98"/>
      <c r="R22" s="98"/>
      <c r="S22" s="98"/>
    </row>
    <row r="23" spans="1:19" ht="18" customHeight="1" x14ac:dyDescent="0.2">
      <c r="A23" s="98"/>
      <c r="B23" s="98"/>
      <c r="C23" s="98"/>
      <c r="D23" s="98"/>
      <c r="E23" s="98"/>
      <c r="F23" s="98"/>
      <c r="G23" s="98"/>
      <c r="H23" s="98"/>
      <c r="I23" s="98"/>
      <c r="J23" s="98"/>
      <c r="K23" s="98"/>
      <c r="L23" s="98"/>
      <c r="M23" s="98"/>
      <c r="N23" s="98"/>
      <c r="O23" s="98"/>
      <c r="P23" s="98"/>
      <c r="Q23" s="98"/>
      <c r="R23" s="98"/>
      <c r="S23" s="98"/>
    </row>
    <row r="24" spans="1:19" ht="18" customHeight="1" x14ac:dyDescent="0.2">
      <c r="B24" s="95" t="s">
        <v>54</v>
      </c>
      <c r="C24" s="96"/>
      <c r="D24" s="96"/>
      <c r="E24" s="97"/>
      <c r="F24" s="61" t="s">
        <v>81</v>
      </c>
      <c r="G24" s="60" t="s">
        <v>85</v>
      </c>
      <c r="H24" s="22" t="s">
        <v>57</v>
      </c>
      <c r="I24" s="22" t="s">
        <v>60</v>
      </c>
      <c r="J24" s="95" t="s">
        <v>54</v>
      </c>
      <c r="K24" s="96"/>
      <c r="L24" s="96"/>
      <c r="M24" s="96"/>
      <c r="N24" s="96"/>
      <c r="O24" s="97"/>
      <c r="P24" s="61" t="s">
        <v>81</v>
      </c>
      <c r="Q24" s="60" t="s">
        <v>85</v>
      </c>
      <c r="R24" s="22" t="s">
        <v>57</v>
      </c>
      <c r="S24" s="22" t="s">
        <v>60</v>
      </c>
    </row>
    <row r="25" spans="1:19" ht="18" customHeight="1" x14ac:dyDescent="0.2">
      <c r="B25" s="99" t="s">
        <v>131</v>
      </c>
      <c r="C25" s="100"/>
      <c r="D25" s="100"/>
      <c r="E25" s="101"/>
      <c r="F25" s="23">
        <v>2</v>
      </c>
      <c r="G25" s="23" t="s">
        <v>132</v>
      </c>
      <c r="H25" s="23" t="s">
        <v>132</v>
      </c>
      <c r="I25" s="23" t="s">
        <v>132</v>
      </c>
      <c r="J25" s="99"/>
      <c r="K25" s="100"/>
      <c r="L25" s="100"/>
      <c r="M25" s="100"/>
      <c r="N25" s="100"/>
      <c r="O25" s="101"/>
      <c r="P25" s="23"/>
      <c r="Q25" s="23"/>
      <c r="R25" s="23"/>
      <c r="S25" s="23"/>
    </row>
    <row r="26" spans="1:19" ht="18" customHeight="1" x14ac:dyDescent="0.2">
      <c r="B26" s="89" t="s">
        <v>156</v>
      </c>
      <c r="C26" s="90"/>
      <c r="D26" s="90"/>
      <c r="E26" s="91"/>
      <c r="F26" s="24">
        <v>2</v>
      </c>
      <c r="G26" s="24" t="s">
        <v>132</v>
      </c>
      <c r="H26" s="24" t="s">
        <v>132</v>
      </c>
      <c r="I26" s="24" t="s">
        <v>132</v>
      </c>
      <c r="J26" s="89"/>
      <c r="K26" s="90"/>
      <c r="L26" s="90"/>
      <c r="M26" s="90"/>
      <c r="N26" s="90"/>
      <c r="O26" s="91"/>
      <c r="P26" s="24"/>
      <c r="Q26" s="24"/>
      <c r="R26" s="24"/>
      <c r="S26" s="24"/>
    </row>
    <row r="27" spans="1:19" ht="18" customHeight="1" x14ac:dyDescent="0.2">
      <c r="B27" s="89"/>
      <c r="C27" s="90"/>
      <c r="D27" s="90"/>
      <c r="E27" s="91"/>
      <c r="F27" s="24"/>
      <c r="G27" s="24"/>
      <c r="H27" s="24"/>
      <c r="I27" s="24"/>
      <c r="J27" s="89"/>
      <c r="K27" s="90"/>
      <c r="L27" s="90"/>
      <c r="M27" s="90"/>
      <c r="N27" s="90"/>
      <c r="O27" s="91"/>
      <c r="P27" s="24"/>
      <c r="Q27" s="24"/>
      <c r="R27" s="24"/>
      <c r="S27" s="24"/>
    </row>
    <row r="28" spans="1:19" ht="18" customHeight="1" x14ac:dyDescent="0.2">
      <c r="B28" s="89"/>
      <c r="C28" s="90"/>
      <c r="D28" s="90"/>
      <c r="E28" s="91"/>
      <c r="F28" s="24"/>
      <c r="G28" s="24"/>
      <c r="H28" s="24"/>
      <c r="I28" s="24"/>
      <c r="J28" s="89"/>
      <c r="K28" s="90"/>
      <c r="L28" s="90"/>
      <c r="M28" s="90"/>
      <c r="N28" s="90"/>
      <c r="O28" s="91"/>
      <c r="P28" s="24"/>
      <c r="Q28" s="24"/>
      <c r="R28" s="24"/>
      <c r="S28" s="24"/>
    </row>
    <row r="29" spans="1:19" ht="18" customHeight="1" x14ac:dyDescent="0.2">
      <c r="B29" s="89"/>
      <c r="C29" s="90"/>
      <c r="D29" s="90"/>
      <c r="E29" s="91"/>
      <c r="F29" s="24"/>
      <c r="G29" s="24"/>
      <c r="H29" s="24"/>
      <c r="I29" s="24"/>
      <c r="J29" s="89"/>
      <c r="K29" s="90"/>
      <c r="L29" s="90"/>
      <c r="M29" s="90"/>
      <c r="N29" s="90"/>
      <c r="O29" s="91"/>
      <c r="P29" s="24"/>
      <c r="Q29" s="24"/>
      <c r="R29" s="24"/>
      <c r="S29" s="24"/>
    </row>
    <row r="30" spans="1:19" ht="18" customHeight="1" x14ac:dyDescent="0.2">
      <c r="A30" s="3"/>
      <c r="B30" s="89"/>
      <c r="C30" s="90"/>
      <c r="D30" s="90"/>
      <c r="E30" s="91"/>
      <c r="F30" s="24"/>
      <c r="G30" s="24"/>
      <c r="H30" s="24"/>
      <c r="I30" s="24"/>
      <c r="J30" s="89"/>
      <c r="K30" s="90"/>
      <c r="L30" s="90"/>
      <c r="M30" s="90"/>
      <c r="N30" s="90"/>
      <c r="O30" s="91"/>
      <c r="P30" s="24"/>
      <c r="Q30" s="24"/>
      <c r="R30" s="24"/>
      <c r="S30" s="24"/>
    </row>
    <row r="31" spans="1:19" ht="18" customHeight="1" x14ac:dyDescent="0.2">
      <c r="A31" s="3"/>
      <c r="B31" s="92"/>
      <c r="C31" s="93"/>
      <c r="D31" s="93"/>
      <c r="E31" s="94"/>
      <c r="F31" s="25"/>
      <c r="G31" s="25"/>
      <c r="H31" s="26"/>
      <c r="I31" s="26"/>
      <c r="J31" s="92"/>
      <c r="K31" s="93"/>
      <c r="L31" s="93"/>
      <c r="M31" s="93"/>
      <c r="N31" s="93"/>
      <c r="O31" s="94"/>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8" t="s">
        <v>115</v>
      </c>
      <c r="B33" s="98"/>
      <c r="C33" s="98"/>
      <c r="D33" s="98"/>
      <c r="E33" s="98"/>
      <c r="F33" s="98"/>
      <c r="G33" s="98"/>
      <c r="H33" s="98"/>
      <c r="I33" s="98"/>
      <c r="J33" s="98"/>
      <c r="K33" s="98"/>
      <c r="L33" s="98"/>
      <c r="M33" s="98"/>
      <c r="N33" s="98"/>
      <c r="O33" s="98"/>
      <c r="P33" s="98"/>
      <c r="Q33" s="98"/>
      <c r="R33" s="98"/>
      <c r="S33" s="98"/>
    </row>
    <row r="34" spans="1:19" ht="18" customHeight="1" x14ac:dyDescent="0.2">
      <c r="A34" s="98"/>
      <c r="B34" s="98"/>
      <c r="C34" s="98"/>
      <c r="D34" s="98"/>
      <c r="E34" s="98"/>
      <c r="F34" s="98"/>
      <c r="G34" s="98"/>
      <c r="H34" s="98"/>
      <c r="I34" s="98"/>
      <c r="J34" s="98"/>
      <c r="K34" s="98"/>
      <c r="L34" s="98"/>
      <c r="M34" s="98"/>
      <c r="N34" s="98"/>
      <c r="O34" s="98"/>
      <c r="P34" s="98"/>
      <c r="Q34" s="98"/>
      <c r="R34" s="98"/>
      <c r="S34" s="98"/>
    </row>
    <row r="35" spans="1:19" ht="18" customHeight="1" x14ac:dyDescent="0.2">
      <c r="B35" s="95" t="s">
        <v>54</v>
      </c>
      <c r="C35" s="96"/>
      <c r="D35" s="96"/>
      <c r="E35" s="97"/>
      <c r="F35" s="61" t="s">
        <v>81</v>
      </c>
      <c r="G35" s="60" t="s">
        <v>85</v>
      </c>
      <c r="H35" s="22" t="s">
        <v>72</v>
      </c>
      <c r="I35" s="22" t="s">
        <v>73</v>
      </c>
      <c r="J35" s="95" t="s">
        <v>54</v>
      </c>
      <c r="K35" s="96"/>
      <c r="L35" s="96"/>
      <c r="M35" s="96"/>
      <c r="N35" s="96"/>
      <c r="O35" s="97"/>
      <c r="P35" s="61" t="s">
        <v>81</v>
      </c>
      <c r="Q35" s="60" t="s">
        <v>85</v>
      </c>
      <c r="R35" s="22" t="s">
        <v>72</v>
      </c>
      <c r="S35" s="22" t="s">
        <v>73</v>
      </c>
    </row>
    <row r="36" spans="1:19" ht="18" customHeight="1" x14ac:dyDescent="0.2">
      <c r="B36" s="99" t="s">
        <v>133</v>
      </c>
      <c r="C36" s="100"/>
      <c r="D36" s="100"/>
      <c r="E36" s="101"/>
      <c r="F36" s="23">
        <v>2</v>
      </c>
      <c r="G36" s="23" t="s">
        <v>132</v>
      </c>
      <c r="H36" s="23" t="s">
        <v>132</v>
      </c>
      <c r="I36" s="23" t="s">
        <v>132</v>
      </c>
      <c r="J36" s="99"/>
      <c r="K36" s="100"/>
      <c r="L36" s="100"/>
      <c r="M36" s="100"/>
      <c r="N36" s="100"/>
      <c r="O36" s="101"/>
      <c r="P36" s="23"/>
      <c r="Q36" s="23"/>
      <c r="R36" s="23"/>
      <c r="S36" s="23"/>
    </row>
    <row r="37" spans="1:19" ht="18" customHeight="1" x14ac:dyDescent="0.2">
      <c r="B37" s="89" t="s">
        <v>136</v>
      </c>
      <c r="C37" s="90"/>
      <c r="D37" s="90"/>
      <c r="E37" s="91"/>
      <c r="F37" s="24">
        <v>2</v>
      </c>
      <c r="G37" s="24" t="s">
        <v>132</v>
      </c>
      <c r="H37" s="24" t="s">
        <v>132</v>
      </c>
      <c r="I37" s="24"/>
      <c r="J37" s="89"/>
      <c r="K37" s="90"/>
      <c r="L37" s="90"/>
      <c r="M37" s="90"/>
      <c r="N37" s="90"/>
      <c r="O37" s="91"/>
      <c r="P37" s="24"/>
      <c r="Q37" s="24"/>
      <c r="R37" s="24"/>
      <c r="S37" s="24"/>
    </row>
    <row r="38" spans="1:19" ht="18" customHeight="1" x14ac:dyDescent="0.2">
      <c r="B38" s="89" t="s">
        <v>135</v>
      </c>
      <c r="C38" s="90"/>
      <c r="D38" s="90"/>
      <c r="E38" s="91"/>
      <c r="F38" s="24">
        <v>2</v>
      </c>
      <c r="G38" s="24" t="s">
        <v>132</v>
      </c>
      <c r="H38" s="24" t="s">
        <v>132</v>
      </c>
      <c r="I38" s="24"/>
      <c r="J38" s="89"/>
      <c r="K38" s="90"/>
      <c r="L38" s="90"/>
      <c r="M38" s="90"/>
      <c r="N38" s="90"/>
      <c r="O38" s="91"/>
      <c r="P38" s="24"/>
      <c r="Q38" s="24"/>
      <c r="R38" s="24"/>
      <c r="S38" s="24"/>
    </row>
    <row r="39" spans="1:19" ht="18" customHeight="1" x14ac:dyDescent="0.2">
      <c r="B39" s="89"/>
      <c r="C39" s="90"/>
      <c r="D39" s="90"/>
      <c r="E39" s="91"/>
      <c r="F39" s="24"/>
      <c r="G39" s="24"/>
      <c r="H39" s="24"/>
      <c r="I39" s="24"/>
      <c r="J39" s="89"/>
      <c r="K39" s="90"/>
      <c r="L39" s="90"/>
      <c r="M39" s="90"/>
      <c r="N39" s="90"/>
      <c r="O39" s="91"/>
      <c r="P39" s="24"/>
      <c r="Q39" s="24"/>
      <c r="R39" s="24"/>
      <c r="S39" s="24"/>
    </row>
    <row r="40" spans="1:19" ht="18" customHeight="1" x14ac:dyDescent="0.2">
      <c r="B40" s="89"/>
      <c r="C40" s="90"/>
      <c r="D40" s="90"/>
      <c r="E40" s="91"/>
      <c r="F40" s="24"/>
      <c r="G40" s="24"/>
      <c r="H40" s="24"/>
      <c r="I40" s="24"/>
      <c r="J40" s="89"/>
      <c r="K40" s="90"/>
      <c r="L40" s="90"/>
      <c r="M40" s="90"/>
      <c r="N40" s="90"/>
      <c r="O40" s="91"/>
      <c r="P40" s="24"/>
      <c r="Q40" s="24"/>
      <c r="R40" s="24"/>
      <c r="S40" s="24"/>
    </row>
    <row r="41" spans="1:19" ht="18" customHeight="1" x14ac:dyDescent="0.2">
      <c r="B41" s="89"/>
      <c r="C41" s="90"/>
      <c r="D41" s="90"/>
      <c r="E41" s="91"/>
      <c r="F41" s="24"/>
      <c r="G41" s="24"/>
      <c r="H41" s="24"/>
      <c r="I41" s="24"/>
      <c r="J41" s="89"/>
      <c r="K41" s="90"/>
      <c r="L41" s="90"/>
      <c r="M41" s="90"/>
      <c r="N41" s="90"/>
      <c r="O41" s="91"/>
      <c r="P41" s="24"/>
      <c r="Q41" s="24"/>
      <c r="R41" s="24"/>
      <c r="S41" s="24"/>
    </row>
    <row r="42" spans="1:19" ht="18" customHeight="1" x14ac:dyDescent="0.2">
      <c r="B42" s="92"/>
      <c r="C42" s="93"/>
      <c r="D42" s="93"/>
      <c r="E42" s="94"/>
      <c r="F42" s="25"/>
      <c r="G42" s="25"/>
      <c r="H42" s="26"/>
      <c r="I42" s="26"/>
      <c r="J42" s="92"/>
      <c r="K42" s="93"/>
      <c r="L42" s="93"/>
      <c r="M42" s="93"/>
      <c r="N42" s="93"/>
      <c r="O42" s="94"/>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8" t="s">
        <v>116</v>
      </c>
      <c r="B44" s="98"/>
      <c r="C44" s="98"/>
      <c r="D44" s="98"/>
      <c r="E44" s="98"/>
      <c r="F44" s="98"/>
      <c r="G44" s="98"/>
      <c r="H44" s="98"/>
      <c r="I44" s="98"/>
      <c r="J44" s="98"/>
      <c r="K44" s="98"/>
      <c r="L44" s="98"/>
      <c r="M44" s="98"/>
      <c r="N44" s="98"/>
      <c r="O44" s="98"/>
      <c r="P44" s="98"/>
      <c r="Q44" s="98"/>
      <c r="R44" s="98"/>
      <c r="S44" s="98"/>
    </row>
    <row r="45" spans="1:19" ht="18" customHeight="1" x14ac:dyDescent="0.2">
      <c r="A45" s="98"/>
      <c r="B45" s="98"/>
      <c r="C45" s="98"/>
      <c r="D45" s="98"/>
      <c r="E45" s="98"/>
      <c r="F45" s="98"/>
      <c r="G45" s="98"/>
      <c r="H45" s="98"/>
      <c r="I45" s="98"/>
      <c r="J45" s="98"/>
      <c r="K45" s="98"/>
      <c r="L45" s="98"/>
      <c r="M45" s="98"/>
      <c r="N45" s="98"/>
      <c r="O45" s="98"/>
      <c r="P45" s="98"/>
      <c r="Q45" s="98"/>
      <c r="R45" s="98"/>
      <c r="S45" s="98"/>
    </row>
    <row r="46" spans="1:19" ht="18" customHeight="1" x14ac:dyDescent="0.2">
      <c r="B46" s="95" t="s">
        <v>54</v>
      </c>
      <c r="C46" s="96"/>
      <c r="D46" s="96"/>
      <c r="E46" s="97"/>
      <c r="F46" s="61" t="s">
        <v>81</v>
      </c>
      <c r="G46" s="60" t="s">
        <v>85</v>
      </c>
      <c r="H46" s="22" t="s">
        <v>74</v>
      </c>
      <c r="I46" s="22" t="s">
        <v>75</v>
      </c>
      <c r="J46" s="95" t="s">
        <v>54</v>
      </c>
      <c r="K46" s="96"/>
      <c r="L46" s="96"/>
      <c r="M46" s="96"/>
      <c r="N46" s="96"/>
      <c r="O46" s="97"/>
      <c r="P46" s="61" t="s">
        <v>81</v>
      </c>
      <c r="Q46" s="60" t="s">
        <v>85</v>
      </c>
      <c r="R46" s="22" t="s">
        <v>74</v>
      </c>
      <c r="S46" s="22" t="s">
        <v>75</v>
      </c>
    </row>
    <row r="47" spans="1:19" ht="18" customHeight="1" x14ac:dyDescent="0.2">
      <c r="A47" s="3"/>
      <c r="B47" s="99" t="s">
        <v>133</v>
      </c>
      <c r="C47" s="100"/>
      <c r="D47" s="100"/>
      <c r="E47" s="101"/>
      <c r="F47" s="23">
        <v>2</v>
      </c>
      <c r="G47" s="23" t="s">
        <v>132</v>
      </c>
      <c r="H47" s="23" t="s">
        <v>132</v>
      </c>
      <c r="I47" s="23" t="s">
        <v>132</v>
      </c>
      <c r="J47" s="99"/>
      <c r="K47" s="100"/>
      <c r="L47" s="100"/>
      <c r="M47" s="100"/>
      <c r="N47" s="100"/>
      <c r="O47" s="101"/>
      <c r="P47" s="23"/>
      <c r="Q47" s="23"/>
      <c r="R47" s="23"/>
      <c r="S47" s="23"/>
    </row>
    <row r="48" spans="1:19" ht="18" customHeight="1" x14ac:dyDescent="0.2">
      <c r="A48" s="3"/>
      <c r="B48" s="102" t="s">
        <v>136</v>
      </c>
      <c r="C48" s="103"/>
      <c r="D48" s="103"/>
      <c r="E48" s="104"/>
      <c r="F48" s="82">
        <v>2</v>
      </c>
      <c r="G48" s="82" t="s">
        <v>132</v>
      </c>
      <c r="H48" s="82" t="s">
        <v>132</v>
      </c>
      <c r="I48" s="82"/>
      <c r="J48" s="89"/>
      <c r="K48" s="90"/>
      <c r="L48" s="90"/>
      <c r="M48" s="90"/>
      <c r="N48" s="90"/>
      <c r="O48" s="91"/>
      <c r="P48" s="24"/>
      <c r="Q48" s="24"/>
      <c r="R48" s="24"/>
      <c r="S48" s="24"/>
    </row>
    <row r="49" spans="1:19" ht="18" customHeight="1" x14ac:dyDescent="0.2">
      <c r="A49" s="3"/>
      <c r="B49" s="89" t="s">
        <v>135</v>
      </c>
      <c r="C49" s="90"/>
      <c r="D49" s="90"/>
      <c r="E49" s="91"/>
      <c r="F49" s="24">
        <v>2</v>
      </c>
      <c r="G49" s="24" t="s">
        <v>132</v>
      </c>
      <c r="H49" s="24"/>
      <c r="I49" s="24" t="s">
        <v>132</v>
      </c>
      <c r="J49" s="89"/>
      <c r="K49" s="90"/>
      <c r="L49" s="90"/>
      <c r="M49" s="90"/>
      <c r="N49" s="90"/>
      <c r="O49" s="91"/>
      <c r="P49" s="24"/>
      <c r="Q49" s="24"/>
      <c r="R49" s="24"/>
      <c r="S49" s="24"/>
    </row>
    <row r="50" spans="1:19" ht="18" customHeight="1" x14ac:dyDescent="0.2">
      <c r="A50" s="3"/>
      <c r="B50" s="89"/>
      <c r="C50" s="90"/>
      <c r="D50" s="90"/>
      <c r="E50" s="91"/>
      <c r="F50" s="24"/>
      <c r="G50" s="24"/>
      <c r="H50" s="24"/>
      <c r="I50" s="24"/>
      <c r="J50" s="89"/>
      <c r="K50" s="90"/>
      <c r="L50" s="90"/>
      <c r="M50" s="90"/>
      <c r="N50" s="90"/>
      <c r="O50" s="91"/>
      <c r="P50" s="24"/>
      <c r="Q50" s="24"/>
      <c r="R50" s="24"/>
      <c r="S50" s="24"/>
    </row>
    <row r="51" spans="1:19" ht="18" customHeight="1" x14ac:dyDescent="0.2">
      <c r="A51" s="3"/>
      <c r="B51" s="89"/>
      <c r="C51" s="90"/>
      <c r="D51" s="90"/>
      <c r="E51" s="91"/>
      <c r="F51" s="24"/>
      <c r="G51" s="24"/>
      <c r="H51" s="24"/>
      <c r="I51" s="24"/>
      <c r="J51" s="89"/>
      <c r="K51" s="90"/>
      <c r="L51" s="90"/>
      <c r="M51" s="90"/>
      <c r="N51" s="90"/>
      <c r="O51" s="91"/>
      <c r="P51" s="24"/>
      <c r="Q51" s="24"/>
      <c r="R51" s="24"/>
      <c r="S51" s="24"/>
    </row>
    <row r="52" spans="1:19" ht="18" customHeight="1" x14ac:dyDescent="0.2">
      <c r="A52" s="3"/>
      <c r="B52" s="89"/>
      <c r="C52" s="90"/>
      <c r="D52" s="90"/>
      <c r="E52" s="91"/>
      <c r="F52" s="24"/>
      <c r="G52" s="24"/>
      <c r="H52" s="24"/>
      <c r="I52" s="24"/>
      <c r="J52" s="89"/>
      <c r="K52" s="90"/>
      <c r="L52" s="90"/>
      <c r="M52" s="90"/>
      <c r="N52" s="90"/>
      <c r="O52" s="91"/>
      <c r="P52" s="24"/>
      <c r="Q52" s="24"/>
      <c r="R52" s="24"/>
      <c r="S52" s="24"/>
    </row>
    <row r="53" spans="1:19" ht="18" customHeight="1" x14ac:dyDescent="0.2">
      <c r="A53" s="3"/>
      <c r="B53" s="92"/>
      <c r="C53" s="93"/>
      <c r="D53" s="93"/>
      <c r="E53" s="94"/>
      <c r="F53" s="25"/>
      <c r="G53" s="25"/>
      <c r="H53" s="26"/>
      <c r="I53" s="26"/>
      <c r="J53" s="92"/>
      <c r="K53" s="93"/>
      <c r="L53" s="93"/>
      <c r="M53" s="93"/>
      <c r="N53" s="93"/>
      <c r="O53" s="94"/>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8" t="s">
        <v>117</v>
      </c>
      <c r="B55" s="98"/>
      <c r="C55" s="98"/>
      <c r="D55" s="98"/>
      <c r="E55" s="98"/>
      <c r="F55" s="98"/>
      <c r="G55" s="98"/>
      <c r="H55" s="98"/>
      <c r="I55" s="98"/>
      <c r="J55" s="98"/>
      <c r="K55" s="98"/>
      <c r="L55" s="98"/>
      <c r="M55" s="98"/>
      <c r="N55" s="98"/>
      <c r="O55" s="98"/>
      <c r="P55" s="98"/>
      <c r="Q55" s="98"/>
      <c r="R55" s="98"/>
      <c r="S55" s="98"/>
    </row>
    <row r="56" spans="1:19" ht="18" customHeight="1" x14ac:dyDescent="0.2">
      <c r="A56" s="98"/>
      <c r="B56" s="98"/>
      <c r="C56" s="98"/>
      <c r="D56" s="98"/>
      <c r="E56" s="98"/>
      <c r="F56" s="98"/>
      <c r="G56" s="98"/>
      <c r="H56" s="98"/>
      <c r="I56" s="98"/>
      <c r="J56" s="98"/>
      <c r="K56" s="98"/>
      <c r="L56" s="98"/>
      <c r="M56" s="98"/>
      <c r="N56" s="98"/>
      <c r="O56" s="98"/>
      <c r="P56" s="98"/>
      <c r="Q56" s="98"/>
      <c r="R56" s="98"/>
      <c r="S56" s="98"/>
    </row>
    <row r="57" spans="1:19" ht="18" customHeight="1" x14ac:dyDescent="0.2">
      <c r="B57" s="95" t="s">
        <v>54</v>
      </c>
      <c r="C57" s="96"/>
      <c r="D57" s="96"/>
      <c r="E57" s="97"/>
      <c r="F57" s="61" t="s">
        <v>81</v>
      </c>
      <c r="G57" s="60" t="s">
        <v>85</v>
      </c>
      <c r="H57" s="22" t="s">
        <v>59</v>
      </c>
      <c r="I57" s="22" t="s">
        <v>61</v>
      </c>
      <c r="J57" s="95" t="s">
        <v>54</v>
      </c>
      <c r="K57" s="96"/>
      <c r="L57" s="96"/>
      <c r="M57" s="96"/>
      <c r="N57" s="96"/>
      <c r="O57" s="97"/>
      <c r="P57" s="61" t="s">
        <v>81</v>
      </c>
      <c r="Q57" s="60" t="s">
        <v>85</v>
      </c>
      <c r="R57" s="22" t="s">
        <v>59</v>
      </c>
      <c r="S57" s="22" t="s">
        <v>61</v>
      </c>
    </row>
    <row r="58" spans="1:19" ht="18" customHeight="1" x14ac:dyDescent="0.2">
      <c r="A58" s="3"/>
      <c r="B58" s="99" t="s">
        <v>133</v>
      </c>
      <c r="C58" s="100"/>
      <c r="D58" s="100"/>
      <c r="E58" s="101"/>
      <c r="F58" s="23">
        <v>2</v>
      </c>
      <c r="G58" s="23" t="s">
        <v>132</v>
      </c>
      <c r="H58" s="23" t="s">
        <v>132</v>
      </c>
      <c r="I58" s="23" t="s">
        <v>132</v>
      </c>
      <c r="J58" s="99"/>
      <c r="K58" s="100"/>
      <c r="L58" s="100"/>
      <c r="M58" s="100"/>
      <c r="N58" s="100"/>
      <c r="O58" s="101"/>
      <c r="P58" s="23"/>
      <c r="Q58" s="23"/>
      <c r="R58" s="23"/>
      <c r="S58" s="23"/>
    </row>
    <row r="59" spans="1:19" ht="18" customHeight="1" x14ac:dyDescent="0.2">
      <c r="A59" s="3"/>
      <c r="B59" s="89" t="s">
        <v>136</v>
      </c>
      <c r="C59" s="90"/>
      <c r="D59" s="90"/>
      <c r="E59" s="91"/>
      <c r="F59" s="24">
        <v>2</v>
      </c>
      <c r="G59" s="24" t="s">
        <v>132</v>
      </c>
      <c r="H59" s="24" t="s">
        <v>132</v>
      </c>
      <c r="I59" s="24"/>
      <c r="J59" s="89"/>
      <c r="K59" s="90"/>
      <c r="L59" s="90"/>
      <c r="M59" s="90"/>
      <c r="N59" s="90"/>
      <c r="O59" s="91"/>
      <c r="P59" s="24"/>
      <c r="Q59" s="24"/>
      <c r="R59" s="24"/>
      <c r="S59" s="24"/>
    </row>
    <row r="60" spans="1:19" ht="18" customHeight="1" x14ac:dyDescent="0.2">
      <c r="A60" s="3"/>
      <c r="B60" s="89" t="s">
        <v>135</v>
      </c>
      <c r="C60" s="90"/>
      <c r="D60" s="90"/>
      <c r="E60" s="91"/>
      <c r="F60" s="24">
        <v>2</v>
      </c>
      <c r="G60" s="24" t="s">
        <v>132</v>
      </c>
      <c r="H60" s="24" t="s">
        <v>132</v>
      </c>
      <c r="I60" s="24"/>
      <c r="J60" s="89"/>
      <c r="K60" s="90"/>
      <c r="L60" s="90"/>
      <c r="M60" s="90"/>
      <c r="N60" s="90"/>
      <c r="O60" s="91"/>
      <c r="P60" s="24"/>
      <c r="Q60" s="24"/>
      <c r="R60" s="24"/>
      <c r="S60" s="24"/>
    </row>
    <row r="61" spans="1:19" ht="18" customHeight="1" x14ac:dyDescent="0.2">
      <c r="A61" s="3"/>
      <c r="B61" s="144" t="s">
        <v>139</v>
      </c>
      <c r="C61" s="145"/>
      <c r="D61" s="145"/>
      <c r="E61" s="146"/>
      <c r="F61" s="24">
        <v>2</v>
      </c>
      <c r="G61" s="24" t="s">
        <v>132</v>
      </c>
      <c r="H61" s="24"/>
      <c r="I61" s="24" t="s">
        <v>132</v>
      </c>
      <c r="J61" s="89"/>
      <c r="K61" s="90"/>
      <c r="L61" s="90"/>
      <c r="M61" s="90"/>
      <c r="N61" s="90"/>
      <c r="O61" s="91"/>
      <c r="P61" s="24"/>
      <c r="Q61" s="24"/>
      <c r="R61" s="24"/>
      <c r="S61" s="24"/>
    </row>
    <row r="62" spans="1:19" ht="18" customHeight="1" x14ac:dyDescent="0.2">
      <c r="A62" s="3"/>
      <c r="B62" s="144" t="s">
        <v>156</v>
      </c>
      <c r="C62" s="145"/>
      <c r="D62" s="145"/>
      <c r="E62" s="146"/>
      <c r="F62" s="24">
        <v>2</v>
      </c>
      <c r="G62" s="24" t="s">
        <v>132</v>
      </c>
      <c r="H62" s="24"/>
      <c r="I62" s="24" t="s">
        <v>132</v>
      </c>
      <c r="J62" s="89"/>
      <c r="K62" s="90"/>
      <c r="L62" s="90"/>
      <c r="M62" s="90"/>
      <c r="N62" s="90"/>
      <c r="O62" s="91"/>
      <c r="P62" s="24"/>
      <c r="Q62" s="24"/>
      <c r="R62" s="24"/>
      <c r="S62" s="24"/>
    </row>
    <row r="63" spans="1:19" ht="18" customHeight="1" x14ac:dyDescent="0.2">
      <c r="A63" s="3"/>
      <c r="B63" s="144"/>
      <c r="C63" s="145"/>
      <c r="D63" s="145"/>
      <c r="E63" s="146"/>
      <c r="F63" s="24"/>
      <c r="G63" s="24"/>
      <c r="H63" s="24"/>
      <c r="I63" s="24"/>
      <c r="J63" s="89"/>
      <c r="K63" s="90"/>
      <c r="L63" s="90"/>
      <c r="M63" s="90"/>
      <c r="N63" s="90"/>
      <c r="O63" s="91"/>
      <c r="P63" s="24"/>
      <c r="Q63" s="24"/>
      <c r="R63" s="24"/>
      <c r="S63" s="24"/>
    </row>
    <row r="64" spans="1:19" ht="18" customHeight="1" x14ac:dyDescent="0.2">
      <c r="A64" s="3"/>
      <c r="B64" s="92"/>
      <c r="C64" s="93"/>
      <c r="D64" s="93"/>
      <c r="E64" s="94"/>
      <c r="F64" s="25"/>
      <c r="G64" s="25"/>
      <c r="H64" s="26"/>
      <c r="I64" s="26"/>
      <c r="J64" s="92"/>
      <c r="K64" s="93"/>
      <c r="L64" s="93"/>
      <c r="M64" s="93"/>
      <c r="N64" s="93"/>
      <c r="O64" s="94"/>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8" t="s">
        <v>118</v>
      </c>
      <c r="B66" s="98"/>
      <c r="C66" s="98"/>
      <c r="D66" s="98"/>
      <c r="E66" s="98"/>
      <c r="F66" s="98"/>
      <c r="G66" s="98"/>
      <c r="H66" s="98"/>
      <c r="I66" s="98"/>
      <c r="J66" s="98"/>
      <c r="K66" s="98"/>
      <c r="L66" s="98"/>
      <c r="M66" s="98"/>
      <c r="N66" s="98"/>
      <c r="O66" s="98"/>
      <c r="P66" s="98"/>
      <c r="Q66" s="98"/>
      <c r="R66" s="98"/>
      <c r="S66" s="98"/>
    </row>
    <row r="67" spans="1:19" ht="18" customHeight="1" x14ac:dyDescent="0.2">
      <c r="A67" s="98"/>
      <c r="B67" s="98"/>
      <c r="C67" s="98"/>
      <c r="D67" s="98"/>
      <c r="E67" s="98"/>
      <c r="F67" s="98"/>
      <c r="G67" s="98"/>
      <c r="H67" s="98"/>
      <c r="I67" s="98"/>
      <c r="J67" s="98"/>
      <c r="K67" s="98"/>
      <c r="L67" s="98"/>
      <c r="M67" s="98"/>
      <c r="N67" s="98"/>
      <c r="O67" s="98"/>
      <c r="P67" s="98"/>
      <c r="Q67" s="98"/>
      <c r="R67" s="98"/>
      <c r="S67" s="98"/>
    </row>
    <row r="68" spans="1:19" ht="18" customHeight="1" x14ac:dyDescent="0.2">
      <c r="B68" s="95" t="s">
        <v>54</v>
      </c>
      <c r="C68" s="96"/>
      <c r="D68" s="96"/>
      <c r="E68" s="61" t="s">
        <v>81</v>
      </c>
      <c r="F68" s="60" t="s">
        <v>85</v>
      </c>
      <c r="G68" s="22" t="s">
        <v>102</v>
      </c>
      <c r="H68" s="22" t="s">
        <v>76</v>
      </c>
      <c r="I68" s="22" t="s">
        <v>77</v>
      </c>
      <c r="J68" s="95" t="s">
        <v>54</v>
      </c>
      <c r="K68" s="96"/>
      <c r="L68" s="96"/>
      <c r="M68" s="96"/>
      <c r="N68" s="97"/>
      <c r="O68" s="61" t="s">
        <v>81</v>
      </c>
      <c r="P68" s="60" t="s">
        <v>85</v>
      </c>
      <c r="Q68" s="22" t="s">
        <v>102</v>
      </c>
      <c r="R68" s="22" t="s">
        <v>76</v>
      </c>
      <c r="S68" s="22" t="s">
        <v>77</v>
      </c>
    </row>
    <row r="69" spans="1:19" ht="18" customHeight="1" x14ac:dyDescent="0.2">
      <c r="A69" s="3"/>
      <c r="B69" s="99" t="s">
        <v>134</v>
      </c>
      <c r="C69" s="100"/>
      <c r="D69" s="100"/>
      <c r="E69" s="23">
        <v>2</v>
      </c>
      <c r="F69" s="23" t="s">
        <v>132</v>
      </c>
      <c r="G69" s="23" t="s">
        <v>132</v>
      </c>
      <c r="H69" s="23"/>
      <c r="I69" s="23" t="s">
        <v>132</v>
      </c>
      <c r="J69" s="99"/>
      <c r="K69" s="100"/>
      <c r="L69" s="100"/>
      <c r="M69" s="100"/>
      <c r="N69" s="101"/>
      <c r="O69" s="23"/>
      <c r="P69" s="23"/>
      <c r="Q69" s="23"/>
      <c r="R69" s="23"/>
      <c r="S69" s="23"/>
    </row>
    <row r="70" spans="1:19" ht="18" customHeight="1" x14ac:dyDescent="0.2">
      <c r="A70" s="3"/>
      <c r="B70" s="144" t="s">
        <v>136</v>
      </c>
      <c r="C70" s="145"/>
      <c r="D70" s="146"/>
      <c r="E70" s="24">
        <v>2</v>
      </c>
      <c r="F70" s="24" t="s">
        <v>132</v>
      </c>
      <c r="G70" s="24"/>
      <c r="H70" s="24" t="s">
        <v>132</v>
      </c>
      <c r="I70" s="24"/>
      <c r="J70" s="89"/>
      <c r="K70" s="90"/>
      <c r="L70" s="90"/>
      <c r="M70" s="90"/>
      <c r="N70" s="91"/>
      <c r="O70" s="24"/>
      <c r="P70" s="24"/>
      <c r="Q70" s="24"/>
      <c r="R70" s="24"/>
      <c r="S70" s="24"/>
    </row>
    <row r="71" spans="1:19" ht="18" customHeight="1" x14ac:dyDescent="0.2">
      <c r="A71" s="3"/>
      <c r="B71" s="144" t="s">
        <v>137</v>
      </c>
      <c r="C71" s="145"/>
      <c r="D71" s="146"/>
      <c r="E71" s="24">
        <v>2</v>
      </c>
      <c r="F71" s="24" t="s">
        <v>132</v>
      </c>
      <c r="G71" s="24" t="s">
        <v>132</v>
      </c>
      <c r="H71" s="24" t="s">
        <v>132</v>
      </c>
      <c r="I71" s="24" t="s">
        <v>132</v>
      </c>
      <c r="J71" s="89"/>
      <c r="K71" s="90"/>
      <c r="L71" s="90"/>
      <c r="M71" s="90"/>
      <c r="N71" s="91"/>
      <c r="O71" s="24"/>
      <c r="P71" s="24"/>
      <c r="Q71" s="24"/>
      <c r="R71" s="24"/>
      <c r="S71" s="24"/>
    </row>
    <row r="72" spans="1:19" ht="18" customHeight="1" x14ac:dyDescent="0.2">
      <c r="A72" s="3"/>
      <c r="B72" s="144" t="s">
        <v>135</v>
      </c>
      <c r="C72" s="145"/>
      <c r="D72" s="146"/>
      <c r="E72" s="24">
        <v>2</v>
      </c>
      <c r="F72" s="24" t="s">
        <v>132</v>
      </c>
      <c r="G72" s="24" t="s">
        <v>132</v>
      </c>
      <c r="H72" s="24" t="s">
        <v>132</v>
      </c>
      <c r="I72" s="24" t="s">
        <v>132</v>
      </c>
      <c r="J72" s="89"/>
      <c r="K72" s="90"/>
      <c r="L72" s="90"/>
      <c r="M72" s="90"/>
      <c r="N72" s="91"/>
      <c r="O72" s="24"/>
      <c r="P72" s="24"/>
      <c r="Q72" s="24"/>
      <c r="R72" s="24"/>
      <c r="S72" s="24"/>
    </row>
    <row r="73" spans="1:19" ht="18" customHeight="1" x14ac:dyDescent="0.2">
      <c r="A73" s="3"/>
      <c r="B73" s="144"/>
      <c r="C73" s="145"/>
      <c r="D73" s="146"/>
      <c r="E73" s="24"/>
      <c r="F73" s="24"/>
      <c r="G73" s="24"/>
      <c r="H73" s="24"/>
      <c r="I73" s="24"/>
      <c r="J73" s="89"/>
      <c r="K73" s="90"/>
      <c r="L73" s="90"/>
      <c r="M73" s="90"/>
      <c r="N73" s="91"/>
      <c r="O73" s="24"/>
      <c r="P73" s="24"/>
      <c r="Q73" s="24"/>
      <c r="R73" s="24"/>
      <c r="S73" s="24"/>
    </row>
    <row r="74" spans="1:19" ht="18" customHeight="1" x14ac:dyDescent="0.2">
      <c r="A74" s="3"/>
      <c r="B74" s="89"/>
      <c r="C74" s="90"/>
      <c r="D74" s="91"/>
      <c r="E74" s="24"/>
      <c r="F74" s="24"/>
      <c r="G74" s="24"/>
      <c r="H74" s="24"/>
      <c r="I74" s="24"/>
      <c r="J74" s="89"/>
      <c r="K74" s="90"/>
      <c r="L74" s="90"/>
      <c r="M74" s="90"/>
      <c r="N74" s="91"/>
      <c r="O74" s="24"/>
      <c r="P74" s="24"/>
      <c r="Q74" s="24"/>
      <c r="R74" s="24"/>
      <c r="S74" s="24"/>
    </row>
    <row r="75" spans="1:19" ht="18" customHeight="1" x14ac:dyDescent="0.2">
      <c r="A75" s="3"/>
      <c r="B75" s="92"/>
      <c r="C75" s="93"/>
      <c r="D75" s="93"/>
      <c r="E75" s="25"/>
      <c r="F75" s="25"/>
      <c r="G75" s="26"/>
      <c r="H75" s="26"/>
      <c r="I75" s="26"/>
      <c r="J75" s="92"/>
      <c r="K75" s="93"/>
      <c r="L75" s="93"/>
      <c r="M75" s="93"/>
      <c r="N75" s="94"/>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5" t="s">
        <v>54</v>
      </c>
      <c r="C78" s="96"/>
      <c r="D78" s="96"/>
      <c r="E78" s="97"/>
      <c r="F78" s="95" t="s">
        <v>83</v>
      </c>
      <c r="G78" s="96"/>
      <c r="H78" s="96"/>
      <c r="I78" s="97"/>
      <c r="J78" s="147" t="s">
        <v>54</v>
      </c>
      <c r="K78" s="148"/>
      <c r="L78" s="148"/>
      <c r="M78" s="148"/>
      <c r="N78" s="148"/>
      <c r="O78" s="149"/>
      <c r="P78" s="95" t="s">
        <v>83</v>
      </c>
      <c r="Q78" s="96"/>
      <c r="R78" s="96"/>
      <c r="S78" s="97"/>
    </row>
    <row r="79" spans="1:19" ht="18" customHeight="1" x14ac:dyDescent="0.2">
      <c r="A79" s="3"/>
      <c r="B79" s="99" t="s">
        <v>134</v>
      </c>
      <c r="C79" s="100"/>
      <c r="D79" s="100"/>
      <c r="E79" s="101"/>
      <c r="F79" s="162" t="s">
        <v>138</v>
      </c>
      <c r="G79" s="163"/>
      <c r="H79" s="163"/>
      <c r="I79" s="164"/>
      <c r="J79" s="99"/>
      <c r="K79" s="100"/>
      <c r="L79" s="100"/>
      <c r="M79" s="100"/>
      <c r="N79" s="100"/>
      <c r="O79" s="101"/>
      <c r="P79" s="162"/>
      <c r="Q79" s="163"/>
      <c r="R79" s="163"/>
      <c r="S79" s="164"/>
    </row>
    <row r="80" spans="1:19" ht="18" customHeight="1" x14ac:dyDescent="0.2">
      <c r="A80" s="3"/>
      <c r="B80" s="89"/>
      <c r="C80" s="90"/>
      <c r="D80" s="90"/>
      <c r="E80" s="91"/>
      <c r="F80" s="128"/>
      <c r="G80" s="129"/>
      <c r="H80" s="129"/>
      <c r="I80" s="130"/>
      <c r="J80" s="89"/>
      <c r="K80" s="90"/>
      <c r="L80" s="90"/>
      <c r="M80" s="90"/>
      <c r="N80" s="90"/>
      <c r="O80" s="91"/>
      <c r="P80" s="128"/>
      <c r="Q80" s="129"/>
      <c r="R80" s="129"/>
      <c r="S80" s="130"/>
    </row>
    <row r="81" spans="1:19" ht="18" customHeight="1" x14ac:dyDescent="0.2">
      <c r="A81" s="3"/>
      <c r="B81" s="89"/>
      <c r="C81" s="90"/>
      <c r="D81" s="90"/>
      <c r="E81" s="91"/>
      <c r="F81" s="128"/>
      <c r="G81" s="129"/>
      <c r="H81" s="129"/>
      <c r="I81" s="130"/>
      <c r="J81" s="89"/>
      <c r="K81" s="90"/>
      <c r="L81" s="90"/>
      <c r="M81" s="90"/>
      <c r="N81" s="90"/>
      <c r="O81" s="91"/>
      <c r="P81" s="128"/>
      <c r="Q81" s="129"/>
      <c r="R81" s="129"/>
      <c r="S81" s="130"/>
    </row>
    <row r="82" spans="1:19" ht="18" customHeight="1" x14ac:dyDescent="0.2">
      <c r="A82" s="3"/>
      <c r="B82" s="89"/>
      <c r="C82" s="90"/>
      <c r="D82" s="90"/>
      <c r="E82" s="91"/>
      <c r="F82" s="128"/>
      <c r="G82" s="129"/>
      <c r="H82" s="129"/>
      <c r="I82" s="130"/>
      <c r="J82" s="89"/>
      <c r="K82" s="90"/>
      <c r="L82" s="90"/>
      <c r="M82" s="90"/>
      <c r="N82" s="90"/>
      <c r="O82" s="91"/>
      <c r="P82" s="128"/>
      <c r="Q82" s="129"/>
      <c r="R82" s="129"/>
      <c r="S82" s="130"/>
    </row>
    <row r="83" spans="1:19" ht="18" customHeight="1" x14ac:dyDescent="0.2">
      <c r="A83" s="3"/>
      <c r="B83" s="89"/>
      <c r="C83" s="90"/>
      <c r="D83" s="90"/>
      <c r="E83" s="91"/>
      <c r="F83" s="128"/>
      <c r="G83" s="129"/>
      <c r="H83" s="129"/>
      <c r="I83" s="130"/>
      <c r="J83" s="89"/>
      <c r="K83" s="90"/>
      <c r="L83" s="90"/>
      <c r="M83" s="90"/>
      <c r="N83" s="90"/>
      <c r="O83" s="91"/>
      <c r="P83" s="128"/>
      <c r="Q83" s="129"/>
      <c r="R83" s="129"/>
      <c r="S83" s="130"/>
    </row>
    <row r="84" spans="1:19" ht="18" customHeight="1" x14ac:dyDescent="0.2">
      <c r="A84" s="3"/>
      <c r="B84" s="89"/>
      <c r="C84" s="90"/>
      <c r="D84" s="90"/>
      <c r="E84" s="91"/>
      <c r="F84" s="128"/>
      <c r="G84" s="129"/>
      <c r="H84" s="129"/>
      <c r="I84" s="130"/>
      <c r="J84" s="89"/>
      <c r="K84" s="90"/>
      <c r="L84" s="90"/>
      <c r="M84" s="90"/>
      <c r="N84" s="90"/>
      <c r="O84" s="91"/>
      <c r="P84" s="128"/>
      <c r="Q84" s="129"/>
      <c r="R84" s="129"/>
      <c r="S84" s="130"/>
    </row>
    <row r="85" spans="1:19" ht="18" customHeight="1" x14ac:dyDescent="0.2">
      <c r="A85" s="3"/>
      <c r="B85" s="92"/>
      <c r="C85" s="93"/>
      <c r="D85" s="93"/>
      <c r="E85" s="94"/>
      <c r="F85" s="125"/>
      <c r="G85" s="126"/>
      <c r="H85" s="126"/>
      <c r="I85" s="127"/>
      <c r="J85" s="92"/>
      <c r="K85" s="93"/>
      <c r="L85" s="93"/>
      <c r="M85" s="93"/>
      <c r="N85" s="93"/>
      <c r="O85" s="94"/>
      <c r="P85" s="125"/>
      <c r="Q85" s="126"/>
      <c r="R85" s="126"/>
      <c r="S85" s="127"/>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60" t="s">
        <v>55</v>
      </c>
      <c r="C88" s="161"/>
      <c r="D88" s="96" t="s">
        <v>56</v>
      </c>
      <c r="E88" s="96"/>
      <c r="F88" s="96"/>
      <c r="G88" s="96"/>
      <c r="H88" s="96"/>
      <c r="I88" s="96"/>
      <c r="J88" s="96"/>
      <c r="K88" s="96"/>
      <c r="L88" s="96"/>
      <c r="M88" s="96"/>
      <c r="N88" s="96"/>
      <c r="O88" s="96"/>
      <c r="P88" s="96"/>
      <c r="Q88" s="96"/>
      <c r="R88" s="96"/>
      <c r="S88" s="97"/>
    </row>
    <row r="89" spans="1:19" ht="143.4" customHeight="1" x14ac:dyDescent="0.2">
      <c r="B89" s="150" t="s">
        <v>62</v>
      </c>
      <c r="C89" s="28" t="s">
        <v>57</v>
      </c>
      <c r="D89" s="157" t="s">
        <v>154</v>
      </c>
      <c r="E89" s="158"/>
      <c r="F89" s="158"/>
      <c r="G89" s="158"/>
      <c r="H89" s="158"/>
      <c r="I89" s="158"/>
      <c r="J89" s="158"/>
      <c r="K89" s="158"/>
      <c r="L89" s="158"/>
      <c r="M89" s="158"/>
      <c r="N89" s="158"/>
      <c r="O89" s="158"/>
      <c r="P89" s="158"/>
      <c r="Q89" s="158"/>
      <c r="R89" s="158"/>
      <c r="S89" s="159"/>
    </row>
    <row r="90" spans="1:19" ht="97.5" customHeight="1" x14ac:dyDescent="0.2">
      <c r="B90" s="152"/>
      <c r="C90" s="29" t="s">
        <v>78</v>
      </c>
      <c r="D90" s="131" t="s">
        <v>155</v>
      </c>
      <c r="E90" s="132"/>
      <c r="F90" s="132"/>
      <c r="G90" s="132"/>
      <c r="H90" s="132"/>
      <c r="I90" s="132"/>
      <c r="J90" s="132"/>
      <c r="K90" s="132"/>
      <c r="L90" s="132"/>
      <c r="M90" s="132"/>
      <c r="N90" s="132"/>
      <c r="O90" s="132"/>
      <c r="P90" s="132"/>
      <c r="Q90" s="132"/>
      <c r="R90" s="132"/>
      <c r="S90" s="133"/>
    </row>
    <row r="91" spans="1:19" ht="114" customHeight="1" x14ac:dyDescent="0.2">
      <c r="B91" s="150" t="s">
        <v>63</v>
      </c>
      <c r="C91" s="30" t="s">
        <v>72</v>
      </c>
      <c r="D91" s="134" t="s">
        <v>165</v>
      </c>
      <c r="E91" s="135"/>
      <c r="F91" s="135"/>
      <c r="G91" s="135"/>
      <c r="H91" s="135"/>
      <c r="I91" s="135"/>
      <c r="J91" s="135"/>
      <c r="K91" s="135"/>
      <c r="L91" s="135"/>
      <c r="M91" s="135"/>
      <c r="N91" s="135"/>
      <c r="O91" s="135"/>
      <c r="P91" s="135"/>
      <c r="Q91" s="135"/>
      <c r="R91" s="135"/>
      <c r="S91" s="136"/>
    </row>
    <row r="92" spans="1:19" ht="97.5" customHeight="1" x14ac:dyDescent="0.2">
      <c r="B92" s="151"/>
      <c r="C92" s="31" t="s">
        <v>73</v>
      </c>
      <c r="D92" s="140" t="s">
        <v>166</v>
      </c>
      <c r="E92" s="141"/>
      <c r="F92" s="141"/>
      <c r="G92" s="141"/>
      <c r="H92" s="141"/>
      <c r="I92" s="141"/>
      <c r="J92" s="141"/>
      <c r="K92" s="141"/>
      <c r="L92" s="141"/>
      <c r="M92" s="141"/>
      <c r="N92" s="141"/>
      <c r="O92" s="141"/>
      <c r="P92" s="141"/>
      <c r="Q92" s="141"/>
      <c r="R92" s="141"/>
      <c r="S92" s="142"/>
    </row>
    <row r="93" spans="1:19" ht="97.5" customHeight="1" x14ac:dyDescent="0.2">
      <c r="B93" s="150" t="s">
        <v>64</v>
      </c>
      <c r="C93" s="30" t="s">
        <v>74</v>
      </c>
      <c r="D93" s="134" t="s">
        <v>174</v>
      </c>
      <c r="E93" s="135"/>
      <c r="F93" s="135"/>
      <c r="G93" s="135"/>
      <c r="H93" s="135"/>
      <c r="I93" s="135"/>
      <c r="J93" s="135"/>
      <c r="K93" s="135"/>
      <c r="L93" s="135"/>
      <c r="M93" s="135"/>
      <c r="N93" s="135"/>
      <c r="O93" s="135"/>
      <c r="P93" s="135"/>
      <c r="Q93" s="135"/>
      <c r="R93" s="135"/>
      <c r="S93" s="136"/>
    </row>
    <row r="94" spans="1:19" ht="97.5" customHeight="1" x14ac:dyDescent="0.2">
      <c r="B94" s="151"/>
      <c r="C94" s="32" t="s">
        <v>75</v>
      </c>
      <c r="D94" s="137" t="s">
        <v>164</v>
      </c>
      <c r="E94" s="138"/>
      <c r="F94" s="138"/>
      <c r="G94" s="138"/>
      <c r="H94" s="138"/>
      <c r="I94" s="138"/>
      <c r="J94" s="138"/>
      <c r="K94" s="138"/>
      <c r="L94" s="138"/>
      <c r="M94" s="138"/>
      <c r="N94" s="138"/>
      <c r="O94" s="138"/>
      <c r="P94" s="138"/>
      <c r="Q94" s="138"/>
      <c r="R94" s="138"/>
      <c r="S94" s="139"/>
    </row>
    <row r="95" spans="1:19" ht="120" customHeight="1" x14ac:dyDescent="0.2">
      <c r="B95" s="150" t="s">
        <v>79</v>
      </c>
      <c r="C95" s="28" t="s">
        <v>59</v>
      </c>
      <c r="D95" s="157" t="s">
        <v>167</v>
      </c>
      <c r="E95" s="158"/>
      <c r="F95" s="158"/>
      <c r="G95" s="158"/>
      <c r="H95" s="158"/>
      <c r="I95" s="158"/>
      <c r="J95" s="158"/>
      <c r="K95" s="158"/>
      <c r="L95" s="158"/>
      <c r="M95" s="158"/>
      <c r="N95" s="158"/>
      <c r="O95" s="158"/>
      <c r="P95" s="158"/>
      <c r="Q95" s="158"/>
      <c r="R95" s="158"/>
      <c r="S95" s="159"/>
    </row>
    <row r="96" spans="1:19" ht="97.5" customHeight="1" x14ac:dyDescent="0.2">
      <c r="B96" s="151"/>
      <c r="C96" s="31" t="s">
        <v>61</v>
      </c>
      <c r="D96" s="140" t="s">
        <v>168</v>
      </c>
      <c r="E96" s="141"/>
      <c r="F96" s="141"/>
      <c r="G96" s="141"/>
      <c r="H96" s="141"/>
      <c r="I96" s="141"/>
      <c r="J96" s="141"/>
      <c r="K96" s="141"/>
      <c r="L96" s="141"/>
      <c r="M96" s="141"/>
      <c r="N96" s="141"/>
      <c r="O96" s="141"/>
      <c r="P96" s="141"/>
      <c r="Q96" s="141"/>
      <c r="R96" s="141"/>
      <c r="S96" s="142"/>
    </row>
    <row r="97" spans="1:19" ht="173.4" customHeight="1" x14ac:dyDescent="0.2">
      <c r="B97" s="150" t="s">
        <v>80</v>
      </c>
      <c r="C97" s="30" t="s">
        <v>58</v>
      </c>
      <c r="D97" s="153" t="s">
        <v>169</v>
      </c>
      <c r="E97" s="100"/>
      <c r="F97" s="100"/>
      <c r="G97" s="100"/>
      <c r="H97" s="100"/>
      <c r="I97" s="100"/>
      <c r="J97" s="100"/>
      <c r="K97" s="100"/>
      <c r="L97" s="100"/>
      <c r="M97" s="100"/>
      <c r="N97" s="100"/>
      <c r="O97" s="100"/>
      <c r="P97" s="100"/>
      <c r="Q97" s="100"/>
      <c r="R97" s="100"/>
      <c r="S97" s="101"/>
    </row>
    <row r="98" spans="1:19" ht="97.5" customHeight="1" x14ac:dyDescent="0.2">
      <c r="B98" s="152"/>
      <c r="C98" s="33" t="s">
        <v>76</v>
      </c>
      <c r="D98" s="143" t="s">
        <v>170</v>
      </c>
      <c r="E98" s="90"/>
      <c r="F98" s="90"/>
      <c r="G98" s="90"/>
      <c r="H98" s="90"/>
      <c r="I98" s="90"/>
      <c r="J98" s="90"/>
      <c r="K98" s="90"/>
      <c r="L98" s="90"/>
      <c r="M98" s="90"/>
      <c r="N98" s="90"/>
      <c r="O98" s="90"/>
      <c r="P98" s="90"/>
      <c r="Q98" s="90"/>
      <c r="R98" s="90"/>
      <c r="S98" s="91"/>
    </row>
    <row r="99" spans="1:19" ht="97.5" customHeight="1" x14ac:dyDescent="0.2">
      <c r="B99" s="151"/>
      <c r="C99" s="32" t="s">
        <v>77</v>
      </c>
      <c r="D99" s="154" t="s">
        <v>171</v>
      </c>
      <c r="E99" s="155"/>
      <c r="F99" s="155"/>
      <c r="G99" s="155"/>
      <c r="H99" s="155"/>
      <c r="I99" s="155"/>
      <c r="J99" s="155"/>
      <c r="K99" s="155"/>
      <c r="L99" s="155"/>
      <c r="M99" s="155"/>
      <c r="N99" s="155"/>
      <c r="O99" s="155"/>
      <c r="P99" s="155"/>
      <c r="Q99" s="155"/>
      <c r="R99" s="155"/>
      <c r="S99" s="156"/>
    </row>
    <row r="100" spans="1:19" ht="6" customHeight="1" x14ac:dyDescent="0.2"/>
    <row r="101" spans="1:19" ht="18.75" customHeight="1" x14ac:dyDescent="0.2">
      <c r="A101" s="1" t="s">
        <v>121</v>
      </c>
    </row>
    <row r="102" spans="1:19" ht="116.4" customHeight="1" x14ac:dyDescent="0.2">
      <c r="B102" s="122" t="s">
        <v>158</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F69:I75 Q47:S53 G47:I53 Q58:S64 P69:S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13" sqref="C13"/>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68" t="str">
        <f>'様式１　プログラムを構成する授業科目'!C2</f>
        <v>岡山学院大学</v>
      </c>
      <c r="AN2" s="168"/>
      <c r="AO2" s="168"/>
      <c r="AP2" s="168"/>
      <c r="AQ2" s="168"/>
    </row>
    <row r="3" spans="1:45" ht="18" customHeight="1" x14ac:dyDescent="0.2">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69" t="s">
        <v>172</v>
      </c>
      <c r="D5" s="170"/>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1" t="s">
        <v>45</v>
      </c>
      <c r="C9" s="186" t="s">
        <v>87</v>
      </c>
      <c r="D9" s="174" t="s">
        <v>47</v>
      </c>
      <c r="E9" s="177" t="s">
        <v>40</v>
      </c>
      <c r="F9" s="167" t="s">
        <v>86</v>
      </c>
      <c r="G9" s="167"/>
      <c r="H9" s="167"/>
      <c r="I9" s="167"/>
      <c r="J9" s="167"/>
      <c r="K9" s="167"/>
      <c r="L9" s="167" t="s">
        <v>49</v>
      </c>
      <c r="M9" s="167"/>
      <c r="N9" s="167"/>
      <c r="O9" s="167"/>
      <c r="P9" s="167"/>
      <c r="Q9" s="167"/>
      <c r="R9" s="167" t="s">
        <v>50</v>
      </c>
      <c r="S9" s="167"/>
      <c r="T9" s="167"/>
      <c r="U9" s="167"/>
      <c r="V9" s="167"/>
      <c r="W9" s="167"/>
      <c r="X9" s="167" t="s">
        <v>101</v>
      </c>
      <c r="Y9" s="167"/>
      <c r="Z9" s="167"/>
      <c r="AA9" s="167"/>
      <c r="AB9" s="167"/>
      <c r="AC9" s="167"/>
      <c r="AD9" s="167" t="s">
        <v>51</v>
      </c>
      <c r="AE9" s="167"/>
      <c r="AF9" s="167"/>
      <c r="AG9" s="167"/>
      <c r="AH9" s="167"/>
      <c r="AI9" s="167"/>
      <c r="AJ9" s="167" t="s">
        <v>52</v>
      </c>
      <c r="AK9" s="167"/>
      <c r="AL9" s="167"/>
      <c r="AM9" s="167"/>
      <c r="AN9" s="167"/>
      <c r="AO9" s="167"/>
      <c r="AP9" s="180" t="s">
        <v>35</v>
      </c>
      <c r="AQ9" s="183" t="s">
        <v>32</v>
      </c>
      <c r="AS9" s="2"/>
    </row>
    <row r="10" spans="1:45" ht="16.95" customHeight="1" x14ac:dyDescent="0.2">
      <c r="B10" s="172"/>
      <c r="C10" s="187"/>
      <c r="D10" s="175"/>
      <c r="E10" s="178"/>
      <c r="F10" s="165" t="s">
        <v>97</v>
      </c>
      <c r="G10" s="166"/>
      <c r="H10" s="166"/>
      <c r="I10" s="165" t="s">
        <v>29</v>
      </c>
      <c r="J10" s="166"/>
      <c r="K10" s="166"/>
      <c r="L10" s="165" t="s">
        <v>97</v>
      </c>
      <c r="M10" s="166"/>
      <c r="N10" s="166"/>
      <c r="O10" s="165" t="s">
        <v>29</v>
      </c>
      <c r="P10" s="166"/>
      <c r="Q10" s="166"/>
      <c r="R10" s="165" t="s">
        <v>97</v>
      </c>
      <c r="S10" s="166"/>
      <c r="T10" s="166"/>
      <c r="U10" s="165" t="s">
        <v>29</v>
      </c>
      <c r="V10" s="166"/>
      <c r="W10" s="166"/>
      <c r="X10" s="165" t="s">
        <v>97</v>
      </c>
      <c r="Y10" s="166"/>
      <c r="Z10" s="166"/>
      <c r="AA10" s="165" t="s">
        <v>29</v>
      </c>
      <c r="AB10" s="166"/>
      <c r="AC10" s="166"/>
      <c r="AD10" s="165" t="s">
        <v>97</v>
      </c>
      <c r="AE10" s="166"/>
      <c r="AF10" s="166"/>
      <c r="AG10" s="165" t="s">
        <v>29</v>
      </c>
      <c r="AH10" s="166"/>
      <c r="AI10" s="166"/>
      <c r="AJ10" s="165" t="s">
        <v>97</v>
      </c>
      <c r="AK10" s="166"/>
      <c r="AL10" s="166"/>
      <c r="AM10" s="165" t="s">
        <v>29</v>
      </c>
      <c r="AN10" s="166"/>
      <c r="AO10" s="166"/>
      <c r="AP10" s="181"/>
      <c r="AQ10" s="184"/>
      <c r="AS10" s="2"/>
    </row>
    <row r="11" spans="1:45" ht="18" customHeight="1" x14ac:dyDescent="0.2">
      <c r="B11" s="173"/>
      <c r="C11" s="188"/>
      <c r="D11" s="176"/>
      <c r="E11" s="179"/>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2"/>
      <c r="AQ11" s="185"/>
      <c r="AS11" s="2"/>
    </row>
    <row r="12" spans="1:45" ht="18" customHeight="1" x14ac:dyDescent="0.2">
      <c r="A12" s="6"/>
      <c r="B12" s="11" t="s">
        <v>130</v>
      </c>
      <c r="C12" s="62">
        <v>102</v>
      </c>
      <c r="D12" s="63">
        <v>40</v>
      </c>
      <c r="E12" s="64">
        <v>160</v>
      </c>
      <c r="F12" s="64">
        <f>G12+H12</f>
        <v>24</v>
      </c>
      <c r="G12" s="65">
        <v>11</v>
      </c>
      <c r="H12" s="66">
        <v>13</v>
      </c>
      <c r="I12" s="64">
        <f>J12+K12</f>
        <v>0</v>
      </c>
      <c r="J12" s="65">
        <v>0</v>
      </c>
      <c r="K12" s="66">
        <v>0</v>
      </c>
      <c r="L12" s="64">
        <f>M12+N12</f>
        <v>22</v>
      </c>
      <c r="M12" s="65">
        <v>5</v>
      </c>
      <c r="N12" s="66">
        <v>17</v>
      </c>
      <c r="O12" s="64">
        <f>P12+Q12</f>
        <v>8</v>
      </c>
      <c r="P12" s="65">
        <v>4</v>
      </c>
      <c r="Q12" s="66">
        <v>4</v>
      </c>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46</v>
      </c>
      <c r="AQ12" s="21">
        <f t="shared" ref="AQ12:AQ32" si="0">AP12/E12</f>
        <v>0.28749999999999998</v>
      </c>
    </row>
    <row r="13" spans="1:45" ht="18" customHeight="1" x14ac:dyDescent="0.2">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2">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2">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2">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2">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2">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2">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2">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2">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2">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2">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2">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2">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2">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2">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2">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2">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2">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5">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2">
      <c r="B32" s="14" t="s">
        <v>33</v>
      </c>
      <c r="C32" s="77">
        <f t="shared" ref="C32" si="14">SUM(C12:C31)</f>
        <v>102</v>
      </c>
      <c r="D32" s="78">
        <f t="shared" ref="D32:AP32" si="15">SUM(D12:D31)</f>
        <v>40</v>
      </c>
      <c r="E32" s="79">
        <f t="shared" si="15"/>
        <v>160</v>
      </c>
      <c r="F32" s="79">
        <f t="shared" si="15"/>
        <v>24</v>
      </c>
      <c r="G32" s="80">
        <f t="shared" si="15"/>
        <v>11</v>
      </c>
      <c r="H32" s="81">
        <f t="shared" si="15"/>
        <v>13</v>
      </c>
      <c r="I32" s="79">
        <f t="shared" ref="I32:N32" si="16">SUM(I12:I31)</f>
        <v>0</v>
      </c>
      <c r="J32" s="80">
        <f t="shared" si="16"/>
        <v>0</v>
      </c>
      <c r="K32" s="81">
        <f t="shared" si="16"/>
        <v>0</v>
      </c>
      <c r="L32" s="79">
        <f t="shared" si="16"/>
        <v>22</v>
      </c>
      <c r="M32" s="80">
        <f t="shared" si="16"/>
        <v>5</v>
      </c>
      <c r="N32" s="81">
        <f t="shared" si="16"/>
        <v>17</v>
      </c>
      <c r="O32" s="79">
        <f t="shared" ref="O32:T32" si="17">SUM(O12:O31)</f>
        <v>8</v>
      </c>
      <c r="P32" s="80">
        <f t="shared" si="17"/>
        <v>4</v>
      </c>
      <c r="Q32" s="81">
        <f t="shared" si="17"/>
        <v>4</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46</v>
      </c>
      <c r="AQ32" s="9">
        <f t="shared" si="0"/>
        <v>0.28749999999999998</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06" zoomScaleNormal="100" zoomScaleSheetLayoutView="100" workbookViewId="0">
      <selection activeCell="H7" sqref="H7"/>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5" t="str">
        <f>'様式１　プログラムを構成する授業科目'!C2</f>
        <v>岡山学院大学</v>
      </c>
      <c r="I2" s="97"/>
    </row>
    <row r="3" spans="1:9" ht="18.75" customHeight="1" x14ac:dyDescent="0.2">
      <c r="G3" s="35"/>
      <c r="H3" s="10"/>
      <c r="I3" s="10"/>
    </row>
    <row r="4" spans="1:9" ht="18.600000000000001" customHeight="1" x14ac:dyDescent="0.2">
      <c r="A4" s="109" t="s">
        <v>36</v>
      </c>
      <c r="B4" s="109"/>
      <c r="C4" s="109"/>
      <c r="D4" s="109"/>
      <c r="E4" s="109"/>
      <c r="F4" s="109"/>
      <c r="G4" s="109"/>
      <c r="H4" s="109"/>
      <c r="I4" s="109"/>
    </row>
    <row r="5" spans="1:9" ht="13.2" customHeight="1" x14ac:dyDescent="0.2">
      <c r="B5" s="3"/>
      <c r="C5" s="3"/>
      <c r="D5" s="3"/>
      <c r="E5" s="3"/>
      <c r="F5" s="3"/>
      <c r="G5" s="3"/>
      <c r="H5" s="3"/>
      <c r="I5" s="3"/>
    </row>
    <row r="6" spans="1:9" ht="18" customHeight="1" x14ac:dyDescent="0.2">
      <c r="A6" s="1" t="s">
        <v>0</v>
      </c>
      <c r="B6" s="10" t="s">
        <v>91</v>
      </c>
      <c r="C6" s="239" t="s">
        <v>92</v>
      </c>
      <c r="D6" s="239"/>
      <c r="E6" s="34">
        <v>18</v>
      </c>
      <c r="F6" s="3" t="s">
        <v>1</v>
      </c>
      <c r="G6" s="3" t="s">
        <v>2</v>
      </c>
      <c r="H6" s="34">
        <v>15</v>
      </c>
      <c r="I6" s="10" t="s">
        <v>1</v>
      </c>
    </row>
    <row r="7" spans="1:9" ht="12" customHeight="1" x14ac:dyDescent="0.2">
      <c r="C7" s="2"/>
      <c r="D7" s="2"/>
      <c r="E7" s="2"/>
      <c r="F7" s="2"/>
      <c r="G7" s="2"/>
      <c r="H7" s="2"/>
      <c r="I7" s="42"/>
    </row>
    <row r="8" spans="1:9" ht="18" customHeight="1" x14ac:dyDescent="0.2">
      <c r="A8" s="1" t="s">
        <v>3</v>
      </c>
      <c r="B8" s="10" t="s">
        <v>93</v>
      </c>
      <c r="E8" s="3"/>
      <c r="F8" s="3"/>
      <c r="G8" s="3"/>
      <c r="H8" s="34">
        <v>3</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34" t="s">
        <v>140</v>
      </c>
      <c r="D11" s="237"/>
      <c r="E11" s="238"/>
      <c r="F11" s="42"/>
      <c r="G11" s="35" t="s">
        <v>10</v>
      </c>
      <c r="H11" s="234" t="s">
        <v>141</v>
      </c>
      <c r="I11" s="238"/>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34" t="s">
        <v>144</v>
      </c>
      <c r="C14" s="235"/>
      <c r="D14" s="235"/>
      <c r="E14" s="235"/>
      <c r="F14" s="235"/>
      <c r="G14" s="235"/>
      <c r="H14" s="235"/>
      <c r="I14" s="236"/>
    </row>
    <row r="15" spans="1:9" ht="9" customHeight="1" x14ac:dyDescent="0.2">
      <c r="B15" s="3"/>
      <c r="C15" s="3"/>
      <c r="D15" s="3"/>
      <c r="E15" s="3"/>
      <c r="F15" s="3"/>
      <c r="G15" s="3"/>
      <c r="H15" s="3"/>
      <c r="I15" s="3"/>
    </row>
    <row r="16" spans="1:9" ht="18" customHeight="1" x14ac:dyDescent="0.2">
      <c r="B16" s="35" t="s">
        <v>43</v>
      </c>
      <c r="C16" s="234" t="s">
        <v>142</v>
      </c>
      <c r="D16" s="237"/>
      <c r="E16" s="238"/>
      <c r="F16" s="42"/>
      <c r="G16" s="35" t="s">
        <v>10</v>
      </c>
      <c r="H16" s="234" t="s">
        <v>143</v>
      </c>
      <c r="I16" s="238"/>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26" t="s">
        <v>157</v>
      </c>
      <c r="C19" s="227"/>
      <c r="D19" s="227"/>
      <c r="E19" s="227"/>
      <c r="F19" s="227"/>
      <c r="G19" s="227"/>
      <c r="H19" s="227"/>
      <c r="I19" s="228"/>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16" t="s">
        <v>162</v>
      </c>
      <c r="C22" s="217"/>
      <c r="D22" s="217"/>
      <c r="E22" s="217"/>
      <c r="F22" s="217"/>
      <c r="G22" s="217"/>
      <c r="H22" s="217"/>
      <c r="I22" s="218"/>
    </row>
    <row r="23" spans="1:9" ht="18.75" customHeight="1" x14ac:dyDescent="0.2">
      <c r="A23" s="15"/>
      <c r="B23" s="229"/>
      <c r="C23" s="230"/>
      <c r="D23" s="230"/>
      <c r="E23" s="230"/>
      <c r="F23" s="230"/>
      <c r="G23" s="230"/>
      <c r="H23" s="230"/>
      <c r="I23" s="221"/>
    </row>
    <row r="24" spans="1:9" ht="18.75" customHeight="1" x14ac:dyDescent="0.2">
      <c r="A24" s="15"/>
      <c r="B24" s="229"/>
      <c r="C24" s="230"/>
      <c r="D24" s="230"/>
      <c r="E24" s="230"/>
      <c r="F24" s="230"/>
      <c r="G24" s="230"/>
      <c r="H24" s="230"/>
      <c r="I24" s="221"/>
    </row>
    <row r="25" spans="1:9" ht="18.75" customHeight="1" x14ac:dyDescent="0.2">
      <c r="A25" s="15"/>
      <c r="B25" s="229"/>
      <c r="C25" s="230"/>
      <c r="D25" s="230"/>
      <c r="E25" s="230"/>
      <c r="F25" s="230"/>
      <c r="G25" s="230"/>
      <c r="H25" s="230"/>
      <c r="I25" s="221"/>
    </row>
    <row r="26" spans="1:9" ht="18.75" customHeight="1" x14ac:dyDescent="0.2">
      <c r="A26" s="15"/>
      <c r="B26" s="229"/>
      <c r="C26" s="230"/>
      <c r="D26" s="230"/>
      <c r="E26" s="230"/>
      <c r="F26" s="230"/>
      <c r="G26" s="230"/>
      <c r="H26" s="230"/>
      <c r="I26" s="221"/>
    </row>
    <row r="27" spans="1:9" ht="18.75" customHeight="1" x14ac:dyDescent="0.2">
      <c r="A27" s="15"/>
      <c r="B27" s="229"/>
      <c r="C27" s="230"/>
      <c r="D27" s="230"/>
      <c r="E27" s="230"/>
      <c r="F27" s="230"/>
      <c r="G27" s="230"/>
      <c r="H27" s="230"/>
      <c r="I27" s="221"/>
    </row>
    <row r="28" spans="1:9" ht="18.75" customHeight="1" x14ac:dyDescent="0.2">
      <c r="A28" s="15"/>
      <c r="B28" s="229"/>
      <c r="C28" s="230"/>
      <c r="D28" s="230"/>
      <c r="E28" s="230"/>
      <c r="F28" s="230"/>
      <c r="G28" s="230"/>
      <c r="H28" s="230"/>
      <c r="I28" s="221"/>
    </row>
    <row r="29" spans="1:9" ht="18.75" customHeight="1" x14ac:dyDescent="0.2">
      <c r="A29" s="15"/>
      <c r="B29" s="229"/>
      <c r="C29" s="230"/>
      <c r="D29" s="230"/>
      <c r="E29" s="230"/>
      <c r="F29" s="230"/>
      <c r="G29" s="230"/>
      <c r="H29" s="230"/>
      <c r="I29" s="221"/>
    </row>
    <row r="30" spans="1:9" ht="18.75" customHeight="1" x14ac:dyDescent="0.2">
      <c r="A30" s="15"/>
      <c r="B30" s="219"/>
      <c r="C30" s="220"/>
      <c r="D30" s="220"/>
      <c r="E30" s="220"/>
      <c r="F30" s="220"/>
      <c r="G30" s="220"/>
      <c r="H30" s="220"/>
      <c r="I30" s="221"/>
    </row>
    <row r="31" spans="1:9" ht="18.75" customHeight="1" x14ac:dyDescent="0.2">
      <c r="A31" s="15"/>
      <c r="B31" s="219"/>
      <c r="C31" s="220"/>
      <c r="D31" s="220"/>
      <c r="E31" s="220"/>
      <c r="F31" s="220"/>
      <c r="G31" s="220"/>
      <c r="H31" s="220"/>
      <c r="I31" s="221"/>
    </row>
    <row r="32" spans="1:9" ht="18.75" customHeight="1" x14ac:dyDescent="0.2">
      <c r="A32" s="15"/>
      <c r="B32" s="222"/>
      <c r="C32" s="223"/>
      <c r="D32" s="223"/>
      <c r="E32" s="223"/>
      <c r="F32" s="223"/>
      <c r="G32" s="223"/>
      <c r="H32" s="223"/>
      <c r="I32" s="224"/>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16" t="s">
        <v>149</v>
      </c>
      <c r="C35" s="217"/>
      <c r="D35" s="217"/>
      <c r="E35" s="217"/>
      <c r="F35" s="217"/>
      <c r="G35" s="217"/>
      <c r="H35" s="217"/>
      <c r="I35" s="218"/>
    </row>
    <row r="36" spans="1:9" ht="18.75" customHeight="1" x14ac:dyDescent="0.2">
      <c r="A36" s="15"/>
      <c r="B36" s="219"/>
      <c r="C36" s="220"/>
      <c r="D36" s="220"/>
      <c r="E36" s="220"/>
      <c r="F36" s="220"/>
      <c r="G36" s="220"/>
      <c r="H36" s="220"/>
      <c r="I36" s="221"/>
    </row>
    <row r="37" spans="1:9" ht="18.75" customHeight="1" x14ac:dyDescent="0.2">
      <c r="A37" s="15"/>
      <c r="B37" s="219"/>
      <c r="C37" s="220"/>
      <c r="D37" s="220"/>
      <c r="E37" s="220"/>
      <c r="F37" s="220"/>
      <c r="G37" s="220"/>
      <c r="H37" s="220"/>
      <c r="I37" s="221"/>
    </row>
    <row r="38" spans="1:9" ht="18.75" customHeight="1" x14ac:dyDescent="0.2">
      <c r="A38" s="15"/>
      <c r="B38" s="219"/>
      <c r="C38" s="220"/>
      <c r="D38" s="220"/>
      <c r="E38" s="220"/>
      <c r="F38" s="220"/>
      <c r="G38" s="220"/>
      <c r="H38" s="220"/>
      <c r="I38" s="221"/>
    </row>
    <row r="39" spans="1:9" ht="18.75" customHeight="1" x14ac:dyDescent="0.2">
      <c r="A39" s="15"/>
      <c r="B39" s="219"/>
      <c r="C39" s="220"/>
      <c r="D39" s="220"/>
      <c r="E39" s="220"/>
      <c r="F39" s="220"/>
      <c r="G39" s="220"/>
      <c r="H39" s="220"/>
      <c r="I39" s="221"/>
    </row>
    <row r="40" spans="1:9" ht="18.75" customHeight="1" x14ac:dyDescent="0.2">
      <c r="A40" s="15"/>
      <c r="B40" s="219"/>
      <c r="C40" s="220"/>
      <c r="D40" s="220"/>
      <c r="E40" s="220"/>
      <c r="F40" s="220"/>
      <c r="G40" s="220"/>
      <c r="H40" s="220"/>
      <c r="I40" s="221"/>
    </row>
    <row r="41" spans="1:9" ht="18.75" customHeight="1" x14ac:dyDescent="0.2">
      <c r="A41" s="15"/>
      <c r="B41" s="219"/>
      <c r="C41" s="220"/>
      <c r="D41" s="220"/>
      <c r="E41" s="220"/>
      <c r="F41" s="220"/>
      <c r="G41" s="220"/>
      <c r="H41" s="220"/>
      <c r="I41" s="221"/>
    </row>
    <row r="42" spans="1:9" ht="18.75" customHeight="1" x14ac:dyDescent="0.2">
      <c r="A42" s="15"/>
      <c r="B42" s="219"/>
      <c r="C42" s="220"/>
      <c r="D42" s="220"/>
      <c r="E42" s="220"/>
      <c r="F42" s="220"/>
      <c r="G42" s="220"/>
      <c r="H42" s="220"/>
      <c r="I42" s="221"/>
    </row>
    <row r="43" spans="1:9" ht="18.75" customHeight="1" x14ac:dyDescent="0.2">
      <c r="A43" s="15"/>
      <c r="B43" s="219"/>
      <c r="C43" s="220"/>
      <c r="D43" s="220"/>
      <c r="E43" s="220"/>
      <c r="F43" s="220"/>
      <c r="G43" s="220"/>
      <c r="H43" s="220"/>
      <c r="I43" s="221"/>
    </row>
    <row r="44" spans="1:9" ht="18.75" customHeight="1" x14ac:dyDescent="0.2">
      <c r="A44" s="15"/>
      <c r="B44" s="219"/>
      <c r="C44" s="220"/>
      <c r="D44" s="220"/>
      <c r="E44" s="220"/>
      <c r="F44" s="220"/>
      <c r="G44" s="220"/>
      <c r="H44" s="220"/>
      <c r="I44" s="221"/>
    </row>
    <row r="45" spans="1:9" ht="18.75" customHeight="1" x14ac:dyDescent="0.2">
      <c r="A45" s="15"/>
      <c r="B45" s="219"/>
      <c r="C45" s="220"/>
      <c r="D45" s="220"/>
      <c r="E45" s="220"/>
      <c r="F45" s="220"/>
      <c r="G45" s="220"/>
      <c r="H45" s="220"/>
      <c r="I45" s="221"/>
    </row>
    <row r="46" spans="1:9" ht="18.75" customHeight="1" x14ac:dyDescent="0.2">
      <c r="A46" s="15"/>
      <c r="B46" s="222"/>
      <c r="C46" s="223"/>
      <c r="D46" s="223"/>
      <c r="E46" s="223"/>
      <c r="F46" s="223"/>
      <c r="G46" s="223"/>
      <c r="H46" s="223"/>
      <c r="I46" s="224"/>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05">
        <f>'様式２ 履修者等数の実績'!AQ32</f>
        <v>0.28749999999999998</v>
      </c>
      <c r="D49" s="205"/>
      <c r="E49" s="43" t="s">
        <v>66</v>
      </c>
      <c r="F49" s="205">
        <v>1</v>
      </c>
      <c r="G49" s="205"/>
      <c r="H49" s="43" t="s">
        <v>67</v>
      </c>
      <c r="I49" s="44">
        <v>1</v>
      </c>
      <c r="J49" s="1"/>
      <c r="M49" s="1"/>
      <c r="N49" s="45"/>
    </row>
    <row r="50" spans="1:15" s="3" customFormat="1" ht="18.75" customHeight="1" x14ac:dyDescent="0.2">
      <c r="B50" s="46" t="s">
        <v>68</v>
      </c>
      <c r="C50" s="206">
        <v>1</v>
      </c>
      <c r="D50" s="206"/>
      <c r="E50" s="46" t="s">
        <v>90</v>
      </c>
      <c r="F50" s="206">
        <v>1</v>
      </c>
      <c r="G50" s="206"/>
      <c r="H50" s="46" t="s">
        <v>69</v>
      </c>
      <c r="I50" s="47">
        <f>'様式２ 履修者等数の実績'!E32</f>
        <v>160</v>
      </c>
      <c r="J50" s="1"/>
      <c r="M50" s="1"/>
      <c r="N50" s="45"/>
    </row>
    <row r="51" spans="1:15" ht="18.75" customHeight="1" x14ac:dyDescent="0.2">
      <c r="A51" s="1"/>
      <c r="B51" s="231" t="s">
        <v>70</v>
      </c>
      <c r="C51" s="232"/>
      <c r="D51" s="232"/>
      <c r="E51" s="232"/>
      <c r="F51" s="232"/>
      <c r="G51" s="232"/>
      <c r="H51" s="232"/>
      <c r="I51" s="233"/>
      <c r="N51" s="45"/>
      <c r="O51" s="3"/>
    </row>
    <row r="52" spans="1:15" ht="18.75" customHeight="1" x14ac:dyDescent="0.2">
      <c r="A52" s="1"/>
      <c r="B52" s="207" t="s">
        <v>179</v>
      </c>
      <c r="C52" s="208"/>
      <c r="D52" s="208"/>
      <c r="E52" s="208"/>
      <c r="F52" s="208"/>
      <c r="G52" s="208"/>
      <c r="H52" s="208"/>
      <c r="I52" s="209"/>
      <c r="N52" s="45"/>
      <c r="O52" s="3"/>
    </row>
    <row r="53" spans="1:15" ht="18.75" customHeight="1" x14ac:dyDescent="0.2">
      <c r="A53" s="1"/>
      <c r="B53" s="210"/>
      <c r="C53" s="211"/>
      <c r="D53" s="211"/>
      <c r="E53" s="211"/>
      <c r="F53" s="211"/>
      <c r="G53" s="211"/>
      <c r="H53" s="211"/>
      <c r="I53" s="212"/>
      <c r="N53" s="45"/>
      <c r="O53" s="3"/>
    </row>
    <row r="54" spans="1:15" ht="18.75" customHeight="1" x14ac:dyDescent="0.2">
      <c r="A54" s="1"/>
      <c r="B54" s="210"/>
      <c r="C54" s="211"/>
      <c r="D54" s="211"/>
      <c r="E54" s="211"/>
      <c r="F54" s="211"/>
      <c r="G54" s="211"/>
      <c r="H54" s="211"/>
      <c r="I54" s="212"/>
    </row>
    <row r="55" spans="1:15" ht="18.75" customHeight="1" x14ac:dyDescent="0.2">
      <c r="A55" s="1"/>
      <c r="B55" s="210"/>
      <c r="C55" s="211"/>
      <c r="D55" s="211"/>
      <c r="E55" s="211"/>
      <c r="F55" s="211"/>
      <c r="G55" s="211"/>
      <c r="H55" s="211"/>
      <c r="I55" s="212"/>
    </row>
    <row r="56" spans="1:15" ht="18.75" customHeight="1" x14ac:dyDescent="0.2">
      <c r="A56" s="1"/>
      <c r="B56" s="210"/>
      <c r="C56" s="211"/>
      <c r="D56" s="211"/>
      <c r="E56" s="211"/>
      <c r="F56" s="211"/>
      <c r="G56" s="211"/>
      <c r="H56" s="211"/>
      <c r="I56" s="212"/>
    </row>
    <row r="57" spans="1:15" ht="18.75" customHeight="1" x14ac:dyDescent="0.2">
      <c r="A57" s="1"/>
      <c r="B57" s="210"/>
      <c r="C57" s="211"/>
      <c r="D57" s="211"/>
      <c r="E57" s="211"/>
      <c r="F57" s="211"/>
      <c r="G57" s="211"/>
      <c r="H57" s="211"/>
      <c r="I57" s="212"/>
    </row>
    <row r="58" spans="1:15" ht="18.75" customHeight="1" x14ac:dyDescent="0.2">
      <c r="A58" s="1"/>
      <c r="B58" s="210"/>
      <c r="C58" s="211"/>
      <c r="D58" s="211"/>
      <c r="E58" s="211"/>
      <c r="F58" s="211"/>
      <c r="G58" s="211"/>
      <c r="H58" s="211"/>
      <c r="I58" s="212"/>
    </row>
    <row r="59" spans="1:15" ht="18.75" customHeight="1" x14ac:dyDescent="0.2">
      <c r="A59" s="1"/>
      <c r="B59" s="210"/>
      <c r="C59" s="211"/>
      <c r="D59" s="211"/>
      <c r="E59" s="211"/>
      <c r="F59" s="211"/>
      <c r="G59" s="211"/>
      <c r="H59" s="211"/>
      <c r="I59" s="212"/>
    </row>
    <row r="60" spans="1:15" ht="18.75" customHeight="1" x14ac:dyDescent="0.2">
      <c r="A60" s="1"/>
      <c r="B60" s="210"/>
      <c r="C60" s="211"/>
      <c r="D60" s="211"/>
      <c r="E60" s="211"/>
      <c r="F60" s="211"/>
      <c r="G60" s="211"/>
      <c r="H60" s="211"/>
      <c r="I60" s="212"/>
    </row>
    <row r="61" spans="1:15" ht="18.75" customHeight="1" x14ac:dyDescent="0.2">
      <c r="A61" s="1"/>
      <c r="B61" s="210"/>
      <c r="C61" s="211"/>
      <c r="D61" s="211"/>
      <c r="E61" s="211"/>
      <c r="F61" s="211"/>
      <c r="G61" s="211"/>
      <c r="H61" s="211"/>
      <c r="I61" s="212"/>
    </row>
    <row r="62" spans="1:15" ht="18.75" customHeight="1" x14ac:dyDescent="0.2">
      <c r="A62" s="1"/>
      <c r="B62" s="210"/>
      <c r="C62" s="211"/>
      <c r="D62" s="211"/>
      <c r="E62" s="211"/>
      <c r="F62" s="211"/>
      <c r="G62" s="211"/>
      <c r="H62" s="211"/>
      <c r="I62" s="212"/>
    </row>
    <row r="63" spans="1:15" ht="18.75" customHeight="1" x14ac:dyDescent="0.2">
      <c r="A63" s="1"/>
      <c r="B63" s="213"/>
      <c r="C63" s="214"/>
      <c r="D63" s="214"/>
      <c r="E63" s="214"/>
      <c r="F63" s="214"/>
      <c r="G63" s="214"/>
      <c r="H63" s="214"/>
      <c r="I63" s="215"/>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89" t="s">
        <v>150</v>
      </c>
      <c r="C66" s="190"/>
      <c r="D66" s="190"/>
      <c r="E66" s="190"/>
      <c r="F66" s="190"/>
      <c r="G66" s="190"/>
      <c r="H66" s="190"/>
      <c r="I66" s="191"/>
    </row>
    <row r="67" spans="1:9" ht="18.75" customHeight="1" x14ac:dyDescent="0.2">
      <c r="A67" s="4"/>
      <c r="B67" s="192"/>
      <c r="C67" s="193"/>
      <c r="D67" s="193"/>
      <c r="E67" s="193"/>
      <c r="F67" s="193"/>
      <c r="G67" s="193"/>
      <c r="H67" s="193"/>
      <c r="I67" s="194"/>
    </row>
    <row r="68" spans="1:9" ht="18.75" customHeight="1" x14ac:dyDescent="0.2">
      <c r="A68" s="4"/>
      <c r="B68" s="192"/>
      <c r="C68" s="193"/>
      <c r="D68" s="193"/>
      <c r="E68" s="193"/>
      <c r="F68" s="193"/>
      <c r="G68" s="193"/>
      <c r="H68" s="193"/>
      <c r="I68" s="194"/>
    </row>
    <row r="69" spans="1:9" ht="18.75" customHeight="1" x14ac:dyDescent="0.2">
      <c r="A69" s="4"/>
      <c r="B69" s="192"/>
      <c r="C69" s="193"/>
      <c r="D69" s="193"/>
      <c r="E69" s="193"/>
      <c r="F69" s="193"/>
      <c r="G69" s="193"/>
      <c r="H69" s="193"/>
      <c r="I69" s="194"/>
    </row>
    <row r="70" spans="1:9" ht="18.75" customHeight="1" x14ac:dyDescent="0.2">
      <c r="A70" s="4"/>
      <c r="B70" s="192"/>
      <c r="C70" s="193"/>
      <c r="D70" s="193"/>
      <c r="E70" s="193"/>
      <c r="F70" s="193"/>
      <c r="G70" s="193"/>
      <c r="H70" s="193"/>
      <c r="I70" s="194"/>
    </row>
    <row r="71" spans="1:9" ht="18.75" customHeight="1" x14ac:dyDescent="0.2">
      <c r="A71" s="4"/>
      <c r="B71" s="192"/>
      <c r="C71" s="193"/>
      <c r="D71" s="193"/>
      <c r="E71" s="193"/>
      <c r="F71" s="193"/>
      <c r="G71" s="193"/>
      <c r="H71" s="193"/>
      <c r="I71" s="194"/>
    </row>
    <row r="72" spans="1:9" ht="18.75" customHeight="1" x14ac:dyDescent="0.2">
      <c r="A72" s="4"/>
      <c r="B72" s="192"/>
      <c r="C72" s="193"/>
      <c r="D72" s="193"/>
      <c r="E72" s="193"/>
      <c r="F72" s="193"/>
      <c r="G72" s="193"/>
      <c r="H72" s="193"/>
      <c r="I72" s="194"/>
    </row>
    <row r="73" spans="1:9" ht="18.75" customHeight="1" x14ac:dyDescent="0.2">
      <c r="A73" s="4"/>
      <c r="B73" s="192"/>
      <c r="C73" s="193"/>
      <c r="D73" s="193"/>
      <c r="E73" s="193"/>
      <c r="F73" s="193"/>
      <c r="G73" s="193"/>
      <c r="H73" s="193"/>
      <c r="I73" s="194"/>
    </row>
    <row r="74" spans="1:9" ht="18.75" customHeight="1" x14ac:dyDescent="0.2">
      <c r="A74" s="4"/>
      <c r="B74" s="192"/>
      <c r="C74" s="193"/>
      <c r="D74" s="193"/>
      <c r="E74" s="193"/>
      <c r="F74" s="193"/>
      <c r="G74" s="193"/>
      <c r="H74" s="193"/>
      <c r="I74" s="194"/>
    </row>
    <row r="75" spans="1:9" ht="18.75" customHeight="1" x14ac:dyDescent="0.2">
      <c r="A75" s="4"/>
      <c r="B75" s="192"/>
      <c r="C75" s="193"/>
      <c r="D75" s="193"/>
      <c r="E75" s="193"/>
      <c r="F75" s="193"/>
      <c r="G75" s="193"/>
      <c r="H75" s="193"/>
      <c r="I75" s="194"/>
    </row>
    <row r="76" spans="1:9" ht="18.75" customHeight="1" x14ac:dyDescent="0.2">
      <c r="A76" s="4"/>
      <c r="B76" s="192"/>
      <c r="C76" s="193"/>
      <c r="D76" s="193"/>
      <c r="E76" s="193"/>
      <c r="F76" s="193"/>
      <c r="G76" s="193"/>
      <c r="H76" s="193"/>
      <c r="I76" s="194"/>
    </row>
    <row r="77" spans="1:9" ht="18.75" customHeight="1" x14ac:dyDescent="0.2">
      <c r="A77" s="4"/>
      <c r="B77" s="195"/>
      <c r="C77" s="196"/>
      <c r="D77" s="196"/>
      <c r="E77" s="196"/>
      <c r="F77" s="196"/>
      <c r="G77" s="196"/>
      <c r="H77" s="196"/>
      <c r="I77" s="197"/>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89" t="s">
        <v>151</v>
      </c>
      <c r="C80" s="190"/>
      <c r="D80" s="190"/>
      <c r="E80" s="190"/>
      <c r="F80" s="190"/>
      <c r="G80" s="190"/>
      <c r="H80" s="190"/>
      <c r="I80" s="198"/>
    </row>
    <row r="81" spans="1:9" ht="18.75" customHeight="1" x14ac:dyDescent="0.2">
      <c r="A81" s="1"/>
      <c r="B81" s="199"/>
      <c r="C81" s="200"/>
      <c r="D81" s="200"/>
      <c r="E81" s="200"/>
      <c r="F81" s="200"/>
      <c r="G81" s="200"/>
      <c r="H81" s="200"/>
      <c r="I81" s="201"/>
    </row>
    <row r="82" spans="1:9" ht="18.75" customHeight="1" x14ac:dyDescent="0.2">
      <c r="A82" s="1"/>
      <c r="B82" s="199"/>
      <c r="C82" s="200"/>
      <c r="D82" s="200"/>
      <c r="E82" s="200"/>
      <c r="F82" s="200"/>
      <c r="G82" s="200"/>
      <c r="H82" s="200"/>
      <c r="I82" s="201"/>
    </row>
    <row r="83" spans="1:9" ht="18.75" customHeight="1" x14ac:dyDescent="0.2">
      <c r="A83" s="1"/>
      <c r="B83" s="199"/>
      <c r="C83" s="200"/>
      <c r="D83" s="200"/>
      <c r="E83" s="200"/>
      <c r="F83" s="200"/>
      <c r="G83" s="200"/>
      <c r="H83" s="200"/>
      <c r="I83" s="201"/>
    </row>
    <row r="84" spans="1:9" ht="18.75" customHeight="1" x14ac:dyDescent="0.2">
      <c r="A84" s="1"/>
      <c r="B84" s="199"/>
      <c r="C84" s="200"/>
      <c r="D84" s="200"/>
      <c r="E84" s="200"/>
      <c r="F84" s="200"/>
      <c r="G84" s="200"/>
      <c r="H84" s="200"/>
      <c r="I84" s="201"/>
    </row>
    <row r="85" spans="1:9" ht="18.75" customHeight="1" x14ac:dyDescent="0.2">
      <c r="A85" s="1"/>
      <c r="B85" s="199"/>
      <c r="C85" s="200"/>
      <c r="D85" s="200"/>
      <c r="E85" s="200"/>
      <c r="F85" s="200"/>
      <c r="G85" s="200"/>
      <c r="H85" s="200"/>
      <c r="I85" s="201"/>
    </row>
    <row r="86" spans="1:9" ht="18.75" customHeight="1" x14ac:dyDescent="0.2">
      <c r="A86" s="1"/>
      <c r="B86" s="199"/>
      <c r="C86" s="200"/>
      <c r="D86" s="200"/>
      <c r="E86" s="200"/>
      <c r="F86" s="200"/>
      <c r="G86" s="200"/>
      <c r="H86" s="200"/>
      <c r="I86" s="201"/>
    </row>
    <row r="87" spans="1:9" ht="18.75" customHeight="1" x14ac:dyDescent="0.2">
      <c r="A87" s="1"/>
      <c r="B87" s="199"/>
      <c r="C87" s="200"/>
      <c r="D87" s="200"/>
      <c r="E87" s="200"/>
      <c r="F87" s="200"/>
      <c r="G87" s="200"/>
      <c r="H87" s="200"/>
      <c r="I87" s="201"/>
    </row>
    <row r="88" spans="1:9" ht="18.75" customHeight="1" x14ac:dyDescent="0.2">
      <c r="A88" s="1"/>
      <c r="B88" s="199"/>
      <c r="C88" s="200"/>
      <c r="D88" s="200"/>
      <c r="E88" s="200"/>
      <c r="F88" s="200"/>
      <c r="G88" s="200"/>
      <c r="H88" s="200"/>
      <c r="I88" s="201"/>
    </row>
    <row r="89" spans="1:9" ht="18.75" customHeight="1" x14ac:dyDescent="0.2">
      <c r="A89" s="1"/>
      <c r="B89" s="199"/>
      <c r="C89" s="200"/>
      <c r="D89" s="200"/>
      <c r="E89" s="200"/>
      <c r="F89" s="200"/>
      <c r="G89" s="200"/>
      <c r="H89" s="200"/>
      <c r="I89" s="201"/>
    </row>
    <row r="90" spans="1:9" ht="18.75" customHeight="1" x14ac:dyDescent="0.2">
      <c r="A90" s="4"/>
      <c r="B90" s="199"/>
      <c r="C90" s="200"/>
      <c r="D90" s="200"/>
      <c r="E90" s="200"/>
      <c r="F90" s="200"/>
      <c r="G90" s="200"/>
      <c r="H90" s="200"/>
      <c r="I90" s="201"/>
    </row>
    <row r="91" spans="1:9" ht="18.75" customHeight="1" x14ac:dyDescent="0.2">
      <c r="A91" s="4"/>
      <c r="B91" s="202"/>
      <c r="C91" s="203"/>
      <c r="D91" s="203"/>
      <c r="E91" s="203"/>
      <c r="F91" s="203"/>
      <c r="G91" s="203"/>
      <c r="H91" s="203"/>
      <c r="I91" s="204"/>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16" t="s">
        <v>152</v>
      </c>
      <c r="C94" s="217"/>
      <c r="D94" s="217"/>
      <c r="E94" s="217"/>
      <c r="F94" s="217"/>
      <c r="G94" s="217"/>
      <c r="H94" s="217"/>
      <c r="I94" s="218"/>
    </row>
    <row r="95" spans="1:9" ht="18.75" customHeight="1" x14ac:dyDescent="0.2">
      <c r="A95" s="1"/>
      <c r="B95" s="219"/>
      <c r="C95" s="220"/>
      <c r="D95" s="220"/>
      <c r="E95" s="220"/>
      <c r="F95" s="220"/>
      <c r="G95" s="220"/>
      <c r="H95" s="220"/>
      <c r="I95" s="221"/>
    </row>
    <row r="96" spans="1:9" ht="18.75" customHeight="1" x14ac:dyDescent="0.2">
      <c r="A96" s="1"/>
      <c r="B96" s="219"/>
      <c r="C96" s="220"/>
      <c r="D96" s="220"/>
      <c r="E96" s="220"/>
      <c r="F96" s="220"/>
      <c r="G96" s="220"/>
      <c r="H96" s="220"/>
      <c r="I96" s="221"/>
    </row>
    <row r="97" spans="1:9" ht="18.75" customHeight="1" x14ac:dyDescent="0.2">
      <c r="A97" s="1"/>
      <c r="B97" s="219"/>
      <c r="C97" s="220"/>
      <c r="D97" s="220"/>
      <c r="E97" s="220"/>
      <c r="F97" s="220"/>
      <c r="G97" s="220"/>
      <c r="H97" s="220"/>
      <c r="I97" s="221"/>
    </row>
    <row r="98" spans="1:9" ht="18.75" customHeight="1" x14ac:dyDescent="0.2">
      <c r="A98" s="1"/>
      <c r="B98" s="219"/>
      <c r="C98" s="220"/>
      <c r="D98" s="220"/>
      <c r="E98" s="220"/>
      <c r="F98" s="220"/>
      <c r="G98" s="220"/>
      <c r="H98" s="220"/>
      <c r="I98" s="221"/>
    </row>
    <row r="99" spans="1:9" ht="18.75" customHeight="1" x14ac:dyDescent="0.2">
      <c r="A99" s="1"/>
      <c r="B99" s="219"/>
      <c r="C99" s="220"/>
      <c r="D99" s="220"/>
      <c r="E99" s="220"/>
      <c r="F99" s="220"/>
      <c r="G99" s="220"/>
      <c r="H99" s="220"/>
      <c r="I99" s="221"/>
    </row>
    <row r="100" spans="1:9" ht="18.75" customHeight="1" x14ac:dyDescent="0.2">
      <c r="A100" s="1"/>
      <c r="B100" s="219"/>
      <c r="C100" s="220"/>
      <c r="D100" s="220"/>
      <c r="E100" s="220"/>
      <c r="F100" s="220"/>
      <c r="G100" s="220"/>
      <c r="H100" s="220"/>
      <c r="I100" s="221"/>
    </row>
    <row r="101" spans="1:9" ht="18.75" customHeight="1" x14ac:dyDescent="0.2">
      <c r="A101" s="1"/>
      <c r="B101" s="219"/>
      <c r="C101" s="220"/>
      <c r="D101" s="220"/>
      <c r="E101" s="220"/>
      <c r="F101" s="220"/>
      <c r="G101" s="220"/>
      <c r="H101" s="220"/>
      <c r="I101" s="221"/>
    </row>
    <row r="102" spans="1:9" ht="18.75" customHeight="1" x14ac:dyDescent="0.2">
      <c r="A102" s="1"/>
      <c r="B102" s="219"/>
      <c r="C102" s="220"/>
      <c r="D102" s="220"/>
      <c r="E102" s="220"/>
      <c r="F102" s="220"/>
      <c r="G102" s="220"/>
      <c r="H102" s="220"/>
      <c r="I102" s="221"/>
    </row>
    <row r="103" spans="1:9" ht="18.75" customHeight="1" x14ac:dyDescent="0.2">
      <c r="A103" s="1"/>
      <c r="B103" s="219"/>
      <c r="C103" s="220"/>
      <c r="D103" s="220"/>
      <c r="E103" s="220"/>
      <c r="F103" s="220"/>
      <c r="G103" s="220"/>
      <c r="H103" s="220"/>
      <c r="I103" s="221"/>
    </row>
    <row r="104" spans="1:9" ht="18.75" customHeight="1" x14ac:dyDescent="0.2">
      <c r="A104" s="1"/>
      <c r="B104" s="219"/>
      <c r="C104" s="220"/>
      <c r="D104" s="220"/>
      <c r="E104" s="220"/>
      <c r="F104" s="220"/>
      <c r="G104" s="220"/>
      <c r="H104" s="220"/>
      <c r="I104" s="221"/>
    </row>
    <row r="105" spans="1:9" ht="18.75" customHeight="1" x14ac:dyDescent="0.2">
      <c r="A105" s="4"/>
      <c r="B105" s="222"/>
      <c r="C105" s="223"/>
      <c r="D105" s="223"/>
      <c r="E105" s="223"/>
      <c r="F105" s="223"/>
      <c r="G105" s="223"/>
      <c r="H105" s="223"/>
      <c r="I105" s="224"/>
    </row>
    <row r="106" spans="1:9" ht="7.5" customHeight="1" x14ac:dyDescent="0.2">
      <c r="A106" s="4"/>
      <c r="B106" s="4"/>
      <c r="C106" s="4"/>
      <c r="D106" s="4"/>
      <c r="E106" s="4"/>
      <c r="F106" s="4"/>
      <c r="G106" s="4"/>
      <c r="H106" s="4"/>
      <c r="I106" s="4"/>
    </row>
    <row r="107" spans="1:9" ht="18.75" customHeight="1" x14ac:dyDescent="0.2">
      <c r="A107" s="1" t="s">
        <v>30</v>
      </c>
      <c r="B107" s="225" t="s">
        <v>46</v>
      </c>
      <c r="C107" s="225"/>
      <c r="D107" s="225"/>
      <c r="E107" s="225"/>
      <c r="F107" s="225"/>
      <c r="G107" s="225"/>
      <c r="H107" s="225"/>
      <c r="I107" s="225"/>
    </row>
    <row r="108" spans="1:9" ht="18.75" customHeight="1" x14ac:dyDescent="0.2">
      <c r="A108" s="4"/>
      <c r="B108" s="216" t="s">
        <v>173</v>
      </c>
      <c r="C108" s="217"/>
      <c r="D108" s="217"/>
      <c r="E108" s="217"/>
      <c r="F108" s="217"/>
      <c r="G108" s="217"/>
      <c r="H108" s="217"/>
      <c r="I108" s="218"/>
    </row>
    <row r="109" spans="1:9" ht="18.75" customHeight="1" x14ac:dyDescent="0.2">
      <c r="A109" s="4"/>
      <c r="B109" s="219"/>
      <c r="C109" s="220"/>
      <c r="D109" s="220"/>
      <c r="E109" s="220"/>
      <c r="F109" s="220"/>
      <c r="G109" s="220"/>
      <c r="H109" s="220"/>
      <c r="I109" s="221"/>
    </row>
    <row r="110" spans="1:9" ht="18.75" customHeight="1" x14ac:dyDescent="0.2">
      <c r="A110" s="4"/>
      <c r="B110" s="219"/>
      <c r="C110" s="220"/>
      <c r="D110" s="220"/>
      <c r="E110" s="220"/>
      <c r="F110" s="220"/>
      <c r="G110" s="220"/>
      <c r="H110" s="220"/>
      <c r="I110" s="221"/>
    </row>
    <row r="111" spans="1:9" ht="18.75" customHeight="1" x14ac:dyDescent="0.2">
      <c r="A111" s="4"/>
      <c r="B111" s="219"/>
      <c r="C111" s="220"/>
      <c r="D111" s="220"/>
      <c r="E111" s="220"/>
      <c r="F111" s="220"/>
      <c r="G111" s="220"/>
      <c r="H111" s="220"/>
      <c r="I111" s="221"/>
    </row>
    <row r="112" spans="1:9" ht="18.75" customHeight="1" x14ac:dyDescent="0.2">
      <c r="A112" s="4"/>
      <c r="B112" s="219"/>
      <c r="C112" s="220"/>
      <c r="D112" s="220"/>
      <c r="E112" s="220"/>
      <c r="F112" s="220"/>
      <c r="G112" s="220"/>
      <c r="H112" s="220"/>
      <c r="I112" s="221"/>
    </row>
    <row r="113" spans="1:9" ht="18.75" customHeight="1" x14ac:dyDescent="0.2">
      <c r="A113" s="4"/>
      <c r="B113" s="219"/>
      <c r="C113" s="220"/>
      <c r="D113" s="220"/>
      <c r="E113" s="220"/>
      <c r="F113" s="220"/>
      <c r="G113" s="220"/>
      <c r="H113" s="220"/>
      <c r="I113" s="221"/>
    </row>
    <row r="114" spans="1:9" ht="18.75" customHeight="1" x14ac:dyDescent="0.2">
      <c r="A114" s="4"/>
      <c r="B114" s="219"/>
      <c r="C114" s="220"/>
      <c r="D114" s="220"/>
      <c r="E114" s="220"/>
      <c r="F114" s="220"/>
      <c r="G114" s="220"/>
      <c r="H114" s="220"/>
      <c r="I114" s="221"/>
    </row>
    <row r="115" spans="1:9" ht="18.75" customHeight="1" x14ac:dyDescent="0.2">
      <c r="A115" s="4"/>
      <c r="B115" s="219"/>
      <c r="C115" s="220"/>
      <c r="D115" s="220"/>
      <c r="E115" s="220"/>
      <c r="F115" s="220"/>
      <c r="G115" s="220"/>
      <c r="H115" s="220"/>
      <c r="I115" s="221"/>
    </row>
    <row r="116" spans="1:9" ht="18.75" customHeight="1" x14ac:dyDescent="0.2">
      <c r="A116" s="4"/>
      <c r="B116" s="219"/>
      <c r="C116" s="220"/>
      <c r="D116" s="220"/>
      <c r="E116" s="220"/>
      <c r="F116" s="220"/>
      <c r="G116" s="220"/>
      <c r="H116" s="220"/>
      <c r="I116" s="221"/>
    </row>
    <row r="117" spans="1:9" ht="18.75" customHeight="1" x14ac:dyDescent="0.2">
      <c r="A117" s="4"/>
      <c r="B117" s="219"/>
      <c r="C117" s="220"/>
      <c r="D117" s="220"/>
      <c r="E117" s="220"/>
      <c r="F117" s="220"/>
      <c r="G117" s="220"/>
      <c r="H117" s="220"/>
      <c r="I117" s="221"/>
    </row>
    <row r="118" spans="1:9" ht="18.75" customHeight="1" x14ac:dyDescent="0.2">
      <c r="A118" s="4"/>
      <c r="B118" s="219"/>
      <c r="C118" s="220"/>
      <c r="D118" s="220"/>
      <c r="E118" s="220"/>
      <c r="F118" s="220"/>
      <c r="G118" s="220"/>
      <c r="H118" s="220"/>
      <c r="I118" s="221"/>
    </row>
    <row r="119" spans="1:9" ht="18.75" customHeight="1" x14ac:dyDescent="0.2">
      <c r="A119" s="4"/>
      <c r="B119" s="222"/>
      <c r="C119" s="223"/>
      <c r="D119" s="223"/>
      <c r="E119" s="223"/>
      <c r="F119" s="223"/>
      <c r="G119" s="223"/>
      <c r="H119" s="223"/>
      <c r="I119" s="224"/>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70" zoomScaleNormal="100" zoomScaleSheetLayoutView="70" workbookViewId="0">
      <selection activeCell="E22" sqref="E22:I22"/>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岡山学院大学</v>
      </c>
    </row>
    <row r="3" spans="1:9" ht="18.75" customHeight="1" x14ac:dyDescent="0.2">
      <c r="A3" s="109" t="s">
        <v>28</v>
      </c>
      <c r="B3" s="109"/>
      <c r="C3" s="109"/>
      <c r="D3" s="109"/>
      <c r="E3" s="109"/>
      <c r="F3" s="109"/>
      <c r="G3" s="109"/>
      <c r="H3" s="109"/>
      <c r="I3" s="109"/>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34" t="s">
        <v>145</v>
      </c>
      <c r="C6" s="262"/>
      <c r="D6" s="262"/>
      <c r="E6" s="262"/>
      <c r="F6" s="262"/>
      <c r="G6" s="262"/>
      <c r="H6" s="263"/>
      <c r="I6" s="3"/>
    </row>
    <row r="7" spans="1:9" ht="9" customHeight="1" x14ac:dyDescent="0.2">
      <c r="A7" s="5"/>
      <c r="B7" s="10"/>
      <c r="C7" s="10"/>
      <c r="D7" s="10"/>
      <c r="E7" s="10"/>
      <c r="F7" s="10"/>
      <c r="G7" s="10"/>
      <c r="H7" s="10"/>
      <c r="I7" s="3"/>
    </row>
    <row r="8" spans="1:9" ht="18.75" customHeight="1" x14ac:dyDescent="0.2">
      <c r="A8" s="5"/>
      <c r="B8" s="3"/>
      <c r="C8" s="3"/>
      <c r="D8" s="35" t="s">
        <v>43</v>
      </c>
      <c r="E8" s="36" t="s">
        <v>146</v>
      </c>
      <c r="F8" s="3"/>
      <c r="G8" s="35" t="s">
        <v>10</v>
      </c>
      <c r="H8" s="36" t="s">
        <v>147</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5" t="s">
        <v>24</v>
      </c>
      <c r="C11" s="96"/>
      <c r="D11" s="97"/>
      <c r="E11" s="96" t="s">
        <v>26</v>
      </c>
      <c r="F11" s="96"/>
      <c r="G11" s="96"/>
      <c r="H11" s="96"/>
      <c r="I11" s="97"/>
    </row>
    <row r="12" spans="1:9" ht="26.25" customHeight="1" x14ac:dyDescent="0.2">
      <c r="B12" s="50" t="s">
        <v>14</v>
      </c>
      <c r="C12" s="57"/>
      <c r="D12" s="51"/>
      <c r="E12" s="58"/>
      <c r="F12" s="58"/>
      <c r="G12" s="58"/>
      <c r="H12" s="58"/>
      <c r="I12" s="51"/>
    </row>
    <row r="13" spans="1:9" ht="210.75" customHeight="1" x14ac:dyDescent="0.2">
      <c r="B13" s="52"/>
      <c r="C13" s="245" t="s">
        <v>15</v>
      </c>
      <c r="D13" s="246"/>
      <c r="E13" s="258" t="s">
        <v>161</v>
      </c>
      <c r="F13" s="247"/>
      <c r="G13" s="247"/>
      <c r="H13" s="247"/>
      <c r="I13" s="248"/>
    </row>
    <row r="14" spans="1:9" ht="210.75" customHeight="1" x14ac:dyDescent="0.2">
      <c r="B14" s="52"/>
      <c r="C14" s="260" t="s">
        <v>16</v>
      </c>
      <c r="D14" s="261"/>
      <c r="E14" s="258" t="s">
        <v>159</v>
      </c>
      <c r="F14" s="247"/>
      <c r="G14" s="247"/>
      <c r="H14" s="247"/>
      <c r="I14" s="248"/>
    </row>
    <row r="15" spans="1:9" ht="210.75" customHeight="1" x14ac:dyDescent="0.2">
      <c r="B15" s="52"/>
      <c r="C15" s="245" t="s">
        <v>17</v>
      </c>
      <c r="D15" s="246"/>
      <c r="E15" s="258" t="s">
        <v>160</v>
      </c>
      <c r="F15" s="247"/>
      <c r="G15" s="247"/>
      <c r="H15" s="247"/>
      <c r="I15" s="248"/>
    </row>
    <row r="16" spans="1:9" ht="210.75" customHeight="1" x14ac:dyDescent="0.2">
      <c r="B16" s="52"/>
      <c r="C16" s="245" t="s">
        <v>18</v>
      </c>
      <c r="D16" s="246"/>
      <c r="E16" s="258" t="s">
        <v>153</v>
      </c>
      <c r="F16" s="247"/>
      <c r="G16" s="247"/>
      <c r="H16" s="247"/>
      <c r="I16" s="248"/>
    </row>
    <row r="17" spans="2:9" ht="210.75" customHeight="1" x14ac:dyDescent="0.2">
      <c r="B17" s="53"/>
      <c r="C17" s="249" t="s">
        <v>19</v>
      </c>
      <c r="D17" s="250"/>
      <c r="E17" s="259" t="s">
        <v>175</v>
      </c>
      <c r="F17" s="251"/>
      <c r="G17" s="251"/>
      <c r="H17" s="251"/>
      <c r="I17" s="252"/>
    </row>
    <row r="18" spans="2:9" ht="24" customHeight="1" x14ac:dyDescent="0.2">
      <c r="B18" s="50" t="s">
        <v>20</v>
      </c>
      <c r="C18" s="54"/>
      <c r="D18" s="55"/>
      <c r="E18" s="56"/>
      <c r="F18" s="56"/>
      <c r="G18" s="56"/>
      <c r="H18" s="56"/>
      <c r="I18" s="59"/>
    </row>
    <row r="19" spans="2:9" ht="218.25" customHeight="1" x14ac:dyDescent="0.2">
      <c r="B19" s="52"/>
      <c r="C19" s="245" t="s">
        <v>21</v>
      </c>
      <c r="D19" s="246"/>
      <c r="E19" s="247" t="s">
        <v>176</v>
      </c>
      <c r="F19" s="247"/>
      <c r="G19" s="247"/>
      <c r="H19" s="247"/>
      <c r="I19" s="248"/>
    </row>
    <row r="20" spans="2:9" ht="218.25" customHeight="1" x14ac:dyDescent="0.2">
      <c r="B20" s="53"/>
      <c r="C20" s="249" t="s">
        <v>22</v>
      </c>
      <c r="D20" s="250"/>
      <c r="E20" s="251" t="s">
        <v>177</v>
      </c>
      <c r="F20" s="251"/>
      <c r="G20" s="251"/>
      <c r="H20" s="251"/>
      <c r="I20" s="252"/>
    </row>
    <row r="21" spans="2:9" ht="218.25" customHeight="1" x14ac:dyDescent="0.2">
      <c r="B21" s="253" t="s">
        <v>23</v>
      </c>
      <c r="C21" s="254"/>
      <c r="D21" s="255"/>
      <c r="E21" s="256" t="s">
        <v>148</v>
      </c>
      <c r="F21" s="256"/>
      <c r="G21" s="256"/>
      <c r="H21" s="256"/>
      <c r="I21" s="257"/>
    </row>
    <row r="22" spans="2:9" ht="218.25" customHeight="1" x14ac:dyDescent="0.2">
      <c r="B22" s="240" t="s">
        <v>38</v>
      </c>
      <c r="C22" s="241"/>
      <c r="D22" s="242"/>
      <c r="E22" s="243" t="s">
        <v>178</v>
      </c>
      <c r="F22" s="243"/>
      <c r="G22" s="243"/>
      <c r="H22" s="243"/>
      <c r="I22" s="24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原田俊孝</cp:lastModifiedBy>
  <cp:lastPrinted>2023-04-10T01:26:29Z</cp:lastPrinted>
  <dcterms:created xsi:type="dcterms:W3CDTF">2011-06-14T05:32:50Z</dcterms:created>
  <dcterms:modified xsi:type="dcterms:W3CDTF">2023-04-22T02:09:30Z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