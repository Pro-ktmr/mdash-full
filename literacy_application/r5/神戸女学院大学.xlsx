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Z:\専任\02.数理・データサイエンス・ＡＩ教育プログラム認定制度（リテラシーレベル）\20230514_提出データ\不備20230705\"/>
    </mc:Choice>
  </mc:AlternateContent>
  <xr:revisionPtr revIDLastSave="0" documentId="13_ncr:1_{AD609BA8-4B14-4505-AE8D-2A2ACEF42171}" xr6:coauthVersionLast="47" xr6:coauthVersionMax="47" xr10:uidLastSave="{00000000-0000-0000-0000-000000000000}"/>
  <bookViews>
    <workbookView xWindow="-120" yWindow="-120" windowWidth="29040" windowHeight="1584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<sst xmlns="http://schemas.openxmlformats.org/spreadsheetml/2006/main" count="331" uniqueCount="190">
  <si>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</si>
  <si>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</si>
  <si>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</si>
  <si>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</si>
  <si>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</si>
  <si>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</si>
  <si>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</si>
  <si>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</si>
  <si>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</si>
  <si>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</si>
  <si>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</si>
  <si>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</si>
  <si>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</si>
  <si>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</si>
  <si>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</si>
  <si>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</si>
  <si>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</si>
  <si>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</si>
  <si>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</si>
  <si>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</si>
  <si>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</si>
  <si>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</si>
  <si>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</si>
  <si>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</si>
  <si>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</si>
  <si>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</si>
  <si>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</si>
  <si>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</si>
  <si>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</si>
  <si>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</si>
  <si>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</si>
  <si>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</si>
  <si>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</si>
  <si>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</si>
  <si>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</si>
  <si>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</si>
  <si>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</si>
  <si>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</si>
  <si>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</si>
  <si>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</si>
  <si>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</si>
  <si>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</si>
  <si>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</si>
  <si>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</si>
  <si>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</si>
  <si>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</si>
  <si>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</si>
  <si>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</si>
  <si>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</si>
  <si>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</si>
  <si>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</si>
  <si>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</si>
  <si>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</si>
  <si>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</si>
  <si>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</si>
  <si>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</si>
  <si>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</si>
  <si>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</si>
  <si>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</si>
  <si>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</si>
  <si>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</si>
  <si>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</si>
  <si>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</si>
  <si>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</si>
  <si>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</si>
  <si>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</si>
  <si>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</si>
  <si>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</si>
  <si>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</si>
  <si>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</si>
  <si>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</si>
  <si>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</si>
  <si>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</si>
  <si>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</si>
  <si>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</si>
  <si>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</si>
  <si>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</si>
  <si>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</si>
  <si>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</si>
  <si>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</si>
  <si>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</si>
  <si>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</si>
  <si>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</si>
  <si>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</si>
  <si>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</si>
  <si>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</si>
  <si>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</si>
  <si>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</si>
  <si>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</si>
  <si>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</si>
  <si>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</si>
  <si>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</si>
  <si>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</si>
  <si>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</si>
  <si>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</si>
  <si>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</si>
  <si>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</si>
  <si>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</si>
  <si>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</si>
  <si>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</si>
  <si>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</si>
  <si>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</si>
  <si>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</si>
  <si>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</si>
  <si>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</si>
  <si>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</si>
  <si>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</si>
  <si>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</si>
  <si>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</si>
  <si>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</si>
  <si>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</si>
  <si>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</si>
  <si>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</si>
  <si>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</si>
  <si>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</si>
  <si>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</si>
  <si>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</si>
  <si>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</si>
  <si>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</si>
  <si>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</si>
  <si>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</si>
  <si>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</si>
  <si>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</si>
  <si>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</si>
  <si>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</si>
  <si>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</si>
  <si>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</si>
  <si>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神戸女学院大学</t>
    <rPh sb="0" eb="7">
      <t>コウベジョガクインダイガク</t>
    </rPh>
    <phoneticPr fontId="1"/>
  </si>
  <si>
    <t>データサイエンスプログラム</t>
    <phoneticPr fontId="1"/>
  </si>
  <si>
    <t>学部・学科によって、修了要件は相違しない</t>
  </si>
  <si>
    <t>Sc188(2) データサイエンス入門</t>
    <rPh sb="17" eb="19">
      <t>ニュウモン</t>
    </rPh>
    <phoneticPr fontId="1"/>
  </si>
  <si>
    <t>○</t>
  </si>
  <si>
    <t>令和4</t>
    <rPh sb="0" eb="2">
      <t>レイワ</t>
    </rPh>
    <phoneticPr fontId="1"/>
  </si>
  <si>
    <t>文学部</t>
    <rPh sb="0" eb="3">
      <t>ブンガクブ</t>
    </rPh>
    <phoneticPr fontId="1"/>
  </si>
  <si>
    <t>音楽学部</t>
    <rPh sb="0" eb="4">
      <t>オンガクガクブ</t>
    </rPh>
    <phoneticPr fontId="1"/>
  </si>
  <si>
    <t>人間科学部</t>
    <rPh sb="0" eb="5">
      <t>ニンゲンカガクブ</t>
    </rPh>
    <phoneticPr fontId="1"/>
  </si>
  <si>
    <t>データサイエンスプログラム運営委員会</t>
    <rPh sb="13" eb="15">
      <t>ウンエイ</t>
    </rPh>
    <rPh sb="15" eb="18">
      <t>イインカイ</t>
    </rPh>
    <phoneticPr fontId="1"/>
  </si>
  <si>
    <t>三浦　欽也</t>
    <rPh sb="0" eb="2">
      <t>ミウラ</t>
    </rPh>
    <rPh sb="3" eb="5">
      <t>キンヤ</t>
    </rPh>
    <phoneticPr fontId="1"/>
  </si>
  <si>
    <t>データサイエンスプログラム運営委員会</t>
    <rPh sb="13" eb="18">
      <t>ウンエイイインカイ</t>
    </rPh>
    <phoneticPr fontId="1"/>
  </si>
  <si>
    <t>三浦　欽也</t>
    <rPh sb="0" eb="2">
      <t>ミウラ</t>
    </rPh>
    <rPh sb="3" eb="5">
      <t>キンヤ</t>
    </rPh>
    <phoneticPr fontId="1"/>
  </si>
  <si>
    <t>データサイエンスプログラム運営員会委員長</t>
    <rPh sb="13" eb="17">
      <t>ウンエイインカイ</t>
    </rPh>
    <rPh sb="17" eb="20">
      <t>イインチョウ</t>
    </rPh>
    <phoneticPr fontId="1"/>
  </si>
  <si>
    <t>データサイエンスプログラム運営員会規則</t>
    <rPh sb="13" eb="19">
      <t>ウンエイインカイキソク</t>
    </rPh>
    <phoneticPr fontId="1"/>
  </si>
  <si>
    <t>Sc184(1)(2) IT基礎演習</t>
    <phoneticPr fontId="1"/>
  </si>
  <si>
    <t>Sc188(2) データサイエンス入門</t>
    <phoneticPr fontId="1"/>
  </si>
  <si>
    <t>Sc106(1) 数学入門</t>
    <phoneticPr fontId="1"/>
  </si>
  <si>
    <t>4-1統計および数理基礎</t>
  </si>
  <si>
    <t>Sc104(2) 解析学基礎</t>
    <phoneticPr fontId="1"/>
  </si>
  <si>
    <t>Sc180(2) 情報科学入門</t>
    <phoneticPr fontId="1"/>
  </si>
  <si>
    <t>4‐2アルゴリズム基礎</t>
  </si>
  <si>
    <t>4‐3データ構造とプログラミング基礎</t>
  </si>
  <si>
    <t>Sc285(1) プログラミング演習</t>
    <phoneticPr fontId="1"/>
  </si>
  <si>
    <t>Sc387(1) 人工知能論</t>
    <phoneticPr fontId="1"/>
  </si>
  <si>
    <t>近年、インターネットやコンピューターの急速な発展にともなって、データを読み解き、分析し、分かりやすく発信できる人材が広く求められるようになってきた。このデータサイエンス・プログラムは、そのような技能の基礎を身につけるためのプログラムである。さまざまなデータの取り扱いを、演習を交えながら実践的に学習するとともに、データを取り扱う際に気をつけるべき個人情報保護の問題や、情報倫理、情報セキュリティ等についても学ぶ。</t>
    <phoneticPr fontId="1"/>
  </si>
  <si>
    <t>神戸女学院大学データサイエンスプログラムは、本学学生にデジタル社会の基礎知識・技能である「数理・データサイエンス・AI」に関する知識・技能を修得されることを目的とする。この目的にかなったカリキュラムの企画、実施のためにデータサイエンスプログラム運営委員会を設置する。</t>
    <rPh sb="0" eb="7">
      <t>コウベジョガクインダイガク</t>
    </rPh>
    <rPh sb="22" eb="26">
      <t>ホンガクガクセイ</t>
    </rPh>
    <rPh sb="31" eb="33">
      <t>シャカイ</t>
    </rPh>
    <rPh sb="34" eb="38">
      <t>キソチシキ</t>
    </rPh>
    <rPh sb="39" eb="41">
      <t>ギノウ</t>
    </rPh>
    <rPh sb="45" eb="47">
      <t>スウリ</t>
    </rPh>
    <rPh sb="61" eb="62">
      <t>カン</t>
    </rPh>
    <rPh sb="64" eb="66">
      <t>チシキ</t>
    </rPh>
    <rPh sb="67" eb="69">
      <t>ギノウ</t>
    </rPh>
    <rPh sb="70" eb="72">
      <t>シュウトク</t>
    </rPh>
    <rPh sb="78" eb="80">
      <t>モクテキ</t>
    </rPh>
    <rPh sb="86" eb="88">
      <t>モクテキ</t>
    </rPh>
    <rPh sb="100" eb="102">
      <t>キカク</t>
    </rPh>
    <rPh sb="103" eb="105">
      <t>ジッシ</t>
    </rPh>
    <rPh sb="122" eb="127">
      <t>ウンエイイインカイ</t>
    </rPh>
    <rPh sb="128" eb="130">
      <t>セッチ</t>
    </rPh>
    <phoneticPr fontId="1"/>
  </si>
  <si>
    <t>大学案内等で入学志望者に案内をしていくとともに、1年生前期に開講されている全学生の必修科目であるSc184(1) IT基礎演習の講義内でのデータサイエンスプログラムの案内を実施するとともに、各学科が実施している履修登録ガイダンスなどでデータサイエンスプログラムの紹介をするなどの対応を順次強化していく予定である。</t>
    <rPh sb="0" eb="4">
      <t>ダイガクアンナイ</t>
    </rPh>
    <rPh sb="4" eb="5">
      <t>トウ</t>
    </rPh>
    <rPh sb="6" eb="11">
      <t>ニュウガクシボウシャ</t>
    </rPh>
    <rPh sb="12" eb="14">
      <t>アンナイ</t>
    </rPh>
    <rPh sb="25" eb="27">
      <t>ネンセイ</t>
    </rPh>
    <rPh sb="27" eb="29">
      <t>ゼンキ</t>
    </rPh>
    <rPh sb="30" eb="32">
      <t>カイコウ</t>
    </rPh>
    <rPh sb="37" eb="40">
      <t>ゼンガクセイ</t>
    </rPh>
    <rPh sb="41" eb="45">
      <t>ヒッシュウカモク</t>
    </rPh>
    <rPh sb="59" eb="63">
      <t>キソエンシュウ</t>
    </rPh>
    <rPh sb="64" eb="67">
      <t>コウギナイ</t>
    </rPh>
    <rPh sb="83" eb="85">
      <t>アンナイ</t>
    </rPh>
    <rPh sb="86" eb="88">
      <t>ジッシ</t>
    </rPh>
    <rPh sb="95" eb="98">
      <t>カクガッカ</t>
    </rPh>
    <rPh sb="99" eb="101">
      <t>ジッシ</t>
    </rPh>
    <rPh sb="105" eb="109">
      <t>リシュウトウロク</t>
    </rPh>
    <rPh sb="131" eb="133">
      <t>ショウカイ</t>
    </rPh>
    <rPh sb="139" eb="141">
      <t>タイオウ</t>
    </rPh>
    <rPh sb="142" eb="144">
      <t>ジュンジ</t>
    </rPh>
    <rPh sb="144" eb="146">
      <t>キョウカ</t>
    </rPh>
    <rPh sb="150" eb="152">
      <t>ヨテイ</t>
    </rPh>
    <phoneticPr fontId="1"/>
  </si>
  <si>
    <t>必修科目であるSc184(1)(2) IT基礎演習は全学生の卒業必要必修単位であり、全ての学生が修得できるように十分なクラスを開講している。データサイエンスプログラムのもう一つの必修科目であるSc188(2)に関しても、複数クラスを開講しており修得しやすいようにしている。また、これらの授業に関しては、教員以外に授業支援の職員や操作支援を行う学生アルバイトを雇用し、学生の履修・修得がしやすい体制をとっている。また、選択科目に関しても1年次から開講する科目を複数準備するなど履修しやすいようにしている。</t>
    <rPh sb="0" eb="4">
      <t>ヒッシュウカモク</t>
    </rPh>
    <rPh sb="21" eb="25">
      <t>キソエンシュウ</t>
    </rPh>
    <rPh sb="26" eb="29">
      <t>ゼンガクセイ</t>
    </rPh>
    <rPh sb="30" eb="32">
      <t>ソツギョウ</t>
    </rPh>
    <rPh sb="32" eb="34">
      <t>ヒツヨウ</t>
    </rPh>
    <rPh sb="34" eb="38">
      <t>ヒッシュウタンイ</t>
    </rPh>
    <rPh sb="42" eb="43">
      <t>スベ</t>
    </rPh>
    <rPh sb="45" eb="47">
      <t>ガクセイ</t>
    </rPh>
    <rPh sb="48" eb="50">
      <t>シュウトク</t>
    </rPh>
    <rPh sb="56" eb="58">
      <t>ジュウブン</t>
    </rPh>
    <rPh sb="63" eb="65">
      <t>カイコウ</t>
    </rPh>
    <rPh sb="86" eb="87">
      <t>ヒト</t>
    </rPh>
    <rPh sb="89" eb="93">
      <t>ヒッシュウカモク</t>
    </rPh>
    <rPh sb="105" eb="106">
      <t>カン</t>
    </rPh>
    <rPh sb="110" eb="112">
      <t>フクスウ</t>
    </rPh>
    <rPh sb="116" eb="118">
      <t>カイコウ</t>
    </rPh>
    <phoneticPr fontId="1"/>
  </si>
  <si>
    <t>授業時間内においては、コンピュータを操作する科目においては授業支援職員を配置するなど担当教員と協働して、学生への十分な学習指導ができるようにしている。また、授業時間外についても本学のLMSであるMoodleを活用し、自宅等からの質問等ができるような仕組みを構築・運用している。</t>
    <rPh sb="18" eb="20">
      <t>ソウサ</t>
    </rPh>
    <rPh sb="22" eb="24">
      <t>カモク</t>
    </rPh>
    <rPh sb="29" eb="33">
      <t>ジュギョウシエン</t>
    </rPh>
    <rPh sb="33" eb="35">
      <t>ショクイン</t>
    </rPh>
    <rPh sb="36" eb="38">
      <t>ハイチ</t>
    </rPh>
    <rPh sb="42" eb="46">
      <t>タントウキョウイン</t>
    </rPh>
    <rPh sb="47" eb="49">
      <t>キョウドウ</t>
    </rPh>
    <rPh sb="52" eb="54">
      <t>ガクセイ</t>
    </rPh>
    <rPh sb="56" eb="58">
      <t>ジュウブン</t>
    </rPh>
    <rPh sb="59" eb="63">
      <t>ガクシュウシドウ</t>
    </rPh>
    <rPh sb="78" eb="82">
      <t>ジュギョウジカン</t>
    </rPh>
    <rPh sb="82" eb="83">
      <t>ガイ</t>
    </rPh>
    <rPh sb="88" eb="90">
      <t>ホンガク</t>
    </rPh>
    <rPh sb="104" eb="106">
      <t>カツヨウ</t>
    </rPh>
    <rPh sb="108" eb="110">
      <t>ジタク</t>
    </rPh>
    <rPh sb="110" eb="111">
      <t>トウ</t>
    </rPh>
    <rPh sb="114" eb="116">
      <t>シツモン</t>
    </rPh>
    <rPh sb="116" eb="117">
      <t>トウ</t>
    </rPh>
    <rPh sb="124" eb="126">
      <t>シク</t>
    </rPh>
    <rPh sb="128" eb="130">
      <t>コウチク</t>
    </rPh>
    <rPh sb="131" eb="133">
      <t>ウンヨウ</t>
    </rPh>
    <phoneticPr fontId="1"/>
  </si>
  <si>
    <t>三浦欽也</t>
    <rPh sb="0" eb="2">
      <t>ミウラ</t>
    </rPh>
    <rPh sb="2" eb="4">
      <t>キンヤ</t>
    </rPh>
    <phoneticPr fontId="1"/>
  </si>
  <si>
    <t>委員長</t>
    <rPh sb="0" eb="3">
      <t>イインチョウ</t>
    </rPh>
    <phoneticPr fontId="1"/>
  </si>
  <si>
    <t>本プログラムは、大学案内や履修ガイダンス、全学必須科目である「IT基礎演習」において履修案内を実施したが、本プログラムおよび必須科目である「データサイエンス入門」が令和4年度開設科目であり十分には履修者がいなかった。今後は従来の方法以外にも、ホームページなどで幅広くプログラムの内容および魅力を周知する予定である。</t>
    <phoneticPr fontId="1"/>
  </si>
  <si>
    <t>卒業生調査により、本プログラムを終了した卒業生の進路先や活躍状況を把握する計画である。
なお、本プログラムは令和4年度以降の入学生を対象としているため、プログラム修了者の最初の卒業は令和8年春になる。</t>
    <phoneticPr fontId="1"/>
  </si>
  <si>
    <t>Sc188(2) データサイエンス入門 第4週「データやAIの使われ方」で、
仮説検証、探索的（発見的）データ解析、原因究明、意思決定支援、計画の最適化、人の活動代替等、データ・AIの活用方法について講義し、その例として、研究開発、販売、マーケティング、製造、医療、物流、サービス等への応用について触れる。</t>
    <rPh sb="44" eb="47">
      <t>タンサクテキ</t>
    </rPh>
    <rPh sb="48" eb="51">
      <t>ハッケンテキ</t>
    </rPh>
    <rPh sb="55" eb="57">
      <t>カイセキ</t>
    </rPh>
    <rPh sb="63" eb="69">
      <t>イシケッテイシエン</t>
    </rPh>
    <rPh sb="70" eb="72">
      <t>ケイカク</t>
    </rPh>
    <rPh sb="73" eb="76">
      <t>サイテキカ</t>
    </rPh>
    <rPh sb="77" eb="78">
      <t>ヒト</t>
    </rPh>
    <rPh sb="83" eb="84">
      <t>トウ</t>
    </rPh>
    <rPh sb="106" eb="107">
      <t>レイ</t>
    </rPh>
    <rPh sb="112" eb="114">
      <t>カイハツ</t>
    </rPh>
    <rPh sb="127" eb="129">
      <t>セイゾウ</t>
    </rPh>
    <rPh sb="140" eb="141">
      <t>トウ</t>
    </rPh>
    <rPh sb="143" eb="145">
      <t>オウヨウ</t>
    </rPh>
    <rPh sb="149" eb="150">
      <t>フ</t>
    </rPh>
    <phoneticPr fontId="1"/>
  </si>
  <si>
    <t>Sc188(2) データサイエンス入門 第4週「データやAIの使われ方」で、
販促キャンペーン（仮説検証PDCAサイクル）、購買の誘導（アソシエーション分析）、レジ袋消費の抑制（ナッジ）等のデータ・AI利活用事例を紹介する。</t>
    <rPh sb="39" eb="41">
      <t>ハンソク</t>
    </rPh>
    <rPh sb="62" eb="64">
      <t>コウバイ</t>
    </rPh>
    <rPh sb="65" eb="67">
      <t>ユウドウ</t>
    </rPh>
    <rPh sb="73" eb="75">
      <t>ブンセキ</t>
    </rPh>
    <rPh sb="76" eb="78">
      <t>ジレイ</t>
    </rPh>
    <rPh sb="82" eb="83">
      <t>ブクロ</t>
    </rPh>
    <rPh sb="83" eb="85">
      <t>ショウヒ</t>
    </rPh>
    <rPh sb="86" eb="88">
      <t>ヨクセイ</t>
    </rPh>
    <rPh sb="93" eb="94">
      <t>トウ</t>
    </rPh>
    <rPh sb="101" eb="102">
      <t>リ</t>
    </rPh>
    <rPh sb="102" eb="104">
      <t>カツヨウ</t>
    </rPh>
    <rPh sb="107" eb="109">
      <t>ショウカイ</t>
    </rPh>
    <phoneticPr fontId="1"/>
  </si>
  <si>
    <t>Sc188(2) データサイエンス入門 第3週「社会で活用されるデータ」で、
人の行動ログデータ、機器の稼働ログデータ，1次データ、2次データ、メタデータ、構造化データ（CSV）、非構造化データ（文章、画像、音声）、画像データのタグ付け等について講義する。
また、動線データを利用した公開サービス、e-stat のオープンデータ（統計ダッシュボード）を体験する。</t>
    <rPh sb="49" eb="51">
      <t>キキ</t>
    </rPh>
    <rPh sb="108" eb="110">
      <t>ガゾウ</t>
    </rPh>
    <rPh sb="116" eb="117">
      <t>ツ</t>
    </rPh>
    <rPh sb="118" eb="119">
      <t>トウ</t>
    </rPh>
    <rPh sb="132" eb="134">
      <t>ドウセン</t>
    </rPh>
    <rPh sb="138" eb="140">
      <t>リヨウ</t>
    </rPh>
    <rPh sb="142" eb="144">
      <t>コウカイ</t>
    </rPh>
    <rPh sb="165" eb="167">
      <t>トウケイ</t>
    </rPh>
    <rPh sb="176" eb="178">
      <t>タイケン</t>
    </rPh>
    <phoneticPr fontId="1"/>
  </si>
  <si>
    <t>Sc188(2) データサイエンス入門 第13週「データを扱うときの注意点」で、
データ活用の負の側面、ELSI、個人情報保護（OECDプライバシー8原則）、EU一般データ保護規則(GDPR)、忘れられる権利、オプトイン/オプトアウト、人間中心のAI社会原則、AIのバイアス、AIの責任論、情報倫理（フェイクニュース、ディープフェイク）、研究不正（データの捏造・改ざん・盗用）等について講義する。</t>
    <rPh sb="118" eb="119">
      <t>ヒト</t>
    </rPh>
    <rPh sb="145" eb="147">
      <t>ジョウホウ</t>
    </rPh>
    <rPh sb="169" eb="173">
      <t>ケンキュウフセイ</t>
    </rPh>
    <rPh sb="185" eb="187">
      <t>トウヨウ</t>
    </rPh>
    <rPh sb="188" eb="189">
      <t>トウ</t>
    </rPh>
    <rPh sb="193" eb="195">
      <t>コウギ</t>
    </rPh>
    <phoneticPr fontId="1"/>
  </si>
  <si>
    <t>Sc188(2) データサイエンス入門</t>
  </si>
  <si>
    <t>Sc188(2) データサイエンス入門</t>
    <phoneticPr fontId="1"/>
  </si>
  <si>
    <t>Sc188(2) データサイエンス入門 において、
第5週「さまざまなデータ処理の技術」で、散布図行列について、
第6週「データ分析の基本」で、母集団と標本抽出（無作為抽出）、データの種類（量的変数、質的変数）、代表値（平均値、中央値、最頻値）、データのばらつき（分散、標準偏差、四分位偏差）、データの分布（ヒストグラム）、クロス集計表、相関について講義する。</t>
    <rPh sb="46" eb="51">
      <t>サンプズギョウレツ</t>
    </rPh>
    <rPh sb="175" eb="177">
      <t>コウギ</t>
    </rPh>
    <phoneticPr fontId="1"/>
  </si>
  <si>
    <t>Sc184(1)(2) ＩＴ基礎演習 第9,10,11週 「表計算1, 2, 3」で、表計算ソフトウェアを用いたグラフ作成について、
また、Sc188(2) データサイエンス入門 において、
第5週「さまざまなデータ処理の技術」、第6週「データ分析の基本」で、データ表現（ヒストグラム、箱ひげ図、集合棒グラフ、３D棒グラフ、散布図）について、
第13週「データを扱うときの注意点」で、不適切なグラフ表現（チャートジャンク等）について講義する。</t>
    <rPh sb="53" eb="54">
      <t>モチ</t>
    </rPh>
    <rPh sb="59" eb="61">
      <t>サクセイ</t>
    </rPh>
    <rPh sb="143" eb="144">
      <t>ハコ</t>
    </rPh>
    <rPh sb="146" eb="147">
      <t>ズ</t>
    </rPh>
    <rPh sb="148" eb="150">
      <t>シュウゴウ</t>
    </rPh>
    <rPh sb="157" eb="158">
      <t>ボウ</t>
    </rPh>
    <rPh sb="210" eb="211">
      <t>トウ</t>
    </rPh>
    <rPh sb="216" eb="218">
      <t>コウギ</t>
    </rPh>
    <phoneticPr fontId="1"/>
  </si>
  <si>
    <t>Sc184(1)(2) ＩＴ基礎演習 第9,10,11週 「表計算1, 2, 3」で、表計算ソフトウェアを用いたデータの集計（和、平均）、並べ替えの説明と演習を、
Sc188(2) データサイエンス入門 において、表計算ソフトウェアを用いた基本等計量（代表値、散らばりの指標）の計算、クロス集計表の作成、各種図表（箱ひげ図、ヒストグラム、散布図等）の作成の説明と演習を行う。</t>
    <rPh sb="53" eb="54">
      <t>モチ</t>
    </rPh>
    <rPh sb="63" eb="64">
      <t>ワ</t>
    </rPh>
    <rPh sb="69" eb="70">
      <t>ナラ</t>
    </rPh>
    <rPh sb="71" eb="72">
      <t>カ</t>
    </rPh>
    <rPh sb="74" eb="76">
      <t>セツメイ</t>
    </rPh>
    <rPh sb="77" eb="79">
      <t>エンシュウ</t>
    </rPh>
    <rPh sb="120" eb="125">
      <t>キホントウケイリョウ</t>
    </rPh>
    <rPh sb="126" eb="129">
      <t>ダイヒョウチ</t>
    </rPh>
    <rPh sb="139" eb="141">
      <t>ケイサン</t>
    </rPh>
    <rPh sb="145" eb="148">
      <t>シュウケイヒョウ</t>
    </rPh>
    <rPh sb="149" eb="151">
      <t>サクセイ</t>
    </rPh>
    <rPh sb="152" eb="154">
      <t>カクシュ</t>
    </rPh>
    <rPh sb="154" eb="156">
      <t>ズヒョウ</t>
    </rPh>
    <rPh sb="157" eb="158">
      <t>ハコ</t>
    </rPh>
    <rPh sb="160" eb="161">
      <t>ズ</t>
    </rPh>
    <rPh sb="169" eb="172">
      <t>サンプズ</t>
    </rPh>
    <rPh sb="172" eb="173">
      <t>トウ</t>
    </rPh>
    <rPh sb="175" eb="177">
      <t>サクセイ</t>
    </rPh>
    <rPh sb="178" eb="180">
      <t>セツメイ</t>
    </rPh>
    <rPh sb="181" eb="183">
      <t>エンシュウ</t>
    </rPh>
    <rPh sb="184" eb="185">
      <t>オコナ</t>
    </rPh>
    <phoneticPr fontId="1"/>
  </si>
  <si>
    <t>4‐4時系列データ解析</t>
  </si>
  <si>
    <t>4‐5テキスト解析</t>
  </si>
  <si>
    <t>4‐7データハンドリング</t>
  </si>
  <si>
    <t>4‐8データ活用実践（教師あり学習）</t>
  </si>
  <si>
    <t>4‐9データ活用実践（教師なし学習）</t>
  </si>
  <si>
    <r>
      <t>Sc184(1)(2) ＩＴ基礎演習 において、
第4週「電</t>
    </r>
    <r>
      <rPr>
        <sz val="12"/>
        <color theme="1"/>
        <rFont val="Microsoft JhengHei UI"/>
        <family val="3"/>
        <charset val="134"/>
      </rPr>
      <t>⼦</t>
    </r>
    <r>
      <rPr>
        <sz val="12"/>
        <color theme="1"/>
        <rFont val="ＭＳ Ｐゴシック"/>
        <family val="3"/>
        <charset val="128"/>
        <scheme val="minor"/>
      </rPr>
      <t>メールの仕組み・利</t>
    </r>
    <r>
      <rPr>
        <sz val="12"/>
        <color theme="1"/>
        <rFont val="Microsoft JhengHei UI"/>
        <family val="3"/>
        <charset val="134"/>
      </rPr>
      <t>⽤</t>
    </r>
    <r>
      <rPr>
        <sz val="12"/>
        <color theme="1"/>
        <rFont val="ＭＳ Ｐゴシック"/>
        <family val="3"/>
        <charset val="128"/>
        <scheme val="minor"/>
      </rPr>
      <t>法・マナー、コンピュータウィルス、セキュリティー」で、コンピュータウィルスとセキュリティ対策について講義する。
また、Sc188(2) データサイエンス入門 において、
第4週「データやAIの使われ方」で、個人情報保護、匿名加工情報について、
第14週「データセキュリティ」で、情報セキュリティの3要素・7要素（機密性、完全性、可用性等）、セキュリティ対策、リスク対応、暗号化、電子署名、電子証明書、個人認証（生体認証・多要素認証）について講義する。</t>
    </r>
    <rPh sb="85" eb="87">
      <t>タイサク</t>
    </rPh>
    <rPh sb="144" eb="148">
      <t>コジンジョウホウ</t>
    </rPh>
    <rPh sb="148" eb="150">
      <t>ホゴ</t>
    </rPh>
    <rPh sb="208" eb="209">
      <t>トウ</t>
    </rPh>
    <rPh sb="217" eb="219">
      <t>タイサク</t>
    </rPh>
    <rPh sb="223" eb="225">
      <t>タイオウ</t>
    </rPh>
    <rPh sb="226" eb="229">
      <t>アンゴウカ</t>
    </rPh>
    <rPh sb="230" eb="234">
      <t>デンシショメイ</t>
    </rPh>
    <rPh sb="235" eb="240">
      <t>デンシショウメイショ</t>
    </rPh>
    <rPh sb="241" eb="245">
      <t>コジンニンショウ</t>
    </rPh>
    <rPh sb="246" eb="247">
      <t>セイ</t>
    </rPh>
    <rPh sb="261" eb="263">
      <t>コウギ</t>
    </rPh>
    <phoneticPr fontId="1"/>
  </si>
  <si>
    <t>データサイエンスプログラムの事務担当部署である情報処理センターでプログラムの履修者を把握し、各学期においてプログラム履修者のプログラム科目の単位修得状況を把握している。必要に応じてデータサイエンスプログラム運営委員会等で報告を行い改善を行っている。</t>
    <phoneticPr fontId="1"/>
  </si>
  <si>
    <t>本プログラムの科目で実施している課題等や大学全体で実施している授業評価アンケートを分析することで、学生がどの程度授業内容を理解しているかを把握する。またその情報をデータサイエンスプログラム運営委員会で共有し、本プログラムの評価・改善に活用している。</t>
    <phoneticPr fontId="1"/>
  </si>
  <si>
    <t>大学全体で実施している授業評価アンケートで、各科目における学生の内容の理解度を把握している。また、必修科目である「データサイエンス入門」においては、授業最終日にも独自に授業評価アンケートを実施し、授業全体を通した理解度を把握している。</t>
    <phoneticPr fontId="1"/>
  </si>
  <si>
    <t>前述した授業評価アンケートでは、「授業で知的な刺激を受け、内容に関心をもてるようになりましたか？」「この授業で良かった点、有意義だった点、継続してほしい点を記入してください。」という項目の調査を行っており、その結果を講義受講の推奨に活用する。</t>
    <phoneticPr fontId="1"/>
  </si>
  <si>
    <t>全学的な自己点検・評価の枠組みの中で、大学以外の外部評価者からも本プログラムへの評価を受けるようになっている。</t>
    <phoneticPr fontId="1"/>
  </si>
  <si>
    <t>授業で使用している e-Learning システム上で質問や意見を書き込める掲示板を用意し、また、前述した授業評価アンケートの「この授業に対して改善して欲しい点、疑問に感じる点、要望を記入してください。」という項目を活用し、より分かりやすい授業となるように努めている。</t>
    <rPh sb="128" eb="129">
      <t>ツト</t>
    </rPh>
    <phoneticPr fontId="1"/>
  </si>
  <si>
    <t>Sc188(2) データサイエンス入門では、体験や演習を取り入れて、学ぶ楽しさを理解させるように努めている。また、前述した授業評価アンケートの「授業で知的な刺激を受け、内容に関心をもてるようになりましたか？」「この授業で良かった点、有意義だった点、継続してほしい点を記入してください。」という項目を活用し、より学ぶ楽しさや意義を感じられるような授業内容となるように努めている。</t>
    <rPh sb="48" eb="49">
      <t>ツト</t>
    </rPh>
    <rPh sb="182" eb="183">
      <t>ツト</t>
    </rPh>
    <phoneticPr fontId="1"/>
  </si>
  <si>
    <t>10単位（必修科目4単位、選択科目６単位）
必修科目：4単位
Sc184(1)(2) IT基礎演習 2単位、Sc188(2) データサイエンス入門 2単位
選択科目：６単位
Sc106(1) 数学入門 2単位、Sc104(2) 解析学基礎 2単位、Sc180(2) 情報科学入門 2単位、
Sc285(1) プログラミング演習 2単位、Sc387(1) 人工知能論 2単位</t>
    <phoneticPr fontId="1"/>
  </si>
  <si>
    <t xml:space="preserve">Sc188(2) データサイエンス入門 第4週「データやAIの使われ方」で、
データ・AI利活用の最新動向について講義する。2022年度はシェアリングエコノミー、生成AIによる画像の自動生成を取り扱う。
また、第1週「データサイエンスとは，AIとは」で、機械翻訳の事例を紹介し、機械翻訳サイトを用いて翻訳を体験する。
</t>
    <rPh sb="20" eb="21">
      <t>ダイ</t>
    </rPh>
    <rPh sb="31" eb="32">
      <t>ツカ</t>
    </rPh>
    <rPh sb="34" eb="35">
      <t>カタ</t>
    </rPh>
    <rPh sb="45" eb="48">
      <t>リカツヨウ</t>
    </rPh>
    <rPh sb="49" eb="53">
      <t>サイシンドウコウ</t>
    </rPh>
    <rPh sb="150" eb="152">
      <t>ホンヤク</t>
    </rPh>
    <rPh sb="153" eb="155">
      <t>タイケン</t>
    </rPh>
    <phoneticPr fontId="1"/>
  </si>
  <si>
    <t>現在でも、データサイエンスプログラムのすべての科目は全ての学部・学科の学生が履修可能な科目になっている。また、全学部学生へのIT関連授業を支援している情報処理センターが本プログラムの事務を担当しており、学部・学科に関係なく支援できる体制が整っている。</t>
    <rPh sb="0" eb="2">
      <t>ゲンザイ</t>
    </rPh>
    <rPh sb="23" eb="25">
      <t>カモク</t>
    </rPh>
    <rPh sb="26" eb="27">
      <t>スベ</t>
    </rPh>
    <rPh sb="29" eb="31">
      <t>ガクブ</t>
    </rPh>
    <rPh sb="32" eb="34">
      <t>ガッカ</t>
    </rPh>
    <rPh sb="35" eb="37">
      <t>ガクセイ</t>
    </rPh>
    <rPh sb="38" eb="42">
      <t>リシュウカノウ</t>
    </rPh>
    <rPh sb="43" eb="45">
      <t>カモク</t>
    </rPh>
    <rPh sb="55" eb="60">
      <t>ゼンガクブガクセイ</t>
    </rPh>
    <rPh sb="64" eb="68">
      <t>カンレンジュギョウ</t>
    </rPh>
    <rPh sb="69" eb="71">
      <t>シエン</t>
    </rPh>
    <rPh sb="75" eb="79">
      <t>ジョウホウショリ</t>
    </rPh>
    <rPh sb="84" eb="85">
      <t>ホン</t>
    </rPh>
    <rPh sb="91" eb="93">
      <t>ジム</t>
    </rPh>
    <rPh sb="94" eb="96">
      <t>タントウ</t>
    </rPh>
    <rPh sb="101" eb="103">
      <t>ガクブ</t>
    </rPh>
    <rPh sb="104" eb="106">
      <t>ガッカ</t>
    </rPh>
    <phoneticPr fontId="1"/>
  </si>
  <si>
    <t>Sc188(2) データサイエンス入門 第5週「さまざまなデータ処理の技術」で、
予測（前方補外）、グルーピング（クラスタリング）、パターン発見等について説明し種々のグラフ（ヒストグラム、箱ひげ図、散布図、散布図行列、2軸グラフ等）、関係性の可視化（階層構造、ネットワーク構造）、地図上の可視化等のデータ可視化方法について講義し、気象データ（神戸市の8月の過去の平均気温データ）を用いて、表計算ソフトで散布図作成、回帰分析、前方補外を実際に体験する。
また、第11週「データ分析の実際 3 ～ クラス分類」で、機械学習（教師あり学習）の概要を紹介し、Python を使って分類タスクを体験する。
Sc387(2) 「人工知能論」では、第2週～第14週でニューラルネットワークを含む種々のAI技術について講義する。</t>
    <rPh sb="44" eb="48">
      <t>ゼンポウホガイ</t>
    </rPh>
    <rPh sb="72" eb="73">
      <t>トウ</t>
    </rPh>
    <rPh sb="77" eb="79">
      <t>セツメイ</t>
    </rPh>
    <rPh sb="80" eb="82">
      <t>シュジュ</t>
    </rPh>
    <rPh sb="94" eb="95">
      <t>ハコ</t>
    </rPh>
    <rPh sb="97" eb="98">
      <t>ズ</t>
    </rPh>
    <rPh sb="99" eb="102">
      <t>サンプズ</t>
    </rPh>
    <rPh sb="103" eb="108">
      <t>サンプズギョウレツ</t>
    </rPh>
    <rPh sb="110" eb="111">
      <t>ジク</t>
    </rPh>
    <rPh sb="114" eb="115">
      <t>トウ</t>
    </rPh>
    <rPh sb="127" eb="129">
      <t>コウゾウ</t>
    </rPh>
    <rPh sb="136" eb="138">
      <t>コウゾウ</t>
    </rPh>
    <rPh sb="147" eb="148">
      <t>トウ</t>
    </rPh>
    <rPh sb="152" eb="155">
      <t>カシカ</t>
    </rPh>
    <rPh sb="155" eb="157">
      <t>ホウホウ</t>
    </rPh>
    <rPh sb="161" eb="163">
      <t>コウギ</t>
    </rPh>
    <rPh sb="165" eb="167">
      <t>キショウ</t>
    </rPh>
    <rPh sb="171" eb="174">
      <t>コウベシ</t>
    </rPh>
    <rPh sb="176" eb="177">
      <t>ガツ</t>
    </rPh>
    <rPh sb="181" eb="183">
      <t>ヘイキン</t>
    </rPh>
    <rPh sb="183" eb="185">
      <t>キオン</t>
    </rPh>
    <rPh sb="190" eb="191">
      <t>モチ</t>
    </rPh>
    <rPh sb="194" eb="197">
      <t>ヒョウケイサン</t>
    </rPh>
    <rPh sb="201" eb="206">
      <t>サンプズサクセイ</t>
    </rPh>
    <rPh sb="207" eb="211">
      <t>カイキブンセキ</t>
    </rPh>
    <rPh sb="212" eb="216">
      <t>ゼンポウホガイ</t>
    </rPh>
    <rPh sb="217" eb="219">
      <t>ジッサイ</t>
    </rPh>
    <rPh sb="220" eb="222">
      <t>タイケン</t>
    </rPh>
    <rPh sb="229" eb="230">
      <t>ダイ</t>
    </rPh>
    <rPh sb="232" eb="233">
      <t>シュウ</t>
    </rPh>
    <rPh sb="255" eb="259">
      <t>キカイガクシュウ</t>
    </rPh>
    <rPh sb="260" eb="262">
      <t>キョウシ</t>
    </rPh>
    <rPh sb="264" eb="266">
      <t>ガクシュウ</t>
    </rPh>
    <rPh sb="268" eb="270">
      <t>ガイヨウ</t>
    </rPh>
    <rPh sb="271" eb="273">
      <t>ショウカイ</t>
    </rPh>
    <rPh sb="283" eb="284">
      <t>ツカ</t>
    </rPh>
    <rPh sb="286" eb="288">
      <t>ブンルイ</t>
    </rPh>
    <rPh sb="292" eb="294">
      <t>タイケン</t>
    </rPh>
    <rPh sb="308" eb="313">
      <t>ジンコウチノウロン</t>
    </rPh>
    <rPh sb="317" eb="318">
      <t>ダイ</t>
    </rPh>
    <rPh sb="319" eb="320">
      <t>シュウ</t>
    </rPh>
    <rPh sb="321" eb="322">
      <t>ダイ</t>
    </rPh>
    <rPh sb="324" eb="325">
      <t>シュウ</t>
    </rPh>
    <rPh sb="338" eb="339">
      <t>フク</t>
    </rPh>
    <rPh sb="340" eb="342">
      <t>シュジュ</t>
    </rPh>
    <rPh sb="345" eb="347">
      <t>ギジュツ</t>
    </rPh>
    <rPh sb="351" eb="353">
      <t>コウギ</t>
    </rPh>
    <phoneticPr fontId="1"/>
  </si>
  <si>
    <t>令和4年度は初年度であり、また1年生を対象とした必修科目があるため、受験生や1年生に対する本プログラムの周知が十分ではなかった。今後は、周知の体制を年度ごとに見直し、大学案内等による受験生への広報、入学直後の前期の履修ガイダンス等における周知に注力するとともに、本プログラムの対象となる2022年度以降入学の在学生に対しても、履修ガイダンス等を通じて周知に努め、本プログラムの認知度を向上させ、履修者数の増加につなげる予定である。また、今後、さらなる履修者数増を目指し、選択科目の拡充も検討する。</t>
    <rPh sb="131" eb="132">
      <t>ホン</t>
    </rPh>
    <phoneticPr fontId="1"/>
  </si>
  <si>
    <t>Sc188(2) データサイエンス入門 において、
第1週「データサイエンスとは，AIとは」で、AIがどのようなものであるかについて、
第2週「現代社会におけるデータサイエンス」で、データ量の増加、計算機の処理性能の向上、ビッグデータ、IoT、第4次産業革命、Society 5.0、データ駆動型社会等について講義する。
また、Sc387(2) 人工知能論の第1週「人工知能研究の概観」において、AIの歴史と進化、特化型AIと汎用AI等について講義する。</t>
    <rPh sb="26" eb="27">
      <t>ダイ</t>
    </rPh>
    <rPh sb="28" eb="29">
      <t>シュウ</t>
    </rPh>
    <rPh sb="150" eb="151">
      <t>トウ</t>
    </rPh>
    <rPh sb="173" eb="178">
      <t>ジンコウチノウロン</t>
    </rPh>
    <rPh sb="179" eb="180">
      <t>ダイ</t>
    </rPh>
    <rPh sb="181" eb="182">
      <t>シュウ</t>
    </rPh>
    <rPh sb="201" eb="203">
      <t>レキシ</t>
    </rPh>
    <rPh sb="204" eb="206">
      <t>シンカ</t>
    </rPh>
    <rPh sb="217" eb="218">
      <t>トウ</t>
    </rPh>
    <rPh sb="222" eb="224">
      <t>コウギ</t>
    </rPh>
    <phoneticPr fontId="1"/>
  </si>
  <si>
    <t>(1) データサイエンスプログラムの授業を担当する専任教員（現在2名）
人間科学部　教授　三浦欽也
人間科学部　教授　出口弘
(2) 情報処理センターディレクター（1名、現在（1)と兼任）
人間科学部　教授　出口弘
(3) 教務部長（1名）
文学部　教授　立石浩一</t>
    <rPh sb="18" eb="20">
      <t>ジュギョウ</t>
    </rPh>
    <rPh sb="21" eb="23">
      <t>タントウ</t>
    </rPh>
    <rPh sb="25" eb="27">
      <t>センニン</t>
    </rPh>
    <rPh sb="27" eb="29">
      <t>キョウイン</t>
    </rPh>
    <rPh sb="30" eb="32">
      <t>ゲンザイ</t>
    </rPh>
    <rPh sb="33" eb="34">
      <t>メイ</t>
    </rPh>
    <rPh sb="36" eb="41">
      <t>ニンゲンカガクブ</t>
    </rPh>
    <rPh sb="42" eb="44">
      <t>キョウジュ</t>
    </rPh>
    <rPh sb="45" eb="47">
      <t>ミウラ</t>
    </rPh>
    <rPh sb="47" eb="49">
      <t>キンヤ</t>
    </rPh>
    <rPh sb="50" eb="55">
      <t>ニンゲンカガクブ</t>
    </rPh>
    <rPh sb="56" eb="58">
      <t>キョウジュ</t>
    </rPh>
    <rPh sb="59" eb="61">
      <t>デグチ</t>
    </rPh>
    <rPh sb="61" eb="62">
      <t>ヒロシ</t>
    </rPh>
    <rPh sb="67" eb="69">
      <t>ジョウホウ</t>
    </rPh>
    <rPh sb="69" eb="71">
      <t>ショリ</t>
    </rPh>
    <rPh sb="83" eb="84">
      <t>メイ</t>
    </rPh>
    <rPh sb="85" eb="87">
      <t>ゲンザイ</t>
    </rPh>
    <rPh sb="91" eb="93">
      <t>ケンニン</t>
    </rPh>
    <rPh sb="95" eb="100">
      <t>ニンゲンカガクブ</t>
    </rPh>
    <rPh sb="101" eb="103">
      <t>キョウジュ</t>
    </rPh>
    <rPh sb="104" eb="107">
      <t>デグチヒロシ</t>
    </rPh>
    <rPh sb="112" eb="114">
      <t>キョウム</t>
    </rPh>
    <rPh sb="114" eb="116">
      <t>ブチョウ</t>
    </rPh>
    <rPh sb="118" eb="119">
      <t>メイ</t>
    </rPh>
    <rPh sb="121" eb="124">
      <t>ブンガクブ</t>
    </rPh>
    <rPh sb="125" eb="127">
      <t>キョウジュ</t>
    </rPh>
    <rPh sb="128" eb="130">
      <t>タテイシ</t>
    </rPh>
    <rPh sb="130" eb="132">
      <t>コウイチ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</si>
</sst>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icrosoft JhengHei UI"/>
      <family val="3"/>
      <charset val="134"/>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left" vertical="center" shrinkToFit="1"/>
    </xf>
    <xf numFmtId="38" fontId="2" fillId="0" borderId="50" xfId="2" applyFont="1" applyFill="1" applyBorder="1" applyAlignment="1">
      <alignment vertical="center" shrinkToFit="1"/>
    </xf>
    <xf numFmtId="38" fontId="2" fillId="0" borderId="23" xfId="2" applyFont="1" applyFill="1" applyBorder="1" applyAlignment="1">
      <alignment vertical="center" shrinkToFit="1"/>
    </xf>
    <xf numFmtId="38" fontId="12" fillId="0" borderId="5" xfId="2" applyFont="1" applyBorder="1" applyAlignment="1">
      <alignment vertical="center" shrinkToFit="1"/>
    </xf>
    <xf numFmtId="38" fontId="12" fillId="0" borderId="19"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zoomScaleNormal="100" zoomScaleSheetLayoutView="70" zoomScalePageLayoutView="90" workbookViewId="0">
      <selection activeCell="X12" sqref="X1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12</v>
      </c>
      <c r="S1" s="106"/>
      <c r="T1" s="2" t="s">
        <v>110</v>
      </c>
    </row>
    <row r="2" spans="1:22" ht="18.75" customHeight="1" x14ac:dyDescent="0.15">
      <c r="B2" s="34" t="s">
        <v>109</v>
      </c>
      <c r="C2" s="99" t="s">
        <v>127</v>
      </c>
      <c r="D2" s="100"/>
      <c r="E2" s="100"/>
      <c r="F2" s="100"/>
      <c r="G2" s="100"/>
      <c r="H2" s="100"/>
      <c r="I2" s="101"/>
      <c r="J2" s="35"/>
      <c r="K2" s="6"/>
      <c r="L2" s="6"/>
      <c r="M2" s="6"/>
      <c r="N2" s="6"/>
      <c r="O2" s="6"/>
      <c r="P2" s="6"/>
      <c r="Q2" s="6"/>
      <c r="R2" s="6"/>
      <c r="S2" s="6"/>
    </row>
    <row r="3" spans="1:22" ht="18.75" customHeight="1" x14ac:dyDescent="0.15">
      <c r="B3" s="34" t="s">
        <v>103</v>
      </c>
      <c r="C3" s="99" t="s">
        <v>128</v>
      </c>
      <c r="D3" s="100"/>
      <c r="E3" s="100"/>
      <c r="F3" s="100"/>
      <c r="G3" s="100"/>
      <c r="H3" s="100"/>
      <c r="I3" s="101"/>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0" t="s">
        <v>39</v>
      </c>
      <c r="B5" s="110"/>
      <c r="C5" s="110"/>
      <c r="D5" s="110"/>
      <c r="E5" s="110"/>
      <c r="F5" s="110"/>
      <c r="G5" s="110"/>
      <c r="H5" s="110"/>
      <c r="I5" s="110"/>
      <c r="J5" s="110"/>
      <c r="K5" s="110"/>
      <c r="L5" s="110"/>
      <c r="M5" s="110"/>
      <c r="N5" s="110"/>
      <c r="O5" s="110"/>
      <c r="P5" s="110"/>
      <c r="Q5" s="110"/>
      <c r="R5" s="110"/>
      <c r="S5" s="11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20" t="s">
        <v>129</v>
      </c>
      <c r="L7" s="121"/>
      <c r="M7" s="121"/>
      <c r="N7" s="121"/>
      <c r="O7" s="121"/>
      <c r="P7" s="121"/>
      <c r="Q7" s="121"/>
      <c r="R7" s="121"/>
      <c r="S7" s="12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1" t="s">
        <v>183</v>
      </c>
      <c r="C13" s="112"/>
      <c r="D13" s="112"/>
      <c r="E13" s="112"/>
      <c r="F13" s="112"/>
      <c r="G13" s="112"/>
      <c r="H13" s="112"/>
      <c r="I13" s="112"/>
      <c r="J13" s="112"/>
      <c r="K13" s="112"/>
      <c r="L13" s="112"/>
      <c r="M13" s="112"/>
      <c r="N13" s="112"/>
      <c r="O13" s="112"/>
      <c r="P13" s="112"/>
      <c r="Q13" s="112"/>
      <c r="R13" s="112"/>
      <c r="S13" s="113"/>
      <c r="V13" s="1" t="s">
        <v>104</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1" t="s">
        <v>111</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1" t="s">
        <v>124</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1" t="s">
        <v>126</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99">
        <v>10</v>
      </c>
      <c r="D20" s="101"/>
      <c r="E20" s="40" t="s">
        <v>96</v>
      </c>
      <c r="G20" s="10"/>
      <c r="H20" s="3"/>
      <c r="I20" s="3"/>
      <c r="J20" s="35" t="s">
        <v>122</v>
      </c>
      <c r="K20" s="107" t="s">
        <v>126</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114</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54</v>
      </c>
      <c r="C24" s="100"/>
      <c r="D24" s="100"/>
      <c r="E24" s="101"/>
      <c r="F24" s="61" t="s">
        <v>81</v>
      </c>
      <c r="G24" s="60" t="s">
        <v>85</v>
      </c>
      <c r="H24" s="22" t="s">
        <v>57</v>
      </c>
      <c r="I24" s="22" t="s">
        <v>60</v>
      </c>
      <c r="J24" s="99" t="s">
        <v>54</v>
      </c>
      <c r="K24" s="100"/>
      <c r="L24" s="100"/>
      <c r="M24" s="100"/>
      <c r="N24" s="100"/>
      <c r="O24" s="101"/>
      <c r="P24" s="61" t="s">
        <v>81</v>
      </c>
      <c r="Q24" s="60" t="s">
        <v>85</v>
      </c>
      <c r="R24" s="22" t="s">
        <v>57</v>
      </c>
      <c r="S24" s="22" t="s">
        <v>60</v>
      </c>
    </row>
    <row r="25" spans="1:19" ht="18" customHeight="1" x14ac:dyDescent="0.15">
      <c r="B25" s="103" t="s">
        <v>130</v>
      </c>
      <c r="C25" s="104"/>
      <c r="D25" s="104"/>
      <c r="E25" s="105"/>
      <c r="F25" s="23">
        <v>2</v>
      </c>
      <c r="G25" s="23" t="s">
        <v>131</v>
      </c>
      <c r="H25" s="23" t="s">
        <v>131</v>
      </c>
      <c r="I25" s="23" t="s">
        <v>131</v>
      </c>
      <c r="J25" s="103"/>
      <c r="K25" s="104"/>
      <c r="L25" s="104"/>
      <c r="M25" s="104"/>
      <c r="N25" s="104"/>
      <c r="O25" s="105"/>
      <c r="P25" s="23"/>
      <c r="Q25" s="23"/>
      <c r="R25" s="23"/>
      <c r="S25" s="23"/>
    </row>
    <row r="26" spans="1:19" ht="18" customHeight="1" x14ac:dyDescent="0.15">
      <c r="B26" s="93" t="s">
        <v>151</v>
      </c>
      <c r="C26" s="94"/>
      <c r="D26" s="94"/>
      <c r="E26" s="95"/>
      <c r="F26" s="24">
        <v>2</v>
      </c>
      <c r="G26" s="24"/>
      <c r="H26" s="24" t="s">
        <v>131</v>
      </c>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115</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54</v>
      </c>
      <c r="C35" s="100"/>
      <c r="D35" s="100"/>
      <c r="E35" s="101"/>
      <c r="F35" s="61" t="s">
        <v>81</v>
      </c>
      <c r="G35" s="60" t="s">
        <v>85</v>
      </c>
      <c r="H35" s="22" t="s">
        <v>72</v>
      </c>
      <c r="I35" s="22" t="s">
        <v>73</v>
      </c>
      <c r="J35" s="99" t="s">
        <v>54</v>
      </c>
      <c r="K35" s="100"/>
      <c r="L35" s="100"/>
      <c r="M35" s="100"/>
      <c r="N35" s="100"/>
      <c r="O35" s="101"/>
      <c r="P35" s="61" t="s">
        <v>81</v>
      </c>
      <c r="Q35" s="60" t="s">
        <v>85</v>
      </c>
      <c r="R35" s="22" t="s">
        <v>72</v>
      </c>
      <c r="S35" s="22" t="s">
        <v>73</v>
      </c>
    </row>
    <row r="36" spans="1:19" ht="18" customHeight="1" x14ac:dyDescent="0.15">
      <c r="B36" s="103" t="s">
        <v>143</v>
      </c>
      <c r="C36" s="104"/>
      <c r="D36" s="104"/>
      <c r="E36" s="105"/>
      <c r="F36" s="23">
        <v>2</v>
      </c>
      <c r="G36" s="23" t="s">
        <v>131</v>
      </c>
      <c r="H36" s="23" t="s">
        <v>131</v>
      </c>
      <c r="I36" s="23" t="s">
        <v>131</v>
      </c>
      <c r="J36" s="103"/>
      <c r="K36" s="104"/>
      <c r="L36" s="104"/>
      <c r="M36" s="104"/>
      <c r="N36" s="104"/>
      <c r="O36" s="105"/>
      <c r="P36" s="23"/>
      <c r="Q36" s="23"/>
      <c r="R36" s="23"/>
      <c r="S36" s="23"/>
    </row>
    <row r="37" spans="1:19" ht="18" customHeight="1" x14ac:dyDescent="0.15">
      <c r="B37" s="93"/>
      <c r="C37" s="94"/>
      <c r="D37" s="94"/>
      <c r="E37" s="95"/>
      <c r="F37" s="24"/>
      <c r="G37" s="24"/>
      <c r="H37" s="24"/>
      <c r="I37" s="24"/>
      <c r="J37" s="93"/>
      <c r="K37" s="94"/>
      <c r="L37" s="94"/>
      <c r="M37" s="94"/>
      <c r="N37" s="94"/>
      <c r="O37" s="95"/>
      <c r="P37" s="24"/>
      <c r="Q37" s="24"/>
      <c r="R37" s="24"/>
      <c r="S37" s="24"/>
    </row>
    <row r="38" spans="1:19" ht="18" customHeight="1" x14ac:dyDescent="0.15">
      <c r="B38" s="93"/>
      <c r="C38" s="94"/>
      <c r="D38" s="94"/>
      <c r="E38" s="95"/>
      <c r="F38" s="24"/>
      <c r="G38" s="24"/>
      <c r="H38" s="24"/>
      <c r="I38" s="24"/>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116</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54</v>
      </c>
      <c r="C46" s="100"/>
      <c r="D46" s="100"/>
      <c r="E46" s="101"/>
      <c r="F46" s="61" t="s">
        <v>81</v>
      </c>
      <c r="G46" s="60" t="s">
        <v>85</v>
      </c>
      <c r="H46" s="22" t="s">
        <v>74</v>
      </c>
      <c r="I46" s="22" t="s">
        <v>75</v>
      </c>
      <c r="J46" s="99" t="s">
        <v>54</v>
      </c>
      <c r="K46" s="100"/>
      <c r="L46" s="100"/>
      <c r="M46" s="100"/>
      <c r="N46" s="100"/>
      <c r="O46" s="101"/>
      <c r="P46" s="61" t="s">
        <v>81</v>
      </c>
      <c r="Q46" s="60" t="s">
        <v>85</v>
      </c>
      <c r="R46" s="22" t="s">
        <v>74</v>
      </c>
      <c r="S46" s="22" t="s">
        <v>75</v>
      </c>
    </row>
    <row r="47" spans="1:19" ht="18" customHeight="1" x14ac:dyDescent="0.15">
      <c r="A47" s="3"/>
      <c r="B47" s="103" t="s">
        <v>143</v>
      </c>
      <c r="C47" s="104"/>
      <c r="D47" s="104"/>
      <c r="E47" s="105"/>
      <c r="F47" s="23">
        <v>2</v>
      </c>
      <c r="G47" s="23" t="s">
        <v>131</v>
      </c>
      <c r="H47" s="23" t="s">
        <v>131</v>
      </c>
      <c r="I47" s="23" t="s">
        <v>131</v>
      </c>
      <c r="J47" s="103"/>
      <c r="K47" s="104"/>
      <c r="L47" s="104"/>
      <c r="M47" s="104"/>
      <c r="N47" s="104"/>
      <c r="O47" s="105"/>
      <c r="P47" s="23"/>
      <c r="Q47" s="23"/>
      <c r="R47" s="23"/>
      <c r="S47" s="23"/>
    </row>
    <row r="48" spans="1:19" ht="18" customHeight="1" x14ac:dyDescent="0.15">
      <c r="A48" s="3"/>
      <c r="B48" s="93" t="s">
        <v>151</v>
      </c>
      <c r="C48" s="94"/>
      <c r="D48" s="94"/>
      <c r="E48" s="95"/>
      <c r="F48" s="24">
        <v>2</v>
      </c>
      <c r="G48" s="24"/>
      <c r="H48" s="24" t="s">
        <v>131</v>
      </c>
      <c r="I48" s="24"/>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117</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54</v>
      </c>
      <c r="C57" s="100"/>
      <c r="D57" s="100"/>
      <c r="E57" s="101"/>
      <c r="F57" s="61" t="s">
        <v>81</v>
      </c>
      <c r="G57" s="60" t="s">
        <v>85</v>
      </c>
      <c r="H57" s="22" t="s">
        <v>59</v>
      </c>
      <c r="I57" s="22" t="s">
        <v>61</v>
      </c>
      <c r="J57" s="99" t="s">
        <v>54</v>
      </c>
      <c r="K57" s="100"/>
      <c r="L57" s="100"/>
      <c r="M57" s="100"/>
      <c r="N57" s="100"/>
      <c r="O57" s="101"/>
      <c r="P57" s="61" t="s">
        <v>81</v>
      </c>
      <c r="Q57" s="60" t="s">
        <v>85</v>
      </c>
      <c r="R57" s="22" t="s">
        <v>59</v>
      </c>
      <c r="S57" s="22" t="s">
        <v>61</v>
      </c>
    </row>
    <row r="58" spans="1:19" ht="18" customHeight="1" x14ac:dyDescent="0.15">
      <c r="A58" s="3"/>
      <c r="B58" s="103" t="s">
        <v>142</v>
      </c>
      <c r="C58" s="104"/>
      <c r="D58" s="104"/>
      <c r="E58" s="105"/>
      <c r="F58" s="23">
        <v>2</v>
      </c>
      <c r="G58" s="23" t="s">
        <v>131</v>
      </c>
      <c r="H58" s="23"/>
      <c r="I58" s="23" t="s">
        <v>131</v>
      </c>
      <c r="J58" s="103"/>
      <c r="K58" s="104"/>
      <c r="L58" s="104"/>
      <c r="M58" s="104"/>
      <c r="N58" s="104"/>
      <c r="O58" s="105"/>
      <c r="P58" s="23"/>
      <c r="Q58" s="23"/>
      <c r="R58" s="23"/>
      <c r="S58" s="23"/>
    </row>
    <row r="59" spans="1:19" ht="18" customHeight="1" x14ac:dyDescent="0.15">
      <c r="A59" s="3"/>
      <c r="B59" s="93" t="s">
        <v>143</v>
      </c>
      <c r="C59" s="94"/>
      <c r="D59" s="94"/>
      <c r="E59" s="95"/>
      <c r="F59" s="24">
        <v>2</v>
      </c>
      <c r="G59" s="24" t="s">
        <v>131</v>
      </c>
      <c r="H59" s="24" t="s">
        <v>131</v>
      </c>
      <c r="I59" s="24" t="s">
        <v>131</v>
      </c>
      <c r="J59" s="93"/>
      <c r="K59" s="94"/>
      <c r="L59" s="94"/>
      <c r="M59" s="94"/>
      <c r="N59" s="94"/>
      <c r="O59" s="95"/>
      <c r="P59" s="24"/>
      <c r="Q59" s="24"/>
      <c r="R59" s="24"/>
      <c r="S59" s="24"/>
    </row>
    <row r="60" spans="1:19" ht="18" customHeight="1" x14ac:dyDescent="0.15">
      <c r="A60" s="3"/>
      <c r="B60" s="93"/>
      <c r="C60" s="94"/>
      <c r="D60" s="94"/>
      <c r="E60" s="95"/>
      <c r="F60" s="24"/>
      <c r="G60" s="24"/>
      <c r="H60" s="24"/>
      <c r="I60" s="24"/>
      <c r="J60" s="93"/>
      <c r="K60" s="94"/>
      <c r="L60" s="94"/>
      <c r="M60" s="94"/>
      <c r="N60" s="94"/>
      <c r="O60" s="95"/>
      <c r="P60" s="24"/>
      <c r="Q60" s="24"/>
      <c r="R60" s="24"/>
      <c r="S60" s="24"/>
    </row>
    <row r="61" spans="1:19" ht="18" customHeight="1" x14ac:dyDescent="0.15">
      <c r="A61" s="3"/>
      <c r="B61" s="93"/>
      <c r="C61" s="94"/>
      <c r="D61" s="94"/>
      <c r="E61" s="95"/>
      <c r="F61" s="24"/>
      <c r="G61" s="24"/>
      <c r="H61" s="24"/>
      <c r="I61" s="24"/>
      <c r="J61" s="93"/>
      <c r="K61" s="94"/>
      <c r="L61" s="94"/>
      <c r="M61" s="94"/>
      <c r="N61" s="94"/>
      <c r="O61" s="95"/>
      <c r="P61" s="24"/>
      <c r="Q61" s="24"/>
      <c r="R61" s="24"/>
      <c r="S61" s="24"/>
    </row>
    <row r="62" spans="1:19" ht="18" customHeight="1" x14ac:dyDescent="0.15">
      <c r="A62" s="3"/>
      <c r="B62" s="93"/>
      <c r="C62" s="94"/>
      <c r="D62" s="94"/>
      <c r="E62" s="95"/>
      <c r="F62" s="24"/>
      <c r="G62" s="24"/>
      <c r="H62" s="24"/>
      <c r="I62" s="24"/>
      <c r="J62" s="93"/>
      <c r="K62" s="94"/>
      <c r="L62" s="94"/>
      <c r="M62" s="94"/>
      <c r="N62" s="94"/>
      <c r="O62" s="95"/>
      <c r="P62" s="24"/>
      <c r="Q62" s="24"/>
      <c r="R62" s="24"/>
      <c r="S62" s="24"/>
    </row>
    <row r="63" spans="1:19" ht="18" customHeight="1" x14ac:dyDescent="0.15">
      <c r="A63" s="3"/>
      <c r="B63" s="93"/>
      <c r="C63" s="94"/>
      <c r="D63" s="94"/>
      <c r="E63" s="95"/>
      <c r="F63" s="24"/>
      <c r="G63" s="24"/>
      <c r="H63" s="24"/>
      <c r="I63" s="24"/>
      <c r="J63" s="93"/>
      <c r="K63" s="94"/>
      <c r="L63" s="94"/>
      <c r="M63" s="94"/>
      <c r="N63" s="94"/>
      <c r="O63" s="95"/>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118</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54</v>
      </c>
      <c r="C68" s="100"/>
      <c r="D68" s="100"/>
      <c r="E68" s="61" t="s">
        <v>81</v>
      </c>
      <c r="F68" s="60" t="s">
        <v>85</v>
      </c>
      <c r="G68" s="22" t="s">
        <v>102</v>
      </c>
      <c r="H68" s="22" t="s">
        <v>76</v>
      </c>
      <c r="I68" s="22" t="s">
        <v>77</v>
      </c>
      <c r="J68" s="99" t="s">
        <v>54</v>
      </c>
      <c r="K68" s="100"/>
      <c r="L68" s="100"/>
      <c r="M68" s="100"/>
      <c r="N68" s="101"/>
      <c r="O68" s="61" t="s">
        <v>81</v>
      </c>
      <c r="P68" s="60" t="s">
        <v>85</v>
      </c>
      <c r="Q68" s="22" t="s">
        <v>102</v>
      </c>
      <c r="R68" s="22" t="s">
        <v>76</v>
      </c>
      <c r="S68" s="22" t="s">
        <v>77</v>
      </c>
    </row>
    <row r="69" spans="1:19" ht="18" customHeight="1" x14ac:dyDescent="0.15">
      <c r="A69" s="3"/>
      <c r="B69" s="103" t="s">
        <v>142</v>
      </c>
      <c r="C69" s="104"/>
      <c r="D69" s="104"/>
      <c r="E69" s="23">
        <v>2</v>
      </c>
      <c r="F69" s="23" t="s">
        <v>131</v>
      </c>
      <c r="G69" s="23"/>
      <c r="H69" s="23" t="s">
        <v>131</v>
      </c>
      <c r="I69" s="23" t="s">
        <v>131</v>
      </c>
      <c r="J69" s="103"/>
      <c r="K69" s="104"/>
      <c r="L69" s="104"/>
      <c r="M69" s="104"/>
      <c r="N69" s="105"/>
      <c r="O69" s="23"/>
      <c r="P69" s="23"/>
      <c r="Q69" s="23"/>
      <c r="R69" s="23"/>
      <c r="S69" s="23"/>
    </row>
    <row r="70" spans="1:19" ht="18" customHeight="1" x14ac:dyDescent="0.15">
      <c r="A70" s="3"/>
      <c r="B70" s="93" t="s">
        <v>166</v>
      </c>
      <c r="C70" s="94"/>
      <c r="D70" s="95"/>
      <c r="E70" s="24">
        <v>2</v>
      </c>
      <c r="F70" s="24" t="s">
        <v>131</v>
      </c>
      <c r="G70" s="24" t="s">
        <v>131</v>
      </c>
      <c r="H70" s="24" t="s">
        <v>131</v>
      </c>
      <c r="I70" s="24" t="s">
        <v>131</v>
      </c>
      <c r="J70" s="93"/>
      <c r="K70" s="94"/>
      <c r="L70" s="94"/>
      <c r="M70" s="94"/>
      <c r="N70" s="95"/>
      <c r="O70" s="24"/>
      <c r="P70" s="24"/>
      <c r="Q70" s="24"/>
      <c r="R70" s="24"/>
      <c r="S70" s="24"/>
    </row>
    <row r="71" spans="1:19" ht="18" customHeight="1" x14ac:dyDescent="0.15">
      <c r="A71" s="3"/>
      <c r="B71" s="93"/>
      <c r="C71" s="94"/>
      <c r="D71" s="94"/>
      <c r="E71" s="24"/>
      <c r="F71" s="24"/>
      <c r="G71" s="24"/>
      <c r="H71" s="24"/>
      <c r="I71" s="24"/>
      <c r="J71" s="93"/>
      <c r="K71" s="94"/>
      <c r="L71" s="94"/>
      <c r="M71" s="94"/>
      <c r="N71" s="95"/>
      <c r="O71" s="24"/>
      <c r="P71" s="24"/>
      <c r="Q71" s="24"/>
      <c r="R71" s="24"/>
      <c r="S71" s="24"/>
    </row>
    <row r="72" spans="1:19" ht="18" customHeight="1" x14ac:dyDescent="0.15">
      <c r="A72" s="3"/>
      <c r="B72" s="93"/>
      <c r="C72" s="94"/>
      <c r="D72" s="94"/>
      <c r="E72" s="24"/>
      <c r="F72" s="24"/>
      <c r="G72" s="24"/>
      <c r="H72" s="24"/>
      <c r="I72" s="24"/>
      <c r="J72" s="93"/>
      <c r="K72" s="94"/>
      <c r="L72" s="94"/>
      <c r="M72" s="94"/>
      <c r="N72" s="95"/>
      <c r="O72" s="24"/>
      <c r="P72" s="24"/>
      <c r="Q72" s="24"/>
      <c r="R72" s="24"/>
      <c r="S72" s="24"/>
    </row>
    <row r="73" spans="1:19" ht="18" customHeight="1" x14ac:dyDescent="0.15">
      <c r="A73" s="3"/>
      <c r="B73" s="93"/>
      <c r="C73" s="94"/>
      <c r="D73" s="94"/>
      <c r="E73" s="24"/>
      <c r="F73" s="24"/>
      <c r="G73" s="24"/>
      <c r="H73" s="24"/>
      <c r="I73" s="24"/>
      <c r="J73" s="93"/>
      <c r="K73" s="94"/>
      <c r="L73" s="94"/>
      <c r="M73" s="94"/>
      <c r="N73" s="95"/>
      <c r="O73" s="24"/>
      <c r="P73" s="24"/>
      <c r="Q73" s="24"/>
      <c r="R73" s="24"/>
      <c r="S73" s="24"/>
    </row>
    <row r="74" spans="1:19" ht="18" customHeight="1" x14ac:dyDescent="0.15">
      <c r="A74" s="3"/>
      <c r="B74" s="93"/>
      <c r="C74" s="94"/>
      <c r="D74" s="94"/>
      <c r="E74" s="24"/>
      <c r="F74" s="24"/>
      <c r="G74" s="24"/>
      <c r="H74" s="24"/>
      <c r="I74" s="24"/>
      <c r="J74" s="93"/>
      <c r="K74" s="94"/>
      <c r="L74" s="94"/>
      <c r="M74" s="94"/>
      <c r="N74" s="95"/>
      <c r="O74" s="24"/>
      <c r="P74" s="24"/>
      <c r="Q74" s="24"/>
      <c r="R74" s="24"/>
      <c r="S74" s="24"/>
    </row>
    <row r="75" spans="1:19" ht="18" customHeight="1" x14ac:dyDescent="0.15">
      <c r="A75" s="3"/>
      <c r="B75" s="96"/>
      <c r="C75" s="97"/>
      <c r="D75" s="97"/>
      <c r="E75" s="25"/>
      <c r="F75" s="25"/>
      <c r="G75" s="26"/>
      <c r="H75" s="26"/>
      <c r="I75" s="26"/>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9" t="s">
        <v>54</v>
      </c>
      <c r="C78" s="100"/>
      <c r="D78" s="100"/>
      <c r="E78" s="101"/>
      <c r="F78" s="99" t="s">
        <v>83</v>
      </c>
      <c r="G78" s="100"/>
      <c r="H78" s="100"/>
      <c r="I78" s="101"/>
      <c r="J78" s="145" t="s">
        <v>54</v>
      </c>
      <c r="K78" s="146"/>
      <c r="L78" s="146"/>
      <c r="M78" s="146"/>
      <c r="N78" s="146"/>
      <c r="O78" s="147"/>
      <c r="P78" s="99" t="s">
        <v>83</v>
      </c>
      <c r="Q78" s="100"/>
      <c r="R78" s="100"/>
      <c r="S78" s="101"/>
    </row>
    <row r="79" spans="1:19" ht="18" customHeight="1" x14ac:dyDescent="0.15">
      <c r="A79" s="3"/>
      <c r="B79" s="103" t="s">
        <v>144</v>
      </c>
      <c r="C79" s="104"/>
      <c r="D79" s="104"/>
      <c r="E79" s="105"/>
      <c r="F79" s="159" t="s">
        <v>145</v>
      </c>
      <c r="G79" s="160"/>
      <c r="H79" s="160"/>
      <c r="I79" s="161"/>
      <c r="J79" s="103" t="s">
        <v>166</v>
      </c>
      <c r="K79" s="104"/>
      <c r="L79" s="104"/>
      <c r="M79" s="104"/>
      <c r="N79" s="104"/>
      <c r="O79" s="105"/>
      <c r="P79" s="159" t="s">
        <v>171</v>
      </c>
      <c r="Q79" s="160"/>
      <c r="R79" s="160"/>
      <c r="S79" s="161"/>
    </row>
    <row r="80" spans="1:19" ht="18" customHeight="1" x14ac:dyDescent="0.15">
      <c r="A80" s="3"/>
      <c r="B80" s="93" t="s">
        <v>146</v>
      </c>
      <c r="C80" s="94"/>
      <c r="D80" s="94"/>
      <c r="E80" s="95"/>
      <c r="F80" s="129" t="s">
        <v>145</v>
      </c>
      <c r="G80" s="130"/>
      <c r="H80" s="130"/>
      <c r="I80" s="131"/>
      <c r="J80" s="93" t="s">
        <v>165</v>
      </c>
      <c r="K80" s="94"/>
      <c r="L80" s="94"/>
      <c r="M80" s="94"/>
      <c r="N80" s="94"/>
      <c r="O80" s="95"/>
      <c r="P80" s="129" t="s">
        <v>172</v>
      </c>
      <c r="Q80" s="130"/>
      <c r="R80" s="130"/>
      <c r="S80" s="131"/>
    </row>
    <row r="81" spans="1:19" ht="18" customHeight="1" x14ac:dyDescent="0.15">
      <c r="A81" s="3"/>
      <c r="B81" s="93" t="s">
        <v>147</v>
      </c>
      <c r="C81" s="94"/>
      <c r="D81" s="94"/>
      <c r="E81" s="95"/>
      <c r="F81" s="129" t="s">
        <v>148</v>
      </c>
      <c r="G81" s="130"/>
      <c r="H81" s="130"/>
      <c r="I81" s="131"/>
      <c r="J81" s="93" t="s">
        <v>165</v>
      </c>
      <c r="K81" s="94"/>
      <c r="L81" s="94"/>
      <c r="M81" s="94"/>
      <c r="N81" s="94"/>
      <c r="O81" s="95"/>
      <c r="P81" s="129" t="s">
        <v>173</v>
      </c>
      <c r="Q81" s="130"/>
      <c r="R81" s="130"/>
      <c r="S81" s="131"/>
    </row>
    <row r="82" spans="1:19" ht="18" customHeight="1" x14ac:dyDescent="0.15">
      <c r="A82" s="3"/>
      <c r="B82" s="93" t="s">
        <v>147</v>
      </c>
      <c r="C82" s="94"/>
      <c r="D82" s="94"/>
      <c r="E82" s="95"/>
      <c r="F82" s="129" t="s">
        <v>149</v>
      </c>
      <c r="G82" s="130"/>
      <c r="H82" s="130"/>
      <c r="I82" s="131"/>
      <c r="J82" s="93" t="s">
        <v>165</v>
      </c>
      <c r="K82" s="94"/>
      <c r="L82" s="94"/>
      <c r="M82" s="94"/>
      <c r="N82" s="94"/>
      <c r="O82" s="95"/>
      <c r="P82" s="129" t="s">
        <v>174</v>
      </c>
      <c r="Q82" s="130"/>
      <c r="R82" s="130"/>
      <c r="S82" s="131"/>
    </row>
    <row r="83" spans="1:19" ht="18" customHeight="1" x14ac:dyDescent="0.15">
      <c r="A83" s="3"/>
      <c r="B83" s="93" t="s">
        <v>150</v>
      </c>
      <c r="C83" s="94"/>
      <c r="D83" s="94"/>
      <c r="E83" s="95"/>
      <c r="F83" s="129" t="s">
        <v>148</v>
      </c>
      <c r="G83" s="130"/>
      <c r="H83" s="130"/>
      <c r="I83" s="131"/>
      <c r="J83" s="93"/>
      <c r="K83" s="94"/>
      <c r="L83" s="94"/>
      <c r="M83" s="94"/>
      <c r="N83" s="94"/>
      <c r="O83" s="95"/>
      <c r="P83" s="129"/>
      <c r="Q83" s="130"/>
      <c r="R83" s="130"/>
      <c r="S83" s="131"/>
    </row>
    <row r="84" spans="1:19" ht="18" customHeight="1" x14ac:dyDescent="0.15">
      <c r="A84" s="3"/>
      <c r="B84" s="93" t="s">
        <v>150</v>
      </c>
      <c r="C84" s="94"/>
      <c r="D84" s="94"/>
      <c r="E84" s="95"/>
      <c r="F84" s="129" t="s">
        <v>149</v>
      </c>
      <c r="G84" s="130"/>
      <c r="H84" s="130"/>
      <c r="I84" s="131"/>
      <c r="J84" s="93"/>
      <c r="K84" s="94"/>
      <c r="L84" s="94"/>
      <c r="M84" s="94"/>
      <c r="N84" s="94"/>
      <c r="O84" s="95"/>
      <c r="P84" s="129"/>
      <c r="Q84" s="130"/>
      <c r="R84" s="130"/>
      <c r="S84" s="131"/>
    </row>
    <row r="85" spans="1:19" ht="18" customHeight="1" x14ac:dyDescent="0.15">
      <c r="A85" s="3"/>
      <c r="B85" s="96" t="s">
        <v>166</v>
      </c>
      <c r="C85" s="97"/>
      <c r="D85" s="97"/>
      <c r="E85" s="98"/>
      <c r="F85" s="126" t="s">
        <v>170</v>
      </c>
      <c r="G85" s="127"/>
      <c r="H85" s="127"/>
      <c r="I85" s="128"/>
      <c r="J85" s="96"/>
      <c r="K85" s="97"/>
      <c r="L85" s="97"/>
      <c r="M85" s="97"/>
      <c r="N85" s="97"/>
      <c r="O85" s="98"/>
      <c r="P85" s="126"/>
      <c r="Q85" s="127"/>
      <c r="R85" s="127"/>
      <c r="S85" s="128"/>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7" t="s">
        <v>55</v>
      </c>
      <c r="C88" s="158"/>
      <c r="D88" s="100" t="s">
        <v>56</v>
      </c>
      <c r="E88" s="100"/>
      <c r="F88" s="100"/>
      <c r="G88" s="100"/>
      <c r="H88" s="100"/>
      <c r="I88" s="100"/>
      <c r="J88" s="100"/>
      <c r="K88" s="100"/>
      <c r="L88" s="100"/>
      <c r="M88" s="100"/>
      <c r="N88" s="100"/>
      <c r="O88" s="100"/>
      <c r="P88" s="100"/>
      <c r="Q88" s="100"/>
      <c r="R88" s="100"/>
      <c r="S88" s="101"/>
    </row>
    <row r="89" spans="1:19" ht="97.5" customHeight="1" x14ac:dyDescent="0.15">
      <c r="B89" s="148" t="s">
        <v>62</v>
      </c>
      <c r="C89" s="28" t="s">
        <v>57</v>
      </c>
      <c r="D89" s="154" t="s">
        <v>188</v>
      </c>
      <c r="E89" s="155"/>
      <c r="F89" s="155"/>
      <c r="G89" s="155"/>
      <c r="H89" s="155"/>
      <c r="I89" s="155"/>
      <c r="J89" s="155"/>
      <c r="K89" s="155"/>
      <c r="L89" s="155"/>
      <c r="M89" s="155"/>
      <c r="N89" s="155"/>
      <c r="O89" s="155"/>
      <c r="P89" s="155"/>
      <c r="Q89" s="155"/>
      <c r="R89" s="155"/>
      <c r="S89" s="156"/>
    </row>
    <row r="90" spans="1:19" ht="97.5" customHeight="1" x14ac:dyDescent="0.15">
      <c r="B90" s="150"/>
      <c r="C90" s="29" t="s">
        <v>78</v>
      </c>
      <c r="D90" s="132" t="s">
        <v>184</v>
      </c>
      <c r="E90" s="133"/>
      <c r="F90" s="133"/>
      <c r="G90" s="133"/>
      <c r="H90" s="133"/>
      <c r="I90" s="133"/>
      <c r="J90" s="133"/>
      <c r="K90" s="133"/>
      <c r="L90" s="133"/>
      <c r="M90" s="133"/>
      <c r="N90" s="133"/>
      <c r="O90" s="133"/>
      <c r="P90" s="133"/>
      <c r="Q90" s="133"/>
      <c r="R90" s="133"/>
      <c r="S90" s="134"/>
    </row>
    <row r="91" spans="1:19" ht="97.5" customHeight="1" x14ac:dyDescent="0.15">
      <c r="B91" s="148" t="s">
        <v>63</v>
      </c>
      <c r="C91" s="30" t="s">
        <v>72</v>
      </c>
      <c r="D91" s="135" t="s">
        <v>163</v>
      </c>
      <c r="E91" s="136"/>
      <c r="F91" s="136"/>
      <c r="G91" s="136"/>
      <c r="H91" s="136"/>
      <c r="I91" s="136"/>
      <c r="J91" s="136"/>
      <c r="K91" s="136"/>
      <c r="L91" s="136"/>
      <c r="M91" s="136"/>
      <c r="N91" s="136"/>
      <c r="O91" s="136"/>
      <c r="P91" s="136"/>
      <c r="Q91" s="136"/>
      <c r="R91" s="136"/>
      <c r="S91" s="137"/>
    </row>
    <row r="92" spans="1:19" ht="97.5" customHeight="1" x14ac:dyDescent="0.15">
      <c r="B92" s="149"/>
      <c r="C92" s="31" t="s">
        <v>73</v>
      </c>
      <c r="D92" s="141" t="s">
        <v>161</v>
      </c>
      <c r="E92" s="142"/>
      <c r="F92" s="142"/>
      <c r="G92" s="142"/>
      <c r="H92" s="142"/>
      <c r="I92" s="142"/>
      <c r="J92" s="142"/>
      <c r="K92" s="142"/>
      <c r="L92" s="142"/>
      <c r="M92" s="142"/>
      <c r="N92" s="142"/>
      <c r="O92" s="142"/>
      <c r="P92" s="142"/>
      <c r="Q92" s="142"/>
      <c r="R92" s="142"/>
      <c r="S92" s="143"/>
    </row>
    <row r="93" spans="1:19" ht="155.25" customHeight="1" x14ac:dyDescent="0.15">
      <c r="B93" s="148" t="s">
        <v>64</v>
      </c>
      <c r="C93" s="30" t="s">
        <v>74</v>
      </c>
      <c r="D93" s="135" t="s">
        <v>186</v>
      </c>
      <c r="E93" s="136"/>
      <c r="F93" s="136"/>
      <c r="G93" s="136"/>
      <c r="H93" s="136"/>
      <c r="I93" s="136"/>
      <c r="J93" s="136"/>
      <c r="K93" s="136"/>
      <c r="L93" s="136"/>
      <c r="M93" s="136"/>
      <c r="N93" s="136"/>
      <c r="O93" s="136"/>
      <c r="P93" s="136"/>
      <c r="Q93" s="136"/>
      <c r="R93" s="136"/>
      <c r="S93" s="137"/>
    </row>
    <row r="94" spans="1:19" ht="97.5" customHeight="1" x14ac:dyDescent="0.15">
      <c r="B94" s="149"/>
      <c r="C94" s="32" t="s">
        <v>75</v>
      </c>
      <c r="D94" s="138" t="s">
        <v>162</v>
      </c>
      <c r="E94" s="139"/>
      <c r="F94" s="139"/>
      <c r="G94" s="139"/>
      <c r="H94" s="139"/>
      <c r="I94" s="139"/>
      <c r="J94" s="139"/>
      <c r="K94" s="139"/>
      <c r="L94" s="139"/>
      <c r="M94" s="139"/>
      <c r="N94" s="139"/>
      <c r="O94" s="139"/>
      <c r="P94" s="139"/>
      <c r="Q94" s="139"/>
      <c r="R94" s="139"/>
      <c r="S94" s="140"/>
    </row>
    <row r="95" spans="1:19" ht="97.5" customHeight="1" x14ac:dyDescent="0.15">
      <c r="B95" s="148" t="s">
        <v>79</v>
      </c>
      <c r="C95" s="28" t="s">
        <v>59</v>
      </c>
      <c r="D95" s="154" t="s">
        <v>164</v>
      </c>
      <c r="E95" s="155"/>
      <c r="F95" s="155"/>
      <c r="G95" s="155"/>
      <c r="H95" s="155"/>
      <c r="I95" s="155"/>
      <c r="J95" s="155"/>
      <c r="K95" s="155"/>
      <c r="L95" s="155"/>
      <c r="M95" s="155"/>
      <c r="N95" s="155"/>
      <c r="O95" s="155"/>
      <c r="P95" s="155"/>
      <c r="Q95" s="155"/>
      <c r="R95" s="155"/>
      <c r="S95" s="156"/>
    </row>
    <row r="96" spans="1:19" ht="129.75" customHeight="1" x14ac:dyDescent="0.15">
      <c r="B96" s="149"/>
      <c r="C96" s="31" t="s">
        <v>61</v>
      </c>
      <c r="D96" s="141" t="s">
        <v>175</v>
      </c>
      <c r="E96" s="142"/>
      <c r="F96" s="142"/>
      <c r="G96" s="142"/>
      <c r="H96" s="142"/>
      <c r="I96" s="142"/>
      <c r="J96" s="142"/>
      <c r="K96" s="142"/>
      <c r="L96" s="142"/>
      <c r="M96" s="142"/>
      <c r="N96" s="142"/>
      <c r="O96" s="142"/>
      <c r="P96" s="142"/>
      <c r="Q96" s="142"/>
      <c r="R96" s="142"/>
      <c r="S96" s="143"/>
    </row>
    <row r="97" spans="1:19" ht="97.5" customHeight="1" x14ac:dyDescent="0.15">
      <c r="B97" s="148" t="s">
        <v>80</v>
      </c>
      <c r="C97" s="30" t="s">
        <v>58</v>
      </c>
      <c r="D97" s="144" t="s">
        <v>167</v>
      </c>
      <c r="E97" s="94"/>
      <c r="F97" s="94"/>
      <c r="G97" s="94"/>
      <c r="H97" s="94"/>
      <c r="I97" s="94"/>
      <c r="J97" s="94"/>
      <c r="K97" s="94"/>
      <c r="L97" s="94"/>
      <c r="M97" s="94"/>
      <c r="N97" s="94"/>
      <c r="O97" s="94"/>
      <c r="P97" s="94"/>
      <c r="Q97" s="94"/>
      <c r="R97" s="94"/>
      <c r="S97" s="95"/>
    </row>
    <row r="98" spans="1:19" ht="108" customHeight="1" x14ac:dyDescent="0.15">
      <c r="B98" s="150"/>
      <c r="C98" s="33" t="s">
        <v>76</v>
      </c>
      <c r="D98" s="144" t="s">
        <v>168</v>
      </c>
      <c r="E98" s="94"/>
      <c r="F98" s="94"/>
      <c r="G98" s="94"/>
      <c r="H98" s="94"/>
      <c r="I98" s="94"/>
      <c r="J98" s="94"/>
      <c r="K98" s="94"/>
      <c r="L98" s="94"/>
      <c r="M98" s="94"/>
      <c r="N98" s="94"/>
      <c r="O98" s="94"/>
      <c r="P98" s="94"/>
      <c r="Q98" s="94"/>
      <c r="R98" s="94"/>
      <c r="S98" s="95"/>
    </row>
    <row r="99" spans="1:19" ht="97.5" customHeight="1" x14ac:dyDescent="0.15">
      <c r="B99" s="149"/>
      <c r="C99" s="32" t="s">
        <v>77</v>
      </c>
      <c r="D99" s="151" t="s">
        <v>169</v>
      </c>
      <c r="E99" s="152"/>
      <c r="F99" s="152"/>
      <c r="G99" s="152"/>
      <c r="H99" s="152"/>
      <c r="I99" s="152"/>
      <c r="J99" s="152"/>
      <c r="K99" s="152"/>
      <c r="L99" s="152"/>
      <c r="M99" s="152"/>
      <c r="N99" s="152"/>
      <c r="O99" s="152"/>
      <c r="P99" s="152"/>
      <c r="Q99" s="152"/>
      <c r="R99" s="152"/>
      <c r="S99" s="153"/>
    </row>
    <row r="100" spans="1:19" ht="6" customHeight="1" x14ac:dyDescent="0.15"/>
    <row r="101" spans="1:19" ht="18.75" customHeight="1" x14ac:dyDescent="0.15">
      <c r="A101" s="1" t="s">
        <v>121</v>
      </c>
    </row>
    <row r="102" spans="1:19" ht="81.75" customHeight="1" x14ac:dyDescent="0.15">
      <c r="B102" s="123" t="s">
        <v>152</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36:I42 Q36:S42 G47:I53 Q47:S53 G58:I64 Q58:S64 G25:I31 F69:I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election activeCell="AR12" sqref="AR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5" t="str">
        <f>'様式１　プログラムを構成する授業科目'!C2</f>
        <v>神戸女学院大学</v>
      </c>
      <c r="AN2" s="165"/>
      <c r="AO2" s="165"/>
      <c r="AP2" s="165"/>
      <c r="AQ2" s="165"/>
    </row>
    <row r="3" spans="1:45" ht="18" customHeight="1" x14ac:dyDescent="0.15">
      <c r="A3" s="110" t="s">
        <v>48</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6" t="s">
        <v>132</v>
      </c>
      <c r="D5" s="16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8" t="s">
        <v>45</v>
      </c>
      <c r="C9" s="183" t="s">
        <v>87</v>
      </c>
      <c r="D9" s="171" t="s">
        <v>47</v>
      </c>
      <c r="E9" s="174" t="s">
        <v>40</v>
      </c>
      <c r="F9" s="164" t="s">
        <v>86</v>
      </c>
      <c r="G9" s="164"/>
      <c r="H9" s="164"/>
      <c r="I9" s="164"/>
      <c r="J9" s="164"/>
      <c r="K9" s="164"/>
      <c r="L9" s="164" t="s">
        <v>49</v>
      </c>
      <c r="M9" s="164"/>
      <c r="N9" s="164"/>
      <c r="O9" s="164"/>
      <c r="P9" s="164"/>
      <c r="Q9" s="164"/>
      <c r="R9" s="164" t="s">
        <v>50</v>
      </c>
      <c r="S9" s="164"/>
      <c r="T9" s="164"/>
      <c r="U9" s="164"/>
      <c r="V9" s="164"/>
      <c r="W9" s="164"/>
      <c r="X9" s="164" t="s">
        <v>101</v>
      </c>
      <c r="Y9" s="164"/>
      <c r="Z9" s="164"/>
      <c r="AA9" s="164"/>
      <c r="AB9" s="164"/>
      <c r="AC9" s="164"/>
      <c r="AD9" s="164" t="s">
        <v>51</v>
      </c>
      <c r="AE9" s="164"/>
      <c r="AF9" s="164"/>
      <c r="AG9" s="164"/>
      <c r="AH9" s="164"/>
      <c r="AI9" s="164"/>
      <c r="AJ9" s="164" t="s">
        <v>52</v>
      </c>
      <c r="AK9" s="164"/>
      <c r="AL9" s="164"/>
      <c r="AM9" s="164"/>
      <c r="AN9" s="164"/>
      <c r="AO9" s="164"/>
      <c r="AP9" s="177" t="s">
        <v>35</v>
      </c>
      <c r="AQ9" s="180" t="s">
        <v>32</v>
      </c>
      <c r="AS9" s="2"/>
    </row>
    <row r="10" spans="1:45" ht="17.100000000000001" customHeight="1" x14ac:dyDescent="0.15">
      <c r="B10" s="169"/>
      <c r="C10" s="184"/>
      <c r="D10" s="172"/>
      <c r="E10" s="175"/>
      <c r="F10" s="162" t="s">
        <v>97</v>
      </c>
      <c r="G10" s="163"/>
      <c r="H10" s="163"/>
      <c r="I10" s="162" t="s">
        <v>29</v>
      </c>
      <c r="J10" s="163"/>
      <c r="K10" s="163"/>
      <c r="L10" s="162" t="s">
        <v>97</v>
      </c>
      <c r="M10" s="163"/>
      <c r="N10" s="163"/>
      <c r="O10" s="162" t="s">
        <v>29</v>
      </c>
      <c r="P10" s="163"/>
      <c r="Q10" s="163"/>
      <c r="R10" s="162" t="s">
        <v>97</v>
      </c>
      <c r="S10" s="163"/>
      <c r="T10" s="163"/>
      <c r="U10" s="162" t="s">
        <v>29</v>
      </c>
      <c r="V10" s="163"/>
      <c r="W10" s="163"/>
      <c r="X10" s="162" t="s">
        <v>97</v>
      </c>
      <c r="Y10" s="163"/>
      <c r="Z10" s="163"/>
      <c r="AA10" s="162" t="s">
        <v>29</v>
      </c>
      <c r="AB10" s="163"/>
      <c r="AC10" s="163"/>
      <c r="AD10" s="162" t="s">
        <v>97</v>
      </c>
      <c r="AE10" s="163"/>
      <c r="AF10" s="163"/>
      <c r="AG10" s="162" t="s">
        <v>29</v>
      </c>
      <c r="AH10" s="163"/>
      <c r="AI10" s="163"/>
      <c r="AJ10" s="162" t="s">
        <v>97</v>
      </c>
      <c r="AK10" s="163"/>
      <c r="AL10" s="163"/>
      <c r="AM10" s="162" t="s">
        <v>29</v>
      </c>
      <c r="AN10" s="163"/>
      <c r="AO10" s="163"/>
      <c r="AP10" s="178"/>
      <c r="AQ10" s="181"/>
      <c r="AS10" s="2"/>
    </row>
    <row r="11" spans="1:45" ht="18" customHeight="1" x14ac:dyDescent="0.15">
      <c r="B11" s="170"/>
      <c r="C11" s="185"/>
      <c r="D11" s="173"/>
      <c r="E11" s="17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9"/>
      <c r="AQ11" s="182"/>
      <c r="AS11" s="2"/>
    </row>
    <row r="12" spans="1:45" ht="18" customHeight="1" x14ac:dyDescent="0.15">
      <c r="A12" s="6"/>
      <c r="B12" s="11" t="s">
        <v>133</v>
      </c>
      <c r="C12" s="83">
        <v>1318</v>
      </c>
      <c r="D12" s="63">
        <v>350</v>
      </c>
      <c r="E12" s="85">
        <v>1400</v>
      </c>
      <c r="F12" s="64">
        <f>G12+H12</f>
        <v>4</v>
      </c>
      <c r="G12" s="65">
        <v>0</v>
      </c>
      <c r="H12" s="66">
        <v>4</v>
      </c>
      <c r="I12" s="64">
        <f>J12+K12</f>
        <v>0</v>
      </c>
      <c r="J12" s="65">
        <v>0</v>
      </c>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4</v>
      </c>
      <c r="AQ12" s="21">
        <f t="shared" ref="AQ12:AQ32" si="0">AP12/E12</f>
        <v>2.8571428571428571E-3</v>
      </c>
    </row>
    <row r="13" spans="1:45" ht="18" customHeight="1" x14ac:dyDescent="0.15">
      <c r="A13" s="6"/>
      <c r="B13" s="12" t="s">
        <v>134</v>
      </c>
      <c r="C13" s="84">
        <v>170</v>
      </c>
      <c r="D13" s="68">
        <v>40</v>
      </c>
      <c r="E13" s="86">
        <v>180</v>
      </c>
      <c r="F13" s="70">
        <f t="shared" ref="F13:F31" si="1">G13+H13</f>
        <v>0</v>
      </c>
      <c r="G13" s="71">
        <v>0</v>
      </c>
      <c r="H13" s="72">
        <v>0</v>
      </c>
      <c r="I13" s="70">
        <f t="shared" ref="I13:I31" si="2">J13+K13</f>
        <v>0</v>
      </c>
      <c r="J13" s="71">
        <v>0</v>
      </c>
      <c r="K13" s="72">
        <v>0</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f t="shared" si="0"/>
        <v>0</v>
      </c>
    </row>
    <row r="14" spans="1:45" ht="18" customHeight="1" x14ac:dyDescent="0.15">
      <c r="A14" s="6"/>
      <c r="B14" s="12" t="s">
        <v>135</v>
      </c>
      <c r="C14" s="84">
        <v>742</v>
      </c>
      <c r="D14" s="68">
        <v>176</v>
      </c>
      <c r="E14" s="86">
        <v>686</v>
      </c>
      <c r="F14" s="70">
        <f t="shared" si="1"/>
        <v>10</v>
      </c>
      <c r="G14" s="71">
        <v>0</v>
      </c>
      <c r="H14" s="72">
        <v>10</v>
      </c>
      <c r="I14" s="70">
        <f t="shared" si="2"/>
        <v>0</v>
      </c>
      <c r="J14" s="71">
        <v>0</v>
      </c>
      <c r="K14" s="72">
        <v>0</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10</v>
      </c>
      <c r="AQ14" s="8">
        <f t="shared" si="0"/>
        <v>1.4577259475218658E-2</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2230</v>
      </c>
      <c r="D32" s="78">
        <f t="shared" ref="D32:AP32" si="15">SUM(D12:D31)</f>
        <v>566</v>
      </c>
      <c r="E32" s="79">
        <f t="shared" si="15"/>
        <v>2266</v>
      </c>
      <c r="F32" s="79">
        <f t="shared" si="15"/>
        <v>14</v>
      </c>
      <c r="G32" s="80">
        <f t="shared" si="15"/>
        <v>0</v>
      </c>
      <c r="H32" s="81">
        <f t="shared" si="15"/>
        <v>14</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14</v>
      </c>
      <c r="AQ32" s="9">
        <f t="shared" si="0"/>
        <v>6.1782877316857903E-3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tabSelected="1" view="pageBreakPreview" topLeftCell="A18" zoomScaleNormal="100" zoomScaleSheetLayoutView="100" workbookViewId="0">
      <selection activeCell="B47" sqref="B47"/>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9" t="str">
        <f>'様式１　プログラムを構成する授業科目'!C2</f>
        <v>神戸女学院大学</v>
      </c>
      <c r="I2" s="101"/>
    </row>
    <row r="3" spans="1:9" ht="18.75" customHeight="1" x14ac:dyDescent="0.15">
      <c r="G3" s="35"/>
      <c r="H3" s="10"/>
      <c r="I3" s="10"/>
    </row>
    <row r="4" spans="1:9" ht="18.600000000000001" customHeight="1" x14ac:dyDescent="0.15">
      <c r="A4" s="110" t="s">
        <v>36</v>
      </c>
      <c r="B4" s="110"/>
      <c r="C4" s="110"/>
      <c r="D4" s="110"/>
      <c r="E4" s="110"/>
      <c r="F4" s="110"/>
      <c r="G4" s="110"/>
      <c r="H4" s="110"/>
      <c r="I4" s="110"/>
    </row>
    <row r="5" spans="1:9" ht="13.35" customHeight="1" x14ac:dyDescent="0.15">
      <c r="B5" s="3"/>
      <c r="C5" s="3"/>
      <c r="D5" s="3"/>
      <c r="E5" s="3"/>
      <c r="F5" s="3"/>
      <c r="G5" s="3"/>
      <c r="H5" s="3"/>
      <c r="I5" s="3"/>
    </row>
    <row r="6" spans="1:9" ht="18" customHeight="1" x14ac:dyDescent="0.15">
      <c r="A6" s="1" t="s">
        <v>0</v>
      </c>
      <c r="B6" s="10" t="s">
        <v>91</v>
      </c>
      <c r="C6" s="238" t="s">
        <v>92</v>
      </c>
      <c r="D6" s="238"/>
      <c r="E6" s="34">
        <v>83</v>
      </c>
      <c r="F6" s="3" t="s">
        <v>1</v>
      </c>
      <c r="G6" s="3" t="s">
        <v>2</v>
      </c>
      <c r="H6" s="34">
        <v>413</v>
      </c>
      <c r="I6" s="10" t="s">
        <v>1</v>
      </c>
    </row>
    <row r="7" spans="1:9" ht="12" customHeight="1" x14ac:dyDescent="0.15">
      <c r="C7" s="2"/>
      <c r="D7" s="2"/>
      <c r="E7" s="2"/>
      <c r="F7" s="2"/>
      <c r="G7" s="2"/>
      <c r="H7" s="2"/>
      <c r="I7" s="42"/>
    </row>
    <row r="8" spans="1:9" ht="18" customHeight="1" x14ac:dyDescent="0.15">
      <c r="A8" s="1" t="s">
        <v>3</v>
      </c>
      <c r="B8" s="10" t="s">
        <v>93</v>
      </c>
      <c r="E8" s="3"/>
      <c r="F8" s="3"/>
      <c r="G8" s="3"/>
      <c r="H8" s="34">
        <v>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1" t="s">
        <v>139</v>
      </c>
      <c r="D11" s="234"/>
      <c r="E11" s="235"/>
      <c r="F11" s="42"/>
      <c r="G11" s="35" t="s">
        <v>10</v>
      </c>
      <c r="H11" s="236" t="s">
        <v>140</v>
      </c>
      <c r="I11" s="237"/>
    </row>
    <row r="12" spans="1:9" ht="10.3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31" t="s">
        <v>136</v>
      </c>
      <c r="C14" s="232"/>
      <c r="D14" s="232"/>
      <c r="E14" s="232"/>
      <c r="F14" s="232"/>
      <c r="G14" s="232"/>
      <c r="H14" s="232"/>
      <c r="I14" s="233"/>
    </row>
    <row r="15" spans="1:9" ht="9" customHeight="1" x14ac:dyDescent="0.15">
      <c r="B15" s="3"/>
      <c r="C15" s="3"/>
      <c r="D15" s="3"/>
      <c r="E15" s="3"/>
      <c r="F15" s="3"/>
      <c r="G15" s="3"/>
      <c r="H15" s="3"/>
      <c r="I15" s="3"/>
    </row>
    <row r="16" spans="1:9" ht="18" customHeight="1" x14ac:dyDescent="0.15">
      <c r="B16" s="35" t="s">
        <v>43</v>
      </c>
      <c r="C16" s="231" t="s">
        <v>137</v>
      </c>
      <c r="D16" s="234"/>
      <c r="E16" s="235"/>
      <c r="F16" s="42"/>
      <c r="G16" s="35" t="s">
        <v>10</v>
      </c>
      <c r="H16" s="236" t="s">
        <v>158</v>
      </c>
      <c r="I16" s="237"/>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3" t="s">
        <v>141</v>
      </c>
      <c r="C19" s="224"/>
      <c r="D19" s="224"/>
      <c r="E19" s="224"/>
      <c r="F19" s="224"/>
      <c r="G19" s="224"/>
      <c r="H19" s="224"/>
      <c r="I19" s="22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3" t="s">
        <v>153</v>
      </c>
      <c r="C22" s="214"/>
      <c r="D22" s="214"/>
      <c r="E22" s="214"/>
      <c r="F22" s="214"/>
      <c r="G22" s="214"/>
      <c r="H22" s="214"/>
      <c r="I22" s="215"/>
    </row>
    <row r="23" spans="1:9" ht="18.75" customHeight="1" x14ac:dyDescent="0.15">
      <c r="A23" s="15"/>
      <c r="B23" s="226"/>
      <c r="C23" s="227"/>
      <c r="D23" s="227"/>
      <c r="E23" s="227"/>
      <c r="F23" s="227"/>
      <c r="G23" s="227"/>
      <c r="H23" s="227"/>
      <c r="I23" s="218"/>
    </row>
    <row r="24" spans="1:9" ht="18.75" customHeight="1" x14ac:dyDescent="0.15">
      <c r="A24" s="15"/>
      <c r="B24" s="226"/>
      <c r="C24" s="227"/>
      <c r="D24" s="227"/>
      <c r="E24" s="227"/>
      <c r="F24" s="227"/>
      <c r="G24" s="227"/>
      <c r="H24" s="227"/>
      <c r="I24" s="218"/>
    </row>
    <row r="25" spans="1:9" ht="18.75" customHeight="1" x14ac:dyDescent="0.15">
      <c r="A25" s="15"/>
      <c r="B25" s="226"/>
      <c r="C25" s="227"/>
      <c r="D25" s="227"/>
      <c r="E25" s="227"/>
      <c r="F25" s="227"/>
      <c r="G25" s="227"/>
      <c r="H25" s="227"/>
      <c r="I25" s="218"/>
    </row>
    <row r="26" spans="1:9" ht="18.75" customHeight="1" x14ac:dyDescent="0.15">
      <c r="A26" s="15"/>
      <c r="B26" s="226"/>
      <c r="C26" s="227"/>
      <c r="D26" s="227"/>
      <c r="E26" s="227"/>
      <c r="F26" s="227"/>
      <c r="G26" s="227"/>
      <c r="H26" s="227"/>
      <c r="I26" s="218"/>
    </row>
    <row r="27" spans="1:9" ht="18.75" customHeight="1" x14ac:dyDescent="0.15">
      <c r="A27" s="15"/>
      <c r="B27" s="226"/>
      <c r="C27" s="227"/>
      <c r="D27" s="227"/>
      <c r="E27" s="227"/>
      <c r="F27" s="227"/>
      <c r="G27" s="227"/>
      <c r="H27" s="227"/>
      <c r="I27" s="218"/>
    </row>
    <row r="28" spans="1:9" ht="18.75" customHeight="1" x14ac:dyDescent="0.15">
      <c r="A28" s="15"/>
      <c r="B28" s="226"/>
      <c r="C28" s="227"/>
      <c r="D28" s="227"/>
      <c r="E28" s="227"/>
      <c r="F28" s="227"/>
      <c r="G28" s="227"/>
      <c r="H28" s="227"/>
      <c r="I28" s="218"/>
    </row>
    <row r="29" spans="1:9" ht="18.75" customHeight="1" x14ac:dyDescent="0.15">
      <c r="A29" s="15"/>
      <c r="B29" s="226"/>
      <c r="C29" s="227"/>
      <c r="D29" s="227"/>
      <c r="E29" s="227"/>
      <c r="F29" s="227"/>
      <c r="G29" s="227"/>
      <c r="H29" s="227"/>
      <c r="I29" s="218"/>
    </row>
    <row r="30" spans="1:9" ht="18.75" customHeight="1" x14ac:dyDescent="0.15">
      <c r="A30" s="15"/>
      <c r="B30" s="216"/>
      <c r="C30" s="217"/>
      <c r="D30" s="217"/>
      <c r="E30" s="217"/>
      <c r="F30" s="217"/>
      <c r="G30" s="217"/>
      <c r="H30" s="217"/>
      <c r="I30" s="218"/>
    </row>
    <row r="31" spans="1:9" ht="18.75" customHeight="1" x14ac:dyDescent="0.15">
      <c r="A31" s="15"/>
      <c r="B31" s="216"/>
      <c r="C31" s="217"/>
      <c r="D31" s="217"/>
      <c r="E31" s="217"/>
      <c r="F31" s="217"/>
      <c r="G31" s="217"/>
      <c r="H31" s="217"/>
      <c r="I31" s="218"/>
    </row>
    <row r="32" spans="1:9" ht="18.75" customHeight="1" x14ac:dyDescent="0.15">
      <c r="A32" s="15"/>
      <c r="B32" s="219"/>
      <c r="C32" s="220"/>
      <c r="D32" s="220"/>
      <c r="E32" s="220"/>
      <c r="F32" s="220"/>
      <c r="G32" s="220"/>
      <c r="H32" s="220"/>
      <c r="I32" s="221"/>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3" t="s">
        <v>189</v>
      </c>
      <c r="C35" s="214"/>
      <c r="D35" s="214"/>
      <c r="E35" s="214"/>
      <c r="F35" s="214"/>
      <c r="G35" s="214"/>
      <c r="H35" s="214"/>
      <c r="I35" s="215"/>
    </row>
    <row r="36" spans="1:9" ht="18.75" customHeight="1" x14ac:dyDescent="0.15">
      <c r="A36" s="15"/>
      <c r="B36" s="216"/>
      <c r="C36" s="217"/>
      <c r="D36" s="217"/>
      <c r="E36" s="217"/>
      <c r="F36" s="217"/>
      <c r="G36" s="217"/>
      <c r="H36" s="217"/>
      <c r="I36" s="218"/>
    </row>
    <row r="37" spans="1:9" ht="18.75" customHeight="1" x14ac:dyDescent="0.15">
      <c r="A37" s="15"/>
      <c r="B37" s="216"/>
      <c r="C37" s="217"/>
      <c r="D37" s="217"/>
      <c r="E37" s="217"/>
      <c r="F37" s="217"/>
      <c r="G37" s="217"/>
      <c r="H37" s="217"/>
      <c r="I37" s="218"/>
    </row>
    <row r="38" spans="1:9" ht="18.75" customHeight="1" x14ac:dyDescent="0.15">
      <c r="A38" s="15"/>
      <c r="B38" s="216"/>
      <c r="C38" s="217"/>
      <c r="D38" s="217"/>
      <c r="E38" s="217"/>
      <c r="F38" s="217"/>
      <c r="G38" s="217"/>
      <c r="H38" s="217"/>
      <c r="I38" s="218"/>
    </row>
    <row r="39" spans="1:9" ht="18.75" customHeight="1" x14ac:dyDescent="0.15">
      <c r="A39" s="15"/>
      <c r="B39" s="216"/>
      <c r="C39" s="217"/>
      <c r="D39" s="217"/>
      <c r="E39" s="217"/>
      <c r="F39" s="217"/>
      <c r="G39" s="217"/>
      <c r="H39" s="217"/>
      <c r="I39" s="218"/>
    </row>
    <row r="40" spans="1:9" ht="18.75" customHeight="1" x14ac:dyDescent="0.15">
      <c r="A40" s="15"/>
      <c r="B40" s="216"/>
      <c r="C40" s="217"/>
      <c r="D40" s="217"/>
      <c r="E40" s="217"/>
      <c r="F40" s="217"/>
      <c r="G40" s="217"/>
      <c r="H40" s="217"/>
      <c r="I40" s="218"/>
    </row>
    <row r="41" spans="1:9" ht="18.75" customHeight="1" x14ac:dyDescent="0.15">
      <c r="A41" s="15"/>
      <c r="B41" s="216"/>
      <c r="C41" s="217"/>
      <c r="D41" s="217"/>
      <c r="E41" s="217"/>
      <c r="F41" s="217"/>
      <c r="G41" s="217"/>
      <c r="H41" s="217"/>
      <c r="I41" s="218"/>
    </row>
    <row r="42" spans="1:9" ht="18.75" customHeight="1" x14ac:dyDescent="0.15">
      <c r="A42" s="15"/>
      <c r="B42" s="216"/>
      <c r="C42" s="217"/>
      <c r="D42" s="217"/>
      <c r="E42" s="217"/>
      <c r="F42" s="217"/>
      <c r="G42" s="217"/>
      <c r="H42" s="217"/>
      <c r="I42" s="218"/>
    </row>
    <row r="43" spans="1:9" ht="18.75" customHeight="1" x14ac:dyDescent="0.15">
      <c r="A43" s="15"/>
      <c r="B43" s="216"/>
      <c r="C43" s="217"/>
      <c r="D43" s="217"/>
      <c r="E43" s="217"/>
      <c r="F43" s="217"/>
      <c r="G43" s="217"/>
      <c r="H43" s="217"/>
      <c r="I43" s="218"/>
    </row>
    <row r="44" spans="1:9" ht="18.75" customHeight="1" x14ac:dyDescent="0.15">
      <c r="A44" s="15"/>
      <c r="B44" s="216"/>
      <c r="C44" s="217"/>
      <c r="D44" s="217"/>
      <c r="E44" s="217"/>
      <c r="F44" s="217"/>
      <c r="G44" s="217"/>
      <c r="H44" s="217"/>
      <c r="I44" s="218"/>
    </row>
    <row r="45" spans="1:9" ht="18.75" customHeight="1" x14ac:dyDescent="0.15">
      <c r="A45" s="15"/>
      <c r="B45" s="216"/>
      <c r="C45" s="217"/>
      <c r="D45" s="217"/>
      <c r="E45" s="217"/>
      <c r="F45" s="217"/>
      <c r="G45" s="217"/>
      <c r="H45" s="217"/>
      <c r="I45" s="218"/>
    </row>
    <row r="46" spans="1:9" ht="18.75" customHeight="1" x14ac:dyDescent="0.15">
      <c r="A46" s="15"/>
      <c r="B46" s="219"/>
      <c r="C46" s="220"/>
      <c r="D46" s="220"/>
      <c r="E46" s="220"/>
      <c r="F46" s="220"/>
      <c r="G46" s="220"/>
      <c r="H46" s="220"/>
      <c r="I46" s="221"/>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02">
        <f>'様式２ 履修者等数の実績'!AQ32</f>
        <v>6.1782877316857903E-3</v>
      </c>
      <c r="D49" s="202"/>
      <c r="E49" s="43" t="s">
        <v>66</v>
      </c>
      <c r="F49" s="202">
        <v>0.02</v>
      </c>
      <c r="G49" s="202"/>
      <c r="H49" s="43" t="s">
        <v>67</v>
      </c>
      <c r="I49" s="44">
        <v>0.05</v>
      </c>
      <c r="J49" s="1"/>
      <c r="M49" s="1"/>
      <c r="N49" s="45"/>
    </row>
    <row r="50" spans="1:15" s="3" customFormat="1" ht="18.75" customHeight="1" x14ac:dyDescent="0.15">
      <c r="B50" s="46" t="s">
        <v>68</v>
      </c>
      <c r="C50" s="203">
        <v>0.1</v>
      </c>
      <c r="D50" s="203"/>
      <c r="E50" s="46" t="s">
        <v>90</v>
      </c>
      <c r="F50" s="203">
        <v>0.2</v>
      </c>
      <c r="G50" s="203"/>
      <c r="H50" s="46" t="s">
        <v>69</v>
      </c>
      <c r="I50" s="47">
        <f>'様式２ 履修者等数の実績'!E32</f>
        <v>2266</v>
      </c>
      <c r="J50" s="1"/>
      <c r="M50" s="1"/>
      <c r="N50" s="45"/>
    </row>
    <row r="51" spans="1:15" ht="18.75" customHeight="1" x14ac:dyDescent="0.15">
      <c r="A51" s="1"/>
      <c r="B51" s="228" t="s">
        <v>70</v>
      </c>
      <c r="C51" s="229"/>
      <c r="D51" s="229"/>
      <c r="E51" s="229"/>
      <c r="F51" s="229"/>
      <c r="G51" s="229"/>
      <c r="H51" s="229"/>
      <c r="I51" s="230"/>
      <c r="N51" s="45"/>
      <c r="O51" s="3"/>
    </row>
    <row r="52" spans="1:15" ht="18.75" customHeight="1" x14ac:dyDescent="0.15">
      <c r="A52" s="1"/>
      <c r="B52" s="204" t="s">
        <v>187</v>
      </c>
      <c r="C52" s="205"/>
      <c r="D52" s="205"/>
      <c r="E52" s="205"/>
      <c r="F52" s="205"/>
      <c r="G52" s="205"/>
      <c r="H52" s="205"/>
      <c r="I52" s="206"/>
      <c r="N52" s="45"/>
      <c r="O52" s="3"/>
    </row>
    <row r="53" spans="1:15" ht="18.75" customHeight="1" x14ac:dyDescent="0.15">
      <c r="A53" s="1"/>
      <c r="B53" s="207"/>
      <c r="C53" s="208"/>
      <c r="D53" s="208"/>
      <c r="E53" s="208"/>
      <c r="F53" s="208"/>
      <c r="G53" s="208"/>
      <c r="H53" s="208"/>
      <c r="I53" s="209"/>
      <c r="N53" s="45"/>
      <c r="O53" s="3"/>
    </row>
    <row r="54" spans="1:15" ht="18.75" customHeight="1" x14ac:dyDescent="0.15">
      <c r="A54" s="1"/>
      <c r="B54" s="207"/>
      <c r="C54" s="208"/>
      <c r="D54" s="208"/>
      <c r="E54" s="208"/>
      <c r="F54" s="208"/>
      <c r="G54" s="208"/>
      <c r="H54" s="208"/>
      <c r="I54" s="209"/>
    </row>
    <row r="55" spans="1:15" ht="18.75" customHeight="1" x14ac:dyDescent="0.15">
      <c r="A55" s="1"/>
      <c r="B55" s="207"/>
      <c r="C55" s="208"/>
      <c r="D55" s="208"/>
      <c r="E55" s="208"/>
      <c r="F55" s="208"/>
      <c r="G55" s="208"/>
      <c r="H55" s="208"/>
      <c r="I55" s="209"/>
    </row>
    <row r="56" spans="1:15" ht="18.75" customHeight="1" x14ac:dyDescent="0.15">
      <c r="A56" s="1"/>
      <c r="B56" s="207"/>
      <c r="C56" s="208"/>
      <c r="D56" s="208"/>
      <c r="E56" s="208"/>
      <c r="F56" s="208"/>
      <c r="G56" s="208"/>
      <c r="H56" s="208"/>
      <c r="I56" s="209"/>
    </row>
    <row r="57" spans="1:15" ht="18.75" customHeight="1" x14ac:dyDescent="0.15">
      <c r="A57" s="1"/>
      <c r="B57" s="207"/>
      <c r="C57" s="208"/>
      <c r="D57" s="208"/>
      <c r="E57" s="208"/>
      <c r="F57" s="208"/>
      <c r="G57" s="208"/>
      <c r="H57" s="208"/>
      <c r="I57" s="209"/>
    </row>
    <row r="58" spans="1:15" ht="18.75" customHeight="1" x14ac:dyDescent="0.15">
      <c r="A58" s="1"/>
      <c r="B58" s="207"/>
      <c r="C58" s="208"/>
      <c r="D58" s="208"/>
      <c r="E58" s="208"/>
      <c r="F58" s="208"/>
      <c r="G58" s="208"/>
      <c r="H58" s="208"/>
      <c r="I58" s="209"/>
    </row>
    <row r="59" spans="1:15" ht="18.75" customHeight="1" x14ac:dyDescent="0.15">
      <c r="A59" s="1"/>
      <c r="B59" s="207"/>
      <c r="C59" s="208"/>
      <c r="D59" s="208"/>
      <c r="E59" s="208"/>
      <c r="F59" s="208"/>
      <c r="G59" s="208"/>
      <c r="H59" s="208"/>
      <c r="I59" s="209"/>
    </row>
    <row r="60" spans="1:15" ht="18.75" customHeight="1" x14ac:dyDescent="0.15">
      <c r="A60" s="1"/>
      <c r="B60" s="207"/>
      <c r="C60" s="208"/>
      <c r="D60" s="208"/>
      <c r="E60" s="208"/>
      <c r="F60" s="208"/>
      <c r="G60" s="208"/>
      <c r="H60" s="208"/>
      <c r="I60" s="209"/>
    </row>
    <row r="61" spans="1:15" ht="18.75" customHeight="1" x14ac:dyDescent="0.15">
      <c r="A61" s="1"/>
      <c r="B61" s="207"/>
      <c r="C61" s="208"/>
      <c r="D61" s="208"/>
      <c r="E61" s="208"/>
      <c r="F61" s="208"/>
      <c r="G61" s="208"/>
      <c r="H61" s="208"/>
      <c r="I61" s="209"/>
    </row>
    <row r="62" spans="1:15" ht="18.75" customHeight="1" x14ac:dyDescent="0.15">
      <c r="A62" s="1"/>
      <c r="B62" s="207"/>
      <c r="C62" s="208"/>
      <c r="D62" s="208"/>
      <c r="E62" s="208"/>
      <c r="F62" s="208"/>
      <c r="G62" s="208"/>
      <c r="H62" s="208"/>
      <c r="I62" s="209"/>
    </row>
    <row r="63" spans="1:15" ht="18.75" customHeight="1" x14ac:dyDescent="0.15">
      <c r="A63" s="1"/>
      <c r="B63" s="210"/>
      <c r="C63" s="211"/>
      <c r="D63" s="211"/>
      <c r="E63" s="211"/>
      <c r="F63" s="211"/>
      <c r="G63" s="211"/>
      <c r="H63" s="211"/>
      <c r="I63" s="212"/>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6" t="s">
        <v>185</v>
      </c>
      <c r="C66" s="187"/>
      <c r="D66" s="187"/>
      <c r="E66" s="187"/>
      <c r="F66" s="187"/>
      <c r="G66" s="187"/>
      <c r="H66" s="187"/>
      <c r="I66" s="188"/>
    </row>
    <row r="67" spans="1:9" ht="18.75" customHeight="1" x14ac:dyDescent="0.15">
      <c r="A67" s="4"/>
      <c r="B67" s="189"/>
      <c r="C67" s="190"/>
      <c r="D67" s="190"/>
      <c r="E67" s="190"/>
      <c r="F67" s="190"/>
      <c r="G67" s="190"/>
      <c r="H67" s="190"/>
      <c r="I67" s="191"/>
    </row>
    <row r="68" spans="1:9" ht="18.75" customHeight="1" x14ac:dyDescent="0.15">
      <c r="A68" s="4"/>
      <c r="B68" s="189"/>
      <c r="C68" s="190"/>
      <c r="D68" s="190"/>
      <c r="E68" s="190"/>
      <c r="F68" s="190"/>
      <c r="G68" s="190"/>
      <c r="H68" s="190"/>
      <c r="I68" s="191"/>
    </row>
    <row r="69" spans="1:9" ht="18.75" customHeight="1" x14ac:dyDescent="0.15">
      <c r="A69" s="4"/>
      <c r="B69" s="189"/>
      <c r="C69" s="190"/>
      <c r="D69" s="190"/>
      <c r="E69" s="190"/>
      <c r="F69" s="190"/>
      <c r="G69" s="190"/>
      <c r="H69" s="190"/>
      <c r="I69" s="191"/>
    </row>
    <row r="70" spans="1:9" ht="18.75" customHeight="1" x14ac:dyDescent="0.15">
      <c r="A70" s="4"/>
      <c r="B70" s="189"/>
      <c r="C70" s="190"/>
      <c r="D70" s="190"/>
      <c r="E70" s="190"/>
      <c r="F70" s="190"/>
      <c r="G70" s="190"/>
      <c r="H70" s="190"/>
      <c r="I70" s="191"/>
    </row>
    <row r="71" spans="1:9" ht="18.75" customHeight="1" x14ac:dyDescent="0.15">
      <c r="A71" s="4"/>
      <c r="B71" s="189"/>
      <c r="C71" s="190"/>
      <c r="D71" s="190"/>
      <c r="E71" s="190"/>
      <c r="F71" s="190"/>
      <c r="G71" s="190"/>
      <c r="H71" s="190"/>
      <c r="I71" s="191"/>
    </row>
    <row r="72" spans="1:9" ht="18.75" customHeight="1" x14ac:dyDescent="0.15">
      <c r="A72" s="4"/>
      <c r="B72" s="189"/>
      <c r="C72" s="190"/>
      <c r="D72" s="190"/>
      <c r="E72" s="190"/>
      <c r="F72" s="190"/>
      <c r="G72" s="190"/>
      <c r="H72" s="190"/>
      <c r="I72" s="191"/>
    </row>
    <row r="73" spans="1:9" ht="18.75" customHeight="1" x14ac:dyDescent="0.15">
      <c r="A73" s="4"/>
      <c r="B73" s="189"/>
      <c r="C73" s="190"/>
      <c r="D73" s="190"/>
      <c r="E73" s="190"/>
      <c r="F73" s="190"/>
      <c r="G73" s="190"/>
      <c r="H73" s="190"/>
      <c r="I73" s="191"/>
    </row>
    <row r="74" spans="1:9" ht="18.75" customHeight="1" x14ac:dyDescent="0.15">
      <c r="A74" s="4"/>
      <c r="B74" s="189"/>
      <c r="C74" s="190"/>
      <c r="D74" s="190"/>
      <c r="E74" s="190"/>
      <c r="F74" s="190"/>
      <c r="G74" s="190"/>
      <c r="H74" s="190"/>
      <c r="I74" s="191"/>
    </row>
    <row r="75" spans="1:9" ht="18.75" customHeight="1" x14ac:dyDescent="0.15">
      <c r="A75" s="4"/>
      <c r="B75" s="189"/>
      <c r="C75" s="190"/>
      <c r="D75" s="190"/>
      <c r="E75" s="190"/>
      <c r="F75" s="190"/>
      <c r="G75" s="190"/>
      <c r="H75" s="190"/>
      <c r="I75" s="191"/>
    </row>
    <row r="76" spans="1:9" ht="18.75" customHeight="1" x14ac:dyDescent="0.15">
      <c r="A76" s="4"/>
      <c r="B76" s="189"/>
      <c r="C76" s="190"/>
      <c r="D76" s="190"/>
      <c r="E76" s="190"/>
      <c r="F76" s="190"/>
      <c r="G76" s="190"/>
      <c r="H76" s="190"/>
      <c r="I76" s="191"/>
    </row>
    <row r="77" spans="1:9" ht="18.75" customHeight="1" x14ac:dyDescent="0.15">
      <c r="A77" s="4"/>
      <c r="B77" s="192"/>
      <c r="C77" s="193"/>
      <c r="D77" s="193"/>
      <c r="E77" s="193"/>
      <c r="F77" s="193"/>
      <c r="G77" s="193"/>
      <c r="H77" s="193"/>
      <c r="I77" s="194"/>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6" t="s">
        <v>154</v>
      </c>
      <c r="C80" s="187"/>
      <c r="D80" s="187"/>
      <c r="E80" s="187"/>
      <c r="F80" s="187"/>
      <c r="G80" s="187"/>
      <c r="H80" s="187"/>
      <c r="I80" s="195"/>
    </row>
    <row r="81" spans="1:9" ht="18.75" customHeight="1" x14ac:dyDescent="0.15">
      <c r="A81" s="1"/>
      <c r="B81" s="196"/>
      <c r="C81" s="197"/>
      <c r="D81" s="197"/>
      <c r="E81" s="197"/>
      <c r="F81" s="197"/>
      <c r="G81" s="197"/>
      <c r="H81" s="197"/>
      <c r="I81" s="198"/>
    </row>
    <row r="82" spans="1:9" ht="18.75" customHeight="1" x14ac:dyDescent="0.15">
      <c r="A82" s="1"/>
      <c r="B82" s="196"/>
      <c r="C82" s="197"/>
      <c r="D82" s="197"/>
      <c r="E82" s="197"/>
      <c r="F82" s="197"/>
      <c r="G82" s="197"/>
      <c r="H82" s="197"/>
      <c r="I82" s="198"/>
    </row>
    <row r="83" spans="1:9" ht="18.75" customHeight="1" x14ac:dyDescent="0.15">
      <c r="A83" s="1"/>
      <c r="B83" s="196"/>
      <c r="C83" s="197"/>
      <c r="D83" s="197"/>
      <c r="E83" s="197"/>
      <c r="F83" s="197"/>
      <c r="G83" s="197"/>
      <c r="H83" s="197"/>
      <c r="I83" s="198"/>
    </row>
    <row r="84" spans="1:9" ht="18.75" customHeight="1" x14ac:dyDescent="0.15">
      <c r="A84" s="1"/>
      <c r="B84" s="196"/>
      <c r="C84" s="197"/>
      <c r="D84" s="197"/>
      <c r="E84" s="197"/>
      <c r="F84" s="197"/>
      <c r="G84" s="197"/>
      <c r="H84" s="197"/>
      <c r="I84" s="198"/>
    </row>
    <row r="85" spans="1:9" ht="18.75" customHeight="1" x14ac:dyDescent="0.15">
      <c r="A85" s="1"/>
      <c r="B85" s="196"/>
      <c r="C85" s="197"/>
      <c r="D85" s="197"/>
      <c r="E85" s="197"/>
      <c r="F85" s="197"/>
      <c r="G85" s="197"/>
      <c r="H85" s="197"/>
      <c r="I85" s="198"/>
    </row>
    <row r="86" spans="1:9" ht="18.75" customHeight="1" x14ac:dyDescent="0.15">
      <c r="A86" s="1"/>
      <c r="B86" s="196"/>
      <c r="C86" s="197"/>
      <c r="D86" s="197"/>
      <c r="E86" s="197"/>
      <c r="F86" s="197"/>
      <c r="G86" s="197"/>
      <c r="H86" s="197"/>
      <c r="I86" s="198"/>
    </row>
    <row r="87" spans="1:9" ht="18.75" customHeight="1" x14ac:dyDescent="0.15">
      <c r="A87" s="1"/>
      <c r="B87" s="196"/>
      <c r="C87" s="197"/>
      <c r="D87" s="197"/>
      <c r="E87" s="197"/>
      <c r="F87" s="197"/>
      <c r="G87" s="197"/>
      <c r="H87" s="197"/>
      <c r="I87" s="198"/>
    </row>
    <row r="88" spans="1:9" ht="18.75" customHeight="1" x14ac:dyDescent="0.15">
      <c r="A88" s="1"/>
      <c r="B88" s="196"/>
      <c r="C88" s="197"/>
      <c r="D88" s="197"/>
      <c r="E88" s="197"/>
      <c r="F88" s="197"/>
      <c r="G88" s="197"/>
      <c r="H88" s="197"/>
      <c r="I88" s="198"/>
    </row>
    <row r="89" spans="1:9" ht="18.75" customHeight="1" x14ac:dyDescent="0.15">
      <c r="A89" s="1"/>
      <c r="B89" s="196"/>
      <c r="C89" s="197"/>
      <c r="D89" s="197"/>
      <c r="E89" s="197"/>
      <c r="F89" s="197"/>
      <c r="G89" s="197"/>
      <c r="H89" s="197"/>
      <c r="I89" s="198"/>
    </row>
    <row r="90" spans="1:9" ht="18.75" customHeight="1" x14ac:dyDescent="0.15">
      <c r="A90" s="4"/>
      <c r="B90" s="196"/>
      <c r="C90" s="197"/>
      <c r="D90" s="197"/>
      <c r="E90" s="197"/>
      <c r="F90" s="197"/>
      <c r="G90" s="197"/>
      <c r="H90" s="197"/>
      <c r="I90" s="198"/>
    </row>
    <row r="91" spans="1:9" ht="18.75" customHeight="1" x14ac:dyDescent="0.15">
      <c r="A91" s="4"/>
      <c r="B91" s="199"/>
      <c r="C91" s="200"/>
      <c r="D91" s="200"/>
      <c r="E91" s="200"/>
      <c r="F91" s="200"/>
      <c r="G91" s="200"/>
      <c r="H91" s="200"/>
      <c r="I91" s="201"/>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3" t="s">
        <v>155</v>
      </c>
      <c r="C94" s="214"/>
      <c r="D94" s="214"/>
      <c r="E94" s="214"/>
      <c r="F94" s="214"/>
      <c r="G94" s="214"/>
      <c r="H94" s="214"/>
      <c r="I94" s="215"/>
    </row>
    <row r="95" spans="1:9" ht="18.75" customHeight="1" x14ac:dyDescent="0.15">
      <c r="A95" s="1"/>
      <c r="B95" s="216"/>
      <c r="C95" s="217"/>
      <c r="D95" s="217"/>
      <c r="E95" s="217"/>
      <c r="F95" s="217"/>
      <c r="G95" s="217"/>
      <c r="H95" s="217"/>
      <c r="I95" s="218"/>
    </row>
    <row r="96" spans="1:9" ht="18.75" customHeight="1" x14ac:dyDescent="0.15">
      <c r="A96" s="1"/>
      <c r="B96" s="216"/>
      <c r="C96" s="217"/>
      <c r="D96" s="217"/>
      <c r="E96" s="217"/>
      <c r="F96" s="217"/>
      <c r="G96" s="217"/>
      <c r="H96" s="217"/>
      <c r="I96" s="218"/>
    </row>
    <row r="97" spans="1:9" ht="18.75" customHeight="1" x14ac:dyDescent="0.15">
      <c r="A97" s="1"/>
      <c r="B97" s="216"/>
      <c r="C97" s="217"/>
      <c r="D97" s="217"/>
      <c r="E97" s="217"/>
      <c r="F97" s="217"/>
      <c r="G97" s="217"/>
      <c r="H97" s="217"/>
      <c r="I97" s="218"/>
    </row>
    <row r="98" spans="1:9" ht="18.75" customHeight="1" x14ac:dyDescent="0.15">
      <c r="A98" s="1"/>
      <c r="B98" s="216"/>
      <c r="C98" s="217"/>
      <c r="D98" s="217"/>
      <c r="E98" s="217"/>
      <c r="F98" s="217"/>
      <c r="G98" s="217"/>
      <c r="H98" s="217"/>
      <c r="I98" s="218"/>
    </row>
    <row r="99" spans="1:9" ht="18.75" customHeight="1" x14ac:dyDescent="0.15">
      <c r="A99" s="1"/>
      <c r="B99" s="216"/>
      <c r="C99" s="217"/>
      <c r="D99" s="217"/>
      <c r="E99" s="217"/>
      <c r="F99" s="217"/>
      <c r="G99" s="217"/>
      <c r="H99" s="217"/>
      <c r="I99" s="218"/>
    </row>
    <row r="100" spans="1:9" ht="18.75" customHeight="1" x14ac:dyDescent="0.15">
      <c r="A100" s="1"/>
      <c r="B100" s="216"/>
      <c r="C100" s="217"/>
      <c r="D100" s="217"/>
      <c r="E100" s="217"/>
      <c r="F100" s="217"/>
      <c r="G100" s="217"/>
      <c r="H100" s="217"/>
      <c r="I100" s="218"/>
    </row>
    <row r="101" spans="1:9" ht="18.75" customHeight="1" x14ac:dyDescent="0.15">
      <c r="A101" s="1"/>
      <c r="B101" s="216"/>
      <c r="C101" s="217"/>
      <c r="D101" s="217"/>
      <c r="E101" s="217"/>
      <c r="F101" s="217"/>
      <c r="G101" s="217"/>
      <c r="H101" s="217"/>
      <c r="I101" s="218"/>
    </row>
    <row r="102" spans="1:9" ht="18.75" customHeight="1" x14ac:dyDescent="0.15">
      <c r="A102" s="1"/>
      <c r="B102" s="216"/>
      <c r="C102" s="217"/>
      <c r="D102" s="217"/>
      <c r="E102" s="217"/>
      <c r="F102" s="217"/>
      <c r="G102" s="217"/>
      <c r="H102" s="217"/>
      <c r="I102" s="218"/>
    </row>
    <row r="103" spans="1:9" ht="18.75" customHeight="1" x14ac:dyDescent="0.15">
      <c r="A103" s="1"/>
      <c r="B103" s="216"/>
      <c r="C103" s="217"/>
      <c r="D103" s="217"/>
      <c r="E103" s="217"/>
      <c r="F103" s="217"/>
      <c r="G103" s="217"/>
      <c r="H103" s="217"/>
      <c r="I103" s="218"/>
    </row>
    <row r="104" spans="1:9" ht="18.75" customHeight="1" x14ac:dyDescent="0.15">
      <c r="A104" s="1"/>
      <c r="B104" s="216"/>
      <c r="C104" s="217"/>
      <c r="D104" s="217"/>
      <c r="E104" s="217"/>
      <c r="F104" s="217"/>
      <c r="G104" s="217"/>
      <c r="H104" s="217"/>
      <c r="I104" s="218"/>
    </row>
    <row r="105" spans="1:9" ht="18.75" customHeight="1" x14ac:dyDescent="0.15">
      <c r="A105" s="4"/>
      <c r="B105" s="219"/>
      <c r="C105" s="220"/>
      <c r="D105" s="220"/>
      <c r="E105" s="220"/>
      <c r="F105" s="220"/>
      <c r="G105" s="220"/>
      <c r="H105" s="220"/>
      <c r="I105" s="221"/>
    </row>
    <row r="106" spans="1:9" ht="7.5" customHeight="1" x14ac:dyDescent="0.15">
      <c r="A106" s="4"/>
      <c r="B106" s="4"/>
      <c r="C106" s="4"/>
      <c r="D106" s="4"/>
      <c r="E106" s="4"/>
      <c r="F106" s="4"/>
      <c r="G106" s="4"/>
      <c r="H106" s="4"/>
      <c r="I106" s="4"/>
    </row>
    <row r="107" spans="1:9" ht="18.75" customHeight="1" x14ac:dyDescent="0.15">
      <c r="A107" s="1" t="s">
        <v>30</v>
      </c>
      <c r="B107" s="222" t="s">
        <v>46</v>
      </c>
      <c r="C107" s="222"/>
      <c r="D107" s="222"/>
      <c r="E107" s="222"/>
      <c r="F107" s="222"/>
      <c r="G107" s="222"/>
      <c r="H107" s="222"/>
      <c r="I107" s="222"/>
    </row>
    <row r="108" spans="1:9" ht="18.75" customHeight="1" x14ac:dyDescent="0.15">
      <c r="A108" s="4"/>
      <c r="B108" s="213" t="s">
        <v>156</v>
      </c>
      <c r="C108" s="214"/>
      <c r="D108" s="214"/>
      <c r="E108" s="214"/>
      <c r="F108" s="214"/>
      <c r="G108" s="214"/>
      <c r="H108" s="214"/>
      <c r="I108" s="215"/>
    </row>
    <row r="109" spans="1:9" ht="18.75" customHeight="1" x14ac:dyDescent="0.15">
      <c r="A109" s="4"/>
      <c r="B109" s="216"/>
      <c r="C109" s="217"/>
      <c r="D109" s="217"/>
      <c r="E109" s="217"/>
      <c r="F109" s="217"/>
      <c r="G109" s="217"/>
      <c r="H109" s="217"/>
      <c r="I109" s="218"/>
    </row>
    <row r="110" spans="1:9" ht="18.75" customHeight="1" x14ac:dyDescent="0.15">
      <c r="A110" s="4"/>
      <c r="B110" s="216"/>
      <c r="C110" s="217"/>
      <c r="D110" s="217"/>
      <c r="E110" s="217"/>
      <c r="F110" s="217"/>
      <c r="G110" s="217"/>
      <c r="H110" s="217"/>
      <c r="I110" s="218"/>
    </row>
    <row r="111" spans="1:9" ht="18.75" customHeight="1" x14ac:dyDescent="0.15">
      <c r="A111" s="4"/>
      <c r="B111" s="216"/>
      <c r="C111" s="217"/>
      <c r="D111" s="217"/>
      <c r="E111" s="217"/>
      <c r="F111" s="217"/>
      <c r="G111" s="217"/>
      <c r="H111" s="217"/>
      <c r="I111" s="218"/>
    </row>
    <row r="112" spans="1:9" ht="18.75" customHeight="1" x14ac:dyDescent="0.15">
      <c r="A112" s="4"/>
      <c r="B112" s="216"/>
      <c r="C112" s="217"/>
      <c r="D112" s="217"/>
      <c r="E112" s="217"/>
      <c r="F112" s="217"/>
      <c r="G112" s="217"/>
      <c r="H112" s="217"/>
      <c r="I112" s="218"/>
    </row>
    <row r="113" spans="1:9" ht="18.75" customHeight="1" x14ac:dyDescent="0.15">
      <c r="A113" s="4"/>
      <c r="B113" s="216"/>
      <c r="C113" s="217"/>
      <c r="D113" s="217"/>
      <c r="E113" s="217"/>
      <c r="F113" s="217"/>
      <c r="G113" s="217"/>
      <c r="H113" s="217"/>
      <c r="I113" s="218"/>
    </row>
    <row r="114" spans="1:9" ht="18.75" customHeight="1" x14ac:dyDescent="0.15">
      <c r="A114" s="4"/>
      <c r="B114" s="216"/>
      <c r="C114" s="217"/>
      <c r="D114" s="217"/>
      <c r="E114" s="217"/>
      <c r="F114" s="217"/>
      <c r="G114" s="217"/>
      <c r="H114" s="217"/>
      <c r="I114" s="218"/>
    </row>
    <row r="115" spans="1:9" ht="18.75" customHeight="1" x14ac:dyDescent="0.15">
      <c r="A115" s="4"/>
      <c r="B115" s="216"/>
      <c r="C115" s="217"/>
      <c r="D115" s="217"/>
      <c r="E115" s="217"/>
      <c r="F115" s="217"/>
      <c r="G115" s="217"/>
      <c r="H115" s="217"/>
      <c r="I115" s="218"/>
    </row>
    <row r="116" spans="1:9" ht="18.75" customHeight="1" x14ac:dyDescent="0.15">
      <c r="A116" s="4"/>
      <c r="B116" s="216"/>
      <c r="C116" s="217"/>
      <c r="D116" s="217"/>
      <c r="E116" s="217"/>
      <c r="F116" s="217"/>
      <c r="G116" s="217"/>
      <c r="H116" s="217"/>
      <c r="I116" s="218"/>
    </row>
    <row r="117" spans="1:9" ht="18.75" customHeight="1" x14ac:dyDescent="0.15">
      <c r="A117" s="4"/>
      <c r="B117" s="216"/>
      <c r="C117" s="217"/>
      <c r="D117" s="217"/>
      <c r="E117" s="217"/>
      <c r="F117" s="217"/>
      <c r="G117" s="217"/>
      <c r="H117" s="217"/>
      <c r="I117" s="218"/>
    </row>
    <row r="118" spans="1:9" ht="18.75" customHeight="1" x14ac:dyDescent="0.15">
      <c r="A118" s="4"/>
      <c r="B118" s="216"/>
      <c r="C118" s="217"/>
      <c r="D118" s="217"/>
      <c r="E118" s="217"/>
      <c r="F118" s="217"/>
      <c r="G118" s="217"/>
      <c r="H118" s="217"/>
      <c r="I118" s="218"/>
    </row>
    <row r="119" spans="1:9" ht="18.75" customHeight="1" x14ac:dyDescent="0.15">
      <c r="A119" s="4"/>
      <c r="B119" s="219"/>
      <c r="C119" s="220"/>
      <c r="D119" s="220"/>
      <c r="E119" s="220"/>
      <c r="F119" s="220"/>
      <c r="G119" s="220"/>
      <c r="H119" s="220"/>
      <c r="I119" s="221"/>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K13" sqref="K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神戸女学院大学</v>
      </c>
    </row>
    <row r="3" spans="1:9" ht="18.75" customHeight="1" x14ac:dyDescent="0.15">
      <c r="A3" s="110" t="s">
        <v>28</v>
      </c>
      <c r="B3" s="110"/>
      <c r="C3" s="110"/>
      <c r="D3" s="110"/>
      <c r="E3" s="110"/>
      <c r="F3" s="110"/>
      <c r="G3" s="110"/>
      <c r="H3" s="110"/>
      <c r="I3" s="110"/>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1" t="s">
        <v>138</v>
      </c>
      <c r="C6" s="261"/>
      <c r="D6" s="261"/>
      <c r="E6" s="261"/>
      <c r="F6" s="261"/>
      <c r="G6" s="261"/>
      <c r="H6" s="262"/>
      <c r="I6" s="3"/>
    </row>
    <row r="7" spans="1:9" ht="9" customHeight="1" x14ac:dyDescent="0.15">
      <c r="A7" s="5"/>
      <c r="B7" s="10"/>
      <c r="C7" s="10"/>
      <c r="D7" s="10"/>
      <c r="E7" s="10"/>
      <c r="F7" s="10"/>
      <c r="G7" s="10"/>
      <c r="H7" s="10"/>
      <c r="I7" s="3"/>
    </row>
    <row r="8" spans="1:9" ht="18.75" customHeight="1" x14ac:dyDescent="0.15">
      <c r="A8" s="5"/>
      <c r="B8" s="3"/>
      <c r="C8" s="3"/>
      <c r="D8" s="35" t="s">
        <v>43</v>
      </c>
      <c r="E8" s="36" t="s">
        <v>157</v>
      </c>
      <c r="F8" s="3"/>
      <c r="G8" s="35" t="s">
        <v>10</v>
      </c>
      <c r="H8" s="82" t="s">
        <v>158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9" t="s">
        <v>24</v>
      </c>
      <c r="C11" s="100"/>
      <c r="D11" s="101"/>
      <c r="E11" s="100" t="s">
        <v>26</v>
      </c>
      <c r="F11" s="100"/>
      <c r="G11" s="100"/>
      <c r="H11" s="100"/>
      <c r="I11" s="101"/>
    </row>
    <row r="12" spans="1:9" ht="26.25" customHeight="1" x14ac:dyDescent="0.15">
      <c r="B12" s="50" t="s">
        <v>14</v>
      </c>
      <c r="C12" s="57"/>
      <c r="D12" s="51"/>
      <c r="E12" s="58"/>
      <c r="F12" s="58"/>
      <c r="G12" s="58"/>
      <c r="H12" s="58"/>
      <c r="I12" s="51"/>
    </row>
    <row r="13" spans="1:9" ht="210.75" customHeight="1" x14ac:dyDescent="0.15">
      <c r="B13" s="52"/>
      <c r="C13" s="244" t="s">
        <v>15</v>
      </c>
      <c r="D13" s="245"/>
      <c r="E13" s="257" t="s">
        <v>176</v>
      </c>
      <c r="F13" s="246"/>
      <c r="G13" s="246"/>
      <c r="H13" s="246"/>
      <c r="I13" s="247"/>
    </row>
    <row r="14" spans="1:9" ht="210.75" customHeight="1" x14ac:dyDescent="0.15">
      <c r="B14" s="52"/>
      <c r="C14" s="259" t="s">
        <v>16</v>
      </c>
      <c r="D14" s="260"/>
      <c r="E14" s="257" t="s">
        <v>177</v>
      </c>
      <c r="F14" s="246"/>
      <c r="G14" s="246"/>
      <c r="H14" s="246"/>
      <c r="I14" s="247"/>
    </row>
    <row r="15" spans="1:9" ht="210.75" customHeight="1" x14ac:dyDescent="0.15">
      <c r="B15" s="52"/>
      <c r="C15" s="244" t="s">
        <v>17</v>
      </c>
      <c r="D15" s="245"/>
      <c r="E15" s="257" t="s">
        <v>178</v>
      </c>
      <c r="F15" s="246"/>
      <c r="G15" s="246"/>
      <c r="H15" s="246"/>
      <c r="I15" s="247"/>
    </row>
    <row r="16" spans="1:9" ht="210.75" customHeight="1" x14ac:dyDescent="0.15">
      <c r="B16" s="52"/>
      <c r="C16" s="244" t="s">
        <v>18</v>
      </c>
      <c r="D16" s="245"/>
      <c r="E16" s="257" t="s">
        <v>179</v>
      </c>
      <c r="F16" s="246"/>
      <c r="G16" s="246"/>
      <c r="H16" s="246"/>
      <c r="I16" s="247"/>
    </row>
    <row r="17" spans="2:9" ht="210.75" customHeight="1" x14ac:dyDescent="0.15">
      <c r="B17" s="53"/>
      <c r="C17" s="248" t="s">
        <v>19</v>
      </c>
      <c r="D17" s="249"/>
      <c r="E17" s="258" t="s">
        <v>159</v>
      </c>
      <c r="F17" s="250"/>
      <c r="G17" s="250"/>
      <c r="H17" s="250"/>
      <c r="I17" s="251"/>
    </row>
    <row r="18" spans="2:9" ht="24" customHeight="1" x14ac:dyDescent="0.15">
      <c r="B18" s="50" t="s">
        <v>20</v>
      </c>
      <c r="C18" s="54"/>
      <c r="D18" s="55"/>
      <c r="E18" s="56"/>
      <c r="F18" s="56"/>
      <c r="G18" s="56"/>
      <c r="H18" s="56"/>
      <c r="I18" s="59"/>
    </row>
    <row r="19" spans="2:9" ht="218.25" customHeight="1" x14ac:dyDescent="0.15">
      <c r="B19" s="52"/>
      <c r="C19" s="244" t="s">
        <v>21</v>
      </c>
      <c r="D19" s="245"/>
      <c r="E19" s="246" t="s">
        <v>160</v>
      </c>
      <c r="F19" s="246"/>
      <c r="G19" s="246"/>
      <c r="H19" s="246"/>
      <c r="I19" s="247"/>
    </row>
    <row r="20" spans="2:9" ht="218.25" customHeight="1" x14ac:dyDescent="0.15">
      <c r="B20" s="53"/>
      <c r="C20" s="248" t="s">
        <v>22</v>
      </c>
      <c r="D20" s="249"/>
      <c r="E20" s="250" t="s">
        <v>180</v>
      </c>
      <c r="F20" s="250"/>
      <c r="G20" s="250"/>
      <c r="H20" s="250"/>
      <c r="I20" s="251"/>
    </row>
    <row r="21" spans="2:9" ht="218.25" customHeight="1" x14ac:dyDescent="0.15">
      <c r="B21" s="252" t="s">
        <v>23</v>
      </c>
      <c r="C21" s="253"/>
      <c r="D21" s="254"/>
      <c r="E21" s="255" t="s">
        <v>182</v>
      </c>
      <c r="F21" s="255"/>
      <c r="G21" s="255"/>
      <c r="H21" s="255"/>
      <c r="I21" s="256"/>
    </row>
    <row r="22" spans="2:9" ht="218.25" customHeight="1" x14ac:dyDescent="0.15">
      <c r="B22" s="239" t="s">
        <v>38</v>
      </c>
      <c r="C22" s="240"/>
      <c r="D22" s="241"/>
      <c r="E22" s="242" t="s">
        <v>181</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t-motoki</cp:lastModifiedBy>
  <cp:lastPrinted>2023-06-12T06:18:01Z</cp:lastPrinted>
  <dcterms:created xsi:type="dcterms:W3CDTF">2011-06-14T05:32:50Z</dcterms:created>
  <dcterms:modified xsi:type="dcterms:W3CDTF">2023-07-06T01:33:53Z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