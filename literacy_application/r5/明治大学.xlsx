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H:\00教務共有フォルダ\22-1_数理データサイエンス人工知能リテラシーレベルプログラム\50_最終申請\03_最終申請データ\08 明治大学_リテラシー\"/>
    </mc:Choice>
  </mc:AlternateContent>
  <xr:revisionPtr revIDLastSave="0" documentId="13_ncr:1_{569B0308-D2B3-454E-9E7A-6CA9E369F95B}" xr6:coauthVersionLast="47" xr6:coauthVersionMax="47" xr10:uidLastSave="{00000000-0000-0000-0000-000000000000}"/>
  <bookViews>
    <workbookView xWindow="-120" yWindow="-120" windowWidth="29040" windowHeight="15840" tabRatio="885" firstSheet="1" activeTab="8" xr2:uid="{00000000-000D-0000-FFFF-FFFF00000000}"/>
  </bookViews>
  <sheets>
    <sheet name="様式１-１プログラムを構成する授業科目（法学部）" sheetId="1" r:id="rId1"/>
    <sheet name="様式１-２（商学部）" sheetId="2" r:id="rId2"/>
    <sheet name="様式１-３（政治経済学部）" sheetId="3" r:id="rId3"/>
    <sheet name="様式１-４（文学部）" sheetId="4" r:id="rId4"/>
    <sheet name="様式１-５（理工学部）" sheetId="5" r:id="rId5"/>
    <sheet name="様式１-６（農学部）" sheetId="6" r:id="rId6"/>
    <sheet name="様式１-７（経営学部）" sheetId="7" r:id="rId7"/>
    <sheet name="様式１-８（情報コミュニケーション学部）" sheetId="8" r:id="rId8"/>
    <sheet name="様式１-９（国際日本学部）" sheetId="9" r:id="rId9"/>
    <sheet name="様式１-10（総合数理学部）" sheetId="10" r:id="rId10"/>
    <sheet name="様式２ 履修者等数の実績" sheetId="11" r:id="rId11"/>
    <sheet name="様式３ 教育の質・履修者数を向上させるための体制・計画" sheetId="12" r:id="rId12"/>
    <sheet name="様式４　自己点検・評価" sheetId="13" r:id="rId13"/>
  </sheets>
  <definedNames>
    <definedName name="_xlnm._FilterDatabase" localSheetId="9" hidden="1">'様式１-10（総合数理学部）'!$V$14:$V$16</definedName>
    <definedName name="_xlnm._FilterDatabase" localSheetId="0" hidden="1">'様式１-１プログラムを構成する授業科目（法学部）'!$V$14:$V$16</definedName>
    <definedName name="_xlnm._FilterDatabase" localSheetId="1" hidden="1">'様式１-２（商学部）'!$V$14:$V$16</definedName>
    <definedName name="_xlnm._FilterDatabase" localSheetId="2" hidden="1">'様式１-３（政治経済学部）'!$V$14:$V$16</definedName>
    <definedName name="_xlnm._FilterDatabase" localSheetId="3" hidden="1">'様式１-４（文学部）'!$V$14:$V$16</definedName>
    <definedName name="_xlnm._FilterDatabase" localSheetId="4" hidden="1">'様式１-５（理工学部）'!$V$14:$V$16</definedName>
    <definedName name="_xlnm._FilterDatabase" localSheetId="5" hidden="1">'様式１-６（農学部）'!$V$14:$V$16</definedName>
    <definedName name="_xlnm._FilterDatabase" localSheetId="6" hidden="1">'様式１-７（経営学部）'!$V$14:$V$16</definedName>
    <definedName name="_xlnm._FilterDatabase" localSheetId="7" hidden="1">'様式１-８（情報コミュニケーション学部）'!$V$14:$V$16</definedName>
    <definedName name="_xlnm._FilterDatabase" localSheetId="8" hidden="1">'様式１-９（国際日本学部）'!$V$14:$V$16</definedName>
    <definedName name="_xlnm._FilterDatabase" localSheetId="10" hidden="1">'様式２ 履修者等数の実績'!#REF!</definedName>
    <definedName name="_xlnm.Print_Area" localSheetId="9">'様式１-10（総合数理学部）'!$A$1:$S$102</definedName>
    <definedName name="_xlnm.Print_Area" localSheetId="0">'様式１-１プログラムを構成する授業科目（法学部）'!$A$1:$S$102</definedName>
    <definedName name="_xlnm.Print_Area" localSheetId="1">'様式１-２（商学部）'!$A$1:$S$102</definedName>
    <definedName name="_xlnm.Print_Area" localSheetId="2">'様式１-３（政治経済学部）'!$A$1:$S$102</definedName>
    <definedName name="_xlnm.Print_Area" localSheetId="3">'様式１-４（文学部）'!$A$1:$S$102</definedName>
    <definedName name="_xlnm.Print_Area" localSheetId="4">'様式１-５（理工学部）'!$A$1:$S$102</definedName>
    <definedName name="_xlnm.Print_Area" localSheetId="5">'様式１-６（農学部）'!$A$1:$S$102</definedName>
    <definedName name="_xlnm.Print_Area" localSheetId="6">'様式１-７（経営学部）'!$A$1:$S$102</definedName>
    <definedName name="_xlnm.Print_Area" localSheetId="7">'様式１-８（情報コミュニケーション学部）'!$A$1:$S$102</definedName>
    <definedName name="_xlnm.Print_Area" localSheetId="8">'様式１-９（国際日本学部）'!$A$1:$S$102</definedName>
    <definedName name="_xlnm.Print_Area" localSheetId="10">'様式２ 履修者等数の実績'!$A$1:$AQ$32</definedName>
    <definedName name="_xlnm.Print_Area" localSheetId="11">'様式３ 教育の質・履修者数を向上させるための体制・計画'!$A$1:$I$120</definedName>
    <definedName name="_xlnm.Print_Area" localSheetId="12">'様式４　自己点検・評価'!$A$1:$I$22</definedName>
    <definedName name="_xlnm.Print_Titles" localSheetId="12">'様式４　自己点検・評価'!$11:$11</definedName>
    <definedName name="Z_1C325414_5A0C_4C59_BA24_A8E2B4EC5171_.wvu.Cols" localSheetId="9" hidden="1">'様式１-10（総合数理学部）'!$V:$V</definedName>
    <definedName name="Z_1C325414_5A0C_4C59_BA24_A8E2B4EC5171_.wvu.Cols" localSheetId="0" hidden="1">'様式１-１プログラムを構成する授業科目（法学部）'!$V:$V</definedName>
    <definedName name="Z_1C325414_5A0C_4C59_BA24_A8E2B4EC5171_.wvu.Cols" localSheetId="1" hidden="1">'様式１-２（商学部）'!$V:$V</definedName>
    <definedName name="Z_1C325414_5A0C_4C59_BA24_A8E2B4EC5171_.wvu.Cols" localSheetId="2" hidden="1">'様式１-３（政治経済学部）'!$V:$V</definedName>
    <definedName name="Z_1C325414_5A0C_4C59_BA24_A8E2B4EC5171_.wvu.Cols" localSheetId="3" hidden="1">'様式１-４（文学部）'!$V:$V</definedName>
    <definedName name="Z_1C325414_5A0C_4C59_BA24_A8E2B4EC5171_.wvu.Cols" localSheetId="4" hidden="1">'様式１-５（理工学部）'!$V:$V</definedName>
    <definedName name="Z_1C325414_5A0C_4C59_BA24_A8E2B4EC5171_.wvu.Cols" localSheetId="5" hidden="1">'様式１-６（農学部）'!$V:$V</definedName>
    <definedName name="Z_1C325414_5A0C_4C59_BA24_A8E2B4EC5171_.wvu.Cols" localSheetId="6" hidden="1">'様式１-７（経営学部）'!$V:$V</definedName>
    <definedName name="Z_1C325414_5A0C_4C59_BA24_A8E2B4EC5171_.wvu.Cols" localSheetId="7" hidden="1">'様式１-８（情報コミュニケーション学部）'!$V:$V</definedName>
    <definedName name="Z_1C325414_5A0C_4C59_BA24_A8E2B4EC5171_.wvu.Cols" localSheetId="8" hidden="1">'様式１-９（国際日本学部）'!$V:$V</definedName>
    <definedName name="Z_1C325414_5A0C_4C59_BA24_A8E2B4EC5171_.wvu.FilterData" localSheetId="9" hidden="1">'様式１-10（総合数理学部）'!$V$14:$V$16</definedName>
    <definedName name="Z_1C325414_5A0C_4C59_BA24_A8E2B4EC5171_.wvu.FilterData" localSheetId="0" hidden="1">'様式１-１プログラムを構成する授業科目（法学部）'!$V$14:$V$16</definedName>
    <definedName name="Z_1C325414_5A0C_4C59_BA24_A8E2B4EC5171_.wvu.FilterData" localSheetId="1" hidden="1">'様式１-２（商学部）'!$V$14:$V$16</definedName>
    <definedName name="Z_1C325414_5A0C_4C59_BA24_A8E2B4EC5171_.wvu.FilterData" localSheetId="2" hidden="1">'様式１-３（政治経済学部）'!$V$14:$V$16</definedName>
    <definedName name="Z_1C325414_5A0C_4C59_BA24_A8E2B4EC5171_.wvu.FilterData" localSheetId="3" hidden="1">'様式１-４（文学部）'!$V$14:$V$16</definedName>
    <definedName name="Z_1C325414_5A0C_4C59_BA24_A8E2B4EC5171_.wvu.FilterData" localSheetId="4" hidden="1">'様式１-５（理工学部）'!$V$14:$V$16</definedName>
    <definedName name="Z_1C325414_5A0C_4C59_BA24_A8E2B4EC5171_.wvu.FilterData" localSheetId="5" hidden="1">'様式１-６（農学部）'!$V$14:$V$16</definedName>
    <definedName name="Z_1C325414_5A0C_4C59_BA24_A8E2B4EC5171_.wvu.FilterData" localSheetId="6" hidden="1">'様式１-７（経営学部）'!$V$14:$V$16</definedName>
    <definedName name="Z_1C325414_5A0C_4C59_BA24_A8E2B4EC5171_.wvu.FilterData" localSheetId="7" hidden="1">'様式１-８（情報コミュニケーション学部）'!$V$14:$V$16</definedName>
    <definedName name="Z_1C325414_5A0C_4C59_BA24_A8E2B4EC5171_.wvu.FilterData" localSheetId="8" hidden="1">'様式１-９（国際日本学部）'!$V$14:$V$16</definedName>
    <definedName name="Z_1C325414_5A0C_4C59_BA24_A8E2B4EC5171_.wvu.PrintArea" localSheetId="9" hidden="1">'様式１-10（総合数理学部）'!$A$1:$S$102</definedName>
    <definedName name="Z_1C325414_5A0C_4C59_BA24_A8E2B4EC5171_.wvu.PrintArea" localSheetId="0" hidden="1">'様式１-１プログラムを構成する授業科目（法学部）'!$A$1:$S$102</definedName>
    <definedName name="Z_1C325414_5A0C_4C59_BA24_A8E2B4EC5171_.wvu.PrintArea" localSheetId="1" hidden="1">'様式１-２（商学部）'!$A$1:$S$102</definedName>
    <definedName name="Z_1C325414_5A0C_4C59_BA24_A8E2B4EC5171_.wvu.PrintArea" localSheetId="2" hidden="1">'様式１-３（政治経済学部）'!$A$1:$S$102</definedName>
    <definedName name="Z_1C325414_5A0C_4C59_BA24_A8E2B4EC5171_.wvu.PrintArea" localSheetId="3" hidden="1">'様式１-４（文学部）'!$A$1:$S$102</definedName>
    <definedName name="Z_1C325414_5A0C_4C59_BA24_A8E2B4EC5171_.wvu.PrintArea" localSheetId="4" hidden="1">'様式１-５（理工学部）'!$A$1:$S$102</definedName>
    <definedName name="Z_1C325414_5A0C_4C59_BA24_A8E2B4EC5171_.wvu.PrintArea" localSheetId="5" hidden="1">'様式１-６（農学部）'!$A$1:$S$102</definedName>
    <definedName name="Z_1C325414_5A0C_4C59_BA24_A8E2B4EC5171_.wvu.PrintArea" localSheetId="6" hidden="1">'様式１-７（経営学部）'!$A$1:$S$102</definedName>
    <definedName name="Z_1C325414_5A0C_4C59_BA24_A8E2B4EC5171_.wvu.PrintArea" localSheetId="7" hidden="1">'様式１-８（情報コミュニケーション学部）'!$A$1:$S$102</definedName>
    <definedName name="Z_1C325414_5A0C_4C59_BA24_A8E2B4EC5171_.wvu.PrintArea" localSheetId="8" hidden="1">'様式１-９（国際日本学部）'!$A$1:$S$102</definedName>
    <definedName name="Z_1C325414_5A0C_4C59_BA24_A8E2B4EC5171_.wvu.PrintArea" localSheetId="10" hidden="1">'様式２ 履修者等数の実績'!$A$1:$AQ$32</definedName>
    <definedName name="Z_1C325414_5A0C_4C59_BA24_A8E2B4EC5171_.wvu.PrintArea" localSheetId="11" hidden="1">'様式３ 教育の質・履修者数を向上させるための体制・計画'!$A$1:$I$120</definedName>
    <definedName name="Z_1C325414_5A0C_4C59_BA24_A8E2B4EC5171_.wvu.PrintArea" localSheetId="12" hidden="1">'様式４　自己点検・評価'!$A$1:$I$22</definedName>
    <definedName name="Z_1C325414_5A0C_4C59_BA24_A8E2B4EC5171_.wvu.PrintTitles" localSheetId="12" hidden="1">'様式４　自己点検・評価'!$11:$11</definedName>
    <definedName name="Z_76C3A8B2_43E5_4491_B38D_7D6417DC209B_.wvu.Cols" localSheetId="9" hidden="1">'様式１-10（総合数理学部）'!$V:$V</definedName>
    <definedName name="Z_76C3A8B2_43E5_4491_B38D_7D6417DC209B_.wvu.Cols" localSheetId="0" hidden="1">'様式１-１プログラムを構成する授業科目（法学部）'!$V:$V</definedName>
    <definedName name="Z_76C3A8B2_43E5_4491_B38D_7D6417DC209B_.wvu.Cols" localSheetId="1" hidden="1">'様式１-２（商学部）'!$V:$V</definedName>
    <definedName name="Z_76C3A8B2_43E5_4491_B38D_7D6417DC209B_.wvu.Cols" localSheetId="2" hidden="1">'様式１-３（政治経済学部）'!$V:$V</definedName>
    <definedName name="Z_76C3A8B2_43E5_4491_B38D_7D6417DC209B_.wvu.Cols" localSheetId="3" hidden="1">'様式１-４（文学部）'!$V:$V</definedName>
    <definedName name="Z_76C3A8B2_43E5_4491_B38D_7D6417DC209B_.wvu.Cols" localSheetId="4" hidden="1">'様式１-５（理工学部）'!$V:$V</definedName>
    <definedName name="Z_76C3A8B2_43E5_4491_B38D_7D6417DC209B_.wvu.Cols" localSheetId="5" hidden="1">'様式１-６（農学部）'!$V:$V</definedName>
    <definedName name="Z_76C3A8B2_43E5_4491_B38D_7D6417DC209B_.wvu.Cols" localSheetId="6" hidden="1">'様式１-７（経営学部）'!$V:$V</definedName>
    <definedName name="Z_76C3A8B2_43E5_4491_B38D_7D6417DC209B_.wvu.Cols" localSheetId="7" hidden="1">'様式１-８（情報コミュニケーション学部）'!$V:$V</definedName>
    <definedName name="Z_76C3A8B2_43E5_4491_B38D_7D6417DC209B_.wvu.Cols" localSheetId="8" hidden="1">'様式１-９（国際日本学部）'!$V:$V</definedName>
    <definedName name="Z_76C3A8B2_43E5_4491_B38D_7D6417DC209B_.wvu.FilterData" localSheetId="9" hidden="1">'様式１-10（総合数理学部）'!$V$14:$V$16</definedName>
    <definedName name="Z_76C3A8B2_43E5_4491_B38D_7D6417DC209B_.wvu.FilterData" localSheetId="0" hidden="1">'様式１-１プログラムを構成する授業科目（法学部）'!$V$14:$V$16</definedName>
    <definedName name="Z_76C3A8B2_43E5_4491_B38D_7D6417DC209B_.wvu.FilterData" localSheetId="1" hidden="1">'様式１-２（商学部）'!$V$14:$V$16</definedName>
    <definedName name="Z_76C3A8B2_43E5_4491_B38D_7D6417DC209B_.wvu.FilterData" localSheetId="2" hidden="1">'様式１-３（政治経済学部）'!$V$14:$V$16</definedName>
    <definedName name="Z_76C3A8B2_43E5_4491_B38D_7D6417DC209B_.wvu.FilterData" localSheetId="3" hidden="1">'様式１-４（文学部）'!$V$14:$V$16</definedName>
    <definedName name="Z_76C3A8B2_43E5_4491_B38D_7D6417DC209B_.wvu.FilterData" localSheetId="4" hidden="1">'様式１-５（理工学部）'!$V$14:$V$16</definedName>
    <definedName name="Z_76C3A8B2_43E5_4491_B38D_7D6417DC209B_.wvu.FilterData" localSheetId="5" hidden="1">'様式１-６（農学部）'!$V$14:$V$16</definedName>
    <definedName name="Z_76C3A8B2_43E5_4491_B38D_7D6417DC209B_.wvu.FilterData" localSheetId="6" hidden="1">'様式１-７（経営学部）'!$V$14:$V$16</definedName>
    <definedName name="Z_76C3A8B2_43E5_4491_B38D_7D6417DC209B_.wvu.FilterData" localSheetId="7" hidden="1">'様式１-８（情報コミュニケーション学部）'!$V$14:$V$16</definedName>
    <definedName name="Z_76C3A8B2_43E5_4491_B38D_7D6417DC209B_.wvu.FilterData" localSheetId="8" hidden="1">'様式１-９（国際日本学部）'!$V$14:$V$16</definedName>
    <definedName name="Z_76C3A8B2_43E5_4491_B38D_7D6417DC209B_.wvu.PrintArea" localSheetId="9" hidden="1">'様式１-10（総合数理学部）'!$A$1:$S$102</definedName>
    <definedName name="Z_76C3A8B2_43E5_4491_B38D_7D6417DC209B_.wvu.PrintArea" localSheetId="0" hidden="1">'様式１-１プログラムを構成する授業科目（法学部）'!$A$1:$S$102</definedName>
    <definedName name="Z_76C3A8B2_43E5_4491_B38D_7D6417DC209B_.wvu.PrintArea" localSheetId="1" hidden="1">'様式１-２（商学部）'!$A$1:$S$102</definedName>
    <definedName name="Z_76C3A8B2_43E5_4491_B38D_7D6417DC209B_.wvu.PrintArea" localSheetId="2" hidden="1">'様式１-３（政治経済学部）'!$A$1:$S$102</definedName>
    <definedName name="Z_76C3A8B2_43E5_4491_B38D_7D6417DC209B_.wvu.PrintArea" localSheetId="3" hidden="1">'様式１-４（文学部）'!$A$1:$S$102</definedName>
    <definedName name="Z_76C3A8B2_43E5_4491_B38D_7D6417DC209B_.wvu.PrintArea" localSheetId="4" hidden="1">'様式１-５（理工学部）'!$A$1:$S$102</definedName>
    <definedName name="Z_76C3A8B2_43E5_4491_B38D_7D6417DC209B_.wvu.PrintArea" localSheetId="5" hidden="1">'様式１-６（農学部）'!$A$1:$S$102</definedName>
    <definedName name="Z_76C3A8B2_43E5_4491_B38D_7D6417DC209B_.wvu.PrintArea" localSheetId="6" hidden="1">'様式１-７（経営学部）'!$A$1:$S$102</definedName>
    <definedName name="Z_76C3A8B2_43E5_4491_B38D_7D6417DC209B_.wvu.PrintArea" localSheetId="7" hidden="1">'様式１-８（情報コミュニケーション学部）'!$A$1:$S$102</definedName>
    <definedName name="Z_76C3A8B2_43E5_4491_B38D_7D6417DC209B_.wvu.PrintArea" localSheetId="8" hidden="1">'様式１-９（国際日本学部）'!$A$1:$S$102</definedName>
    <definedName name="Z_76C3A8B2_43E5_4491_B38D_7D6417DC209B_.wvu.PrintArea" localSheetId="10" hidden="1">'様式２ 履修者等数の実績'!$A$1:$AQ$32</definedName>
    <definedName name="Z_76C3A8B2_43E5_4491_B38D_7D6417DC209B_.wvu.PrintArea" localSheetId="11" hidden="1">'様式３ 教育の質・履修者数を向上させるための体制・計画'!$A$1:$I$120</definedName>
    <definedName name="Z_76C3A8B2_43E5_4491_B38D_7D6417DC209B_.wvu.PrintArea" localSheetId="12" hidden="1">'様式４　自己点検・評価'!$A$1:$I$22</definedName>
    <definedName name="Z_76C3A8B2_43E5_4491_B38D_7D6417DC209B_.wvu.PrintTitles" localSheetId="12" hidden="1">'様式４　自己点検・評価'!$11:$11</definedName>
    <definedName name="Z_B3C66A88_0371_48C7_9AE2_6606C7EDAAFC_.wvu.Cols" localSheetId="9" hidden="1">'様式１-10（総合数理学部）'!$V:$V</definedName>
    <definedName name="Z_B3C66A88_0371_48C7_9AE2_6606C7EDAAFC_.wvu.Cols" localSheetId="0" hidden="1">'様式１-１プログラムを構成する授業科目（法学部）'!$V:$V</definedName>
    <definedName name="Z_B3C66A88_0371_48C7_9AE2_6606C7EDAAFC_.wvu.Cols" localSheetId="1" hidden="1">'様式１-２（商学部）'!$V:$V</definedName>
    <definedName name="Z_B3C66A88_0371_48C7_9AE2_6606C7EDAAFC_.wvu.Cols" localSheetId="2" hidden="1">'様式１-３（政治経済学部）'!$V:$V</definedName>
    <definedName name="Z_B3C66A88_0371_48C7_9AE2_6606C7EDAAFC_.wvu.Cols" localSheetId="3" hidden="1">'様式１-４（文学部）'!$V:$V</definedName>
    <definedName name="Z_B3C66A88_0371_48C7_9AE2_6606C7EDAAFC_.wvu.Cols" localSheetId="4" hidden="1">'様式１-５（理工学部）'!$V:$V</definedName>
    <definedName name="Z_B3C66A88_0371_48C7_9AE2_6606C7EDAAFC_.wvu.Cols" localSheetId="5" hidden="1">'様式１-６（農学部）'!$V:$V</definedName>
    <definedName name="Z_B3C66A88_0371_48C7_9AE2_6606C7EDAAFC_.wvu.Cols" localSheetId="6" hidden="1">'様式１-７（経営学部）'!$V:$V</definedName>
    <definedName name="Z_B3C66A88_0371_48C7_9AE2_6606C7EDAAFC_.wvu.Cols" localSheetId="7" hidden="1">'様式１-８（情報コミュニケーション学部）'!$V:$V</definedName>
    <definedName name="Z_B3C66A88_0371_48C7_9AE2_6606C7EDAAFC_.wvu.Cols" localSheetId="8" hidden="1">'様式１-９（国際日本学部）'!$V:$V</definedName>
    <definedName name="Z_B3C66A88_0371_48C7_9AE2_6606C7EDAAFC_.wvu.FilterData" localSheetId="9" hidden="1">'様式１-10（総合数理学部）'!$V$14:$V$16</definedName>
    <definedName name="Z_B3C66A88_0371_48C7_9AE2_6606C7EDAAFC_.wvu.FilterData" localSheetId="0" hidden="1">'様式１-１プログラムを構成する授業科目（法学部）'!$V$14:$V$16</definedName>
    <definedName name="Z_B3C66A88_0371_48C7_9AE2_6606C7EDAAFC_.wvu.FilterData" localSheetId="1" hidden="1">'様式１-２（商学部）'!$V$14:$V$16</definedName>
    <definedName name="Z_B3C66A88_0371_48C7_9AE2_6606C7EDAAFC_.wvu.FilterData" localSheetId="2" hidden="1">'様式１-３（政治経済学部）'!$V$14:$V$16</definedName>
    <definedName name="Z_B3C66A88_0371_48C7_9AE2_6606C7EDAAFC_.wvu.FilterData" localSheetId="3" hidden="1">'様式１-４（文学部）'!$V$14:$V$16</definedName>
    <definedName name="Z_B3C66A88_0371_48C7_9AE2_6606C7EDAAFC_.wvu.FilterData" localSheetId="4" hidden="1">'様式１-５（理工学部）'!$V$14:$V$16</definedName>
    <definedName name="Z_B3C66A88_0371_48C7_9AE2_6606C7EDAAFC_.wvu.FilterData" localSheetId="5" hidden="1">'様式１-６（農学部）'!$V$14:$V$16</definedName>
    <definedName name="Z_B3C66A88_0371_48C7_9AE2_6606C7EDAAFC_.wvu.FilterData" localSheetId="6" hidden="1">'様式１-７（経営学部）'!$V$14:$V$16</definedName>
    <definedName name="Z_B3C66A88_0371_48C7_9AE2_6606C7EDAAFC_.wvu.FilterData" localSheetId="7" hidden="1">'様式１-８（情報コミュニケーション学部）'!$V$14:$V$16</definedName>
    <definedName name="Z_B3C66A88_0371_48C7_9AE2_6606C7EDAAFC_.wvu.FilterData" localSheetId="8" hidden="1">'様式１-９（国際日本学部）'!$V$14:$V$16</definedName>
    <definedName name="Z_B3C66A88_0371_48C7_9AE2_6606C7EDAAFC_.wvu.PrintArea" localSheetId="9" hidden="1">'様式１-10（総合数理学部）'!$A$1:$S$102</definedName>
    <definedName name="Z_B3C66A88_0371_48C7_9AE2_6606C7EDAAFC_.wvu.PrintArea" localSheetId="0" hidden="1">'様式１-１プログラムを構成する授業科目（法学部）'!$A$1:$S$102</definedName>
    <definedName name="Z_B3C66A88_0371_48C7_9AE2_6606C7EDAAFC_.wvu.PrintArea" localSheetId="1" hidden="1">'様式１-２（商学部）'!$A$1:$S$102</definedName>
    <definedName name="Z_B3C66A88_0371_48C7_9AE2_6606C7EDAAFC_.wvu.PrintArea" localSheetId="2" hidden="1">'様式１-３（政治経済学部）'!$A$1:$S$102</definedName>
    <definedName name="Z_B3C66A88_0371_48C7_9AE2_6606C7EDAAFC_.wvu.PrintArea" localSheetId="3" hidden="1">'様式１-４（文学部）'!$A$1:$S$102</definedName>
    <definedName name="Z_B3C66A88_0371_48C7_9AE2_6606C7EDAAFC_.wvu.PrintArea" localSheetId="4" hidden="1">'様式１-５（理工学部）'!$A$1:$S$102</definedName>
    <definedName name="Z_B3C66A88_0371_48C7_9AE2_6606C7EDAAFC_.wvu.PrintArea" localSheetId="5" hidden="1">'様式１-６（農学部）'!$A$1:$S$102</definedName>
    <definedName name="Z_B3C66A88_0371_48C7_9AE2_6606C7EDAAFC_.wvu.PrintArea" localSheetId="6" hidden="1">'様式１-７（経営学部）'!$A$1:$S$102</definedName>
    <definedName name="Z_B3C66A88_0371_48C7_9AE2_6606C7EDAAFC_.wvu.PrintArea" localSheetId="7" hidden="1">'様式１-８（情報コミュニケーション学部）'!$A$1:$S$102</definedName>
    <definedName name="Z_B3C66A88_0371_48C7_9AE2_6606C7EDAAFC_.wvu.PrintArea" localSheetId="8" hidden="1">'様式１-９（国際日本学部）'!$A$1:$S$102</definedName>
    <definedName name="Z_B3C66A88_0371_48C7_9AE2_6606C7EDAAFC_.wvu.PrintArea" localSheetId="10" hidden="1">'様式２ 履修者等数の実績'!$A$1:$AQ$32</definedName>
    <definedName name="Z_B3C66A88_0371_48C7_9AE2_6606C7EDAAFC_.wvu.PrintArea" localSheetId="11" hidden="1">'様式３ 教育の質・履修者数を向上させるための体制・計画'!$A$1:$I$120</definedName>
    <definedName name="Z_B3C66A88_0371_48C7_9AE2_6606C7EDAAFC_.wvu.PrintArea" localSheetId="12" hidden="1">'様式４　自己点検・評価'!$A$1:$I$22</definedName>
    <definedName name="Z_B3C66A88_0371_48C7_9AE2_6606C7EDAAFC_.wvu.PrintTitles" localSheetId="12" hidden="1">'様式４　自己点検・評価'!$11:$11</definedName>
    <definedName name="Z_D1FD8C4C_CF69_45DF_A007_1EC45F0F0601_.wvu.Cols" localSheetId="9" hidden="1">'様式１-10（総合数理学部）'!$V:$V</definedName>
    <definedName name="Z_D1FD8C4C_CF69_45DF_A007_1EC45F0F0601_.wvu.Cols" localSheetId="0" hidden="1">'様式１-１プログラムを構成する授業科目（法学部）'!$V:$V</definedName>
    <definedName name="Z_D1FD8C4C_CF69_45DF_A007_1EC45F0F0601_.wvu.Cols" localSheetId="1" hidden="1">'様式１-２（商学部）'!$V:$V</definedName>
    <definedName name="Z_D1FD8C4C_CF69_45DF_A007_1EC45F0F0601_.wvu.Cols" localSheetId="2" hidden="1">'様式１-３（政治経済学部）'!$V:$V</definedName>
    <definedName name="Z_D1FD8C4C_CF69_45DF_A007_1EC45F0F0601_.wvu.Cols" localSheetId="3" hidden="1">'様式１-４（文学部）'!$V:$V</definedName>
    <definedName name="Z_D1FD8C4C_CF69_45DF_A007_1EC45F0F0601_.wvu.Cols" localSheetId="4" hidden="1">'様式１-５（理工学部）'!$V:$V</definedName>
    <definedName name="Z_D1FD8C4C_CF69_45DF_A007_1EC45F0F0601_.wvu.Cols" localSheetId="5" hidden="1">'様式１-６（農学部）'!$V:$V</definedName>
    <definedName name="Z_D1FD8C4C_CF69_45DF_A007_1EC45F0F0601_.wvu.Cols" localSheetId="6" hidden="1">'様式１-７（経営学部）'!$V:$V</definedName>
    <definedName name="Z_D1FD8C4C_CF69_45DF_A007_1EC45F0F0601_.wvu.Cols" localSheetId="7" hidden="1">'様式１-８（情報コミュニケーション学部）'!$V:$V</definedName>
    <definedName name="Z_D1FD8C4C_CF69_45DF_A007_1EC45F0F0601_.wvu.Cols" localSheetId="8" hidden="1">'様式１-９（国際日本学部）'!$V:$V</definedName>
    <definedName name="Z_D1FD8C4C_CF69_45DF_A007_1EC45F0F0601_.wvu.FilterData" localSheetId="9" hidden="1">'様式１-10（総合数理学部）'!$V$14:$V$16</definedName>
    <definedName name="Z_D1FD8C4C_CF69_45DF_A007_1EC45F0F0601_.wvu.FilterData" localSheetId="0" hidden="1">'様式１-１プログラムを構成する授業科目（法学部）'!$V$14:$V$16</definedName>
    <definedName name="Z_D1FD8C4C_CF69_45DF_A007_1EC45F0F0601_.wvu.FilterData" localSheetId="1" hidden="1">'様式１-２（商学部）'!$V$14:$V$16</definedName>
    <definedName name="Z_D1FD8C4C_CF69_45DF_A007_1EC45F0F0601_.wvu.FilterData" localSheetId="2" hidden="1">'様式１-３（政治経済学部）'!$V$14:$V$16</definedName>
    <definedName name="Z_D1FD8C4C_CF69_45DF_A007_1EC45F0F0601_.wvu.FilterData" localSheetId="3" hidden="1">'様式１-４（文学部）'!$V$14:$V$16</definedName>
    <definedName name="Z_D1FD8C4C_CF69_45DF_A007_1EC45F0F0601_.wvu.FilterData" localSheetId="4" hidden="1">'様式１-５（理工学部）'!$V$14:$V$16</definedName>
    <definedName name="Z_D1FD8C4C_CF69_45DF_A007_1EC45F0F0601_.wvu.FilterData" localSheetId="5" hidden="1">'様式１-６（農学部）'!$V$14:$V$16</definedName>
    <definedName name="Z_D1FD8C4C_CF69_45DF_A007_1EC45F0F0601_.wvu.FilterData" localSheetId="6" hidden="1">'様式１-７（経営学部）'!$V$14:$V$16</definedName>
    <definedName name="Z_D1FD8C4C_CF69_45DF_A007_1EC45F0F0601_.wvu.FilterData" localSheetId="7" hidden="1">'様式１-８（情報コミュニケーション学部）'!$V$14:$V$16</definedName>
    <definedName name="Z_D1FD8C4C_CF69_45DF_A007_1EC45F0F0601_.wvu.FilterData" localSheetId="8" hidden="1">'様式１-９（国際日本学部）'!$V$14:$V$16</definedName>
    <definedName name="Z_D1FD8C4C_CF69_45DF_A007_1EC45F0F0601_.wvu.PrintArea" localSheetId="9" hidden="1">'様式１-10（総合数理学部）'!$A$1:$S$102</definedName>
    <definedName name="Z_D1FD8C4C_CF69_45DF_A007_1EC45F0F0601_.wvu.PrintArea" localSheetId="0" hidden="1">'様式１-１プログラムを構成する授業科目（法学部）'!$A$1:$S$102</definedName>
    <definedName name="Z_D1FD8C4C_CF69_45DF_A007_1EC45F0F0601_.wvu.PrintArea" localSheetId="1" hidden="1">'様式１-２（商学部）'!$A$1:$S$102</definedName>
    <definedName name="Z_D1FD8C4C_CF69_45DF_A007_1EC45F0F0601_.wvu.PrintArea" localSheetId="2" hidden="1">'様式１-３（政治経済学部）'!$A$1:$S$102</definedName>
    <definedName name="Z_D1FD8C4C_CF69_45DF_A007_1EC45F0F0601_.wvu.PrintArea" localSheetId="3" hidden="1">'様式１-４（文学部）'!$A$1:$S$102</definedName>
    <definedName name="Z_D1FD8C4C_CF69_45DF_A007_1EC45F0F0601_.wvu.PrintArea" localSheetId="4" hidden="1">'様式１-５（理工学部）'!$A$1:$S$102</definedName>
    <definedName name="Z_D1FD8C4C_CF69_45DF_A007_1EC45F0F0601_.wvu.PrintArea" localSheetId="5" hidden="1">'様式１-６（農学部）'!$A$1:$S$102</definedName>
    <definedName name="Z_D1FD8C4C_CF69_45DF_A007_1EC45F0F0601_.wvu.PrintArea" localSheetId="6" hidden="1">'様式１-７（経営学部）'!$A$1:$S$102</definedName>
    <definedName name="Z_D1FD8C4C_CF69_45DF_A007_1EC45F0F0601_.wvu.PrintArea" localSheetId="7" hidden="1">'様式１-８（情報コミュニケーション学部）'!$A$1:$S$102</definedName>
    <definedName name="Z_D1FD8C4C_CF69_45DF_A007_1EC45F0F0601_.wvu.PrintArea" localSheetId="8" hidden="1">'様式１-９（国際日本学部）'!$A$1:$S$102</definedName>
    <definedName name="Z_D1FD8C4C_CF69_45DF_A007_1EC45F0F0601_.wvu.PrintArea" localSheetId="10" hidden="1">'様式２ 履修者等数の実績'!$A$1:$AQ$32</definedName>
    <definedName name="Z_D1FD8C4C_CF69_45DF_A007_1EC45F0F0601_.wvu.PrintArea" localSheetId="11" hidden="1">'様式３ 教育の質・履修者数を向上させるための体制・計画'!$A$1:$I$120</definedName>
    <definedName name="Z_D1FD8C4C_CF69_45DF_A007_1EC45F0F0601_.wvu.PrintArea" localSheetId="12" hidden="1">'様式４　自己点検・評価'!$A$1:$I$22</definedName>
    <definedName name="Z_D1FD8C4C_CF69_45DF_A007_1EC45F0F0601_.wvu.PrintTitles" localSheetId="12" hidden="1">'様式４　自己点検・評価'!$11:$11</definedName>
  </definedNames>
  <calcPr calcId="191029"/>
  <customWorkbookViews>
    <customWorkbookView name="菊池豪太 - 個人用ビュー" guid="{1C325414-5A0C-4C59-BA24-A8E2B4EC5171}" mergeInterval="0" personalView="1" xWindow="257" yWindow="45" windowWidth="1284" windowHeight="936" tabRatio="885" activeSheetId="1"/>
    <customWorkbookView name="小島基史 - 個人用ビュー" guid="{76C3A8B2-43E5-4491-B38D-7D6417DC209B}" mergeInterval="0" personalView="1" xWindow="31" yWindow="66" windowWidth="1057" windowHeight="764" tabRatio="885" activeSheetId="2"/>
    <customWorkbookView name="SST - 個人用ビュー" guid="{D1FD8C4C-CF69-45DF-A007-1EC45F0F0601}" mergeInterval="0" personalView="1" xWindow="53" yWindow="68" windowWidth="1140" windowHeight="949" tabRatio="885" activeSheetId="5"/>
    <customWorkbookView name="加藤良典 - 個人用ビュー" guid="{B3C66A88-0371-48C7-9AE2-6606C7EDAAFC}" mergeInterval="0" personalView="1" xWindow="981" yWindow="4" windowWidth="885" windowHeight="1025" tabRatio="885" activeSheetId="1"/>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13" l="1"/>
  <c r="H2" i="12"/>
  <c r="AM2" i="11"/>
  <c r="AO32" i="11" l="1"/>
  <c r="AN32" i="11"/>
  <c r="AL32" i="11"/>
  <c r="AK32" i="11"/>
  <c r="AM31" i="11"/>
  <c r="AJ31" i="11"/>
  <c r="AM30" i="11"/>
  <c r="AJ30" i="11"/>
  <c r="AM29" i="11"/>
  <c r="AJ29" i="11"/>
  <c r="AM28" i="11"/>
  <c r="AJ28" i="11"/>
  <c r="AM27" i="11"/>
  <c r="AJ27" i="11"/>
  <c r="AM26" i="11"/>
  <c r="AJ26" i="11"/>
  <c r="AM25" i="11"/>
  <c r="AJ25" i="11"/>
  <c r="AM24" i="11"/>
  <c r="AJ24" i="11"/>
  <c r="AM23" i="11"/>
  <c r="AJ23" i="11"/>
  <c r="AM22" i="11"/>
  <c r="AJ22" i="11"/>
  <c r="AM21" i="11"/>
  <c r="AJ21" i="11"/>
  <c r="AM20" i="11"/>
  <c r="AJ20" i="11"/>
  <c r="AM19" i="11"/>
  <c r="AJ19" i="11"/>
  <c r="AM18" i="11"/>
  <c r="AJ18" i="11"/>
  <c r="AM17" i="11"/>
  <c r="AJ17" i="11"/>
  <c r="AM16" i="11"/>
  <c r="AJ16" i="11"/>
  <c r="AM15" i="11"/>
  <c r="AJ15" i="11"/>
  <c r="AM14" i="11"/>
  <c r="AJ14" i="11"/>
  <c r="AM13" i="11"/>
  <c r="AJ13" i="11"/>
  <c r="AM12" i="11"/>
  <c r="AJ12" i="11"/>
  <c r="AI32" i="11"/>
  <c r="AH32" i="11"/>
  <c r="AF32" i="11"/>
  <c r="AE32" i="11"/>
  <c r="AG31" i="11"/>
  <c r="AD31" i="11"/>
  <c r="AG30" i="11"/>
  <c r="AD30" i="11"/>
  <c r="AG29" i="11"/>
  <c r="AD29" i="11"/>
  <c r="AG28" i="11"/>
  <c r="AD28" i="11"/>
  <c r="AG27" i="11"/>
  <c r="AD27" i="11"/>
  <c r="AG26" i="11"/>
  <c r="AD26" i="11"/>
  <c r="AG25" i="11"/>
  <c r="AD25" i="11"/>
  <c r="AG24" i="11"/>
  <c r="AD24" i="11"/>
  <c r="AG23" i="11"/>
  <c r="AD23" i="11"/>
  <c r="AG22" i="11"/>
  <c r="AD22" i="11"/>
  <c r="AG21" i="11"/>
  <c r="AD21" i="11"/>
  <c r="AG20" i="11"/>
  <c r="AD20" i="11"/>
  <c r="AG19" i="11"/>
  <c r="AD19" i="11"/>
  <c r="AG18" i="11"/>
  <c r="AD18" i="11"/>
  <c r="AG17" i="11"/>
  <c r="AD17" i="11"/>
  <c r="AG16" i="11"/>
  <c r="AD16" i="11"/>
  <c r="AG15" i="11"/>
  <c r="AD15" i="11"/>
  <c r="AG14" i="11"/>
  <c r="AD14" i="11"/>
  <c r="AG13" i="11"/>
  <c r="AD13" i="11"/>
  <c r="AG12" i="11"/>
  <c r="AD12" i="11"/>
  <c r="AC32" i="11"/>
  <c r="AB32" i="11"/>
  <c r="Z32" i="11"/>
  <c r="Y32" i="11"/>
  <c r="AA31" i="11"/>
  <c r="X31" i="11"/>
  <c r="AA30" i="11"/>
  <c r="X30" i="11"/>
  <c r="AA29" i="11"/>
  <c r="X29" i="11"/>
  <c r="AA28" i="11"/>
  <c r="X28" i="11"/>
  <c r="AA27" i="11"/>
  <c r="X27" i="11"/>
  <c r="AA26" i="11"/>
  <c r="X26" i="11"/>
  <c r="AA25" i="11"/>
  <c r="X25" i="11"/>
  <c r="AA24" i="11"/>
  <c r="X24" i="11"/>
  <c r="AA23" i="11"/>
  <c r="X23" i="11"/>
  <c r="AA22" i="11"/>
  <c r="X22" i="11"/>
  <c r="AA21" i="11"/>
  <c r="X21" i="11"/>
  <c r="AA20" i="11"/>
  <c r="X20" i="11"/>
  <c r="AA19" i="11"/>
  <c r="X19" i="11"/>
  <c r="AA18" i="11"/>
  <c r="X18" i="11"/>
  <c r="AA17" i="11"/>
  <c r="X17" i="11"/>
  <c r="AA16" i="11"/>
  <c r="X16" i="11"/>
  <c r="AA15" i="11"/>
  <c r="X15" i="11"/>
  <c r="AA14" i="11"/>
  <c r="X14" i="11"/>
  <c r="AA13" i="11"/>
  <c r="X13" i="11"/>
  <c r="AA12" i="11"/>
  <c r="X12" i="11"/>
  <c r="W32" i="11"/>
  <c r="V32" i="11"/>
  <c r="T32" i="11"/>
  <c r="S32" i="11"/>
  <c r="U31" i="11"/>
  <c r="R31" i="11"/>
  <c r="U30" i="11"/>
  <c r="R30" i="11"/>
  <c r="U29" i="11"/>
  <c r="R29" i="11"/>
  <c r="U28" i="11"/>
  <c r="R28" i="11"/>
  <c r="U27" i="11"/>
  <c r="R27" i="11"/>
  <c r="U26" i="11"/>
  <c r="R26" i="11"/>
  <c r="U25" i="11"/>
  <c r="R25" i="11"/>
  <c r="U24" i="11"/>
  <c r="R24" i="11"/>
  <c r="U23" i="11"/>
  <c r="R23" i="11"/>
  <c r="U22" i="11"/>
  <c r="R22" i="11"/>
  <c r="U21" i="11"/>
  <c r="R21" i="11"/>
  <c r="U20" i="11"/>
  <c r="R20" i="11"/>
  <c r="U19" i="11"/>
  <c r="R19" i="11"/>
  <c r="U18" i="11"/>
  <c r="R18" i="11"/>
  <c r="U17" i="11"/>
  <c r="R17" i="11"/>
  <c r="U16" i="11"/>
  <c r="R16" i="11"/>
  <c r="U15" i="11"/>
  <c r="R15" i="11"/>
  <c r="U14" i="11"/>
  <c r="R14" i="11"/>
  <c r="U13" i="11"/>
  <c r="R13" i="11"/>
  <c r="U12" i="11"/>
  <c r="R12" i="11"/>
  <c r="Q32" i="11"/>
  <c r="P32" i="11"/>
  <c r="N32" i="11"/>
  <c r="M32" i="11"/>
  <c r="O31" i="11"/>
  <c r="L31" i="11"/>
  <c r="O30" i="11"/>
  <c r="L30" i="11"/>
  <c r="O29" i="11"/>
  <c r="L29" i="11"/>
  <c r="O28" i="11"/>
  <c r="L28" i="11"/>
  <c r="O27" i="11"/>
  <c r="L27" i="11"/>
  <c r="O26" i="11"/>
  <c r="L26" i="11"/>
  <c r="O25" i="11"/>
  <c r="L25" i="11"/>
  <c r="O24" i="11"/>
  <c r="L24" i="11"/>
  <c r="O23" i="11"/>
  <c r="L23" i="11"/>
  <c r="O22" i="11"/>
  <c r="L22" i="11"/>
  <c r="O21" i="11"/>
  <c r="L21" i="11"/>
  <c r="O20" i="11"/>
  <c r="L20" i="11"/>
  <c r="O19" i="11"/>
  <c r="L19" i="11"/>
  <c r="O18" i="11"/>
  <c r="L18" i="11"/>
  <c r="O17" i="11"/>
  <c r="L17" i="11"/>
  <c r="O16" i="11"/>
  <c r="L16" i="11"/>
  <c r="O15" i="11"/>
  <c r="L15" i="11"/>
  <c r="O14" i="11"/>
  <c r="L14" i="11"/>
  <c r="O13" i="11"/>
  <c r="L13" i="11"/>
  <c r="O12" i="11"/>
  <c r="L12" i="11"/>
  <c r="O32" i="11" l="1"/>
  <c r="AA32" i="11"/>
  <c r="AJ32" i="11"/>
  <c r="AM32" i="11"/>
  <c r="AG32" i="11"/>
  <c r="AD32" i="11"/>
  <c r="X32" i="11"/>
  <c r="R32" i="11"/>
  <c r="U32" i="11"/>
  <c r="L32" i="11"/>
  <c r="K32" i="11" l="1"/>
  <c r="J32" i="11"/>
  <c r="I31" i="11"/>
  <c r="I30" i="11"/>
  <c r="I29" i="11"/>
  <c r="I28" i="11"/>
  <c r="I27" i="11"/>
  <c r="I26" i="11"/>
  <c r="I25" i="11"/>
  <c r="I24" i="11"/>
  <c r="I23" i="11"/>
  <c r="I22" i="11"/>
  <c r="I21" i="11"/>
  <c r="I20" i="11"/>
  <c r="I19" i="11"/>
  <c r="I18" i="11"/>
  <c r="I17" i="11"/>
  <c r="I16" i="11"/>
  <c r="I15" i="11"/>
  <c r="I14" i="11"/>
  <c r="I13" i="11"/>
  <c r="I12" i="11"/>
  <c r="G32" i="11"/>
  <c r="H32" i="11"/>
  <c r="F13" i="11"/>
  <c r="AP13" i="11" s="1"/>
  <c r="F14" i="11"/>
  <c r="AP14" i="11" s="1"/>
  <c r="F15" i="11"/>
  <c r="AP15" i="11" s="1"/>
  <c r="F16" i="11"/>
  <c r="AP16" i="11" s="1"/>
  <c r="F17" i="11"/>
  <c r="AP17" i="11" s="1"/>
  <c r="F18" i="11"/>
  <c r="AP18" i="11" s="1"/>
  <c r="F19" i="11"/>
  <c r="AP19" i="11" s="1"/>
  <c r="F20" i="11"/>
  <c r="AP20" i="11" s="1"/>
  <c r="F21" i="11"/>
  <c r="AP21" i="11" s="1"/>
  <c r="F22" i="11"/>
  <c r="AP22" i="11" s="1"/>
  <c r="F23" i="11"/>
  <c r="AP23" i="11" s="1"/>
  <c r="F24" i="11"/>
  <c r="AP24" i="11" s="1"/>
  <c r="F25" i="11"/>
  <c r="AP25" i="11" s="1"/>
  <c r="F26" i="11"/>
  <c r="AP26" i="11" s="1"/>
  <c r="F27" i="11"/>
  <c r="AP27" i="11" s="1"/>
  <c r="F28" i="11"/>
  <c r="AP28" i="11" s="1"/>
  <c r="F29" i="11"/>
  <c r="AP29" i="11" s="1"/>
  <c r="F30" i="11"/>
  <c r="AP30" i="11" s="1"/>
  <c r="F31" i="11"/>
  <c r="AP31" i="11" s="1"/>
  <c r="F12" i="11"/>
  <c r="AP12" i="11" s="1"/>
  <c r="AQ12" i="11" s="1"/>
  <c r="C32" i="11"/>
  <c r="I32" i="11" l="1"/>
  <c r="F32" i="11" l="1"/>
  <c r="E32" i="11"/>
  <c r="I50" i="12" s="1"/>
  <c r="D32" i="11"/>
  <c r="AQ21" i="11"/>
  <c r="AQ20" i="11"/>
  <c r="AQ19" i="11"/>
  <c r="AQ18" i="11"/>
  <c r="AQ17" i="11"/>
  <c r="AQ16" i="11"/>
  <c r="AQ15" i="11"/>
  <c r="AQ14" i="11"/>
  <c r="AQ13" i="11"/>
  <c r="AP32" i="11" l="1"/>
  <c r="AQ32" i="11" s="1"/>
  <c r="C49" i="12" s="1"/>
</calcChain>
</file>

<file path=xl/sharedStrings.xml><?xml version="1.0" encoding="utf-8"?>
<sst xmlns="http://schemas.openxmlformats.org/spreadsheetml/2006/main" count="1674" uniqueCount="273">
  <si>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</si>
  <si>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</si>
  <si>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</si>
  <si>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</si>
  <si>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</si>
  <si>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</si>
  <si>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</si>
  <si>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</si>
  <si>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</si>
  <si>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</si>
  <si>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</si>
  <si>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</si>
  <si>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</si>
  <si>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</si>
  <si>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</si>
  <si>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</si>
  <si>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</si>
  <si>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</si>
  <si>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</si>
  <si>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</si>
  <si>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</si>
  <si>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</si>
  <si>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</si>
  <si>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</si>
  <si>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</si>
  <si>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</si>
  <si>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</si>
  <si>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</si>
  <si>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</si>
  <si>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</si>
  <si>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</si>
  <si>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</si>
  <si>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</si>
  <si>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</si>
  <si>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</si>
  <si>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</si>
  <si>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</si>
  <si>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</si>
  <si>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</si>
  <si>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</si>
  <si>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</si>
  <si>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</si>
  <si>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</si>
  <si>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</si>
  <si>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</si>
  <si>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</si>
  <si>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</si>
  <si>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</si>
  <si>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</si>
  <si>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</si>
  <si>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</si>
  <si>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平成29年度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</si>
  <si>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</si>
  <si>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</si>
  <si>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</si>
  <si>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</si>
  <si>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</si>
  <si>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</si>
  <si>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</si>
  <si>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</si>
  <si>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</si>
  <si>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</si>
  <si>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</si>
  <si>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</si>
  <si>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</si>
  <si>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</si>
  <si>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</si>
  <si>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</si>
  <si>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</si>
  <si>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</si>
  <si>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</si>
  <si>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</si>
  <si>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</si>
  <si>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</si>
  <si>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</si>
  <si>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</si>
  <si>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</si>
  <si>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</si>
  <si>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</si>
  <si>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</si>
  <si>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</si>
  <si>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</si>
  <si>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</si>
  <si>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</si>
  <si>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</si>
  <si>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</si>
  <si>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</si>
  <si>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</si>
  <si>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令和４年度実績</t>
    <rPh sb="0" eb="2">
      <t>レイワ</t>
    </rPh>
    <rPh sb="3" eb="5">
      <t>ネンド</t>
    </rPh>
    <rPh sb="5" eb="7">
      <t>ジッセキ</t>
    </rPh>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</si>
  <si>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</si>
  <si>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</si>
  <si>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</si>
  <si>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</si>
  <si>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</si>
  <si>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</si>
  <si>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単位</t>
    <rPh sb="0" eb="2">
      <t>タンイ</t>
    </rPh>
    <phoneticPr fontId="1"/>
  </si>
  <si>
    <t>履修者数</t>
    <rPh sb="0" eb="3">
      <t>リシュウシャ</t>
    </rPh>
    <rPh sb="3" eb="4">
      <t>スウ</t>
    </rPh>
    <phoneticPr fontId="1"/>
  </si>
  <si>
    <t>合計</t>
    <rPh sb="0" eb="2">
      <t>ゴウケイ</t>
    </rPh>
    <phoneticPr fontId="1"/>
  </si>
  <si>
    <t>男性</t>
    <rPh sb="0" eb="2">
      <t>ダンセイ</t>
    </rPh>
    <phoneticPr fontId="1"/>
  </si>
  <si>
    <t>女性</t>
    <rPh sb="0" eb="2">
      <t>ジョセイ</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</si>
  <si>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</si>
  <si>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</si>
  <si>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</si>
  <si>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</si>
  <si>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</si>
  <si>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</si>
  <si>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</si>
  <si>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② 教育プログラムの修了要件</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</si>
  <si>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</si>
  <si>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</si>
  <si>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令和４年度以前より、履修することが必須のプログラムとして実施</t>
    <rPh sb="0" eb="2">
      <t>レイワ</t>
    </rPh>
    <rPh sb="3" eb="5">
      <t>ネンド</t>
    </rPh>
    <rPh sb="5" eb="7">
      <t>イゼン</t>
    </rPh>
    <phoneticPr fontId="1"/>
  </si>
  <si>
    <t>③ 修了要件</t>
    <phoneticPr fontId="1"/>
  </si>
  <si>
    <t>必要最低単位数</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</si>
  <si>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</si>
  <si>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</si>
  <si>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</si>
  <si>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</si>
  <si>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</si>
  <si>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</si>
  <si>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</si>
  <si>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</si>
  <si>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</si>
  <si>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</si>
  <si>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令和７年度までに履修必須とする計画</t>
    <rPh sb="3" eb="4">
      <t>ネン</t>
    </rPh>
    <phoneticPr fontId="1"/>
  </si>
  <si>
    <t>① 対象となる学部・学科名称</t>
    <phoneticPr fontId="1"/>
  </si>
  <si>
    <t>令和８年度以降に履修必須とする計画、又は未定</t>
    <rPh sb="18" eb="19">
      <t>マタ</t>
    </rPh>
    <rPh sb="20" eb="22">
      <t>ミテイ</t>
    </rPh>
    <phoneticPr fontId="1"/>
  </si>
  <si>
    <t>明治大学</t>
    <rPh sb="0" eb="4">
      <t>メイジダイガク</t>
    </rPh>
    <phoneticPr fontId="1"/>
  </si>
  <si>
    <t>数理データサイエンス人工知能リテラシーレベルプログラム</t>
    <phoneticPr fontId="1"/>
  </si>
  <si>
    <t>学部・学科によって、修了要件は相違する</t>
  </si>
  <si>
    <t>データサイエンスAI概論</t>
    <phoneticPr fontId="1"/>
  </si>
  <si>
    <t>○</t>
  </si>
  <si>
    <t>ICT統計解析Ⅰ</t>
    <phoneticPr fontId="1"/>
  </si>
  <si>
    <t>ICTアプリ開発Ⅰ</t>
    <phoneticPr fontId="1"/>
  </si>
  <si>
    <t>ICTデータベースＩ</t>
    <phoneticPr fontId="1"/>
  </si>
  <si>
    <t>数理・データサイエンス・ＡＩに関する知識面だけでなくスキル面から学ぶことができる。
法務、経済統計、電子政府・行政、会計・　芸術と人工知能など、技術面だけでない社会的なテーマを幅広く取り扱い、様々な適用領域の知見と組み合わせることで価値を創出することができる。</t>
    <phoneticPr fontId="1"/>
  </si>
  <si>
    <t>法学部</t>
  </si>
  <si>
    <t>商学部</t>
  </si>
  <si>
    <t>政治経済学部</t>
  </si>
  <si>
    <t>文学部</t>
  </si>
  <si>
    <t>理工学部</t>
  </si>
  <si>
    <t>農学部</t>
  </si>
  <si>
    <t>経営学部</t>
  </si>
  <si>
    <t>情報コミュニケーション学部</t>
  </si>
  <si>
    <t>国際日本学部</t>
  </si>
  <si>
    <t>総合数理学部</t>
  </si>
  <si>
    <t>様式１－１</t>
    <rPh sb="0" eb="2">
      <t>ヨウシキ</t>
    </rPh>
    <phoneticPr fontId="1"/>
  </si>
  <si>
    <t>法学部</t>
    <rPh sb="0" eb="3">
      <t>ホウガクブ</t>
    </rPh>
    <phoneticPr fontId="1"/>
  </si>
  <si>
    <t>数理と社会Ⅰ</t>
    <phoneticPr fontId="1"/>
  </si>
  <si>
    <t>数理と社会Ⅱ</t>
    <phoneticPr fontId="1"/>
  </si>
  <si>
    <t>様式１－２</t>
    <rPh sb="0" eb="2">
      <t>ヨウシキ</t>
    </rPh>
    <phoneticPr fontId="1"/>
  </si>
  <si>
    <t>商学部</t>
    <rPh sb="0" eb="3">
      <t>ショウガクブ</t>
    </rPh>
    <phoneticPr fontId="1"/>
  </si>
  <si>
    <t>統計学A</t>
    <phoneticPr fontId="1"/>
  </si>
  <si>
    <t>統計学B</t>
    <phoneticPr fontId="1"/>
  </si>
  <si>
    <t>線型数学A</t>
    <phoneticPr fontId="1"/>
  </si>
  <si>
    <t>線型数学B</t>
    <phoneticPr fontId="1"/>
  </si>
  <si>
    <t>解析数学A</t>
    <phoneticPr fontId="1"/>
  </si>
  <si>
    <t>解析数学B</t>
    <phoneticPr fontId="1"/>
  </si>
  <si>
    <t>デジタルコンテンツA</t>
    <phoneticPr fontId="1"/>
  </si>
  <si>
    <t>デジタルコンテンツB</t>
    <phoneticPr fontId="1"/>
  </si>
  <si>
    <t>様式１－３</t>
    <rPh sb="0" eb="2">
      <t>ヨウシキ</t>
    </rPh>
    <phoneticPr fontId="1"/>
  </si>
  <si>
    <t>政治経済学部</t>
    <rPh sb="0" eb="4">
      <t>セイジケイザイ</t>
    </rPh>
    <rPh sb="4" eb="6">
      <t>ガクブ</t>
    </rPh>
    <phoneticPr fontId="1"/>
  </si>
  <si>
    <t>「データサイエンス・AIの社会利用」科目群（④・⑥・⑦）から２単位以上
「データサイエンス・人工知能演習」科目群（⑧）から２単位以上
「数理統計」科目群（⑤）から２単位以上
合計６単位以上を取得すること。</t>
    <phoneticPr fontId="1"/>
  </si>
  <si>
    <t>「データサイエンス・AIの社会利用」科目群（④・⑥・⑦）から２単位以上
「データサイエンス・人工知能演習」科目群（⑧）から２単位以上
「数理統計」科目群（⑤）から４単位以上
合計８単位以上を取得すること。</t>
    <phoneticPr fontId="1"/>
  </si>
  <si>
    <t>統計学</t>
    <phoneticPr fontId="1"/>
  </si>
  <si>
    <t>様式１－４</t>
    <rPh sb="0" eb="2">
      <t>ヨウシキ</t>
    </rPh>
    <phoneticPr fontId="1"/>
  </si>
  <si>
    <t>文学部</t>
    <rPh sb="0" eb="1">
      <t>ブン</t>
    </rPh>
    <rPh sb="1" eb="3">
      <t>ガクブ</t>
    </rPh>
    <phoneticPr fontId="1"/>
  </si>
  <si>
    <t>統計学</t>
    <phoneticPr fontId="1"/>
  </si>
  <si>
    <t>心理社会調査研究法Ａ</t>
    <phoneticPr fontId="1"/>
  </si>
  <si>
    <t>地域統計学Ⅰ</t>
    <phoneticPr fontId="1"/>
  </si>
  <si>
    <t>様式１－５</t>
    <rPh sb="0" eb="2">
      <t>ヨウシキ</t>
    </rPh>
    <phoneticPr fontId="1"/>
  </si>
  <si>
    <t>理工学部</t>
    <rPh sb="0" eb="2">
      <t>リコウ</t>
    </rPh>
    <rPh sb="2" eb="4">
      <t>ガクブ</t>
    </rPh>
    <phoneticPr fontId="1"/>
  </si>
  <si>
    <t>確率・統計</t>
    <phoneticPr fontId="1"/>
  </si>
  <si>
    <t>情報処理実習１</t>
    <phoneticPr fontId="1"/>
  </si>
  <si>
    <t>情報処理実習２</t>
    <phoneticPr fontId="1"/>
  </si>
  <si>
    <t>基礎物理学実験１</t>
    <phoneticPr fontId="1"/>
  </si>
  <si>
    <t>基礎物理学実験２</t>
    <phoneticPr fontId="1"/>
  </si>
  <si>
    <t>基礎化学実験１</t>
    <phoneticPr fontId="1"/>
  </si>
  <si>
    <t>基礎化学実験２</t>
    <phoneticPr fontId="1"/>
  </si>
  <si>
    <t>様式１－６</t>
    <rPh sb="0" eb="2">
      <t>ヨウシキ</t>
    </rPh>
    <phoneticPr fontId="1"/>
  </si>
  <si>
    <t>農学部</t>
    <rPh sb="0" eb="3">
      <t>ノウガクブ</t>
    </rPh>
    <phoneticPr fontId="1"/>
  </si>
  <si>
    <t>生物統計学</t>
  </si>
  <si>
    <t>応用生物統計学</t>
  </si>
  <si>
    <t>統計学入門</t>
  </si>
  <si>
    <t>バイオインフォマティクス入門</t>
  </si>
  <si>
    <t>基礎生物統計学</t>
    <phoneticPr fontId="1"/>
  </si>
  <si>
    <t>様式１－７</t>
    <rPh sb="0" eb="2">
      <t>ヨウシキ</t>
    </rPh>
    <phoneticPr fontId="1"/>
  </si>
  <si>
    <t>経営学部</t>
    <rPh sb="0" eb="4">
      <t>ケイエイガクブ</t>
    </rPh>
    <phoneticPr fontId="1"/>
  </si>
  <si>
    <t>統計学Ａ</t>
    <phoneticPr fontId="1"/>
  </si>
  <si>
    <t>統計学Ｂ</t>
    <phoneticPr fontId="1"/>
  </si>
  <si>
    <t>経営統計学Ａ</t>
    <phoneticPr fontId="1"/>
  </si>
  <si>
    <t>経営統計学Ｂ</t>
    <phoneticPr fontId="1"/>
  </si>
  <si>
    <t>様式１－８</t>
    <rPh sb="0" eb="2">
      <t>ヨウシキ</t>
    </rPh>
    <phoneticPr fontId="1"/>
  </si>
  <si>
    <t>情報コミュニケーション学部</t>
    <rPh sb="0" eb="2">
      <t>ジョウホウ</t>
    </rPh>
    <rPh sb="11" eb="13">
      <t>ガクブ</t>
    </rPh>
    <phoneticPr fontId="1"/>
  </si>
  <si>
    <t>データ解析論Ⅰ</t>
    <phoneticPr fontId="1"/>
  </si>
  <si>
    <t>専門情報リテラシー（社会統計）</t>
    <phoneticPr fontId="1"/>
  </si>
  <si>
    <t>専門情報リテラシー（心理統計）</t>
    <phoneticPr fontId="1"/>
  </si>
  <si>
    <t>様式１－９</t>
    <rPh sb="0" eb="2">
      <t>ヨウシキ</t>
    </rPh>
    <phoneticPr fontId="1"/>
  </si>
  <si>
    <t>国際日本学部</t>
    <rPh sb="0" eb="6">
      <t>コクサイニホンガクブ</t>
    </rPh>
    <phoneticPr fontId="1"/>
  </si>
  <si>
    <t>様式１－10</t>
    <rPh sb="0" eb="2">
      <t>ヨウシキ</t>
    </rPh>
    <phoneticPr fontId="1"/>
  </si>
  <si>
    <t>総合数理学部</t>
    <rPh sb="0" eb="6">
      <t>ソウゴウスウリガクブ</t>
    </rPh>
    <phoneticPr fontId="1"/>
  </si>
  <si>
    <t>先端メディアサイエンス特別講義</t>
    <phoneticPr fontId="1"/>
  </si>
  <si>
    <t>統計学入門</t>
    <phoneticPr fontId="1"/>
  </si>
  <si>
    <t>社会調査法</t>
    <phoneticPr fontId="1"/>
  </si>
  <si>
    <t>プログラミング演習I</t>
    <phoneticPr fontId="1"/>
  </si>
  <si>
    <t>令和4</t>
    <phoneticPr fontId="1"/>
  </si>
  <si>
    <t>千田亮吉</t>
    <phoneticPr fontId="1"/>
  </si>
  <si>
    <t>教務部長、副学長</t>
    <phoneticPr fontId="1"/>
  </si>
  <si>
    <t>教育開発・支援センター運営委員会</t>
    <phoneticPr fontId="1"/>
  </si>
  <si>
    <t>教育開発・支援センター長</t>
    <phoneticPr fontId="1"/>
  </si>
  <si>
    <t>明治大学教育開発・支援センター規程</t>
    <phoneticPr fontId="1"/>
  </si>
  <si>
    <t>本大学の教育理念及び教育目標を実現するため，全学的な教育支援体制に係る諸施策の立案及びその推進を図るとともに，組織的かつ継続的に教育内容及び教育技法の改善を行うことによって，効果的な教育活動の実践を支援・促進し，もって本大学の教育の発展に寄与することを目的とする。</t>
    <phoneticPr fontId="1"/>
  </si>
  <si>
    <t>センター長
　教務部長 千田 亮吉
副センター長
　副教務部長 阿原　一志
センター員
　副教務部長 瀬倉 正克、副教務部長 武田　巧、副教務部長 石原　康利、副教務部長 加藤　久和
運営委員
　法学部 神田　正行、商学部 前田　陽、政治経済学部 西村 弥、文学部 駒見　和夫、理工学部 松澤　淳、農学部 織田 哲司、経営学部 三上真寛、情報コミュニケーション学部 竹中 克久、国際日本学部 岸 磨貴子、総合数理学部 中村 和幸、大学院 石川　雅信、大学院 佐々木　貴規、専門職大学院 藤岡　資正、学長室専門員  高橋　一行、教務事務部長 　前田　浩</t>
    <phoneticPr fontId="1"/>
  </si>
  <si>
    <t>入学後のガイダンス、本学のWEBサイト上での周知、プレスリリースにより、学生が情報を受け取りやすい環境を整備している。</t>
    <phoneticPr fontId="1"/>
  </si>
  <si>
    <t>　「データサイエンス・ＡＩの社会利用」科目群はリアルタイム配信でどこにいても履修が可能、　「データサイエンス・人工知能演習」科目群は対面型・フルオンラインクラスを選択可能。
　※いずれも学部・所属キャンパスに関係なく履修可能</t>
    <phoneticPr fontId="1"/>
  </si>
  <si>
    <t>Oh-o!Meijiシステム（LMS）アンケート機能により授業時間内外で質問可能。
「データサイエンス・ＡＩの社会利用」及び「データサイエンス・人工知能演習」科目群では全クラスにティーチング・アシスタントが配置され、きめ細やかな学修支援が可能。
統計解析・プログラミング等に使用する各ソフトウェアが導入されたパソコンを常時利用可。
ソフトウェア利用支援のスタッフが全てのキャンパスの自習室に常駐。</t>
    <phoneticPr fontId="1"/>
  </si>
  <si>
    <t>履修データからプログラムの履修状況を把握し、各学部において判定シートを作成することで、受講者毎の修了要件単位取得状況を把握することができる。2022年度春学期は118名の修了が認定された。
修了者数は１％未満であり、修得率を向上させる体制が求められる。
目標を実現するために、2022年度中にシンポジウムを開催したため、他大学の事例を基に、広報および改善を継続的に実施、全学的な履修率向上を推進に活かす。また、2022年度は春学期にリアルタイム配信での開講だった「データサイエンスAI概論」講座を、2023年度には曜日時限の設定を外したオンデマンド型で開講することで履修できる学生を増やす。</t>
    <phoneticPr fontId="1"/>
  </si>
  <si>
    <t>教育開発・支援センターにおいて、修了必須科目受講者に対して「数理データサイエンス人工知能リテラシーレベルプログラムに関するアンケート」を実施し、「設問２：この科目を履修して，どのようなことが理解できるようになりましたか」の項目を分析することによって、テーマごとの学修成果を把握することができ、その結果を本教育プログラムの評価・改善に活用している。
「社会で起きている変化や活用されているデータ」「データ・AIを活用した新しいビジネス・サービス・技術」「データ・AIを利活用することで生まれる付加価値や最新動向（ビジネスモデル・テクノロジー）」「データ・AIを扱う上、またデータを守る上での留意事項」といったテーマをそれぞれ満遍なく理解できたとの回答があった。より幅広いテーマで学生が理解できるよう、引き続き精査する。</t>
    <phoneticPr fontId="1"/>
  </si>
  <si>
    <t>教育開発・支援センターにおいて、修了必須科目受講者に対して「数理データサイエンス人工知能リテラシーレベルプログラムに関するアンケート」を実施し、「設問４：学生アンケート等を通じた後輩等他の学生への推奨度」の項目を分析することによって、後輩学生や他の学生への推奨について確認している。
「数理データサイエンス人工知能リテラシーレベルプログラムを他の学生にも勧めたい」は85％に達した。Oh-o!Meijiシステム（LMS）アンケート機能により授業時間内外で質問対応、ティーチング・アシスタントの配置できめ細やかな学修支援を行うことで、引き続き高い水準を目指す。</t>
    <phoneticPr fontId="1"/>
  </si>
  <si>
    <t>本教育プログラムについては教育開発・支援センターにおいて、履修者数、履修率の向上にむけて、随時検討を行い、学生の履修を推進している。
入学後のガイダンス、本学のWEBサイト上での周知、プレスリリースにより、学生が情報を受け取りやすい環境を整備することで、高い水準を目指す。</t>
    <phoneticPr fontId="1"/>
  </si>
  <si>
    <t>「データサイエンスＡＩ概論」の講師の中で、企業に所属している実務経験者にアンケートを実施し、プログラム改善に係る意見を収集するとともに、教育開発・支援センターにおいてプログラムの改善に活用している。
理解度向上に向けて、「初回授業で、人工知能概論として、現在のAIの技術がどの程度普及しているかを伝える」ことを、2023年度から行う。
また、履修者数をもっと増やしても良いとの意見もあり、2022年度は春学期にリアルタイム配信での開講だった「データサイエンスAI概論」講座を、2023年度には曜日時限の設定を外したオンデマンド型で開講することで履修できる学生を増やす。</t>
    <phoneticPr fontId="1"/>
  </si>
  <si>
    <t>教育開発・支援センターにおいて、修了必須科目についても「授業改善アンケート」を実施した。
難易度について「とても難しい」が10％、「少し難しい」が30％、「ちょうど良い」が60％との回答があり、難易度が高いと感じる学生が少し多かった。しかし授業の進むスピードは「ちょうど良い」が92％、資料の見やすさは「とても見やすい」「おおむね見やすい」が合わせて93％、満足度も「とても良い授業だと思う」「おおむね良い授業だと思う」が合わせて100％と高かった。難易度が少し高いものを理解しやすい形で運営できたことは、次年度以降も引き続き継続する。</t>
    <phoneticPr fontId="1"/>
  </si>
  <si>
    <t>「データサイエンス・AIの社会利用」科目群（④・⑥・⑦）から２単位以上
「データリテラシー実習」科目群（⑧）から２単位以上
「数理統計」科目群（⑤）から２単位以上
合計６単位以上を取得すること。</t>
    <phoneticPr fontId="1"/>
  </si>
  <si>
    <t>　「データサイエンス・ＡＩの社会利用」科目群はリアルタイム配信でどこにいても履修が可能であり、　「データサイエンス・人工知能演習」科目群は対面型・フルオンラインクラスを選択可能とし、いずれも学部・所属キャンパスに関係なく履修可能としている。
また、Oh-o!Meijiシステム（LMS）アンケート機能により授業時間内外で質問可能とし、全学的な履修を支援・促進している。</t>
    <phoneticPr fontId="1"/>
  </si>
  <si>
    <t>目標を実現するために、令和３年度より、ティーチング・アシスタント配置による授業時間内外での学習指導、質問を受け付ける仕組みにより、学生のプログラム履修を促進している。また、令和４年度に本学が主催したシンポジウムにおける他大学の事例を基に、広報および改善を継続的に実施、全学的な履修率向上を推進に活かす。
　全学部の「データサイエンス・ＡＩの社会利用」科目群にあたる「データサイエンスAI概論」について、令和６年度以降は春学期に加えて秋学期も開講することで、履修者数の倍増を目指す。</t>
    <rPh sb="92" eb="94">
      <t>ホンガク</t>
    </rPh>
    <rPh sb="95" eb="97">
      <t>シュサイ</t>
    </rPh>
    <rPh sb="153" eb="156">
      <t>ゼンガクブ</t>
    </rPh>
    <rPh sb="201" eb="203">
      <t>レイワ</t>
    </rPh>
    <rPh sb="204" eb="206">
      <t>ネンド</t>
    </rPh>
    <rPh sb="206" eb="208">
      <t>イコウ</t>
    </rPh>
    <rPh sb="209" eb="212">
      <t>ハルガッキ</t>
    </rPh>
    <rPh sb="213" eb="214">
      <t>クワ</t>
    </rPh>
    <rPh sb="216" eb="219">
      <t>アキガッキ</t>
    </rPh>
    <rPh sb="220" eb="222">
      <t>カイコウ</t>
    </rPh>
    <rPh sb="228" eb="232">
      <t>リシュウシャスウ</t>
    </rPh>
    <rPh sb="233" eb="235">
      <t>バイゾウ</t>
    </rPh>
    <rPh sb="236" eb="238">
      <t>メザ</t>
    </rPh>
    <phoneticPr fontId="1"/>
  </si>
  <si>
    <r>
      <t>2</t>
    </r>
    <r>
      <rPr>
        <sz val="9"/>
        <color theme="1"/>
        <rFont val="ＭＳ Ｐゴシック"/>
        <family val="3"/>
        <charset val="128"/>
        <scheme val="minor"/>
      </rPr>
      <t>又は</t>
    </r>
    <r>
      <rPr>
        <sz val="12"/>
        <color theme="1"/>
        <rFont val="ＭＳ Ｐゴシック"/>
        <family val="3"/>
        <charset val="128"/>
        <scheme val="minor"/>
      </rPr>
      <t>4</t>
    </r>
    <rPh sb="1" eb="2">
      <t>マタ</t>
    </rPh>
    <phoneticPr fontId="1"/>
  </si>
  <si>
    <t>まだ修了者の卒業生が不在のため把握はできていないが、「データサイエンスＡＩ概論」の講師の中で、企業に所属している実務経験者にアンケートを実施し、受講生の授業態度（質問の量・質）、課題・リアクションペーパー等への入力内容から、受講生の質を聞いている。
受講生の質について、「とても評価できる」「少し評価できる」が合わせて100％となり、企業に所属する実務経験者からも評価されている。今後は修了者の進路を集計することで、本プログラム取得に係る影響を調査する。</t>
    <phoneticPr fontId="1"/>
  </si>
  <si>
    <t>教育開発・支援センターにおいて、修了必須科目受講者に対して「数理データサイエンス人工知能リテラシーレベルプログラムに関するアンケート」を実施し、「設問３：データサイエンスAI概論」の授業内容を理解できましたか」の項目を分析することによって、学生の理解度を分析している。
「とても理解できた」と「少し理解できた」が合わせて95％に達した。さらなる理解度向上に向けて、講師からのアンケートにて意見のあった「初回授業で、人工知能概論として、現在のAIの技術がどの程度普及しているかを伝える」ことを、2023年度から行う。</t>
    <phoneticPr fontId="1"/>
  </si>
  <si>
    <t>バイオインフォマティクス</t>
    <phoneticPr fontId="1"/>
  </si>
  <si>
    <t>教育開発・支援センターにおいて、修了必須科目受講者に対して「数理データサイエンス人工知能リテラシーレベルプログラムに関するアンケート」を実施し、「設問５：「データサイエンスAI概論」を受講して、データサイエンスや人工知能への関心が高まったり、これを学ぶ意義が理解できましたか」の項目を分析している。
「大いに当てはまる」が85％、「やや当てはまる」15％で、全員が「学ぶ楽しさ」「学ぶことの意義」を理解したと回答した。</t>
    <phoneticPr fontId="1"/>
  </si>
  <si>
    <t>データ解析：予測、グルーピング、パターン発見、最適化、シミュレーション・データ同化など「データサイエンスAI概論」（第３，５，９回）
特化型AIと汎用AI、今のAIで出来ることと出来ないこと「データサイエンスAI概論」（第１０，１１，１３回）</t>
    <phoneticPr fontId="1"/>
  </si>
  <si>
    <t>調査データ、実験データ「統計学A」（第３回）・「経営統計学A」（第３回）
データ作成「統計学A」（第４回）・「経営統計学A」（第４回）
1次データ、2次データ、データのメタ化「統計学A」（第５，６回）・「経営統計学A」（第５，６回）
調査データ、実験データ、データ作成「統計学B」（第２，３回）・「経営統計学B」（第２，３回）</t>
    <phoneticPr fontId="1"/>
  </si>
  <si>
    <t xml:space="preserve">データ表現「プログラミング演習I」佐竹（第３～１４回）中村（第３～１４回）
データ表現「プログラミング演習I」前野（第２～９回）・「プログラミング演習I」福山（第２～９回）
</t>
    <phoneticPr fontId="1"/>
  </si>
  <si>
    <t xml:space="preserve">データの集計「プログラミング演習I」佐竹（第３～１４回）中村（第３～１４回）
データの集計「プログラミング演習I」前野（第２～９回）・「プログラミング演習I」福山（第２～９回）
</t>
    <phoneticPr fontId="1"/>
  </si>
  <si>
    <t>複数技術を組み合わせたAIサービス「データサイエンスAI概論」（第７回）
ビッグデータ、IoT、AI、ロボット「データサイエンスAI概論」（第８回）
人間の知的活動とAIの関係性「データサイエンスAI概論」（第９回）
データを起点としたものの見方、人間の知的活動を起点としたものの見方「先端メディアサイエンス特別講義」（第４～７，１０～１４回）</t>
    <phoneticPr fontId="1"/>
  </si>
  <si>
    <t>AI等を活用した新しいビジネスモデル「データサイエンスAI概論」（第６，９，１０回）
AI最新技術の活用例（深層生成モデル、敵対的生成ネットワーク）「データサイエンスAI概論」（第１３回）
AI等を活用した新しいビジネスモデル「先端メディアサイエンス特別講義」（第２，５，７～１２回）</t>
    <rPh sb="131" eb="132">
      <t>ダイ</t>
    </rPh>
    <rPh sb="140" eb="141">
      <t>カイ</t>
    </rPh>
    <phoneticPr fontId="1"/>
  </si>
  <si>
    <t>調査データ、実験データ、人の行動ログデータ、機械の稼働ログデータなど「統計学入門」（第１～１０回）
調査データ、実験データ、人の行動ログデータ、機械の稼働ログデータなど「社会調査法」（第１～５回）</t>
    <rPh sb="42" eb="43">
      <t>ダイ</t>
    </rPh>
    <rPh sb="47" eb="48">
      <t>カイ</t>
    </rPh>
    <phoneticPr fontId="1"/>
  </si>
  <si>
    <t>仮説検証、知識発見、原因究明、計画策定、判断支援、活動代替、新規生成など「統計学入門」（第１１～１４回）
仮説検証、知識発見、原因究明、計画策定、判断支援、活動代替、新規生成など「社会調査法」（第６～１２回）
研究開発、調達、製造、物流、販売、マーケティング、サービス「社会調査法」（第１３，１４回）</t>
    <phoneticPr fontId="1"/>
  </si>
  <si>
    <t>データ解析：予測、グルーピング、パターン発見、最適化、シミュレーション・データ同化など「データサイエンスAI概論」（第３，５，９回）
特化型AIと汎用AI、今のAIで出来ることと出来ないこと「データサイエンスAI概論」（第１０，１１，１３回）
特化型AIと汎用AI、今のAIで出来ることと出来ないこと「先端メディアサイエンス特別講義」（第９回）</t>
    <phoneticPr fontId="1"/>
  </si>
  <si>
    <t>流通、製造、金融、サービス、インフラ、公共、ヘルスケア等におけるデータ・AI利活用事例紹介「データサイエンスAI概論」（第１～１４回）
流通、製造、金融、サービス、インフラ、公共、ヘルスケア等におけるデータ・AI利活用事例紹介「先端メディアサイエンス特別講義」（第１０回）</t>
    <phoneticPr fontId="1"/>
  </si>
  <si>
    <t>ELSI，AIサービスの責任論「データサイエンスAI概論」（第１回）
個人情報保護、EU一般データ保護規則(GDPR)、忘れられる権利、オプトアウト，データ倫理：データのねつ造、改ざん、盗用、プライバシー保護「データサイエンスAI概論」（第２回）
データバイアス、アルゴリズムバイアス「先端メディアサイエンス特別講義」（第６回）</t>
    <rPh sb="12" eb="15">
      <t>セキニンロン</t>
    </rPh>
    <phoneticPr fontId="1"/>
  </si>
  <si>
    <t>情報セキュリティ：機密性、完全性、可用性，情報漏洩等によるセキュリティ事故の事例紹介「先端メディアサイエンス特別講義」（第1３回）
情報セキュリティ：機密性、完全性、可用性「データサイエンスAI概論」（第１４回）</t>
    <phoneticPr fontId="1"/>
  </si>
  <si>
    <t>データの種類「プログラミング演習I」佐竹（第３～１４回）中村（第３～１４回）
データの種類「プログラミング演習I」前野（第２～９回）・「プログラミング演習I」福山（第２～９回）</t>
    <rPh sb="6" eb="8">
      <t>ブンキ</t>
    </rPh>
    <rPh sb="9" eb="10">
      <t>ク</t>
    </rPh>
    <rPh sb="11" eb="12">
      <t>カエ</t>
    </rPh>
    <rPh sb="28" eb="30">
      <t>ナカムラ</t>
    </rPh>
    <rPh sb="31" eb="32">
      <t>ダイ</t>
    </rPh>
    <rPh sb="36" eb="37">
      <t>カイ</t>
    </rPh>
    <rPh sb="57" eb="58">
      <t>マエ</t>
    </rPh>
    <rPh sb="58" eb="59">
      <t>ノ</t>
    </rPh>
    <rPh sb="79" eb="81">
      <t>フクヤマ</t>
    </rPh>
    <phoneticPr fontId="1"/>
  </si>
  <si>
    <t>複数技術を組み合わせたAIサービス「データサイエンスAI概論」（第７回）
ビッグデータ、IoT、AI、ロボット「データサイエンスAI概論」（第８回）
人間の知的活動とAIの関係性「データサイエンスAI概論」（第９回）</t>
    <rPh sb="70" eb="71">
      <t>ダイ</t>
    </rPh>
    <rPh sb="72" eb="73">
      <t>カイ</t>
    </rPh>
    <rPh sb="104" eb="105">
      <t>ダイ</t>
    </rPh>
    <rPh sb="106" eb="107">
      <t>カイ</t>
    </rPh>
    <phoneticPr fontId="1"/>
  </si>
  <si>
    <t>AI等を活用した新しいビジネスモデル「データサイエンスAI概論」（第６，９，１０回）
AI最新技術の活用例（深層生成モデル、敵対的生成ネットワーク）「データサイエンスAI概論」（第１３回）</t>
    <phoneticPr fontId="1"/>
  </si>
  <si>
    <t>調査データ、実験データ、人の行動ログデータ、機械の稼働ログデータなど「統計学A」（第１～４回）
1次データ、2次データ、データのメタ化「統計学A」（第７～１０回）
データ作成「統計学B」（第２～６回）</t>
    <rPh sb="35" eb="38">
      <t>トウケイガク</t>
    </rPh>
    <rPh sb="41" eb="42">
      <t>ダイ</t>
    </rPh>
    <rPh sb="45" eb="46">
      <t>カイ</t>
    </rPh>
    <rPh sb="85" eb="87">
      <t>サクセイ</t>
    </rPh>
    <phoneticPr fontId="1"/>
  </si>
  <si>
    <t>研究開発、調達、製造、物流、販売、マーケティング、サービス「統計学A」（第９，１０回）
仮説検証、知識発見、原因究明、計画策定、判断支援、活動代替、新規生成など「統計学A」（第１１～１４回）
仮説検証、知識発見、原因究明、計画策定、判断支援、活動代替、新規生成など「統計学B」（第７～１３回）
研究開発、調達、製造、物流、販売、マーケティング、サービス「統計学B」（第１４回）</t>
    <rPh sb="139" eb="140">
      <t>ダイ</t>
    </rPh>
    <phoneticPr fontId="1"/>
  </si>
  <si>
    <t>流通、製造、金融、サービス、インフラ、公共、ヘルスケア等におけるデータ・AI利活用事例紹介「データサイエンスAI概論」（第１～１４回）</t>
    <phoneticPr fontId="1"/>
  </si>
  <si>
    <t>ELSI，AIサービスの責任論「データサイエンスAI概論」（第１回）
個人情報保護、EU一般データ保護規則(GDPR)、忘れられる権利、オプトアウト，データ倫理：データのねつ造、改ざん、盗用、プライバシー保護「データサイエンスAI概論」（第２回）</t>
    <rPh sb="12" eb="15">
      <t>セキニンロン</t>
    </rPh>
    <phoneticPr fontId="1"/>
  </si>
  <si>
    <t xml:space="preserve">データの種類「ICT統計解析Ⅰ」小久保（第１回）野口（第１～３回）橋本（第１～５回）榎原（第１～８回）井田（第１，２回）龍前（第１，２回）
データの分布(ヒストグラム)と代表値「ICT統計解析Ⅰ」小久保（第２，３回）野口（第４，５回）橋本（第６～８回）榎原（第９，１０回）井田（第３～６回）龍前（第３，４回）
相関と因果「ICT統計解析Ⅰ」小久保（第８回）野口（第６，７回）橋本（第１０～１２回）榎原（第１１～１３回）井田（第７～１１回）龍前（第８～１４回）
クロス集計表、分割表、相関係数行列、散布図行列「ICTデータベースＩ」野口（第３～１２回）後藤田（第２～１３回）
統計情報の正しい理解「ICTデータベースＩ」高須（第２～１３回）
データの種類「ICTデータベースＩ」山本（第２～１２回）
データの種類「ICTアプリ開発Ⅰ」巽（第３～６回）野口（第２～６回）
                       </t>
    <rPh sb="376" eb="378">
      <t>ノグチ</t>
    </rPh>
    <rPh sb="379" eb="380">
      <t>ダイ</t>
    </rPh>
    <rPh sb="383" eb="384">
      <t>カイ</t>
    </rPh>
    <phoneticPr fontId="1"/>
  </si>
  <si>
    <t xml:space="preserve">データ表現「ICT統計解析Ⅰ」小久保（第１，１１～１３回）野口（第３，９，１１，１２回）橋本（第６，７，８回）榎原（第２～５回）井田（第２，３回）龍前（第２，９，１０回）
データの比較「ICT統計解析Ⅰ」小久保（第８～１０回）野口（第６～８、１３回）橋本（第１０～１２回）榎原（第１１～１３回）井田（第１０，１１回）龍前（第１１～１４回）
データ表現「ICTデータベースＩ」野口（第３～１２回）後藤田（第２～１３回）
データの図形表現「ICTデータベースＩ」高須（第９～１１回）山本（第１１，１２回）    
データ表現「ICTアプリ開発Ⅰ」巽（第３～６、９～１３回）野口（第２～６，１０～１２回）
                           </t>
    <phoneticPr fontId="1"/>
  </si>
  <si>
    <t xml:space="preserve">データの集計，データ解析ツール「ICT統計解析Ⅰ」小久保（第６，９，１０回）野口（第２，３，８回）橋本（第２，３，４，１３，１４回）榎原（第６，７，８回）井田（第１２，１３，１４回）龍前（第２，５，１０回）
データの集計、データ解析ツール「ICTデータベースＩ」野口（第３～１２回）後藤田（第２～１３回）
データの並び替え、ランキング「ICTデータベースＩ」高須（第９～１１回）山本（第１１，１２回）
データの集計「ICTアプリ開発Ⅰ」巽（第３～６、９～１３回）野口（第２～６，１０～１２回）                           </t>
    <phoneticPr fontId="1"/>
  </si>
  <si>
    <t>調査データ、実験データ、人の行動ログデータ、機械の稼働ログデータなど「統計学A」（第１～８回）
1次データ、2次データ、データのメタ化「統計学B」（第１～４回）
1次データ、2次データ、データのメタ化「データ解析論Ⅰ」（第２～５回）
データのオープン化「データ解析論Ⅰ」（第６，７回）
1次データ、2次データ、データのメタ化「専門情報リテラシー（社会統計）」（第２回）
調査データ、実験データ、人の行動ログデータ、機械の稼働ログデータなど「専門情報リテラシー（社会統計）」（第１～５回）
1次データ、2次データ、データのメタ化「専門情報リテラシー（社会統計）」（第６，７回）
調査データ、実験データ、人の行動ログデータ、機械の稼働ログデータなど「専門情報リテラシー（心理統計）」（第１～５回）</t>
    <rPh sb="35" eb="38">
      <t>トウケイガク</t>
    </rPh>
    <rPh sb="41" eb="42">
      <t>ダイ</t>
    </rPh>
    <rPh sb="45" eb="46">
      <t>カイ</t>
    </rPh>
    <rPh sb="110" eb="111">
      <t>ダイ</t>
    </rPh>
    <rPh sb="114" eb="115">
      <t>カイ</t>
    </rPh>
    <phoneticPr fontId="1"/>
  </si>
  <si>
    <t>データ・AI活用領域の広がり「統計学A」（第９～１３回）
仮説検証、知識発見、原因究明、計画策定、判断支援、活動代替、新規生成など「統計学B」（第５～１３回）
仮説検証、知識発見、原因究明、計画策定、判断支援、活動代替、新規生成など「データ解析論Ⅰ」（第４，５回）
研究開発、調達、製造、物流、販売、マーケティング、サービスなど「データ解析論Ⅰ」（第６～１４回）
仮説検証、知識発見、原因究明、計画策定、判断支援、活動代替、新規生成など「専門情報リテラシー（社会統計）」（第８～１１回）
研究開発、調達、製造、物流、販売、マーケティング、サービスなど，データ・AI活用領域の広がり「専門情報リテラシー（社会統計）」（第１２～１４回）
仮説検証、知識発見、原因究明、計画策定、判断支援、活動代替、新規生成など「専門情報リテラシー（心理統計）」（第６～１３回）</t>
    <rPh sb="15" eb="18">
      <t>トウケイガク</t>
    </rPh>
    <rPh sb="21" eb="22">
      <t>ダイ</t>
    </rPh>
    <rPh sb="26" eb="27">
      <t>カイ</t>
    </rPh>
    <rPh sb="126" eb="127">
      <t>ダイ</t>
    </rPh>
    <rPh sb="130" eb="131">
      <t>カイ</t>
    </rPh>
    <phoneticPr fontId="1"/>
  </si>
  <si>
    <t>仮説検証、知識発見、原因究明、計画策定、判断支援、活動代替、新規生成など「統計学A」（第９～１３回）・「経営統計学A」（第９～１３回）
仮説検証、知識発見、原因究明、計画策定、判断支援、活動代替、新規生成など「統計学A」（第５，６回）・「経営統計学A」（第５，６回）
研究開発、調達、製造、物流、販売、マーケティング、サービスなど「統計学B」（第２，３回）・「経営統計学B」（第２，３回）
データ・AI活用領域の広がり「統計学B」（第４，５回）・「経営統計学B」（第４，５回）
仮説検証、知識発見、原因究明、計画策定、判断支援、活動代替、新規生成など「統計学B」（第６～１３回）・「経営統計学B」（第６～１３回）</t>
    <phoneticPr fontId="1"/>
  </si>
  <si>
    <t>1次データ、2次データ、データのメタ化，構造化データ、非構造化データ「確率・統計」（第２～８回）</t>
    <phoneticPr fontId="1"/>
  </si>
  <si>
    <t>仮説検証、知識発見、原因究明、計画策定、判断支援、活動代替、新規生成など「確率・統計」（第９～１３回）</t>
    <phoneticPr fontId="1"/>
  </si>
  <si>
    <t>データの種類「情報処理実習１」（第３～１３回）
データの種類「情報処理実習２」（第３～１３回）
データのばらつき「基礎物理学実験１」（第１～６回）・「基礎物理学実験２」（第１～６回）
データのばらつき「基礎化学実験１」（第２～１３回）・「基礎化学実験２」（第２～１３回）</t>
    <rPh sb="4" eb="6">
      <t>シュルイ</t>
    </rPh>
    <rPh sb="16" eb="17">
      <t>ダイ</t>
    </rPh>
    <rPh sb="21" eb="22">
      <t>カイ</t>
    </rPh>
    <phoneticPr fontId="1"/>
  </si>
  <si>
    <t>データ表現「情報処理実習１」（第３～１３回）
データ表現「情報処理実習２」（第３～１３回）
データの図表表現（「基礎物理学実験１・２」「基礎化学実験１・２」第７回）</t>
    <rPh sb="3" eb="5">
      <t>ヒョウゲン</t>
    </rPh>
    <rPh sb="72" eb="74">
      <t>ジッケン</t>
    </rPh>
    <phoneticPr fontId="1"/>
  </si>
  <si>
    <t>データの集計「情報処理実習１」（第３～１３回）
データの集計「情報処理実習２」（第３～１３回）
データの並び替え、ランキング「基礎物理学実験１」（第１-６回）・「基礎物理学実験２」（第１～６回）
データ解析ツール「基礎化学実験１」（第２～１３回）・「基礎化学実験２」（第２～１３回）</t>
    <phoneticPr fontId="1"/>
  </si>
  <si>
    <t xml:space="preserve">調査データ、実験データ、人の行動ログデータ、機械の稼働ログデータなど「統計学」（第３～６，８～１３回）
調査データ、実験データ、人の行動ログデータ、機械の稼働ログデータなど「心理社会調査研究法Ａ」（第２～４回）
調査データ、実験データ、人の行動ログデータ、機械の稼働ログデータなど「地域統計学Ⅰ」（第１～３回）
1次データ、2次データ、データのメタ化「地域統計学Ⅰ」（第４～９回）
</t>
    <rPh sb="35" eb="38">
      <t>トウケイガク</t>
    </rPh>
    <rPh sb="40" eb="41">
      <t>ダイ</t>
    </rPh>
    <rPh sb="49" eb="50">
      <t>カイ</t>
    </rPh>
    <phoneticPr fontId="1"/>
  </si>
  <si>
    <t>データ・AI活用領域の広がり「統計学」（第３～６，８～１３回）  
仮説検証、知識発見、原因究明、計画策定、判断支援、活動代替、新規生成など「心理社会調査研究法Ａ」（第５～１３回）
仮説検証、知識発見、原因究明、計画策定、判断支援、活動代替、新規生成など「地域統計学Ⅰ」（第７～９回）
研究開発、調達、製造、物流、販売、マーケティング、サービスなど「地域統計学Ⅰ」（第１０～1４回）</t>
    <phoneticPr fontId="1"/>
  </si>
  <si>
    <t>データのオープン化「統計学」（第１回）
1次データ、2次データ、データのメタ化「統計学」（第２～５回）
調査データ、実験データ、人の行動ログデータ、機械の稼働ログデータなど「統計学」（第６～９回）</t>
    <rPh sb="10" eb="13">
      <t>トウケイガク</t>
    </rPh>
    <rPh sb="15" eb="16">
      <t>ダイ</t>
    </rPh>
    <rPh sb="17" eb="18">
      <t>カイ</t>
    </rPh>
    <rPh sb="45" eb="46">
      <t>ダイ</t>
    </rPh>
    <rPh sb="49" eb="50">
      <t>カイ</t>
    </rPh>
    <rPh sb="87" eb="90">
      <t>トウケイガク</t>
    </rPh>
    <phoneticPr fontId="1"/>
  </si>
  <si>
    <t>研究開発、調達、製造、物流、販売、マーケティング、サービスなど「統計学」（第１１～１３回）
仮説検証、知識発見、原因究明、計画策定、判断支援、活動代替、新規生成など「統計学」（第１４～１７回）
データ・AI活用領域の広がり「統計学」（第２５～２６回）</t>
    <phoneticPr fontId="1"/>
  </si>
  <si>
    <t>調査データ、実験データ、人の行動ログデータ、機械の稼働ログデータなど「統計学Ａ」（第１～１３回）
1次データ、2次データ、データのメタ化「統計学Ａ」（第１～１３回）
調査データ、実験データ、人の行動ログデータ、機械の稼働ログデータなど「統計学Ｂ」（第１～１３回）
1次データ、2次データ、データのメタ化「線型数学A」（第４～１１回）
1次データ、2次データ、データのメタ化「線型数学Ｂ」（第３～１３回）
1次データ、2次データ、データのメタ化「解析数学A」（第５～１３回）
1次データ、2次データ、データのメタ化「解析数学B」（第１０～１３回）</t>
    <phoneticPr fontId="1"/>
  </si>
  <si>
    <t>データ・AI活用領域の広がり「統計学Ａ」（第１～１３回）
研究開発、調達、製造、物流、販売、マーケティング、サービスなど「統計学Ａ」（第１～１３回）
仮説検証、知識発見、原因究明、計画策定、判断支援、活動代替、新規生成など「統計学Ｂ」（第１～１３回）
データ・AI活用領域の広がり「線型数学A」（第４～１１回）
データ・AI活用領域の広がり「線型数学Ｂ」（第３～１３回）
データ・AI活用領域の広がり「解析数学A」（第５～１３回）
データ・AI活用領域の広がり「解析数学B」（第１０～１３回）</t>
    <rPh sb="21" eb="22">
      <t>ダイ</t>
    </rPh>
    <rPh sb="26" eb="27">
      <t>カイ</t>
    </rPh>
    <phoneticPr fontId="1"/>
  </si>
  <si>
    <t>調査データ、実験データ、人の行動ログデータ、機械の稼働ログデータなど「数理と社会Ⅰ」（第２～８回）
データのオープン化「数理と社会Ⅱ」（第２，８回）
1次データ、2次データ、データのメタ化「数理と社会Ⅱ」（第４，６，１０回）</t>
    <rPh sb="43" eb="44">
      <t>ダイ</t>
    </rPh>
    <rPh sb="47" eb="48">
      <t>カイ</t>
    </rPh>
    <phoneticPr fontId="1"/>
  </si>
  <si>
    <t>研究開発、調達、製造、物流、販売、マーケティング、サービスなど「数理と社会Ⅰ」（第９，１０回）
データ・AI活用領域の広がり「数理と社会Ⅰ」（第１１～１３回）
仮説検証、知識発見、原因究明、計画策定、判断支援、活動代替、新規生成など「数理と社会Ⅱ」（第８，１０，１２回）</t>
    <phoneticPr fontId="1"/>
  </si>
  <si>
    <t xml:space="preserve">データの種類「ICT統計解析Ⅰ」小久保（第１回）野口（第１～３回）橋本（第１～５回）榎原（第１～８回）井田（第１，２回）龍前（第１，２回）
データの分布(ヒストグラム)と代表値「ICT統計解析Ⅰ」小久保（第２，３回）野口（第４，５回）橋本（第６～８回）榎原（第９，１０回）井田（第３～６回）龍前（第３，４回）
相関と因果「ICT統計解析Ⅰ」小久保（第８回）野口（第６，７回）橋本（第１０～１２回）榎原（第１１～１３回）井田（第７～１１回）龍前（第８～１４回）
クロス集計表、分割表、相関係数行列、散布図行列「ICTデータベースＩ」野口（第３～１２回）後藤田（第２～１３回）
統計情報の正しい理解「ICTデータベースＩ」高須（第２～１３回）
データの種類「ICTデータベースＩ」山本（第２～１２回）
データの種類「デジタルコンテンツA」（第２～４，８回）
データの種類，統計情報の正しい理解「デジタルコンテンツB」（第３～７回）                                                                                                 </t>
    <rPh sb="16" eb="19">
      <t>コクボ</t>
    </rPh>
    <rPh sb="20" eb="21">
      <t>ダイ</t>
    </rPh>
    <rPh sb="22" eb="23">
      <t>カイ</t>
    </rPh>
    <rPh sb="253" eb="255">
      <t>リュウマエ</t>
    </rPh>
    <rPh sb="307" eb="309">
      <t>ノグチ</t>
    </rPh>
    <rPh sb="310" eb="312">
      <t>タカス</t>
    </rPh>
    <rPh sb="313" eb="314">
      <t>ダイ</t>
    </rPh>
    <rPh sb="318" eb="319">
      <t>カイ</t>
    </rPh>
    <rPh sb="325" eb="327">
      <t>シュルイ</t>
    </rPh>
    <rPh sb="339" eb="341">
      <t>ヤマモト</t>
    </rPh>
    <rPh sb="342" eb="343">
      <t>ダイ</t>
    </rPh>
    <rPh sb="347" eb="348">
      <t>カイ</t>
    </rPh>
    <phoneticPr fontId="1"/>
  </si>
  <si>
    <t xml:space="preserve">データ表現「ICT統計解析Ⅰ」小久保（第１，１１～１３回）野口（第３，９，１１，１２回）橋本（第６，７，８回）榎原（第２～５回）井田（第２，３回）龍前（第２，９，１０回）
データの比較「ICT統計解析Ⅰ」小久保（第８～１０回）野口（第６～８、１３回）橋本（第１０～１２回）榎原（第１１～１３回）井田（第１０，１１回）龍前（第１１～１４回）
データ表現「ICTデータベースＩ」野口（第３～１２回）後藤田（第２～１３回）
データの図形表現「ICTデータベースＩ」高須（第９～１１回）山本（第１１，１２回）
データ表現，データの図表表現「デジタルコンテンツA」（第２～４，８，１１～１３回） 
データ表現，データの図表表現「デジタルコンテンツB」（第６～８回） </t>
    <rPh sb="174" eb="176">
      <t>ヒョウゲン</t>
    </rPh>
    <rPh sb="188" eb="190">
      <t>ノグチ</t>
    </rPh>
    <rPh sb="198" eb="201">
      <t>ゴトウダ</t>
    </rPh>
    <rPh sb="214" eb="216">
      <t>ズケイ</t>
    </rPh>
    <rPh sb="216" eb="218">
      <t>ヒョウゲン</t>
    </rPh>
    <phoneticPr fontId="1"/>
  </si>
  <si>
    <t xml:space="preserve">データの集計，データ解析ツール「ICT統計解析Ⅰ」小久保（第６，９，１０回）野口（第２，３，８回）橋本（第２，３，４，１３，１４回）榎原（第６，７，８回）井田（第１２，１３，１４回）龍前（第２，５，１０回）
データの集計、データ解析ツール「ICTデータベースＩ」野口（第３～１２回）後藤田（第２～１３回）
データの並び替え、ランキング「ICTデータベースＩ」高須（第９～１１回）山本（第１１，１２回）
データの集計「デジタルコンテンツA」（第２～４回）
データの集計「デジタルコンテンツB」（第５回）      </t>
    <phoneticPr fontId="1"/>
  </si>
  <si>
    <t>調査データ、実験データ、人の行動ログデータ、機械の稼働ログデータなど「基礎生物統計学」（第１～１４回）
1次データ、2次データ、データのメタ化「基礎生物統計学」（第４，５，８，９，１１，１３，１４回）
調査データ、実験データ、人の行動ログデータ、機械の稼働ログデータなど「生物統計学」（第１～４回）
調査データ、実験データ、人の行動ログデータ、機械の稼働ログデータなど，1次データ、2次データ、データのメタ化「応用生物統計学」（第１～７回）
調査データ、実験データ、人の行動ログデータ、機械の稼働ログデータなど「統計学入門」（第１～６回）
調査データ、実験データ、人の行動ログデータ、機械の稼働ログデータなど，1次データ、2次データ、データのメタ化「バイオインフォマティクス入門」（第２～１３回）
調査データ、実験データ、人の行動ログデータ、機械の稼働ログデータなど，1次データ、2次データ、データのメタ化「バイオインフォマティクス」（第２～８回）</t>
    <rPh sb="143" eb="144">
      <t>ダイ</t>
    </rPh>
    <rPh sb="147" eb="148">
      <t>カイ</t>
    </rPh>
    <rPh sb="256" eb="261">
      <t>トウケイガクニュウモン</t>
    </rPh>
    <phoneticPr fontId="1"/>
  </si>
  <si>
    <t>研究開発、調達、製造、物流、販売、マーケティング、サービスなど「基礎生物統計学」（第１～１４回）
仮説検証、知識発見、原因究明、計画策定、判断支援、活動代替、新規生成など「生物統計学」（第５～１４回）
研究開発、調達、製造、物流、販売、マーケティング、サービスなど「応用生物統計学」（第８～１４回）
仮説検証、知識発見、原因究明、計画策定、判断支援、活動代替、新規生成など「統計学入門」（第７～１３回）
研究開発、調達、製造、物流、販売、マーケティング、サービスなど，データ・AI活用領域の広がり「バイオインフォマティクス入門」（第２～１３回）
研究開発、調達、製造、物流、販売、マーケティング、サービスなど「バイオインフォマティクス」（第９～１３回）  
仮説検証、知識発見、原因究明、計画策定、判断支援、活動代替、新規生成など「バイオインフォマティクス」（第１１～１２回）</t>
    <phoneticPr fontId="1"/>
  </si>
  <si>
    <t>情報セキュリティ：機密性、完全性、可用性「データサイエンスAI概論」（第１４回）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</si>
</sst>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1"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8"/>
      <color theme="1"/>
      <name val="ＭＳ Ｐゴシック"/>
      <family val="3"/>
      <charset val="128"/>
      <scheme val="minor"/>
    </font>
    <font>
      <sz val="6"/>
      <color theme="1"/>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6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hair">
        <color auto="1"/>
      </left>
      <right style="thin">
        <color auto="1"/>
      </right>
      <top/>
      <bottom style="double">
        <color auto="1"/>
      </bottom>
      <diagonal/>
    </border>
    <border>
      <left style="dotted">
        <color auto="1"/>
      </left>
      <right/>
      <top style="dotted">
        <color auto="1"/>
      </top>
      <bottom style="thin">
        <color auto="1"/>
      </bottom>
      <diagonal/>
    </border>
    <border>
      <left style="hair">
        <color auto="1"/>
      </left>
      <right style="thin">
        <color auto="1"/>
      </right>
      <top style="dotted">
        <color auto="1"/>
      </top>
      <bottom style="thin">
        <color auto="1"/>
      </bottom>
      <diagonal/>
    </border>
    <border>
      <left style="dotted">
        <color auto="1"/>
      </left>
      <right/>
      <top/>
      <bottom/>
      <diagonal/>
    </border>
    <border>
      <left style="dotted">
        <color auto="1"/>
      </left>
      <right/>
      <top style="hair">
        <color auto="1"/>
      </top>
      <bottom style="hair">
        <color auto="1"/>
      </bottom>
      <diagonal/>
    </border>
    <border>
      <left style="dotted">
        <color auto="1"/>
      </left>
      <right/>
      <top/>
      <bottom style="double">
        <color auto="1"/>
      </bottom>
      <diagonal/>
    </border>
    <border>
      <left style="thin">
        <color auto="1"/>
      </left>
      <right style="dotted">
        <color auto="1"/>
      </right>
      <top style="hair">
        <color auto="1"/>
      </top>
      <bottom style="hair">
        <color auto="1"/>
      </bottom>
      <diagonal/>
    </border>
    <border>
      <left style="dotted">
        <color auto="1"/>
      </left>
      <right style="hair">
        <color auto="1"/>
      </right>
      <top style="double">
        <color auto="1"/>
      </top>
      <bottom style="thin">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0">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23" xfId="0" applyNumberFormat="1" applyFont="1" applyBorder="1" applyAlignment="1">
      <alignment vertical="center" shrinkToFit="1"/>
    </xf>
    <xf numFmtId="9" fontId="2" fillId="0" borderId="27" xfId="0" applyNumberFormat="1" applyFont="1" applyBorder="1" applyAlignment="1">
      <alignment vertical="center" shrinkToFit="1"/>
    </xf>
    <xf numFmtId="0" fontId="2" fillId="0" borderId="0" xfId="0" applyFont="1" applyAlignment="1">
      <alignment horizontal="left" vertical="center"/>
    </xf>
    <xf numFmtId="0" fontId="2" fillId="0" borderId="14" xfId="0" applyFont="1" applyBorder="1" applyAlignment="1">
      <alignment horizontal="left" vertical="center" shrinkToFit="1"/>
    </xf>
    <xf numFmtId="0" fontId="2" fillId="0" borderId="23" xfId="0" applyFont="1" applyBorder="1" applyAlignment="1">
      <alignment horizontal="left" vertical="center" shrinkToFit="1"/>
    </xf>
    <xf numFmtId="0" fontId="2" fillId="0" borderId="24" xfId="0" applyFont="1" applyBorder="1" applyAlignment="1">
      <alignment horizontal="left" vertical="center" shrinkToFit="1"/>
    </xf>
    <xf numFmtId="0" fontId="2" fillId="0" borderId="28"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0" fontId="9" fillId="0" borderId="11" xfId="0" applyFont="1" applyBorder="1" applyAlignment="1">
      <alignment horizontal="center" vertical="center"/>
    </xf>
    <xf numFmtId="0" fontId="9" fillId="0" borderId="52" xfId="0" applyFont="1" applyBorder="1" applyAlignment="1">
      <alignment horizontal="center" vertical="center"/>
    </xf>
    <xf numFmtId="0" fontId="9" fillId="0" borderId="53" xfId="0" applyFont="1" applyBorder="1" applyAlignment="1">
      <alignment horizontal="center" vertical="center"/>
    </xf>
    <xf numFmtId="9" fontId="2" fillId="0" borderId="60" xfId="0" applyNumberFormat="1" applyFont="1" applyBorder="1" applyAlignment="1">
      <alignment vertical="center" shrinkToFit="1"/>
    </xf>
    <xf numFmtId="9" fontId="2" fillId="0" borderId="1"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3"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40" xfId="0" applyFont="1" applyBorder="1" applyAlignment="1">
      <alignment horizontal="center" vertical="center" shrinkToFit="1"/>
    </xf>
    <xf numFmtId="0" fontId="2" fillId="0" borderId="0" xfId="0" applyFont="1" applyAlignment="1">
      <alignment horizontal="center" vertical="center" shrinkToFit="1"/>
    </xf>
    <xf numFmtId="49" fontId="3" fillId="0" borderId="48" xfId="0" applyNumberFormat="1" applyFont="1" applyBorder="1" applyAlignment="1">
      <alignment horizontal="center" vertical="center"/>
    </xf>
    <xf numFmtId="49" fontId="3" fillId="0" borderId="49"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29" xfId="0" applyNumberFormat="1" applyFont="1" applyBorder="1" applyAlignment="1">
      <alignment horizontal="center" vertical="center"/>
    </xf>
    <xf numFmtId="49" fontId="3" fillId="0" borderId="47" xfId="0" applyNumberFormat="1" applyFont="1" applyBorder="1" applyAlignment="1">
      <alignment horizontal="center" vertical="center"/>
    </xf>
    <xf numFmtId="49" fontId="3" fillId="0" borderId="32"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2" fillId="0" borderId="0" xfId="0" applyFont="1" applyAlignment="1">
      <alignment horizontal="left" vertical="center" shrinkToFit="1"/>
    </xf>
    <xf numFmtId="0" fontId="2" fillId="0" borderId="10" xfId="0" applyFont="1" applyBorder="1" applyAlignment="1">
      <alignment horizontal="right" vertical="center"/>
    </xf>
    <xf numFmtId="0" fontId="5" fillId="0" borderId="0" xfId="0" applyFont="1" applyAlignment="1">
      <alignment horizontal="center" vertical="center"/>
    </xf>
    <xf numFmtId="0" fontId="2" fillId="0" borderId="5" xfId="0" applyFont="1" applyBorder="1">
      <alignmen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3" fillId="0" borderId="0" xfId="0" applyFont="1" applyAlignment="1">
      <alignment vertical="center" wrapTex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42" xfId="0" applyFont="1" applyFill="1" applyBorder="1" applyAlignment="1">
      <alignment vertical="top" wrapText="1"/>
    </xf>
    <xf numFmtId="0" fontId="3" fillId="2" borderId="43" xfId="0" applyFont="1" applyFill="1" applyBorder="1" applyAlignment="1">
      <alignment vertical="top" wrapText="1"/>
    </xf>
    <xf numFmtId="0" fontId="3" fillId="2" borderId="42"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43"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50"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54" xfId="2" applyFont="1" applyBorder="1" applyAlignment="1">
      <alignment vertical="center" shrinkToFit="1"/>
    </xf>
    <xf numFmtId="38" fontId="2" fillId="0" borderId="30" xfId="2" applyFont="1" applyBorder="1" applyAlignment="1">
      <alignment vertical="center" shrinkToFit="1"/>
    </xf>
    <xf numFmtId="38" fontId="2" fillId="0" borderId="23"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57" xfId="2" applyFont="1" applyBorder="1" applyAlignment="1">
      <alignment vertical="center" shrinkToFit="1"/>
    </xf>
    <xf numFmtId="38" fontId="2" fillId="0" borderId="55" xfId="2" applyFont="1" applyBorder="1" applyAlignment="1">
      <alignment vertical="center" shrinkToFit="1"/>
    </xf>
    <xf numFmtId="38" fontId="2" fillId="0" borderId="32" xfId="2" applyFont="1" applyBorder="1" applyAlignment="1">
      <alignment vertical="center" shrinkToFit="1"/>
    </xf>
    <xf numFmtId="38" fontId="2" fillId="0" borderId="18" xfId="2" applyFont="1" applyBorder="1" applyAlignment="1">
      <alignment vertical="center" shrinkToFit="1"/>
    </xf>
    <xf numFmtId="38" fontId="2" fillId="0" borderId="10" xfId="2" applyFont="1" applyBorder="1" applyAlignment="1">
      <alignment vertical="center" shrinkToFit="1"/>
    </xf>
    <xf numFmtId="38" fontId="2" fillId="0" borderId="56" xfId="2" applyFont="1" applyBorder="1" applyAlignment="1">
      <alignment vertical="center" shrinkToFit="1"/>
    </xf>
    <xf numFmtId="38" fontId="2" fillId="0" borderId="51" xfId="2" applyFont="1" applyBorder="1" applyAlignment="1">
      <alignment vertical="center" shrinkToFit="1"/>
    </xf>
    <xf numFmtId="38" fontId="2" fillId="0" borderId="28" xfId="2" applyFont="1" applyBorder="1" applyAlignment="1">
      <alignment vertical="center" shrinkToFit="1"/>
    </xf>
    <xf numFmtId="38" fontId="2" fillId="0" borderId="26" xfId="2" applyFont="1" applyBorder="1" applyAlignment="1">
      <alignment vertical="center" shrinkToFit="1"/>
    </xf>
    <xf numFmtId="38" fontId="2" fillId="0" borderId="25" xfId="2" applyFont="1" applyBorder="1" applyAlignment="1">
      <alignment vertical="center" shrinkToFit="1"/>
    </xf>
    <xf numFmtId="38" fontId="2" fillId="0" borderId="58" xfId="2" applyFont="1" applyBorder="1" applyAlignment="1">
      <alignment vertical="center" shrinkToFit="1"/>
    </xf>
    <xf numFmtId="38" fontId="2" fillId="0" borderId="33" xfId="2" applyFont="1" applyBorder="1" applyAlignment="1">
      <alignment vertical="center" shrinkToFit="1"/>
    </xf>
    <xf numFmtId="9" fontId="2" fillId="0" borderId="24" xfId="0" applyNumberFormat="1" applyFont="1" applyBorder="1" applyAlignment="1">
      <alignment vertical="center" shrinkToFit="1"/>
    </xf>
    <xf numFmtId="0" fontId="2" fillId="0" borderId="6" xfId="0" applyFont="1" applyBorder="1" applyAlignment="1">
      <alignment vertical="center" wrapText="1" shrinkToFit="1"/>
    </xf>
    <xf numFmtId="0" fontId="2" fillId="0" borderId="34" xfId="0" applyFont="1" applyBorder="1" applyAlignment="1">
      <alignment vertical="center" shrinkToFit="1"/>
    </xf>
    <xf numFmtId="0" fontId="2" fillId="0" borderId="36" xfId="0" applyFont="1" applyBorder="1" applyAlignment="1">
      <alignment vertical="center" shrinkToFit="1"/>
    </xf>
    <xf numFmtId="0" fontId="2" fillId="0" borderId="35" xfId="0" applyFont="1" applyBorder="1" applyAlignment="1">
      <alignment vertical="center" shrinkToFit="1"/>
    </xf>
    <xf numFmtId="0" fontId="2" fillId="0" borderId="19" xfId="0" applyFont="1" applyBorder="1" applyAlignment="1">
      <alignment vertical="center" shrinkToFit="1"/>
    </xf>
    <xf numFmtId="0" fontId="2" fillId="0" borderId="20" xfId="0" applyFont="1" applyBorder="1" applyAlignment="1">
      <alignment vertical="center" shrinkToFit="1"/>
    </xf>
    <xf numFmtId="0" fontId="2" fillId="0" borderId="18" xfId="0" applyFont="1" applyBorder="1" applyAlignment="1">
      <alignmen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7" xfId="0" applyFont="1" applyBorder="1" applyAlignment="1">
      <alignment vertical="center" shrinkToFit="1"/>
    </xf>
    <xf numFmtId="0" fontId="2" fillId="0" borderId="38" xfId="0" applyFont="1" applyBorder="1" applyAlignment="1">
      <alignment vertical="center" shrinkToFit="1"/>
    </xf>
    <xf numFmtId="0" fontId="2" fillId="0" borderId="39" xfId="0" applyFont="1" applyBorder="1" applyAlignment="1">
      <alignment vertical="center" shrinkToFit="1"/>
    </xf>
    <xf numFmtId="0" fontId="2" fillId="0" borderId="0" xfId="0" applyFont="1" applyAlignment="1">
      <alignment vertical="center" wrapText="1"/>
    </xf>
    <xf numFmtId="0" fontId="3" fillId="0" borderId="45" xfId="0" applyFont="1" applyBorder="1" applyAlignment="1">
      <alignment vertical="center" wrapText="1"/>
    </xf>
    <xf numFmtId="0" fontId="3" fillId="0" borderId="31" xfId="0" applyFont="1" applyBorder="1" applyAlignment="1">
      <alignment vertical="center" wrapText="1"/>
    </xf>
    <xf numFmtId="0" fontId="3" fillId="0" borderId="46" xfId="0" applyFont="1" applyBorder="1" applyAlignment="1">
      <alignment vertical="center" wrapText="1"/>
    </xf>
    <xf numFmtId="0" fontId="2" fillId="0" borderId="34" xfId="0" applyFont="1" applyBorder="1" applyAlignment="1">
      <alignment vertical="center" wrapText="1" shrinkToFit="1"/>
    </xf>
    <xf numFmtId="0" fontId="2" fillId="0" borderId="36" xfId="0" applyFont="1" applyBorder="1" applyAlignment="1">
      <alignment vertical="center" wrapText="1" shrinkToFit="1"/>
    </xf>
    <xf numFmtId="0" fontId="2" fillId="0" borderId="35" xfId="0" applyFont="1" applyBorder="1" applyAlignment="1">
      <alignment vertical="center"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8" xfId="0" applyFont="1" applyBorder="1" applyAlignment="1">
      <alignment horizontal="left" vertical="center" wrapText="1" shrinkToFit="1"/>
    </xf>
    <xf numFmtId="0" fontId="2" fillId="0" borderId="9" xfId="0" applyFont="1" applyBorder="1" applyAlignment="1">
      <alignment horizontal="left" vertical="center" wrapText="1"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8" xfId="0" applyFont="1" applyBorder="1" applyAlignment="1">
      <alignment horizontal="left" vertical="center" shrinkToFit="1"/>
    </xf>
    <xf numFmtId="0" fontId="2" fillId="0" borderId="9" xfId="0" applyFont="1" applyBorder="1" applyAlignment="1">
      <alignment horizontal="left" vertical="center" shrinkToFit="1"/>
    </xf>
    <xf numFmtId="0" fontId="2" fillId="0" borderId="34" xfId="0" applyFont="1" applyBorder="1" applyAlignment="1">
      <alignment horizontal="center" vertical="center" shrinkToFit="1"/>
    </xf>
    <xf numFmtId="0" fontId="2" fillId="0" borderId="36"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37" xfId="0" applyFont="1" applyBorder="1" applyAlignment="1">
      <alignment horizontal="center" vertical="center" shrinkToFit="1"/>
    </xf>
    <xf numFmtId="0" fontId="2" fillId="0" borderId="38" xfId="0" applyFont="1" applyBorder="1" applyAlignment="1">
      <alignment horizontal="center" vertical="center" shrinkToFit="1"/>
    </xf>
    <xf numFmtId="0" fontId="2" fillId="0" borderId="39" xfId="0" applyFont="1" applyBorder="1" applyAlignment="1">
      <alignment horizontal="center" vertical="center" shrinkToFit="1"/>
    </xf>
    <xf numFmtId="0" fontId="2" fillId="0" borderId="22" xfId="0" applyFont="1" applyBorder="1" applyAlignment="1">
      <alignment horizontal="left" vertical="center" wrapText="1" shrinkToFit="1"/>
    </xf>
    <xf numFmtId="0" fontId="2" fillId="0" borderId="21" xfId="0" applyFont="1" applyBorder="1" applyAlignment="1">
      <alignment horizontal="left" vertical="center" wrapText="1" shrinkToFit="1"/>
    </xf>
    <xf numFmtId="0" fontId="2" fillId="0" borderId="36" xfId="0" applyFont="1" applyBorder="1" applyAlignment="1">
      <alignment horizontal="left" vertical="center" wrapText="1" shrinkToFit="1"/>
    </xf>
    <xf numFmtId="0" fontId="2" fillId="0" borderId="36" xfId="0" applyFont="1" applyBorder="1" applyAlignment="1">
      <alignment horizontal="left" vertical="center" shrinkToFit="1"/>
    </xf>
    <xf numFmtId="0" fontId="2" fillId="0" borderId="35" xfId="0" applyFont="1" applyBorder="1" applyAlignment="1">
      <alignment horizontal="left" vertical="center" shrinkToFit="1"/>
    </xf>
    <xf numFmtId="0" fontId="2" fillId="0" borderId="6" xfId="0" applyFont="1" applyBorder="1" applyAlignment="1">
      <alignment horizontal="left" vertical="center" wrapText="1" shrinkToFit="1"/>
    </xf>
    <xf numFmtId="0" fontId="2" fillId="0" borderId="12" xfId="0" applyFont="1" applyBorder="1" applyAlignment="1">
      <alignment horizontal="left" vertical="center" wrapText="1" shrinkToFit="1"/>
    </xf>
    <xf numFmtId="0" fontId="2" fillId="0" borderId="38" xfId="0" applyFont="1" applyBorder="1" applyAlignment="1">
      <alignment horizontal="left" vertical="center" wrapText="1" shrinkToFit="1"/>
    </xf>
    <xf numFmtId="0" fontId="2" fillId="0" borderId="38" xfId="0" applyFont="1" applyBorder="1" applyAlignment="1">
      <alignment horizontal="left" vertical="center" shrinkToFit="1"/>
    </xf>
    <xf numFmtId="0" fontId="2" fillId="0" borderId="39" xfId="0" applyFont="1" applyBorder="1" applyAlignment="1">
      <alignment horizontal="left" vertical="center" shrinkToFit="1"/>
    </xf>
    <xf numFmtId="0" fontId="2" fillId="0" borderId="39" xfId="0" applyFont="1" applyBorder="1" applyAlignment="1">
      <alignment horizontal="left" vertical="center" wrapText="1" shrinkToFit="1"/>
    </xf>
    <xf numFmtId="0" fontId="2" fillId="0" borderId="0" xfId="0" applyFont="1" applyAlignment="1">
      <alignment horizontal="righ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35" xfId="0" applyFont="1" applyBorder="1" applyAlignment="1">
      <alignment horizontal="left" vertical="center" wrapText="1" shrinkToFit="1"/>
    </xf>
    <xf numFmtId="0" fontId="2" fillId="0" borderId="19" xfId="0" applyFont="1" applyBorder="1" applyAlignment="1">
      <alignment vertical="center" wrapText="1" shrinkToFit="1"/>
    </xf>
    <xf numFmtId="0" fontId="2" fillId="0" borderId="20" xfId="0" applyFont="1" applyBorder="1" applyAlignment="1">
      <alignment vertical="center" wrapText="1" shrinkToFit="1"/>
    </xf>
    <xf numFmtId="0" fontId="2" fillId="0" borderId="18" xfId="0" applyFont="1" applyBorder="1" applyAlignment="1">
      <alignment vertical="center" wrapText="1" shrinkToFit="1"/>
    </xf>
    <xf numFmtId="0" fontId="2" fillId="0" borderId="37" xfId="0" applyFont="1" applyBorder="1" applyAlignment="1">
      <alignment vertical="center" wrapText="1" shrinkToFit="1"/>
    </xf>
    <xf numFmtId="0" fontId="2" fillId="0" borderId="38" xfId="0" applyFont="1" applyBorder="1" applyAlignment="1">
      <alignment vertical="center" wrapText="1" shrinkToFit="1"/>
    </xf>
    <xf numFmtId="0" fontId="2" fillId="0" borderId="39" xfId="0" applyFont="1" applyBorder="1" applyAlignment="1">
      <alignment vertical="center" wrapText="1" shrinkToFit="1"/>
    </xf>
    <xf numFmtId="0" fontId="2" fillId="0" borderId="8" xfId="0" applyFont="1" applyBorder="1" applyAlignment="1">
      <alignment vertical="center" wrapText="1" shrinkToFit="1"/>
    </xf>
    <xf numFmtId="0" fontId="2" fillId="0" borderId="9" xfId="0" applyFont="1" applyBorder="1" applyAlignment="1">
      <alignment vertical="center" wrapText="1" shrinkToFit="1"/>
    </xf>
    <xf numFmtId="0" fontId="2" fillId="0" borderId="6" xfId="0" applyFont="1" applyBorder="1" applyAlignment="1">
      <alignment vertical="center" wrapText="1" shrinkToFit="1"/>
    </xf>
    <xf numFmtId="0" fontId="2" fillId="0" borderId="12" xfId="0" applyFont="1" applyBorder="1" applyAlignment="1">
      <alignment vertical="center" wrapText="1" shrinkToFit="1"/>
    </xf>
    <xf numFmtId="0" fontId="2" fillId="0" borderId="14" xfId="0" applyFont="1" applyBorder="1" applyAlignment="1">
      <alignment horizontal="center" vertical="center"/>
    </xf>
    <xf numFmtId="0" fontId="5" fillId="0" borderId="16" xfId="0" applyFont="1" applyBorder="1" applyAlignment="1">
      <alignment horizontal="center" vertical="center"/>
    </xf>
    <xf numFmtId="0" fontId="5" fillId="0" borderId="22" xfId="0" applyFont="1" applyBorder="1" applyAlignment="1">
      <alignment horizontal="center" vertical="center"/>
    </xf>
    <xf numFmtId="0" fontId="2" fillId="0" borderId="1" xfId="0" applyFont="1" applyBorder="1" applyAlignment="1">
      <alignment horizontal="center" vertical="center"/>
    </xf>
    <xf numFmtId="0" fontId="2" fillId="0" borderId="2" xfId="0" applyFont="1" applyBorder="1" applyAlignment="1">
      <alignment horizontal="center" vertical="center" shrinkToFit="1"/>
    </xf>
    <xf numFmtId="0" fontId="2"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50"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0" xfId="0" applyFont="1" applyAlignment="1">
      <alignment horizontal="center" vertical="center" wrapText="1"/>
    </xf>
    <xf numFmtId="0" fontId="7" fillId="0" borderId="6" xfId="0" applyFont="1" applyBorder="1" applyAlignment="1">
      <alignment horizontal="center" vertical="center"/>
    </xf>
    <xf numFmtId="0" fontId="7" fillId="0" borderId="7" xfId="0" applyFont="1" applyBorder="1" applyAlignment="1">
      <alignment horizontal="center" vertical="center" wrapText="1"/>
    </xf>
    <xf numFmtId="0" fontId="7" fillId="0" borderId="5" xfId="0" applyFont="1" applyBorder="1" applyAlignment="1">
      <alignment horizontal="center" vertical="center" wrapText="1"/>
    </xf>
    <xf numFmtId="0" fontId="7" fillId="0" borderId="11" xfId="0" applyFont="1" applyBorder="1" applyAlignment="1">
      <alignment horizontal="center" vertical="center"/>
    </xf>
    <xf numFmtId="0" fontId="8" fillId="0" borderId="15" xfId="0" applyFont="1" applyBorder="1" applyAlignment="1">
      <alignment horizontal="center" vertical="center" wrapText="1"/>
    </xf>
    <xf numFmtId="0" fontId="8" fillId="0" borderId="50" xfId="0" applyFont="1" applyBorder="1" applyAlignment="1">
      <alignment horizontal="center" vertical="center" wrapText="1"/>
    </xf>
    <xf numFmtId="0" fontId="8" fillId="0" borderId="13"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50" xfId="0" applyFont="1" applyBorder="1" applyAlignment="1">
      <alignment horizontal="center" vertical="center" wrapText="1"/>
    </xf>
    <xf numFmtId="0" fontId="7" fillId="0" borderId="13" xfId="0" applyFont="1" applyBorder="1" applyAlignment="1">
      <alignment horizontal="center"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0" xfId="0" applyFont="1" applyBorder="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0" xfId="0" applyFont="1">
      <alignment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7" xfId="0" applyFont="1" applyBorder="1">
      <alignment vertical="center"/>
    </xf>
    <xf numFmtId="0" fontId="5" fillId="0" borderId="18" xfId="0" applyFont="1" applyBorder="1">
      <alignment vertical="center"/>
    </xf>
    <xf numFmtId="0" fontId="2" fillId="0" borderId="19" xfId="0" applyFont="1" applyBorder="1" applyAlignment="1">
      <alignment vertical="top" wrapText="1" shrinkToFit="1"/>
    </xf>
    <xf numFmtId="0" fontId="2" fillId="0" borderId="20" xfId="0" applyFont="1" applyBorder="1" applyAlignment="1">
      <alignment vertical="top" wrapText="1" shrinkToFit="1"/>
    </xf>
    <xf numFmtId="0" fontId="2" fillId="0" borderId="18" xfId="0" applyFont="1" applyBorder="1" applyAlignment="1">
      <alignment vertical="top" wrapText="1" shrinkToFit="1"/>
    </xf>
    <xf numFmtId="0" fontId="2" fillId="0" borderId="17" xfId="0" applyFont="1" applyBorder="1" applyAlignment="1">
      <alignment vertical="center" wrapText="1"/>
    </xf>
    <xf numFmtId="0" fontId="2" fillId="0" borderId="18"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59" xfId="0" applyFont="1" applyBorder="1" applyAlignment="1">
      <alignment vertical="center" wrapText="1"/>
    </xf>
    <xf numFmtId="0" fontId="2" fillId="0" borderId="39"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39"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41" xfId="0" applyFont="1" applyBorder="1" applyAlignment="1">
      <alignment vertical="center" wrapText="1"/>
    </xf>
    <xf numFmtId="0" fontId="2" fillId="0" borderId="42" xfId="0" applyFont="1" applyBorder="1" applyAlignment="1">
      <alignment vertical="center" wrapText="1"/>
    </xf>
    <xf numFmtId="0" fontId="2" fillId="0" borderId="43" xfId="0" applyFont="1" applyBorder="1" applyAlignment="1">
      <alignment vertical="center" wrapText="1"/>
    </xf>
    <xf numFmtId="0" fontId="2" fillId="0" borderId="42" xfId="0" applyFont="1" applyBorder="1" applyAlignment="1">
      <alignment vertical="top" wrapText="1" shrinkToFit="1"/>
    </xf>
    <xf numFmtId="0" fontId="2" fillId="0" borderId="43" xfId="0" applyFont="1" applyBorder="1" applyAlignment="1">
      <alignment vertical="top" wrapText="1" shrinkToFit="1"/>
    </xf>
  </cellXfs>
  <cellStyles count="3">
    <cellStyle name="パーセント" xfId="1" builtinId="5"/>
    <cellStyle name="桁区切り" xfId="2" builtinId="6"/>
    <cellStyle name="標準" xfId="0" builtinId="0"/>
  </cellStyles>
  <dxfs count="10">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
      <font>
        <color theme="0" tint="-0.34998626667073579"/>
      </font>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8.bin"/><Relationship Id="rId2" Type="http://schemas.openxmlformats.org/officeDocument/2006/relationships/printerSettings" Target="../printerSettings/printerSettings7.bin"/><Relationship Id="rId1" Type="http://schemas.openxmlformats.org/officeDocument/2006/relationships/printerSettings" Target="../printerSettings/printerSettings6.bin"/><Relationship Id="rId5" Type="http://schemas.openxmlformats.org/officeDocument/2006/relationships/printerSettings" Target="../printerSettings/printerSettings10.bin"/><Relationship Id="rId4"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3.bin"/><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 Id="rId5" Type="http://schemas.openxmlformats.org/officeDocument/2006/relationships/printerSettings" Target="../printerSettings/printerSettings15.bin"/><Relationship Id="rId4" Type="http://schemas.openxmlformats.org/officeDocument/2006/relationships/printerSettings" Target="../printerSettings/printerSettings14.bin"/></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8.bin"/><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 Id="rId5" Type="http://schemas.openxmlformats.org/officeDocument/2006/relationships/printerSettings" Target="../printerSettings/printerSettings20.bin"/><Relationship Id="rId4" Type="http://schemas.openxmlformats.org/officeDocument/2006/relationships/printerSettings" Target="../printerSettings/printerSettings19.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5" Type="http://schemas.openxmlformats.org/officeDocument/2006/relationships/printerSettings" Target="../printerSettings/printerSettings25.bin"/><Relationship Id="rId4" Type="http://schemas.openxmlformats.org/officeDocument/2006/relationships/printerSettings" Target="../printerSettings/printerSettings24.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8.bin"/><Relationship Id="rId2" Type="http://schemas.openxmlformats.org/officeDocument/2006/relationships/printerSettings" Target="../printerSettings/printerSettings27.bin"/><Relationship Id="rId1" Type="http://schemas.openxmlformats.org/officeDocument/2006/relationships/printerSettings" Target="../printerSettings/printerSettings26.bin"/><Relationship Id="rId5" Type="http://schemas.openxmlformats.org/officeDocument/2006/relationships/printerSettings" Target="../printerSettings/printerSettings30.bin"/><Relationship Id="rId4" Type="http://schemas.openxmlformats.org/officeDocument/2006/relationships/printerSettings" Target="../printerSettings/printerSettings29.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33.bin"/><Relationship Id="rId2" Type="http://schemas.openxmlformats.org/officeDocument/2006/relationships/printerSettings" Target="../printerSettings/printerSettings32.bin"/><Relationship Id="rId1" Type="http://schemas.openxmlformats.org/officeDocument/2006/relationships/printerSettings" Target="../printerSettings/printerSettings31.bin"/><Relationship Id="rId5" Type="http://schemas.openxmlformats.org/officeDocument/2006/relationships/printerSettings" Target="../printerSettings/printerSettings35.bin"/><Relationship Id="rId4" Type="http://schemas.openxmlformats.org/officeDocument/2006/relationships/printerSettings" Target="../printerSettings/printerSettings34.bin"/></Relationships>
</file>

<file path=xl/worksheets/_rels/sheet8.xml.rels><?xml version="1.0" encoding="UTF-8" standalone="yes"?>
<Relationships xmlns="http://schemas.openxmlformats.org/package/2006/relationships"><Relationship Id="rId3" Type="http://schemas.openxmlformats.org/officeDocument/2006/relationships/printerSettings" Target="../printerSettings/printerSettings38.bin"/><Relationship Id="rId2" Type="http://schemas.openxmlformats.org/officeDocument/2006/relationships/printerSettings" Target="../printerSettings/printerSettings37.bin"/><Relationship Id="rId1" Type="http://schemas.openxmlformats.org/officeDocument/2006/relationships/printerSettings" Target="../printerSettings/printerSettings36.bin"/><Relationship Id="rId5" Type="http://schemas.openxmlformats.org/officeDocument/2006/relationships/printerSettings" Target="../printerSettings/printerSettings40.bin"/><Relationship Id="rId4" Type="http://schemas.openxmlformats.org/officeDocument/2006/relationships/printerSettings" Target="../printerSettings/printerSettings39.bin"/></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43.bin"/><Relationship Id="rId2" Type="http://schemas.openxmlformats.org/officeDocument/2006/relationships/printerSettings" Target="../printerSettings/printerSettings42.bin"/><Relationship Id="rId1" Type="http://schemas.openxmlformats.org/officeDocument/2006/relationships/printerSettings" Target="../printerSettings/printerSettings41.bin"/><Relationship Id="rId5" Type="http://schemas.openxmlformats.org/officeDocument/2006/relationships/printerSettings" Target="../printerSettings/printerSettings45.bin"/><Relationship Id="rId4" Type="http://schemas.openxmlformats.org/officeDocument/2006/relationships/printerSettings" Target="../printerSettings/printerSettings44.bin"/></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48.bin"/><Relationship Id="rId2" Type="http://schemas.openxmlformats.org/officeDocument/2006/relationships/printerSettings" Target="../printerSettings/printerSettings47.bin"/><Relationship Id="rId1" Type="http://schemas.openxmlformats.org/officeDocument/2006/relationships/printerSettings" Target="../printerSettings/printerSettings46.bin"/><Relationship Id="rId5" Type="http://schemas.openxmlformats.org/officeDocument/2006/relationships/printerSettings" Target="../printerSettings/printerSettings50.bin"/><Relationship Id="rId4" Type="http://schemas.openxmlformats.org/officeDocument/2006/relationships/printerSettings" Target="../printerSettings/printerSettings49.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53.bin"/><Relationship Id="rId2" Type="http://schemas.openxmlformats.org/officeDocument/2006/relationships/printerSettings" Target="../printerSettings/printerSettings52.bin"/><Relationship Id="rId1" Type="http://schemas.openxmlformats.org/officeDocument/2006/relationships/printerSettings" Target="../printerSettings/printerSettings51.bin"/><Relationship Id="rId5" Type="http://schemas.openxmlformats.org/officeDocument/2006/relationships/printerSettings" Target="../printerSettings/printerSettings55.bin"/><Relationship Id="rId4" Type="http://schemas.openxmlformats.org/officeDocument/2006/relationships/printerSettings" Target="../printerSettings/printerSettings54.bin"/></Relationships>
</file>

<file path=xl/worksheets/_rels/sheet12.xml.rels><?xml version="1.0" encoding="UTF-8" standalone="yes"?>
<Relationships xmlns="http://schemas.openxmlformats.org/package/2006/relationships"><Relationship Id="rId3" Type="http://schemas.openxmlformats.org/officeDocument/2006/relationships/printerSettings" Target="../printerSettings/printerSettings58.bin"/><Relationship Id="rId2" Type="http://schemas.openxmlformats.org/officeDocument/2006/relationships/printerSettings" Target="../printerSettings/printerSettings57.bin"/><Relationship Id="rId1" Type="http://schemas.openxmlformats.org/officeDocument/2006/relationships/printerSettings" Target="../printerSettings/printerSettings56.bin"/><Relationship Id="rId5" Type="http://schemas.openxmlformats.org/officeDocument/2006/relationships/printerSettings" Target="../printerSettings/printerSettings60.bin"/><Relationship Id="rId4" Type="http://schemas.openxmlformats.org/officeDocument/2006/relationships/printerSettings" Target="../printerSettings/printerSettings59.bin"/></Relationships>
</file>

<file path=xl/worksheets/_rels/sheet13.xml.rels><?xml version="1.0" encoding="UTF-8" standalone="yes"?>
<Relationships xmlns="http://schemas.openxmlformats.org/package/2006/relationships"><Relationship Id="rId3" Type="http://schemas.openxmlformats.org/officeDocument/2006/relationships/printerSettings" Target="../printerSettings/printerSettings63.bin"/><Relationship Id="rId2" Type="http://schemas.openxmlformats.org/officeDocument/2006/relationships/printerSettings" Target="../printerSettings/printerSettings62.bin"/><Relationship Id="rId1" Type="http://schemas.openxmlformats.org/officeDocument/2006/relationships/printerSettings" Target="../printerSettings/printerSettings61.bin"/><Relationship Id="rId5" Type="http://schemas.openxmlformats.org/officeDocument/2006/relationships/printerSettings" Target="../printerSettings/printerSettings65.bin"/><Relationship Id="rId4"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V110"/>
  <sheetViews>
    <sheetView showZeros="0" view="pageBreakPreview" topLeftCell="A94" zoomScaleNormal="100" zoomScaleSheetLayoutView="100" workbookViewId="0">
      <selection activeCell="D96" sqref="D96:S9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145</v>
      </c>
      <c r="S1" s="134"/>
      <c r="T1" s="2" t="s">
        <v>109</v>
      </c>
    </row>
    <row r="2" spans="1:22" ht="18.75" customHeight="1" x14ac:dyDescent="0.15">
      <c r="B2" s="33" t="s">
        <v>108</v>
      </c>
      <c r="C2" s="89" t="s">
        <v>126</v>
      </c>
      <c r="D2" s="90"/>
      <c r="E2" s="90"/>
      <c r="F2" s="90"/>
      <c r="G2" s="90"/>
      <c r="H2" s="90"/>
      <c r="I2" s="91"/>
      <c r="J2" s="34"/>
      <c r="K2" s="6"/>
      <c r="L2" s="6"/>
      <c r="M2" s="6"/>
      <c r="N2" s="6"/>
      <c r="O2" s="6"/>
      <c r="P2" s="6"/>
      <c r="Q2" s="6"/>
      <c r="R2" s="6"/>
      <c r="S2" s="6"/>
    </row>
    <row r="3" spans="1:22" ht="18.75" customHeight="1" x14ac:dyDescent="0.15">
      <c r="B3" s="33" t="s">
        <v>102</v>
      </c>
      <c r="C3" s="138" t="s">
        <v>127</v>
      </c>
      <c r="D3" s="139"/>
      <c r="E3" s="139"/>
      <c r="F3" s="139"/>
      <c r="G3" s="139"/>
      <c r="H3" s="139"/>
      <c r="I3" s="14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41" t="s">
        <v>38</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51" t="s">
        <v>128</v>
      </c>
      <c r="L7" s="152"/>
      <c r="M7" s="152"/>
      <c r="N7" s="152"/>
      <c r="O7" s="152"/>
      <c r="P7" s="152"/>
      <c r="Q7" s="152"/>
      <c r="R7" s="152"/>
      <c r="S7" s="15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4" t="s">
        <v>146</v>
      </c>
      <c r="C9" s="155"/>
      <c r="D9" s="155"/>
      <c r="E9" s="155"/>
      <c r="F9" s="155"/>
      <c r="G9" s="155"/>
      <c r="H9" s="155"/>
      <c r="I9" s="155"/>
      <c r="J9" s="155"/>
      <c r="K9" s="155"/>
      <c r="L9" s="155"/>
      <c r="M9" s="155"/>
      <c r="N9" s="155"/>
      <c r="O9" s="155"/>
      <c r="P9" s="155"/>
      <c r="Q9" s="155"/>
      <c r="R9" s="155"/>
      <c r="S9" s="156"/>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42" t="s">
        <v>161</v>
      </c>
      <c r="C13" s="143"/>
      <c r="D13" s="143"/>
      <c r="E13" s="143"/>
      <c r="F13" s="143"/>
      <c r="G13" s="143"/>
      <c r="H13" s="143"/>
      <c r="I13" s="143"/>
      <c r="J13" s="143"/>
      <c r="K13" s="143"/>
      <c r="L13" s="143"/>
      <c r="M13" s="143"/>
      <c r="N13" s="143"/>
      <c r="O13" s="143"/>
      <c r="P13" s="143"/>
      <c r="Q13" s="143"/>
      <c r="R13" s="143"/>
      <c r="S13" s="144"/>
      <c r="V13" s="1" t="s">
        <v>103</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110</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123</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125</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89">
        <v>6</v>
      </c>
      <c r="D20" s="91"/>
      <c r="E20" s="39" t="s">
        <v>95</v>
      </c>
      <c r="G20" s="9"/>
      <c r="H20" s="3"/>
      <c r="I20" s="3"/>
      <c r="J20" s="34" t="s">
        <v>121</v>
      </c>
      <c r="K20" s="135" t="s">
        <v>125</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53</v>
      </c>
      <c r="C24" s="90"/>
      <c r="D24" s="90"/>
      <c r="E24" s="91"/>
      <c r="F24" s="60" t="s">
        <v>80</v>
      </c>
      <c r="G24" s="59" t="s">
        <v>84</v>
      </c>
      <c r="H24" s="21" t="s">
        <v>56</v>
      </c>
      <c r="I24" s="21" t="s">
        <v>59</v>
      </c>
      <c r="J24" s="89" t="s">
        <v>53</v>
      </c>
      <c r="K24" s="90"/>
      <c r="L24" s="90"/>
      <c r="M24" s="90"/>
      <c r="N24" s="90"/>
      <c r="O24" s="91"/>
      <c r="P24" s="60" t="s">
        <v>80</v>
      </c>
      <c r="Q24" s="59" t="s">
        <v>84</v>
      </c>
      <c r="R24" s="21" t="s">
        <v>56</v>
      </c>
      <c r="S24" s="21" t="s">
        <v>59</v>
      </c>
    </row>
    <row r="25" spans="1:19" ht="18" customHeight="1" x14ac:dyDescent="0.15">
      <c r="B25" s="83" t="s">
        <v>129</v>
      </c>
      <c r="C25" s="84"/>
      <c r="D25" s="84"/>
      <c r="E25" s="85"/>
      <c r="F25" s="22">
        <v>2</v>
      </c>
      <c r="G25" s="22" t="s">
        <v>130</v>
      </c>
      <c r="H25" s="22" t="s">
        <v>130</v>
      </c>
      <c r="I25" s="22" t="s">
        <v>130</v>
      </c>
      <c r="J25" s="83"/>
      <c r="K25" s="84"/>
      <c r="L25" s="84"/>
      <c r="M25" s="84"/>
      <c r="N25" s="84"/>
      <c r="O25" s="85"/>
      <c r="P25" s="22"/>
      <c r="Q25" s="22"/>
      <c r="R25" s="22"/>
      <c r="S25" s="22"/>
    </row>
    <row r="26" spans="1:19" ht="18" customHeight="1" x14ac:dyDescent="0.15">
      <c r="B26" s="86"/>
      <c r="C26" s="87"/>
      <c r="D26" s="87"/>
      <c r="E26" s="88"/>
      <c r="F26" s="23"/>
      <c r="G26" s="23"/>
      <c r="H26" s="23"/>
      <c r="I26" s="23"/>
      <c r="J26" s="86"/>
      <c r="K26" s="87"/>
      <c r="L26" s="87"/>
      <c r="M26" s="87"/>
      <c r="N26" s="87"/>
      <c r="O26" s="88"/>
      <c r="P26" s="23"/>
      <c r="Q26" s="23"/>
      <c r="R26" s="23"/>
      <c r="S26" s="23"/>
    </row>
    <row r="27" spans="1:19" ht="18" customHeight="1" x14ac:dyDescent="0.15">
      <c r="B27" s="86"/>
      <c r="C27" s="87"/>
      <c r="D27" s="87"/>
      <c r="E27" s="88"/>
      <c r="F27" s="23"/>
      <c r="G27" s="23"/>
      <c r="H27" s="23"/>
      <c r="I27" s="23"/>
      <c r="J27" s="86"/>
      <c r="K27" s="87"/>
      <c r="L27" s="87"/>
      <c r="M27" s="87"/>
      <c r="N27" s="87"/>
      <c r="O27" s="88"/>
      <c r="P27" s="23"/>
      <c r="Q27" s="23"/>
      <c r="R27" s="23"/>
      <c r="S27" s="23"/>
    </row>
    <row r="28" spans="1:19" ht="18" customHeight="1" x14ac:dyDescent="0.15">
      <c r="B28" s="86"/>
      <c r="C28" s="87"/>
      <c r="D28" s="87"/>
      <c r="E28" s="88"/>
      <c r="F28" s="23"/>
      <c r="G28" s="23"/>
      <c r="H28" s="23"/>
      <c r="I28" s="23"/>
      <c r="J28" s="86"/>
      <c r="K28" s="87"/>
      <c r="L28" s="87"/>
      <c r="M28" s="87"/>
      <c r="N28" s="87"/>
      <c r="O28" s="88"/>
      <c r="P28" s="23"/>
      <c r="Q28" s="23"/>
      <c r="R28" s="23"/>
      <c r="S28" s="23"/>
    </row>
    <row r="29" spans="1:19" ht="18" customHeight="1" x14ac:dyDescent="0.15">
      <c r="B29" s="86"/>
      <c r="C29" s="87"/>
      <c r="D29" s="87"/>
      <c r="E29" s="88"/>
      <c r="F29" s="23"/>
      <c r="G29" s="23"/>
      <c r="H29" s="23"/>
      <c r="I29" s="23"/>
      <c r="J29" s="86"/>
      <c r="K29" s="87"/>
      <c r="L29" s="87"/>
      <c r="M29" s="87"/>
      <c r="N29" s="87"/>
      <c r="O29" s="88"/>
      <c r="P29" s="23"/>
      <c r="Q29" s="23"/>
      <c r="R29" s="23"/>
      <c r="S29" s="23"/>
    </row>
    <row r="30" spans="1:19" ht="18" customHeight="1" x14ac:dyDescent="0.15">
      <c r="A30" s="3"/>
      <c r="B30" s="86"/>
      <c r="C30" s="87"/>
      <c r="D30" s="87"/>
      <c r="E30" s="88"/>
      <c r="F30" s="23"/>
      <c r="G30" s="23"/>
      <c r="H30" s="23"/>
      <c r="I30" s="23"/>
      <c r="J30" s="86"/>
      <c r="K30" s="87"/>
      <c r="L30" s="87"/>
      <c r="M30" s="87"/>
      <c r="N30" s="87"/>
      <c r="O30" s="88"/>
      <c r="P30" s="23"/>
      <c r="Q30" s="23"/>
      <c r="R30" s="23"/>
      <c r="S30" s="23"/>
    </row>
    <row r="31" spans="1:19" ht="18" customHeight="1" x14ac:dyDescent="0.15">
      <c r="A31" s="3"/>
      <c r="B31" s="92"/>
      <c r="C31" s="93"/>
      <c r="D31" s="93"/>
      <c r="E31" s="94"/>
      <c r="F31" s="24"/>
      <c r="G31" s="24"/>
      <c r="H31" s="25"/>
      <c r="I31" s="25"/>
      <c r="J31" s="92"/>
      <c r="K31" s="93"/>
      <c r="L31" s="93"/>
      <c r="M31" s="93"/>
      <c r="N31" s="93"/>
      <c r="O31" s="94"/>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53</v>
      </c>
      <c r="C35" s="90"/>
      <c r="D35" s="90"/>
      <c r="E35" s="91"/>
      <c r="F35" s="60" t="s">
        <v>80</v>
      </c>
      <c r="G35" s="59" t="s">
        <v>84</v>
      </c>
      <c r="H35" s="21" t="s">
        <v>71</v>
      </c>
      <c r="I35" s="21" t="s">
        <v>72</v>
      </c>
      <c r="J35" s="89" t="s">
        <v>53</v>
      </c>
      <c r="K35" s="90"/>
      <c r="L35" s="90"/>
      <c r="M35" s="90"/>
      <c r="N35" s="90"/>
      <c r="O35" s="91"/>
      <c r="P35" s="60" t="s">
        <v>80</v>
      </c>
      <c r="Q35" s="59" t="s">
        <v>84</v>
      </c>
      <c r="R35" s="21" t="s">
        <v>71</v>
      </c>
      <c r="S35" s="21" t="s">
        <v>72</v>
      </c>
    </row>
    <row r="36" spans="1:19" ht="18" customHeight="1" x14ac:dyDescent="0.15">
      <c r="B36" s="83" t="s">
        <v>147</v>
      </c>
      <c r="C36" s="84"/>
      <c r="D36" s="84"/>
      <c r="E36" s="85"/>
      <c r="F36" s="22">
        <v>2</v>
      </c>
      <c r="G36" s="22"/>
      <c r="H36" s="22" t="s">
        <v>130</v>
      </c>
      <c r="I36" s="22" t="s">
        <v>130</v>
      </c>
      <c r="J36" s="83"/>
      <c r="K36" s="84"/>
      <c r="L36" s="84"/>
      <c r="M36" s="84"/>
      <c r="N36" s="84"/>
      <c r="O36" s="85"/>
      <c r="P36" s="22"/>
      <c r="Q36" s="22"/>
      <c r="R36" s="22"/>
      <c r="S36" s="22"/>
    </row>
    <row r="37" spans="1:19" ht="18" customHeight="1" x14ac:dyDescent="0.15">
      <c r="B37" s="86" t="s">
        <v>148</v>
      </c>
      <c r="C37" s="87"/>
      <c r="D37" s="87"/>
      <c r="E37" s="88"/>
      <c r="F37" s="23">
        <v>2</v>
      </c>
      <c r="G37" s="23"/>
      <c r="H37" s="23" t="s">
        <v>130</v>
      </c>
      <c r="I37" s="23" t="s">
        <v>130</v>
      </c>
      <c r="J37" s="86"/>
      <c r="K37" s="87"/>
      <c r="L37" s="87"/>
      <c r="M37" s="87"/>
      <c r="N37" s="87"/>
      <c r="O37" s="88"/>
      <c r="P37" s="23"/>
      <c r="Q37" s="23"/>
      <c r="R37" s="23"/>
      <c r="S37" s="23"/>
    </row>
    <row r="38" spans="1:19" ht="18" customHeight="1" x14ac:dyDescent="0.15">
      <c r="B38" s="86"/>
      <c r="C38" s="87"/>
      <c r="D38" s="87"/>
      <c r="E38" s="88"/>
      <c r="F38" s="23"/>
      <c r="G38" s="23"/>
      <c r="H38" s="23"/>
      <c r="I38" s="23"/>
      <c r="J38" s="86"/>
      <c r="K38" s="87"/>
      <c r="L38" s="87"/>
      <c r="M38" s="87"/>
      <c r="N38" s="87"/>
      <c r="O38" s="88"/>
      <c r="P38" s="23"/>
      <c r="Q38" s="23"/>
      <c r="R38" s="23"/>
      <c r="S38" s="23"/>
    </row>
    <row r="39" spans="1:19" ht="18" customHeight="1" x14ac:dyDescent="0.15">
      <c r="B39" s="86"/>
      <c r="C39" s="87"/>
      <c r="D39" s="87"/>
      <c r="E39" s="88"/>
      <c r="F39" s="23"/>
      <c r="G39" s="23"/>
      <c r="H39" s="23"/>
      <c r="I39" s="23"/>
      <c r="J39" s="86"/>
      <c r="K39" s="87"/>
      <c r="L39" s="87"/>
      <c r="M39" s="87"/>
      <c r="N39" s="87"/>
      <c r="O39" s="88"/>
      <c r="P39" s="23"/>
      <c r="Q39" s="23"/>
      <c r="R39" s="23"/>
      <c r="S39" s="23"/>
    </row>
    <row r="40" spans="1:19" ht="18" customHeight="1" x14ac:dyDescent="0.15">
      <c r="B40" s="86"/>
      <c r="C40" s="87"/>
      <c r="D40" s="87"/>
      <c r="E40" s="88"/>
      <c r="F40" s="23"/>
      <c r="G40" s="23"/>
      <c r="H40" s="23"/>
      <c r="I40" s="23"/>
      <c r="J40" s="86"/>
      <c r="K40" s="87"/>
      <c r="L40" s="87"/>
      <c r="M40" s="87"/>
      <c r="N40" s="87"/>
      <c r="O40" s="88"/>
      <c r="P40" s="23"/>
      <c r="Q40" s="23"/>
      <c r="R40" s="23"/>
      <c r="S40" s="23"/>
    </row>
    <row r="41" spans="1:19" ht="18" customHeight="1" x14ac:dyDescent="0.15">
      <c r="B41" s="86"/>
      <c r="C41" s="87"/>
      <c r="D41" s="87"/>
      <c r="E41" s="88"/>
      <c r="F41" s="23"/>
      <c r="G41" s="23"/>
      <c r="H41" s="23"/>
      <c r="I41" s="23"/>
      <c r="J41" s="86"/>
      <c r="K41" s="87"/>
      <c r="L41" s="87"/>
      <c r="M41" s="87"/>
      <c r="N41" s="87"/>
      <c r="O41" s="88"/>
      <c r="P41" s="23"/>
      <c r="Q41" s="23"/>
      <c r="R41" s="23"/>
      <c r="S41" s="23"/>
    </row>
    <row r="42" spans="1:19" ht="18" customHeight="1" x14ac:dyDescent="0.15">
      <c r="B42" s="92"/>
      <c r="C42" s="93"/>
      <c r="D42" s="93"/>
      <c r="E42" s="94"/>
      <c r="F42" s="24"/>
      <c r="G42" s="24"/>
      <c r="H42" s="25"/>
      <c r="I42" s="25"/>
      <c r="J42" s="92"/>
      <c r="K42" s="93"/>
      <c r="L42" s="93"/>
      <c r="M42" s="93"/>
      <c r="N42" s="93"/>
      <c r="O42" s="94"/>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53</v>
      </c>
      <c r="C46" s="90"/>
      <c r="D46" s="90"/>
      <c r="E46" s="91"/>
      <c r="F46" s="60" t="s">
        <v>80</v>
      </c>
      <c r="G46" s="59" t="s">
        <v>84</v>
      </c>
      <c r="H46" s="21" t="s">
        <v>73</v>
      </c>
      <c r="I46" s="21" t="s">
        <v>74</v>
      </c>
      <c r="J46" s="89" t="s">
        <v>53</v>
      </c>
      <c r="K46" s="90"/>
      <c r="L46" s="90"/>
      <c r="M46" s="90"/>
      <c r="N46" s="90"/>
      <c r="O46" s="91"/>
      <c r="P46" s="60" t="s">
        <v>80</v>
      </c>
      <c r="Q46" s="59" t="s">
        <v>84</v>
      </c>
      <c r="R46" s="21" t="s">
        <v>73</v>
      </c>
      <c r="S46" s="21" t="s">
        <v>74</v>
      </c>
    </row>
    <row r="47" spans="1:19" ht="18" customHeight="1" x14ac:dyDescent="0.15">
      <c r="A47" s="3"/>
      <c r="B47" s="83" t="s">
        <v>129</v>
      </c>
      <c r="C47" s="84"/>
      <c r="D47" s="84"/>
      <c r="E47" s="85"/>
      <c r="F47" s="22">
        <v>2</v>
      </c>
      <c r="G47" s="22" t="s">
        <v>130</v>
      </c>
      <c r="H47" s="22" t="s">
        <v>130</v>
      </c>
      <c r="I47" s="22" t="s">
        <v>130</v>
      </c>
      <c r="J47" s="83"/>
      <c r="K47" s="84"/>
      <c r="L47" s="84"/>
      <c r="M47" s="84"/>
      <c r="N47" s="84"/>
      <c r="O47" s="85"/>
      <c r="P47" s="22"/>
      <c r="Q47" s="22"/>
      <c r="R47" s="22"/>
      <c r="S47" s="22"/>
    </row>
    <row r="48" spans="1:19" ht="18" customHeight="1" x14ac:dyDescent="0.15">
      <c r="A48" s="3"/>
      <c r="B48" s="86"/>
      <c r="C48" s="87"/>
      <c r="D48" s="87"/>
      <c r="E48" s="88"/>
      <c r="F48" s="23"/>
      <c r="G48" s="23"/>
      <c r="H48" s="23"/>
      <c r="I48" s="23"/>
      <c r="J48" s="86"/>
      <c r="K48" s="87"/>
      <c r="L48" s="87"/>
      <c r="M48" s="87"/>
      <c r="N48" s="87"/>
      <c r="O48" s="88"/>
      <c r="P48" s="23"/>
      <c r="Q48" s="23"/>
      <c r="R48" s="23"/>
      <c r="S48" s="23"/>
    </row>
    <row r="49" spans="1:19" ht="18" customHeight="1" x14ac:dyDescent="0.15">
      <c r="A49" s="3"/>
      <c r="B49" s="86"/>
      <c r="C49" s="87"/>
      <c r="D49" s="87"/>
      <c r="E49" s="88"/>
      <c r="F49" s="23"/>
      <c r="G49" s="23"/>
      <c r="H49" s="23"/>
      <c r="I49" s="23"/>
      <c r="J49" s="86"/>
      <c r="K49" s="87"/>
      <c r="L49" s="87"/>
      <c r="M49" s="87"/>
      <c r="N49" s="87"/>
      <c r="O49" s="88"/>
      <c r="P49" s="23"/>
      <c r="Q49" s="23"/>
      <c r="R49" s="23"/>
      <c r="S49" s="23"/>
    </row>
    <row r="50" spans="1:19" ht="18" customHeight="1" x14ac:dyDescent="0.15">
      <c r="A50" s="3"/>
      <c r="B50" s="86"/>
      <c r="C50" s="87"/>
      <c r="D50" s="87"/>
      <c r="E50" s="88"/>
      <c r="F50" s="23"/>
      <c r="G50" s="23"/>
      <c r="H50" s="23"/>
      <c r="I50" s="23"/>
      <c r="J50" s="86"/>
      <c r="K50" s="87"/>
      <c r="L50" s="87"/>
      <c r="M50" s="87"/>
      <c r="N50" s="87"/>
      <c r="O50" s="88"/>
      <c r="P50" s="23"/>
      <c r="Q50" s="23"/>
      <c r="R50" s="23"/>
      <c r="S50" s="23"/>
    </row>
    <row r="51" spans="1:19" ht="18" customHeight="1" x14ac:dyDescent="0.15">
      <c r="A51" s="3"/>
      <c r="B51" s="86"/>
      <c r="C51" s="87"/>
      <c r="D51" s="87"/>
      <c r="E51" s="88"/>
      <c r="F51" s="23"/>
      <c r="G51" s="23"/>
      <c r="H51" s="23"/>
      <c r="I51" s="23"/>
      <c r="J51" s="86"/>
      <c r="K51" s="87"/>
      <c r="L51" s="87"/>
      <c r="M51" s="87"/>
      <c r="N51" s="87"/>
      <c r="O51" s="88"/>
      <c r="P51" s="23"/>
      <c r="Q51" s="23"/>
      <c r="R51" s="23"/>
      <c r="S51" s="23"/>
    </row>
    <row r="52" spans="1:19" ht="18" customHeight="1" x14ac:dyDescent="0.15">
      <c r="A52" s="3"/>
      <c r="B52" s="86"/>
      <c r="C52" s="87"/>
      <c r="D52" s="87"/>
      <c r="E52" s="88"/>
      <c r="F52" s="23"/>
      <c r="G52" s="23"/>
      <c r="H52" s="23"/>
      <c r="I52" s="23"/>
      <c r="J52" s="86"/>
      <c r="K52" s="87"/>
      <c r="L52" s="87"/>
      <c r="M52" s="87"/>
      <c r="N52" s="87"/>
      <c r="O52" s="88"/>
      <c r="P52" s="23"/>
      <c r="Q52" s="23"/>
      <c r="R52" s="23"/>
      <c r="S52" s="23"/>
    </row>
    <row r="53" spans="1:19" ht="18" customHeight="1" x14ac:dyDescent="0.15">
      <c r="A53" s="3"/>
      <c r="B53" s="92"/>
      <c r="C53" s="93"/>
      <c r="D53" s="93"/>
      <c r="E53" s="94"/>
      <c r="F53" s="24"/>
      <c r="G53" s="24"/>
      <c r="H53" s="25"/>
      <c r="I53" s="25"/>
      <c r="J53" s="92"/>
      <c r="K53" s="93"/>
      <c r="L53" s="93"/>
      <c r="M53" s="93"/>
      <c r="N53" s="93"/>
      <c r="O53" s="94"/>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53</v>
      </c>
      <c r="C57" s="90"/>
      <c r="D57" s="90"/>
      <c r="E57" s="91"/>
      <c r="F57" s="60" t="s">
        <v>80</v>
      </c>
      <c r="G57" s="59" t="s">
        <v>84</v>
      </c>
      <c r="H57" s="21" t="s">
        <v>58</v>
      </c>
      <c r="I57" s="21" t="s">
        <v>60</v>
      </c>
      <c r="J57" s="89" t="s">
        <v>53</v>
      </c>
      <c r="K57" s="90"/>
      <c r="L57" s="90"/>
      <c r="M57" s="90"/>
      <c r="N57" s="90"/>
      <c r="O57" s="91"/>
      <c r="P57" s="60" t="s">
        <v>80</v>
      </c>
      <c r="Q57" s="59" t="s">
        <v>84</v>
      </c>
      <c r="R57" s="21" t="s">
        <v>58</v>
      </c>
      <c r="S57" s="21" t="s">
        <v>60</v>
      </c>
    </row>
    <row r="58" spans="1:19" ht="18" customHeight="1" x14ac:dyDescent="0.15">
      <c r="A58" s="3"/>
      <c r="B58" s="83" t="s">
        <v>129</v>
      </c>
      <c r="C58" s="84"/>
      <c r="D58" s="84"/>
      <c r="E58" s="85"/>
      <c r="F58" s="22">
        <v>2</v>
      </c>
      <c r="G58" s="22" t="s">
        <v>130</v>
      </c>
      <c r="H58" s="22" t="s">
        <v>130</v>
      </c>
      <c r="I58" s="22" t="s">
        <v>130</v>
      </c>
      <c r="J58" s="83"/>
      <c r="K58" s="84"/>
      <c r="L58" s="84"/>
      <c r="M58" s="84"/>
      <c r="N58" s="84"/>
      <c r="O58" s="85"/>
      <c r="P58" s="22"/>
      <c r="Q58" s="22"/>
      <c r="R58" s="22"/>
      <c r="S58" s="22"/>
    </row>
    <row r="59" spans="1:19" ht="18" customHeight="1" x14ac:dyDescent="0.15">
      <c r="A59" s="3"/>
      <c r="B59" s="86"/>
      <c r="C59" s="87"/>
      <c r="D59" s="87"/>
      <c r="E59" s="88"/>
      <c r="F59" s="23"/>
      <c r="G59" s="23"/>
      <c r="H59" s="23"/>
      <c r="I59" s="23"/>
      <c r="J59" s="86"/>
      <c r="K59" s="87"/>
      <c r="L59" s="87"/>
      <c r="M59" s="87"/>
      <c r="N59" s="87"/>
      <c r="O59" s="88"/>
      <c r="P59" s="23"/>
      <c r="Q59" s="23"/>
      <c r="R59" s="23"/>
      <c r="S59" s="23"/>
    </row>
    <row r="60" spans="1:19" ht="18" customHeight="1" x14ac:dyDescent="0.15">
      <c r="A60" s="3"/>
      <c r="B60" s="86"/>
      <c r="C60" s="87"/>
      <c r="D60" s="87"/>
      <c r="E60" s="88"/>
      <c r="F60" s="23"/>
      <c r="G60" s="23"/>
      <c r="H60" s="23"/>
      <c r="I60" s="23"/>
      <c r="J60" s="86"/>
      <c r="K60" s="87"/>
      <c r="L60" s="87"/>
      <c r="M60" s="87"/>
      <c r="N60" s="87"/>
      <c r="O60" s="88"/>
      <c r="P60" s="23"/>
      <c r="Q60" s="23"/>
      <c r="R60" s="23"/>
      <c r="S60" s="23"/>
    </row>
    <row r="61" spans="1:19" ht="18" customHeight="1" x14ac:dyDescent="0.15">
      <c r="A61" s="3"/>
      <c r="B61" s="86"/>
      <c r="C61" s="87"/>
      <c r="D61" s="87"/>
      <c r="E61" s="88"/>
      <c r="F61" s="23"/>
      <c r="G61" s="23"/>
      <c r="H61" s="23"/>
      <c r="I61" s="23"/>
      <c r="J61" s="86"/>
      <c r="K61" s="87"/>
      <c r="L61" s="87"/>
      <c r="M61" s="87"/>
      <c r="N61" s="87"/>
      <c r="O61" s="88"/>
      <c r="P61" s="23"/>
      <c r="Q61" s="23"/>
      <c r="R61" s="23"/>
      <c r="S61" s="23"/>
    </row>
    <row r="62" spans="1:19" ht="18" customHeight="1" x14ac:dyDescent="0.15">
      <c r="A62" s="3"/>
      <c r="B62" s="86"/>
      <c r="C62" s="87"/>
      <c r="D62" s="87"/>
      <c r="E62" s="88"/>
      <c r="F62" s="23"/>
      <c r="G62" s="23"/>
      <c r="H62" s="23"/>
      <c r="I62" s="23"/>
      <c r="J62" s="86"/>
      <c r="K62" s="87"/>
      <c r="L62" s="87"/>
      <c r="M62" s="87"/>
      <c r="N62" s="87"/>
      <c r="O62" s="88"/>
      <c r="P62" s="23"/>
      <c r="Q62" s="23"/>
      <c r="R62" s="23"/>
      <c r="S62" s="23"/>
    </row>
    <row r="63" spans="1:19" ht="18" customHeight="1" x14ac:dyDescent="0.15">
      <c r="A63" s="3"/>
      <c r="B63" s="86"/>
      <c r="C63" s="87"/>
      <c r="D63" s="87"/>
      <c r="E63" s="88"/>
      <c r="F63" s="23"/>
      <c r="G63" s="23"/>
      <c r="H63" s="23"/>
      <c r="I63" s="23"/>
      <c r="J63" s="86"/>
      <c r="K63" s="87"/>
      <c r="L63" s="87"/>
      <c r="M63" s="87"/>
      <c r="N63" s="87"/>
      <c r="O63" s="88"/>
      <c r="P63" s="23"/>
      <c r="Q63" s="23"/>
      <c r="R63" s="23"/>
      <c r="S63" s="23"/>
    </row>
    <row r="64" spans="1:19" ht="18" customHeight="1" x14ac:dyDescent="0.15">
      <c r="A64" s="3"/>
      <c r="B64" s="92"/>
      <c r="C64" s="93"/>
      <c r="D64" s="93"/>
      <c r="E64" s="94"/>
      <c r="F64" s="24"/>
      <c r="G64" s="24"/>
      <c r="H64" s="25"/>
      <c r="I64" s="25"/>
      <c r="J64" s="92"/>
      <c r="K64" s="93"/>
      <c r="L64" s="93"/>
      <c r="M64" s="93"/>
      <c r="N64" s="93"/>
      <c r="O64" s="94"/>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53</v>
      </c>
      <c r="C68" s="90"/>
      <c r="D68" s="90"/>
      <c r="E68" s="60" t="s">
        <v>80</v>
      </c>
      <c r="F68" s="59" t="s">
        <v>84</v>
      </c>
      <c r="G68" s="21" t="s">
        <v>101</v>
      </c>
      <c r="H68" s="21" t="s">
        <v>75</v>
      </c>
      <c r="I68" s="21" t="s">
        <v>76</v>
      </c>
      <c r="J68" s="89" t="s">
        <v>53</v>
      </c>
      <c r="K68" s="90"/>
      <c r="L68" s="90"/>
      <c r="M68" s="90"/>
      <c r="N68" s="91"/>
      <c r="O68" s="60" t="s">
        <v>80</v>
      </c>
      <c r="P68" s="59" t="s">
        <v>84</v>
      </c>
      <c r="Q68" s="21" t="s">
        <v>101</v>
      </c>
      <c r="R68" s="21" t="s">
        <v>75</v>
      </c>
      <c r="S68" s="21" t="s">
        <v>76</v>
      </c>
    </row>
    <row r="69" spans="1:19" ht="18" customHeight="1" x14ac:dyDescent="0.15">
      <c r="A69" s="3"/>
      <c r="B69" s="83" t="s">
        <v>131</v>
      </c>
      <c r="C69" s="84"/>
      <c r="D69" s="85"/>
      <c r="E69" s="22">
        <v>2</v>
      </c>
      <c r="F69" s="22"/>
      <c r="G69" s="22" t="s">
        <v>130</v>
      </c>
      <c r="H69" s="22" t="s">
        <v>130</v>
      </c>
      <c r="I69" s="22" t="s">
        <v>130</v>
      </c>
      <c r="J69" s="83"/>
      <c r="K69" s="84"/>
      <c r="L69" s="84"/>
      <c r="M69" s="84"/>
      <c r="N69" s="85"/>
      <c r="O69" s="22"/>
      <c r="P69" s="22"/>
      <c r="Q69" s="22"/>
      <c r="R69" s="22"/>
      <c r="S69" s="22"/>
    </row>
    <row r="70" spans="1:19" ht="18" customHeight="1" x14ac:dyDescent="0.15">
      <c r="A70" s="3"/>
      <c r="B70" s="86" t="s">
        <v>133</v>
      </c>
      <c r="C70" s="87"/>
      <c r="D70" s="88"/>
      <c r="E70" s="23">
        <v>2</v>
      </c>
      <c r="F70" s="23"/>
      <c r="G70" s="23" t="s">
        <v>130</v>
      </c>
      <c r="H70" s="23" t="s">
        <v>130</v>
      </c>
      <c r="I70" s="23" t="s">
        <v>130</v>
      </c>
      <c r="J70" s="86"/>
      <c r="K70" s="87"/>
      <c r="L70" s="87"/>
      <c r="M70" s="87"/>
      <c r="N70" s="88"/>
      <c r="O70" s="23"/>
      <c r="P70" s="23"/>
      <c r="Q70" s="23"/>
      <c r="R70" s="23"/>
      <c r="S70" s="23"/>
    </row>
    <row r="71" spans="1:19" ht="18" customHeight="1" x14ac:dyDescent="0.15">
      <c r="A71" s="3"/>
      <c r="B71" s="86" t="s">
        <v>157</v>
      </c>
      <c r="C71" s="87"/>
      <c r="D71" s="88"/>
      <c r="E71" s="23">
        <v>2</v>
      </c>
      <c r="F71" s="23"/>
      <c r="G71" s="23" t="s">
        <v>130</v>
      </c>
      <c r="H71" s="23" t="s">
        <v>130</v>
      </c>
      <c r="I71" s="23" t="s">
        <v>130</v>
      </c>
      <c r="J71" s="86"/>
      <c r="K71" s="87"/>
      <c r="L71" s="87"/>
      <c r="M71" s="87"/>
      <c r="N71" s="88"/>
      <c r="O71" s="23"/>
      <c r="P71" s="23"/>
      <c r="Q71" s="23"/>
      <c r="R71" s="23"/>
      <c r="S71" s="23"/>
    </row>
    <row r="72" spans="1:19" ht="18" customHeight="1" x14ac:dyDescent="0.15">
      <c r="A72" s="3"/>
      <c r="B72" s="86" t="s">
        <v>158</v>
      </c>
      <c r="C72" s="87"/>
      <c r="D72" s="87"/>
      <c r="E72" s="23">
        <v>2</v>
      </c>
      <c r="F72" s="23"/>
      <c r="G72" s="23" t="s">
        <v>130</v>
      </c>
      <c r="H72" s="23" t="s">
        <v>130</v>
      </c>
      <c r="I72" s="23" t="s">
        <v>130</v>
      </c>
      <c r="J72" s="86"/>
      <c r="K72" s="87"/>
      <c r="L72" s="87"/>
      <c r="M72" s="87"/>
      <c r="N72" s="88"/>
      <c r="O72" s="23"/>
      <c r="P72" s="23"/>
      <c r="Q72" s="23"/>
      <c r="R72" s="23"/>
      <c r="S72" s="23"/>
    </row>
    <row r="73" spans="1:19" ht="18" customHeight="1" x14ac:dyDescent="0.15">
      <c r="A73" s="3"/>
      <c r="B73" s="86"/>
      <c r="C73" s="87"/>
      <c r="D73" s="87"/>
      <c r="E73" s="23"/>
      <c r="F73" s="23"/>
      <c r="G73" s="23"/>
      <c r="H73" s="23"/>
      <c r="I73" s="23"/>
      <c r="J73" s="86"/>
      <c r="K73" s="87"/>
      <c r="L73" s="87"/>
      <c r="M73" s="87"/>
      <c r="N73" s="88"/>
      <c r="O73" s="23"/>
      <c r="P73" s="23"/>
      <c r="Q73" s="23"/>
      <c r="R73" s="23"/>
      <c r="S73" s="23"/>
    </row>
    <row r="74" spans="1:19" ht="18" customHeight="1" x14ac:dyDescent="0.15">
      <c r="A74" s="3"/>
      <c r="B74" s="86"/>
      <c r="C74" s="87"/>
      <c r="D74" s="87"/>
      <c r="E74" s="23"/>
      <c r="F74" s="23"/>
      <c r="G74" s="23"/>
      <c r="H74" s="23"/>
      <c r="I74" s="23"/>
      <c r="J74" s="86"/>
      <c r="K74" s="87"/>
      <c r="L74" s="87"/>
      <c r="M74" s="87"/>
      <c r="N74" s="88"/>
      <c r="O74" s="23"/>
      <c r="P74" s="23"/>
      <c r="Q74" s="23"/>
      <c r="R74" s="23"/>
      <c r="S74" s="23"/>
    </row>
    <row r="75" spans="1:19" ht="18" customHeight="1" x14ac:dyDescent="0.15">
      <c r="A75" s="3"/>
      <c r="B75" s="92"/>
      <c r="C75" s="93"/>
      <c r="D75" s="93"/>
      <c r="E75" s="24"/>
      <c r="F75" s="24"/>
      <c r="G75" s="25"/>
      <c r="H75" s="25"/>
      <c r="I75" s="25"/>
      <c r="J75" s="92"/>
      <c r="K75" s="93"/>
      <c r="L75" s="93"/>
      <c r="M75" s="93"/>
      <c r="N75" s="94"/>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89" t="s">
        <v>53</v>
      </c>
      <c r="C78" s="90"/>
      <c r="D78" s="90"/>
      <c r="E78" s="91"/>
      <c r="F78" s="89" t="s">
        <v>82</v>
      </c>
      <c r="G78" s="90"/>
      <c r="H78" s="90"/>
      <c r="I78" s="91"/>
      <c r="J78" s="117" t="s">
        <v>53</v>
      </c>
      <c r="K78" s="118"/>
      <c r="L78" s="118"/>
      <c r="M78" s="118"/>
      <c r="N78" s="118"/>
      <c r="O78" s="119"/>
      <c r="P78" s="89" t="s">
        <v>82</v>
      </c>
      <c r="Q78" s="90"/>
      <c r="R78" s="90"/>
      <c r="S78" s="91"/>
    </row>
    <row r="79" spans="1:19" ht="18" customHeight="1" x14ac:dyDescent="0.15">
      <c r="A79" s="3"/>
      <c r="B79" s="83"/>
      <c r="C79" s="84"/>
      <c r="D79" s="84"/>
      <c r="E79" s="85"/>
      <c r="F79" s="111"/>
      <c r="G79" s="112"/>
      <c r="H79" s="112"/>
      <c r="I79" s="113"/>
      <c r="J79" s="83"/>
      <c r="K79" s="84"/>
      <c r="L79" s="84"/>
      <c r="M79" s="84"/>
      <c r="N79" s="84"/>
      <c r="O79" s="85"/>
      <c r="P79" s="111"/>
      <c r="Q79" s="112"/>
      <c r="R79" s="112"/>
      <c r="S79" s="113"/>
    </row>
    <row r="80" spans="1:19" ht="18" customHeight="1" x14ac:dyDescent="0.15">
      <c r="A80" s="3"/>
      <c r="B80" s="86"/>
      <c r="C80" s="87"/>
      <c r="D80" s="87"/>
      <c r="E80" s="88"/>
      <c r="F80" s="114"/>
      <c r="G80" s="115"/>
      <c r="H80" s="115"/>
      <c r="I80" s="116"/>
      <c r="J80" s="86"/>
      <c r="K80" s="87"/>
      <c r="L80" s="87"/>
      <c r="M80" s="87"/>
      <c r="N80" s="87"/>
      <c r="O80" s="88"/>
      <c r="P80" s="114"/>
      <c r="Q80" s="115"/>
      <c r="R80" s="115"/>
      <c r="S80" s="116"/>
    </row>
    <row r="81" spans="1:19" ht="18" customHeight="1" x14ac:dyDescent="0.15">
      <c r="A81" s="3"/>
      <c r="B81" s="86"/>
      <c r="C81" s="87"/>
      <c r="D81" s="87"/>
      <c r="E81" s="88"/>
      <c r="F81" s="114"/>
      <c r="G81" s="115"/>
      <c r="H81" s="115"/>
      <c r="I81" s="116"/>
      <c r="J81" s="86"/>
      <c r="K81" s="87"/>
      <c r="L81" s="87"/>
      <c r="M81" s="87"/>
      <c r="N81" s="87"/>
      <c r="O81" s="88"/>
      <c r="P81" s="114"/>
      <c r="Q81" s="115"/>
      <c r="R81" s="115"/>
      <c r="S81" s="116"/>
    </row>
    <row r="82" spans="1:19" ht="18" customHeight="1" x14ac:dyDescent="0.15">
      <c r="A82" s="3"/>
      <c r="B82" s="86"/>
      <c r="C82" s="87"/>
      <c r="D82" s="87"/>
      <c r="E82" s="88"/>
      <c r="F82" s="114"/>
      <c r="G82" s="115"/>
      <c r="H82" s="115"/>
      <c r="I82" s="116"/>
      <c r="J82" s="86"/>
      <c r="K82" s="87"/>
      <c r="L82" s="87"/>
      <c r="M82" s="87"/>
      <c r="N82" s="87"/>
      <c r="O82" s="88"/>
      <c r="P82" s="114"/>
      <c r="Q82" s="115"/>
      <c r="R82" s="115"/>
      <c r="S82" s="116"/>
    </row>
    <row r="83" spans="1:19" ht="18" customHeight="1" x14ac:dyDescent="0.15">
      <c r="A83" s="3"/>
      <c r="B83" s="86"/>
      <c r="C83" s="87"/>
      <c r="D83" s="87"/>
      <c r="E83" s="88"/>
      <c r="F83" s="114"/>
      <c r="G83" s="115"/>
      <c r="H83" s="115"/>
      <c r="I83" s="116"/>
      <c r="J83" s="86"/>
      <c r="K83" s="87"/>
      <c r="L83" s="87"/>
      <c r="M83" s="87"/>
      <c r="N83" s="87"/>
      <c r="O83" s="88"/>
      <c r="P83" s="114"/>
      <c r="Q83" s="115"/>
      <c r="R83" s="115"/>
      <c r="S83" s="116"/>
    </row>
    <row r="84" spans="1:19" ht="18" customHeight="1" x14ac:dyDescent="0.15">
      <c r="A84" s="3"/>
      <c r="B84" s="86"/>
      <c r="C84" s="87"/>
      <c r="D84" s="87"/>
      <c r="E84" s="88"/>
      <c r="F84" s="114"/>
      <c r="G84" s="115"/>
      <c r="H84" s="115"/>
      <c r="I84" s="116"/>
      <c r="J84" s="86"/>
      <c r="K84" s="87"/>
      <c r="L84" s="87"/>
      <c r="M84" s="87"/>
      <c r="N84" s="87"/>
      <c r="O84" s="88"/>
      <c r="P84" s="114"/>
      <c r="Q84" s="115"/>
      <c r="R84" s="115"/>
      <c r="S84" s="116"/>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07" t="s">
        <v>54</v>
      </c>
      <c r="C88" s="108"/>
      <c r="D88" s="90" t="s">
        <v>55</v>
      </c>
      <c r="E88" s="90"/>
      <c r="F88" s="90"/>
      <c r="G88" s="90"/>
      <c r="H88" s="90"/>
      <c r="I88" s="90"/>
      <c r="J88" s="90"/>
      <c r="K88" s="90"/>
      <c r="L88" s="90"/>
      <c r="M88" s="90"/>
      <c r="N88" s="90"/>
      <c r="O88" s="90"/>
      <c r="P88" s="90"/>
      <c r="Q88" s="90"/>
      <c r="R88" s="90"/>
      <c r="S88" s="91"/>
    </row>
    <row r="89" spans="1:19" ht="97.5" customHeight="1" x14ac:dyDescent="0.15">
      <c r="B89" s="96" t="s">
        <v>61</v>
      </c>
      <c r="C89" s="27" t="s">
        <v>56</v>
      </c>
      <c r="D89" s="105" t="s">
        <v>242</v>
      </c>
      <c r="E89" s="109"/>
      <c r="F89" s="109"/>
      <c r="G89" s="109"/>
      <c r="H89" s="109"/>
      <c r="I89" s="109"/>
      <c r="J89" s="109"/>
      <c r="K89" s="109"/>
      <c r="L89" s="109"/>
      <c r="M89" s="109"/>
      <c r="N89" s="109"/>
      <c r="O89" s="109"/>
      <c r="P89" s="109"/>
      <c r="Q89" s="109"/>
      <c r="R89" s="109"/>
      <c r="S89" s="110"/>
    </row>
    <row r="90" spans="1:19" ht="97.5" customHeight="1" x14ac:dyDescent="0.15">
      <c r="B90" s="97"/>
      <c r="C90" s="28" t="s">
        <v>77</v>
      </c>
      <c r="D90" s="123" t="s">
        <v>243</v>
      </c>
      <c r="E90" s="123"/>
      <c r="F90" s="123"/>
      <c r="G90" s="123"/>
      <c r="H90" s="123"/>
      <c r="I90" s="123"/>
      <c r="J90" s="123"/>
      <c r="K90" s="123"/>
      <c r="L90" s="123"/>
      <c r="M90" s="123"/>
      <c r="N90" s="123"/>
      <c r="O90" s="123"/>
      <c r="P90" s="123"/>
      <c r="Q90" s="123"/>
      <c r="R90" s="123"/>
      <c r="S90" s="124"/>
    </row>
    <row r="91" spans="1:19" ht="97.5" customHeight="1" x14ac:dyDescent="0.15">
      <c r="B91" s="96" t="s">
        <v>62</v>
      </c>
      <c r="C91" s="29" t="s">
        <v>71</v>
      </c>
      <c r="D91" s="125" t="s">
        <v>265</v>
      </c>
      <c r="E91" s="126"/>
      <c r="F91" s="126"/>
      <c r="G91" s="126"/>
      <c r="H91" s="126"/>
      <c r="I91" s="126"/>
      <c r="J91" s="126"/>
      <c r="K91" s="126"/>
      <c r="L91" s="126"/>
      <c r="M91" s="126"/>
      <c r="N91" s="126"/>
      <c r="O91" s="126"/>
      <c r="P91" s="126"/>
      <c r="Q91" s="126"/>
      <c r="R91" s="126"/>
      <c r="S91" s="127"/>
    </row>
    <row r="92" spans="1:19" ht="97.5" customHeight="1" x14ac:dyDescent="0.15">
      <c r="B92" s="98"/>
      <c r="C92" s="30" t="s">
        <v>72</v>
      </c>
      <c r="D92" s="130" t="s">
        <v>266</v>
      </c>
      <c r="E92" s="131"/>
      <c r="F92" s="131"/>
      <c r="G92" s="131"/>
      <c r="H92" s="131"/>
      <c r="I92" s="131"/>
      <c r="J92" s="131"/>
      <c r="K92" s="131"/>
      <c r="L92" s="131"/>
      <c r="M92" s="131"/>
      <c r="N92" s="131"/>
      <c r="O92" s="131"/>
      <c r="P92" s="131"/>
      <c r="Q92" s="131"/>
      <c r="R92" s="131"/>
      <c r="S92" s="132"/>
    </row>
    <row r="93" spans="1:19" ht="97.5" customHeight="1" x14ac:dyDescent="0.15">
      <c r="B93" s="96" t="s">
        <v>63</v>
      </c>
      <c r="C93" s="29" t="s">
        <v>73</v>
      </c>
      <c r="D93" s="125" t="s">
        <v>229</v>
      </c>
      <c r="E93" s="126"/>
      <c r="F93" s="126"/>
      <c r="G93" s="126"/>
      <c r="H93" s="126"/>
      <c r="I93" s="126"/>
      <c r="J93" s="126"/>
      <c r="K93" s="126"/>
      <c r="L93" s="126"/>
      <c r="M93" s="126"/>
      <c r="N93" s="126"/>
      <c r="O93" s="126"/>
      <c r="P93" s="126"/>
      <c r="Q93" s="126"/>
      <c r="R93" s="126"/>
      <c r="S93" s="127"/>
    </row>
    <row r="94" spans="1:19" ht="97.5" customHeight="1" x14ac:dyDescent="0.15">
      <c r="B94" s="98"/>
      <c r="C94" s="31" t="s">
        <v>74</v>
      </c>
      <c r="D94" s="128" t="s">
        <v>246</v>
      </c>
      <c r="E94" s="128"/>
      <c r="F94" s="128"/>
      <c r="G94" s="128"/>
      <c r="H94" s="128"/>
      <c r="I94" s="128"/>
      <c r="J94" s="128"/>
      <c r="K94" s="128"/>
      <c r="L94" s="128"/>
      <c r="M94" s="128"/>
      <c r="N94" s="128"/>
      <c r="O94" s="128"/>
      <c r="P94" s="128"/>
      <c r="Q94" s="128"/>
      <c r="R94" s="128"/>
      <c r="S94" s="129"/>
    </row>
    <row r="95" spans="1:19" ht="97.5" customHeight="1" x14ac:dyDescent="0.15">
      <c r="B95" s="96" t="s">
        <v>78</v>
      </c>
      <c r="C95" s="27" t="s">
        <v>58</v>
      </c>
      <c r="D95" s="105" t="s">
        <v>247</v>
      </c>
      <c r="E95" s="105"/>
      <c r="F95" s="105"/>
      <c r="G95" s="105"/>
      <c r="H95" s="105"/>
      <c r="I95" s="105"/>
      <c r="J95" s="105"/>
      <c r="K95" s="105"/>
      <c r="L95" s="105"/>
      <c r="M95" s="105"/>
      <c r="N95" s="105"/>
      <c r="O95" s="105"/>
      <c r="P95" s="105"/>
      <c r="Q95" s="105"/>
      <c r="R95" s="105"/>
      <c r="S95" s="106"/>
    </row>
    <row r="96" spans="1:19" ht="97.5" customHeight="1" x14ac:dyDescent="0.15">
      <c r="B96" s="98"/>
      <c r="C96" s="30" t="s">
        <v>60</v>
      </c>
      <c r="D96" s="130" t="s">
        <v>272</v>
      </c>
      <c r="E96" s="130"/>
      <c r="F96" s="130"/>
      <c r="G96" s="130"/>
      <c r="H96" s="130"/>
      <c r="I96" s="130"/>
      <c r="J96" s="130"/>
      <c r="K96" s="130"/>
      <c r="L96" s="130"/>
      <c r="M96" s="130"/>
      <c r="N96" s="130"/>
      <c r="O96" s="130"/>
      <c r="P96" s="130"/>
      <c r="Q96" s="130"/>
      <c r="R96" s="130"/>
      <c r="S96" s="133"/>
    </row>
    <row r="97" spans="1:19" ht="297.75" customHeight="1" x14ac:dyDescent="0.15">
      <c r="B97" s="96" t="s">
        <v>79</v>
      </c>
      <c r="C97" s="29" t="s">
        <v>57</v>
      </c>
      <c r="D97" s="99" t="s">
        <v>267</v>
      </c>
      <c r="E97" s="100"/>
      <c r="F97" s="100"/>
      <c r="G97" s="100"/>
      <c r="H97" s="100"/>
      <c r="I97" s="100"/>
      <c r="J97" s="100"/>
      <c r="K97" s="100"/>
      <c r="L97" s="100"/>
      <c r="M97" s="100"/>
      <c r="N97" s="100"/>
      <c r="O97" s="100"/>
      <c r="P97" s="100"/>
      <c r="Q97" s="100"/>
      <c r="R97" s="100"/>
      <c r="S97" s="101"/>
    </row>
    <row r="98" spans="1:19" ht="254.45" customHeight="1" x14ac:dyDescent="0.15">
      <c r="B98" s="97"/>
      <c r="C98" s="32" t="s">
        <v>75</v>
      </c>
      <c r="D98" s="99" t="s">
        <v>268</v>
      </c>
      <c r="E98" s="100"/>
      <c r="F98" s="100"/>
      <c r="G98" s="100"/>
      <c r="H98" s="100"/>
      <c r="I98" s="100"/>
      <c r="J98" s="100"/>
      <c r="K98" s="100"/>
      <c r="L98" s="100"/>
      <c r="M98" s="100"/>
      <c r="N98" s="100"/>
      <c r="O98" s="100"/>
      <c r="P98" s="100"/>
      <c r="Q98" s="100"/>
      <c r="R98" s="100"/>
      <c r="S98" s="101"/>
    </row>
    <row r="99" spans="1:19" ht="195.6" customHeight="1" x14ac:dyDescent="0.15">
      <c r="B99" s="98"/>
      <c r="C99" s="31" t="s">
        <v>76</v>
      </c>
      <c r="D99" s="102" t="s">
        <v>269</v>
      </c>
      <c r="E99" s="103"/>
      <c r="F99" s="103"/>
      <c r="G99" s="103"/>
      <c r="H99" s="103"/>
      <c r="I99" s="103"/>
      <c r="J99" s="103"/>
      <c r="K99" s="103"/>
      <c r="L99" s="103"/>
      <c r="M99" s="103"/>
      <c r="N99" s="103"/>
      <c r="O99" s="103"/>
      <c r="P99" s="103"/>
      <c r="Q99" s="103"/>
      <c r="R99" s="103"/>
      <c r="S99" s="104"/>
    </row>
    <row r="100" spans="1:19" ht="6" customHeight="1" x14ac:dyDescent="0.15"/>
    <row r="101" spans="1:19" ht="18.75" customHeight="1" x14ac:dyDescent="0.15">
      <c r="A101" s="1" t="s">
        <v>120</v>
      </c>
    </row>
    <row r="102" spans="1:19" ht="81.75" customHeight="1" x14ac:dyDescent="0.15">
      <c r="B102" s="102" t="s">
        <v>134</v>
      </c>
      <c r="C102" s="103"/>
      <c r="D102" s="103"/>
      <c r="E102" s="103"/>
      <c r="F102" s="103"/>
      <c r="G102" s="103"/>
      <c r="H102" s="103"/>
      <c r="I102" s="103"/>
      <c r="J102" s="103"/>
      <c r="K102" s="103"/>
      <c r="L102" s="103"/>
      <c r="M102" s="103"/>
      <c r="N102" s="103"/>
      <c r="O102" s="103"/>
      <c r="P102" s="103"/>
      <c r="Q102" s="103"/>
      <c r="R102" s="103"/>
      <c r="S102" s="104"/>
    </row>
    <row r="110" spans="1:19" ht="18" customHeight="1" x14ac:dyDescent="0.15"/>
  </sheetData>
  <customSheetViews>
    <customSheetView guid="{1C325414-5A0C-4C59-BA24-A8E2B4EC5171}" scale="85" showPageBreaks="1" zeroValues="0" fitToPage="1" printArea="1" hiddenColumns="1" view="pageBreakPreview">
      <selection activeCell="C3" sqref="C3:I3"/>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76C3A8B2-43E5-4491-B38D-7D6417DC209B}" scale="85" showPageBreaks="1" zeroValues="0" fitToPage="1" printArea="1" hiddenColumns="1" view="pageBreakPreview" topLeftCell="A40">
      <selection activeCell="D98" sqref="D98:S9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 guid="{D1FD8C4C-CF69-45DF-A007-1EC45F0F0601}" scale="85" showPageBreaks="1" zeroValues="0" fitToPage="1" printArea="1" hiddenColumns="1" view="pageBreakPreview" topLeftCell="A40">
      <selection activeCell="D98" sqref="D98:S9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4" fitToHeight="0" orientation="portrait" r:id="rId3"/>
      <headerFooter>
        <oddHeader>&amp;C数理・データサイエンス・AI教育プログラム認定制度【リテラシーレベル】</oddHeader>
      </headerFooter>
    </customSheetView>
    <customSheetView guid="{B3C66A88-0371-48C7-9AE2-6606C7EDAAFC}" scale="85" showPageBreaks="1" zeroValues="0" fitToPage="1" printArea="1" hiddenColumns="1" view="pageBreakPreview" topLeftCell="C100">
      <selection activeCell="W99" sqref="W99"/>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4"/>
      <headerFooter>
        <oddHeader>&amp;C数理・データサイエンス・AI教育プログラム認定制度【リテラシーレベル】</oddHeader>
      </headerFooter>
    </customSheetView>
  </customSheetViews>
  <mergeCells count="145">
    <mergeCell ref="B9:S10"/>
    <mergeCell ref="J60:O60"/>
    <mergeCell ref="J61:O61"/>
    <mergeCell ref="J62:O62"/>
    <mergeCell ref="J63:O63"/>
    <mergeCell ref="J64:O64"/>
    <mergeCell ref="B68:D68"/>
    <mergeCell ref="J68:N68"/>
    <mergeCell ref="B50:E50"/>
    <mergeCell ref="B51:E51"/>
    <mergeCell ref="B52:E52"/>
    <mergeCell ref="B53:E53"/>
    <mergeCell ref="A33:S34"/>
    <mergeCell ref="C20:D20"/>
    <mergeCell ref="B35:E35"/>
    <mergeCell ref="B36:E36"/>
    <mergeCell ref="B37:E37"/>
    <mergeCell ref="B57:E57"/>
    <mergeCell ref="B58:E58"/>
    <mergeCell ref="B59:E59"/>
    <mergeCell ref="B46:E46"/>
    <mergeCell ref="B47:E47"/>
    <mergeCell ref="B48:E48"/>
    <mergeCell ref="J35:O35"/>
    <mergeCell ref="R1:S1"/>
    <mergeCell ref="B24:E24"/>
    <mergeCell ref="B25:E25"/>
    <mergeCell ref="B26:E26"/>
    <mergeCell ref="B27:E27"/>
    <mergeCell ref="B28:E28"/>
    <mergeCell ref="B29:E29"/>
    <mergeCell ref="B30:E30"/>
    <mergeCell ref="B31:E31"/>
    <mergeCell ref="J24:O24"/>
    <mergeCell ref="J25:O25"/>
    <mergeCell ref="J26:O26"/>
    <mergeCell ref="J27:O27"/>
    <mergeCell ref="J28:O28"/>
    <mergeCell ref="J29:O29"/>
    <mergeCell ref="J30:O30"/>
    <mergeCell ref="J31:O31"/>
    <mergeCell ref="K20:S20"/>
    <mergeCell ref="C2:I2"/>
    <mergeCell ref="C3:I3"/>
    <mergeCell ref="A5:S5"/>
    <mergeCell ref="B13:S18"/>
    <mergeCell ref="A22:S23"/>
    <mergeCell ref="K7:S7"/>
    <mergeCell ref="B102:S102"/>
    <mergeCell ref="P85:S85"/>
    <mergeCell ref="B80:E80"/>
    <mergeCell ref="F80:I80"/>
    <mergeCell ref="J80:O80"/>
    <mergeCell ref="P80:S80"/>
    <mergeCell ref="B83:E83"/>
    <mergeCell ref="F83:I83"/>
    <mergeCell ref="J83:O83"/>
    <mergeCell ref="P83:S83"/>
    <mergeCell ref="B81:E81"/>
    <mergeCell ref="D90:S90"/>
    <mergeCell ref="D91:S91"/>
    <mergeCell ref="D94:S94"/>
    <mergeCell ref="D92:S92"/>
    <mergeCell ref="D93:S93"/>
    <mergeCell ref="B84:E84"/>
    <mergeCell ref="F84:I84"/>
    <mergeCell ref="J84:O84"/>
    <mergeCell ref="P84:S84"/>
    <mergeCell ref="B85:E85"/>
    <mergeCell ref="D96:S96"/>
    <mergeCell ref="F85:I85"/>
    <mergeCell ref="D98:S98"/>
    <mergeCell ref="B60:E60"/>
    <mergeCell ref="B61:E61"/>
    <mergeCell ref="B62:E62"/>
    <mergeCell ref="B63:E63"/>
    <mergeCell ref="B64:E64"/>
    <mergeCell ref="J46:O46"/>
    <mergeCell ref="F78:I78"/>
    <mergeCell ref="J78:O78"/>
    <mergeCell ref="B69:D69"/>
    <mergeCell ref="B70:D70"/>
    <mergeCell ref="J53:O53"/>
    <mergeCell ref="B93:B94"/>
    <mergeCell ref="B89:B90"/>
    <mergeCell ref="J69:N69"/>
    <mergeCell ref="J70:N70"/>
    <mergeCell ref="J71:N71"/>
    <mergeCell ref="B82:E82"/>
    <mergeCell ref="F81:I81"/>
    <mergeCell ref="F82:I82"/>
    <mergeCell ref="J81:O81"/>
    <mergeCell ref="J82:O82"/>
    <mergeCell ref="B73:D73"/>
    <mergeCell ref="B74:D74"/>
    <mergeCell ref="B75:D75"/>
    <mergeCell ref="J72:N72"/>
    <mergeCell ref="B97:B99"/>
    <mergeCell ref="D97:S97"/>
    <mergeCell ref="D99:S99"/>
    <mergeCell ref="B95:B96"/>
    <mergeCell ref="D95:S95"/>
    <mergeCell ref="J73:N73"/>
    <mergeCell ref="J74:N74"/>
    <mergeCell ref="B49:E49"/>
    <mergeCell ref="A55:S56"/>
    <mergeCell ref="J75:N75"/>
    <mergeCell ref="J85:O85"/>
    <mergeCell ref="B88:C88"/>
    <mergeCell ref="D88:S88"/>
    <mergeCell ref="D89:S89"/>
    <mergeCell ref="J79:O79"/>
    <mergeCell ref="P79:S79"/>
    <mergeCell ref="P78:S78"/>
    <mergeCell ref="B79:E79"/>
    <mergeCell ref="J59:O59"/>
    <mergeCell ref="B78:E78"/>
    <mergeCell ref="F79:I79"/>
    <mergeCell ref="P81:S81"/>
    <mergeCell ref="P82:S82"/>
    <mergeCell ref="B91:B92"/>
    <mergeCell ref="J36:O36"/>
    <mergeCell ref="J37:O37"/>
    <mergeCell ref="J38:O38"/>
    <mergeCell ref="J57:O57"/>
    <mergeCell ref="J58:O58"/>
    <mergeCell ref="B71:D71"/>
    <mergeCell ref="B72:D72"/>
    <mergeCell ref="B38:E38"/>
    <mergeCell ref="B39:E39"/>
    <mergeCell ref="B40:E40"/>
    <mergeCell ref="B41:E41"/>
    <mergeCell ref="B42:E42"/>
    <mergeCell ref="J47:O47"/>
    <mergeCell ref="J48:O48"/>
    <mergeCell ref="J49:O49"/>
    <mergeCell ref="J50:O50"/>
    <mergeCell ref="J51:O51"/>
    <mergeCell ref="J52:O52"/>
    <mergeCell ref="J39:O39"/>
    <mergeCell ref="J40:O40"/>
    <mergeCell ref="J41:O41"/>
    <mergeCell ref="J42:O42"/>
    <mergeCell ref="A44:S45"/>
    <mergeCell ref="A66:S67"/>
  </mergeCells>
  <phoneticPr fontId="1"/>
  <conditionalFormatting sqref="B9:S10">
    <cfRule type="expression" dxfId="9" priority="1">
      <formula>$K$7="学部・学科によって、修了要件は相違しない"</formula>
    </cfRule>
  </conditionalFormatting>
  <dataValidations count="5">
    <dataValidation type="list" allowBlank="1" showInputMessage="1" showErrorMessage="1" sqref="G25:I31 Q25:S31 G36:I42 Q36:S42 P69:S75 Q47:S53 G47:I53 Q58:S64 G58:I64 F69:I75" xr:uid="{4C0986EB-3601-4249-85F7-B678A400A117}">
      <formula1>"○"</formula1>
    </dataValidation>
    <dataValidation type="list" allowBlank="1" showInputMessage="1" showErrorMessage="1" sqref="S32 S43 D32:G32 D43:G43" xr:uid="{CC907DDE-86DC-4E68-BFF5-E920A71A96A6}">
      <formula1>"全学開講,一部開講"</formula1>
    </dataValidation>
    <dataValidation type="list" allowBlank="1" showInputMessage="1" showErrorMessage="1" sqref="K7 K12" xr:uid="{7B985F3C-9687-4C99-93D5-E4589130E2EC}">
      <formula1>"学部・学科によって、修了要件は相違する,学部・学科によって、修了要件は相違しない"</formula1>
    </dataValidation>
    <dataValidation type="list" allowBlank="1" showInputMessage="1" showErrorMessage="1" sqref="F79:F86 P79:P86 G79:I80 G83:I86 Q83:S86 Q79:S80"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D0781BD-BB46-47E4-B306-E5D299761C76}">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horizontalDpi="4294967293" r:id="rId5"/>
  <headerFooter>
    <oddHeader>&amp;C数理・データサイエンス・AI教育プログラム認定制度【リテラシーレベル】</oddHeader>
  </headerFooter>
  <rowBreaks count="2" manualBreakCount="2">
    <brk id="65" max="18" man="1"/>
    <brk id="94" max="1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F0410E-F5F7-497B-B8F3-8B7483838EAA}">
  <sheetPr>
    <pageSetUpPr fitToPage="1"/>
  </sheetPr>
  <dimension ref="A1:V110"/>
  <sheetViews>
    <sheetView showZeros="0" view="pageBreakPreview" topLeftCell="A92" zoomScale="85" zoomScaleNormal="100" zoomScaleSheetLayoutView="85" workbookViewId="0">
      <selection activeCell="D96" sqref="D96:S9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149</v>
      </c>
      <c r="S1" s="134"/>
      <c r="T1" s="2" t="s">
        <v>109</v>
      </c>
    </row>
    <row r="2" spans="1:22" ht="18.75" customHeight="1" x14ac:dyDescent="0.15">
      <c r="B2" s="33" t="s">
        <v>108</v>
      </c>
      <c r="C2" s="89" t="s">
        <v>126</v>
      </c>
      <c r="D2" s="90"/>
      <c r="E2" s="90"/>
      <c r="F2" s="90"/>
      <c r="G2" s="90"/>
      <c r="H2" s="90"/>
      <c r="I2" s="91"/>
      <c r="J2" s="34"/>
      <c r="K2" s="6"/>
      <c r="L2" s="6"/>
      <c r="M2" s="6"/>
      <c r="N2" s="6"/>
      <c r="O2" s="6"/>
      <c r="P2" s="6"/>
      <c r="Q2" s="6"/>
      <c r="R2" s="6"/>
      <c r="S2" s="6"/>
    </row>
    <row r="3" spans="1:22" ht="18.75" customHeight="1" x14ac:dyDescent="0.15">
      <c r="B3" s="33" t="s">
        <v>102</v>
      </c>
      <c r="C3" s="138" t="s">
        <v>127</v>
      </c>
      <c r="D3" s="139"/>
      <c r="E3" s="139"/>
      <c r="F3" s="139"/>
      <c r="G3" s="139"/>
      <c r="H3" s="139"/>
      <c r="I3" s="14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41" t="s">
        <v>38</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51" t="s">
        <v>128</v>
      </c>
      <c r="L7" s="152"/>
      <c r="M7" s="152"/>
      <c r="N7" s="152"/>
      <c r="O7" s="152"/>
      <c r="P7" s="152"/>
      <c r="Q7" s="152"/>
      <c r="R7" s="152"/>
      <c r="S7" s="15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4" t="s">
        <v>150</v>
      </c>
      <c r="C9" s="155"/>
      <c r="D9" s="155"/>
      <c r="E9" s="155"/>
      <c r="F9" s="155"/>
      <c r="G9" s="155"/>
      <c r="H9" s="155"/>
      <c r="I9" s="155"/>
      <c r="J9" s="155"/>
      <c r="K9" s="155"/>
      <c r="L9" s="155"/>
      <c r="M9" s="155"/>
      <c r="N9" s="155"/>
      <c r="O9" s="155"/>
      <c r="P9" s="155"/>
      <c r="Q9" s="155"/>
      <c r="R9" s="155"/>
      <c r="S9" s="156"/>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42" t="s">
        <v>161</v>
      </c>
      <c r="C13" s="143"/>
      <c r="D13" s="143"/>
      <c r="E13" s="143"/>
      <c r="F13" s="143"/>
      <c r="G13" s="143"/>
      <c r="H13" s="143"/>
      <c r="I13" s="143"/>
      <c r="J13" s="143"/>
      <c r="K13" s="143"/>
      <c r="L13" s="143"/>
      <c r="M13" s="143"/>
      <c r="N13" s="143"/>
      <c r="O13" s="143"/>
      <c r="P13" s="143"/>
      <c r="Q13" s="143"/>
      <c r="R13" s="143"/>
      <c r="S13" s="144"/>
      <c r="V13" s="1" t="s">
        <v>103</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110</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123</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125</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89">
        <v>6</v>
      </c>
      <c r="D20" s="91"/>
      <c r="E20" s="39" t="s">
        <v>95</v>
      </c>
      <c r="G20" s="9"/>
      <c r="H20" s="3"/>
      <c r="I20" s="3"/>
      <c r="J20" s="34" t="s">
        <v>121</v>
      </c>
      <c r="K20" s="135" t="s">
        <v>125</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53</v>
      </c>
      <c r="C24" s="90"/>
      <c r="D24" s="90"/>
      <c r="E24" s="91"/>
      <c r="F24" s="60" t="s">
        <v>80</v>
      </c>
      <c r="G24" s="59" t="s">
        <v>84</v>
      </c>
      <c r="H24" s="21" t="s">
        <v>56</v>
      </c>
      <c r="I24" s="21" t="s">
        <v>59</v>
      </c>
      <c r="J24" s="89" t="s">
        <v>53</v>
      </c>
      <c r="K24" s="90"/>
      <c r="L24" s="90"/>
      <c r="M24" s="90"/>
      <c r="N24" s="90"/>
      <c r="O24" s="91"/>
      <c r="P24" s="60" t="s">
        <v>80</v>
      </c>
      <c r="Q24" s="59" t="s">
        <v>84</v>
      </c>
      <c r="R24" s="21" t="s">
        <v>56</v>
      </c>
      <c r="S24" s="21" t="s">
        <v>59</v>
      </c>
    </row>
    <row r="25" spans="1:19" ht="18" customHeight="1" x14ac:dyDescent="0.15">
      <c r="B25" s="83" t="s">
        <v>129</v>
      </c>
      <c r="C25" s="84"/>
      <c r="D25" s="84"/>
      <c r="E25" s="85"/>
      <c r="F25" s="22">
        <v>2</v>
      </c>
      <c r="G25" s="22" t="s">
        <v>130</v>
      </c>
      <c r="H25" s="22" t="s">
        <v>130</v>
      </c>
      <c r="I25" s="22" t="s">
        <v>130</v>
      </c>
      <c r="J25" s="83"/>
      <c r="K25" s="84"/>
      <c r="L25" s="84"/>
      <c r="M25" s="84"/>
      <c r="N25" s="84"/>
      <c r="O25" s="85"/>
      <c r="P25" s="22"/>
      <c r="Q25" s="22"/>
      <c r="R25" s="22"/>
      <c r="S25" s="22"/>
    </row>
    <row r="26" spans="1:19" ht="18" customHeight="1" x14ac:dyDescent="0.15">
      <c r="B26" s="86"/>
      <c r="C26" s="87"/>
      <c r="D26" s="87"/>
      <c r="E26" s="88"/>
      <c r="F26" s="23"/>
      <c r="G26" s="23"/>
      <c r="H26" s="23"/>
      <c r="I26" s="23"/>
      <c r="J26" s="86"/>
      <c r="K26" s="87"/>
      <c r="L26" s="87"/>
      <c r="M26" s="87"/>
      <c r="N26" s="87"/>
      <c r="O26" s="88"/>
      <c r="P26" s="23"/>
      <c r="Q26" s="23"/>
      <c r="R26" s="23"/>
      <c r="S26" s="23"/>
    </row>
    <row r="27" spans="1:19" ht="18" customHeight="1" x14ac:dyDescent="0.15">
      <c r="B27" s="86"/>
      <c r="C27" s="87"/>
      <c r="D27" s="87"/>
      <c r="E27" s="88"/>
      <c r="F27" s="23"/>
      <c r="G27" s="23"/>
      <c r="H27" s="23"/>
      <c r="I27" s="23"/>
      <c r="J27" s="86"/>
      <c r="K27" s="87"/>
      <c r="L27" s="87"/>
      <c r="M27" s="87"/>
      <c r="N27" s="87"/>
      <c r="O27" s="88"/>
      <c r="P27" s="23"/>
      <c r="Q27" s="23"/>
      <c r="R27" s="23"/>
      <c r="S27" s="23"/>
    </row>
    <row r="28" spans="1:19" ht="18" customHeight="1" x14ac:dyDescent="0.15">
      <c r="B28" s="86"/>
      <c r="C28" s="87"/>
      <c r="D28" s="87"/>
      <c r="E28" s="88"/>
      <c r="F28" s="23"/>
      <c r="G28" s="23"/>
      <c r="H28" s="23"/>
      <c r="I28" s="23"/>
      <c r="J28" s="86"/>
      <c r="K28" s="87"/>
      <c r="L28" s="87"/>
      <c r="M28" s="87"/>
      <c r="N28" s="87"/>
      <c r="O28" s="88"/>
      <c r="P28" s="23"/>
      <c r="Q28" s="23"/>
      <c r="R28" s="23"/>
      <c r="S28" s="23"/>
    </row>
    <row r="29" spans="1:19" ht="18" customHeight="1" x14ac:dyDescent="0.15">
      <c r="B29" s="86"/>
      <c r="C29" s="87"/>
      <c r="D29" s="87"/>
      <c r="E29" s="88"/>
      <c r="F29" s="23"/>
      <c r="G29" s="23"/>
      <c r="H29" s="23"/>
      <c r="I29" s="23"/>
      <c r="J29" s="86"/>
      <c r="K29" s="87"/>
      <c r="L29" s="87"/>
      <c r="M29" s="87"/>
      <c r="N29" s="87"/>
      <c r="O29" s="88"/>
      <c r="P29" s="23"/>
      <c r="Q29" s="23"/>
      <c r="R29" s="23"/>
      <c r="S29" s="23"/>
    </row>
    <row r="30" spans="1:19" ht="18" customHeight="1" x14ac:dyDescent="0.15">
      <c r="A30" s="3"/>
      <c r="B30" s="86"/>
      <c r="C30" s="87"/>
      <c r="D30" s="87"/>
      <c r="E30" s="88"/>
      <c r="F30" s="23"/>
      <c r="G30" s="23"/>
      <c r="H30" s="23"/>
      <c r="I30" s="23"/>
      <c r="J30" s="86"/>
      <c r="K30" s="87"/>
      <c r="L30" s="87"/>
      <c r="M30" s="87"/>
      <c r="N30" s="87"/>
      <c r="O30" s="88"/>
      <c r="P30" s="23"/>
      <c r="Q30" s="23"/>
      <c r="R30" s="23"/>
      <c r="S30" s="23"/>
    </row>
    <row r="31" spans="1:19" ht="18" customHeight="1" x14ac:dyDescent="0.15">
      <c r="A31" s="3"/>
      <c r="B31" s="92"/>
      <c r="C31" s="93"/>
      <c r="D31" s="93"/>
      <c r="E31" s="94"/>
      <c r="F31" s="24"/>
      <c r="G31" s="24"/>
      <c r="H31" s="25"/>
      <c r="I31" s="25"/>
      <c r="J31" s="92"/>
      <c r="K31" s="93"/>
      <c r="L31" s="93"/>
      <c r="M31" s="93"/>
      <c r="N31" s="93"/>
      <c r="O31" s="94"/>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53</v>
      </c>
      <c r="C35" s="90"/>
      <c r="D35" s="90"/>
      <c r="E35" s="91"/>
      <c r="F35" s="60" t="s">
        <v>80</v>
      </c>
      <c r="G35" s="59" t="s">
        <v>84</v>
      </c>
      <c r="H35" s="21" t="s">
        <v>71</v>
      </c>
      <c r="I35" s="21" t="s">
        <v>72</v>
      </c>
      <c r="J35" s="89" t="s">
        <v>53</v>
      </c>
      <c r="K35" s="90"/>
      <c r="L35" s="90"/>
      <c r="M35" s="90"/>
      <c r="N35" s="90"/>
      <c r="O35" s="91"/>
      <c r="P35" s="60" t="s">
        <v>80</v>
      </c>
      <c r="Q35" s="59" t="s">
        <v>84</v>
      </c>
      <c r="R35" s="21" t="s">
        <v>71</v>
      </c>
      <c r="S35" s="21" t="s">
        <v>72</v>
      </c>
    </row>
    <row r="36" spans="1:19" ht="18" customHeight="1" x14ac:dyDescent="0.15">
      <c r="B36" s="83" t="s">
        <v>151</v>
      </c>
      <c r="C36" s="84"/>
      <c r="D36" s="84"/>
      <c r="E36" s="85"/>
      <c r="F36" s="22">
        <v>2</v>
      </c>
      <c r="G36" s="22"/>
      <c r="H36" s="22" t="s">
        <v>130</v>
      </c>
      <c r="I36" s="22" t="s">
        <v>130</v>
      </c>
      <c r="J36" s="83"/>
      <c r="K36" s="84"/>
      <c r="L36" s="84"/>
      <c r="M36" s="84"/>
      <c r="N36" s="84"/>
      <c r="O36" s="85"/>
      <c r="P36" s="22"/>
      <c r="Q36" s="22"/>
      <c r="R36" s="22"/>
      <c r="S36" s="22"/>
    </row>
    <row r="37" spans="1:19" ht="18" customHeight="1" x14ac:dyDescent="0.15">
      <c r="B37" s="86" t="s">
        <v>152</v>
      </c>
      <c r="C37" s="87"/>
      <c r="D37" s="87"/>
      <c r="E37" s="88"/>
      <c r="F37" s="23">
        <v>2</v>
      </c>
      <c r="G37" s="23"/>
      <c r="H37" s="23" t="s">
        <v>130</v>
      </c>
      <c r="I37" s="23" t="s">
        <v>130</v>
      </c>
      <c r="J37" s="86"/>
      <c r="K37" s="87"/>
      <c r="L37" s="87"/>
      <c r="M37" s="87"/>
      <c r="N37" s="87"/>
      <c r="O37" s="88"/>
      <c r="P37" s="23"/>
      <c r="Q37" s="23"/>
      <c r="R37" s="23"/>
      <c r="S37" s="23"/>
    </row>
    <row r="38" spans="1:19" ht="18" customHeight="1" x14ac:dyDescent="0.15">
      <c r="B38" s="86" t="s">
        <v>153</v>
      </c>
      <c r="C38" s="87"/>
      <c r="D38" s="87"/>
      <c r="E38" s="88"/>
      <c r="F38" s="23">
        <v>2</v>
      </c>
      <c r="G38" s="23"/>
      <c r="H38" s="23" t="s">
        <v>130</v>
      </c>
      <c r="I38" s="23" t="s">
        <v>130</v>
      </c>
      <c r="J38" s="86"/>
      <c r="K38" s="87"/>
      <c r="L38" s="87"/>
      <c r="M38" s="87"/>
      <c r="N38" s="87"/>
      <c r="O38" s="88"/>
      <c r="P38" s="23"/>
      <c r="Q38" s="23"/>
      <c r="R38" s="23"/>
      <c r="S38" s="23"/>
    </row>
    <row r="39" spans="1:19" ht="18" customHeight="1" x14ac:dyDescent="0.15">
      <c r="B39" s="86" t="s">
        <v>154</v>
      </c>
      <c r="C39" s="87"/>
      <c r="D39" s="87"/>
      <c r="E39" s="88"/>
      <c r="F39" s="23">
        <v>2</v>
      </c>
      <c r="G39" s="23"/>
      <c r="H39" s="23" t="s">
        <v>130</v>
      </c>
      <c r="I39" s="23" t="s">
        <v>130</v>
      </c>
      <c r="J39" s="86"/>
      <c r="K39" s="87"/>
      <c r="L39" s="87"/>
      <c r="M39" s="87"/>
      <c r="N39" s="87"/>
      <c r="O39" s="88"/>
      <c r="P39" s="23"/>
      <c r="Q39" s="23"/>
      <c r="R39" s="23"/>
      <c r="S39" s="23"/>
    </row>
    <row r="40" spans="1:19" ht="18" customHeight="1" x14ac:dyDescent="0.15">
      <c r="B40" s="86" t="s">
        <v>155</v>
      </c>
      <c r="C40" s="87"/>
      <c r="D40" s="87"/>
      <c r="E40" s="88"/>
      <c r="F40" s="23">
        <v>2</v>
      </c>
      <c r="G40" s="23"/>
      <c r="H40" s="23" t="s">
        <v>130</v>
      </c>
      <c r="I40" s="23" t="s">
        <v>130</v>
      </c>
      <c r="J40" s="86"/>
      <c r="K40" s="87"/>
      <c r="L40" s="87"/>
      <c r="M40" s="87"/>
      <c r="N40" s="87"/>
      <c r="O40" s="88"/>
      <c r="P40" s="23"/>
      <c r="Q40" s="23"/>
      <c r="R40" s="23"/>
      <c r="S40" s="23"/>
    </row>
    <row r="41" spans="1:19" ht="18" customHeight="1" x14ac:dyDescent="0.15">
      <c r="B41" s="86" t="s">
        <v>156</v>
      </c>
      <c r="C41" s="87"/>
      <c r="D41" s="87"/>
      <c r="E41" s="88"/>
      <c r="F41" s="23">
        <v>2</v>
      </c>
      <c r="G41" s="23"/>
      <c r="H41" s="23" t="s">
        <v>130</v>
      </c>
      <c r="I41" s="23" t="s">
        <v>130</v>
      </c>
      <c r="J41" s="86"/>
      <c r="K41" s="87"/>
      <c r="L41" s="87"/>
      <c r="M41" s="87"/>
      <c r="N41" s="87"/>
      <c r="O41" s="88"/>
      <c r="P41" s="23"/>
      <c r="Q41" s="23"/>
      <c r="R41" s="23"/>
      <c r="S41" s="23"/>
    </row>
    <row r="42" spans="1:19" ht="18" customHeight="1" x14ac:dyDescent="0.15">
      <c r="B42" s="92"/>
      <c r="C42" s="93"/>
      <c r="D42" s="93"/>
      <c r="E42" s="94"/>
      <c r="F42" s="24"/>
      <c r="G42" s="24"/>
      <c r="H42" s="25"/>
      <c r="I42" s="25"/>
      <c r="J42" s="92"/>
      <c r="K42" s="93"/>
      <c r="L42" s="93"/>
      <c r="M42" s="93"/>
      <c r="N42" s="93"/>
      <c r="O42" s="94"/>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53</v>
      </c>
      <c r="C46" s="90"/>
      <c r="D46" s="90"/>
      <c r="E46" s="91"/>
      <c r="F46" s="60" t="s">
        <v>80</v>
      </c>
      <c r="G46" s="59" t="s">
        <v>84</v>
      </c>
      <c r="H46" s="21" t="s">
        <v>73</v>
      </c>
      <c r="I46" s="21" t="s">
        <v>74</v>
      </c>
      <c r="J46" s="89" t="s">
        <v>53</v>
      </c>
      <c r="K46" s="90"/>
      <c r="L46" s="90"/>
      <c r="M46" s="90"/>
      <c r="N46" s="90"/>
      <c r="O46" s="91"/>
      <c r="P46" s="60" t="s">
        <v>80</v>
      </c>
      <c r="Q46" s="59" t="s">
        <v>84</v>
      </c>
      <c r="R46" s="21" t="s">
        <v>73</v>
      </c>
      <c r="S46" s="21" t="s">
        <v>74</v>
      </c>
    </row>
    <row r="47" spans="1:19" ht="18" customHeight="1" x14ac:dyDescent="0.15">
      <c r="A47" s="3"/>
      <c r="B47" s="83" t="s">
        <v>129</v>
      </c>
      <c r="C47" s="84"/>
      <c r="D47" s="84"/>
      <c r="E47" s="85"/>
      <c r="F47" s="22">
        <v>2</v>
      </c>
      <c r="G47" s="22" t="s">
        <v>130</v>
      </c>
      <c r="H47" s="22" t="s">
        <v>130</v>
      </c>
      <c r="I47" s="22" t="s">
        <v>130</v>
      </c>
      <c r="J47" s="83"/>
      <c r="K47" s="84"/>
      <c r="L47" s="84"/>
      <c r="M47" s="84"/>
      <c r="N47" s="84"/>
      <c r="O47" s="85"/>
      <c r="P47" s="22"/>
      <c r="Q47" s="22"/>
      <c r="R47" s="22"/>
      <c r="S47" s="22"/>
    </row>
    <row r="48" spans="1:19" ht="18" customHeight="1" x14ac:dyDescent="0.15">
      <c r="A48" s="3"/>
      <c r="B48" s="86"/>
      <c r="C48" s="87"/>
      <c r="D48" s="87"/>
      <c r="E48" s="88"/>
      <c r="F48" s="23"/>
      <c r="G48" s="23"/>
      <c r="H48" s="23"/>
      <c r="I48" s="23"/>
      <c r="J48" s="86"/>
      <c r="K48" s="87"/>
      <c r="L48" s="87"/>
      <c r="M48" s="87"/>
      <c r="N48" s="87"/>
      <c r="O48" s="88"/>
      <c r="P48" s="23"/>
      <c r="Q48" s="23"/>
      <c r="R48" s="23"/>
      <c r="S48" s="23"/>
    </row>
    <row r="49" spans="1:19" ht="18" customHeight="1" x14ac:dyDescent="0.15">
      <c r="A49" s="3"/>
      <c r="B49" s="86"/>
      <c r="C49" s="87"/>
      <c r="D49" s="87"/>
      <c r="E49" s="88"/>
      <c r="F49" s="23"/>
      <c r="G49" s="23"/>
      <c r="H49" s="23"/>
      <c r="I49" s="23"/>
      <c r="J49" s="86"/>
      <c r="K49" s="87"/>
      <c r="L49" s="87"/>
      <c r="M49" s="87"/>
      <c r="N49" s="87"/>
      <c r="O49" s="88"/>
      <c r="P49" s="23"/>
      <c r="Q49" s="23"/>
      <c r="R49" s="23"/>
      <c r="S49" s="23"/>
    </row>
    <row r="50" spans="1:19" ht="18" customHeight="1" x14ac:dyDescent="0.15">
      <c r="A50" s="3"/>
      <c r="B50" s="86"/>
      <c r="C50" s="87"/>
      <c r="D50" s="87"/>
      <c r="E50" s="88"/>
      <c r="F50" s="23"/>
      <c r="G50" s="23"/>
      <c r="H50" s="23"/>
      <c r="I50" s="23"/>
      <c r="J50" s="86"/>
      <c r="K50" s="87"/>
      <c r="L50" s="87"/>
      <c r="M50" s="87"/>
      <c r="N50" s="87"/>
      <c r="O50" s="88"/>
      <c r="P50" s="23"/>
      <c r="Q50" s="23"/>
      <c r="R50" s="23"/>
      <c r="S50" s="23"/>
    </row>
    <row r="51" spans="1:19" ht="18" customHeight="1" x14ac:dyDescent="0.15">
      <c r="A51" s="3"/>
      <c r="B51" s="86"/>
      <c r="C51" s="87"/>
      <c r="D51" s="87"/>
      <c r="E51" s="88"/>
      <c r="F51" s="23"/>
      <c r="G51" s="23"/>
      <c r="H51" s="23"/>
      <c r="I51" s="23"/>
      <c r="J51" s="86"/>
      <c r="K51" s="87"/>
      <c r="L51" s="87"/>
      <c r="M51" s="87"/>
      <c r="N51" s="87"/>
      <c r="O51" s="88"/>
      <c r="P51" s="23"/>
      <c r="Q51" s="23"/>
      <c r="R51" s="23"/>
      <c r="S51" s="23"/>
    </row>
    <row r="52" spans="1:19" ht="18" customHeight="1" x14ac:dyDescent="0.15">
      <c r="A52" s="3"/>
      <c r="B52" s="86"/>
      <c r="C52" s="87"/>
      <c r="D52" s="87"/>
      <c r="E52" s="88"/>
      <c r="F52" s="23"/>
      <c r="G52" s="23"/>
      <c r="H52" s="23"/>
      <c r="I52" s="23"/>
      <c r="J52" s="86"/>
      <c r="K52" s="87"/>
      <c r="L52" s="87"/>
      <c r="M52" s="87"/>
      <c r="N52" s="87"/>
      <c r="O52" s="88"/>
      <c r="P52" s="23"/>
      <c r="Q52" s="23"/>
      <c r="R52" s="23"/>
      <c r="S52" s="23"/>
    </row>
    <row r="53" spans="1:19" ht="18" customHeight="1" x14ac:dyDescent="0.15">
      <c r="A53" s="3"/>
      <c r="B53" s="92"/>
      <c r="C53" s="93"/>
      <c r="D53" s="93"/>
      <c r="E53" s="94"/>
      <c r="F53" s="24"/>
      <c r="G53" s="24"/>
      <c r="H53" s="25"/>
      <c r="I53" s="25"/>
      <c r="J53" s="92"/>
      <c r="K53" s="93"/>
      <c r="L53" s="93"/>
      <c r="M53" s="93"/>
      <c r="N53" s="93"/>
      <c r="O53" s="94"/>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53</v>
      </c>
      <c r="C57" s="90"/>
      <c r="D57" s="90"/>
      <c r="E57" s="91"/>
      <c r="F57" s="60" t="s">
        <v>80</v>
      </c>
      <c r="G57" s="59" t="s">
        <v>84</v>
      </c>
      <c r="H57" s="21" t="s">
        <v>58</v>
      </c>
      <c r="I57" s="21" t="s">
        <v>60</v>
      </c>
      <c r="J57" s="89" t="s">
        <v>53</v>
      </c>
      <c r="K57" s="90"/>
      <c r="L57" s="90"/>
      <c r="M57" s="90"/>
      <c r="N57" s="90"/>
      <c r="O57" s="91"/>
      <c r="P57" s="60" t="s">
        <v>80</v>
      </c>
      <c r="Q57" s="59" t="s">
        <v>84</v>
      </c>
      <c r="R57" s="21" t="s">
        <v>58</v>
      </c>
      <c r="S57" s="21" t="s">
        <v>60</v>
      </c>
    </row>
    <row r="58" spans="1:19" ht="18" customHeight="1" x14ac:dyDescent="0.15">
      <c r="A58" s="3"/>
      <c r="B58" s="83" t="s">
        <v>129</v>
      </c>
      <c r="C58" s="84"/>
      <c r="D58" s="84"/>
      <c r="E58" s="85"/>
      <c r="F58" s="22">
        <v>2</v>
      </c>
      <c r="G58" s="22" t="s">
        <v>130</v>
      </c>
      <c r="H58" s="22" t="s">
        <v>130</v>
      </c>
      <c r="I58" s="22" t="s">
        <v>130</v>
      </c>
      <c r="J58" s="83"/>
      <c r="K58" s="84"/>
      <c r="L58" s="84"/>
      <c r="M58" s="84"/>
      <c r="N58" s="84"/>
      <c r="O58" s="85"/>
      <c r="P58" s="22"/>
      <c r="Q58" s="22"/>
      <c r="R58" s="22"/>
      <c r="S58" s="22"/>
    </row>
    <row r="59" spans="1:19" ht="18" customHeight="1" x14ac:dyDescent="0.15">
      <c r="A59" s="3"/>
      <c r="B59" s="86"/>
      <c r="C59" s="87"/>
      <c r="D59" s="87"/>
      <c r="E59" s="88"/>
      <c r="F59" s="23"/>
      <c r="G59" s="23"/>
      <c r="H59" s="23"/>
      <c r="I59" s="23"/>
      <c r="J59" s="86"/>
      <c r="K59" s="87"/>
      <c r="L59" s="87"/>
      <c r="M59" s="87"/>
      <c r="N59" s="87"/>
      <c r="O59" s="88"/>
      <c r="P59" s="23"/>
      <c r="Q59" s="23"/>
      <c r="R59" s="23"/>
      <c r="S59" s="23"/>
    </row>
    <row r="60" spans="1:19" ht="18" customHeight="1" x14ac:dyDescent="0.15">
      <c r="A60" s="3"/>
      <c r="B60" s="86"/>
      <c r="C60" s="87"/>
      <c r="D60" s="87"/>
      <c r="E60" s="88"/>
      <c r="F60" s="23"/>
      <c r="G60" s="23"/>
      <c r="H60" s="23"/>
      <c r="I60" s="23"/>
      <c r="J60" s="86"/>
      <c r="K60" s="87"/>
      <c r="L60" s="87"/>
      <c r="M60" s="87"/>
      <c r="N60" s="87"/>
      <c r="O60" s="88"/>
      <c r="P60" s="23"/>
      <c r="Q60" s="23"/>
      <c r="R60" s="23"/>
      <c r="S60" s="23"/>
    </row>
    <row r="61" spans="1:19" ht="18" customHeight="1" x14ac:dyDescent="0.15">
      <c r="A61" s="3"/>
      <c r="B61" s="86"/>
      <c r="C61" s="87"/>
      <c r="D61" s="87"/>
      <c r="E61" s="88"/>
      <c r="F61" s="23"/>
      <c r="G61" s="23"/>
      <c r="H61" s="23"/>
      <c r="I61" s="23"/>
      <c r="J61" s="86"/>
      <c r="K61" s="87"/>
      <c r="L61" s="87"/>
      <c r="M61" s="87"/>
      <c r="N61" s="87"/>
      <c r="O61" s="88"/>
      <c r="P61" s="23"/>
      <c r="Q61" s="23"/>
      <c r="R61" s="23"/>
      <c r="S61" s="23"/>
    </row>
    <row r="62" spans="1:19" ht="18" customHeight="1" x14ac:dyDescent="0.15">
      <c r="A62" s="3"/>
      <c r="B62" s="86"/>
      <c r="C62" s="87"/>
      <c r="D62" s="87"/>
      <c r="E62" s="88"/>
      <c r="F62" s="23"/>
      <c r="G62" s="23"/>
      <c r="H62" s="23"/>
      <c r="I62" s="23"/>
      <c r="J62" s="86"/>
      <c r="K62" s="87"/>
      <c r="L62" s="87"/>
      <c r="M62" s="87"/>
      <c r="N62" s="87"/>
      <c r="O62" s="88"/>
      <c r="P62" s="23"/>
      <c r="Q62" s="23"/>
      <c r="R62" s="23"/>
      <c r="S62" s="23"/>
    </row>
    <row r="63" spans="1:19" ht="18" customHeight="1" x14ac:dyDescent="0.15">
      <c r="A63" s="3"/>
      <c r="B63" s="86"/>
      <c r="C63" s="87"/>
      <c r="D63" s="87"/>
      <c r="E63" s="88"/>
      <c r="F63" s="23"/>
      <c r="G63" s="23"/>
      <c r="H63" s="23"/>
      <c r="I63" s="23"/>
      <c r="J63" s="86"/>
      <c r="K63" s="87"/>
      <c r="L63" s="87"/>
      <c r="M63" s="87"/>
      <c r="N63" s="87"/>
      <c r="O63" s="88"/>
      <c r="P63" s="23"/>
      <c r="Q63" s="23"/>
      <c r="R63" s="23"/>
      <c r="S63" s="23"/>
    </row>
    <row r="64" spans="1:19" ht="18" customHeight="1" x14ac:dyDescent="0.15">
      <c r="A64" s="3"/>
      <c r="B64" s="92"/>
      <c r="C64" s="93"/>
      <c r="D64" s="93"/>
      <c r="E64" s="94"/>
      <c r="F64" s="24"/>
      <c r="G64" s="24"/>
      <c r="H64" s="25"/>
      <c r="I64" s="25"/>
      <c r="J64" s="92"/>
      <c r="K64" s="93"/>
      <c r="L64" s="93"/>
      <c r="M64" s="93"/>
      <c r="N64" s="93"/>
      <c r="O64" s="94"/>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53</v>
      </c>
      <c r="C68" s="90"/>
      <c r="D68" s="90"/>
      <c r="E68" s="60" t="s">
        <v>80</v>
      </c>
      <c r="F68" s="59" t="s">
        <v>84</v>
      </c>
      <c r="G68" s="21" t="s">
        <v>101</v>
      </c>
      <c r="H68" s="21" t="s">
        <v>75</v>
      </c>
      <c r="I68" s="21" t="s">
        <v>76</v>
      </c>
      <c r="J68" s="89" t="s">
        <v>53</v>
      </c>
      <c r="K68" s="90"/>
      <c r="L68" s="90"/>
      <c r="M68" s="90"/>
      <c r="N68" s="91"/>
      <c r="O68" s="60" t="s">
        <v>80</v>
      </c>
      <c r="P68" s="59" t="s">
        <v>84</v>
      </c>
      <c r="Q68" s="21" t="s">
        <v>101</v>
      </c>
      <c r="R68" s="21" t="s">
        <v>75</v>
      </c>
      <c r="S68" s="21" t="s">
        <v>76</v>
      </c>
    </row>
    <row r="69" spans="1:19" ht="18" customHeight="1" x14ac:dyDescent="0.15">
      <c r="A69" s="3"/>
      <c r="B69" s="83" t="s">
        <v>131</v>
      </c>
      <c r="C69" s="84"/>
      <c r="D69" s="85"/>
      <c r="E69" s="22">
        <v>2</v>
      </c>
      <c r="F69" s="22"/>
      <c r="G69" s="22" t="s">
        <v>130</v>
      </c>
      <c r="H69" s="22" t="s">
        <v>130</v>
      </c>
      <c r="I69" s="22" t="s">
        <v>130</v>
      </c>
      <c r="J69" s="83"/>
      <c r="K69" s="84"/>
      <c r="L69" s="84"/>
      <c r="M69" s="84"/>
      <c r="N69" s="85"/>
      <c r="O69" s="22"/>
      <c r="P69" s="22"/>
      <c r="Q69" s="22"/>
      <c r="R69" s="22"/>
      <c r="S69" s="22"/>
    </row>
    <row r="70" spans="1:19" ht="18" customHeight="1" x14ac:dyDescent="0.15">
      <c r="A70" s="3"/>
      <c r="B70" s="86" t="s">
        <v>132</v>
      </c>
      <c r="C70" s="87"/>
      <c r="D70" s="88"/>
      <c r="E70" s="23">
        <v>2</v>
      </c>
      <c r="F70" s="23"/>
      <c r="G70" s="23" t="s">
        <v>130</v>
      </c>
      <c r="H70" s="23" t="s">
        <v>130</v>
      </c>
      <c r="I70" s="23" t="s">
        <v>130</v>
      </c>
      <c r="J70" s="86"/>
      <c r="K70" s="87"/>
      <c r="L70" s="87"/>
      <c r="M70" s="87"/>
      <c r="N70" s="88"/>
      <c r="O70" s="23"/>
      <c r="P70" s="23"/>
      <c r="Q70" s="23"/>
      <c r="R70" s="23"/>
      <c r="S70" s="23"/>
    </row>
    <row r="71" spans="1:19" ht="18" customHeight="1" x14ac:dyDescent="0.15">
      <c r="A71" s="3"/>
      <c r="B71" s="86" t="s">
        <v>133</v>
      </c>
      <c r="C71" s="87"/>
      <c r="D71" s="88"/>
      <c r="E71" s="23">
        <v>2</v>
      </c>
      <c r="F71" s="23"/>
      <c r="G71" s="23" t="s">
        <v>130</v>
      </c>
      <c r="H71" s="23" t="s">
        <v>130</v>
      </c>
      <c r="I71" s="23" t="s">
        <v>130</v>
      </c>
      <c r="J71" s="86"/>
      <c r="K71" s="87"/>
      <c r="L71" s="87"/>
      <c r="M71" s="87"/>
      <c r="N71" s="88"/>
      <c r="O71" s="23"/>
      <c r="P71" s="23"/>
      <c r="Q71" s="23"/>
      <c r="R71" s="23"/>
      <c r="S71" s="23"/>
    </row>
    <row r="72" spans="1:19" ht="18" customHeight="1" x14ac:dyDescent="0.15">
      <c r="A72" s="3"/>
      <c r="B72" s="86"/>
      <c r="C72" s="87"/>
      <c r="D72" s="87"/>
      <c r="E72" s="23"/>
      <c r="F72" s="23"/>
      <c r="G72" s="23"/>
      <c r="H72" s="23"/>
      <c r="I72" s="23"/>
      <c r="J72" s="86"/>
      <c r="K72" s="87"/>
      <c r="L72" s="87"/>
      <c r="M72" s="87"/>
      <c r="N72" s="88"/>
      <c r="O72" s="23"/>
      <c r="P72" s="23"/>
      <c r="Q72" s="23"/>
      <c r="R72" s="23"/>
      <c r="S72" s="23"/>
    </row>
    <row r="73" spans="1:19" ht="18" customHeight="1" x14ac:dyDescent="0.15">
      <c r="A73" s="3"/>
      <c r="B73" s="86"/>
      <c r="C73" s="87"/>
      <c r="D73" s="87"/>
      <c r="E73" s="23"/>
      <c r="F73" s="23"/>
      <c r="G73" s="23"/>
      <c r="H73" s="23"/>
      <c r="I73" s="23"/>
      <c r="J73" s="86"/>
      <c r="K73" s="87"/>
      <c r="L73" s="87"/>
      <c r="M73" s="87"/>
      <c r="N73" s="88"/>
      <c r="O73" s="23"/>
      <c r="P73" s="23"/>
      <c r="Q73" s="23"/>
      <c r="R73" s="23"/>
      <c r="S73" s="23"/>
    </row>
    <row r="74" spans="1:19" ht="18" customHeight="1" x14ac:dyDescent="0.15">
      <c r="A74" s="3"/>
      <c r="B74" s="86"/>
      <c r="C74" s="87"/>
      <c r="D74" s="87"/>
      <c r="E74" s="23"/>
      <c r="F74" s="23"/>
      <c r="G74" s="23"/>
      <c r="H74" s="23"/>
      <c r="I74" s="23"/>
      <c r="J74" s="86"/>
      <c r="K74" s="87"/>
      <c r="L74" s="87"/>
      <c r="M74" s="87"/>
      <c r="N74" s="88"/>
      <c r="O74" s="23"/>
      <c r="P74" s="23"/>
      <c r="Q74" s="23"/>
      <c r="R74" s="23"/>
      <c r="S74" s="23"/>
    </row>
    <row r="75" spans="1:19" ht="18" customHeight="1" x14ac:dyDescent="0.15">
      <c r="A75" s="3"/>
      <c r="B75" s="92"/>
      <c r="C75" s="93"/>
      <c r="D75" s="93"/>
      <c r="E75" s="24"/>
      <c r="F75" s="24"/>
      <c r="G75" s="25"/>
      <c r="H75" s="25"/>
      <c r="I75" s="25"/>
      <c r="J75" s="92"/>
      <c r="K75" s="93"/>
      <c r="L75" s="93"/>
      <c r="M75" s="93"/>
      <c r="N75" s="94"/>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89" t="s">
        <v>53</v>
      </c>
      <c r="C78" s="90"/>
      <c r="D78" s="90"/>
      <c r="E78" s="91"/>
      <c r="F78" s="89" t="s">
        <v>82</v>
      </c>
      <c r="G78" s="90"/>
      <c r="H78" s="90"/>
      <c r="I78" s="91"/>
      <c r="J78" s="117" t="s">
        <v>53</v>
      </c>
      <c r="K78" s="118"/>
      <c r="L78" s="118"/>
      <c r="M78" s="118"/>
      <c r="N78" s="118"/>
      <c r="O78" s="119"/>
      <c r="P78" s="89" t="s">
        <v>82</v>
      </c>
      <c r="Q78" s="90"/>
      <c r="R78" s="90"/>
      <c r="S78" s="91"/>
    </row>
    <row r="79" spans="1:19" ht="18" customHeight="1" x14ac:dyDescent="0.15">
      <c r="A79" s="3"/>
      <c r="B79" s="83"/>
      <c r="C79" s="84"/>
      <c r="D79" s="84"/>
      <c r="E79" s="85"/>
      <c r="F79" s="111"/>
      <c r="G79" s="112"/>
      <c r="H79" s="112"/>
      <c r="I79" s="113"/>
      <c r="J79" s="83"/>
      <c r="K79" s="84"/>
      <c r="L79" s="84"/>
      <c r="M79" s="84"/>
      <c r="N79" s="84"/>
      <c r="O79" s="85"/>
      <c r="P79" s="111"/>
      <c r="Q79" s="112"/>
      <c r="R79" s="112"/>
      <c r="S79" s="113"/>
    </row>
    <row r="80" spans="1:19" ht="18" customHeight="1" x14ac:dyDescent="0.15">
      <c r="A80" s="3"/>
      <c r="B80" s="86"/>
      <c r="C80" s="87"/>
      <c r="D80" s="87"/>
      <c r="E80" s="88"/>
      <c r="F80" s="114"/>
      <c r="G80" s="115"/>
      <c r="H80" s="115"/>
      <c r="I80" s="116"/>
      <c r="J80" s="86"/>
      <c r="K80" s="87"/>
      <c r="L80" s="87"/>
      <c r="M80" s="87"/>
      <c r="N80" s="87"/>
      <c r="O80" s="88"/>
      <c r="P80" s="114"/>
      <c r="Q80" s="115"/>
      <c r="R80" s="115"/>
      <c r="S80" s="116"/>
    </row>
    <row r="81" spans="1:19" ht="18" customHeight="1" x14ac:dyDescent="0.15">
      <c r="A81" s="3"/>
      <c r="B81" s="86"/>
      <c r="C81" s="87"/>
      <c r="D81" s="87"/>
      <c r="E81" s="88"/>
      <c r="F81" s="114"/>
      <c r="G81" s="115"/>
      <c r="H81" s="115"/>
      <c r="I81" s="116"/>
      <c r="J81" s="86"/>
      <c r="K81" s="87"/>
      <c r="L81" s="87"/>
      <c r="M81" s="87"/>
      <c r="N81" s="87"/>
      <c r="O81" s="88"/>
      <c r="P81" s="114"/>
      <c r="Q81" s="115"/>
      <c r="R81" s="115"/>
      <c r="S81" s="116"/>
    </row>
    <row r="82" spans="1:19" ht="18" customHeight="1" x14ac:dyDescent="0.15">
      <c r="A82" s="3"/>
      <c r="B82" s="86"/>
      <c r="C82" s="87"/>
      <c r="D82" s="87"/>
      <c r="E82" s="88"/>
      <c r="F82" s="114"/>
      <c r="G82" s="115"/>
      <c r="H82" s="115"/>
      <c r="I82" s="116"/>
      <c r="J82" s="86"/>
      <c r="K82" s="87"/>
      <c r="L82" s="87"/>
      <c r="M82" s="87"/>
      <c r="N82" s="87"/>
      <c r="O82" s="88"/>
      <c r="P82" s="114"/>
      <c r="Q82" s="115"/>
      <c r="R82" s="115"/>
      <c r="S82" s="116"/>
    </row>
    <row r="83" spans="1:19" ht="18" customHeight="1" x14ac:dyDescent="0.15">
      <c r="A83" s="3"/>
      <c r="B83" s="86"/>
      <c r="C83" s="87"/>
      <c r="D83" s="87"/>
      <c r="E83" s="88"/>
      <c r="F83" s="114"/>
      <c r="G83" s="115"/>
      <c r="H83" s="115"/>
      <c r="I83" s="116"/>
      <c r="J83" s="86"/>
      <c r="K83" s="87"/>
      <c r="L83" s="87"/>
      <c r="M83" s="87"/>
      <c r="N83" s="87"/>
      <c r="O83" s="88"/>
      <c r="P83" s="114"/>
      <c r="Q83" s="115"/>
      <c r="R83" s="115"/>
      <c r="S83" s="116"/>
    </row>
    <row r="84" spans="1:19" ht="18" customHeight="1" x14ac:dyDescent="0.15">
      <c r="A84" s="3"/>
      <c r="B84" s="86"/>
      <c r="C84" s="87"/>
      <c r="D84" s="87"/>
      <c r="E84" s="88"/>
      <c r="F84" s="114"/>
      <c r="G84" s="115"/>
      <c r="H84" s="115"/>
      <c r="I84" s="116"/>
      <c r="J84" s="86"/>
      <c r="K84" s="87"/>
      <c r="L84" s="87"/>
      <c r="M84" s="87"/>
      <c r="N84" s="87"/>
      <c r="O84" s="88"/>
      <c r="P84" s="114"/>
      <c r="Q84" s="115"/>
      <c r="R84" s="115"/>
      <c r="S84" s="116"/>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07" t="s">
        <v>54</v>
      </c>
      <c r="C88" s="108"/>
      <c r="D88" s="90" t="s">
        <v>55</v>
      </c>
      <c r="E88" s="90"/>
      <c r="F88" s="90"/>
      <c r="G88" s="90"/>
      <c r="H88" s="90"/>
      <c r="I88" s="90"/>
      <c r="J88" s="90"/>
      <c r="K88" s="90"/>
      <c r="L88" s="90"/>
      <c r="M88" s="90"/>
      <c r="N88" s="90"/>
      <c r="O88" s="90"/>
      <c r="P88" s="90"/>
      <c r="Q88" s="90"/>
      <c r="R88" s="90"/>
      <c r="S88" s="91"/>
    </row>
    <row r="89" spans="1:19" ht="97.5" customHeight="1" x14ac:dyDescent="0.15">
      <c r="B89" s="96" t="s">
        <v>61</v>
      </c>
      <c r="C89" s="27" t="s">
        <v>56</v>
      </c>
      <c r="D89" s="105" t="s">
        <v>242</v>
      </c>
      <c r="E89" s="109"/>
      <c r="F89" s="109"/>
      <c r="G89" s="109"/>
      <c r="H89" s="109"/>
      <c r="I89" s="109"/>
      <c r="J89" s="109"/>
      <c r="K89" s="109"/>
      <c r="L89" s="109"/>
      <c r="M89" s="109"/>
      <c r="N89" s="109"/>
      <c r="O89" s="109"/>
      <c r="P89" s="109"/>
      <c r="Q89" s="109"/>
      <c r="R89" s="109"/>
      <c r="S89" s="110"/>
    </row>
    <row r="90" spans="1:19" ht="97.5" customHeight="1" x14ac:dyDescent="0.15">
      <c r="B90" s="97"/>
      <c r="C90" s="28" t="s">
        <v>77</v>
      </c>
      <c r="D90" s="123" t="s">
        <v>243</v>
      </c>
      <c r="E90" s="123"/>
      <c r="F90" s="123"/>
      <c r="G90" s="123"/>
      <c r="H90" s="123"/>
      <c r="I90" s="123"/>
      <c r="J90" s="123"/>
      <c r="K90" s="123"/>
      <c r="L90" s="123"/>
      <c r="M90" s="123"/>
      <c r="N90" s="123"/>
      <c r="O90" s="123"/>
      <c r="P90" s="123"/>
      <c r="Q90" s="123"/>
      <c r="R90" s="123"/>
      <c r="S90" s="124"/>
    </row>
    <row r="91" spans="1:19" ht="139.5" customHeight="1" x14ac:dyDescent="0.15">
      <c r="B91" s="96" t="s">
        <v>62</v>
      </c>
      <c r="C91" s="29" t="s">
        <v>71</v>
      </c>
      <c r="D91" s="125" t="s">
        <v>263</v>
      </c>
      <c r="E91" s="125"/>
      <c r="F91" s="125"/>
      <c r="G91" s="125"/>
      <c r="H91" s="125"/>
      <c r="I91" s="125"/>
      <c r="J91" s="125"/>
      <c r="K91" s="125"/>
      <c r="L91" s="125"/>
      <c r="M91" s="125"/>
      <c r="N91" s="125"/>
      <c r="O91" s="125"/>
      <c r="P91" s="125"/>
      <c r="Q91" s="125"/>
      <c r="R91" s="125"/>
      <c r="S91" s="160"/>
    </row>
    <row r="92" spans="1:19" ht="174.75" customHeight="1" x14ac:dyDescent="0.15">
      <c r="B92" s="98"/>
      <c r="C92" s="30" t="s">
        <v>72</v>
      </c>
      <c r="D92" s="125" t="s">
        <v>264</v>
      </c>
      <c r="E92" s="125"/>
      <c r="F92" s="125"/>
      <c r="G92" s="125"/>
      <c r="H92" s="125"/>
      <c r="I92" s="125"/>
      <c r="J92" s="125"/>
      <c r="K92" s="125"/>
      <c r="L92" s="125"/>
      <c r="M92" s="125"/>
      <c r="N92" s="125"/>
      <c r="O92" s="125"/>
      <c r="P92" s="125"/>
      <c r="Q92" s="125"/>
      <c r="R92" s="125"/>
      <c r="S92" s="160"/>
    </row>
    <row r="93" spans="1:19" ht="81.95" customHeight="1" x14ac:dyDescent="0.15">
      <c r="B93" s="96" t="s">
        <v>63</v>
      </c>
      <c r="C93" s="29" t="s">
        <v>73</v>
      </c>
      <c r="D93" s="125" t="s">
        <v>229</v>
      </c>
      <c r="E93" s="126"/>
      <c r="F93" s="126"/>
      <c r="G93" s="126"/>
      <c r="H93" s="126"/>
      <c r="I93" s="126"/>
      <c r="J93" s="126"/>
      <c r="K93" s="126"/>
      <c r="L93" s="126"/>
      <c r="M93" s="126"/>
      <c r="N93" s="126"/>
      <c r="O93" s="126"/>
      <c r="P93" s="126"/>
      <c r="Q93" s="126"/>
      <c r="R93" s="126"/>
      <c r="S93" s="127"/>
    </row>
    <row r="94" spans="1:19" ht="83.1" customHeight="1" x14ac:dyDescent="0.15">
      <c r="B94" s="98"/>
      <c r="C94" s="31" t="s">
        <v>74</v>
      </c>
      <c r="D94" s="128" t="s">
        <v>246</v>
      </c>
      <c r="E94" s="128"/>
      <c r="F94" s="128"/>
      <c r="G94" s="128"/>
      <c r="H94" s="128"/>
      <c r="I94" s="128"/>
      <c r="J94" s="128"/>
      <c r="K94" s="128"/>
      <c r="L94" s="128"/>
      <c r="M94" s="128"/>
      <c r="N94" s="128"/>
      <c r="O94" s="128"/>
      <c r="P94" s="128"/>
      <c r="Q94" s="128"/>
      <c r="R94" s="128"/>
      <c r="S94" s="129"/>
    </row>
    <row r="95" spans="1:19" ht="97.5" customHeight="1" x14ac:dyDescent="0.15">
      <c r="B95" s="96" t="s">
        <v>78</v>
      </c>
      <c r="C95" s="27" t="s">
        <v>58</v>
      </c>
      <c r="D95" s="105" t="s">
        <v>247</v>
      </c>
      <c r="E95" s="105"/>
      <c r="F95" s="105"/>
      <c r="G95" s="105"/>
      <c r="H95" s="105"/>
      <c r="I95" s="105"/>
      <c r="J95" s="105"/>
      <c r="K95" s="105"/>
      <c r="L95" s="105"/>
      <c r="M95" s="105"/>
      <c r="N95" s="105"/>
      <c r="O95" s="105"/>
      <c r="P95" s="105"/>
      <c r="Q95" s="105"/>
      <c r="R95" s="105"/>
      <c r="S95" s="106"/>
    </row>
    <row r="96" spans="1:19" ht="97.5" customHeight="1" x14ac:dyDescent="0.15">
      <c r="B96" s="98"/>
      <c r="C96" s="30" t="s">
        <v>60</v>
      </c>
      <c r="D96" s="130" t="s">
        <v>272</v>
      </c>
      <c r="E96" s="130"/>
      <c r="F96" s="130"/>
      <c r="G96" s="130"/>
      <c r="H96" s="130"/>
      <c r="I96" s="130"/>
      <c r="J96" s="130"/>
      <c r="K96" s="130"/>
      <c r="L96" s="130"/>
      <c r="M96" s="130"/>
      <c r="N96" s="130"/>
      <c r="O96" s="130"/>
      <c r="P96" s="130"/>
      <c r="Q96" s="130"/>
      <c r="R96" s="130"/>
      <c r="S96" s="133"/>
    </row>
    <row r="97" spans="1:19" ht="290.25" customHeight="1" x14ac:dyDescent="0.15">
      <c r="B97" s="96" t="s">
        <v>79</v>
      </c>
      <c r="C97" s="29" t="s">
        <v>57</v>
      </c>
      <c r="D97" s="100" t="s">
        <v>248</v>
      </c>
      <c r="E97" s="100"/>
      <c r="F97" s="100"/>
      <c r="G97" s="100"/>
      <c r="H97" s="100"/>
      <c r="I97" s="100"/>
      <c r="J97" s="100"/>
      <c r="K97" s="100"/>
      <c r="L97" s="100"/>
      <c r="M97" s="100"/>
      <c r="N97" s="100"/>
      <c r="O97" s="100"/>
      <c r="P97" s="100"/>
      <c r="Q97" s="100"/>
      <c r="R97" s="100"/>
      <c r="S97" s="101"/>
    </row>
    <row r="98" spans="1:19" ht="269.25" customHeight="1" x14ac:dyDescent="0.15">
      <c r="B98" s="97"/>
      <c r="C98" s="32" t="s">
        <v>75</v>
      </c>
      <c r="D98" s="100" t="s">
        <v>249</v>
      </c>
      <c r="E98" s="100"/>
      <c r="F98" s="100"/>
      <c r="G98" s="100"/>
      <c r="H98" s="100"/>
      <c r="I98" s="100"/>
      <c r="J98" s="100"/>
      <c r="K98" s="100"/>
      <c r="L98" s="100"/>
      <c r="M98" s="100"/>
      <c r="N98" s="100"/>
      <c r="O98" s="100"/>
      <c r="P98" s="100"/>
      <c r="Q98" s="100"/>
      <c r="R98" s="100"/>
      <c r="S98" s="101"/>
    </row>
    <row r="99" spans="1:19" ht="208.5" customHeight="1" x14ac:dyDescent="0.15">
      <c r="B99" s="98"/>
      <c r="C99" s="31" t="s">
        <v>76</v>
      </c>
      <c r="D99" s="102" t="s">
        <v>250</v>
      </c>
      <c r="E99" s="103"/>
      <c r="F99" s="103"/>
      <c r="G99" s="103"/>
      <c r="H99" s="103"/>
      <c r="I99" s="103"/>
      <c r="J99" s="103"/>
      <c r="K99" s="103"/>
      <c r="L99" s="103"/>
      <c r="M99" s="103"/>
      <c r="N99" s="103"/>
      <c r="O99" s="103"/>
      <c r="P99" s="103"/>
      <c r="Q99" s="103"/>
      <c r="R99" s="103"/>
      <c r="S99" s="104"/>
    </row>
    <row r="100" spans="1:19" ht="6" customHeight="1" x14ac:dyDescent="0.15"/>
    <row r="101" spans="1:19" ht="18.75" customHeight="1" x14ac:dyDescent="0.15">
      <c r="A101" s="1" t="s">
        <v>120</v>
      </c>
    </row>
    <row r="102" spans="1:19" ht="81.75" customHeight="1" x14ac:dyDescent="0.15">
      <c r="B102" s="102" t="s">
        <v>134</v>
      </c>
      <c r="C102" s="103"/>
      <c r="D102" s="103"/>
      <c r="E102" s="103"/>
      <c r="F102" s="103"/>
      <c r="G102" s="103"/>
      <c r="H102" s="103"/>
      <c r="I102" s="103"/>
      <c r="J102" s="103"/>
      <c r="K102" s="103"/>
      <c r="L102" s="103"/>
      <c r="M102" s="103"/>
      <c r="N102" s="103"/>
      <c r="O102" s="103"/>
      <c r="P102" s="103"/>
      <c r="Q102" s="103"/>
      <c r="R102" s="103"/>
      <c r="S102" s="104"/>
    </row>
    <row r="110" spans="1:19" ht="18" customHeight="1" x14ac:dyDescent="0.15"/>
  </sheetData>
  <customSheetViews>
    <customSheetView guid="{1C325414-5A0C-4C59-BA24-A8E2B4EC5171}" scale="85" showPageBreaks="1" zeroValues="0" fitToPage="1" printArea="1" hiddenColumns="1" view="pageBreakPreview">
      <selection activeCell="D97" sqref="D97:S97"/>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76C3A8B2-43E5-4491-B38D-7D6417DC209B}" scale="85" showPageBreaks="1" zeroValues="0" fitToPage="1" printArea="1" hiddenColumns="1" view="pageBreakPreview" topLeftCell="A90">
      <selection activeCell="D91" sqref="D91:S91"/>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 guid="{D1FD8C4C-CF69-45DF-A007-1EC45F0F0601}" scale="85" showPageBreaks="1" zeroValues="0" fitToPage="1" printArea="1" hiddenColumns="1" view="pageBreakPreview">
      <selection activeCell="D97" sqref="D97:S97"/>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4" fitToHeight="0" orientation="portrait" r:id="rId3"/>
      <headerFooter>
        <oddHeader>&amp;C数理・データサイエンス・AI教育プログラム認定制度【リテラシーレベル】</oddHeader>
      </headerFooter>
    </customSheetView>
    <customSheetView guid="{B3C66A88-0371-48C7-9AE2-6606C7EDAAFC}" scale="85" showPageBreaks="1" zeroValues="0" fitToPage="1" printArea="1" hiddenColumns="1" view="pageBreakPreview" topLeftCell="A112">
      <selection activeCell="AD48" sqref="AD4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4"/>
      <headerFooter>
        <oddHeader>&amp;C数理・データサイエンス・AI教育プログラム認定制度【リテラシーレベル】</oddHeader>
      </headerFooter>
    </customSheetView>
  </customSheetViews>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8" priority="1">
      <formula>$K$7="学部・学科によって、修了要件は相違しない"</formula>
    </cfRule>
  </conditionalFormatting>
  <dataValidations count="5">
    <dataValidation type="list" allowBlank="1" showInputMessage="1" showErrorMessage="1" sqref="G25:I31 Q25:S31 G36:I42 Q36:S42 P69:S75 Q47:S53 G47:I53 Q58:S64 G58:I64 F69:I75" xr:uid="{B2241267-0E36-4FE8-9B1A-9EC728071C81}">
      <formula1>"○"</formula1>
    </dataValidation>
    <dataValidation type="list" allowBlank="1" showInputMessage="1" showErrorMessage="1" sqref="S32 S43 D32:G32 D43:G43" xr:uid="{1C2F2718-0EC3-4165-926A-26B8A2C53949}">
      <formula1>"全学開講,一部開講"</formula1>
    </dataValidation>
    <dataValidation type="list" allowBlank="1" showInputMessage="1" showErrorMessage="1" sqref="K7 K12" xr:uid="{C73F6CFB-F803-4512-844C-00B03CC4F147}">
      <formula1>"学部・学科によって、修了要件は相違する,学部・学科によって、修了要件は相違しない"</formula1>
    </dataValidation>
    <dataValidation type="list" allowBlank="1" showInputMessage="1" showErrorMessage="1" sqref="F79:F86 P79:P86 G79:I80 G83:I86 Q83:S86 Q79:S80" xr:uid="{BA544D0B-DA04-4EAA-8551-229746EF01F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6737F100-CF65-49A7-A8A5-8BDB16356130}">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5"/>
  <headerFooter>
    <oddHeader>&amp;C数理・データサイエンス・AI教育プログラム認定制度【リテラシーレベル】</oddHeader>
  </headerFooter>
  <rowBreaks count="2" manualBreakCount="2">
    <brk id="65" max="18" man="1"/>
    <brk id="94" max="18"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7AB82-9EC2-444C-92D1-12E29B807FA2}">
  <sheetPr>
    <pageSetUpPr fitToPage="1"/>
  </sheetPr>
  <dimension ref="A1:V110"/>
  <sheetViews>
    <sheetView showZeros="0" view="pageBreakPreview" topLeftCell="A89" zoomScale="85" zoomScaleNormal="100" zoomScaleSheetLayoutView="85" workbookViewId="0">
      <selection activeCell="D96" sqref="D96:S9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159</v>
      </c>
      <c r="S1" s="134"/>
      <c r="T1" s="2" t="s">
        <v>109</v>
      </c>
    </row>
    <row r="2" spans="1:22" ht="18.75" customHeight="1" x14ac:dyDescent="0.15">
      <c r="B2" s="33" t="s">
        <v>108</v>
      </c>
      <c r="C2" s="89" t="s">
        <v>126</v>
      </c>
      <c r="D2" s="90"/>
      <c r="E2" s="90"/>
      <c r="F2" s="90"/>
      <c r="G2" s="90"/>
      <c r="H2" s="90"/>
      <c r="I2" s="91"/>
      <c r="J2" s="34"/>
      <c r="K2" s="6"/>
      <c r="L2" s="6"/>
      <c r="M2" s="6"/>
      <c r="N2" s="6"/>
      <c r="O2" s="6"/>
      <c r="P2" s="6"/>
      <c r="Q2" s="6"/>
      <c r="R2" s="6"/>
      <c r="S2" s="6"/>
    </row>
    <row r="3" spans="1:22" ht="18.75" customHeight="1" x14ac:dyDescent="0.15">
      <c r="B3" s="33" t="s">
        <v>102</v>
      </c>
      <c r="C3" s="138" t="s">
        <v>127</v>
      </c>
      <c r="D3" s="139"/>
      <c r="E3" s="139"/>
      <c r="F3" s="139"/>
      <c r="G3" s="139"/>
      <c r="H3" s="139"/>
      <c r="I3" s="14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41" t="s">
        <v>38</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51" t="s">
        <v>128</v>
      </c>
      <c r="L7" s="152"/>
      <c r="M7" s="152"/>
      <c r="N7" s="152"/>
      <c r="O7" s="152"/>
      <c r="P7" s="152"/>
      <c r="Q7" s="152"/>
      <c r="R7" s="152"/>
      <c r="S7" s="15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4" t="s">
        <v>160</v>
      </c>
      <c r="C9" s="155"/>
      <c r="D9" s="155"/>
      <c r="E9" s="155"/>
      <c r="F9" s="155"/>
      <c r="G9" s="155"/>
      <c r="H9" s="155"/>
      <c r="I9" s="155"/>
      <c r="J9" s="155"/>
      <c r="K9" s="155"/>
      <c r="L9" s="155"/>
      <c r="M9" s="155"/>
      <c r="N9" s="155"/>
      <c r="O9" s="155"/>
      <c r="P9" s="155"/>
      <c r="Q9" s="155"/>
      <c r="R9" s="155"/>
      <c r="S9" s="156"/>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42" t="s">
        <v>162</v>
      </c>
      <c r="C13" s="143"/>
      <c r="D13" s="143"/>
      <c r="E13" s="143"/>
      <c r="F13" s="143"/>
      <c r="G13" s="143"/>
      <c r="H13" s="143"/>
      <c r="I13" s="143"/>
      <c r="J13" s="143"/>
      <c r="K13" s="143"/>
      <c r="L13" s="143"/>
      <c r="M13" s="143"/>
      <c r="N13" s="143"/>
      <c r="O13" s="143"/>
      <c r="P13" s="143"/>
      <c r="Q13" s="143"/>
      <c r="R13" s="143"/>
      <c r="S13" s="144"/>
      <c r="V13" s="1" t="s">
        <v>103</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110</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123</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125</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89">
        <v>8</v>
      </c>
      <c r="D20" s="91"/>
      <c r="E20" s="39" t="s">
        <v>95</v>
      </c>
      <c r="G20" s="9"/>
      <c r="H20" s="3"/>
      <c r="I20" s="3"/>
      <c r="J20" s="34" t="s">
        <v>121</v>
      </c>
      <c r="K20" s="135" t="s">
        <v>125</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53</v>
      </c>
      <c r="C24" s="90"/>
      <c r="D24" s="90"/>
      <c r="E24" s="91"/>
      <c r="F24" s="60" t="s">
        <v>80</v>
      </c>
      <c r="G24" s="59" t="s">
        <v>84</v>
      </c>
      <c r="H24" s="21" t="s">
        <v>56</v>
      </c>
      <c r="I24" s="21" t="s">
        <v>59</v>
      </c>
      <c r="J24" s="89" t="s">
        <v>53</v>
      </c>
      <c r="K24" s="90"/>
      <c r="L24" s="90"/>
      <c r="M24" s="90"/>
      <c r="N24" s="90"/>
      <c r="O24" s="91"/>
      <c r="P24" s="60" t="s">
        <v>80</v>
      </c>
      <c r="Q24" s="59" t="s">
        <v>84</v>
      </c>
      <c r="R24" s="21" t="s">
        <v>56</v>
      </c>
      <c r="S24" s="21" t="s">
        <v>59</v>
      </c>
    </row>
    <row r="25" spans="1:19" ht="18" customHeight="1" x14ac:dyDescent="0.15">
      <c r="B25" s="83" t="s">
        <v>129</v>
      </c>
      <c r="C25" s="84"/>
      <c r="D25" s="84"/>
      <c r="E25" s="85"/>
      <c r="F25" s="22">
        <v>2</v>
      </c>
      <c r="G25" s="22" t="s">
        <v>130</v>
      </c>
      <c r="H25" s="22" t="s">
        <v>130</v>
      </c>
      <c r="I25" s="22" t="s">
        <v>130</v>
      </c>
      <c r="J25" s="83"/>
      <c r="K25" s="84"/>
      <c r="L25" s="84"/>
      <c r="M25" s="84"/>
      <c r="N25" s="84"/>
      <c r="O25" s="85"/>
      <c r="P25" s="22"/>
      <c r="Q25" s="22"/>
      <c r="R25" s="22"/>
      <c r="S25" s="22"/>
    </row>
    <row r="26" spans="1:19" ht="18" customHeight="1" x14ac:dyDescent="0.15">
      <c r="B26" s="86"/>
      <c r="C26" s="87"/>
      <c r="D26" s="87"/>
      <c r="E26" s="88"/>
      <c r="F26" s="23"/>
      <c r="G26" s="23"/>
      <c r="H26" s="23"/>
      <c r="I26" s="23"/>
      <c r="J26" s="86"/>
      <c r="K26" s="87"/>
      <c r="L26" s="87"/>
      <c r="M26" s="87"/>
      <c r="N26" s="87"/>
      <c r="O26" s="88"/>
      <c r="P26" s="23"/>
      <c r="Q26" s="23"/>
      <c r="R26" s="23"/>
      <c r="S26" s="23"/>
    </row>
    <row r="27" spans="1:19" ht="18" customHeight="1" x14ac:dyDescent="0.15">
      <c r="B27" s="86"/>
      <c r="C27" s="87"/>
      <c r="D27" s="87"/>
      <c r="E27" s="88"/>
      <c r="F27" s="23"/>
      <c r="G27" s="23"/>
      <c r="H27" s="23"/>
      <c r="I27" s="23"/>
      <c r="J27" s="86"/>
      <c r="K27" s="87"/>
      <c r="L27" s="87"/>
      <c r="M27" s="87"/>
      <c r="N27" s="87"/>
      <c r="O27" s="88"/>
      <c r="P27" s="23"/>
      <c r="Q27" s="23"/>
      <c r="R27" s="23"/>
      <c r="S27" s="23"/>
    </row>
    <row r="28" spans="1:19" ht="18" customHeight="1" x14ac:dyDescent="0.15">
      <c r="B28" s="86"/>
      <c r="C28" s="87"/>
      <c r="D28" s="87"/>
      <c r="E28" s="88"/>
      <c r="F28" s="23"/>
      <c r="G28" s="23"/>
      <c r="H28" s="23"/>
      <c r="I28" s="23"/>
      <c r="J28" s="86"/>
      <c r="K28" s="87"/>
      <c r="L28" s="87"/>
      <c r="M28" s="87"/>
      <c r="N28" s="87"/>
      <c r="O28" s="88"/>
      <c r="P28" s="23"/>
      <c r="Q28" s="23"/>
      <c r="R28" s="23"/>
      <c r="S28" s="23"/>
    </row>
    <row r="29" spans="1:19" ht="18" customHeight="1" x14ac:dyDescent="0.15">
      <c r="B29" s="86"/>
      <c r="C29" s="87"/>
      <c r="D29" s="87"/>
      <c r="E29" s="88"/>
      <c r="F29" s="23"/>
      <c r="G29" s="23"/>
      <c r="H29" s="23"/>
      <c r="I29" s="23"/>
      <c r="J29" s="86"/>
      <c r="K29" s="87"/>
      <c r="L29" s="87"/>
      <c r="M29" s="87"/>
      <c r="N29" s="87"/>
      <c r="O29" s="88"/>
      <c r="P29" s="23"/>
      <c r="Q29" s="23"/>
      <c r="R29" s="23"/>
      <c r="S29" s="23"/>
    </row>
    <row r="30" spans="1:19" ht="18" customHeight="1" x14ac:dyDescent="0.15">
      <c r="A30" s="3"/>
      <c r="B30" s="86"/>
      <c r="C30" s="87"/>
      <c r="D30" s="87"/>
      <c r="E30" s="88"/>
      <c r="F30" s="23"/>
      <c r="G30" s="23"/>
      <c r="H30" s="23"/>
      <c r="I30" s="23"/>
      <c r="J30" s="86"/>
      <c r="K30" s="87"/>
      <c r="L30" s="87"/>
      <c r="M30" s="87"/>
      <c r="N30" s="87"/>
      <c r="O30" s="88"/>
      <c r="P30" s="23"/>
      <c r="Q30" s="23"/>
      <c r="R30" s="23"/>
      <c r="S30" s="23"/>
    </row>
    <row r="31" spans="1:19" ht="18" customHeight="1" x14ac:dyDescent="0.15">
      <c r="A31" s="3"/>
      <c r="B31" s="92"/>
      <c r="C31" s="93"/>
      <c r="D31" s="93"/>
      <c r="E31" s="94"/>
      <c r="F31" s="24"/>
      <c r="G31" s="24"/>
      <c r="H31" s="25"/>
      <c r="I31" s="25"/>
      <c r="J31" s="92"/>
      <c r="K31" s="93"/>
      <c r="L31" s="93"/>
      <c r="M31" s="93"/>
      <c r="N31" s="93"/>
      <c r="O31" s="94"/>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53</v>
      </c>
      <c r="C35" s="90"/>
      <c r="D35" s="90"/>
      <c r="E35" s="91"/>
      <c r="F35" s="60" t="s">
        <v>80</v>
      </c>
      <c r="G35" s="59" t="s">
        <v>84</v>
      </c>
      <c r="H35" s="21" t="s">
        <v>71</v>
      </c>
      <c r="I35" s="21" t="s">
        <v>72</v>
      </c>
      <c r="J35" s="89" t="s">
        <v>53</v>
      </c>
      <c r="K35" s="90"/>
      <c r="L35" s="90"/>
      <c r="M35" s="90"/>
      <c r="N35" s="90"/>
      <c r="O35" s="91"/>
      <c r="P35" s="60" t="s">
        <v>80</v>
      </c>
      <c r="Q35" s="59" t="s">
        <v>84</v>
      </c>
      <c r="R35" s="21" t="s">
        <v>71</v>
      </c>
      <c r="S35" s="21" t="s">
        <v>72</v>
      </c>
    </row>
    <row r="36" spans="1:19" ht="18" customHeight="1" x14ac:dyDescent="0.15">
      <c r="B36" s="83" t="s">
        <v>163</v>
      </c>
      <c r="C36" s="84"/>
      <c r="D36" s="84"/>
      <c r="E36" s="85"/>
      <c r="F36" s="22">
        <v>4</v>
      </c>
      <c r="G36" s="22" t="s">
        <v>130</v>
      </c>
      <c r="H36" s="22" t="s">
        <v>130</v>
      </c>
      <c r="I36" s="22" t="s">
        <v>130</v>
      </c>
      <c r="J36" s="83"/>
      <c r="K36" s="84"/>
      <c r="L36" s="84"/>
      <c r="M36" s="84"/>
      <c r="N36" s="84"/>
      <c r="O36" s="85"/>
      <c r="P36" s="22"/>
      <c r="Q36" s="22"/>
      <c r="R36" s="22"/>
      <c r="S36" s="22"/>
    </row>
    <row r="37" spans="1:19" ht="18" customHeight="1" x14ac:dyDescent="0.15">
      <c r="B37" s="86"/>
      <c r="C37" s="87"/>
      <c r="D37" s="87"/>
      <c r="E37" s="88"/>
      <c r="F37" s="23"/>
      <c r="G37" s="23"/>
      <c r="H37" s="23"/>
      <c r="I37" s="23"/>
      <c r="J37" s="86"/>
      <c r="K37" s="87"/>
      <c r="L37" s="87"/>
      <c r="M37" s="87"/>
      <c r="N37" s="87"/>
      <c r="O37" s="88"/>
      <c r="P37" s="23"/>
      <c r="Q37" s="23"/>
      <c r="R37" s="23"/>
      <c r="S37" s="23"/>
    </row>
    <row r="38" spans="1:19" ht="18" customHeight="1" x14ac:dyDescent="0.15">
      <c r="B38" s="86"/>
      <c r="C38" s="87"/>
      <c r="D38" s="87"/>
      <c r="E38" s="88"/>
      <c r="F38" s="23"/>
      <c r="G38" s="23"/>
      <c r="H38" s="23"/>
      <c r="I38" s="23"/>
      <c r="J38" s="86"/>
      <c r="K38" s="87"/>
      <c r="L38" s="87"/>
      <c r="M38" s="87"/>
      <c r="N38" s="87"/>
      <c r="O38" s="88"/>
      <c r="P38" s="23"/>
      <c r="Q38" s="23"/>
      <c r="R38" s="23"/>
      <c r="S38" s="23"/>
    </row>
    <row r="39" spans="1:19" ht="18" customHeight="1" x14ac:dyDescent="0.15">
      <c r="B39" s="86"/>
      <c r="C39" s="87"/>
      <c r="D39" s="87"/>
      <c r="E39" s="88"/>
      <c r="F39" s="23"/>
      <c r="G39" s="23"/>
      <c r="H39" s="23"/>
      <c r="I39" s="23"/>
      <c r="J39" s="86"/>
      <c r="K39" s="87"/>
      <c r="L39" s="87"/>
      <c r="M39" s="87"/>
      <c r="N39" s="87"/>
      <c r="O39" s="88"/>
      <c r="P39" s="23"/>
      <c r="Q39" s="23"/>
      <c r="R39" s="23"/>
      <c r="S39" s="23"/>
    </row>
    <row r="40" spans="1:19" ht="18" customHeight="1" x14ac:dyDescent="0.15">
      <c r="B40" s="86"/>
      <c r="C40" s="87"/>
      <c r="D40" s="87"/>
      <c r="E40" s="88"/>
      <c r="F40" s="23"/>
      <c r="G40" s="23"/>
      <c r="H40" s="23"/>
      <c r="I40" s="23"/>
      <c r="J40" s="86"/>
      <c r="K40" s="87"/>
      <c r="L40" s="87"/>
      <c r="M40" s="87"/>
      <c r="N40" s="87"/>
      <c r="O40" s="88"/>
      <c r="P40" s="23"/>
      <c r="Q40" s="23"/>
      <c r="R40" s="23"/>
      <c r="S40" s="23"/>
    </row>
    <row r="41" spans="1:19" ht="18" customHeight="1" x14ac:dyDescent="0.15">
      <c r="B41" s="86"/>
      <c r="C41" s="87"/>
      <c r="D41" s="87"/>
      <c r="E41" s="88"/>
      <c r="F41" s="23"/>
      <c r="G41" s="23"/>
      <c r="H41" s="23"/>
      <c r="I41" s="23"/>
      <c r="J41" s="86"/>
      <c r="K41" s="87"/>
      <c r="L41" s="87"/>
      <c r="M41" s="87"/>
      <c r="N41" s="87"/>
      <c r="O41" s="88"/>
      <c r="P41" s="23"/>
      <c r="Q41" s="23"/>
      <c r="R41" s="23"/>
      <c r="S41" s="23"/>
    </row>
    <row r="42" spans="1:19" ht="18" customHeight="1" x14ac:dyDescent="0.15">
      <c r="B42" s="92"/>
      <c r="C42" s="93"/>
      <c r="D42" s="93"/>
      <c r="E42" s="94"/>
      <c r="F42" s="24"/>
      <c r="G42" s="24"/>
      <c r="H42" s="25"/>
      <c r="I42" s="25"/>
      <c r="J42" s="92"/>
      <c r="K42" s="93"/>
      <c r="L42" s="93"/>
      <c r="M42" s="93"/>
      <c r="N42" s="93"/>
      <c r="O42" s="94"/>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53</v>
      </c>
      <c r="C46" s="90"/>
      <c r="D46" s="90"/>
      <c r="E46" s="91"/>
      <c r="F46" s="60" t="s">
        <v>80</v>
      </c>
      <c r="G46" s="59" t="s">
        <v>84</v>
      </c>
      <c r="H46" s="21" t="s">
        <v>73</v>
      </c>
      <c r="I46" s="21" t="s">
        <v>74</v>
      </c>
      <c r="J46" s="89" t="s">
        <v>53</v>
      </c>
      <c r="K46" s="90"/>
      <c r="L46" s="90"/>
      <c r="M46" s="90"/>
      <c r="N46" s="90"/>
      <c r="O46" s="91"/>
      <c r="P46" s="60" t="s">
        <v>80</v>
      </c>
      <c r="Q46" s="59" t="s">
        <v>84</v>
      </c>
      <c r="R46" s="21" t="s">
        <v>73</v>
      </c>
      <c r="S46" s="21" t="s">
        <v>74</v>
      </c>
    </row>
    <row r="47" spans="1:19" ht="18" customHeight="1" x14ac:dyDescent="0.15">
      <c r="A47" s="3"/>
      <c r="B47" s="83" t="s">
        <v>129</v>
      </c>
      <c r="C47" s="84"/>
      <c r="D47" s="84"/>
      <c r="E47" s="85"/>
      <c r="F47" s="22">
        <v>2</v>
      </c>
      <c r="G47" s="22" t="s">
        <v>130</v>
      </c>
      <c r="H47" s="22" t="s">
        <v>130</v>
      </c>
      <c r="I47" s="22" t="s">
        <v>130</v>
      </c>
      <c r="J47" s="83"/>
      <c r="K47" s="84"/>
      <c r="L47" s="84"/>
      <c r="M47" s="84"/>
      <c r="N47" s="84"/>
      <c r="O47" s="85"/>
      <c r="P47" s="22"/>
      <c r="Q47" s="22"/>
      <c r="R47" s="22"/>
      <c r="S47" s="22"/>
    </row>
    <row r="48" spans="1:19" ht="18" customHeight="1" x14ac:dyDescent="0.15">
      <c r="A48" s="3"/>
      <c r="B48" s="86"/>
      <c r="C48" s="87"/>
      <c r="D48" s="87"/>
      <c r="E48" s="88"/>
      <c r="F48" s="23"/>
      <c r="G48" s="23"/>
      <c r="H48" s="23"/>
      <c r="I48" s="23"/>
      <c r="J48" s="86"/>
      <c r="K48" s="87"/>
      <c r="L48" s="87"/>
      <c r="M48" s="87"/>
      <c r="N48" s="87"/>
      <c r="O48" s="88"/>
      <c r="P48" s="23"/>
      <c r="Q48" s="23"/>
      <c r="R48" s="23"/>
      <c r="S48" s="23"/>
    </row>
    <row r="49" spans="1:19" ht="18" customHeight="1" x14ac:dyDescent="0.15">
      <c r="A49" s="3"/>
      <c r="B49" s="86"/>
      <c r="C49" s="87"/>
      <c r="D49" s="87"/>
      <c r="E49" s="88"/>
      <c r="F49" s="23"/>
      <c r="G49" s="23"/>
      <c r="H49" s="23"/>
      <c r="I49" s="23"/>
      <c r="J49" s="86"/>
      <c r="K49" s="87"/>
      <c r="L49" s="87"/>
      <c r="M49" s="87"/>
      <c r="N49" s="87"/>
      <c r="O49" s="88"/>
      <c r="P49" s="23"/>
      <c r="Q49" s="23"/>
      <c r="R49" s="23"/>
      <c r="S49" s="23"/>
    </row>
    <row r="50" spans="1:19" ht="18" customHeight="1" x14ac:dyDescent="0.15">
      <c r="A50" s="3"/>
      <c r="B50" s="86"/>
      <c r="C50" s="87"/>
      <c r="D50" s="87"/>
      <c r="E50" s="88"/>
      <c r="F50" s="23"/>
      <c r="G50" s="23"/>
      <c r="H50" s="23"/>
      <c r="I50" s="23"/>
      <c r="J50" s="86"/>
      <c r="K50" s="87"/>
      <c r="L50" s="87"/>
      <c r="M50" s="87"/>
      <c r="N50" s="87"/>
      <c r="O50" s="88"/>
      <c r="P50" s="23"/>
      <c r="Q50" s="23"/>
      <c r="R50" s="23"/>
      <c r="S50" s="23"/>
    </row>
    <row r="51" spans="1:19" ht="18" customHeight="1" x14ac:dyDescent="0.15">
      <c r="A51" s="3"/>
      <c r="B51" s="86"/>
      <c r="C51" s="87"/>
      <c r="D51" s="87"/>
      <c r="E51" s="88"/>
      <c r="F51" s="23"/>
      <c r="G51" s="23"/>
      <c r="H51" s="23"/>
      <c r="I51" s="23"/>
      <c r="J51" s="86"/>
      <c r="K51" s="87"/>
      <c r="L51" s="87"/>
      <c r="M51" s="87"/>
      <c r="N51" s="87"/>
      <c r="O51" s="88"/>
      <c r="P51" s="23"/>
      <c r="Q51" s="23"/>
      <c r="R51" s="23"/>
      <c r="S51" s="23"/>
    </row>
    <row r="52" spans="1:19" ht="18" customHeight="1" x14ac:dyDescent="0.15">
      <c r="A52" s="3"/>
      <c r="B52" s="86"/>
      <c r="C52" s="87"/>
      <c r="D52" s="87"/>
      <c r="E52" s="88"/>
      <c r="F52" s="23"/>
      <c r="G52" s="23"/>
      <c r="H52" s="23"/>
      <c r="I52" s="23"/>
      <c r="J52" s="86"/>
      <c r="K52" s="87"/>
      <c r="L52" s="87"/>
      <c r="M52" s="87"/>
      <c r="N52" s="87"/>
      <c r="O52" s="88"/>
      <c r="P52" s="23"/>
      <c r="Q52" s="23"/>
      <c r="R52" s="23"/>
      <c r="S52" s="23"/>
    </row>
    <row r="53" spans="1:19" ht="18" customHeight="1" x14ac:dyDescent="0.15">
      <c r="A53" s="3"/>
      <c r="B53" s="92"/>
      <c r="C53" s="93"/>
      <c r="D53" s="93"/>
      <c r="E53" s="94"/>
      <c r="F53" s="24"/>
      <c r="G53" s="24"/>
      <c r="H53" s="25"/>
      <c r="I53" s="25"/>
      <c r="J53" s="92"/>
      <c r="K53" s="93"/>
      <c r="L53" s="93"/>
      <c r="M53" s="93"/>
      <c r="N53" s="93"/>
      <c r="O53" s="94"/>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53</v>
      </c>
      <c r="C57" s="90"/>
      <c r="D57" s="90"/>
      <c r="E57" s="91"/>
      <c r="F57" s="60" t="s">
        <v>80</v>
      </c>
      <c r="G57" s="59" t="s">
        <v>84</v>
      </c>
      <c r="H57" s="21" t="s">
        <v>58</v>
      </c>
      <c r="I57" s="21" t="s">
        <v>60</v>
      </c>
      <c r="J57" s="89" t="s">
        <v>53</v>
      </c>
      <c r="K57" s="90"/>
      <c r="L57" s="90"/>
      <c r="M57" s="90"/>
      <c r="N57" s="90"/>
      <c r="O57" s="91"/>
      <c r="P57" s="60" t="s">
        <v>80</v>
      </c>
      <c r="Q57" s="59" t="s">
        <v>84</v>
      </c>
      <c r="R57" s="21" t="s">
        <v>58</v>
      </c>
      <c r="S57" s="21" t="s">
        <v>60</v>
      </c>
    </row>
    <row r="58" spans="1:19" ht="18" customHeight="1" x14ac:dyDescent="0.15">
      <c r="A58" s="3"/>
      <c r="B58" s="83" t="s">
        <v>129</v>
      </c>
      <c r="C58" s="84"/>
      <c r="D58" s="84"/>
      <c r="E58" s="85"/>
      <c r="F58" s="22">
        <v>2</v>
      </c>
      <c r="G58" s="22" t="s">
        <v>130</v>
      </c>
      <c r="H58" s="22" t="s">
        <v>130</v>
      </c>
      <c r="I58" s="22" t="s">
        <v>130</v>
      </c>
      <c r="J58" s="83"/>
      <c r="K58" s="84"/>
      <c r="L58" s="84"/>
      <c r="M58" s="84"/>
      <c r="N58" s="84"/>
      <c r="O58" s="85"/>
      <c r="P58" s="22"/>
      <c r="Q58" s="22"/>
      <c r="R58" s="22"/>
      <c r="S58" s="22"/>
    </row>
    <row r="59" spans="1:19" ht="18" customHeight="1" x14ac:dyDescent="0.15">
      <c r="A59" s="3"/>
      <c r="B59" s="86"/>
      <c r="C59" s="87"/>
      <c r="D59" s="87"/>
      <c r="E59" s="88"/>
      <c r="F59" s="23"/>
      <c r="G59" s="23"/>
      <c r="H59" s="23"/>
      <c r="I59" s="23"/>
      <c r="J59" s="86"/>
      <c r="K59" s="87"/>
      <c r="L59" s="87"/>
      <c r="M59" s="87"/>
      <c r="N59" s="87"/>
      <c r="O59" s="88"/>
      <c r="P59" s="23"/>
      <c r="Q59" s="23"/>
      <c r="R59" s="23"/>
      <c r="S59" s="23"/>
    </row>
    <row r="60" spans="1:19" ht="18" customHeight="1" x14ac:dyDescent="0.15">
      <c r="A60" s="3"/>
      <c r="B60" s="86"/>
      <c r="C60" s="87"/>
      <c r="D60" s="87"/>
      <c r="E60" s="88"/>
      <c r="F60" s="23"/>
      <c r="G60" s="23"/>
      <c r="H60" s="23"/>
      <c r="I60" s="23"/>
      <c r="J60" s="86"/>
      <c r="K60" s="87"/>
      <c r="L60" s="87"/>
      <c r="M60" s="87"/>
      <c r="N60" s="87"/>
      <c r="O60" s="88"/>
      <c r="P60" s="23"/>
      <c r="Q60" s="23"/>
      <c r="R60" s="23"/>
      <c r="S60" s="23"/>
    </row>
    <row r="61" spans="1:19" ht="18" customHeight="1" x14ac:dyDescent="0.15">
      <c r="A61" s="3"/>
      <c r="B61" s="86"/>
      <c r="C61" s="87"/>
      <c r="D61" s="87"/>
      <c r="E61" s="88"/>
      <c r="F61" s="23"/>
      <c r="G61" s="23"/>
      <c r="H61" s="23"/>
      <c r="I61" s="23"/>
      <c r="J61" s="86"/>
      <c r="K61" s="87"/>
      <c r="L61" s="87"/>
      <c r="M61" s="87"/>
      <c r="N61" s="87"/>
      <c r="O61" s="88"/>
      <c r="P61" s="23"/>
      <c r="Q61" s="23"/>
      <c r="R61" s="23"/>
      <c r="S61" s="23"/>
    </row>
    <row r="62" spans="1:19" ht="18" customHeight="1" x14ac:dyDescent="0.15">
      <c r="A62" s="3"/>
      <c r="B62" s="86"/>
      <c r="C62" s="87"/>
      <c r="D62" s="87"/>
      <c r="E62" s="88"/>
      <c r="F62" s="23"/>
      <c r="G62" s="23"/>
      <c r="H62" s="23"/>
      <c r="I62" s="23"/>
      <c r="J62" s="86"/>
      <c r="K62" s="87"/>
      <c r="L62" s="87"/>
      <c r="M62" s="87"/>
      <c r="N62" s="87"/>
      <c r="O62" s="88"/>
      <c r="P62" s="23"/>
      <c r="Q62" s="23"/>
      <c r="R62" s="23"/>
      <c r="S62" s="23"/>
    </row>
    <row r="63" spans="1:19" ht="18" customHeight="1" x14ac:dyDescent="0.15">
      <c r="A63" s="3"/>
      <c r="B63" s="86"/>
      <c r="C63" s="87"/>
      <c r="D63" s="87"/>
      <c r="E63" s="88"/>
      <c r="F63" s="23"/>
      <c r="G63" s="23"/>
      <c r="H63" s="23"/>
      <c r="I63" s="23"/>
      <c r="J63" s="86"/>
      <c r="K63" s="87"/>
      <c r="L63" s="87"/>
      <c r="M63" s="87"/>
      <c r="N63" s="87"/>
      <c r="O63" s="88"/>
      <c r="P63" s="23"/>
      <c r="Q63" s="23"/>
      <c r="R63" s="23"/>
      <c r="S63" s="23"/>
    </row>
    <row r="64" spans="1:19" ht="18" customHeight="1" x14ac:dyDescent="0.15">
      <c r="A64" s="3"/>
      <c r="B64" s="92"/>
      <c r="C64" s="93"/>
      <c r="D64" s="93"/>
      <c r="E64" s="94"/>
      <c r="F64" s="24"/>
      <c r="G64" s="24"/>
      <c r="H64" s="25"/>
      <c r="I64" s="25"/>
      <c r="J64" s="92"/>
      <c r="K64" s="93"/>
      <c r="L64" s="93"/>
      <c r="M64" s="93"/>
      <c r="N64" s="93"/>
      <c r="O64" s="94"/>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53</v>
      </c>
      <c r="C68" s="90"/>
      <c r="D68" s="90"/>
      <c r="E68" s="60" t="s">
        <v>80</v>
      </c>
      <c r="F68" s="59" t="s">
        <v>84</v>
      </c>
      <c r="G68" s="21" t="s">
        <v>101</v>
      </c>
      <c r="H68" s="21" t="s">
        <v>75</v>
      </c>
      <c r="I68" s="21" t="s">
        <v>76</v>
      </c>
      <c r="J68" s="89" t="s">
        <v>53</v>
      </c>
      <c r="K68" s="90"/>
      <c r="L68" s="90"/>
      <c r="M68" s="90"/>
      <c r="N68" s="91"/>
      <c r="O68" s="60" t="s">
        <v>80</v>
      </c>
      <c r="P68" s="59" t="s">
        <v>84</v>
      </c>
      <c r="Q68" s="21" t="s">
        <v>101</v>
      </c>
      <c r="R68" s="21" t="s">
        <v>75</v>
      </c>
      <c r="S68" s="21" t="s">
        <v>76</v>
      </c>
    </row>
    <row r="69" spans="1:19" ht="18" customHeight="1" x14ac:dyDescent="0.15">
      <c r="A69" s="3"/>
      <c r="B69" s="83" t="s">
        <v>131</v>
      </c>
      <c r="C69" s="84"/>
      <c r="D69" s="85"/>
      <c r="E69" s="22">
        <v>2</v>
      </c>
      <c r="F69" s="22"/>
      <c r="G69" s="22" t="s">
        <v>130</v>
      </c>
      <c r="H69" s="22" t="s">
        <v>130</v>
      </c>
      <c r="I69" s="22" t="s">
        <v>130</v>
      </c>
      <c r="J69" s="83"/>
      <c r="K69" s="84"/>
      <c r="L69" s="84"/>
      <c r="M69" s="84"/>
      <c r="N69" s="85"/>
      <c r="O69" s="22"/>
      <c r="P69" s="22"/>
      <c r="Q69" s="22"/>
      <c r="R69" s="22"/>
      <c r="S69" s="22"/>
    </row>
    <row r="70" spans="1:19" ht="18" customHeight="1" x14ac:dyDescent="0.15">
      <c r="A70" s="3"/>
      <c r="B70" s="86" t="s">
        <v>132</v>
      </c>
      <c r="C70" s="87"/>
      <c r="D70" s="88"/>
      <c r="E70" s="23">
        <v>2</v>
      </c>
      <c r="F70" s="23"/>
      <c r="G70" s="23" t="s">
        <v>130</v>
      </c>
      <c r="H70" s="23" t="s">
        <v>130</v>
      </c>
      <c r="I70" s="23" t="s">
        <v>130</v>
      </c>
      <c r="J70" s="86"/>
      <c r="K70" s="87"/>
      <c r="L70" s="87"/>
      <c r="M70" s="87"/>
      <c r="N70" s="88"/>
      <c r="O70" s="23"/>
      <c r="P70" s="23"/>
      <c r="Q70" s="23"/>
      <c r="R70" s="23"/>
      <c r="S70" s="23"/>
    </row>
    <row r="71" spans="1:19" ht="18" customHeight="1" x14ac:dyDescent="0.15">
      <c r="A71" s="3"/>
      <c r="B71" s="86" t="s">
        <v>133</v>
      </c>
      <c r="C71" s="87"/>
      <c r="D71" s="88"/>
      <c r="E71" s="23">
        <v>2</v>
      </c>
      <c r="F71" s="23"/>
      <c r="G71" s="23" t="s">
        <v>130</v>
      </c>
      <c r="H71" s="23" t="s">
        <v>130</v>
      </c>
      <c r="I71" s="23" t="s">
        <v>130</v>
      </c>
      <c r="J71" s="86"/>
      <c r="K71" s="87"/>
      <c r="L71" s="87"/>
      <c r="M71" s="87"/>
      <c r="N71" s="88"/>
      <c r="O71" s="23"/>
      <c r="P71" s="23"/>
      <c r="Q71" s="23"/>
      <c r="R71" s="23"/>
      <c r="S71" s="23"/>
    </row>
    <row r="72" spans="1:19" ht="18" customHeight="1" x14ac:dyDescent="0.15">
      <c r="A72" s="3"/>
      <c r="B72" s="86"/>
      <c r="C72" s="87"/>
      <c r="D72" s="87"/>
      <c r="E72" s="23"/>
      <c r="F72" s="23"/>
      <c r="G72" s="23"/>
      <c r="H72" s="23"/>
      <c r="I72" s="23"/>
      <c r="J72" s="86"/>
      <c r="K72" s="87"/>
      <c r="L72" s="87"/>
      <c r="M72" s="87"/>
      <c r="N72" s="88"/>
      <c r="O72" s="23"/>
      <c r="P72" s="23"/>
      <c r="Q72" s="23"/>
      <c r="R72" s="23"/>
      <c r="S72" s="23"/>
    </row>
    <row r="73" spans="1:19" ht="18" customHeight="1" x14ac:dyDescent="0.15">
      <c r="A73" s="3"/>
      <c r="B73" s="86"/>
      <c r="C73" s="87"/>
      <c r="D73" s="87"/>
      <c r="E73" s="23"/>
      <c r="F73" s="23"/>
      <c r="G73" s="23"/>
      <c r="H73" s="23"/>
      <c r="I73" s="23"/>
      <c r="J73" s="86"/>
      <c r="K73" s="87"/>
      <c r="L73" s="87"/>
      <c r="M73" s="87"/>
      <c r="N73" s="88"/>
      <c r="O73" s="23"/>
      <c r="P73" s="23"/>
      <c r="Q73" s="23"/>
      <c r="R73" s="23"/>
      <c r="S73" s="23"/>
    </row>
    <row r="74" spans="1:19" ht="18" customHeight="1" x14ac:dyDescent="0.15">
      <c r="A74" s="3"/>
      <c r="B74" s="86"/>
      <c r="C74" s="87"/>
      <c r="D74" s="87"/>
      <c r="E74" s="23"/>
      <c r="F74" s="23"/>
      <c r="G74" s="23"/>
      <c r="H74" s="23"/>
      <c r="I74" s="23"/>
      <c r="J74" s="86"/>
      <c r="K74" s="87"/>
      <c r="L74" s="87"/>
      <c r="M74" s="87"/>
      <c r="N74" s="88"/>
      <c r="O74" s="23"/>
      <c r="P74" s="23"/>
      <c r="Q74" s="23"/>
      <c r="R74" s="23"/>
      <c r="S74" s="23"/>
    </row>
    <row r="75" spans="1:19" ht="18" customHeight="1" x14ac:dyDescent="0.15">
      <c r="A75" s="3"/>
      <c r="B75" s="92"/>
      <c r="C75" s="93"/>
      <c r="D75" s="93"/>
      <c r="E75" s="24"/>
      <c r="F75" s="24"/>
      <c r="G75" s="25"/>
      <c r="H75" s="25"/>
      <c r="I75" s="25"/>
      <c r="J75" s="92"/>
      <c r="K75" s="93"/>
      <c r="L75" s="93"/>
      <c r="M75" s="93"/>
      <c r="N75" s="94"/>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89" t="s">
        <v>53</v>
      </c>
      <c r="C78" s="90"/>
      <c r="D78" s="90"/>
      <c r="E78" s="91"/>
      <c r="F78" s="89" t="s">
        <v>82</v>
      </c>
      <c r="G78" s="90"/>
      <c r="H78" s="90"/>
      <c r="I78" s="91"/>
      <c r="J78" s="117" t="s">
        <v>53</v>
      </c>
      <c r="K78" s="118"/>
      <c r="L78" s="118"/>
      <c r="M78" s="118"/>
      <c r="N78" s="118"/>
      <c r="O78" s="119"/>
      <c r="P78" s="89" t="s">
        <v>82</v>
      </c>
      <c r="Q78" s="90"/>
      <c r="R78" s="90"/>
      <c r="S78" s="91"/>
    </row>
    <row r="79" spans="1:19" ht="18" customHeight="1" x14ac:dyDescent="0.15">
      <c r="A79" s="3"/>
      <c r="B79" s="83"/>
      <c r="C79" s="84"/>
      <c r="D79" s="84"/>
      <c r="E79" s="85"/>
      <c r="F79" s="111"/>
      <c r="G79" s="112"/>
      <c r="H79" s="112"/>
      <c r="I79" s="113"/>
      <c r="J79" s="83"/>
      <c r="K79" s="84"/>
      <c r="L79" s="84"/>
      <c r="M79" s="84"/>
      <c r="N79" s="84"/>
      <c r="O79" s="85"/>
      <c r="P79" s="111"/>
      <c r="Q79" s="112"/>
      <c r="R79" s="112"/>
      <c r="S79" s="113"/>
    </row>
    <row r="80" spans="1:19" ht="18" customHeight="1" x14ac:dyDescent="0.15">
      <c r="A80" s="3"/>
      <c r="B80" s="86"/>
      <c r="C80" s="87"/>
      <c r="D80" s="87"/>
      <c r="E80" s="88"/>
      <c r="F80" s="114"/>
      <c r="G80" s="115"/>
      <c r="H80" s="115"/>
      <c r="I80" s="116"/>
      <c r="J80" s="86"/>
      <c r="K80" s="87"/>
      <c r="L80" s="87"/>
      <c r="M80" s="87"/>
      <c r="N80" s="87"/>
      <c r="O80" s="88"/>
      <c r="P80" s="114"/>
      <c r="Q80" s="115"/>
      <c r="R80" s="115"/>
      <c r="S80" s="116"/>
    </row>
    <row r="81" spans="1:19" ht="18" customHeight="1" x14ac:dyDescent="0.15">
      <c r="A81" s="3"/>
      <c r="B81" s="86"/>
      <c r="C81" s="87"/>
      <c r="D81" s="87"/>
      <c r="E81" s="88"/>
      <c r="F81" s="114"/>
      <c r="G81" s="115"/>
      <c r="H81" s="115"/>
      <c r="I81" s="116"/>
      <c r="J81" s="86"/>
      <c r="K81" s="87"/>
      <c r="L81" s="87"/>
      <c r="M81" s="87"/>
      <c r="N81" s="87"/>
      <c r="O81" s="88"/>
      <c r="P81" s="114"/>
      <c r="Q81" s="115"/>
      <c r="R81" s="115"/>
      <c r="S81" s="116"/>
    </row>
    <row r="82" spans="1:19" ht="18" customHeight="1" x14ac:dyDescent="0.15">
      <c r="A82" s="3"/>
      <c r="B82" s="86"/>
      <c r="C82" s="87"/>
      <c r="D82" s="87"/>
      <c r="E82" s="88"/>
      <c r="F82" s="114"/>
      <c r="G82" s="115"/>
      <c r="H82" s="115"/>
      <c r="I82" s="116"/>
      <c r="J82" s="86"/>
      <c r="K82" s="87"/>
      <c r="L82" s="87"/>
      <c r="M82" s="87"/>
      <c r="N82" s="87"/>
      <c r="O82" s="88"/>
      <c r="P82" s="114"/>
      <c r="Q82" s="115"/>
      <c r="R82" s="115"/>
      <c r="S82" s="116"/>
    </row>
    <row r="83" spans="1:19" ht="18" customHeight="1" x14ac:dyDescent="0.15">
      <c r="A83" s="3"/>
      <c r="B83" s="86"/>
      <c r="C83" s="87"/>
      <c r="D83" s="87"/>
      <c r="E83" s="88"/>
      <c r="F83" s="114"/>
      <c r="G83" s="115"/>
      <c r="H83" s="115"/>
      <c r="I83" s="116"/>
      <c r="J83" s="86"/>
      <c r="K83" s="87"/>
      <c r="L83" s="87"/>
      <c r="M83" s="87"/>
      <c r="N83" s="87"/>
      <c r="O83" s="88"/>
      <c r="P83" s="114"/>
      <c r="Q83" s="115"/>
      <c r="R83" s="115"/>
      <c r="S83" s="116"/>
    </row>
    <row r="84" spans="1:19" ht="18" customHeight="1" x14ac:dyDescent="0.15">
      <c r="A84" s="3"/>
      <c r="B84" s="86"/>
      <c r="C84" s="87"/>
      <c r="D84" s="87"/>
      <c r="E84" s="88"/>
      <c r="F84" s="114"/>
      <c r="G84" s="115"/>
      <c r="H84" s="115"/>
      <c r="I84" s="116"/>
      <c r="J84" s="86"/>
      <c r="K84" s="87"/>
      <c r="L84" s="87"/>
      <c r="M84" s="87"/>
      <c r="N84" s="87"/>
      <c r="O84" s="88"/>
      <c r="P84" s="114"/>
      <c r="Q84" s="115"/>
      <c r="R84" s="115"/>
      <c r="S84" s="116"/>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07" t="s">
        <v>54</v>
      </c>
      <c r="C88" s="108"/>
      <c r="D88" s="90" t="s">
        <v>55</v>
      </c>
      <c r="E88" s="90"/>
      <c r="F88" s="90"/>
      <c r="G88" s="90"/>
      <c r="H88" s="90"/>
      <c r="I88" s="90"/>
      <c r="J88" s="90"/>
      <c r="K88" s="90"/>
      <c r="L88" s="90"/>
      <c r="M88" s="90"/>
      <c r="N88" s="90"/>
      <c r="O88" s="90"/>
      <c r="P88" s="90"/>
      <c r="Q88" s="90"/>
      <c r="R88" s="90"/>
      <c r="S88" s="91"/>
    </row>
    <row r="89" spans="1:19" ht="97.5" customHeight="1" x14ac:dyDescent="0.15">
      <c r="B89" s="96" t="s">
        <v>61</v>
      </c>
      <c r="C89" s="27" t="s">
        <v>56</v>
      </c>
      <c r="D89" s="105" t="s">
        <v>242</v>
      </c>
      <c r="E89" s="109"/>
      <c r="F89" s="109"/>
      <c r="G89" s="109"/>
      <c r="H89" s="109"/>
      <c r="I89" s="109"/>
      <c r="J89" s="109"/>
      <c r="K89" s="109"/>
      <c r="L89" s="109"/>
      <c r="M89" s="109"/>
      <c r="N89" s="109"/>
      <c r="O89" s="109"/>
      <c r="P89" s="109"/>
      <c r="Q89" s="109"/>
      <c r="R89" s="109"/>
      <c r="S89" s="110"/>
    </row>
    <row r="90" spans="1:19" ht="97.5" customHeight="1" x14ac:dyDescent="0.15">
      <c r="B90" s="97"/>
      <c r="C90" s="28" t="s">
        <v>77</v>
      </c>
      <c r="D90" s="123" t="s">
        <v>243</v>
      </c>
      <c r="E90" s="123"/>
      <c r="F90" s="123"/>
      <c r="G90" s="123"/>
      <c r="H90" s="123"/>
      <c r="I90" s="123"/>
      <c r="J90" s="123"/>
      <c r="K90" s="123"/>
      <c r="L90" s="123"/>
      <c r="M90" s="123"/>
      <c r="N90" s="123"/>
      <c r="O90" s="123"/>
      <c r="P90" s="123"/>
      <c r="Q90" s="123"/>
      <c r="R90" s="123"/>
      <c r="S90" s="124"/>
    </row>
    <row r="91" spans="1:19" ht="97.5" customHeight="1" x14ac:dyDescent="0.15">
      <c r="B91" s="96" t="s">
        <v>62</v>
      </c>
      <c r="C91" s="29" t="s">
        <v>71</v>
      </c>
      <c r="D91" s="125" t="s">
        <v>261</v>
      </c>
      <c r="E91" s="125"/>
      <c r="F91" s="125"/>
      <c r="G91" s="125"/>
      <c r="H91" s="125"/>
      <c r="I91" s="125"/>
      <c r="J91" s="125"/>
      <c r="K91" s="125"/>
      <c r="L91" s="125"/>
      <c r="M91" s="125"/>
      <c r="N91" s="125"/>
      <c r="O91" s="125"/>
      <c r="P91" s="125"/>
      <c r="Q91" s="125"/>
      <c r="R91" s="125"/>
      <c r="S91" s="160"/>
    </row>
    <row r="92" spans="1:19" ht="97.5" customHeight="1" x14ac:dyDescent="0.15">
      <c r="B92" s="98"/>
      <c r="C92" s="30" t="s">
        <v>72</v>
      </c>
      <c r="D92" s="130" t="s">
        <v>262</v>
      </c>
      <c r="E92" s="130"/>
      <c r="F92" s="130"/>
      <c r="G92" s="130"/>
      <c r="H92" s="130"/>
      <c r="I92" s="130"/>
      <c r="J92" s="130"/>
      <c r="K92" s="130"/>
      <c r="L92" s="130"/>
      <c r="M92" s="130"/>
      <c r="N92" s="130"/>
      <c r="O92" s="130"/>
      <c r="P92" s="130"/>
      <c r="Q92" s="130"/>
      <c r="R92" s="130"/>
      <c r="S92" s="133"/>
    </row>
    <row r="93" spans="1:19" ht="97.5" customHeight="1" x14ac:dyDescent="0.15">
      <c r="B93" s="96" t="s">
        <v>63</v>
      </c>
      <c r="C93" s="29" t="s">
        <v>73</v>
      </c>
      <c r="D93" s="125" t="s">
        <v>229</v>
      </c>
      <c r="E93" s="126"/>
      <c r="F93" s="126"/>
      <c r="G93" s="126"/>
      <c r="H93" s="126"/>
      <c r="I93" s="126"/>
      <c r="J93" s="126"/>
      <c r="K93" s="126"/>
      <c r="L93" s="126"/>
      <c r="M93" s="126"/>
      <c r="N93" s="126"/>
      <c r="O93" s="126"/>
      <c r="P93" s="126"/>
      <c r="Q93" s="126"/>
      <c r="R93" s="126"/>
      <c r="S93" s="127"/>
    </row>
    <row r="94" spans="1:19" ht="97.5" customHeight="1" x14ac:dyDescent="0.15">
      <c r="B94" s="98"/>
      <c r="C94" s="31" t="s">
        <v>74</v>
      </c>
      <c r="D94" s="128" t="s">
        <v>246</v>
      </c>
      <c r="E94" s="128"/>
      <c r="F94" s="128"/>
      <c r="G94" s="128"/>
      <c r="H94" s="128"/>
      <c r="I94" s="128"/>
      <c r="J94" s="128"/>
      <c r="K94" s="128"/>
      <c r="L94" s="128"/>
      <c r="M94" s="128"/>
      <c r="N94" s="128"/>
      <c r="O94" s="128"/>
      <c r="P94" s="128"/>
      <c r="Q94" s="128"/>
      <c r="R94" s="128"/>
      <c r="S94" s="129"/>
    </row>
    <row r="95" spans="1:19" ht="97.5" customHeight="1" x14ac:dyDescent="0.15">
      <c r="B95" s="96" t="s">
        <v>78</v>
      </c>
      <c r="C95" s="27" t="s">
        <v>58</v>
      </c>
      <c r="D95" s="105" t="s">
        <v>247</v>
      </c>
      <c r="E95" s="105"/>
      <c r="F95" s="105"/>
      <c r="G95" s="105"/>
      <c r="H95" s="105"/>
      <c r="I95" s="105"/>
      <c r="J95" s="105"/>
      <c r="K95" s="105"/>
      <c r="L95" s="105"/>
      <c r="M95" s="105"/>
      <c r="N95" s="105"/>
      <c r="O95" s="105"/>
      <c r="P95" s="105"/>
      <c r="Q95" s="105"/>
      <c r="R95" s="105"/>
      <c r="S95" s="106"/>
    </row>
    <row r="96" spans="1:19" ht="97.5" customHeight="1" x14ac:dyDescent="0.15">
      <c r="B96" s="98"/>
      <c r="C96" s="30" t="s">
        <v>60</v>
      </c>
      <c r="D96" s="130" t="s">
        <v>272</v>
      </c>
      <c r="E96" s="130"/>
      <c r="F96" s="130"/>
      <c r="G96" s="130"/>
      <c r="H96" s="130"/>
      <c r="I96" s="130"/>
      <c r="J96" s="130"/>
      <c r="K96" s="130"/>
      <c r="L96" s="130"/>
      <c r="M96" s="130"/>
      <c r="N96" s="130"/>
      <c r="O96" s="130"/>
      <c r="P96" s="130"/>
      <c r="Q96" s="130"/>
      <c r="R96" s="130"/>
      <c r="S96" s="133"/>
    </row>
    <row r="97" spans="1:19" ht="270" customHeight="1" x14ac:dyDescent="0.15">
      <c r="B97" s="96" t="s">
        <v>79</v>
      </c>
      <c r="C97" s="29" t="s">
        <v>57</v>
      </c>
      <c r="D97" s="100" t="s">
        <v>248</v>
      </c>
      <c r="E97" s="100"/>
      <c r="F97" s="100"/>
      <c r="G97" s="100"/>
      <c r="H97" s="100"/>
      <c r="I97" s="100"/>
      <c r="J97" s="100"/>
      <c r="K97" s="100"/>
      <c r="L97" s="100"/>
      <c r="M97" s="100"/>
      <c r="N97" s="100"/>
      <c r="O97" s="100"/>
      <c r="P97" s="100"/>
      <c r="Q97" s="100"/>
      <c r="R97" s="100"/>
      <c r="S97" s="101"/>
    </row>
    <row r="98" spans="1:19" ht="270.75" customHeight="1" x14ac:dyDescent="0.15">
      <c r="B98" s="97"/>
      <c r="C98" s="32" t="s">
        <v>75</v>
      </c>
      <c r="D98" s="100" t="s">
        <v>249</v>
      </c>
      <c r="E98" s="100"/>
      <c r="F98" s="100"/>
      <c r="G98" s="100"/>
      <c r="H98" s="100"/>
      <c r="I98" s="100"/>
      <c r="J98" s="100"/>
      <c r="K98" s="100"/>
      <c r="L98" s="100"/>
      <c r="M98" s="100"/>
      <c r="N98" s="100"/>
      <c r="O98" s="100"/>
      <c r="P98" s="100"/>
      <c r="Q98" s="100"/>
      <c r="R98" s="100"/>
      <c r="S98" s="101"/>
    </row>
    <row r="99" spans="1:19" ht="227.1" customHeight="1" x14ac:dyDescent="0.15">
      <c r="B99" s="98"/>
      <c r="C99" s="31" t="s">
        <v>76</v>
      </c>
      <c r="D99" s="102" t="s">
        <v>250</v>
      </c>
      <c r="E99" s="103"/>
      <c r="F99" s="103"/>
      <c r="G99" s="103"/>
      <c r="H99" s="103"/>
      <c r="I99" s="103"/>
      <c r="J99" s="103"/>
      <c r="K99" s="103"/>
      <c r="L99" s="103"/>
      <c r="M99" s="103"/>
      <c r="N99" s="103"/>
      <c r="O99" s="103"/>
      <c r="P99" s="103"/>
      <c r="Q99" s="103"/>
      <c r="R99" s="103"/>
      <c r="S99" s="104"/>
    </row>
    <row r="100" spans="1:19" ht="6" customHeight="1" x14ac:dyDescent="0.15"/>
    <row r="101" spans="1:19" ht="18.75" customHeight="1" x14ac:dyDescent="0.15">
      <c r="A101" s="1" t="s">
        <v>120</v>
      </c>
    </row>
    <row r="102" spans="1:19" ht="81.75" customHeight="1" x14ac:dyDescent="0.15">
      <c r="B102" s="102" t="s">
        <v>134</v>
      </c>
      <c r="C102" s="103"/>
      <c r="D102" s="103"/>
      <c r="E102" s="103"/>
      <c r="F102" s="103"/>
      <c r="G102" s="103"/>
      <c r="H102" s="103"/>
      <c r="I102" s="103"/>
      <c r="J102" s="103"/>
      <c r="K102" s="103"/>
      <c r="L102" s="103"/>
      <c r="M102" s="103"/>
      <c r="N102" s="103"/>
      <c r="O102" s="103"/>
      <c r="P102" s="103"/>
      <c r="Q102" s="103"/>
      <c r="R102" s="103"/>
      <c r="S102" s="104"/>
    </row>
    <row r="110" spans="1:19" ht="18" customHeight="1" x14ac:dyDescent="0.15"/>
  </sheetData>
  <customSheetViews>
    <customSheetView guid="{1C325414-5A0C-4C59-BA24-A8E2B4EC5171}" scale="85" showPageBreaks="1" zeroValues="0" fitToPage="1" printArea="1" hiddenColumns="1" view="pageBreakPreview">
      <selection activeCell="B9" sqref="B9:S10"/>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76C3A8B2-43E5-4491-B38D-7D6417DC209B}" scale="85" showPageBreaks="1" zeroValues="0" fitToPage="1" printArea="1" hiddenColumns="1" view="pageBreakPreview">
      <selection activeCell="B9" sqref="B9:S10"/>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 guid="{D1FD8C4C-CF69-45DF-A007-1EC45F0F0601}" scale="85" showPageBreaks="1" zeroValues="0" fitToPage="1" printArea="1" hiddenColumns="1" view="pageBreakPreview">
      <selection activeCell="B9" sqref="B9:S10"/>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4" fitToHeight="0" orientation="portrait" r:id="rId3"/>
      <headerFooter>
        <oddHeader>&amp;C数理・データサイエンス・AI教育プログラム認定制度【リテラシーレベル】</oddHeader>
      </headerFooter>
    </customSheetView>
    <customSheetView guid="{B3C66A88-0371-48C7-9AE2-6606C7EDAAFC}" scale="85" showPageBreaks="1" zeroValues="0" fitToPage="1" printArea="1" hiddenColumns="1" view="pageBreakPreview">
      <selection activeCell="B9" sqref="B9:S10"/>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4"/>
      <headerFooter>
        <oddHeader>&amp;C数理・データサイエンス・AI教育プログラム認定制度【リテラシーレベル】</oddHeader>
      </headerFooter>
    </customSheetView>
  </customSheetViews>
  <mergeCells count="145">
    <mergeCell ref="B13:S18"/>
    <mergeCell ref="C20:D20"/>
    <mergeCell ref="K20:S20"/>
    <mergeCell ref="A22:S23"/>
    <mergeCell ref="B24:E24"/>
    <mergeCell ref="J24:O24"/>
    <mergeCell ref="R1:S1"/>
    <mergeCell ref="C2:I2"/>
    <mergeCell ref="C3:I3"/>
    <mergeCell ref="A5:S5"/>
    <mergeCell ref="K7:S7"/>
    <mergeCell ref="B9:S10"/>
    <mergeCell ref="B28:E28"/>
    <mergeCell ref="J28:O28"/>
    <mergeCell ref="B29:E29"/>
    <mergeCell ref="J29:O29"/>
    <mergeCell ref="B30:E30"/>
    <mergeCell ref="J30:O30"/>
    <mergeCell ref="B25:E25"/>
    <mergeCell ref="J25:O25"/>
    <mergeCell ref="B26:E26"/>
    <mergeCell ref="J26:O26"/>
    <mergeCell ref="B27:E27"/>
    <mergeCell ref="J27:O27"/>
    <mergeCell ref="B37:E37"/>
    <mergeCell ref="J37:O37"/>
    <mergeCell ref="B38:E38"/>
    <mergeCell ref="J38:O38"/>
    <mergeCell ref="B39:E39"/>
    <mergeCell ref="J39:O39"/>
    <mergeCell ref="B31:E31"/>
    <mergeCell ref="J31:O31"/>
    <mergeCell ref="A33:S34"/>
    <mergeCell ref="B35:E35"/>
    <mergeCell ref="J35:O35"/>
    <mergeCell ref="B36:E36"/>
    <mergeCell ref="J36:O36"/>
    <mergeCell ref="A44:S45"/>
    <mergeCell ref="B46:E46"/>
    <mergeCell ref="J46:O46"/>
    <mergeCell ref="B47:E47"/>
    <mergeCell ref="J47:O47"/>
    <mergeCell ref="B48:E48"/>
    <mergeCell ref="J48:O48"/>
    <mergeCell ref="B40:E40"/>
    <mergeCell ref="J40:O40"/>
    <mergeCell ref="B41:E41"/>
    <mergeCell ref="J41:O41"/>
    <mergeCell ref="B42:E42"/>
    <mergeCell ref="J42:O42"/>
    <mergeCell ref="B52:E52"/>
    <mergeCell ref="J52:O52"/>
    <mergeCell ref="B53:E53"/>
    <mergeCell ref="J53:O53"/>
    <mergeCell ref="A55:S56"/>
    <mergeCell ref="B57:E57"/>
    <mergeCell ref="J57:O57"/>
    <mergeCell ref="B49:E49"/>
    <mergeCell ref="J49:O49"/>
    <mergeCell ref="B50:E50"/>
    <mergeCell ref="J50:O50"/>
    <mergeCell ref="B51:E51"/>
    <mergeCell ref="J51:O51"/>
    <mergeCell ref="B61:E61"/>
    <mergeCell ref="J61:O61"/>
    <mergeCell ref="B62:E62"/>
    <mergeCell ref="J62:O62"/>
    <mergeCell ref="B63:E63"/>
    <mergeCell ref="J63:O63"/>
    <mergeCell ref="B58:E58"/>
    <mergeCell ref="J58:O58"/>
    <mergeCell ref="B59:E59"/>
    <mergeCell ref="J59:O59"/>
    <mergeCell ref="B60:E60"/>
    <mergeCell ref="J60:O60"/>
    <mergeCell ref="B70:D70"/>
    <mergeCell ref="J70:N70"/>
    <mergeCell ref="B71:D71"/>
    <mergeCell ref="J71:N71"/>
    <mergeCell ref="B72:D72"/>
    <mergeCell ref="J72:N72"/>
    <mergeCell ref="B64:E64"/>
    <mergeCell ref="J64:O64"/>
    <mergeCell ref="A66:S67"/>
    <mergeCell ref="B68:D68"/>
    <mergeCell ref="J68:N68"/>
    <mergeCell ref="B69:D69"/>
    <mergeCell ref="J69:N69"/>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97:B99"/>
    <mergeCell ref="D97:S97"/>
    <mergeCell ref="D98:S98"/>
    <mergeCell ref="D99:S99"/>
    <mergeCell ref="B102:S102"/>
    <mergeCell ref="B93:B94"/>
    <mergeCell ref="D93:S93"/>
    <mergeCell ref="D94:S94"/>
    <mergeCell ref="B95:B96"/>
    <mergeCell ref="D95:S95"/>
    <mergeCell ref="D96:S96"/>
  </mergeCells>
  <phoneticPr fontId="1"/>
  <conditionalFormatting sqref="B9:S10">
    <cfRule type="expression" dxfId="7" priority="1">
      <formula>$K$7="学部・学科によって、修了要件は相違しない"</formula>
    </cfRule>
  </conditionalFormatting>
  <dataValidations count="5">
    <dataValidation type="list" allowBlank="1" showInputMessage="1" showErrorMessage="1" sqref="K20:S20" xr:uid="{9942F39E-523F-4A46-B791-EBF3111FB493}">
      <formula1>$V$14:$V$16</formula1>
    </dataValidation>
    <dataValidation type="list" allowBlank="1" showInputMessage="1" showErrorMessage="1" sqref="F79:F86 P79:P86 G79:I80 G83:I86 Q83:S86 Q79:S80" xr:uid="{088C05F5-5EFE-41A5-88E5-4E4D67D7CC43}">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D1F4387F-A1EB-4568-923E-8B2056E849DE}">
      <formula1>"学部・学科によって、修了要件は相違する,学部・学科によって、修了要件は相違しない"</formula1>
    </dataValidation>
    <dataValidation type="list" allowBlank="1" showInputMessage="1" showErrorMessage="1" sqref="S32 S43 D32:G32 D43:G43" xr:uid="{0CF3E677-75AD-4757-AF3F-3CCD42C557A7}">
      <formula1>"全学開講,一部開講"</formula1>
    </dataValidation>
    <dataValidation type="list" allowBlank="1" showInputMessage="1" showErrorMessage="1" sqref="G25:I31 Q25:S31 G36:I42 Q36:S42 P69:S75 Q47:S53 G47:I53 Q58:S64 G58:I64 F69:I75" xr:uid="{97659A1F-2F8F-4EC9-9DD9-6F7A52A28187}">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5"/>
  <headerFooter>
    <oddHeader>&amp;C数理・データサイエンス・AI教育プログラム認定制度【リテラシーレベル】</oddHeader>
  </headerFooter>
  <rowBreaks count="2" manualBreakCount="2">
    <brk id="65" max="18" man="1"/>
    <brk id="94" max="1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84F28-2CDC-49DD-AB42-6264EEA033EB}">
  <sheetPr>
    <pageSetUpPr fitToPage="1"/>
  </sheetPr>
  <dimension ref="A1:V110"/>
  <sheetViews>
    <sheetView showZeros="0" view="pageBreakPreview" topLeftCell="A91" zoomScale="85" zoomScaleNormal="100" zoomScaleSheetLayoutView="85" workbookViewId="0">
      <selection activeCell="D96" sqref="D96:S9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164</v>
      </c>
      <c r="S1" s="134"/>
      <c r="T1" s="2" t="s">
        <v>109</v>
      </c>
    </row>
    <row r="2" spans="1:22" ht="18.75" customHeight="1" x14ac:dyDescent="0.15">
      <c r="B2" s="33" t="s">
        <v>108</v>
      </c>
      <c r="C2" s="89" t="s">
        <v>126</v>
      </c>
      <c r="D2" s="90"/>
      <c r="E2" s="90"/>
      <c r="F2" s="90"/>
      <c r="G2" s="90"/>
      <c r="H2" s="90"/>
      <c r="I2" s="91"/>
      <c r="J2" s="34"/>
      <c r="K2" s="6"/>
      <c r="L2" s="6"/>
      <c r="M2" s="6"/>
      <c r="N2" s="6"/>
      <c r="O2" s="6"/>
      <c r="P2" s="6"/>
      <c r="Q2" s="6"/>
      <c r="R2" s="6"/>
      <c r="S2" s="6"/>
    </row>
    <row r="3" spans="1:22" ht="18.75" customHeight="1" x14ac:dyDescent="0.15">
      <c r="B3" s="33" t="s">
        <v>102</v>
      </c>
      <c r="C3" s="138" t="s">
        <v>127</v>
      </c>
      <c r="D3" s="139"/>
      <c r="E3" s="139"/>
      <c r="F3" s="139"/>
      <c r="G3" s="139"/>
      <c r="H3" s="139"/>
      <c r="I3" s="14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41" t="s">
        <v>38</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51" t="s">
        <v>128</v>
      </c>
      <c r="L7" s="152"/>
      <c r="M7" s="152"/>
      <c r="N7" s="152"/>
      <c r="O7" s="152"/>
      <c r="P7" s="152"/>
      <c r="Q7" s="152"/>
      <c r="R7" s="152"/>
      <c r="S7" s="15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4" t="s">
        <v>165</v>
      </c>
      <c r="C9" s="155"/>
      <c r="D9" s="155"/>
      <c r="E9" s="155"/>
      <c r="F9" s="155"/>
      <c r="G9" s="155"/>
      <c r="H9" s="155"/>
      <c r="I9" s="155"/>
      <c r="J9" s="155"/>
      <c r="K9" s="155"/>
      <c r="L9" s="155"/>
      <c r="M9" s="155"/>
      <c r="N9" s="155"/>
      <c r="O9" s="155"/>
      <c r="P9" s="155"/>
      <c r="Q9" s="155"/>
      <c r="R9" s="155"/>
      <c r="S9" s="156"/>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42" t="s">
        <v>161</v>
      </c>
      <c r="C13" s="143"/>
      <c r="D13" s="143"/>
      <c r="E13" s="143"/>
      <c r="F13" s="143"/>
      <c r="G13" s="143"/>
      <c r="H13" s="143"/>
      <c r="I13" s="143"/>
      <c r="J13" s="143"/>
      <c r="K13" s="143"/>
      <c r="L13" s="143"/>
      <c r="M13" s="143"/>
      <c r="N13" s="143"/>
      <c r="O13" s="143"/>
      <c r="P13" s="143"/>
      <c r="Q13" s="143"/>
      <c r="R13" s="143"/>
      <c r="S13" s="144"/>
      <c r="V13" s="1" t="s">
        <v>103</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110</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123</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125</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89">
        <v>6</v>
      </c>
      <c r="D20" s="91"/>
      <c r="E20" s="39" t="s">
        <v>95</v>
      </c>
      <c r="G20" s="9"/>
      <c r="H20" s="3"/>
      <c r="I20" s="3"/>
      <c r="J20" s="34" t="s">
        <v>121</v>
      </c>
      <c r="K20" s="135" t="s">
        <v>125</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53</v>
      </c>
      <c r="C24" s="90"/>
      <c r="D24" s="90"/>
      <c r="E24" s="91"/>
      <c r="F24" s="60" t="s">
        <v>80</v>
      </c>
      <c r="G24" s="59" t="s">
        <v>84</v>
      </c>
      <c r="H24" s="21" t="s">
        <v>56</v>
      </c>
      <c r="I24" s="21" t="s">
        <v>59</v>
      </c>
      <c r="J24" s="89" t="s">
        <v>53</v>
      </c>
      <c r="K24" s="90"/>
      <c r="L24" s="90"/>
      <c r="M24" s="90"/>
      <c r="N24" s="90"/>
      <c r="O24" s="91"/>
      <c r="P24" s="60" t="s">
        <v>80</v>
      </c>
      <c r="Q24" s="59" t="s">
        <v>84</v>
      </c>
      <c r="R24" s="21" t="s">
        <v>56</v>
      </c>
      <c r="S24" s="21" t="s">
        <v>59</v>
      </c>
    </row>
    <row r="25" spans="1:19" ht="18" customHeight="1" x14ac:dyDescent="0.15">
      <c r="B25" s="83" t="s">
        <v>129</v>
      </c>
      <c r="C25" s="84"/>
      <c r="D25" s="84"/>
      <c r="E25" s="85"/>
      <c r="F25" s="22">
        <v>2</v>
      </c>
      <c r="G25" s="22" t="s">
        <v>130</v>
      </c>
      <c r="H25" s="22" t="s">
        <v>130</v>
      </c>
      <c r="I25" s="22" t="s">
        <v>130</v>
      </c>
      <c r="J25" s="83"/>
      <c r="K25" s="84"/>
      <c r="L25" s="84"/>
      <c r="M25" s="84"/>
      <c r="N25" s="84"/>
      <c r="O25" s="85"/>
      <c r="P25" s="22"/>
      <c r="Q25" s="22"/>
      <c r="R25" s="22"/>
      <c r="S25" s="22"/>
    </row>
    <row r="26" spans="1:19" ht="18" customHeight="1" x14ac:dyDescent="0.15">
      <c r="B26" s="86"/>
      <c r="C26" s="87"/>
      <c r="D26" s="87"/>
      <c r="E26" s="88"/>
      <c r="F26" s="23"/>
      <c r="G26" s="23"/>
      <c r="H26" s="23"/>
      <c r="I26" s="23"/>
      <c r="J26" s="86"/>
      <c r="K26" s="87"/>
      <c r="L26" s="87"/>
      <c r="M26" s="87"/>
      <c r="N26" s="87"/>
      <c r="O26" s="88"/>
      <c r="P26" s="23"/>
      <c r="Q26" s="23"/>
      <c r="R26" s="23"/>
      <c r="S26" s="23"/>
    </row>
    <row r="27" spans="1:19" ht="18" customHeight="1" x14ac:dyDescent="0.15">
      <c r="B27" s="86"/>
      <c r="C27" s="87"/>
      <c r="D27" s="87"/>
      <c r="E27" s="88"/>
      <c r="F27" s="23"/>
      <c r="G27" s="23"/>
      <c r="H27" s="23"/>
      <c r="I27" s="23"/>
      <c r="J27" s="86"/>
      <c r="K27" s="87"/>
      <c r="L27" s="87"/>
      <c r="M27" s="87"/>
      <c r="N27" s="87"/>
      <c r="O27" s="88"/>
      <c r="P27" s="23"/>
      <c r="Q27" s="23"/>
      <c r="R27" s="23"/>
      <c r="S27" s="23"/>
    </row>
    <row r="28" spans="1:19" ht="18" customHeight="1" x14ac:dyDescent="0.15">
      <c r="B28" s="86"/>
      <c r="C28" s="87"/>
      <c r="D28" s="87"/>
      <c r="E28" s="88"/>
      <c r="F28" s="23"/>
      <c r="G28" s="23"/>
      <c r="H28" s="23"/>
      <c r="I28" s="23"/>
      <c r="J28" s="86"/>
      <c r="K28" s="87"/>
      <c r="L28" s="87"/>
      <c r="M28" s="87"/>
      <c r="N28" s="87"/>
      <c r="O28" s="88"/>
      <c r="P28" s="23"/>
      <c r="Q28" s="23"/>
      <c r="R28" s="23"/>
      <c r="S28" s="23"/>
    </row>
    <row r="29" spans="1:19" ht="18" customHeight="1" x14ac:dyDescent="0.15">
      <c r="B29" s="86"/>
      <c r="C29" s="87"/>
      <c r="D29" s="87"/>
      <c r="E29" s="88"/>
      <c r="F29" s="23"/>
      <c r="G29" s="23"/>
      <c r="H29" s="23"/>
      <c r="I29" s="23"/>
      <c r="J29" s="86"/>
      <c r="K29" s="87"/>
      <c r="L29" s="87"/>
      <c r="M29" s="87"/>
      <c r="N29" s="87"/>
      <c r="O29" s="88"/>
      <c r="P29" s="23"/>
      <c r="Q29" s="23"/>
      <c r="R29" s="23"/>
      <c r="S29" s="23"/>
    </row>
    <row r="30" spans="1:19" ht="18" customHeight="1" x14ac:dyDescent="0.15">
      <c r="A30" s="3"/>
      <c r="B30" s="86"/>
      <c r="C30" s="87"/>
      <c r="D30" s="87"/>
      <c r="E30" s="88"/>
      <c r="F30" s="23"/>
      <c r="G30" s="23"/>
      <c r="H30" s="23"/>
      <c r="I30" s="23"/>
      <c r="J30" s="86"/>
      <c r="K30" s="87"/>
      <c r="L30" s="87"/>
      <c r="M30" s="87"/>
      <c r="N30" s="87"/>
      <c r="O30" s="88"/>
      <c r="P30" s="23"/>
      <c r="Q30" s="23"/>
      <c r="R30" s="23"/>
      <c r="S30" s="23"/>
    </row>
    <row r="31" spans="1:19" ht="18" customHeight="1" x14ac:dyDescent="0.15">
      <c r="A31" s="3"/>
      <c r="B31" s="92"/>
      <c r="C31" s="93"/>
      <c r="D31" s="93"/>
      <c r="E31" s="94"/>
      <c r="F31" s="24"/>
      <c r="G31" s="24"/>
      <c r="H31" s="25"/>
      <c r="I31" s="25"/>
      <c r="J31" s="92"/>
      <c r="K31" s="93"/>
      <c r="L31" s="93"/>
      <c r="M31" s="93"/>
      <c r="N31" s="93"/>
      <c r="O31" s="94"/>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53</v>
      </c>
      <c r="C35" s="90"/>
      <c r="D35" s="90"/>
      <c r="E35" s="91"/>
      <c r="F35" s="60" t="s">
        <v>80</v>
      </c>
      <c r="G35" s="59" t="s">
        <v>84</v>
      </c>
      <c r="H35" s="21" t="s">
        <v>71</v>
      </c>
      <c r="I35" s="21" t="s">
        <v>72</v>
      </c>
      <c r="J35" s="89" t="s">
        <v>53</v>
      </c>
      <c r="K35" s="90"/>
      <c r="L35" s="90"/>
      <c r="M35" s="90"/>
      <c r="N35" s="90"/>
      <c r="O35" s="91"/>
      <c r="P35" s="60" t="s">
        <v>80</v>
      </c>
      <c r="Q35" s="59" t="s">
        <v>84</v>
      </c>
      <c r="R35" s="21" t="s">
        <v>71</v>
      </c>
      <c r="S35" s="21" t="s">
        <v>72</v>
      </c>
    </row>
    <row r="36" spans="1:19" ht="18" customHeight="1" x14ac:dyDescent="0.15">
      <c r="B36" s="83" t="s">
        <v>166</v>
      </c>
      <c r="C36" s="84"/>
      <c r="D36" s="84"/>
      <c r="E36" s="85"/>
      <c r="F36" s="22">
        <v>2</v>
      </c>
      <c r="G36" s="22"/>
      <c r="H36" s="22" t="s">
        <v>130</v>
      </c>
      <c r="I36" s="22" t="s">
        <v>130</v>
      </c>
      <c r="J36" s="83"/>
      <c r="K36" s="84"/>
      <c r="L36" s="84"/>
      <c r="M36" s="84"/>
      <c r="N36" s="84"/>
      <c r="O36" s="85"/>
      <c r="P36" s="22"/>
      <c r="Q36" s="22"/>
      <c r="R36" s="22"/>
      <c r="S36" s="22"/>
    </row>
    <row r="37" spans="1:19" ht="18" customHeight="1" x14ac:dyDescent="0.15">
      <c r="B37" s="86" t="s">
        <v>167</v>
      </c>
      <c r="C37" s="87"/>
      <c r="D37" s="87"/>
      <c r="E37" s="88"/>
      <c r="F37" s="23">
        <v>2</v>
      </c>
      <c r="G37" s="23"/>
      <c r="H37" s="23" t="s">
        <v>130</v>
      </c>
      <c r="I37" s="23" t="s">
        <v>130</v>
      </c>
      <c r="J37" s="86"/>
      <c r="K37" s="87"/>
      <c r="L37" s="87"/>
      <c r="M37" s="87"/>
      <c r="N37" s="87"/>
      <c r="O37" s="88"/>
      <c r="P37" s="23"/>
      <c r="Q37" s="23"/>
      <c r="R37" s="23"/>
      <c r="S37" s="23"/>
    </row>
    <row r="38" spans="1:19" ht="18" customHeight="1" x14ac:dyDescent="0.15">
      <c r="B38" s="86" t="s">
        <v>168</v>
      </c>
      <c r="C38" s="87"/>
      <c r="D38" s="87"/>
      <c r="E38" s="88"/>
      <c r="F38" s="23">
        <v>2</v>
      </c>
      <c r="G38" s="23"/>
      <c r="H38" s="23" t="s">
        <v>130</v>
      </c>
      <c r="I38" s="23" t="s">
        <v>130</v>
      </c>
      <c r="J38" s="86"/>
      <c r="K38" s="87"/>
      <c r="L38" s="87"/>
      <c r="M38" s="87"/>
      <c r="N38" s="87"/>
      <c r="O38" s="88"/>
      <c r="P38" s="23"/>
      <c r="Q38" s="23"/>
      <c r="R38" s="23"/>
      <c r="S38" s="23"/>
    </row>
    <row r="39" spans="1:19" ht="18" customHeight="1" x14ac:dyDescent="0.15">
      <c r="B39" s="86"/>
      <c r="C39" s="87"/>
      <c r="D39" s="87"/>
      <c r="E39" s="88"/>
      <c r="F39" s="23"/>
      <c r="G39" s="23"/>
      <c r="H39" s="23"/>
      <c r="I39" s="23"/>
      <c r="J39" s="86"/>
      <c r="K39" s="87"/>
      <c r="L39" s="87"/>
      <c r="M39" s="87"/>
      <c r="N39" s="87"/>
      <c r="O39" s="88"/>
      <c r="P39" s="23"/>
      <c r="Q39" s="23"/>
      <c r="R39" s="23"/>
      <c r="S39" s="23"/>
    </row>
    <row r="40" spans="1:19" ht="18" customHeight="1" x14ac:dyDescent="0.15">
      <c r="B40" s="86"/>
      <c r="C40" s="87"/>
      <c r="D40" s="87"/>
      <c r="E40" s="88"/>
      <c r="F40" s="23"/>
      <c r="G40" s="23"/>
      <c r="H40" s="23"/>
      <c r="I40" s="23"/>
      <c r="J40" s="86"/>
      <c r="K40" s="87"/>
      <c r="L40" s="87"/>
      <c r="M40" s="87"/>
      <c r="N40" s="87"/>
      <c r="O40" s="88"/>
      <c r="P40" s="23"/>
      <c r="Q40" s="23"/>
      <c r="R40" s="23"/>
      <c r="S40" s="23"/>
    </row>
    <row r="41" spans="1:19" ht="18" customHeight="1" x14ac:dyDescent="0.15">
      <c r="B41" s="86"/>
      <c r="C41" s="87"/>
      <c r="D41" s="87"/>
      <c r="E41" s="88"/>
      <c r="F41" s="23"/>
      <c r="G41" s="23"/>
      <c r="H41" s="23"/>
      <c r="I41" s="23"/>
      <c r="J41" s="86"/>
      <c r="K41" s="87"/>
      <c r="L41" s="87"/>
      <c r="M41" s="87"/>
      <c r="N41" s="87"/>
      <c r="O41" s="88"/>
      <c r="P41" s="23"/>
      <c r="Q41" s="23"/>
      <c r="R41" s="23"/>
      <c r="S41" s="23"/>
    </row>
    <row r="42" spans="1:19" ht="18" customHeight="1" x14ac:dyDescent="0.15">
      <c r="B42" s="92"/>
      <c r="C42" s="93"/>
      <c r="D42" s="93"/>
      <c r="E42" s="94"/>
      <c r="F42" s="24"/>
      <c r="G42" s="24"/>
      <c r="H42" s="25"/>
      <c r="I42" s="25"/>
      <c r="J42" s="92"/>
      <c r="K42" s="93"/>
      <c r="L42" s="93"/>
      <c r="M42" s="93"/>
      <c r="N42" s="93"/>
      <c r="O42" s="94"/>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53</v>
      </c>
      <c r="C46" s="90"/>
      <c r="D46" s="90"/>
      <c r="E46" s="91"/>
      <c r="F46" s="60" t="s">
        <v>80</v>
      </c>
      <c r="G46" s="59" t="s">
        <v>84</v>
      </c>
      <c r="H46" s="21" t="s">
        <v>73</v>
      </c>
      <c r="I46" s="21" t="s">
        <v>74</v>
      </c>
      <c r="J46" s="89" t="s">
        <v>53</v>
      </c>
      <c r="K46" s="90"/>
      <c r="L46" s="90"/>
      <c r="M46" s="90"/>
      <c r="N46" s="90"/>
      <c r="O46" s="91"/>
      <c r="P46" s="60" t="s">
        <v>80</v>
      </c>
      <c r="Q46" s="59" t="s">
        <v>84</v>
      </c>
      <c r="R46" s="21" t="s">
        <v>73</v>
      </c>
      <c r="S46" s="21" t="s">
        <v>74</v>
      </c>
    </row>
    <row r="47" spans="1:19" ht="18" customHeight="1" x14ac:dyDescent="0.15">
      <c r="A47" s="3"/>
      <c r="B47" s="83" t="s">
        <v>129</v>
      </c>
      <c r="C47" s="84"/>
      <c r="D47" s="84"/>
      <c r="E47" s="85"/>
      <c r="F47" s="22">
        <v>2</v>
      </c>
      <c r="G47" s="22" t="s">
        <v>130</v>
      </c>
      <c r="H47" s="22" t="s">
        <v>130</v>
      </c>
      <c r="I47" s="22" t="s">
        <v>130</v>
      </c>
      <c r="J47" s="83"/>
      <c r="K47" s="84"/>
      <c r="L47" s="84"/>
      <c r="M47" s="84"/>
      <c r="N47" s="84"/>
      <c r="O47" s="85"/>
      <c r="P47" s="22"/>
      <c r="Q47" s="22"/>
      <c r="R47" s="22"/>
      <c r="S47" s="22"/>
    </row>
    <row r="48" spans="1:19" ht="18" customHeight="1" x14ac:dyDescent="0.15">
      <c r="A48" s="3"/>
      <c r="B48" s="86"/>
      <c r="C48" s="87"/>
      <c r="D48" s="87"/>
      <c r="E48" s="88"/>
      <c r="F48" s="23"/>
      <c r="G48" s="23"/>
      <c r="H48" s="23"/>
      <c r="I48" s="23"/>
      <c r="J48" s="86"/>
      <c r="K48" s="87"/>
      <c r="L48" s="87"/>
      <c r="M48" s="87"/>
      <c r="N48" s="87"/>
      <c r="O48" s="88"/>
      <c r="P48" s="23"/>
      <c r="Q48" s="23"/>
      <c r="R48" s="23"/>
      <c r="S48" s="23"/>
    </row>
    <row r="49" spans="1:19" ht="18" customHeight="1" x14ac:dyDescent="0.15">
      <c r="A49" s="3"/>
      <c r="B49" s="86"/>
      <c r="C49" s="87"/>
      <c r="D49" s="87"/>
      <c r="E49" s="88"/>
      <c r="F49" s="23"/>
      <c r="G49" s="23"/>
      <c r="H49" s="23"/>
      <c r="I49" s="23"/>
      <c r="J49" s="86"/>
      <c r="K49" s="87"/>
      <c r="L49" s="87"/>
      <c r="M49" s="87"/>
      <c r="N49" s="87"/>
      <c r="O49" s="88"/>
      <c r="P49" s="23"/>
      <c r="Q49" s="23"/>
      <c r="R49" s="23"/>
      <c r="S49" s="23"/>
    </row>
    <row r="50" spans="1:19" ht="18" customHeight="1" x14ac:dyDescent="0.15">
      <c r="A50" s="3"/>
      <c r="B50" s="86"/>
      <c r="C50" s="87"/>
      <c r="D50" s="87"/>
      <c r="E50" s="88"/>
      <c r="F50" s="23"/>
      <c r="G50" s="23"/>
      <c r="H50" s="23"/>
      <c r="I50" s="23"/>
      <c r="J50" s="86"/>
      <c r="K50" s="87"/>
      <c r="L50" s="87"/>
      <c r="M50" s="87"/>
      <c r="N50" s="87"/>
      <c r="O50" s="88"/>
      <c r="P50" s="23"/>
      <c r="Q50" s="23"/>
      <c r="R50" s="23"/>
      <c r="S50" s="23"/>
    </row>
    <row r="51" spans="1:19" ht="18" customHeight="1" x14ac:dyDescent="0.15">
      <c r="A51" s="3"/>
      <c r="B51" s="86"/>
      <c r="C51" s="87"/>
      <c r="D51" s="87"/>
      <c r="E51" s="88"/>
      <c r="F51" s="23"/>
      <c r="G51" s="23"/>
      <c r="H51" s="23"/>
      <c r="I51" s="23"/>
      <c r="J51" s="86"/>
      <c r="K51" s="87"/>
      <c r="L51" s="87"/>
      <c r="M51" s="87"/>
      <c r="N51" s="87"/>
      <c r="O51" s="88"/>
      <c r="P51" s="23"/>
      <c r="Q51" s="23"/>
      <c r="R51" s="23"/>
      <c r="S51" s="23"/>
    </row>
    <row r="52" spans="1:19" ht="18" customHeight="1" x14ac:dyDescent="0.15">
      <c r="A52" s="3"/>
      <c r="B52" s="86"/>
      <c r="C52" s="87"/>
      <c r="D52" s="87"/>
      <c r="E52" s="88"/>
      <c r="F52" s="23"/>
      <c r="G52" s="23"/>
      <c r="H52" s="23"/>
      <c r="I52" s="23"/>
      <c r="J52" s="86"/>
      <c r="K52" s="87"/>
      <c r="L52" s="87"/>
      <c r="M52" s="87"/>
      <c r="N52" s="87"/>
      <c r="O52" s="88"/>
      <c r="P52" s="23"/>
      <c r="Q52" s="23"/>
      <c r="R52" s="23"/>
      <c r="S52" s="23"/>
    </row>
    <row r="53" spans="1:19" ht="18" customHeight="1" x14ac:dyDescent="0.15">
      <c r="A53" s="3"/>
      <c r="B53" s="92"/>
      <c r="C53" s="93"/>
      <c r="D53" s="93"/>
      <c r="E53" s="94"/>
      <c r="F53" s="24"/>
      <c r="G53" s="24"/>
      <c r="H53" s="25"/>
      <c r="I53" s="25"/>
      <c r="J53" s="92"/>
      <c r="K53" s="93"/>
      <c r="L53" s="93"/>
      <c r="M53" s="93"/>
      <c r="N53" s="93"/>
      <c r="O53" s="94"/>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53</v>
      </c>
      <c r="C57" s="90"/>
      <c r="D57" s="90"/>
      <c r="E57" s="91"/>
      <c r="F57" s="60" t="s">
        <v>80</v>
      </c>
      <c r="G57" s="59" t="s">
        <v>84</v>
      </c>
      <c r="H57" s="21" t="s">
        <v>58</v>
      </c>
      <c r="I57" s="21" t="s">
        <v>60</v>
      </c>
      <c r="J57" s="89" t="s">
        <v>53</v>
      </c>
      <c r="K57" s="90"/>
      <c r="L57" s="90"/>
      <c r="M57" s="90"/>
      <c r="N57" s="90"/>
      <c r="O57" s="91"/>
      <c r="P57" s="60" t="s">
        <v>80</v>
      </c>
      <c r="Q57" s="59" t="s">
        <v>84</v>
      </c>
      <c r="R57" s="21" t="s">
        <v>58</v>
      </c>
      <c r="S57" s="21" t="s">
        <v>60</v>
      </c>
    </row>
    <row r="58" spans="1:19" ht="18" customHeight="1" x14ac:dyDescent="0.15">
      <c r="A58" s="3"/>
      <c r="B58" s="83" t="s">
        <v>129</v>
      </c>
      <c r="C58" s="84"/>
      <c r="D58" s="84"/>
      <c r="E58" s="85"/>
      <c r="F58" s="22">
        <v>2</v>
      </c>
      <c r="G58" s="22" t="s">
        <v>130</v>
      </c>
      <c r="H58" s="22" t="s">
        <v>130</v>
      </c>
      <c r="I58" s="22" t="s">
        <v>130</v>
      </c>
      <c r="J58" s="83"/>
      <c r="K58" s="84"/>
      <c r="L58" s="84"/>
      <c r="M58" s="84"/>
      <c r="N58" s="84"/>
      <c r="O58" s="85"/>
      <c r="P58" s="22"/>
      <c r="Q58" s="22"/>
      <c r="R58" s="22"/>
      <c r="S58" s="22"/>
    </row>
    <row r="59" spans="1:19" ht="18" customHeight="1" x14ac:dyDescent="0.15">
      <c r="A59" s="3"/>
      <c r="B59" s="86"/>
      <c r="C59" s="87"/>
      <c r="D59" s="87"/>
      <c r="E59" s="88"/>
      <c r="F59" s="23"/>
      <c r="G59" s="23"/>
      <c r="H59" s="23"/>
      <c r="I59" s="23"/>
      <c r="J59" s="86"/>
      <c r="K59" s="87"/>
      <c r="L59" s="87"/>
      <c r="M59" s="87"/>
      <c r="N59" s="87"/>
      <c r="O59" s="88"/>
      <c r="P59" s="23"/>
      <c r="Q59" s="23"/>
      <c r="R59" s="23"/>
      <c r="S59" s="23"/>
    </row>
    <row r="60" spans="1:19" ht="18" customHeight="1" x14ac:dyDescent="0.15">
      <c r="A60" s="3"/>
      <c r="B60" s="86"/>
      <c r="C60" s="87"/>
      <c r="D60" s="87"/>
      <c r="E60" s="88"/>
      <c r="F60" s="23"/>
      <c r="G60" s="23"/>
      <c r="H60" s="23"/>
      <c r="I60" s="23"/>
      <c r="J60" s="86"/>
      <c r="K60" s="87"/>
      <c r="L60" s="87"/>
      <c r="M60" s="87"/>
      <c r="N60" s="87"/>
      <c r="O60" s="88"/>
      <c r="P60" s="23"/>
      <c r="Q60" s="23"/>
      <c r="R60" s="23"/>
      <c r="S60" s="23"/>
    </row>
    <row r="61" spans="1:19" ht="18" customHeight="1" x14ac:dyDescent="0.15">
      <c r="A61" s="3"/>
      <c r="B61" s="86"/>
      <c r="C61" s="87"/>
      <c r="D61" s="87"/>
      <c r="E61" s="88"/>
      <c r="F61" s="23"/>
      <c r="G61" s="23"/>
      <c r="H61" s="23"/>
      <c r="I61" s="23"/>
      <c r="J61" s="86"/>
      <c r="K61" s="87"/>
      <c r="L61" s="87"/>
      <c r="M61" s="87"/>
      <c r="N61" s="87"/>
      <c r="O61" s="88"/>
      <c r="P61" s="23"/>
      <c r="Q61" s="23"/>
      <c r="R61" s="23"/>
      <c r="S61" s="23"/>
    </row>
    <row r="62" spans="1:19" ht="18" customHeight="1" x14ac:dyDescent="0.15">
      <c r="A62" s="3"/>
      <c r="B62" s="86"/>
      <c r="C62" s="87"/>
      <c r="D62" s="87"/>
      <c r="E62" s="88"/>
      <c r="F62" s="23"/>
      <c r="G62" s="23"/>
      <c r="H62" s="23"/>
      <c r="I62" s="23"/>
      <c r="J62" s="86"/>
      <c r="K62" s="87"/>
      <c r="L62" s="87"/>
      <c r="M62" s="87"/>
      <c r="N62" s="87"/>
      <c r="O62" s="88"/>
      <c r="P62" s="23"/>
      <c r="Q62" s="23"/>
      <c r="R62" s="23"/>
      <c r="S62" s="23"/>
    </row>
    <row r="63" spans="1:19" ht="18" customHeight="1" x14ac:dyDescent="0.15">
      <c r="A63" s="3"/>
      <c r="B63" s="86"/>
      <c r="C63" s="87"/>
      <c r="D63" s="87"/>
      <c r="E63" s="88"/>
      <c r="F63" s="23"/>
      <c r="G63" s="23"/>
      <c r="H63" s="23"/>
      <c r="I63" s="23"/>
      <c r="J63" s="86"/>
      <c r="K63" s="87"/>
      <c r="L63" s="87"/>
      <c r="M63" s="87"/>
      <c r="N63" s="87"/>
      <c r="O63" s="88"/>
      <c r="P63" s="23"/>
      <c r="Q63" s="23"/>
      <c r="R63" s="23"/>
      <c r="S63" s="23"/>
    </row>
    <row r="64" spans="1:19" ht="18" customHeight="1" x14ac:dyDescent="0.15">
      <c r="A64" s="3"/>
      <c r="B64" s="92"/>
      <c r="C64" s="93"/>
      <c r="D64" s="93"/>
      <c r="E64" s="94"/>
      <c r="F64" s="24"/>
      <c r="G64" s="24"/>
      <c r="H64" s="25"/>
      <c r="I64" s="25"/>
      <c r="J64" s="92"/>
      <c r="K64" s="93"/>
      <c r="L64" s="93"/>
      <c r="M64" s="93"/>
      <c r="N64" s="93"/>
      <c r="O64" s="94"/>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53</v>
      </c>
      <c r="C68" s="90"/>
      <c r="D68" s="90"/>
      <c r="E68" s="60" t="s">
        <v>80</v>
      </c>
      <c r="F68" s="59" t="s">
        <v>84</v>
      </c>
      <c r="G68" s="21" t="s">
        <v>101</v>
      </c>
      <c r="H68" s="21" t="s">
        <v>75</v>
      </c>
      <c r="I68" s="21" t="s">
        <v>76</v>
      </c>
      <c r="J68" s="89" t="s">
        <v>53</v>
      </c>
      <c r="K68" s="90"/>
      <c r="L68" s="90"/>
      <c r="M68" s="90"/>
      <c r="N68" s="91"/>
      <c r="O68" s="60" t="s">
        <v>80</v>
      </c>
      <c r="P68" s="59" t="s">
        <v>84</v>
      </c>
      <c r="Q68" s="21" t="s">
        <v>101</v>
      </c>
      <c r="R68" s="21" t="s">
        <v>75</v>
      </c>
      <c r="S68" s="21" t="s">
        <v>76</v>
      </c>
    </row>
    <row r="69" spans="1:19" ht="18" customHeight="1" x14ac:dyDescent="0.15">
      <c r="A69" s="3"/>
      <c r="B69" s="83" t="s">
        <v>131</v>
      </c>
      <c r="C69" s="84"/>
      <c r="D69" s="85"/>
      <c r="E69" s="22">
        <v>2</v>
      </c>
      <c r="F69" s="22"/>
      <c r="G69" s="22" t="s">
        <v>130</v>
      </c>
      <c r="H69" s="22" t="s">
        <v>130</v>
      </c>
      <c r="I69" s="22" t="s">
        <v>130</v>
      </c>
      <c r="J69" s="83"/>
      <c r="K69" s="84"/>
      <c r="L69" s="84"/>
      <c r="M69" s="84"/>
      <c r="N69" s="85"/>
      <c r="O69" s="22"/>
      <c r="P69" s="22"/>
      <c r="Q69" s="22"/>
      <c r="R69" s="22"/>
      <c r="S69" s="22"/>
    </row>
    <row r="70" spans="1:19" ht="18" customHeight="1" x14ac:dyDescent="0.15">
      <c r="A70" s="3"/>
      <c r="B70" s="86" t="s">
        <v>132</v>
      </c>
      <c r="C70" s="87"/>
      <c r="D70" s="88"/>
      <c r="E70" s="23">
        <v>2</v>
      </c>
      <c r="F70" s="23"/>
      <c r="G70" s="23" t="s">
        <v>130</v>
      </c>
      <c r="H70" s="23" t="s">
        <v>130</v>
      </c>
      <c r="I70" s="23" t="s">
        <v>130</v>
      </c>
      <c r="J70" s="86"/>
      <c r="K70" s="87"/>
      <c r="L70" s="87"/>
      <c r="M70" s="87"/>
      <c r="N70" s="88"/>
      <c r="O70" s="23"/>
      <c r="P70" s="23"/>
      <c r="Q70" s="23"/>
      <c r="R70" s="23"/>
      <c r="S70" s="23"/>
    </row>
    <row r="71" spans="1:19" ht="18" customHeight="1" x14ac:dyDescent="0.15">
      <c r="A71" s="3"/>
      <c r="B71" s="86" t="s">
        <v>133</v>
      </c>
      <c r="C71" s="87"/>
      <c r="D71" s="88"/>
      <c r="E71" s="23">
        <v>2</v>
      </c>
      <c r="F71" s="23"/>
      <c r="G71" s="23" t="s">
        <v>130</v>
      </c>
      <c r="H71" s="23" t="s">
        <v>130</v>
      </c>
      <c r="I71" s="23" t="s">
        <v>130</v>
      </c>
      <c r="J71" s="86"/>
      <c r="K71" s="87"/>
      <c r="L71" s="87"/>
      <c r="M71" s="87"/>
      <c r="N71" s="88"/>
      <c r="O71" s="23"/>
      <c r="P71" s="23"/>
      <c r="Q71" s="23"/>
      <c r="R71" s="23"/>
      <c r="S71" s="23"/>
    </row>
    <row r="72" spans="1:19" ht="18" customHeight="1" x14ac:dyDescent="0.15">
      <c r="A72" s="3"/>
      <c r="B72" s="86"/>
      <c r="C72" s="87"/>
      <c r="D72" s="87"/>
      <c r="E72" s="23"/>
      <c r="F72" s="23"/>
      <c r="G72" s="23"/>
      <c r="H72" s="23"/>
      <c r="I72" s="23"/>
      <c r="J72" s="86"/>
      <c r="K72" s="87"/>
      <c r="L72" s="87"/>
      <c r="M72" s="87"/>
      <c r="N72" s="88"/>
      <c r="O72" s="23"/>
      <c r="P72" s="23"/>
      <c r="Q72" s="23"/>
      <c r="R72" s="23"/>
      <c r="S72" s="23"/>
    </row>
    <row r="73" spans="1:19" ht="18" customHeight="1" x14ac:dyDescent="0.15">
      <c r="A73" s="3"/>
      <c r="B73" s="86"/>
      <c r="C73" s="87"/>
      <c r="D73" s="87"/>
      <c r="E73" s="23"/>
      <c r="F73" s="23"/>
      <c r="G73" s="23"/>
      <c r="H73" s="23"/>
      <c r="I73" s="23"/>
      <c r="J73" s="86"/>
      <c r="K73" s="87"/>
      <c r="L73" s="87"/>
      <c r="M73" s="87"/>
      <c r="N73" s="88"/>
      <c r="O73" s="23"/>
      <c r="P73" s="23"/>
      <c r="Q73" s="23"/>
      <c r="R73" s="23"/>
      <c r="S73" s="23"/>
    </row>
    <row r="74" spans="1:19" ht="18" customHeight="1" x14ac:dyDescent="0.15">
      <c r="A74" s="3"/>
      <c r="B74" s="86"/>
      <c r="C74" s="87"/>
      <c r="D74" s="87"/>
      <c r="E74" s="23"/>
      <c r="F74" s="23"/>
      <c r="G74" s="23"/>
      <c r="H74" s="23"/>
      <c r="I74" s="23"/>
      <c r="J74" s="86"/>
      <c r="K74" s="87"/>
      <c r="L74" s="87"/>
      <c r="M74" s="87"/>
      <c r="N74" s="88"/>
      <c r="O74" s="23"/>
      <c r="P74" s="23"/>
      <c r="Q74" s="23"/>
      <c r="R74" s="23"/>
      <c r="S74" s="23"/>
    </row>
    <row r="75" spans="1:19" ht="18" customHeight="1" x14ac:dyDescent="0.15">
      <c r="A75" s="3"/>
      <c r="B75" s="92"/>
      <c r="C75" s="93"/>
      <c r="D75" s="93"/>
      <c r="E75" s="24"/>
      <c r="F75" s="24"/>
      <c r="G75" s="25"/>
      <c r="H75" s="25"/>
      <c r="I75" s="25"/>
      <c r="J75" s="92"/>
      <c r="K75" s="93"/>
      <c r="L75" s="93"/>
      <c r="M75" s="93"/>
      <c r="N75" s="94"/>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89" t="s">
        <v>53</v>
      </c>
      <c r="C78" s="90"/>
      <c r="D78" s="90"/>
      <c r="E78" s="91"/>
      <c r="F78" s="89" t="s">
        <v>82</v>
      </c>
      <c r="G78" s="90"/>
      <c r="H78" s="90"/>
      <c r="I78" s="91"/>
      <c r="J78" s="117" t="s">
        <v>53</v>
      </c>
      <c r="K78" s="118"/>
      <c r="L78" s="118"/>
      <c r="M78" s="118"/>
      <c r="N78" s="118"/>
      <c r="O78" s="119"/>
      <c r="P78" s="89" t="s">
        <v>82</v>
      </c>
      <c r="Q78" s="90"/>
      <c r="R78" s="90"/>
      <c r="S78" s="91"/>
    </row>
    <row r="79" spans="1:19" ht="18" customHeight="1" x14ac:dyDescent="0.15">
      <c r="A79" s="3"/>
      <c r="B79" s="83"/>
      <c r="C79" s="84"/>
      <c r="D79" s="84"/>
      <c r="E79" s="85"/>
      <c r="F79" s="111"/>
      <c r="G79" s="112"/>
      <c r="H79" s="112"/>
      <c r="I79" s="113"/>
      <c r="J79" s="83"/>
      <c r="K79" s="84"/>
      <c r="L79" s="84"/>
      <c r="M79" s="84"/>
      <c r="N79" s="84"/>
      <c r="O79" s="85"/>
      <c r="P79" s="111"/>
      <c r="Q79" s="112"/>
      <c r="R79" s="112"/>
      <c r="S79" s="113"/>
    </row>
    <row r="80" spans="1:19" ht="18" customHeight="1" x14ac:dyDescent="0.15">
      <c r="A80" s="3"/>
      <c r="B80" s="86"/>
      <c r="C80" s="87"/>
      <c r="D80" s="87"/>
      <c r="E80" s="88"/>
      <c r="F80" s="114"/>
      <c r="G80" s="115"/>
      <c r="H80" s="115"/>
      <c r="I80" s="116"/>
      <c r="J80" s="86"/>
      <c r="K80" s="87"/>
      <c r="L80" s="87"/>
      <c r="M80" s="87"/>
      <c r="N80" s="87"/>
      <c r="O80" s="88"/>
      <c r="P80" s="114"/>
      <c r="Q80" s="115"/>
      <c r="R80" s="115"/>
      <c r="S80" s="116"/>
    </row>
    <row r="81" spans="1:19" ht="18" customHeight="1" x14ac:dyDescent="0.15">
      <c r="A81" s="3"/>
      <c r="B81" s="86"/>
      <c r="C81" s="87"/>
      <c r="D81" s="87"/>
      <c r="E81" s="88"/>
      <c r="F81" s="114"/>
      <c r="G81" s="115"/>
      <c r="H81" s="115"/>
      <c r="I81" s="116"/>
      <c r="J81" s="86"/>
      <c r="K81" s="87"/>
      <c r="L81" s="87"/>
      <c r="M81" s="87"/>
      <c r="N81" s="87"/>
      <c r="O81" s="88"/>
      <c r="P81" s="114"/>
      <c r="Q81" s="115"/>
      <c r="R81" s="115"/>
      <c r="S81" s="116"/>
    </row>
    <row r="82" spans="1:19" ht="18" customHeight="1" x14ac:dyDescent="0.15">
      <c r="A82" s="3"/>
      <c r="B82" s="86"/>
      <c r="C82" s="87"/>
      <c r="D82" s="87"/>
      <c r="E82" s="88"/>
      <c r="F82" s="114"/>
      <c r="G82" s="115"/>
      <c r="H82" s="115"/>
      <c r="I82" s="116"/>
      <c r="J82" s="86"/>
      <c r="K82" s="87"/>
      <c r="L82" s="87"/>
      <c r="M82" s="87"/>
      <c r="N82" s="87"/>
      <c r="O82" s="88"/>
      <c r="P82" s="114"/>
      <c r="Q82" s="115"/>
      <c r="R82" s="115"/>
      <c r="S82" s="116"/>
    </row>
    <row r="83" spans="1:19" ht="18" customHeight="1" x14ac:dyDescent="0.15">
      <c r="A83" s="3"/>
      <c r="B83" s="86"/>
      <c r="C83" s="87"/>
      <c r="D83" s="87"/>
      <c r="E83" s="88"/>
      <c r="F83" s="114"/>
      <c r="G83" s="115"/>
      <c r="H83" s="115"/>
      <c r="I83" s="116"/>
      <c r="J83" s="86"/>
      <c r="K83" s="87"/>
      <c r="L83" s="87"/>
      <c r="M83" s="87"/>
      <c r="N83" s="87"/>
      <c r="O83" s="88"/>
      <c r="P83" s="114"/>
      <c r="Q83" s="115"/>
      <c r="R83" s="115"/>
      <c r="S83" s="116"/>
    </row>
    <row r="84" spans="1:19" ht="18" customHeight="1" x14ac:dyDescent="0.15">
      <c r="A84" s="3"/>
      <c r="B84" s="86"/>
      <c r="C84" s="87"/>
      <c r="D84" s="87"/>
      <c r="E84" s="88"/>
      <c r="F84" s="114"/>
      <c r="G84" s="115"/>
      <c r="H84" s="115"/>
      <c r="I84" s="116"/>
      <c r="J84" s="86"/>
      <c r="K84" s="87"/>
      <c r="L84" s="87"/>
      <c r="M84" s="87"/>
      <c r="N84" s="87"/>
      <c r="O84" s="88"/>
      <c r="P84" s="114"/>
      <c r="Q84" s="115"/>
      <c r="R84" s="115"/>
      <c r="S84" s="116"/>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07" t="s">
        <v>54</v>
      </c>
      <c r="C88" s="108"/>
      <c r="D88" s="90" t="s">
        <v>55</v>
      </c>
      <c r="E88" s="90"/>
      <c r="F88" s="90"/>
      <c r="G88" s="90"/>
      <c r="H88" s="90"/>
      <c r="I88" s="90"/>
      <c r="J88" s="90"/>
      <c r="K88" s="90"/>
      <c r="L88" s="90"/>
      <c r="M88" s="90"/>
      <c r="N88" s="90"/>
      <c r="O88" s="90"/>
      <c r="P88" s="90"/>
      <c r="Q88" s="90"/>
      <c r="R88" s="90"/>
      <c r="S88" s="91"/>
    </row>
    <row r="89" spans="1:19" ht="97.5" customHeight="1" x14ac:dyDescent="0.15">
      <c r="B89" s="96" t="s">
        <v>61</v>
      </c>
      <c r="C89" s="27" t="s">
        <v>56</v>
      </c>
      <c r="D89" s="105" t="s">
        <v>242</v>
      </c>
      <c r="E89" s="109"/>
      <c r="F89" s="109"/>
      <c r="G89" s="109"/>
      <c r="H89" s="109"/>
      <c r="I89" s="109"/>
      <c r="J89" s="109"/>
      <c r="K89" s="109"/>
      <c r="L89" s="109"/>
      <c r="M89" s="109"/>
      <c r="N89" s="109"/>
      <c r="O89" s="109"/>
      <c r="P89" s="109"/>
      <c r="Q89" s="109"/>
      <c r="R89" s="109"/>
      <c r="S89" s="110"/>
    </row>
    <row r="90" spans="1:19" ht="97.5" customHeight="1" x14ac:dyDescent="0.15">
      <c r="B90" s="97"/>
      <c r="C90" s="28" t="s">
        <v>77</v>
      </c>
      <c r="D90" s="123" t="s">
        <v>243</v>
      </c>
      <c r="E90" s="123"/>
      <c r="F90" s="123"/>
      <c r="G90" s="123"/>
      <c r="H90" s="123"/>
      <c r="I90" s="123"/>
      <c r="J90" s="123"/>
      <c r="K90" s="123"/>
      <c r="L90" s="123"/>
      <c r="M90" s="123"/>
      <c r="N90" s="123"/>
      <c r="O90" s="123"/>
      <c r="P90" s="123"/>
      <c r="Q90" s="123"/>
      <c r="R90" s="123"/>
      <c r="S90" s="124"/>
    </row>
    <row r="91" spans="1:19" ht="122.25" customHeight="1" x14ac:dyDescent="0.15">
      <c r="B91" s="96" t="s">
        <v>62</v>
      </c>
      <c r="C91" s="29" t="s">
        <v>71</v>
      </c>
      <c r="D91" s="125" t="s">
        <v>259</v>
      </c>
      <c r="E91" s="125"/>
      <c r="F91" s="125"/>
      <c r="G91" s="125"/>
      <c r="H91" s="125"/>
      <c r="I91" s="125"/>
      <c r="J91" s="125"/>
      <c r="K91" s="125"/>
      <c r="L91" s="125"/>
      <c r="M91" s="125"/>
      <c r="N91" s="125"/>
      <c r="O91" s="125"/>
      <c r="P91" s="125"/>
      <c r="Q91" s="125"/>
      <c r="R91" s="125"/>
      <c r="S91" s="160"/>
    </row>
    <row r="92" spans="1:19" ht="111.95" customHeight="1" x14ac:dyDescent="0.15">
      <c r="B92" s="98"/>
      <c r="C92" s="30" t="s">
        <v>72</v>
      </c>
      <c r="D92" s="130" t="s">
        <v>260</v>
      </c>
      <c r="E92" s="130"/>
      <c r="F92" s="130"/>
      <c r="G92" s="130"/>
      <c r="H92" s="130"/>
      <c r="I92" s="130"/>
      <c r="J92" s="130"/>
      <c r="K92" s="130"/>
      <c r="L92" s="130"/>
      <c r="M92" s="130"/>
      <c r="N92" s="130"/>
      <c r="O92" s="130"/>
      <c r="P92" s="130"/>
      <c r="Q92" s="130"/>
      <c r="R92" s="130"/>
      <c r="S92" s="133"/>
    </row>
    <row r="93" spans="1:19" ht="97.5" customHeight="1" x14ac:dyDescent="0.15">
      <c r="B93" s="96" t="s">
        <v>63</v>
      </c>
      <c r="C93" s="29" t="s">
        <v>73</v>
      </c>
      <c r="D93" s="125" t="s">
        <v>229</v>
      </c>
      <c r="E93" s="126"/>
      <c r="F93" s="126"/>
      <c r="G93" s="126"/>
      <c r="H93" s="126"/>
      <c r="I93" s="126"/>
      <c r="J93" s="126"/>
      <c r="K93" s="126"/>
      <c r="L93" s="126"/>
      <c r="M93" s="126"/>
      <c r="N93" s="126"/>
      <c r="O93" s="126"/>
      <c r="P93" s="126"/>
      <c r="Q93" s="126"/>
      <c r="R93" s="126"/>
      <c r="S93" s="127"/>
    </row>
    <row r="94" spans="1:19" ht="97.5" customHeight="1" x14ac:dyDescent="0.15">
      <c r="B94" s="98"/>
      <c r="C94" s="31" t="s">
        <v>74</v>
      </c>
      <c r="D94" s="128" t="s">
        <v>246</v>
      </c>
      <c r="E94" s="128"/>
      <c r="F94" s="128"/>
      <c r="G94" s="128"/>
      <c r="H94" s="128"/>
      <c r="I94" s="128"/>
      <c r="J94" s="128"/>
      <c r="K94" s="128"/>
      <c r="L94" s="128"/>
      <c r="M94" s="128"/>
      <c r="N94" s="128"/>
      <c r="O94" s="128"/>
      <c r="P94" s="128"/>
      <c r="Q94" s="128"/>
      <c r="R94" s="128"/>
      <c r="S94" s="129"/>
    </row>
    <row r="95" spans="1:19" ht="97.5" customHeight="1" x14ac:dyDescent="0.15">
      <c r="B95" s="96" t="s">
        <v>78</v>
      </c>
      <c r="C95" s="27" t="s">
        <v>58</v>
      </c>
      <c r="D95" s="105" t="s">
        <v>247</v>
      </c>
      <c r="E95" s="105"/>
      <c r="F95" s="105"/>
      <c r="G95" s="105"/>
      <c r="H95" s="105"/>
      <c r="I95" s="105"/>
      <c r="J95" s="105"/>
      <c r="K95" s="105"/>
      <c r="L95" s="105"/>
      <c r="M95" s="105"/>
      <c r="N95" s="105"/>
      <c r="O95" s="105"/>
      <c r="P95" s="105"/>
      <c r="Q95" s="105"/>
      <c r="R95" s="105"/>
      <c r="S95" s="106"/>
    </row>
    <row r="96" spans="1:19" ht="97.5" customHeight="1" x14ac:dyDescent="0.15">
      <c r="B96" s="98"/>
      <c r="C96" s="30" t="s">
        <v>60</v>
      </c>
      <c r="D96" s="130" t="s">
        <v>272</v>
      </c>
      <c r="E96" s="130"/>
      <c r="F96" s="130"/>
      <c r="G96" s="130"/>
      <c r="H96" s="130"/>
      <c r="I96" s="130"/>
      <c r="J96" s="130"/>
      <c r="K96" s="130"/>
      <c r="L96" s="130"/>
      <c r="M96" s="130"/>
      <c r="N96" s="130"/>
      <c r="O96" s="130"/>
      <c r="P96" s="130"/>
      <c r="Q96" s="130"/>
      <c r="R96" s="130"/>
      <c r="S96" s="133"/>
    </row>
    <row r="97" spans="1:19" ht="270.75" customHeight="1" x14ac:dyDescent="0.15">
      <c r="B97" s="96" t="s">
        <v>79</v>
      </c>
      <c r="C97" s="29" t="s">
        <v>57</v>
      </c>
      <c r="D97" s="100" t="s">
        <v>248</v>
      </c>
      <c r="E97" s="100"/>
      <c r="F97" s="100"/>
      <c r="G97" s="100"/>
      <c r="H97" s="100"/>
      <c r="I97" s="100"/>
      <c r="J97" s="100"/>
      <c r="K97" s="100"/>
      <c r="L97" s="100"/>
      <c r="M97" s="100"/>
      <c r="N97" s="100"/>
      <c r="O97" s="100"/>
      <c r="P97" s="100"/>
      <c r="Q97" s="100"/>
      <c r="R97" s="100"/>
      <c r="S97" s="101"/>
    </row>
    <row r="98" spans="1:19" ht="270" customHeight="1" x14ac:dyDescent="0.15">
      <c r="B98" s="97"/>
      <c r="C98" s="32" t="s">
        <v>75</v>
      </c>
      <c r="D98" s="100" t="s">
        <v>249</v>
      </c>
      <c r="E98" s="100"/>
      <c r="F98" s="100"/>
      <c r="G98" s="100"/>
      <c r="H98" s="100"/>
      <c r="I98" s="100"/>
      <c r="J98" s="100"/>
      <c r="K98" s="100"/>
      <c r="L98" s="100"/>
      <c r="M98" s="100"/>
      <c r="N98" s="100"/>
      <c r="O98" s="100"/>
      <c r="P98" s="100"/>
      <c r="Q98" s="100"/>
      <c r="R98" s="100"/>
      <c r="S98" s="101"/>
    </row>
    <row r="99" spans="1:19" ht="216" customHeight="1" x14ac:dyDescent="0.15">
      <c r="B99" s="98"/>
      <c r="C99" s="31" t="s">
        <v>76</v>
      </c>
      <c r="D99" s="102" t="s">
        <v>250</v>
      </c>
      <c r="E99" s="103"/>
      <c r="F99" s="103"/>
      <c r="G99" s="103"/>
      <c r="H99" s="103"/>
      <c r="I99" s="103"/>
      <c r="J99" s="103"/>
      <c r="K99" s="103"/>
      <c r="L99" s="103"/>
      <c r="M99" s="103"/>
      <c r="N99" s="103"/>
      <c r="O99" s="103"/>
      <c r="P99" s="103"/>
      <c r="Q99" s="103"/>
      <c r="R99" s="103"/>
      <c r="S99" s="104"/>
    </row>
    <row r="100" spans="1:19" ht="6" customHeight="1" x14ac:dyDescent="0.15"/>
    <row r="101" spans="1:19" ht="18.75" customHeight="1" x14ac:dyDescent="0.15">
      <c r="A101" s="1" t="s">
        <v>120</v>
      </c>
    </row>
    <row r="102" spans="1:19" ht="81.75" customHeight="1" x14ac:dyDescent="0.15">
      <c r="B102" s="102" t="s">
        <v>134</v>
      </c>
      <c r="C102" s="103"/>
      <c r="D102" s="103"/>
      <c r="E102" s="103"/>
      <c r="F102" s="103"/>
      <c r="G102" s="103"/>
      <c r="H102" s="103"/>
      <c r="I102" s="103"/>
      <c r="J102" s="103"/>
      <c r="K102" s="103"/>
      <c r="L102" s="103"/>
      <c r="M102" s="103"/>
      <c r="N102" s="103"/>
      <c r="O102" s="103"/>
      <c r="P102" s="103"/>
      <c r="Q102" s="103"/>
      <c r="R102" s="103"/>
      <c r="S102" s="104"/>
    </row>
    <row r="110" spans="1:19" ht="18" customHeight="1" x14ac:dyDescent="0.15"/>
  </sheetData>
  <customSheetViews>
    <customSheetView guid="{1C325414-5A0C-4C59-BA24-A8E2B4EC5171}" scale="85" showPageBreaks="1" zeroValues="0" fitToPage="1" printArea="1" hiddenColumns="1" view="pageBreakPreview">
      <selection activeCell="B69" sqref="B69:F71"/>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76C3A8B2-43E5-4491-B38D-7D6417DC209B}" scale="85" showPageBreaks="1" zeroValues="0" fitToPage="1" printArea="1" hiddenColumns="1" view="pageBreakPreview" topLeftCell="A43">
      <selection activeCell="B69" sqref="B69:F71"/>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 guid="{D1FD8C4C-CF69-45DF-A007-1EC45F0F0601}" scale="85" showPageBreaks="1" zeroValues="0" fitToPage="1" printArea="1" hiddenColumns="1" view="pageBreakPreview" topLeftCell="A43">
      <selection activeCell="B69" sqref="B69:F71"/>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4" fitToHeight="0" orientation="portrait" r:id="rId3"/>
      <headerFooter>
        <oddHeader>&amp;C数理・データサイエンス・AI教育プログラム認定制度【リテラシーレベル】</oddHeader>
      </headerFooter>
    </customSheetView>
    <customSheetView guid="{B3C66A88-0371-48C7-9AE2-6606C7EDAAFC}" scale="85" showPageBreaks="1" zeroValues="0" fitToPage="1" printArea="1" hiddenColumns="1" view="pageBreakPreview" topLeftCell="A43">
      <selection activeCell="B69" sqref="B69:F71"/>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4"/>
      <headerFooter>
        <oddHeader>&amp;C数理・データサイエンス・AI教育プログラム認定制度【リテラシーレベル】</oddHeader>
      </headerFooter>
    </customSheetView>
  </customSheetViews>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6" priority="1">
      <formula>$K$7="学部・学科によって、修了要件は相違しない"</formula>
    </cfRule>
  </conditionalFormatting>
  <dataValidations count="5">
    <dataValidation type="list" allowBlank="1" showInputMessage="1" showErrorMessage="1" sqref="G25:I31 Q25:S31 G36:I42 Q36:S42 P69:S75 Q47:S53 G47:I53 Q58:S64 G58:I64 F69:I75" xr:uid="{585BCA2A-F9EF-48C3-9140-DB7044790F17}">
      <formula1>"○"</formula1>
    </dataValidation>
    <dataValidation type="list" allowBlank="1" showInputMessage="1" showErrorMessage="1" sqref="S32 S43 D32:G32 D43:G43" xr:uid="{CBF8F37F-F699-4AFE-ACA5-1C290E329180}">
      <formula1>"全学開講,一部開講"</formula1>
    </dataValidation>
    <dataValidation type="list" allowBlank="1" showInputMessage="1" showErrorMessage="1" sqref="K7 K12" xr:uid="{044B37DE-C1D6-443C-850D-F4A80E31C9C3}">
      <formula1>"学部・学科によって、修了要件は相違する,学部・学科によって、修了要件は相違しない"</formula1>
    </dataValidation>
    <dataValidation type="list" allowBlank="1" showInputMessage="1" showErrorMessage="1" sqref="F79:F86 P79:P86 G79:I80 G83:I86 Q83:S86 Q79:S80" xr:uid="{18075344-A2F0-471F-A08F-5B6F4C1971E8}">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2B930EDC-86B8-44F8-A86D-61E04C1E1EB2}">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5"/>
  <headerFooter>
    <oddHeader>&amp;C数理・データサイエンス・AI教育プログラム認定制度【リテラシーレベル】</oddHeader>
  </headerFooter>
  <rowBreaks count="2" manualBreakCount="2">
    <brk id="65" max="18" man="1"/>
    <brk id="94" max="1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3F0ED-B061-48BD-9091-E707228D9C23}">
  <sheetPr>
    <pageSetUpPr fitToPage="1"/>
  </sheetPr>
  <dimension ref="A1:V110"/>
  <sheetViews>
    <sheetView showZeros="0" view="pageBreakPreview" zoomScale="85" zoomScaleNormal="100" zoomScaleSheetLayoutView="85" workbookViewId="0">
      <selection activeCell="D96" sqref="D96:S9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169</v>
      </c>
      <c r="S1" s="134"/>
      <c r="T1" s="2" t="s">
        <v>109</v>
      </c>
    </row>
    <row r="2" spans="1:22" ht="18.75" customHeight="1" x14ac:dyDescent="0.15">
      <c r="B2" s="33" t="s">
        <v>108</v>
      </c>
      <c r="C2" s="89" t="s">
        <v>126</v>
      </c>
      <c r="D2" s="90"/>
      <c r="E2" s="90"/>
      <c r="F2" s="90"/>
      <c r="G2" s="90"/>
      <c r="H2" s="90"/>
      <c r="I2" s="91"/>
      <c r="J2" s="34"/>
      <c r="K2" s="6"/>
      <c r="L2" s="6"/>
      <c r="M2" s="6"/>
      <c r="N2" s="6"/>
      <c r="O2" s="6"/>
      <c r="P2" s="6"/>
      <c r="Q2" s="6"/>
      <c r="R2" s="6"/>
      <c r="S2" s="6"/>
    </row>
    <row r="3" spans="1:22" ht="18.75" customHeight="1" x14ac:dyDescent="0.15">
      <c r="B3" s="33" t="s">
        <v>102</v>
      </c>
      <c r="C3" s="138" t="s">
        <v>127</v>
      </c>
      <c r="D3" s="139"/>
      <c r="E3" s="139"/>
      <c r="F3" s="139"/>
      <c r="G3" s="139"/>
      <c r="H3" s="139"/>
      <c r="I3" s="14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41" t="s">
        <v>38</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51" t="s">
        <v>128</v>
      </c>
      <c r="L7" s="152"/>
      <c r="M7" s="152"/>
      <c r="N7" s="152"/>
      <c r="O7" s="152"/>
      <c r="P7" s="152"/>
      <c r="Q7" s="152"/>
      <c r="R7" s="152"/>
      <c r="S7" s="15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4" t="s">
        <v>170</v>
      </c>
      <c r="C9" s="155"/>
      <c r="D9" s="155"/>
      <c r="E9" s="155"/>
      <c r="F9" s="155"/>
      <c r="G9" s="155"/>
      <c r="H9" s="155"/>
      <c r="I9" s="155"/>
      <c r="J9" s="155"/>
      <c r="K9" s="155"/>
      <c r="L9" s="155"/>
      <c r="M9" s="155"/>
      <c r="N9" s="155"/>
      <c r="O9" s="155"/>
      <c r="P9" s="155"/>
      <c r="Q9" s="155"/>
      <c r="R9" s="155"/>
      <c r="S9" s="156"/>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42" t="s">
        <v>221</v>
      </c>
      <c r="C13" s="143"/>
      <c r="D13" s="143"/>
      <c r="E13" s="143"/>
      <c r="F13" s="143"/>
      <c r="G13" s="143"/>
      <c r="H13" s="143"/>
      <c r="I13" s="143"/>
      <c r="J13" s="143"/>
      <c r="K13" s="143"/>
      <c r="L13" s="143"/>
      <c r="M13" s="143"/>
      <c r="N13" s="143"/>
      <c r="O13" s="143"/>
      <c r="P13" s="143"/>
      <c r="Q13" s="143"/>
      <c r="R13" s="143"/>
      <c r="S13" s="144"/>
      <c r="V13" s="1" t="s">
        <v>103</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110</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123</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125</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89">
        <v>6</v>
      </c>
      <c r="D20" s="91"/>
      <c r="E20" s="39" t="s">
        <v>95</v>
      </c>
      <c r="G20" s="9"/>
      <c r="H20" s="3"/>
      <c r="I20" s="3"/>
      <c r="J20" s="34" t="s">
        <v>121</v>
      </c>
      <c r="K20" s="135" t="s">
        <v>125</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53</v>
      </c>
      <c r="C24" s="90"/>
      <c r="D24" s="90"/>
      <c r="E24" s="91"/>
      <c r="F24" s="60" t="s">
        <v>80</v>
      </c>
      <c r="G24" s="59" t="s">
        <v>84</v>
      </c>
      <c r="H24" s="21" t="s">
        <v>56</v>
      </c>
      <c r="I24" s="21" t="s">
        <v>59</v>
      </c>
      <c r="J24" s="89" t="s">
        <v>53</v>
      </c>
      <c r="K24" s="90"/>
      <c r="L24" s="90"/>
      <c r="M24" s="90"/>
      <c r="N24" s="90"/>
      <c r="O24" s="91"/>
      <c r="P24" s="60" t="s">
        <v>80</v>
      </c>
      <c r="Q24" s="59" t="s">
        <v>84</v>
      </c>
      <c r="R24" s="21" t="s">
        <v>56</v>
      </c>
      <c r="S24" s="21" t="s">
        <v>59</v>
      </c>
    </row>
    <row r="25" spans="1:19" ht="18" customHeight="1" x14ac:dyDescent="0.15">
      <c r="B25" s="83" t="s">
        <v>129</v>
      </c>
      <c r="C25" s="84"/>
      <c r="D25" s="84"/>
      <c r="E25" s="85"/>
      <c r="F25" s="22">
        <v>2</v>
      </c>
      <c r="G25" s="22" t="s">
        <v>130</v>
      </c>
      <c r="H25" s="22" t="s">
        <v>130</v>
      </c>
      <c r="I25" s="22" t="s">
        <v>130</v>
      </c>
      <c r="J25" s="83"/>
      <c r="K25" s="84"/>
      <c r="L25" s="84"/>
      <c r="M25" s="84"/>
      <c r="N25" s="84"/>
      <c r="O25" s="85"/>
      <c r="P25" s="22"/>
      <c r="Q25" s="22"/>
      <c r="R25" s="22"/>
      <c r="S25" s="22"/>
    </row>
    <row r="26" spans="1:19" ht="18" customHeight="1" x14ac:dyDescent="0.15">
      <c r="B26" s="86"/>
      <c r="C26" s="87"/>
      <c r="D26" s="87"/>
      <c r="E26" s="88"/>
      <c r="F26" s="23"/>
      <c r="G26" s="23"/>
      <c r="H26" s="23"/>
      <c r="I26" s="23"/>
      <c r="J26" s="86"/>
      <c r="K26" s="87"/>
      <c r="L26" s="87"/>
      <c r="M26" s="87"/>
      <c r="N26" s="87"/>
      <c r="O26" s="88"/>
      <c r="P26" s="23"/>
      <c r="Q26" s="23"/>
      <c r="R26" s="23"/>
      <c r="S26" s="23"/>
    </row>
    <row r="27" spans="1:19" ht="18" customHeight="1" x14ac:dyDescent="0.15">
      <c r="B27" s="86"/>
      <c r="C27" s="87"/>
      <c r="D27" s="87"/>
      <c r="E27" s="88"/>
      <c r="F27" s="23"/>
      <c r="G27" s="23"/>
      <c r="H27" s="23"/>
      <c r="I27" s="23"/>
      <c r="J27" s="86"/>
      <c r="K27" s="87"/>
      <c r="L27" s="87"/>
      <c r="M27" s="87"/>
      <c r="N27" s="87"/>
      <c r="O27" s="88"/>
      <c r="P27" s="23"/>
      <c r="Q27" s="23"/>
      <c r="R27" s="23"/>
      <c r="S27" s="23"/>
    </row>
    <row r="28" spans="1:19" ht="18" customHeight="1" x14ac:dyDescent="0.15">
      <c r="B28" s="86"/>
      <c r="C28" s="87"/>
      <c r="D28" s="87"/>
      <c r="E28" s="88"/>
      <c r="F28" s="23"/>
      <c r="G28" s="23"/>
      <c r="H28" s="23"/>
      <c r="I28" s="23"/>
      <c r="J28" s="86"/>
      <c r="K28" s="87"/>
      <c r="L28" s="87"/>
      <c r="M28" s="87"/>
      <c r="N28" s="87"/>
      <c r="O28" s="88"/>
      <c r="P28" s="23"/>
      <c r="Q28" s="23"/>
      <c r="R28" s="23"/>
      <c r="S28" s="23"/>
    </row>
    <row r="29" spans="1:19" ht="18" customHeight="1" x14ac:dyDescent="0.15">
      <c r="B29" s="86"/>
      <c r="C29" s="87"/>
      <c r="D29" s="87"/>
      <c r="E29" s="88"/>
      <c r="F29" s="23"/>
      <c r="G29" s="23"/>
      <c r="H29" s="23"/>
      <c r="I29" s="23"/>
      <c r="J29" s="86"/>
      <c r="K29" s="87"/>
      <c r="L29" s="87"/>
      <c r="M29" s="87"/>
      <c r="N29" s="87"/>
      <c r="O29" s="88"/>
      <c r="P29" s="23"/>
      <c r="Q29" s="23"/>
      <c r="R29" s="23"/>
      <c r="S29" s="23"/>
    </row>
    <row r="30" spans="1:19" ht="18" customHeight="1" x14ac:dyDescent="0.15">
      <c r="A30" s="3"/>
      <c r="B30" s="86"/>
      <c r="C30" s="87"/>
      <c r="D30" s="87"/>
      <c r="E30" s="88"/>
      <c r="F30" s="23"/>
      <c r="G30" s="23"/>
      <c r="H30" s="23"/>
      <c r="I30" s="23"/>
      <c r="J30" s="86"/>
      <c r="K30" s="87"/>
      <c r="L30" s="87"/>
      <c r="M30" s="87"/>
      <c r="N30" s="87"/>
      <c r="O30" s="88"/>
      <c r="P30" s="23"/>
      <c r="Q30" s="23"/>
      <c r="R30" s="23"/>
      <c r="S30" s="23"/>
    </row>
    <row r="31" spans="1:19" ht="18" customHeight="1" x14ac:dyDescent="0.15">
      <c r="A31" s="3"/>
      <c r="B31" s="92"/>
      <c r="C31" s="93"/>
      <c r="D31" s="93"/>
      <c r="E31" s="94"/>
      <c r="F31" s="24"/>
      <c r="G31" s="24"/>
      <c r="H31" s="25"/>
      <c r="I31" s="25"/>
      <c r="J31" s="92"/>
      <c r="K31" s="93"/>
      <c r="L31" s="93"/>
      <c r="M31" s="93"/>
      <c r="N31" s="93"/>
      <c r="O31" s="94"/>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53</v>
      </c>
      <c r="C35" s="90"/>
      <c r="D35" s="90"/>
      <c r="E35" s="91"/>
      <c r="F35" s="60" t="s">
        <v>80</v>
      </c>
      <c r="G35" s="59" t="s">
        <v>84</v>
      </c>
      <c r="H35" s="21" t="s">
        <v>71</v>
      </c>
      <c r="I35" s="21" t="s">
        <v>72</v>
      </c>
      <c r="J35" s="89" t="s">
        <v>53</v>
      </c>
      <c r="K35" s="90"/>
      <c r="L35" s="90"/>
      <c r="M35" s="90"/>
      <c r="N35" s="90"/>
      <c r="O35" s="91"/>
      <c r="P35" s="60" t="s">
        <v>80</v>
      </c>
      <c r="Q35" s="59" t="s">
        <v>84</v>
      </c>
      <c r="R35" s="21" t="s">
        <v>71</v>
      </c>
      <c r="S35" s="21" t="s">
        <v>72</v>
      </c>
    </row>
    <row r="36" spans="1:19" ht="18" customHeight="1" x14ac:dyDescent="0.15">
      <c r="B36" s="83" t="s">
        <v>171</v>
      </c>
      <c r="C36" s="84"/>
      <c r="D36" s="84"/>
      <c r="E36" s="85"/>
      <c r="F36" s="22">
        <v>2</v>
      </c>
      <c r="G36" s="22" t="s">
        <v>130</v>
      </c>
      <c r="H36" s="22" t="s">
        <v>130</v>
      </c>
      <c r="I36" s="22" t="s">
        <v>130</v>
      </c>
      <c r="J36" s="83"/>
      <c r="K36" s="84"/>
      <c r="L36" s="84"/>
      <c r="M36" s="84"/>
      <c r="N36" s="84"/>
      <c r="O36" s="85"/>
      <c r="P36" s="22"/>
      <c r="Q36" s="22"/>
      <c r="R36" s="22"/>
      <c r="S36" s="22"/>
    </row>
    <row r="37" spans="1:19" ht="18" customHeight="1" x14ac:dyDescent="0.15">
      <c r="B37" s="86"/>
      <c r="C37" s="87"/>
      <c r="D37" s="87"/>
      <c r="E37" s="88"/>
      <c r="F37" s="23"/>
      <c r="G37" s="23"/>
      <c r="H37" s="23"/>
      <c r="I37" s="23"/>
      <c r="J37" s="86"/>
      <c r="K37" s="87"/>
      <c r="L37" s="87"/>
      <c r="M37" s="87"/>
      <c r="N37" s="87"/>
      <c r="O37" s="88"/>
      <c r="P37" s="23"/>
      <c r="Q37" s="23"/>
      <c r="R37" s="23"/>
      <c r="S37" s="23"/>
    </row>
    <row r="38" spans="1:19" ht="18" customHeight="1" x14ac:dyDescent="0.15">
      <c r="B38" s="86"/>
      <c r="C38" s="87"/>
      <c r="D38" s="87"/>
      <c r="E38" s="88"/>
      <c r="F38" s="23"/>
      <c r="G38" s="23"/>
      <c r="H38" s="23"/>
      <c r="I38" s="23"/>
      <c r="J38" s="86"/>
      <c r="K38" s="87"/>
      <c r="L38" s="87"/>
      <c r="M38" s="87"/>
      <c r="N38" s="87"/>
      <c r="O38" s="88"/>
      <c r="P38" s="23"/>
      <c r="Q38" s="23"/>
      <c r="R38" s="23"/>
      <c r="S38" s="23"/>
    </row>
    <row r="39" spans="1:19" ht="18" customHeight="1" x14ac:dyDescent="0.15">
      <c r="B39" s="86"/>
      <c r="C39" s="87"/>
      <c r="D39" s="87"/>
      <c r="E39" s="88"/>
      <c r="F39" s="23"/>
      <c r="G39" s="23"/>
      <c r="H39" s="23"/>
      <c r="I39" s="23"/>
      <c r="J39" s="86"/>
      <c r="K39" s="87"/>
      <c r="L39" s="87"/>
      <c r="M39" s="87"/>
      <c r="N39" s="87"/>
      <c r="O39" s="88"/>
      <c r="P39" s="23"/>
      <c r="Q39" s="23"/>
      <c r="R39" s="23"/>
      <c r="S39" s="23"/>
    </row>
    <row r="40" spans="1:19" ht="18" customHeight="1" x14ac:dyDescent="0.15">
      <c r="B40" s="86"/>
      <c r="C40" s="87"/>
      <c r="D40" s="87"/>
      <c r="E40" s="88"/>
      <c r="F40" s="23"/>
      <c r="G40" s="23"/>
      <c r="H40" s="23"/>
      <c r="I40" s="23"/>
      <c r="J40" s="86"/>
      <c r="K40" s="87"/>
      <c r="L40" s="87"/>
      <c r="M40" s="87"/>
      <c r="N40" s="87"/>
      <c r="O40" s="88"/>
      <c r="P40" s="23"/>
      <c r="Q40" s="23"/>
      <c r="R40" s="23"/>
      <c r="S40" s="23"/>
    </row>
    <row r="41" spans="1:19" ht="18" customHeight="1" x14ac:dyDescent="0.15">
      <c r="B41" s="86"/>
      <c r="C41" s="87"/>
      <c r="D41" s="87"/>
      <c r="E41" s="88"/>
      <c r="F41" s="23"/>
      <c r="G41" s="23"/>
      <c r="H41" s="23"/>
      <c r="I41" s="23"/>
      <c r="J41" s="86"/>
      <c r="K41" s="87"/>
      <c r="L41" s="87"/>
      <c r="M41" s="87"/>
      <c r="N41" s="87"/>
      <c r="O41" s="88"/>
      <c r="P41" s="23"/>
      <c r="Q41" s="23"/>
      <c r="R41" s="23"/>
      <c r="S41" s="23"/>
    </row>
    <row r="42" spans="1:19" ht="18" customHeight="1" x14ac:dyDescent="0.15">
      <c r="B42" s="92"/>
      <c r="C42" s="93"/>
      <c r="D42" s="93"/>
      <c r="E42" s="94"/>
      <c r="F42" s="24"/>
      <c r="G42" s="24"/>
      <c r="H42" s="25"/>
      <c r="I42" s="25"/>
      <c r="J42" s="92"/>
      <c r="K42" s="93"/>
      <c r="L42" s="93"/>
      <c r="M42" s="93"/>
      <c r="N42" s="93"/>
      <c r="O42" s="94"/>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53</v>
      </c>
      <c r="C46" s="90"/>
      <c r="D46" s="90"/>
      <c r="E46" s="91"/>
      <c r="F46" s="60" t="s">
        <v>80</v>
      </c>
      <c r="G46" s="59" t="s">
        <v>84</v>
      </c>
      <c r="H46" s="21" t="s">
        <v>73</v>
      </c>
      <c r="I46" s="21" t="s">
        <v>74</v>
      </c>
      <c r="J46" s="89" t="s">
        <v>53</v>
      </c>
      <c r="K46" s="90"/>
      <c r="L46" s="90"/>
      <c r="M46" s="90"/>
      <c r="N46" s="90"/>
      <c r="O46" s="91"/>
      <c r="P46" s="60" t="s">
        <v>80</v>
      </c>
      <c r="Q46" s="59" t="s">
        <v>84</v>
      </c>
      <c r="R46" s="21" t="s">
        <v>73</v>
      </c>
      <c r="S46" s="21" t="s">
        <v>74</v>
      </c>
    </row>
    <row r="47" spans="1:19" ht="18" customHeight="1" x14ac:dyDescent="0.15">
      <c r="A47" s="3"/>
      <c r="B47" s="83" t="s">
        <v>129</v>
      </c>
      <c r="C47" s="84"/>
      <c r="D47" s="84"/>
      <c r="E47" s="85"/>
      <c r="F47" s="22">
        <v>2</v>
      </c>
      <c r="G47" s="22" t="s">
        <v>130</v>
      </c>
      <c r="H47" s="22" t="s">
        <v>130</v>
      </c>
      <c r="I47" s="22" t="s">
        <v>130</v>
      </c>
      <c r="J47" s="83"/>
      <c r="K47" s="84"/>
      <c r="L47" s="84"/>
      <c r="M47" s="84"/>
      <c r="N47" s="84"/>
      <c r="O47" s="85"/>
      <c r="P47" s="22"/>
      <c r="Q47" s="22"/>
      <c r="R47" s="22"/>
      <c r="S47" s="22"/>
    </row>
    <row r="48" spans="1:19" ht="18" customHeight="1" x14ac:dyDescent="0.15">
      <c r="A48" s="3"/>
      <c r="B48" s="86"/>
      <c r="C48" s="87"/>
      <c r="D48" s="87"/>
      <c r="E48" s="88"/>
      <c r="F48" s="23"/>
      <c r="G48" s="23"/>
      <c r="H48" s="23"/>
      <c r="I48" s="23"/>
      <c r="J48" s="86"/>
      <c r="K48" s="87"/>
      <c r="L48" s="87"/>
      <c r="M48" s="87"/>
      <c r="N48" s="87"/>
      <c r="O48" s="88"/>
      <c r="P48" s="23"/>
      <c r="Q48" s="23"/>
      <c r="R48" s="23"/>
      <c r="S48" s="23"/>
    </row>
    <row r="49" spans="1:19" ht="18" customHeight="1" x14ac:dyDescent="0.15">
      <c r="A49" s="3"/>
      <c r="B49" s="86"/>
      <c r="C49" s="87"/>
      <c r="D49" s="87"/>
      <c r="E49" s="88"/>
      <c r="F49" s="23"/>
      <c r="G49" s="23"/>
      <c r="H49" s="23"/>
      <c r="I49" s="23"/>
      <c r="J49" s="86"/>
      <c r="K49" s="87"/>
      <c r="L49" s="87"/>
      <c r="M49" s="87"/>
      <c r="N49" s="87"/>
      <c r="O49" s="88"/>
      <c r="P49" s="23"/>
      <c r="Q49" s="23"/>
      <c r="R49" s="23"/>
      <c r="S49" s="23"/>
    </row>
    <row r="50" spans="1:19" ht="18" customHeight="1" x14ac:dyDescent="0.15">
      <c r="A50" s="3"/>
      <c r="B50" s="86"/>
      <c r="C50" s="87"/>
      <c r="D50" s="87"/>
      <c r="E50" s="88"/>
      <c r="F50" s="23"/>
      <c r="G50" s="23"/>
      <c r="H50" s="23"/>
      <c r="I50" s="23"/>
      <c r="J50" s="86"/>
      <c r="K50" s="87"/>
      <c r="L50" s="87"/>
      <c r="M50" s="87"/>
      <c r="N50" s="87"/>
      <c r="O50" s="88"/>
      <c r="P50" s="23"/>
      <c r="Q50" s="23"/>
      <c r="R50" s="23"/>
      <c r="S50" s="23"/>
    </row>
    <row r="51" spans="1:19" ht="18" customHeight="1" x14ac:dyDescent="0.15">
      <c r="A51" s="3"/>
      <c r="B51" s="86"/>
      <c r="C51" s="87"/>
      <c r="D51" s="87"/>
      <c r="E51" s="88"/>
      <c r="F51" s="23"/>
      <c r="G51" s="23"/>
      <c r="H51" s="23"/>
      <c r="I51" s="23"/>
      <c r="J51" s="86"/>
      <c r="K51" s="87"/>
      <c r="L51" s="87"/>
      <c r="M51" s="87"/>
      <c r="N51" s="87"/>
      <c r="O51" s="88"/>
      <c r="P51" s="23"/>
      <c r="Q51" s="23"/>
      <c r="R51" s="23"/>
      <c r="S51" s="23"/>
    </row>
    <row r="52" spans="1:19" ht="18" customHeight="1" x14ac:dyDescent="0.15">
      <c r="A52" s="3"/>
      <c r="B52" s="86"/>
      <c r="C52" s="87"/>
      <c r="D52" s="87"/>
      <c r="E52" s="88"/>
      <c r="F52" s="23"/>
      <c r="G52" s="23"/>
      <c r="H52" s="23"/>
      <c r="I52" s="23"/>
      <c r="J52" s="86"/>
      <c r="K52" s="87"/>
      <c r="L52" s="87"/>
      <c r="M52" s="87"/>
      <c r="N52" s="87"/>
      <c r="O52" s="88"/>
      <c r="P52" s="23"/>
      <c r="Q52" s="23"/>
      <c r="R52" s="23"/>
      <c r="S52" s="23"/>
    </row>
    <row r="53" spans="1:19" ht="18" customHeight="1" x14ac:dyDescent="0.15">
      <c r="A53" s="3"/>
      <c r="B53" s="92"/>
      <c r="C53" s="93"/>
      <c r="D53" s="93"/>
      <c r="E53" s="94"/>
      <c r="F53" s="24"/>
      <c r="G53" s="24"/>
      <c r="H53" s="25"/>
      <c r="I53" s="25"/>
      <c r="J53" s="92"/>
      <c r="K53" s="93"/>
      <c r="L53" s="93"/>
      <c r="M53" s="93"/>
      <c r="N53" s="93"/>
      <c r="O53" s="94"/>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53</v>
      </c>
      <c r="C57" s="90"/>
      <c r="D57" s="90"/>
      <c r="E57" s="91"/>
      <c r="F57" s="60" t="s">
        <v>80</v>
      </c>
      <c r="G57" s="59" t="s">
        <v>84</v>
      </c>
      <c r="H57" s="21" t="s">
        <v>58</v>
      </c>
      <c r="I57" s="21" t="s">
        <v>60</v>
      </c>
      <c r="J57" s="89" t="s">
        <v>53</v>
      </c>
      <c r="K57" s="90"/>
      <c r="L57" s="90"/>
      <c r="M57" s="90"/>
      <c r="N57" s="90"/>
      <c r="O57" s="91"/>
      <c r="P57" s="60" t="s">
        <v>80</v>
      </c>
      <c r="Q57" s="59" t="s">
        <v>84</v>
      </c>
      <c r="R57" s="21" t="s">
        <v>58</v>
      </c>
      <c r="S57" s="21" t="s">
        <v>60</v>
      </c>
    </row>
    <row r="58" spans="1:19" ht="18" customHeight="1" x14ac:dyDescent="0.15">
      <c r="A58" s="3"/>
      <c r="B58" s="83" t="s">
        <v>129</v>
      </c>
      <c r="C58" s="84"/>
      <c r="D58" s="84"/>
      <c r="E58" s="85"/>
      <c r="F58" s="22">
        <v>2</v>
      </c>
      <c r="G58" s="22" t="s">
        <v>130</v>
      </c>
      <c r="H58" s="22" t="s">
        <v>130</v>
      </c>
      <c r="I58" s="22" t="s">
        <v>130</v>
      </c>
      <c r="J58" s="83"/>
      <c r="K58" s="84"/>
      <c r="L58" s="84"/>
      <c r="M58" s="84"/>
      <c r="N58" s="84"/>
      <c r="O58" s="85"/>
      <c r="P58" s="22"/>
      <c r="Q58" s="22"/>
      <c r="R58" s="22"/>
      <c r="S58" s="22"/>
    </row>
    <row r="59" spans="1:19" ht="18" customHeight="1" x14ac:dyDescent="0.15">
      <c r="A59" s="3"/>
      <c r="B59" s="86"/>
      <c r="C59" s="87"/>
      <c r="D59" s="87"/>
      <c r="E59" s="88"/>
      <c r="F59" s="23"/>
      <c r="G59" s="23"/>
      <c r="H59" s="23"/>
      <c r="I59" s="23"/>
      <c r="J59" s="86"/>
      <c r="K59" s="87"/>
      <c r="L59" s="87"/>
      <c r="M59" s="87"/>
      <c r="N59" s="87"/>
      <c r="O59" s="88"/>
      <c r="P59" s="23"/>
      <c r="Q59" s="23"/>
      <c r="R59" s="23"/>
      <c r="S59" s="23"/>
    </row>
    <row r="60" spans="1:19" ht="18" customHeight="1" x14ac:dyDescent="0.15">
      <c r="A60" s="3"/>
      <c r="B60" s="86"/>
      <c r="C60" s="87"/>
      <c r="D60" s="87"/>
      <c r="E60" s="88"/>
      <c r="F60" s="23"/>
      <c r="G60" s="23"/>
      <c r="H60" s="23"/>
      <c r="I60" s="23"/>
      <c r="J60" s="86"/>
      <c r="K60" s="87"/>
      <c r="L60" s="87"/>
      <c r="M60" s="87"/>
      <c r="N60" s="87"/>
      <c r="O60" s="88"/>
      <c r="P60" s="23"/>
      <c r="Q60" s="23"/>
      <c r="R60" s="23"/>
      <c r="S60" s="23"/>
    </row>
    <row r="61" spans="1:19" ht="18" customHeight="1" x14ac:dyDescent="0.15">
      <c r="A61" s="3"/>
      <c r="B61" s="86"/>
      <c r="C61" s="87"/>
      <c r="D61" s="87"/>
      <c r="E61" s="88"/>
      <c r="F61" s="23"/>
      <c r="G61" s="23"/>
      <c r="H61" s="23"/>
      <c r="I61" s="23"/>
      <c r="J61" s="86"/>
      <c r="K61" s="87"/>
      <c r="L61" s="87"/>
      <c r="M61" s="87"/>
      <c r="N61" s="87"/>
      <c r="O61" s="88"/>
      <c r="P61" s="23"/>
      <c r="Q61" s="23"/>
      <c r="R61" s="23"/>
      <c r="S61" s="23"/>
    </row>
    <row r="62" spans="1:19" ht="18" customHeight="1" x14ac:dyDescent="0.15">
      <c r="A62" s="3"/>
      <c r="B62" s="86"/>
      <c r="C62" s="87"/>
      <c r="D62" s="87"/>
      <c r="E62" s="88"/>
      <c r="F62" s="23"/>
      <c r="G62" s="23"/>
      <c r="H62" s="23"/>
      <c r="I62" s="23"/>
      <c r="J62" s="86"/>
      <c r="K62" s="87"/>
      <c r="L62" s="87"/>
      <c r="M62" s="87"/>
      <c r="N62" s="87"/>
      <c r="O62" s="88"/>
      <c r="P62" s="23"/>
      <c r="Q62" s="23"/>
      <c r="R62" s="23"/>
      <c r="S62" s="23"/>
    </row>
    <row r="63" spans="1:19" ht="18" customHeight="1" x14ac:dyDescent="0.15">
      <c r="A63" s="3"/>
      <c r="B63" s="86"/>
      <c r="C63" s="87"/>
      <c r="D63" s="87"/>
      <c r="E63" s="88"/>
      <c r="F63" s="23"/>
      <c r="G63" s="23"/>
      <c r="H63" s="23"/>
      <c r="I63" s="23"/>
      <c r="J63" s="86"/>
      <c r="K63" s="87"/>
      <c r="L63" s="87"/>
      <c r="M63" s="87"/>
      <c r="N63" s="87"/>
      <c r="O63" s="88"/>
      <c r="P63" s="23"/>
      <c r="Q63" s="23"/>
      <c r="R63" s="23"/>
      <c r="S63" s="23"/>
    </row>
    <row r="64" spans="1:19" ht="18" customHeight="1" x14ac:dyDescent="0.15">
      <c r="A64" s="3"/>
      <c r="B64" s="92"/>
      <c r="C64" s="93"/>
      <c r="D64" s="93"/>
      <c r="E64" s="94"/>
      <c r="F64" s="24"/>
      <c r="G64" s="24"/>
      <c r="H64" s="25"/>
      <c r="I64" s="25"/>
      <c r="J64" s="92"/>
      <c r="K64" s="93"/>
      <c r="L64" s="93"/>
      <c r="M64" s="93"/>
      <c r="N64" s="93"/>
      <c r="O64" s="94"/>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53</v>
      </c>
      <c r="C68" s="90"/>
      <c r="D68" s="90"/>
      <c r="E68" s="60" t="s">
        <v>80</v>
      </c>
      <c r="F68" s="59" t="s">
        <v>84</v>
      </c>
      <c r="G68" s="21" t="s">
        <v>101</v>
      </c>
      <c r="H68" s="21" t="s">
        <v>75</v>
      </c>
      <c r="I68" s="21" t="s">
        <v>76</v>
      </c>
      <c r="J68" s="89" t="s">
        <v>53</v>
      </c>
      <c r="K68" s="90"/>
      <c r="L68" s="90"/>
      <c r="M68" s="90"/>
      <c r="N68" s="91"/>
      <c r="O68" s="60" t="s">
        <v>80</v>
      </c>
      <c r="P68" s="59" t="s">
        <v>84</v>
      </c>
      <c r="Q68" s="21" t="s">
        <v>101</v>
      </c>
      <c r="R68" s="21" t="s">
        <v>75</v>
      </c>
      <c r="S68" s="21" t="s">
        <v>76</v>
      </c>
    </row>
    <row r="69" spans="1:19" ht="18" customHeight="1" x14ac:dyDescent="0.15">
      <c r="A69" s="3"/>
      <c r="B69" s="111" t="s">
        <v>172</v>
      </c>
      <c r="C69" s="112"/>
      <c r="D69" s="113"/>
      <c r="E69" s="22">
        <v>1</v>
      </c>
      <c r="F69" s="22"/>
      <c r="G69" s="22" t="s">
        <v>130</v>
      </c>
      <c r="H69" s="22" t="s">
        <v>130</v>
      </c>
      <c r="I69" s="22" t="s">
        <v>130</v>
      </c>
      <c r="J69" s="83"/>
      <c r="K69" s="84"/>
      <c r="L69" s="84"/>
      <c r="M69" s="84"/>
      <c r="N69" s="85"/>
      <c r="O69" s="22"/>
      <c r="P69" s="22"/>
      <c r="Q69" s="22"/>
      <c r="R69" s="22"/>
      <c r="S69" s="22"/>
    </row>
    <row r="70" spans="1:19" ht="18" customHeight="1" x14ac:dyDescent="0.15">
      <c r="A70" s="3"/>
      <c r="B70" s="114" t="s">
        <v>173</v>
      </c>
      <c r="C70" s="115"/>
      <c r="D70" s="116"/>
      <c r="E70" s="23">
        <v>1</v>
      </c>
      <c r="F70" s="23"/>
      <c r="G70" s="23" t="s">
        <v>130</v>
      </c>
      <c r="H70" s="23" t="s">
        <v>130</v>
      </c>
      <c r="I70" s="23" t="s">
        <v>130</v>
      </c>
      <c r="J70" s="86"/>
      <c r="K70" s="87"/>
      <c r="L70" s="87"/>
      <c r="M70" s="87"/>
      <c r="N70" s="88"/>
      <c r="O70" s="23"/>
      <c r="P70" s="23"/>
      <c r="Q70" s="23"/>
      <c r="R70" s="23"/>
      <c r="S70" s="23"/>
    </row>
    <row r="71" spans="1:19" ht="18" customHeight="1" x14ac:dyDescent="0.15">
      <c r="A71" s="3"/>
      <c r="B71" s="114" t="s">
        <v>174</v>
      </c>
      <c r="C71" s="115"/>
      <c r="D71" s="116"/>
      <c r="E71" s="23">
        <v>1</v>
      </c>
      <c r="F71" s="23"/>
      <c r="G71" s="23" t="s">
        <v>130</v>
      </c>
      <c r="H71" s="23" t="s">
        <v>130</v>
      </c>
      <c r="I71" s="23" t="s">
        <v>130</v>
      </c>
      <c r="J71" s="86"/>
      <c r="K71" s="87"/>
      <c r="L71" s="87"/>
      <c r="M71" s="87"/>
      <c r="N71" s="88"/>
      <c r="O71" s="23"/>
      <c r="P71" s="23"/>
      <c r="Q71" s="23"/>
      <c r="R71" s="23"/>
      <c r="S71" s="23"/>
    </row>
    <row r="72" spans="1:19" ht="18" customHeight="1" x14ac:dyDescent="0.15">
      <c r="A72" s="3"/>
      <c r="B72" s="114" t="s">
        <v>175</v>
      </c>
      <c r="C72" s="115"/>
      <c r="D72" s="116"/>
      <c r="E72" s="23">
        <v>1</v>
      </c>
      <c r="F72" s="23"/>
      <c r="G72" s="23" t="s">
        <v>130</v>
      </c>
      <c r="H72" s="23" t="s">
        <v>130</v>
      </c>
      <c r="I72" s="23" t="s">
        <v>130</v>
      </c>
      <c r="J72" s="86"/>
      <c r="K72" s="87"/>
      <c r="L72" s="87"/>
      <c r="M72" s="87"/>
      <c r="N72" s="88"/>
      <c r="O72" s="23"/>
      <c r="P72" s="23"/>
      <c r="Q72" s="23"/>
      <c r="R72" s="23"/>
      <c r="S72" s="23"/>
    </row>
    <row r="73" spans="1:19" ht="18" customHeight="1" x14ac:dyDescent="0.15">
      <c r="A73" s="3"/>
      <c r="B73" s="114" t="s">
        <v>176</v>
      </c>
      <c r="C73" s="115"/>
      <c r="D73" s="116"/>
      <c r="E73" s="23">
        <v>1</v>
      </c>
      <c r="F73" s="23"/>
      <c r="G73" s="23" t="s">
        <v>130</v>
      </c>
      <c r="H73" s="23" t="s">
        <v>130</v>
      </c>
      <c r="I73" s="23" t="s">
        <v>130</v>
      </c>
      <c r="J73" s="86"/>
      <c r="K73" s="87"/>
      <c r="L73" s="87"/>
      <c r="M73" s="87"/>
      <c r="N73" s="88"/>
      <c r="O73" s="23"/>
      <c r="P73" s="23"/>
      <c r="Q73" s="23"/>
      <c r="R73" s="23"/>
      <c r="S73" s="23"/>
    </row>
    <row r="74" spans="1:19" ht="18" customHeight="1" x14ac:dyDescent="0.15">
      <c r="A74" s="3"/>
      <c r="B74" s="114" t="s">
        <v>177</v>
      </c>
      <c r="C74" s="115"/>
      <c r="D74" s="116"/>
      <c r="E74" s="23">
        <v>1</v>
      </c>
      <c r="F74" s="23"/>
      <c r="G74" s="23" t="s">
        <v>130</v>
      </c>
      <c r="H74" s="23" t="s">
        <v>130</v>
      </c>
      <c r="I74" s="23" t="s">
        <v>130</v>
      </c>
      <c r="J74" s="86"/>
      <c r="K74" s="87"/>
      <c r="L74" s="87"/>
      <c r="M74" s="87"/>
      <c r="N74" s="88"/>
      <c r="O74" s="23"/>
      <c r="P74" s="23"/>
      <c r="Q74" s="23"/>
      <c r="R74" s="23"/>
      <c r="S74" s="23"/>
    </row>
    <row r="75" spans="1:19" ht="18" customHeight="1" x14ac:dyDescent="0.15">
      <c r="A75" s="3"/>
      <c r="B75" s="92"/>
      <c r="C75" s="93"/>
      <c r="D75" s="93"/>
      <c r="E75" s="24"/>
      <c r="F75" s="24"/>
      <c r="G75" s="25"/>
      <c r="H75" s="25"/>
      <c r="I75" s="25"/>
      <c r="J75" s="92"/>
      <c r="K75" s="93"/>
      <c r="L75" s="93"/>
      <c r="M75" s="93"/>
      <c r="N75" s="94"/>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89" t="s">
        <v>53</v>
      </c>
      <c r="C78" s="90"/>
      <c r="D78" s="90"/>
      <c r="E78" s="91"/>
      <c r="F78" s="89" t="s">
        <v>82</v>
      </c>
      <c r="G78" s="90"/>
      <c r="H78" s="90"/>
      <c r="I78" s="91"/>
      <c r="J78" s="117" t="s">
        <v>53</v>
      </c>
      <c r="K78" s="118"/>
      <c r="L78" s="118"/>
      <c r="M78" s="118"/>
      <c r="N78" s="118"/>
      <c r="O78" s="119"/>
      <c r="P78" s="89" t="s">
        <v>82</v>
      </c>
      <c r="Q78" s="90"/>
      <c r="R78" s="90"/>
      <c r="S78" s="91"/>
    </row>
    <row r="79" spans="1:19" ht="18" customHeight="1" x14ac:dyDescent="0.15">
      <c r="A79" s="3"/>
      <c r="B79" s="83"/>
      <c r="C79" s="84"/>
      <c r="D79" s="84"/>
      <c r="E79" s="85"/>
      <c r="F79" s="111"/>
      <c r="G79" s="112"/>
      <c r="H79" s="112"/>
      <c r="I79" s="113"/>
      <c r="J79" s="83"/>
      <c r="K79" s="84"/>
      <c r="L79" s="84"/>
      <c r="M79" s="84"/>
      <c r="N79" s="84"/>
      <c r="O79" s="85"/>
      <c r="P79" s="111"/>
      <c r="Q79" s="112"/>
      <c r="R79" s="112"/>
      <c r="S79" s="113"/>
    </row>
    <row r="80" spans="1:19" ht="18" customHeight="1" x14ac:dyDescent="0.15">
      <c r="A80" s="3"/>
      <c r="B80" s="86"/>
      <c r="C80" s="87"/>
      <c r="D80" s="87"/>
      <c r="E80" s="88"/>
      <c r="F80" s="114"/>
      <c r="G80" s="115"/>
      <c r="H80" s="115"/>
      <c r="I80" s="116"/>
      <c r="J80" s="86"/>
      <c r="K80" s="87"/>
      <c r="L80" s="87"/>
      <c r="M80" s="87"/>
      <c r="N80" s="87"/>
      <c r="O80" s="88"/>
      <c r="P80" s="114"/>
      <c r="Q80" s="115"/>
      <c r="R80" s="115"/>
      <c r="S80" s="116"/>
    </row>
    <row r="81" spans="1:19" ht="18" customHeight="1" x14ac:dyDescent="0.15">
      <c r="A81" s="3"/>
      <c r="B81" s="86"/>
      <c r="C81" s="87"/>
      <c r="D81" s="87"/>
      <c r="E81" s="88"/>
      <c r="F81" s="114"/>
      <c r="G81" s="115"/>
      <c r="H81" s="115"/>
      <c r="I81" s="116"/>
      <c r="J81" s="86"/>
      <c r="K81" s="87"/>
      <c r="L81" s="87"/>
      <c r="M81" s="87"/>
      <c r="N81" s="87"/>
      <c r="O81" s="88"/>
      <c r="P81" s="114"/>
      <c r="Q81" s="115"/>
      <c r="R81" s="115"/>
      <c r="S81" s="116"/>
    </row>
    <row r="82" spans="1:19" ht="18" customHeight="1" x14ac:dyDescent="0.15">
      <c r="A82" s="3"/>
      <c r="B82" s="86"/>
      <c r="C82" s="87"/>
      <c r="D82" s="87"/>
      <c r="E82" s="88"/>
      <c r="F82" s="114"/>
      <c r="G82" s="115"/>
      <c r="H82" s="115"/>
      <c r="I82" s="116"/>
      <c r="J82" s="86"/>
      <c r="K82" s="87"/>
      <c r="L82" s="87"/>
      <c r="M82" s="87"/>
      <c r="N82" s="87"/>
      <c r="O82" s="88"/>
      <c r="P82" s="114"/>
      <c r="Q82" s="115"/>
      <c r="R82" s="115"/>
      <c r="S82" s="116"/>
    </row>
    <row r="83" spans="1:19" ht="18" customHeight="1" x14ac:dyDescent="0.15">
      <c r="A83" s="3"/>
      <c r="B83" s="86"/>
      <c r="C83" s="87"/>
      <c r="D83" s="87"/>
      <c r="E83" s="88"/>
      <c r="F83" s="114"/>
      <c r="G83" s="115"/>
      <c r="H83" s="115"/>
      <c r="I83" s="116"/>
      <c r="J83" s="86"/>
      <c r="K83" s="87"/>
      <c r="L83" s="87"/>
      <c r="M83" s="87"/>
      <c r="N83" s="87"/>
      <c r="O83" s="88"/>
      <c r="P83" s="114"/>
      <c r="Q83" s="115"/>
      <c r="R83" s="115"/>
      <c r="S83" s="116"/>
    </row>
    <row r="84" spans="1:19" ht="18" customHeight="1" x14ac:dyDescent="0.15">
      <c r="A84" s="3"/>
      <c r="B84" s="86"/>
      <c r="C84" s="87"/>
      <c r="D84" s="87"/>
      <c r="E84" s="88"/>
      <c r="F84" s="114"/>
      <c r="G84" s="115"/>
      <c r="H84" s="115"/>
      <c r="I84" s="116"/>
      <c r="J84" s="86"/>
      <c r="K84" s="87"/>
      <c r="L84" s="87"/>
      <c r="M84" s="87"/>
      <c r="N84" s="87"/>
      <c r="O84" s="88"/>
      <c r="P84" s="114"/>
      <c r="Q84" s="115"/>
      <c r="R84" s="115"/>
      <c r="S84" s="116"/>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07" t="s">
        <v>54</v>
      </c>
      <c r="C88" s="108"/>
      <c r="D88" s="90" t="s">
        <v>55</v>
      </c>
      <c r="E88" s="90"/>
      <c r="F88" s="90"/>
      <c r="G88" s="90"/>
      <c r="H88" s="90"/>
      <c r="I88" s="90"/>
      <c r="J88" s="90"/>
      <c r="K88" s="90"/>
      <c r="L88" s="90"/>
      <c r="M88" s="90"/>
      <c r="N88" s="90"/>
      <c r="O88" s="90"/>
      <c r="P88" s="90"/>
      <c r="Q88" s="90"/>
      <c r="R88" s="90"/>
      <c r="S88" s="91"/>
    </row>
    <row r="89" spans="1:19" ht="97.5" customHeight="1" x14ac:dyDescent="0.15">
      <c r="B89" s="96" t="s">
        <v>61</v>
      </c>
      <c r="C89" s="27" t="s">
        <v>56</v>
      </c>
      <c r="D89" s="105" t="s">
        <v>242</v>
      </c>
      <c r="E89" s="109"/>
      <c r="F89" s="109"/>
      <c r="G89" s="109"/>
      <c r="H89" s="109"/>
      <c r="I89" s="109"/>
      <c r="J89" s="109"/>
      <c r="K89" s="109"/>
      <c r="L89" s="109"/>
      <c r="M89" s="109"/>
      <c r="N89" s="109"/>
      <c r="O89" s="109"/>
      <c r="P89" s="109"/>
      <c r="Q89" s="109"/>
      <c r="R89" s="109"/>
      <c r="S89" s="110"/>
    </row>
    <row r="90" spans="1:19" ht="97.5" customHeight="1" x14ac:dyDescent="0.15">
      <c r="B90" s="97"/>
      <c r="C90" s="28" t="s">
        <v>77</v>
      </c>
      <c r="D90" s="123" t="s">
        <v>243</v>
      </c>
      <c r="E90" s="123"/>
      <c r="F90" s="123"/>
      <c r="G90" s="123"/>
      <c r="H90" s="123"/>
      <c r="I90" s="123"/>
      <c r="J90" s="123"/>
      <c r="K90" s="123"/>
      <c r="L90" s="123"/>
      <c r="M90" s="123"/>
      <c r="N90" s="123"/>
      <c r="O90" s="123"/>
      <c r="P90" s="123"/>
      <c r="Q90" s="123"/>
      <c r="R90" s="123"/>
      <c r="S90" s="124"/>
    </row>
    <row r="91" spans="1:19" ht="97.5" customHeight="1" x14ac:dyDescent="0.15">
      <c r="B91" s="96" t="s">
        <v>62</v>
      </c>
      <c r="C91" s="29" t="s">
        <v>71</v>
      </c>
      <c r="D91" s="125" t="s">
        <v>254</v>
      </c>
      <c r="E91" s="125"/>
      <c r="F91" s="125"/>
      <c r="G91" s="125"/>
      <c r="H91" s="125"/>
      <c r="I91" s="125"/>
      <c r="J91" s="125"/>
      <c r="K91" s="125"/>
      <c r="L91" s="125"/>
      <c r="M91" s="125"/>
      <c r="N91" s="125"/>
      <c r="O91" s="125"/>
      <c r="P91" s="125"/>
      <c r="Q91" s="125"/>
      <c r="R91" s="125"/>
      <c r="S91" s="160"/>
    </row>
    <row r="92" spans="1:19" ht="97.5" customHeight="1" x14ac:dyDescent="0.15">
      <c r="B92" s="98"/>
      <c r="C92" s="30" t="s">
        <v>72</v>
      </c>
      <c r="D92" s="130" t="s">
        <v>255</v>
      </c>
      <c r="E92" s="130"/>
      <c r="F92" s="130"/>
      <c r="G92" s="130"/>
      <c r="H92" s="130"/>
      <c r="I92" s="130"/>
      <c r="J92" s="130"/>
      <c r="K92" s="130"/>
      <c r="L92" s="130"/>
      <c r="M92" s="130"/>
      <c r="N92" s="130"/>
      <c r="O92" s="130"/>
      <c r="P92" s="130"/>
      <c r="Q92" s="130"/>
      <c r="R92" s="130"/>
      <c r="S92" s="133"/>
    </row>
    <row r="93" spans="1:19" ht="97.5" customHeight="1" x14ac:dyDescent="0.15">
      <c r="B93" s="96" t="s">
        <v>63</v>
      </c>
      <c r="C93" s="29" t="s">
        <v>73</v>
      </c>
      <c r="D93" s="125" t="s">
        <v>229</v>
      </c>
      <c r="E93" s="126"/>
      <c r="F93" s="126"/>
      <c r="G93" s="126"/>
      <c r="H93" s="126"/>
      <c r="I93" s="126"/>
      <c r="J93" s="126"/>
      <c r="K93" s="126"/>
      <c r="L93" s="126"/>
      <c r="M93" s="126"/>
      <c r="N93" s="126"/>
      <c r="O93" s="126"/>
      <c r="P93" s="126"/>
      <c r="Q93" s="126"/>
      <c r="R93" s="126"/>
      <c r="S93" s="127"/>
    </row>
    <row r="94" spans="1:19" ht="97.5" customHeight="1" x14ac:dyDescent="0.15">
      <c r="B94" s="98"/>
      <c r="C94" s="31" t="s">
        <v>74</v>
      </c>
      <c r="D94" s="128" t="s">
        <v>246</v>
      </c>
      <c r="E94" s="128"/>
      <c r="F94" s="128"/>
      <c r="G94" s="128"/>
      <c r="H94" s="128"/>
      <c r="I94" s="128"/>
      <c r="J94" s="128"/>
      <c r="K94" s="128"/>
      <c r="L94" s="128"/>
      <c r="M94" s="128"/>
      <c r="N94" s="128"/>
      <c r="O94" s="128"/>
      <c r="P94" s="128"/>
      <c r="Q94" s="128"/>
      <c r="R94" s="128"/>
      <c r="S94" s="129"/>
    </row>
    <row r="95" spans="1:19" ht="97.5" customHeight="1" x14ac:dyDescent="0.15">
      <c r="B95" s="96" t="s">
        <v>78</v>
      </c>
      <c r="C95" s="27" t="s">
        <v>58</v>
      </c>
      <c r="D95" s="105" t="s">
        <v>247</v>
      </c>
      <c r="E95" s="105"/>
      <c r="F95" s="105"/>
      <c r="G95" s="105"/>
      <c r="H95" s="105"/>
      <c r="I95" s="105"/>
      <c r="J95" s="105"/>
      <c r="K95" s="105"/>
      <c r="L95" s="105"/>
      <c r="M95" s="105"/>
      <c r="N95" s="105"/>
      <c r="O95" s="105"/>
      <c r="P95" s="105"/>
      <c r="Q95" s="105"/>
      <c r="R95" s="105"/>
      <c r="S95" s="106"/>
    </row>
    <row r="96" spans="1:19" ht="97.5" customHeight="1" x14ac:dyDescent="0.15">
      <c r="B96" s="98"/>
      <c r="C96" s="30" t="s">
        <v>60</v>
      </c>
      <c r="D96" s="130" t="s">
        <v>272</v>
      </c>
      <c r="E96" s="130"/>
      <c r="F96" s="130"/>
      <c r="G96" s="130"/>
      <c r="H96" s="130"/>
      <c r="I96" s="130"/>
      <c r="J96" s="130"/>
      <c r="K96" s="130"/>
      <c r="L96" s="130"/>
      <c r="M96" s="130"/>
      <c r="N96" s="130"/>
      <c r="O96" s="130"/>
      <c r="P96" s="130"/>
      <c r="Q96" s="130"/>
      <c r="R96" s="130"/>
      <c r="S96" s="133"/>
    </row>
    <row r="97" spans="1:20" ht="120.75" customHeight="1" x14ac:dyDescent="0.15">
      <c r="B97" s="96" t="s">
        <v>79</v>
      </c>
      <c r="C97" s="29" t="s">
        <v>57</v>
      </c>
      <c r="D97" s="100" t="s">
        <v>256</v>
      </c>
      <c r="E97" s="100"/>
      <c r="F97" s="100"/>
      <c r="G97" s="100"/>
      <c r="H97" s="100"/>
      <c r="I97" s="100"/>
      <c r="J97" s="100"/>
      <c r="K97" s="100"/>
      <c r="L97" s="100"/>
      <c r="M97" s="100"/>
      <c r="N97" s="100"/>
      <c r="O97" s="100"/>
      <c r="P97" s="100"/>
      <c r="Q97" s="100"/>
      <c r="R97" s="100"/>
      <c r="S97" s="101"/>
    </row>
    <row r="98" spans="1:20" ht="108" customHeight="1" x14ac:dyDescent="0.15">
      <c r="B98" s="97"/>
      <c r="C98" s="32" t="s">
        <v>75</v>
      </c>
      <c r="D98" s="161" t="s">
        <v>257</v>
      </c>
      <c r="E98" s="162"/>
      <c r="F98" s="162"/>
      <c r="G98" s="162"/>
      <c r="H98" s="162"/>
      <c r="I98" s="162"/>
      <c r="J98" s="162"/>
      <c r="K98" s="162"/>
      <c r="L98" s="162"/>
      <c r="M98" s="162"/>
      <c r="N98" s="162"/>
      <c r="O98" s="162"/>
      <c r="P98" s="162"/>
      <c r="Q98" s="162"/>
      <c r="R98" s="162"/>
      <c r="S98" s="163"/>
      <c r="T98" s="15"/>
    </row>
    <row r="99" spans="1:20" ht="128.25" customHeight="1" x14ac:dyDescent="0.15">
      <c r="B99" s="98"/>
      <c r="C99" s="31" t="s">
        <v>76</v>
      </c>
      <c r="D99" s="164" t="s">
        <v>258</v>
      </c>
      <c r="E99" s="165"/>
      <c r="F99" s="165"/>
      <c r="G99" s="165"/>
      <c r="H99" s="165"/>
      <c r="I99" s="165"/>
      <c r="J99" s="165"/>
      <c r="K99" s="165"/>
      <c r="L99" s="165"/>
      <c r="M99" s="165"/>
      <c r="N99" s="165"/>
      <c r="O99" s="165"/>
      <c r="P99" s="165"/>
      <c r="Q99" s="165"/>
      <c r="R99" s="165"/>
      <c r="S99" s="166"/>
    </row>
    <row r="100" spans="1:20" ht="6" customHeight="1" x14ac:dyDescent="0.15"/>
    <row r="101" spans="1:20" ht="18.75" customHeight="1" x14ac:dyDescent="0.15">
      <c r="A101" s="1" t="s">
        <v>120</v>
      </c>
    </row>
    <row r="102" spans="1:20" ht="81.75" customHeight="1" x14ac:dyDescent="0.15">
      <c r="B102" s="102" t="s">
        <v>134</v>
      </c>
      <c r="C102" s="103"/>
      <c r="D102" s="103"/>
      <c r="E102" s="103"/>
      <c r="F102" s="103"/>
      <c r="G102" s="103"/>
      <c r="H102" s="103"/>
      <c r="I102" s="103"/>
      <c r="J102" s="103"/>
      <c r="K102" s="103"/>
      <c r="L102" s="103"/>
      <c r="M102" s="103"/>
      <c r="N102" s="103"/>
      <c r="O102" s="103"/>
      <c r="P102" s="103"/>
      <c r="Q102" s="103"/>
      <c r="R102" s="103"/>
      <c r="S102" s="104"/>
    </row>
    <row r="110" spans="1:20" ht="18" customHeight="1" x14ac:dyDescent="0.15"/>
  </sheetData>
  <customSheetViews>
    <customSheetView guid="{1C325414-5A0C-4C59-BA24-A8E2B4EC5171}" scale="85" showPageBreaks="1" zeroValues="0" fitToPage="1" printArea="1" hiddenColumns="1" view="pageBreakPreview">
      <selection activeCell="D97" sqref="D97:S99"/>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76C3A8B2-43E5-4491-B38D-7D6417DC209B}" scale="85" showPageBreaks="1" zeroValues="0" fitToPage="1" printArea="1" hiddenColumns="1" view="pageBreakPreview" topLeftCell="A41">
      <selection sqref="A1:XFD1"/>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 guid="{D1FD8C4C-CF69-45DF-A007-1EC45F0F0601}" scale="85" showPageBreaks="1" zeroValues="0" fitToPage="1" printArea="1" hiddenColumns="1" view="pageBreakPreview" topLeftCell="A97">
      <selection sqref="A1:XFD1"/>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4" fitToHeight="0" orientation="portrait" r:id="rId3"/>
      <headerFooter>
        <oddHeader>&amp;C数理・データサイエンス・AI教育プログラム認定制度【リテラシーレベル】</oddHeader>
      </headerFooter>
    </customSheetView>
    <customSheetView guid="{B3C66A88-0371-48C7-9AE2-6606C7EDAAFC}" scale="85" showPageBreaks="1" zeroValues="0" fitToPage="1" printArea="1" hiddenColumns="1" view="pageBreakPreview" topLeftCell="A41">
      <selection sqref="A1:XFD1"/>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4"/>
      <headerFooter>
        <oddHeader>&amp;C数理・データサイエンス・AI教育プログラム認定制度【リテラシーレベル】</oddHeader>
      </headerFooter>
    </customSheetView>
  </customSheetViews>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5" priority="1">
      <formula>$K$7="学部・学科によって、修了要件は相違しない"</formula>
    </cfRule>
  </conditionalFormatting>
  <dataValidations count="5">
    <dataValidation type="list" allowBlank="1" showInputMessage="1" showErrorMessage="1" sqref="K20:S20" xr:uid="{2545EABB-9844-46C0-8070-4789308BF635}">
      <formula1>$V$14:$V$16</formula1>
    </dataValidation>
    <dataValidation type="list" allowBlank="1" showInputMessage="1" showErrorMessage="1" sqref="F79:F86 P79:P86 G79:I80 G83:I86 Q83:S86 Q79:S80" xr:uid="{8816AEB7-1095-42A0-93FC-4A109DAB3B9B}">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32A0A11A-841F-4D87-A745-230C7FCCAFCA}">
      <formula1>"学部・学科によって、修了要件は相違する,学部・学科によって、修了要件は相違しない"</formula1>
    </dataValidation>
    <dataValidation type="list" allowBlank="1" showInputMessage="1" showErrorMessage="1" sqref="S32 S43 D32:G32 D43:G43" xr:uid="{BBE27BC7-B80D-459A-9F8F-3F890CD84A15}">
      <formula1>"全学開講,一部開講"</formula1>
    </dataValidation>
    <dataValidation type="list" allowBlank="1" showInputMessage="1" showErrorMessage="1" sqref="G25:I31 Q25:S31 G36:I42 Q36:S42 P69:S75 Q47:S53 G47:I53 Q58:S64 G58:I64 F69:I75" xr:uid="{66572CCB-7A93-4053-8F52-F42FE590DC8F}">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5"/>
  <headerFooter>
    <oddHeader>&amp;C数理・データサイエンス・AI教育プログラム認定制度【リテラシーレベル】</oddHeader>
  </headerFooter>
  <rowBreaks count="2" manualBreakCount="2">
    <brk id="65" max="18" man="1"/>
    <brk id="94" max="1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3FD49-E0D6-4A75-8E64-14AE788DF753}">
  <sheetPr>
    <pageSetUpPr fitToPage="1"/>
  </sheetPr>
  <dimension ref="A1:V110"/>
  <sheetViews>
    <sheetView showZeros="0" view="pageBreakPreview" topLeftCell="A93" zoomScale="85" zoomScaleNormal="100" zoomScaleSheetLayoutView="85" workbookViewId="0">
      <selection activeCell="D96" sqref="D96:S9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178</v>
      </c>
      <c r="S1" s="134"/>
      <c r="T1" s="2" t="s">
        <v>109</v>
      </c>
    </row>
    <row r="2" spans="1:22" ht="18.75" customHeight="1" x14ac:dyDescent="0.15">
      <c r="B2" s="33" t="s">
        <v>108</v>
      </c>
      <c r="C2" s="89" t="s">
        <v>126</v>
      </c>
      <c r="D2" s="90"/>
      <c r="E2" s="90"/>
      <c r="F2" s="90"/>
      <c r="G2" s="90"/>
      <c r="H2" s="90"/>
      <c r="I2" s="91"/>
      <c r="J2" s="34"/>
      <c r="K2" s="6"/>
      <c r="L2" s="6"/>
      <c r="M2" s="6"/>
      <c r="N2" s="6"/>
      <c r="O2" s="6"/>
      <c r="P2" s="6"/>
      <c r="Q2" s="6"/>
      <c r="R2" s="6"/>
      <c r="S2" s="6"/>
    </row>
    <row r="3" spans="1:22" ht="18.75" customHeight="1" x14ac:dyDescent="0.15">
      <c r="B3" s="33" t="s">
        <v>102</v>
      </c>
      <c r="C3" s="138" t="s">
        <v>127</v>
      </c>
      <c r="D3" s="139"/>
      <c r="E3" s="139"/>
      <c r="F3" s="139"/>
      <c r="G3" s="139"/>
      <c r="H3" s="139"/>
      <c r="I3" s="14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41" t="s">
        <v>38</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51" t="s">
        <v>128</v>
      </c>
      <c r="L7" s="152"/>
      <c r="M7" s="152"/>
      <c r="N7" s="152"/>
      <c r="O7" s="152"/>
      <c r="P7" s="152"/>
      <c r="Q7" s="152"/>
      <c r="R7" s="152"/>
      <c r="S7" s="15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4" t="s">
        <v>179</v>
      </c>
      <c r="C9" s="155"/>
      <c r="D9" s="155"/>
      <c r="E9" s="155"/>
      <c r="F9" s="155"/>
      <c r="G9" s="155"/>
      <c r="H9" s="155"/>
      <c r="I9" s="155"/>
      <c r="J9" s="155"/>
      <c r="K9" s="155"/>
      <c r="L9" s="155"/>
      <c r="M9" s="155"/>
      <c r="N9" s="155"/>
      <c r="O9" s="155"/>
      <c r="P9" s="155"/>
      <c r="Q9" s="155"/>
      <c r="R9" s="155"/>
      <c r="S9" s="156"/>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42" t="s">
        <v>161</v>
      </c>
      <c r="C13" s="143"/>
      <c r="D13" s="143"/>
      <c r="E13" s="143"/>
      <c r="F13" s="143"/>
      <c r="G13" s="143"/>
      <c r="H13" s="143"/>
      <c r="I13" s="143"/>
      <c r="J13" s="143"/>
      <c r="K13" s="143"/>
      <c r="L13" s="143"/>
      <c r="M13" s="143"/>
      <c r="N13" s="143"/>
      <c r="O13" s="143"/>
      <c r="P13" s="143"/>
      <c r="Q13" s="143"/>
      <c r="R13" s="143"/>
      <c r="S13" s="144"/>
      <c r="V13" s="1" t="s">
        <v>103</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110</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123</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125</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89">
        <v>6</v>
      </c>
      <c r="D20" s="91"/>
      <c r="E20" s="39" t="s">
        <v>95</v>
      </c>
      <c r="G20" s="9"/>
      <c r="H20" s="3"/>
      <c r="I20" s="3"/>
      <c r="J20" s="34" t="s">
        <v>121</v>
      </c>
      <c r="K20" s="135" t="s">
        <v>125</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53</v>
      </c>
      <c r="C24" s="90"/>
      <c r="D24" s="90"/>
      <c r="E24" s="91"/>
      <c r="F24" s="60" t="s">
        <v>80</v>
      </c>
      <c r="G24" s="59" t="s">
        <v>84</v>
      </c>
      <c r="H24" s="21" t="s">
        <v>56</v>
      </c>
      <c r="I24" s="21" t="s">
        <v>59</v>
      </c>
      <c r="J24" s="89" t="s">
        <v>53</v>
      </c>
      <c r="K24" s="90"/>
      <c r="L24" s="90"/>
      <c r="M24" s="90"/>
      <c r="N24" s="90"/>
      <c r="O24" s="91"/>
      <c r="P24" s="60" t="s">
        <v>80</v>
      </c>
      <c r="Q24" s="59" t="s">
        <v>84</v>
      </c>
      <c r="R24" s="21" t="s">
        <v>56</v>
      </c>
      <c r="S24" s="21" t="s">
        <v>59</v>
      </c>
    </row>
    <row r="25" spans="1:19" ht="18" customHeight="1" x14ac:dyDescent="0.15">
      <c r="B25" s="83" t="s">
        <v>129</v>
      </c>
      <c r="C25" s="84"/>
      <c r="D25" s="84"/>
      <c r="E25" s="85"/>
      <c r="F25" s="22">
        <v>2</v>
      </c>
      <c r="G25" s="22" t="s">
        <v>130</v>
      </c>
      <c r="H25" s="22" t="s">
        <v>130</v>
      </c>
      <c r="I25" s="22" t="s">
        <v>130</v>
      </c>
      <c r="J25" s="83"/>
      <c r="K25" s="84"/>
      <c r="L25" s="84"/>
      <c r="M25" s="84"/>
      <c r="N25" s="84"/>
      <c r="O25" s="85"/>
      <c r="P25" s="22"/>
      <c r="Q25" s="22"/>
      <c r="R25" s="22"/>
      <c r="S25" s="22"/>
    </row>
    <row r="26" spans="1:19" ht="18" customHeight="1" x14ac:dyDescent="0.15">
      <c r="B26" s="86"/>
      <c r="C26" s="87"/>
      <c r="D26" s="87"/>
      <c r="E26" s="88"/>
      <c r="F26" s="23"/>
      <c r="G26" s="23"/>
      <c r="H26" s="23"/>
      <c r="I26" s="23"/>
      <c r="J26" s="86"/>
      <c r="K26" s="87"/>
      <c r="L26" s="87"/>
      <c r="M26" s="87"/>
      <c r="N26" s="87"/>
      <c r="O26" s="88"/>
      <c r="P26" s="23"/>
      <c r="Q26" s="23"/>
      <c r="R26" s="23"/>
      <c r="S26" s="23"/>
    </row>
    <row r="27" spans="1:19" ht="18" customHeight="1" x14ac:dyDescent="0.15">
      <c r="B27" s="86"/>
      <c r="C27" s="87"/>
      <c r="D27" s="87"/>
      <c r="E27" s="88"/>
      <c r="F27" s="23"/>
      <c r="G27" s="23"/>
      <c r="H27" s="23"/>
      <c r="I27" s="23"/>
      <c r="J27" s="86"/>
      <c r="K27" s="87"/>
      <c r="L27" s="87"/>
      <c r="M27" s="87"/>
      <c r="N27" s="87"/>
      <c r="O27" s="88"/>
      <c r="P27" s="23"/>
      <c r="Q27" s="23"/>
      <c r="R27" s="23"/>
      <c r="S27" s="23"/>
    </row>
    <row r="28" spans="1:19" ht="18" customHeight="1" x14ac:dyDescent="0.15">
      <c r="B28" s="86"/>
      <c r="C28" s="87"/>
      <c r="D28" s="87"/>
      <c r="E28" s="88"/>
      <c r="F28" s="23"/>
      <c r="G28" s="23"/>
      <c r="H28" s="23"/>
      <c r="I28" s="23"/>
      <c r="J28" s="86"/>
      <c r="K28" s="87"/>
      <c r="L28" s="87"/>
      <c r="M28" s="87"/>
      <c r="N28" s="87"/>
      <c r="O28" s="88"/>
      <c r="P28" s="23"/>
      <c r="Q28" s="23"/>
      <c r="R28" s="23"/>
      <c r="S28" s="23"/>
    </row>
    <row r="29" spans="1:19" ht="18" customHeight="1" x14ac:dyDescent="0.15">
      <c r="B29" s="86"/>
      <c r="C29" s="87"/>
      <c r="D29" s="87"/>
      <c r="E29" s="88"/>
      <c r="F29" s="23"/>
      <c r="G29" s="23"/>
      <c r="H29" s="23"/>
      <c r="I29" s="23"/>
      <c r="J29" s="86"/>
      <c r="K29" s="87"/>
      <c r="L29" s="87"/>
      <c r="M29" s="87"/>
      <c r="N29" s="87"/>
      <c r="O29" s="88"/>
      <c r="P29" s="23"/>
      <c r="Q29" s="23"/>
      <c r="R29" s="23"/>
      <c r="S29" s="23"/>
    </row>
    <row r="30" spans="1:19" ht="18" customHeight="1" x14ac:dyDescent="0.15">
      <c r="A30" s="3"/>
      <c r="B30" s="86"/>
      <c r="C30" s="87"/>
      <c r="D30" s="87"/>
      <c r="E30" s="88"/>
      <c r="F30" s="23"/>
      <c r="G30" s="23"/>
      <c r="H30" s="23"/>
      <c r="I30" s="23"/>
      <c r="J30" s="86"/>
      <c r="K30" s="87"/>
      <c r="L30" s="87"/>
      <c r="M30" s="87"/>
      <c r="N30" s="87"/>
      <c r="O30" s="88"/>
      <c r="P30" s="23"/>
      <c r="Q30" s="23"/>
      <c r="R30" s="23"/>
      <c r="S30" s="23"/>
    </row>
    <row r="31" spans="1:19" ht="18" customHeight="1" x14ac:dyDescent="0.15">
      <c r="A31" s="3"/>
      <c r="B31" s="92"/>
      <c r="C31" s="93"/>
      <c r="D31" s="93"/>
      <c r="E31" s="94"/>
      <c r="F31" s="24"/>
      <c r="G31" s="24"/>
      <c r="H31" s="25"/>
      <c r="I31" s="25"/>
      <c r="J31" s="92"/>
      <c r="K31" s="93"/>
      <c r="L31" s="93"/>
      <c r="M31" s="93"/>
      <c r="N31" s="93"/>
      <c r="O31" s="94"/>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53</v>
      </c>
      <c r="C35" s="90"/>
      <c r="D35" s="90"/>
      <c r="E35" s="91"/>
      <c r="F35" s="60" t="s">
        <v>80</v>
      </c>
      <c r="G35" s="59" t="s">
        <v>84</v>
      </c>
      <c r="H35" s="21" t="s">
        <v>71</v>
      </c>
      <c r="I35" s="21" t="s">
        <v>72</v>
      </c>
      <c r="J35" s="89" t="s">
        <v>53</v>
      </c>
      <c r="K35" s="90"/>
      <c r="L35" s="90"/>
      <c r="M35" s="90"/>
      <c r="N35" s="90"/>
      <c r="O35" s="91"/>
      <c r="P35" s="60" t="s">
        <v>80</v>
      </c>
      <c r="Q35" s="59" t="s">
        <v>84</v>
      </c>
      <c r="R35" s="21" t="s">
        <v>71</v>
      </c>
      <c r="S35" s="21" t="s">
        <v>72</v>
      </c>
    </row>
    <row r="36" spans="1:19" ht="18" customHeight="1" x14ac:dyDescent="0.15">
      <c r="B36" s="111" t="s">
        <v>184</v>
      </c>
      <c r="C36" s="112"/>
      <c r="D36" s="112"/>
      <c r="E36" s="113"/>
      <c r="F36" s="22">
        <v>2</v>
      </c>
      <c r="G36" s="22"/>
      <c r="H36" s="22" t="s">
        <v>130</v>
      </c>
      <c r="I36" s="22" t="s">
        <v>130</v>
      </c>
      <c r="J36" s="83"/>
      <c r="K36" s="84"/>
      <c r="L36" s="84"/>
      <c r="M36" s="84"/>
      <c r="N36" s="84"/>
      <c r="O36" s="85"/>
      <c r="P36" s="22"/>
      <c r="Q36" s="22"/>
      <c r="R36" s="22"/>
      <c r="S36" s="22"/>
    </row>
    <row r="37" spans="1:19" ht="18" customHeight="1" x14ac:dyDescent="0.15">
      <c r="B37" s="114" t="s">
        <v>180</v>
      </c>
      <c r="C37" s="115"/>
      <c r="D37" s="115"/>
      <c r="E37" s="116"/>
      <c r="F37" s="23">
        <v>2</v>
      </c>
      <c r="G37" s="23"/>
      <c r="H37" s="23" t="s">
        <v>130</v>
      </c>
      <c r="I37" s="23" t="s">
        <v>130</v>
      </c>
      <c r="J37" s="86"/>
      <c r="K37" s="87"/>
      <c r="L37" s="87"/>
      <c r="M37" s="87"/>
      <c r="N37" s="87"/>
      <c r="O37" s="88"/>
      <c r="P37" s="23"/>
      <c r="Q37" s="23"/>
      <c r="R37" s="23"/>
      <c r="S37" s="23"/>
    </row>
    <row r="38" spans="1:19" ht="18" customHeight="1" x14ac:dyDescent="0.15">
      <c r="B38" s="114" t="s">
        <v>181</v>
      </c>
      <c r="C38" s="115"/>
      <c r="D38" s="115"/>
      <c r="E38" s="116"/>
      <c r="F38" s="23">
        <v>2</v>
      </c>
      <c r="G38" s="23"/>
      <c r="H38" s="23" t="s">
        <v>130</v>
      </c>
      <c r="I38" s="23" t="s">
        <v>130</v>
      </c>
      <c r="J38" s="86"/>
      <c r="K38" s="87"/>
      <c r="L38" s="87"/>
      <c r="M38" s="87"/>
      <c r="N38" s="87"/>
      <c r="O38" s="88"/>
      <c r="P38" s="23"/>
      <c r="Q38" s="23"/>
      <c r="R38" s="23"/>
      <c r="S38" s="23"/>
    </row>
    <row r="39" spans="1:19" ht="18" customHeight="1" x14ac:dyDescent="0.15">
      <c r="B39" s="114" t="s">
        <v>182</v>
      </c>
      <c r="C39" s="115"/>
      <c r="D39" s="115"/>
      <c r="E39" s="116"/>
      <c r="F39" s="23">
        <v>2</v>
      </c>
      <c r="G39" s="23"/>
      <c r="H39" s="23" t="s">
        <v>130</v>
      </c>
      <c r="I39" s="23" t="s">
        <v>130</v>
      </c>
      <c r="J39" s="86"/>
      <c r="K39" s="87"/>
      <c r="L39" s="87"/>
      <c r="M39" s="87"/>
      <c r="N39" s="87"/>
      <c r="O39" s="88"/>
      <c r="P39" s="23"/>
      <c r="Q39" s="23"/>
      <c r="R39" s="23"/>
      <c r="S39" s="23"/>
    </row>
    <row r="40" spans="1:19" ht="18" customHeight="1" x14ac:dyDescent="0.15">
      <c r="B40" s="114" t="s">
        <v>183</v>
      </c>
      <c r="C40" s="115"/>
      <c r="D40" s="115"/>
      <c r="E40" s="116"/>
      <c r="F40" s="23">
        <v>2</v>
      </c>
      <c r="G40" s="23"/>
      <c r="H40" s="23" t="s">
        <v>130</v>
      </c>
      <c r="I40" s="23" t="s">
        <v>130</v>
      </c>
      <c r="J40" s="86"/>
      <c r="K40" s="87"/>
      <c r="L40" s="87"/>
      <c r="M40" s="87"/>
      <c r="N40" s="87"/>
      <c r="O40" s="88"/>
      <c r="P40" s="23"/>
      <c r="Q40" s="23"/>
      <c r="R40" s="23"/>
      <c r="S40" s="23"/>
    </row>
    <row r="41" spans="1:19" ht="18" customHeight="1" x14ac:dyDescent="0.15">
      <c r="B41" s="114" t="s">
        <v>227</v>
      </c>
      <c r="C41" s="115"/>
      <c r="D41" s="115"/>
      <c r="E41" s="116"/>
      <c r="F41" s="23">
        <v>2</v>
      </c>
      <c r="G41" s="23"/>
      <c r="H41" s="23" t="s">
        <v>130</v>
      </c>
      <c r="I41" s="23" t="s">
        <v>130</v>
      </c>
      <c r="J41" s="86"/>
      <c r="K41" s="87"/>
      <c r="L41" s="87"/>
      <c r="M41" s="87"/>
      <c r="N41" s="87"/>
      <c r="O41" s="88"/>
      <c r="P41" s="23"/>
      <c r="Q41" s="23"/>
      <c r="R41" s="23"/>
      <c r="S41" s="23"/>
    </row>
    <row r="42" spans="1:19" ht="18" customHeight="1" x14ac:dyDescent="0.15">
      <c r="B42" s="92"/>
      <c r="C42" s="93"/>
      <c r="D42" s="93"/>
      <c r="E42" s="94"/>
      <c r="F42" s="24"/>
      <c r="G42" s="24"/>
      <c r="H42" s="25"/>
      <c r="I42" s="25"/>
      <c r="J42" s="92"/>
      <c r="K42" s="93"/>
      <c r="L42" s="93"/>
      <c r="M42" s="93"/>
      <c r="N42" s="93"/>
      <c r="O42" s="94"/>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53</v>
      </c>
      <c r="C46" s="90"/>
      <c r="D46" s="90"/>
      <c r="E46" s="91"/>
      <c r="F46" s="60" t="s">
        <v>80</v>
      </c>
      <c r="G46" s="59" t="s">
        <v>84</v>
      </c>
      <c r="H46" s="21" t="s">
        <v>73</v>
      </c>
      <c r="I46" s="21" t="s">
        <v>74</v>
      </c>
      <c r="J46" s="89" t="s">
        <v>53</v>
      </c>
      <c r="K46" s="90"/>
      <c r="L46" s="90"/>
      <c r="M46" s="90"/>
      <c r="N46" s="90"/>
      <c r="O46" s="91"/>
      <c r="P46" s="60" t="s">
        <v>80</v>
      </c>
      <c r="Q46" s="59" t="s">
        <v>84</v>
      </c>
      <c r="R46" s="21" t="s">
        <v>73</v>
      </c>
      <c r="S46" s="21" t="s">
        <v>74</v>
      </c>
    </row>
    <row r="47" spans="1:19" ht="18" customHeight="1" x14ac:dyDescent="0.15">
      <c r="A47" s="3"/>
      <c r="B47" s="83" t="s">
        <v>129</v>
      </c>
      <c r="C47" s="84"/>
      <c r="D47" s="84"/>
      <c r="E47" s="85"/>
      <c r="F47" s="22">
        <v>2</v>
      </c>
      <c r="G47" s="22" t="s">
        <v>130</v>
      </c>
      <c r="H47" s="22" t="s">
        <v>130</v>
      </c>
      <c r="I47" s="22" t="s">
        <v>130</v>
      </c>
      <c r="J47" s="83"/>
      <c r="K47" s="84"/>
      <c r="L47" s="84"/>
      <c r="M47" s="84"/>
      <c r="N47" s="84"/>
      <c r="O47" s="85"/>
      <c r="P47" s="22"/>
      <c r="Q47" s="22"/>
      <c r="R47" s="22"/>
      <c r="S47" s="22"/>
    </row>
    <row r="48" spans="1:19" ht="18" customHeight="1" x14ac:dyDescent="0.15">
      <c r="A48" s="3"/>
      <c r="B48" s="86"/>
      <c r="C48" s="87"/>
      <c r="D48" s="87"/>
      <c r="E48" s="88"/>
      <c r="F48" s="23"/>
      <c r="G48" s="23"/>
      <c r="H48" s="23"/>
      <c r="I48" s="23"/>
      <c r="J48" s="86"/>
      <c r="K48" s="87"/>
      <c r="L48" s="87"/>
      <c r="M48" s="87"/>
      <c r="N48" s="87"/>
      <c r="O48" s="88"/>
      <c r="P48" s="23"/>
      <c r="Q48" s="23"/>
      <c r="R48" s="23"/>
      <c r="S48" s="23"/>
    </row>
    <row r="49" spans="1:19" ht="18" customHeight="1" x14ac:dyDescent="0.15">
      <c r="A49" s="3"/>
      <c r="B49" s="86"/>
      <c r="C49" s="87"/>
      <c r="D49" s="87"/>
      <c r="E49" s="88"/>
      <c r="F49" s="23"/>
      <c r="G49" s="23"/>
      <c r="H49" s="23"/>
      <c r="I49" s="23"/>
      <c r="J49" s="86"/>
      <c r="K49" s="87"/>
      <c r="L49" s="87"/>
      <c r="M49" s="87"/>
      <c r="N49" s="87"/>
      <c r="O49" s="88"/>
      <c r="P49" s="23"/>
      <c r="Q49" s="23"/>
      <c r="R49" s="23"/>
      <c r="S49" s="23"/>
    </row>
    <row r="50" spans="1:19" ht="18" customHeight="1" x14ac:dyDescent="0.15">
      <c r="A50" s="3"/>
      <c r="B50" s="86"/>
      <c r="C50" s="87"/>
      <c r="D50" s="87"/>
      <c r="E50" s="88"/>
      <c r="F50" s="23"/>
      <c r="G50" s="23"/>
      <c r="H50" s="23"/>
      <c r="I50" s="23"/>
      <c r="J50" s="86"/>
      <c r="K50" s="87"/>
      <c r="L50" s="87"/>
      <c r="M50" s="87"/>
      <c r="N50" s="87"/>
      <c r="O50" s="88"/>
      <c r="P50" s="23"/>
      <c r="Q50" s="23"/>
      <c r="R50" s="23"/>
      <c r="S50" s="23"/>
    </row>
    <row r="51" spans="1:19" ht="18" customHeight="1" x14ac:dyDescent="0.15">
      <c r="A51" s="3"/>
      <c r="B51" s="86"/>
      <c r="C51" s="87"/>
      <c r="D51" s="87"/>
      <c r="E51" s="88"/>
      <c r="F51" s="23"/>
      <c r="G51" s="23"/>
      <c r="H51" s="23"/>
      <c r="I51" s="23"/>
      <c r="J51" s="86"/>
      <c r="K51" s="87"/>
      <c r="L51" s="87"/>
      <c r="M51" s="87"/>
      <c r="N51" s="87"/>
      <c r="O51" s="88"/>
      <c r="P51" s="23"/>
      <c r="Q51" s="23"/>
      <c r="R51" s="23"/>
      <c r="S51" s="23"/>
    </row>
    <row r="52" spans="1:19" ht="18" customHeight="1" x14ac:dyDescent="0.15">
      <c r="A52" s="3"/>
      <c r="B52" s="86"/>
      <c r="C52" s="87"/>
      <c r="D52" s="87"/>
      <c r="E52" s="88"/>
      <c r="F52" s="23"/>
      <c r="G52" s="23"/>
      <c r="H52" s="23"/>
      <c r="I52" s="23"/>
      <c r="J52" s="86"/>
      <c r="K52" s="87"/>
      <c r="L52" s="87"/>
      <c r="M52" s="87"/>
      <c r="N52" s="87"/>
      <c r="O52" s="88"/>
      <c r="P52" s="23"/>
      <c r="Q52" s="23"/>
      <c r="R52" s="23"/>
      <c r="S52" s="23"/>
    </row>
    <row r="53" spans="1:19" ht="18" customHeight="1" x14ac:dyDescent="0.15">
      <c r="A53" s="3"/>
      <c r="B53" s="92"/>
      <c r="C53" s="93"/>
      <c r="D53" s="93"/>
      <c r="E53" s="94"/>
      <c r="F53" s="24"/>
      <c r="G53" s="24"/>
      <c r="H53" s="25"/>
      <c r="I53" s="25"/>
      <c r="J53" s="92"/>
      <c r="K53" s="93"/>
      <c r="L53" s="93"/>
      <c r="M53" s="93"/>
      <c r="N53" s="93"/>
      <c r="O53" s="94"/>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53</v>
      </c>
      <c r="C57" s="90"/>
      <c r="D57" s="90"/>
      <c r="E57" s="91"/>
      <c r="F57" s="60" t="s">
        <v>80</v>
      </c>
      <c r="G57" s="59" t="s">
        <v>84</v>
      </c>
      <c r="H57" s="21" t="s">
        <v>58</v>
      </c>
      <c r="I57" s="21" t="s">
        <v>60</v>
      </c>
      <c r="J57" s="89" t="s">
        <v>53</v>
      </c>
      <c r="K57" s="90"/>
      <c r="L57" s="90"/>
      <c r="M57" s="90"/>
      <c r="N57" s="90"/>
      <c r="O57" s="91"/>
      <c r="P57" s="60" t="s">
        <v>80</v>
      </c>
      <c r="Q57" s="59" t="s">
        <v>84</v>
      </c>
      <c r="R57" s="21" t="s">
        <v>58</v>
      </c>
      <c r="S57" s="21" t="s">
        <v>60</v>
      </c>
    </row>
    <row r="58" spans="1:19" ht="18" customHeight="1" x14ac:dyDescent="0.15">
      <c r="A58" s="3"/>
      <c r="B58" s="83" t="s">
        <v>129</v>
      </c>
      <c r="C58" s="84"/>
      <c r="D58" s="84"/>
      <c r="E58" s="85"/>
      <c r="F58" s="22">
        <v>2</v>
      </c>
      <c r="G58" s="22" t="s">
        <v>130</v>
      </c>
      <c r="H58" s="22" t="s">
        <v>130</v>
      </c>
      <c r="I58" s="22" t="s">
        <v>130</v>
      </c>
      <c r="J58" s="83"/>
      <c r="K58" s="84"/>
      <c r="L58" s="84"/>
      <c r="M58" s="84"/>
      <c r="N58" s="84"/>
      <c r="O58" s="85"/>
      <c r="P58" s="22"/>
      <c r="Q58" s="22"/>
      <c r="R58" s="22"/>
      <c r="S58" s="22"/>
    </row>
    <row r="59" spans="1:19" ht="18" customHeight="1" x14ac:dyDescent="0.15">
      <c r="A59" s="3"/>
      <c r="B59" s="86"/>
      <c r="C59" s="87"/>
      <c r="D59" s="87"/>
      <c r="E59" s="88"/>
      <c r="F59" s="23"/>
      <c r="G59" s="23"/>
      <c r="H59" s="23"/>
      <c r="I59" s="23"/>
      <c r="J59" s="86"/>
      <c r="K59" s="87"/>
      <c r="L59" s="87"/>
      <c r="M59" s="87"/>
      <c r="N59" s="87"/>
      <c r="O59" s="88"/>
      <c r="P59" s="23"/>
      <c r="Q59" s="23"/>
      <c r="R59" s="23"/>
      <c r="S59" s="23"/>
    </row>
    <row r="60" spans="1:19" ht="18" customHeight="1" x14ac:dyDescent="0.15">
      <c r="A60" s="3"/>
      <c r="B60" s="86"/>
      <c r="C60" s="87"/>
      <c r="D60" s="87"/>
      <c r="E60" s="88"/>
      <c r="F60" s="23"/>
      <c r="G60" s="23"/>
      <c r="H60" s="23"/>
      <c r="I60" s="23"/>
      <c r="J60" s="86"/>
      <c r="K60" s="87"/>
      <c r="L60" s="87"/>
      <c r="M60" s="87"/>
      <c r="N60" s="87"/>
      <c r="O60" s="88"/>
      <c r="P60" s="23"/>
      <c r="Q60" s="23"/>
      <c r="R60" s="23"/>
      <c r="S60" s="23"/>
    </row>
    <row r="61" spans="1:19" ht="18" customHeight="1" x14ac:dyDescent="0.15">
      <c r="A61" s="3"/>
      <c r="B61" s="86"/>
      <c r="C61" s="87"/>
      <c r="D61" s="87"/>
      <c r="E61" s="88"/>
      <c r="F61" s="23"/>
      <c r="G61" s="23"/>
      <c r="H61" s="23"/>
      <c r="I61" s="23"/>
      <c r="J61" s="86"/>
      <c r="K61" s="87"/>
      <c r="L61" s="87"/>
      <c r="M61" s="87"/>
      <c r="N61" s="87"/>
      <c r="O61" s="88"/>
      <c r="P61" s="23"/>
      <c r="Q61" s="23"/>
      <c r="R61" s="23"/>
      <c r="S61" s="23"/>
    </row>
    <row r="62" spans="1:19" ht="18" customHeight="1" x14ac:dyDescent="0.15">
      <c r="A62" s="3"/>
      <c r="B62" s="86"/>
      <c r="C62" s="87"/>
      <c r="D62" s="87"/>
      <c r="E62" s="88"/>
      <c r="F62" s="23"/>
      <c r="G62" s="23"/>
      <c r="H62" s="23"/>
      <c r="I62" s="23"/>
      <c r="J62" s="86"/>
      <c r="K62" s="87"/>
      <c r="L62" s="87"/>
      <c r="M62" s="87"/>
      <c r="N62" s="87"/>
      <c r="O62" s="88"/>
      <c r="P62" s="23"/>
      <c r="Q62" s="23"/>
      <c r="R62" s="23"/>
      <c r="S62" s="23"/>
    </row>
    <row r="63" spans="1:19" ht="18" customHeight="1" x14ac:dyDescent="0.15">
      <c r="A63" s="3"/>
      <c r="B63" s="86"/>
      <c r="C63" s="87"/>
      <c r="D63" s="87"/>
      <c r="E63" s="88"/>
      <c r="F63" s="23"/>
      <c r="G63" s="23"/>
      <c r="H63" s="23"/>
      <c r="I63" s="23"/>
      <c r="J63" s="86"/>
      <c r="K63" s="87"/>
      <c r="L63" s="87"/>
      <c r="M63" s="87"/>
      <c r="N63" s="87"/>
      <c r="O63" s="88"/>
      <c r="P63" s="23"/>
      <c r="Q63" s="23"/>
      <c r="R63" s="23"/>
      <c r="S63" s="23"/>
    </row>
    <row r="64" spans="1:19" ht="18" customHeight="1" x14ac:dyDescent="0.15">
      <c r="A64" s="3"/>
      <c r="B64" s="92"/>
      <c r="C64" s="93"/>
      <c r="D64" s="93"/>
      <c r="E64" s="94"/>
      <c r="F64" s="24"/>
      <c r="G64" s="24"/>
      <c r="H64" s="25"/>
      <c r="I64" s="25"/>
      <c r="J64" s="92"/>
      <c r="K64" s="93"/>
      <c r="L64" s="93"/>
      <c r="M64" s="93"/>
      <c r="N64" s="93"/>
      <c r="O64" s="94"/>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53</v>
      </c>
      <c r="C68" s="90"/>
      <c r="D68" s="90"/>
      <c r="E68" s="60" t="s">
        <v>80</v>
      </c>
      <c r="F68" s="59" t="s">
        <v>84</v>
      </c>
      <c r="G68" s="21" t="s">
        <v>101</v>
      </c>
      <c r="H68" s="21" t="s">
        <v>75</v>
      </c>
      <c r="I68" s="21" t="s">
        <v>76</v>
      </c>
      <c r="J68" s="89" t="s">
        <v>53</v>
      </c>
      <c r="K68" s="90"/>
      <c r="L68" s="90"/>
      <c r="M68" s="90"/>
      <c r="N68" s="91"/>
      <c r="O68" s="60" t="s">
        <v>80</v>
      </c>
      <c r="P68" s="59" t="s">
        <v>84</v>
      </c>
      <c r="Q68" s="21" t="s">
        <v>101</v>
      </c>
      <c r="R68" s="21" t="s">
        <v>75</v>
      </c>
      <c r="S68" s="21" t="s">
        <v>76</v>
      </c>
    </row>
    <row r="69" spans="1:19" ht="18" customHeight="1" x14ac:dyDescent="0.15">
      <c r="A69" s="3"/>
      <c r="B69" s="83" t="s">
        <v>131</v>
      </c>
      <c r="C69" s="84"/>
      <c r="D69" s="85"/>
      <c r="E69" s="22">
        <v>2</v>
      </c>
      <c r="F69" s="22"/>
      <c r="G69" s="22" t="s">
        <v>130</v>
      </c>
      <c r="H69" s="22" t="s">
        <v>130</v>
      </c>
      <c r="I69" s="22" t="s">
        <v>130</v>
      </c>
      <c r="J69" s="83"/>
      <c r="K69" s="84"/>
      <c r="L69" s="84"/>
      <c r="M69" s="84"/>
      <c r="N69" s="85"/>
      <c r="O69" s="22"/>
      <c r="P69" s="22"/>
      <c r="Q69" s="22"/>
      <c r="R69" s="22"/>
      <c r="S69" s="22"/>
    </row>
    <row r="70" spans="1:19" ht="18" customHeight="1" x14ac:dyDescent="0.15">
      <c r="A70" s="3"/>
      <c r="B70" s="86" t="s">
        <v>132</v>
      </c>
      <c r="C70" s="87"/>
      <c r="D70" s="88"/>
      <c r="E70" s="23">
        <v>2</v>
      </c>
      <c r="F70" s="23"/>
      <c r="G70" s="23" t="s">
        <v>130</v>
      </c>
      <c r="H70" s="23" t="s">
        <v>130</v>
      </c>
      <c r="I70" s="23" t="s">
        <v>130</v>
      </c>
      <c r="J70" s="86"/>
      <c r="K70" s="87"/>
      <c r="L70" s="87"/>
      <c r="M70" s="87"/>
      <c r="N70" s="88"/>
      <c r="O70" s="23"/>
      <c r="P70" s="23"/>
      <c r="Q70" s="23"/>
      <c r="R70" s="23"/>
      <c r="S70" s="23"/>
    </row>
    <row r="71" spans="1:19" ht="18" customHeight="1" x14ac:dyDescent="0.15">
      <c r="A71" s="3"/>
      <c r="B71" s="86" t="s">
        <v>133</v>
      </c>
      <c r="C71" s="87"/>
      <c r="D71" s="88"/>
      <c r="E71" s="23">
        <v>2</v>
      </c>
      <c r="F71" s="23"/>
      <c r="G71" s="23" t="s">
        <v>130</v>
      </c>
      <c r="H71" s="23" t="s">
        <v>130</v>
      </c>
      <c r="I71" s="23" t="s">
        <v>130</v>
      </c>
      <c r="J71" s="86"/>
      <c r="K71" s="87"/>
      <c r="L71" s="87"/>
      <c r="M71" s="87"/>
      <c r="N71" s="88"/>
      <c r="O71" s="23"/>
      <c r="P71" s="23"/>
      <c r="Q71" s="23"/>
      <c r="R71" s="23"/>
      <c r="S71" s="23"/>
    </row>
    <row r="72" spans="1:19" ht="18" customHeight="1" x14ac:dyDescent="0.15">
      <c r="A72" s="3"/>
      <c r="B72" s="86"/>
      <c r="C72" s="87"/>
      <c r="D72" s="87"/>
      <c r="E72" s="23"/>
      <c r="F72" s="23"/>
      <c r="G72" s="23"/>
      <c r="H72" s="23"/>
      <c r="I72" s="23"/>
      <c r="J72" s="86"/>
      <c r="K72" s="87"/>
      <c r="L72" s="87"/>
      <c r="M72" s="87"/>
      <c r="N72" s="88"/>
      <c r="O72" s="23"/>
      <c r="P72" s="23"/>
      <c r="Q72" s="23"/>
      <c r="R72" s="23"/>
      <c r="S72" s="23"/>
    </row>
    <row r="73" spans="1:19" ht="18" customHeight="1" x14ac:dyDescent="0.15">
      <c r="A73" s="3"/>
      <c r="B73" s="86"/>
      <c r="C73" s="87"/>
      <c r="D73" s="87"/>
      <c r="E73" s="23"/>
      <c r="F73" s="23"/>
      <c r="G73" s="23"/>
      <c r="H73" s="23"/>
      <c r="I73" s="23"/>
      <c r="J73" s="86"/>
      <c r="K73" s="87"/>
      <c r="L73" s="87"/>
      <c r="M73" s="87"/>
      <c r="N73" s="88"/>
      <c r="O73" s="23"/>
      <c r="P73" s="23"/>
      <c r="Q73" s="23"/>
      <c r="R73" s="23"/>
      <c r="S73" s="23"/>
    </row>
    <row r="74" spans="1:19" ht="18" customHeight="1" x14ac:dyDescent="0.15">
      <c r="A74" s="3"/>
      <c r="B74" s="86"/>
      <c r="C74" s="87"/>
      <c r="D74" s="87"/>
      <c r="E74" s="23"/>
      <c r="F74" s="23"/>
      <c r="G74" s="23"/>
      <c r="H74" s="23"/>
      <c r="I74" s="23"/>
      <c r="J74" s="86"/>
      <c r="K74" s="87"/>
      <c r="L74" s="87"/>
      <c r="M74" s="87"/>
      <c r="N74" s="88"/>
      <c r="O74" s="23"/>
      <c r="P74" s="23"/>
      <c r="Q74" s="23"/>
      <c r="R74" s="23"/>
      <c r="S74" s="23"/>
    </row>
    <row r="75" spans="1:19" ht="18" customHeight="1" x14ac:dyDescent="0.15">
      <c r="A75" s="3"/>
      <c r="B75" s="92"/>
      <c r="C75" s="93"/>
      <c r="D75" s="93"/>
      <c r="E75" s="24"/>
      <c r="F75" s="24"/>
      <c r="G75" s="25"/>
      <c r="H75" s="25"/>
      <c r="I75" s="25"/>
      <c r="J75" s="92"/>
      <c r="K75" s="93"/>
      <c r="L75" s="93"/>
      <c r="M75" s="93"/>
      <c r="N75" s="94"/>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89" t="s">
        <v>53</v>
      </c>
      <c r="C78" s="90"/>
      <c r="D78" s="90"/>
      <c r="E78" s="91"/>
      <c r="F78" s="89" t="s">
        <v>82</v>
      </c>
      <c r="G78" s="90"/>
      <c r="H78" s="90"/>
      <c r="I78" s="91"/>
      <c r="J78" s="117" t="s">
        <v>53</v>
      </c>
      <c r="K78" s="118"/>
      <c r="L78" s="118"/>
      <c r="M78" s="118"/>
      <c r="N78" s="118"/>
      <c r="O78" s="119"/>
      <c r="P78" s="89" t="s">
        <v>82</v>
      </c>
      <c r="Q78" s="90"/>
      <c r="R78" s="90"/>
      <c r="S78" s="91"/>
    </row>
    <row r="79" spans="1:19" ht="18" customHeight="1" x14ac:dyDescent="0.15">
      <c r="A79" s="3"/>
      <c r="B79" s="83"/>
      <c r="C79" s="84"/>
      <c r="D79" s="84"/>
      <c r="E79" s="85"/>
      <c r="F79" s="111"/>
      <c r="G79" s="112"/>
      <c r="H79" s="112"/>
      <c r="I79" s="113"/>
      <c r="J79" s="83"/>
      <c r="K79" s="84"/>
      <c r="L79" s="84"/>
      <c r="M79" s="84"/>
      <c r="N79" s="84"/>
      <c r="O79" s="85"/>
      <c r="P79" s="111"/>
      <c r="Q79" s="112"/>
      <c r="R79" s="112"/>
      <c r="S79" s="113"/>
    </row>
    <row r="80" spans="1:19" ht="18" customHeight="1" x14ac:dyDescent="0.15">
      <c r="A80" s="3"/>
      <c r="B80" s="86"/>
      <c r="C80" s="87"/>
      <c r="D80" s="87"/>
      <c r="E80" s="88"/>
      <c r="F80" s="114"/>
      <c r="G80" s="115"/>
      <c r="H80" s="115"/>
      <c r="I80" s="116"/>
      <c r="J80" s="86"/>
      <c r="K80" s="87"/>
      <c r="L80" s="87"/>
      <c r="M80" s="87"/>
      <c r="N80" s="87"/>
      <c r="O80" s="88"/>
      <c r="P80" s="114"/>
      <c r="Q80" s="115"/>
      <c r="R80" s="115"/>
      <c r="S80" s="116"/>
    </row>
    <row r="81" spans="1:19" ht="18" customHeight="1" x14ac:dyDescent="0.15">
      <c r="A81" s="3"/>
      <c r="B81" s="86"/>
      <c r="C81" s="87"/>
      <c r="D81" s="87"/>
      <c r="E81" s="88"/>
      <c r="F81" s="114"/>
      <c r="G81" s="115"/>
      <c r="H81" s="115"/>
      <c r="I81" s="116"/>
      <c r="J81" s="86"/>
      <c r="K81" s="87"/>
      <c r="L81" s="87"/>
      <c r="M81" s="87"/>
      <c r="N81" s="87"/>
      <c r="O81" s="88"/>
      <c r="P81" s="114"/>
      <c r="Q81" s="115"/>
      <c r="R81" s="115"/>
      <c r="S81" s="116"/>
    </row>
    <row r="82" spans="1:19" ht="18" customHeight="1" x14ac:dyDescent="0.15">
      <c r="A82" s="3"/>
      <c r="B82" s="86"/>
      <c r="C82" s="87"/>
      <c r="D82" s="87"/>
      <c r="E82" s="88"/>
      <c r="F82" s="114"/>
      <c r="G82" s="115"/>
      <c r="H82" s="115"/>
      <c r="I82" s="116"/>
      <c r="J82" s="86"/>
      <c r="K82" s="87"/>
      <c r="L82" s="87"/>
      <c r="M82" s="87"/>
      <c r="N82" s="87"/>
      <c r="O82" s="88"/>
      <c r="P82" s="114"/>
      <c r="Q82" s="115"/>
      <c r="R82" s="115"/>
      <c r="S82" s="116"/>
    </row>
    <row r="83" spans="1:19" ht="18" customHeight="1" x14ac:dyDescent="0.15">
      <c r="A83" s="3"/>
      <c r="B83" s="86"/>
      <c r="C83" s="87"/>
      <c r="D83" s="87"/>
      <c r="E83" s="88"/>
      <c r="F83" s="114"/>
      <c r="G83" s="115"/>
      <c r="H83" s="115"/>
      <c r="I83" s="116"/>
      <c r="J83" s="86"/>
      <c r="K83" s="87"/>
      <c r="L83" s="87"/>
      <c r="M83" s="87"/>
      <c r="N83" s="87"/>
      <c r="O83" s="88"/>
      <c r="P83" s="114"/>
      <c r="Q83" s="115"/>
      <c r="R83" s="115"/>
      <c r="S83" s="116"/>
    </row>
    <row r="84" spans="1:19" ht="18" customHeight="1" x14ac:dyDescent="0.15">
      <c r="A84" s="3"/>
      <c r="B84" s="86"/>
      <c r="C84" s="87"/>
      <c r="D84" s="87"/>
      <c r="E84" s="88"/>
      <c r="F84" s="114"/>
      <c r="G84" s="115"/>
      <c r="H84" s="115"/>
      <c r="I84" s="116"/>
      <c r="J84" s="86"/>
      <c r="K84" s="87"/>
      <c r="L84" s="87"/>
      <c r="M84" s="87"/>
      <c r="N84" s="87"/>
      <c r="O84" s="88"/>
      <c r="P84" s="114"/>
      <c r="Q84" s="115"/>
      <c r="R84" s="115"/>
      <c r="S84" s="116"/>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07" t="s">
        <v>54</v>
      </c>
      <c r="C88" s="108"/>
      <c r="D88" s="90" t="s">
        <v>55</v>
      </c>
      <c r="E88" s="90"/>
      <c r="F88" s="90"/>
      <c r="G88" s="90"/>
      <c r="H88" s="90"/>
      <c r="I88" s="90"/>
      <c r="J88" s="90"/>
      <c r="K88" s="90"/>
      <c r="L88" s="90"/>
      <c r="M88" s="90"/>
      <c r="N88" s="90"/>
      <c r="O88" s="90"/>
      <c r="P88" s="90"/>
      <c r="Q88" s="90"/>
      <c r="R88" s="90"/>
      <c r="S88" s="91"/>
    </row>
    <row r="89" spans="1:19" ht="76.5" customHeight="1" x14ac:dyDescent="0.15">
      <c r="B89" s="96" t="s">
        <v>61</v>
      </c>
      <c r="C89" s="27" t="s">
        <v>56</v>
      </c>
      <c r="D89" s="105" t="s">
        <v>242</v>
      </c>
      <c r="E89" s="109"/>
      <c r="F89" s="109"/>
      <c r="G89" s="109"/>
      <c r="H89" s="109"/>
      <c r="I89" s="109"/>
      <c r="J89" s="109"/>
      <c r="K89" s="109"/>
      <c r="L89" s="109"/>
      <c r="M89" s="109"/>
      <c r="N89" s="109"/>
      <c r="O89" s="109"/>
      <c r="P89" s="109"/>
      <c r="Q89" s="109"/>
      <c r="R89" s="109"/>
      <c r="S89" s="110"/>
    </row>
    <row r="90" spans="1:19" ht="67.5" customHeight="1" x14ac:dyDescent="0.15">
      <c r="B90" s="97"/>
      <c r="C90" s="28" t="s">
        <v>77</v>
      </c>
      <c r="D90" s="123" t="s">
        <v>243</v>
      </c>
      <c r="E90" s="123"/>
      <c r="F90" s="123"/>
      <c r="G90" s="123"/>
      <c r="H90" s="123"/>
      <c r="I90" s="123"/>
      <c r="J90" s="123"/>
      <c r="K90" s="123"/>
      <c r="L90" s="123"/>
      <c r="M90" s="123"/>
      <c r="N90" s="123"/>
      <c r="O90" s="123"/>
      <c r="P90" s="123"/>
      <c r="Q90" s="123"/>
      <c r="R90" s="123"/>
      <c r="S90" s="124"/>
    </row>
    <row r="91" spans="1:19" ht="193.5" customHeight="1" x14ac:dyDescent="0.15">
      <c r="B91" s="96" t="s">
        <v>62</v>
      </c>
      <c r="C91" s="29" t="s">
        <v>71</v>
      </c>
      <c r="D91" s="125" t="s">
        <v>270</v>
      </c>
      <c r="E91" s="125"/>
      <c r="F91" s="125"/>
      <c r="G91" s="125"/>
      <c r="H91" s="125"/>
      <c r="I91" s="125"/>
      <c r="J91" s="125"/>
      <c r="K91" s="125"/>
      <c r="L91" s="125"/>
      <c r="M91" s="125"/>
      <c r="N91" s="125"/>
      <c r="O91" s="125"/>
      <c r="P91" s="125"/>
      <c r="Q91" s="125"/>
      <c r="R91" s="125"/>
      <c r="S91" s="160"/>
    </row>
    <row r="92" spans="1:19" ht="210" customHeight="1" x14ac:dyDescent="0.15">
      <c r="B92" s="98"/>
      <c r="C92" s="30" t="s">
        <v>72</v>
      </c>
      <c r="D92" s="130" t="s">
        <v>271</v>
      </c>
      <c r="E92" s="130"/>
      <c r="F92" s="130"/>
      <c r="G92" s="130"/>
      <c r="H92" s="130"/>
      <c r="I92" s="130"/>
      <c r="J92" s="130"/>
      <c r="K92" s="130"/>
      <c r="L92" s="130"/>
      <c r="M92" s="130"/>
      <c r="N92" s="130"/>
      <c r="O92" s="130"/>
      <c r="P92" s="130"/>
      <c r="Q92" s="130"/>
      <c r="R92" s="130"/>
      <c r="S92" s="133"/>
    </row>
    <row r="93" spans="1:19" ht="78.75" customHeight="1" x14ac:dyDescent="0.15">
      <c r="B93" s="96" t="s">
        <v>63</v>
      </c>
      <c r="C93" s="29" t="s">
        <v>73</v>
      </c>
      <c r="D93" s="125" t="s">
        <v>229</v>
      </c>
      <c r="E93" s="126"/>
      <c r="F93" s="126"/>
      <c r="G93" s="126"/>
      <c r="H93" s="126"/>
      <c r="I93" s="126"/>
      <c r="J93" s="126"/>
      <c r="K93" s="126"/>
      <c r="L93" s="126"/>
      <c r="M93" s="126"/>
      <c r="N93" s="126"/>
      <c r="O93" s="126"/>
      <c r="P93" s="126"/>
      <c r="Q93" s="126"/>
      <c r="R93" s="126"/>
      <c r="S93" s="127"/>
    </row>
    <row r="94" spans="1:19" ht="59.25" customHeight="1" x14ac:dyDescent="0.15">
      <c r="B94" s="98"/>
      <c r="C94" s="31" t="s">
        <v>74</v>
      </c>
      <c r="D94" s="128" t="s">
        <v>246</v>
      </c>
      <c r="E94" s="128"/>
      <c r="F94" s="128"/>
      <c r="G94" s="128"/>
      <c r="H94" s="128"/>
      <c r="I94" s="128"/>
      <c r="J94" s="128"/>
      <c r="K94" s="128"/>
      <c r="L94" s="128"/>
      <c r="M94" s="128"/>
      <c r="N94" s="128"/>
      <c r="O94" s="128"/>
      <c r="P94" s="128"/>
      <c r="Q94" s="128"/>
      <c r="R94" s="128"/>
      <c r="S94" s="129"/>
    </row>
    <row r="95" spans="1:19" ht="97.5" customHeight="1" x14ac:dyDescent="0.15">
      <c r="B95" s="96" t="s">
        <v>78</v>
      </c>
      <c r="C95" s="27" t="s">
        <v>58</v>
      </c>
      <c r="D95" s="105" t="s">
        <v>247</v>
      </c>
      <c r="E95" s="105"/>
      <c r="F95" s="105"/>
      <c r="G95" s="105"/>
      <c r="H95" s="105"/>
      <c r="I95" s="105"/>
      <c r="J95" s="105"/>
      <c r="K95" s="105"/>
      <c r="L95" s="105"/>
      <c r="M95" s="105"/>
      <c r="N95" s="105"/>
      <c r="O95" s="105"/>
      <c r="P95" s="105"/>
      <c r="Q95" s="105"/>
      <c r="R95" s="105"/>
      <c r="S95" s="106"/>
    </row>
    <row r="96" spans="1:19" ht="97.5" customHeight="1" x14ac:dyDescent="0.15">
      <c r="B96" s="98"/>
      <c r="C96" s="30" t="s">
        <v>60</v>
      </c>
      <c r="D96" s="130" t="s">
        <v>272</v>
      </c>
      <c r="E96" s="130"/>
      <c r="F96" s="130"/>
      <c r="G96" s="130"/>
      <c r="H96" s="130"/>
      <c r="I96" s="130"/>
      <c r="J96" s="130"/>
      <c r="K96" s="130"/>
      <c r="L96" s="130"/>
      <c r="M96" s="130"/>
      <c r="N96" s="130"/>
      <c r="O96" s="130"/>
      <c r="P96" s="130"/>
      <c r="Q96" s="130"/>
      <c r="R96" s="130"/>
      <c r="S96" s="133"/>
    </row>
    <row r="97" spans="1:19" ht="267" customHeight="1" x14ac:dyDescent="0.15">
      <c r="B97" s="96" t="s">
        <v>79</v>
      </c>
      <c r="C97" s="29" t="s">
        <v>57</v>
      </c>
      <c r="D97" s="100" t="s">
        <v>248</v>
      </c>
      <c r="E97" s="100"/>
      <c r="F97" s="100"/>
      <c r="G97" s="100"/>
      <c r="H97" s="100"/>
      <c r="I97" s="100"/>
      <c r="J97" s="100"/>
      <c r="K97" s="100"/>
      <c r="L97" s="100"/>
      <c r="M97" s="100"/>
      <c r="N97" s="100"/>
      <c r="O97" s="100"/>
      <c r="P97" s="100"/>
      <c r="Q97" s="100"/>
      <c r="R97" s="100"/>
      <c r="S97" s="101"/>
    </row>
    <row r="98" spans="1:19" ht="267" customHeight="1" x14ac:dyDescent="0.15">
      <c r="B98" s="97"/>
      <c r="C98" s="32" t="s">
        <v>75</v>
      </c>
      <c r="D98" s="100" t="s">
        <v>249</v>
      </c>
      <c r="E98" s="100"/>
      <c r="F98" s="100"/>
      <c r="G98" s="100"/>
      <c r="H98" s="100"/>
      <c r="I98" s="100"/>
      <c r="J98" s="100"/>
      <c r="K98" s="100"/>
      <c r="L98" s="100"/>
      <c r="M98" s="100"/>
      <c r="N98" s="100"/>
      <c r="O98" s="100"/>
      <c r="P98" s="100"/>
      <c r="Q98" s="100"/>
      <c r="R98" s="100"/>
      <c r="S98" s="101"/>
    </row>
    <row r="99" spans="1:19" ht="236.1" customHeight="1" x14ac:dyDescent="0.15">
      <c r="B99" s="98"/>
      <c r="C99" s="31" t="s">
        <v>76</v>
      </c>
      <c r="D99" s="102" t="s">
        <v>250</v>
      </c>
      <c r="E99" s="103"/>
      <c r="F99" s="103"/>
      <c r="G99" s="103"/>
      <c r="H99" s="103"/>
      <c r="I99" s="103"/>
      <c r="J99" s="103"/>
      <c r="K99" s="103"/>
      <c r="L99" s="103"/>
      <c r="M99" s="103"/>
      <c r="N99" s="103"/>
      <c r="O99" s="103"/>
      <c r="P99" s="103"/>
      <c r="Q99" s="103"/>
      <c r="R99" s="103"/>
      <c r="S99" s="104"/>
    </row>
    <row r="100" spans="1:19" ht="6" customHeight="1" x14ac:dyDescent="0.15">
      <c r="D100" s="167"/>
      <c r="E100" s="167"/>
      <c r="F100" s="167"/>
      <c r="G100" s="167"/>
      <c r="H100" s="167"/>
      <c r="I100" s="167"/>
      <c r="J100" s="167"/>
      <c r="K100" s="167"/>
      <c r="L100" s="167"/>
      <c r="M100" s="167"/>
      <c r="N100" s="167"/>
      <c r="O100" s="167"/>
      <c r="P100" s="167"/>
      <c r="Q100" s="167"/>
      <c r="R100" s="167"/>
      <c r="S100" s="168"/>
    </row>
    <row r="101" spans="1:19" ht="18.75" customHeight="1" x14ac:dyDescent="0.15">
      <c r="A101" s="1" t="s">
        <v>120</v>
      </c>
      <c r="D101" s="82"/>
      <c r="E101" s="82"/>
      <c r="F101" s="82"/>
      <c r="G101" s="82"/>
      <c r="H101" s="82"/>
      <c r="I101" s="82"/>
      <c r="J101" s="82"/>
      <c r="K101" s="82"/>
      <c r="L101" s="82"/>
      <c r="M101" s="82"/>
      <c r="N101" s="82"/>
      <c r="O101" s="82"/>
      <c r="P101" s="82"/>
      <c r="Q101" s="82"/>
      <c r="R101" s="82"/>
      <c r="S101" s="82"/>
    </row>
    <row r="102" spans="1:19" ht="81.75" customHeight="1" x14ac:dyDescent="0.15">
      <c r="B102" s="102" t="s">
        <v>134</v>
      </c>
      <c r="C102" s="103"/>
      <c r="D102" s="103"/>
      <c r="E102" s="103"/>
      <c r="F102" s="103"/>
      <c r="G102" s="103"/>
      <c r="H102" s="103"/>
      <c r="I102" s="103"/>
      <c r="J102" s="103"/>
      <c r="K102" s="103"/>
      <c r="L102" s="103"/>
      <c r="M102" s="103"/>
      <c r="N102" s="103"/>
      <c r="O102" s="103"/>
      <c r="P102" s="103"/>
      <c r="Q102" s="103"/>
      <c r="R102" s="103"/>
      <c r="S102" s="104"/>
    </row>
    <row r="110" spans="1:19" ht="18" customHeight="1" x14ac:dyDescent="0.15"/>
  </sheetData>
  <customSheetViews>
    <customSheetView guid="{1C325414-5A0C-4C59-BA24-A8E2B4EC5171}" scale="85" showPageBreaks="1" zeroValues="0" fitToPage="1" printArea="1" hiddenColumns="1" view="pageBreakPreview" topLeftCell="A94">
      <selection activeCell="D97" sqref="D97:S97"/>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76C3A8B2-43E5-4491-B38D-7D6417DC209B}" scale="85" showPageBreaks="1" zeroValues="0" fitToPage="1" printArea="1" hiddenColumns="1" view="pageBreakPreview" topLeftCell="A85">
      <selection activeCell="E6" sqref="E6"/>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 guid="{D1FD8C4C-CF69-45DF-A007-1EC45F0F0601}" scale="85" showPageBreaks="1" zeroValues="0" fitToPage="1" printArea="1" hiddenColumns="1" view="pageBreakPreview" topLeftCell="A85">
      <selection activeCell="E6" sqref="E6"/>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4" fitToHeight="0" orientation="portrait" r:id="rId3"/>
      <headerFooter>
        <oddHeader>&amp;C数理・データサイエンス・AI教育プログラム認定制度【リテラシーレベル】</oddHeader>
      </headerFooter>
    </customSheetView>
    <customSheetView guid="{B3C66A88-0371-48C7-9AE2-6606C7EDAAFC}" scale="85" showPageBreaks="1" zeroValues="0" fitToPage="1" printArea="1" hiddenColumns="1" view="pageBreakPreview" topLeftCell="A85">
      <selection activeCell="E6" sqref="E6"/>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4"/>
      <headerFooter>
        <oddHeader>&amp;C数理・データサイエンス・AI教育プログラム認定制度【リテラシーレベル】</oddHeader>
      </headerFooter>
    </customSheetView>
  </customSheetViews>
  <mergeCells count="146">
    <mergeCell ref="B97:B99"/>
    <mergeCell ref="D97:S97"/>
    <mergeCell ref="D98:S98"/>
    <mergeCell ref="D99:S99"/>
    <mergeCell ref="B102:S102"/>
    <mergeCell ref="B93:B94"/>
    <mergeCell ref="D93:S93"/>
    <mergeCell ref="D94:S94"/>
    <mergeCell ref="B95:B96"/>
    <mergeCell ref="D95:S95"/>
    <mergeCell ref="D96:S96"/>
    <mergeCell ref="D100:S100"/>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4" priority="1">
      <formula>$K$7="学部・学科によって、修了要件は相違しない"</formula>
    </cfRule>
  </conditionalFormatting>
  <dataValidations count="5">
    <dataValidation type="list" allowBlank="1" showInputMessage="1" showErrorMessage="1" sqref="G25:I31 Q25:S31 G36:I42 Q36:S42 P69:S75 Q47:S53 G47:I53 Q58:S64 G58:I64 F69:I75" xr:uid="{F4614FAF-9321-465E-947F-037EE51D6DC4}">
      <formula1>"○"</formula1>
    </dataValidation>
    <dataValidation type="list" allowBlank="1" showInputMessage="1" showErrorMessage="1" sqref="S32 S43 D32:G32 D43:G43" xr:uid="{E04A55F3-9A08-439A-9B1D-46E568E9B1FD}">
      <formula1>"全学開講,一部開講"</formula1>
    </dataValidation>
    <dataValidation type="list" allowBlank="1" showInputMessage="1" showErrorMessage="1" sqref="K7 K12" xr:uid="{015BCFA0-E656-41CF-B559-9B3084055A00}">
      <formula1>"学部・学科によって、修了要件は相違する,学部・学科によって、修了要件は相違しない"</formula1>
    </dataValidation>
    <dataValidation type="list" allowBlank="1" showInputMessage="1" showErrorMessage="1" sqref="F79:F86 P79:P86 G79:I80 G83:I86 Q83:S86 Q79:S80" xr:uid="{A62C093D-DFAC-40D7-86ED-C648F845E46C}">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2A023E6E-A673-4D77-98E4-B5758B0E909F}">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5"/>
  <headerFooter>
    <oddHeader>&amp;C数理・データサイエンス・AI教育プログラム認定制度【リテラシーレベル】</oddHeader>
  </headerFooter>
  <rowBreaks count="2" manualBreakCount="2">
    <brk id="65" max="18" man="1"/>
    <brk id="94" max="18"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7A883-81E9-4829-8A32-D82CBE7ECA11}">
  <sheetPr>
    <pageSetUpPr fitToPage="1"/>
  </sheetPr>
  <dimension ref="A1:V110"/>
  <sheetViews>
    <sheetView showZeros="0" view="pageBreakPreview" topLeftCell="A94" zoomScale="85" zoomScaleNormal="100" zoomScaleSheetLayoutView="85" workbookViewId="0">
      <selection activeCell="Z97" sqref="Z97"/>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185</v>
      </c>
      <c r="S1" s="134"/>
      <c r="T1" s="2" t="s">
        <v>109</v>
      </c>
    </row>
    <row r="2" spans="1:22" ht="18.75" customHeight="1" x14ac:dyDescent="0.15">
      <c r="B2" s="33" t="s">
        <v>108</v>
      </c>
      <c r="C2" s="89" t="s">
        <v>126</v>
      </c>
      <c r="D2" s="90"/>
      <c r="E2" s="90"/>
      <c r="F2" s="90"/>
      <c r="G2" s="90"/>
      <c r="H2" s="90"/>
      <c r="I2" s="91"/>
      <c r="J2" s="34"/>
      <c r="K2" s="6"/>
      <c r="L2" s="6"/>
      <c r="M2" s="6"/>
      <c r="N2" s="6"/>
      <c r="O2" s="6"/>
      <c r="P2" s="6"/>
      <c r="Q2" s="6"/>
      <c r="R2" s="6"/>
      <c r="S2" s="6"/>
    </row>
    <row r="3" spans="1:22" ht="18.75" customHeight="1" x14ac:dyDescent="0.15">
      <c r="B3" s="33" t="s">
        <v>102</v>
      </c>
      <c r="C3" s="138" t="s">
        <v>127</v>
      </c>
      <c r="D3" s="139"/>
      <c r="E3" s="139"/>
      <c r="F3" s="139"/>
      <c r="G3" s="139"/>
      <c r="H3" s="139"/>
      <c r="I3" s="14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41" t="s">
        <v>38</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51" t="s">
        <v>128</v>
      </c>
      <c r="L7" s="152"/>
      <c r="M7" s="152"/>
      <c r="N7" s="152"/>
      <c r="O7" s="152"/>
      <c r="P7" s="152"/>
      <c r="Q7" s="152"/>
      <c r="R7" s="152"/>
      <c r="S7" s="15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4" t="s">
        <v>186</v>
      </c>
      <c r="C9" s="155"/>
      <c r="D9" s="155"/>
      <c r="E9" s="155"/>
      <c r="F9" s="155"/>
      <c r="G9" s="155"/>
      <c r="H9" s="155"/>
      <c r="I9" s="155"/>
      <c r="J9" s="155"/>
      <c r="K9" s="155"/>
      <c r="L9" s="155"/>
      <c r="M9" s="155"/>
      <c r="N9" s="155"/>
      <c r="O9" s="155"/>
      <c r="P9" s="155"/>
      <c r="Q9" s="155"/>
      <c r="R9" s="155"/>
      <c r="S9" s="156"/>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42" t="s">
        <v>161</v>
      </c>
      <c r="C13" s="143"/>
      <c r="D13" s="143"/>
      <c r="E13" s="143"/>
      <c r="F13" s="143"/>
      <c r="G13" s="143"/>
      <c r="H13" s="143"/>
      <c r="I13" s="143"/>
      <c r="J13" s="143"/>
      <c r="K13" s="143"/>
      <c r="L13" s="143"/>
      <c r="M13" s="143"/>
      <c r="N13" s="143"/>
      <c r="O13" s="143"/>
      <c r="P13" s="143"/>
      <c r="Q13" s="143"/>
      <c r="R13" s="143"/>
      <c r="S13" s="144"/>
      <c r="V13" s="1" t="s">
        <v>103</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110</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123</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125</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89">
        <v>6</v>
      </c>
      <c r="D20" s="91"/>
      <c r="E20" s="39" t="s">
        <v>95</v>
      </c>
      <c r="G20" s="9"/>
      <c r="H20" s="3"/>
      <c r="I20" s="3"/>
      <c r="J20" s="34" t="s">
        <v>121</v>
      </c>
      <c r="K20" s="135" t="s">
        <v>125</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53</v>
      </c>
      <c r="C24" s="90"/>
      <c r="D24" s="90"/>
      <c r="E24" s="91"/>
      <c r="F24" s="60" t="s">
        <v>80</v>
      </c>
      <c r="G24" s="59" t="s">
        <v>84</v>
      </c>
      <c r="H24" s="21" t="s">
        <v>56</v>
      </c>
      <c r="I24" s="21" t="s">
        <v>59</v>
      </c>
      <c r="J24" s="89" t="s">
        <v>53</v>
      </c>
      <c r="K24" s="90"/>
      <c r="L24" s="90"/>
      <c r="M24" s="90"/>
      <c r="N24" s="90"/>
      <c r="O24" s="91"/>
      <c r="P24" s="60" t="s">
        <v>80</v>
      </c>
      <c r="Q24" s="59" t="s">
        <v>84</v>
      </c>
      <c r="R24" s="21" t="s">
        <v>56</v>
      </c>
      <c r="S24" s="21" t="s">
        <v>59</v>
      </c>
    </row>
    <row r="25" spans="1:19" ht="18" customHeight="1" x14ac:dyDescent="0.15">
      <c r="B25" s="83" t="s">
        <v>129</v>
      </c>
      <c r="C25" s="84"/>
      <c r="D25" s="84"/>
      <c r="E25" s="85"/>
      <c r="F25" s="22">
        <v>2</v>
      </c>
      <c r="G25" s="22" t="s">
        <v>130</v>
      </c>
      <c r="H25" s="22" t="s">
        <v>130</v>
      </c>
      <c r="I25" s="22" t="s">
        <v>130</v>
      </c>
      <c r="J25" s="83"/>
      <c r="K25" s="84"/>
      <c r="L25" s="84"/>
      <c r="M25" s="84"/>
      <c r="N25" s="84"/>
      <c r="O25" s="85"/>
      <c r="P25" s="22"/>
      <c r="Q25" s="22"/>
      <c r="R25" s="22"/>
      <c r="S25" s="22"/>
    </row>
    <row r="26" spans="1:19" ht="18" customHeight="1" x14ac:dyDescent="0.15">
      <c r="B26" s="86"/>
      <c r="C26" s="87"/>
      <c r="D26" s="87"/>
      <c r="E26" s="88"/>
      <c r="F26" s="23"/>
      <c r="G26" s="23"/>
      <c r="H26" s="23"/>
      <c r="I26" s="23"/>
      <c r="J26" s="86"/>
      <c r="K26" s="87"/>
      <c r="L26" s="87"/>
      <c r="M26" s="87"/>
      <c r="N26" s="87"/>
      <c r="O26" s="88"/>
      <c r="P26" s="23"/>
      <c r="Q26" s="23"/>
      <c r="R26" s="23"/>
      <c r="S26" s="23"/>
    </row>
    <row r="27" spans="1:19" ht="18" customHeight="1" x14ac:dyDescent="0.15">
      <c r="B27" s="86"/>
      <c r="C27" s="87"/>
      <c r="D27" s="87"/>
      <c r="E27" s="88"/>
      <c r="F27" s="23"/>
      <c r="G27" s="23"/>
      <c r="H27" s="23"/>
      <c r="I27" s="23"/>
      <c r="J27" s="86"/>
      <c r="K27" s="87"/>
      <c r="L27" s="87"/>
      <c r="M27" s="87"/>
      <c r="N27" s="87"/>
      <c r="O27" s="88"/>
      <c r="P27" s="23"/>
      <c r="Q27" s="23"/>
      <c r="R27" s="23"/>
      <c r="S27" s="23"/>
    </row>
    <row r="28" spans="1:19" ht="18" customHeight="1" x14ac:dyDescent="0.15">
      <c r="B28" s="86"/>
      <c r="C28" s="87"/>
      <c r="D28" s="87"/>
      <c r="E28" s="88"/>
      <c r="F28" s="23"/>
      <c r="G28" s="23"/>
      <c r="H28" s="23"/>
      <c r="I28" s="23"/>
      <c r="J28" s="86"/>
      <c r="K28" s="87"/>
      <c r="L28" s="87"/>
      <c r="M28" s="87"/>
      <c r="N28" s="87"/>
      <c r="O28" s="88"/>
      <c r="P28" s="23"/>
      <c r="Q28" s="23"/>
      <c r="R28" s="23"/>
      <c r="S28" s="23"/>
    </row>
    <row r="29" spans="1:19" ht="18" customHeight="1" x14ac:dyDescent="0.15">
      <c r="B29" s="86"/>
      <c r="C29" s="87"/>
      <c r="D29" s="87"/>
      <c r="E29" s="88"/>
      <c r="F29" s="23"/>
      <c r="G29" s="23"/>
      <c r="H29" s="23"/>
      <c r="I29" s="23"/>
      <c r="J29" s="86"/>
      <c r="K29" s="87"/>
      <c r="L29" s="87"/>
      <c r="M29" s="87"/>
      <c r="N29" s="87"/>
      <c r="O29" s="88"/>
      <c r="P29" s="23"/>
      <c r="Q29" s="23"/>
      <c r="R29" s="23"/>
      <c r="S29" s="23"/>
    </row>
    <row r="30" spans="1:19" ht="18" customHeight="1" x14ac:dyDescent="0.15">
      <c r="A30" s="3"/>
      <c r="B30" s="86"/>
      <c r="C30" s="87"/>
      <c r="D30" s="87"/>
      <c r="E30" s="88"/>
      <c r="F30" s="23"/>
      <c r="G30" s="23"/>
      <c r="H30" s="23"/>
      <c r="I30" s="23"/>
      <c r="J30" s="86"/>
      <c r="K30" s="87"/>
      <c r="L30" s="87"/>
      <c r="M30" s="87"/>
      <c r="N30" s="87"/>
      <c r="O30" s="88"/>
      <c r="P30" s="23"/>
      <c r="Q30" s="23"/>
      <c r="R30" s="23"/>
      <c r="S30" s="23"/>
    </row>
    <row r="31" spans="1:19" ht="18" customHeight="1" x14ac:dyDescent="0.15">
      <c r="A31" s="3"/>
      <c r="B31" s="92"/>
      <c r="C31" s="93"/>
      <c r="D31" s="93"/>
      <c r="E31" s="94"/>
      <c r="F31" s="24"/>
      <c r="G31" s="24"/>
      <c r="H31" s="25"/>
      <c r="I31" s="25"/>
      <c r="J31" s="92"/>
      <c r="K31" s="93"/>
      <c r="L31" s="93"/>
      <c r="M31" s="93"/>
      <c r="N31" s="93"/>
      <c r="O31" s="94"/>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53</v>
      </c>
      <c r="C35" s="90"/>
      <c r="D35" s="90"/>
      <c r="E35" s="91"/>
      <c r="F35" s="60" t="s">
        <v>80</v>
      </c>
      <c r="G35" s="59" t="s">
        <v>84</v>
      </c>
      <c r="H35" s="21" t="s">
        <v>71</v>
      </c>
      <c r="I35" s="21" t="s">
        <v>72</v>
      </c>
      <c r="J35" s="89" t="s">
        <v>53</v>
      </c>
      <c r="K35" s="90"/>
      <c r="L35" s="90"/>
      <c r="M35" s="90"/>
      <c r="N35" s="90"/>
      <c r="O35" s="91"/>
      <c r="P35" s="60" t="s">
        <v>80</v>
      </c>
      <c r="Q35" s="59" t="s">
        <v>84</v>
      </c>
      <c r="R35" s="21" t="s">
        <v>71</v>
      </c>
      <c r="S35" s="21" t="s">
        <v>72</v>
      </c>
    </row>
    <row r="36" spans="1:19" ht="18" customHeight="1" x14ac:dyDescent="0.15">
      <c r="B36" s="83" t="s">
        <v>187</v>
      </c>
      <c r="C36" s="84"/>
      <c r="D36" s="84"/>
      <c r="E36" s="85"/>
      <c r="F36" s="22">
        <v>2</v>
      </c>
      <c r="G36" s="22"/>
      <c r="H36" s="22" t="s">
        <v>130</v>
      </c>
      <c r="I36" s="22" t="s">
        <v>130</v>
      </c>
      <c r="J36" s="83"/>
      <c r="K36" s="84"/>
      <c r="L36" s="84"/>
      <c r="M36" s="84"/>
      <c r="N36" s="84"/>
      <c r="O36" s="85"/>
      <c r="P36" s="22"/>
      <c r="Q36" s="22"/>
      <c r="R36" s="22"/>
      <c r="S36" s="22"/>
    </row>
    <row r="37" spans="1:19" ht="18" customHeight="1" x14ac:dyDescent="0.15">
      <c r="B37" s="86" t="s">
        <v>188</v>
      </c>
      <c r="C37" s="87"/>
      <c r="D37" s="87"/>
      <c r="E37" s="88"/>
      <c r="F37" s="23">
        <v>2</v>
      </c>
      <c r="G37" s="23"/>
      <c r="H37" s="23" t="s">
        <v>130</v>
      </c>
      <c r="I37" s="23" t="s">
        <v>130</v>
      </c>
      <c r="J37" s="86"/>
      <c r="K37" s="87"/>
      <c r="L37" s="87"/>
      <c r="M37" s="87"/>
      <c r="N37" s="87"/>
      <c r="O37" s="88"/>
      <c r="P37" s="23"/>
      <c r="Q37" s="23"/>
      <c r="R37" s="23"/>
      <c r="S37" s="23"/>
    </row>
    <row r="38" spans="1:19" ht="18" customHeight="1" x14ac:dyDescent="0.15">
      <c r="B38" s="86" t="s">
        <v>189</v>
      </c>
      <c r="C38" s="87"/>
      <c r="D38" s="87"/>
      <c r="E38" s="88"/>
      <c r="F38" s="23">
        <v>2</v>
      </c>
      <c r="G38" s="23"/>
      <c r="H38" s="23" t="s">
        <v>130</v>
      </c>
      <c r="I38" s="23" t="s">
        <v>130</v>
      </c>
      <c r="J38" s="86"/>
      <c r="K38" s="87"/>
      <c r="L38" s="87"/>
      <c r="M38" s="87"/>
      <c r="N38" s="87"/>
      <c r="O38" s="88"/>
      <c r="P38" s="23"/>
      <c r="Q38" s="23"/>
      <c r="R38" s="23"/>
      <c r="S38" s="23"/>
    </row>
    <row r="39" spans="1:19" ht="18" customHeight="1" x14ac:dyDescent="0.15">
      <c r="B39" s="86" t="s">
        <v>190</v>
      </c>
      <c r="C39" s="87"/>
      <c r="D39" s="87"/>
      <c r="E39" s="88"/>
      <c r="F39" s="23">
        <v>2</v>
      </c>
      <c r="G39" s="23"/>
      <c r="H39" s="23" t="s">
        <v>130</v>
      </c>
      <c r="I39" s="23" t="s">
        <v>130</v>
      </c>
      <c r="J39" s="86"/>
      <c r="K39" s="87"/>
      <c r="L39" s="87"/>
      <c r="M39" s="87"/>
      <c r="N39" s="87"/>
      <c r="O39" s="88"/>
      <c r="P39" s="23"/>
      <c r="Q39" s="23"/>
      <c r="R39" s="23"/>
      <c r="S39" s="23"/>
    </row>
    <row r="40" spans="1:19" ht="18" customHeight="1" x14ac:dyDescent="0.15">
      <c r="B40" s="86"/>
      <c r="C40" s="87"/>
      <c r="D40" s="87"/>
      <c r="E40" s="88"/>
      <c r="F40" s="23"/>
      <c r="G40" s="23"/>
      <c r="H40" s="23"/>
      <c r="I40" s="23"/>
      <c r="J40" s="86"/>
      <c r="K40" s="87"/>
      <c r="L40" s="87"/>
      <c r="M40" s="87"/>
      <c r="N40" s="87"/>
      <c r="O40" s="88"/>
      <c r="P40" s="23"/>
      <c r="Q40" s="23"/>
      <c r="R40" s="23"/>
      <c r="S40" s="23"/>
    </row>
    <row r="41" spans="1:19" ht="18" customHeight="1" x14ac:dyDescent="0.15">
      <c r="B41" s="86"/>
      <c r="C41" s="87"/>
      <c r="D41" s="87"/>
      <c r="E41" s="88"/>
      <c r="F41" s="23"/>
      <c r="G41" s="23"/>
      <c r="H41" s="23"/>
      <c r="I41" s="23"/>
      <c r="J41" s="86"/>
      <c r="K41" s="87"/>
      <c r="L41" s="87"/>
      <c r="M41" s="87"/>
      <c r="N41" s="87"/>
      <c r="O41" s="88"/>
      <c r="P41" s="23"/>
      <c r="Q41" s="23"/>
      <c r="R41" s="23"/>
      <c r="S41" s="23"/>
    </row>
    <row r="42" spans="1:19" ht="18" customHeight="1" x14ac:dyDescent="0.15">
      <c r="B42" s="92"/>
      <c r="C42" s="93"/>
      <c r="D42" s="93"/>
      <c r="E42" s="94"/>
      <c r="F42" s="24"/>
      <c r="G42" s="24"/>
      <c r="H42" s="25"/>
      <c r="I42" s="25"/>
      <c r="J42" s="92"/>
      <c r="K42" s="93"/>
      <c r="L42" s="93"/>
      <c r="M42" s="93"/>
      <c r="N42" s="93"/>
      <c r="O42" s="94"/>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53</v>
      </c>
      <c r="C46" s="90"/>
      <c r="D46" s="90"/>
      <c r="E46" s="91"/>
      <c r="F46" s="60" t="s">
        <v>80</v>
      </c>
      <c r="G46" s="59" t="s">
        <v>84</v>
      </c>
      <c r="H46" s="21" t="s">
        <v>73</v>
      </c>
      <c r="I46" s="21" t="s">
        <v>74</v>
      </c>
      <c r="J46" s="89" t="s">
        <v>53</v>
      </c>
      <c r="K46" s="90"/>
      <c r="L46" s="90"/>
      <c r="M46" s="90"/>
      <c r="N46" s="90"/>
      <c r="O46" s="91"/>
      <c r="P46" s="60" t="s">
        <v>80</v>
      </c>
      <c r="Q46" s="59" t="s">
        <v>84</v>
      </c>
      <c r="R46" s="21" t="s">
        <v>73</v>
      </c>
      <c r="S46" s="21" t="s">
        <v>74</v>
      </c>
    </row>
    <row r="47" spans="1:19" ht="18" customHeight="1" x14ac:dyDescent="0.15">
      <c r="A47" s="3"/>
      <c r="B47" s="83" t="s">
        <v>129</v>
      </c>
      <c r="C47" s="84"/>
      <c r="D47" s="84"/>
      <c r="E47" s="85"/>
      <c r="F47" s="22">
        <v>2</v>
      </c>
      <c r="G47" s="22" t="s">
        <v>130</v>
      </c>
      <c r="H47" s="22" t="s">
        <v>130</v>
      </c>
      <c r="I47" s="22" t="s">
        <v>130</v>
      </c>
      <c r="J47" s="83"/>
      <c r="K47" s="84"/>
      <c r="L47" s="84"/>
      <c r="M47" s="84"/>
      <c r="N47" s="84"/>
      <c r="O47" s="85"/>
      <c r="P47" s="22"/>
      <c r="Q47" s="22"/>
      <c r="R47" s="22"/>
      <c r="S47" s="22"/>
    </row>
    <row r="48" spans="1:19" ht="18" customHeight="1" x14ac:dyDescent="0.15">
      <c r="A48" s="3"/>
      <c r="B48" s="86"/>
      <c r="C48" s="87"/>
      <c r="D48" s="87"/>
      <c r="E48" s="88"/>
      <c r="F48" s="23"/>
      <c r="G48" s="23"/>
      <c r="H48" s="23"/>
      <c r="I48" s="23"/>
      <c r="J48" s="86"/>
      <c r="K48" s="87"/>
      <c r="L48" s="87"/>
      <c r="M48" s="87"/>
      <c r="N48" s="87"/>
      <c r="O48" s="88"/>
      <c r="P48" s="23"/>
      <c r="Q48" s="23"/>
      <c r="R48" s="23"/>
      <c r="S48" s="23"/>
    </row>
    <row r="49" spans="1:19" ht="18" customHeight="1" x14ac:dyDescent="0.15">
      <c r="A49" s="3"/>
      <c r="B49" s="86"/>
      <c r="C49" s="87"/>
      <c r="D49" s="87"/>
      <c r="E49" s="88"/>
      <c r="F49" s="23"/>
      <c r="G49" s="23"/>
      <c r="H49" s="23"/>
      <c r="I49" s="23"/>
      <c r="J49" s="86"/>
      <c r="K49" s="87"/>
      <c r="L49" s="87"/>
      <c r="M49" s="87"/>
      <c r="N49" s="87"/>
      <c r="O49" s="88"/>
      <c r="P49" s="23"/>
      <c r="Q49" s="23"/>
      <c r="R49" s="23"/>
      <c r="S49" s="23"/>
    </row>
    <row r="50" spans="1:19" ht="18" customHeight="1" x14ac:dyDescent="0.15">
      <c r="A50" s="3"/>
      <c r="B50" s="86"/>
      <c r="C50" s="87"/>
      <c r="D50" s="87"/>
      <c r="E50" s="88"/>
      <c r="F50" s="23"/>
      <c r="G50" s="23"/>
      <c r="H50" s="23"/>
      <c r="I50" s="23"/>
      <c r="J50" s="86"/>
      <c r="K50" s="87"/>
      <c r="L50" s="87"/>
      <c r="M50" s="87"/>
      <c r="N50" s="87"/>
      <c r="O50" s="88"/>
      <c r="P50" s="23"/>
      <c r="Q50" s="23"/>
      <c r="R50" s="23"/>
      <c r="S50" s="23"/>
    </row>
    <row r="51" spans="1:19" ht="18" customHeight="1" x14ac:dyDescent="0.15">
      <c r="A51" s="3"/>
      <c r="B51" s="86"/>
      <c r="C51" s="87"/>
      <c r="D51" s="87"/>
      <c r="E51" s="88"/>
      <c r="F51" s="23"/>
      <c r="G51" s="23"/>
      <c r="H51" s="23"/>
      <c r="I51" s="23"/>
      <c r="J51" s="86"/>
      <c r="K51" s="87"/>
      <c r="L51" s="87"/>
      <c r="M51" s="87"/>
      <c r="N51" s="87"/>
      <c r="O51" s="88"/>
      <c r="P51" s="23"/>
      <c r="Q51" s="23"/>
      <c r="R51" s="23"/>
      <c r="S51" s="23"/>
    </row>
    <row r="52" spans="1:19" ht="18" customHeight="1" x14ac:dyDescent="0.15">
      <c r="A52" s="3"/>
      <c r="B52" s="86"/>
      <c r="C52" s="87"/>
      <c r="D52" s="87"/>
      <c r="E52" s="88"/>
      <c r="F52" s="23"/>
      <c r="G52" s="23"/>
      <c r="H52" s="23"/>
      <c r="I52" s="23"/>
      <c r="J52" s="86"/>
      <c r="K52" s="87"/>
      <c r="L52" s="87"/>
      <c r="M52" s="87"/>
      <c r="N52" s="87"/>
      <c r="O52" s="88"/>
      <c r="P52" s="23"/>
      <c r="Q52" s="23"/>
      <c r="R52" s="23"/>
      <c r="S52" s="23"/>
    </row>
    <row r="53" spans="1:19" ht="18" customHeight="1" x14ac:dyDescent="0.15">
      <c r="A53" s="3"/>
      <c r="B53" s="92"/>
      <c r="C53" s="93"/>
      <c r="D53" s="93"/>
      <c r="E53" s="94"/>
      <c r="F53" s="24"/>
      <c r="G53" s="24"/>
      <c r="H53" s="25"/>
      <c r="I53" s="25"/>
      <c r="J53" s="92"/>
      <c r="K53" s="93"/>
      <c r="L53" s="93"/>
      <c r="M53" s="93"/>
      <c r="N53" s="93"/>
      <c r="O53" s="94"/>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53</v>
      </c>
      <c r="C57" s="90"/>
      <c r="D57" s="90"/>
      <c r="E57" s="91"/>
      <c r="F57" s="60" t="s">
        <v>80</v>
      </c>
      <c r="G57" s="59" t="s">
        <v>84</v>
      </c>
      <c r="H57" s="21" t="s">
        <v>58</v>
      </c>
      <c r="I57" s="21" t="s">
        <v>60</v>
      </c>
      <c r="J57" s="89" t="s">
        <v>53</v>
      </c>
      <c r="K57" s="90"/>
      <c r="L57" s="90"/>
      <c r="M57" s="90"/>
      <c r="N57" s="90"/>
      <c r="O57" s="91"/>
      <c r="P57" s="60" t="s">
        <v>80</v>
      </c>
      <c r="Q57" s="59" t="s">
        <v>84</v>
      </c>
      <c r="R57" s="21" t="s">
        <v>58</v>
      </c>
      <c r="S57" s="21" t="s">
        <v>60</v>
      </c>
    </row>
    <row r="58" spans="1:19" ht="18" customHeight="1" x14ac:dyDescent="0.15">
      <c r="A58" s="3"/>
      <c r="B58" s="83" t="s">
        <v>129</v>
      </c>
      <c r="C58" s="84"/>
      <c r="D58" s="84"/>
      <c r="E58" s="85"/>
      <c r="F58" s="22">
        <v>2</v>
      </c>
      <c r="G58" s="22" t="s">
        <v>130</v>
      </c>
      <c r="H58" s="22" t="s">
        <v>130</v>
      </c>
      <c r="I58" s="22" t="s">
        <v>130</v>
      </c>
      <c r="J58" s="83"/>
      <c r="K58" s="84"/>
      <c r="L58" s="84"/>
      <c r="M58" s="84"/>
      <c r="N58" s="84"/>
      <c r="O58" s="85"/>
      <c r="P58" s="22"/>
      <c r="Q58" s="22"/>
      <c r="R58" s="22"/>
      <c r="S58" s="22"/>
    </row>
    <row r="59" spans="1:19" ht="18" customHeight="1" x14ac:dyDescent="0.15">
      <c r="A59" s="3"/>
      <c r="B59" s="86"/>
      <c r="C59" s="87"/>
      <c r="D59" s="87"/>
      <c r="E59" s="88"/>
      <c r="F59" s="23"/>
      <c r="G59" s="23"/>
      <c r="H59" s="23"/>
      <c r="I59" s="23"/>
      <c r="J59" s="86"/>
      <c r="K59" s="87"/>
      <c r="L59" s="87"/>
      <c r="M59" s="87"/>
      <c r="N59" s="87"/>
      <c r="O59" s="88"/>
      <c r="P59" s="23"/>
      <c r="Q59" s="23"/>
      <c r="R59" s="23"/>
      <c r="S59" s="23"/>
    </row>
    <row r="60" spans="1:19" ht="18" customHeight="1" x14ac:dyDescent="0.15">
      <c r="A60" s="3"/>
      <c r="B60" s="86"/>
      <c r="C60" s="87"/>
      <c r="D60" s="87"/>
      <c r="E60" s="88"/>
      <c r="F60" s="23"/>
      <c r="G60" s="23"/>
      <c r="H60" s="23"/>
      <c r="I60" s="23"/>
      <c r="J60" s="86"/>
      <c r="K60" s="87"/>
      <c r="L60" s="87"/>
      <c r="M60" s="87"/>
      <c r="N60" s="87"/>
      <c r="O60" s="88"/>
      <c r="P60" s="23"/>
      <c r="Q60" s="23"/>
      <c r="R60" s="23"/>
      <c r="S60" s="23"/>
    </row>
    <row r="61" spans="1:19" ht="18" customHeight="1" x14ac:dyDescent="0.15">
      <c r="A61" s="3"/>
      <c r="B61" s="86"/>
      <c r="C61" s="87"/>
      <c r="D61" s="87"/>
      <c r="E61" s="88"/>
      <c r="F61" s="23"/>
      <c r="G61" s="23"/>
      <c r="H61" s="23"/>
      <c r="I61" s="23"/>
      <c r="J61" s="86"/>
      <c r="K61" s="87"/>
      <c r="L61" s="87"/>
      <c r="M61" s="87"/>
      <c r="N61" s="87"/>
      <c r="O61" s="88"/>
      <c r="P61" s="23"/>
      <c r="Q61" s="23"/>
      <c r="R61" s="23"/>
      <c r="S61" s="23"/>
    </row>
    <row r="62" spans="1:19" ht="18" customHeight="1" x14ac:dyDescent="0.15">
      <c r="A62" s="3"/>
      <c r="B62" s="86"/>
      <c r="C62" s="87"/>
      <c r="D62" s="87"/>
      <c r="E62" s="88"/>
      <c r="F62" s="23"/>
      <c r="G62" s="23"/>
      <c r="H62" s="23"/>
      <c r="I62" s="23"/>
      <c r="J62" s="86"/>
      <c r="K62" s="87"/>
      <c r="L62" s="87"/>
      <c r="M62" s="87"/>
      <c r="N62" s="87"/>
      <c r="O62" s="88"/>
      <c r="P62" s="23"/>
      <c r="Q62" s="23"/>
      <c r="R62" s="23"/>
      <c r="S62" s="23"/>
    </row>
    <row r="63" spans="1:19" ht="18" customHeight="1" x14ac:dyDescent="0.15">
      <c r="A63" s="3"/>
      <c r="B63" s="86"/>
      <c r="C63" s="87"/>
      <c r="D63" s="87"/>
      <c r="E63" s="88"/>
      <c r="F63" s="23"/>
      <c r="G63" s="23"/>
      <c r="H63" s="23"/>
      <c r="I63" s="23"/>
      <c r="J63" s="86"/>
      <c r="K63" s="87"/>
      <c r="L63" s="87"/>
      <c r="M63" s="87"/>
      <c r="N63" s="87"/>
      <c r="O63" s="88"/>
      <c r="P63" s="23"/>
      <c r="Q63" s="23"/>
      <c r="R63" s="23"/>
      <c r="S63" s="23"/>
    </row>
    <row r="64" spans="1:19" ht="18" customHeight="1" x14ac:dyDescent="0.15">
      <c r="A64" s="3"/>
      <c r="B64" s="92"/>
      <c r="C64" s="93"/>
      <c r="D64" s="93"/>
      <c r="E64" s="94"/>
      <c r="F64" s="24"/>
      <c r="G64" s="24"/>
      <c r="H64" s="25"/>
      <c r="I64" s="25"/>
      <c r="J64" s="92"/>
      <c r="K64" s="93"/>
      <c r="L64" s="93"/>
      <c r="M64" s="93"/>
      <c r="N64" s="93"/>
      <c r="O64" s="94"/>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53</v>
      </c>
      <c r="C68" s="90"/>
      <c r="D68" s="90"/>
      <c r="E68" s="60" t="s">
        <v>80</v>
      </c>
      <c r="F68" s="59" t="s">
        <v>84</v>
      </c>
      <c r="G68" s="21" t="s">
        <v>101</v>
      </c>
      <c r="H68" s="21" t="s">
        <v>75</v>
      </c>
      <c r="I68" s="21" t="s">
        <v>76</v>
      </c>
      <c r="J68" s="89" t="s">
        <v>53</v>
      </c>
      <c r="K68" s="90"/>
      <c r="L68" s="90"/>
      <c r="M68" s="90"/>
      <c r="N68" s="91"/>
      <c r="O68" s="60" t="s">
        <v>80</v>
      </c>
      <c r="P68" s="59" t="s">
        <v>84</v>
      </c>
      <c r="Q68" s="21" t="s">
        <v>101</v>
      </c>
      <c r="R68" s="21" t="s">
        <v>75</v>
      </c>
      <c r="S68" s="21" t="s">
        <v>76</v>
      </c>
    </row>
    <row r="69" spans="1:19" ht="18" customHeight="1" x14ac:dyDescent="0.15">
      <c r="A69" s="3"/>
      <c r="B69" s="83" t="s">
        <v>131</v>
      </c>
      <c r="C69" s="84"/>
      <c r="D69" s="85"/>
      <c r="E69" s="22">
        <v>2</v>
      </c>
      <c r="F69" s="22"/>
      <c r="G69" s="22" t="s">
        <v>130</v>
      </c>
      <c r="H69" s="22" t="s">
        <v>130</v>
      </c>
      <c r="I69" s="22" t="s">
        <v>130</v>
      </c>
      <c r="J69" s="83"/>
      <c r="K69" s="84"/>
      <c r="L69" s="84"/>
      <c r="M69" s="84"/>
      <c r="N69" s="85"/>
      <c r="O69" s="22"/>
      <c r="P69" s="22"/>
      <c r="Q69" s="22"/>
      <c r="R69" s="22"/>
      <c r="S69" s="22"/>
    </row>
    <row r="70" spans="1:19" ht="18" customHeight="1" x14ac:dyDescent="0.15">
      <c r="A70" s="3"/>
      <c r="B70" s="86" t="s">
        <v>132</v>
      </c>
      <c r="C70" s="87"/>
      <c r="D70" s="88"/>
      <c r="E70" s="23">
        <v>2</v>
      </c>
      <c r="F70" s="23"/>
      <c r="G70" s="23" t="s">
        <v>130</v>
      </c>
      <c r="H70" s="23" t="s">
        <v>130</v>
      </c>
      <c r="I70" s="23" t="s">
        <v>130</v>
      </c>
      <c r="J70" s="86"/>
      <c r="K70" s="87"/>
      <c r="L70" s="87"/>
      <c r="M70" s="87"/>
      <c r="N70" s="88"/>
      <c r="O70" s="23"/>
      <c r="P70" s="23"/>
      <c r="Q70" s="23"/>
      <c r="R70" s="23"/>
      <c r="S70" s="23"/>
    </row>
    <row r="71" spans="1:19" ht="18" customHeight="1" x14ac:dyDescent="0.15">
      <c r="A71" s="3"/>
      <c r="B71" s="86" t="s">
        <v>133</v>
      </c>
      <c r="C71" s="87"/>
      <c r="D71" s="88"/>
      <c r="E71" s="23">
        <v>2</v>
      </c>
      <c r="F71" s="23"/>
      <c r="G71" s="23" t="s">
        <v>130</v>
      </c>
      <c r="H71" s="23" t="s">
        <v>130</v>
      </c>
      <c r="I71" s="23" t="s">
        <v>130</v>
      </c>
      <c r="J71" s="86"/>
      <c r="K71" s="87"/>
      <c r="L71" s="87"/>
      <c r="M71" s="87"/>
      <c r="N71" s="88"/>
      <c r="O71" s="23"/>
      <c r="P71" s="23"/>
      <c r="Q71" s="23"/>
      <c r="R71" s="23"/>
      <c r="S71" s="23"/>
    </row>
    <row r="72" spans="1:19" ht="18" customHeight="1" x14ac:dyDescent="0.15">
      <c r="A72" s="3"/>
      <c r="B72" s="86"/>
      <c r="C72" s="87"/>
      <c r="D72" s="87"/>
      <c r="E72" s="23"/>
      <c r="F72" s="23"/>
      <c r="G72" s="23"/>
      <c r="H72" s="23"/>
      <c r="I72" s="23"/>
      <c r="J72" s="86"/>
      <c r="K72" s="87"/>
      <c r="L72" s="87"/>
      <c r="M72" s="87"/>
      <c r="N72" s="88"/>
      <c r="O72" s="23"/>
      <c r="P72" s="23"/>
      <c r="Q72" s="23"/>
      <c r="R72" s="23"/>
      <c r="S72" s="23"/>
    </row>
    <row r="73" spans="1:19" ht="18" customHeight="1" x14ac:dyDescent="0.15">
      <c r="A73" s="3"/>
      <c r="B73" s="86"/>
      <c r="C73" s="87"/>
      <c r="D73" s="87"/>
      <c r="E73" s="23"/>
      <c r="F73" s="23"/>
      <c r="G73" s="23"/>
      <c r="H73" s="23"/>
      <c r="I73" s="23"/>
      <c r="J73" s="86"/>
      <c r="K73" s="87"/>
      <c r="L73" s="87"/>
      <c r="M73" s="87"/>
      <c r="N73" s="88"/>
      <c r="O73" s="23"/>
      <c r="P73" s="23"/>
      <c r="Q73" s="23"/>
      <c r="R73" s="23"/>
      <c r="S73" s="23"/>
    </row>
    <row r="74" spans="1:19" ht="18" customHeight="1" x14ac:dyDescent="0.15">
      <c r="A74" s="3"/>
      <c r="B74" s="86"/>
      <c r="C74" s="87"/>
      <c r="D74" s="87"/>
      <c r="E74" s="23"/>
      <c r="F74" s="23"/>
      <c r="G74" s="23"/>
      <c r="H74" s="23"/>
      <c r="I74" s="23"/>
      <c r="J74" s="86"/>
      <c r="K74" s="87"/>
      <c r="L74" s="87"/>
      <c r="M74" s="87"/>
      <c r="N74" s="88"/>
      <c r="O74" s="23"/>
      <c r="P74" s="23"/>
      <c r="Q74" s="23"/>
      <c r="R74" s="23"/>
      <c r="S74" s="23"/>
    </row>
    <row r="75" spans="1:19" ht="18" customHeight="1" x14ac:dyDescent="0.15">
      <c r="A75" s="3"/>
      <c r="B75" s="92"/>
      <c r="C75" s="93"/>
      <c r="D75" s="93"/>
      <c r="E75" s="24"/>
      <c r="F75" s="24"/>
      <c r="G75" s="25"/>
      <c r="H75" s="25"/>
      <c r="I75" s="25"/>
      <c r="J75" s="92"/>
      <c r="K75" s="93"/>
      <c r="L75" s="93"/>
      <c r="M75" s="93"/>
      <c r="N75" s="94"/>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89" t="s">
        <v>53</v>
      </c>
      <c r="C78" s="90"/>
      <c r="D78" s="90"/>
      <c r="E78" s="91"/>
      <c r="F78" s="89" t="s">
        <v>82</v>
      </c>
      <c r="G78" s="90"/>
      <c r="H78" s="90"/>
      <c r="I78" s="91"/>
      <c r="J78" s="117" t="s">
        <v>53</v>
      </c>
      <c r="K78" s="118"/>
      <c r="L78" s="118"/>
      <c r="M78" s="118"/>
      <c r="N78" s="118"/>
      <c r="O78" s="119"/>
      <c r="P78" s="89" t="s">
        <v>82</v>
      </c>
      <c r="Q78" s="90"/>
      <c r="R78" s="90"/>
      <c r="S78" s="91"/>
    </row>
    <row r="79" spans="1:19" ht="18" customHeight="1" x14ac:dyDescent="0.15">
      <c r="A79" s="3"/>
      <c r="B79" s="83"/>
      <c r="C79" s="84"/>
      <c r="D79" s="84"/>
      <c r="E79" s="85"/>
      <c r="F79" s="111"/>
      <c r="G79" s="112"/>
      <c r="H79" s="112"/>
      <c r="I79" s="113"/>
      <c r="J79" s="83"/>
      <c r="K79" s="84"/>
      <c r="L79" s="84"/>
      <c r="M79" s="84"/>
      <c r="N79" s="84"/>
      <c r="O79" s="85"/>
      <c r="P79" s="111"/>
      <c r="Q79" s="112"/>
      <c r="R79" s="112"/>
      <c r="S79" s="113"/>
    </row>
    <row r="80" spans="1:19" ht="18" customHeight="1" x14ac:dyDescent="0.15">
      <c r="A80" s="3"/>
      <c r="B80" s="86"/>
      <c r="C80" s="87"/>
      <c r="D80" s="87"/>
      <c r="E80" s="88"/>
      <c r="F80" s="114"/>
      <c r="G80" s="115"/>
      <c r="H80" s="115"/>
      <c r="I80" s="116"/>
      <c r="J80" s="86"/>
      <c r="K80" s="87"/>
      <c r="L80" s="87"/>
      <c r="M80" s="87"/>
      <c r="N80" s="87"/>
      <c r="O80" s="88"/>
      <c r="P80" s="114"/>
      <c r="Q80" s="115"/>
      <c r="R80" s="115"/>
      <c r="S80" s="116"/>
    </row>
    <row r="81" spans="1:19" ht="18" customHeight="1" x14ac:dyDescent="0.15">
      <c r="A81" s="3"/>
      <c r="B81" s="86"/>
      <c r="C81" s="87"/>
      <c r="D81" s="87"/>
      <c r="E81" s="88"/>
      <c r="F81" s="114"/>
      <c r="G81" s="115"/>
      <c r="H81" s="115"/>
      <c r="I81" s="116"/>
      <c r="J81" s="86"/>
      <c r="K81" s="87"/>
      <c r="L81" s="87"/>
      <c r="M81" s="87"/>
      <c r="N81" s="87"/>
      <c r="O81" s="88"/>
      <c r="P81" s="114"/>
      <c r="Q81" s="115"/>
      <c r="R81" s="115"/>
      <c r="S81" s="116"/>
    </row>
    <row r="82" spans="1:19" ht="18" customHeight="1" x14ac:dyDescent="0.15">
      <c r="A82" s="3"/>
      <c r="B82" s="86"/>
      <c r="C82" s="87"/>
      <c r="D82" s="87"/>
      <c r="E82" s="88"/>
      <c r="F82" s="114"/>
      <c r="G82" s="115"/>
      <c r="H82" s="115"/>
      <c r="I82" s="116"/>
      <c r="J82" s="86"/>
      <c r="K82" s="87"/>
      <c r="L82" s="87"/>
      <c r="M82" s="87"/>
      <c r="N82" s="87"/>
      <c r="O82" s="88"/>
      <c r="P82" s="114"/>
      <c r="Q82" s="115"/>
      <c r="R82" s="115"/>
      <c r="S82" s="116"/>
    </row>
    <row r="83" spans="1:19" ht="18" customHeight="1" x14ac:dyDescent="0.15">
      <c r="A83" s="3"/>
      <c r="B83" s="86"/>
      <c r="C83" s="87"/>
      <c r="D83" s="87"/>
      <c r="E83" s="88"/>
      <c r="F83" s="114"/>
      <c r="G83" s="115"/>
      <c r="H83" s="115"/>
      <c r="I83" s="116"/>
      <c r="J83" s="86"/>
      <c r="K83" s="87"/>
      <c r="L83" s="87"/>
      <c r="M83" s="87"/>
      <c r="N83" s="87"/>
      <c r="O83" s="88"/>
      <c r="P83" s="114"/>
      <c r="Q83" s="115"/>
      <c r="R83" s="115"/>
      <c r="S83" s="116"/>
    </row>
    <row r="84" spans="1:19" ht="18" customHeight="1" x14ac:dyDescent="0.15">
      <c r="A84" s="3"/>
      <c r="B84" s="86"/>
      <c r="C84" s="87"/>
      <c r="D84" s="87"/>
      <c r="E84" s="88"/>
      <c r="F84" s="114"/>
      <c r="G84" s="115"/>
      <c r="H84" s="115"/>
      <c r="I84" s="116"/>
      <c r="J84" s="86"/>
      <c r="K84" s="87"/>
      <c r="L84" s="87"/>
      <c r="M84" s="87"/>
      <c r="N84" s="87"/>
      <c r="O84" s="88"/>
      <c r="P84" s="114"/>
      <c r="Q84" s="115"/>
      <c r="R84" s="115"/>
      <c r="S84" s="116"/>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07" t="s">
        <v>54</v>
      </c>
      <c r="C88" s="108"/>
      <c r="D88" s="90" t="s">
        <v>55</v>
      </c>
      <c r="E88" s="90"/>
      <c r="F88" s="90"/>
      <c r="G88" s="90"/>
      <c r="H88" s="90"/>
      <c r="I88" s="90"/>
      <c r="J88" s="90"/>
      <c r="K88" s="90"/>
      <c r="L88" s="90"/>
      <c r="M88" s="90"/>
      <c r="N88" s="90"/>
      <c r="O88" s="90"/>
      <c r="P88" s="90"/>
      <c r="Q88" s="90"/>
      <c r="R88" s="90"/>
      <c r="S88" s="91"/>
    </row>
    <row r="89" spans="1:19" ht="97.5" customHeight="1" x14ac:dyDescent="0.15">
      <c r="B89" s="96" t="s">
        <v>61</v>
      </c>
      <c r="C89" s="27" t="s">
        <v>56</v>
      </c>
      <c r="D89" s="105" t="s">
        <v>242</v>
      </c>
      <c r="E89" s="109"/>
      <c r="F89" s="109"/>
      <c r="G89" s="109"/>
      <c r="H89" s="109"/>
      <c r="I89" s="109"/>
      <c r="J89" s="109"/>
      <c r="K89" s="109"/>
      <c r="L89" s="109"/>
      <c r="M89" s="109"/>
      <c r="N89" s="109"/>
      <c r="O89" s="109"/>
      <c r="P89" s="109"/>
      <c r="Q89" s="109"/>
      <c r="R89" s="109"/>
      <c r="S89" s="110"/>
    </row>
    <row r="90" spans="1:19" ht="83.45" customHeight="1" x14ac:dyDescent="0.15">
      <c r="B90" s="97"/>
      <c r="C90" s="28" t="s">
        <v>77</v>
      </c>
      <c r="D90" s="123" t="s">
        <v>243</v>
      </c>
      <c r="E90" s="123"/>
      <c r="F90" s="123"/>
      <c r="G90" s="123"/>
      <c r="H90" s="123"/>
      <c r="I90" s="123"/>
      <c r="J90" s="123"/>
      <c r="K90" s="123"/>
      <c r="L90" s="123"/>
      <c r="M90" s="123"/>
      <c r="N90" s="123"/>
      <c r="O90" s="123"/>
      <c r="P90" s="123"/>
      <c r="Q90" s="123"/>
      <c r="R90" s="123"/>
      <c r="S90" s="124"/>
    </row>
    <row r="91" spans="1:19" ht="108" customHeight="1" x14ac:dyDescent="0.15">
      <c r="B91" s="96" t="s">
        <v>62</v>
      </c>
      <c r="C91" s="29" t="s">
        <v>71</v>
      </c>
      <c r="D91" s="125" t="s">
        <v>230</v>
      </c>
      <c r="E91" s="125"/>
      <c r="F91" s="125"/>
      <c r="G91" s="125"/>
      <c r="H91" s="125"/>
      <c r="I91" s="125"/>
      <c r="J91" s="125"/>
      <c r="K91" s="125"/>
      <c r="L91" s="125"/>
      <c r="M91" s="125"/>
      <c r="N91" s="125"/>
      <c r="O91" s="125"/>
      <c r="P91" s="125"/>
      <c r="Q91" s="125"/>
      <c r="R91" s="125"/>
      <c r="S91" s="160"/>
    </row>
    <row r="92" spans="1:19" ht="174.75" customHeight="1" x14ac:dyDescent="0.15">
      <c r="B92" s="98"/>
      <c r="C92" s="30" t="s">
        <v>72</v>
      </c>
      <c r="D92" s="130" t="s">
        <v>253</v>
      </c>
      <c r="E92" s="130"/>
      <c r="F92" s="130"/>
      <c r="G92" s="130"/>
      <c r="H92" s="130"/>
      <c r="I92" s="130"/>
      <c r="J92" s="130"/>
      <c r="K92" s="130"/>
      <c r="L92" s="130"/>
      <c r="M92" s="130"/>
      <c r="N92" s="130"/>
      <c r="O92" s="130"/>
      <c r="P92" s="130"/>
      <c r="Q92" s="130"/>
      <c r="R92" s="130"/>
      <c r="S92" s="133"/>
    </row>
    <row r="93" spans="1:19" ht="97.5" customHeight="1" x14ac:dyDescent="0.15">
      <c r="B93" s="96" t="s">
        <v>63</v>
      </c>
      <c r="C93" s="29" t="s">
        <v>73</v>
      </c>
      <c r="D93" s="125" t="s">
        <v>229</v>
      </c>
      <c r="E93" s="126"/>
      <c r="F93" s="126"/>
      <c r="G93" s="126"/>
      <c r="H93" s="126"/>
      <c r="I93" s="126"/>
      <c r="J93" s="126"/>
      <c r="K93" s="126"/>
      <c r="L93" s="126"/>
      <c r="M93" s="126"/>
      <c r="N93" s="126"/>
      <c r="O93" s="126"/>
      <c r="P93" s="126"/>
      <c r="Q93" s="126"/>
      <c r="R93" s="126"/>
      <c r="S93" s="127"/>
    </row>
    <row r="94" spans="1:19" ht="97.5" customHeight="1" x14ac:dyDescent="0.15">
      <c r="B94" s="98"/>
      <c r="C94" s="31" t="s">
        <v>74</v>
      </c>
      <c r="D94" s="128" t="s">
        <v>246</v>
      </c>
      <c r="E94" s="128"/>
      <c r="F94" s="128"/>
      <c r="G94" s="128"/>
      <c r="H94" s="128"/>
      <c r="I94" s="128"/>
      <c r="J94" s="128"/>
      <c r="K94" s="128"/>
      <c r="L94" s="128"/>
      <c r="M94" s="128"/>
      <c r="N94" s="128"/>
      <c r="O94" s="128"/>
      <c r="P94" s="128"/>
      <c r="Q94" s="128"/>
      <c r="R94" s="128"/>
      <c r="S94" s="129"/>
    </row>
    <row r="95" spans="1:19" ht="97.5" customHeight="1" x14ac:dyDescent="0.15">
      <c r="B95" s="96" t="s">
        <v>78</v>
      </c>
      <c r="C95" s="27" t="s">
        <v>58</v>
      </c>
      <c r="D95" s="105" t="s">
        <v>247</v>
      </c>
      <c r="E95" s="105"/>
      <c r="F95" s="105"/>
      <c r="G95" s="105"/>
      <c r="H95" s="105"/>
      <c r="I95" s="105"/>
      <c r="J95" s="105"/>
      <c r="K95" s="105"/>
      <c r="L95" s="105"/>
      <c r="M95" s="105"/>
      <c r="N95" s="105"/>
      <c r="O95" s="105"/>
      <c r="P95" s="105"/>
      <c r="Q95" s="105"/>
      <c r="R95" s="105"/>
      <c r="S95" s="106"/>
    </row>
    <row r="96" spans="1:19" ht="97.5" customHeight="1" x14ac:dyDescent="0.15">
      <c r="B96" s="98"/>
      <c r="C96" s="30" t="s">
        <v>60</v>
      </c>
      <c r="D96" s="130" t="s">
        <v>272</v>
      </c>
      <c r="E96" s="130"/>
      <c r="F96" s="130"/>
      <c r="G96" s="130"/>
      <c r="H96" s="130"/>
      <c r="I96" s="130"/>
      <c r="J96" s="130"/>
      <c r="K96" s="130"/>
      <c r="L96" s="130"/>
      <c r="M96" s="130"/>
      <c r="N96" s="130"/>
      <c r="O96" s="130"/>
      <c r="P96" s="130"/>
      <c r="Q96" s="130"/>
      <c r="R96" s="130"/>
      <c r="S96" s="133"/>
    </row>
    <row r="97" spans="1:19" ht="279" customHeight="1" x14ac:dyDescent="0.15">
      <c r="B97" s="96" t="s">
        <v>79</v>
      </c>
      <c r="C97" s="29" t="s">
        <v>57</v>
      </c>
      <c r="D97" s="100" t="s">
        <v>248</v>
      </c>
      <c r="E97" s="100"/>
      <c r="F97" s="100"/>
      <c r="G97" s="100"/>
      <c r="H97" s="100"/>
      <c r="I97" s="100"/>
      <c r="J97" s="100"/>
      <c r="K97" s="100"/>
      <c r="L97" s="100"/>
      <c r="M97" s="100"/>
      <c r="N97" s="100"/>
      <c r="O97" s="100"/>
      <c r="P97" s="100"/>
      <c r="Q97" s="100"/>
      <c r="R97" s="100"/>
      <c r="S97" s="101"/>
    </row>
    <row r="98" spans="1:19" ht="279" customHeight="1" x14ac:dyDescent="0.15">
      <c r="B98" s="97"/>
      <c r="C98" s="32" t="s">
        <v>75</v>
      </c>
      <c r="D98" s="100" t="s">
        <v>249</v>
      </c>
      <c r="E98" s="100"/>
      <c r="F98" s="100"/>
      <c r="G98" s="100"/>
      <c r="H98" s="100"/>
      <c r="I98" s="100"/>
      <c r="J98" s="100"/>
      <c r="K98" s="100"/>
      <c r="L98" s="100"/>
      <c r="M98" s="100"/>
      <c r="N98" s="100"/>
      <c r="O98" s="100"/>
      <c r="P98" s="100"/>
      <c r="Q98" s="100"/>
      <c r="R98" s="100"/>
      <c r="S98" s="101"/>
    </row>
    <row r="99" spans="1:19" ht="206.45" customHeight="1" x14ac:dyDescent="0.15">
      <c r="B99" s="98"/>
      <c r="C99" s="31" t="s">
        <v>76</v>
      </c>
      <c r="D99" s="102" t="s">
        <v>250</v>
      </c>
      <c r="E99" s="103"/>
      <c r="F99" s="103"/>
      <c r="G99" s="103"/>
      <c r="H99" s="103"/>
      <c r="I99" s="103"/>
      <c r="J99" s="103"/>
      <c r="K99" s="103"/>
      <c r="L99" s="103"/>
      <c r="M99" s="103"/>
      <c r="N99" s="103"/>
      <c r="O99" s="103"/>
      <c r="P99" s="103"/>
      <c r="Q99" s="103"/>
      <c r="R99" s="103"/>
      <c r="S99" s="104"/>
    </row>
    <row r="100" spans="1:19" ht="6" customHeight="1" x14ac:dyDescent="0.15"/>
    <row r="101" spans="1:19" ht="18.75" customHeight="1" x14ac:dyDescent="0.15">
      <c r="A101" s="1" t="s">
        <v>120</v>
      </c>
    </row>
    <row r="102" spans="1:19" ht="81.75" customHeight="1" x14ac:dyDescent="0.15">
      <c r="B102" s="102" t="s">
        <v>134</v>
      </c>
      <c r="C102" s="103"/>
      <c r="D102" s="103"/>
      <c r="E102" s="103"/>
      <c r="F102" s="103"/>
      <c r="G102" s="103"/>
      <c r="H102" s="103"/>
      <c r="I102" s="103"/>
      <c r="J102" s="103"/>
      <c r="K102" s="103"/>
      <c r="L102" s="103"/>
      <c r="M102" s="103"/>
      <c r="N102" s="103"/>
      <c r="O102" s="103"/>
      <c r="P102" s="103"/>
      <c r="Q102" s="103"/>
      <c r="R102" s="103"/>
      <c r="S102" s="104"/>
    </row>
    <row r="110" spans="1:19" ht="18" customHeight="1" x14ac:dyDescent="0.15"/>
  </sheetData>
  <customSheetViews>
    <customSheetView guid="{1C325414-5A0C-4C59-BA24-A8E2B4EC5171}" scale="85" showPageBreaks="1" zeroValues="0" fitToPage="1" printArea="1" hiddenColumns="1" view="pageBreakPreview">
      <selection activeCell="D98" sqref="D98:S9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76C3A8B2-43E5-4491-B38D-7D6417DC209B}" scale="85" showPageBreaks="1" zeroValues="0" fitToPage="1" printArea="1" hiddenColumns="1" view="pageBreakPreview">
      <selection activeCell="D98" sqref="D98:S9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 guid="{D1FD8C4C-CF69-45DF-A007-1EC45F0F0601}" scale="85" showPageBreaks="1" zeroValues="0" fitToPage="1" printArea="1" hiddenColumns="1" view="pageBreakPreview">
      <selection activeCell="D98" sqref="D98:S9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4" fitToHeight="0" orientation="portrait" r:id="rId3"/>
      <headerFooter>
        <oddHeader>&amp;C数理・データサイエンス・AI教育プログラム認定制度【リテラシーレベル】</oddHeader>
      </headerFooter>
    </customSheetView>
    <customSheetView guid="{B3C66A88-0371-48C7-9AE2-6606C7EDAAFC}" scale="85" showPageBreaks="1" zeroValues="0" fitToPage="1" printArea="1" hiddenColumns="1" view="pageBreakPreview">
      <selection activeCell="D98" sqref="D98:S9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4"/>
      <headerFooter>
        <oddHeader>&amp;C数理・データサイエンス・AI教育プログラム認定制度【リテラシーレベル】</oddHeader>
      </headerFooter>
    </customSheetView>
  </customSheetViews>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3" priority="1">
      <formula>$K$7="学部・学科によって、修了要件は相違しない"</formula>
    </cfRule>
  </conditionalFormatting>
  <dataValidations count="5">
    <dataValidation type="list" allowBlank="1" showInputMessage="1" showErrorMessage="1" sqref="K20:S20" xr:uid="{2CA61B26-7E76-4498-971B-21A7BB23D890}">
      <formula1>$V$14:$V$16</formula1>
    </dataValidation>
    <dataValidation type="list" allowBlank="1" showInputMessage="1" showErrorMessage="1" sqref="F79:F86 P79:P86 G79:I80 G83:I86 Q83:S86 Q79:S80" xr:uid="{6123E09F-2E10-4976-9970-68FF8E38BBDE}">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332C78ED-744A-4A80-979E-04C4C11C78C0}">
      <formula1>"学部・学科によって、修了要件は相違する,学部・学科によって、修了要件は相違しない"</formula1>
    </dataValidation>
    <dataValidation type="list" allowBlank="1" showInputMessage="1" showErrorMessage="1" sqref="S32 S43 D32:G32 D43:G43" xr:uid="{9578895E-C213-4745-BAC6-879630D81212}">
      <formula1>"全学開講,一部開講"</formula1>
    </dataValidation>
    <dataValidation type="list" allowBlank="1" showInputMessage="1" showErrorMessage="1" sqref="G25:I31 Q25:S31 G36:I42 Q36:S42 P69:S75 Q47:S53 G47:I53 Q58:S64 G58:I64 F69:I75" xr:uid="{FEE5B5AC-3EFA-44D1-A826-B85760D7B428}">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5"/>
  <headerFooter>
    <oddHeader>&amp;C数理・データサイエンス・AI教育プログラム認定制度【リテラシーレベル】</oddHeader>
  </headerFooter>
  <rowBreaks count="2" manualBreakCount="2">
    <brk id="65" max="18" man="1"/>
    <brk id="94" max="18"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9C65C-A969-42DB-BDEB-FECFECC25359}">
  <sheetPr>
    <pageSetUpPr fitToPage="1"/>
  </sheetPr>
  <dimension ref="A1:V110"/>
  <sheetViews>
    <sheetView showZeros="0" view="pageBreakPreview" topLeftCell="A94" zoomScale="85" zoomScaleNormal="100" zoomScaleSheetLayoutView="85" workbookViewId="0">
      <selection activeCell="D96" sqref="D96:S9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191</v>
      </c>
      <c r="S1" s="134"/>
      <c r="T1" s="2" t="s">
        <v>109</v>
      </c>
    </row>
    <row r="2" spans="1:22" ht="18.75" customHeight="1" x14ac:dyDescent="0.15">
      <c r="B2" s="33" t="s">
        <v>108</v>
      </c>
      <c r="C2" s="89" t="s">
        <v>126</v>
      </c>
      <c r="D2" s="90"/>
      <c r="E2" s="90"/>
      <c r="F2" s="90"/>
      <c r="G2" s="90"/>
      <c r="H2" s="90"/>
      <c r="I2" s="91"/>
      <c r="J2" s="34"/>
      <c r="K2" s="6"/>
      <c r="L2" s="6"/>
      <c r="M2" s="6"/>
      <c r="N2" s="6"/>
      <c r="O2" s="6"/>
      <c r="P2" s="6"/>
      <c r="Q2" s="6"/>
      <c r="R2" s="6"/>
      <c r="S2" s="6"/>
    </row>
    <row r="3" spans="1:22" ht="18.75" customHeight="1" x14ac:dyDescent="0.15">
      <c r="B3" s="33" t="s">
        <v>102</v>
      </c>
      <c r="C3" s="138" t="s">
        <v>127</v>
      </c>
      <c r="D3" s="139"/>
      <c r="E3" s="139"/>
      <c r="F3" s="139"/>
      <c r="G3" s="139"/>
      <c r="H3" s="139"/>
      <c r="I3" s="14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41" t="s">
        <v>38</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51" t="s">
        <v>128</v>
      </c>
      <c r="L7" s="152"/>
      <c r="M7" s="152"/>
      <c r="N7" s="152"/>
      <c r="O7" s="152"/>
      <c r="P7" s="152"/>
      <c r="Q7" s="152"/>
      <c r="R7" s="152"/>
      <c r="S7" s="15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4" t="s">
        <v>192</v>
      </c>
      <c r="C9" s="155"/>
      <c r="D9" s="155"/>
      <c r="E9" s="155"/>
      <c r="F9" s="155"/>
      <c r="G9" s="155"/>
      <c r="H9" s="155"/>
      <c r="I9" s="155"/>
      <c r="J9" s="155"/>
      <c r="K9" s="155"/>
      <c r="L9" s="155"/>
      <c r="M9" s="155"/>
      <c r="N9" s="155"/>
      <c r="O9" s="155"/>
      <c r="P9" s="155"/>
      <c r="Q9" s="155"/>
      <c r="R9" s="155"/>
      <c r="S9" s="156"/>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42" t="s">
        <v>161</v>
      </c>
      <c r="C13" s="143"/>
      <c r="D13" s="143"/>
      <c r="E13" s="143"/>
      <c r="F13" s="143"/>
      <c r="G13" s="143"/>
      <c r="H13" s="143"/>
      <c r="I13" s="143"/>
      <c r="J13" s="143"/>
      <c r="K13" s="143"/>
      <c r="L13" s="143"/>
      <c r="M13" s="143"/>
      <c r="N13" s="143"/>
      <c r="O13" s="143"/>
      <c r="P13" s="143"/>
      <c r="Q13" s="143"/>
      <c r="R13" s="143"/>
      <c r="S13" s="144"/>
      <c r="V13" s="1" t="s">
        <v>103</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110</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123</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125</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89">
        <v>6</v>
      </c>
      <c r="D20" s="91"/>
      <c r="E20" s="39" t="s">
        <v>95</v>
      </c>
      <c r="G20" s="9"/>
      <c r="H20" s="3"/>
      <c r="I20" s="3"/>
      <c r="J20" s="34" t="s">
        <v>121</v>
      </c>
      <c r="K20" s="135" t="s">
        <v>125</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53</v>
      </c>
      <c r="C24" s="90"/>
      <c r="D24" s="90"/>
      <c r="E24" s="91"/>
      <c r="F24" s="60" t="s">
        <v>80</v>
      </c>
      <c r="G24" s="59" t="s">
        <v>84</v>
      </c>
      <c r="H24" s="21" t="s">
        <v>56</v>
      </c>
      <c r="I24" s="21" t="s">
        <v>59</v>
      </c>
      <c r="J24" s="89" t="s">
        <v>53</v>
      </c>
      <c r="K24" s="90"/>
      <c r="L24" s="90"/>
      <c r="M24" s="90"/>
      <c r="N24" s="90"/>
      <c r="O24" s="91"/>
      <c r="P24" s="60" t="s">
        <v>80</v>
      </c>
      <c r="Q24" s="59" t="s">
        <v>84</v>
      </c>
      <c r="R24" s="21" t="s">
        <v>56</v>
      </c>
      <c r="S24" s="21" t="s">
        <v>59</v>
      </c>
    </row>
    <row r="25" spans="1:19" ht="18" customHeight="1" x14ac:dyDescent="0.15">
      <c r="B25" s="83" t="s">
        <v>129</v>
      </c>
      <c r="C25" s="84"/>
      <c r="D25" s="84"/>
      <c r="E25" s="85"/>
      <c r="F25" s="22">
        <v>2</v>
      </c>
      <c r="G25" s="22" t="s">
        <v>130</v>
      </c>
      <c r="H25" s="22" t="s">
        <v>130</v>
      </c>
      <c r="I25" s="22" t="s">
        <v>130</v>
      </c>
      <c r="J25" s="83"/>
      <c r="K25" s="84"/>
      <c r="L25" s="84"/>
      <c r="M25" s="84"/>
      <c r="N25" s="84"/>
      <c r="O25" s="85"/>
      <c r="P25" s="22"/>
      <c r="Q25" s="22"/>
      <c r="R25" s="22"/>
      <c r="S25" s="22"/>
    </row>
    <row r="26" spans="1:19" ht="18" customHeight="1" x14ac:dyDescent="0.15">
      <c r="B26" s="86"/>
      <c r="C26" s="87"/>
      <c r="D26" s="87"/>
      <c r="E26" s="88"/>
      <c r="F26" s="23"/>
      <c r="G26" s="23"/>
      <c r="H26" s="23"/>
      <c r="I26" s="23"/>
      <c r="J26" s="86"/>
      <c r="K26" s="87"/>
      <c r="L26" s="87"/>
      <c r="M26" s="87"/>
      <c r="N26" s="87"/>
      <c r="O26" s="88"/>
      <c r="P26" s="23"/>
      <c r="Q26" s="23"/>
      <c r="R26" s="23"/>
      <c r="S26" s="23"/>
    </row>
    <row r="27" spans="1:19" ht="18" customHeight="1" x14ac:dyDescent="0.15">
      <c r="B27" s="86"/>
      <c r="C27" s="87"/>
      <c r="D27" s="87"/>
      <c r="E27" s="88"/>
      <c r="F27" s="23"/>
      <c r="G27" s="23"/>
      <c r="H27" s="23"/>
      <c r="I27" s="23"/>
      <c r="J27" s="86"/>
      <c r="K27" s="87"/>
      <c r="L27" s="87"/>
      <c r="M27" s="87"/>
      <c r="N27" s="87"/>
      <c r="O27" s="88"/>
      <c r="P27" s="23"/>
      <c r="Q27" s="23"/>
      <c r="R27" s="23"/>
      <c r="S27" s="23"/>
    </row>
    <row r="28" spans="1:19" ht="18" customHeight="1" x14ac:dyDescent="0.15">
      <c r="B28" s="86"/>
      <c r="C28" s="87"/>
      <c r="D28" s="87"/>
      <c r="E28" s="88"/>
      <c r="F28" s="23"/>
      <c r="G28" s="23"/>
      <c r="H28" s="23"/>
      <c r="I28" s="23"/>
      <c r="J28" s="86"/>
      <c r="K28" s="87"/>
      <c r="L28" s="87"/>
      <c r="M28" s="87"/>
      <c r="N28" s="87"/>
      <c r="O28" s="88"/>
      <c r="P28" s="23"/>
      <c r="Q28" s="23"/>
      <c r="R28" s="23"/>
      <c r="S28" s="23"/>
    </row>
    <row r="29" spans="1:19" ht="18" customHeight="1" x14ac:dyDescent="0.15">
      <c r="B29" s="86"/>
      <c r="C29" s="87"/>
      <c r="D29" s="87"/>
      <c r="E29" s="88"/>
      <c r="F29" s="23"/>
      <c r="G29" s="23"/>
      <c r="H29" s="23"/>
      <c r="I29" s="23"/>
      <c r="J29" s="86"/>
      <c r="K29" s="87"/>
      <c r="L29" s="87"/>
      <c r="M29" s="87"/>
      <c r="N29" s="87"/>
      <c r="O29" s="88"/>
      <c r="P29" s="23"/>
      <c r="Q29" s="23"/>
      <c r="R29" s="23"/>
      <c r="S29" s="23"/>
    </row>
    <row r="30" spans="1:19" ht="18" customHeight="1" x14ac:dyDescent="0.15">
      <c r="A30" s="3"/>
      <c r="B30" s="86"/>
      <c r="C30" s="87"/>
      <c r="D30" s="87"/>
      <c r="E30" s="88"/>
      <c r="F30" s="23"/>
      <c r="G30" s="23"/>
      <c r="H30" s="23"/>
      <c r="I30" s="23"/>
      <c r="J30" s="86"/>
      <c r="K30" s="87"/>
      <c r="L30" s="87"/>
      <c r="M30" s="87"/>
      <c r="N30" s="87"/>
      <c r="O30" s="88"/>
      <c r="P30" s="23"/>
      <c r="Q30" s="23"/>
      <c r="R30" s="23"/>
      <c r="S30" s="23"/>
    </row>
    <row r="31" spans="1:19" ht="18" customHeight="1" x14ac:dyDescent="0.15">
      <c r="A31" s="3"/>
      <c r="B31" s="92"/>
      <c r="C31" s="93"/>
      <c r="D31" s="93"/>
      <c r="E31" s="94"/>
      <c r="F31" s="24"/>
      <c r="G31" s="24"/>
      <c r="H31" s="25"/>
      <c r="I31" s="25"/>
      <c r="J31" s="92"/>
      <c r="K31" s="93"/>
      <c r="L31" s="93"/>
      <c r="M31" s="93"/>
      <c r="N31" s="93"/>
      <c r="O31" s="94"/>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53</v>
      </c>
      <c r="C35" s="90"/>
      <c r="D35" s="90"/>
      <c r="E35" s="91"/>
      <c r="F35" s="60" t="s">
        <v>80</v>
      </c>
      <c r="G35" s="59" t="s">
        <v>84</v>
      </c>
      <c r="H35" s="21" t="s">
        <v>71</v>
      </c>
      <c r="I35" s="21" t="s">
        <v>72</v>
      </c>
      <c r="J35" s="89" t="s">
        <v>53</v>
      </c>
      <c r="K35" s="90"/>
      <c r="L35" s="90"/>
      <c r="M35" s="90"/>
      <c r="N35" s="90"/>
      <c r="O35" s="91"/>
      <c r="P35" s="60" t="s">
        <v>80</v>
      </c>
      <c r="Q35" s="59" t="s">
        <v>84</v>
      </c>
      <c r="R35" s="21" t="s">
        <v>71</v>
      </c>
      <c r="S35" s="21" t="s">
        <v>72</v>
      </c>
    </row>
    <row r="36" spans="1:19" ht="18" customHeight="1" x14ac:dyDescent="0.15">
      <c r="B36" s="83" t="s">
        <v>187</v>
      </c>
      <c r="C36" s="84"/>
      <c r="D36" s="84"/>
      <c r="E36" s="85"/>
      <c r="F36" s="22">
        <v>2</v>
      </c>
      <c r="G36" s="22"/>
      <c r="H36" s="22" t="s">
        <v>130</v>
      </c>
      <c r="I36" s="22" t="s">
        <v>130</v>
      </c>
      <c r="J36" s="83"/>
      <c r="K36" s="84"/>
      <c r="L36" s="84"/>
      <c r="M36" s="84"/>
      <c r="N36" s="84"/>
      <c r="O36" s="85"/>
      <c r="P36" s="22"/>
      <c r="Q36" s="22"/>
      <c r="R36" s="22"/>
      <c r="S36" s="22"/>
    </row>
    <row r="37" spans="1:19" ht="18" customHeight="1" x14ac:dyDescent="0.15">
      <c r="B37" s="86" t="s">
        <v>188</v>
      </c>
      <c r="C37" s="87"/>
      <c r="D37" s="87"/>
      <c r="E37" s="88"/>
      <c r="F37" s="23">
        <v>2</v>
      </c>
      <c r="G37" s="23"/>
      <c r="H37" s="23" t="s">
        <v>130</v>
      </c>
      <c r="I37" s="23" t="s">
        <v>130</v>
      </c>
      <c r="J37" s="86"/>
      <c r="K37" s="87"/>
      <c r="L37" s="87"/>
      <c r="M37" s="87"/>
      <c r="N37" s="87"/>
      <c r="O37" s="88"/>
      <c r="P37" s="23"/>
      <c r="Q37" s="23"/>
      <c r="R37" s="23"/>
      <c r="S37" s="23"/>
    </row>
    <row r="38" spans="1:19" ht="18" customHeight="1" x14ac:dyDescent="0.15">
      <c r="B38" s="86" t="s">
        <v>193</v>
      </c>
      <c r="C38" s="87"/>
      <c r="D38" s="87"/>
      <c r="E38" s="88"/>
      <c r="F38" s="23">
        <v>2</v>
      </c>
      <c r="G38" s="23"/>
      <c r="H38" s="23" t="s">
        <v>130</v>
      </c>
      <c r="I38" s="23" t="s">
        <v>130</v>
      </c>
      <c r="J38" s="86"/>
      <c r="K38" s="87"/>
      <c r="L38" s="87"/>
      <c r="M38" s="87"/>
      <c r="N38" s="87"/>
      <c r="O38" s="88"/>
      <c r="P38" s="23"/>
      <c r="Q38" s="23"/>
      <c r="R38" s="23"/>
      <c r="S38" s="23"/>
    </row>
    <row r="39" spans="1:19" ht="18" customHeight="1" x14ac:dyDescent="0.15">
      <c r="B39" s="86" t="s">
        <v>194</v>
      </c>
      <c r="C39" s="87"/>
      <c r="D39" s="87"/>
      <c r="E39" s="88"/>
      <c r="F39" s="23">
        <v>2</v>
      </c>
      <c r="G39" s="23"/>
      <c r="H39" s="23" t="s">
        <v>130</v>
      </c>
      <c r="I39" s="23" t="s">
        <v>130</v>
      </c>
      <c r="J39" s="86"/>
      <c r="K39" s="87"/>
      <c r="L39" s="87"/>
      <c r="M39" s="87"/>
      <c r="N39" s="87"/>
      <c r="O39" s="88"/>
      <c r="P39" s="23"/>
      <c r="Q39" s="23"/>
      <c r="R39" s="23"/>
      <c r="S39" s="23"/>
    </row>
    <row r="40" spans="1:19" ht="18" customHeight="1" x14ac:dyDescent="0.15">
      <c r="B40" s="86" t="s">
        <v>195</v>
      </c>
      <c r="C40" s="87"/>
      <c r="D40" s="87"/>
      <c r="E40" s="88"/>
      <c r="F40" s="23">
        <v>2</v>
      </c>
      <c r="G40" s="23"/>
      <c r="H40" s="23" t="s">
        <v>130</v>
      </c>
      <c r="I40" s="23" t="s">
        <v>130</v>
      </c>
      <c r="J40" s="86"/>
      <c r="K40" s="87"/>
      <c r="L40" s="87"/>
      <c r="M40" s="87"/>
      <c r="N40" s="87"/>
      <c r="O40" s="88"/>
      <c r="P40" s="23"/>
      <c r="Q40" s="23"/>
      <c r="R40" s="23"/>
      <c r="S40" s="23"/>
    </row>
    <row r="41" spans="1:19" ht="18" customHeight="1" x14ac:dyDescent="0.15">
      <c r="B41" s="86"/>
      <c r="C41" s="87"/>
      <c r="D41" s="87"/>
      <c r="E41" s="88"/>
      <c r="F41" s="23"/>
      <c r="G41" s="23"/>
      <c r="H41" s="23"/>
      <c r="I41" s="23"/>
      <c r="J41" s="86"/>
      <c r="K41" s="87"/>
      <c r="L41" s="87"/>
      <c r="M41" s="87"/>
      <c r="N41" s="87"/>
      <c r="O41" s="88"/>
      <c r="P41" s="23"/>
      <c r="Q41" s="23"/>
      <c r="R41" s="23"/>
      <c r="S41" s="23"/>
    </row>
    <row r="42" spans="1:19" ht="18" customHeight="1" x14ac:dyDescent="0.15">
      <c r="B42" s="92"/>
      <c r="C42" s="93"/>
      <c r="D42" s="93"/>
      <c r="E42" s="94"/>
      <c r="F42" s="24"/>
      <c r="G42" s="24"/>
      <c r="H42" s="25"/>
      <c r="I42" s="25"/>
      <c r="J42" s="92"/>
      <c r="K42" s="93"/>
      <c r="L42" s="93"/>
      <c r="M42" s="93"/>
      <c r="N42" s="93"/>
      <c r="O42" s="94"/>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53</v>
      </c>
      <c r="C46" s="90"/>
      <c r="D46" s="90"/>
      <c r="E46" s="91"/>
      <c r="F46" s="60" t="s">
        <v>80</v>
      </c>
      <c r="G46" s="59" t="s">
        <v>84</v>
      </c>
      <c r="H46" s="21" t="s">
        <v>73</v>
      </c>
      <c r="I46" s="21" t="s">
        <v>74</v>
      </c>
      <c r="J46" s="89" t="s">
        <v>53</v>
      </c>
      <c r="K46" s="90"/>
      <c r="L46" s="90"/>
      <c r="M46" s="90"/>
      <c r="N46" s="90"/>
      <c r="O46" s="91"/>
      <c r="P46" s="60" t="s">
        <v>80</v>
      </c>
      <c r="Q46" s="59" t="s">
        <v>84</v>
      </c>
      <c r="R46" s="21" t="s">
        <v>73</v>
      </c>
      <c r="S46" s="21" t="s">
        <v>74</v>
      </c>
    </row>
    <row r="47" spans="1:19" ht="18" customHeight="1" x14ac:dyDescent="0.15">
      <c r="A47" s="3"/>
      <c r="B47" s="83" t="s">
        <v>129</v>
      </c>
      <c r="C47" s="84"/>
      <c r="D47" s="84"/>
      <c r="E47" s="85"/>
      <c r="F47" s="22">
        <v>2</v>
      </c>
      <c r="G47" s="22" t="s">
        <v>130</v>
      </c>
      <c r="H47" s="22" t="s">
        <v>130</v>
      </c>
      <c r="I47" s="22" t="s">
        <v>130</v>
      </c>
      <c r="J47" s="83"/>
      <c r="K47" s="84"/>
      <c r="L47" s="84"/>
      <c r="M47" s="84"/>
      <c r="N47" s="84"/>
      <c r="O47" s="85"/>
      <c r="P47" s="22"/>
      <c r="Q47" s="22"/>
      <c r="R47" s="22"/>
      <c r="S47" s="22"/>
    </row>
    <row r="48" spans="1:19" ht="18" customHeight="1" x14ac:dyDescent="0.15">
      <c r="A48" s="3"/>
      <c r="B48" s="86"/>
      <c r="C48" s="87"/>
      <c r="D48" s="87"/>
      <c r="E48" s="88"/>
      <c r="F48" s="23"/>
      <c r="G48" s="23"/>
      <c r="H48" s="23"/>
      <c r="I48" s="23"/>
      <c r="J48" s="86"/>
      <c r="K48" s="87"/>
      <c r="L48" s="87"/>
      <c r="M48" s="87"/>
      <c r="N48" s="87"/>
      <c r="O48" s="88"/>
      <c r="P48" s="23"/>
      <c r="Q48" s="23"/>
      <c r="R48" s="23"/>
      <c r="S48" s="23"/>
    </row>
    <row r="49" spans="1:19" ht="18" customHeight="1" x14ac:dyDescent="0.15">
      <c r="A49" s="3"/>
      <c r="B49" s="86"/>
      <c r="C49" s="87"/>
      <c r="D49" s="87"/>
      <c r="E49" s="88"/>
      <c r="F49" s="23"/>
      <c r="G49" s="23"/>
      <c r="H49" s="23"/>
      <c r="I49" s="23"/>
      <c r="J49" s="86"/>
      <c r="K49" s="87"/>
      <c r="L49" s="87"/>
      <c r="M49" s="87"/>
      <c r="N49" s="87"/>
      <c r="O49" s="88"/>
      <c r="P49" s="23"/>
      <c r="Q49" s="23"/>
      <c r="R49" s="23"/>
      <c r="S49" s="23"/>
    </row>
    <row r="50" spans="1:19" ht="18" customHeight="1" x14ac:dyDescent="0.15">
      <c r="A50" s="3"/>
      <c r="B50" s="86"/>
      <c r="C50" s="87"/>
      <c r="D50" s="87"/>
      <c r="E50" s="88"/>
      <c r="F50" s="23"/>
      <c r="G50" s="23"/>
      <c r="H50" s="23"/>
      <c r="I50" s="23"/>
      <c r="J50" s="86"/>
      <c r="K50" s="87"/>
      <c r="L50" s="87"/>
      <c r="M50" s="87"/>
      <c r="N50" s="87"/>
      <c r="O50" s="88"/>
      <c r="P50" s="23"/>
      <c r="Q50" s="23"/>
      <c r="R50" s="23"/>
      <c r="S50" s="23"/>
    </row>
    <row r="51" spans="1:19" ht="18" customHeight="1" x14ac:dyDescent="0.15">
      <c r="A51" s="3"/>
      <c r="B51" s="86"/>
      <c r="C51" s="87"/>
      <c r="D51" s="87"/>
      <c r="E51" s="88"/>
      <c r="F51" s="23"/>
      <c r="G51" s="23"/>
      <c r="H51" s="23"/>
      <c r="I51" s="23"/>
      <c r="J51" s="86"/>
      <c r="K51" s="87"/>
      <c r="L51" s="87"/>
      <c r="M51" s="87"/>
      <c r="N51" s="87"/>
      <c r="O51" s="88"/>
      <c r="P51" s="23"/>
      <c r="Q51" s="23"/>
      <c r="R51" s="23"/>
      <c r="S51" s="23"/>
    </row>
    <row r="52" spans="1:19" ht="18" customHeight="1" x14ac:dyDescent="0.15">
      <c r="A52" s="3"/>
      <c r="B52" s="86"/>
      <c r="C52" s="87"/>
      <c r="D52" s="87"/>
      <c r="E52" s="88"/>
      <c r="F52" s="23"/>
      <c r="G52" s="23"/>
      <c r="H52" s="23"/>
      <c r="I52" s="23"/>
      <c r="J52" s="86"/>
      <c r="K52" s="87"/>
      <c r="L52" s="87"/>
      <c r="M52" s="87"/>
      <c r="N52" s="87"/>
      <c r="O52" s="88"/>
      <c r="P52" s="23"/>
      <c r="Q52" s="23"/>
      <c r="R52" s="23"/>
      <c r="S52" s="23"/>
    </row>
    <row r="53" spans="1:19" ht="18" customHeight="1" x14ac:dyDescent="0.15">
      <c r="A53" s="3"/>
      <c r="B53" s="92"/>
      <c r="C53" s="93"/>
      <c r="D53" s="93"/>
      <c r="E53" s="94"/>
      <c r="F53" s="24"/>
      <c r="G53" s="24"/>
      <c r="H53" s="25"/>
      <c r="I53" s="25"/>
      <c r="J53" s="92"/>
      <c r="K53" s="93"/>
      <c r="L53" s="93"/>
      <c r="M53" s="93"/>
      <c r="N53" s="93"/>
      <c r="O53" s="94"/>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53</v>
      </c>
      <c r="C57" s="90"/>
      <c r="D57" s="90"/>
      <c r="E57" s="91"/>
      <c r="F57" s="60" t="s">
        <v>80</v>
      </c>
      <c r="G57" s="59" t="s">
        <v>84</v>
      </c>
      <c r="H57" s="21" t="s">
        <v>58</v>
      </c>
      <c r="I57" s="21" t="s">
        <v>60</v>
      </c>
      <c r="J57" s="89" t="s">
        <v>53</v>
      </c>
      <c r="K57" s="90"/>
      <c r="L57" s="90"/>
      <c r="M57" s="90"/>
      <c r="N57" s="90"/>
      <c r="O57" s="91"/>
      <c r="P57" s="60" t="s">
        <v>80</v>
      </c>
      <c r="Q57" s="59" t="s">
        <v>84</v>
      </c>
      <c r="R57" s="21" t="s">
        <v>58</v>
      </c>
      <c r="S57" s="21" t="s">
        <v>60</v>
      </c>
    </row>
    <row r="58" spans="1:19" ht="18" customHeight="1" x14ac:dyDescent="0.15">
      <c r="A58" s="3"/>
      <c r="B58" s="83" t="s">
        <v>129</v>
      </c>
      <c r="C58" s="84"/>
      <c r="D58" s="84"/>
      <c r="E58" s="85"/>
      <c r="F58" s="22">
        <v>2</v>
      </c>
      <c r="G58" s="22" t="s">
        <v>130</v>
      </c>
      <c r="H58" s="22" t="s">
        <v>130</v>
      </c>
      <c r="I58" s="22" t="s">
        <v>130</v>
      </c>
      <c r="J58" s="83"/>
      <c r="K58" s="84"/>
      <c r="L58" s="84"/>
      <c r="M58" s="84"/>
      <c r="N58" s="84"/>
      <c r="O58" s="85"/>
      <c r="P58" s="22"/>
      <c r="Q58" s="22"/>
      <c r="R58" s="22"/>
      <c r="S58" s="22"/>
    </row>
    <row r="59" spans="1:19" ht="18" customHeight="1" x14ac:dyDescent="0.15">
      <c r="A59" s="3"/>
      <c r="B59" s="86"/>
      <c r="C59" s="87"/>
      <c r="D59" s="87"/>
      <c r="E59" s="88"/>
      <c r="F59" s="23"/>
      <c r="G59" s="23"/>
      <c r="H59" s="23"/>
      <c r="I59" s="23"/>
      <c r="J59" s="86"/>
      <c r="K59" s="87"/>
      <c r="L59" s="87"/>
      <c r="M59" s="87"/>
      <c r="N59" s="87"/>
      <c r="O59" s="88"/>
      <c r="P59" s="23"/>
      <c r="Q59" s="23"/>
      <c r="R59" s="23"/>
      <c r="S59" s="23"/>
    </row>
    <row r="60" spans="1:19" ht="18" customHeight="1" x14ac:dyDescent="0.15">
      <c r="A60" s="3"/>
      <c r="B60" s="86"/>
      <c r="C60" s="87"/>
      <c r="D60" s="87"/>
      <c r="E60" s="88"/>
      <c r="F60" s="23"/>
      <c r="G60" s="23"/>
      <c r="H60" s="23"/>
      <c r="I60" s="23"/>
      <c r="J60" s="86"/>
      <c r="K60" s="87"/>
      <c r="L60" s="87"/>
      <c r="M60" s="87"/>
      <c r="N60" s="87"/>
      <c r="O60" s="88"/>
      <c r="P60" s="23"/>
      <c r="Q60" s="23"/>
      <c r="R60" s="23"/>
      <c r="S60" s="23"/>
    </row>
    <row r="61" spans="1:19" ht="18" customHeight="1" x14ac:dyDescent="0.15">
      <c r="A61" s="3"/>
      <c r="B61" s="86"/>
      <c r="C61" s="87"/>
      <c r="D61" s="87"/>
      <c r="E61" s="88"/>
      <c r="F61" s="23"/>
      <c r="G61" s="23"/>
      <c r="H61" s="23"/>
      <c r="I61" s="23"/>
      <c r="J61" s="86"/>
      <c r="K61" s="87"/>
      <c r="L61" s="87"/>
      <c r="M61" s="87"/>
      <c r="N61" s="87"/>
      <c r="O61" s="88"/>
      <c r="P61" s="23"/>
      <c r="Q61" s="23"/>
      <c r="R61" s="23"/>
      <c r="S61" s="23"/>
    </row>
    <row r="62" spans="1:19" ht="18" customHeight="1" x14ac:dyDescent="0.15">
      <c r="A62" s="3"/>
      <c r="B62" s="86"/>
      <c r="C62" s="87"/>
      <c r="D62" s="87"/>
      <c r="E62" s="88"/>
      <c r="F62" s="23"/>
      <c r="G62" s="23"/>
      <c r="H62" s="23"/>
      <c r="I62" s="23"/>
      <c r="J62" s="86"/>
      <c r="K62" s="87"/>
      <c r="L62" s="87"/>
      <c r="M62" s="87"/>
      <c r="N62" s="87"/>
      <c r="O62" s="88"/>
      <c r="P62" s="23"/>
      <c r="Q62" s="23"/>
      <c r="R62" s="23"/>
      <c r="S62" s="23"/>
    </row>
    <row r="63" spans="1:19" ht="18" customHeight="1" x14ac:dyDescent="0.15">
      <c r="A63" s="3"/>
      <c r="B63" s="86"/>
      <c r="C63" s="87"/>
      <c r="D63" s="87"/>
      <c r="E63" s="88"/>
      <c r="F63" s="23"/>
      <c r="G63" s="23"/>
      <c r="H63" s="23"/>
      <c r="I63" s="23"/>
      <c r="J63" s="86"/>
      <c r="K63" s="87"/>
      <c r="L63" s="87"/>
      <c r="M63" s="87"/>
      <c r="N63" s="87"/>
      <c r="O63" s="88"/>
      <c r="P63" s="23"/>
      <c r="Q63" s="23"/>
      <c r="R63" s="23"/>
      <c r="S63" s="23"/>
    </row>
    <row r="64" spans="1:19" ht="18" customHeight="1" x14ac:dyDescent="0.15">
      <c r="A64" s="3"/>
      <c r="B64" s="92"/>
      <c r="C64" s="93"/>
      <c r="D64" s="93"/>
      <c r="E64" s="94"/>
      <c r="F64" s="24"/>
      <c r="G64" s="24"/>
      <c r="H64" s="25"/>
      <c r="I64" s="25"/>
      <c r="J64" s="92"/>
      <c r="K64" s="93"/>
      <c r="L64" s="93"/>
      <c r="M64" s="93"/>
      <c r="N64" s="93"/>
      <c r="O64" s="94"/>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53</v>
      </c>
      <c r="C68" s="90"/>
      <c r="D68" s="90"/>
      <c r="E68" s="60" t="s">
        <v>80</v>
      </c>
      <c r="F68" s="59" t="s">
        <v>84</v>
      </c>
      <c r="G68" s="21" t="s">
        <v>101</v>
      </c>
      <c r="H68" s="21" t="s">
        <v>75</v>
      </c>
      <c r="I68" s="21" t="s">
        <v>76</v>
      </c>
      <c r="J68" s="89" t="s">
        <v>53</v>
      </c>
      <c r="K68" s="90"/>
      <c r="L68" s="90"/>
      <c r="M68" s="90"/>
      <c r="N68" s="91"/>
      <c r="O68" s="60" t="s">
        <v>80</v>
      </c>
      <c r="P68" s="59" t="s">
        <v>84</v>
      </c>
      <c r="Q68" s="21" t="s">
        <v>101</v>
      </c>
      <c r="R68" s="21" t="s">
        <v>75</v>
      </c>
      <c r="S68" s="21" t="s">
        <v>76</v>
      </c>
    </row>
    <row r="69" spans="1:19" ht="18" customHeight="1" x14ac:dyDescent="0.15">
      <c r="A69" s="3"/>
      <c r="B69" s="83" t="s">
        <v>131</v>
      </c>
      <c r="C69" s="84"/>
      <c r="D69" s="85"/>
      <c r="E69" s="22">
        <v>2</v>
      </c>
      <c r="F69" s="22"/>
      <c r="G69" s="22" t="s">
        <v>130</v>
      </c>
      <c r="H69" s="22" t="s">
        <v>130</v>
      </c>
      <c r="I69" s="22" t="s">
        <v>130</v>
      </c>
      <c r="J69" s="83"/>
      <c r="K69" s="84"/>
      <c r="L69" s="84"/>
      <c r="M69" s="84"/>
      <c r="N69" s="85"/>
      <c r="O69" s="22"/>
      <c r="P69" s="22"/>
      <c r="Q69" s="22"/>
      <c r="R69" s="22"/>
      <c r="S69" s="22"/>
    </row>
    <row r="70" spans="1:19" ht="18" customHeight="1" x14ac:dyDescent="0.15">
      <c r="A70" s="3"/>
      <c r="B70" s="86" t="s">
        <v>132</v>
      </c>
      <c r="C70" s="87"/>
      <c r="D70" s="88"/>
      <c r="E70" s="23">
        <v>2</v>
      </c>
      <c r="F70" s="23"/>
      <c r="G70" s="23" t="s">
        <v>130</v>
      </c>
      <c r="H70" s="23" t="s">
        <v>130</v>
      </c>
      <c r="I70" s="23" t="s">
        <v>130</v>
      </c>
      <c r="J70" s="86"/>
      <c r="K70" s="87"/>
      <c r="L70" s="87"/>
      <c r="M70" s="87"/>
      <c r="N70" s="88"/>
      <c r="O70" s="23"/>
      <c r="P70" s="23"/>
      <c r="Q70" s="23"/>
      <c r="R70" s="23"/>
      <c r="S70" s="23"/>
    </row>
    <row r="71" spans="1:19" ht="18" customHeight="1" x14ac:dyDescent="0.15">
      <c r="A71" s="3"/>
      <c r="B71" s="86" t="s">
        <v>133</v>
      </c>
      <c r="C71" s="87"/>
      <c r="D71" s="88"/>
      <c r="E71" s="23">
        <v>2</v>
      </c>
      <c r="F71" s="23"/>
      <c r="G71" s="23" t="s">
        <v>130</v>
      </c>
      <c r="H71" s="23" t="s">
        <v>130</v>
      </c>
      <c r="I71" s="23" t="s">
        <v>130</v>
      </c>
      <c r="J71" s="86"/>
      <c r="K71" s="87"/>
      <c r="L71" s="87"/>
      <c r="M71" s="87"/>
      <c r="N71" s="88"/>
      <c r="O71" s="23"/>
      <c r="P71" s="23"/>
      <c r="Q71" s="23"/>
      <c r="R71" s="23"/>
      <c r="S71" s="23"/>
    </row>
    <row r="72" spans="1:19" ht="18" customHeight="1" x14ac:dyDescent="0.15">
      <c r="A72" s="3"/>
      <c r="B72" s="86"/>
      <c r="C72" s="87"/>
      <c r="D72" s="87"/>
      <c r="E72" s="23"/>
      <c r="F72" s="23"/>
      <c r="G72" s="23"/>
      <c r="H72" s="23"/>
      <c r="I72" s="23"/>
      <c r="J72" s="86"/>
      <c r="K72" s="87"/>
      <c r="L72" s="87"/>
      <c r="M72" s="87"/>
      <c r="N72" s="88"/>
      <c r="O72" s="23"/>
      <c r="P72" s="23"/>
      <c r="Q72" s="23"/>
      <c r="R72" s="23"/>
      <c r="S72" s="23"/>
    </row>
    <row r="73" spans="1:19" ht="18" customHeight="1" x14ac:dyDescent="0.15">
      <c r="A73" s="3"/>
      <c r="B73" s="86"/>
      <c r="C73" s="87"/>
      <c r="D73" s="87"/>
      <c r="E73" s="23"/>
      <c r="F73" s="23"/>
      <c r="G73" s="23"/>
      <c r="H73" s="23"/>
      <c r="I73" s="23"/>
      <c r="J73" s="86"/>
      <c r="K73" s="87"/>
      <c r="L73" s="87"/>
      <c r="M73" s="87"/>
      <c r="N73" s="88"/>
      <c r="O73" s="23"/>
      <c r="P73" s="23"/>
      <c r="Q73" s="23"/>
      <c r="R73" s="23"/>
      <c r="S73" s="23"/>
    </row>
    <row r="74" spans="1:19" ht="18" customHeight="1" x14ac:dyDescent="0.15">
      <c r="A74" s="3"/>
      <c r="B74" s="86"/>
      <c r="C74" s="87"/>
      <c r="D74" s="87"/>
      <c r="E74" s="23"/>
      <c r="F74" s="23"/>
      <c r="G74" s="23"/>
      <c r="H74" s="23"/>
      <c r="I74" s="23"/>
      <c r="J74" s="86"/>
      <c r="K74" s="87"/>
      <c r="L74" s="87"/>
      <c r="M74" s="87"/>
      <c r="N74" s="88"/>
      <c r="O74" s="23"/>
      <c r="P74" s="23"/>
      <c r="Q74" s="23"/>
      <c r="R74" s="23"/>
      <c r="S74" s="23"/>
    </row>
    <row r="75" spans="1:19" ht="18" customHeight="1" x14ac:dyDescent="0.15">
      <c r="A75" s="3"/>
      <c r="B75" s="92"/>
      <c r="C75" s="93"/>
      <c r="D75" s="93"/>
      <c r="E75" s="24"/>
      <c r="F75" s="24"/>
      <c r="G75" s="25"/>
      <c r="H75" s="25"/>
      <c r="I75" s="25"/>
      <c r="J75" s="92"/>
      <c r="K75" s="93"/>
      <c r="L75" s="93"/>
      <c r="M75" s="93"/>
      <c r="N75" s="94"/>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89" t="s">
        <v>53</v>
      </c>
      <c r="C78" s="90"/>
      <c r="D78" s="90"/>
      <c r="E78" s="91"/>
      <c r="F78" s="89" t="s">
        <v>82</v>
      </c>
      <c r="G78" s="90"/>
      <c r="H78" s="90"/>
      <c r="I78" s="91"/>
      <c r="J78" s="117" t="s">
        <v>53</v>
      </c>
      <c r="K78" s="118"/>
      <c r="L78" s="118"/>
      <c r="M78" s="118"/>
      <c r="N78" s="118"/>
      <c r="O78" s="119"/>
      <c r="P78" s="89" t="s">
        <v>82</v>
      </c>
      <c r="Q78" s="90"/>
      <c r="R78" s="90"/>
      <c r="S78" s="91"/>
    </row>
    <row r="79" spans="1:19" ht="18" customHeight="1" x14ac:dyDescent="0.15">
      <c r="A79" s="3"/>
      <c r="B79" s="83"/>
      <c r="C79" s="84"/>
      <c r="D79" s="84"/>
      <c r="E79" s="85"/>
      <c r="F79" s="111"/>
      <c r="G79" s="112"/>
      <c r="H79" s="112"/>
      <c r="I79" s="113"/>
      <c r="J79" s="83"/>
      <c r="K79" s="84"/>
      <c r="L79" s="84"/>
      <c r="M79" s="84"/>
      <c r="N79" s="84"/>
      <c r="O79" s="85"/>
      <c r="P79" s="111"/>
      <c r="Q79" s="112"/>
      <c r="R79" s="112"/>
      <c r="S79" s="113"/>
    </row>
    <row r="80" spans="1:19" ht="18" customHeight="1" x14ac:dyDescent="0.15">
      <c r="A80" s="3"/>
      <c r="B80" s="86"/>
      <c r="C80" s="87"/>
      <c r="D80" s="87"/>
      <c r="E80" s="88"/>
      <c r="F80" s="114"/>
      <c r="G80" s="115"/>
      <c r="H80" s="115"/>
      <c r="I80" s="116"/>
      <c r="J80" s="86"/>
      <c r="K80" s="87"/>
      <c r="L80" s="87"/>
      <c r="M80" s="87"/>
      <c r="N80" s="87"/>
      <c r="O80" s="88"/>
      <c r="P80" s="114"/>
      <c r="Q80" s="115"/>
      <c r="R80" s="115"/>
      <c r="S80" s="116"/>
    </row>
    <row r="81" spans="1:19" ht="18" customHeight="1" x14ac:dyDescent="0.15">
      <c r="A81" s="3"/>
      <c r="B81" s="86"/>
      <c r="C81" s="87"/>
      <c r="D81" s="87"/>
      <c r="E81" s="88"/>
      <c r="F81" s="114"/>
      <c r="G81" s="115"/>
      <c r="H81" s="115"/>
      <c r="I81" s="116"/>
      <c r="J81" s="86"/>
      <c r="K81" s="87"/>
      <c r="L81" s="87"/>
      <c r="M81" s="87"/>
      <c r="N81" s="87"/>
      <c r="O81" s="88"/>
      <c r="P81" s="114"/>
      <c r="Q81" s="115"/>
      <c r="R81" s="115"/>
      <c r="S81" s="116"/>
    </row>
    <row r="82" spans="1:19" ht="18" customHeight="1" x14ac:dyDescent="0.15">
      <c r="A82" s="3"/>
      <c r="B82" s="86"/>
      <c r="C82" s="87"/>
      <c r="D82" s="87"/>
      <c r="E82" s="88"/>
      <c r="F82" s="114"/>
      <c r="G82" s="115"/>
      <c r="H82" s="115"/>
      <c r="I82" s="116"/>
      <c r="J82" s="86"/>
      <c r="K82" s="87"/>
      <c r="L82" s="87"/>
      <c r="M82" s="87"/>
      <c r="N82" s="87"/>
      <c r="O82" s="88"/>
      <c r="P82" s="114"/>
      <c r="Q82" s="115"/>
      <c r="R82" s="115"/>
      <c r="S82" s="116"/>
    </row>
    <row r="83" spans="1:19" ht="18" customHeight="1" x14ac:dyDescent="0.15">
      <c r="A83" s="3"/>
      <c r="B83" s="86"/>
      <c r="C83" s="87"/>
      <c r="D83" s="87"/>
      <c r="E83" s="88"/>
      <c r="F83" s="114"/>
      <c r="G83" s="115"/>
      <c r="H83" s="115"/>
      <c r="I83" s="116"/>
      <c r="J83" s="86"/>
      <c r="K83" s="87"/>
      <c r="L83" s="87"/>
      <c r="M83" s="87"/>
      <c r="N83" s="87"/>
      <c r="O83" s="88"/>
      <c r="P83" s="114"/>
      <c r="Q83" s="115"/>
      <c r="R83" s="115"/>
      <c r="S83" s="116"/>
    </row>
    <row r="84" spans="1:19" ht="18" customHeight="1" x14ac:dyDescent="0.15">
      <c r="A84" s="3"/>
      <c r="B84" s="86"/>
      <c r="C84" s="87"/>
      <c r="D84" s="87"/>
      <c r="E84" s="88"/>
      <c r="F84" s="114"/>
      <c r="G84" s="115"/>
      <c r="H84" s="115"/>
      <c r="I84" s="116"/>
      <c r="J84" s="86"/>
      <c r="K84" s="87"/>
      <c r="L84" s="87"/>
      <c r="M84" s="87"/>
      <c r="N84" s="87"/>
      <c r="O84" s="88"/>
      <c r="P84" s="114"/>
      <c r="Q84" s="115"/>
      <c r="R84" s="115"/>
      <c r="S84" s="116"/>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07" t="s">
        <v>54</v>
      </c>
      <c r="C88" s="108"/>
      <c r="D88" s="90" t="s">
        <v>55</v>
      </c>
      <c r="E88" s="90"/>
      <c r="F88" s="90"/>
      <c r="G88" s="90"/>
      <c r="H88" s="90"/>
      <c r="I88" s="90"/>
      <c r="J88" s="90"/>
      <c r="K88" s="90"/>
      <c r="L88" s="90"/>
      <c r="M88" s="90"/>
      <c r="N88" s="90"/>
      <c r="O88" s="90"/>
      <c r="P88" s="90"/>
      <c r="Q88" s="90"/>
      <c r="R88" s="90"/>
      <c r="S88" s="91"/>
    </row>
    <row r="89" spans="1:19" ht="67.5" customHeight="1" x14ac:dyDescent="0.15">
      <c r="B89" s="96" t="s">
        <v>61</v>
      </c>
      <c r="C89" s="27" t="s">
        <v>56</v>
      </c>
      <c r="D89" s="105" t="s">
        <v>242</v>
      </c>
      <c r="E89" s="109"/>
      <c r="F89" s="109"/>
      <c r="G89" s="109"/>
      <c r="H89" s="109"/>
      <c r="I89" s="109"/>
      <c r="J89" s="109"/>
      <c r="K89" s="109"/>
      <c r="L89" s="109"/>
      <c r="M89" s="109"/>
      <c r="N89" s="109"/>
      <c r="O89" s="109"/>
      <c r="P89" s="109"/>
      <c r="Q89" s="109"/>
      <c r="R89" s="109"/>
      <c r="S89" s="110"/>
    </row>
    <row r="90" spans="1:19" ht="67.5" customHeight="1" x14ac:dyDescent="0.15">
      <c r="B90" s="97"/>
      <c r="C90" s="28" t="s">
        <v>77</v>
      </c>
      <c r="D90" s="123" t="s">
        <v>243</v>
      </c>
      <c r="E90" s="123"/>
      <c r="F90" s="123"/>
      <c r="G90" s="123"/>
      <c r="H90" s="123"/>
      <c r="I90" s="123"/>
      <c r="J90" s="123"/>
      <c r="K90" s="123"/>
      <c r="L90" s="123"/>
      <c r="M90" s="123"/>
      <c r="N90" s="123"/>
      <c r="O90" s="123"/>
      <c r="P90" s="123"/>
      <c r="Q90" s="123"/>
      <c r="R90" s="123"/>
      <c r="S90" s="124"/>
    </row>
    <row r="91" spans="1:19" ht="175.5" customHeight="1" x14ac:dyDescent="0.15">
      <c r="B91" s="96" t="s">
        <v>62</v>
      </c>
      <c r="C91" s="29" t="s">
        <v>71</v>
      </c>
      <c r="D91" s="125" t="s">
        <v>251</v>
      </c>
      <c r="E91" s="125"/>
      <c r="F91" s="125"/>
      <c r="G91" s="125"/>
      <c r="H91" s="125"/>
      <c r="I91" s="125"/>
      <c r="J91" s="125"/>
      <c r="K91" s="125"/>
      <c r="L91" s="125"/>
      <c r="M91" s="125"/>
      <c r="N91" s="125"/>
      <c r="O91" s="125"/>
      <c r="P91" s="125"/>
      <c r="Q91" s="125"/>
      <c r="R91" s="125"/>
      <c r="S91" s="160"/>
    </row>
    <row r="92" spans="1:19" ht="203.1" customHeight="1" x14ac:dyDescent="0.15">
      <c r="B92" s="98"/>
      <c r="C92" s="30" t="s">
        <v>72</v>
      </c>
      <c r="D92" s="125" t="s">
        <v>252</v>
      </c>
      <c r="E92" s="125"/>
      <c r="F92" s="125"/>
      <c r="G92" s="125"/>
      <c r="H92" s="125"/>
      <c r="I92" s="125"/>
      <c r="J92" s="125"/>
      <c r="K92" s="125"/>
      <c r="L92" s="125"/>
      <c r="M92" s="125"/>
      <c r="N92" s="125"/>
      <c r="O92" s="125"/>
      <c r="P92" s="125"/>
      <c r="Q92" s="125"/>
      <c r="R92" s="125"/>
      <c r="S92" s="160"/>
    </row>
    <row r="93" spans="1:19" ht="78.599999999999994" customHeight="1" x14ac:dyDescent="0.15">
      <c r="B93" s="96" t="s">
        <v>63</v>
      </c>
      <c r="C93" s="29" t="s">
        <v>73</v>
      </c>
      <c r="D93" s="125" t="s">
        <v>229</v>
      </c>
      <c r="E93" s="126"/>
      <c r="F93" s="126"/>
      <c r="G93" s="126"/>
      <c r="H93" s="126"/>
      <c r="I93" s="126"/>
      <c r="J93" s="126"/>
      <c r="K93" s="126"/>
      <c r="L93" s="126"/>
      <c r="M93" s="126"/>
      <c r="N93" s="126"/>
      <c r="O93" s="126"/>
      <c r="P93" s="126"/>
      <c r="Q93" s="126"/>
      <c r="R93" s="126"/>
      <c r="S93" s="127"/>
    </row>
    <row r="94" spans="1:19" ht="78.599999999999994" customHeight="1" x14ac:dyDescent="0.15">
      <c r="B94" s="98"/>
      <c r="C94" s="31" t="s">
        <v>74</v>
      </c>
      <c r="D94" s="128" t="s">
        <v>246</v>
      </c>
      <c r="E94" s="128"/>
      <c r="F94" s="128"/>
      <c r="G94" s="128"/>
      <c r="H94" s="128"/>
      <c r="I94" s="128"/>
      <c r="J94" s="128"/>
      <c r="K94" s="128"/>
      <c r="L94" s="128"/>
      <c r="M94" s="128"/>
      <c r="N94" s="128"/>
      <c r="O94" s="128"/>
      <c r="P94" s="128"/>
      <c r="Q94" s="128"/>
      <c r="R94" s="128"/>
      <c r="S94" s="129"/>
    </row>
    <row r="95" spans="1:19" ht="74.25" customHeight="1" x14ac:dyDescent="0.15">
      <c r="B95" s="96" t="s">
        <v>78</v>
      </c>
      <c r="C95" s="27" t="s">
        <v>58</v>
      </c>
      <c r="D95" s="105" t="s">
        <v>247</v>
      </c>
      <c r="E95" s="105"/>
      <c r="F95" s="105"/>
      <c r="G95" s="105"/>
      <c r="H95" s="105"/>
      <c r="I95" s="105"/>
      <c r="J95" s="105"/>
      <c r="K95" s="105"/>
      <c r="L95" s="105"/>
      <c r="M95" s="105"/>
      <c r="N95" s="105"/>
      <c r="O95" s="105"/>
      <c r="P95" s="105"/>
      <c r="Q95" s="105"/>
      <c r="R95" s="105"/>
      <c r="S95" s="106"/>
    </row>
    <row r="96" spans="1:19" ht="78" customHeight="1" x14ac:dyDescent="0.15">
      <c r="B96" s="98"/>
      <c r="C96" s="30" t="s">
        <v>60</v>
      </c>
      <c r="D96" s="130" t="s">
        <v>272</v>
      </c>
      <c r="E96" s="130"/>
      <c r="F96" s="130"/>
      <c r="G96" s="130"/>
      <c r="H96" s="130"/>
      <c r="I96" s="130"/>
      <c r="J96" s="130"/>
      <c r="K96" s="130"/>
      <c r="L96" s="130"/>
      <c r="M96" s="130"/>
      <c r="N96" s="130"/>
      <c r="O96" s="130"/>
      <c r="P96" s="130"/>
      <c r="Q96" s="130"/>
      <c r="R96" s="130"/>
      <c r="S96" s="133"/>
    </row>
    <row r="97" spans="1:19" ht="288" customHeight="1" x14ac:dyDescent="0.15">
      <c r="B97" s="96" t="s">
        <v>79</v>
      </c>
      <c r="C97" s="29" t="s">
        <v>57</v>
      </c>
      <c r="D97" s="100" t="s">
        <v>248</v>
      </c>
      <c r="E97" s="100"/>
      <c r="F97" s="100"/>
      <c r="G97" s="100"/>
      <c r="H97" s="100"/>
      <c r="I97" s="100"/>
      <c r="J97" s="100"/>
      <c r="K97" s="100"/>
      <c r="L97" s="100"/>
      <c r="M97" s="100"/>
      <c r="N97" s="100"/>
      <c r="O97" s="100"/>
      <c r="P97" s="100"/>
      <c r="Q97" s="100"/>
      <c r="R97" s="100"/>
      <c r="S97" s="101"/>
    </row>
    <row r="98" spans="1:19" ht="287.25" customHeight="1" x14ac:dyDescent="0.15">
      <c r="B98" s="97"/>
      <c r="C98" s="32" t="s">
        <v>75</v>
      </c>
      <c r="D98" s="100" t="s">
        <v>249</v>
      </c>
      <c r="E98" s="100"/>
      <c r="F98" s="100"/>
      <c r="G98" s="100"/>
      <c r="H98" s="100"/>
      <c r="I98" s="100"/>
      <c r="J98" s="100"/>
      <c r="K98" s="100"/>
      <c r="L98" s="100"/>
      <c r="M98" s="100"/>
      <c r="N98" s="100"/>
      <c r="O98" s="100"/>
      <c r="P98" s="100"/>
      <c r="Q98" s="100"/>
      <c r="R98" s="100"/>
      <c r="S98" s="101"/>
    </row>
    <row r="99" spans="1:19" ht="225.95" customHeight="1" x14ac:dyDescent="0.15">
      <c r="B99" s="98"/>
      <c r="C99" s="31" t="s">
        <v>76</v>
      </c>
      <c r="D99" s="102" t="s">
        <v>250</v>
      </c>
      <c r="E99" s="103"/>
      <c r="F99" s="103"/>
      <c r="G99" s="103"/>
      <c r="H99" s="103"/>
      <c r="I99" s="103"/>
      <c r="J99" s="103"/>
      <c r="K99" s="103"/>
      <c r="L99" s="103"/>
      <c r="M99" s="103"/>
      <c r="N99" s="103"/>
      <c r="O99" s="103"/>
      <c r="P99" s="103"/>
      <c r="Q99" s="103"/>
      <c r="R99" s="103"/>
      <c r="S99" s="104"/>
    </row>
    <row r="100" spans="1:19" ht="6" customHeight="1" x14ac:dyDescent="0.15"/>
    <row r="101" spans="1:19" ht="18.75" customHeight="1" x14ac:dyDescent="0.15">
      <c r="A101" s="1" t="s">
        <v>120</v>
      </c>
    </row>
    <row r="102" spans="1:19" ht="81.75" customHeight="1" x14ac:dyDescent="0.15">
      <c r="B102" s="102" t="s">
        <v>134</v>
      </c>
      <c r="C102" s="103"/>
      <c r="D102" s="103"/>
      <c r="E102" s="103"/>
      <c r="F102" s="103"/>
      <c r="G102" s="103"/>
      <c r="H102" s="103"/>
      <c r="I102" s="103"/>
      <c r="J102" s="103"/>
      <c r="K102" s="103"/>
      <c r="L102" s="103"/>
      <c r="M102" s="103"/>
      <c r="N102" s="103"/>
      <c r="O102" s="103"/>
      <c r="P102" s="103"/>
      <c r="Q102" s="103"/>
      <c r="R102" s="103"/>
      <c r="S102" s="104"/>
    </row>
    <row r="110" spans="1:19" ht="18" customHeight="1" x14ac:dyDescent="0.15"/>
  </sheetData>
  <customSheetViews>
    <customSheetView guid="{1C325414-5A0C-4C59-BA24-A8E2B4EC5171}" scale="85" showPageBreaks="1" zeroValues="0" fitToPage="1" printArea="1" hiddenColumns="1" view="pageBreakPreview">
      <selection activeCell="D98" sqref="D98:S9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76C3A8B2-43E5-4491-B38D-7D6417DC209B}" scale="85" showPageBreaks="1" zeroValues="0" fitToPage="1" printArea="1" hiddenColumns="1" view="pageBreakPreview">
      <selection activeCell="D98" sqref="D98:S9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 guid="{D1FD8C4C-CF69-45DF-A007-1EC45F0F0601}" scale="85" showPageBreaks="1" zeroValues="0" fitToPage="1" printArea="1" hiddenColumns="1" view="pageBreakPreview">
      <selection activeCell="D98" sqref="D98:S9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4" fitToHeight="0" orientation="portrait" r:id="rId3"/>
      <headerFooter>
        <oddHeader>&amp;C数理・データサイエンス・AI教育プログラム認定制度【リテラシーレベル】</oddHeader>
      </headerFooter>
    </customSheetView>
    <customSheetView guid="{B3C66A88-0371-48C7-9AE2-6606C7EDAAFC}" scale="85" showPageBreaks="1" zeroValues="0" fitToPage="1" printArea="1" hiddenColumns="1" view="pageBreakPreview">
      <selection activeCell="D98" sqref="D98:S98"/>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4"/>
      <headerFooter>
        <oddHeader>&amp;C数理・データサイエンス・AI教育プログラム認定制度【リテラシーレベル】</oddHeader>
      </headerFooter>
    </customSheetView>
  </customSheetViews>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2" priority="1">
      <formula>$K$7="学部・学科によって、修了要件は相違しない"</formula>
    </cfRule>
  </conditionalFormatting>
  <dataValidations count="5">
    <dataValidation type="list" allowBlank="1" showInputMessage="1" showErrorMessage="1" sqref="G25:I31 Q25:S31 G36:I42 Q36:S42 P69:S75 Q47:S53 G47:I53 Q58:S64 G58:I64 F69:I75" xr:uid="{906EA9B9-BF59-4A95-A7B6-66811C648E25}">
      <formula1>"○"</formula1>
    </dataValidation>
    <dataValidation type="list" allowBlank="1" showInputMessage="1" showErrorMessage="1" sqref="S32 S43 D32:G32 D43:G43" xr:uid="{AD7AA429-39C2-40DB-8792-CD65769C1DB9}">
      <formula1>"全学開講,一部開講"</formula1>
    </dataValidation>
    <dataValidation type="list" allowBlank="1" showInputMessage="1" showErrorMessage="1" sqref="K7 K12" xr:uid="{86987A52-8515-4F24-B609-C8126CD95933}">
      <formula1>"学部・学科によって、修了要件は相違する,学部・学科によって、修了要件は相違しない"</formula1>
    </dataValidation>
    <dataValidation type="list" allowBlank="1" showInputMessage="1" showErrorMessage="1" sqref="F79:F86 P79:P86 G79:I80 G83:I86 Q83:S86 Q79:S80" xr:uid="{A8D75A6D-D8C5-4ED5-AB33-739D6D48A82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37BE523A-2C22-4346-82CE-B6C7E4E4E40B}">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5"/>
  <headerFooter>
    <oddHeader>&amp;C数理・データサイエンス・AI教育プログラム認定制度【リテラシーレベル】</oddHeader>
  </headerFooter>
  <rowBreaks count="2" manualBreakCount="2">
    <brk id="65" max="18" man="1"/>
    <brk id="94" max="1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96C2D-2C47-46C4-B138-6C64074DDCEE}">
  <sheetPr>
    <pageSetUpPr fitToPage="1"/>
  </sheetPr>
  <dimension ref="A1:V110"/>
  <sheetViews>
    <sheetView showZeros="0" tabSelected="1" view="pageBreakPreview" topLeftCell="A92" zoomScale="85" zoomScaleNormal="100" zoomScaleSheetLayoutView="85" workbookViewId="0">
      <selection activeCell="D96" sqref="D96:S96"/>
    </sheetView>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196</v>
      </c>
      <c r="S1" s="134"/>
      <c r="T1" s="2" t="s">
        <v>109</v>
      </c>
    </row>
    <row r="2" spans="1:22" ht="18.75" customHeight="1" x14ac:dyDescent="0.15">
      <c r="B2" s="33" t="s">
        <v>108</v>
      </c>
      <c r="C2" s="89" t="s">
        <v>126</v>
      </c>
      <c r="D2" s="90"/>
      <c r="E2" s="90"/>
      <c r="F2" s="90"/>
      <c r="G2" s="90"/>
      <c r="H2" s="90"/>
      <c r="I2" s="91"/>
      <c r="J2" s="34"/>
      <c r="K2" s="6"/>
      <c r="L2" s="6"/>
      <c r="M2" s="6"/>
      <c r="N2" s="6"/>
      <c r="O2" s="6"/>
      <c r="P2" s="6"/>
      <c r="Q2" s="6"/>
      <c r="R2" s="6"/>
      <c r="S2" s="6"/>
    </row>
    <row r="3" spans="1:22" ht="18.75" customHeight="1" x14ac:dyDescent="0.15">
      <c r="B3" s="33" t="s">
        <v>102</v>
      </c>
      <c r="C3" s="138" t="s">
        <v>127</v>
      </c>
      <c r="D3" s="139"/>
      <c r="E3" s="139"/>
      <c r="F3" s="139"/>
      <c r="G3" s="139"/>
      <c r="H3" s="139"/>
      <c r="I3" s="14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41" t="s">
        <v>38</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51" t="s">
        <v>128</v>
      </c>
      <c r="L7" s="152"/>
      <c r="M7" s="152"/>
      <c r="N7" s="152"/>
      <c r="O7" s="152"/>
      <c r="P7" s="152"/>
      <c r="Q7" s="152"/>
      <c r="R7" s="152"/>
      <c r="S7" s="15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4" t="s">
        <v>197</v>
      </c>
      <c r="C9" s="155"/>
      <c r="D9" s="155"/>
      <c r="E9" s="155"/>
      <c r="F9" s="155"/>
      <c r="G9" s="155"/>
      <c r="H9" s="155"/>
      <c r="I9" s="155"/>
      <c r="J9" s="155"/>
      <c r="K9" s="155"/>
      <c r="L9" s="155"/>
      <c r="M9" s="155"/>
      <c r="N9" s="155"/>
      <c r="O9" s="155"/>
      <c r="P9" s="155"/>
      <c r="Q9" s="155"/>
      <c r="R9" s="155"/>
      <c r="S9" s="156"/>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42" t="s">
        <v>161</v>
      </c>
      <c r="C13" s="143"/>
      <c r="D13" s="143"/>
      <c r="E13" s="143"/>
      <c r="F13" s="143"/>
      <c r="G13" s="143"/>
      <c r="H13" s="143"/>
      <c r="I13" s="143"/>
      <c r="J13" s="143"/>
      <c r="K13" s="143"/>
      <c r="L13" s="143"/>
      <c r="M13" s="143"/>
      <c r="N13" s="143"/>
      <c r="O13" s="143"/>
      <c r="P13" s="143"/>
      <c r="Q13" s="143"/>
      <c r="R13" s="143"/>
      <c r="S13" s="144"/>
      <c r="V13" s="1" t="s">
        <v>103</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110</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123</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125</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89">
        <v>6</v>
      </c>
      <c r="D20" s="91"/>
      <c r="E20" s="39" t="s">
        <v>95</v>
      </c>
      <c r="G20" s="9"/>
      <c r="H20" s="3"/>
      <c r="I20" s="3"/>
      <c r="J20" s="34" t="s">
        <v>121</v>
      </c>
      <c r="K20" s="135" t="s">
        <v>125</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53</v>
      </c>
      <c r="C24" s="90"/>
      <c r="D24" s="90"/>
      <c r="E24" s="91"/>
      <c r="F24" s="60" t="s">
        <v>80</v>
      </c>
      <c r="G24" s="59" t="s">
        <v>84</v>
      </c>
      <c r="H24" s="21" t="s">
        <v>56</v>
      </c>
      <c r="I24" s="21" t="s">
        <v>59</v>
      </c>
      <c r="J24" s="89" t="s">
        <v>53</v>
      </c>
      <c r="K24" s="90"/>
      <c r="L24" s="90"/>
      <c r="M24" s="90"/>
      <c r="N24" s="90"/>
      <c r="O24" s="91"/>
      <c r="P24" s="60" t="s">
        <v>80</v>
      </c>
      <c r="Q24" s="59" t="s">
        <v>84</v>
      </c>
      <c r="R24" s="21" t="s">
        <v>56</v>
      </c>
      <c r="S24" s="21" t="s">
        <v>59</v>
      </c>
    </row>
    <row r="25" spans="1:19" ht="18" customHeight="1" x14ac:dyDescent="0.15">
      <c r="B25" s="83" t="s">
        <v>129</v>
      </c>
      <c r="C25" s="84"/>
      <c r="D25" s="84"/>
      <c r="E25" s="85"/>
      <c r="F25" s="22">
        <v>2</v>
      </c>
      <c r="G25" s="22" t="s">
        <v>130</v>
      </c>
      <c r="H25" s="22" t="s">
        <v>130</v>
      </c>
      <c r="I25" s="22" t="s">
        <v>130</v>
      </c>
      <c r="J25" s="83"/>
      <c r="K25" s="84"/>
      <c r="L25" s="84"/>
      <c r="M25" s="84"/>
      <c r="N25" s="84"/>
      <c r="O25" s="85"/>
      <c r="P25" s="22"/>
      <c r="Q25" s="22"/>
      <c r="R25" s="22"/>
      <c r="S25" s="22"/>
    </row>
    <row r="26" spans="1:19" ht="18" customHeight="1" x14ac:dyDescent="0.15">
      <c r="B26" s="86"/>
      <c r="C26" s="87"/>
      <c r="D26" s="87"/>
      <c r="E26" s="88"/>
      <c r="F26" s="23"/>
      <c r="G26" s="23"/>
      <c r="H26" s="23"/>
      <c r="I26" s="23"/>
      <c r="J26" s="86"/>
      <c r="K26" s="87"/>
      <c r="L26" s="87"/>
      <c r="M26" s="87"/>
      <c r="N26" s="87"/>
      <c r="O26" s="88"/>
      <c r="P26" s="23"/>
      <c r="Q26" s="23"/>
      <c r="R26" s="23"/>
      <c r="S26" s="23"/>
    </row>
    <row r="27" spans="1:19" ht="18" customHeight="1" x14ac:dyDescent="0.15">
      <c r="B27" s="86"/>
      <c r="C27" s="87"/>
      <c r="D27" s="87"/>
      <c r="E27" s="88"/>
      <c r="F27" s="23"/>
      <c r="G27" s="23"/>
      <c r="H27" s="23"/>
      <c r="I27" s="23"/>
      <c r="J27" s="86"/>
      <c r="K27" s="87"/>
      <c r="L27" s="87"/>
      <c r="M27" s="87"/>
      <c r="N27" s="87"/>
      <c r="O27" s="88"/>
      <c r="P27" s="23"/>
      <c r="Q27" s="23"/>
      <c r="R27" s="23"/>
      <c r="S27" s="23"/>
    </row>
    <row r="28" spans="1:19" ht="18" customHeight="1" x14ac:dyDescent="0.15">
      <c r="B28" s="86"/>
      <c r="C28" s="87"/>
      <c r="D28" s="87"/>
      <c r="E28" s="88"/>
      <c r="F28" s="23"/>
      <c r="G28" s="23"/>
      <c r="H28" s="23"/>
      <c r="I28" s="23"/>
      <c r="J28" s="86"/>
      <c r="K28" s="87"/>
      <c r="L28" s="87"/>
      <c r="M28" s="87"/>
      <c r="N28" s="87"/>
      <c r="O28" s="88"/>
      <c r="P28" s="23"/>
      <c r="Q28" s="23"/>
      <c r="R28" s="23"/>
      <c r="S28" s="23"/>
    </row>
    <row r="29" spans="1:19" ht="18" customHeight="1" x14ac:dyDescent="0.15">
      <c r="B29" s="86"/>
      <c r="C29" s="87"/>
      <c r="D29" s="87"/>
      <c r="E29" s="88"/>
      <c r="F29" s="23"/>
      <c r="G29" s="23"/>
      <c r="H29" s="23"/>
      <c r="I29" s="23"/>
      <c r="J29" s="86"/>
      <c r="K29" s="87"/>
      <c r="L29" s="87"/>
      <c r="M29" s="87"/>
      <c r="N29" s="87"/>
      <c r="O29" s="88"/>
      <c r="P29" s="23"/>
      <c r="Q29" s="23"/>
      <c r="R29" s="23"/>
      <c r="S29" s="23"/>
    </row>
    <row r="30" spans="1:19" ht="18" customHeight="1" x14ac:dyDescent="0.15">
      <c r="A30" s="3"/>
      <c r="B30" s="86"/>
      <c r="C30" s="87"/>
      <c r="D30" s="87"/>
      <c r="E30" s="88"/>
      <c r="F30" s="23"/>
      <c r="G30" s="23"/>
      <c r="H30" s="23"/>
      <c r="I30" s="23"/>
      <c r="J30" s="86"/>
      <c r="K30" s="87"/>
      <c r="L30" s="87"/>
      <c r="M30" s="87"/>
      <c r="N30" s="87"/>
      <c r="O30" s="88"/>
      <c r="P30" s="23"/>
      <c r="Q30" s="23"/>
      <c r="R30" s="23"/>
      <c r="S30" s="23"/>
    </row>
    <row r="31" spans="1:19" ht="18" customHeight="1" x14ac:dyDescent="0.15">
      <c r="A31" s="3"/>
      <c r="B31" s="92"/>
      <c r="C31" s="93"/>
      <c r="D31" s="93"/>
      <c r="E31" s="94"/>
      <c r="F31" s="24"/>
      <c r="G31" s="24"/>
      <c r="H31" s="25"/>
      <c r="I31" s="25"/>
      <c r="J31" s="92"/>
      <c r="K31" s="93"/>
      <c r="L31" s="93"/>
      <c r="M31" s="93"/>
      <c r="N31" s="93"/>
      <c r="O31" s="94"/>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53</v>
      </c>
      <c r="C35" s="90"/>
      <c r="D35" s="90"/>
      <c r="E35" s="91"/>
      <c r="F35" s="60" t="s">
        <v>80</v>
      </c>
      <c r="G35" s="59" t="s">
        <v>84</v>
      </c>
      <c r="H35" s="21" t="s">
        <v>71</v>
      </c>
      <c r="I35" s="21" t="s">
        <v>72</v>
      </c>
      <c r="J35" s="89" t="s">
        <v>53</v>
      </c>
      <c r="K35" s="90"/>
      <c r="L35" s="90"/>
      <c r="M35" s="90"/>
      <c r="N35" s="90"/>
      <c r="O35" s="91"/>
      <c r="P35" s="60" t="s">
        <v>80</v>
      </c>
      <c r="Q35" s="59" t="s">
        <v>84</v>
      </c>
      <c r="R35" s="21" t="s">
        <v>71</v>
      </c>
      <c r="S35" s="21" t="s">
        <v>72</v>
      </c>
    </row>
    <row r="36" spans="1:19" ht="18" customHeight="1" x14ac:dyDescent="0.15">
      <c r="B36" s="83" t="s">
        <v>187</v>
      </c>
      <c r="C36" s="84"/>
      <c r="D36" s="84"/>
      <c r="E36" s="85"/>
      <c r="F36" s="22">
        <v>2</v>
      </c>
      <c r="G36" s="22"/>
      <c r="H36" s="22" t="s">
        <v>130</v>
      </c>
      <c r="I36" s="22" t="s">
        <v>130</v>
      </c>
      <c r="J36" s="83"/>
      <c r="K36" s="84"/>
      <c r="L36" s="84"/>
      <c r="M36" s="84"/>
      <c r="N36" s="84"/>
      <c r="O36" s="85"/>
      <c r="P36" s="22"/>
      <c r="Q36" s="22"/>
      <c r="R36" s="22"/>
      <c r="S36" s="22"/>
    </row>
    <row r="37" spans="1:19" ht="18" customHeight="1" x14ac:dyDescent="0.15">
      <c r="B37" s="86" t="s">
        <v>188</v>
      </c>
      <c r="C37" s="87"/>
      <c r="D37" s="87"/>
      <c r="E37" s="88"/>
      <c r="F37" s="23">
        <v>2</v>
      </c>
      <c r="G37" s="23"/>
      <c r="H37" s="23" t="s">
        <v>130</v>
      </c>
      <c r="I37" s="23" t="s">
        <v>130</v>
      </c>
      <c r="J37" s="86"/>
      <c r="K37" s="87"/>
      <c r="L37" s="87"/>
      <c r="M37" s="87"/>
      <c r="N37" s="87"/>
      <c r="O37" s="88"/>
      <c r="P37" s="23"/>
      <c r="Q37" s="23"/>
      <c r="R37" s="23"/>
      <c r="S37" s="23"/>
    </row>
    <row r="38" spans="1:19" ht="18" customHeight="1" x14ac:dyDescent="0.15">
      <c r="B38" s="86"/>
      <c r="C38" s="87"/>
      <c r="D38" s="87"/>
      <c r="E38" s="88"/>
      <c r="F38" s="23"/>
      <c r="G38" s="23"/>
      <c r="H38" s="23"/>
      <c r="I38" s="23"/>
      <c r="J38" s="86"/>
      <c r="K38" s="87"/>
      <c r="L38" s="87"/>
      <c r="M38" s="87"/>
      <c r="N38" s="87"/>
      <c r="O38" s="88"/>
      <c r="P38" s="23"/>
      <c r="Q38" s="23"/>
      <c r="R38" s="23"/>
      <c r="S38" s="23"/>
    </row>
    <row r="39" spans="1:19" ht="18" customHeight="1" x14ac:dyDescent="0.15">
      <c r="B39" s="86"/>
      <c r="C39" s="87"/>
      <c r="D39" s="87"/>
      <c r="E39" s="88"/>
      <c r="F39" s="23"/>
      <c r="G39" s="23"/>
      <c r="H39" s="23"/>
      <c r="I39" s="23"/>
      <c r="J39" s="86"/>
      <c r="K39" s="87"/>
      <c r="L39" s="87"/>
      <c r="M39" s="87"/>
      <c r="N39" s="87"/>
      <c r="O39" s="88"/>
      <c r="P39" s="23"/>
      <c r="Q39" s="23"/>
      <c r="R39" s="23"/>
      <c r="S39" s="23"/>
    </row>
    <row r="40" spans="1:19" ht="18" customHeight="1" x14ac:dyDescent="0.15">
      <c r="B40" s="86"/>
      <c r="C40" s="87"/>
      <c r="D40" s="87"/>
      <c r="E40" s="88"/>
      <c r="F40" s="23"/>
      <c r="G40" s="23"/>
      <c r="H40" s="23"/>
      <c r="I40" s="23"/>
      <c r="J40" s="86"/>
      <c r="K40" s="87"/>
      <c r="L40" s="87"/>
      <c r="M40" s="87"/>
      <c r="N40" s="87"/>
      <c r="O40" s="88"/>
      <c r="P40" s="23"/>
      <c r="Q40" s="23"/>
      <c r="R40" s="23"/>
      <c r="S40" s="23"/>
    </row>
    <row r="41" spans="1:19" ht="18" customHeight="1" x14ac:dyDescent="0.15">
      <c r="B41" s="86"/>
      <c r="C41" s="87"/>
      <c r="D41" s="87"/>
      <c r="E41" s="88"/>
      <c r="F41" s="23"/>
      <c r="G41" s="23"/>
      <c r="H41" s="23"/>
      <c r="I41" s="23"/>
      <c r="J41" s="86"/>
      <c r="K41" s="87"/>
      <c r="L41" s="87"/>
      <c r="M41" s="87"/>
      <c r="N41" s="87"/>
      <c r="O41" s="88"/>
      <c r="P41" s="23"/>
      <c r="Q41" s="23"/>
      <c r="R41" s="23"/>
      <c r="S41" s="23"/>
    </row>
    <row r="42" spans="1:19" ht="18" customHeight="1" x14ac:dyDescent="0.15">
      <c r="B42" s="92"/>
      <c r="C42" s="93"/>
      <c r="D42" s="93"/>
      <c r="E42" s="94"/>
      <c r="F42" s="24"/>
      <c r="G42" s="24"/>
      <c r="H42" s="25"/>
      <c r="I42" s="25"/>
      <c r="J42" s="92"/>
      <c r="K42" s="93"/>
      <c r="L42" s="93"/>
      <c r="M42" s="93"/>
      <c r="N42" s="93"/>
      <c r="O42" s="94"/>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53</v>
      </c>
      <c r="C46" s="90"/>
      <c r="D46" s="90"/>
      <c r="E46" s="91"/>
      <c r="F46" s="60" t="s">
        <v>80</v>
      </c>
      <c r="G46" s="59" t="s">
        <v>84</v>
      </c>
      <c r="H46" s="21" t="s">
        <v>73</v>
      </c>
      <c r="I46" s="21" t="s">
        <v>74</v>
      </c>
      <c r="J46" s="89" t="s">
        <v>53</v>
      </c>
      <c r="K46" s="90"/>
      <c r="L46" s="90"/>
      <c r="M46" s="90"/>
      <c r="N46" s="90"/>
      <c r="O46" s="91"/>
      <c r="P46" s="60" t="s">
        <v>80</v>
      </c>
      <c r="Q46" s="59" t="s">
        <v>84</v>
      </c>
      <c r="R46" s="21" t="s">
        <v>73</v>
      </c>
      <c r="S46" s="21" t="s">
        <v>74</v>
      </c>
    </row>
    <row r="47" spans="1:19" ht="18" customHeight="1" x14ac:dyDescent="0.15">
      <c r="A47" s="3"/>
      <c r="B47" s="83" t="s">
        <v>129</v>
      </c>
      <c r="C47" s="84"/>
      <c r="D47" s="84"/>
      <c r="E47" s="85"/>
      <c r="F47" s="22">
        <v>2</v>
      </c>
      <c r="G47" s="22" t="s">
        <v>130</v>
      </c>
      <c r="H47" s="22" t="s">
        <v>130</v>
      </c>
      <c r="I47" s="22" t="s">
        <v>130</v>
      </c>
      <c r="J47" s="83"/>
      <c r="K47" s="84"/>
      <c r="L47" s="84"/>
      <c r="M47" s="84"/>
      <c r="N47" s="84"/>
      <c r="O47" s="85"/>
      <c r="P47" s="22"/>
      <c r="Q47" s="22"/>
      <c r="R47" s="22"/>
      <c r="S47" s="22"/>
    </row>
    <row r="48" spans="1:19" ht="18" customHeight="1" x14ac:dyDescent="0.15">
      <c r="A48" s="3"/>
      <c r="B48" s="86"/>
      <c r="C48" s="87"/>
      <c r="D48" s="87"/>
      <c r="E48" s="88"/>
      <c r="F48" s="23"/>
      <c r="G48" s="23"/>
      <c r="H48" s="23"/>
      <c r="I48" s="23"/>
      <c r="J48" s="86"/>
      <c r="K48" s="87"/>
      <c r="L48" s="87"/>
      <c r="M48" s="87"/>
      <c r="N48" s="87"/>
      <c r="O48" s="88"/>
      <c r="P48" s="23"/>
      <c r="Q48" s="23"/>
      <c r="R48" s="23"/>
      <c r="S48" s="23"/>
    </row>
    <row r="49" spans="1:19" ht="18" customHeight="1" x14ac:dyDescent="0.15">
      <c r="A49" s="3"/>
      <c r="B49" s="86"/>
      <c r="C49" s="87"/>
      <c r="D49" s="87"/>
      <c r="E49" s="88"/>
      <c r="F49" s="23"/>
      <c r="G49" s="23"/>
      <c r="H49" s="23"/>
      <c r="I49" s="23"/>
      <c r="J49" s="86"/>
      <c r="K49" s="87"/>
      <c r="L49" s="87"/>
      <c r="M49" s="87"/>
      <c r="N49" s="87"/>
      <c r="O49" s="88"/>
      <c r="P49" s="23"/>
      <c r="Q49" s="23"/>
      <c r="R49" s="23"/>
      <c r="S49" s="23"/>
    </row>
    <row r="50" spans="1:19" ht="18" customHeight="1" x14ac:dyDescent="0.15">
      <c r="A50" s="3"/>
      <c r="B50" s="86"/>
      <c r="C50" s="87"/>
      <c r="D50" s="87"/>
      <c r="E50" s="88"/>
      <c r="F50" s="23"/>
      <c r="G50" s="23"/>
      <c r="H50" s="23"/>
      <c r="I50" s="23"/>
      <c r="J50" s="86"/>
      <c r="K50" s="87"/>
      <c r="L50" s="87"/>
      <c r="M50" s="87"/>
      <c r="N50" s="87"/>
      <c r="O50" s="88"/>
      <c r="P50" s="23"/>
      <c r="Q50" s="23"/>
      <c r="R50" s="23"/>
      <c r="S50" s="23"/>
    </row>
    <row r="51" spans="1:19" ht="18" customHeight="1" x14ac:dyDescent="0.15">
      <c r="A51" s="3"/>
      <c r="B51" s="86"/>
      <c r="C51" s="87"/>
      <c r="D51" s="87"/>
      <c r="E51" s="88"/>
      <c r="F51" s="23"/>
      <c r="G51" s="23"/>
      <c r="H51" s="23"/>
      <c r="I51" s="23"/>
      <c r="J51" s="86"/>
      <c r="K51" s="87"/>
      <c r="L51" s="87"/>
      <c r="M51" s="87"/>
      <c r="N51" s="87"/>
      <c r="O51" s="88"/>
      <c r="P51" s="23"/>
      <c r="Q51" s="23"/>
      <c r="R51" s="23"/>
      <c r="S51" s="23"/>
    </row>
    <row r="52" spans="1:19" ht="18" customHeight="1" x14ac:dyDescent="0.15">
      <c r="A52" s="3"/>
      <c r="B52" s="86"/>
      <c r="C52" s="87"/>
      <c r="D52" s="87"/>
      <c r="E52" s="88"/>
      <c r="F52" s="23"/>
      <c r="G52" s="23"/>
      <c r="H52" s="23"/>
      <c r="I52" s="23"/>
      <c r="J52" s="86"/>
      <c r="K52" s="87"/>
      <c r="L52" s="87"/>
      <c r="M52" s="87"/>
      <c r="N52" s="87"/>
      <c r="O52" s="88"/>
      <c r="P52" s="23"/>
      <c r="Q52" s="23"/>
      <c r="R52" s="23"/>
      <c r="S52" s="23"/>
    </row>
    <row r="53" spans="1:19" ht="18" customHeight="1" x14ac:dyDescent="0.15">
      <c r="A53" s="3"/>
      <c r="B53" s="92"/>
      <c r="C53" s="93"/>
      <c r="D53" s="93"/>
      <c r="E53" s="94"/>
      <c r="F53" s="24"/>
      <c r="G53" s="24"/>
      <c r="H53" s="25"/>
      <c r="I53" s="25"/>
      <c r="J53" s="92"/>
      <c r="K53" s="93"/>
      <c r="L53" s="93"/>
      <c r="M53" s="93"/>
      <c r="N53" s="93"/>
      <c r="O53" s="94"/>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53</v>
      </c>
      <c r="C57" s="90"/>
      <c r="D57" s="90"/>
      <c r="E57" s="91"/>
      <c r="F57" s="60" t="s">
        <v>80</v>
      </c>
      <c r="G57" s="59" t="s">
        <v>84</v>
      </c>
      <c r="H57" s="21" t="s">
        <v>58</v>
      </c>
      <c r="I57" s="21" t="s">
        <v>60</v>
      </c>
      <c r="J57" s="89" t="s">
        <v>53</v>
      </c>
      <c r="K57" s="90"/>
      <c r="L57" s="90"/>
      <c r="M57" s="90"/>
      <c r="N57" s="90"/>
      <c r="O57" s="91"/>
      <c r="P57" s="60" t="s">
        <v>80</v>
      </c>
      <c r="Q57" s="59" t="s">
        <v>84</v>
      </c>
      <c r="R57" s="21" t="s">
        <v>58</v>
      </c>
      <c r="S57" s="21" t="s">
        <v>60</v>
      </c>
    </row>
    <row r="58" spans="1:19" ht="18" customHeight="1" x14ac:dyDescent="0.15">
      <c r="A58" s="3"/>
      <c r="B58" s="83" t="s">
        <v>129</v>
      </c>
      <c r="C58" s="84"/>
      <c r="D58" s="84"/>
      <c r="E58" s="85"/>
      <c r="F58" s="22">
        <v>2</v>
      </c>
      <c r="G58" s="22" t="s">
        <v>130</v>
      </c>
      <c r="H58" s="22" t="s">
        <v>130</v>
      </c>
      <c r="I58" s="22" t="s">
        <v>130</v>
      </c>
      <c r="J58" s="83"/>
      <c r="K58" s="84"/>
      <c r="L58" s="84"/>
      <c r="M58" s="84"/>
      <c r="N58" s="84"/>
      <c r="O58" s="85"/>
      <c r="P58" s="22"/>
      <c r="Q58" s="22"/>
      <c r="R58" s="22"/>
      <c r="S58" s="22"/>
    </row>
    <row r="59" spans="1:19" ht="18" customHeight="1" x14ac:dyDescent="0.15">
      <c r="A59" s="3"/>
      <c r="B59" s="86"/>
      <c r="C59" s="87"/>
      <c r="D59" s="87"/>
      <c r="E59" s="88"/>
      <c r="F59" s="23"/>
      <c r="G59" s="23"/>
      <c r="H59" s="23"/>
      <c r="I59" s="23"/>
      <c r="J59" s="86"/>
      <c r="K59" s="87"/>
      <c r="L59" s="87"/>
      <c r="M59" s="87"/>
      <c r="N59" s="87"/>
      <c r="O59" s="88"/>
      <c r="P59" s="23"/>
      <c r="Q59" s="23"/>
      <c r="R59" s="23"/>
      <c r="S59" s="23"/>
    </row>
    <row r="60" spans="1:19" ht="18" customHeight="1" x14ac:dyDescent="0.15">
      <c r="A60" s="3"/>
      <c r="B60" s="86"/>
      <c r="C60" s="87"/>
      <c r="D60" s="87"/>
      <c r="E60" s="88"/>
      <c r="F60" s="23"/>
      <c r="G60" s="23"/>
      <c r="H60" s="23"/>
      <c r="I60" s="23"/>
      <c r="J60" s="86"/>
      <c r="K60" s="87"/>
      <c r="L60" s="87"/>
      <c r="M60" s="87"/>
      <c r="N60" s="87"/>
      <c r="O60" s="88"/>
      <c r="P60" s="23"/>
      <c r="Q60" s="23"/>
      <c r="R60" s="23"/>
      <c r="S60" s="23"/>
    </row>
    <row r="61" spans="1:19" ht="18" customHeight="1" x14ac:dyDescent="0.15">
      <c r="A61" s="3"/>
      <c r="B61" s="86"/>
      <c r="C61" s="87"/>
      <c r="D61" s="87"/>
      <c r="E61" s="88"/>
      <c r="F61" s="23"/>
      <c r="G61" s="23"/>
      <c r="H61" s="23"/>
      <c r="I61" s="23"/>
      <c r="J61" s="86"/>
      <c r="K61" s="87"/>
      <c r="L61" s="87"/>
      <c r="M61" s="87"/>
      <c r="N61" s="87"/>
      <c r="O61" s="88"/>
      <c r="P61" s="23"/>
      <c r="Q61" s="23"/>
      <c r="R61" s="23"/>
      <c r="S61" s="23"/>
    </row>
    <row r="62" spans="1:19" ht="18" customHeight="1" x14ac:dyDescent="0.15">
      <c r="A62" s="3"/>
      <c r="B62" s="86"/>
      <c r="C62" s="87"/>
      <c r="D62" s="87"/>
      <c r="E62" s="88"/>
      <c r="F62" s="23"/>
      <c r="G62" s="23"/>
      <c r="H62" s="23"/>
      <c r="I62" s="23"/>
      <c r="J62" s="86"/>
      <c r="K62" s="87"/>
      <c r="L62" s="87"/>
      <c r="M62" s="87"/>
      <c r="N62" s="87"/>
      <c r="O62" s="88"/>
      <c r="P62" s="23"/>
      <c r="Q62" s="23"/>
      <c r="R62" s="23"/>
      <c r="S62" s="23"/>
    </row>
    <row r="63" spans="1:19" ht="18" customHeight="1" x14ac:dyDescent="0.15">
      <c r="A63" s="3"/>
      <c r="B63" s="86"/>
      <c r="C63" s="87"/>
      <c r="D63" s="87"/>
      <c r="E63" s="88"/>
      <c r="F63" s="23"/>
      <c r="G63" s="23"/>
      <c r="H63" s="23"/>
      <c r="I63" s="23"/>
      <c r="J63" s="86"/>
      <c r="K63" s="87"/>
      <c r="L63" s="87"/>
      <c r="M63" s="87"/>
      <c r="N63" s="87"/>
      <c r="O63" s="88"/>
      <c r="P63" s="23"/>
      <c r="Q63" s="23"/>
      <c r="R63" s="23"/>
      <c r="S63" s="23"/>
    </row>
    <row r="64" spans="1:19" ht="18" customHeight="1" x14ac:dyDescent="0.15">
      <c r="A64" s="3"/>
      <c r="B64" s="92"/>
      <c r="C64" s="93"/>
      <c r="D64" s="93"/>
      <c r="E64" s="94"/>
      <c r="F64" s="24"/>
      <c r="G64" s="24"/>
      <c r="H64" s="25"/>
      <c r="I64" s="25"/>
      <c r="J64" s="92"/>
      <c r="K64" s="93"/>
      <c r="L64" s="93"/>
      <c r="M64" s="93"/>
      <c r="N64" s="93"/>
      <c r="O64" s="94"/>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53</v>
      </c>
      <c r="C68" s="90"/>
      <c r="D68" s="90"/>
      <c r="E68" s="60" t="s">
        <v>80</v>
      </c>
      <c r="F68" s="59" t="s">
        <v>84</v>
      </c>
      <c r="G68" s="21" t="s">
        <v>101</v>
      </c>
      <c r="H68" s="21" t="s">
        <v>75</v>
      </c>
      <c r="I68" s="21" t="s">
        <v>76</v>
      </c>
      <c r="J68" s="89" t="s">
        <v>53</v>
      </c>
      <c r="K68" s="90"/>
      <c r="L68" s="90"/>
      <c r="M68" s="90"/>
      <c r="N68" s="91"/>
      <c r="O68" s="60" t="s">
        <v>80</v>
      </c>
      <c r="P68" s="59" t="s">
        <v>84</v>
      </c>
      <c r="Q68" s="21" t="s">
        <v>101</v>
      </c>
      <c r="R68" s="21" t="s">
        <v>75</v>
      </c>
      <c r="S68" s="21" t="s">
        <v>76</v>
      </c>
    </row>
    <row r="69" spans="1:19" ht="18" customHeight="1" x14ac:dyDescent="0.15">
      <c r="A69" s="3"/>
      <c r="B69" s="83" t="s">
        <v>131</v>
      </c>
      <c r="C69" s="84"/>
      <c r="D69" s="85"/>
      <c r="E69" s="22">
        <v>2</v>
      </c>
      <c r="F69" s="22"/>
      <c r="G69" s="22" t="s">
        <v>130</v>
      </c>
      <c r="H69" s="22" t="s">
        <v>130</v>
      </c>
      <c r="I69" s="22" t="s">
        <v>130</v>
      </c>
      <c r="J69" s="83"/>
      <c r="K69" s="84"/>
      <c r="L69" s="84"/>
      <c r="M69" s="84"/>
      <c r="N69" s="85"/>
      <c r="O69" s="22"/>
      <c r="P69" s="22"/>
      <c r="Q69" s="22"/>
      <c r="R69" s="22"/>
      <c r="S69" s="22"/>
    </row>
    <row r="70" spans="1:19" ht="18" customHeight="1" x14ac:dyDescent="0.15">
      <c r="A70" s="3"/>
      <c r="B70" s="86" t="s">
        <v>132</v>
      </c>
      <c r="C70" s="87"/>
      <c r="D70" s="88"/>
      <c r="E70" s="23">
        <v>2</v>
      </c>
      <c r="F70" s="23"/>
      <c r="G70" s="23" t="s">
        <v>130</v>
      </c>
      <c r="H70" s="23" t="s">
        <v>130</v>
      </c>
      <c r="I70" s="23" t="s">
        <v>130</v>
      </c>
      <c r="J70" s="86"/>
      <c r="K70" s="87"/>
      <c r="L70" s="87"/>
      <c r="M70" s="87"/>
      <c r="N70" s="88"/>
      <c r="O70" s="23"/>
      <c r="P70" s="23"/>
      <c r="Q70" s="23"/>
      <c r="R70" s="23"/>
      <c r="S70" s="23"/>
    </row>
    <row r="71" spans="1:19" ht="18" customHeight="1" x14ac:dyDescent="0.15">
      <c r="A71" s="3"/>
      <c r="B71" s="86" t="s">
        <v>133</v>
      </c>
      <c r="C71" s="87"/>
      <c r="D71" s="88"/>
      <c r="E71" s="23">
        <v>2</v>
      </c>
      <c r="F71" s="23"/>
      <c r="G71" s="23" t="s">
        <v>130</v>
      </c>
      <c r="H71" s="23" t="s">
        <v>130</v>
      </c>
      <c r="I71" s="23" t="s">
        <v>130</v>
      </c>
      <c r="J71" s="86"/>
      <c r="K71" s="87"/>
      <c r="L71" s="87"/>
      <c r="M71" s="87"/>
      <c r="N71" s="88"/>
      <c r="O71" s="23"/>
      <c r="P71" s="23"/>
      <c r="Q71" s="23"/>
      <c r="R71" s="23"/>
      <c r="S71" s="23"/>
    </row>
    <row r="72" spans="1:19" ht="18" customHeight="1" x14ac:dyDescent="0.15">
      <c r="A72" s="3"/>
      <c r="B72" s="86"/>
      <c r="C72" s="87"/>
      <c r="D72" s="87"/>
      <c r="E72" s="23"/>
      <c r="F72" s="23"/>
      <c r="G72" s="23"/>
      <c r="H72" s="23"/>
      <c r="I72" s="23"/>
      <c r="J72" s="86"/>
      <c r="K72" s="87"/>
      <c r="L72" s="87"/>
      <c r="M72" s="87"/>
      <c r="N72" s="88"/>
      <c r="O72" s="23"/>
      <c r="P72" s="23"/>
      <c r="Q72" s="23"/>
      <c r="R72" s="23"/>
      <c r="S72" s="23"/>
    </row>
    <row r="73" spans="1:19" ht="18" customHeight="1" x14ac:dyDescent="0.15">
      <c r="A73" s="3"/>
      <c r="B73" s="86"/>
      <c r="C73" s="87"/>
      <c r="D73" s="87"/>
      <c r="E73" s="23"/>
      <c r="F73" s="23"/>
      <c r="G73" s="23"/>
      <c r="H73" s="23"/>
      <c r="I73" s="23"/>
      <c r="J73" s="86"/>
      <c r="K73" s="87"/>
      <c r="L73" s="87"/>
      <c r="M73" s="87"/>
      <c r="N73" s="88"/>
      <c r="O73" s="23"/>
      <c r="P73" s="23"/>
      <c r="Q73" s="23"/>
      <c r="R73" s="23"/>
      <c r="S73" s="23"/>
    </row>
    <row r="74" spans="1:19" ht="18" customHeight="1" x14ac:dyDescent="0.15">
      <c r="A74" s="3"/>
      <c r="B74" s="86"/>
      <c r="C74" s="87"/>
      <c r="D74" s="87"/>
      <c r="E74" s="23"/>
      <c r="F74" s="23"/>
      <c r="G74" s="23"/>
      <c r="H74" s="23"/>
      <c r="I74" s="23"/>
      <c r="J74" s="86"/>
      <c r="K74" s="87"/>
      <c r="L74" s="87"/>
      <c r="M74" s="87"/>
      <c r="N74" s="88"/>
      <c r="O74" s="23"/>
      <c r="P74" s="23"/>
      <c r="Q74" s="23"/>
      <c r="R74" s="23"/>
      <c r="S74" s="23"/>
    </row>
    <row r="75" spans="1:19" ht="18" customHeight="1" x14ac:dyDescent="0.15">
      <c r="A75" s="3"/>
      <c r="B75" s="92"/>
      <c r="C75" s="93"/>
      <c r="D75" s="93"/>
      <c r="E75" s="24"/>
      <c r="F75" s="24"/>
      <c r="G75" s="25"/>
      <c r="H75" s="25"/>
      <c r="I75" s="25"/>
      <c r="J75" s="92"/>
      <c r="K75" s="93"/>
      <c r="L75" s="93"/>
      <c r="M75" s="93"/>
      <c r="N75" s="94"/>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89" t="s">
        <v>53</v>
      </c>
      <c r="C78" s="90"/>
      <c r="D78" s="90"/>
      <c r="E78" s="91"/>
      <c r="F78" s="89" t="s">
        <v>82</v>
      </c>
      <c r="G78" s="90"/>
      <c r="H78" s="90"/>
      <c r="I78" s="91"/>
      <c r="J78" s="117" t="s">
        <v>53</v>
      </c>
      <c r="K78" s="118"/>
      <c r="L78" s="118"/>
      <c r="M78" s="118"/>
      <c r="N78" s="118"/>
      <c r="O78" s="119"/>
      <c r="P78" s="89" t="s">
        <v>82</v>
      </c>
      <c r="Q78" s="90"/>
      <c r="R78" s="90"/>
      <c r="S78" s="91"/>
    </row>
    <row r="79" spans="1:19" ht="18" customHeight="1" x14ac:dyDescent="0.15">
      <c r="A79" s="3"/>
      <c r="B79" s="83"/>
      <c r="C79" s="84"/>
      <c r="D79" s="84"/>
      <c r="E79" s="85"/>
      <c r="F79" s="111"/>
      <c r="G79" s="112"/>
      <c r="H79" s="112"/>
      <c r="I79" s="113"/>
      <c r="J79" s="83"/>
      <c r="K79" s="84"/>
      <c r="L79" s="84"/>
      <c r="M79" s="84"/>
      <c r="N79" s="84"/>
      <c r="O79" s="85"/>
      <c r="P79" s="111"/>
      <c r="Q79" s="112"/>
      <c r="R79" s="112"/>
      <c r="S79" s="113"/>
    </row>
    <row r="80" spans="1:19" ht="18" customHeight="1" x14ac:dyDescent="0.15">
      <c r="A80" s="3"/>
      <c r="B80" s="86"/>
      <c r="C80" s="87"/>
      <c r="D80" s="87"/>
      <c r="E80" s="88"/>
      <c r="F80" s="114"/>
      <c r="G80" s="115"/>
      <c r="H80" s="115"/>
      <c r="I80" s="116"/>
      <c r="J80" s="86"/>
      <c r="K80" s="87"/>
      <c r="L80" s="87"/>
      <c r="M80" s="87"/>
      <c r="N80" s="87"/>
      <c r="O80" s="88"/>
      <c r="P80" s="114"/>
      <c r="Q80" s="115"/>
      <c r="R80" s="115"/>
      <c r="S80" s="116"/>
    </row>
    <row r="81" spans="1:19" ht="18" customHeight="1" x14ac:dyDescent="0.15">
      <c r="A81" s="3"/>
      <c r="B81" s="86"/>
      <c r="C81" s="87"/>
      <c r="D81" s="87"/>
      <c r="E81" s="88"/>
      <c r="F81" s="114"/>
      <c r="G81" s="115"/>
      <c r="H81" s="115"/>
      <c r="I81" s="116"/>
      <c r="J81" s="86"/>
      <c r="K81" s="87"/>
      <c r="L81" s="87"/>
      <c r="M81" s="87"/>
      <c r="N81" s="87"/>
      <c r="O81" s="88"/>
      <c r="P81" s="114"/>
      <c r="Q81" s="115"/>
      <c r="R81" s="115"/>
      <c r="S81" s="116"/>
    </row>
    <row r="82" spans="1:19" ht="18" customHeight="1" x14ac:dyDescent="0.15">
      <c r="A82" s="3"/>
      <c r="B82" s="86"/>
      <c r="C82" s="87"/>
      <c r="D82" s="87"/>
      <c r="E82" s="88"/>
      <c r="F82" s="114"/>
      <c r="G82" s="115"/>
      <c r="H82" s="115"/>
      <c r="I82" s="116"/>
      <c r="J82" s="86"/>
      <c r="K82" s="87"/>
      <c r="L82" s="87"/>
      <c r="M82" s="87"/>
      <c r="N82" s="87"/>
      <c r="O82" s="88"/>
      <c r="P82" s="114"/>
      <c r="Q82" s="115"/>
      <c r="R82" s="115"/>
      <c r="S82" s="116"/>
    </row>
    <row r="83" spans="1:19" ht="18" customHeight="1" x14ac:dyDescent="0.15">
      <c r="A83" s="3"/>
      <c r="B83" s="86"/>
      <c r="C83" s="87"/>
      <c r="D83" s="87"/>
      <c r="E83" s="88"/>
      <c r="F83" s="114"/>
      <c r="G83" s="115"/>
      <c r="H83" s="115"/>
      <c r="I83" s="116"/>
      <c r="J83" s="86"/>
      <c r="K83" s="87"/>
      <c r="L83" s="87"/>
      <c r="M83" s="87"/>
      <c r="N83" s="87"/>
      <c r="O83" s="88"/>
      <c r="P83" s="114"/>
      <c r="Q83" s="115"/>
      <c r="R83" s="115"/>
      <c r="S83" s="116"/>
    </row>
    <row r="84" spans="1:19" ht="18" customHeight="1" x14ac:dyDescent="0.15">
      <c r="A84" s="3"/>
      <c r="B84" s="86"/>
      <c r="C84" s="87"/>
      <c r="D84" s="87"/>
      <c r="E84" s="88"/>
      <c r="F84" s="114"/>
      <c r="G84" s="115"/>
      <c r="H84" s="115"/>
      <c r="I84" s="116"/>
      <c r="J84" s="86"/>
      <c r="K84" s="87"/>
      <c r="L84" s="87"/>
      <c r="M84" s="87"/>
      <c r="N84" s="87"/>
      <c r="O84" s="88"/>
      <c r="P84" s="114"/>
      <c r="Q84" s="115"/>
      <c r="R84" s="115"/>
      <c r="S84" s="116"/>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07" t="s">
        <v>54</v>
      </c>
      <c r="C88" s="108"/>
      <c r="D88" s="90" t="s">
        <v>55</v>
      </c>
      <c r="E88" s="90"/>
      <c r="F88" s="90"/>
      <c r="G88" s="90"/>
      <c r="H88" s="90"/>
      <c r="I88" s="90"/>
      <c r="J88" s="90"/>
      <c r="K88" s="90"/>
      <c r="L88" s="90"/>
      <c r="M88" s="90"/>
      <c r="N88" s="90"/>
      <c r="O88" s="90"/>
      <c r="P88" s="90"/>
      <c r="Q88" s="90"/>
      <c r="R88" s="90"/>
      <c r="S88" s="91"/>
    </row>
    <row r="89" spans="1:19" ht="97.5" customHeight="1" x14ac:dyDescent="0.15">
      <c r="B89" s="96" t="s">
        <v>61</v>
      </c>
      <c r="C89" s="27" t="s">
        <v>56</v>
      </c>
      <c r="D89" s="105" t="s">
        <v>242</v>
      </c>
      <c r="E89" s="109"/>
      <c r="F89" s="109"/>
      <c r="G89" s="109"/>
      <c r="H89" s="109"/>
      <c r="I89" s="109"/>
      <c r="J89" s="109"/>
      <c r="K89" s="109"/>
      <c r="L89" s="109"/>
      <c r="M89" s="109"/>
      <c r="N89" s="109"/>
      <c r="O89" s="109"/>
      <c r="P89" s="109"/>
      <c r="Q89" s="109"/>
      <c r="R89" s="109"/>
      <c r="S89" s="110"/>
    </row>
    <row r="90" spans="1:19" ht="97.5" customHeight="1" x14ac:dyDescent="0.15">
      <c r="B90" s="97"/>
      <c r="C90" s="28" t="s">
        <v>77</v>
      </c>
      <c r="D90" s="123" t="s">
        <v>243</v>
      </c>
      <c r="E90" s="123"/>
      <c r="F90" s="123"/>
      <c r="G90" s="123"/>
      <c r="H90" s="123"/>
      <c r="I90" s="123"/>
      <c r="J90" s="123"/>
      <c r="K90" s="123"/>
      <c r="L90" s="123"/>
      <c r="M90" s="123"/>
      <c r="N90" s="123"/>
      <c r="O90" s="123"/>
      <c r="P90" s="123"/>
      <c r="Q90" s="123"/>
      <c r="R90" s="123"/>
      <c r="S90" s="124"/>
    </row>
    <row r="91" spans="1:19" ht="97.5" customHeight="1" x14ac:dyDescent="0.15">
      <c r="B91" s="96" t="s">
        <v>62</v>
      </c>
      <c r="C91" s="29" t="s">
        <v>71</v>
      </c>
      <c r="D91" s="125" t="s">
        <v>244</v>
      </c>
      <c r="E91" s="125"/>
      <c r="F91" s="125"/>
      <c r="G91" s="125"/>
      <c r="H91" s="125"/>
      <c r="I91" s="125"/>
      <c r="J91" s="125"/>
      <c r="K91" s="125"/>
      <c r="L91" s="125"/>
      <c r="M91" s="125"/>
      <c r="N91" s="125"/>
      <c r="O91" s="125"/>
      <c r="P91" s="125"/>
      <c r="Q91" s="125"/>
      <c r="R91" s="125"/>
      <c r="S91" s="160"/>
    </row>
    <row r="92" spans="1:19" ht="105.75" customHeight="1" x14ac:dyDescent="0.15">
      <c r="B92" s="98"/>
      <c r="C92" s="30" t="s">
        <v>72</v>
      </c>
      <c r="D92" s="130" t="s">
        <v>245</v>
      </c>
      <c r="E92" s="130"/>
      <c r="F92" s="130"/>
      <c r="G92" s="130"/>
      <c r="H92" s="130"/>
      <c r="I92" s="130"/>
      <c r="J92" s="130"/>
      <c r="K92" s="130"/>
      <c r="L92" s="130"/>
      <c r="M92" s="130"/>
      <c r="N92" s="130"/>
      <c r="O92" s="130"/>
      <c r="P92" s="130"/>
      <c r="Q92" s="130"/>
      <c r="R92" s="130"/>
      <c r="S92" s="133"/>
    </row>
    <row r="93" spans="1:19" ht="97.5" customHeight="1" x14ac:dyDescent="0.15">
      <c r="B93" s="96" t="s">
        <v>63</v>
      </c>
      <c r="C93" s="29" t="s">
        <v>73</v>
      </c>
      <c r="D93" s="125" t="s">
        <v>229</v>
      </c>
      <c r="E93" s="126"/>
      <c r="F93" s="126"/>
      <c r="G93" s="126"/>
      <c r="H93" s="126"/>
      <c r="I93" s="126"/>
      <c r="J93" s="126"/>
      <c r="K93" s="126"/>
      <c r="L93" s="126"/>
      <c r="M93" s="126"/>
      <c r="N93" s="126"/>
      <c r="O93" s="126"/>
      <c r="P93" s="126"/>
      <c r="Q93" s="126"/>
      <c r="R93" s="126"/>
      <c r="S93" s="127"/>
    </row>
    <row r="94" spans="1:19" ht="97.5" customHeight="1" x14ac:dyDescent="0.15">
      <c r="B94" s="98"/>
      <c r="C94" s="31" t="s">
        <v>74</v>
      </c>
      <c r="D94" s="128" t="s">
        <v>246</v>
      </c>
      <c r="E94" s="128"/>
      <c r="F94" s="128"/>
      <c r="G94" s="128"/>
      <c r="H94" s="128"/>
      <c r="I94" s="128"/>
      <c r="J94" s="128"/>
      <c r="K94" s="128"/>
      <c r="L94" s="128"/>
      <c r="M94" s="128"/>
      <c r="N94" s="128"/>
      <c r="O94" s="128"/>
      <c r="P94" s="128"/>
      <c r="Q94" s="128"/>
      <c r="R94" s="128"/>
      <c r="S94" s="129"/>
    </row>
    <row r="95" spans="1:19" ht="97.5" customHeight="1" x14ac:dyDescent="0.15">
      <c r="B95" s="96" t="s">
        <v>78</v>
      </c>
      <c r="C95" s="27" t="s">
        <v>58</v>
      </c>
      <c r="D95" s="105" t="s">
        <v>247</v>
      </c>
      <c r="E95" s="105"/>
      <c r="F95" s="105"/>
      <c r="G95" s="105"/>
      <c r="H95" s="105"/>
      <c r="I95" s="105"/>
      <c r="J95" s="105"/>
      <c r="K95" s="105"/>
      <c r="L95" s="105"/>
      <c r="M95" s="105"/>
      <c r="N95" s="105"/>
      <c r="O95" s="105"/>
      <c r="P95" s="105"/>
      <c r="Q95" s="105"/>
      <c r="R95" s="105"/>
      <c r="S95" s="106"/>
    </row>
    <row r="96" spans="1:19" ht="97.5" customHeight="1" x14ac:dyDescent="0.15">
      <c r="B96" s="98"/>
      <c r="C96" s="30" t="s">
        <v>60</v>
      </c>
      <c r="D96" s="130" t="s">
        <v>272</v>
      </c>
      <c r="E96" s="130"/>
      <c r="F96" s="130"/>
      <c r="G96" s="130"/>
      <c r="H96" s="130"/>
      <c r="I96" s="130"/>
      <c r="J96" s="130"/>
      <c r="K96" s="130"/>
      <c r="L96" s="130"/>
      <c r="M96" s="130"/>
      <c r="N96" s="130"/>
      <c r="O96" s="130"/>
      <c r="P96" s="130"/>
      <c r="Q96" s="130"/>
      <c r="R96" s="130"/>
      <c r="S96" s="133"/>
    </row>
    <row r="97" spans="1:19" ht="270" customHeight="1" x14ac:dyDescent="0.15">
      <c r="B97" s="96" t="s">
        <v>79</v>
      </c>
      <c r="C97" s="29" t="s">
        <v>57</v>
      </c>
      <c r="D97" s="100" t="s">
        <v>248</v>
      </c>
      <c r="E97" s="100"/>
      <c r="F97" s="100"/>
      <c r="G97" s="100"/>
      <c r="H97" s="100"/>
      <c r="I97" s="100"/>
      <c r="J97" s="100"/>
      <c r="K97" s="100"/>
      <c r="L97" s="100"/>
      <c r="M97" s="100"/>
      <c r="N97" s="100"/>
      <c r="O97" s="100"/>
      <c r="P97" s="100"/>
      <c r="Q97" s="100"/>
      <c r="R97" s="100"/>
      <c r="S97" s="101"/>
    </row>
    <row r="98" spans="1:19" ht="271.5" customHeight="1" x14ac:dyDescent="0.15">
      <c r="B98" s="97"/>
      <c r="C98" s="32" t="s">
        <v>75</v>
      </c>
      <c r="D98" s="100" t="s">
        <v>249</v>
      </c>
      <c r="E98" s="100"/>
      <c r="F98" s="100"/>
      <c r="G98" s="100"/>
      <c r="H98" s="100"/>
      <c r="I98" s="100"/>
      <c r="J98" s="100"/>
      <c r="K98" s="100"/>
      <c r="L98" s="100"/>
      <c r="M98" s="100"/>
      <c r="N98" s="100"/>
      <c r="O98" s="100"/>
      <c r="P98" s="100"/>
      <c r="Q98" s="100"/>
      <c r="R98" s="100"/>
      <c r="S98" s="101"/>
    </row>
    <row r="99" spans="1:19" ht="243.6" customHeight="1" x14ac:dyDescent="0.15">
      <c r="B99" s="98"/>
      <c r="C99" s="31" t="s">
        <v>76</v>
      </c>
      <c r="D99" s="102" t="s">
        <v>250</v>
      </c>
      <c r="E99" s="103"/>
      <c r="F99" s="103"/>
      <c r="G99" s="103"/>
      <c r="H99" s="103"/>
      <c r="I99" s="103"/>
      <c r="J99" s="103"/>
      <c r="K99" s="103"/>
      <c r="L99" s="103"/>
      <c r="M99" s="103"/>
      <c r="N99" s="103"/>
      <c r="O99" s="103"/>
      <c r="P99" s="103"/>
      <c r="Q99" s="103"/>
      <c r="R99" s="103"/>
      <c r="S99" s="104"/>
    </row>
    <row r="100" spans="1:19" ht="6" customHeight="1" x14ac:dyDescent="0.15"/>
    <row r="101" spans="1:19" ht="18.75" customHeight="1" x14ac:dyDescent="0.15">
      <c r="A101" s="1" t="s">
        <v>120</v>
      </c>
    </row>
    <row r="102" spans="1:19" ht="81.75" customHeight="1" x14ac:dyDescent="0.15">
      <c r="B102" s="102" t="s">
        <v>134</v>
      </c>
      <c r="C102" s="103"/>
      <c r="D102" s="103"/>
      <c r="E102" s="103"/>
      <c r="F102" s="103"/>
      <c r="G102" s="103"/>
      <c r="H102" s="103"/>
      <c r="I102" s="103"/>
      <c r="J102" s="103"/>
      <c r="K102" s="103"/>
      <c r="L102" s="103"/>
      <c r="M102" s="103"/>
      <c r="N102" s="103"/>
      <c r="O102" s="103"/>
      <c r="P102" s="103"/>
      <c r="Q102" s="103"/>
      <c r="R102" s="103"/>
      <c r="S102" s="104"/>
    </row>
    <row r="110" spans="1:19" ht="18" customHeight="1" x14ac:dyDescent="0.15"/>
  </sheetData>
  <customSheetViews>
    <customSheetView guid="{1C325414-5A0C-4C59-BA24-A8E2B4EC5171}" scale="85" showPageBreaks="1" zeroValues="0" fitToPage="1" printArea="1" hiddenColumns="1" view="pageBreakPreview">
      <selection activeCell="D97" sqref="D97:S97"/>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76C3A8B2-43E5-4491-B38D-7D6417DC209B}" scale="85" showPageBreaks="1" zeroValues="0" fitToPage="1" printArea="1" hiddenColumns="1" view="pageBreakPreview">
      <selection activeCell="D97" sqref="D97:S97"/>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 guid="{D1FD8C4C-CF69-45DF-A007-1EC45F0F0601}" scale="85" showPageBreaks="1" zeroValues="0" fitToPage="1" printArea="1" hiddenColumns="1" view="pageBreakPreview">
      <selection activeCell="D97" sqref="D97:S97"/>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4" fitToHeight="0" orientation="portrait" r:id="rId3"/>
      <headerFooter>
        <oddHeader>&amp;C数理・データサイエンス・AI教育プログラム認定制度【リテラシーレベル】</oddHeader>
      </headerFooter>
    </customSheetView>
    <customSheetView guid="{B3C66A88-0371-48C7-9AE2-6606C7EDAAFC}" scale="85" showPageBreaks="1" zeroValues="0" fitToPage="1" printArea="1" hiddenColumns="1" view="pageBreakPreview">
      <selection activeCell="D97" sqref="D97:S97"/>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4"/>
      <headerFooter>
        <oddHeader>&amp;C数理・データサイエンス・AI教育プログラム認定制度【リテラシーレベル】</oddHeader>
      </headerFooter>
    </customSheetView>
  </customSheetViews>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1" priority="1">
      <formula>$K$7="学部・学科によって、修了要件は相違しない"</formula>
    </cfRule>
  </conditionalFormatting>
  <dataValidations count="5">
    <dataValidation type="list" allowBlank="1" showInputMessage="1" showErrorMessage="1" sqref="K20:S20" xr:uid="{66DDC791-D77B-4109-AEBA-B684DC81D821}">
      <formula1>$V$14:$V$16</formula1>
    </dataValidation>
    <dataValidation type="list" allowBlank="1" showInputMessage="1" showErrorMessage="1" sqref="F79:F86 P79:P86 G79:I80 G83:I86 Q83:S86 Q79:S80" xr:uid="{69AE3A83-3DFD-4CAF-8DE3-5AEDD0EAD3B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7 K12" xr:uid="{9CB5D44F-2E72-4EC9-B561-33BF8FD9EE2A}">
      <formula1>"学部・学科によって、修了要件は相違する,学部・学科によって、修了要件は相違しない"</formula1>
    </dataValidation>
    <dataValidation type="list" allowBlank="1" showInputMessage="1" showErrorMessage="1" sqref="S32 S43 D32:G32 D43:G43" xr:uid="{579A3FF6-EE45-4591-8A6E-539369144799}">
      <formula1>"全学開講,一部開講"</formula1>
    </dataValidation>
    <dataValidation type="list" allowBlank="1" showInputMessage="1" showErrorMessage="1" sqref="G25:I31 Q25:S31 G36:I42 Q36:S42 P69:S75 Q47:S53 G47:I53 Q58:S64 G58:I64 F69:I75" xr:uid="{B546A422-A045-4249-8B71-C2165B4D6275}">
      <formula1>"○"</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5"/>
  <headerFooter>
    <oddHeader>&amp;C数理・データサイエンス・AI教育プログラム認定制度【リテラシーレベル】</oddHeader>
  </headerFooter>
  <rowBreaks count="2" manualBreakCount="2">
    <brk id="65" max="18" man="1"/>
    <brk id="94" max="18"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9811FD-3A32-4C9D-9E80-2D8A850DC8F3}">
  <sheetPr>
    <pageSetUpPr fitToPage="1"/>
  </sheetPr>
  <dimension ref="A1:V110"/>
  <sheetViews>
    <sheetView showZeros="0" view="pageBreakPreview" topLeftCell="A91" zoomScale="85" zoomScaleNormal="100" zoomScaleSheetLayoutView="85" workbookViewId="0"/>
  </sheetViews>
  <sheetFormatPr defaultColWidth="9" defaultRowHeight="18.75" customHeight="1" x14ac:dyDescent="0.15"/>
  <cols>
    <col min="1" max="1" width="2.5" style="1" customWidth="1"/>
    <col min="2" max="2" width="16.5" style="1" customWidth="1"/>
    <col min="3" max="19" width="5.625" style="1" customWidth="1"/>
    <col min="20" max="20" width="9" style="1"/>
    <col min="21" max="21" width="3.625" style="1" customWidth="1"/>
    <col min="22" max="22" width="48.625" style="1" hidden="1" customWidth="1"/>
    <col min="23" max="16384" width="9" style="1"/>
  </cols>
  <sheetData>
    <row r="1" spans="1:22" ht="18.600000000000001" customHeight="1" x14ac:dyDescent="0.15">
      <c r="R1" s="134" t="s">
        <v>198</v>
      </c>
      <c r="S1" s="134"/>
      <c r="T1" s="2" t="s">
        <v>109</v>
      </c>
    </row>
    <row r="2" spans="1:22" ht="18.75" customHeight="1" x14ac:dyDescent="0.15">
      <c r="B2" s="33" t="s">
        <v>108</v>
      </c>
      <c r="C2" s="89" t="s">
        <v>126</v>
      </c>
      <c r="D2" s="90"/>
      <c r="E2" s="90"/>
      <c r="F2" s="90"/>
      <c r="G2" s="90"/>
      <c r="H2" s="90"/>
      <c r="I2" s="91"/>
      <c r="J2" s="34"/>
      <c r="K2" s="6"/>
      <c r="L2" s="6"/>
      <c r="M2" s="6"/>
      <c r="N2" s="6"/>
      <c r="O2" s="6"/>
      <c r="P2" s="6"/>
      <c r="Q2" s="6"/>
      <c r="R2" s="6"/>
      <c r="S2" s="6"/>
    </row>
    <row r="3" spans="1:22" ht="18.75" customHeight="1" x14ac:dyDescent="0.15">
      <c r="B3" s="33" t="s">
        <v>102</v>
      </c>
      <c r="C3" s="138" t="s">
        <v>127</v>
      </c>
      <c r="D3" s="139"/>
      <c r="E3" s="139"/>
      <c r="F3" s="139"/>
      <c r="G3" s="139"/>
      <c r="H3" s="139"/>
      <c r="I3" s="140"/>
      <c r="J3" s="34"/>
      <c r="K3" s="6"/>
      <c r="L3" s="6"/>
      <c r="M3" s="6"/>
      <c r="N3" s="6"/>
      <c r="O3" s="6"/>
      <c r="P3" s="6"/>
      <c r="Q3" s="6"/>
      <c r="R3" s="6"/>
      <c r="S3" s="6"/>
    </row>
    <row r="4" spans="1:22" ht="15" customHeight="1" x14ac:dyDescent="0.15">
      <c r="K4" s="34"/>
      <c r="L4" s="36"/>
      <c r="M4" s="36"/>
      <c r="N4" s="36"/>
      <c r="O4" s="36"/>
      <c r="P4" s="36"/>
      <c r="Q4" s="36"/>
      <c r="R4" s="36"/>
      <c r="S4" s="36"/>
    </row>
    <row r="5" spans="1:22" ht="18" customHeight="1" x14ac:dyDescent="0.15">
      <c r="A5" s="141" t="s">
        <v>38</v>
      </c>
      <c r="B5" s="141"/>
      <c r="C5" s="141"/>
      <c r="D5" s="141"/>
      <c r="E5" s="141"/>
      <c r="F5" s="141"/>
      <c r="G5" s="141"/>
      <c r="H5" s="141"/>
      <c r="I5" s="141"/>
      <c r="J5" s="141"/>
      <c r="K5" s="141"/>
      <c r="L5" s="141"/>
      <c r="M5" s="141"/>
      <c r="N5" s="141"/>
      <c r="O5" s="141"/>
      <c r="P5" s="141"/>
      <c r="Q5" s="141"/>
      <c r="R5" s="141"/>
      <c r="S5" s="141"/>
    </row>
    <row r="6" spans="1:22" ht="15" customHeight="1" x14ac:dyDescent="0.15">
      <c r="B6" s="3"/>
      <c r="C6" s="3"/>
      <c r="D6" s="3"/>
      <c r="E6" s="3"/>
      <c r="F6" s="3"/>
      <c r="G6" s="3"/>
      <c r="H6" s="3"/>
      <c r="I6" s="3"/>
      <c r="J6" s="3"/>
      <c r="K6" s="3"/>
      <c r="L6" s="3"/>
      <c r="M6" s="3"/>
      <c r="N6" s="3"/>
      <c r="O6" s="3"/>
      <c r="P6" s="3"/>
      <c r="Q6" s="3"/>
      <c r="R6" s="3"/>
      <c r="S6" s="3"/>
    </row>
    <row r="7" spans="1:22" ht="18" customHeight="1" x14ac:dyDescent="0.15">
      <c r="A7" s="1" t="s">
        <v>124</v>
      </c>
      <c r="C7" s="3"/>
      <c r="J7" s="37" t="s">
        <v>107</v>
      </c>
      <c r="K7" s="151" t="s">
        <v>128</v>
      </c>
      <c r="L7" s="152"/>
      <c r="M7" s="152"/>
      <c r="N7" s="152"/>
      <c r="O7" s="152"/>
      <c r="P7" s="152"/>
      <c r="Q7" s="152"/>
      <c r="R7" s="152"/>
      <c r="S7" s="153"/>
    </row>
    <row r="8" spans="1:22" ht="6" customHeight="1" x14ac:dyDescent="0.15">
      <c r="B8" s="3"/>
      <c r="C8" s="3"/>
      <c r="D8" s="3"/>
      <c r="E8" s="3"/>
      <c r="F8" s="3"/>
      <c r="G8" s="3"/>
      <c r="H8" s="3"/>
      <c r="I8" s="3"/>
      <c r="J8" s="3"/>
      <c r="K8" s="9"/>
      <c r="L8" s="3"/>
      <c r="M8" s="3"/>
      <c r="N8" s="3"/>
      <c r="O8" s="3"/>
      <c r="P8" s="3"/>
      <c r="Q8" s="3"/>
      <c r="R8" s="3"/>
      <c r="S8" s="3"/>
    </row>
    <row r="9" spans="1:22" ht="18" customHeight="1" x14ac:dyDescent="0.15">
      <c r="B9" s="154" t="s">
        <v>199</v>
      </c>
      <c r="C9" s="155"/>
      <c r="D9" s="155"/>
      <c r="E9" s="155"/>
      <c r="F9" s="155"/>
      <c r="G9" s="155"/>
      <c r="H9" s="155"/>
      <c r="I9" s="155"/>
      <c r="J9" s="155"/>
      <c r="K9" s="155"/>
      <c r="L9" s="155"/>
      <c r="M9" s="155"/>
      <c r="N9" s="155"/>
      <c r="O9" s="155"/>
      <c r="P9" s="155"/>
      <c r="Q9" s="155"/>
      <c r="R9" s="155"/>
      <c r="S9" s="156"/>
    </row>
    <row r="10" spans="1:22" ht="18" customHeight="1" x14ac:dyDescent="0.15">
      <c r="B10" s="157"/>
      <c r="C10" s="158"/>
      <c r="D10" s="158"/>
      <c r="E10" s="158"/>
      <c r="F10" s="158"/>
      <c r="G10" s="158"/>
      <c r="H10" s="158"/>
      <c r="I10" s="158"/>
      <c r="J10" s="158"/>
      <c r="K10" s="158"/>
      <c r="L10" s="158"/>
      <c r="M10" s="158"/>
      <c r="N10" s="158"/>
      <c r="O10" s="158"/>
      <c r="P10" s="158"/>
      <c r="Q10" s="158"/>
      <c r="R10" s="158"/>
      <c r="S10" s="159"/>
    </row>
    <row r="11" spans="1:22" ht="6" customHeight="1" x14ac:dyDescent="0.15">
      <c r="B11" s="3"/>
      <c r="C11" s="3"/>
      <c r="D11" s="3"/>
      <c r="E11" s="3"/>
      <c r="F11" s="3"/>
      <c r="G11" s="3"/>
      <c r="H11" s="3"/>
      <c r="I11" s="3"/>
      <c r="J11" s="3"/>
      <c r="K11" s="9"/>
      <c r="L11" s="3"/>
      <c r="M11" s="3"/>
      <c r="N11" s="3"/>
      <c r="O11" s="3"/>
      <c r="P11" s="3"/>
      <c r="Q11" s="3"/>
      <c r="R11" s="3"/>
      <c r="S11" s="3"/>
    </row>
    <row r="12" spans="1:22" ht="18" customHeight="1" x14ac:dyDescent="0.15">
      <c r="A12" s="1" t="s">
        <v>111</v>
      </c>
      <c r="B12" s="3"/>
      <c r="C12" s="3"/>
      <c r="D12" s="34"/>
      <c r="E12" s="34"/>
      <c r="F12" s="34"/>
      <c r="G12" s="34"/>
      <c r="H12" s="34"/>
      <c r="I12" s="34"/>
      <c r="J12" s="34"/>
      <c r="K12" s="38"/>
      <c r="L12" s="38"/>
      <c r="M12" s="38"/>
      <c r="N12" s="38"/>
      <c r="O12" s="38"/>
      <c r="P12" s="38"/>
      <c r="Q12" s="38"/>
      <c r="R12" s="38"/>
      <c r="S12" s="38"/>
    </row>
    <row r="13" spans="1:22" ht="18" customHeight="1" x14ac:dyDescent="0.15">
      <c r="B13" s="142" t="s">
        <v>161</v>
      </c>
      <c r="C13" s="143"/>
      <c r="D13" s="143"/>
      <c r="E13" s="143"/>
      <c r="F13" s="143"/>
      <c r="G13" s="143"/>
      <c r="H13" s="143"/>
      <c r="I13" s="143"/>
      <c r="J13" s="143"/>
      <c r="K13" s="143"/>
      <c r="L13" s="143"/>
      <c r="M13" s="143"/>
      <c r="N13" s="143"/>
      <c r="O13" s="143"/>
      <c r="P13" s="143"/>
      <c r="Q13" s="143"/>
      <c r="R13" s="143"/>
      <c r="S13" s="144"/>
      <c r="V13" s="1" t="s">
        <v>103</v>
      </c>
    </row>
    <row r="14" spans="1:22" ht="18" customHeight="1" x14ac:dyDescent="0.15">
      <c r="B14" s="145"/>
      <c r="C14" s="146"/>
      <c r="D14" s="146"/>
      <c r="E14" s="146"/>
      <c r="F14" s="146"/>
      <c r="G14" s="146"/>
      <c r="H14" s="146"/>
      <c r="I14" s="146"/>
      <c r="J14" s="146"/>
      <c r="K14" s="146"/>
      <c r="L14" s="146"/>
      <c r="M14" s="146"/>
      <c r="N14" s="146"/>
      <c r="O14" s="146"/>
      <c r="P14" s="146"/>
      <c r="Q14" s="146"/>
      <c r="R14" s="146"/>
      <c r="S14" s="147"/>
      <c r="V14" s="1" t="s">
        <v>110</v>
      </c>
    </row>
    <row r="15" spans="1:22" ht="18" customHeight="1" x14ac:dyDescent="0.15">
      <c r="B15" s="145"/>
      <c r="C15" s="146"/>
      <c r="D15" s="146"/>
      <c r="E15" s="146"/>
      <c r="F15" s="146"/>
      <c r="G15" s="146"/>
      <c r="H15" s="146"/>
      <c r="I15" s="146"/>
      <c r="J15" s="146"/>
      <c r="K15" s="146"/>
      <c r="L15" s="146"/>
      <c r="M15" s="146"/>
      <c r="N15" s="146"/>
      <c r="O15" s="146"/>
      <c r="P15" s="146"/>
      <c r="Q15" s="146"/>
      <c r="R15" s="146"/>
      <c r="S15" s="147"/>
      <c r="V15" s="1" t="s">
        <v>123</v>
      </c>
    </row>
    <row r="16" spans="1:22" ht="18" customHeight="1" x14ac:dyDescent="0.15">
      <c r="B16" s="145"/>
      <c r="C16" s="146"/>
      <c r="D16" s="146"/>
      <c r="E16" s="146"/>
      <c r="F16" s="146"/>
      <c r="G16" s="146"/>
      <c r="H16" s="146"/>
      <c r="I16" s="146"/>
      <c r="J16" s="146"/>
      <c r="K16" s="146"/>
      <c r="L16" s="146"/>
      <c r="M16" s="146"/>
      <c r="N16" s="146"/>
      <c r="O16" s="146"/>
      <c r="P16" s="146"/>
      <c r="Q16" s="146"/>
      <c r="R16" s="146"/>
      <c r="S16" s="147"/>
      <c r="V16" s="1" t="s">
        <v>125</v>
      </c>
    </row>
    <row r="17" spans="1:19" ht="18" customHeight="1" x14ac:dyDescent="0.15">
      <c r="B17" s="145"/>
      <c r="C17" s="146"/>
      <c r="D17" s="146"/>
      <c r="E17" s="146"/>
      <c r="F17" s="146"/>
      <c r="G17" s="146"/>
      <c r="H17" s="146"/>
      <c r="I17" s="146"/>
      <c r="J17" s="146"/>
      <c r="K17" s="146"/>
      <c r="L17" s="146"/>
      <c r="M17" s="146"/>
      <c r="N17" s="146"/>
      <c r="O17" s="146"/>
      <c r="P17" s="146"/>
      <c r="Q17" s="146"/>
      <c r="R17" s="146"/>
      <c r="S17" s="147"/>
    </row>
    <row r="18" spans="1:19" ht="18" customHeight="1" x14ac:dyDescent="0.15">
      <c r="B18" s="148"/>
      <c r="C18" s="149"/>
      <c r="D18" s="149"/>
      <c r="E18" s="149"/>
      <c r="F18" s="149"/>
      <c r="G18" s="149"/>
      <c r="H18" s="149"/>
      <c r="I18" s="149"/>
      <c r="J18" s="149"/>
      <c r="K18" s="149"/>
      <c r="L18" s="149"/>
      <c r="M18" s="149"/>
      <c r="N18" s="149"/>
      <c r="O18" s="149"/>
      <c r="P18" s="149"/>
      <c r="Q18" s="149"/>
      <c r="R18" s="149"/>
      <c r="S18" s="150"/>
    </row>
    <row r="19" spans="1:19" ht="7.5" customHeight="1" x14ac:dyDescent="0.15">
      <c r="B19" s="3"/>
      <c r="C19" s="3"/>
      <c r="D19" s="3"/>
      <c r="E19" s="3"/>
      <c r="F19" s="3"/>
      <c r="G19" s="3"/>
      <c r="H19" s="3"/>
      <c r="I19" s="3"/>
      <c r="J19" s="3"/>
      <c r="K19" s="3"/>
      <c r="L19" s="3"/>
      <c r="M19" s="3"/>
      <c r="N19" s="3"/>
      <c r="O19" s="3"/>
      <c r="P19" s="3"/>
      <c r="Q19" s="3"/>
      <c r="R19" s="3"/>
      <c r="S19" s="3"/>
    </row>
    <row r="20" spans="1:19" ht="19.899999999999999" customHeight="1" x14ac:dyDescent="0.15">
      <c r="B20" s="1" t="s">
        <v>112</v>
      </c>
      <c r="C20" s="89">
        <v>6</v>
      </c>
      <c r="D20" s="91"/>
      <c r="E20" s="39" t="s">
        <v>95</v>
      </c>
      <c r="G20" s="9"/>
      <c r="H20" s="3"/>
      <c r="I20" s="3"/>
      <c r="J20" s="34" t="s">
        <v>121</v>
      </c>
      <c r="K20" s="135" t="s">
        <v>125</v>
      </c>
      <c r="L20" s="136"/>
      <c r="M20" s="136"/>
      <c r="N20" s="136"/>
      <c r="O20" s="136"/>
      <c r="P20" s="136"/>
      <c r="Q20" s="136"/>
      <c r="R20" s="136"/>
      <c r="S20" s="137"/>
    </row>
    <row r="21" spans="1:19" ht="7.5" customHeight="1" x14ac:dyDescent="0.15">
      <c r="B21" s="3"/>
      <c r="C21" s="3"/>
      <c r="D21" s="3"/>
      <c r="E21" s="3"/>
      <c r="F21" s="3"/>
      <c r="G21" s="3"/>
      <c r="H21" s="3"/>
      <c r="I21" s="3"/>
      <c r="J21" s="3"/>
      <c r="K21" s="3"/>
      <c r="L21" s="3"/>
      <c r="M21" s="3"/>
      <c r="N21" s="3"/>
      <c r="O21" s="3"/>
      <c r="P21" s="3"/>
      <c r="Q21" s="3"/>
      <c r="R21" s="3"/>
      <c r="S21" s="3"/>
    </row>
    <row r="22" spans="1:19" ht="18" customHeight="1" x14ac:dyDescent="0.15">
      <c r="A22" s="95" t="s">
        <v>113</v>
      </c>
      <c r="B22" s="95"/>
      <c r="C22" s="95"/>
      <c r="D22" s="95"/>
      <c r="E22" s="95"/>
      <c r="F22" s="95"/>
      <c r="G22" s="95"/>
      <c r="H22" s="95"/>
      <c r="I22" s="95"/>
      <c r="J22" s="95"/>
      <c r="K22" s="95"/>
      <c r="L22" s="95"/>
      <c r="M22" s="95"/>
      <c r="N22" s="95"/>
      <c r="O22" s="95"/>
      <c r="P22" s="95"/>
      <c r="Q22" s="95"/>
      <c r="R22" s="95"/>
      <c r="S22" s="95"/>
    </row>
    <row r="23" spans="1:19" ht="18" customHeight="1" x14ac:dyDescent="0.15">
      <c r="A23" s="95"/>
      <c r="B23" s="95"/>
      <c r="C23" s="95"/>
      <c r="D23" s="95"/>
      <c r="E23" s="95"/>
      <c r="F23" s="95"/>
      <c r="G23" s="95"/>
      <c r="H23" s="95"/>
      <c r="I23" s="95"/>
      <c r="J23" s="95"/>
      <c r="K23" s="95"/>
      <c r="L23" s="95"/>
      <c r="M23" s="95"/>
      <c r="N23" s="95"/>
      <c r="O23" s="95"/>
      <c r="P23" s="95"/>
      <c r="Q23" s="95"/>
      <c r="R23" s="95"/>
      <c r="S23" s="95"/>
    </row>
    <row r="24" spans="1:19" ht="18" customHeight="1" x14ac:dyDescent="0.15">
      <c r="B24" s="89" t="s">
        <v>53</v>
      </c>
      <c r="C24" s="90"/>
      <c r="D24" s="90"/>
      <c r="E24" s="91"/>
      <c r="F24" s="60" t="s">
        <v>80</v>
      </c>
      <c r="G24" s="59" t="s">
        <v>84</v>
      </c>
      <c r="H24" s="21" t="s">
        <v>56</v>
      </c>
      <c r="I24" s="21" t="s">
        <v>59</v>
      </c>
      <c r="J24" s="89" t="s">
        <v>53</v>
      </c>
      <c r="K24" s="90"/>
      <c r="L24" s="90"/>
      <c r="M24" s="90"/>
      <c r="N24" s="90"/>
      <c r="O24" s="91"/>
      <c r="P24" s="60" t="s">
        <v>80</v>
      </c>
      <c r="Q24" s="59" t="s">
        <v>84</v>
      </c>
      <c r="R24" s="21" t="s">
        <v>56</v>
      </c>
      <c r="S24" s="21" t="s">
        <v>59</v>
      </c>
    </row>
    <row r="25" spans="1:19" ht="18" customHeight="1" x14ac:dyDescent="0.15">
      <c r="B25" s="83" t="s">
        <v>129</v>
      </c>
      <c r="C25" s="84"/>
      <c r="D25" s="84"/>
      <c r="E25" s="85"/>
      <c r="F25" s="23">
        <v>2</v>
      </c>
      <c r="G25" s="23"/>
      <c r="H25" s="23" t="s">
        <v>130</v>
      </c>
      <c r="I25" s="23" t="s">
        <v>130</v>
      </c>
      <c r="J25" s="83"/>
      <c r="K25" s="84"/>
      <c r="L25" s="84"/>
      <c r="M25" s="84"/>
      <c r="N25" s="84"/>
      <c r="O25" s="85"/>
      <c r="P25" s="22"/>
      <c r="Q25" s="22"/>
      <c r="R25" s="22"/>
      <c r="S25" s="22"/>
    </row>
    <row r="26" spans="1:19" ht="18" customHeight="1" x14ac:dyDescent="0.15">
      <c r="B26" s="86" t="s">
        <v>200</v>
      </c>
      <c r="C26" s="87"/>
      <c r="D26" s="87"/>
      <c r="E26" s="88"/>
      <c r="F26" s="23">
        <v>2</v>
      </c>
      <c r="G26" s="23"/>
      <c r="H26" s="23" t="s">
        <v>130</v>
      </c>
      <c r="I26" s="23" t="s">
        <v>130</v>
      </c>
      <c r="J26" s="86"/>
      <c r="K26" s="87"/>
      <c r="L26" s="87"/>
      <c r="M26" s="87"/>
      <c r="N26" s="87"/>
      <c r="O26" s="88"/>
      <c r="P26" s="23"/>
      <c r="Q26" s="23"/>
      <c r="R26" s="23"/>
      <c r="S26" s="23"/>
    </row>
    <row r="27" spans="1:19" ht="18" customHeight="1" x14ac:dyDescent="0.15">
      <c r="B27" s="86"/>
      <c r="C27" s="87"/>
      <c r="D27" s="87"/>
      <c r="E27" s="88"/>
      <c r="F27" s="23"/>
      <c r="G27" s="23"/>
      <c r="H27" s="23"/>
      <c r="I27" s="23"/>
      <c r="J27" s="86"/>
      <c r="K27" s="87"/>
      <c r="L27" s="87"/>
      <c r="M27" s="87"/>
      <c r="N27" s="87"/>
      <c r="O27" s="88"/>
      <c r="P27" s="23"/>
      <c r="Q27" s="23"/>
      <c r="R27" s="23"/>
      <c r="S27" s="23"/>
    </row>
    <row r="28" spans="1:19" ht="18" customHeight="1" x14ac:dyDescent="0.15">
      <c r="B28" s="86"/>
      <c r="C28" s="87"/>
      <c r="D28" s="87"/>
      <c r="E28" s="88"/>
      <c r="F28" s="23"/>
      <c r="G28" s="23"/>
      <c r="H28" s="23"/>
      <c r="I28" s="23"/>
      <c r="J28" s="86"/>
      <c r="K28" s="87"/>
      <c r="L28" s="87"/>
      <c r="M28" s="87"/>
      <c r="N28" s="87"/>
      <c r="O28" s="88"/>
      <c r="P28" s="23"/>
      <c r="Q28" s="23"/>
      <c r="R28" s="23"/>
      <c r="S28" s="23"/>
    </row>
    <row r="29" spans="1:19" ht="18" customHeight="1" x14ac:dyDescent="0.15">
      <c r="B29" s="86"/>
      <c r="C29" s="87"/>
      <c r="D29" s="87"/>
      <c r="E29" s="88"/>
      <c r="F29" s="23"/>
      <c r="G29" s="23"/>
      <c r="H29" s="23"/>
      <c r="I29" s="23"/>
      <c r="J29" s="86"/>
      <c r="K29" s="87"/>
      <c r="L29" s="87"/>
      <c r="M29" s="87"/>
      <c r="N29" s="87"/>
      <c r="O29" s="88"/>
      <c r="P29" s="23"/>
      <c r="Q29" s="23"/>
      <c r="R29" s="23"/>
      <c r="S29" s="23"/>
    </row>
    <row r="30" spans="1:19" ht="18" customHeight="1" x14ac:dyDescent="0.15">
      <c r="A30" s="3"/>
      <c r="B30" s="86"/>
      <c r="C30" s="87"/>
      <c r="D30" s="87"/>
      <c r="E30" s="88"/>
      <c r="F30" s="23"/>
      <c r="G30" s="23"/>
      <c r="H30" s="23"/>
      <c r="I30" s="23"/>
      <c r="J30" s="86"/>
      <c r="K30" s="87"/>
      <c r="L30" s="87"/>
      <c r="M30" s="87"/>
      <c r="N30" s="87"/>
      <c r="O30" s="88"/>
      <c r="P30" s="23"/>
      <c r="Q30" s="23"/>
      <c r="R30" s="23"/>
      <c r="S30" s="23"/>
    </row>
    <row r="31" spans="1:19" ht="18" customHeight="1" x14ac:dyDescent="0.15">
      <c r="A31" s="3"/>
      <c r="B31" s="92"/>
      <c r="C31" s="93"/>
      <c r="D31" s="93"/>
      <c r="E31" s="94"/>
      <c r="F31" s="24"/>
      <c r="G31" s="24"/>
      <c r="H31" s="25"/>
      <c r="I31" s="25"/>
      <c r="J31" s="92"/>
      <c r="K31" s="93"/>
      <c r="L31" s="93"/>
      <c r="M31" s="93"/>
      <c r="N31" s="93"/>
      <c r="O31" s="94"/>
      <c r="P31" s="24"/>
      <c r="Q31" s="24"/>
      <c r="R31" s="25"/>
      <c r="S31" s="25"/>
    </row>
    <row r="32" spans="1:19" ht="7.5" customHeight="1" x14ac:dyDescent="0.15">
      <c r="A32" s="3"/>
      <c r="B32" s="6"/>
      <c r="C32" s="6"/>
      <c r="D32" s="3"/>
      <c r="E32" s="3"/>
      <c r="F32" s="3"/>
      <c r="G32" s="3"/>
      <c r="H32" s="6"/>
      <c r="I32" s="6"/>
      <c r="J32" s="6"/>
      <c r="K32" s="6"/>
      <c r="L32" s="6"/>
      <c r="M32" s="6"/>
      <c r="N32" s="6"/>
      <c r="O32" s="6"/>
      <c r="P32" s="6"/>
      <c r="Q32" s="6"/>
      <c r="R32" s="6"/>
      <c r="S32" s="3"/>
    </row>
    <row r="33" spans="1:19" ht="18" customHeight="1" x14ac:dyDescent="0.15">
      <c r="A33" s="95" t="s">
        <v>114</v>
      </c>
      <c r="B33" s="95"/>
      <c r="C33" s="95"/>
      <c r="D33" s="95"/>
      <c r="E33" s="95"/>
      <c r="F33" s="95"/>
      <c r="G33" s="95"/>
      <c r="H33" s="95"/>
      <c r="I33" s="95"/>
      <c r="J33" s="95"/>
      <c r="K33" s="95"/>
      <c r="L33" s="95"/>
      <c r="M33" s="95"/>
      <c r="N33" s="95"/>
      <c r="O33" s="95"/>
      <c r="P33" s="95"/>
      <c r="Q33" s="95"/>
      <c r="R33" s="95"/>
      <c r="S33" s="95"/>
    </row>
    <row r="34" spans="1:19" ht="18" customHeight="1" x14ac:dyDescent="0.15">
      <c r="A34" s="95"/>
      <c r="B34" s="95"/>
      <c r="C34" s="95"/>
      <c r="D34" s="95"/>
      <c r="E34" s="95"/>
      <c r="F34" s="95"/>
      <c r="G34" s="95"/>
      <c r="H34" s="95"/>
      <c r="I34" s="95"/>
      <c r="J34" s="95"/>
      <c r="K34" s="95"/>
      <c r="L34" s="95"/>
      <c r="M34" s="95"/>
      <c r="N34" s="95"/>
      <c r="O34" s="95"/>
      <c r="P34" s="95"/>
      <c r="Q34" s="95"/>
      <c r="R34" s="95"/>
      <c r="S34" s="95"/>
    </row>
    <row r="35" spans="1:19" ht="18" customHeight="1" x14ac:dyDescent="0.15">
      <c r="B35" s="89" t="s">
        <v>53</v>
      </c>
      <c r="C35" s="90"/>
      <c r="D35" s="90"/>
      <c r="E35" s="91"/>
      <c r="F35" s="60" t="s">
        <v>80</v>
      </c>
      <c r="G35" s="59" t="s">
        <v>84</v>
      </c>
      <c r="H35" s="21" t="s">
        <v>71</v>
      </c>
      <c r="I35" s="21" t="s">
        <v>72</v>
      </c>
      <c r="J35" s="89" t="s">
        <v>53</v>
      </c>
      <c r="K35" s="90"/>
      <c r="L35" s="90"/>
      <c r="M35" s="90"/>
      <c r="N35" s="90"/>
      <c r="O35" s="91"/>
      <c r="P35" s="60" t="s">
        <v>80</v>
      </c>
      <c r="Q35" s="59" t="s">
        <v>84</v>
      </c>
      <c r="R35" s="21" t="s">
        <v>71</v>
      </c>
      <c r="S35" s="21" t="s">
        <v>72</v>
      </c>
    </row>
    <row r="36" spans="1:19" ht="18" customHeight="1" x14ac:dyDescent="0.15">
      <c r="B36" s="83" t="s">
        <v>201</v>
      </c>
      <c r="C36" s="84"/>
      <c r="D36" s="84"/>
      <c r="E36" s="85"/>
      <c r="F36" s="22">
        <v>2</v>
      </c>
      <c r="G36" s="22"/>
      <c r="H36" s="23" t="s">
        <v>130</v>
      </c>
      <c r="I36" s="23" t="s">
        <v>130</v>
      </c>
      <c r="J36" s="83"/>
      <c r="K36" s="84"/>
      <c r="L36" s="84"/>
      <c r="M36" s="84"/>
      <c r="N36" s="84"/>
      <c r="O36" s="85"/>
      <c r="P36" s="22"/>
      <c r="Q36" s="22"/>
      <c r="R36" s="22"/>
      <c r="S36" s="22"/>
    </row>
    <row r="37" spans="1:19" ht="18" customHeight="1" x14ac:dyDescent="0.15">
      <c r="B37" s="86" t="s">
        <v>202</v>
      </c>
      <c r="C37" s="87"/>
      <c r="D37" s="87"/>
      <c r="E37" s="88"/>
      <c r="F37" s="23">
        <v>2</v>
      </c>
      <c r="G37" s="23"/>
      <c r="H37" s="23" t="s">
        <v>130</v>
      </c>
      <c r="I37" s="23" t="s">
        <v>130</v>
      </c>
      <c r="J37" s="86"/>
      <c r="K37" s="87"/>
      <c r="L37" s="87"/>
      <c r="M37" s="87"/>
      <c r="N37" s="87"/>
      <c r="O37" s="88"/>
      <c r="P37" s="23"/>
      <c r="Q37" s="23"/>
      <c r="R37" s="23"/>
      <c r="S37" s="23"/>
    </row>
    <row r="38" spans="1:19" ht="18" customHeight="1" x14ac:dyDescent="0.15">
      <c r="B38" s="86"/>
      <c r="C38" s="87"/>
      <c r="D38" s="87"/>
      <c r="E38" s="88"/>
      <c r="F38" s="23"/>
      <c r="G38" s="23"/>
      <c r="H38" s="23"/>
      <c r="I38" s="23"/>
      <c r="J38" s="86"/>
      <c r="K38" s="87"/>
      <c r="L38" s="87"/>
      <c r="M38" s="87"/>
      <c r="N38" s="87"/>
      <c r="O38" s="88"/>
      <c r="P38" s="23"/>
      <c r="Q38" s="23"/>
      <c r="R38" s="23"/>
      <c r="S38" s="23"/>
    </row>
    <row r="39" spans="1:19" ht="18" customHeight="1" x14ac:dyDescent="0.15">
      <c r="B39" s="86"/>
      <c r="C39" s="87"/>
      <c r="D39" s="87"/>
      <c r="E39" s="88"/>
      <c r="F39" s="23"/>
      <c r="G39" s="23"/>
      <c r="H39" s="23"/>
      <c r="I39" s="23"/>
      <c r="J39" s="86"/>
      <c r="K39" s="87"/>
      <c r="L39" s="87"/>
      <c r="M39" s="87"/>
      <c r="N39" s="87"/>
      <c r="O39" s="88"/>
      <c r="P39" s="23"/>
      <c r="Q39" s="23"/>
      <c r="R39" s="23"/>
      <c r="S39" s="23"/>
    </row>
    <row r="40" spans="1:19" ht="18" customHeight="1" x14ac:dyDescent="0.15">
      <c r="B40" s="86"/>
      <c r="C40" s="87"/>
      <c r="D40" s="87"/>
      <c r="E40" s="88"/>
      <c r="F40" s="23"/>
      <c r="G40" s="23"/>
      <c r="H40" s="23"/>
      <c r="I40" s="23"/>
      <c r="J40" s="86"/>
      <c r="K40" s="87"/>
      <c r="L40" s="87"/>
      <c r="M40" s="87"/>
      <c r="N40" s="87"/>
      <c r="O40" s="88"/>
      <c r="P40" s="23"/>
      <c r="Q40" s="23"/>
      <c r="R40" s="23"/>
      <c r="S40" s="23"/>
    </row>
    <row r="41" spans="1:19" ht="18" customHeight="1" x14ac:dyDescent="0.15">
      <c r="B41" s="86"/>
      <c r="C41" s="87"/>
      <c r="D41" s="87"/>
      <c r="E41" s="88"/>
      <c r="F41" s="23"/>
      <c r="G41" s="23"/>
      <c r="H41" s="23"/>
      <c r="I41" s="23"/>
      <c r="J41" s="86"/>
      <c r="K41" s="87"/>
      <c r="L41" s="87"/>
      <c r="M41" s="87"/>
      <c r="N41" s="87"/>
      <c r="O41" s="88"/>
      <c r="P41" s="23"/>
      <c r="Q41" s="23"/>
      <c r="R41" s="23"/>
      <c r="S41" s="23"/>
    </row>
    <row r="42" spans="1:19" ht="18" customHeight="1" x14ac:dyDescent="0.15">
      <c r="B42" s="92"/>
      <c r="C42" s="93"/>
      <c r="D42" s="93"/>
      <c r="E42" s="94"/>
      <c r="F42" s="24"/>
      <c r="G42" s="24"/>
      <c r="H42" s="25"/>
      <c r="I42" s="25"/>
      <c r="J42" s="92"/>
      <c r="K42" s="93"/>
      <c r="L42" s="93"/>
      <c r="M42" s="93"/>
      <c r="N42" s="93"/>
      <c r="O42" s="94"/>
      <c r="P42" s="24"/>
      <c r="Q42" s="24"/>
      <c r="R42" s="25"/>
      <c r="S42" s="25"/>
    </row>
    <row r="43" spans="1:19" ht="7.5" customHeight="1" x14ac:dyDescent="0.15">
      <c r="A43" s="3"/>
      <c r="B43" s="6"/>
      <c r="C43" s="6"/>
      <c r="D43" s="3"/>
      <c r="E43" s="3"/>
      <c r="F43" s="3"/>
      <c r="G43" s="3"/>
      <c r="H43" s="6"/>
      <c r="I43" s="6"/>
      <c r="J43" s="6"/>
      <c r="K43" s="6"/>
      <c r="L43" s="6"/>
      <c r="M43" s="6"/>
      <c r="N43" s="6"/>
      <c r="O43" s="6"/>
      <c r="P43" s="6"/>
      <c r="Q43" s="6"/>
      <c r="R43" s="6"/>
      <c r="S43" s="3"/>
    </row>
    <row r="44" spans="1:19" ht="18" customHeight="1" x14ac:dyDescent="0.15">
      <c r="A44" s="95" t="s">
        <v>115</v>
      </c>
      <c r="B44" s="95"/>
      <c r="C44" s="95"/>
      <c r="D44" s="95"/>
      <c r="E44" s="95"/>
      <c r="F44" s="95"/>
      <c r="G44" s="95"/>
      <c r="H44" s="95"/>
      <c r="I44" s="95"/>
      <c r="J44" s="95"/>
      <c r="K44" s="95"/>
      <c r="L44" s="95"/>
      <c r="M44" s="95"/>
      <c r="N44" s="95"/>
      <c r="O44" s="95"/>
      <c r="P44" s="95"/>
      <c r="Q44" s="95"/>
      <c r="R44" s="95"/>
      <c r="S44" s="95"/>
    </row>
    <row r="45" spans="1:19" ht="18" customHeight="1" x14ac:dyDescent="0.15">
      <c r="A45" s="95"/>
      <c r="B45" s="95"/>
      <c r="C45" s="95"/>
      <c r="D45" s="95"/>
      <c r="E45" s="95"/>
      <c r="F45" s="95"/>
      <c r="G45" s="95"/>
      <c r="H45" s="95"/>
      <c r="I45" s="95"/>
      <c r="J45" s="95"/>
      <c r="K45" s="95"/>
      <c r="L45" s="95"/>
      <c r="M45" s="95"/>
      <c r="N45" s="95"/>
      <c r="O45" s="95"/>
      <c r="P45" s="95"/>
      <c r="Q45" s="95"/>
      <c r="R45" s="95"/>
      <c r="S45" s="95"/>
    </row>
    <row r="46" spans="1:19" ht="18" customHeight="1" x14ac:dyDescent="0.15">
      <c r="B46" s="89" t="s">
        <v>53</v>
      </c>
      <c r="C46" s="90"/>
      <c r="D46" s="90"/>
      <c r="E46" s="91"/>
      <c r="F46" s="60" t="s">
        <v>80</v>
      </c>
      <c r="G46" s="59" t="s">
        <v>84</v>
      </c>
      <c r="H46" s="21" t="s">
        <v>73</v>
      </c>
      <c r="I46" s="21" t="s">
        <v>74</v>
      </c>
      <c r="J46" s="89" t="s">
        <v>53</v>
      </c>
      <c r="K46" s="90"/>
      <c r="L46" s="90"/>
      <c r="M46" s="90"/>
      <c r="N46" s="90"/>
      <c r="O46" s="91"/>
      <c r="P46" s="60" t="s">
        <v>80</v>
      </c>
      <c r="Q46" s="59" t="s">
        <v>84</v>
      </c>
      <c r="R46" s="21" t="s">
        <v>73</v>
      </c>
      <c r="S46" s="21" t="s">
        <v>74</v>
      </c>
    </row>
    <row r="47" spans="1:19" ht="18" customHeight="1" x14ac:dyDescent="0.15">
      <c r="A47" s="3"/>
      <c r="B47" s="83" t="s">
        <v>129</v>
      </c>
      <c r="C47" s="84"/>
      <c r="D47" s="84"/>
      <c r="E47" s="85"/>
      <c r="F47" s="23">
        <v>2</v>
      </c>
      <c r="G47" s="23"/>
      <c r="H47" s="23" t="s">
        <v>130</v>
      </c>
      <c r="I47" s="23" t="s">
        <v>130</v>
      </c>
      <c r="J47" s="83"/>
      <c r="K47" s="84"/>
      <c r="L47" s="84"/>
      <c r="M47" s="84"/>
      <c r="N47" s="84"/>
      <c r="O47" s="85"/>
      <c r="P47" s="22"/>
      <c r="Q47" s="22"/>
      <c r="R47" s="22"/>
      <c r="S47" s="22"/>
    </row>
    <row r="48" spans="1:19" ht="18" customHeight="1" x14ac:dyDescent="0.15">
      <c r="A48" s="3"/>
      <c r="B48" s="86" t="s">
        <v>200</v>
      </c>
      <c r="C48" s="87"/>
      <c r="D48" s="87"/>
      <c r="E48" s="88"/>
      <c r="F48" s="23">
        <v>2</v>
      </c>
      <c r="G48" s="23"/>
      <c r="H48" s="23" t="s">
        <v>130</v>
      </c>
      <c r="I48" s="23" t="s">
        <v>130</v>
      </c>
      <c r="J48" s="86"/>
      <c r="K48" s="87"/>
      <c r="L48" s="87"/>
      <c r="M48" s="87"/>
      <c r="N48" s="87"/>
      <c r="O48" s="88"/>
      <c r="P48" s="23"/>
      <c r="Q48" s="23"/>
      <c r="R48" s="23"/>
      <c r="S48" s="23"/>
    </row>
    <row r="49" spans="1:19" ht="18" customHeight="1" x14ac:dyDescent="0.15">
      <c r="A49" s="3"/>
      <c r="B49" s="86"/>
      <c r="C49" s="87"/>
      <c r="D49" s="87"/>
      <c r="E49" s="88"/>
      <c r="F49" s="23"/>
      <c r="G49" s="23"/>
      <c r="H49" s="23"/>
      <c r="I49" s="23"/>
      <c r="J49" s="86"/>
      <c r="K49" s="87"/>
      <c r="L49" s="87"/>
      <c r="M49" s="87"/>
      <c r="N49" s="87"/>
      <c r="O49" s="88"/>
      <c r="P49" s="23"/>
      <c r="Q49" s="23"/>
      <c r="R49" s="23"/>
      <c r="S49" s="23"/>
    </row>
    <row r="50" spans="1:19" ht="18" customHeight="1" x14ac:dyDescent="0.15">
      <c r="A50" s="3"/>
      <c r="B50" s="86"/>
      <c r="C50" s="87"/>
      <c r="D50" s="87"/>
      <c r="E50" s="88"/>
      <c r="F50" s="23"/>
      <c r="G50" s="23"/>
      <c r="H50" s="23"/>
      <c r="I50" s="23"/>
      <c r="J50" s="86"/>
      <c r="K50" s="87"/>
      <c r="L50" s="87"/>
      <c r="M50" s="87"/>
      <c r="N50" s="87"/>
      <c r="O50" s="88"/>
      <c r="P50" s="23"/>
      <c r="Q50" s="23"/>
      <c r="R50" s="23"/>
      <c r="S50" s="23"/>
    </row>
    <row r="51" spans="1:19" ht="18" customHeight="1" x14ac:dyDescent="0.15">
      <c r="A51" s="3"/>
      <c r="B51" s="86"/>
      <c r="C51" s="87"/>
      <c r="D51" s="87"/>
      <c r="E51" s="88"/>
      <c r="F51" s="23"/>
      <c r="G51" s="23"/>
      <c r="H51" s="23"/>
      <c r="I51" s="23"/>
      <c r="J51" s="86"/>
      <c r="K51" s="87"/>
      <c r="L51" s="87"/>
      <c r="M51" s="87"/>
      <c r="N51" s="87"/>
      <c r="O51" s="88"/>
      <c r="P51" s="23"/>
      <c r="Q51" s="23"/>
      <c r="R51" s="23"/>
      <c r="S51" s="23"/>
    </row>
    <row r="52" spans="1:19" ht="18" customHeight="1" x14ac:dyDescent="0.15">
      <c r="A52" s="3"/>
      <c r="B52" s="86"/>
      <c r="C52" s="87"/>
      <c r="D52" s="87"/>
      <c r="E52" s="88"/>
      <c r="F52" s="23"/>
      <c r="G52" s="23"/>
      <c r="H52" s="23"/>
      <c r="I52" s="23"/>
      <c r="J52" s="86"/>
      <c r="K52" s="87"/>
      <c r="L52" s="87"/>
      <c r="M52" s="87"/>
      <c r="N52" s="87"/>
      <c r="O52" s="88"/>
      <c r="P52" s="23"/>
      <c r="Q52" s="23"/>
      <c r="R52" s="23"/>
      <c r="S52" s="23"/>
    </row>
    <row r="53" spans="1:19" ht="18" customHeight="1" x14ac:dyDescent="0.15">
      <c r="A53" s="3"/>
      <c r="B53" s="92"/>
      <c r="C53" s="93"/>
      <c r="D53" s="93"/>
      <c r="E53" s="94"/>
      <c r="F53" s="24"/>
      <c r="G53" s="24"/>
      <c r="H53" s="25"/>
      <c r="I53" s="25"/>
      <c r="J53" s="92"/>
      <c r="K53" s="93"/>
      <c r="L53" s="93"/>
      <c r="M53" s="93"/>
      <c r="N53" s="93"/>
      <c r="O53" s="94"/>
      <c r="P53" s="24"/>
      <c r="Q53" s="24"/>
      <c r="R53" s="25"/>
      <c r="S53" s="25"/>
    </row>
    <row r="54" spans="1:19" ht="7.5" customHeight="1" x14ac:dyDescent="0.15">
      <c r="B54" s="14"/>
      <c r="C54" s="14"/>
      <c r="D54" s="14"/>
      <c r="E54" s="14"/>
      <c r="F54" s="14"/>
      <c r="G54" s="14"/>
      <c r="H54" s="14"/>
      <c r="I54" s="14"/>
      <c r="J54" s="14"/>
      <c r="K54" s="14"/>
      <c r="L54" s="14"/>
      <c r="M54" s="14"/>
      <c r="N54" s="14"/>
      <c r="O54" s="14"/>
      <c r="P54" s="14"/>
      <c r="Q54" s="14"/>
      <c r="R54" s="14"/>
    </row>
    <row r="55" spans="1:19" ht="18" customHeight="1" x14ac:dyDescent="0.15">
      <c r="A55" s="95" t="s">
        <v>116</v>
      </c>
      <c r="B55" s="95"/>
      <c r="C55" s="95"/>
      <c r="D55" s="95"/>
      <c r="E55" s="95"/>
      <c r="F55" s="95"/>
      <c r="G55" s="95"/>
      <c r="H55" s="95"/>
      <c r="I55" s="95"/>
      <c r="J55" s="95"/>
      <c r="K55" s="95"/>
      <c r="L55" s="95"/>
      <c r="M55" s="95"/>
      <c r="N55" s="95"/>
      <c r="O55" s="95"/>
      <c r="P55" s="95"/>
      <c r="Q55" s="95"/>
      <c r="R55" s="95"/>
      <c r="S55" s="95"/>
    </row>
    <row r="56" spans="1:19" ht="18" customHeight="1" x14ac:dyDescent="0.15">
      <c r="A56" s="95"/>
      <c r="B56" s="95"/>
      <c r="C56" s="95"/>
      <c r="D56" s="95"/>
      <c r="E56" s="95"/>
      <c r="F56" s="95"/>
      <c r="G56" s="95"/>
      <c r="H56" s="95"/>
      <c r="I56" s="95"/>
      <c r="J56" s="95"/>
      <c r="K56" s="95"/>
      <c r="L56" s="95"/>
      <c r="M56" s="95"/>
      <c r="N56" s="95"/>
      <c r="O56" s="95"/>
      <c r="P56" s="95"/>
      <c r="Q56" s="95"/>
      <c r="R56" s="95"/>
      <c r="S56" s="95"/>
    </row>
    <row r="57" spans="1:19" ht="18" customHeight="1" x14ac:dyDescent="0.15">
      <c r="B57" s="89" t="s">
        <v>53</v>
      </c>
      <c r="C57" s="90"/>
      <c r="D57" s="90"/>
      <c r="E57" s="91"/>
      <c r="F57" s="60" t="s">
        <v>80</v>
      </c>
      <c r="G57" s="59" t="s">
        <v>84</v>
      </c>
      <c r="H57" s="21" t="s">
        <v>58</v>
      </c>
      <c r="I57" s="21" t="s">
        <v>60</v>
      </c>
      <c r="J57" s="89" t="s">
        <v>53</v>
      </c>
      <c r="K57" s="90"/>
      <c r="L57" s="90"/>
      <c r="M57" s="90"/>
      <c r="N57" s="90"/>
      <c r="O57" s="91"/>
      <c r="P57" s="60" t="s">
        <v>80</v>
      </c>
      <c r="Q57" s="59" t="s">
        <v>84</v>
      </c>
      <c r="R57" s="21" t="s">
        <v>58</v>
      </c>
      <c r="S57" s="21" t="s">
        <v>60</v>
      </c>
    </row>
    <row r="58" spans="1:19" ht="18" customHeight="1" x14ac:dyDescent="0.15">
      <c r="A58" s="3"/>
      <c r="B58" s="83" t="s">
        <v>129</v>
      </c>
      <c r="C58" s="84"/>
      <c r="D58" s="84"/>
      <c r="E58" s="85"/>
      <c r="F58" s="23">
        <v>2</v>
      </c>
      <c r="G58" s="23"/>
      <c r="H58" s="23" t="s">
        <v>130</v>
      </c>
      <c r="I58" s="23" t="s">
        <v>130</v>
      </c>
      <c r="J58" s="83"/>
      <c r="K58" s="84"/>
      <c r="L58" s="84"/>
      <c r="M58" s="84"/>
      <c r="N58" s="84"/>
      <c r="O58" s="85"/>
      <c r="P58" s="22"/>
      <c r="Q58" s="22"/>
      <c r="R58" s="22"/>
      <c r="S58" s="22"/>
    </row>
    <row r="59" spans="1:19" ht="18" customHeight="1" x14ac:dyDescent="0.15">
      <c r="A59" s="3"/>
      <c r="B59" s="86" t="s">
        <v>200</v>
      </c>
      <c r="C59" s="87"/>
      <c r="D59" s="87"/>
      <c r="E59" s="88"/>
      <c r="F59" s="23">
        <v>2</v>
      </c>
      <c r="G59" s="23"/>
      <c r="H59" s="23" t="s">
        <v>130</v>
      </c>
      <c r="I59" s="23" t="s">
        <v>130</v>
      </c>
      <c r="J59" s="86"/>
      <c r="K59" s="87"/>
      <c r="L59" s="87"/>
      <c r="M59" s="87"/>
      <c r="N59" s="87"/>
      <c r="O59" s="88"/>
      <c r="P59" s="23"/>
      <c r="Q59" s="23"/>
      <c r="R59" s="23"/>
      <c r="S59" s="23"/>
    </row>
    <row r="60" spans="1:19" ht="18" customHeight="1" x14ac:dyDescent="0.15">
      <c r="A60" s="3"/>
      <c r="B60" s="86"/>
      <c r="C60" s="87"/>
      <c r="D60" s="87"/>
      <c r="E60" s="88"/>
      <c r="F60" s="23"/>
      <c r="G60" s="23"/>
      <c r="H60" s="23"/>
      <c r="I60" s="23"/>
      <c r="J60" s="86"/>
      <c r="K60" s="87"/>
      <c r="L60" s="87"/>
      <c r="M60" s="87"/>
      <c r="N60" s="87"/>
      <c r="O60" s="88"/>
      <c r="P60" s="23"/>
      <c r="Q60" s="23"/>
      <c r="R60" s="23"/>
      <c r="S60" s="23"/>
    </row>
    <row r="61" spans="1:19" ht="18" customHeight="1" x14ac:dyDescent="0.15">
      <c r="A61" s="3"/>
      <c r="B61" s="86"/>
      <c r="C61" s="87"/>
      <c r="D61" s="87"/>
      <c r="E61" s="88"/>
      <c r="F61" s="23"/>
      <c r="G61" s="23"/>
      <c r="H61" s="23"/>
      <c r="I61" s="23"/>
      <c r="J61" s="86"/>
      <c r="K61" s="87"/>
      <c r="L61" s="87"/>
      <c r="M61" s="87"/>
      <c r="N61" s="87"/>
      <c r="O61" s="88"/>
      <c r="P61" s="23"/>
      <c r="Q61" s="23"/>
      <c r="R61" s="23"/>
      <c r="S61" s="23"/>
    </row>
    <row r="62" spans="1:19" ht="18" customHeight="1" x14ac:dyDescent="0.15">
      <c r="A62" s="3"/>
      <c r="B62" s="86"/>
      <c r="C62" s="87"/>
      <c r="D62" s="87"/>
      <c r="E62" s="88"/>
      <c r="F62" s="23"/>
      <c r="G62" s="23"/>
      <c r="H62" s="23"/>
      <c r="I62" s="23"/>
      <c r="J62" s="86"/>
      <c r="K62" s="87"/>
      <c r="L62" s="87"/>
      <c r="M62" s="87"/>
      <c r="N62" s="87"/>
      <c r="O62" s="88"/>
      <c r="P62" s="23"/>
      <c r="Q62" s="23"/>
      <c r="R62" s="23"/>
      <c r="S62" s="23"/>
    </row>
    <row r="63" spans="1:19" ht="18" customHeight="1" x14ac:dyDescent="0.15">
      <c r="A63" s="3"/>
      <c r="B63" s="86"/>
      <c r="C63" s="87"/>
      <c r="D63" s="87"/>
      <c r="E63" s="88"/>
      <c r="F63" s="23"/>
      <c r="G63" s="23"/>
      <c r="H63" s="23"/>
      <c r="I63" s="23"/>
      <c r="J63" s="86"/>
      <c r="K63" s="87"/>
      <c r="L63" s="87"/>
      <c r="M63" s="87"/>
      <c r="N63" s="87"/>
      <c r="O63" s="88"/>
      <c r="P63" s="23"/>
      <c r="Q63" s="23"/>
      <c r="R63" s="23"/>
      <c r="S63" s="23"/>
    </row>
    <row r="64" spans="1:19" ht="18" customHeight="1" x14ac:dyDescent="0.15">
      <c r="A64" s="3"/>
      <c r="B64" s="92"/>
      <c r="C64" s="93"/>
      <c r="D64" s="93"/>
      <c r="E64" s="94"/>
      <c r="F64" s="24"/>
      <c r="G64" s="24"/>
      <c r="H64" s="25"/>
      <c r="I64" s="25"/>
      <c r="J64" s="92"/>
      <c r="K64" s="93"/>
      <c r="L64" s="93"/>
      <c r="M64" s="93"/>
      <c r="N64" s="93"/>
      <c r="O64" s="94"/>
      <c r="P64" s="24"/>
      <c r="Q64" s="24"/>
      <c r="R64" s="25"/>
      <c r="S64" s="25"/>
    </row>
    <row r="65" spans="1:19" ht="7.5" customHeight="1" x14ac:dyDescent="0.15">
      <c r="B65" s="14"/>
      <c r="C65" s="14"/>
      <c r="D65" s="14"/>
      <c r="E65" s="14"/>
      <c r="F65" s="14"/>
      <c r="G65" s="14"/>
      <c r="H65" s="14"/>
      <c r="I65" s="14"/>
      <c r="J65" s="14"/>
      <c r="K65" s="14"/>
      <c r="L65" s="14"/>
      <c r="M65" s="14"/>
      <c r="N65" s="14"/>
      <c r="O65" s="14"/>
      <c r="P65" s="14"/>
      <c r="Q65" s="14"/>
      <c r="R65" s="14"/>
    </row>
    <row r="66" spans="1:19" ht="18" customHeight="1" x14ac:dyDescent="0.15">
      <c r="A66" s="95" t="s">
        <v>117</v>
      </c>
      <c r="B66" s="95"/>
      <c r="C66" s="95"/>
      <c r="D66" s="95"/>
      <c r="E66" s="95"/>
      <c r="F66" s="95"/>
      <c r="G66" s="95"/>
      <c r="H66" s="95"/>
      <c r="I66" s="95"/>
      <c r="J66" s="95"/>
      <c r="K66" s="95"/>
      <c r="L66" s="95"/>
      <c r="M66" s="95"/>
      <c r="N66" s="95"/>
      <c r="O66" s="95"/>
      <c r="P66" s="95"/>
      <c r="Q66" s="95"/>
      <c r="R66" s="95"/>
      <c r="S66" s="95"/>
    </row>
    <row r="67" spans="1:19" ht="18" customHeight="1" x14ac:dyDescent="0.15">
      <c r="A67" s="95"/>
      <c r="B67" s="95"/>
      <c r="C67" s="95"/>
      <c r="D67" s="95"/>
      <c r="E67" s="95"/>
      <c r="F67" s="95"/>
      <c r="G67" s="95"/>
      <c r="H67" s="95"/>
      <c r="I67" s="95"/>
      <c r="J67" s="95"/>
      <c r="K67" s="95"/>
      <c r="L67" s="95"/>
      <c r="M67" s="95"/>
      <c r="N67" s="95"/>
      <c r="O67" s="95"/>
      <c r="P67" s="95"/>
      <c r="Q67" s="95"/>
      <c r="R67" s="95"/>
      <c r="S67" s="95"/>
    </row>
    <row r="68" spans="1:19" ht="18" customHeight="1" x14ac:dyDescent="0.15">
      <c r="B68" s="89" t="s">
        <v>53</v>
      </c>
      <c r="C68" s="90"/>
      <c r="D68" s="90"/>
      <c r="E68" s="60" t="s">
        <v>80</v>
      </c>
      <c r="F68" s="59" t="s">
        <v>84</v>
      </c>
      <c r="G68" s="21" t="s">
        <v>101</v>
      </c>
      <c r="H68" s="21" t="s">
        <v>75</v>
      </c>
      <c r="I68" s="21" t="s">
        <v>76</v>
      </c>
      <c r="J68" s="89" t="s">
        <v>53</v>
      </c>
      <c r="K68" s="90"/>
      <c r="L68" s="90"/>
      <c r="M68" s="90"/>
      <c r="N68" s="91"/>
      <c r="O68" s="60" t="s">
        <v>80</v>
      </c>
      <c r="P68" s="59" t="s">
        <v>84</v>
      </c>
      <c r="Q68" s="21" t="s">
        <v>101</v>
      </c>
      <c r="R68" s="21" t="s">
        <v>75</v>
      </c>
      <c r="S68" s="21" t="s">
        <v>76</v>
      </c>
    </row>
    <row r="69" spans="1:19" ht="18" customHeight="1" x14ac:dyDescent="0.15">
      <c r="A69" s="3"/>
      <c r="B69" s="83" t="s">
        <v>203</v>
      </c>
      <c r="C69" s="84"/>
      <c r="D69" s="85"/>
      <c r="E69" s="22" t="s">
        <v>224</v>
      </c>
      <c r="F69" s="22" t="s">
        <v>130</v>
      </c>
      <c r="G69" s="22" t="s">
        <v>130</v>
      </c>
      <c r="H69" s="22" t="s">
        <v>130</v>
      </c>
      <c r="I69" s="22" t="s">
        <v>130</v>
      </c>
      <c r="J69" s="83"/>
      <c r="K69" s="84"/>
      <c r="L69" s="84"/>
      <c r="M69" s="84"/>
      <c r="N69" s="85"/>
      <c r="O69" s="22"/>
      <c r="P69" s="22"/>
      <c r="Q69" s="22"/>
      <c r="R69" s="22"/>
      <c r="S69" s="22"/>
    </row>
    <row r="70" spans="1:19" ht="18" customHeight="1" x14ac:dyDescent="0.15">
      <c r="A70" s="3"/>
      <c r="B70" s="86"/>
      <c r="C70" s="87"/>
      <c r="D70" s="88"/>
      <c r="E70" s="23"/>
      <c r="F70" s="23"/>
      <c r="G70" s="23"/>
      <c r="H70" s="23"/>
      <c r="I70" s="23"/>
      <c r="J70" s="86"/>
      <c r="K70" s="87"/>
      <c r="L70" s="87"/>
      <c r="M70" s="87"/>
      <c r="N70" s="88"/>
      <c r="O70" s="23"/>
      <c r="P70" s="23"/>
      <c r="Q70" s="23"/>
      <c r="R70" s="23"/>
      <c r="S70" s="23"/>
    </row>
    <row r="71" spans="1:19" ht="18" customHeight="1" x14ac:dyDescent="0.15">
      <c r="A71" s="3"/>
      <c r="B71" s="86"/>
      <c r="C71" s="87"/>
      <c r="D71" s="88"/>
      <c r="E71" s="23"/>
      <c r="F71" s="23"/>
      <c r="G71" s="23"/>
      <c r="H71" s="23"/>
      <c r="I71" s="23"/>
      <c r="J71" s="86"/>
      <c r="K71" s="87"/>
      <c r="L71" s="87"/>
      <c r="M71" s="87"/>
      <c r="N71" s="88"/>
      <c r="O71" s="23"/>
      <c r="P71" s="23"/>
      <c r="Q71" s="23"/>
      <c r="R71" s="23"/>
      <c r="S71" s="23"/>
    </row>
    <row r="72" spans="1:19" ht="18" customHeight="1" x14ac:dyDescent="0.15">
      <c r="A72" s="3"/>
      <c r="B72" s="86"/>
      <c r="C72" s="87"/>
      <c r="D72" s="87"/>
      <c r="E72" s="23"/>
      <c r="F72" s="23"/>
      <c r="G72" s="23"/>
      <c r="H72" s="23"/>
      <c r="I72" s="23"/>
      <c r="J72" s="86"/>
      <c r="K72" s="87"/>
      <c r="L72" s="87"/>
      <c r="M72" s="87"/>
      <c r="N72" s="88"/>
      <c r="O72" s="23"/>
      <c r="P72" s="23"/>
      <c r="Q72" s="23"/>
      <c r="R72" s="23"/>
      <c r="S72" s="23"/>
    </row>
    <row r="73" spans="1:19" ht="18" customHeight="1" x14ac:dyDescent="0.15">
      <c r="A73" s="3"/>
      <c r="B73" s="86"/>
      <c r="C73" s="87"/>
      <c r="D73" s="87"/>
      <c r="E73" s="23"/>
      <c r="F73" s="23"/>
      <c r="G73" s="23"/>
      <c r="H73" s="23"/>
      <c r="I73" s="23"/>
      <c r="J73" s="86"/>
      <c r="K73" s="87"/>
      <c r="L73" s="87"/>
      <c r="M73" s="87"/>
      <c r="N73" s="88"/>
      <c r="O73" s="23"/>
      <c r="P73" s="23"/>
      <c r="Q73" s="23"/>
      <c r="R73" s="23"/>
      <c r="S73" s="23"/>
    </row>
    <row r="74" spans="1:19" ht="18" customHeight="1" x14ac:dyDescent="0.15">
      <c r="A74" s="3"/>
      <c r="B74" s="86"/>
      <c r="C74" s="87"/>
      <c r="D74" s="87"/>
      <c r="E74" s="23"/>
      <c r="F74" s="23"/>
      <c r="G74" s="23"/>
      <c r="H74" s="23"/>
      <c r="I74" s="23"/>
      <c r="J74" s="86"/>
      <c r="K74" s="87"/>
      <c r="L74" s="87"/>
      <c r="M74" s="87"/>
      <c r="N74" s="88"/>
      <c r="O74" s="23"/>
      <c r="P74" s="23"/>
      <c r="Q74" s="23"/>
      <c r="R74" s="23"/>
      <c r="S74" s="23"/>
    </row>
    <row r="75" spans="1:19" ht="18" customHeight="1" x14ac:dyDescent="0.15">
      <c r="A75" s="3"/>
      <c r="B75" s="92"/>
      <c r="C75" s="93"/>
      <c r="D75" s="93"/>
      <c r="E75" s="24"/>
      <c r="F75" s="24"/>
      <c r="G75" s="25"/>
      <c r="H75" s="25"/>
      <c r="I75" s="25"/>
      <c r="J75" s="92"/>
      <c r="K75" s="93"/>
      <c r="L75" s="93"/>
      <c r="M75" s="93"/>
      <c r="N75" s="94"/>
      <c r="O75" s="24"/>
      <c r="P75" s="24"/>
      <c r="Q75" s="25"/>
      <c r="R75" s="25"/>
      <c r="S75" s="25"/>
    </row>
    <row r="76" spans="1:19" ht="7.5" customHeight="1" x14ac:dyDescent="0.15">
      <c r="B76" s="14"/>
      <c r="C76" s="14"/>
      <c r="D76" s="14"/>
      <c r="E76" s="14"/>
      <c r="F76" s="14"/>
      <c r="G76" s="14"/>
      <c r="H76" s="14"/>
      <c r="I76" s="14"/>
      <c r="J76" s="14"/>
      <c r="K76" s="14"/>
      <c r="L76" s="14"/>
      <c r="M76" s="14"/>
      <c r="N76" s="14"/>
      <c r="O76" s="14"/>
      <c r="P76" s="14"/>
      <c r="Q76" s="14"/>
      <c r="R76" s="14"/>
    </row>
    <row r="77" spans="1:19" ht="18" customHeight="1" x14ac:dyDescent="0.15">
      <c r="A77" s="1" t="s">
        <v>118</v>
      </c>
      <c r="H77" s="3"/>
      <c r="I77" s="3"/>
      <c r="J77" s="3"/>
      <c r="K77" s="3"/>
      <c r="L77" s="3"/>
      <c r="M77" s="3"/>
      <c r="N77" s="3"/>
      <c r="O77" s="3"/>
      <c r="P77" s="3"/>
      <c r="Q77" s="3"/>
      <c r="R77" s="3"/>
      <c r="S77" s="3"/>
    </row>
    <row r="78" spans="1:19" ht="18" customHeight="1" x14ac:dyDescent="0.15">
      <c r="B78" s="89" t="s">
        <v>53</v>
      </c>
      <c r="C78" s="90"/>
      <c r="D78" s="90"/>
      <c r="E78" s="91"/>
      <c r="F78" s="89" t="s">
        <v>82</v>
      </c>
      <c r="G78" s="90"/>
      <c r="H78" s="90"/>
      <c r="I78" s="91"/>
      <c r="J78" s="117" t="s">
        <v>53</v>
      </c>
      <c r="K78" s="118"/>
      <c r="L78" s="118"/>
      <c r="M78" s="118"/>
      <c r="N78" s="118"/>
      <c r="O78" s="119"/>
      <c r="P78" s="89" t="s">
        <v>82</v>
      </c>
      <c r="Q78" s="90"/>
      <c r="R78" s="90"/>
      <c r="S78" s="91"/>
    </row>
    <row r="79" spans="1:19" ht="18" customHeight="1" x14ac:dyDescent="0.15">
      <c r="A79" s="3"/>
      <c r="B79" s="83"/>
      <c r="C79" s="84"/>
      <c r="D79" s="84"/>
      <c r="E79" s="85"/>
      <c r="F79" s="111"/>
      <c r="G79" s="112"/>
      <c r="H79" s="112"/>
      <c r="I79" s="113"/>
      <c r="J79" s="83"/>
      <c r="K79" s="84"/>
      <c r="L79" s="84"/>
      <c r="M79" s="84"/>
      <c r="N79" s="84"/>
      <c r="O79" s="85"/>
      <c r="P79" s="111"/>
      <c r="Q79" s="112"/>
      <c r="R79" s="112"/>
      <c r="S79" s="113"/>
    </row>
    <row r="80" spans="1:19" ht="18" customHeight="1" x14ac:dyDescent="0.15">
      <c r="A80" s="3"/>
      <c r="B80" s="86"/>
      <c r="C80" s="87"/>
      <c r="D80" s="87"/>
      <c r="E80" s="88"/>
      <c r="F80" s="114"/>
      <c r="G80" s="115"/>
      <c r="H80" s="115"/>
      <c r="I80" s="116"/>
      <c r="J80" s="86"/>
      <c r="K80" s="87"/>
      <c r="L80" s="87"/>
      <c r="M80" s="87"/>
      <c r="N80" s="87"/>
      <c r="O80" s="88"/>
      <c r="P80" s="114"/>
      <c r="Q80" s="115"/>
      <c r="R80" s="115"/>
      <c r="S80" s="116"/>
    </row>
    <row r="81" spans="1:19" ht="18" customHeight="1" x14ac:dyDescent="0.15">
      <c r="A81" s="3"/>
      <c r="B81" s="86"/>
      <c r="C81" s="87"/>
      <c r="D81" s="87"/>
      <c r="E81" s="88"/>
      <c r="F81" s="114"/>
      <c r="G81" s="115"/>
      <c r="H81" s="115"/>
      <c r="I81" s="116"/>
      <c r="J81" s="86"/>
      <c r="K81" s="87"/>
      <c r="L81" s="87"/>
      <c r="M81" s="87"/>
      <c r="N81" s="87"/>
      <c r="O81" s="88"/>
      <c r="P81" s="114"/>
      <c r="Q81" s="115"/>
      <c r="R81" s="115"/>
      <c r="S81" s="116"/>
    </row>
    <row r="82" spans="1:19" ht="18" customHeight="1" x14ac:dyDescent="0.15">
      <c r="A82" s="3"/>
      <c r="B82" s="86"/>
      <c r="C82" s="87"/>
      <c r="D82" s="87"/>
      <c r="E82" s="88"/>
      <c r="F82" s="114"/>
      <c r="G82" s="115"/>
      <c r="H82" s="115"/>
      <c r="I82" s="116"/>
      <c r="J82" s="86"/>
      <c r="K82" s="87"/>
      <c r="L82" s="87"/>
      <c r="M82" s="87"/>
      <c r="N82" s="87"/>
      <c r="O82" s="88"/>
      <c r="P82" s="114"/>
      <c r="Q82" s="115"/>
      <c r="R82" s="115"/>
      <c r="S82" s="116"/>
    </row>
    <row r="83" spans="1:19" ht="18" customHeight="1" x14ac:dyDescent="0.15">
      <c r="A83" s="3"/>
      <c r="B83" s="86"/>
      <c r="C83" s="87"/>
      <c r="D83" s="87"/>
      <c r="E83" s="88"/>
      <c r="F83" s="114"/>
      <c r="G83" s="115"/>
      <c r="H83" s="115"/>
      <c r="I83" s="116"/>
      <c r="J83" s="86"/>
      <c r="K83" s="87"/>
      <c r="L83" s="87"/>
      <c r="M83" s="87"/>
      <c r="N83" s="87"/>
      <c r="O83" s="88"/>
      <c r="P83" s="114"/>
      <c r="Q83" s="115"/>
      <c r="R83" s="115"/>
      <c r="S83" s="116"/>
    </row>
    <row r="84" spans="1:19" ht="18" customHeight="1" x14ac:dyDescent="0.15">
      <c r="A84" s="3"/>
      <c r="B84" s="86"/>
      <c r="C84" s="87"/>
      <c r="D84" s="87"/>
      <c r="E84" s="88"/>
      <c r="F84" s="114"/>
      <c r="G84" s="115"/>
      <c r="H84" s="115"/>
      <c r="I84" s="116"/>
      <c r="J84" s="86"/>
      <c r="K84" s="87"/>
      <c r="L84" s="87"/>
      <c r="M84" s="87"/>
      <c r="N84" s="87"/>
      <c r="O84" s="88"/>
      <c r="P84" s="114"/>
      <c r="Q84" s="115"/>
      <c r="R84" s="115"/>
      <c r="S84" s="116"/>
    </row>
    <row r="85" spans="1:19" ht="18" customHeight="1" x14ac:dyDescent="0.15">
      <c r="A85" s="3"/>
      <c r="B85" s="92"/>
      <c r="C85" s="93"/>
      <c r="D85" s="93"/>
      <c r="E85" s="94"/>
      <c r="F85" s="120"/>
      <c r="G85" s="121"/>
      <c r="H85" s="121"/>
      <c r="I85" s="122"/>
      <c r="J85" s="92"/>
      <c r="K85" s="93"/>
      <c r="L85" s="93"/>
      <c r="M85" s="93"/>
      <c r="N85" s="93"/>
      <c r="O85" s="94"/>
      <c r="P85" s="120"/>
      <c r="Q85" s="121"/>
      <c r="R85" s="121"/>
      <c r="S85" s="122"/>
    </row>
    <row r="86" spans="1:19" ht="18" customHeight="1" x14ac:dyDescent="0.15">
      <c r="A86" s="3"/>
      <c r="B86" s="6"/>
      <c r="C86" s="6"/>
      <c r="D86" s="6"/>
      <c r="E86" s="6"/>
      <c r="F86" s="26"/>
      <c r="G86" s="26"/>
      <c r="H86" s="26"/>
      <c r="I86" s="26"/>
      <c r="J86" s="6"/>
      <c r="K86" s="6"/>
      <c r="L86" s="6"/>
      <c r="M86" s="6"/>
      <c r="N86" s="6"/>
      <c r="O86" s="6"/>
      <c r="P86" s="26"/>
      <c r="Q86" s="26"/>
      <c r="R86" s="26"/>
      <c r="S86" s="26"/>
    </row>
    <row r="87" spans="1:19" ht="18.75" customHeight="1" x14ac:dyDescent="0.15">
      <c r="A87" s="1" t="s">
        <v>119</v>
      </c>
    </row>
    <row r="88" spans="1:19" ht="18.75" customHeight="1" x14ac:dyDescent="0.15">
      <c r="B88" s="107" t="s">
        <v>54</v>
      </c>
      <c r="C88" s="108"/>
      <c r="D88" s="90" t="s">
        <v>55</v>
      </c>
      <c r="E88" s="90"/>
      <c r="F88" s="90"/>
      <c r="G88" s="90"/>
      <c r="H88" s="90"/>
      <c r="I88" s="90"/>
      <c r="J88" s="90"/>
      <c r="K88" s="90"/>
      <c r="L88" s="90"/>
      <c r="M88" s="90"/>
      <c r="N88" s="90"/>
      <c r="O88" s="90"/>
      <c r="P88" s="90"/>
      <c r="Q88" s="90"/>
      <c r="R88" s="90"/>
      <c r="S88" s="91"/>
    </row>
    <row r="89" spans="1:19" ht="97.5" customHeight="1" x14ac:dyDescent="0.15">
      <c r="B89" s="96" t="s">
        <v>61</v>
      </c>
      <c r="C89" s="27" t="s">
        <v>56</v>
      </c>
      <c r="D89" s="105" t="s">
        <v>233</v>
      </c>
      <c r="E89" s="109"/>
      <c r="F89" s="109"/>
      <c r="G89" s="109"/>
      <c r="H89" s="109"/>
      <c r="I89" s="109"/>
      <c r="J89" s="109"/>
      <c r="K89" s="109"/>
      <c r="L89" s="109"/>
      <c r="M89" s="109"/>
      <c r="N89" s="109"/>
      <c r="O89" s="109"/>
      <c r="P89" s="109"/>
      <c r="Q89" s="109"/>
      <c r="R89" s="109"/>
      <c r="S89" s="110"/>
    </row>
    <row r="90" spans="1:19" ht="97.5" customHeight="1" x14ac:dyDescent="0.15">
      <c r="B90" s="97"/>
      <c r="C90" s="28" t="s">
        <v>77</v>
      </c>
      <c r="D90" s="123" t="s">
        <v>234</v>
      </c>
      <c r="E90" s="123"/>
      <c r="F90" s="123"/>
      <c r="G90" s="123"/>
      <c r="H90" s="123"/>
      <c r="I90" s="123"/>
      <c r="J90" s="123"/>
      <c r="K90" s="123"/>
      <c r="L90" s="123"/>
      <c r="M90" s="123"/>
      <c r="N90" s="123"/>
      <c r="O90" s="123"/>
      <c r="P90" s="123"/>
      <c r="Q90" s="123"/>
      <c r="R90" s="123"/>
      <c r="S90" s="124"/>
    </row>
    <row r="91" spans="1:19" ht="97.5" customHeight="1" x14ac:dyDescent="0.15">
      <c r="B91" s="96" t="s">
        <v>62</v>
      </c>
      <c r="C91" s="29" t="s">
        <v>71</v>
      </c>
      <c r="D91" s="125" t="s">
        <v>235</v>
      </c>
      <c r="E91" s="125"/>
      <c r="F91" s="125"/>
      <c r="G91" s="125"/>
      <c r="H91" s="125"/>
      <c r="I91" s="125"/>
      <c r="J91" s="125"/>
      <c r="K91" s="125"/>
      <c r="L91" s="125"/>
      <c r="M91" s="125"/>
      <c r="N91" s="125"/>
      <c r="O91" s="125"/>
      <c r="P91" s="125"/>
      <c r="Q91" s="125"/>
      <c r="R91" s="125"/>
      <c r="S91" s="160"/>
    </row>
    <row r="92" spans="1:19" ht="111" customHeight="1" x14ac:dyDescent="0.15">
      <c r="B92" s="98"/>
      <c r="C92" s="30" t="s">
        <v>72</v>
      </c>
      <c r="D92" s="130" t="s">
        <v>236</v>
      </c>
      <c r="E92" s="130"/>
      <c r="F92" s="130"/>
      <c r="G92" s="130"/>
      <c r="H92" s="130"/>
      <c r="I92" s="130"/>
      <c r="J92" s="130"/>
      <c r="K92" s="130"/>
      <c r="L92" s="130"/>
      <c r="M92" s="130"/>
      <c r="N92" s="130"/>
      <c r="O92" s="130"/>
      <c r="P92" s="130"/>
      <c r="Q92" s="130"/>
      <c r="R92" s="130"/>
      <c r="S92" s="133"/>
    </row>
    <row r="93" spans="1:19" ht="97.5" customHeight="1" x14ac:dyDescent="0.15">
      <c r="B93" s="96" t="s">
        <v>63</v>
      </c>
      <c r="C93" s="29" t="s">
        <v>73</v>
      </c>
      <c r="D93" s="125" t="s">
        <v>237</v>
      </c>
      <c r="E93" s="126"/>
      <c r="F93" s="126"/>
      <c r="G93" s="126"/>
      <c r="H93" s="126"/>
      <c r="I93" s="126"/>
      <c r="J93" s="126"/>
      <c r="K93" s="126"/>
      <c r="L93" s="126"/>
      <c r="M93" s="126"/>
      <c r="N93" s="126"/>
      <c r="O93" s="126"/>
      <c r="P93" s="126"/>
      <c r="Q93" s="126"/>
      <c r="R93" s="126"/>
      <c r="S93" s="127"/>
    </row>
    <row r="94" spans="1:19" ht="97.5" customHeight="1" x14ac:dyDescent="0.15">
      <c r="B94" s="98"/>
      <c r="C94" s="31" t="s">
        <v>74</v>
      </c>
      <c r="D94" s="128" t="s">
        <v>238</v>
      </c>
      <c r="E94" s="128"/>
      <c r="F94" s="128"/>
      <c r="G94" s="128"/>
      <c r="H94" s="128"/>
      <c r="I94" s="128"/>
      <c r="J94" s="128"/>
      <c r="K94" s="128"/>
      <c r="L94" s="128"/>
      <c r="M94" s="128"/>
      <c r="N94" s="128"/>
      <c r="O94" s="128"/>
      <c r="P94" s="128"/>
      <c r="Q94" s="128"/>
      <c r="R94" s="128"/>
      <c r="S94" s="129"/>
    </row>
    <row r="95" spans="1:19" ht="97.5" customHeight="1" x14ac:dyDescent="0.15">
      <c r="B95" s="96" t="s">
        <v>78</v>
      </c>
      <c r="C95" s="27" t="s">
        <v>58</v>
      </c>
      <c r="D95" s="105" t="s">
        <v>239</v>
      </c>
      <c r="E95" s="105"/>
      <c r="F95" s="105"/>
      <c r="G95" s="105"/>
      <c r="H95" s="105"/>
      <c r="I95" s="105"/>
      <c r="J95" s="105"/>
      <c r="K95" s="105"/>
      <c r="L95" s="105"/>
      <c r="M95" s="105"/>
      <c r="N95" s="105"/>
      <c r="O95" s="105"/>
      <c r="P95" s="105"/>
      <c r="Q95" s="105"/>
      <c r="R95" s="105"/>
      <c r="S95" s="106"/>
    </row>
    <row r="96" spans="1:19" ht="97.5" customHeight="1" x14ac:dyDescent="0.15">
      <c r="B96" s="98"/>
      <c r="C96" s="30" t="s">
        <v>60</v>
      </c>
      <c r="D96" s="130" t="s">
        <v>240</v>
      </c>
      <c r="E96" s="130"/>
      <c r="F96" s="130"/>
      <c r="G96" s="130"/>
      <c r="H96" s="130"/>
      <c r="I96" s="130"/>
      <c r="J96" s="130"/>
      <c r="K96" s="130"/>
      <c r="L96" s="130"/>
      <c r="M96" s="130"/>
      <c r="N96" s="130"/>
      <c r="O96" s="130"/>
      <c r="P96" s="130"/>
      <c r="Q96" s="130"/>
      <c r="R96" s="130"/>
      <c r="S96" s="133"/>
    </row>
    <row r="97" spans="1:19" ht="129" customHeight="1" x14ac:dyDescent="0.15">
      <c r="B97" s="96" t="s">
        <v>79</v>
      </c>
      <c r="C97" s="29" t="s">
        <v>57</v>
      </c>
      <c r="D97" s="100" t="s">
        <v>241</v>
      </c>
      <c r="E97" s="100"/>
      <c r="F97" s="100"/>
      <c r="G97" s="100"/>
      <c r="H97" s="100"/>
      <c r="I97" s="100"/>
      <c r="J97" s="100"/>
      <c r="K97" s="100"/>
      <c r="L97" s="100"/>
      <c r="M97" s="100"/>
      <c r="N97" s="100"/>
      <c r="O97" s="100"/>
      <c r="P97" s="100"/>
      <c r="Q97" s="100"/>
      <c r="R97" s="100"/>
      <c r="S97" s="101"/>
    </row>
    <row r="98" spans="1:19" ht="97.5" customHeight="1" x14ac:dyDescent="0.15">
      <c r="B98" s="97"/>
      <c r="C98" s="32" t="s">
        <v>75</v>
      </c>
      <c r="D98" s="161" t="s">
        <v>231</v>
      </c>
      <c r="E98" s="162"/>
      <c r="F98" s="162"/>
      <c r="G98" s="162"/>
      <c r="H98" s="162"/>
      <c r="I98" s="162"/>
      <c r="J98" s="162"/>
      <c r="K98" s="162"/>
      <c r="L98" s="162"/>
      <c r="M98" s="162"/>
      <c r="N98" s="162"/>
      <c r="O98" s="162"/>
      <c r="P98" s="162"/>
      <c r="Q98" s="162"/>
      <c r="R98" s="162"/>
      <c r="S98" s="163"/>
    </row>
    <row r="99" spans="1:19" ht="97.5" customHeight="1" x14ac:dyDescent="0.15">
      <c r="B99" s="98"/>
      <c r="C99" s="31" t="s">
        <v>76</v>
      </c>
      <c r="D99" s="169" t="s">
        <v>232</v>
      </c>
      <c r="E99" s="169"/>
      <c r="F99" s="169"/>
      <c r="G99" s="169"/>
      <c r="H99" s="169"/>
      <c r="I99" s="169"/>
      <c r="J99" s="169"/>
      <c r="K99" s="169"/>
      <c r="L99" s="169"/>
      <c r="M99" s="169"/>
      <c r="N99" s="169"/>
      <c r="O99" s="169"/>
      <c r="P99" s="169"/>
      <c r="Q99" s="169"/>
      <c r="R99" s="169"/>
      <c r="S99" s="170"/>
    </row>
    <row r="100" spans="1:19" ht="6" customHeight="1" x14ac:dyDescent="0.15"/>
    <row r="101" spans="1:19" ht="18.75" customHeight="1" x14ac:dyDescent="0.15">
      <c r="A101" s="1" t="s">
        <v>120</v>
      </c>
    </row>
    <row r="102" spans="1:19" ht="81.75" customHeight="1" x14ac:dyDescent="0.15">
      <c r="B102" s="102" t="s">
        <v>134</v>
      </c>
      <c r="C102" s="103"/>
      <c r="D102" s="103"/>
      <c r="E102" s="103"/>
      <c r="F102" s="103"/>
      <c r="G102" s="103"/>
      <c r="H102" s="103"/>
      <c r="I102" s="103"/>
      <c r="J102" s="103"/>
      <c r="K102" s="103"/>
      <c r="L102" s="103"/>
      <c r="M102" s="103"/>
      <c r="N102" s="103"/>
      <c r="O102" s="103"/>
      <c r="P102" s="103"/>
      <c r="Q102" s="103"/>
      <c r="R102" s="103"/>
      <c r="S102" s="104"/>
    </row>
    <row r="110" spans="1:19" ht="18" customHeight="1" x14ac:dyDescent="0.15"/>
  </sheetData>
  <customSheetViews>
    <customSheetView guid="{1C325414-5A0C-4C59-BA24-A8E2B4EC5171}" scale="85" showPageBreaks="1" zeroValues="0" fitToPage="1" printArea="1" hiddenColumns="1" view="pageBreakPreview">
      <selection activeCell="B9" sqref="B9:S10"/>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1"/>
      <headerFooter>
        <oddHeader>&amp;C数理・データサイエンス・AI教育プログラム認定制度【リテラシーレベル】</oddHeader>
      </headerFooter>
    </customSheetView>
    <customSheetView guid="{76C3A8B2-43E5-4491-B38D-7D6417DC209B}" scale="85" showPageBreaks="1" zeroValues="0" fitToPage="1" printArea="1" hiddenColumns="1" view="pageBreakPreview">
      <selection activeCell="B9" sqref="B9:S10"/>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2"/>
      <headerFooter>
        <oddHeader>&amp;C数理・データサイエンス・AI教育プログラム認定制度【リテラシーレベル】</oddHeader>
      </headerFooter>
    </customSheetView>
    <customSheetView guid="{D1FD8C4C-CF69-45DF-A007-1EC45F0F0601}" scale="85" showPageBreaks="1" zeroValues="0" fitToPage="1" printArea="1" hiddenColumns="1" view="pageBreakPreview">
      <selection activeCell="B9" sqref="B9:S10"/>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4" fitToHeight="0" orientation="portrait" r:id="rId3"/>
      <headerFooter>
        <oddHeader>&amp;C数理・データサイエンス・AI教育プログラム認定制度【リテラシーレベル】</oddHeader>
      </headerFooter>
    </customSheetView>
    <customSheetView guid="{B3C66A88-0371-48C7-9AE2-6606C7EDAAFC}" scale="85" showPageBreaks="1" zeroValues="0" fitToPage="1" printArea="1" hiddenColumns="1" view="pageBreakPreview">
      <selection activeCell="B9" sqref="B9:S10"/>
      <rowBreaks count="2" manualBreakCount="2">
        <brk id="65" max="18" man="1"/>
        <brk id="94" max="18" man="1"/>
      </rowBreaks>
      <pageMargins left="0.78740157480314965" right="0.78740157480314965" top="0.78740157480314965" bottom="0.19685039370078741" header="0.31496062992125984" footer="0.19685039370078741"/>
      <printOptions horizontalCentered="1"/>
      <pageSetup paperSize="9" scale="75" fitToHeight="0" orientation="portrait" r:id="rId4"/>
      <headerFooter>
        <oddHeader>&amp;C数理・データサイエンス・AI教育プログラム認定制度【リテラシーレベル】</oddHeader>
      </headerFooter>
    </customSheetView>
  </customSheetViews>
  <mergeCells count="145">
    <mergeCell ref="B97:B99"/>
    <mergeCell ref="D97:S97"/>
    <mergeCell ref="D98:S98"/>
    <mergeCell ref="D99:S99"/>
    <mergeCell ref="B102:S102"/>
    <mergeCell ref="B93:B94"/>
    <mergeCell ref="D93:S93"/>
    <mergeCell ref="D94:S94"/>
    <mergeCell ref="B95:B96"/>
    <mergeCell ref="D95:S95"/>
    <mergeCell ref="D96:S96"/>
    <mergeCell ref="B88:C88"/>
    <mergeCell ref="D88:S88"/>
    <mergeCell ref="B89:B90"/>
    <mergeCell ref="D89:S89"/>
    <mergeCell ref="D90:S90"/>
    <mergeCell ref="B91:B92"/>
    <mergeCell ref="D91:S91"/>
    <mergeCell ref="D92:S92"/>
    <mergeCell ref="B84:E84"/>
    <mergeCell ref="F84:I84"/>
    <mergeCell ref="J84:O84"/>
    <mergeCell ref="P84:S84"/>
    <mergeCell ref="B85:E85"/>
    <mergeCell ref="F85:I85"/>
    <mergeCell ref="J85:O85"/>
    <mergeCell ref="P85:S85"/>
    <mergeCell ref="B82:E82"/>
    <mergeCell ref="F82:I82"/>
    <mergeCell ref="J82:O82"/>
    <mergeCell ref="P82:S82"/>
    <mergeCell ref="B83:E83"/>
    <mergeCell ref="F83:I83"/>
    <mergeCell ref="J83:O83"/>
    <mergeCell ref="P83:S83"/>
    <mergeCell ref="B80:E80"/>
    <mergeCell ref="F80:I80"/>
    <mergeCell ref="J80:O80"/>
    <mergeCell ref="P80:S80"/>
    <mergeCell ref="B81:E81"/>
    <mergeCell ref="F81:I81"/>
    <mergeCell ref="J81:O81"/>
    <mergeCell ref="P81:S81"/>
    <mergeCell ref="B78:E78"/>
    <mergeCell ref="F78:I78"/>
    <mergeCell ref="J78:O78"/>
    <mergeCell ref="P78:S78"/>
    <mergeCell ref="B79:E79"/>
    <mergeCell ref="F79:I79"/>
    <mergeCell ref="J79:O79"/>
    <mergeCell ref="P79:S79"/>
    <mergeCell ref="B73:D73"/>
    <mergeCell ref="J73:N73"/>
    <mergeCell ref="B74:D74"/>
    <mergeCell ref="J74:N74"/>
    <mergeCell ref="B75:D75"/>
    <mergeCell ref="J75:N75"/>
    <mergeCell ref="B70:D70"/>
    <mergeCell ref="J70:N70"/>
    <mergeCell ref="B71:D71"/>
    <mergeCell ref="J71:N71"/>
    <mergeCell ref="B72:D72"/>
    <mergeCell ref="J72:N72"/>
    <mergeCell ref="B64:E64"/>
    <mergeCell ref="J64:O64"/>
    <mergeCell ref="A66:S67"/>
    <mergeCell ref="B68:D68"/>
    <mergeCell ref="J68:N68"/>
    <mergeCell ref="B69:D69"/>
    <mergeCell ref="J69:N69"/>
    <mergeCell ref="B61:E61"/>
    <mergeCell ref="J61:O61"/>
    <mergeCell ref="B62:E62"/>
    <mergeCell ref="J62:O62"/>
    <mergeCell ref="B63:E63"/>
    <mergeCell ref="J63:O63"/>
    <mergeCell ref="B58:E58"/>
    <mergeCell ref="J58:O58"/>
    <mergeCell ref="B59:E59"/>
    <mergeCell ref="J59:O59"/>
    <mergeCell ref="B60:E60"/>
    <mergeCell ref="J60:O60"/>
    <mergeCell ref="B52:E52"/>
    <mergeCell ref="J52:O52"/>
    <mergeCell ref="B53:E53"/>
    <mergeCell ref="J53:O53"/>
    <mergeCell ref="A55:S56"/>
    <mergeCell ref="B57:E57"/>
    <mergeCell ref="J57:O57"/>
    <mergeCell ref="B49:E49"/>
    <mergeCell ref="J49:O49"/>
    <mergeCell ref="B50:E50"/>
    <mergeCell ref="J50:O50"/>
    <mergeCell ref="B51:E51"/>
    <mergeCell ref="J51:O51"/>
    <mergeCell ref="A44:S45"/>
    <mergeCell ref="B46:E46"/>
    <mergeCell ref="J46:O46"/>
    <mergeCell ref="B47:E47"/>
    <mergeCell ref="J47:O47"/>
    <mergeCell ref="B48:E48"/>
    <mergeCell ref="J48:O48"/>
    <mergeCell ref="B40:E40"/>
    <mergeCell ref="J40:O40"/>
    <mergeCell ref="B41:E41"/>
    <mergeCell ref="J41:O41"/>
    <mergeCell ref="B42:E42"/>
    <mergeCell ref="J42:O42"/>
    <mergeCell ref="B37:E37"/>
    <mergeCell ref="J37:O37"/>
    <mergeCell ref="B38:E38"/>
    <mergeCell ref="J38:O38"/>
    <mergeCell ref="B39:E39"/>
    <mergeCell ref="J39:O39"/>
    <mergeCell ref="B31:E31"/>
    <mergeCell ref="J31:O31"/>
    <mergeCell ref="A33:S34"/>
    <mergeCell ref="B35:E35"/>
    <mergeCell ref="J35:O35"/>
    <mergeCell ref="B36:E36"/>
    <mergeCell ref="J36:O36"/>
    <mergeCell ref="B28:E28"/>
    <mergeCell ref="J28:O28"/>
    <mergeCell ref="B29:E29"/>
    <mergeCell ref="J29:O29"/>
    <mergeCell ref="B30:E30"/>
    <mergeCell ref="J30:O30"/>
    <mergeCell ref="B25:E25"/>
    <mergeCell ref="J25:O25"/>
    <mergeCell ref="B26:E26"/>
    <mergeCell ref="J26:O26"/>
    <mergeCell ref="B27:E27"/>
    <mergeCell ref="J27:O27"/>
    <mergeCell ref="B13:S18"/>
    <mergeCell ref="C20:D20"/>
    <mergeCell ref="K20:S20"/>
    <mergeCell ref="A22:S23"/>
    <mergeCell ref="B24:E24"/>
    <mergeCell ref="J24:O24"/>
    <mergeCell ref="R1:S1"/>
    <mergeCell ref="C2:I2"/>
    <mergeCell ref="C3:I3"/>
    <mergeCell ref="A5:S5"/>
    <mergeCell ref="K7:S7"/>
    <mergeCell ref="B9:S10"/>
  </mergeCells>
  <phoneticPr fontId="1"/>
  <conditionalFormatting sqref="B9:S10">
    <cfRule type="expression" dxfId="0" priority="1">
      <formula>$K$7="学部・学科によって、修了要件は相違しない"</formula>
    </cfRule>
  </conditionalFormatting>
  <dataValidations count="5">
    <dataValidation type="list" allowBlank="1" showInputMessage="1" showErrorMessage="1" sqref="F69:I75 Q25:S31 G25:I31 Q36:S42 P69:S75 Q47:S53 G36:I42 Q58:S64 G47:I53 G58:I64" xr:uid="{F4985639-6D88-4694-B6D8-A49B3D7977AD}">
      <formula1>"○"</formula1>
    </dataValidation>
    <dataValidation type="list" allowBlank="1" showInputMessage="1" showErrorMessage="1" sqref="S32 S43 D32:G32 D43:G43" xr:uid="{D0CAD6E6-E87E-4F76-8146-4419314FBA36}">
      <formula1>"全学開講,一部開講"</formula1>
    </dataValidation>
    <dataValidation type="list" allowBlank="1" showInputMessage="1" showErrorMessage="1" sqref="K7 K12" xr:uid="{8FCC4119-43A0-4222-852F-55BE428A880C}">
      <formula1>"学部・学科によって、修了要件は相違する,学部・学科によって、修了要件は相違しない"</formula1>
    </dataValidation>
    <dataValidation type="list" allowBlank="1" showInputMessage="1" showErrorMessage="1" sqref="F79:F86 P79:P86 G79:I80 G83:I86 Q83:S86 Q79:S80" xr:uid="{F3620C27-636D-4316-BE6E-C8E6735F9FA4}">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K20:S20" xr:uid="{8C86B99F-29CC-4D5A-A99D-2B2048FD053B}">
      <formula1>$V$14:$V$16</formula1>
    </dataValidation>
  </dataValidations>
  <printOptions horizontalCentered="1"/>
  <pageMargins left="0.78740157480314965" right="0.78740157480314965" top="0.78740157480314965" bottom="0.19685039370078741" header="0.31496062992125984" footer="0.19685039370078741"/>
  <pageSetup paperSize="9" scale="75" fitToHeight="0" orientation="portrait" r:id="rId5"/>
  <headerFooter>
    <oddHeader>&amp;C数理・データサイエンス・AI教育プログラム認定制度【リテラシーレベル】</oddHeader>
  </headerFooter>
  <rowBreaks count="2" manualBreakCount="2">
    <brk id="65" max="18" man="1"/>
    <brk id="94" max="18"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AS32"/>
  <sheetViews>
    <sheetView view="pageBreakPreview" zoomScaleNormal="100" zoomScaleSheetLayoutView="100" workbookViewId="0"/>
  </sheetViews>
  <sheetFormatPr defaultColWidth="9" defaultRowHeight="18.75" customHeight="1" x14ac:dyDescent="0.15"/>
  <cols>
    <col min="1" max="1" width="2.75" style="1" customWidth="1"/>
    <col min="2" max="2" width="20.75" style="1" customWidth="1"/>
    <col min="3" max="5" width="6.125" style="1" customWidth="1"/>
    <col min="6" max="42" width="4.875" style="1" customWidth="1"/>
    <col min="43" max="43" width="6.625" style="1" customWidth="1"/>
    <col min="44" max="16384" width="9" style="1"/>
  </cols>
  <sheetData>
    <row r="1" spans="1:45" ht="18" customHeight="1" x14ac:dyDescent="0.15">
      <c r="AQ1" s="1" t="s">
        <v>106</v>
      </c>
    </row>
    <row r="2" spans="1:45" ht="18" customHeight="1" x14ac:dyDescent="0.15">
      <c r="K2" s="34"/>
      <c r="Q2" s="34"/>
      <c r="W2" s="34"/>
      <c r="AC2" s="34"/>
      <c r="AI2" s="34"/>
      <c r="AL2" s="34" t="s">
        <v>108</v>
      </c>
      <c r="AM2" s="174" t="str">
        <f>'様式１-１プログラムを構成する授業科目（法学部）'!C2</f>
        <v>明治大学</v>
      </c>
      <c r="AN2" s="174"/>
      <c r="AO2" s="174"/>
      <c r="AP2" s="174"/>
      <c r="AQ2" s="174"/>
    </row>
    <row r="3" spans="1:45" ht="18" customHeight="1" x14ac:dyDescent="0.15">
      <c r="A3" s="141" t="s">
        <v>47</v>
      </c>
      <c r="B3" s="141"/>
      <c r="C3" s="141"/>
      <c r="D3" s="141"/>
      <c r="E3" s="141"/>
      <c r="F3" s="141"/>
      <c r="G3" s="141"/>
      <c r="H3" s="141"/>
      <c r="I3" s="141"/>
      <c r="J3" s="141"/>
      <c r="K3" s="141"/>
      <c r="L3" s="141"/>
      <c r="M3" s="141"/>
      <c r="N3" s="141"/>
      <c r="O3" s="141"/>
      <c r="P3" s="141"/>
      <c r="Q3" s="141"/>
      <c r="R3" s="141"/>
      <c r="S3" s="141"/>
      <c r="T3" s="141"/>
      <c r="U3" s="141"/>
      <c r="V3" s="141"/>
      <c r="W3" s="141"/>
      <c r="X3" s="141"/>
      <c r="Y3" s="141"/>
      <c r="Z3" s="141"/>
      <c r="AA3" s="141"/>
      <c r="AB3" s="141"/>
      <c r="AC3" s="141"/>
      <c r="AD3" s="141"/>
      <c r="AE3" s="141"/>
      <c r="AF3" s="141"/>
      <c r="AG3" s="141"/>
      <c r="AH3" s="141"/>
      <c r="AI3" s="141"/>
      <c r="AJ3" s="141"/>
      <c r="AK3" s="141"/>
      <c r="AL3" s="141"/>
      <c r="AM3" s="141"/>
      <c r="AN3" s="141"/>
      <c r="AO3" s="141"/>
      <c r="AP3" s="141"/>
      <c r="AQ3" s="141"/>
    </row>
    <row r="4" spans="1:45" ht="7.5" customHeight="1" x14ac:dyDescent="0.15">
      <c r="A4" s="3"/>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c r="AG4" s="3"/>
      <c r="AH4" s="3"/>
      <c r="AI4" s="3"/>
      <c r="AJ4" s="3"/>
      <c r="AK4" s="3"/>
      <c r="AL4" s="3"/>
      <c r="AM4" s="3"/>
      <c r="AN4" s="3"/>
      <c r="AO4" s="3"/>
      <c r="AP4" s="3"/>
      <c r="AQ4" s="3"/>
    </row>
    <row r="5" spans="1:45" ht="18" customHeight="1" x14ac:dyDescent="0.15">
      <c r="A5" s="1" t="s">
        <v>83</v>
      </c>
      <c r="C5" s="175" t="s">
        <v>204</v>
      </c>
      <c r="D5" s="176"/>
      <c r="E5" s="3" t="s">
        <v>52</v>
      </c>
      <c r="F5" s="3"/>
      <c r="G5" s="3"/>
      <c r="H5" s="3"/>
      <c r="I5" s="3"/>
      <c r="J5" s="3"/>
      <c r="K5" s="3"/>
      <c r="L5" s="3"/>
      <c r="M5" s="3"/>
      <c r="N5" s="3"/>
      <c r="O5" s="3"/>
      <c r="P5" s="3"/>
      <c r="Q5" s="3"/>
      <c r="R5" s="3"/>
      <c r="S5" s="3"/>
      <c r="T5" s="3"/>
      <c r="U5" s="3"/>
      <c r="V5" s="3"/>
      <c r="W5" s="3"/>
      <c r="X5" s="3"/>
      <c r="Y5" s="3"/>
      <c r="Z5" s="3"/>
      <c r="AA5" s="3"/>
      <c r="AB5" s="3"/>
      <c r="AC5" s="3"/>
      <c r="AD5" s="3"/>
      <c r="AE5" s="3"/>
      <c r="AF5" s="3"/>
      <c r="AG5" s="3"/>
      <c r="AH5" s="3"/>
      <c r="AI5" s="3"/>
      <c r="AJ5" s="3"/>
      <c r="AK5" s="3"/>
      <c r="AL5" s="3"/>
      <c r="AM5" s="3"/>
      <c r="AN5" s="3"/>
      <c r="AO5" s="3"/>
      <c r="AP5" s="6"/>
      <c r="AQ5" s="6"/>
    </row>
    <row r="6" spans="1:45" ht="6" customHeight="1" x14ac:dyDescent="0.15">
      <c r="A6" s="3"/>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3"/>
      <c r="AO6" s="3"/>
      <c r="AP6" s="3"/>
      <c r="AQ6" s="3"/>
    </row>
    <row r="7" spans="1:45" ht="18" customHeight="1" x14ac:dyDescent="0.15">
      <c r="A7" s="1" t="s">
        <v>81</v>
      </c>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c r="AG7" s="3"/>
      <c r="AH7" s="3"/>
      <c r="AI7" s="3"/>
      <c r="AJ7" s="3"/>
      <c r="AK7" s="3"/>
      <c r="AL7" s="3"/>
      <c r="AM7" s="3"/>
      <c r="AN7" s="3"/>
      <c r="AO7" s="3"/>
      <c r="AP7" s="3"/>
      <c r="AQ7" s="3"/>
    </row>
    <row r="8" spans="1:45" ht="6" customHeight="1" x14ac:dyDescent="0.1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c r="AG8" s="3"/>
      <c r="AH8" s="3"/>
      <c r="AI8" s="3"/>
      <c r="AJ8" s="3"/>
      <c r="AK8" s="3"/>
      <c r="AL8" s="3"/>
      <c r="AM8" s="3"/>
      <c r="AN8" s="3"/>
      <c r="AO8" s="3"/>
      <c r="AP8" s="3"/>
      <c r="AQ8" s="3"/>
    </row>
    <row r="9" spans="1:45" ht="18" customHeight="1" x14ac:dyDescent="0.15">
      <c r="B9" s="177" t="s">
        <v>44</v>
      </c>
      <c r="C9" s="192" t="s">
        <v>86</v>
      </c>
      <c r="D9" s="180" t="s">
        <v>46</v>
      </c>
      <c r="E9" s="183" t="s">
        <v>39</v>
      </c>
      <c r="F9" s="171" t="s">
        <v>85</v>
      </c>
      <c r="G9" s="171"/>
      <c r="H9" s="171"/>
      <c r="I9" s="171"/>
      <c r="J9" s="171"/>
      <c r="K9" s="171"/>
      <c r="L9" s="171" t="s">
        <v>48</v>
      </c>
      <c r="M9" s="171"/>
      <c r="N9" s="171"/>
      <c r="O9" s="171"/>
      <c r="P9" s="171"/>
      <c r="Q9" s="171"/>
      <c r="R9" s="171" t="s">
        <v>49</v>
      </c>
      <c r="S9" s="171"/>
      <c r="T9" s="171"/>
      <c r="U9" s="171"/>
      <c r="V9" s="171"/>
      <c r="W9" s="171"/>
      <c r="X9" s="171" t="s">
        <v>100</v>
      </c>
      <c r="Y9" s="171"/>
      <c r="Z9" s="171"/>
      <c r="AA9" s="171"/>
      <c r="AB9" s="171"/>
      <c r="AC9" s="171"/>
      <c r="AD9" s="171" t="s">
        <v>50</v>
      </c>
      <c r="AE9" s="171"/>
      <c r="AF9" s="171"/>
      <c r="AG9" s="171"/>
      <c r="AH9" s="171"/>
      <c r="AI9" s="171"/>
      <c r="AJ9" s="171" t="s">
        <v>51</v>
      </c>
      <c r="AK9" s="171"/>
      <c r="AL9" s="171"/>
      <c r="AM9" s="171"/>
      <c r="AN9" s="171"/>
      <c r="AO9" s="171"/>
      <c r="AP9" s="186" t="s">
        <v>34</v>
      </c>
      <c r="AQ9" s="189" t="s">
        <v>31</v>
      </c>
      <c r="AS9" s="2"/>
    </row>
    <row r="10" spans="1:45" ht="16.899999999999999" customHeight="1" x14ac:dyDescent="0.15">
      <c r="B10" s="178"/>
      <c r="C10" s="193"/>
      <c r="D10" s="181"/>
      <c r="E10" s="184"/>
      <c r="F10" s="172" t="s">
        <v>96</v>
      </c>
      <c r="G10" s="173"/>
      <c r="H10" s="173"/>
      <c r="I10" s="172" t="s">
        <v>28</v>
      </c>
      <c r="J10" s="173"/>
      <c r="K10" s="173"/>
      <c r="L10" s="172" t="s">
        <v>96</v>
      </c>
      <c r="M10" s="173"/>
      <c r="N10" s="173"/>
      <c r="O10" s="172" t="s">
        <v>28</v>
      </c>
      <c r="P10" s="173"/>
      <c r="Q10" s="173"/>
      <c r="R10" s="172" t="s">
        <v>96</v>
      </c>
      <c r="S10" s="173"/>
      <c r="T10" s="173"/>
      <c r="U10" s="172" t="s">
        <v>28</v>
      </c>
      <c r="V10" s="173"/>
      <c r="W10" s="173"/>
      <c r="X10" s="172" t="s">
        <v>96</v>
      </c>
      <c r="Y10" s="173"/>
      <c r="Z10" s="173"/>
      <c r="AA10" s="172" t="s">
        <v>28</v>
      </c>
      <c r="AB10" s="173"/>
      <c r="AC10" s="173"/>
      <c r="AD10" s="172" t="s">
        <v>96</v>
      </c>
      <c r="AE10" s="173"/>
      <c r="AF10" s="173"/>
      <c r="AG10" s="172" t="s">
        <v>28</v>
      </c>
      <c r="AH10" s="173"/>
      <c r="AI10" s="173"/>
      <c r="AJ10" s="172" t="s">
        <v>96</v>
      </c>
      <c r="AK10" s="173"/>
      <c r="AL10" s="173"/>
      <c r="AM10" s="172" t="s">
        <v>28</v>
      </c>
      <c r="AN10" s="173"/>
      <c r="AO10" s="173"/>
      <c r="AP10" s="187"/>
      <c r="AQ10" s="190"/>
      <c r="AS10" s="2"/>
    </row>
    <row r="11" spans="1:45" ht="18" customHeight="1" x14ac:dyDescent="0.15">
      <c r="B11" s="179"/>
      <c r="C11" s="194"/>
      <c r="D11" s="182"/>
      <c r="E11" s="185"/>
      <c r="F11" s="16" t="s">
        <v>97</v>
      </c>
      <c r="G11" s="17" t="s">
        <v>98</v>
      </c>
      <c r="H11" s="18" t="s">
        <v>99</v>
      </c>
      <c r="I11" s="16" t="s">
        <v>97</v>
      </c>
      <c r="J11" s="17" t="s">
        <v>98</v>
      </c>
      <c r="K11" s="18" t="s">
        <v>99</v>
      </c>
      <c r="L11" s="16" t="s">
        <v>97</v>
      </c>
      <c r="M11" s="17" t="s">
        <v>98</v>
      </c>
      <c r="N11" s="18" t="s">
        <v>99</v>
      </c>
      <c r="O11" s="16" t="s">
        <v>97</v>
      </c>
      <c r="P11" s="17" t="s">
        <v>98</v>
      </c>
      <c r="Q11" s="18" t="s">
        <v>99</v>
      </c>
      <c r="R11" s="16" t="s">
        <v>97</v>
      </c>
      <c r="S11" s="17" t="s">
        <v>98</v>
      </c>
      <c r="T11" s="18" t="s">
        <v>99</v>
      </c>
      <c r="U11" s="16" t="s">
        <v>97</v>
      </c>
      <c r="V11" s="17" t="s">
        <v>98</v>
      </c>
      <c r="W11" s="18" t="s">
        <v>99</v>
      </c>
      <c r="X11" s="16" t="s">
        <v>97</v>
      </c>
      <c r="Y11" s="17" t="s">
        <v>98</v>
      </c>
      <c r="Z11" s="18" t="s">
        <v>99</v>
      </c>
      <c r="AA11" s="16" t="s">
        <v>97</v>
      </c>
      <c r="AB11" s="17" t="s">
        <v>98</v>
      </c>
      <c r="AC11" s="18" t="s">
        <v>99</v>
      </c>
      <c r="AD11" s="16" t="s">
        <v>97</v>
      </c>
      <c r="AE11" s="17" t="s">
        <v>98</v>
      </c>
      <c r="AF11" s="18" t="s">
        <v>99</v>
      </c>
      <c r="AG11" s="16" t="s">
        <v>97</v>
      </c>
      <c r="AH11" s="17" t="s">
        <v>98</v>
      </c>
      <c r="AI11" s="18" t="s">
        <v>99</v>
      </c>
      <c r="AJ11" s="16" t="s">
        <v>97</v>
      </c>
      <c r="AK11" s="17" t="s">
        <v>98</v>
      </c>
      <c r="AL11" s="18" t="s">
        <v>99</v>
      </c>
      <c r="AM11" s="16" t="s">
        <v>97</v>
      </c>
      <c r="AN11" s="17" t="s">
        <v>98</v>
      </c>
      <c r="AO11" s="18" t="s">
        <v>99</v>
      </c>
      <c r="AP11" s="188"/>
      <c r="AQ11" s="191"/>
      <c r="AS11" s="2"/>
    </row>
    <row r="12" spans="1:45" ht="18" customHeight="1" x14ac:dyDescent="0.15">
      <c r="A12" s="6"/>
      <c r="B12" s="10" t="s">
        <v>135</v>
      </c>
      <c r="C12" s="61">
        <v>3717</v>
      </c>
      <c r="D12" s="62">
        <v>920</v>
      </c>
      <c r="E12" s="63">
        <v>3680</v>
      </c>
      <c r="F12" s="63">
        <f>G12+H12</f>
        <v>23</v>
      </c>
      <c r="G12" s="64">
        <v>18</v>
      </c>
      <c r="H12" s="65">
        <v>5</v>
      </c>
      <c r="I12" s="63">
        <f>J12+K12</f>
        <v>3</v>
      </c>
      <c r="J12" s="64">
        <v>1</v>
      </c>
      <c r="K12" s="65">
        <v>2</v>
      </c>
      <c r="L12" s="63">
        <f>M12+N12</f>
        <v>0</v>
      </c>
      <c r="M12" s="64"/>
      <c r="N12" s="65"/>
      <c r="O12" s="63">
        <f>P12+Q12</f>
        <v>0</v>
      </c>
      <c r="P12" s="64"/>
      <c r="Q12" s="65"/>
      <c r="R12" s="63">
        <f>S12+T12</f>
        <v>0</v>
      </c>
      <c r="S12" s="64"/>
      <c r="T12" s="65"/>
      <c r="U12" s="63">
        <f>V12+W12</f>
        <v>0</v>
      </c>
      <c r="V12" s="64"/>
      <c r="W12" s="65"/>
      <c r="X12" s="63">
        <f>Y12+Z12</f>
        <v>0</v>
      </c>
      <c r="Y12" s="64"/>
      <c r="Z12" s="65"/>
      <c r="AA12" s="63">
        <f>AB12+AC12</f>
        <v>0</v>
      </c>
      <c r="AB12" s="64"/>
      <c r="AC12" s="65"/>
      <c r="AD12" s="63">
        <f>AE12+AF12</f>
        <v>0</v>
      </c>
      <c r="AE12" s="64"/>
      <c r="AF12" s="65"/>
      <c r="AG12" s="63">
        <f>AH12+AI12</f>
        <v>0</v>
      </c>
      <c r="AH12" s="64"/>
      <c r="AI12" s="65"/>
      <c r="AJ12" s="63">
        <f>AK12+AL12</f>
        <v>0</v>
      </c>
      <c r="AK12" s="64"/>
      <c r="AL12" s="65"/>
      <c r="AM12" s="63">
        <f>AN12+AO12</f>
        <v>0</v>
      </c>
      <c r="AN12" s="64"/>
      <c r="AO12" s="65"/>
      <c r="AP12" s="62">
        <f>F12+L12+R12+X12+AD12+AJ12</f>
        <v>23</v>
      </c>
      <c r="AQ12" s="20">
        <f t="shared" ref="AQ12:AQ32" si="0">AP12/E12</f>
        <v>6.2500000000000003E-3</v>
      </c>
    </row>
    <row r="13" spans="1:45" ht="18" customHeight="1" x14ac:dyDescent="0.15">
      <c r="A13" s="6"/>
      <c r="B13" s="11" t="s">
        <v>136</v>
      </c>
      <c r="C13" s="66">
        <v>4575</v>
      </c>
      <c r="D13" s="67">
        <v>1150</v>
      </c>
      <c r="E13" s="68">
        <v>4600</v>
      </c>
      <c r="F13" s="69">
        <f t="shared" ref="F13:F31" si="1">G13+H13</f>
        <v>18</v>
      </c>
      <c r="G13" s="70">
        <v>13</v>
      </c>
      <c r="H13" s="71">
        <v>5</v>
      </c>
      <c r="I13" s="69">
        <f t="shared" ref="I13:I31" si="2">J13+K13</f>
        <v>6</v>
      </c>
      <c r="J13" s="70">
        <v>5</v>
      </c>
      <c r="K13" s="71">
        <v>1</v>
      </c>
      <c r="L13" s="69">
        <f t="shared" ref="L13:L31" si="3">M13+N13</f>
        <v>0</v>
      </c>
      <c r="M13" s="70"/>
      <c r="N13" s="71"/>
      <c r="O13" s="69">
        <f t="shared" ref="O13:O31" si="4">P13+Q13</f>
        <v>0</v>
      </c>
      <c r="P13" s="70"/>
      <c r="Q13" s="71"/>
      <c r="R13" s="69">
        <f t="shared" ref="R13:R31" si="5">S13+T13</f>
        <v>0</v>
      </c>
      <c r="S13" s="70"/>
      <c r="T13" s="71"/>
      <c r="U13" s="69">
        <f t="shared" ref="U13:U31" si="6">V13+W13</f>
        <v>0</v>
      </c>
      <c r="V13" s="70"/>
      <c r="W13" s="71"/>
      <c r="X13" s="69">
        <f t="shared" ref="X13:X31" si="7">Y13+Z13</f>
        <v>0</v>
      </c>
      <c r="Y13" s="70"/>
      <c r="Z13" s="71"/>
      <c r="AA13" s="69">
        <f t="shared" ref="AA13:AA31" si="8">AB13+AC13</f>
        <v>0</v>
      </c>
      <c r="AB13" s="70"/>
      <c r="AC13" s="71"/>
      <c r="AD13" s="69">
        <f t="shared" ref="AD13:AD31" si="9">AE13+AF13</f>
        <v>0</v>
      </c>
      <c r="AE13" s="70"/>
      <c r="AF13" s="71"/>
      <c r="AG13" s="69">
        <f t="shared" ref="AG13:AG31" si="10">AH13+AI13</f>
        <v>0</v>
      </c>
      <c r="AH13" s="70"/>
      <c r="AI13" s="71"/>
      <c r="AJ13" s="69">
        <f t="shared" ref="AJ13:AJ31" si="11">AK13+AL13</f>
        <v>0</v>
      </c>
      <c r="AK13" s="70"/>
      <c r="AL13" s="71"/>
      <c r="AM13" s="69">
        <f t="shared" ref="AM13:AM31" si="12">AN13+AO13</f>
        <v>0</v>
      </c>
      <c r="AN13" s="70"/>
      <c r="AO13" s="71"/>
      <c r="AP13" s="67">
        <f t="shared" ref="AP13:AP31" si="13">F13+L13+R13+X13+AD13+AJ13</f>
        <v>18</v>
      </c>
      <c r="AQ13" s="19">
        <f t="shared" si="0"/>
        <v>3.9130434782608699E-3</v>
      </c>
    </row>
    <row r="14" spans="1:45" ht="18" customHeight="1" x14ac:dyDescent="0.15">
      <c r="A14" s="6"/>
      <c r="B14" s="11" t="s">
        <v>137</v>
      </c>
      <c r="C14" s="66">
        <v>4645</v>
      </c>
      <c r="D14" s="67">
        <v>1150</v>
      </c>
      <c r="E14" s="68">
        <v>4600</v>
      </c>
      <c r="F14" s="69">
        <f t="shared" si="1"/>
        <v>64</v>
      </c>
      <c r="G14" s="70">
        <v>42</v>
      </c>
      <c r="H14" s="71">
        <v>22</v>
      </c>
      <c r="I14" s="69">
        <f t="shared" si="2"/>
        <v>13</v>
      </c>
      <c r="J14" s="70">
        <v>10</v>
      </c>
      <c r="K14" s="71">
        <v>3</v>
      </c>
      <c r="L14" s="69">
        <f t="shared" si="3"/>
        <v>0</v>
      </c>
      <c r="M14" s="70"/>
      <c r="N14" s="71"/>
      <c r="O14" s="69">
        <f t="shared" si="4"/>
        <v>0</v>
      </c>
      <c r="P14" s="70"/>
      <c r="Q14" s="71"/>
      <c r="R14" s="69">
        <f t="shared" si="5"/>
        <v>0</v>
      </c>
      <c r="S14" s="70"/>
      <c r="T14" s="71"/>
      <c r="U14" s="69">
        <f t="shared" si="6"/>
        <v>0</v>
      </c>
      <c r="V14" s="70"/>
      <c r="W14" s="71"/>
      <c r="X14" s="69">
        <f t="shared" si="7"/>
        <v>0</v>
      </c>
      <c r="Y14" s="70"/>
      <c r="Z14" s="71"/>
      <c r="AA14" s="69">
        <f t="shared" si="8"/>
        <v>0</v>
      </c>
      <c r="AB14" s="70"/>
      <c r="AC14" s="71"/>
      <c r="AD14" s="69">
        <f t="shared" si="9"/>
        <v>0</v>
      </c>
      <c r="AE14" s="70"/>
      <c r="AF14" s="71"/>
      <c r="AG14" s="69">
        <f t="shared" si="10"/>
        <v>0</v>
      </c>
      <c r="AH14" s="70"/>
      <c r="AI14" s="71"/>
      <c r="AJ14" s="69">
        <f t="shared" si="11"/>
        <v>0</v>
      </c>
      <c r="AK14" s="70"/>
      <c r="AL14" s="71"/>
      <c r="AM14" s="69">
        <f t="shared" si="12"/>
        <v>0</v>
      </c>
      <c r="AN14" s="70"/>
      <c r="AO14" s="71"/>
      <c r="AP14" s="67">
        <f t="shared" si="13"/>
        <v>64</v>
      </c>
      <c r="AQ14" s="7">
        <f t="shared" si="0"/>
        <v>1.391304347826087E-2</v>
      </c>
    </row>
    <row r="15" spans="1:45" ht="18" customHeight="1" x14ac:dyDescent="0.15">
      <c r="A15" s="6"/>
      <c r="B15" s="11" t="s">
        <v>138</v>
      </c>
      <c r="C15" s="66">
        <v>3893</v>
      </c>
      <c r="D15" s="67">
        <v>910</v>
      </c>
      <c r="E15" s="68">
        <v>3640</v>
      </c>
      <c r="F15" s="69">
        <f t="shared" si="1"/>
        <v>29</v>
      </c>
      <c r="G15" s="70">
        <v>14</v>
      </c>
      <c r="H15" s="71">
        <v>15</v>
      </c>
      <c r="I15" s="69">
        <f t="shared" si="2"/>
        <v>3</v>
      </c>
      <c r="J15" s="70">
        <v>2</v>
      </c>
      <c r="K15" s="71">
        <v>1</v>
      </c>
      <c r="L15" s="69">
        <f t="shared" si="3"/>
        <v>0</v>
      </c>
      <c r="M15" s="70"/>
      <c r="N15" s="71"/>
      <c r="O15" s="69">
        <f t="shared" si="4"/>
        <v>0</v>
      </c>
      <c r="P15" s="70"/>
      <c r="Q15" s="71"/>
      <c r="R15" s="69">
        <f t="shared" si="5"/>
        <v>0</v>
      </c>
      <c r="S15" s="70"/>
      <c r="T15" s="71"/>
      <c r="U15" s="69">
        <f t="shared" si="6"/>
        <v>0</v>
      </c>
      <c r="V15" s="70"/>
      <c r="W15" s="71"/>
      <c r="X15" s="69">
        <f t="shared" si="7"/>
        <v>0</v>
      </c>
      <c r="Y15" s="70"/>
      <c r="Z15" s="71"/>
      <c r="AA15" s="69">
        <f t="shared" si="8"/>
        <v>0</v>
      </c>
      <c r="AB15" s="70"/>
      <c r="AC15" s="71"/>
      <c r="AD15" s="69">
        <f t="shared" si="9"/>
        <v>0</v>
      </c>
      <c r="AE15" s="70"/>
      <c r="AF15" s="71"/>
      <c r="AG15" s="69">
        <f t="shared" si="10"/>
        <v>0</v>
      </c>
      <c r="AH15" s="70"/>
      <c r="AI15" s="71"/>
      <c r="AJ15" s="69">
        <f t="shared" si="11"/>
        <v>0</v>
      </c>
      <c r="AK15" s="70"/>
      <c r="AL15" s="71"/>
      <c r="AM15" s="69">
        <f t="shared" si="12"/>
        <v>0</v>
      </c>
      <c r="AN15" s="70"/>
      <c r="AO15" s="71"/>
      <c r="AP15" s="67">
        <f t="shared" si="13"/>
        <v>29</v>
      </c>
      <c r="AQ15" s="7">
        <f t="shared" si="0"/>
        <v>7.9670329670329665E-3</v>
      </c>
    </row>
    <row r="16" spans="1:45" ht="18" customHeight="1" x14ac:dyDescent="0.15">
      <c r="A16" s="6"/>
      <c r="B16" s="11" t="s">
        <v>139</v>
      </c>
      <c r="C16" s="66">
        <v>4178</v>
      </c>
      <c r="D16" s="67">
        <v>1065</v>
      </c>
      <c r="E16" s="68">
        <v>4260</v>
      </c>
      <c r="F16" s="69">
        <f t="shared" si="1"/>
        <v>49</v>
      </c>
      <c r="G16" s="70">
        <v>39</v>
      </c>
      <c r="H16" s="71">
        <v>10</v>
      </c>
      <c r="I16" s="69">
        <f t="shared" si="2"/>
        <v>21</v>
      </c>
      <c r="J16" s="70">
        <v>15</v>
      </c>
      <c r="K16" s="71">
        <v>6</v>
      </c>
      <c r="L16" s="69">
        <f t="shared" si="3"/>
        <v>0</v>
      </c>
      <c r="M16" s="70"/>
      <c r="N16" s="71"/>
      <c r="O16" s="69">
        <f t="shared" si="4"/>
        <v>0</v>
      </c>
      <c r="P16" s="70"/>
      <c r="Q16" s="71"/>
      <c r="R16" s="69">
        <f t="shared" si="5"/>
        <v>0</v>
      </c>
      <c r="S16" s="70"/>
      <c r="T16" s="71"/>
      <c r="U16" s="69">
        <f t="shared" si="6"/>
        <v>0</v>
      </c>
      <c r="V16" s="70"/>
      <c r="W16" s="71"/>
      <c r="X16" s="69">
        <f t="shared" si="7"/>
        <v>0</v>
      </c>
      <c r="Y16" s="70"/>
      <c r="Z16" s="71"/>
      <c r="AA16" s="69">
        <f t="shared" si="8"/>
        <v>0</v>
      </c>
      <c r="AB16" s="70"/>
      <c r="AC16" s="71"/>
      <c r="AD16" s="69">
        <f t="shared" si="9"/>
        <v>0</v>
      </c>
      <c r="AE16" s="70"/>
      <c r="AF16" s="71"/>
      <c r="AG16" s="69">
        <f t="shared" si="10"/>
        <v>0</v>
      </c>
      <c r="AH16" s="70"/>
      <c r="AI16" s="71"/>
      <c r="AJ16" s="69">
        <f t="shared" si="11"/>
        <v>0</v>
      </c>
      <c r="AK16" s="70"/>
      <c r="AL16" s="71"/>
      <c r="AM16" s="69">
        <f t="shared" si="12"/>
        <v>0</v>
      </c>
      <c r="AN16" s="70"/>
      <c r="AO16" s="71"/>
      <c r="AP16" s="67">
        <f t="shared" si="13"/>
        <v>49</v>
      </c>
      <c r="AQ16" s="7">
        <f t="shared" si="0"/>
        <v>1.1502347417840376E-2</v>
      </c>
    </row>
    <row r="17" spans="1:43" ht="18" customHeight="1" x14ac:dyDescent="0.15">
      <c r="A17" s="6"/>
      <c r="B17" s="11" t="s">
        <v>140</v>
      </c>
      <c r="C17" s="66">
        <v>2419</v>
      </c>
      <c r="D17" s="67">
        <v>600</v>
      </c>
      <c r="E17" s="68">
        <v>2400</v>
      </c>
      <c r="F17" s="69">
        <f t="shared" si="1"/>
        <v>36</v>
      </c>
      <c r="G17" s="70">
        <v>21</v>
      </c>
      <c r="H17" s="71">
        <v>15</v>
      </c>
      <c r="I17" s="69">
        <f t="shared" si="2"/>
        <v>3</v>
      </c>
      <c r="J17" s="70">
        <v>1</v>
      </c>
      <c r="K17" s="71">
        <v>2</v>
      </c>
      <c r="L17" s="69">
        <f t="shared" si="3"/>
        <v>0</v>
      </c>
      <c r="M17" s="70"/>
      <c r="N17" s="71"/>
      <c r="O17" s="69">
        <f t="shared" si="4"/>
        <v>0</v>
      </c>
      <c r="P17" s="70"/>
      <c r="Q17" s="71"/>
      <c r="R17" s="69">
        <f t="shared" si="5"/>
        <v>0</v>
      </c>
      <c r="S17" s="70"/>
      <c r="T17" s="71"/>
      <c r="U17" s="69">
        <f t="shared" si="6"/>
        <v>0</v>
      </c>
      <c r="V17" s="70"/>
      <c r="W17" s="71"/>
      <c r="X17" s="69">
        <f t="shared" si="7"/>
        <v>0</v>
      </c>
      <c r="Y17" s="70"/>
      <c r="Z17" s="71"/>
      <c r="AA17" s="69">
        <f t="shared" si="8"/>
        <v>0</v>
      </c>
      <c r="AB17" s="70"/>
      <c r="AC17" s="71"/>
      <c r="AD17" s="69">
        <f t="shared" si="9"/>
        <v>0</v>
      </c>
      <c r="AE17" s="70"/>
      <c r="AF17" s="71"/>
      <c r="AG17" s="69">
        <f t="shared" si="10"/>
        <v>0</v>
      </c>
      <c r="AH17" s="70"/>
      <c r="AI17" s="71"/>
      <c r="AJ17" s="69">
        <f t="shared" si="11"/>
        <v>0</v>
      </c>
      <c r="AK17" s="70"/>
      <c r="AL17" s="71"/>
      <c r="AM17" s="69">
        <f t="shared" si="12"/>
        <v>0</v>
      </c>
      <c r="AN17" s="70"/>
      <c r="AO17" s="71"/>
      <c r="AP17" s="67">
        <f t="shared" si="13"/>
        <v>36</v>
      </c>
      <c r="AQ17" s="7">
        <f t="shared" si="0"/>
        <v>1.4999999999999999E-2</v>
      </c>
    </row>
    <row r="18" spans="1:43" ht="18" customHeight="1" x14ac:dyDescent="0.15">
      <c r="A18" s="6"/>
      <c r="B18" s="11" t="s">
        <v>141</v>
      </c>
      <c r="C18" s="66">
        <v>3018</v>
      </c>
      <c r="D18" s="67">
        <v>745</v>
      </c>
      <c r="E18" s="68">
        <v>2980</v>
      </c>
      <c r="F18" s="69">
        <f t="shared" si="1"/>
        <v>17</v>
      </c>
      <c r="G18" s="70">
        <v>9</v>
      </c>
      <c r="H18" s="71">
        <v>8</v>
      </c>
      <c r="I18" s="69">
        <f t="shared" si="2"/>
        <v>2</v>
      </c>
      <c r="J18" s="70">
        <v>1</v>
      </c>
      <c r="K18" s="71">
        <v>1</v>
      </c>
      <c r="L18" s="69">
        <f t="shared" si="3"/>
        <v>0</v>
      </c>
      <c r="M18" s="70"/>
      <c r="N18" s="71"/>
      <c r="O18" s="69">
        <f t="shared" si="4"/>
        <v>0</v>
      </c>
      <c r="P18" s="70"/>
      <c r="Q18" s="71"/>
      <c r="R18" s="69">
        <f t="shared" si="5"/>
        <v>0</v>
      </c>
      <c r="S18" s="70"/>
      <c r="T18" s="71"/>
      <c r="U18" s="69">
        <f t="shared" si="6"/>
        <v>0</v>
      </c>
      <c r="V18" s="70"/>
      <c r="W18" s="71"/>
      <c r="X18" s="69">
        <f t="shared" si="7"/>
        <v>0</v>
      </c>
      <c r="Y18" s="70"/>
      <c r="Z18" s="71"/>
      <c r="AA18" s="69">
        <f t="shared" si="8"/>
        <v>0</v>
      </c>
      <c r="AB18" s="70"/>
      <c r="AC18" s="71"/>
      <c r="AD18" s="69">
        <f t="shared" si="9"/>
        <v>0</v>
      </c>
      <c r="AE18" s="70"/>
      <c r="AF18" s="71"/>
      <c r="AG18" s="69">
        <f t="shared" si="10"/>
        <v>0</v>
      </c>
      <c r="AH18" s="70"/>
      <c r="AI18" s="71"/>
      <c r="AJ18" s="69">
        <f t="shared" si="11"/>
        <v>0</v>
      </c>
      <c r="AK18" s="70"/>
      <c r="AL18" s="71"/>
      <c r="AM18" s="69">
        <f t="shared" si="12"/>
        <v>0</v>
      </c>
      <c r="AN18" s="70"/>
      <c r="AO18" s="71"/>
      <c r="AP18" s="67">
        <f t="shared" si="13"/>
        <v>17</v>
      </c>
      <c r="AQ18" s="7">
        <f t="shared" si="0"/>
        <v>5.704697986577181E-3</v>
      </c>
    </row>
    <row r="19" spans="1:43" ht="18" customHeight="1" x14ac:dyDescent="0.15">
      <c r="A19" s="6"/>
      <c r="B19" s="11" t="s">
        <v>142</v>
      </c>
      <c r="C19" s="66">
        <v>2220</v>
      </c>
      <c r="D19" s="67">
        <v>520</v>
      </c>
      <c r="E19" s="68">
        <v>2080</v>
      </c>
      <c r="F19" s="69">
        <f t="shared" si="1"/>
        <v>26</v>
      </c>
      <c r="G19" s="70">
        <v>12</v>
      </c>
      <c r="H19" s="71">
        <v>14</v>
      </c>
      <c r="I19" s="69">
        <f t="shared" si="2"/>
        <v>14</v>
      </c>
      <c r="J19" s="70">
        <v>5</v>
      </c>
      <c r="K19" s="71">
        <v>9</v>
      </c>
      <c r="L19" s="69">
        <f t="shared" si="3"/>
        <v>0</v>
      </c>
      <c r="M19" s="70"/>
      <c r="N19" s="71"/>
      <c r="O19" s="69">
        <f t="shared" si="4"/>
        <v>0</v>
      </c>
      <c r="P19" s="70"/>
      <c r="Q19" s="71"/>
      <c r="R19" s="69">
        <f t="shared" si="5"/>
        <v>0</v>
      </c>
      <c r="S19" s="70"/>
      <c r="T19" s="71"/>
      <c r="U19" s="69">
        <f t="shared" si="6"/>
        <v>0</v>
      </c>
      <c r="V19" s="70"/>
      <c r="W19" s="71"/>
      <c r="X19" s="69">
        <f t="shared" si="7"/>
        <v>0</v>
      </c>
      <c r="Y19" s="70"/>
      <c r="Z19" s="71"/>
      <c r="AA19" s="69">
        <f t="shared" si="8"/>
        <v>0</v>
      </c>
      <c r="AB19" s="70"/>
      <c r="AC19" s="71"/>
      <c r="AD19" s="69">
        <f t="shared" si="9"/>
        <v>0</v>
      </c>
      <c r="AE19" s="70"/>
      <c r="AF19" s="71"/>
      <c r="AG19" s="69">
        <f t="shared" si="10"/>
        <v>0</v>
      </c>
      <c r="AH19" s="70"/>
      <c r="AI19" s="71"/>
      <c r="AJ19" s="69">
        <f t="shared" si="11"/>
        <v>0</v>
      </c>
      <c r="AK19" s="70"/>
      <c r="AL19" s="71"/>
      <c r="AM19" s="69">
        <f t="shared" si="12"/>
        <v>0</v>
      </c>
      <c r="AN19" s="70"/>
      <c r="AO19" s="71"/>
      <c r="AP19" s="67">
        <f t="shared" si="13"/>
        <v>26</v>
      </c>
      <c r="AQ19" s="7">
        <f t="shared" si="0"/>
        <v>1.2500000000000001E-2</v>
      </c>
    </row>
    <row r="20" spans="1:43" ht="18" customHeight="1" x14ac:dyDescent="0.15">
      <c r="A20" s="6"/>
      <c r="B20" s="11" t="s">
        <v>143</v>
      </c>
      <c r="C20" s="66">
        <v>1625</v>
      </c>
      <c r="D20" s="67">
        <v>400</v>
      </c>
      <c r="E20" s="68">
        <v>1600</v>
      </c>
      <c r="F20" s="69">
        <f t="shared" si="1"/>
        <v>23</v>
      </c>
      <c r="G20" s="70">
        <v>12</v>
      </c>
      <c r="H20" s="71">
        <v>11</v>
      </c>
      <c r="I20" s="69">
        <f t="shared" si="2"/>
        <v>5</v>
      </c>
      <c r="J20" s="70">
        <v>2</v>
      </c>
      <c r="K20" s="71">
        <v>3</v>
      </c>
      <c r="L20" s="69">
        <f t="shared" si="3"/>
        <v>0</v>
      </c>
      <c r="M20" s="70"/>
      <c r="N20" s="71"/>
      <c r="O20" s="69">
        <f t="shared" si="4"/>
        <v>0</v>
      </c>
      <c r="P20" s="70"/>
      <c r="Q20" s="71"/>
      <c r="R20" s="69">
        <f t="shared" si="5"/>
        <v>0</v>
      </c>
      <c r="S20" s="70"/>
      <c r="T20" s="71"/>
      <c r="U20" s="69">
        <f t="shared" si="6"/>
        <v>0</v>
      </c>
      <c r="V20" s="70"/>
      <c r="W20" s="71"/>
      <c r="X20" s="69">
        <f t="shared" si="7"/>
        <v>0</v>
      </c>
      <c r="Y20" s="70"/>
      <c r="Z20" s="71"/>
      <c r="AA20" s="69">
        <f t="shared" si="8"/>
        <v>0</v>
      </c>
      <c r="AB20" s="70"/>
      <c r="AC20" s="71"/>
      <c r="AD20" s="69">
        <f t="shared" si="9"/>
        <v>0</v>
      </c>
      <c r="AE20" s="70"/>
      <c r="AF20" s="71"/>
      <c r="AG20" s="69">
        <f t="shared" si="10"/>
        <v>0</v>
      </c>
      <c r="AH20" s="70"/>
      <c r="AI20" s="71"/>
      <c r="AJ20" s="69">
        <f t="shared" si="11"/>
        <v>0</v>
      </c>
      <c r="AK20" s="70"/>
      <c r="AL20" s="71"/>
      <c r="AM20" s="69">
        <f t="shared" si="12"/>
        <v>0</v>
      </c>
      <c r="AN20" s="70"/>
      <c r="AO20" s="71"/>
      <c r="AP20" s="67">
        <f t="shared" si="13"/>
        <v>23</v>
      </c>
      <c r="AQ20" s="7">
        <f t="shared" si="0"/>
        <v>1.4375000000000001E-2</v>
      </c>
    </row>
    <row r="21" spans="1:43" ht="18" customHeight="1" x14ac:dyDescent="0.15">
      <c r="A21" s="6"/>
      <c r="B21" s="11" t="s">
        <v>144</v>
      </c>
      <c r="C21" s="66">
        <v>1175</v>
      </c>
      <c r="D21" s="67">
        <v>300</v>
      </c>
      <c r="E21" s="68">
        <v>1200</v>
      </c>
      <c r="F21" s="69">
        <f t="shared" si="1"/>
        <v>63</v>
      </c>
      <c r="G21" s="70">
        <v>46</v>
      </c>
      <c r="H21" s="71">
        <v>17</v>
      </c>
      <c r="I21" s="69">
        <f t="shared" si="2"/>
        <v>63</v>
      </c>
      <c r="J21" s="70">
        <v>46</v>
      </c>
      <c r="K21" s="71">
        <v>17</v>
      </c>
      <c r="L21" s="69">
        <f t="shared" si="3"/>
        <v>0</v>
      </c>
      <c r="M21" s="70"/>
      <c r="N21" s="71"/>
      <c r="O21" s="69">
        <f t="shared" si="4"/>
        <v>0</v>
      </c>
      <c r="P21" s="70"/>
      <c r="Q21" s="71"/>
      <c r="R21" s="69">
        <f t="shared" si="5"/>
        <v>0</v>
      </c>
      <c r="S21" s="70"/>
      <c r="T21" s="71"/>
      <c r="U21" s="69">
        <f t="shared" si="6"/>
        <v>0</v>
      </c>
      <c r="V21" s="70"/>
      <c r="W21" s="71"/>
      <c r="X21" s="69">
        <f t="shared" si="7"/>
        <v>0</v>
      </c>
      <c r="Y21" s="70"/>
      <c r="Z21" s="71"/>
      <c r="AA21" s="69">
        <f t="shared" si="8"/>
        <v>0</v>
      </c>
      <c r="AB21" s="70"/>
      <c r="AC21" s="71"/>
      <c r="AD21" s="69">
        <f t="shared" si="9"/>
        <v>0</v>
      </c>
      <c r="AE21" s="70"/>
      <c r="AF21" s="71"/>
      <c r="AG21" s="69">
        <f t="shared" si="10"/>
        <v>0</v>
      </c>
      <c r="AH21" s="70"/>
      <c r="AI21" s="71"/>
      <c r="AJ21" s="69">
        <f t="shared" si="11"/>
        <v>0</v>
      </c>
      <c r="AK21" s="70"/>
      <c r="AL21" s="71"/>
      <c r="AM21" s="69">
        <f t="shared" si="12"/>
        <v>0</v>
      </c>
      <c r="AN21" s="70"/>
      <c r="AO21" s="71"/>
      <c r="AP21" s="67">
        <f t="shared" si="13"/>
        <v>63</v>
      </c>
      <c r="AQ21" s="7">
        <f t="shared" si="0"/>
        <v>5.2499999999999998E-2</v>
      </c>
    </row>
    <row r="22" spans="1:43" ht="18" customHeight="1" x14ac:dyDescent="0.15">
      <c r="A22" s="6"/>
      <c r="B22" s="11"/>
      <c r="C22" s="66"/>
      <c r="D22" s="67"/>
      <c r="E22" s="68"/>
      <c r="F22" s="69">
        <f t="shared" si="1"/>
        <v>0</v>
      </c>
      <c r="G22" s="70"/>
      <c r="H22" s="71"/>
      <c r="I22" s="69">
        <f t="shared" si="2"/>
        <v>0</v>
      </c>
      <c r="J22" s="70"/>
      <c r="K22" s="71"/>
      <c r="L22" s="69">
        <f t="shared" si="3"/>
        <v>0</v>
      </c>
      <c r="M22" s="70"/>
      <c r="N22" s="71"/>
      <c r="O22" s="69">
        <f t="shared" si="4"/>
        <v>0</v>
      </c>
      <c r="P22" s="70"/>
      <c r="Q22" s="71"/>
      <c r="R22" s="69">
        <f t="shared" si="5"/>
        <v>0</v>
      </c>
      <c r="S22" s="70"/>
      <c r="T22" s="71"/>
      <c r="U22" s="69">
        <f t="shared" si="6"/>
        <v>0</v>
      </c>
      <c r="V22" s="70"/>
      <c r="W22" s="71"/>
      <c r="X22" s="69">
        <f t="shared" si="7"/>
        <v>0</v>
      </c>
      <c r="Y22" s="70"/>
      <c r="Z22" s="71"/>
      <c r="AA22" s="69">
        <f t="shared" si="8"/>
        <v>0</v>
      </c>
      <c r="AB22" s="70"/>
      <c r="AC22" s="71"/>
      <c r="AD22" s="69">
        <f t="shared" si="9"/>
        <v>0</v>
      </c>
      <c r="AE22" s="70"/>
      <c r="AF22" s="71"/>
      <c r="AG22" s="69">
        <f t="shared" si="10"/>
        <v>0</v>
      </c>
      <c r="AH22" s="70"/>
      <c r="AI22" s="71"/>
      <c r="AJ22" s="69">
        <f t="shared" si="11"/>
        <v>0</v>
      </c>
      <c r="AK22" s="70"/>
      <c r="AL22" s="71"/>
      <c r="AM22" s="69">
        <f t="shared" si="12"/>
        <v>0</v>
      </c>
      <c r="AN22" s="70"/>
      <c r="AO22" s="71"/>
      <c r="AP22" s="67">
        <f t="shared" si="13"/>
        <v>0</v>
      </c>
      <c r="AQ22" s="7">
        <v>0</v>
      </c>
    </row>
    <row r="23" spans="1:43" ht="18" customHeight="1" x14ac:dyDescent="0.15">
      <c r="A23" s="6"/>
      <c r="B23" s="11"/>
      <c r="C23" s="66"/>
      <c r="D23" s="67"/>
      <c r="E23" s="68"/>
      <c r="F23" s="69">
        <f t="shared" si="1"/>
        <v>0</v>
      </c>
      <c r="G23" s="70"/>
      <c r="H23" s="71"/>
      <c r="I23" s="69">
        <f t="shared" si="2"/>
        <v>0</v>
      </c>
      <c r="J23" s="70"/>
      <c r="K23" s="71"/>
      <c r="L23" s="69">
        <f t="shared" si="3"/>
        <v>0</v>
      </c>
      <c r="M23" s="70"/>
      <c r="N23" s="71"/>
      <c r="O23" s="69">
        <f t="shared" si="4"/>
        <v>0</v>
      </c>
      <c r="P23" s="70"/>
      <c r="Q23" s="71"/>
      <c r="R23" s="69">
        <f t="shared" si="5"/>
        <v>0</v>
      </c>
      <c r="S23" s="70"/>
      <c r="T23" s="71"/>
      <c r="U23" s="69">
        <f t="shared" si="6"/>
        <v>0</v>
      </c>
      <c r="V23" s="70"/>
      <c r="W23" s="71"/>
      <c r="X23" s="69">
        <f t="shared" si="7"/>
        <v>0</v>
      </c>
      <c r="Y23" s="70"/>
      <c r="Z23" s="71"/>
      <c r="AA23" s="69">
        <f t="shared" si="8"/>
        <v>0</v>
      </c>
      <c r="AB23" s="70"/>
      <c r="AC23" s="71"/>
      <c r="AD23" s="69">
        <f t="shared" si="9"/>
        <v>0</v>
      </c>
      <c r="AE23" s="70"/>
      <c r="AF23" s="71"/>
      <c r="AG23" s="69">
        <f t="shared" si="10"/>
        <v>0</v>
      </c>
      <c r="AH23" s="70"/>
      <c r="AI23" s="71"/>
      <c r="AJ23" s="69">
        <f t="shared" si="11"/>
        <v>0</v>
      </c>
      <c r="AK23" s="70"/>
      <c r="AL23" s="71"/>
      <c r="AM23" s="69">
        <f t="shared" si="12"/>
        <v>0</v>
      </c>
      <c r="AN23" s="70"/>
      <c r="AO23" s="71"/>
      <c r="AP23" s="67">
        <f t="shared" si="13"/>
        <v>0</v>
      </c>
      <c r="AQ23" s="7">
        <v>0</v>
      </c>
    </row>
    <row r="24" spans="1:43" ht="18" customHeight="1" x14ac:dyDescent="0.15">
      <c r="A24" s="6"/>
      <c r="B24" s="11"/>
      <c r="C24" s="66"/>
      <c r="D24" s="67"/>
      <c r="E24" s="68"/>
      <c r="F24" s="69">
        <f t="shared" si="1"/>
        <v>0</v>
      </c>
      <c r="G24" s="70"/>
      <c r="H24" s="71"/>
      <c r="I24" s="69">
        <f t="shared" si="2"/>
        <v>0</v>
      </c>
      <c r="J24" s="70"/>
      <c r="K24" s="71"/>
      <c r="L24" s="69">
        <f t="shared" si="3"/>
        <v>0</v>
      </c>
      <c r="M24" s="70"/>
      <c r="N24" s="71"/>
      <c r="O24" s="69">
        <f t="shared" si="4"/>
        <v>0</v>
      </c>
      <c r="P24" s="70"/>
      <c r="Q24" s="71"/>
      <c r="R24" s="69">
        <f t="shared" si="5"/>
        <v>0</v>
      </c>
      <c r="S24" s="70"/>
      <c r="T24" s="71"/>
      <c r="U24" s="69">
        <f t="shared" si="6"/>
        <v>0</v>
      </c>
      <c r="V24" s="70"/>
      <c r="W24" s="71"/>
      <c r="X24" s="69">
        <f t="shared" si="7"/>
        <v>0</v>
      </c>
      <c r="Y24" s="70"/>
      <c r="Z24" s="71"/>
      <c r="AA24" s="69">
        <f t="shared" si="8"/>
        <v>0</v>
      </c>
      <c r="AB24" s="70"/>
      <c r="AC24" s="71"/>
      <c r="AD24" s="69">
        <f t="shared" si="9"/>
        <v>0</v>
      </c>
      <c r="AE24" s="70"/>
      <c r="AF24" s="71"/>
      <c r="AG24" s="69">
        <f t="shared" si="10"/>
        <v>0</v>
      </c>
      <c r="AH24" s="70"/>
      <c r="AI24" s="71"/>
      <c r="AJ24" s="69">
        <f t="shared" si="11"/>
        <v>0</v>
      </c>
      <c r="AK24" s="70"/>
      <c r="AL24" s="71"/>
      <c r="AM24" s="69">
        <f t="shared" si="12"/>
        <v>0</v>
      </c>
      <c r="AN24" s="70"/>
      <c r="AO24" s="71"/>
      <c r="AP24" s="67">
        <f t="shared" si="13"/>
        <v>0</v>
      </c>
      <c r="AQ24" s="7">
        <v>0</v>
      </c>
    </row>
    <row r="25" spans="1:43" ht="18" customHeight="1" x14ac:dyDescent="0.15">
      <c r="A25" s="6"/>
      <c r="B25" s="11"/>
      <c r="C25" s="66"/>
      <c r="D25" s="67"/>
      <c r="E25" s="68"/>
      <c r="F25" s="69">
        <f t="shared" si="1"/>
        <v>0</v>
      </c>
      <c r="G25" s="70"/>
      <c r="H25" s="71"/>
      <c r="I25" s="69">
        <f t="shared" si="2"/>
        <v>0</v>
      </c>
      <c r="J25" s="70"/>
      <c r="K25" s="71"/>
      <c r="L25" s="69">
        <f t="shared" si="3"/>
        <v>0</v>
      </c>
      <c r="M25" s="70"/>
      <c r="N25" s="71"/>
      <c r="O25" s="69">
        <f t="shared" si="4"/>
        <v>0</v>
      </c>
      <c r="P25" s="70"/>
      <c r="Q25" s="71"/>
      <c r="R25" s="69">
        <f t="shared" si="5"/>
        <v>0</v>
      </c>
      <c r="S25" s="70"/>
      <c r="T25" s="71"/>
      <c r="U25" s="69">
        <f t="shared" si="6"/>
        <v>0</v>
      </c>
      <c r="V25" s="70"/>
      <c r="W25" s="71"/>
      <c r="X25" s="69">
        <f t="shared" si="7"/>
        <v>0</v>
      </c>
      <c r="Y25" s="70"/>
      <c r="Z25" s="71"/>
      <c r="AA25" s="69">
        <f t="shared" si="8"/>
        <v>0</v>
      </c>
      <c r="AB25" s="70"/>
      <c r="AC25" s="71"/>
      <c r="AD25" s="69">
        <f t="shared" si="9"/>
        <v>0</v>
      </c>
      <c r="AE25" s="70"/>
      <c r="AF25" s="71"/>
      <c r="AG25" s="69">
        <f t="shared" si="10"/>
        <v>0</v>
      </c>
      <c r="AH25" s="70"/>
      <c r="AI25" s="71"/>
      <c r="AJ25" s="69">
        <f t="shared" si="11"/>
        <v>0</v>
      </c>
      <c r="AK25" s="70"/>
      <c r="AL25" s="71"/>
      <c r="AM25" s="69">
        <f t="shared" si="12"/>
        <v>0</v>
      </c>
      <c r="AN25" s="70"/>
      <c r="AO25" s="71"/>
      <c r="AP25" s="67">
        <f t="shared" si="13"/>
        <v>0</v>
      </c>
      <c r="AQ25" s="7">
        <v>0</v>
      </c>
    </row>
    <row r="26" spans="1:43" ht="18" customHeight="1" x14ac:dyDescent="0.15">
      <c r="A26" s="6"/>
      <c r="B26" s="11"/>
      <c r="C26" s="66"/>
      <c r="D26" s="67"/>
      <c r="E26" s="68"/>
      <c r="F26" s="69">
        <f t="shared" si="1"/>
        <v>0</v>
      </c>
      <c r="G26" s="70"/>
      <c r="H26" s="71"/>
      <c r="I26" s="69">
        <f t="shared" si="2"/>
        <v>0</v>
      </c>
      <c r="J26" s="70"/>
      <c r="K26" s="71"/>
      <c r="L26" s="69">
        <f t="shared" si="3"/>
        <v>0</v>
      </c>
      <c r="M26" s="70"/>
      <c r="N26" s="71"/>
      <c r="O26" s="69">
        <f t="shared" si="4"/>
        <v>0</v>
      </c>
      <c r="P26" s="70"/>
      <c r="Q26" s="71"/>
      <c r="R26" s="69">
        <f t="shared" si="5"/>
        <v>0</v>
      </c>
      <c r="S26" s="70"/>
      <c r="T26" s="71"/>
      <c r="U26" s="69">
        <f t="shared" si="6"/>
        <v>0</v>
      </c>
      <c r="V26" s="70"/>
      <c r="W26" s="71"/>
      <c r="X26" s="69">
        <f t="shared" si="7"/>
        <v>0</v>
      </c>
      <c r="Y26" s="70"/>
      <c r="Z26" s="71"/>
      <c r="AA26" s="69">
        <f t="shared" si="8"/>
        <v>0</v>
      </c>
      <c r="AB26" s="70"/>
      <c r="AC26" s="71"/>
      <c r="AD26" s="69">
        <f t="shared" si="9"/>
        <v>0</v>
      </c>
      <c r="AE26" s="70"/>
      <c r="AF26" s="71"/>
      <c r="AG26" s="69">
        <f t="shared" si="10"/>
        <v>0</v>
      </c>
      <c r="AH26" s="70"/>
      <c r="AI26" s="71"/>
      <c r="AJ26" s="69">
        <f t="shared" si="11"/>
        <v>0</v>
      </c>
      <c r="AK26" s="70"/>
      <c r="AL26" s="71"/>
      <c r="AM26" s="69">
        <f t="shared" si="12"/>
        <v>0</v>
      </c>
      <c r="AN26" s="70"/>
      <c r="AO26" s="71"/>
      <c r="AP26" s="67">
        <f t="shared" si="13"/>
        <v>0</v>
      </c>
      <c r="AQ26" s="7">
        <v>0</v>
      </c>
    </row>
    <row r="27" spans="1:43" ht="18" customHeight="1" x14ac:dyDescent="0.15">
      <c r="A27" s="6"/>
      <c r="B27" s="11"/>
      <c r="C27" s="66"/>
      <c r="D27" s="67"/>
      <c r="E27" s="68"/>
      <c r="F27" s="69">
        <f t="shared" si="1"/>
        <v>0</v>
      </c>
      <c r="G27" s="70"/>
      <c r="H27" s="71"/>
      <c r="I27" s="69">
        <f t="shared" si="2"/>
        <v>0</v>
      </c>
      <c r="J27" s="70"/>
      <c r="K27" s="71"/>
      <c r="L27" s="69">
        <f t="shared" si="3"/>
        <v>0</v>
      </c>
      <c r="M27" s="70"/>
      <c r="N27" s="71"/>
      <c r="O27" s="69">
        <f t="shared" si="4"/>
        <v>0</v>
      </c>
      <c r="P27" s="70"/>
      <c r="Q27" s="71"/>
      <c r="R27" s="69">
        <f t="shared" si="5"/>
        <v>0</v>
      </c>
      <c r="S27" s="70"/>
      <c r="T27" s="71"/>
      <c r="U27" s="69">
        <f t="shared" si="6"/>
        <v>0</v>
      </c>
      <c r="V27" s="70"/>
      <c r="W27" s="71"/>
      <c r="X27" s="69">
        <f t="shared" si="7"/>
        <v>0</v>
      </c>
      <c r="Y27" s="70"/>
      <c r="Z27" s="71"/>
      <c r="AA27" s="69">
        <f t="shared" si="8"/>
        <v>0</v>
      </c>
      <c r="AB27" s="70"/>
      <c r="AC27" s="71"/>
      <c r="AD27" s="69">
        <f t="shared" si="9"/>
        <v>0</v>
      </c>
      <c r="AE27" s="70"/>
      <c r="AF27" s="71"/>
      <c r="AG27" s="69">
        <f t="shared" si="10"/>
        <v>0</v>
      </c>
      <c r="AH27" s="70"/>
      <c r="AI27" s="71"/>
      <c r="AJ27" s="69">
        <f t="shared" si="11"/>
        <v>0</v>
      </c>
      <c r="AK27" s="70"/>
      <c r="AL27" s="71"/>
      <c r="AM27" s="69">
        <f t="shared" si="12"/>
        <v>0</v>
      </c>
      <c r="AN27" s="70"/>
      <c r="AO27" s="71"/>
      <c r="AP27" s="67">
        <f t="shared" si="13"/>
        <v>0</v>
      </c>
      <c r="AQ27" s="7">
        <v>0</v>
      </c>
    </row>
    <row r="28" spans="1:43" ht="18" customHeight="1" x14ac:dyDescent="0.15">
      <c r="A28" s="6"/>
      <c r="B28" s="11"/>
      <c r="C28" s="66"/>
      <c r="D28" s="67"/>
      <c r="E28" s="68"/>
      <c r="F28" s="69">
        <f t="shared" si="1"/>
        <v>0</v>
      </c>
      <c r="G28" s="70"/>
      <c r="H28" s="71"/>
      <c r="I28" s="69">
        <f t="shared" si="2"/>
        <v>0</v>
      </c>
      <c r="J28" s="70"/>
      <c r="K28" s="71"/>
      <c r="L28" s="69">
        <f t="shared" si="3"/>
        <v>0</v>
      </c>
      <c r="M28" s="70"/>
      <c r="N28" s="71"/>
      <c r="O28" s="69">
        <f t="shared" si="4"/>
        <v>0</v>
      </c>
      <c r="P28" s="70"/>
      <c r="Q28" s="71"/>
      <c r="R28" s="69">
        <f t="shared" si="5"/>
        <v>0</v>
      </c>
      <c r="S28" s="70"/>
      <c r="T28" s="71"/>
      <c r="U28" s="69">
        <f t="shared" si="6"/>
        <v>0</v>
      </c>
      <c r="V28" s="70"/>
      <c r="W28" s="71"/>
      <c r="X28" s="69">
        <f t="shared" si="7"/>
        <v>0</v>
      </c>
      <c r="Y28" s="70"/>
      <c r="Z28" s="71"/>
      <c r="AA28" s="69">
        <f t="shared" si="8"/>
        <v>0</v>
      </c>
      <c r="AB28" s="70"/>
      <c r="AC28" s="71"/>
      <c r="AD28" s="69">
        <f t="shared" si="9"/>
        <v>0</v>
      </c>
      <c r="AE28" s="70"/>
      <c r="AF28" s="71"/>
      <c r="AG28" s="69">
        <f t="shared" si="10"/>
        <v>0</v>
      </c>
      <c r="AH28" s="70"/>
      <c r="AI28" s="71"/>
      <c r="AJ28" s="69">
        <f t="shared" si="11"/>
        <v>0</v>
      </c>
      <c r="AK28" s="70"/>
      <c r="AL28" s="71"/>
      <c r="AM28" s="69">
        <f t="shared" si="12"/>
        <v>0</v>
      </c>
      <c r="AN28" s="70"/>
      <c r="AO28" s="71"/>
      <c r="AP28" s="67">
        <f t="shared" si="13"/>
        <v>0</v>
      </c>
      <c r="AQ28" s="7">
        <v>0</v>
      </c>
    </row>
    <row r="29" spans="1:43" ht="18" customHeight="1" x14ac:dyDescent="0.15">
      <c r="A29" s="6"/>
      <c r="B29" s="11"/>
      <c r="C29" s="66"/>
      <c r="D29" s="72"/>
      <c r="E29" s="68"/>
      <c r="F29" s="69">
        <f t="shared" si="1"/>
        <v>0</v>
      </c>
      <c r="G29" s="70"/>
      <c r="H29" s="71"/>
      <c r="I29" s="69">
        <f t="shared" si="2"/>
        <v>0</v>
      </c>
      <c r="J29" s="70"/>
      <c r="K29" s="71"/>
      <c r="L29" s="69">
        <f t="shared" si="3"/>
        <v>0</v>
      </c>
      <c r="M29" s="70"/>
      <c r="N29" s="71"/>
      <c r="O29" s="69">
        <f t="shared" si="4"/>
        <v>0</v>
      </c>
      <c r="P29" s="70"/>
      <c r="Q29" s="71"/>
      <c r="R29" s="69">
        <f t="shared" si="5"/>
        <v>0</v>
      </c>
      <c r="S29" s="70"/>
      <c r="T29" s="71"/>
      <c r="U29" s="69">
        <f t="shared" si="6"/>
        <v>0</v>
      </c>
      <c r="V29" s="70"/>
      <c r="W29" s="71"/>
      <c r="X29" s="69">
        <f t="shared" si="7"/>
        <v>0</v>
      </c>
      <c r="Y29" s="70"/>
      <c r="Z29" s="71"/>
      <c r="AA29" s="69">
        <f t="shared" si="8"/>
        <v>0</v>
      </c>
      <c r="AB29" s="70"/>
      <c r="AC29" s="71"/>
      <c r="AD29" s="69">
        <f t="shared" si="9"/>
        <v>0</v>
      </c>
      <c r="AE29" s="70"/>
      <c r="AF29" s="71"/>
      <c r="AG29" s="69">
        <f t="shared" si="10"/>
        <v>0</v>
      </c>
      <c r="AH29" s="70"/>
      <c r="AI29" s="71"/>
      <c r="AJ29" s="69">
        <f t="shared" si="11"/>
        <v>0</v>
      </c>
      <c r="AK29" s="70"/>
      <c r="AL29" s="71"/>
      <c r="AM29" s="69">
        <f t="shared" si="12"/>
        <v>0</v>
      </c>
      <c r="AN29" s="70"/>
      <c r="AO29" s="71"/>
      <c r="AP29" s="72">
        <f t="shared" si="13"/>
        <v>0</v>
      </c>
      <c r="AQ29" s="7">
        <v>0</v>
      </c>
    </row>
    <row r="30" spans="1:43" ht="18" customHeight="1" x14ac:dyDescent="0.15">
      <c r="A30" s="6"/>
      <c r="B30" s="11"/>
      <c r="C30" s="66"/>
      <c r="D30" s="72"/>
      <c r="E30" s="68"/>
      <c r="F30" s="69">
        <f t="shared" si="1"/>
        <v>0</v>
      </c>
      <c r="G30" s="70"/>
      <c r="H30" s="71"/>
      <c r="I30" s="69">
        <f t="shared" si="2"/>
        <v>0</v>
      </c>
      <c r="J30" s="70"/>
      <c r="K30" s="71"/>
      <c r="L30" s="69">
        <f t="shared" si="3"/>
        <v>0</v>
      </c>
      <c r="M30" s="70"/>
      <c r="N30" s="71"/>
      <c r="O30" s="69">
        <f t="shared" si="4"/>
        <v>0</v>
      </c>
      <c r="P30" s="70"/>
      <c r="Q30" s="71"/>
      <c r="R30" s="69">
        <f t="shared" si="5"/>
        <v>0</v>
      </c>
      <c r="S30" s="70"/>
      <c r="T30" s="71"/>
      <c r="U30" s="69">
        <f t="shared" si="6"/>
        <v>0</v>
      </c>
      <c r="V30" s="70"/>
      <c r="W30" s="71"/>
      <c r="X30" s="69">
        <f t="shared" si="7"/>
        <v>0</v>
      </c>
      <c r="Y30" s="70"/>
      <c r="Z30" s="71"/>
      <c r="AA30" s="69">
        <f t="shared" si="8"/>
        <v>0</v>
      </c>
      <c r="AB30" s="70"/>
      <c r="AC30" s="71"/>
      <c r="AD30" s="69">
        <f t="shared" si="9"/>
        <v>0</v>
      </c>
      <c r="AE30" s="70"/>
      <c r="AF30" s="71"/>
      <c r="AG30" s="69">
        <f t="shared" si="10"/>
        <v>0</v>
      </c>
      <c r="AH30" s="70"/>
      <c r="AI30" s="71"/>
      <c r="AJ30" s="69">
        <f t="shared" si="11"/>
        <v>0</v>
      </c>
      <c r="AK30" s="70"/>
      <c r="AL30" s="71"/>
      <c r="AM30" s="69">
        <f t="shared" si="12"/>
        <v>0</v>
      </c>
      <c r="AN30" s="70"/>
      <c r="AO30" s="71"/>
      <c r="AP30" s="72">
        <f t="shared" si="13"/>
        <v>0</v>
      </c>
      <c r="AQ30" s="7">
        <v>0</v>
      </c>
    </row>
    <row r="31" spans="1:43" ht="18" customHeight="1" thickBot="1" x14ac:dyDescent="0.2">
      <c r="A31" s="6"/>
      <c r="B31" s="12"/>
      <c r="C31" s="61"/>
      <c r="D31" s="73"/>
      <c r="E31" s="63"/>
      <c r="F31" s="63">
        <f t="shared" si="1"/>
        <v>0</v>
      </c>
      <c r="G31" s="74"/>
      <c r="H31" s="75"/>
      <c r="I31" s="63">
        <f t="shared" si="2"/>
        <v>0</v>
      </c>
      <c r="J31" s="74"/>
      <c r="K31" s="75"/>
      <c r="L31" s="63">
        <f t="shared" si="3"/>
        <v>0</v>
      </c>
      <c r="M31" s="74"/>
      <c r="N31" s="75"/>
      <c r="O31" s="63">
        <f t="shared" si="4"/>
        <v>0</v>
      </c>
      <c r="P31" s="74"/>
      <c r="Q31" s="75"/>
      <c r="R31" s="63">
        <f t="shared" si="5"/>
        <v>0</v>
      </c>
      <c r="S31" s="74"/>
      <c r="T31" s="75"/>
      <c r="U31" s="63">
        <f t="shared" si="6"/>
        <v>0</v>
      </c>
      <c r="V31" s="74"/>
      <c r="W31" s="75"/>
      <c r="X31" s="63">
        <f t="shared" si="7"/>
        <v>0</v>
      </c>
      <c r="Y31" s="74"/>
      <c r="Z31" s="75"/>
      <c r="AA31" s="63">
        <f t="shared" si="8"/>
        <v>0</v>
      </c>
      <c r="AB31" s="74"/>
      <c r="AC31" s="75"/>
      <c r="AD31" s="63">
        <f t="shared" si="9"/>
        <v>0</v>
      </c>
      <c r="AE31" s="74"/>
      <c r="AF31" s="75"/>
      <c r="AG31" s="63">
        <f t="shared" si="10"/>
        <v>0</v>
      </c>
      <c r="AH31" s="74"/>
      <c r="AI31" s="75"/>
      <c r="AJ31" s="63">
        <f t="shared" si="11"/>
        <v>0</v>
      </c>
      <c r="AK31" s="74"/>
      <c r="AL31" s="75"/>
      <c r="AM31" s="63">
        <f t="shared" si="12"/>
        <v>0</v>
      </c>
      <c r="AN31" s="74"/>
      <c r="AO31" s="75"/>
      <c r="AP31" s="73">
        <f t="shared" si="13"/>
        <v>0</v>
      </c>
      <c r="AQ31" s="81">
        <v>0</v>
      </c>
    </row>
    <row r="32" spans="1:43" ht="18" customHeight="1" thickTop="1" x14ac:dyDescent="0.15">
      <c r="B32" s="13" t="s">
        <v>32</v>
      </c>
      <c r="C32" s="76">
        <f t="shared" ref="C32" si="14">SUM(C12:C31)</f>
        <v>31465</v>
      </c>
      <c r="D32" s="77">
        <f t="shared" ref="D32:AP32" si="15">SUM(D12:D31)</f>
        <v>7760</v>
      </c>
      <c r="E32" s="78">
        <f t="shared" si="15"/>
        <v>31040</v>
      </c>
      <c r="F32" s="78">
        <f t="shared" si="15"/>
        <v>348</v>
      </c>
      <c r="G32" s="79">
        <f t="shared" si="15"/>
        <v>226</v>
      </c>
      <c r="H32" s="80">
        <f t="shared" si="15"/>
        <v>122</v>
      </c>
      <c r="I32" s="78">
        <f t="shared" ref="I32:N32" si="16">SUM(I12:I31)</f>
        <v>133</v>
      </c>
      <c r="J32" s="79">
        <f t="shared" si="16"/>
        <v>88</v>
      </c>
      <c r="K32" s="80">
        <f t="shared" si="16"/>
        <v>45</v>
      </c>
      <c r="L32" s="78">
        <f t="shared" si="16"/>
        <v>0</v>
      </c>
      <c r="M32" s="79">
        <f t="shared" si="16"/>
        <v>0</v>
      </c>
      <c r="N32" s="80">
        <f t="shared" si="16"/>
        <v>0</v>
      </c>
      <c r="O32" s="78">
        <f t="shared" ref="O32:T32" si="17">SUM(O12:O31)</f>
        <v>0</v>
      </c>
      <c r="P32" s="79">
        <f t="shared" si="17"/>
        <v>0</v>
      </c>
      <c r="Q32" s="80">
        <f t="shared" si="17"/>
        <v>0</v>
      </c>
      <c r="R32" s="78">
        <f t="shared" si="17"/>
        <v>0</v>
      </c>
      <c r="S32" s="79">
        <f t="shared" si="17"/>
        <v>0</v>
      </c>
      <c r="T32" s="80">
        <f t="shared" si="17"/>
        <v>0</v>
      </c>
      <c r="U32" s="78">
        <f t="shared" ref="U32:AI32" si="18">SUM(U12:U31)</f>
        <v>0</v>
      </c>
      <c r="V32" s="79">
        <f t="shared" si="18"/>
        <v>0</v>
      </c>
      <c r="W32" s="80">
        <f t="shared" si="18"/>
        <v>0</v>
      </c>
      <c r="X32" s="78">
        <f t="shared" si="18"/>
        <v>0</v>
      </c>
      <c r="Y32" s="79">
        <f t="shared" si="18"/>
        <v>0</v>
      </c>
      <c r="Z32" s="80">
        <f t="shared" si="18"/>
        <v>0</v>
      </c>
      <c r="AA32" s="78">
        <f t="shared" si="18"/>
        <v>0</v>
      </c>
      <c r="AB32" s="79">
        <f t="shared" si="18"/>
        <v>0</v>
      </c>
      <c r="AC32" s="80">
        <f t="shared" si="18"/>
        <v>0</v>
      </c>
      <c r="AD32" s="78">
        <f t="shared" si="18"/>
        <v>0</v>
      </c>
      <c r="AE32" s="79">
        <f t="shared" si="18"/>
        <v>0</v>
      </c>
      <c r="AF32" s="80">
        <f t="shared" si="18"/>
        <v>0</v>
      </c>
      <c r="AG32" s="78">
        <f t="shared" si="18"/>
        <v>0</v>
      </c>
      <c r="AH32" s="79">
        <f t="shared" si="18"/>
        <v>0</v>
      </c>
      <c r="AI32" s="80">
        <f t="shared" si="18"/>
        <v>0</v>
      </c>
      <c r="AJ32" s="78">
        <f t="shared" ref="AJ32:AO32" si="19">SUM(AJ12:AJ31)</f>
        <v>0</v>
      </c>
      <c r="AK32" s="79">
        <f t="shared" si="19"/>
        <v>0</v>
      </c>
      <c r="AL32" s="80">
        <f t="shared" si="19"/>
        <v>0</v>
      </c>
      <c r="AM32" s="78">
        <f t="shared" si="19"/>
        <v>0</v>
      </c>
      <c r="AN32" s="79">
        <f t="shared" si="19"/>
        <v>0</v>
      </c>
      <c r="AO32" s="80">
        <f t="shared" si="19"/>
        <v>0</v>
      </c>
      <c r="AP32" s="76">
        <f t="shared" si="15"/>
        <v>348</v>
      </c>
      <c r="AQ32" s="8">
        <f t="shared" si="0"/>
        <v>1.1211340206185567E-2</v>
      </c>
    </row>
  </sheetData>
  <customSheetViews>
    <customSheetView guid="{1C325414-5A0C-4C59-BA24-A8E2B4EC5171}" showPageBreaks="1" fitToPage="1" printArea="1" view="pageBreakPreview" topLeftCell="A4">
      <selection activeCell="B21" sqref="B21"/>
      <pageMargins left="0.78740157480314965" right="0.78740157480314965" top="0.78740157480314965" bottom="0.59055118110236227" header="0.31496062992125984" footer="0.31496062992125984"/>
      <printOptions horizontalCentered="1"/>
      <pageSetup paperSize="9" scale="57" orientation="landscape" r:id="rId1"/>
      <headerFooter>
        <oddHeader>&amp;C数理・データサイエンス・AI教育プログラム認定制度【リテラシーレベル】</oddHeader>
      </headerFooter>
    </customSheetView>
    <customSheetView guid="{76C3A8B2-43E5-4491-B38D-7D6417DC209B}" showPageBreaks="1" fitToPage="1" printArea="1" view="pageBreakPreview" topLeftCell="A4">
      <selection activeCell="B21" sqref="B21"/>
      <pageMargins left="0.78740157480314965" right="0.78740157480314965" top="0.78740157480314965" bottom="0.59055118110236227" header="0.31496062992125984" footer="0.31496062992125984"/>
      <printOptions horizontalCentered="1"/>
      <pageSetup paperSize="9" scale="57" orientation="landscape" r:id="rId2"/>
      <headerFooter>
        <oddHeader>&amp;C数理・データサイエンス・AI教育プログラム認定制度【リテラシーレベル】</oddHeader>
      </headerFooter>
    </customSheetView>
    <customSheetView guid="{D1FD8C4C-CF69-45DF-A007-1EC45F0F0601}" showPageBreaks="1" fitToPage="1" printArea="1" view="pageBreakPreview" topLeftCell="A4">
      <selection activeCell="B21" sqref="B21"/>
      <pageMargins left="0.78740157480314965" right="0.78740157480314965" top="0.78740157480314965" bottom="0.59055118110236227" header="0.31496062992125984" footer="0.31496062992125984"/>
      <printOptions horizontalCentered="1"/>
      <pageSetup paperSize="9" scale="57" orientation="landscape" r:id="rId3"/>
      <headerFooter>
        <oddHeader>&amp;C数理・データサイエンス・AI教育プログラム認定制度【リテラシーレベル】</oddHeader>
      </headerFooter>
    </customSheetView>
    <customSheetView guid="{B3C66A88-0371-48C7-9AE2-6606C7EDAAFC}" showPageBreaks="1" fitToPage="1" printArea="1" view="pageBreakPreview" topLeftCell="A4">
      <selection activeCell="B21" sqref="B21"/>
      <pageMargins left="0.78740157480314965" right="0.78740157480314965" top="0.78740157480314965" bottom="0.59055118110236227" header="0.31496062992125984" footer="0.31496062992125984"/>
      <printOptions horizontalCentered="1"/>
      <pageSetup paperSize="9" scale="57" orientation="landscape" r:id="rId4"/>
      <headerFooter>
        <oddHeader>&amp;C数理・データサイエンス・AI教育プログラム認定制度【リテラシーレベル】</oddHeader>
      </headerFooter>
    </customSheetView>
  </customSheetViews>
  <mergeCells count="27">
    <mergeCell ref="I10:K10"/>
    <mergeCell ref="L9:Q9"/>
    <mergeCell ref="L10:N10"/>
    <mergeCell ref="O10:Q10"/>
    <mergeCell ref="R9:W9"/>
    <mergeCell ref="AM2:AQ2"/>
    <mergeCell ref="R10:T10"/>
    <mergeCell ref="U10:W10"/>
    <mergeCell ref="X9:AC9"/>
    <mergeCell ref="X10:Z10"/>
    <mergeCell ref="AA10:AC10"/>
    <mergeCell ref="A3:AQ3"/>
    <mergeCell ref="C5:D5"/>
    <mergeCell ref="B9:B11"/>
    <mergeCell ref="D9:D11"/>
    <mergeCell ref="E9:E11"/>
    <mergeCell ref="F9:K9"/>
    <mergeCell ref="AP9:AP11"/>
    <mergeCell ref="AQ9:AQ11"/>
    <mergeCell ref="C9:C11"/>
    <mergeCell ref="F10:H10"/>
    <mergeCell ref="AD9:AI9"/>
    <mergeCell ref="AD10:AF10"/>
    <mergeCell ref="AG10:AI10"/>
    <mergeCell ref="AJ9:AO9"/>
    <mergeCell ref="AJ10:AL10"/>
    <mergeCell ref="AM10:AO10"/>
  </mergeCells>
  <phoneticPr fontId="1"/>
  <conditionalFormatting sqref="C5:D5">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57" orientation="landscape" r:id="rId5"/>
  <headerFooter>
    <oddHeader>&amp;C数理・データサイエンス・AI教育プログラム認定制度【リテラシーレベル】</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heetViews>
  <sheetFormatPr defaultColWidth="11.375" defaultRowHeight="18.75" customHeight="1" x14ac:dyDescent="0.15"/>
  <cols>
    <col min="1" max="1" width="2.75" style="40"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40" t="s">
        <v>64</v>
      </c>
      <c r="I1" s="34" t="s">
        <v>105</v>
      </c>
    </row>
    <row r="2" spans="1:9" ht="18.75" customHeight="1" x14ac:dyDescent="0.15">
      <c r="G2" s="34" t="s">
        <v>108</v>
      </c>
      <c r="H2" s="89" t="str">
        <f>'様式１-１プログラムを構成する授業科目（法学部）'!C2</f>
        <v>明治大学</v>
      </c>
      <c r="I2" s="91"/>
    </row>
    <row r="3" spans="1:9" ht="18.75" customHeight="1" x14ac:dyDescent="0.15">
      <c r="G3" s="34"/>
      <c r="H3" s="9"/>
      <c r="I3" s="9"/>
    </row>
    <row r="4" spans="1:9" ht="18.600000000000001" customHeight="1" x14ac:dyDescent="0.15">
      <c r="A4" s="141" t="s">
        <v>35</v>
      </c>
      <c r="B4" s="141"/>
      <c r="C4" s="141"/>
      <c r="D4" s="141"/>
      <c r="E4" s="141"/>
      <c r="F4" s="141"/>
      <c r="G4" s="141"/>
      <c r="H4" s="141"/>
      <c r="I4" s="141"/>
    </row>
    <row r="5" spans="1:9" ht="13.15" customHeight="1" x14ac:dyDescent="0.15">
      <c r="B5" s="3"/>
      <c r="C5" s="3"/>
      <c r="D5" s="3"/>
      <c r="E5" s="3"/>
      <c r="F5" s="3"/>
      <c r="G5" s="3"/>
      <c r="H5" s="3"/>
      <c r="I5" s="3"/>
    </row>
    <row r="6" spans="1:9" ht="18" customHeight="1" x14ac:dyDescent="0.15">
      <c r="A6" s="1" t="s">
        <v>0</v>
      </c>
      <c r="B6" s="9" t="s">
        <v>90</v>
      </c>
      <c r="C6" s="218" t="s">
        <v>91</v>
      </c>
      <c r="D6" s="218"/>
      <c r="E6" s="33">
        <v>1083</v>
      </c>
      <c r="F6" s="3" t="s">
        <v>1</v>
      </c>
      <c r="G6" s="3" t="s">
        <v>2</v>
      </c>
      <c r="H6" s="33">
        <v>1782</v>
      </c>
      <c r="I6" s="9" t="s">
        <v>1</v>
      </c>
    </row>
    <row r="7" spans="1:9" ht="12" customHeight="1" x14ac:dyDescent="0.15">
      <c r="C7" s="2"/>
      <c r="D7" s="2"/>
      <c r="E7" s="2"/>
      <c r="F7" s="2"/>
      <c r="G7" s="2"/>
      <c r="H7" s="2"/>
      <c r="I7" s="41"/>
    </row>
    <row r="8" spans="1:9" ht="18" customHeight="1" x14ac:dyDescent="0.15">
      <c r="A8" s="1" t="s">
        <v>3</v>
      </c>
      <c r="B8" s="9" t="s">
        <v>92</v>
      </c>
      <c r="E8" s="3"/>
      <c r="F8" s="3"/>
      <c r="G8" s="3"/>
      <c r="H8" s="33">
        <v>75</v>
      </c>
      <c r="I8" s="9" t="s">
        <v>1</v>
      </c>
    </row>
    <row r="9" spans="1:9" ht="9" customHeight="1" x14ac:dyDescent="0.15">
      <c r="B9" s="3"/>
      <c r="C9" s="3"/>
      <c r="D9" s="3"/>
      <c r="E9" s="3"/>
      <c r="F9" s="3"/>
      <c r="G9" s="3"/>
      <c r="H9" s="3"/>
      <c r="I9" s="3"/>
    </row>
    <row r="10" spans="1:9" ht="18" customHeight="1" x14ac:dyDescent="0.15">
      <c r="A10" s="1" t="s">
        <v>4</v>
      </c>
      <c r="B10" s="9" t="s">
        <v>93</v>
      </c>
      <c r="C10" s="3"/>
      <c r="D10" s="3"/>
      <c r="E10" s="3"/>
      <c r="F10" s="3"/>
      <c r="G10" s="3"/>
      <c r="H10" s="3"/>
      <c r="I10" s="3"/>
    </row>
    <row r="11" spans="1:9" ht="18" customHeight="1" x14ac:dyDescent="0.15">
      <c r="B11" s="34" t="s">
        <v>42</v>
      </c>
      <c r="C11" s="213" t="s">
        <v>205</v>
      </c>
      <c r="D11" s="216"/>
      <c r="E11" s="217"/>
      <c r="F11" s="41"/>
      <c r="G11" s="34" t="s">
        <v>10</v>
      </c>
      <c r="H11" s="213" t="s">
        <v>206</v>
      </c>
      <c r="I11" s="217"/>
    </row>
    <row r="12" spans="1:9" ht="10.15" customHeight="1" x14ac:dyDescent="0.15">
      <c r="B12" s="34"/>
      <c r="C12" s="9"/>
      <c r="D12" s="41"/>
      <c r="E12" s="41"/>
      <c r="F12" s="41"/>
      <c r="G12" s="34"/>
      <c r="H12" s="9"/>
      <c r="I12" s="41"/>
    </row>
    <row r="13" spans="1:9" ht="18" customHeight="1" x14ac:dyDescent="0.15">
      <c r="A13" s="1" t="s">
        <v>7</v>
      </c>
      <c r="B13" s="9" t="s">
        <v>87</v>
      </c>
      <c r="C13" s="3"/>
      <c r="D13" s="3"/>
      <c r="E13" s="3"/>
      <c r="F13" s="3"/>
      <c r="G13" s="3"/>
      <c r="H13" s="3"/>
      <c r="I13" s="3"/>
    </row>
    <row r="14" spans="1:9" ht="18" customHeight="1" x14ac:dyDescent="0.15">
      <c r="B14" s="213" t="s">
        <v>207</v>
      </c>
      <c r="C14" s="214"/>
      <c r="D14" s="214"/>
      <c r="E14" s="214"/>
      <c r="F14" s="214"/>
      <c r="G14" s="214"/>
      <c r="H14" s="214"/>
      <c r="I14" s="215"/>
    </row>
    <row r="15" spans="1:9" ht="9" customHeight="1" x14ac:dyDescent="0.15">
      <c r="B15" s="3"/>
      <c r="C15" s="3"/>
      <c r="D15" s="3"/>
      <c r="E15" s="3"/>
      <c r="F15" s="3"/>
      <c r="G15" s="3"/>
      <c r="H15" s="3"/>
      <c r="I15" s="3"/>
    </row>
    <row r="16" spans="1:9" ht="18" customHeight="1" x14ac:dyDescent="0.15">
      <c r="B16" s="34" t="s">
        <v>42</v>
      </c>
      <c r="C16" s="213" t="s">
        <v>205</v>
      </c>
      <c r="D16" s="216"/>
      <c r="E16" s="217"/>
      <c r="F16" s="41"/>
      <c r="G16" s="34" t="s">
        <v>10</v>
      </c>
      <c r="H16" s="213" t="s">
        <v>208</v>
      </c>
      <c r="I16" s="217"/>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05" t="s">
        <v>209</v>
      </c>
      <c r="C19" s="206"/>
      <c r="D19" s="206"/>
      <c r="E19" s="206"/>
      <c r="F19" s="206"/>
      <c r="G19" s="206"/>
      <c r="H19" s="206"/>
      <c r="I19" s="207"/>
    </row>
    <row r="20" spans="1:9" ht="7.5" customHeight="1" x14ac:dyDescent="0.15">
      <c r="B20" s="3"/>
      <c r="C20" s="3"/>
      <c r="D20" s="3"/>
      <c r="E20" s="3"/>
      <c r="F20" s="3"/>
      <c r="G20" s="3"/>
      <c r="H20" s="3"/>
      <c r="I20" s="3"/>
    </row>
    <row r="21" spans="1:9" ht="18.75" customHeight="1" x14ac:dyDescent="0.15">
      <c r="A21" s="1" t="s">
        <v>8</v>
      </c>
      <c r="B21" s="1" t="s">
        <v>24</v>
      </c>
    </row>
    <row r="22" spans="1:9" ht="18.75" customHeight="1" x14ac:dyDescent="0.15">
      <c r="A22" s="14"/>
      <c r="B22" s="195" t="s">
        <v>210</v>
      </c>
      <c r="C22" s="196"/>
      <c r="D22" s="196"/>
      <c r="E22" s="196"/>
      <c r="F22" s="196"/>
      <c r="G22" s="196"/>
      <c r="H22" s="196"/>
      <c r="I22" s="197"/>
    </row>
    <row r="23" spans="1:9" ht="18.75" customHeight="1" x14ac:dyDescent="0.15">
      <c r="A23" s="14"/>
      <c r="B23" s="208"/>
      <c r="C23" s="209"/>
      <c r="D23" s="209"/>
      <c r="E23" s="209"/>
      <c r="F23" s="209"/>
      <c r="G23" s="209"/>
      <c r="H23" s="209"/>
      <c r="I23" s="200"/>
    </row>
    <row r="24" spans="1:9" ht="18.75" customHeight="1" x14ac:dyDescent="0.15">
      <c r="A24" s="14"/>
      <c r="B24" s="208"/>
      <c r="C24" s="209"/>
      <c r="D24" s="209"/>
      <c r="E24" s="209"/>
      <c r="F24" s="209"/>
      <c r="G24" s="209"/>
      <c r="H24" s="209"/>
      <c r="I24" s="200"/>
    </row>
    <row r="25" spans="1:9" ht="18.75" customHeight="1" x14ac:dyDescent="0.15">
      <c r="A25" s="14"/>
      <c r="B25" s="208"/>
      <c r="C25" s="209"/>
      <c r="D25" s="209"/>
      <c r="E25" s="209"/>
      <c r="F25" s="209"/>
      <c r="G25" s="209"/>
      <c r="H25" s="209"/>
      <c r="I25" s="200"/>
    </row>
    <row r="26" spans="1:9" ht="18.75" customHeight="1" x14ac:dyDescent="0.15">
      <c r="A26" s="14"/>
      <c r="B26" s="208"/>
      <c r="C26" s="209"/>
      <c r="D26" s="209"/>
      <c r="E26" s="209"/>
      <c r="F26" s="209"/>
      <c r="G26" s="209"/>
      <c r="H26" s="209"/>
      <c r="I26" s="200"/>
    </row>
    <row r="27" spans="1:9" ht="18.75" customHeight="1" x14ac:dyDescent="0.15">
      <c r="A27" s="14"/>
      <c r="B27" s="208"/>
      <c r="C27" s="209"/>
      <c r="D27" s="209"/>
      <c r="E27" s="209"/>
      <c r="F27" s="209"/>
      <c r="G27" s="209"/>
      <c r="H27" s="209"/>
      <c r="I27" s="200"/>
    </row>
    <row r="28" spans="1:9" ht="18.75" customHeight="1" x14ac:dyDescent="0.15">
      <c r="A28" s="14"/>
      <c r="B28" s="208"/>
      <c r="C28" s="209"/>
      <c r="D28" s="209"/>
      <c r="E28" s="209"/>
      <c r="F28" s="209"/>
      <c r="G28" s="209"/>
      <c r="H28" s="209"/>
      <c r="I28" s="200"/>
    </row>
    <row r="29" spans="1:9" ht="18.75" customHeight="1" x14ac:dyDescent="0.15">
      <c r="A29" s="14"/>
      <c r="B29" s="208"/>
      <c r="C29" s="209"/>
      <c r="D29" s="209"/>
      <c r="E29" s="209"/>
      <c r="F29" s="209"/>
      <c r="G29" s="209"/>
      <c r="H29" s="209"/>
      <c r="I29" s="200"/>
    </row>
    <row r="30" spans="1:9" ht="18.75" customHeight="1" x14ac:dyDescent="0.15">
      <c r="A30" s="14"/>
      <c r="B30" s="198"/>
      <c r="C30" s="199"/>
      <c r="D30" s="199"/>
      <c r="E30" s="199"/>
      <c r="F30" s="199"/>
      <c r="G30" s="199"/>
      <c r="H30" s="199"/>
      <c r="I30" s="200"/>
    </row>
    <row r="31" spans="1:9" ht="18.75" customHeight="1" x14ac:dyDescent="0.15">
      <c r="A31" s="14"/>
      <c r="B31" s="198"/>
      <c r="C31" s="199"/>
      <c r="D31" s="199"/>
      <c r="E31" s="199"/>
      <c r="F31" s="199"/>
      <c r="G31" s="199"/>
      <c r="H31" s="199"/>
      <c r="I31" s="200"/>
    </row>
    <row r="32" spans="1:9" ht="18.75" customHeight="1" x14ac:dyDescent="0.15">
      <c r="A32" s="14"/>
      <c r="B32" s="201"/>
      <c r="C32" s="202"/>
      <c r="D32" s="202"/>
      <c r="E32" s="202"/>
      <c r="F32" s="202"/>
      <c r="G32" s="202"/>
      <c r="H32" s="202"/>
      <c r="I32" s="203"/>
    </row>
    <row r="33" spans="1:9" ht="7.5" customHeight="1" x14ac:dyDescent="0.15">
      <c r="A33" s="14"/>
      <c r="B33" s="14"/>
      <c r="C33" s="14"/>
      <c r="D33" s="14"/>
      <c r="E33" s="14"/>
      <c r="F33" s="14"/>
      <c r="G33" s="14"/>
      <c r="H33" s="14"/>
      <c r="I33" s="14"/>
    </row>
    <row r="34" spans="1:9" ht="18.75" customHeight="1" x14ac:dyDescent="0.15">
      <c r="A34" s="15" t="s">
        <v>6</v>
      </c>
      <c r="B34" s="15" t="s">
        <v>9</v>
      </c>
      <c r="C34" s="9"/>
      <c r="D34" s="15"/>
      <c r="E34" s="15"/>
      <c r="F34" s="15"/>
      <c r="G34" s="15"/>
      <c r="H34" s="15"/>
      <c r="I34" s="15"/>
    </row>
    <row r="35" spans="1:9" ht="18.75" customHeight="1" x14ac:dyDescent="0.15">
      <c r="A35" s="14"/>
      <c r="B35" s="195" t="s">
        <v>211</v>
      </c>
      <c r="C35" s="196"/>
      <c r="D35" s="196"/>
      <c r="E35" s="196"/>
      <c r="F35" s="196"/>
      <c r="G35" s="196"/>
      <c r="H35" s="196"/>
      <c r="I35" s="197"/>
    </row>
    <row r="36" spans="1:9" ht="18.75" customHeight="1" x14ac:dyDescent="0.15">
      <c r="A36" s="14"/>
      <c r="B36" s="198"/>
      <c r="C36" s="199"/>
      <c r="D36" s="199"/>
      <c r="E36" s="199"/>
      <c r="F36" s="199"/>
      <c r="G36" s="199"/>
      <c r="H36" s="199"/>
      <c r="I36" s="200"/>
    </row>
    <row r="37" spans="1:9" ht="18.75" customHeight="1" x14ac:dyDescent="0.15">
      <c r="A37" s="14"/>
      <c r="B37" s="198"/>
      <c r="C37" s="199"/>
      <c r="D37" s="199"/>
      <c r="E37" s="199"/>
      <c r="F37" s="199"/>
      <c r="G37" s="199"/>
      <c r="H37" s="199"/>
      <c r="I37" s="200"/>
    </row>
    <row r="38" spans="1:9" ht="18.75" customHeight="1" x14ac:dyDescent="0.15">
      <c r="A38" s="14"/>
      <c r="B38" s="198"/>
      <c r="C38" s="199"/>
      <c r="D38" s="199"/>
      <c r="E38" s="199"/>
      <c r="F38" s="199"/>
      <c r="G38" s="199"/>
      <c r="H38" s="199"/>
      <c r="I38" s="200"/>
    </row>
    <row r="39" spans="1:9" ht="18.75" customHeight="1" x14ac:dyDescent="0.15">
      <c r="A39" s="14"/>
      <c r="B39" s="198"/>
      <c r="C39" s="199"/>
      <c r="D39" s="199"/>
      <c r="E39" s="199"/>
      <c r="F39" s="199"/>
      <c r="G39" s="199"/>
      <c r="H39" s="199"/>
      <c r="I39" s="200"/>
    </row>
    <row r="40" spans="1:9" ht="18.75" customHeight="1" x14ac:dyDescent="0.15">
      <c r="A40" s="14"/>
      <c r="B40" s="198"/>
      <c r="C40" s="199"/>
      <c r="D40" s="199"/>
      <c r="E40" s="199"/>
      <c r="F40" s="199"/>
      <c r="G40" s="199"/>
      <c r="H40" s="199"/>
      <c r="I40" s="200"/>
    </row>
    <row r="41" spans="1:9" ht="18.75" customHeight="1" x14ac:dyDescent="0.15">
      <c r="A41" s="14"/>
      <c r="B41" s="198"/>
      <c r="C41" s="199"/>
      <c r="D41" s="199"/>
      <c r="E41" s="199"/>
      <c r="F41" s="199"/>
      <c r="G41" s="199"/>
      <c r="H41" s="199"/>
      <c r="I41" s="200"/>
    </row>
    <row r="42" spans="1:9" ht="18.75" customHeight="1" x14ac:dyDescent="0.15">
      <c r="A42" s="14"/>
      <c r="B42" s="198"/>
      <c r="C42" s="199"/>
      <c r="D42" s="199"/>
      <c r="E42" s="199"/>
      <c r="F42" s="199"/>
      <c r="G42" s="199"/>
      <c r="H42" s="199"/>
      <c r="I42" s="200"/>
    </row>
    <row r="43" spans="1:9" ht="18.75" customHeight="1" x14ac:dyDescent="0.15">
      <c r="A43" s="14"/>
      <c r="B43" s="198"/>
      <c r="C43" s="199"/>
      <c r="D43" s="199"/>
      <c r="E43" s="199"/>
      <c r="F43" s="199"/>
      <c r="G43" s="199"/>
      <c r="H43" s="199"/>
      <c r="I43" s="200"/>
    </row>
    <row r="44" spans="1:9" ht="18.75" customHeight="1" x14ac:dyDescent="0.15">
      <c r="A44" s="14"/>
      <c r="B44" s="198"/>
      <c r="C44" s="199"/>
      <c r="D44" s="199"/>
      <c r="E44" s="199"/>
      <c r="F44" s="199"/>
      <c r="G44" s="199"/>
      <c r="H44" s="199"/>
      <c r="I44" s="200"/>
    </row>
    <row r="45" spans="1:9" ht="18.75" customHeight="1" x14ac:dyDescent="0.15">
      <c r="A45" s="14"/>
      <c r="B45" s="198"/>
      <c r="C45" s="199"/>
      <c r="D45" s="199"/>
      <c r="E45" s="199"/>
      <c r="F45" s="199"/>
      <c r="G45" s="199"/>
      <c r="H45" s="199"/>
      <c r="I45" s="200"/>
    </row>
    <row r="46" spans="1:9" ht="18.75" customHeight="1" x14ac:dyDescent="0.15">
      <c r="A46" s="14"/>
      <c r="B46" s="201"/>
      <c r="C46" s="202"/>
      <c r="D46" s="202"/>
      <c r="E46" s="202"/>
      <c r="F46" s="202"/>
      <c r="G46" s="202"/>
      <c r="H46" s="202"/>
      <c r="I46" s="203"/>
    </row>
    <row r="47" spans="1:9" ht="7.5" customHeight="1" x14ac:dyDescent="0.15">
      <c r="A47" s="4"/>
      <c r="B47" s="4"/>
      <c r="C47" s="4"/>
      <c r="D47" s="4"/>
      <c r="E47" s="4"/>
      <c r="F47" s="4"/>
      <c r="G47" s="4"/>
      <c r="H47" s="4"/>
      <c r="I47" s="4"/>
    </row>
    <row r="48" spans="1:9" ht="18.75" customHeight="1" x14ac:dyDescent="0.15">
      <c r="A48" s="1" t="s">
        <v>30</v>
      </c>
      <c r="B48" s="1" t="s">
        <v>122</v>
      </c>
    </row>
    <row r="49" spans="1:15" s="3" customFormat="1" ht="18.75" customHeight="1" x14ac:dyDescent="0.15">
      <c r="B49" s="42" t="s">
        <v>88</v>
      </c>
      <c r="C49" s="236">
        <f>'様式２ 履修者等数の実績'!AQ32</f>
        <v>1.1211340206185567E-2</v>
      </c>
      <c r="D49" s="236"/>
      <c r="E49" s="42" t="s">
        <v>65</v>
      </c>
      <c r="F49" s="236">
        <v>0.03</v>
      </c>
      <c r="G49" s="236"/>
      <c r="H49" s="42" t="s">
        <v>66</v>
      </c>
      <c r="I49" s="43">
        <v>0.06</v>
      </c>
      <c r="J49" s="1"/>
      <c r="M49" s="1"/>
      <c r="N49" s="44"/>
    </row>
    <row r="50" spans="1:15" s="3" customFormat="1" ht="18.75" customHeight="1" x14ac:dyDescent="0.15">
      <c r="B50" s="45" t="s">
        <v>67</v>
      </c>
      <c r="C50" s="219">
        <v>0.08</v>
      </c>
      <c r="D50" s="219"/>
      <c r="E50" s="45" t="s">
        <v>89</v>
      </c>
      <c r="F50" s="219">
        <v>0.1</v>
      </c>
      <c r="G50" s="219"/>
      <c r="H50" s="45" t="s">
        <v>68</v>
      </c>
      <c r="I50" s="46">
        <f>'様式２ 履修者等数の実績'!E32</f>
        <v>31040</v>
      </c>
      <c r="J50" s="1"/>
      <c r="M50" s="1"/>
      <c r="N50" s="44"/>
    </row>
    <row r="51" spans="1:15" ht="18.75" customHeight="1" x14ac:dyDescent="0.15">
      <c r="A51" s="1"/>
      <c r="B51" s="210" t="s">
        <v>69</v>
      </c>
      <c r="C51" s="211"/>
      <c r="D51" s="211"/>
      <c r="E51" s="211"/>
      <c r="F51" s="211"/>
      <c r="G51" s="211"/>
      <c r="H51" s="211"/>
      <c r="I51" s="212"/>
      <c r="N51" s="44"/>
      <c r="O51" s="3"/>
    </row>
    <row r="52" spans="1:15" ht="18.75" customHeight="1" x14ac:dyDescent="0.15">
      <c r="A52" s="1"/>
      <c r="B52" s="237" t="s">
        <v>223</v>
      </c>
      <c r="C52" s="238"/>
      <c r="D52" s="238"/>
      <c r="E52" s="238"/>
      <c r="F52" s="238"/>
      <c r="G52" s="238"/>
      <c r="H52" s="238"/>
      <c r="I52" s="239"/>
      <c r="N52" s="44"/>
      <c r="O52" s="3"/>
    </row>
    <row r="53" spans="1:15" ht="18.75" customHeight="1" x14ac:dyDescent="0.15">
      <c r="A53" s="1"/>
      <c r="B53" s="240"/>
      <c r="C53" s="241"/>
      <c r="D53" s="241"/>
      <c r="E53" s="241"/>
      <c r="F53" s="241"/>
      <c r="G53" s="241"/>
      <c r="H53" s="241"/>
      <c r="I53" s="242"/>
      <c r="N53" s="44"/>
      <c r="O53" s="3"/>
    </row>
    <row r="54" spans="1:15" ht="18.75" customHeight="1" x14ac:dyDescent="0.15">
      <c r="A54" s="1"/>
      <c r="B54" s="240"/>
      <c r="C54" s="241"/>
      <c r="D54" s="241"/>
      <c r="E54" s="241"/>
      <c r="F54" s="241"/>
      <c r="G54" s="241"/>
      <c r="H54" s="241"/>
      <c r="I54" s="242"/>
    </row>
    <row r="55" spans="1:15" ht="18.75" customHeight="1" x14ac:dyDescent="0.15">
      <c r="A55" s="1"/>
      <c r="B55" s="240"/>
      <c r="C55" s="241"/>
      <c r="D55" s="241"/>
      <c r="E55" s="241"/>
      <c r="F55" s="241"/>
      <c r="G55" s="241"/>
      <c r="H55" s="241"/>
      <c r="I55" s="242"/>
    </row>
    <row r="56" spans="1:15" ht="18.75" customHeight="1" x14ac:dyDescent="0.15">
      <c r="A56" s="1"/>
      <c r="B56" s="240"/>
      <c r="C56" s="241"/>
      <c r="D56" s="241"/>
      <c r="E56" s="241"/>
      <c r="F56" s="241"/>
      <c r="G56" s="241"/>
      <c r="H56" s="241"/>
      <c r="I56" s="242"/>
    </row>
    <row r="57" spans="1:15" ht="18.75" customHeight="1" x14ac:dyDescent="0.15">
      <c r="A57" s="1"/>
      <c r="B57" s="240"/>
      <c r="C57" s="241"/>
      <c r="D57" s="241"/>
      <c r="E57" s="241"/>
      <c r="F57" s="241"/>
      <c r="G57" s="241"/>
      <c r="H57" s="241"/>
      <c r="I57" s="242"/>
    </row>
    <row r="58" spans="1:15" ht="18.75" customHeight="1" x14ac:dyDescent="0.15">
      <c r="A58" s="1"/>
      <c r="B58" s="240"/>
      <c r="C58" s="241"/>
      <c r="D58" s="241"/>
      <c r="E58" s="241"/>
      <c r="F58" s="241"/>
      <c r="G58" s="241"/>
      <c r="H58" s="241"/>
      <c r="I58" s="242"/>
    </row>
    <row r="59" spans="1:15" ht="18.75" customHeight="1" x14ac:dyDescent="0.15">
      <c r="A59" s="1"/>
      <c r="B59" s="240"/>
      <c r="C59" s="241"/>
      <c r="D59" s="241"/>
      <c r="E59" s="241"/>
      <c r="F59" s="241"/>
      <c r="G59" s="241"/>
      <c r="H59" s="241"/>
      <c r="I59" s="242"/>
    </row>
    <row r="60" spans="1:15" ht="18.75" customHeight="1" x14ac:dyDescent="0.15">
      <c r="A60" s="1"/>
      <c r="B60" s="240"/>
      <c r="C60" s="241"/>
      <c r="D60" s="241"/>
      <c r="E60" s="241"/>
      <c r="F60" s="241"/>
      <c r="G60" s="241"/>
      <c r="H60" s="241"/>
      <c r="I60" s="242"/>
    </row>
    <row r="61" spans="1:15" ht="18.75" customHeight="1" x14ac:dyDescent="0.15">
      <c r="A61" s="1"/>
      <c r="B61" s="240"/>
      <c r="C61" s="241"/>
      <c r="D61" s="241"/>
      <c r="E61" s="241"/>
      <c r="F61" s="241"/>
      <c r="G61" s="241"/>
      <c r="H61" s="241"/>
      <c r="I61" s="242"/>
    </row>
    <row r="62" spans="1:15" ht="18.75" customHeight="1" x14ac:dyDescent="0.15">
      <c r="A62" s="1"/>
      <c r="B62" s="240"/>
      <c r="C62" s="241"/>
      <c r="D62" s="241"/>
      <c r="E62" s="241"/>
      <c r="F62" s="241"/>
      <c r="G62" s="241"/>
      <c r="H62" s="241"/>
      <c r="I62" s="242"/>
    </row>
    <row r="63" spans="1:15" ht="18.75" customHeight="1" x14ac:dyDescent="0.15">
      <c r="A63" s="1"/>
      <c r="B63" s="243"/>
      <c r="C63" s="244"/>
      <c r="D63" s="244"/>
      <c r="E63" s="244"/>
      <c r="F63" s="244"/>
      <c r="G63" s="244"/>
      <c r="H63" s="244"/>
      <c r="I63" s="245"/>
    </row>
    <row r="64" spans="1:15" ht="7.5" customHeight="1" x14ac:dyDescent="0.15">
      <c r="A64" s="14"/>
      <c r="B64" s="14"/>
      <c r="C64" s="14"/>
      <c r="D64" s="14"/>
      <c r="E64" s="14"/>
      <c r="F64" s="14"/>
      <c r="G64" s="14"/>
      <c r="H64" s="14"/>
      <c r="I64" s="14"/>
    </row>
    <row r="65" spans="1:9" ht="18.75" customHeight="1" x14ac:dyDescent="0.15">
      <c r="A65" s="15" t="s">
        <v>33</v>
      </c>
      <c r="B65" s="1" t="s">
        <v>36</v>
      </c>
      <c r="I65" s="15"/>
    </row>
    <row r="66" spans="1:9" ht="18.75" customHeight="1" x14ac:dyDescent="0.15">
      <c r="A66" s="4"/>
      <c r="B66" s="220" t="s">
        <v>222</v>
      </c>
      <c r="C66" s="221"/>
      <c r="D66" s="221"/>
      <c r="E66" s="221"/>
      <c r="F66" s="221"/>
      <c r="G66" s="221"/>
      <c r="H66" s="221"/>
      <c r="I66" s="222"/>
    </row>
    <row r="67" spans="1:9" ht="18.75" customHeight="1" x14ac:dyDescent="0.15">
      <c r="A67" s="4"/>
      <c r="B67" s="223"/>
      <c r="C67" s="224"/>
      <c r="D67" s="224"/>
      <c r="E67" s="224"/>
      <c r="F67" s="224"/>
      <c r="G67" s="224"/>
      <c r="H67" s="224"/>
      <c r="I67" s="225"/>
    </row>
    <row r="68" spans="1:9" ht="18.75" customHeight="1" x14ac:dyDescent="0.15">
      <c r="A68" s="4"/>
      <c r="B68" s="223"/>
      <c r="C68" s="224"/>
      <c r="D68" s="224"/>
      <c r="E68" s="224"/>
      <c r="F68" s="224"/>
      <c r="G68" s="224"/>
      <c r="H68" s="224"/>
      <c r="I68" s="225"/>
    </row>
    <row r="69" spans="1:9" ht="18.75" customHeight="1" x14ac:dyDescent="0.15">
      <c r="A69" s="4"/>
      <c r="B69" s="223"/>
      <c r="C69" s="224"/>
      <c r="D69" s="224"/>
      <c r="E69" s="224"/>
      <c r="F69" s="224"/>
      <c r="G69" s="224"/>
      <c r="H69" s="224"/>
      <c r="I69" s="225"/>
    </row>
    <row r="70" spans="1:9" ht="18.75" customHeight="1" x14ac:dyDescent="0.15">
      <c r="A70" s="4"/>
      <c r="B70" s="223"/>
      <c r="C70" s="224"/>
      <c r="D70" s="224"/>
      <c r="E70" s="224"/>
      <c r="F70" s="224"/>
      <c r="G70" s="224"/>
      <c r="H70" s="224"/>
      <c r="I70" s="225"/>
    </row>
    <row r="71" spans="1:9" ht="18.75" customHeight="1" x14ac:dyDescent="0.15">
      <c r="A71" s="4"/>
      <c r="B71" s="223"/>
      <c r="C71" s="224"/>
      <c r="D71" s="224"/>
      <c r="E71" s="224"/>
      <c r="F71" s="224"/>
      <c r="G71" s="224"/>
      <c r="H71" s="224"/>
      <c r="I71" s="225"/>
    </row>
    <row r="72" spans="1:9" ht="18.75" customHeight="1" x14ac:dyDescent="0.15">
      <c r="A72" s="4"/>
      <c r="B72" s="223"/>
      <c r="C72" s="224"/>
      <c r="D72" s="224"/>
      <c r="E72" s="224"/>
      <c r="F72" s="224"/>
      <c r="G72" s="224"/>
      <c r="H72" s="224"/>
      <c r="I72" s="225"/>
    </row>
    <row r="73" spans="1:9" ht="18.75" customHeight="1" x14ac:dyDescent="0.15">
      <c r="A73" s="4"/>
      <c r="B73" s="223"/>
      <c r="C73" s="224"/>
      <c r="D73" s="224"/>
      <c r="E73" s="224"/>
      <c r="F73" s="224"/>
      <c r="G73" s="224"/>
      <c r="H73" s="224"/>
      <c r="I73" s="225"/>
    </row>
    <row r="74" spans="1:9" ht="18.75" customHeight="1" x14ac:dyDescent="0.15">
      <c r="A74" s="4"/>
      <c r="B74" s="223"/>
      <c r="C74" s="224"/>
      <c r="D74" s="224"/>
      <c r="E74" s="224"/>
      <c r="F74" s="224"/>
      <c r="G74" s="224"/>
      <c r="H74" s="224"/>
      <c r="I74" s="225"/>
    </row>
    <row r="75" spans="1:9" ht="18.75" customHeight="1" x14ac:dyDescent="0.15">
      <c r="A75" s="4"/>
      <c r="B75" s="223"/>
      <c r="C75" s="224"/>
      <c r="D75" s="224"/>
      <c r="E75" s="224"/>
      <c r="F75" s="224"/>
      <c r="G75" s="224"/>
      <c r="H75" s="224"/>
      <c r="I75" s="225"/>
    </row>
    <row r="76" spans="1:9" ht="18.75" customHeight="1" x14ac:dyDescent="0.15">
      <c r="A76" s="4"/>
      <c r="B76" s="223"/>
      <c r="C76" s="224"/>
      <c r="D76" s="224"/>
      <c r="E76" s="224"/>
      <c r="F76" s="224"/>
      <c r="G76" s="224"/>
      <c r="H76" s="224"/>
      <c r="I76" s="225"/>
    </row>
    <row r="77" spans="1:9" ht="18.75" customHeight="1" x14ac:dyDescent="0.15">
      <c r="A77" s="4"/>
      <c r="B77" s="226"/>
      <c r="C77" s="227"/>
      <c r="D77" s="227"/>
      <c r="E77" s="227"/>
      <c r="F77" s="227"/>
      <c r="G77" s="227"/>
      <c r="H77" s="227"/>
      <c r="I77" s="228"/>
    </row>
    <row r="78" spans="1:9" ht="7.5" customHeight="1" x14ac:dyDescent="0.15">
      <c r="A78" s="4"/>
      <c r="B78" s="4"/>
      <c r="C78" s="4"/>
      <c r="D78" s="4"/>
      <c r="E78" s="4"/>
      <c r="F78" s="4"/>
      <c r="G78" s="4"/>
      <c r="H78" s="4"/>
      <c r="I78" s="4"/>
    </row>
    <row r="79" spans="1:9" ht="18.75" customHeight="1" x14ac:dyDescent="0.15">
      <c r="A79" s="1" t="s">
        <v>11</v>
      </c>
      <c r="B79" s="1" t="s">
        <v>40</v>
      </c>
    </row>
    <row r="80" spans="1:9" ht="18.75" customHeight="1" x14ac:dyDescent="0.15">
      <c r="A80" s="1"/>
      <c r="B80" s="220" t="s">
        <v>212</v>
      </c>
      <c r="C80" s="221"/>
      <c r="D80" s="221"/>
      <c r="E80" s="221"/>
      <c r="F80" s="221"/>
      <c r="G80" s="221"/>
      <c r="H80" s="221"/>
      <c r="I80" s="229"/>
    </row>
    <row r="81" spans="1:9" ht="18.75" customHeight="1" x14ac:dyDescent="0.15">
      <c r="A81" s="1"/>
      <c r="B81" s="230"/>
      <c r="C81" s="231"/>
      <c r="D81" s="231"/>
      <c r="E81" s="231"/>
      <c r="F81" s="231"/>
      <c r="G81" s="231"/>
      <c r="H81" s="231"/>
      <c r="I81" s="232"/>
    </row>
    <row r="82" spans="1:9" ht="18.75" customHeight="1" x14ac:dyDescent="0.15">
      <c r="A82" s="1"/>
      <c r="B82" s="230"/>
      <c r="C82" s="231"/>
      <c r="D82" s="231"/>
      <c r="E82" s="231"/>
      <c r="F82" s="231"/>
      <c r="G82" s="231"/>
      <c r="H82" s="231"/>
      <c r="I82" s="232"/>
    </row>
    <row r="83" spans="1:9" ht="18.75" customHeight="1" x14ac:dyDescent="0.15">
      <c r="A83" s="1"/>
      <c r="B83" s="230"/>
      <c r="C83" s="231"/>
      <c r="D83" s="231"/>
      <c r="E83" s="231"/>
      <c r="F83" s="231"/>
      <c r="G83" s="231"/>
      <c r="H83" s="231"/>
      <c r="I83" s="232"/>
    </row>
    <row r="84" spans="1:9" ht="18.75" customHeight="1" x14ac:dyDescent="0.15">
      <c r="A84" s="1"/>
      <c r="B84" s="230"/>
      <c r="C84" s="231"/>
      <c r="D84" s="231"/>
      <c r="E84" s="231"/>
      <c r="F84" s="231"/>
      <c r="G84" s="231"/>
      <c r="H84" s="231"/>
      <c r="I84" s="232"/>
    </row>
    <row r="85" spans="1:9" ht="18.75" customHeight="1" x14ac:dyDescent="0.15">
      <c r="A85" s="1"/>
      <c r="B85" s="230"/>
      <c r="C85" s="231"/>
      <c r="D85" s="231"/>
      <c r="E85" s="231"/>
      <c r="F85" s="231"/>
      <c r="G85" s="231"/>
      <c r="H85" s="231"/>
      <c r="I85" s="232"/>
    </row>
    <row r="86" spans="1:9" ht="18.75" customHeight="1" x14ac:dyDescent="0.15">
      <c r="A86" s="1"/>
      <c r="B86" s="230"/>
      <c r="C86" s="231"/>
      <c r="D86" s="231"/>
      <c r="E86" s="231"/>
      <c r="F86" s="231"/>
      <c r="G86" s="231"/>
      <c r="H86" s="231"/>
      <c r="I86" s="232"/>
    </row>
    <row r="87" spans="1:9" ht="18.75" customHeight="1" x14ac:dyDescent="0.15">
      <c r="A87" s="1"/>
      <c r="B87" s="230"/>
      <c r="C87" s="231"/>
      <c r="D87" s="231"/>
      <c r="E87" s="231"/>
      <c r="F87" s="231"/>
      <c r="G87" s="231"/>
      <c r="H87" s="231"/>
      <c r="I87" s="232"/>
    </row>
    <row r="88" spans="1:9" ht="18.75" customHeight="1" x14ac:dyDescent="0.15">
      <c r="A88" s="1"/>
      <c r="B88" s="230"/>
      <c r="C88" s="231"/>
      <c r="D88" s="231"/>
      <c r="E88" s="231"/>
      <c r="F88" s="231"/>
      <c r="G88" s="231"/>
      <c r="H88" s="231"/>
      <c r="I88" s="232"/>
    </row>
    <row r="89" spans="1:9" ht="18.75" customHeight="1" x14ac:dyDescent="0.15">
      <c r="A89" s="1"/>
      <c r="B89" s="230"/>
      <c r="C89" s="231"/>
      <c r="D89" s="231"/>
      <c r="E89" s="231"/>
      <c r="F89" s="231"/>
      <c r="G89" s="231"/>
      <c r="H89" s="231"/>
      <c r="I89" s="232"/>
    </row>
    <row r="90" spans="1:9" ht="18.75" customHeight="1" x14ac:dyDescent="0.15">
      <c r="A90" s="4"/>
      <c r="B90" s="230"/>
      <c r="C90" s="231"/>
      <c r="D90" s="231"/>
      <c r="E90" s="231"/>
      <c r="F90" s="231"/>
      <c r="G90" s="231"/>
      <c r="H90" s="231"/>
      <c r="I90" s="232"/>
    </row>
    <row r="91" spans="1:9" ht="18.75" customHeight="1" x14ac:dyDescent="0.15">
      <c r="A91" s="4"/>
      <c r="B91" s="233"/>
      <c r="C91" s="234"/>
      <c r="D91" s="234"/>
      <c r="E91" s="234"/>
      <c r="F91" s="234"/>
      <c r="G91" s="234"/>
      <c r="H91" s="234"/>
      <c r="I91" s="235"/>
    </row>
    <row r="92" spans="1:9" ht="7.5" customHeight="1" x14ac:dyDescent="0.15">
      <c r="A92" s="4"/>
      <c r="B92" s="4"/>
      <c r="C92" s="4"/>
      <c r="D92" s="4"/>
      <c r="E92" s="4"/>
      <c r="F92" s="4"/>
      <c r="G92" s="4"/>
      <c r="H92" s="4"/>
      <c r="I92" s="4"/>
    </row>
    <row r="93" spans="1:9" ht="18.75" customHeight="1" x14ac:dyDescent="0.15">
      <c r="A93" s="1" t="s">
        <v>43</v>
      </c>
      <c r="B93" s="1" t="s">
        <v>12</v>
      </c>
    </row>
    <row r="94" spans="1:9" ht="18.75" customHeight="1" x14ac:dyDescent="0.15">
      <c r="A94" s="1"/>
      <c r="B94" s="195" t="s">
        <v>213</v>
      </c>
      <c r="C94" s="196"/>
      <c r="D94" s="196"/>
      <c r="E94" s="196"/>
      <c r="F94" s="196"/>
      <c r="G94" s="196"/>
      <c r="H94" s="196"/>
      <c r="I94" s="197"/>
    </row>
    <row r="95" spans="1:9" ht="18.75" customHeight="1" x14ac:dyDescent="0.15">
      <c r="A95" s="1"/>
      <c r="B95" s="198"/>
      <c r="C95" s="199"/>
      <c r="D95" s="199"/>
      <c r="E95" s="199"/>
      <c r="F95" s="199"/>
      <c r="G95" s="199"/>
      <c r="H95" s="199"/>
      <c r="I95" s="200"/>
    </row>
    <row r="96" spans="1:9" ht="18.75" customHeight="1" x14ac:dyDescent="0.15">
      <c r="A96" s="1"/>
      <c r="B96" s="198"/>
      <c r="C96" s="199"/>
      <c r="D96" s="199"/>
      <c r="E96" s="199"/>
      <c r="F96" s="199"/>
      <c r="G96" s="199"/>
      <c r="H96" s="199"/>
      <c r="I96" s="200"/>
    </row>
    <row r="97" spans="1:9" ht="18.75" customHeight="1" x14ac:dyDescent="0.15">
      <c r="A97" s="1"/>
      <c r="B97" s="198"/>
      <c r="C97" s="199"/>
      <c r="D97" s="199"/>
      <c r="E97" s="199"/>
      <c r="F97" s="199"/>
      <c r="G97" s="199"/>
      <c r="H97" s="199"/>
      <c r="I97" s="200"/>
    </row>
    <row r="98" spans="1:9" ht="18.75" customHeight="1" x14ac:dyDescent="0.15">
      <c r="A98" s="1"/>
      <c r="B98" s="198"/>
      <c r="C98" s="199"/>
      <c r="D98" s="199"/>
      <c r="E98" s="199"/>
      <c r="F98" s="199"/>
      <c r="G98" s="199"/>
      <c r="H98" s="199"/>
      <c r="I98" s="200"/>
    </row>
    <row r="99" spans="1:9" ht="18.75" customHeight="1" x14ac:dyDescent="0.15">
      <c r="A99" s="1"/>
      <c r="B99" s="198"/>
      <c r="C99" s="199"/>
      <c r="D99" s="199"/>
      <c r="E99" s="199"/>
      <c r="F99" s="199"/>
      <c r="G99" s="199"/>
      <c r="H99" s="199"/>
      <c r="I99" s="200"/>
    </row>
    <row r="100" spans="1:9" ht="18.75" customHeight="1" x14ac:dyDescent="0.15">
      <c r="A100" s="1"/>
      <c r="B100" s="198"/>
      <c r="C100" s="199"/>
      <c r="D100" s="199"/>
      <c r="E100" s="199"/>
      <c r="F100" s="199"/>
      <c r="G100" s="199"/>
      <c r="H100" s="199"/>
      <c r="I100" s="200"/>
    </row>
    <row r="101" spans="1:9" ht="18.75" customHeight="1" x14ac:dyDescent="0.15">
      <c r="A101" s="1"/>
      <c r="B101" s="198"/>
      <c r="C101" s="199"/>
      <c r="D101" s="199"/>
      <c r="E101" s="199"/>
      <c r="F101" s="199"/>
      <c r="G101" s="199"/>
      <c r="H101" s="199"/>
      <c r="I101" s="200"/>
    </row>
    <row r="102" spans="1:9" ht="18.75" customHeight="1" x14ac:dyDescent="0.15">
      <c r="A102" s="1"/>
      <c r="B102" s="198"/>
      <c r="C102" s="199"/>
      <c r="D102" s="199"/>
      <c r="E102" s="199"/>
      <c r="F102" s="199"/>
      <c r="G102" s="199"/>
      <c r="H102" s="199"/>
      <c r="I102" s="200"/>
    </row>
    <row r="103" spans="1:9" ht="18.75" customHeight="1" x14ac:dyDescent="0.15">
      <c r="A103" s="1"/>
      <c r="B103" s="198"/>
      <c r="C103" s="199"/>
      <c r="D103" s="199"/>
      <c r="E103" s="199"/>
      <c r="F103" s="199"/>
      <c r="G103" s="199"/>
      <c r="H103" s="199"/>
      <c r="I103" s="200"/>
    </row>
    <row r="104" spans="1:9" ht="18.75" customHeight="1" x14ac:dyDescent="0.15">
      <c r="A104" s="1"/>
      <c r="B104" s="198"/>
      <c r="C104" s="199"/>
      <c r="D104" s="199"/>
      <c r="E104" s="199"/>
      <c r="F104" s="199"/>
      <c r="G104" s="199"/>
      <c r="H104" s="199"/>
      <c r="I104" s="200"/>
    </row>
    <row r="105" spans="1:9" ht="18.75" customHeight="1" x14ac:dyDescent="0.15">
      <c r="A105" s="4"/>
      <c r="B105" s="201"/>
      <c r="C105" s="202"/>
      <c r="D105" s="202"/>
      <c r="E105" s="202"/>
      <c r="F105" s="202"/>
      <c r="G105" s="202"/>
      <c r="H105" s="202"/>
      <c r="I105" s="203"/>
    </row>
    <row r="106" spans="1:9" ht="7.5" customHeight="1" x14ac:dyDescent="0.15">
      <c r="A106" s="4"/>
      <c r="B106" s="4"/>
      <c r="C106" s="4"/>
      <c r="D106" s="4"/>
      <c r="E106" s="4"/>
      <c r="F106" s="4"/>
      <c r="G106" s="4"/>
      <c r="H106" s="4"/>
      <c r="I106" s="4"/>
    </row>
    <row r="107" spans="1:9" ht="18.75" customHeight="1" x14ac:dyDescent="0.15">
      <c r="A107" s="1" t="s">
        <v>29</v>
      </c>
      <c r="B107" s="204" t="s">
        <v>45</v>
      </c>
      <c r="C107" s="204"/>
      <c r="D107" s="204"/>
      <c r="E107" s="204"/>
      <c r="F107" s="204"/>
      <c r="G107" s="204"/>
      <c r="H107" s="204"/>
      <c r="I107" s="204"/>
    </row>
    <row r="108" spans="1:9" ht="18.75" customHeight="1" x14ac:dyDescent="0.15">
      <c r="A108" s="4"/>
      <c r="B108" s="195" t="s">
        <v>214</v>
      </c>
      <c r="C108" s="196"/>
      <c r="D108" s="196"/>
      <c r="E108" s="196"/>
      <c r="F108" s="196"/>
      <c r="G108" s="196"/>
      <c r="H108" s="196"/>
      <c r="I108" s="197"/>
    </row>
    <row r="109" spans="1:9" ht="18.75" customHeight="1" x14ac:dyDescent="0.15">
      <c r="A109" s="4"/>
      <c r="B109" s="198"/>
      <c r="C109" s="199"/>
      <c r="D109" s="199"/>
      <c r="E109" s="199"/>
      <c r="F109" s="199"/>
      <c r="G109" s="199"/>
      <c r="H109" s="199"/>
      <c r="I109" s="200"/>
    </row>
    <row r="110" spans="1:9" ht="18.75" customHeight="1" x14ac:dyDescent="0.15">
      <c r="A110" s="4"/>
      <c r="B110" s="198"/>
      <c r="C110" s="199"/>
      <c r="D110" s="199"/>
      <c r="E110" s="199"/>
      <c r="F110" s="199"/>
      <c r="G110" s="199"/>
      <c r="H110" s="199"/>
      <c r="I110" s="200"/>
    </row>
    <row r="111" spans="1:9" ht="18.75" customHeight="1" x14ac:dyDescent="0.15">
      <c r="A111" s="4"/>
      <c r="B111" s="198"/>
      <c r="C111" s="199"/>
      <c r="D111" s="199"/>
      <c r="E111" s="199"/>
      <c r="F111" s="199"/>
      <c r="G111" s="199"/>
      <c r="H111" s="199"/>
      <c r="I111" s="200"/>
    </row>
    <row r="112" spans="1:9" ht="18.75" customHeight="1" x14ac:dyDescent="0.15">
      <c r="A112" s="4"/>
      <c r="B112" s="198"/>
      <c r="C112" s="199"/>
      <c r="D112" s="199"/>
      <c r="E112" s="199"/>
      <c r="F112" s="199"/>
      <c r="G112" s="199"/>
      <c r="H112" s="199"/>
      <c r="I112" s="200"/>
    </row>
    <row r="113" spans="1:9" ht="18.75" customHeight="1" x14ac:dyDescent="0.15">
      <c r="A113" s="4"/>
      <c r="B113" s="198"/>
      <c r="C113" s="199"/>
      <c r="D113" s="199"/>
      <c r="E113" s="199"/>
      <c r="F113" s="199"/>
      <c r="G113" s="199"/>
      <c r="H113" s="199"/>
      <c r="I113" s="200"/>
    </row>
    <row r="114" spans="1:9" ht="18.75" customHeight="1" x14ac:dyDescent="0.15">
      <c r="A114" s="4"/>
      <c r="B114" s="198"/>
      <c r="C114" s="199"/>
      <c r="D114" s="199"/>
      <c r="E114" s="199"/>
      <c r="F114" s="199"/>
      <c r="G114" s="199"/>
      <c r="H114" s="199"/>
      <c r="I114" s="200"/>
    </row>
    <row r="115" spans="1:9" ht="18.75" customHeight="1" x14ac:dyDescent="0.15">
      <c r="A115" s="4"/>
      <c r="B115" s="198"/>
      <c r="C115" s="199"/>
      <c r="D115" s="199"/>
      <c r="E115" s="199"/>
      <c r="F115" s="199"/>
      <c r="G115" s="199"/>
      <c r="H115" s="199"/>
      <c r="I115" s="200"/>
    </row>
    <row r="116" spans="1:9" ht="18.75" customHeight="1" x14ac:dyDescent="0.15">
      <c r="A116" s="4"/>
      <c r="B116" s="198"/>
      <c r="C116" s="199"/>
      <c r="D116" s="199"/>
      <c r="E116" s="199"/>
      <c r="F116" s="199"/>
      <c r="G116" s="199"/>
      <c r="H116" s="199"/>
      <c r="I116" s="200"/>
    </row>
    <row r="117" spans="1:9" ht="18.75" customHeight="1" x14ac:dyDescent="0.15">
      <c r="A117" s="4"/>
      <c r="B117" s="198"/>
      <c r="C117" s="199"/>
      <c r="D117" s="199"/>
      <c r="E117" s="199"/>
      <c r="F117" s="199"/>
      <c r="G117" s="199"/>
      <c r="H117" s="199"/>
      <c r="I117" s="200"/>
    </row>
    <row r="118" spans="1:9" ht="18.75" customHeight="1" x14ac:dyDescent="0.15">
      <c r="A118" s="4"/>
      <c r="B118" s="198"/>
      <c r="C118" s="199"/>
      <c r="D118" s="199"/>
      <c r="E118" s="199"/>
      <c r="F118" s="199"/>
      <c r="G118" s="199"/>
      <c r="H118" s="199"/>
      <c r="I118" s="200"/>
    </row>
    <row r="119" spans="1:9" ht="18.75" customHeight="1" x14ac:dyDescent="0.15">
      <c r="A119" s="4"/>
      <c r="B119" s="201"/>
      <c r="C119" s="202"/>
      <c r="D119" s="202"/>
      <c r="E119" s="202"/>
      <c r="F119" s="202"/>
      <c r="G119" s="202"/>
      <c r="H119" s="202"/>
      <c r="I119" s="203"/>
    </row>
    <row r="120" spans="1:9" ht="7.5" customHeight="1" x14ac:dyDescent="0.15">
      <c r="A120" s="4"/>
      <c r="B120" s="47"/>
      <c r="C120" s="47"/>
      <c r="D120" s="47"/>
      <c r="E120" s="47"/>
      <c r="F120" s="47"/>
      <c r="G120" s="47"/>
      <c r="H120" s="47"/>
      <c r="I120" s="47"/>
    </row>
    <row r="121" spans="1:9" ht="18.75" customHeight="1" x14ac:dyDescent="0.15">
      <c r="A121" s="4"/>
      <c r="B121" s="4"/>
      <c r="C121" s="4"/>
      <c r="D121" s="4"/>
      <c r="E121" s="4"/>
      <c r="F121" s="4"/>
      <c r="G121" s="4"/>
      <c r="H121" s="4"/>
      <c r="I121" s="4"/>
    </row>
    <row r="122" spans="1:9" ht="18.75" customHeight="1" x14ac:dyDescent="0.15">
      <c r="A122" s="4"/>
      <c r="B122" s="4"/>
      <c r="C122" s="4"/>
      <c r="D122" s="4"/>
      <c r="E122" s="4"/>
      <c r="F122" s="4"/>
      <c r="G122" s="4"/>
      <c r="H122" s="4"/>
      <c r="I122" s="4"/>
    </row>
    <row r="123" spans="1:9" ht="18.75" customHeight="1" x14ac:dyDescent="0.15">
      <c r="A123" s="4"/>
      <c r="B123" s="4"/>
      <c r="C123" s="4"/>
      <c r="D123" s="4"/>
      <c r="E123" s="4"/>
      <c r="F123" s="4"/>
      <c r="G123" s="4"/>
      <c r="H123" s="4"/>
      <c r="I123" s="4"/>
    </row>
    <row r="124" spans="1:9" ht="18.75" customHeight="1" x14ac:dyDescent="0.15">
      <c r="A124" s="4"/>
      <c r="B124" s="4"/>
      <c r="C124" s="4"/>
      <c r="D124" s="4"/>
      <c r="E124" s="4"/>
      <c r="F124" s="4"/>
      <c r="G124" s="4"/>
      <c r="H124" s="4"/>
      <c r="I124" s="4"/>
    </row>
    <row r="125" spans="1:9" ht="18.75" customHeight="1" x14ac:dyDescent="0.15">
      <c r="A125" s="4"/>
      <c r="B125" s="4"/>
      <c r="C125" s="4"/>
      <c r="D125" s="4"/>
      <c r="E125" s="4"/>
      <c r="F125" s="4"/>
      <c r="G125" s="4"/>
      <c r="H125" s="4"/>
      <c r="I125" s="4"/>
    </row>
    <row r="126" spans="1:9" ht="18.75" customHeight="1" x14ac:dyDescent="0.15">
      <c r="A126" s="4"/>
      <c r="B126" s="4"/>
      <c r="C126" s="4"/>
      <c r="D126" s="4"/>
      <c r="E126" s="4"/>
      <c r="F126" s="4"/>
      <c r="G126" s="4"/>
      <c r="H126" s="4"/>
      <c r="I126" s="4"/>
    </row>
    <row r="127" spans="1:9" ht="18.75" customHeight="1" x14ac:dyDescent="0.15">
      <c r="A127" s="4"/>
      <c r="B127" s="4"/>
      <c r="C127" s="4"/>
      <c r="D127" s="4"/>
      <c r="E127" s="4"/>
      <c r="F127" s="4"/>
      <c r="G127" s="4"/>
      <c r="H127" s="4"/>
      <c r="I127" s="4"/>
    </row>
    <row r="128" spans="1:9" ht="18.75" customHeight="1" x14ac:dyDescent="0.15">
      <c r="A128" s="4"/>
      <c r="B128" s="4"/>
      <c r="C128" s="4"/>
      <c r="D128" s="4"/>
      <c r="E128" s="4"/>
      <c r="F128" s="4"/>
      <c r="G128" s="4"/>
      <c r="H128" s="4"/>
      <c r="I128" s="4"/>
    </row>
    <row r="129" spans="1:9" ht="18.75" customHeight="1" x14ac:dyDescent="0.15">
      <c r="A129" s="4"/>
      <c r="B129" s="4"/>
      <c r="C129" s="4"/>
      <c r="D129" s="4"/>
      <c r="E129" s="4"/>
      <c r="F129" s="4"/>
      <c r="G129" s="4"/>
      <c r="H129" s="4"/>
      <c r="I129" s="4"/>
    </row>
    <row r="130" spans="1:9" ht="18.75" customHeight="1" x14ac:dyDescent="0.15">
      <c r="A130" s="4"/>
      <c r="B130" s="4"/>
      <c r="C130" s="4"/>
      <c r="D130" s="4"/>
      <c r="E130" s="4"/>
      <c r="F130" s="4"/>
      <c r="G130" s="4"/>
      <c r="H130" s="4"/>
      <c r="I130" s="4"/>
    </row>
    <row r="131" spans="1:9" ht="18.75" customHeight="1" x14ac:dyDescent="0.15">
      <c r="A131" s="4"/>
      <c r="B131" s="4"/>
      <c r="C131" s="4"/>
      <c r="D131" s="4"/>
      <c r="E131" s="4"/>
      <c r="F131" s="4"/>
      <c r="G131" s="4"/>
      <c r="H131" s="4"/>
      <c r="I131" s="4"/>
    </row>
    <row r="132" spans="1:9" ht="18.75" customHeight="1" x14ac:dyDescent="0.15">
      <c r="A132" s="4"/>
      <c r="B132" s="4"/>
      <c r="C132" s="4"/>
      <c r="D132" s="4"/>
      <c r="E132" s="4"/>
      <c r="F132" s="4"/>
      <c r="G132" s="4"/>
      <c r="H132" s="4"/>
      <c r="I132" s="4"/>
    </row>
    <row r="133" spans="1:9" ht="14.25" x14ac:dyDescent="0.15">
      <c r="A133" s="4"/>
      <c r="B133" s="4"/>
      <c r="C133" s="4"/>
      <c r="D133" s="4"/>
      <c r="E133" s="4"/>
      <c r="F133" s="4"/>
      <c r="G133" s="4"/>
      <c r="H133" s="4"/>
      <c r="I133" s="4"/>
    </row>
    <row r="134" spans="1:9" ht="7.5" customHeight="1" x14ac:dyDescent="0.15">
      <c r="A134" s="48"/>
      <c r="B134" s="48"/>
      <c r="C134" s="48"/>
      <c r="D134" s="48"/>
      <c r="E134" s="48"/>
      <c r="F134" s="48"/>
      <c r="G134" s="48"/>
      <c r="H134" s="48"/>
      <c r="I134" s="48"/>
    </row>
  </sheetData>
  <customSheetViews>
    <customSheetView guid="{1C325414-5A0C-4C59-BA24-A8E2B4EC5171}" showPageBreaks="1" zeroValues="0" fitToPage="1" printArea="1" view="pageBreakPreview">
      <selection activeCell="B52" sqref="B52:I63"/>
      <rowBreaks count="2" manualBreakCount="2">
        <brk id="47" max="9" man="1"/>
        <brk id="92" max="9" man="1"/>
      </rowBreaks>
      <pageMargins left="0.59055118110236227" right="0.59055118110236227" top="0.78740157480314965" bottom="0.39370078740157483" header="0.31496062992125984" footer="0.19685039370078741"/>
      <printOptions horizontalCentered="1"/>
      <pageSetup paperSize="9" fitToHeight="0" orientation="portrait" r:id="rId1"/>
      <headerFooter>
        <oddHeader>&amp;C数理・データサイエンス・AI教育プログラム認定制度【リテラシーレベル】</oddHeader>
      </headerFooter>
    </customSheetView>
    <customSheetView guid="{76C3A8B2-43E5-4491-B38D-7D6417DC209B}" showPageBreaks="1" zeroValues="0" fitToPage="1" printArea="1" view="pageBreakPreview">
      <selection activeCell="B52" sqref="B52:I63"/>
      <rowBreaks count="2" manualBreakCount="2">
        <brk id="47" max="9" man="1"/>
        <brk id="92" max="9" man="1"/>
      </rowBreaks>
      <pageMargins left="0.59055118110236227" right="0.59055118110236227" top="0.78740157480314965" bottom="0.39370078740157483" header="0.31496062992125984" footer="0.19685039370078741"/>
      <printOptions horizontalCentered="1"/>
      <pageSetup paperSize="9" fitToHeight="0" orientation="portrait" r:id="rId2"/>
      <headerFooter>
        <oddHeader>&amp;C数理・データサイエンス・AI教育プログラム認定制度【リテラシーレベル】</oddHeader>
      </headerFooter>
    </customSheetView>
    <customSheetView guid="{D1FD8C4C-CF69-45DF-A007-1EC45F0F0601}" showPageBreaks="1" zeroValues="0" fitToPage="1" printArea="1" view="pageBreakPreview">
      <selection activeCell="B52" sqref="B52:I63"/>
      <rowBreaks count="2" manualBreakCount="2">
        <brk id="47" max="9" man="1"/>
        <brk id="92" max="9" man="1"/>
      </rowBreaks>
      <pageMargins left="0.59055118110236227" right="0.59055118110236227" top="0.78740157480314965" bottom="0.39370078740157483" header="0.31496062992125984" footer="0.19685039370078741"/>
      <printOptions horizontalCentered="1"/>
      <pageSetup paperSize="9" fitToHeight="0" orientation="portrait" r:id="rId3"/>
      <headerFooter>
        <oddHeader>&amp;C数理・データサイエンス・AI教育プログラム認定制度【リテラシーレベル】</oddHeader>
      </headerFooter>
    </customSheetView>
    <customSheetView guid="{B3C66A88-0371-48C7-9AE2-6606C7EDAAFC}" showPageBreaks="1" zeroValues="0" fitToPage="1" printArea="1" view="pageBreakPreview">
      <selection activeCell="B52" sqref="B52:I63"/>
      <rowBreaks count="2" manualBreakCount="2">
        <brk id="47" max="9" man="1"/>
        <brk id="92" max="9" man="1"/>
      </rowBreaks>
      <pageMargins left="0.59055118110236227" right="0.59055118110236227" top="0.78740157480314965" bottom="0.39370078740157483" header="0.31496062992125984" footer="0.19685039370078741"/>
      <printOptions horizontalCentered="1"/>
      <pageSetup paperSize="9" fitToHeight="0" orientation="portrait" r:id="rId4"/>
      <headerFooter>
        <oddHeader>&amp;C数理・データサイエンス・AI教育プログラム認定制度【リテラシーレベル】</oddHeader>
      </headerFooter>
    </customSheetView>
  </customSheetViews>
  <mergeCells count="22">
    <mergeCell ref="B66:I77"/>
    <mergeCell ref="B80:I91"/>
    <mergeCell ref="C49:D49"/>
    <mergeCell ref="C50:D50"/>
    <mergeCell ref="F49:G49"/>
    <mergeCell ref="B52:I63"/>
    <mergeCell ref="B94:I105"/>
    <mergeCell ref="B107:I107"/>
    <mergeCell ref="B108:I119"/>
    <mergeCell ref="H2:I2"/>
    <mergeCell ref="A4:I4"/>
    <mergeCell ref="B19:I19"/>
    <mergeCell ref="B22:I32"/>
    <mergeCell ref="B35:I46"/>
    <mergeCell ref="B51:I51"/>
    <mergeCell ref="B14:I14"/>
    <mergeCell ref="C16:E16"/>
    <mergeCell ref="H16:I16"/>
    <mergeCell ref="C11:E11"/>
    <mergeCell ref="H11:I11"/>
    <mergeCell ref="C6:D6"/>
    <mergeCell ref="F50:G50"/>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5"/>
  <headerFooter>
    <oddHeader>&amp;C数理・データサイエンス・AI教育プログラム認定制度【リテラシーレベル】</oddHeader>
  </headerFooter>
  <rowBreaks count="2" manualBreakCount="2">
    <brk id="47" max="9" man="1"/>
    <brk id="91" max="8"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70" zoomScaleNormal="100" zoomScaleSheetLayoutView="70" workbookViewId="0"/>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70</v>
      </c>
      <c r="I1" s="34" t="s">
        <v>104</v>
      </c>
    </row>
    <row r="2" spans="1:9" ht="18.75" customHeight="1" x14ac:dyDescent="0.15">
      <c r="H2" s="34" t="s">
        <v>108</v>
      </c>
      <c r="I2" s="33" t="str">
        <f>'様式１-１プログラムを構成する授業科目（法学部）'!C2</f>
        <v>明治大学</v>
      </c>
    </row>
    <row r="3" spans="1:9" ht="18.75" customHeight="1" x14ac:dyDescent="0.15">
      <c r="A3" s="141" t="s">
        <v>27</v>
      </c>
      <c r="B3" s="141"/>
      <c r="C3" s="141"/>
      <c r="D3" s="141"/>
      <c r="E3" s="141"/>
      <c r="F3" s="141"/>
      <c r="G3" s="141"/>
      <c r="H3" s="141"/>
      <c r="I3" s="141"/>
    </row>
    <row r="4" spans="1:9" ht="18.75" customHeight="1" x14ac:dyDescent="0.15">
      <c r="A4" s="5"/>
      <c r="B4" s="5"/>
      <c r="C4" s="5"/>
      <c r="D4" s="5"/>
      <c r="E4" s="5"/>
      <c r="F4" s="5"/>
      <c r="G4" s="5"/>
      <c r="H4" s="5"/>
      <c r="I4" s="5"/>
    </row>
    <row r="5" spans="1:9" ht="18.75" customHeight="1" x14ac:dyDescent="0.15">
      <c r="A5" s="1" t="s">
        <v>0</v>
      </c>
      <c r="B5" s="9" t="s">
        <v>94</v>
      </c>
      <c r="C5" s="5"/>
      <c r="D5" s="5"/>
      <c r="E5" s="5"/>
      <c r="F5" s="5"/>
      <c r="G5" s="5"/>
      <c r="H5" s="5"/>
      <c r="I5" s="5"/>
    </row>
    <row r="6" spans="1:9" ht="26.25" customHeight="1" x14ac:dyDescent="0.15">
      <c r="A6" s="5"/>
      <c r="B6" s="213" t="s">
        <v>207</v>
      </c>
      <c r="C6" s="253"/>
      <c r="D6" s="253"/>
      <c r="E6" s="253"/>
      <c r="F6" s="253"/>
      <c r="G6" s="253"/>
      <c r="H6" s="254"/>
      <c r="I6" s="3"/>
    </row>
    <row r="7" spans="1:9" ht="9" customHeight="1" x14ac:dyDescent="0.15">
      <c r="A7" s="5"/>
      <c r="B7" s="9"/>
      <c r="C7" s="9"/>
      <c r="D7" s="9"/>
      <c r="E7" s="9"/>
      <c r="F7" s="9"/>
      <c r="G7" s="9"/>
      <c r="H7" s="9"/>
      <c r="I7" s="3"/>
    </row>
    <row r="8" spans="1:9" ht="18.75" customHeight="1" x14ac:dyDescent="0.15">
      <c r="A8" s="5"/>
      <c r="B8" s="3"/>
      <c r="C8" s="3"/>
      <c r="D8" s="34" t="s">
        <v>42</v>
      </c>
      <c r="E8" s="35" t="s">
        <v>205</v>
      </c>
      <c r="F8" s="3"/>
      <c r="G8" s="34" t="s">
        <v>10</v>
      </c>
      <c r="H8" s="35" t="s">
        <v>208</v>
      </c>
      <c r="I8" s="3"/>
    </row>
    <row r="9" spans="1:9" ht="7.5" customHeight="1" x14ac:dyDescent="0.15">
      <c r="A9" s="5"/>
      <c r="B9" s="5"/>
      <c r="C9" s="5"/>
      <c r="D9" s="5"/>
      <c r="E9" s="5"/>
      <c r="F9" s="5"/>
      <c r="G9" s="5"/>
      <c r="H9" s="5"/>
      <c r="I9" s="5"/>
    </row>
    <row r="10" spans="1:9" ht="18.75" customHeight="1" x14ac:dyDescent="0.15">
      <c r="A10" s="1" t="s">
        <v>3</v>
      </c>
      <c r="B10" s="1" t="s">
        <v>26</v>
      </c>
      <c r="C10" s="4"/>
      <c r="D10" s="4"/>
      <c r="E10" s="4"/>
      <c r="F10" s="4"/>
      <c r="G10" s="4"/>
      <c r="H10" s="4"/>
      <c r="I10" s="4"/>
    </row>
    <row r="11" spans="1:9" ht="18.75" customHeight="1" x14ac:dyDescent="0.15">
      <c r="B11" s="89" t="s">
        <v>23</v>
      </c>
      <c r="C11" s="90"/>
      <c r="D11" s="91"/>
      <c r="E11" s="90" t="s">
        <v>25</v>
      </c>
      <c r="F11" s="90"/>
      <c r="G11" s="90"/>
      <c r="H11" s="90"/>
      <c r="I11" s="91"/>
    </row>
    <row r="12" spans="1:9" ht="26.25" customHeight="1" x14ac:dyDescent="0.15">
      <c r="B12" s="49" t="s">
        <v>13</v>
      </c>
      <c r="C12" s="56"/>
      <c r="D12" s="50"/>
      <c r="E12" s="57"/>
      <c r="F12" s="57"/>
      <c r="G12" s="57"/>
      <c r="H12" s="57"/>
      <c r="I12" s="50"/>
    </row>
    <row r="13" spans="1:9" ht="210.75" customHeight="1" x14ac:dyDescent="0.15">
      <c r="B13" s="51"/>
      <c r="C13" s="251" t="s">
        <v>14</v>
      </c>
      <c r="D13" s="252"/>
      <c r="E13" s="248" t="s">
        <v>215</v>
      </c>
      <c r="F13" s="249"/>
      <c r="G13" s="249"/>
      <c r="H13" s="249"/>
      <c r="I13" s="250"/>
    </row>
    <row r="14" spans="1:9" ht="210.75" customHeight="1" x14ac:dyDescent="0.15">
      <c r="B14" s="51"/>
      <c r="C14" s="246" t="s">
        <v>15</v>
      </c>
      <c r="D14" s="247"/>
      <c r="E14" s="248" t="s">
        <v>216</v>
      </c>
      <c r="F14" s="249"/>
      <c r="G14" s="249"/>
      <c r="H14" s="249"/>
      <c r="I14" s="250"/>
    </row>
    <row r="15" spans="1:9" ht="210.75" customHeight="1" x14ac:dyDescent="0.15">
      <c r="B15" s="51"/>
      <c r="C15" s="251" t="s">
        <v>16</v>
      </c>
      <c r="D15" s="252"/>
      <c r="E15" s="248" t="s">
        <v>226</v>
      </c>
      <c r="F15" s="249"/>
      <c r="G15" s="249"/>
      <c r="H15" s="249"/>
      <c r="I15" s="250"/>
    </row>
    <row r="16" spans="1:9" ht="210.75" customHeight="1" x14ac:dyDescent="0.15">
      <c r="B16" s="51"/>
      <c r="C16" s="251" t="s">
        <v>17</v>
      </c>
      <c r="D16" s="252"/>
      <c r="E16" s="248" t="s">
        <v>217</v>
      </c>
      <c r="F16" s="249"/>
      <c r="G16" s="249"/>
      <c r="H16" s="249"/>
      <c r="I16" s="250"/>
    </row>
    <row r="17" spans="2:9" ht="210.75" customHeight="1" x14ac:dyDescent="0.15">
      <c r="B17" s="52"/>
      <c r="C17" s="255" t="s">
        <v>18</v>
      </c>
      <c r="D17" s="256"/>
      <c r="E17" s="257" t="s">
        <v>218</v>
      </c>
      <c r="F17" s="258"/>
      <c r="G17" s="258"/>
      <c r="H17" s="258"/>
      <c r="I17" s="259"/>
    </row>
    <row r="18" spans="2:9" ht="24" customHeight="1" x14ac:dyDescent="0.15">
      <c r="B18" s="49" t="s">
        <v>19</v>
      </c>
      <c r="C18" s="53"/>
      <c r="D18" s="54"/>
      <c r="E18" s="55"/>
      <c r="F18" s="55"/>
      <c r="G18" s="55"/>
      <c r="H18" s="55"/>
      <c r="I18" s="58"/>
    </row>
    <row r="19" spans="2:9" ht="218.25" customHeight="1" x14ac:dyDescent="0.15">
      <c r="B19" s="51"/>
      <c r="C19" s="251" t="s">
        <v>20</v>
      </c>
      <c r="D19" s="252"/>
      <c r="E19" s="249" t="s">
        <v>225</v>
      </c>
      <c r="F19" s="249"/>
      <c r="G19" s="249"/>
      <c r="H19" s="249"/>
      <c r="I19" s="250"/>
    </row>
    <row r="20" spans="2:9" ht="218.25" customHeight="1" x14ac:dyDescent="0.15">
      <c r="B20" s="52"/>
      <c r="C20" s="255" t="s">
        <v>21</v>
      </c>
      <c r="D20" s="256"/>
      <c r="E20" s="258" t="s">
        <v>219</v>
      </c>
      <c r="F20" s="258"/>
      <c r="G20" s="258"/>
      <c r="H20" s="258"/>
      <c r="I20" s="259"/>
    </row>
    <row r="21" spans="2:9" ht="218.25" customHeight="1" x14ac:dyDescent="0.15">
      <c r="B21" s="265" t="s">
        <v>22</v>
      </c>
      <c r="C21" s="266"/>
      <c r="D21" s="267"/>
      <c r="E21" s="268" t="s">
        <v>228</v>
      </c>
      <c r="F21" s="268"/>
      <c r="G21" s="268"/>
      <c r="H21" s="268"/>
      <c r="I21" s="269"/>
    </row>
    <row r="22" spans="2:9" ht="218.25" customHeight="1" x14ac:dyDescent="0.15">
      <c r="B22" s="260" t="s">
        <v>37</v>
      </c>
      <c r="C22" s="261"/>
      <c r="D22" s="262"/>
      <c r="E22" s="263" t="s">
        <v>220</v>
      </c>
      <c r="F22" s="263"/>
      <c r="G22" s="263"/>
      <c r="H22" s="263"/>
      <c r="I22" s="264"/>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customSheetViews>
    <customSheetView guid="{1C325414-5A0C-4C59-BA24-A8E2B4EC5171}" scale="70" showPageBreaks="1" zeroValues="0" fitToPage="1" printArea="1" view="pageBreakPreview">
      <selection activeCell="E16" sqref="E16:I16"/>
      <rowBreaks count="1" manualBreakCount="1">
        <brk id="17" max="9" man="1"/>
      </rowBreaks>
      <pageMargins left="0.78740157480314965" right="0.78740157480314965" top="0.78740157480314965" bottom="0.59055118110236227" header="0.31496062992125984" footer="0.31496062992125984"/>
      <printOptions horizontalCentered="1"/>
      <pageSetup paperSize="9" scale="62" fitToHeight="0" orientation="portrait" r:id="rId1"/>
      <headerFooter>
        <oddHeader>&amp;C数理・データサイエンス・AI教育プログラム認定制度【リテラシーレベル】</oddHeader>
      </headerFooter>
    </customSheetView>
    <customSheetView guid="{76C3A8B2-43E5-4491-B38D-7D6417DC209B}" scale="70" showPageBreaks="1" zeroValues="0" fitToPage="1" printArea="1" view="pageBreakPreview">
      <selection activeCell="E16" sqref="E16:I16"/>
      <rowBreaks count="1" manualBreakCount="1">
        <brk id="17" max="9" man="1"/>
      </rowBreaks>
      <pageMargins left="0.78740157480314965" right="0.78740157480314965" top="0.78740157480314965" bottom="0.59055118110236227" header="0.31496062992125984" footer="0.31496062992125984"/>
      <printOptions horizontalCentered="1"/>
      <pageSetup paperSize="9" scale="62" fitToHeight="0" orientation="portrait" r:id="rId2"/>
      <headerFooter>
        <oddHeader>&amp;C数理・データサイエンス・AI教育プログラム認定制度【リテラシーレベル】</oddHeader>
      </headerFooter>
    </customSheetView>
    <customSheetView guid="{D1FD8C4C-CF69-45DF-A007-1EC45F0F0601}" scale="70" showPageBreaks="1" zeroValues="0" fitToPage="1" printArea="1" view="pageBreakPreview">
      <selection activeCell="E16" sqref="E16:I16"/>
      <rowBreaks count="1" manualBreakCount="1">
        <brk id="17" max="9" man="1"/>
      </rowBreaks>
      <pageMargins left="0.78740157480314965" right="0.78740157480314965" top="0.78740157480314965" bottom="0.59055118110236227" header="0.31496062992125984" footer="0.31496062992125984"/>
      <printOptions horizontalCentered="1"/>
      <pageSetup paperSize="9" scale="63" fitToHeight="0" orientation="portrait" r:id="rId3"/>
      <headerFooter>
        <oddHeader>&amp;C数理・データサイエンス・AI教育プログラム認定制度【リテラシーレベル】</oddHeader>
      </headerFooter>
    </customSheetView>
    <customSheetView guid="{B3C66A88-0371-48C7-9AE2-6606C7EDAAFC}" scale="70" showPageBreaks="1" zeroValues="0" fitToPage="1" printArea="1" view="pageBreakPreview">
      <selection activeCell="E16" sqref="E16:I16"/>
      <rowBreaks count="1" manualBreakCount="1">
        <brk id="17" max="9" man="1"/>
      </rowBreaks>
      <pageMargins left="0.78740157480314965" right="0.78740157480314965" top="0.78740157480314965" bottom="0.59055118110236227" header="0.31496062992125984" footer="0.31496062992125984"/>
      <printOptions horizontalCentered="1"/>
      <pageSetup paperSize="9" scale="62" fitToHeight="0" orientation="portrait" r:id="rId4"/>
      <headerFooter>
        <oddHeader>&amp;C数理・データサイエンス・AI教育プログラム認定制度【リテラシーレベル】</oddHeader>
      </headerFooter>
    </customSheetView>
  </customSheetViews>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5"/>
  <headerFooter>
    <oddHeader>&amp;C数理・データサイエンス・AI教育プログラム認定制度【リテラシーレベル】</oddHeader>
  </headerFooter>
  <rowBreaks count="1" manualBreakCount="1">
    <brk id="16" max="8"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13</vt:i4>
      </vt:variant>
      <vt:variant>
        <vt:lpstr>名前付き一覧</vt:lpstr>
      </vt:variant>
      <vt:variant>
        <vt:i4>14</vt:i4>
      </vt:variant>
    </vt:vector>
  </HeadingPairs>
  <TitlesOfParts>
    <vt:vector size="27" baseType="lpstr">
      <vt:lpstr>様式１-１プログラムを構成する授業科目（法学部）</vt:lpstr>
      <vt:lpstr>様式１-２（商学部）</vt:lpstr>
      <vt:lpstr>様式１-３（政治経済学部）</vt:lpstr>
      <vt:lpstr>様式１-４（文学部）</vt:lpstr>
      <vt:lpstr>様式１-５（理工学部）</vt:lpstr>
      <vt:lpstr>様式１-６（農学部）</vt:lpstr>
      <vt:lpstr>様式１-７（経営学部）</vt:lpstr>
      <vt:lpstr>様式１-８（情報コミュニケーション学部）</vt:lpstr>
      <vt:lpstr>様式１-９（国際日本学部）</vt:lpstr>
      <vt:lpstr>様式１-10（総合数理学部）</vt:lpstr>
      <vt:lpstr>様式２ 履修者等数の実績</vt:lpstr>
      <vt:lpstr>様式３ 教育の質・履修者数を向上させるための体制・計画</vt:lpstr>
      <vt:lpstr>様式４　自己点検・評価</vt:lpstr>
      <vt:lpstr>'様式１-10（総合数理学部）'!Print_Area</vt:lpstr>
      <vt:lpstr>'様式１-１プログラムを構成する授業科目（法学部）'!Print_Area</vt:lpstr>
      <vt:lpstr>'様式１-２（商学部）'!Print_Area</vt:lpstr>
      <vt:lpstr>'様式１-３（政治経済学部）'!Print_Area</vt:lpstr>
      <vt:lpstr>'様式１-４（文学部）'!Print_Area</vt:lpstr>
      <vt:lpstr>'様式１-５（理工学部）'!Print_Area</vt:lpstr>
      <vt:lpstr>'様式１-６（農学部）'!Print_Area</vt:lpstr>
      <vt:lpstr>'様式１-７（経営学部）'!Print_Area</vt:lpstr>
      <vt:lpstr>'様式１-８（情報コミュニケーション学部）'!Print_Area</vt:lpstr>
      <vt:lpstr>'様式１-９（国際日本学部）'!Print_Area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内山和夫</cp:lastModifiedBy>
  <cp:lastPrinted>2023-07-22T00:37:18Z</cp:lastPrinted>
  <dcterms:created xsi:type="dcterms:W3CDTF">2011-06-14T05:32:50Z</dcterms:created>
  <dcterms:modified xsi:type="dcterms:W3CDTF">2023-07-22T00:37:33Z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