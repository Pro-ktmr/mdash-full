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morishima\Desktop\数理・データサイエンス・AI教育プログラム申請\"/>
    </mc:Choice>
  </mc:AlternateContent>
  <bookViews>
    <workbookView xWindow="5775" yWindow="405" windowWidth="19320" windowHeight="14400" tabRatio="885" activeTab="1"/>
  </bookViews>
  <sheets>
    <sheet name="様式１－１　プログラムを構成する授業科目" sheetId="43" r:id="rId1"/>
    <sheet name="様式１－２　プログラムを構成する授業科目" sheetId="39"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プログラムを構成する授業科目'!$V$14:$V$16</definedName>
    <definedName name="_xlnm._FilterDatabase" localSheetId="1" hidden="1">'様式１－２　プログラムを構成する授業科目'!$V$14:$V$16</definedName>
    <definedName name="_xlnm._FilterDatabase" localSheetId="2" hidden="1">'様式２ 履修者等数の実績'!#REF!</definedName>
    <definedName name="_xlnm.Print_Area" localSheetId="0">'様式１－１　プログラムを構成する授業科目'!$A$1:$S$102</definedName>
    <definedName name="_xlnm.Print_Area" localSheetId="1">'様式１－２　プログラムを構成する授業科目'!$A$1:$S$102</definedName>
    <definedName name="_xlnm.Print_Area" localSheetId="2">'様式２ 履修者等数の実績'!$A$1:$AQ$32</definedName>
    <definedName name="_xlnm.Print_Area" localSheetId="3">'様式３ 教育の質・履修者数を向上させるための体制・計画'!$A$1:$I$120</definedName>
    <definedName name="_xlnm.Print_Area" localSheetId="4">'様式４　自己点検・評価'!$A$1:$I$22</definedName>
    <definedName name="_xlnm.Print_Titles" localSheetId="4">'様式４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14" i="40"/>
  <c r="AQ13" i="40"/>
  <c r="AP32" i="40" l="1"/>
  <c r="AQ32" i="40" s="1"/>
  <c r="C49" i="41" s="1"/>
</calcChain>
</file>

<file path=xl/sharedStrings.xml><?xml version="1.0" encoding="utf-8"?>
<sst xmlns="http://schemas.openxmlformats.org/spreadsheetml/2006/main" count="445" uniqueCount="189">
  <si>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</si>
  <si>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</si>
  <si>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</si>
  <si>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</si>
  <si>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</si>
  <si>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</si>
  <si>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</si>
  <si>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</si>
  <si>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</si>
  <si>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</si>
  <si>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</si>
  <si>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</si>
  <si>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</si>
  <si>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</si>
  <si>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</si>
  <si>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</si>
  <si>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</si>
  <si>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</si>
  <si>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</si>
  <si>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</si>
  <si>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</si>
  <si>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</si>
  <si>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</si>
  <si>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</si>
  <si>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</si>
  <si>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</si>
  <si>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</si>
  <si>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</si>
  <si>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</si>
  <si>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</si>
  <si>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</si>
  <si>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</si>
  <si>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</si>
  <si>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</si>
  <si>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</si>
  <si>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</si>
  <si>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</si>
  <si>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</si>
  <si>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</si>
  <si>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</si>
  <si>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</si>
  <si>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</si>
  <si>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</si>
  <si>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</si>
  <si>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</si>
  <si>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</si>
  <si>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</si>
  <si>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</si>
  <si>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</si>
  <si>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</si>
  <si>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</si>
  <si>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</si>
  <si>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</si>
  <si>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</si>
  <si>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</si>
  <si>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</si>
  <si>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</si>
  <si>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</si>
  <si>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</si>
  <si>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</si>
  <si>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</si>
  <si>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</si>
  <si>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</si>
  <si>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</si>
  <si>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</si>
  <si>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</si>
  <si>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</si>
  <si>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</si>
  <si>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</si>
  <si>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</si>
  <si>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</si>
  <si>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</si>
  <si>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</si>
  <si>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</si>
  <si>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</si>
  <si>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</si>
  <si>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</si>
  <si>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</si>
  <si>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</si>
  <si>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</si>
  <si>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</si>
  <si>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</si>
  <si>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</si>
  <si>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</si>
  <si>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</si>
  <si>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</si>
  <si>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</si>
  <si>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</si>
  <si>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</si>
  <si>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</si>
  <si>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</si>
  <si>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</si>
  <si>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</si>
  <si>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</si>
  <si>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</si>
  <si>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</si>
  <si>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</si>
  <si>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</si>
  <si>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</si>
  <si>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</si>
  <si>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</si>
  <si>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</si>
  <si>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</si>
  <si>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</si>
  <si>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</si>
  <si>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</si>
  <si>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</si>
  <si>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</si>
  <si>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</si>
  <si>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</si>
  <si>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</si>
  <si>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</si>
  <si>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</si>
  <si>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</si>
  <si>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</si>
  <si>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</si>
  <si>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</si>
  <si>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</si>
  <si>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</si>
  <si>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</si>
  <si>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</si>
  <si>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</si>
  <si>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</si>
  <si>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</si>
  <si>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常磐大学</t>
    <rPh sb="0" eb="4">
      <t>トキワダイガク</t>
    </rPh>
    <phoneticPr fontId="1"/>
  </si>
  <si>
    <t>人間科学部、総合政策学部</t>
    <rPh sb="0" eb="2">
      <t>ニンゲン</t>
    </rPh>
    <rPh sb="2" eb="5">
      <t>カガクブ</t>
    </rPh>
    <rPh sb="6" eb="12">
      <t>ソウゴウセイサクガクブ</t>
    </rPh>
    <phoneticPr fontId="1"/>
  </si>
  <si>
    <t>学部・学科によって、修了要件は相違する</t>
  </si>
  <si>
    <t>情報の処理I</t>
    <rPh sb="0" eb="2">
      <t>ジョウホウ</t>
    </rPh>
    <rPh sb="3" eb="5">
      <t>ショリ</t>
    </rPh>
    <phoneticPr fontId="1"/>
  </si>
  <si>
    <t>○</t>
  </si>
  <si>
    <t>統計の基礎</t>
    <rPh sb="0" eb="2">
      <t>トウケイ</t>
    </rPh>
    <rPh sb="3" eb="5">
      <t>キソ</t>
    </rPh>
    <phoneticPr fontId="1"/>
  </si>
  <si>
    <t>　⑧に記載のとおり、本プログラム対象の2科目は必修科目であるため、学位が授与された学生については100％の履修率となる。当該2科目の配当年次は1年次であり、入学初年次に履修を終えることが望ましい。なお、単位未修得となった場合は翌年度に再履修することを原則としているが、履修上の指導によっては卒業時までのいずれかの学年で履修することとなる。</t>
    <rPh sb="3" eb="5">
      <t>キサイ</t>
    </rPh>
    <rPh sb="10" eb="11">
      <t>ホン</t>
    </rPh>
    <rPh sb="16" eb="18">
      <t>タイショウ</t>
    </rPh>
    <rPh sb="20" eb="22">
      <t>カモク</t>
    </rPh>
    <rPh sb="23" eb="27">
      <t>ヒッシュウカモク</t>
    </rPh>
    <rPh sb="33" eb="35">
      <t>ガクイ</t>
    </rPh>
    <rPh sb="36" eb="38">
      <t>ジュヨ</t>
    </rPh>
    <rPh sb="41" eb="43">
      <t>ガクセイ</t>
    </rPh>
    <rPh sb="53" eb="55">
      <t>リシュウ</t>
    </rPh>
    <rPh sb="55" eb="56">
      <t>リツ</t>
    </rPh>
    <rPh sb="60" eb="62">
      <t>トウガイ</t>
    </rPh>
    <rPh sb="63" eb="65">
      <t>カモク</t>
    </rPh>
    <rPh sb="66" eb="68">
      <t>ハイトウ</t>
    </rPh>
    <rPh sb="68" eb="70">
      <t>ネンジ</t>
    </rPh>
    <rPh sb="72" eb="74">
      <t>ネンジ</t>
    </rPh>
    <rPh sb="78" eb="80">
      <t>ニュウガク</t>
    </rPh>
    <rPh sb="80" eb="81">
      <t>ショ</t>
    </rPh>
    <rPh sb="81" eb="83">
      <t>ネンジ</t>
    </rPh>
    <rPh sb="84" eb="86">
      <t>リシュウ</t>
    </rPh>
    <rPh sb="87" eb="88">
      <t>オ</t>
    </rPh>
    <rPh sb="93" eb="94">
      <t>ノゾ</t>
    </rPh>
    <rPh sb="101" eb="103">
      <t>タンイ</t>
    </rPh>
    <rPh sb="103" eb="104">
      <t>ミ</t>
    </rPh>
    <rPh sb="104" eb="106">
      <t>シュウトク</t>
    </rPh>
    <rPh sb="110" eb="112">
      <t>バアイ</t>
    </rPh>
    <rPh sb="113" eb="116">
      <t>ヨクネンド</t>
    </rPh>
    <rPh sb="117" eb="118">
      <t>サイ</t>
    </rPh>
    <rPh sb="118" eb="120">
      <t>リシュウ</t>
    </rPh>
    <rPh sb="125" eb="127">
      <t>ゲンソク</t>
    </rPh>
    <rPh sb="134" eb="136">
      <t>リシュウ</t>
    </rPh>
    <rPh sb="136" eb="137">
      <t>ジョウ</t>
    </rPh>
    <rPh sb="138" eb="140">
      <t>シドウ</t>
    </rPh>
    <rPh sb="145" eb="148">
      <t>ソツギョウジ</t>
    </rPh>
    <rPh sb="156" eb="158">
      <t>ガクネン</t>
    </rPh>
    <rPh sb="159" eb="161">
      <t>リシュウ</t>
    </rPh>
    <phoneticPr fontId="1"/>
  </si>
  <si>
    <t>　本プログラムの対象科目を担当する教員のうち、専任教員についてはオフィスアワーを設定しており、授業内容の質問等について対面による相談体制が用意されている（本プログラム当該科目担当教員のみならず、本学の全専任教員がオフィスアワーを設定することになっている）。また、専任教員および非常勤講師は連絡先としてメールアドレス等を学生に伝えており（eラーニングシステムの授業コースに掲載）、対面に依らないオンラインにおける相談についても対応する体制になっている。</t>
    <rPh sb="1" eb="2">
      <t>ホン</t>
    </rPh>
    <rPh sb="8" eb="12">
      <t>タイショウカモク</t>
    </rPh>
    <rPh sb="13" eb="15">
      <t>タントウ</t>
    </rPh>
    <rPh sb="17" eb="19">
      <t>キョウイン</t>
    </rPh>
    <rPh sb="23" eb="25">
      <t>センニン</t>
    </rPh>
    <rPh sb="25" eb="27">
      <t>キョウイン</t>
    </rPh>
    <rPh sb="40" eb="42">
      <t>セッテイ</t>
    </rPh>
    <rPh sb="47" eb="49">
      <t>ジュギョウ</t>
    </rPh>
    <rPh sb="49" eb="51">
      <t>ナイヨウ</t>
    </rPh>
    <rPh sb="52" eb="54">
      <t>シツモン</t>
    </rPh>
    <rPh sb="54" eb="55">
      <t>トウ</t>
    </rPh>
    <rPh sb="59" eb="61">
      <t>タイメン</t>
    </rPh>
    <rPh sb="64" eb="66">
      <t>ソウダン</t>
    </rPh>
    <rPh sb="66" eb="68">
      <t>タイセイ</t>
    </rPh>
    <rPh sb="69" eb="71">
      <t>ヨウイ</t>
    </rPh>
    <rPh sb="77" eb="78">
      <t>ホン</t>
    </rPh>
    <rPh sb="83" eb="85">
      <t>トウガイ</t>
    </rPh>
    <rPh sb="85" eb="87">
      <t>カモク</t>
    </rPh>
    <rPh sb="87" eb="89">
      <t>タントウ</t>
    </rPh>
    <rPh sb="89" eb="91">
      <t>キョウイン</t>
    </rPh>
    <rPh sb="97" eb="99">
      <t>ホンガク</t>
    </rPh>
    <rPh sb="114" eb="116">
      <t>セッテイ</t>
    </rPh>
    <rPh sb="131" eb="133">
      <t>センニン</t>
    </rPh>
    <rPh sb="133" eb="135">
      <t>キョウイン</t>
    </rPh>
    <rPh sb="138" eb="141">
      <t>ヒジョウキン</t>
    </rPh>
    <rPh sb="141" eb="143">
      <t>コウシ</t>
    </rPh>
    <rPh sb="144" eb="147">
      <t>レンラクサキ</t>
    </rPh>
    <rPh sb="157" eb="158">
      <t>トウ</t>
    </rPh>
    <rPh sb="159" eb="161">
      <t>ガクセイ</t>
    </rPh>
    <rPh sb="162" eb="163">
      <t>ツタ</t>
    </rPh>
    <rPh sb="179" eb="181">
      <t>ジュギョウ</t>
    </rPh>
    <rPh sb="185" eb="187">
      <t>ケイサイ</t>
    </rPh>
    <rPh sb="189" eb="191">
      <t>タイメン</t>
    </rPh>
    <rPh sb="192" eb="193">
      <t>ヨ</t>
    </rPh>
    <rPh sb="205" eb="207">
      <t>ソウダン</t>
    </rPh>
    <rPh sb="212" eb="214">
      <t>タイオウ</t>
    </rPh>
    <rPh sb="216" eb="218">
      <t>タイセイ</t>
    </rPh>
    <phoneticPr fontId="1"/>
  </si>
  <si>
    <t>　⑧に記載のとおり、本プログラムの対象科目は必修科目であるため、全員初年次に履修することになる。履修登録については、クラス編成を履修登録システムで管理しているため、履修登録のミスはシステムでエラーとなる。所管である学生支援センターと学事センターとクラス編成担当教員とで連携を密に行い、全ての新入生と再履修学生が履修登録を完了し、授業を受けられるような体制をとっている。</t>
    <rPh sb="3" eb="5">
      <t>キサイ</t>
    </rPh>
    <rPh sb="10" eb="11">
      <t>ホン</t>
    </rPh>
    <rPh sb="17" eb="21">
      <t>タイショウカモク</t>
    </rPh>
    <rPh sb="22" eb="26">
      <t>ヒッシュウカモク</t>
    </rPh>
    <rPh sb="32" eb="34">
      <t>ゼンイン</t>
    </rPh>
    <rPh sb="34" eb="35">
      <t>ショ</t>
    </rPh>
    <rPh sb="35" eb="37">
      <t>ネンジ</t>
    </rPh>
    <rPh sb="38" eb="40">
      <t>リシュウ</t>
    </rPh>
    <rPh sb="48" eb="50">
      <t>リシュウ</t>
    </rPh>
    <rPh sb="50" eb="52">
      <t>トウロク</t>
    </rPh>
    <rPh sb="61" eb="63">
      <t>ヘンセイ</t>
    </rPh>
    <rPh sb="64" eb="66">
      <t>リシュウ</t>
    </rPh>
    <rPh sb="66" eb="68">
      <t>トウロク</t>
    </rPh>
    <rPh sb="73" eb="75">
      <t>カンリ</t>
    </rPh>
    <rPh sb="82" eb="84">
      <t>リシュウ</t>
    </rPh>
    <rPh sb="84" eb="86">
      <t>トウロク</t>
    </rPh>
    <rPh sb="102" eb="104">
      <t>ショカン</t>
    </rPh>
    <rPh sb="107" eb="111">
      <t>ガクセイシエン</t>
    </rPh>
    <rPh sb="116" eb="118">
      <t>ガクジ</t>
    </rPh>
    <rPh sb="126" eb="128">
      <t>ヘンセイ</t>
    </rPh>
    <rPh sb="128" eb="130">
      <t>タントウ</t>
    </rPh>
    <rPh sb="130" eb="132">
      <t>キョウイン</t>
    </rPh>
    <rPh sb="134" eb="136">
      <t>レンケイ</t>
    </rPh>
    <rPh sb="137" eb="138">
      <t>ミツ</t>
    </rPh>
    <rPh sb="139" eb="140">
      <t>オコナ</t>
    </rPh>
    <rPh sb="142" eb="143">
      <t>スベ</t>
    </rPh>
    <rPh sb="145" eb="148">
      <t>シンニュウセイ</t>
    </rPh>
    <rPh sb="149" eb="150">
      <t>サイ</t>
    </rPh>
    <phoneticPr fontId="1"/>
  </si>
  <si>
    <t>本プログラムを構成する『情報の処理I』（全学基本科目・必修）を2単位、『統計の基礎』（全学基本科目・必修）を2単位、計4単位を取得すること。</t>
    <rPh sb="0" eb="1">
      <t>ホン</t>
    </rPh>
    <rPh sb="7" eb="9">
      <t>コウセイ</t>
    </rPh>
    <rPh sb="12" eb="14">
      <t>ジョウホウ</t>
    </rPh>
    <rPh sb="15" eb="17">
      <t>ショリ</t>
    </rPh>
    <rPh sb="20" eb="26">
      <t>ゼンガクキホンカモク</t>
    </rPh>
    <rPh sb="27" eb="29">
      <t>ヒッシュウ</t>
    </rPh>
    <rPh sb="32" eb="34">
      <t>タンイ</t>
    </rPh>
    <rPh sb="36" eb="38">
      <t>トウケイ</t>
    </rPh>
    <rPh sb="39" eb="41">
      <t>キソ</t>
    </rPh>
    <rPh sb="43" eb="49">
      <t>ゼンガクキホンカモク</t>
    </rPh>
    <rPh sb="50" eb="52">
      <t>ヒッシュウ</t>
    </rPh>
    <rPh sb="55" eb="57">
      <t>タンイ</t>
    </rPh>
    <rPh sb="58" eb="59">
      <t>ケイ</t>
    </rPh>
    <rPh sb="60" eb="62">
      <t>タンイ</t>
    </rPh>
    <rPh sb="63" eb="65">
      <t>シュトク</t>
    </rPh>
    <phoneticPr fontId="1"/>
  </si>
  <si>
    <t>　⑧に記載のとおり、本プログラムの対象科目は必修科目であるため、学生は年度当初の履修登録において当該科目を必ず履修するよう履修ガイダンス等で指導されることになる。また、当該科目のシラバスはWeb上に公開されており、「授業の概要」「学修の到達目標」「授業計画」「成績の評価方法・基準」など具体的な項目について学生が自ら確認できるようになっており、本プログラムと対象科目との位置づけが理解できるようになっている。</t>
    <rPh sb="3" eb="5">
      <t>キサイ</t>
    </rPh>
    <rPh sb="10" eb="11">
      <t>ホン</t>
    </rPh>
    <rPh sb="17" eb="21">
      <t>タイショウカモク</t>
    </rPh>
    <rPh sb="22" eb="26">
      <t>ヒッシュウカモク</t>
    </rPh>
    <rPh sb="61" eb="63">
      <t>リシュウ</t>
    </rPh>
    <rPh sb="68" eb="69">
      <t>トウ</t>
    </rPh>
    <rPh sb="115" eb="117">
      <t>ガクシュウ</t>
    </rPh>
    <rPh sb="135" eb="137">
      <t>ホウホウ</t>
    </rPh>
    <rPh sb="172" eb="173">
      <t>ホン</t>
    </rPh>
    <rPh sb="179" eb="181">
      <t>タイショウ</t>
    </rPh>
    <rPh sb="181" eb="183">
      <t>カモク</t>
    </rPh>
    <rPh sb="185" eb="187">
      <t>イチ</t>
    </rPh>
    <rPh sb="190" eb="192">
      <t>リカイ</t>
    </rPh>
    <phoneticPr fontId="1"/>
  </si>
  <si>
    <t>　本学の「数理・データサイエンス・AI教育プログラム（リテラシーレベル）」は、本学の全学基本科目に配置されている科目『情報の処理I』と『統計の基礎』が取得要件となっている。この2科目は必修科目（卒業要件）であり、入学者全員が履修するため、履修者数は入学者数となる。</t>
    <rPh sb="1" eb="3">
      <t>ホンガク</t>
    </rPh>
    <rPh sb="5" eb="7">
      <t>スウリ</t>
    </rPh>
    <rPh sb="19" eb="21">
      <t>キョウイク</t>
    </rPh>
    <rPh sb="39" eb="41">
      <t>ホンガク</t>
    </rPh>
    <rPh sb="42" eb="44">
      <t>ゼンガク</t>
    </rPh>
    <rPh sb="44" eb="46">
      <t>キホン</t>
    </rPh>
    <rPh sb="46" eb="48">
      <t>カモク</t>
    </rPh>
    <rPh sb="49" eb="51">
      <t>ハイチ</t>
    </rPh>
    <rPh sb="56" eb="58">
      <t>カモク</t>
    </rPh>
    <rPh sb="59" eb="61">
      <t>ジョウホウ</t>
    </rPh>
    <rPh sb="62" eb="64">
      <t>ショリ</t>
    </rPh>
    <rPh sb="68" eb="70">
      <t>トウケイ</t>
    </rPh>
    <rPh sb="71" eb="73">
      <t>キソ</t>
    </rPh>
    <rPh sb="75" eb="77">
      <t>シュトク</t>
    </rPh>
    <rPh sb="77" eb="79">
      <t>ヨウケン</t>
    </rPh>
    <rPh sb="89" eb="91">
      <t>カモク</t>
    </rPh>
    <rPh sb="92" eb="96">
      <t>ヒッシュウカモク</t>
    </rPh>
    <rPh sb="97" eb="101">
      <t>ソツギョウヨウケン</t>
    </rPh>
    <rPh sb="106" eb="109">
      <t>ニュウガクシャ</t>
    </rPh>
    <rPh sb="109" eb="111">
      <t>ゼンイン</t>
    </rPh>
    <rPh sb="112" eb="114">
      <t>リシュウ</t>
    </rPh>
    <rPh sb="119" eb="122">
      <t>リシュウシャ</t>
    </rPh>
    <rPh sb="122" eb="123">
      <t>スウ</t>
    </rPh>
    <rPh sb="124" eb="127">
      <t>ニュウガクシャ</t>
    </rPh>
    <rPh sb="127" eb="128">
      <t>スウ</t>
    </rPh>
    <phoneticPr fontId="1"/>
  </si>
  <si>
    <t>④ 現在進行中の社会変化(「情報の処理I」第４次産業革命、Society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23" eb="24">
      <t>ジ</t>
    </rPh>
    <rPh sb="24" eb="26">
      <t>サンギョウ</t>
    </rPh>
    <rPh sb="26" eb="28">
      <t>カクメイ</t>
    </rPh>
    <rPh sb="44" eb="46">
      <t>クドウ</t>
    </rPh>
    <rPh sb="46" eb="47">
      <t>ガタ</t>
    </rPh>
    <rPh sb="47" eb="49">
      <t>シャカイ</t>
    </rPh>
    <rPh sb="49" eb="50">
      <t>トウ</t>
    </rPh>
    <rPh sb="52" eb="53">
      <t>フカ</t>
    </rPh>
    <rPh sb="54" eb="56">
      <t>キヨ</t>
    </rPh>
    <rPh sb="69" eb="70">
      <t>ミズカ</t>
    </rPh>
    <rPh sb="72" eb="74">
      <t>セイカツ</t>
    </rPh>
    <rPh sb="75" eb="77">
      <t>ミッセツ</t>
    </rPh>
    <rPh sb="78" eb="79">
      <t>ムス</t>
    </rPh>
    <rPh sb="87" eb="89">
      <t>ナイヨウ</t>
    </rPh>
    <rPh sb="90" eb="91">
      <t>フク</t>
    </rPh>
    <rPh sb="92" eb="94">
      <t>ジュギョウ</t>
    </rPh>
    <rPh sb="94" eb="96">
      <t>カモク</t>
    </rPh>
    <phoneticPr fontId="1"/>
  </si>
  <si>
    <t>（１）現在進行中の社会変化(「情報の処理I」第４次産業革命、Society 5.0、データ駆動型社会等）に深く寄与しているものであり、それが自らの生活と密接に結びついている</t>
  </si>
  <si>
    <t xml:space="preserve">・ビッグデータ、IoT、AI、ロボット(「情報の処理I」第4回）
・データ量の増加、計算機の処理性能の向上、AIの非連続的進化(「情報の処理I」第4回）
・第4次産業革命、Society5.0、データ駆動型社会(「情報の処理I」第4回）
・複数技術を組み合わせたAIサービス(「情報の処理I」第4回）
</t>
    <rPh sb="30" eb="31">
      <t>カイ</t>
    </rPh>
    <rPh sb="37" eb="38">
      <t>リョウ</t>
    </rPh>
    <rPh sb="39" eb="41">
      <t>ゾウカ</t>
    </rPh>
    <rPh sb="42" eb="45">
      <t>ケイサンキ</t>
    </rPh>
    <rPh sb="46" eb="48">
      <t>ショリ</t>
    </rPh>
    <rPh sb="48" eb="50">
      <t>セイノウ</t>
    </rPh>
    <rPh sb="51" eb="53">
      <t>コウジョウ</t>
    </rPh>
    <rPh sb="57" eb="60">
      <t>ヒレンゾク</t>
    </rPh>
    <rPh sb="60" eb="61">
      <t>テキ</t>
    </rPh>
    <rPh sb="61" eb="63">
      <t>シンカ</t>
    </rPh>
    <rPh sb="74" eb="75">
      <t>カイ</t>
    </rPh>
    <rPh sb="78" eb="79">
      <t>ダイ</t>
    </rPh>
    <rPh sb="80" eb="81">
      <t>ジ</t>
    </rPh>
    <rPh sb="81" eb="83">
      <t>サンギョウ</t>
    </rPh>
    <rPh sb="83" eb="85">
      <t>カクメイ</t>
    </rPh>
    <rPh sb="100" eb="103">
      <t>クドウガタ</t>
    </rPh>
    <rPh sb="103" eb="105">
      <t>シャカイ</t>
    </rPh>
    <rPh sb="116" eb="117">
      <t>カイ</t>
    </rPh>
    <rPh sb="120" eb="122">
      <t>フクスウ</t>
    </rPh>
    <rPh sb="122" eb="124">
      <t>ギジュツ</t>
    </rPh>
    <rPh sb="125" eb="126">
      <t>ク</t>
    </rPh>
    <rPh sb="127" eb="128">
      <t>ア</t>
    </rPh>
    <rPh sb="148" eb="149">
      <t>カイ</t>
    </rPh>
    <phoneticPr fontId="1"/>
  </si>
  <si>
    <t>・AI等を活用した新しいビジネスモデル(「情報の処理I」第5回）
・AI最新技術の活用例(「情報の処理I」第5回）</t>
    <rPh sb="3" eb="4">
      <t>トウ</t>
    </rPh>
    <rPh sb="5" eb="7">
      <t>カツヨウ</t>
    </rPh>
    <rPh sb="9" eb="10">
      <t>アタラ</t>
    </rPh>
    <rPh sb="30" eb="31">
      <t>カイ</t>
    </rPh>
    <rPh sb="36" eb="38">
      <t>サイシン</t>
    </rPh>
    <rPh sb="38" eb="40">
      <t>ギジュツ</t>
    </rPh>
    <rPh sb="41" eb="44">
      <t>カツヨウレイ</t>
    </rPh>
    <rPh sb="55" eb="56">
      <t>カイ</t>
    </rPh>
    <phoneticPr fontId="1"/>
  </si>
  <si>
    <t>・調査データ、実験データ、人の行動ログデータ、機械の稼働ログデータなど(「情報の処理I」第4回）
・1次データ、2次データ、データのメタ化(「情報の処理I」第4回）
・データのオープン化(「情報の処理I」第4回）</t>
    <rPh sb="1" eb="3">
      <t>チョウサ</t>
    </rPh>
    <rPh sb="7" eb="9">
      <t>ジッケン</t>
    </rPh>
    <rPh sb="13" eb="14">
      <t>ヒト</t>
    </rPh>
    <rPh sb="15" eb="17">
      <t>コウドウ</t>
    </rPh>
    <rPh sb="23" eb="25">
      <t>キカイ</t>
    </rPh>
    <rPh sb="26" eb="28">
      <t>カドウ</t>
    </rPh>
    <rPh sb="46" eb="47">
      <t>カイ</t>
    </rPh>
    <rPh sb="51" eb="52">
      <t>ジ</t>
    </rPh>
    <rPh sb="57" eb="58">
      <t>ジ</t>
    </rPh>
    <rPh sb="68" eb="69">
      <t>カ</t>
    </rPh>
    <rPh sb="80" eb="81">
      <t>カイ</t>
    </rPh>
    <rPh sb="92" eb="93">
      <t>カ</t>
    </rPh>
    <rPh sb="104" eb="105">
      <t>カイ</t>
    </rPh>
    <phoneticPr fontId="1"/>
  </si>
  <si>
    <t>・データ・AI活用領域の広がり(「情報の処理I」第4回）
・研究開発、調達、製造、物流、販売、マーケティング、サービスなど(「情報の処理I」第4回）</t>
    <rPh sb="7" eb="9">
      <t>カツヨウ</t>
    </rPh>
    <rPh sb="9" eb="11">
      <t>リョウイキ</t>
    </rPh>
    <rPh sb="12" eb="13">
      <t>ヒロ</t>
    </rPh>
    <rPh sb="26" eb="27">
      <t>カイ</t>
    </rPh>
    <rPh sb="30" eb="32">
      <t>ケンキュウ</t>
    </rPh>
    <rPh sb="32" eb="34">
      <t>カイハツ</t>
    </rPh>
    <rPh sb="35" eb="37">
      <t>チョウタツ</t>
    </rPh>
    <rPh sb="38" eb="40">
      <t>セイゾウ</t>
    </rPh>
    <rPh sb="41" eb="43">
      <t>ブツリュウ</t>
    </rPh>
    <rPh sb="44" eb="46">
      <t>ハンバイ</t>
    </rPh>
    <rPh sb="72" eb="73">
      <t>カイ</t>
    </rPh>
    <phoneticPr fontId="1"/>
  </si>
  <si>
    <t>・特化型AIと汎用AI、今のAIで出来ることと出来ないこと、AIとビッグデータ(「情報の処理I」第5回）</t>
    <rPh sb="1" eb="4">
      <t>トッカガタ</t>
    </rPh>
    <rPh sb="7" eb="9">
      <t>ハンヨウ</t>
    </rPh>
    <rPh sb="12" eb="13">
      <t>イマ</t>
    </rPh>
    <rPh sb="17" eb="19">
      <t>デキ</t>
    </rPh>
    <rPh sb="23" eb="25">
      <t>デキ</t>
    </rPh>
    <rPh sb="50" eb="51">
      <t>カイ</t>
    </rPh>
    <phoneticPr fontId="1"/>
  </si>
  <si>
    <t>・流通、製造、金融、サービス、インフラ、公共、ヘルスケア等におけるデータ・AI利活用事例紹介(「情報の処理I」第5回）</t>
    <rPh sb="1" eb="3">
      <t>リュウツウ</t>
    </rPh>
    <rPh sb="4" eb="6">
      <t>セイゾウ</t>
    </rPh>
    <rPh sb="7" eb="9">
      <t>キンユウ</t>
    </rPh>
    <rPh sb="20" eb="22">
      <t>コウキョウ</t>
    </rPh>
    <rPh sb="28" eb="29">
      <t>ナド</t>
    </rPh>
    <rPh sb="39" eb="42">
      <t>リカツヨウ</t>
    </rPh>
    <rPh sb="42" eb="44">
      <t>ジレイ</t>
    </rPh>
    <rPh sb="44" eb="46">
      <t>ショウカイ</t>
    </rPh>
    <rPh sb="57" eb="58">
      <t>カイ</t>
    </rPh>
    <phoneticPr fontId="1"/>
  </si>
  <si>
    <t>・情報セキュリティ：機密性、完全性、可用性(「情報の処理I」第3回)
・匿名加工情報、暗号化、パスワード、悪意ある情報搾取(「情報の処理I」第3回)
・情報漏洩等によるセキュリティ事故の事例紹介(「情報の処理I」第3回)</t>
    <rPh sb="1" eb="3">
      <t>ジョウホウ</t>
    </rPh>
    <rPh sb="10" eb="13">
      <t>キミツセイ</t>
    </rPh>
    <rPh sb="14" eb="17">
      <t>カンゼンセイ</t>
    </rPh>
    <rPh sb="18" eb="21">
      <t>カヨウセイ</t>
    </rPh>
    <rPh sb="32" eb="33">
      <t>カイ</t>
    </rPh>
    <rPh sb="36" eb="38">
      <t>トクメイ</t>
    </rPh>
    <rPh sb="38" eb="40">
      <t>カコウ</t>
    </rPh>
    <rPh sb="40" eb="42">
      <t>ジョウホウ</t>
    </rPh>
    <rPh sb="43" eb="46">
      <t>アンゴウカ</t>
    </rPh>
    <rPh sb="53" eb="55">
      <t>アクイ</t>
    </rPh>
    <rPh sb="57" eb="59">
      <t>ジョウホウ</t>
    </rPh>
    <rPh sb="59" eb="61">
      <t>サクシュ</t>
    </rPh>
    <rPh sb="72" eb="73">
      <t>カイ</t>
    </rPh>
    <rPh sb="76" eb="78">
      <t>ジョウホウ</t>
    </rPh>
    <rPh sb="78" eb="80">
      <t>ロウエイ</t>
    </rPh>
    <rPh sb="80" eb="81">
      <t>トウ</t>
    </rPh>
    <rPh sb="90" eb="92">
      <t>ジコ</t>
    </rPh>
    <rPh sb="93" eb="95">
      <t>ジレイ</t>
    </rPh>
    <rPh sb="95" eb="97">
      <t>ショウカイ</t>
    </rPh>
    <rPh sb="108" eb="109">
      <t>カイ</t>
    </rPh>
    <phoneticPr fontId="1"/>
  </si>
  <si>
    <t>・データ表現(「情報の処理I」第6回)
・データの比較(「情報の処理I」第6回)
・不適切なグラフ表現(「情報の処理I」第6回)
・優れた可視化事例の紹介(「情報の処理I」第6回)</t>
    <rPh sb="4" eb="6">
      <t>ヒョウゲン</t>
    </rPh>
    <rPh sb="17" eb="18">
      <t>カイ</t>
    </rPh>
    <rPh sb="25" eb="27">
      <t>ヒカク</t>
    </rPh>
    <rPh sb="38" eb="39">
      <t>カイ</t>
    </rPh>
    <rPh sb="42" eb="45">
      <t>フテキセツ</t>
    </rPh>
    <rPh sb="49" eb="51">
      <t>ヒョウゲン</t>
    </rPh>
    <rPh sb="62" eb="63">
      <t>カイ</t>
    </rPh>
    <rPh sb="66" eb="67">
      <t>スグ</t>
    </rPh>
    <rPh sb="69" eb="72">
      <t>カシカ</t>
    </rPh>
    <rPh sb="72" eb="74">
      <t>ジレイ</t>
    </rPh>
    <rPh sb="75" eb="77">
      <t>ショウカイ</t>
    </rPh>
    <rPh sb="88" eb="89">
      <t>カイ</t>
    </rPh>
    <phoneticPr fontId="1"/>
  </si>
  <si>
    <t>総合講座自己点検・評価実施委員会</t>
    <rPh sb="0" eb="2">
      <t>ソウゴウ</t>
    </rPh>
    <rPh sb="2" eb="4">
      <t>コウザ</t>
    </rPh>
    <rPh sb="4" eb="6">
      <t>ジコ</t>
    </rPh>
    <rPh sb="6" eb="8">
      <t>テンケン</t>
    </rPh>
    <rPh sb="9" eb="11">
      <t>ヒョウカ</t>
    </rPh>
    <rPh sb="11" eb="13">
      <t>ジッシ</t>
    </rPh>
    <rPh sb="13" eb="16">
      <t>イインカイ</t>
    </rPh>
    <phoneticPr fontId="1"/>
  </si>
  <si>
    <t>・データの種類(「統計の基礎」第1回）
・データの分布（「統計の基礎」第2、3回）
・代表値の性質の違い（「統計の基礎」第3回）
・データのばらつき（「統計の基礎」第4回）
・相関と因果（「統計の基礎」第6回）
・母集団と標本抽出（「統計の基礎」第9回）
・統計情報の正しい理解（「統計の基礎」第8回）</t>
    <rPh sb="5" eb="7">
      <t>シュルイ</t>
    </rPh>
    <rPh sb="9" eb="11">
      <t>トウケイ</t>
    </rPh>
    <rPh sb="12" eb="14">
      <t>キソ</t>
    </rPh>
    <rPh sb="15" eb="16">
      <t>ダイ</t>
    </rPh>
    <rPh sb="17" eb="18">
      <t>カイ</t>
    </rPh>
    <rPh sb="25" eb="27">
      <t>ブンプ</t>
    </rPh>
    <rPh sb="29" eb="31">
      <t>トウケイ</t>
    </rPh>
    <rPh sb="32" eb="34">
      <t>キソ</t>
    </rPh>
    <rPh sb="35" eb="36">
      <t>ダイ</t>
    </rPh>
    <rPh sb="39" eb="40">
      <t>カイ</t>
    </rPh>
    <rPh sb="43" eb="46">
      <t>ダイヒョウチ</t>
    </rPh>
    <rPh sb="47" eb="49">
      <t>セイシツ</t>
    </rPh>
    <rPh sb="50" eb="51">
      <t>チガ</t>
    </rPh>
    <rPh sb="54" eb="56">
      <t>トウケイ</t>
    </rPh>
    <rPh sb="57" eb="59">
      <t>キソ</t>
    </rPh>
    <rPh sb="60" eb="61">
      <t>ダイ</t>
    </rPh>
    <rPh sb="62" eb="63">
      <t>カイ</t>
    </rPh>
    <rPh sb="76" eb="78">
      <t>トウケイ</t>
    </rPh>
    <rPh sb="79" eb="81">
      <t>キソ</t>
    </rPh>
    <rPh sb="82" eb="83">
      <t>ダイ</t>
    </rPh>
    <rPh sb="84" eb="85">
      <t>カイ</t>
    </rPh>
    <rPh sb="88" eb="90">
      <t>ソウカン</t>
    </rPh>
    <rPh sb="91" eb="93">
      <t>インガ</t>
    </rPh>
    <rPh sb="95" eb="97">
      <t>トウケイ</t>
    </rPh>
    <rPh sb="98" eb="100">
      <t>キソ</t>
    </rPh>
    <rPh sb="101" eb="102">
      <t>ダイ</t>
    </rPh>
    <rPh sb="103" eb="104">
      <t>カイ</t>
    </rPh>
    <rPh sb="107" eb="110">
      <t>ボシュウダン</t>
    </rPh>
    <rPh sb="111" eb="113">
      <t>ヒョウホン</t>
    </rPh>
    <rPh sb="113" eb="115">
      <t>チュウシュツ</t>
    </rPh>
    <rPh sb="117" eb="119">
      <t>トウケイ</t>
    </rPh>
    <rPh sb="120" eb="122">
      <t>キソ</t>
    </rPh>
    <rPh sb="123" eb="124">
      <t>ダイ</t>
    </rPh>
    <rPh sb="125" eb="126">
      <t>カイ</t>
    </rPh>
    <rPh sb="129" eb="131">
      <t>トウケイ</t>
    </rPh>
    <rPh sb="131" eb="133">
      <t>ジョウホウ</t>
    </rPh>
    <rPh sb="134" eb="135">
      <t>タダ</t>
    </rPh>
    <rPh sb="137" eb="139">
      <t>リカイ</t>
    </rPh>
    <rPh sb="141" eb="143">
      <t>トウケイ</t>
    </rPh>
    <rPh sb="144" eb="146">
      <t>キソ</t>
    </rPh>
    <rPh sb="147" eb="148">
      <t>ダイ</t>
    </rPh>
    <rPh sb="149" eb="150">
      <t>カイ</t>
    </rPh>
    <phoneticPr fontId="1"/>
  </si>
  <si>
    <t>・データの集計（「統計の基礎」第15回）
・データの並び替え、ランキング（「統計の基礎」第15回）
・データ解析ツール（「統計の基礎」第15回）
・表形式のデータ（「統計の基礎」第15回）</t>
    <rPh sb="5" eb="7">
      <t>シュウケイ</t>
    </rPh>
    <rPh sb="9" eb="11">
      <t>トウケイ</t>
    </rPh>
    <rPh sb="12" eb="14">
      <t>キソ</t>
    </rPh>
    <rPh sb="15" eb="16">
      <t>ダイ</t>
    </rPh>
    <rPh sb="18" eb="19">
      <t>カイ</t>
    </rPh>
    <rPh sb="26" eb="27">
      <t>ナラ</t>
    </rPh>
    <rPh sb="28" eb="29">
      <t>カ</t>
    </rPh>
    <rPh sb="38" eb="40">
      <t>トウケイ</t>
    </rPh>
    <rPh sb="41" eb="43">
      <t>キソ</t>
    </rPh>
    <rPh sb="44" eb="45">
      <t>ダイ</t>
    </rPh>
    <rPh sb="47" eb="48">
      <t>カイ</t>
    </rPh>
    <rPh sb="54" eb="56">
      <t>カイセキ</t>
    </rPh>
    <rPh sb="61" eb="63">
      <t>トウケイ</t>
    </rPh>
    <rPh sb="64" eb="66">
      <t>キソ</t>
    </rPh>
    <rPh sb="67" eb="68">
      <t>ダイ</t>
    </rPh>
    <rPh sb="70" eb="71">
      <t>カイ</t>
    </rPh>
    <rPh sb="74" eb="77">
      <t>ヒョウケイシキ</t>
    </rPh>
    <rPh sb="83" eb="85">
      <t>トウケイ</t>
    </rPh>
    <rPh sb="86" eb="88">
      <t>キソ</t>
    </rPh>
    <rPh sb="89" eb="90">
      <t>ダイ</t>
    </rPh>
    <rPh sb="92" eb="93">
      <t>カイ</t>
    </rPh>
    <phoneticPr fontId="1"/>
  </si>
  <si>
    <t>デジタル時代の「読み・書き・そろばん」である「数理・データサイエンス・AI」と本学の学びの根幹である「実学」とを結びつけ、あらゆる分野で活躍できる基礎的かつ実践的な素養を身につけられる。その結果、今日の発展的情報社会における様々な状況に柔軟且つ適切に対応できる人材として期待できる。</t>
    <rPh sb="42" eb="43">
      <t>マナ</t>
    </rPh>
    <rPh sb="45" eb="47">
      <t>コンカン</t>
    </rPh>
    <rPh sb="95" eb="97">
      <t>ケッカ</t>
    </rPh>
    <rPh sb="135" eb="137">
      <t>キタイ</t>
    </rPh>
    <phoneticPr fontId="1"/>
  </si>
  <si>
    <t>本プログラムの対象科目は1年次の必修科目であるため、学生による授業評価アンケートの実施後に後輩等他の学生へ履修を推奨するような取り組みは特に行われてはいない。</t>
    <rPh sb="0" eb="1">
      <t>ホン</t>
    </rPh>
    <rPh sb="7" eb="9">
      <t>タイショウ</t>
    </rPh>
    <rPh sb="9" eb="11">
      <t>カモク</t>
    </rPh>
    <rPh sb="13" eb="15">
      <t>ネンジ</t>
    </rPh>
    <rPh sb="16" eb="20">
      <t>ヒッシュウカモク</t>
    </rPh>
    <rPh sb="26" eb="28">
      <t>ガクセイ</t>
    </rPh>
    <rPh sb="31" eb="35">
      <t>ジュギョウヒョウカ</t>
    </rPh>
    <rPh sb="41" eb="44">
      <t>ジッシゴ</t>
    </rPh>
    <rPh sb="45" eb="47">
      <t>コウハイ</t>
    </rPh>
    <rPh sb="47" eb="48">
      <t>ナド</t>
    </rPh>
    <rPh sb="48" eb="49">
      <t>ホカ</t>
    </rPh>
    <rPh sb="50" eb="52">
      <t>ガクセイ</t>
    </rPh>
    <rPh sb="53" eb="55">
      <t>リシュウ</t>
    </rPh>
    <rPh sb="56" eb="58">
      <t>スイショウ</t>
    </rPh>
    <rPh sb="63" eb="64">
      <t>ト</t>
    </rPh>
    <rPh sb="65" eb="66">
      <t>ク</t>
    </rPh>
    <rPh sb="68" eb="69">
      <t>トク</t>
    </rPh>
    <rPh sb="70" eb="71">
      <t>オコナ</t>
    </rPh>
    <phoneticPr fontId="1"/>
  </si>
  <si>
    <t>上記に記載のとおり、本プログラムの対象科目は1年次必修科目であるため、新入生の履修率は100％である。1年次に修得できなかった学生に対しては、原則として2年次に再履修するよう履修指導が行われており、在学期間の早期に本プログラムの修了要件を満たすように本プログラムは運用されている。</t>
    <rPh sb="0" eb="2">
      <t>ジョウキ</t>
    </rPh>
    <rPh sb="3" eb="5">
      <t>キサイ</t>
    </rPh>
    <rPh sb="10" eb="11">
      <t>ホン</t>
    </rPh>
    <rPh sb="17" eb="21">
      <t>タイショウカモク</t>
    </rPh>
    <rPh sb="23" eb="25">
      <t>ネンジ</t>
    </rPh>
    <rPh sb="25" eb="29">
      <t>ヒッシュウカモク</t>
    </rPh>
    <rPh sb="35" eb="38">
      <t>シンニュウセイ</t>
    </rPh>
    <rPh sb="39" eb="41">
      <t>リシュウ</t>
    </rPh>
    <rPh sb="41" eb="42">
      <t>リツ</t>
    </rPh>
    <rPh sb="52" eb="54">
      <t>ネンジ</t>
    </rPh>
    <rPh sb="55" eb="57">
      <t>シュウトク</t>
    </rPh>
    <rPh sb="63" eb="65">
      <t>ガクセイ</t>
    </rPh>
    <rPh sb="66" eb="67">
      <t>タイ</t>
    </rPh>
    <rPh sb="71" eb="73">
      <t>ゲンソク</t>
    </rPh>
    <rPh sb="77" eb="79">
      <t>ネンジ</t>
    </rPh>
    <rPh sb="80" eb="81">
      <t>サイ</t>
    </rPh>
    <rPh sb="81" eb="83">
      <t>リシュウ</t>
    </rPh>
    <rPh sb="87" eb="89">
      <t>リシュウ</t>
    </rPh>
    <rPh sb="89" eb="91">
      <t>シドウ</t>
    </rPh>
    <rPh sb="92" eb="93">
      <t>オコナ</t>
    </rPh>
    <rPh sb="99" eb="101">
      <t>ザイガク</t>
    </rPh>
    <rPh sb="101" eb="103">
      <t>キカン</t>
    </rPh>
    <rPh sb="104" eb="106">
      <t>ソウキ</t>
    </rPh>
    <rPh sb="119" eb="120">
      <t>ミ</t>
    </rPh>
    <rPh sb="125" eb="126">
      <t>ホン</t>
    </rPh>
    <rPh sb="132" eb="134">
      <t>ウンヨウ</t>
    </rPh>
    <phoneticPr fontId="1"/>
  </si>
  <si>
    <t>看護学部</t>
    <rPh sb="0" eb="2">
      <t>カンゴ</t>
    </rPh>
    <rPh sb="2" eb="4">
      <t>ガクブ</t>
    </rPh>
    <phoneticPr fontId="1"/>
  </si>
  <si>
    <t>本プログラムを構成する『情報の処理』（全学基本科目・必修）を2単位、『統計の基礎』（全学基本科目・必修）を2単位、計4単位を取得すること。</t>
    <rPh sb="0" eb="1">
      <t>ホン</t>
    </rPh>
    <rPh sb="7" eb="9">
      <t>コウセイ</t>
    </rPh>
    <rPh sb="12" eb="14">
      <t>ジョウホウ</t>
    </rPh>
    <rPh sb="15" eb="17">
      <t>ショリ</t>
    </rPh>
    <rPh sb="19" eb="25">
      <t>ゼンガクキホンカモク</t>
    </rPh>
    <rPh sb="26" eb="28">
      <t>ヒッシュウ</t>
    </rPh>
    <rPh sb="31" eb="33">
      <t>タンイ</t>
    </rPh>
    <rPh sb="35" eb="37">
      <t>トウケイ</t>
    </rPh>
    <rPh sb="38" eb="40">
      <t>キソ</t>
    </rPh>
    <rPh sb="42" eb="48">
      <t>ゼンガクキホンカモク</t>
    </rPh>
    <rPh sb="49" eb="51">
      <t>ヒッシュウ</t>
    </rPh>
    <rPh sb="54" eb="56">
      <t>タンイ</t>
    </rPh>
    <rPh sb="57" eb="58">
      <t>ケイ</t>
    </rPh>
    <rPh sb="59" eb="61">
      <t>タンイ</t>
    </rPh>
    <rPh sb="62" eb="64">
      <t>シュトク</t>
    </rPh>
    <phoneticPr fontId="1"/>
  </si>
  <si>
    <t>④ 現在進行中の社会変化(「情報の処理」第４次産業革命、Society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22" eb="23">
      <t>ジ</t>
    </rPh>
    <rPh sb="23" eb="25">
      <t>サンギョウ</t>
    </rPh>
    <rPh sb="25" eb="27">
      <t>カクメイ</t>
    </rPh>
    <rPh sb="43" eb="45">
      <t>クドウ</t>
    </rPh>
    <rPh sb="45" eb="46">
      <t>ガタ</t>
    </rPh>
    <rPh sb="46" eb="48">
      <t>シャカイ</t>
    </rPh>
    <rPh sb="48" eb="49">
      <t>トウ</t>
    </rPh>
    <rPh sb="51" eb="52">
      <t>フカ</t>
    </rPh>
    <rPh sb="53" eb="55">
      <t>キヨ</t>
    </rPh>
    <rPh sb="68" eb="69">
      <t>ミズカ</t>
    </rPh>
    <rPh sb="71" eb="73">
      <t>セイカツ</t>
    </rPh>
    <rPh sb="74" eb="76">
      <t>ミッセツ</t>
    </rPh>
    <rPh sb="77" eb="78">
      <t>ムス</t>
    </rPh>
    <rPh sb="86" eb="88">
      <t>ナイヨウ</t>
    </rPh>
    <rPh sb="89" eb="90">
      <t>フク</t>
    </rPh>
    <rPh sb="91" eb="93">
      <t>ジュギョウ</t>
    </rPh>
    <rPh sb="93" eb="95">
      <t>カモク</t>
    </rPh>
    <phoneticPr fontId="1"/>
  </si>
  <si>
    <t>情報の処理</t>
    <phoneticPr fontId="1"/>
  </si>
  <si>
    <t>（１）現在進行中の社会変化(「情報の処理」第４次産業革命、Society 5.0、データ駆動型社会等）に深く寄与しているものであり、それが自らの生活と密接に結びついている</t>
  </si>
  <si>
    <t xml:space="preserve">・ビッグデータ、IoT、AI、ロボット(「情報の処理」第4回）
・データ量の増加、計算機の処理性能の向上、AIの非連続的進化(「情報の処理」第4回）
・第4次産業革命、Society5.0、データ駆動型社会(「情報の処理」第4回）
・複数技術を組み合わせたAIサービス(「情報の処理」第4回）
</t>
    <rPh sb="29" eb="30">
      <t>カイ</t>
    </rPh>
    <rPh sb="36" eb="37">
      <t>リョウ</t>
    </rPh>
    <rPh sb="38" eb="40">
      <t>ゾウカ</t>
    </rPh>
    <rPh sb="41" eb="44">
      <t>ケイサンキ</t>
    </rPh>
    <rPh sb="45" eb="47">
      <t>ショリ</t>
    </rPh>
    <rPh sb="47" eb="49">
      <t>セイノウ</t>
    </rPh>
    <rPh sb="50" eb="52">
      <t>コウジョウ</t>
    </rPh>
    <rPh sb="56" eb="59">
      <t>ヒレンゾク</t>
    </rPh>
    <rPh sb="59" eb="60">
      <t>テキ</t>
    </rPh>
    <rPh sb="60" eb="62">
      <t>シンカ</t>
    </rPh>
    <rPh sb="72" eb="73">
      <t>カイ</t>
    </rPh>
    <rPh sb="76" eb="77">
      <t>ダイ</t>
    </rPh>
    <rPh sb="78" eb="79">
      <t>ジ</t>
    </rPh>
    <rPh sb="79" eb="81">
      <t>サンギョウ</t>
    </rPh>
    <rPh sb="81" eb="83">
      <t>カクメイ</t>
    </rPh>
    <rPh sb="98" eb="101">
      <t>クドウガタ</t>
    </rPh>
    <rPh sb="101" eb="103">
      <t>シャカイ</t>
    </rPh>
    <rPh sb="113" eb="114">
      <t>カイ</t>
    </rPh>
    <rPh sb="117" eb="119">
      <t>フクスウ</t>
    </rPh>
    <rPh sb="119" eb="121">
      <t>ギジュツ</t>
    </rPh>
    <rPh sb="122" eb="123">
      <t>ク</t>
    </rPh>
    <rPh sb="124" eb="125">
      <t>ア</t>
    </rPh>
    <rPh sb="144" eb="145">
      <t>カイ</t>
    </rPh>
    <phoneticPr fontId="1"/>
  </si>
  <si>
    <t>・AI等を活用した新しいビジネスモデル(「情報の処理」第5回）
・AI最新技術の活用例(「情報の処理」第5回）</t>
    <rPh sb="3" eb="4">
      <t>トウ</t>
    </rPh>
    <rPh sb="5" eb="7">
      <t>カツヨウ</t>
    </rPh>
    <rPh sb="9" eb="10">
      <t>アタラ</t>
    </rPh>
    <rPh sb="29" eb="30">
      <t>カイ</t>
    </rPh>
    <rPh sb="35" eb="37">
      <t>サイシン</t>
    </rPh>
    <rPh sb="37" eb="39">
      <t>ギジュツ</t>
    </rPh>
    <rPh sb="40" eb="43">
      <t>カツヨウレイ</t>
    </rPh>
    <rPh sb="53" eb="54">
      <t>カイ</t>
    </rPh>
    <phoneticPr fontId="1"/>
  </si>
  <si>
    <t>・調査データ、実験データ、人の行動ログデータ、機械の稼働ログデータなど(「情報の処理」第4回）
・1次データ、2次データ、データのメタ化(「情報の処理」第4回）
・データのオープン化(「情報の処理」第4回）</t>
    <rPh sb="1" eb="3">
      <t>チョウサ</t>
    </rPh>
    <rPh sb="7" eb="9">
      <t>ジッケン</t>
    </rPh>
    <rPh sb="13" eb="14">
      <t>ヒト</t>
    </rPh>
    <rPh sb="15" eb="17">
      <t>コウドウ</t>
    </rPh>
    <rPh sb="23" eb="25">
      <t>キカイ</t>
    </rPh>
    <rPh sb="26" eb="28">
      <t>カドウ</t>
    </rPh>
    <rPh sb="45" eb="46">
      <t>カイ</t>
    </rPh>
    <rPh sb="50" eb="51">
      <t>ジ</t>
    </rPh>
    <rPh sb="56" eb="57">
      <t>ジ</t>
    </rPh>
    <rPh sb="67" eb="68">
      <t>カ</t>
    </rPh>
    <rPh sb="78" eb="79">
      <t>カイ</t>
    </rPh>
    <rPh sb="90" eb="91">
      <t>カ</t>
    </rPh>
    <rPh sb="101" eb="102">
      <t>カイ</t>
    </rPh>
    <phoneticPr fontId="1"/>
  </si>
  <si>
    <t>・データ・AI活用領域の広がり(「情報の処理」第4回）
・研究開発、調達、製造、物流、販売、マーケティング、サービスなど(「情報の処理」第4回）</t>
    <rPh sb="7" eb="9">
      <t>カツヨウ</t>
    </rPh>
    <rPh sb="9" eb="11">
      <t>リョウイキ</t>
    </rPh>
    <rPh sb="12" eb="13">
      <t>ヒロ</t>
    </rPh>
    <rPh sb="25" eb="26">
      <t>カイ</t>
    </rPh>
    <rPh sb="29" eb="31">
      <t>ケンキュウ</t>
    </rPh>
    <rPh sb="31" eb="33">
      <t>カイハツ</t>
    </rPh>
    <rPh sb="34" eb="36">
      <t>チョウタツ</t>
    </rPh>
    <rPh sb="37" eb="39">
      <t>セイゾウ</t>
    </rPh>
    <rPh sb="40" eb="42">
      <t>ブツリュウ</t>
    </rPh>
    <rPh sb="43" eb="45">
      <t>ハンバイ</t>
    </rPh>
    <rPh sb="70" eb="71">
      <t>カイ</t>
    </rPh>
    <phoneticPr fontId="1"/>
  </si>
  <si>
    <t>・特化型AIと汎用AI、今のAIで出来ることと出来ないこと、AIとビッグデータ(「情報の処理」第5回）</t>
    <rPh sb="1" eb="4">
      <t>トッカガタ</t>
    </rPh>
    <rPh sb="7" eb="9">
      <t>ハンヨウ</t>
    </rPh>
    <rPh sb="12" eb="13">
      <t>イマ</t>
    </rPh>
    <rPh sb="17" eb="19">
      <t>デキ</t>
    </rPh>
    <rPh sb="23" eb="25">
      <t>デキ</t>
    </rPh>
    <rPh sb="49" eb="50">
      <t>カイ</t>
    </rPh>
    <phoneticPr fontId="1"/>
  </si>
  <si>
    <t>・流通、製造、金融、サービス、インフラ、公共、ヘルスケア等におけるデータ・AI利活用事例紹介(「情報の処理」第5回）</t>
    <rPh sb="1" eb="3">
      <t>リュウツウ</t>
    </rPh>
    <rPh sb="4" eb="6">
      <t>セイゾウ</t>
    </rPh>
    <rPh sb="7" eb="9">
      <t>キンユウ</t>
    </rPh>
    <rPh sb="20" eb="22">
      <t>コウキョウ</t>
    </rPh>
    <rPh sb="28" eb="29">
      <t>ナド</t>
    </rPh>
    <rPh sb="39" eb="42">
      <t>リカツヨウ</t>
    </rPh>
    <rPh sb="42" eb="44">
      <t>ジレイ</t>
    </rPh>
    <rPh sb="44" eb="46">
      <t>ショウカイ</t>
    </rPh>
    <rPh sb="56" eb="57">
      <t>カイ</t>
    </rPh>
    <phoneticPr fontId="1"/>
  </si>
  <si>
    <t>・情報セキュリティ：機密性、完全性、可用性(「情報の処理」第3回)
・匿名加工情報、暗号化、パスワード、悪意ある情報搾取(「情報の処理」第3回)
・情報漏洩等によるセキュリティ事故の事例紹介(「情報の処理」第3回)</t>
    <rPh sb="1" eb="3">
      <t>ジョウホウ</t>
    </rPh>
    <rPh sb="10" eb="13">
      <t>キミツセイ</t>
    </rPh>
    <rPh sb="14" eb="17">
      <t>カンゼンセイ</t>
    </rPh>
    <rPh sb="18" eb="21">
      <t>カヨウセイ</t>
    </rPh>
    <rPh sb="31" eb="32">
      <t>カイ</t>
    </rPh>
    <rPh sb="35" eb="37">
      <t>トクメイ</t>
    </rPh>
    <rPh sb="37" eb="39">
      <t>カコウ</t>
    </rPh>
    <rPh sb="39" eb="41">
      <t>ジョウホウ</t>
    </rPh>
    <rPh sb="42" eb="45">
      <t>アンゴウカ</t>
    </rPh>
    <rPh sb="52" eb="54">
      <t>アクイ</t>
    </rPh>
    <rPh sb="56" eb="58">
      <t>ジョウホウ</t>
    </rPh>
    <rPh sb="58" eb="60">
      <t>サクシュ</t>
    </rPh>
    <rPh sb="70" eb="71">
      <t>カイ</t>
    </rPh>
    <rPh sb="74" eb="76">
      <t>ジョウホウ</t>
    </rPh>
    <rPh sb="76" eb="78">
      <t>ロウエイ</t>
    </rPh>
    <rPh sb="78" eb="79">
      <t>トウ</t>
    </rPh>
    <rPh sb="88" eb="90">
      <t>ジコ</t>
    </rPh>
    <rPh sb="91" eb="93">
      <t>ジレイ</t>
    </rPh>
    <rPh sb="93" eb="95">
      <t>ショウカイ</t>
    </rPh>
    <rPh sb="105" eb="106">
      <t>カイ</t>
    </rPh>
    <phoneticPr fontId="1"/>
  </si>
  <si>
    <t>・データ表現(「情報の処理」第6回)
・データの比較(「情報の処理」第6回)
・不適切なグラフ表現(「情報の処理」第6回)
・優れた可視化事例の紹介(「情報の処理」第6回)</t>
    <rPh sb="4" eb="6">
      <t>ヒョウゲン</t>
    </rPh>
    <rPh sb="16" eb="17">
      <t>カイ</t>
    </rPh>
    <rPh sb="24" eb="26">
      <t>ヒカク</t>
    </rPh>
    <rPh sb="36" eb="37">
      <t>カイ</t>
    </rPh>
    <rPh sb="40" eb="43">
      <t>フテキセツ</t>
    </rPh>
    <rPh sb="47" eb="49">
      <t>ヒョウゲン</t>
    </rPh>
    <rPh sb="59" eb="60">
      <t>カイ</t>
    </rPh>
    <rPh sb="63" eb="64">
      <t>スグ</t>
    </rPh>
    <rPh sb="66" eb="69">
      <t>カシカ</t>
    </rPh>
    <rPh sb="69" eb="71">
      <t>ジレイ</t>
    </rPh>
    <rPh sb="72" eb="74">
      <t>ショウカイ</t>
    </rPh>
    <rPh sb="84" eb="85">
      <t>カイ</t>
    </rPh>
    <phoneticPr fontId="1"/>
  </si>
  <si>
    <t>令和4</t>
    <rPh sb="0" eb="2">
      <t>レイワ</t>
    </rPh>
    <phoneticPr fontId="1"/>
  </si>
  <si>
    <t>人間科学部</t>
    <rPh sb="0" eb="5">
      <t>ニンゲンカガクブ</t>
    </rPh>
    <phoneticPr fontId="1"/>
  </si>
  <si>
    <t>総合政策学部</t>
    <rPh sb="0" eb="6">
      <t>ソウゴウセイサクガクブ</t>
    </rPh>
    <phoneticPr fontId="1"/>
  </si>
  <si>
    <t>看護学部</t>
    <rPh sb="0" eb="4">
      <t>カンゴガクブ</t>
    </rPh>
    <phoneticPr fontId="1"/>
  </si>
  <si>
    <t>総合講座委員会</t>
    <phoneticPr fontId="1"/>
  </si>
  <si>
    <t>常磐大学数理・データサイエンス・AI教育プログラム</t>
    <rPh sb="0" eb="4">
      <t>トキワダイガク</t>
    </rPh>
    <rPh sb="4" eb="6">
      <t>スウリ</t>
    </rPh>
    <rPh sb="18" eb="20">
      <t>キョウイク</t>
    </rPh>
    <phoneticPr fontId="1"/>
  </si>
  <si>
    <t>総合講座委員会委員長</t>
    <rPh sb="0" eb="4">
      <t>ソウゴウコウザ</t>
    </rPh>
    <rPh sb="4" eb="7">
      <t>イインカイ</t>
    </rPh>
    <rPh sb="7" eb="10">
      <t>イインチョウ</t>
    </rPh>
    <phoneticPr fontId="1"/>
  </si>
  <si>
    <t>総合講座自己点検・評価実施委員会より全学基本科目運営会議宛てに履修・成績状況の確認依頼が行われる（データの送付有り）。全学基本科目運営会議において、『情報の処理I』『情報の処理』『統計の基礎』の各クラスごとの成績評価の状況（評定値：Ｓ･Ａ･Ｂ･Ｃ･Ｄ・Ｆ･Ｘの分布等）を把握し、科目担当教員との情報共有を図っている。『情報の処理I』『情報の処理』については、全学情報教育委員会が設置する「情報教育の授業運営に関するWG」とも情報共有を行い、必要に応じて次年度の授業内容の改善を講じている。</t>
    <rPh sb="0" eb="8">
      <t>ソウゴウコウザジコテンケン</t>
    </rPh>
    <rPh sb="9" eb="16">
      <t>ヒョウカジッシイインカイ</t>
    </rPh>
    <rPh sb="18" eb="28">
      <t>ゼンガクキホンカモクウンエイカイギ</t>
    </rPh>
    <rPh sb="28" eb="29">
      <t>ア</t>
    </rPh>
    <rPh sb="31" eb="33">
      <t>リシュウ</t>
    </rPh>
    <rPh sb="34" eb="36">
      <t>セイセキ</t>
    </rPh>
    <rPh sb="36" eb="38">
      <t>ジョウキョウ</t>
    </rPh>
    <rPh sb="39" eb="41">
      <t>カクニン</t>
    </rPh>
    <rPh sb="41" eb="43">
      <t>イライ</t>
    </rPh>
    <rPh sb="44" eb="45">
      <t>オコナ</t>
    </rPh>
    <rPh sb="53" eb="55">
      <t>ソウフ</t>
    </rPh>
    <rPh sb="55" eb="56">
      <t>ア</t>
    </rPh>
    <rPh sb="59" eb="69">
      <t>ゼンガクキホンカモクウンエイカイギ</t>
    </rPh>
    <rPh sb="74" eb="82">
      <t>｢ジョウホウノショリI｣</t>
    </rPh>
    <rPh sb="82" eb="89">
      <t>｢ジョウホウノショリ｣</t>
    </rPh>
    <rPh sb="89" eb="96">
      <t>｢トウケイノキソ｣</t>
    </rPh>
    <rPh sb="97" eb="98">
      <t>カク</t>
    </rPh>
    <rPh sb="104" eb="106">
      <t>セイセキ</t>
    </rPh>
    <rPh sb="106" eb="108">
      <t>ヒョウカ</t>
    </rPh>
    <rPh sb="109" eb="111">
      <t>ジョウキョウ</t>
    </rPh>
    <rPh sb="112" eb="115">
      <t>ヒョウテイチ</t>
    </rPh>
    <rPh sb="130" eb="132">
      <t>ブンプ</t>
    </rPh>
    <rPh sb="132" eb="133">
      <t>トウ</t>
    </rPh>
    <rPh sb="135" eb="137">
      <t>ハアク</t>
    </rPh>
    <rPh sb="139" eb="141">
      <t>カモク</t>
    </rPh>
    <rPh sb="141" eb="143">
      <t>タントウ</t>
    </rPh>
    <rPh sb="143" eb="145">
      <t>キョウイン</t>
    </rPh>
    <rPh sb="147" eb="149">
      <t>ジョウホウ</t>
    </rPh>
    <rPh sb="149" eb="151">
      <t>キョウユウ</t>
    </rPh>
    <rPh sb="152" eb="153">
      <t>ハカ</t>
    </rPh>
    <rPh sb="158" eb="166">
      <t>｢ジョウホウノショリI｣</t>
    </rPh>
    <rPh sb="166" eb="173">
      <t>｢ジョウホウノショリ｣</t>
    </rPh>
    <rPh sb="179" eb="188">
      <t>ゼンガクジョウホウキョウイクイインカイ</t>
    </rPh>
    <rPh sb="189" eb="191">
      <t>セッチ</t>
    </rPh>
    <rPh sb="194" eb="198">
      <t>ジョウホウキョウイク</t>
    </rPh>
    <rPh sb="199" eb="201">
      <t>ジュギョウ</t>
    </rPh>
    <rPh sb="201" eb="203">
      <t>ウンエイ</t>
    </rPh>
    <rPh sb="204" eb="205">
      <t>カン</t>
    </rPh>
    <rPh sb="212" eb="214">
      <t>ジョウホウ</t>
    </rPh>
    <rPh sb="214" eb="216">
      <t>キョウユウ</t>
    </rPh>
    <rPh sb="217" eb="218">
      <t>オコナ</t>
    </rPh>
    <rPh sb="220" eb="222">
      <t>ヒツヨウ</t>
    </rPh>
    <rPh sb="223" eb="224">
      <t>オウ</t>
    </rPh>
    <rPh sb="226" eb="229">
      <t>ジネンド</t>
    </rPh>
    <rPh sb="230" eb="232">
      <t>ジュギョウ</t>
    </rPh>
    <rPh sb="232" eb="234">
      <t>ナイヨウ</t>
    </rPh>
    <rPh sb="235" eb="237">
      <t>カイゼン</t>
    </rPh>
    <rPh sb="238" eb="239">
      <t>コウ</t>
    </rPh>
    <phoneticPr fontId="1"/>
  </si>
  <si>
    <t>ビッグデータやIoT、AIの利活用などの内容については、身近な事例を多く取りあげ、理工系の難しい話という印象を持たせることなく自分たちの生活に密接に関わっているという視点で理解につながるよう授業展開を工夫している。</t>
    <rPh sb="14" eb="17">
      <t>リカツヨウ</t>
    </rPh>
    <rPh sb="20" eb="22">
      <t>ナイヨウ</t>
    </rPh>
    <rPh sb="28" eb="30">
      <t>ミヂカ</t>
    </rPh>
    <rPh sb="31" eb="33">
      <t>ジレイ</t>
    </rPh>
    <rPh sb="34" eb="35">
      <t>オオ</t>
    </rPh>
    <rPh sb="36" eb="37">
      <t>ト</t>
    </rPh>
    <rPh sb="41" eb="44">
      <t>リコウケイ</t>
    </rPh>
    <rPh sb="45" eb="46">
      <t>ムズカ</t>
    </rPh>
    <rPh sb="48" eb="49">
      <t>ハナシ</t>
    </rPh>
    <rPh sb="52" eb="54">
      <t>インショウ</t>
    </rPh>
    <rPh sb="55" eb="56">
      <t>モ</t>
    </rPh>
    <rPh sb="63" eb="65">
      <t>ジブン</t>
    </rPh>
    <rPh sb="68" eb="70">
      <t>セイカツ</t>
    </rPh>
    <rPh sb="71" eb="73">
      <t>ミッセツ</t>
    </rPh>
    <rPh sb="74" eb="75">
      <t>カカ</t>
    </rPh>
    <rPh sb="83" eb="85">
      <t>シテン</t>
    </rPh>
    <rPh sb="86" eb="88">
      <t>リカイ</t>
    </rPh>
    <rPh sb="95" eb="97">
      <t>ジュギョウ</t>
    </rPh>
    <rPh sb="97" eb="99">
      <t>テンカイ</t>
    </rPh>
    <rPh sb="100" eb="102">
      <t>クフウ</t>
    </rPh>
    <phoneticPr fontId="1"/>
  </si>
  <si>
    <t>授業進行中において、全学情報教育委員会のもとに設置している「情報教育の授業運営に関するWG」を中心に、教室内の学生の様子について意見交換を行っている。また、授業終了後においては、学生による授業評価アンケート結果を基に授業内容や方法の改善を継続的に図っている。</t>
    <rPh sb="0" eb="2">
      <t>ジュギョウ</t>
    </rPh>
    <rPh sb="2" eb="5">
      <t>シンコウチュウ</t>
    </rPh>
    <rPh sb="10" eb="12">
      <t>ゼンガク</t>
    </rPh>
    <rPh sb="12" eb="14">
      <t>ジョウホウ</t>
    </rPh>
    <rPh sb="14" eb="16">
      <t>キョウイク</t>
    </rPh>
    <rPh sb="16" eb="19">
      <t>イインカイ</t>
    </rPh>
    <rPh sb="23" eb="25">
      <t>セッチ</t>
    </rPh>
    <rPh sb="30" eb="34">
      <t>ジョウホウキョウイク</t>
    </rPh>
    <rPh sb="35" eb="39">
      <t>ジュギョウウンエイ</t>
    </rPh>
    <rPh sb="40" eb="41">
      <t>カン</t>
    </rPh>
    <rPh sb="47" eb="49">
      <t>チュウシン</t>
    </rPh>
    <rPh sb="51" eb="54">
      <t>キョウシツナイ</t>
    </rPh>
    <rPh sb="55" eb="57">
      <t>ガクセイ</t>
    </rPh>
    <rPh sb="58" eb="60">
      <t>ヨウス</t>
    </rPh>
    <rPh sb="64" eb="66">
      <t>イケン</t>
    </rPh>
    <rPh sb="66" eb="68">
      <t>コウカン</t>
    </rPh>
    <rPh sb="69" eb="70">
      <t>オコナ</t>
    </rPh>
    <rPh sb="78" eb="80">
      <t>ジュギョウ</t>
    </rPh>
    <rPh sb="80" eb="83">
      <t>シュウリョウゴ</t>
    </rPh>
    <rPh sb="89" eb="91">
      <t>ガクセイ</t>
    </rPh>
    <rPh sb="91" eb="93">
      <t>チュウガクセイ</t>
    </rPh>
    <rPh sb="94" eb="98">
      <t>ジュギョウヒョウカ</t>
    </rPh>
    <rPh sb="103" eb="105">
      <t>ケッカ</t>
    </rPh>
    <rPh sb="106" eb="107">
      <t>モト</t>
    </rPh>
    <rPh sb="108" eb="110">
      <t>ジュギョウ</t>
    </rPh>
    <rPh sb="110" eb="112">
      <t>ナイヨウ</t>
    </rPh>
    <rPh sb="113" eb="115">
      <t>ホウホウ</t>
    </rPh>
    <rPh sb="116" eb="118">
      <t>カイゼン</t>
    </rPh>
    <rPh sb="119" eb="122">
      <t>ケイゾクテキ</t>
    </rPh>
    <rPh sb="123" eb="124">
      <t>ハカ</t>
    </rPh>
    <phoneticPr fontId="1"/>
  </si>
  <si>
    <t>『情報の処理I』『情報の処理』は対面授業であるが、eラーニングシステム上に教材が用意され授業運営されている。学生はコース内の課題について提出状況などを自身で把握することが出来るようになっている。本プログラムに関する授業回に関する小テスト等も随時行われ、担当教員および学生が学修成果をそれぞれ確認できるようになっている。
学修成果の内容については、「情報教育の授業運営に関するWG」で情報共有を図り、授業内容の妥当性などの検証を行っている。また、上記の履修・修得状況のデータと併せて、本プログラムの効果についても検証を行っている。</t>
    <rPh sb="0" eb="8">
      <t>｢ジョウホウノショリI｣</t>
    </rPh>
    <rPh sb="8" eb="15">
      <t>｢ジョウホウノショリ｣</t>
    </rPh>
    <rPh sb="16" eb="18">
      <t>タイメン</t>
    </rPh>
    <rPh sb="18" eb="20">
      <t>ジュギョウ</t>
    </rPh>
    <rPh sb="35" eb="36">
      <t>ジョウ</t>
    </rPh>
    <rPh sb="37" eb="39">
      <t>キョウザイ</t>
    </rPh>
    <rPh sb="40" eb="42">
      <t>ヨウイ</t>
    </rPh>
    <rPh sb="44" eb="46">
      <t>ジュギョウ</t>
    </rPh>
    <rPh sb="46" eb="48">
      <t>ウンエイ</t>
    </rPh>
    <rPh sb="54" eb="56">
      <t>ガクセイ</t>
    </rPh>
    <rPh sb="59" eb="60">
      <t>ナイ</t>
    </rPh>
    <rPh sb="61" eb="63">
      <t>カダイ</t>
    </rPh>
    <rPh sb="67" eb="69">
      <t>テイシュツ</t>
    </rPh>
    <rPh sb="75" eb="77">
      <t>ジシン</t>
    </rPh>
    <rPh sb="84" eb="86">
      <t>デキ</t>
    </rPh>
    <rPh sb="96" eb="97">
      <t>ホン</t>
    </rPh>
    <rPh sb="103" eb="104">
      <t>カン</t>
    </rPh>
    <rPh sb="106" eb="108">
      <t>ジュギョウ</t>
    </rPh>
    <rPh sb="108" eb="109">
      <t>カイ</t>
    </rPh>
    <rPh sb="110" eb="111">
      <t>カン</t>
    </rPh>
    <rPh sb="113" eb="114">
      <t>ショウ</t>
    </rPh>
    <rPh sb="117" eb="118">
      <t>トウ</t>
    </rPh>
    <rPh sb="119" eb="121">
      <t>ズイジ</t>
    </rPh>
    <rPh sb="121" eb="122">
      <t>オコナ</t>
    </rPh>
    <rPh sb="125" eb="127">
      <t>タントウ</t>
    </rPh>
    <rPh sb="127" eb="129">
      <t>キョウイン</t>
    </rPh>
    <rPh sb="132" eb="134">
      <t>ガクセイ</t>
    </rPh>
    <rPh sb="135" eb="137">
      <t>ガクシュウ</t>
    </rPh>
    <rPh sb="137" eb="139">
      <t>セイカ</t>
    </rPh>
    <rPh sb="159" eb="161">
      <t>ガクシュウ</t>
    </rPh>
    <rPh sb="161" eb="163">
      <t>セイカ</t>
    </rPh>
    <rPh sb="164" eb="166">
      <t>ナイヨウ</t>
    </rPh>
    <rPh sb="173" eb="175">
      <t>ジョウホウ</t>
    </rPh>
    <rPh sb="175" eb="177">
      <t>キョウイク</t>
    </rPh>
    <rPh sb="178" eb="180">
      <t>ジュギョウ</t>
    </rPh>
    <rPh sb="180" eb="182">
      <t>ウンエイ</t>
    </rPh>
    <rPh sb="183" eb="184">
      <t>カン</t>
    </rPh>
    <rPh sb="190" eb="192">
      <t>ジョウホウ</t>
    </rPh>
    <rPh sb="192" eb="194">
      <t>キョウユウ</t>
    </rPh>
    <rPh sb="195" eb="196">
      <t>ハカ</t>
    </rPh>
    <rPh sb="198" eb="200">
      <t>ジュギョウ</t>
    </rPh>
    <rPh sb="200" eb="202">
      <t>ナイヨウ</t>
    </rPh>
    <rPh sb="203" eb="206">
      <t>ダトウセイ</t>
    </rPh>
    <rPh sb="212" eb="213">
      <t>オコナ</t>
    </rPh>
    <rPh sb="221" eb="223">
      <t>ジョウキ</t>
    </rPh>
    <rPh sb="224" eb="226">
      <t>リシュウ</t>
    </rPh>
    <rPh sb="227" eb="229">
      <t>シュウトク</t>
    </rPh>
    <rPh sb="229" eb="231">
      <t>ジョウキョウ</t>
    </rPh>
    <rPh sb="236" eb="237">
      <t>アワ</t>
    </rPh>
    <rPh sb="240" eb="241">
      <t>ホン</t>
    </rPh>
    <rPh sb="247" eb="249">
      <t>コウカ</t>
    </rPh>
    <rPh sb="254" eb="256">
      <t>ケンショウ</t>
    </rPh>
    <rPh sb="257" eb="258">
      <t>オコナ</t>
    </rPh>
    <phoneticPr fontId="1"/>
  </si>
  <si>
    <t>総合講座自己点検・評価実施委員会委員長</t>
    <rPh sb="0" eb="8">
      <t>ソウゴウコウザジコテンケン</t>
    </rPh>
    <rPh sb="9" eb="11">
      <t>ヒョウカ</t>
    </rPh>
    <rPh sb="11" eb="13">
      <t>ジッシ</t>
    </rPh>
    <rPh sb="13" eb="16">
      <t>イインカイ</t>
    </rPh>
    <rPh sb="16" eb="19">
      <t>イインチョウ</t>
    </rPh>
    <phoneticPr fontId="1"/>
  </si>
  <si>
    <t>主な就職先である企業等に対して毎年実施している「卒業生に関するアンケート」において、本教育プログラムを修了した卒業生の採用状況や企業評価、採用意欲等を把握する仕組みを設ける予定である。これらの情報を総合講座自己点検・評価実施委員会で点検・評価し、プログラム改善の取り組みを進めていく。</t>
    <rPh sb="96" eb="98">
      <t>ジョウホウ</t>
    </rPh>
    <rPh sb="99" eb="101">
      <t>ソウゴウ</t>
    </rPh>
    <rPh sb="101" eb="103">
      <t>コウザ</t>
    </rPh>
    <rPh sb="103" eb="105">
      <t>ジコ</t>
    </rPh>
    <rPh sb="110" eb="112">
      <t>ジッシ</t>
    </rPh>
    <rPh sb="112" eb="115">
      <t>イインカイ</t>
    </rPh>
    <rPh sb="128" eb="130">
      <t>カイゼン</t>
    </rPh>
    <rPh sb="131" eb="132">
      <t>ト</t>
    </rPh>
    <rPh sb="133" eb="134">
      <t>ク</t>
    </rPh>
    <rPh sb="136" eb="137">
      <t>スス</t>
    </rPh>
    <phoneticPr fontId="1"/>
  </si>
  <si>
    <t>主な就職先である企業等に対して毎年実施している「卒業生に関するアンケート」において、本教育プログラムに対する評価・意見等を収集するとともに、本教育プログラムの改善に活用する予定である。また、2023年度より設置する「常磐大学・常磐短期大学の教育研究活動に関する懇談会」において、教育プログラムの内容･方法や教育プログラムに関する点検・評価の取り組みについて、学外諸機関の関係者や有識者の意見を求め、改善に結びつける仕組みを整えている。</t>
    <rPh sb="99" eb="101">
      <t>ネンド</t>
    </rPh>
    <rPh sb="103" eb="105">
      <t>セッチ</t>
    </rPh>
    <rPh sb="108" eb="112">
      <t>トキワダイガク</t>
    </rPh>
    <rPh sb="113" eb="115">
      <t>トキワ</t>
    </rPh>
    <rPh sb="115" eb="117">
      <t>タンキ</t>
    </rPh>
    <rPh sb="117" eb="119">
      <t>ダイガク</t>
    </rPh>
    <rPh sb="120" eb="126">
      <t>キョウイクケンキュウカツドウ</t>
    </rPh>
    <rPh sb="127" eb="128">
      <t>カン</t>
    </rPh>
    <rPh sb="130" eb="133">
      <t>コンダンカイ</t>
    </rPh>
    <rPh sb="139" eb="141">
      <t>キョウイク</t>
    </rPh>
    <rPh sb="147" eb="149">
      <t>ナイヨウ</t>
    </rPh>
    <rPh sb="150" eb="152">
      <t>ホウホウ</t>
    </rPh>
    <rPh sb="153" eb="155">
      <t>キョウイク</t>
    </rPh>
    <rPh sb="161" eb="162">
      <t>カン</t>
    </rPh>
    <rPh sb="170" eb="171">
      <t>ト</t>
    </rPh>
    <rPh sb="172" eb="173">
      <t>ク</t>
    </rPh>
    <rPh sb="179" eb="181">
      <t>ガクガイ</t>
    </rPh>
    <rPh sb="181" eb="184">
      <t>ショキカン</t>
    </rPh>
    <rPh sb="185" eb="188">
      <t>カンケイシャ</t>
    </rPh>
    <rPh sb="189" eb="192">
      <t>ユウシキシャ</t>
    </rPh>
    <rPh sb="193" eb="195">
      <t>イケン</t>
    </rPh>
    <rPh sb="196" eb="197">
      <t>モト</t>
    </rPh>
    <rPh sb="199" eb="201">
      <t>カイゼン</t>
    </rPh>
    <rPh sb="202" eb="203">
      <t>ムス</t>
    </rPh>
    <rPh sb="207" eb="209">
      <t>シク</t>
    </rPh>
    <rPh sb="211" eb="212">
      <t>トトノ</t>
    </rPh>
    <phoneticPr fontId="1"/>
  </si>
  <si>
    <t>河野敬一</t>
    <rPh sb="0" eb="4">
      <t>コウノケイイチ</t>
    </rPh>
    <phoneticPr fontId="1"/>
  </si>
  <si>
    <t>　総合講座委員会は、常磐大学における全学共通教育を実施する責任組織として、全学共通教育に関する授業科目の開設および廃止に関すること、全学共通教育に関する教育課程および教育指導に関することについて、企画・運営および審議を行う。
　また、総合講座委員会の中に、全学共通教育の科目群のひとつである全学基本科目運営会議を設け、情報教育に関して、全学情報教育委員会と連携して教育を円滑に実施することを目的とし、コンピュータスキルおよび統計手法を学生が修得するよう審議し、総合講座委員会において改善の提議等を行う。</t>
    <rPh sb="159" eb="161">
      <t>ジョウホウ</t>
    </rPh>
    <rPh sb="161" eb="163">
      <t>キョウイク</t>
    </rPh>
    <rPh sb="164" eb="165">
      <t>カン</t>
    </rPh>
    <rPh sb="168" eb="170">
      <t>ゼンガク</t>
    </rPh>
    <rPh sb="170" eb="172">
      <t>ジョウホウ</t>
    </rPh>
    <rPh sb="172" eb="174">
      <t>キョウイク</t>
    </rPh>
    <rPh sb="174" eb="177">
      <t>イインカイ</t>
    </rPh>
    <rPh sb="178" eb="180">
      <t>レンケイ</t>
    </rPh>
    <phoneticPr fontId="1"/>
  </si>
  <si>
    <t>総合講座委員会規程，全学自己点検・評価規程，全学情報教育委員会規程</t>
    <rPh sb="10" eb="12">
      <t>ゼンガク</t>
    </rPh>
    <rPh sb="12" eb="14">
      <t>ジコ</t>
    </rPh>
    <rPh sb="14" eb="16">
      <t>テンケン</t>
    </rPh>
    <rPh sb="17" eb="19">
      <t>ヒョウカ</t>
    </rPh>
    <rPh sb="19" eb="21">
      <t>キテイ</t>
    </rPh>
    <rPh sb="22" eb="24">
      <t>ゼンガク</t>
    </rPh>
    <rPh sb="24" eb="26">
      <t>ジョウホウ</t>
    </rPh>
    <rPh sb="26" eb="28">
      <t>キョウイク</t>
    </rPh>
    <rPh sb="28" eb="31">
      <t>イインカイ</t>
    </rPh>
    <rPh sb="31" eb="33">
      <t>キテイ</t>
    </rPh>
    <phoneticPr fontId="1"/>
  </si>
  <si>
    <t>本学では本プログラムの対象科目を含めほとんどの授業科目で学生による授業アンケートを行っており、アンケートの結果は「常磐大学ファカルティデベロップメント委員会」より各科目担当教員へ送付されている。このアンケートにより、学生の理解度などを科目担当教員はそれぞれ把握できるようになっている。本プログラムの対象科目についても、科目担当教員間あるいは全学基本科目運営会議などを通して情報共有を行っている。</t>
    <rPh sb="0" eb="2">
      <t>ホンガク</t>
    </rPh>
    <rPh sb="4" eb="5">
      <t>ホン</t>
    </rPh>
    <rPh sb="11" eb="15">
      <t>タイショウカモク</t>
    </rPh>
    <rPh sb="16" eb="17">
      <t>フク</t>
    </rPh>
    <rPh sb="23" eb="25">
      <t>ジュギョウ</t>
    </rPh>
    <rPh sb="25" eb="27">
      <t>カモク</t>
    </rPh>
    <rPh sb="28" eb="30">
      <t>ガクセイ</t>
    </rPh>
    <rPh sb="33" eb="35">
      <t>ジュギョウ</t>
    </rPh>
    <rPh sb="41" eb="42">
      <t>オコナ</t>
    </rPh>
    <rPh sb="53" eb="55">
      <t>ケッカ</t>
    </rPh>
    <rPh sb="57" eb="61">
      <t>トキワダイガク</t>
    </rPh>
    <rPh sb="75" eb="78">
      <t>イインカイ</t>
    </rPh>
    <rPh sb="81" eb="84">
      <t>カクカモク</t>
    </rPh>
    <rPh sb="84" eb="86">
      <t>タントウ</t>
    </rPh>
    <rPh sb="86" eb="88">
      <t>キョウイン</t>
    </rPh>
    <rPh sb="89" eb="91">
      <t>ソウフ</t>
    </rPh>
    <rPh sb="108" eb="110">
      <t>ガクセイ</t>
    </rPh>
    <rPh sb="111" eb="114">
      <t>リカイド</t>
    </rPh>
    <rPh sb="117" eb="119">
      <t>カモク</t>
    </rPh>
    <rPh sb="119" eb="121">
      <t>タントウ</t>
    </rPh>
    <rPh sb="121" eb="123">
      <t>キョウイン</t>
    </rPh>
    <rPh sb="128" eb="130">
      <t>ハアク</t>
    </rPh>
    <rPh sb="142" eb="143">
      <t>ホン</t>
    </rPh>
    <rPh sb="149" eb="153">
      <t>タイショウカモク</t>
    </rPh>
    <rPh sb="159" eb="161">
      <t>カモク</t>
    </rPh>
    <rPh sb="161" eb="163">
      <t>タントウ</t>
    </rPh>
    <rPh sb="163" eb="165">
      <t>キョウイン</t>
    </rPh>
    <rPh sb="165" eb="166">
      <t>カン</t>
    </rPh>
    <rPh sb="170" eb="180">
      <t>ゼンガクキホンカモクウンエイカイギ</t>
    </rPh>
    <rPh sb="183" eb="184">
      <t>トオ</t>
    </rPh>
    <rPh sb="186" eb="188">
      <t>ジョウホウ</t>
    </rPh>
    <rPh sb="188" eb="190">
      <t>キョウユウ</t>
    </rPh>
    <rPh sb="191" eb="192">
      <t>オコナ</t>
    </rPh>
    <phoneticPr fontId="1"/>
  </si>
  <si>
    <t>河野敬一</t>
    <rPh sb="0" eb="2">
      <t>コウノ</t>
    </rPh>
    <rPh sb="2" eb="4">
      <t>ケイイチ</t>
    </rPh>
    <phoneticPr fontId="1"/>
  </si>
  <si>
    <t>人間科学部　教授　河野敬一 （総合講座委員会委員長、総合講座自己点検・評価実施委員会委員長）
人間科学部　教授　森 弘一 （総合講座委員会副委員長）
総合政策学部　准教授　町 英朋 （総合講座委員会全学基本科目運営会議長、全学情報教育委員会委員長、情報教育の授業運営に関するWG長）
人間科学部　教授　北根 精美（情報教育の授業運営に関するWG）
総合政策学部　教授　塩 雅之（情報教育の授業運営に関するWG）
人間科学部　専任講師　寺島 哲平（総合講座全学基本科目運営会議委員、全学情報教育委員会委員、情報教育の授業運営に関するWG）
人間科学部　助教　栗原 和弘（総合講座全学基本科目運営会議委員、『統計の基礎』担当教員）
常磐短期大学　助教　笹原 康孝 （全学情報教育委員会委員、情報教育の授業運営に関するWG）</t>
    <rPh sb="0" eb="2">
      <t>ニンゲン</t>
    </rPh>
    <rPh sb="2" eb="5">
      <t>カガクブ</t>
    </rPh>
    <rPh sb="6" eb="8">
      <t>キョウジュ</t>
    </rPh>
    <rPh sb="9" eb="13">
      <t>コウノケイイチ</t>
    </rPh>
    <rPh sb="47" eb="49">
      <t>ニンゲン</t>
    </rPh>
    <rPh sb="49" eb="52">
      <t>カガクブ</t>
    </rPh>
    <rPh sb="53" eb="55">
      <t>キョウジュ</t>
    </rPh>
    <rPh sb="69" eb="70">
      <t>フク</t>
    </rPh>
    <rPh sb="75" eb="77">
      <t>ソウゴウ</t>
    </rPh>
    <rPh sb="77" eb="79">
      <t>セイサク</t>
    </rPh>
    <rPh sb="79" eb="81">
      <t>ガクブ</t>
    </rPh>
    <rPh sb="82" eb="85">
      <t>ジュンキョウジュ</t>
    </rPh>
    <rPh sb="96" eb="99">
      <t>イインカイ</t>
    </rPh>
    <rPh sb="142" eb="144">
      <t>ニンゲン</t>
    </rPh>
    <rPh sb="144" eb="147">
      <t>カガクブ</t>
    </rPh>
    <rPh sb="148" eb="150">
      <t>キョウジュ</t>
    </rPh>
    <rPh sb="174" eb="176">
      <t>ソウゴウ</t>
    </rPh>
    <rPh sb="176" eb="178">
      <t>セイサク</t>
    </rPh>
    <rPh sb="178" eb="180">
      <t>ガクブ</t>
    </rPh>
    <rPh sb="181" eb="183">
      <t>キョウジュ</t>
    </rPh>
    <rPh sb="206" eb="208">
      <t>ニンゲン</t>
    </rPh>
    <rPh sb="208" eb="211">
      <t>カガクブ</t>
    </rPh>
    <rPh sb="212" eb="214">
      <t>センニン</t>
    </rPh>
    <rPh sb="214" eb="216">
      <t>コウシ</t>
    </rPh>
    <rPh sb="223" eb="225">
      <t>ソウゴウ</t>
    </rPh>
    <rPh sb="225" eb="227">
      <t>コウザ</t>
    </rPh>
    <rPh sb="227" eb="229">
      <t>ゼンガク</t>
    </rPh>
    <rPh sb="229" eb="231">
      <t>キホン</t>
    </rPh>
    <rPh sb="231" eb="233">
      <t>カモク</t>
    </rPh>
    <rPh sb="233" eb="235">
      <t>ウンエイ</t>
    </rPh>
    <rPh sb="235" eb="237">
      <t>カイギ</t>
    </rPh>
    <rPh sb="237" eb="239">
      <t>イイン</t>
    </rPh>
    <rPh sb="269" eb="271">
      <t>ニンゲン</t>
    </rPh>
    <rPh sb="271" eb="274">
      <t>カガクブ</t>
    </rPh>
    <rPh sb="275" eb="277">
      <t>ジョキョウ</t>
    </rPh>
    <rPh sb="314" eb="316">
      <t>トキワ</t>
    </rPh>
    <rPh sb="316" eb="318">
      <t>タンキ</t>
    </rPh>
    <rPh sb="318" eb="320">
      <t>ダイガク</t>
    </rPh>
    <rPh sb="321" eb="323">
      <t>ジョキョウ</t>
    </rPh>
    <phoneticPr fontId="1"/>
  </si>
  <si>
    <t>・個人情報保護、EU一般データ保護規則(GDPR)、忘れられる権利、オプトアウト(「情報の処理I」第3回)
・データ倫理：データのねつ造、改ざん、盗用、プライバシー保護(「情報の処理I」第3回)
・AI社会原則(「情報の処理I」第3回)</t>
    <rPh sb="1" eb="3">
      <t>コジン</t>
    </rPh>
    <rPh sb="3" eb="5">
      <t>ジョウホウ</t>
    </rPh>
    <rPh sb="5" eb="7">
      <t>ホゴ</t>
    </rPh>
    <rPh sb="10" eb="12">
      <t>イッパン</t>
    </rPh>
    <rPh sb="15" eb="17">
      <t>ホゴ</t>
    </rPh>
    <rPh sb="17" eb="19">
      <t>キソク</t>
    </rPh>
    <rPh sb="26" eb="27">
      <t>ワス</t>
    </rPh>
    <rPh sb="31" eb="33">
      <t>ケンリ</t>
    </rPh>
    <rPh sb="51" eb="52">
      <t>カイ</t>
    </rPh>
    <rPh sb="58" eb="60">
      <t>リンリ</t>
    </rPh>
    <rPh sb="67" eb="68">
      <t>ゾウ</t>
    </rPh>
    <rPh sb="69" eb="70">
      <t>カイ</t>
    </rPh>
    <rPh sb="73" eb="75">
      <t>トウヨウ</t>
    </rPh>
    <rPh sb="82" eb="84">
      <t>ホゴ</t>
    </rPh>
    <rPh sb="95" eb="96">
      <t>カイ</t>
    </rPh>
    <rPh sb="101" eb="103">
      <t>シャカイ</t>
    </rPh>
    <rPh sb="103" eb="105">
      <t>ゲンソク</t>
    </rPh>
    <rPh sb="116" eb="117">
      <t>カイ</t>
    </rPh>
    <phoneticPr fontId="1"/>
  </si>
  <si>
    <t>様式１-１</t>
    <rPh sb="0" eb="2">
      <t>ヨウシキ</t>
    </rPh>
    <phoneticPr fontId="1"/>
  </si>
  <si>
    <t>様式１-２</t>
    <rPh sb="0" eb="2">
      <t>ヨウシキ</t>
    </rPh>
    <phoneticPr fontId="1"/>
  </si>
  <si>
    <t>・個人情報保護、EU一般データ保護規則(GDPR)、忘れられる権利、オプトアウト(「情報の処理」第3回)
・データ倫理：データのねつ造、改ざん、盗用、プライバシー保護(「情報の処理」第3回)
・AI社会原則(「情報の処理」第3回)</t>
    <rPh sb="1" eb="3">
      <t>コジン</t>
    </rPh>
    <rPh sb="3" eb="5">
      <t>ジョウホウ</t>
    </rPh>
    <rPh sb="5" eb="7">
      <t>ホゴ</t>
    </rPh>
    <rPh sb="10" eb="12">
      <t>イッパン</t>
    </rPh>
    <rPh sb="15" eb="17">
      <t>ホゴ</t>
    </rPh>
    <rPh sb="17" eb="19">
      <t>キソク</t>
    </rPh>
    <rPh sb="26" eb="27">
      <t>ワス</t>
    </rPh>
    <rPh sb="31" eb="33">
      <t>ケンリ</t>
    </rPh>
    <rPh sb="50" eb="51">
      <t>カイ</t>
    </rPh>
    <rPh sb="57" eb="59">
      <t>リンリ</t>
    </rPh>
    <rPh sb="66" eb="67">
      <t>ゾウ</t>
    </rPh>
    <rPh sb="68" eb="69">
      <t>カイ</t>
    </rPh>
    <rPh sb="72" eb="74">
      <t>トウヨウ</t>
    </rPh>
    <rPh sb="81" eb="83">
      <t>ホゴ</t>
    </rPh>
    <rPh sb="93" eb="94">
      <t>カイ</t>
    </rPh>
    <rPh sb="99" eb="101">
      <t>シャカイ</t>
    </rPh>
    <rPh sb="101" eb="103">
      <t>ゲンソク</t>
    </rPh>
    <rPh sb="113" eb="114">
      <t>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</si>
</sst>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14" xfId="0" applyNumberFormat="1" applyFont="1" applyBorder="1" applyAlignment="1">
      <alignment vertical="center" shrinkToFit="1"/>
    </xf>
    <xf numFmtId="0" fontId="7" fillId="0" borderId="1" xfId="0" applyFont="1" applyBorder="1" applyAlignment="1">
      <alignment horizontal="left"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vertical="center" wrapText="1"/>
    </xf>
    <xf numFmtId="0" fontId="2" fillId="0" borderId="3" xfId="0" applyFont="1" applyBorder="1" applyAlignment="1">
      <alignment horizontal="center" vertical="center"/>
    </xf>
    <xf numFmtId="0" fontId="2" fillId="0" borderId="0" xfId="0" applyFont="1" applyAlignment="1">
      <alignment horizontal="righ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3" fillId="0" borderId="46" xfId="0" applyFont="1" applyBorder="1" applyAlignment="1">
      <alignment vertical="center" wrapTex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36" xfId="0" applyFont="1" applyBorder="1" applyAlignment="1">
      <alignment vertical="center" wrapText="1" shrinkToFit="1"/>
    </xf>
    <xf numFmtId="0" fontId="2" fillId="0" borderId="19"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9" xfId="0" applyFont="1" applyBorder="1" applyAlignment="1">
      <alignment vertical="top" wrapText="1" shrinkToFit="1"/>
    </xf>
    <xf numFmtId="0" fontId="2" fillId="0" borderId="37"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4" zoomScaleNormal="100" zoomScaleSheetLayoutView="100" workbookViewId="0">
      <selection activeCell="N6" sqref="N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99" t="s">
        <v>186</v>
      </c>
      <c r="S1" s="99"/>
      <c r="T1" s="2" t="s">
        <v>108</v>
      </c>
    </row>
    <row r="2" spans="1:22" ht="18.75" customHeight="1" x14ac:dyDescent="0.15">
      <c r="B2" s="33" t="s">
        <v>107</v>
      </c>
      <c r="C2" s="92" t="s">
        <v>124</v>
      </c>
      <c r="D2" s="98"/>
      <c r="E2" s="98"/>
      <c r="F2" s="98"/>
      <c r="G2" s="98"/>
      <c r="H2" s="98"/>
      <c r="I2" s="93"/>
      <c r="J2" s="34"/>
      <c r="K2" s="6"/>
      <c r="L2" s="6"/>
      <c r="M2" s="6"/>
      <c r="N2" s="6"/>
      <c r="O2" s="6"/>
      <c r="P2" s="6"/>
      <c r="Q2" s="6"/>
      <c r="R2" s="6"/>
      <c r="S2" s="6"/>
    </row>
    <row r="3" spans="1:22" ht="18.75" customHeight="1" x14ac:dyDescent="0.15">
      <c r="B3" s="33" t="s">
        <v>101</v>
      </c>
      <c r="C3" s="100" t="s">
        <v>170</v>
      </c>
      <c r="D3" s="101"/>
      <c r="E3" s="101"/>
      <c r="F3" s="101"/>
      <c r="G3" s="101"/>
      <c r="H3" s="101"/>
      <c r="I3" s="102"/>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03" t="s">
        <v>38</v>
      </c>
      <c r="B5" s="103"/>
      <c r="C5" s="103"/>
      <c r="D5" s="103"/>
      <c r="E5" s="103"/>
      <c r="F5" s="103"/>
      <c r="G5" s="103"/>
      <c r="H5" s="103"/>
      <c r="I5" s="103"/>
      <c r="J5" s="103"/>
      <c r="K5" s="103"/>
      <c r="L5" s="103"/>
      <c r="M5" s="103"/>
      <c r="N5" s="103"/>
      <c r="O5" s="103"/>
      <c r="P5" s="103"/>
      <c r="Q5" s="103"/>
      <c r="R5" s="103"/>
      <c r="S5" s="10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122</v>
      </c>
      <c r="C7" s="3"/>
      <c r="J7" s="37" t="s">
        <v>106</v>
      </c>
      <c r="K7" s="104" t="s">
        <v>126</v>
      </c>
      <c r="L7" s="105"/>
      <c r="M7" s="105"/>
      <c r="N7" s="105"/>
      <c r="O7" s="105"/>
      <c r="P7" s="105"/>
      <c r="Q7" s="105"/>
      <c r="R7" s="105"/>
      <c r="S7" s="106"/>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07" t="s">
        <v>125</v>
      </c>
      <c r="C9" s="108"/>
      <c r="D9" s="108"/>
      <c r="E9" s="108"/>
      <c r="F9" s="108"/>
      <c r="G9" s="108"/>
      <c r="H9" s="108"/>
      <c r="I9" s="108"/>
      <c r="J9" s="108"/>
      <c r="K9" s="108"/>
      <c r="L9" s="108"/>
      <c r="M9" s="108"/>
      <c r="N9" s="108"/>
      <c r="O9" s="108"/>
      <c r="P9" s="108"/>
      <c r="Q9" s="108"/>
      <c r="R9" s="108"/>
      <c r="S9" s="109"/>
    </row>
    <row r="10" spans="1:22" ht="18" customHeight="1" x14ac:dyDescent="0.15">
      <c r="B10" s="110"/>
      <c r="C10" s="111"/>
      <c r="D10" s="111"/>
      <c r="E10" s="111"/>
      <c r="F10" s="111"/>
      <c r="G10" s="111"/>
      <c r="H10" s="111"/>
      <c r="I10" s="111"/>
      <c r="J10" s="111"/>
      <c r="K10" s="111"/>
      <c r="L10" s="111"/>
      <c r="M10" s="111"/>
      <c r="N10" s="111"/>
      <c r="O10" s="111"/>
      <c r="P10" s="111"/>
      <c r="Q10" s="111"/>
      <c r="R10" s="111"/>
      <c r="S10" s="11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110</v>
      </c>
      <c r="B12" s="3"/>
      <c r="C12" s="3"/>
      <c r="D12" s="34"/>
      <c r="E12" s="34"/>
      <c r="F12" s="34"/>
      <c r="G12" s="34"/>
      <c r="H12" s="34"/>
      <c r="I12" s="34"/>
      <c r="J12" s="34"/>
      <c r="K12" s="38"/>
      <c r="L12" s="38"/>
      <c r="M12" s="38"/>
      <c r="N12" s="38"/>
      <c r="O12" s="38"/>
      <c r="P12" s="38"/>
      <c r="Q12" s="38"/>
      <c r="R12" s="38"/>
      <c r="S12" s="38"/>
    </row>
    <row r="13" spans="1:22" ht="18" customHeight="1" x14ac:dyDescent="0.15">
      <c r="B13" s="83" t="s">
        <v>133</v>
      </c>
      <c r="C13" s="84"/>
      <c r="D13" s="84"/>
      <c r="E13" s="84"/>
      <c r="F13" s="84"/>
      <c r="G13" s="84"/>
      <c r="H13" s="84"/>
      <c r="I13" s="84"/>
      <c r="J13" s="84"/>
      <c r="K13" s="84"/>
      <c r="L13" s="84"/>
      <c r="M13" s="84"/>
      <c r="N13" s="84"/>
      <c r="O13" s="84"/>
      <c r="P13" s="84"/>
      <c r="Q13" s="84"/>
      <c r="R13" s="84"/>
      <c r="S13" s="85"/>
      <c r="V13" s="1" t="s">
        <v>102</v>
      </c>
    </row>
    <row r="14" spans="1:22" ht="18" customHeight="1" x14ac:dyDescent="0.15">
      <c r="B14" s="86"/>
      <c r="C14" s="87"/>
      <c r="D14" s="87"/>
      <c r="E14" s="87"/>
      <c r="F14" s="87"/>
      <c r="G14" s="87"/>
      <c r="H14" s="87"/>
      <c r="I14" s="87"/>
      <c r="J14" s="87"/>
      <c r="K14" s="87"/>
      <c r="L14" s="87"/>
      <c r="M14" s="87"/>
      <c r="N14" s="87"/>
      <c r="O14" s="87"/>
      <c r="P14" s="87"/>
      <c r="Q14" s="87"/>
      <c r="R14" s="87"/>
      <c r="S14" s="88"/>
      <c r="V14" s="1" t="s">
        <v>109</v>
      </c>
    </row>
    <row r="15" spans="1:22" ht="18" customHeight="1" x14ac:dyDescent="0.15">
      <c r="B15" s="86"/>
      <c r="C15" s="87"/>
      <c r="D15" s="87"/>
      <c r="E15" s="87"/>
      <c r="F15" s="87"/>
      <c r="G15" s="87"/>
      <c r="H15" s="87"/>
      <c r="I15" s="87"/>
      <c r="J15" s="87"/>
      <c r="K15" s="87"/>
      <c r="L15" s="87"/>
      <c r="M15" s="87"/>
      <c r="N15" s="87"/>
      <c r="O15" s="87"/>
      <c r="P15" s="87"/>
      <c r="Q15" s="87"/>
      <c r="R15" s="87"/>
      <c r="S15" s="88"/>
      <c r="V15" s="1" t="s">
        <v>121</v>
      </c>
    </row>
    <row r="16" spans="1:22" ht="18" customHeight="1" x14ac:dyDescent="0.15">
      <c r="B16" s="86"/>
      <c r="C16" s="87"/>
      <c r="D16" s="87"/>
      <c r="E16" s="87"/>
      <c r="F16" s="87"/>
      <c r="G16" s="87"/>
      <c r="H16" s="87"/>
      <c r="I16" s="87"/>
      <c r="J16" s="87"/>
      <c r="K16" s="87"/>
      <c r="L16" s="87"/>
      <c r="M16" s="87"/>
      <c r="N16" s="87"/>
      <c r="O16" s="87"/>
      <c r="P16" s="87"/>
      <c r="Q16" s="87"/>
      <c r="R16" s="87"/>
      <c r="S16" s="88"/>
      <c r="V16" s="1" t="s">
        <v>123</v>
      </c>
    </row>
    <row r="17" spans="1:19" ht="18" customHeight="1" x14ac:dyDescent="0.15">
      <c r="B17" s="86"/>
      <c r="C17" s="87"/>
      <c r="D17" s="87"/>
      <c r="E17" s="87"/>
      <c r="F17" s="87"/>
      <c r="G17" s="87"/>
      <c r="H17" s="87"/>
      <c r="I17" s="87"/>
      <c r="J17" s="87"/>
      <c r="K17" s="87"/>
      <c r="L17" s="87"/>
      <c r="M17" s="87"/>
      <c r="N17" s="87"/>
      <c r="O17" s="87"/>
      <c r="P17" s="87"/>
      <c r="Q17" s="87"/>
      <c r="R17" s="87"/>
      <c r="S17" s="88"/>
    </row>
    <row r="18" spans="1:19" ht="18" customHeight="1" x14ac:dyDescent="0.15">
      <c r="B18" s="89"/>
      <c r="C18" s="90"/>
      <c r="D18" s="90"/>
      <c r="E18" s="90"/>
      <c r="F18" s="90"/>
      <c r="G18" s="90"/>
      <c r="H18" s="90"/>
      <c r="I18" s="90"/>
      <c r="J18" s="90"/>
      <c r="K18" s="90"/>
      <c r="L18" s="90"/>
      <c r="M18" s="90"/>
      <c r="N18" s="90"/>
      <c r="O18" s="90"/>
      <c r="P18" s="90"/>
      <c r="Q18" s="90"/>
      <c r="R18" s="90"/>
      <c r="S18" s="9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111</v>
      </c>
      <c r="C20" s="92">
        <v>4</v>
      </c>
      <c r="D20" s="93"/>
      <c r="E20" s="39" t="s">
        <v>94</v>
      </c>
      <c r="G20" s="10"/>
      <c r="H20" s="3"/>
      <c r="I20" s="3"/>
      <c r="J20" s="34" t="s">
        <v>119</v>
      </c>
      <c r="K20" s="94" t="s">
        <v>121</v>
      </c>
      <c r="L20" s="95"/>
      <c r="M20" s="95"/>
      <c r="N20" s="95"/>
      <c r="O20" s="95"/>
      <c r="P20" s="95"/>
      <c r="Q20" s="95"/>
      <c r="R20" s="95"/>
      <c r="S20" s="9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7" t="s">
        <v>136</v>
      </c>
      <c r="B22" s="97"/>
      <c r="C22" s="97"/>
      <c r="D22" s="97"/>
      <c r="E22" s="97"/>
      <c r="F22" s="97"/>
      <c r="G22" s="97"/>
      <c r="H22" s="97"/>
      <c r="I22" s="97"/>
      <c r="J22" s="97"/>
      <c r="K22" s="97"/>
      <c r="L22" s="97"/>
      <c r="M22" s="97"/>
      <c r="N22" s="97"/>
      <c r="O22" s="97"/>
      <c r="P22" s="97"/>
      <c r="Q22" s="97"/>
      <c r="R22" s="97"/>
      <c r="S22" s="97"/>
    </row>
    <row r="23" spans="1:19" ht="18" customHeight="1" x14ac:dyDescent="0.15">
      <c r="A23" s="97"/>
      <c r="B23" s="97"/>
      <c r="C23" s="97"/>
      <c r="D23" s="97"/>
      <c r="E23" s="97"/>
      <c r="F23" s="97"/>
      <c r="G23" s="97"/>
      <c r="H23" s="97"/>
      <c r="I23" s="97"/>
      <c r="J23" s="97"/>
      <c r="K23" s="97"/>
      <c r="L23" s="97"/>
      <c r="M23" s="97"/>
      <c r="N23" s="97"/>
      <c r="O23" s="97"/>
      <c r="P23" s="97"/>
      <c r="Q23" s="97"/>
      <c r="R23" s="97"/>
      <c r="S23" s="97"/>
    </row>
    <row r="24" spans="1:19" ht="18" customHeight="1" x14ac:dyDescent="0.15">
      <c r="B24" s="92" t="s">
        <v>53</v>
      </c>
      <c r="C24" s="98"/>
      <c r="D24" s="98"/>
      <c r="E24" s="93"/>
      <c r="F24" s="60" t="s">
        <v>79</v>
      </c>
      <c r="G24" s="59" t="s">
        <v>83</v>
      </c>
      <c r="H24" s="21" t="s">
        <v>56</v>
      </c>
      <c r="I24" s="21" t="s">
        <v>59</v>
      </c>
      <c r="J24" s="92" t="s">
        <v>53</v>
      </c>
      <c r="K24" s="98"/>
      <c r="L24" s="98"/>
      <c r="M24" s="98"/>
      <c r="N24" s="98"/>
      <c r="O24" s="93"/>
      <c r="P24" s="60" t="s">
        <v>79</v>
      </c>
      <c r="Q24" s="59" t="s">
        <v>83</v>
      </c>
      <c r="R24" s="21" t="s">
        <v>56</v>
      </c>
      <c r="S24" s="21" t="s">
        <v>59</v>
      </c>
    </row>
    <row r="25" spans="1:19" ht="18" customHeight="1" x14ac:dyDescent="0.15">
      <c r="B25" s="116" t="s">
        <v>127</v>
      </c>
      <c r="C25" s="117"/>
      <c r="D25" s="117"/>
      <c r="E25" s="118"/>
      <c r="F25" s="22">
        <v>2</v>
      </c>
      <c r="G25" s="22" t="s">
        <v>128</v>
      </c>
      <c r="H25" s="22" t="s">
        <v>128</v>
      </c>
      <c r="I25" s="22" t="s">
        <v>128</v>
      </c>
      <c r="J25" s="116"/>
      <c r="K25" s="117"/>
      <c r="L25" s="117"/>
      <c r="M25" s="117"/>
      <c r="N25" s="117"/>
      <c r="O25" s="118"/>
      <c r="P25" s="22"/>
      <c r="Q25" s="22"/>
      <c r="R25" s="22"/>
      <c r="S25" s="22"/>
    </row>
    <row r="26" spans="1:19" ht="18" customHeight="1" x14ac:dyDescent="0.15">
      <c r="B26" s="113"/>
      <c r="C26" s="114"/>
      <c r="D26" s="114"/>
      <c r="E26" s="115"/>
      <c r="F26" s="23"/>
      <c r="G26" s="23"/>
      <c r="H26" s="23"/>
      <c r="I26" s="23"/>
      <c r="J26" s="113"/>
      <c r="K26" s="114"/>
      <c r="L26" s="114"/>
      <c r="M26" s="114"/>
      <c r="N26" s="114"/>
      <c r="O26" s="115"/>
      <c r="P26" s="23"/>
      <c r="Q26" s="23"/>
      <c r="R26" s="23"/>
      <c r="S26" s="23"/>
    </row>
    <row r="27" spans="1:19" ht="18" customHeight="1" x14ac:dyDescent="0.15">
      <c r="B27" s="113"/>
      <c r="C27" s="114"/>
      <c r="D27" s="114"/>
      <c r="E27" s="115"/>
      <c r="F27" s="23"/>
      <c r="G27" s="23"/>
      <c r="H27" s="23"/>
      <c r="I27" s="23"/>
      <c r="J27" s="113"/>
      <c r="K27" s="114"/>
      <c r="L27" s="114"/>
      <c r="M27" s="114"/>
      <c r="N27" s="114"/>
      <c r="O27" s="115"/>
      <c r="P27" s="23"/>
      <c r="Q27" s="23"/>
      <c r="R27" s="23"/>
      <c r="S27" s="23"/>
    </row>
    <row r="28" spans="1:19" ht="18" customHeight="1" x14ac:dyDescent="0.15">
      <c r="B28" s="113"/>
      <c r="C28" s="114"/>
      <c r="D28" s="114"/>
      <c r="E28" s="115"/>
      <c r="F28" s="23"/>
      <c r="G28" s="23"/>
      <c r="H28" s="23"/>
      <c r="I28" s="23"/>
      <c r="J28" s="113"/>
      <c r="K28" s="114"/>
      <c r="L28" s="114"/>
      <c r="M28" s="114"/>
      <c r="N28" s="114"/>
      <c r="O28" s="115"/>
      <c r="P28" s="23"/>
      <c r="Q28" s="23"/>
      <c r="R28" s="23"/>
      <c r="S28" s="23"/>
    </row>
    <row r="29" spans="1:19" ht="18" customHeight="1" x14ac:dyDescent="0.15">
      <c r="B29" s="113"/>
      <c r="C29" s="114"/>
      <c r="D29" s="114"/>
      <c r="E29" s="115"/>
      <c r="F29" s="23"/>
      <c r="G29" s="23"/>
      <c r="H29" s="23"/>
      <c r="I29" s="23"/>
      <c r="J29" s="113"/>
      <c r="K29" s="114"/>
      <c r="L29" s="114"/>
      <c r="M29" s="114"/>
      <c r="N29" s="114"/>
      <c r="O29" s="115"/>
      <c r="P29" s="23"/>
      <c r="Q29" s="23"/>
      <c r="R29" s="23"/>
      <c r="S29" s="23"/>
    </row>
    <row r="30" spans="1:19" ht="18" customHeight="1" x14ac:dyDescent="0.15">
      <c r="A30" s="3"/>
      <c r="B30" s="113"/>
      <c r="C30" s="114"/>
      <c r="D30" s="114"/>
      <c r="E30" s="115"/>
      <c r="F30" s="23"/>
      <c r="G30" s="23"/>
      <c r="H30" s="23"/>
      <c r="I30" s="23"/>
      <c r="J30" s="113"/>
      <c r="K30" s="114"/>
      <c r="L30" s="114"/>
      <c r="M30" s="114"/>
      <c r="N30" s="114"/>
      <c r="O30" s="115"/>
      <c r="P30" s="23"/>
      <c r="Q30" s="23"/>
      <c r="R30" s="23"/>
      <c r="S30" s="23"/>
    </row>
    <row r="31" spans="1:19" ht="18" customHeight="1" x14ac:dyDescent="0.15">
      <c r="A31" s="3"/>
      <c r="B31" s="119"/>
      <c r="C31" s="120"/>
      <c r="D31" s="120"/>
      <c r="E31" s="121"/>
      <c r="F31" s="24"/>
      <c r="G31" s="24"/>
      <c r="H31" s="25"/>
      <c r="I31" s="25"/>
      <c r="J31" s="119"/>
      <c r="K31" s="120"/>
      <c r="L31" s="120"/>
      <c r="M31" s="120"/>
      <c r="N31" s="120"/>
      <c r="O31" s="121"/>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7" t="s">
        <v>112</v>
      </c>
      <c r="B33" s="97"/>
      <c r="C33" s="97"/>
      <c r="D33" s="97"/>
      <c r="E33" s="97"/>
      <c r="F33" s="97"/>
      <c r="G33" s="97"/>
      <c r="H33" s="97"/>
      <c r="I33" s="97"/>
      <c r="J33" s="97"/>
      <c r="K33" s="97"/>
      <c r="L33" s="97"/>
      <c r="M33" s="97"/>
      <c r="N33" s="97"/>
      <c r="O33" s="97"/>
      <c r="P33" s="97"/>
      <c r="Q33" s="97"/>
      <c r="R33" s="97"/>
      <c r="S33" s="97"/>
    </row>
    <row r="34" spans="1:19" ht="18" customHeight="1" x14ac:dyDescent="0.15">
      <c r="A34" s="97"/>
      <c r="B34" s="97"/>
      <c r="C34" s="97"/>
      <c r="D34" s="97"/>
      <c r="E34" s="97"/>
      <c r="F34" s="97"/>
      <c r="G34" s="97"/>
      <c r="H34" s="97"/>
      <c r="I34" s="97"/>
      <c r="J34" s="97"/>
      <c r="K34" s="97"/>
      <c r="L34" s="97"/>
      <c r="M34" s="97"/>
      <c r="N34" s="97"/>
      <c r="O34" s="97"/>
      <c r="P34" s="97"/>
      <c r="Q34" s="97"/>
      <c r="R34" s="97"/>
      <c r="S34" s="97"/>
    </row>
    <row r="35" spans="1:19" ht="18" customHeight="1" x14ac:dyDescent="0.15">
      <c r="B35" s="92" t="s">
        <v>53</v>
      </c>
      <c r="C35" s="98"/>
      <c r="D35" s="98"/>
      <c r="E35" s="93"/>
      <c r="F35" s="60" t="s">
        <v>79</v>
      </c>
      <c r="G35" s="59" t="s">
        <v>83</v>
      </c>
      <c r="H35" s="21" t="s">
        <v>70</v>
      </c>
      <c r="I35" s="21" t="s">
        <v>71</v>
      </c>
      <c r="J35" s="92" t="s">
        <v>53</v>
      </c>
      <c r="K35" s="98"/>
      <c r="L35" s="98"/>
      <c r="M35" s="98"/>
      <c r="N35" s="98"/>
      <c r="O35" s="93"/>
      <c r="P35" s="60" t="s">
        <v>79</v>
      </c>
      <c r="Q35" s="59" t="s">
        <v>83</v>
      </c>
      <c r="R35" s="21" t="s">
        <v>70</v>
      </c>
      <c r="S35" s="21" t="s">
        <v>71</v>
      </c>
    </row>
    <row r="36" spans="1:19" ht="18" customHeight="1" x14ac:dyDescent="0.15">
      <c r="B36" s="116" t="s">
        <v>127</v>
      </c>
      <c r="C36" s="117"/>
      <c r="D36" s="117"/>
      <c r="E36" s="118"/>
      <c r="F36" s="22">
        <v>2</v>
      </c>
      <c r="G36" s="22" t="s">
        <v>128</v>
      </c>
      <c r="H36" s="22" t="s">
        <v>128</v>
      </c>
      <c r="I36" s="22" t="s">
        <v>128</v>
      </c>
      <c r="J36" s="116"/>
      <c r="K36" s="117"/>
      <c r="L36" s="117"/>
      <c r="M36" s="117"/>
      <c r="N36" s="117"/>
      <c r="O36" s="118"/>
      <c r="P36" s="22"/>
      <c r="Q36" s="22"/>
      <c r="R36" s="22"/>
      <c r="S36" s="22"/>
    </row>
    <row r="37" spans="1:19" ht="18" customHeight="1" x14ac:dyDescent="0.15">
      <c r="B37" s="113"/>
      <c r="C37" s="114"/>
      <c r="D37" s="114"/>
      <c r="E37" s="115"/>
      <c r="F37" s="23"/>
      <c r="G37" s="23"/>
      <c r="H37" s="23"/>
      <c r="I37" s="23"/>
      <c r="J37" s="113"/>
      <c r="K37" s="114"/>
      <c r="L37" s="114"/>
      <c r="M37" s="114"/>
      <c r="N37" s="114"/>
      <c r="O37" s="115"/>
      <c r="P37" s="23"/>
      <c r="Q37" s="23"/>
      <c r="R37" s="23"/>
      <c r="S37" s="23"/>
    </row>
    <row r="38" spans="1:19" ht="18" customHeight="1" x14ac:dyDescent="0.15">
      <c r="B38" s="113"/>
      <c r="C38" s="114"/>
      <c r="D38" s="114"/>
      <c r="E38" s="115"/>
      <c r="F38" s="23"/>
      <c r="G38" s="23"/>
      <c r="H38" s="23"/>
      <c r="I38" s="23"/>
      <c r="J38" s="113"/>
      <c r="K38" s="114"/>
      <c r="L38" s="114"/>
      <c r="M38" s="114"/>
      <c r="N38" s="114"/>
      <c r="O38" s="115"/>
      <c r="P38" s="23"/>
      <c r="Q38" s="23"/>
      <c r="R38" s="23"/>
      <c r="S38" s="23"/>
    </row>
    <row r="39" spans="1:19" ht="18" customHeight="1" x14ac:dyDescent="0.15">
      <c r="B39" s="113"/>
      <c r="C39" s="114"/>
      <c r="D39" s="114"/>
      <c r="E39" s="115"/>
      <c r="F39" s="23"/>
      <c r="G39" s="23"/>
      <c r="H39" s="23"/>
      <c r="I39" s="23"/>
      <c r="J39" s="113"/>
      <c r="K39" s="114"/>
      <c r="L39" s="114"/>
      <c r="M39" s="114"/>
      <c r="N39" s="114"/>
      <c r="O39" s="115"/>
      <c r="P39" s="23"/>
      <c r="Q39" s="23"/>
      <c r="R39" s="23"/>
      <c r="S39" s="23"/>
    </row>
    <row r="40" spans="1:19" ht="18" customHeight="1" x14ac:dyDescent="0.15">
      <c r="B40" s="113"/>
      <c r="C40" s="114"/>
      <c r="D40" s="114"/>
      <c r="E40" s="115"/>
      <c r="F40" s="23"/>
      <c r="G40" s="23"/>
      <c r="H40" s="23"/>
      <c r="I40" s="23"/>
      <c r="J40" s="113"/>
      <c r="K40" s="114"/>
      <c r="L40" s="114"/>
      <c r="M40" s="114"/>
      <c r="N40" s="114"/>
      <c r="O40" s="115"/>
      <c r="P40" s="23"/>
      <c r="Q40" s="23"/>
      <c r="R40" s="23"/>
      <c r="S40" s="23"/>
    </row>
    <row r="41" spans="1:19" ht="18" customHeight="1" x14ac:dyDescent="0.15">
      <c r="B41" s="113"/>
      <c r="C41" s="114"/>
      <c r="D41" s="114"/>
      <c r="E41" s="115"/>
      <c r="F41" s="23"/>
      <c r="G41" s="23"/>
      <c r="H41" s="23"/>
      <c r="I41" s="23"/>
      <c r="J41" s="113"/>
      <c r="K41" s="114"/>
      <c r="L41" s="114"/>
      <c r="M41" s="114"/>
      <c r="N41" s="114"/>
      <c r="O41" s="115"/>
      <c r="P41" s="23"/>
      <c r="Q41" s="23"/>
      <c r="R41" s="23"/>
      <c r="S41" s="23"/>
    </row>
    <row r="42" spans="1:19" ht="18" customHeight="1" x14ac:dyDescent="0.15">
      <c r="B42" s="119"/>
      <c r="C42" s="120"/>
      <c r="D42" s="120"/>
      <c r="E42" s="121"/>
      <c r="F42" s="24"/>
      <c r="G42" s="24"/>
      <c r="H42" s="25"/>
      <c r="I42" s="25"/>
      <c r="J42" s="119"/>
      <c r="K42" s="120"/>
      <c r="L42" s="120"/>
      <c r="M42" s="120"/>
      <c r="N42" s="120"/>
      <c r="O42" s="121"/>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7" t="s">
        <v>113</v>
      </c>
      <c r="B44" s="97"/>
      <c r="C44" s="97"/>
      <c r="D44" s="97"/>
      <c r="E44" s="97"/>
      <c r="F44" s="97"/>
      <c r="G44" s="97"/>
      <c r="H44" s="97"/>
      <c r="I44" s="97"/>
      <c r="J44" s="97"/>
      <c r="K44" s="97"/>
      <c r="L44" s="97"/>
      <c r="M44" s="97"/>
      <c r="N44" s="97"/>
      <c r="O44" s="97"/>
      <c r="P44" s="97"/>
      <c r="Q44" s="97"/>
      <c r="R44" s="97"/>
      <c r="S44" s="97"/>
    </row>
    <row r="45" spans="1:19" ht="18" customHeight="1" x14ac:dyDescent="0.15">
      <c r="A45" s="97"/>
      <c r="B45" s="97"/>
      <c r="C45" s="97"/>
      <c r="D45" s="97"/>
      <c r="E45" s="97"/>
      <c r="F45" s="97"/>
      <c r="G45" s="97"/>
      <c r="H45" s="97"/>
      <c r="I45" s="97"/>
      <c r="J45" s="97"/>
      <c r="K45" s="97"/>
      <c r="L45" s="97"/>
      <c r="M45" s="97"/>
      <c r="N45" s="97"/>
      <c r="O45" s="97"/>
      <c r="P45" s="97"/>
      <c r="Q45" s="97"/>
      <c r="R45" s="97"/>
      <c r="S45" s="97"/>
    </row>
    <row r="46" spans="1:19" ht="18" customHeight="1" x14ac:dyDescent="0.15">
      <c r="B46" s="92" t="s">
        <v>53</v>
      </c>
      <c r="C46" s="98"/>
      <c r="D46" s="98"/>
      <c r="E46" s="93"/>
      <c r="F46" s="60" t="s">
        <v>79</v>
      </c>
      <c r="G46" s="59" t="s">
        <v>83</v>
      </c>
      <c r="H46" s="21" t="s">
        <v>72</v>
      </c>
      <c r="I46" s="21" t="s">
        <v>73</v>
      </c>
      <c r="J46" s="92" t="s">
        <v>53</v>
      </c>
      <c r="K46" s="98"/>
      <c r="L46" s="98"/>
      <c r="M46" s="98"/>
      <c r="N46" s="98"/>
      <c r="O46" s="93"/>
      <c r="P46" s="60" t="s">
        <v>79</v>
      </c>
      <c r="Q46" s="59" t="s">
        <v>83</v>
      </c>
      <c r="R46" s="21" t="s">
        <v>72</v>
      </c>
      <c r="S46" s="21" t="s">
        <v>73</v>
      </c>
    </row>
    <row r="47" spans="1:19" ht="18" customHeight="1" x14ac:dyDescent="0.15">
      <c r="A47" s="3"/>
      <c r="B47" s="116" t="s">
        <v>127</v>
      </c>
      <c r="C47" s="117"/>
      <c r="D47" s="117"/>
      <c r="E47" s="118"/>
      <c r="F47" s="22">
        <v>2</v>
      </c>
      <c r="G47" s="22" t="s">
        <v>128</v>
      </c>
      <c r="H47" s="22" t="s">
        <v>128</v>
      </c>
      <c r="I47" s="22" t="s">
        <v>128</v>
      </c>
      <c r="J47" s="116"/>
      <c r="K47" s="117"/>
      <c r="L47" s="117"/>
      <c r="M47" s="117"/>
      <c r="N47" s="117"/>
      <c r="O47" s="118"/>
      <c r="P47" s="22"/>
      <c r="Q47" s="22"/>
      <c r="R47" s="22"/>
      <c r="S47" s="22"/>
    </row>
    <row r="48" spans="1:19" ht="18" customHeight="1" x14ac:dyDescent="0.15">
      <c r="A48" s="3"/>
      <c r="B48" s="113"/>
      <c r="C48" s="114"/>
      <c r="D48" s="114"/>
      <c r="E48" s="115"/>
      <c r="F48" s="23"/>
      <c r="G48" s="23"/>
      <c r="H48" s="23"/>
      <c r="I48" s="23"/>
      <c r="J48" s="113"/>
      <c r="K48" s="114"/>
      <c r="L48" s="114"/>
      <c r="M48" s="114"/>
      <c r="N48" s="114"/>
      <c r="O48" s="115"/>
      <c r="P48" s="23"/>
      <c r="Q48" s="23"/>
      <c r="R48" s="23"/>
      <c r="S48" s="23"/>
    </row>
    <row r="49" spans="1:19" ht="18" customHeight="1" x14ac:dyDescent="0.15">
      <c r="A49" s="3"/>
      <c r="B49" s="113"/>
      <c r="C49" s="114"/>
      <c r="D49" s="114"/>
      <c r="E49" s="115"/>
      <c r="F49" s="23"/>
      <c r="G49" s="23"/>
      <c r="H49" s="23"/>
      <c r="I49" s="23"/>
      <c r="J49" s="113"/>
      <c r="K49" s="114"/>
      <c r="L49" s="114"/>
      <c r="M49" s="114"/>
      <c r="N49" s="114"/>
      <c r="O49" s="115"/>
      <c r="P49" s="23"/>
      <c r="Q49" s="23"/>
      <c r="R49" s="23"/>
      <c r="S49" s="23"/>
    </row>
    <row r="50" spans="1:19" ht="18" customHeight="1" x14ac:dyDescent="0.15">
      <c r="A50" s="3"/>
      <c r="B50" s="113"/>
      <c r="C50" s="114"/>
      <c r="D50" s="114"/>
      <c r="E50" s="115"/>
      <c r="F50" s="23"/>
      <c r="G50" s="23"/>
      <c r="H50" s="23"/>
      <c r="I50" s="23"/>
      <c r="J50" s="113"/>
      <c r="K50" s="114"/>
      <c r="L50" s="114"/>
      <c r="M50" s="114"/>
      <c r="N50" s="114"/>
      <c r="O50" s="115"/>
      <c r="P50" s="23"/>
      <c r="Q50" s="23"/>
      <c r="R50" s="23"/>
      <c r="S50" s="23"/>
    </row>
    <row r="51" spans="1:19" ht="18" customHeight="1" x14ac:dyDescent="0.15">
      <c r="A51" s="3"/>
      <c r="B51" s="113"/>
      <c r="C51" s="114"/>
      <c r="D51" s="114"/>
      <c r="E51" s="115"/>
      <c r="F51" s="23"/>
      <c r="G51" s="23"/>
      <c r="H51" s="23"/>
      <c r="I51" s="23"/>
      <c r="J51" s="113"/>
      <c r="K51" s="114"/>
      <c r="L51" s="114"/>
      <c r="M51" s="114"/>
      <c r="N51" s="114"/>
      <c r="O51" s="115"/>
      <c r="P51" s="23"/>
      <c r="Q51" s="23"/>
      <c r="R51" s="23"/>
      <c r="S51" s="23"/>
    </row>
    <row r="52" spans="1:19" ht="18" customHeight="1" x14ac:dyDescent="0.15">
      <c r="A52" s="3"/>
      <c r="B52" s="113"/>
      <c r="C52" s="114"/>
      <c r="D52" s="114"/>
      <c r="E52" s="115"/>
      <c r="F52" s="23"/>
      <c r="G52" s="23"/>
      <c r="H52" s="23"/>
      <c r="I52" s="23"/>
      <c r="J52" s="113"/>
      <c r="K52" s="114"/>
      <c r="L52" s="114"/>
      <c r="M52" s="114"/>
      <c r="N52" s="114"/>
      <c r="O52" s="115"/>
      <c r="P52" s="23"/>
      <c r="Q52" s="23"/>
      <c r="R52" s="23"/>
      <c r="S52" s="23"/>
    </row>
    <row r="53" spans="1:19" ht="18" customHeight="1" x14ac:dyDescent="0.15">
      <c r="A53" s="3"/>
      <c r="B53" s="119"/>
      <c r="C53" s="120"/>
      <c r="D53" s="120"/>
      <c r="E53" s="121"/>
      <c r="F53" s="24"/>
      <c r="G53" s="24"/>
      <c r="H53" s="25"/>
      <c r="I53" s="25"/>
      <c r="J53" s="119"/>
      <c r="K53" s="120"/>
      <c r="L53" s="120"/>
      <c r="M53" s="120"/>
      <c r="N53" s="120"/>
      <c r="O53" s="121"/>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7" t="s">
        <v>114</v>
      </c>
      <c r="B55" s="97"/>
      <c r="C55" s="97"/>
      <c r="D55" s="97"/>
      <c r="E55" s="97"/>
      <c r="F55" s="97"/>
      <c r="G55" s="97"/>
      <c r="H55" s="97"/>
      <c r="I55" s="97"/>
      <c r="J55" s="97"/>
      <c r="K55" s="97"/>
      <c r="L55" s="97"/>
      <c r="M55" s="97"/>
      <c r="N55" s="97"/>
      <c r="O55" s="97"/>
      <c r="P55" s="97"/>
      <c r="Q55" s="97"/>
      <c r="R55" s="97"/>
      <c r="S55" s="97"/>
    </row>
    <row r="56" spans="1:19" ht="18" customHeight="1" x14ac:dyDescent="0.15">
      <c r="A56" s="97"/>
      <c r="B56" s="97"/>
      <c r="C56" s="97"/>
      <c r="D56" s="97"/>
      <c r="E56" s="97"/>
      <c r="F56" s="97"/>
      <c r="G56" s="97"/>
      <c r="H56" s="97"/>
      <c r="I56" s="97"/>
      <c r="J56" s="97"/>
      <c r="K56" s="97"/>
      <c r="L56" s="97"/>
      <c r="M56" s="97"/>
      <c r="N56" s="97"/>
      <c r="O56" s="97"/>
      <c r="P56" s="97"/>
      <c r="Q56" s="97"/>
      <c r="R56" s="97"/>
      <c r="S56" s="97"/>
    </row>
    <row r="57" spans="1:19" ht="18" customHeight="1" x14ac:dyDescent="0.15">
      <c r="B57" s="92" t="s">
        <v>53</v>
      </c>
      <c r="C57" s="98"/>
      <c r="D57" s="98"/>
      <c r="E57" s="93"/>
      <c r="F57" s="60" t="s">
        <v>79</v>
      </c>
      <c r="G57" s="59" t="s">
        <v>83</v>
      </c>
      <c r="H57" s="21" t="s">
        <v>58</v>
      </c>
      <c r="I57" s="21" t="s">
        <v>60</v>
      </c>
      <c r="J57" s="92" t="s">
        <v>53</v>
      </c>
      <c r="K57" s="98"/>
      <c r="L57" s="98"/>
      <c r="M57" s="98"/>
      <c r="N57" s="98"/>
      <c r="O57" s="93"/>
      <c r="P57" s="60" t="s">
        <v>79</v>
      </c>
      <c r="Q57" s="59" t="s">
        <v>83</v>
      </c>
      <c r="R57" s="21" t="s">
        <v>58</v>
      </c>
      <c r="S57" s="21" t="s">
        <v>60</v>
      </c>
    </row>
    <row r="58" spans="1:19" ht="18" customHeight="1" x14ac:dyDescent="0.15">
      <c r="A58" s="3"/>
      <c r="B58" s="116" t="s">
        <v>127</v>
      </c>
      <c r="C58" s="117"/>
      <c r="D58" s="117"/>
      <c r="E58" s="118"/>
      <c r="F58" s="22">
        <v>2</v>
      </c>
      <c r="G58" s="22" t="s">
        <v>128</v>
      </c>
      <c r="H58" s="22" t="s">
        <v>128</v>
      </c>
      <c r="I58" s="22" t="s">
        <v>128</v>
      </c>
      <c r="J58" s="116"/>
      <c r="K58" s="117"/>
      <c r="L58" s="117"/>
      <c r="M58" s="117"/>
      <c r="N58" s="117"/>
      <c r="O58" s="118"/>
      <c r="P58" s="22"/>
      <c r="Q58" s="22"/>
      <c r="R58" s="22"/>
      <c r="S58" s="22"/>
    </row>
    <row r="59" spans="1:19" ht="18" customHeight="1" x14ac:dyDescent="0.15">
      <c r="A59" s="3"/>
      <c r="B59" s="113"/>
      <c r="C59" s="114"/>
      <c r="D59" s="114"/>
      <c r="E59" s="115"/>
      <c r="F59" s="23"/>
      <c r="G59" s="23"/>
      <c r="H59" s="23"/>
      <c r="I59" s="23"/>
      <c r="J59" s="113"/>
      <c r="K59" s="114"/>
      <c r="L59" s="114"/>
      <c r="M59" s="114"/>
      <c r="N59" s="114"/>
      <c r="O59" s="115"/>
      <c r="P59" s="23"/>
      <c r="Q59" s="23"/>
      <c r="R59" s="23"/>
      <c r="S59" s="23"/>
    </row>
    <row r="60" spans="1:19" ht="18" customHeight="1" x14ac:dyDescent="0.15">
      <c r="A60" s="3"/>
      <c r="B60" s="113"/>
      <c r="C60" s="114"/>
      <c r="D60" s="114"/>
      <c r="E60" s="115"/>
      <c r="F60" s="23"/>
      <c r="G60" s="23"/>
      <c r="H60" s="23"/>
      <c r="I60" s="23"/>
      <c r="J60" s="113"/>
      <c r="K60" s="114"/>
      <c r="L60" s="114"/>
      <c r="M60" s="114"/>
      <c r="N60" s="114"/>
      <c r="O60" s="115"/>
      <c r="P60" s="23"/>
      <c r="Q60" s="23"/>
      <c r="R60" s="23"/>
      <c r="S60" s="23"/>
    </row>
    <row r="61" spans="1:19" ht="18" customHeight="1" x14ac:dyDescent="0.15">
      <c r="A61" s="3"/>
      <c r="B61" s="113"/>
      <c r="C61" s="114"/>
      <c r="D61" s="114"/>
      <c r="E61" s="115"/>
      <c r="F61" s="23"/>
      <c r="G61" s="23"/>
      <c r="H61" s="23"/>
      <c r="I61" s="23"/>
      <c r="J61" s="113"/>
      <c r="K61" s="114"/>
      <c r="L61" s="114"/>
      <c r="M61" s="114"/>
      <c r="N61" s="114"/>
      <c r="O61" s="115"/>
      <c r="P61" s="23"/>
      <c r="Q61" s="23"/>
      <c r="R61" s="23"/>
      <c r="S61" s="23"/>
    </row>
    <row r="62" spans="1:19" ht="18" customHeight="1" x14ac:dyDescent="0.15">
      <c r="A62" s="3"/>
      <c r="B62" s="113"/>
      <c r="C62" s="114"/>
      <c r="D62" s="114"/>
      <c r="E62" s="115"/>
      <c r="F62" s="23"/>
      <c r="G62" s="23"/>
      <c r="H62" s="23"/>
      <c r="I62" s="23"/>
      <c r="J62" s="113"/>
      <c r="K62" s="114"/>
      <c r="L62" s="114"/>
      <c r="M62" s="114"/>
      <c r="N62" s="114"/>
      <c r="O62" s="115"/>
      <c r="P62" s="23"/>
      <c r="Q62" s="23"/>
      <c r="R62" s="23"/>
      <c r="S62" s="23"/>
    </row>
    <row r="63" spans="1:19" ht="18" customHeight="1" x14ac:dyDescent="0.15">
      <c r="A63" s="3"/>
      <c r="B63" s="113"/>
      <c r="C63" s="114"/>
      <c r="D63" s="114"/>
      <c r="E63" s="115"/>
      <c r="F63" s="23"/>
      <c r="G63" s="23"/>
      <c r="H63" s="23"/>
      <c r="I63" s="23"/>
      <c r="J63" s="113"/>
      <c r="K63" s="114"/>
      <c r="L63" s="114"/>
      <c r="M63" s="114"/>
      <c r="N63" s="114"/>
      <c r="O63" s="115"/>
      <c r="P63" s="23"/>
      <c r="Q63" s="23"/>
      <c r="R63" s="23"/>
      <c r="S63" s="23"/>
    </row>
    <row r="64" spans="1:19" ht="18" customHeight="1" x14ac:dyDescent="0.15">
      <c r="A64" s="3"/>
      <c r="B64" s="119"/>
      <c r="C64" s="120"/>
      <c r="D64" s="120"/>
      <c r="E64" s="121"/>
      <c r="F64" s="24"/>
      <c r="G64" s="24"/>
      <c r="H64" s="25"/>
      <c r="I64" s="25"/>
      <c r="J64" s="119"/>
      <c r="K64" s="120"/>
      <c r="L64" s="120"/>
      <c r="M64" s="120"/>
      <c r="N64" s="120"/>
      <c r="O64" s="121"/>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7" t="s">
        <v>115</v>
      </c>
      <c r="B66" s="97"/>
      <c r="C66" s="97"/>
      <c r="D66" s="97"/>
      <c r="E66" s="97"/>
      <c r="F66" s="97"/>
      <c r="G66" s="97"/>
      <c r="H66" s="97"/>
      <c r="I66" s="97"/>
      <c r="J66" s="97"/>
      <c r="K66" s="97"/>
      <c r="L66" s="97"/>
      <c r="M66" s="97"/>
      <c r="N66" s="97"/>
      <c r="O66" s="97"/>
      <c r="P66" s="97"/>
      <c r="Q66" s="97"/>
      <c r="R66" s="97"/>
      <c r="S66" s="97"/>
    </row>
    <row r="67" spans="1:19" ht="18" customHeight="1" x14ac:dyDescent="0.15">
      <c r="A67" s="97"/>
      <c r="B67" s="97"/>
      <c r="C67" s="97"/>
      <c r="D67" s="97"/>
      <c r="E67" s="97"/>
      <c r="F67" s="97"/>
      <c r="G67" s="97"/>
      <c r="H67" s="97"/>
      <c r="I67" s="97"/>
      <c r="J67" s="97"/>
      <c r="K67" s="97"/>
      <c r="L67" s="97"/>
      <c r="M67" s="97"/>
      <c r="N67" s="97"/>
      <c r="O67" s="97"/>
      <c r="P67" s="97"/>
      <c r="Q67" s="97"/>
      <c r="R67" s="97"/>
      <c r="S67" s="97"/>
    </row>
    <row r="68" spans="1:19" ht="18" customHeight="1" x14ac:dyDescent="0.15">
      <c r="B68" s="92" t="s">
        <v>53</v>
      </c>
      <c r="C68" s="98"/>
      <c r="D68" s="98"/>
      <c r="E68" s="60" t="s">
        <v>79</v>
      </c>
      <c r="F68" s="59" t="s">
        <v>83</v>
      </c>
      <c r="G68" s="21" t="s">
        <v>100</v>
      </c>
      <c r="H68" s="21" t="s">
        <v>74</v>
      </c>
      <c r="I68" s="21" t="s">
        <v>75</v>
      </c>
      <c r="J68" s="92" t="s">
        <v>53</v>
      </c>
      <c r="K68" s="98"/>
      <c r="L68" s="98"/>
      <c r="M68" s="98"/>
      <c r="N68" s="93"/>
      <c r="O68" s="60" t="s">
        <v>79</v>
      </c>
      <c r="P68" s="59" t="s">
        <v>83</v>
      </c>
      <c r="Q68" s="21" t="s">
        <v>100</v>
      </c>
      <c r="R68" s="21" t="s">
        <v>74</v>
      </c>
      <c r="S68" s="21" t="s">
        <v>75</v>
      </c>
    </row>
    <row r="69" spans="1:19" ht="18" customHeight="1" x14ac:dyDescent="0.15">
      <c r="A69" s="3"/>
      <c r="B69" s="116" t="s">
        <v>127</v>
      </c>
      <c r="C69" s="117"/>
      <c r="D69" s="118"/>
      <c r="E69" s="22">
        <v>2</v>
      </c>
      <c r="F69" s="22" t="s">
        <v>128</v>
      </c>
      <c r="G69" s="22" t="s">
        <v>128</v>
      </c>
      <c r="H69" s="22" t="s">
        <v>128</v>
      </c>
      <c r="I69" s="22" t="s">
        <v>128</v>
      </c>
      <c r="J69" s="116"/>
      <c r="K69" s="117"/>
      <c r="L69" s="117"/>
      <c r="M69" s="117"/>
      <c r="N69" s="118"/>
      <c r="O69" s="22"/>
      <c r="P69" s="22"/>
      <c r="Q69" s="22"/>
      <c r="R69" s="22"/>
      <c r="S69" s="22"/>
    </row>
    <row r="70" spans="1:19" ht="18" customHeight="1" x14ac:dyDescent="0.15">
      <c r="A70" s="3"/>
      <c r="B70" s="113" t="s">
        <v>129</v>
      </c>
      <c r="C70" s="114"/>
      <c r="D70" s="114"/>
      <c r="E70" s="23">
        <v>2</v>
      </c>
      <c r="F70" s="23" t="s">
        <v>128</v>
      </c>
      <c r="G70" s="23" t="s">
        <v>128</v>
      </c>
      <c r="H70" s="23" t="s">
        <v>128</v>
      </c>
      <c r="I70" s="23" t="s">
        <v>128</v>
      </c>
      <c r="J70" s="113"/>
      <c r="K70" s="114"/>
      <c r="L70" s="114"/>
      <c r="M70" s="114"/>
      <c r="N70" s="115"/>
      <c r="O70" s="23"/>
      <c r="P70" s="23"/>
      <c r="Q70" s="23"/>
      <c r="R70" s="23"/>
      <c r="S70" s="23"/>
    </row>
    <row r="71" spans="1:19" ht="18" customHeight="1" x14ac:dyDescent="0.15">
      <c r="A71" s="3"/>
      <c r="B71" s="113"/>
      <c r="C71" s="114"/>
      <c r="D71" s="114"/>
      <c r="E71" s="23"/>
      <c r="F71" s="23"/>
      <c r="G71" s="23"/>
      <c r="H71" s="23"/>
      <c r="I71" s="23"/>
      <c r="J71" s="113"/>
      <c r="K71" s="114"/>
      <c r="L71" s="114"/>
      <c r="M71" s="114"/>
      <c r="N71" s="115"/>
      <c r="O71" s="23"/>
      <c r="P71" s="23"/>
      <c r="Q71" s="23"/>
      <c r="R71" s="23"/>
      <c r="S71" s="23"/>
    </row>
    <row r="72" spans="1:19" ht="18" customHeight="1" x14ac:dyDescent="0.15">
      <c r="A72" s="3"/>
      <c r="B72" s="113"/>
      <c r="C72" s="114"/>
      <c r="D72" s="114"/>
      <c r="E72" s="23"/>
      <c r="F72" s="23"/>
      <c r="G72" s="23"/>
      <c r="H72" s="23"/>
      <c r="I72" s="23"/>
      <c r="J72" s="113"/>
      <c r="K72" s="114"/>
      <c r="L72" s="114"/>
      <c r="M72" s="114"/>
      <c r="N72" s="115"/>
      <c r="O72" s="23"/>
      <c r="P72" s="23"/>
      <c r="Q72" s="23"/>
      <c r="R72" s="23"/>
      <c r="S72" s="23"/>
    </row>
    <row r="73" spans="1:19" ht="18" customHeight="1" x14ac:dyDescent="0.15">
      <c r="A73" s="3"/>
      <c r="B73" s="113"/>
      <c r="C73" s="114"/>
      <c r="D73" s="114"/>
      <c r="E73" s="23"/>
      <c r="F73" s="23"/>
      <c r="G73" s="23"/>
      <c r="H73" s="23"/>
      <c r="I73" s="23"/>
      <c r="J73" s="113"/>
      <c r="K73" s="114"/>
      <c r="L73" s="114"/>
      <c r="M73" s="114"/>
      <c r="N73" s="115"/>
      <c r="O73" s="23"/>
      <c r="P73" s="23"/>
      <c r="Q73" s="23"/>
      <c r="R73" s="23"/>
      <c r="S73" s="23"/>
    </row>
    <row r="74" spans="1:19" ht="18" customHeight="1" x14ac:dyDescent="0.15">
      <c r="A74" s="3"/>
      <c r="B74" s="113"/>
      <c r="C74" s="114"/>
      <c r="D74" s="114"/>
      <c r="E74" s="23"/>
      <c r="F74" s="23"/>
      <c r="G74" s="23"/>
      <c r="H74" s="23"/>
      <c r="I74" s="23"/>
      <c r="J74" s="113"/>
      <c r="K74" s="114"/>
      <c r="L74" s="114"/>
      <c r="M74" s="114"/>
      <c r="N74" s="115"/>
      <c r="O74" s="23"/>
      <c r="P74" s="23"/>
      <c r="Q74" s="23"/>
      <c r="R74" s="23"/>
      <c r="S74" s="23"/>
    </row>
    <row r="75" spans="1:19" ht="18" customHeight="1" x14ac:dyDescent="0.15">
      <c r="A75" s="3"/>
      <c r="B75" s="119"/>
      <c r="C75" s="120"/>
      <c r="D75" s="120"/>
      <c r="E75" s="24"/>
      <c r="F75" s="24"/>
      <c r="G75" s="25"/>
      <c r="H75" s="25"/>
      <c r="I75" s="25"/>
      <c r="J75" s="119"/>
      <c r="K75" s="120"/>
      <c r="L75" s="120"/>
      <c r="M75" s="120"/>
      <c r="N75" s="121"/>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116</v>
      </c>
      <c r="H77" s="3"/>
      <c r="I77" s="3"/>
      <c r="J77" s="3"/>
      <c r="K77" s="3"/>
      <c r="L77" s="3"/>
      <c r="M77" s="3"/>
      <c r="N77" s="3"/>
      <c r="O77" s="3"/>
      <c r="P77" s="3"/>
      <c r="Q77" s="3"/>
      <c r="R77" s="3"/>
      <c r="S77" s="3"/>
    </row>
    <row r="78" spans="1:19" ht="18" customHeight="1" x14ac:dyDescent="0.15">
      <c r="B78" s="92" t="s">
        <v>53</v>
      </c>
      <c r="C78" s="98"/>
      <c r="D78" s="98"/>
      <c r="E78" s="93"/>
      <c r="F78" s="92" t="s">
        <v>81</v>
      </c>
      <c r="G78" s="98"/>
      <c r="H78" s="98"/>
      <c r="I78" s="93"/>
      <c r="J78" s="122" t="s">
        <v>53</v>
      </c>
      <c r="K78" s="123"/>
      <c r="L78" s="123"/>
      <c r="M78" s="123"/>
      <c r="N78" s="123"/>
      <c r="O78" s="124"/>
      <c r="P78" s="92" t="s">
        <v>81</v>
      </c>
      <c r="Q78" s="98"/>
      <c r="R78" s="98"/>
      <c r="S78" s="93"/>
    </row>
    <row r="79" spans="1:19" ht="18" customHeight="1" x14ac:dyDescent="0.15">
      <c r="A79" s="3"/>
      <c r="B79" s="116"/>
      <c r="C79" s="117"/>
      <c r="D79" s="117"/>
      <c r="E79" s="118"/>
      <c r="F79" s="125"/>
      <c r="G79" s="126"/>
      <c r="H79" s="126"/>
      <c r="I79" s="127"/>
      <c r="J79" s="116"/>
      <c r="K79" s="117"/>
      <c r="L79" s="117"/>
      <c r="M79" s="117"/>
      <c r="N79" s="117"/>
      <c r="O79" s="118"/>
      <c r="P79" s="125"/>
      <c r="Q79" s="126"/>
      <c r="R79" s="126"/>
      <c r="S79" s="127"/>
    </row>
    <row r="80" spans="1:19" ht="18" customHeight="1" x14ac:dyDescent="0.15">
      <c r="A80" s="3"/>
      <c r="B80" s="113"/>
      <c r="C80" s="114"/>
      <c r="D80" s="114"/>
      <c r="E80" s="115"/>
      <c r="F80" s="128"/>
      <c r="G80" s="129"/>
      <c r="H80" s="129"/>
      <c r="I80" s="130"/>
      <c r="J80" s="113"/>
      <c r="K80" s="114"/>
      <c r="L80" s="114"/>
      <c r="M80" s="114"/>
      <c r="N80" s="114"/>
      <c r="O80" s="115"/>
      <c r="P80" s="128"/>
      <c r="Q80" s="129"/>
      <c r="R80" s="129"/>
      <c r="S80" s="130"/>
    </row>
    <row r="81" spans="1:19" ht="18" customHeight="1" x14ac:dyDescent="0.15">
      <c r="A81" s="3"/>
      <c r="B81" s="113"/>
      <c r="C81" s="114"/>
      <c r="D81" s="114"/>
      <c r="E81" s="115"/>
      <c r="F81" s="128"/>
      <c r="G81" s="129"/>
      <c r="H81" s="129"/>
      <c r="I81" s="130"/>
      <c r="J81" s="113"/>
      <c r="K81" s="114"/>
      <c r="L81" s="114"/>
      <c r="M81" s="114"/>
      <c r="N81" s="114"/>
      <c r="O81" s="115"/>
      <c r="P81" s="128"/>
      <c r="Q81" s="129"/>
      <c r="R81" s="129"/>
      <c r="S81" s="130"/>
    </row>
    <row r="82" spans="1:19" ht="18" customHeight="1" x14ac:dyDescent="0.15">
      <c r="A82" s="3"/>
      <c r="B82" s="113"/>
      <c r="C82" s="114"/>
      <c r="D82" s="114"/>
      <c r="E82" s="115"/>
      <c r="F82" s="128"/>
      <c r="G82" s="129"/>
      <c r="H82" s="129"/>
      <c r="I82" s="130"/>
      <c r="J82" s="113"/>
      <c r="K82" s="114"/>
      <c r="L82" s="114"/>
      <c r="M82" s="114"/>
      <c r="N82" s="114"/>
      <c r="O82" s="115"/>
      <c r="P82" s="128"/>
      <c r="Q82" s="129"/>
      <c r="R82" s="129"/>
      <c r="S82" s="130"/>
    </row>
    <row r="83" spans="1:19" ht="18" customHeight="1" x14ac:dyDescent="0.15">
      <c r="A83" s="3"/>
      <c r="B83" s="113"/>
      <c r="C83" s="114"/>
      <c r="D83" s="114"/>
      <c r="E83" s="115"/>
      <c r="F83" s="128"/>
      <c r="G83" s="129"/>
      <c r="H83" s="129"/>
      <c r="I83" s="130"/>
      <c r="J83" s="113"/>
      <c r="K83" s="114"/>
      <c r="L83" s="114"/>
      <c r="M83" s="114"/>
      <c r="N83" s="114"/>
      <c r="O83" s="115"/>
      <c r="P83" s="128"/>
      <c r="Q83" s="129"/>
      <c r="R83" s="129"/>
      <c r="S83" s="130"/>
    </row>
    <row r="84" spans="1:19" ht="18" customHeight="1" x14ac:dyDescent="0.15">
      <c r="A84" s="3"/>
      <c r="B84" s="113"/>
      <c r="C84" s="114"/>
      <c r="D84" s="114"/>
      <c r="E84" s="115"/>
      <c r="F84" s="128"/>
      <c r="G84" s="129"/>
      <c r="H84" s="129"/>
      <c r="I84" s="130"/>
      <c r="J84" s="113"/>
      <c r="K84" s="114"/>
      <c r="L84" s="114"/>
      <c r="M84" s="114"/>
      <c r="N84" s="114"/>
      <c r="O84" s="115"/>
      <c r="P84" s="128"/>
      <c r="Q84" s="129"/>
      <c r="R84" s="129"/>
      <c r="S84" s="130"/>
    </row>
    <row r="85" spans="1:19" ht="18" customHeight="1" x14ac:dyDescent="0.15">
      <c r="A85" s="3"/>
      <c r="B85" s="119"/>
      <c r="C85" s="120"/>
      <c r="D85" s="120"/>
      <c r="E85" s="121"/>
      <c r="F85" s="148"/>
      <c r="G85" s="149"/>
      <c r="H85" s="149"/>
      <c r="I85" s="150"/>
      <c r="J85" s="119"/>
      <c r="K85" s="120"/>
      <c r="L85" s="120"/>
      <c r="M85" s="120"/>
      <c r="N85" s="120"/>
      <c r="O85" s="121"/>
      <c r="P85" s="148"/>
      <c r="Q85" s="149"/>
      <c r="R85" s="149"/>
      <c r="S85" s="150"/>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117</v>
      </c>
    </row>
    <row r="88" spans="1:19" ht="18.75" customHeight="1" x14ac:dyDescent="0.15">
      <c r="B88" s="131" t="s">
        <v>54</v>
      </c>
      <c r="C88" s="132"/>
      <c r="D88" s="98" t="s">
        <v>55</v>
      </c>
      <c r="E88" s="98"/>
      <c r="F88" s="98"/>
      <c r="G88" s="98"/>
      <c r="H88" s="98"/>
      <c r="I88" s="98"/>
      <c r="J88" s="98"/>
      <c r="K88" s="98"/>
      <c r="L88" s="98"/>
      <c r="M88" s="98"/>
      <c r="N88" s="98"/>
      <c r="O88" s="98"/>
      <c r="P88" s="98"/>
      <c r="Q88" s="98"/>
      <c r="R88" s="98"/>
      <c r="S88" s="93"/>
    </row>
    <row r="89" spans="1:19" ht="97.5" customHeight="1" x14ac:dyDescent="0.15">
      <c r="B89" s="133" t="s">
        <v>137</v>
      </c>
      <c r="C89" s="27" t="s">
        <v>56</v>
      </c>
      <c r="D89" s="135" t="s">
        <v>138</v>
      </c>
      <c r="E89" s="136"/>
      <c r="F89" s="136"/>
      <c r="G89" s="136"/>
      <c r="H89" s="136"/>
      <c r="I89" s="136"/>
      <c r="J89" s="136"/>
      <c r="K89" s="136"/>
      <c r="L89" s="136"/>
      <c r="M89" s="136"/>
      <c r="N89" s="136"/>
      <c r="O89" s="136"/>
      <c r="P89" s="136"/>
      <c r="Q89" s="136"/>
      <c r="R89" s="136"/>
      <c r="S89" s="137"/>
    </row>
    <row r="90" spans="1:19" ht="97.5" customHeight="1" x14ac:dyDescent="0.15">
      <c r="B90" s="134"/>
      <c r="C90" s="28" t="s">
        <v>76</v>
      </c>
      <c r="D90" s="138" t="s">
        <v>139</v>
      </c>
      <c r="E90" s="139"/>
      <c r="F90" s="139"/>
      <c r="G90" s="139"/>
      <c r="H90" s="139"/>
      <c r="I90" s="139"/>
      <c r="J90" s="139"/>
      <c r="K90" s="139"/>
      <c r="L90" s="139"/>
      <c r="M90" s="139"/>
      <c r="N90" s="139"/>
      <c r="O90" s="139"/>
      <c r="P90" s="139"/>
      <c r="Q90" s="139"/>
      <c r="R90" s="139"/>
      <c r="S90" s="140"/>
    </row>
    <row r="91" spans="1:19" ht="97.5" customHeight="1" x14ac:dyDescent="0.15">
      <c r="B91" s="133" t="s">
        <v>61</v>
      </c>
      <c r="C91" s="29" t="s">
        <v>70</v>
      </c>
      <c r="D91" s="142" t="s">
        <v>140</v>
      </c>
      <c r="E91" s="143"/>
      <c r="F91" s="143"/>
      <c r="G91" s="143"/>
      <c r="H91" s="143"/>
      <c r="I91" s="143"/>
      <c r="J91" s="143"/>
      <c r="K91" s="143"/>
      <c r="L91" s="143"/>
      <c r="M91" s="143"/>
      <c r="N91" s="143"/>
      <c r="O91" s="143"/>
      <c r="P91" s="143"/>
      <c r="Q91" s="143"/>
      <c r="R91" s="143"/>
      <c r="S91" s="144"/>
    </row>
    <row r="92" spans="1:19" ht="97.5" customHeight="1" x14ac:dyDescent="0.15">
      <c r="B92" s="141"/>
      <c r="C92" s="30" t="s">
        <v>71</v>
      </c>
      <c r="D92" s="145" t="s">
        <v>141</v>
      </c>
      <c r="E92" s="146"/>
      <c r="F92" s="146"/>
      <c r="G92" s="146"/>
      <c r="H92" s="146"/>
      <c r="I92" s="146"/>
      <c r="J92" s="146"/>
      <c r="K92" s="146"/>
      <c r="L92" s="146"/>
      <c r="M92" s="146"/>
      <c r="N92" s="146"/>
      <c r="O92" s="146"/>
      <c r="P92" s="146"/>
      <c r="Q92" s="146"/>
      <c r="R92" s="146"/>
      <c r="S92" s="147"/>
    </row>
    <row r="93" spans="1:19" ht="97.5" customHeight="1" x14ac:dyDescent="0.15">
      <c r="B93" s="133" t="s">
        <v>62</v>
      </c>
      <c r="C93" s="29" t="s">
        <v>72</v>
      </c>
      <c r="D93" s="143" t="s">
        <v>142</v>
      </c>
      <c r="E93" s="143"/>
      <c r="F93" s="143"/>
      <c r="G93" s="143"/>
      <c r="H93" s="143"/>
      <c r="I93" s="143"/>
      <c r="J93" s="143"/>
      <c r="K93" s="143"/>
      <c r="L93" s="143"/>
      <c r="M93" s="143"/>
      <c r="N93" s="143"/>
      <c r="O93" s="143"/>
      <c r="P93" s="143"/>
      <c r="Q93" s="143"/>
      <c r="R93" s="143"/>
      <c r="S93" s="144"/>
    </row>
    <row r="94" spans="1:19" ht="97.5" customHeight="1" x14ac:dyDescent="0.15">
      <c r="B94" s="141"/>
      <c r="C94" s="31" t="s">
        <v>73</v>
      </c>
      <c r="D94" s="159" t="s">
        <v>143</v>
      </c>
      <c r="E94" s="159"/>
      <c r="F94" s="159"/>
      <c r="G94" s="159"/>
      <c r="H94" s="159"/>
      <c r="I94" s="159"/>
      <c r="J94" s="159"/>
      <c r="K94" s="159"/>
      <c r="L94" s="159"/>
      <c r="M94" s="159"/>
      <c r="N94" s="159"/>
      <c r="O94" s="159"/>
      <c r="P94" s="159"/>
      <c r="Q94" s="159"/>
      <c r="R94" s="159"/>
      <c r="S94" s="160"/>
    </row>
    <row r="95" spans="1:19" ht="97.5" customHeight="1" x14ac:dyDescent="0.15">
      <c r="B95" s="133" t="s">
        <v>77</v>
      </c>
      <c r="C95" s="27" t="s">
        <v>58</v>
      </c>
      <c r="D95" s="135" t="s">
        <v>185</v>
      </c>
      <c r="E95" s="136"/>
      <c r="F95" s="136"/>
      <c r="G95" s="136"/>
      <c r="H95" s="136"/>
      <c r="I95" s="136"/>
      <c r="J95" s="136"/>
      <c r="K95" s="136"/>
      <c r="L95" s="136"/>
      <c r="M95" s="136"/>
      <c r="N95" s="136"/>
      <c r="O95" s="136"/>
      <c r="P95" s="136"/>
      <c r="Q95" s="136"/>
      <c r="R95" s="136"/>
      <c r="S95" s="137"/>
    </row>
    <row r="96" spans="1:19" ht="97.5" customHeight="1" x14ac:dyDescent="0.15">
      <c r="B96" s="141"/>
      <c r="C96" s="30" t="s">
        <v>60</v>
      </c>
      <c r="D96" s="145" t="s">
        <v>144</v>
      </c>
      <c r="E96" s="146"/>
      <c r="F96" s="146"/>
      <c r="G96" s="146"/>
      <c r="H96" s="146"/>
      <c r="I96" s="146"/>
      <c r="J96" s="146"/>
      <c r="K96" s="146"/>
      <c r="L96" s="146"/>
      <c r="M96" s="146"/>
      <c r="N96" s="146"/>
      <c r="O96" s="146"/>
      <c r="P96" s="146"/>
      <c r="Q96" s="146"/>
      <c r="R96" s="146"/>
      <c r="S96" s="147"/>
    </row>
    <row r="97" spans="1:19" ht="97.5" customHeight="1" x14ac:dyDescent="0.15">
      <c r="B97" s="133" t="s">
        <v>78</v>
      </c>
      <c r="C97" s="29" t="s">
        <v>57</v>
      </c>
      <c r="D97" s="151" t="s">
        <v>147</v>
      </c>
      <c r="E97" s="117"/>
      <c r="F97" s="117"/>
      <c r="G97" s="117"/>
      <c r="H97" s="117"/>
      <c r="I97" s="117"/>
      <c r="J97" s="117"/>
      <c r="K97" s="117"/>
      <c r="L97" s="117"/>
      <c r="M97" s="117"/>
      <c r="N97" s="117"/>
      <c r="O97" s="117"/>
      <c r="P97" s="117"/>
      <c r="Q97" s="117"/>
      <c r="R97" s="117"/>
      <c r="S97" s="118"/>
    </row>
    <row r="98" spans="1:19" ht="97.5" customHeight="1" x14ac:dyDescent="0.15">
      <c r="B98" s="134"/>
      <c r="C98" s="32" t="s">
        <v>74</v>
      </c>
      <c r="D98" s="152" t="s">
        <v>145</v>
      </c>
      <c r="E98" s="114"/>
      <c r="F98" s="114"/>
      <c r="G98" s="114"/>
      <c r="H98" s="114"/>
      <c r="I98" s="114"/>
      <c r="J98" s="114"/>
      <c r="K98" s="114"/>
      <c r="L98" s="114"/>
      <c r="M98" s="114"/>
      <c r="N98" s="114"/>
      <c r="O98" s="114"/>
      <c r="P98" s="114"/>
      <c r="Q98" s="114"/>
      <c r="R98" s="114"/>
      <c r="S98" s="115"/>
    </row>
    <row r="99" spans="1:19" ht="97.5" customHeight="1" x14ac:dyDescent="0.15">
      <c r="B99" s="141"/>
      <c r="C99" s="31" t="s">
        <v>75</v>
      </c>
      <c r="D99" s="153" t="s">
        <v>148</v>
      </c>
      <c r="E99" s="154"/>
      <c r="F99" s="154"/>
      <c r="G99" s="154"/>
      <c r="H99" s="154"/>
      <c r="I99" s="154"/>
      <c r="J99" s="154"/>
      <c r="K99" s="154"/>
      <c r="L99" s="154"/>
      <c r="M99" s="154"/>
      <c r="N99" s="154"/>
      <c r="O99" s="154"/>
      <c r="P99" s="154"/>
      <c r="Q99" s="154"/>
      <c r="R99" s="154"/>
      <c r="S99" s="155"/>
    </row>
    <row r="100" spans="1:19" ht="6" customHeight="1" x14ac:dyDescent="0.15"/>
    <row r="101" spans="1:19" ht="18.75" customHeight="1" x14ac:dyDescent="0.15">
      <c r="A101" s="1" t="s">
        <v>118</v>
      </c>
    </row>
    <row r="102" spans="1:19" ht="81.75" customHeight="1" x14ac:dyDescent="0.15">
      <c r="B102" s="156" t="s">
        <v>149</v>
      </c>
      <c r="C102" s="157"/>
      <c r="D102" s="157"/>
      <c r="E102" s="157"/>
      <c r="F102" s="157"/>
      <c r="G102" s="157"/>
      <c r="H102" s="157"/>
      <c r="I102" s="157"/>
      <c r="J102" s="157"/>
      <c r="K102" s="157"/>
      <c r="L102" s="157"/>
      <c r="M102" s="157"/>
      <c r="N102" s="157"/>
      <c r="O102" s="157"/>
      <c r="P102" s="157"/>
      <c r="Q102" s="157"/>
      <c r="R102" s="157"/>
      <c r="S102" s="158"/>
    </row>
    <row r="110" spans="1:19" ht="18" customHeight="1" x14ac:dyDescent="0.15"/>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formula1>$V$14:$V$16</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S32 S43 D32:G32 D43:G43">
      <formula1>"全学開講,一部開講"</formula1>
    </dataValidation>
    <dataValidation type="list" allowBlank="1" showInputMessage="1" showErrorMessage="1" sqref="G25:I31 Q25:S31 G36:I42 Q36:S42 P69:S75 Q47:S53 G47:I53 Q58:S64 G58:I64 F69:I75">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94" zoomScaleNormal="100" zoomScaleSheetLayoutView="100" workbookViewId="0">
      <selection activeCell="D95" sqref="D95:S95"/>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99" t="s">
        <v>187</v>
      </c>
      <c r="S1" s="99"/>
      <c r="T1" s="2" t="s">
        <v>108</v>
      </c>
    </row>
    <row r="2" spans="1:22" ht="18.75" customHeight="1" x14ac:dyDescent="0.15">
      <c r="B2" s="33" t="s">
        <v>107</v>
      </c>
      <c r="C2" s="92" t="s">
        <v>124</v>
      </c>
      <c r="D2" s="98"/>
      <c r="E2" s="98"/>
      <c r="F2" s="98"/>
      <c r="G2" s="98"/>
      <c r="H2" s="98"/>
      <c r="I2" s="93"/>
      <c r="J2" s="34"/>
      <c r="K2" s="6"/>
      <c r="L2" s="6"/>
      <c r="M2" s="6"/>
      <c r="N2" s="6"/>
      <c r="O2" s="6"/>
      <c r="P2" s="6"/>
      <c r="Q2" s="6"/>
      <c r="R2" s="6"/>
      <c r="S2" s="6"/>
    </row>
    <row r="3" spans="1:22" ht="18.75" customHeight="1" x14ac:dyDescent="0.15">
      <c r="B3" s="33" t="s">
        <v>101</v>
      </c>
      <c r="C3" s="100" t="s">
        <v>170</v>
      </c>
      <c r="D3" s="101"/>
      <c r="E3" s="101"/>
      <c r="F3" s="101"/>
      <c r="G3" s="101"/>
      <c r="H3" s="101"/>
      <c r="I3" s="102"/>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03" t="s">
        <v>38</v>
      </c>
      <c r="B5" s="103"/>
      <c r="C5" s="103"/>
      <c r="D5" s="103"/>
      <c r="E5" s="103"/>
      <c r="F5" s="103"/>
      <c r="G5" s="103"/>
      <c r="H5" s="103"/>
      <c r="I5" s="103"/>
      <c r="J5" s="103"/>
      <c r="K5" s="103"/>
      <c r="L5" s="103"/>
      <c r="M5" s="103"/>
      <c r="N5" s="103"/>
      <c r="O5" s="103"/>
      <c r="P5" s="103"/>
      <c r="Q5" s="103"/>
      <c r="R5" s="103"/>
      <c r="S5" s="10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122</v>
      </c>
      <c r="C7" s="3"/>
      <c r="J7" s="37" t="s">
        <v>106</v>
      </c>
      <c r="K7" s="104" t="s">
        <v>126</v>
      </c>
      <c r="L7" s="105"/>
      <c r="M7" s="105"/>
      <c r="N7" s="105"/>
      <c r="O7" s="105"/>
      <c r="P7" s="105"/>
      <c r="Q7" s="105"/>
      <c r="R7" s="105"/>
      <c r="S7" s="106"/>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07" t="s">
        <v>152</v>
      </c>
      <c r="C9" s="108"/>
      <c r="D9" s="108"/>
      <c r="E9" s="108"/>
      <c r="F9" s="108"/>
      <c r="G9" s="108"/>
      <c r="H9" s="108"/>
      <c r="I9" s="108"/>
      <c r="J9" s="108"/>
      <c r="K9" s="108"/>
      <c r="L9" s="108"/>
      <c r="M9" s="108"/>
      <c r="N9" s="108"/>
      <c r="O9" s="108"/>
      <c r="P9" s="108"/>
      <c r="Q9" s="108"/>
      <c r="R9" s="108"/>
      <c r="S9" s="109"/>
    </row>
    <row r="10" spans="1:22" ht="18" customHeight="1" x14ac:dyDescent="0.15">
      <c r="B10" s="110"/>
      <c r="C10" s="111"/>
      <c r="D10" s="111"/>
      <c r="E10" s="111"/>
      <c r="F10" s="111"/>
      <c r="G10" s="111"/>
      <c r="H10" s="111"/>
      <c r="I10" s="111"/>
      <c r="J10" s="111"/>
      <c r="K10" s="111"/>
      <c r="L10" s="111"/>
      <c r="M10" s="111"/>
      <c r="N10" s="111"/>
      <c r="O10" s="111"/>
      <c r="P10" s="111"/>
      <c r="Q10" s="111"/>
      <c r="R10" s="111"/>
      <c r="S10" s="112"/>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110</v>
      </c>
      <c r="B12" s="3"/>
      <c r="C12" s="3"/>
      <c r="D12" s="34"/>
      <c r="E12" s="34"/>
      <c r="F12" s="34"/>
      <c r="G12" s="34"/>
      <c r="H12" s="34"/>
      <c r="I12" s="34"/>
      <c r="J12" s="34"/>
      <c r="K12" s="38"/>
      <c r="L12" s="38"/>
      <c r="M12" s="38"/>
      <c r="N12" s="38"/>
      <c r="O12" s="38"/>
      <c r="P12" s="38"/>
      <c r="Q12" s="38"/>
      <c r="R12" s="38"/>
      <c r="S12" s="38"/>
    </row>
    <row r="13" spans="1:22" ht="18" customHeight="1" x14ac:dyDescent="0.15">
      <c r="B13" s="83" t="s">
        <v>153</v>
      </c>
      <c r="C13" s="84"/>
      <c r="D13" s="84"/>
      <c r="E13" s="84"/>
      <c r="F13" s="84"/>
      <c r="G13" s="84"/>
      <c r="H13" s="84"/>
      <c r="I13" s="84"/>
      <c r="J13" s="84"/>
      <c r="K13" s="84"/>
      <c r="L13" s="84"/>
      <c r="M13" s="84"/>
      <c r="N13" s="84"/>
      <c r="O13" s="84"/>
      <c r="P13" s="84"/>
      <c r="Q13" s="84"/>
      <c r="R13" s="84"/>
      <c r="S13" s="85"/>
      <c r="V13" s="1" t="s">
        <v>102</v>
      </c>
    </row>
    <row r="14" spans="1:22" ht="18" customHeight="1" x14ac:dyDescent="0.15">
      <c r="B14" s="86"/>
      <c r="C14" s="87"/>
      <c r="D14" s="87"/>
      <c r="E14" s="87"/>
      <c r="F14" s="87"/>
      <c r="G14" s="87"/>
      <c r="H14" s="87"/>
      <c r="I14" s="87"/>
      <c r="J14" s="87"/>
      <c r="K14" s="87"/>
      <c r="L14" s="87"/>
      <c r="M14" s="87"/>
      <c r="N14" s="87"/>
      <c r="O14" s="87"/>
      <c r="P14" s="87"/>
      <c r="Q14" s="87"/>
      <c r="R14" s="87"/>
      <c r="S14" s="88"/>
      <c r="V14" s="1" t="s">
        <v>109</v>
      </c>
    </row>
    <row r="15" spans="1:22" ht="18" customHeight="1" x14ac:dyDescent="0.15">
      <c r="B15" s="86"/>
      <c r="C15" s="87"/>
      <c r="D15" s="87"/>
      <c r="E15" s="87"/>
      <c r="F15" s="87"/>
      <c r="G15" s="87"/>
      <c r="H15" s="87"/>
      <c r="I15" s="87"/>
      <c r="J15" s="87"/>
      <c r="K15" s="87"/>
      <c r="L15" s="87"/>
      <c r="M15" s="87"/>
      <c r="N15" s="87"/>
      <c r="O15" s="87"/>
      <c r="P15" s="87"/>
      <c r="Q15" s="87"/>
      <c r="R15" s="87"/>
      <c r="S15" s="88"/>
      <c r="V15" s="1" t="s">
        <v>121</v>
      </c>
    </row>
    <row r="16" spans="1:22" ht="18" customHeight="1" x14ac:dyDescent="0.15">
      <c r="B16" s="86"/>
      <c r="C16" s="87"/>
      <c r="D16" s="87"/>
      <c r="E16" s="87"/>
      <c r="F16" s="87"/>
      <c r="G16" s="87"/>
      <c r="H16" s="87"/>
      <c r="I16" s="87"/>
      <c r="J16" s="87"/>
      <c r="K16" s="87"/>
      <c r="L16" s="87"/>
      <c r="M16" s="87"/>
      <c r="N16" s="87"/>
      <c r="O16" s="87"/>
      <c r="P16" s="87"/>
      <c r="Q16" s="87"/>
      <c r="R16" s="87"/>
      <c r="S16" s="88"/>
      <c r="V16" s="1" t="s">
        <v>123</v>
      </c>
    </row>
    <row r="17" spans="1:19" ht="18" customHeight="1" x14ac:dyDescent="0.15">
      <c r="B17" s="86"/>
      <c r="C17" s="87"/>
      <c r="D17" s="87"/>
      <c r="E17" s="87"/>
      <c r="F17" s="87"/>
      <c r="G17" s="87"/>
      <c r="H17" s="87"/>
      <c r="I17" s="87"/>
      <c r="J17" s="87"/>
      <c r="K17" s="87"/>
      <c r="L17" s="87"/>
      <c r="M17" s="87"/>
      <c r="N17" s="87"/>
      <c r="O17" s="87"/>
      <c r="P17" s="87"/>
      <c r="Q17" s="87"/>
      <c r="R17" s="87"/>
      <c r="S17" s="88"/>
    </row>
    <row r="18" spans="1:19" ht="18" customHeight="1" x14ac:dyDescent="0.15">
      <c r="B18" s="89"/>
      <c r="C18" s="90"/>
      <c r="D18" s="90"/>
      <c r="E18" s="90"/>
      <c r="F18" s="90"/>
      <c r="G18" s="90"/>
      <c r="H18" s="90"/>
      <c r="I18" s="90"/>
      <c r="J18" s="90"/>
      <c r="K18" s="90"/>
      <c r="L18" s="90"/>
      <c r="M18" s="90"/>
      <c r="N18" s="90"/>
      <c r="O18" s="90"/>
      <c r="P18" s="90"/>
      <c r="Q18" s="90"/>
      <c r="R18" s="90"/>
      <c r="S18" s="91"/>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111</v>
      </c>
      <c r="C20" s="92">
        <v>4</v>
      </c>
      <c r="D20" s="93"/>
      <c r="E20" s="39" t="s">
        <v>94</v>
      </c>
      <c r="G20" s="10"/>
      <c r="H20" s="3"/>
      <c r="I20" s="3"/>
      <c r="J20" s="34" t="s">
        <v>119</v>
      </c>
      <c r="K20" s="94" t="s">
        <v>121</v>
      </c>
      <c r="L20" s="95"/>
      <c r="M20" s="95"/>
      <c r="N20" s="95"/>
      <c r="O20" s="95"/>
      <c r="P20" s="95"/>
      <c r="Q20" s="95"/>
      <c r="R20" s="95"/>
      <c r="S20" s="9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7" t="s">
        <v>154</v>
      </c>
      <c r="B22" s="97"/>
      <c r="C22" s="97"/>
      <c r="D22" s="97"/>
      <c r="E22" s="97"/>
      <c r="F22" s="97"/>
      <c r="G22" s="97"/>
      <c r="H22" s="97"/>
      <c r="I22" s="97"/>
      <c r="J22" s="97"/>
      <c r="K22" s="97"/>
      <c r="L22" s="97"/>
      <c r="M22" s="97"/>
      <c r="N22" s="97"/>
      <c r="O22" s="97"/>
      <c r="P22" s="97"/>
      <c r="Q22" s="97"/>
      <c r="R22" s="97"/>
      <c r="S22" s="97"/>
    </row>
    <row r="23" spans="1:19" ht="18" customHeight="1" x14ac:dyDescent="0.15">
      <c r="A23" s="97"/>
      <c r="B23" s="97"/>
      <c r="C23" s="97"/>
      <c r="D23" s="97"/>
      <c r="E23" s="97"/>
      <c r="F23" s="97"/>
      <c r="G23" s="97"/>
      <c r="H23" s="97"/>
      <c r="I23" s="97"/>
      <c r="J23" s="97"/>
      <c r="K23" s="97"/>
      <c r="L23" s="97"/>
      <c r="M23" s="97"/>
      <c r="N23" s="97"/>
      <c r="O23" s="97"/>
      <c r="P23" s="97"/>
      <c r="Q23" s="97"/>
      <c r="R23" s="97"/>
      <c r="S23" s="97"/>
    </row>
    <row r="24" spans="1:19" ht="18" customHeight="1" x14ac:dyDescent="0.15">
      <c r="B24" s="92" t="s">
        <v>53</v>
      </c>
      <c r="C24" s="98"/>
      <c r="D24" s="98"/>
      <c r="E24" s="93"/>
      <c r="F24" s="60" t="s">
        <v>79</v>
      </c>
      <c r="G24" s="59" t="s">
        <v>83</v>
      </c>
      <c r="H24" s="21" t="s">
        <v>56</v>
      </c>
      <c r="I24" s="21" t="s">
        <v>59</v>
      </c>
      <c r="J24" s="92" t="s">
        <v>53</v>
      </c>
      <c r="K24" s="98"/>
      <c r="L24" s="98"/>
      <c r="M24" s="98"/>
      <c r="N24" s="98"/>
      <c r="O24" s="93"/>
      <c r="P24" s="60" t="s">
        <v>79</v>
      </c>
      <c r="Q24" s="59" t="s">
        <v>83</v>
      </c>
      <c r="R24" s="21" t="s">
        <v>56</v>
      </c>
      <c r="S24" s="21" t="s">
        <v>59</v>
      </c>
    </row>
    <row r="25" spans="1:19" ht="18" customHeight="1" x14ac:dyDescent="0.15">
      <c r="B25" s="116" t="s">
        <v>155</v>
      </c>
      <c r="C25" s="117"/>
      <c r="D25" s="117"/>
      <c r="E25" s="118"/>
      <c r="F25" s="22">
        <v>2</v>
      </c>
      <c r="G25" s="22" t="s">
        <v>128</v>
      </c>
      <c r="H25" s="22" t="s">
        <v>128</v>
      </c>
      <c r="I25" s="22" t="s">
        <v>128</v>
      </c>
      <c r="J25" s="116"/>
      <c r="K25" s="117"/>
      <c r="L25" s="117"/>
      <c r="M25" s="117"/>
      <c r="N25" s="117"/>
      <c r="O25" s="118"/>
      <c r="P25" s="22"/>
      <c r="Q25" s="22"/>
      <c r="R25" s="22"/>
      <c r="S25" s="22"/>
    </row>
    <row r="26" spans="1:19" ht="18" customHeight="1" x14ac:dyDescent="0.15">
      <c r="B26" s="113"/>
      <c r="C26" s="114"/>
      <c r="D26" s="114"/>
      <c r="E26" s="115"/>
      <c r="F26" s="23"/>
      <c r="G26" s="23"/>
      <c r="H26" s="23"/>
      <c r="I26" s="23"/>
      <c r="J26" s="113"/>
      <c r="K26" s="114"/>
      <c r="L26" s="114"/>
      <c r="M26" s="114"/>
      <c r="N26" s="114"/>
      <c r="O26" s="115"/>
      <c r="P26" s="23"/>
      <c r="Q26" s="23"/>
      <c r="R26" s="23"/>
      <c r="S26" s="23"/>
    </row>
    <row r="27" spans="1:19" ht="18" customHeight="1" x14ac:dyDescent="0.15">
      <c r="B27" s="113"/>
      <c r="C27" s="114"/>
      <c r="D27" s="114"/>
      <c r="E27" s="115"/>
      <c r="F27" s="23"/>
      <c r="G27" s="23"/>
      <c r="H27" s="23"/>
      <c r="I27" s="23"/>
      <c r="J27" s="113"/>
      <c r="K27" s="114"/>
      <c r="L27" s="114"/>
      <c r="M27" s="114"/>
      <c r="N27" s="114"/>
      <c r="O27" s="115"/>
      <c r="P27" s="23"/>
      <c r="Q27" s="23"/>
      <c r="R27" s="23"/>
      <c r="S27" s="23"/>
    </row>
    <row r="28" spans="1:19" ht="18" customHeight="1" x14ac:dyDescent="0.15">
      <c r="B28" s="113"/>
      <c r="C28" s="114"/>
      <c r="D28" s="114"/>
      <c r="E28" s="115"/>
      <c r="F28" s="23"/>
      <c r="G28" s="23"/>
      <c r="H28" s="23"/>
      <c r="I28" s="23"/>
      <c r="J28" s="113"/>
      <c r="K28" s="114"/>
      <c r="L28" s="114"/>
      <c r="M28" s="114"/>
      <c r="N28" s="114"/>
      <c r="O28" s="115"/>
      <c r="P28" s="23"/>
      <c r="Q28" s="23"/>
      <c r="R28" s="23"/>
      <c r="S28" s="23"/>
    </row>
    <row r="29" spans="1:19" ht="18" customHeight="1" x14ac:dyDescent="0.15">
      <c r="B29" s="113"/>
      <c r="C29" s="114"/>
      <c r="D29" s="114"/>
      <c r="E29" s="115"/>
      <c r="F29" s="23"/>
      <c r="G29" s="23"/>
      <c r="H29" s="23"/>
      <c r="I29" s="23"/>
      <c r="J29" s="113"/>
      <c r="K29" s="114"/>
      <c r="L29" s="114"/>
      <c r="M29" s="114"/>
      <c r="N29" s="114"/>
      <c r="O29" s="115"/>
      <c r="P29" s="23"/>
      <c r="Q29" s="23"/>
      <c r="R29" s="23"/>
      <c r="S29" s="23"/>
    </row>
    <row r="30" spans="1:19" ht="18" customHeight="1" x14ac:dyDescent="0.15">
      <c r="A30" s="3"/>
      <c r="B30" s="113"/>
      <c r="C30" s="114"/>
      <c r="D30" s="114"/>
      <c r="E30" s="115"/>
      <c r="F30" s="23"/>
      <c r="G30" s="23"/>
      <c r="H30" s="23"/>
      <c r="I30" s="23"/>
      <c r="J30" s="113"/>
      <c r="K30" s="114"/>
      <c r="L30" s="114"/>
      <c r="M30" s="114"/>
      <c r="N30" s="114"/>
      <c r="O30" s="115"/>
      <c r="P30" s="23"/>
      <c r="Q30" s="23"/>
      <c r="R30" s="23"/>
      <c r="S30" s="23"/>
    </row>
    <row r="31" spans="1:19" ht="18" customHeight="1" x14ac:dyDescent="0.15">
      <c r="A31" s="3"/>
      <c r="B31" s="119"/>
      <c r="C31" s="120"/>
      <c r="D31" s="120"/>
      <c r="E31" s="121"/>
      <c r="F31" s="24"/>
      <c r="G31" s="24"/>
      <c r="H31" s="25"/>
      <c r="I31" s="25"/>
      <c r="J31" s="119"/>
      <c r="K31" s="120"/>
      <c r="L31" s="120"/>
      <c r="M31" s="120"/>
      <c r="N31" s="120"/>
      <c r="O31" s="121"/>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7" t="s">
        <v>112</v>
      </c>
      <c r="B33" s="97"/>
      <c r="C33" s="97"/>
      <c r="D33" s="97"/>
      <c r="E33" s="97"/>
      <c r="F33" s="97"/>
      <c r="G33" s="97"/>
      <c r="H33" s="97"/>
      <c r="I33" s="97"/>
      <c r="J33" s="97"/>
      <c r="K33" s="97"/>
      <c r="L33" s="97"/>
      <c r="M33" s="97"/>
      <c r="N33" s="97"/>
      <c r="O33" s="97"/>
      <c r="P33" s="97"/>
      <c r="Q33" s="97"/>
      <c r="R33" s="97"/>
      <c r="S33" s="97"/>
    </row>
    <row r="34" spans="1:19" ht="18" customHeight="1" x14ac:dyDescent="0.15">
      <c r="A34" s="97"/>
      <c r="B34" s="97"/>
      <c r="C34" s="97"/>
      <c r="D34" s="97"/>
      <c r="E34" s="97"/>
      <c r="F34" s="97"/>
      <c r="G34" s="97"/>
      <c r="H34" s="97"/>
      <c r="I34" s="97"/>
      <c r="J34" s="97"/>
      <c r="K34" s="97"/>
      <c r="L34" s="97"/>
      <c r="M34" s="97"/>
      <c r="N34" s="97"/>
      <c r="O34" s="97"/>
      <c r="P34" s="97"/>
      <c r="Q34" s="97"/>
      <c r="R34" s="97"/>
      <c r="S34" s="97"/>
    </row>
    <row r="35" spans="1:19" ht="18" customHeight="1" x14ac:dyDescent="0.15">
      <c r="B35" s="92" t="s">
        <v>53</v>
      </c>
      <c r="C35" s="98"/>
      <c r="D35" s="98"/>
      <c r="E35" s="93"/>
      <c r="F35" s="60" t="s">
        <v>79</v>
      </c>
      <c r="G35" s="59" t="s">
        <v>83</v>
      </c>
      <c r="H35" s="21" t="s">
        <v>70</v>
      </c>
      <c r="I35" s="21" t="s">
        <v>71</v>
      </c>
      <c r="J35" s="92" t="s">
        <v>53</v>
      </c>
      <c r="K35" s="98"/>
      <c r="L35" s="98"/>
      <c r="M35" s="98"/>
      <c r="N35" s="98"/>
      <c r="O35" s="93"/>
      <c r="P35" s="60" t="s">
        <v>79</v>
      </c>
      <c r="Q35" s="59" t="s">
        <v>83</v>
      </c>
      <c r="R35" s="21" t="s">
        <v>70</v>
      </c>
      <c r="S35" s="21" t="s">
        <v>71</v>
      </c>
    </row>
    <row r="36" spans="1:19" ht="18" customHeight="1" x14ac:dyDescent="0.15">
      <c r="B36" s="116" t="s">
        <v>155</v>
      </c>
      <c r="C36" s="117"/>
      <c r="D36" s="117"/>
      <c r="E36" s="118"/>
      <c r="F36" s="22">
        <v>2</v>
      </c>
      <c r="G36" s="22" t="s">
        <v>128</v>
      </c>
      <c r="H36" s="22" t="s">
        <v>128</v>
      </c>
      <c r="I36" s="22" t="s">
        <v>128</v>
      </c>
      <c r="J36" s="116"/>
      <c r="K36" s="117"/>
      <c r="L36" s="117"/>
      <c r="M36" s="117"/>
      <c r="N36" s="117"/>
      <c r="O36" s="118"/>
      <c r="P36" s="22"/>
      <c r="Q36" s="22"/>
      <c r="R36" s="22"/>
      <c r="S36" s="22"/>
    </row>
    <row r="37" spans="1:19" ht="18" customHeight="1" x14ac:dyDescent="0.15">
      <c r="B37" s="113"/>
      <c r="C37" s="114"/>
      <c r="D37" s="114"/>
      <c r="E37" s="115"/>
      <c r="F37" s="23"/>
      <c r="G37" s="23"/>
      <c r="H37" s="23"/>
      <c r="I37" s="23"/>
      <c r="J37" s="113"/>
      <c r="K37" s="114"/>
      <c r="L37" s="114"/>
      <c r="M37" s="114"/>
      <c r="N37" s="114"/>
      <c r="O37" s="115"/>
      <c r="P37" s="23"/>
      <c r="Q37" s="23"/>
      <c r="R37" s="23"/>
      <c r="S37" s="23"/>
    </row>
    <row r="38" spans="1:19" ht="18" customHeight="1" x14ac:dyDescent="0.15">
      <c r="B38" s="113"/>
      <c r="C38" s="114"/>
      <c r="D38" s="114"/>
      <c r="E38" s="115"/>
      <c r="F38" s="23"/>
      <c r="G38" s="23"/>
      <c r="H38" s="23"/>
      <c r="I38" s="23"/>
      <c r="J38" s="113"/>
      <c r="K38" s="114"/>
      <c r="L38" s="114"/>
      <c r="M38" s="114"/>
      <c r="N38" s="114"/>
      <c r="O38" s="115"/>
      <c r="P38" s="23"/>
      <c r="Q38" s="23"/>
      <c r="R38" s="23"/>
      <c r="S38" s="23"/>
    </row>
    <row r="39" spans="1:19" ht="18" customHeight="1" x14ac:dyDescent="0.15">
      <c r="B39" s="113"/>
      <c r="C39" s="114"/>
      <c r="D39" s="114"/>
      <c r="E39" s="115"/>
      <c r="F39" s="23"/>
      <c r="G39" s="23"/>
      <c r="H39" s="23"/>
      <c r="I39" s="23"/>
      <c r="J39" s="113"/>
      <c r="K39" s="114"/>
      <c r="L39" s="114"/>
      <c r="M39" s="114"/>
      <c r="N39" s="114"/>
      <c r="O39" s="115"/>
      <c r="P39" s="23"/>
      <c r="Q39" s="23"/>
      <c r="R39" s="23"/>
      <c r="S39" s="23"/>
    </row>
    <row r="40" spans="1:19" ht="18" customHeight="1" x14ac:dyDescent="0.15">
      <c r="B40" s="113"/>
      <c r="C40" s="114"/>
      <c r="D40" s="114"/>
      <c r="E40" s="115"/>
      <c r="F40" s="23"/>
      <c r="G40" s="23"/>
      <c r="H40" s="23"/>
      <c r="I40" s="23"/>
      <c r="J40" s="113"/>
      <c r="K40" s="114"/>
      <c r="L40" s="114"/>
      <c r="M40" s="114"/>
      <c r="N40" s="114"/>
      <c r="O40" s="115"/>
      <c r="P40" s="23"/>
      <c r="Q40" s="23"/>
      <c r="R40" s="23"/>
      <c r="S40" s="23"/>
    </row>
    <row r="41" spans="1:19" ht="18" customHeight="1" x14ac:dyDescent="0.15">
      <c r="B41" s="113"/>
      <c r="C41" s="114"/>
      <c r="D41" s="114"/>
      <c r="E41" s="115"/>
      <c r="F41" s="23"/>
      <c r="G41" s="23"/>
      <c r="H41" s="23"/>
      <c r="I41" s="23"/>
      <c r="J41" s="113"/>
      <c r="K41" s="114"/>
      <c r="L41" s="114"/>
      <c r="M41" s="114"/>
      <c r="N41" s="114"/>
      <c r="O41" s="115"/>
      <c r="P41" s="23"/>
      <c r="Q41" s="23"/>
      <c r="R41" s="23"/>
      <c r="S41" s="23"/>
    </row>
    <row r="42" spans="1:19" ht="18" customHeight="1" x14ac:dyDescent="0.15">
      <c r="B42" s="119"/>
      <c r="C42" s="120"/>
      <c r="D42" s="120"/>
      <c r="E42" s="121"/>
      <c r="F42" s="24"/>
      <c r="G42" s="24"/>
      <c r="H42" s="25"/>
      <c r="I42" s="25"/>
      <c r="J42" s="119"/>
      <c r="K42" s="120"/>
      <c r="L42" s="120"/>
      <c r="M42" s="120"/>
      <c r="N42" s="120"/>
      <c r="O42" s="121"/>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7" t="s">
        <v>113</v>
      </c>
      <c r="B44" s="97"/>
      <c r="C44" s="97"/>
      <c r="D44" s="97"/>
      <c r="E44" s="97"/>
      <c r="F44" s="97"/>
      <c r="G44" s="97"/>
      <c r="H44" s="97"/>
      <c r="I44" s="97"/>
      <c r="J44" s="97"/>
      <c r="K44" s="97"/>
      <c r="L44" s="97"/>
      <c r="M44" s="97"/>
      <c r="N44" s="97"/>
      <c r="O44" s="97"/>
      <c r="P44" s="97"/>
      <c r="Q44" s="97"/>
      <c r="R44" s="97"/>
      <c r="S44" s="97"/>
    </row>
    <row r="45" spans="1:19" ht="18" customHeight="1" x14ac:dyDescent="0.15">
      <c r="A45" s="97"/>
      <c r="B45" s="97"/>
      <c r="C45" s="97"/>
      <c r="D45" s="97"/>
      <c r="E45" s="97"/>
      <c r="F45" s="97"/>
      <c r="G45" s="97"/>
      <c r="H45" s="97"/>
      <c r="I45" s="97"/>
      <c r="J45" s="97"/>
      <c r="K45" s="97"/>
      <c r="L45" s="97"/>
      <c r="M45" s="97"/>
      <c r="N45" s="97"/>
      <c r="O45" s="97"/>
      <c r="P45" s="97"/>
      <c r="Q45" s="97"/>
      <c r="R45" s="97"/>
      <c r="S45" s="97"/>
    </row>
    <row r="46" spans="1:19" ht="18" customHeight="1" x14ac:dyDescent="0.15">
      <c r="B46" s="92" t="s">
        <v>53</v>
      </c>
      <c r="C46" s="98"/>
      <c r="D46" s="98"/>
      <c r="E46" s="93"/>
      <c r="F46" s="60" t="s">
        <v>79</v>
      </c>
      <c r="G46" s="59" t="s">
        <v>83</v>
      </c>
      <c r="H46" s="21" t="s">
        <v>72</v>
      </c>
      <c r="I46" s="21" t="s">
        <v>73</v>
      </c>
      <c r="J46" s="92" t="s">
        <v>53</v>
      </c>
      <c r="K46" s="98"/>
      <c r="L46" s="98"/>
      <c r="M46" s="98"/>
      <c r="N46" s="98"/>
      <c r="O46" s="93"/>
      <c r="P46" s="60" t="s">
        <v>79</v>
      </c>
      <c r="Q46" s="59" t="s">
        <v>83</v>
      </c>
      <c r="R46" s="21" t="s">
        <v>72</v>
      </c>
      <c r="S46" s="21" t="s">
        <v>73</v>
      </c>
    </row>
    <row r="47" spans="1:19" ht="18" customHeight="1" x14ac:dyDescent="0.15">
      <c r="A47" s="3"/>
      <c r="B47" s="116" t="s">
        <v>155</v>
      </c>
      <c r="C47" s="117"/>
      <c r="D47" s="117"/>
      <c r="E47" s="118"/>
      <c r="F47" s="22">
        <v>2</v>
      </c>
      <c r="G47" s="22" t="s">
        <v>128</v>
      </c>
      <c r="H47" s="22" t="s">
        <v>128</v>
      </c>
      <c r="I47" s="22" t="s">
        <v>128</v>
      </c>
      <c r="J47" s="116"/>
      <c r="K47" s="117"/>
      <c r="L47" s="117"/>
      <c r="M47" s="117"/>
      <c r="N47" s="117"/>
      <c r="O47" s="118"/>
      <c r="P47" s="22"/>
      <c r="Q47" s="22"/>
      <c r="R47" s="22"/>
      <c r="S47" s="22"/>
    </row>
    <row r="48" spans="1:19" ht="18" customHeight="1" x14ac:dyDescent="0.15">
      <c r="A48" s="3"/>
      <c r="B48" s="113"/>
      <c r="C48" s="114"/>
      <c r="D48" s="114"/>
      <c r="E48" s="115"/>
      <c r="F48" s="23"/>
      <c r="G48" s="23"/>
      <c r="H48" s="23"/>
      <c r="I48" s="23"/>
      <c r="J48" s="113"/>
      <c r="K48" s="114"/>
      <c r="L48" s="114"/>
      <c r="M48" s="114"/>
      <c r="N48" s="114"/>
      <c r="O48" s="115"/>
      <c r="P48" s="23"/>
      <c r="Q48" s="23"/>
      <c r="R48" s="23"/>
      <c r="S48" s="23"/>
    </row>
    <row r="49" spans="1:19" ht="18" customHeight="1" x14ac:dyDescent="0.15">
      <c r="A49" s="3"/>
      <c r="B49" s="113"/>
      <c r="C49" s="114"/>
      <c r="D49" s="114"/>
      <c r="E49" s="115"/>
      <c r="F49" s="23"/>
      <c r="G49" s="23"/>
      <c r="H49" s="23"/>
      <c r="I49" s="23"/>
      <c r="J49" s="113"/>
      <c r="K49" s="114"/>
      <c r="L49" s="114"/>
      <c r="M49" s="114"/>
      <c r="N49" s="114"/>
      <c r="O49" s="115"/>
      <c r="P49" s="23"/>
      <c r="Q49" s="23"/>
      <c r="R49" s="23"/>
      <c r="S49" s="23"/>
    </row>
    <row r="50" spans="1:19" ht="18" customHeight="1" x14ac:dyDescent="0.15">
      <c r="A50" s="3"/>
      <c r="B50" s="113"/>
      <c r="C50" s="114"/>
      <c r="D50" s="114"/>
      <c r="E50" s="115"/>
      <c r="F50" s="23"/>
      <c r="G50" s="23"/>
      <c r="H50" s="23"/>
      <c r="I50" s="23"/>
      <c r="J50" s="113"/>
      <c r="K50" s="114"/>
      <c r="L50" s="114"/>
      <c r="M50" s="114"/>
      <c r="N50" s="114"/>
      <c r="O50" s="115"/>
      <c r="P50" s="23"/>
      <c r="Q50" s="23"/>
      <c r="R50" s="23"/>
      <c r="S50" s="23"/>
    </row>
    <row r="51" spans="1:19" ht="18" customHeight="1" x14ac:dyDescent="0.15">
      <c r="A51" s="3"/>
      <c r="B51" s="113"/>
      <c r="C51" s="114"/>
      <c r="D51" s="114"/>
      <c r="E51" s="115"/>
      <c r="F51" s="23"/>
      <c r="G51" s="23"/>
      <c r="H51" s="23"/>
      <c r="I51" s="23"/>
      <c r="J51" s="113"/>
      <c r="K51" s="114"/>
      <c r="L51" s="114"/>
      <c r="M51" s="114"/>
      <c r="N51" s="114"/>
      <c r="O51" s="115"/>
      <c r="P51" s="23"/>
      <c r="Q51" s="23"/>
      <c r="R51" s="23"/>
      <c r="S51" s="23"/>
    </row>
    <row r="52" spans="1:19" ht="18" customHeight="1" x14ac:dyDescent="0.15">
      <c r="A52" s="3"/>
      <c r="B52" s="113"/>
      <c r="C52" s="114"/>
      <c r="D52" s="114"/>
      <c r="E52" s="115"/>
      <c r="F52" s="23"/>
      <c r="G52" s="23"/>
      <c r="H52" s="23"/>
      <c r="I52" s="23"/>
      <c r="J52" s="113"/>
      <c r="K52" s="114"/>
      <c r="L52" s="114"/>
      <c r="M52" s="114"/>
      <c r="N52" s="114"/>
      <c r="O52" s="115"/>
      <c r="P52" s="23"/>
      <c r="Q52" s="23"/>
      <c r="R52" s="23"/>
      <c r="S52" s="23"/>
    </row>
    <row r="53" spans="1:19" ht="18" customHeight="1" x14ac:dyDescent="0.15">
      <c r="A53" s="3"/>
      <c r="B53" s="119"/>
      <c r="C53" s="120"/>
      <c r="D53" s="120"/>
      <c r="E53" s="121"/>
      <c r="F53" s="24"/>
      <c r="G53" s="24"/>
      <c r="H53" s="25"/>
      <c r="I53" s="25"/>
      <c r="J53" s="119"/>
      <c r="K53" s="120"/>
      <c r="L53" s="120"/>
      <c r="M53" s="120"/>
      <c r="N53" s="120"/>
      <c r="O53" s="121"/>
      <c r="P53" s="24"/>
      <c r="Q53" s="24"/>
      <c r="R53" s="25"/>
      <c r="S53" s="25"/>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97" t="s">
        <v>114</v>
      </c>
      <c r="B55" s="97"/>
      <c r="C55" s="97"/>
      <c r="D55" s="97"/>
      <c r="E55" s="97"/>
      <c r="F55" s="97"/>
      <c r="G55" s="97"/>
      <c r="H55" s="97"/>
      <c r="I55" s="97"/>
      <c r="J55" s="97"/>
      <c r="K55" s="97"/>
      <c r="L55" s="97"/>
      <c r="M55" s="97"/>
      <c r="N55" s="97"/>
      <c r="O55" s="97"/>
      <c r="P55" s="97"/>
      <c r="Q55" s="97"/>
      <c r="R55" s="97"/>
      <c r="S55" s="97"/>
    </row>
    <row r="56" spans="1:19" ht="18" customHeight="1" x14ac:dyDescent="0.15">
      <c r="A56" s="97"/>
      <c r="B56" s="97"/>
      <c r="C56" s="97"/>
      <c r="D56" s="97"/>
      <c r="E56" s="97"/>
      <c r="F56" s="97"/>
      <c r="G56" s="97"/>
      <c r="H56" s="97"/>
      <c r="I56" s="97"/>
      <c r="J56" s="97"/>
      <c r="K56" s="97"/>
      <c r="L56" s="97"/>
      <c r="M56" s="97"/>
      <c r="N56" s="97"/>
      <c r="O56" s="97"/>
      <c r="P56" s="97"/>
      <c r="Q56" s="97"/>
      <c r="R56" s="97"/>
      <c r="S56" s="97"/>
    </row>
    <row r="57" spans="1:19" ht="18" customHeight="1" x14ac:dyDescent="0.15">
      <c r="B57" s="92" t="s">
        <v>53</v>
      </c>
      <c r="C57" s="98"/>
      <c r="D57" s="98"/>
      <c r="E57" s="93"/>
      <c r="F57" s="60" t="s">
        <v>79</v>
      </c>
      <c r="G57" s="59" t="s">
        <v>83</v>
      </c>
      <c r="H57" s="21" t="s">
        <v>58</v>
      </c>
      <c r="I57" s="21" t="s">
        <v>60</v>
      </c>
      <c r="J57" s="92" t="s">
        <v>53</v>
      </c>
      <c r="K57" s="98"/>
      <c r="L57" s="98"/>
      <c r="M57" s="98"/>
      <c r="N57" s="98"/>
      <c r="O57" s="93"/>
      <c r="P57" s="60" t="s">
        <v>79</v>
      </c>
      <c r="Q57" s="59" t="s">
        <v>83</v>
      </c>
      <c r="R57" s="21" t="s">
        <v>58</v>
      </c>
      <c r="S57" s="21" t="s">
        <v>60</v>
      </c>
    </row>
    <row r="58" spans="1:19" ht="18" customHeight="1" x14ac:dyDescent="0.15">
      <c r="A58" s="3"/>
      <c r="B58" s="116" t="s">
        <v>155</v>
      </c>
      <c r="C58" s="117"/>
      <c r="D58" s="117"/>
      <c r="E58" s="118"/>
      <c r="F58" s="22">
        <v>2</v>
      </c>
      <c r="G58" s="22" t="s">
        <v>128</v>
      </c>
      <c r="H58" s="22" t="s">
        <v>128</v>
      </c>
      <c r="I58" s="22" t="s">
        <v>128</v>
      </c>
      <c r="J58" s="116"/>
      <c r="K58" s="117"/>
      <c r="L58" s="117"/>
      <c r="M58" s="117"/>
      <c r="N58" s="117"/>
      <c r="O58" s="118"/>
      <c r="P58" s="22"/>
      <c r="Q58" s="22"/>
      <c r="R58" s="22"/>
      <c r="S58" s="22"/>
    </row>
    <row r="59" spans="1:19" ht="18" customHeight="1" x14ac:dyDescent="0.15">
      <c r="A59" s="3"/>
      <c r="B59" s="113"/>
      <c r="C59" s="114"/>
      <c r="D59" s="114"/>
      <c r="E59" s="115"/>
      <c r="F59" s="23"/>
      <c r="G59" s="23"/>
      <c r="H59" s="23"/>
      <c r="I59" s="23"/>
      <c r="J59" s="113"/>
      <c r="K59" s="114"/>
      <c r="L59" s="114"/>
      <c r="M59" s="114"/>
      <c r="N59" s="114"/>
      <c r="O59" s="115"/>
      <c r="P59" s="23"/>
      <c r="Q59" s="23"/>
      <c r="R59" s="23"/>
      <c r="S59" s="23"/>
    </row>
    <row r="60" spans="1:19" ht="18" customHeight="1" x14ac:dyDescent="0.15">
      <c r="A60" s="3"/>
      <c r="B60" s="113"/>
      <c r="C60" s="114"/>
      <c r="D60" s="114"/>
      <c r="E60" s="115"/>
      <c r="F60" s="23"/>
      <c r="G60" s="23"/>
      <c r="H60" s="23"/>
      <c r="I60" s="23"/>
      <c r="J60" s="113"/>
      <c r="K60" s="114"/>
      <c r="L60" s="114"/>
      <c r="M60" s="114"/>
      <c r="N60" s="114"/>
      <c r="O60" s="115"/>
      <c r="P60" s="23"/>
      <c r="Q60" s="23"/>
      <c r="R60" s="23"/>
      <c r="S60" s="23"/>
    </row>
    <row r="61" spans="1:19" ht="18" customHeight="1" x14ac:dyDescent="0.15">
      <c r="A61" s="3"/>
      <c r="B61" s="113"/>
      <c r="C61" s="114"/>
      <c r="D61" s="114"/>
      <c r="E61" s="115"/>
      <c r="F61" s="23"/>
      <c r="G61" s="23"/>
      <c r="H61" s="23"/>
      <c r="I61" s="23"/>
      <c r="J61" s="113"/>
      <c r="K61" s="114"/>
      <c r="L61" s="114"/>
      <c r="M61" s="114"/>
      <c r="N61" s="114"/>
      <c r="O61" s="115"/>
      <c r="P61" s="23"/>
      <c r="Q61" s="23"/>
      <c r="R61" s="23"/>
      <c r="S61" s="23"/>
    </row>
    <row r="62" spans="1:19" ht="18" customHeight="1" x14ac:dyDescent="0.15">
      <c r="A62" s="3"/>
      <c r="B62" s="113"/>
      <c r="C62" s="114"/>
      <c r="D62" s="114"/>
      <c r="E62" s="115"/>
      <c r="F62" s="23"/>
      <c r="G62" s="23"/>
      <c r="H62" s="23"/>
      <c r="I62" s="23"/>
      <c r="J62" s="113"/>
      <c r="K62" s="114"/>
      <c r="L62" s="114"/>
      <c r="M62" s="114"/>
      <c r="N62" s="114"/>
      <c r="O62" s="115"/>
      <c r="P62" s="23"/>
      <c r="Q62" s="23"/>
      <c r="R62" s="23"/>
      <c r="S62" s="23"/>
    </row>
    <row r="63" spans="1:19" ht="18" customHeight="1" x14ac:dyDescent="0.15">
      <c r="A63" s="3"/>
      <c r="B63" s="113"/>
      <c r="C63" s="114"/>
      <c r="D63" s="114"/>
      <c r="E63" s="115"/>
      <c r="F63" s="23"/>
      <c r="G63" s="23"/>
      <c r="H63" s="23"/>
      <c r="I63" s="23"/>
      <c r="J63" s="113"/>
      <c r="K63" s="114"/>
      <c r="L63" s="114"/>
      <c r="M63" s="114"/>
      <c r="N63" s="114"/>
      <c r="O63" s="115"/>
      <c r="P63" s="23"/>
      <c r="Q63" s="23"/>
      <c r="R63" s="23"/>
      <c r="S63" s="23"/>
    </row>
    <row r="64" spans="1:19" ht="18" customHeight="1" x14ac:dyDescent="0.15">
      <c r="A64" s="3"/>
      <c r="B64" s="119"/>
      <c r="C64" s="120"/>
      <c r="D64" s="120"/>
      <c r="E64" s="121"/>
      <c r="F64" s="24"/>
      <c r="G64" s="24"/>
      <c r="H64" s="25"/>
      <c r="I64" s="25"/>
      <c r="J64" s="119"/>
      <c r="K64" s="120"/>
      <c r="L64" s="120"/>
      <c r="M64" s="120"/>
      <c r="N64" s="120"/>
      <c r="O64" s="121"/>
      <c r="P64" s="24"/>
      <c r="Q64" s="24"/>
      <c r="R64" s="25"/>
      <c r="S64" s="25"/>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97" t="s">
        <v>115</v>
      </c>
      <c r="B66" s="97"/>
      <c r="C66" s="97"/>
      <c r="D66" s="97"/>
      <c r="E66" s="97"/>
      <c r="F66" s="97"/>
      <c r="G66" s="97"/>
      <c r="H66" s="97"/>
      <c r="I66" s="97"/>
      <c r="J66" s="97"/>
      <c r="K66" s="97"/>
      <c r="L66" s="97"/>
      <c r="M66" s="97"/>
      <c r="N66" s="97"/>
      <c r="O66" s="97"/>
      <c r="P66" s="97"/>
      <c r="Q66" s="97"/>
      <c r="R66" s="97"/>
      <c r="S66" s="97"/>
    </row>
    <row r="67" spans="1:19" ht="18" customHeight="1" x14ac:dyDescent="0.15">
      <c r="A67" s="97"/>
      <c r="B67" s="97"/>
      <c r="C67" s="97"/>
      <c r="D67" s="97"/>
      <c r="E67" s="97"/>
      <c r="F67" s="97"/>
      <c r="G67" s="97"/>
      <c r="H67" s="97"/>
      <c r="I67" s="97"/>
      <c r="J67" s="97"/>
      <c r="K67" s="97"/>
      <c r="L67" s="97"/>
      <c r="M67" s="97"/>
      <c r="N67" s="97"/>
      <c r="O67" s="97"/>
      <c r="P67" s="97"/>
      <c r="Q67" s="97"/>
      <c r="R67" s="97"/>
      <c r="S67" s="97"/>
    </row>
    <row r="68" spans="1:19" ht="18" customHeight="1" x14ac:dyDescent="0.15">
      <c r="B68" s="92" t="s">
        <v>53</v>
      </c>
      <c r="C68" s="98"/>
      <c r="D68" s="98"/>
      <c r="E68" s="60" t="s">
        <v>79</v>
      </c>
      <c r="F68" s="59" t="s">
        <v>83</v>
      </c>
      <c r="G68" s="21" t="s">
        <v>100</v>
      </c>
      <c r="H68" s="21" t="s">
        <v>74</v>
      </c>
      <c r="I68" s="21" t="s">
        <v>75</v>
      </c>
      <c r="J68" s="92" t="s">
        <v>53</v>
      </c>
      <c r="K68" s="98"/>
      <c r="L68" s="98"/>
      <c r="M68" s="98"/>
      <c r="N68" s="93"/>
      <c r="O68" s="60" t="s">
        <v>79</v>
      </c>
      <c r="P68" s="59" t="s">
        <v>83</v>
      </c>
      <c r="Q68" s="21" t="s">
        <v>100</v>
      </c>
      <c r="R68" s="21" t="s">
        <v>74</v>
      </c>
      <c r="S68" s="21" t="s">
        <v>75</v>
      </c>
    </row>
    <row r="69" spans="1:19" ht="18" customHeight="1" x14ac:dyDescent="0.15">
      <c r="A69" s="3"/>
      <c r="B69" s="116" t="s">
        <v>155</v>
      </c>
      <c r="C69" s="117"/>
      <c r="D69" s="118"/>
      <c r="E69" s="22">
        <v>2</v>
      </c>
      <c r="F69" s="22" t="s">
        <v>128</v>
      </c>
      <c r="G69" s="22" t="s">
        <v>128</v>
      </c>
      <c r="H69" s="22" t="s">
        <v>128</v>
      </c>
      <c r="I69" s="22" t="s">
        <v>128</v>
      </c>
      <c r="J69" s="116"/>
      <c r="K69" s="117"/>
      <c r="L69" s="117"/>
      <c r="M69" s="117"/>
      <c r="N69" s="118"/>
      <c r="O69" s="22"/>
      <c r="P69" s="22"/>
      <c r="Q69" s="22"/>
      <c r="R69" s="22"/>
      <c r="S69" s="22"/>
    </row>
    <row r="70" spans="1:19" ht="18" customHeight="1" x14ac:dyDescent="0.15">
      <c r="A70" s="3"/>
      <c r="B70" s="113" t="s">
        <v>129</v>
      </c>
      <c r="C70" s="114"/>
      <c r="D70" s="114"/>
      <c r="E70" s="23">
        <v>2</v>
      </c>
      <c r="F70" s="23" t="s">
        <v>128</v>
      </c>
      <c r="G70" s="23" t="s">
        <v>128</v>
      </c>
      <c r="H70" s="23" t="s">
        <v>128</v>
      </c>
      <c r="I70" s="23" t="s">
        <v>128</v>
      </c>
      <c r="J70" s="113"/>
      <c r="K70" s="114"/>
      <c r="L70" s="114"/>
      <c r="M70" s="114"/>
      <c r="N70" s="115"/>
      <c r="O70" s="23"/>
      <c r="P70" s="23"/>
      <c r="Q70" s="23"/>
      <c r="R70" s="23"/>
      <c r="S70" s="23"/>
    </row>
    <row r="71" spans="1:19" ht="18" customHeight="1" x14ac:dyDescent="0.15">
      <c r="A71" s="3"/>
      <c r="B71" s="113"/>
      <c r="C71" s="114"/>
      <c r="D71" s="114"/>
      <c r="E71" s="23"/>
      <c r="F71" s="23"/>
      <c r="G71" s="23"/>
      <c r="H71" s="23"/>
      <c r="I71" s="23"/>
      <c r="J71" s="113"/>
      <c r="K71" s="114"/>
      <c r="L71" s="114"/>
      <c r="M71" s="114"/>
      <c r="N71" s="115"/>
      <c r="O71" s="23"/>
      <c r="P71" s="23"/>
      <c r="Q71" s="23"/>
      <c r="R71" s="23"/>
      <c r="S71" s="23"/>
    </row>
    <row r="72" spans="1:19" ht="18" customHeight="1" x14ac:dyDescent="0.15">
      <c r="A72" s="3"/>
      <c r="B72" s="113"/>
      <c r="C72" s="114"/>
      <c r="D72" s="114"/>
      <c r="E72" s="23"/>
      <c r="F72" s="23"/>
      <c r="G72" s="23"/>
      <c r="H72" s="23"/>
      <c r="I72" s="23"/>
      <c r="J72" s="113"/>
      <c r="K72" s="114"/>
      <c r="L72" s="114"/>
      <c r="M72" s="114"/>
      <c r="N72" s="115"/>
      <c r="O72" s="23"/>
      <c r="P72" s="23"/>
      <c r="Q72" s="23"/>
      <c r="R72" s="23"/>
      <c r="S72" s="23"/>
    </row>
    <row r="73" spans="1:19" ht="18" customHeight="1" x14ac:dyDescent="0.15">
      <c r="A73" s="3"/>
      <c r="B73" s="113"/>
      <c r="C73" s="114"/>
      <c r="D73" s="114"/>
      <c r="E73" s="23"/>
      <c r="F73" s="23"/>
      <c r="G73" s="23"/>
      <c r="H73" s="23"/>
      <c r="I73" s="23"/>
      <c r="J73" s="113"/>
      <c r="K73" s="114"/>
      <c r="L73" s="114"/>
      <c r="M73" s="114"/>
      <c r="N73" s="115"/>
      <c r="O73" s="23"/>
      <c r="P73" s="23"/>
      <c r="Q73" s="23"/>
      <c r="R73" s="23"/>
      <c r="S73" s="23"/>
    </row>
    <row r="74" spans="1:19" ht="18" customHeight="1" x14ac:dyDescent="0.15">
      <c r="A74" s="3"/>
      <c r="B74" s="113"/>
      <c r="C74" s="114"/>
      <c r="D74" s="114"/>
      <c r="E74" s="23"/>
      <c r="F74" s="23"/>
      <c r="G74" s="23"/>
      <c r="H74" s="23"/>
      <c r="I74" s="23"/>
      <c r="J74" s="113"/>
      <c r="K74" s="114"/>
      <c r="L74" s="114"/>
      <c r="M74" s="114"/>
      <c r="N74" s="115"/>
      <c r="O74" s="23"/>
      <c r="P74" s="23"/>
      <c r="Q74" s="23"/>
      <c r="R74" s="23"/>
      <c r="S74" s="23"/>
    </row>
    <row r="75" spans="1:19" ht="18" customHeight="1" x14ac:dyDescent="0.15">
      <c r="A75" s="3"/>
      <c r="B75" s="119"/>
      <c r="C75" s="120"/>
      <c r="D75" s="120"/>
      <c r="E75" s="24"/>
      <c r="F75" s="24"/>
      <c r="G75" s="25"/>
      <c r="H75" s="25"/>
      <c r="I75" s="25"/>
      <c r="J75" s="119"/>
      <c r="K75" s="120"/>
      <c r="L75" s="120"/>
      <c r="M75" s="120"/>
      <c r="N75" s="121"/>
      <c r="O75" s="24"/>
      <c r="P75" s="24"/>
      <c r="Q75" s="25"/>
      <c r="R75" s="25"/>
      <c r="S75" s="25"/>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116</v>
      </c>
      <c r="H77" s="3"/>
      <c r="I77" s="3"/>
      <c r="J77" s="3"/>
      <c r="K77" s="3"/>
      <c r="L77" s="3"/>
      <c r="M77" s="3"/>
      <c r="N77" s="3"/>
      <c r="O77" s="3"/>
      <c r="P77" s="3"/>
      <c r="Q77" s="3"/>
      <c r="R77" s="3"/>
      <c r="S77" s="3"/>
    </row>
    <row r="78" spans="1:19" ht="18" customHeight="1" x14ac:dyDescent="0.15">
      <c r="B78" s="92" t="s">
        <v>53</v>
      </c>
      <c r="C78" s="98"/>
      <c r="D78" s="98"/>
      <c r="E78" s="93"/>
      <c r="F78" s="92" t="s">
        <v>81</v>
      </c>
      <c r="G78" s="98"/>
      <c r="H78" s="98"/>
      <c r="I78" s="93"/>
      <c r="J78" s="122" t="s">
        <v>53</v>
      </c>
      <c r="K78" s="123"/>
      <c r="L78" s="123"/>
      <c r="M78" s="123"/>
      <c r="N78" s="123"/>
      <c r="O78" s="124"/>
      <c r="P78" s="92" t="s">
        <v>81</v>
      </c>
      <c r="Q78" s="98"/>
      <c r="R78" s="98"/>
      <c r="S78" s="93"/>
    </row>
    <row r="79" spans="1:19" ht="18" customHeight="1" x14ac:dyDescent="0.15">
      <c r="A79" s="3"/>
      <c r="B79" s="116"/>
      <c r="C79" s="117"/>
      <c r="D79" s="117"/>
      <c r="E79" s="118"/>
      <c r="F79" s="125"/>
      <c r="G79" s="126"/>
      <c r="H79" s="126"/>
      <c r="I79" s="127"/>
      <c r="J79" s="116"/>
      <c r="K79" s="117"/>
      <c r="L79" s="117"/>
      <c r="M79" s="117"/>
      <c r="N79" s="117"/>
      <c r="O79" s="118"/>
      <c r="P79" s="125"/>
      <c r="Q79" s="126"/>
      <c r="R79" s="126"/>
      <c r="S79" s="127"/>
    </row>
    <row r="80" spans="1:19" ht="18" customHeight="1" x14ac:dyDescent="0.15">
      <c r="A80" s="3"/>
      <c r="B80" s="113"/>
      <c r="C80" s="114"/>
      <c r="D80" s="114"/>
      <c r="E80" s="115"/>
      <c r="F80" s="128"/>
      <c r="G80" s="129"/>
      <c r="H80" s="129"/>
      <c r="I80" s="130"/>
      <c r="J80" s="113"/>
      <c r="K80" s="114"/>
      <c r="L80" s="114"/>
      <c r="M80" s="114"/>
      <c r="N80" s="114"/>
      <c r="O80" s="115"/>
      <c r="P80" s="128"/>
      <c r="Q80" s="129"/>
      <c r="R80" s="129"/>
      <c r="S80" s="130"/>
    </row>
    <row r="81" spans="1:19" ht="18" customHeight="1" x14ac:dyDescent="0.15">
      <c r="A81" s="3"/>
      <c r="B81" s="113"/>
      <c r="C81" s="114"/>
      <c r="D81" s="114"/>
      <c r="E81" s="115"/>
      <c r="F81" s="128"/>
      <c r="G81" s="129"/>
      <c r="H81" s="129"/>
      <c r="I81" s="130"/>
      <c r="J81" s="113"/>
      <c r="K81" s="114"/>
      <c r="L81" s="114"/>
      <c r="M81" s="114"/>
      <c r="N81" s="114"/>
      <c r="O81" s="115"/>
      <c r="P81" s="128"/>
      <c r="Q81" s="129"/>
      <c r="R81" s="129"/>
      <c r="S81" s="130"/>
    </row>
    <row r="82" spans="1:19" ht="18" customHeight="1" x14ac:dyDescent="0.15">
      <c r="A82" s="3"/>
      <c r="B82" s="113"/>
      <c r="C82" s="114"/>
      <c r="D82" s="114"/>
      <c r="E82" s="115"/>
      <c r="F82" s="128"/>
      <c r="G82" s="129"/>
      <c r="H82" s="129"/>
      <c r="I82" s="130"/>
      <c r="J82" s="113"/>
      <c r="K82" s="114"/>
      <c r="L82" s="114"/>
      <c r="M82" s="114"/>
      <c r="N82" s="114"/>
      <c r="O82" s="115"/>
      <c r="P82" s="128"/>
      <c r="Q82" s="129"/>
      <c r="R82" s="129"/>
      <c r="S82" s="130"/>
    </row>
    <row r="83" spans="1:19" ht="18" customHeight="1" x14ac:dyDescent="0.15">
      <c r="A83" s="3"/>
      <c r="B83" s="113"/>
      <c r="C83" s="114"/>
      <c r="D83" s="114"/>
      <c r="E83" s="115"/>
      <c r="F83" s="128"/>
      <c r="G83" s="129"/>
      <c r="H83" s="129"/>
      <c r="I83" s="130"/>
      <c r="J83" s="113"/>
      <c r="K83" s="114"/>
      <c r="L83" s="114"/>
      <c r="M83" s="114"/>
      <c r="N83" s="114"/>
      <c r="O83" s="115"/>
      <c r="P83" s="128"/>
      <c r="Q83" s="129"/>
      <c r="R83" s="129"/>
      <c r="S83" s="130"/>
    </row>
    <row r="84" spans="1:19" ht="18" customHeight="1" x14ac:dyDescent="0.15">
      <c r="A84" s="3"/>
      <c r="B84" s="113"/>
      <c r="C84" s="114"/>
      <c r="D84" s="114"/>
      <c r="E84" s="115"/>
      <c r="F84" s="128"/>
      <c r="G84" s="129"/>
      <c r="H84" s="129"/>
      <c r="I84" s="130"/>
      <c r="J84" s="113"/>
      <c r="K84" s="114"/>
      <c r="L84" s="114"/>
      <c r="M84" s="114"/>
      <c r="N84" s="114"/>
      <c r="O84" s="115"/>
      <c r="P84" s="128"/>
      <c r="Q84" s="129"/>
      <c r="R84" s="129"/>
      <c r="S84" s="130"/>
    </row>
    <row r="85" spans="1:19" ht="18" customHeight="1" x14ac:dyDescent="0.15">
      <c r="A85" s="3"/>
      <c r="B85" s="119"/>
      <c r="C85" s="120"/>
      <c r="D85" s="120"/>
      <c r="E85" s="121"/>
      <c r="F85" s="148"/>
      <c r="G85" s="149"/>
      <c r="H85" s="149"/>
      <c r="I85" s="150"/>
      <c r="J85" s="119"/>
      <c r="K85" s="120"/>
      <c r="L85" s="120"/>
      <c r="M85" s="120"/>
      <c r="N85" s="120"/>
      <c r="O85" s="121"/>
      <c r="P85" s="148"/>
      <c r="Q85" s="149"/>
      <c r="R85" s="149"/>
      <c r="S85" s="150"/>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117</v>
      </c>
    </row>
    <row r="88" spans="1:19" ht="18.75" customHeight="1" x14ac:dyDescent="0.15">
      <c r="B88" s="131" t="s">
        <v>54</v>
      </c>
      <c r="C88" s="132"/>
      <c r="D88" s="98" t="s">
        <v>55</v>
      </c>
      <c r="E88" s="98"/>
      <c r="F88" s="98"/>
      <c r="G88" s="98"/>
      <c r="H88" s="98"/>
      <c r="I88" s="98"/>
      <c r="J88" s="98"/>
      <c r="K88" s="98"/>
      <c r="L88" s="98"/>
      <c r="M88" s="98"/>
      <c r="N88" s="98"/>
      <c r="O88" s="98"/>
      <c r="P88" s="98"/>
      <c r="Q88" s="98"/>
      <c r="R88" s="98"/>
      <c r="S88" s="93"/>
    </row>
    <row r="89" spans="1:19" ht="97.5" customHeight="1" x14ac:dyDescent="0.15">
      <c r="B89" s="133" t="s">
        <v>156</v>
      </c>
      <c r="C89" s="27" t="s">
        <v>56</v>
      </c>
      <c r="D89" s="135" t="s">
        <v>157</v>
      </c>
      <c r="E89" s="136"/>
      <c r="F89" s="136"/>
      <c r="G89" s="136"/>
      <c r="H89" s="136"/>
      <c r="I89" s="136"/>
      <c r="J89" s="136"/>
      <c r="K89" s="136"/>
      <c r="L89" s="136"/>
      <c r="M89" s="136"/>
      <c r="N89" s="136"/>
      <c r="O89" s="136"/>
      <c r="P89" s="136"/>
      <c r="Q89" s="136"/>
      <c r="R89" s="136"/>
      <c r="S89" s="137"/>
    </row>
    <row r="90" spans="1:19" ht="97.5" customHeight="1" x14ac:dyDescent="0.15">
      <c r="B90" s="134"/>
      <c r="C90" s="28" t="s">
        <v>76</v>
      </c>
      <c r="D90" s="138" t="s">
        <v>158</v>
      </c>
      <c r="E90" s="139"/>
      <c r="F90" s="139"/>
      <c r="G90" s="139"/>
      <c r="H90" s="139"/>
      <c r="I90" s="139"/>
      <c r="J90" s="139"/>
      <c r="K90" s="139"/>
      <c r="L90" s="139"/>
      <c r="M90" s="139"/>
      <c r="N90" s="139"/>
      <c r="O90" s="139"/>
      <c r="P90" s="139"/>
      <c r="Q90" s="139"/>
      <c r="R90" s="139"/>
      <c r="S90" s="140"/>
    </row>
    <row r="91" spans="1:19" ht="97.5" customHeight="1" x14ac:dyDescent="0.15">
      <c r="B91" s="133" t="s">
        <v>61</v>
      </c>
      <c r="C91" s="29" t="s">
        <v>70</v>
      </c>
      <c r="D91" s="142" t="s">
        <v>159</v>
      </c>
      <c r="E91" s="143"/>
      <c r="F91" s="143"/>
      <c r="G91" s="143"/>
      <c r="H91" s="143"/>
      <c r="I91" s="143"/>
      <c r="J91" s="143"/>
      <c r="K91" s="143"/>
      <c r="L91" s="143"/>
      <c r="M91" s="143"/>
      <c r="N91" s="143"/>
      <c r="O91" s="143"/>
      <c r="P91" s="143"/>
      <c r="Q91" s="143"/>
      <c r="R91" s="143"/>
      <c r="S91" s="144"/>
    </row>
    <row r="92" spans="1:19" ht="97.5" customHeight="1" x14ac:dyDescent="0.15">
      <c r="B92" s="141"/>
      <c r="C92" s="30" t="s">
        <v>71</v>
      </c>
      <c r="D92" s="145" t="s">
        <v>160</v>
      </c>
      <c r="E92" s="146"/>
      <c r="F92" s="146"/>
      <c r="G92" s="146"/>
      <c r="H92" s="146"/>
      <c r="I92" s="146"/>
      <c r="J92" s="146"/>
      <c r="K92" s="146"/>
      <c r="L92" s="146"/>
      <c r="M92" s="146"/>
      <c r="N92" s="146"/>
      <c r="O92" s="146"/>
      <c r="P92" s="146"/>
      <c r="Q92" s="146"/>
      <c r="R92" s="146"/>
      <c r="S92" s="147"/>
    </row>
    <row r="93" spans="1:19" ht="97.5" customHeight="1" x14ac:dyDescent="0.15">
      <c r="B93" s="133" t="s">
        <v>62</v>
      </c>
      <c r="C93" s="29" t="s">
        <v>72</v>
      </c>
      <c r="D93" s="143" t="s">
        <v>161</v>
      </c>
      <c r="E93" s="143"/>
      <c r="F93" s="143"/>
      <c r="G93" s="143"/>
      <c r="H93" s="143"/>
      <c r="I93" s="143"/>
      <c r="J93" s="143"/>
      <c r="K93" s="143"/>
      <c r="L93" s="143"/>
      <c r="M93" s="143"/>
      <c r="N93" s="143"/>
      <c r="O93" s="143"/>
      <c r="P93" s="143"/>
      <c r="Q93" s="143"/>
      <c r="R93" s="143"/>
      <c r="S93" s="144"/>
    </row>
    <row r="94" spans="1:19" ht="97.5" customHeight="1" x14ac:dyDescent="0.15">
      <c r="B94" s="141"/>
      <c r="C94" s="31" t="s">
        <v>73</v>
      </c>
      <c r="D94" s="159" t="s">
        <v>162</v>
      </c>
      <c r="E94" s="159"/>
      <c r="F94" s="159"/>
      <c r="G94" s="159"/>
      <c r="H94" s="159"/>
      <c r="I94" s="159"/>
      <c r="J94" s="159"/>
      <c r="K94" s="159"/>
      <c r="L94" s="159"/>
      <c r="M94" s="159"/>
      <c r="N94" s="159"/>
      <c r="O94" s="159"/>
      <c r="P94" s="159"/>
      <c r="Q94" s="159"/>
      <c r="R94" s="159"/>
      <c r="S94" s="160"/>
    </row>
    <row r="95" spans="1:19" ht="97.5" customHeight="1" x14ac:dyDescent="0.15">
      <c r="B95" s="133" t="s">
        <v>77</v>
      </c>
      <c r="C95" s="27" t="s">
        <v>58</v>
      </c>
      <c r="D95" s="135" t="s">
        <v>188</v>
      </c>
      <c r="E95" s="136"/>
      <c r="F95" s="136"/>
      <c r="G95" s="136"/>
      <c r="H95" s="136"/>
      <c r="I95" s="136"/>
      <c r="J95" s="136"/>
      <c r="K95" s="136"/>
      <c r="L95" s="136"/>
      <c r="M95" s="136"/>
      <c r="N95" s="136"/>
      <c r="O95" s="136"/>
      <c r="P95" s="136"/>
      <c r="Q95" s="136"/>
      <c r="R95" s="136"/>
      <c r="S95" s="137"/>
    </row>
    <row r="96" spans="1:19" ht="97.5" customHeight="1" x14ac:dyDescent="0.15">
      <c r="B96" s="141"/>
      <c r="C96" s="30" t="s">
        <v>60</v>
      </c>
      <c r="D96" s="145" t="s">
        <v>163</v>
      </c>
      <c r="E96" s="146"/>
      <c r="F96" s="146"/>
      <c r="G96" s="146"/>
      <c r="H96" s="146"/>
      <c r="I96" s="146"/>
      <c r="J96" s="146"/>
      <c r="K96" s="146"/>
      <c r="L96" s="146"/>
      <c r="M96" s="146"/>
      <c r="N96" s="146"/>
      <c r="O96" s="146"/>
      <c r="P96" s="146"/>
      <c r="Q96" s="146"/>
      <c r="R96" s="146"/>
      <c r="S96" s="147"/>
    </row>
    <row r="97" spans="1:19" ht="97.5" customHeight="1" x14ac:dyDescent="0.15">
      <c r="B97" s="133" t="s">
        <v>78</v>
      </c>
      <c r="C97" s="29" t="s">
        <v>57</v>
      </c>
      <c r="D97" s="151" t="s">
        <v>147</v>
      </c>
      <c r="E97" s="117"/>
      <c r="F97" s="117"/>
      <c r="G97" s="117"/>
      <c r="H97" s="117"/>
      <c r="I97" s="117"/>
      <c r="J97" s="117"/>
      <c r="K97" s="117"/>
      <c r="L97" s="117"/>
      <c r="M97" s="117"/>
      <c r="N97" s="117"/>
      <c r="O97" s="117"/>
      <c r="P97" s="117"/>
      <c r="Q97" s="117"/>
      <c r="R97" s="117"/>
      <c r="S97" s="118"/>
    </row>
    <row r="98" spans="1:19" ht="97.5" customHeight="1" x14ac:dyDescent="0.15">
      <c r="B98" s="134"/>
      <c r="C98" s="32" t="s">
        <v>74</v>
      </c>
      <c r="D98" s="152" t="s">
        <v>164</v>
      </c>
      <c r="E98" s="114"/>
      <c r="F98" s="114"/>
      <c r="G98" s="114"/>
      <c r="H98" s="114"/>
      <c r="I98" s="114"/>
      <c r="J98" s="114"/>
      <c r="K98" s="114"/>
      <c r="L98" s="114"/>
      <c r="M98" s="114"/>
      <c r="N98" s="114"/>
      <c r="O98" s="114"/>
      <c r="P98" s="114"/>
      <c r="Q98" s="114"/>
      <c r="R98" s="114"/>
      <c r="S98" s="115"/>
    </row>
    <row r="99" spans="1:19" ht="97.5" customHeight="1" x14ac:dyDescent="0.15">
      <c r="B99" s="141"/>
      <c r="C99" s="31" t="s">
        <v>75</v>
      </c>
      <c r="D99" s="153" t="s">
        <v>148</v>
      </c>
      <c r="E99" s="154"/>
      <c r="F99" s="154"/>
      <c r="G99" s="154"/>
      <c r="H99" s="154"/>
      <c r="I99" s="154"/>
      <c r="J99" s="154"/>
      <c r="K99" s="154"/>
      <c r="L99" s="154"/>
      <c r="M99" s="154"/>
      <c r="N99" s="154"/>
      <c r="O99" s="154"/>
      <c r="P99" s="154"/>
      <c r="Q99" s="154"/>
      <c r="R99" s="154"/>
      <c r="S99" s="155"/>
    </row>
    <row r="100" spans="1:19" ht="6" customHeight="1" x14ac:dyDescent="0.15"/>
    <row r="101" spans="1:19" ht="18.75" customHeight="1" x14ac:dyDescent="0.15">
      <c r="A101" s="1" t="s">
        <v>118</v>
      </c>
    </row>
    <row r="102" spans="1:19" ht="81.75" customHeight="1" x14ac:dyDescent="0.15">
      <c r="B102" s="156" t="s">
        <v>149</v>
      </c>
      <c r="C102" s="157"/>
      <c r="D102" s="157"/>
      <c r="E102" s="157"/>
      <c r="F102" s="157"/>
      <c r="G102" s="157"/>
      <c r="H102" s="157"/>
      <c r="I102" s="157"/>
      <c r="J102" s="157"/>
      <c r="K102" s="157"/>
      <c r="L102" s="157"/>
      <c r="M102" s="157"/>
      <c r="N102" s="157"/>
      <c r="O102" s="157"/>
      <c r="P102" s="157"/>
      <c r="Q102" s="157"/>
      <c r="R102" s="157"/>
      <c r="S102" s="158"/>
    </row>
    <row r="110" spans="1:19" ht="18" customHeight="1" x14ac:dyDescent="0.15"/>
  </sheetData>
  <mergeCells count="145">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60:E60"/>
    <mergeCell ref="B61:E61"/>
    <mergeCell ref="B62:E62"/>
    <mergeCell ref="B63:E63"/>
    <mergeCell ref="B64:E64"/>
    <mergeCell ref="J46:O46"/>
    <mergeCell ref="F78:I78"/>
    <mergeCell ref="J78:O78"/>
    <mergeCell ref="B69:D69"/>
    <mergeCell ref="B70:D70"/>
    <mergeCell ref="J53:O53"/>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P69:S75 Q47:S53 G47:I53 Q58:S64 G58:I64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AQ32" sqref="AQ3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105</v>
      </c>
    </row>
    <row r="2" spans="1:45" ht="18" customHeight="1" x14ac:dyDescent="0.15">
      <c r="K2" s="34"/>
      <c r="Q2" s="34"/>
      <c r="W2" s="34"/>
      <c r="AC2" s="34"/>
      <c r="AI2" s="34"/>
      <c r="AL2" s="34" t="s">
        <v>107</v>
      </c>
      <c r="AM2" s="164" t="str">
        <f>'様式１－２　プログラムを構成する授業科目'!C2</f>
        <v>常磐大学</v>
      </c>
      <c r="AN2" s="164"/>
      <c r="AO2" s="164"/>
      <c r="AP2" s="164"/>
      <c r="AQ2" s="164"/>
    </row>
    <row r="3" spans="1:45" ht="18" customHeight="1" x14ac:dyDescent="0.15">
      <c r="A3" s="103" t="s">
        <v>47</v>
      </c>
      <c r="B3" s="103"/>
      <c r="C3" s="103"/>
      <c r="D3" s="103"/>
      <c r="E3" s="103"/>
      <c r="F3" s="103"/>
      <c r="G3" s="103"/>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82</v>
      </c>
      <c r="C5" s="165" t="s">
        <v>165</v>
      </c>
      <c r="D5" s="166"/>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80</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67" t="s">
        <v>44</v>
      </c>
      <c r="C9" s="182" t="s">
        <v>85</v>
      </c>
      <c r="D9" s="170" t="s">
        <v>46</v>
      </c>
      <c r="E9" s="173" t="s">
        <v>39</v>
      </c>
      <c r="F9" s="163" t="s">
        <v>84</v>
      </c>
      <c r="G9" s="163"/>
      <c r="H9" s="163"/>
      <c r="I9" s="163"/>
      <c r="J9" s="163"/>
      <c r="K9" s="163"/>
      <c r="L9" s="163" t="s">
        <v>48</v>
      </c>
      <c r="M9" s="163"/>
      <c r="N9" s="163"/>
      <c r="O9" s="163"/>
      <c r="P9" s="163"/>
      <c r="Q9" s="163"/>
      <c r="R9" s="163" t="s">
        <v>49</v>
      </c>
      <c r="S9" s="163"/>
      <c r="T9" s="163"/>
      <c r="U9" s="163"/>
      <c r="V9" s="163"/>
      <c r="W9" s="163"/>
      <c r="X9" s="163" t="s">
        <v>99</v>
      </c>
      <c r="Y9" s="163"/>
      <c r="Z9" s="163"/>
      <c r="AA9" s="163"/>
      <c r="AB9" s="163"/>
      <c r="AC9" s="163"/>
      <c r="AD9" s="163" t="s">
        <v>50</v>
      </c>
      <c r="AE9" s="163"/>
      <c r="AF9" s="163"/>
      <c r="AG9" s="163"/>
      <c r="AH9" s="163"/>
      <c r="AI9" s="163"/>
      <c r="AJ9" s="163" t="s">
        <v>51</v>
      </c>
      <c r="AK9" s="163"/>
      <c r="AL9" s="163"/>
      <c r="AM9" s="163"/>
      <c r="AN9" s="163"/>
      <c r="AO9" s="163"/>
      <c r="AP9" s="176" t="s">
        <v>34</v>
      </c>
      <c r="AQ9" s="179" t="s">
        <v>31</v>
      </c>
      <c r="AS9" s="2"/>
    </row>
    <row r="10" spans="1:45" ht="16.899999999999999" customHeight="1" x14ac:dyDescent="0.15">
      <c r="B10" s="168"/>
      <c r="C10" s="183"/>
      <c r="D10" s="171"/>
      <c r="E10" s="174"/>
      <c r="F10" s="161" t="s">
        <v>95</v>
      </c>
      <c r="G10" s="162"/>
      <c r="H10" s="162"/>
      <c r="I10" s="161" t="s">
        <v>28</v>
      </c>
      <c r="J10" s="162"/>
      <c r="K10" s="162"/>
      <c r="L10" s="161" t="s">
        <v>95</v>
      </c>
      <c r="M10" s="162"/>
      <c r="N10" s="162"/>
      <c r="O10" s="161" t="s">
        <v>28</v>
      </c>
      <c r="P10" s="162"/>
      <c r="Q10" s="162"/>
      <c r="R10" s="161" t="s">
        <v>95</v>
      </c>
      <c r="S10" s="162"/>
      <c r="T10" s="162"/>
      <c r="U10" s="161" t="s">
        <v>28</v>
      </c>
      <c r="V10" s="162"/>
      <c r="W10" s="162"/>
      <c r="X10" s="161" t="s">
        <v>95</v>
      </c>
      <c r="Y10" s="162"/>
      <c r="Z10" s="162"/>
      <c r="AA10" s="161" t="s">
        <v>28</v>
      </c>
      <c r="AB10" s="162"/>
      <c r="AC10" s="162"/>
      <c r="AD10" s="161" t="s">
        <v>95</v>
      </c>
      <c r="AE10" s="162"/>
      <c r="AF10" s="162"/>
      <c r="AG10" s="161" t="s">
        <v>28</v>
      </c>
      <c r="AH10" s="162"/>
      <c r="AI10" s="162"/>
      <c r="AJ10" s="161" t="s">
        <v>95</v>
      </c>
      <c r="AK10" s="162"/>
      <c r="AL10" s="162"/>
      <c r="AM10" s="161" t="s">
        <v>28</v>
      </c>
      <c r="AN10" s="162"/>
      <c r="AO10" s="162"/>
      <c r="AP10" s="177"/>
      <c r="AQ10" s="180"/>
      <c r="AS10" s="2"/>
    </row>
    <row r="11" spans="1:45" ht="18" customHeight="1" x14ac:dyDescent="0.15">
      <c r="B11" s="169"/>
      <c r="C11" s="184"/>
      <c r="D11" s="172"/>
      <c r="E11" s="175"/>
      <c r="F11" s="17" t="s">
        <v>96</v>
      </c>
      <c r="G11" s="18" t="s">
        <v>97</v>
      </c>
      <c r="H11" s="19" t="s">
        <v>98</v>
      </c>
      <c r="I11" s="17" t="s">
        <v>96</v>
      </c>
      <c r="J11" s="18" t="s">
        <v>97</v>
      </c>
      <c r="K11" s="19" t="s">
        <v>98</v>
      </c>
      <c r="L11" s="17" t="s">
        <v>96</v>
      </c>
      <c r="M11" s="18" t="s">
        <v>97</v>
      </c>
      <c r="N11" s="19" t="s">
        <v>98</v>
      </c>
      <c r="O11" s="17" t="s">
        <v>96</v>
      </c>
      <c r="P11" s="18" t="s">
        <v>97</v>
      </c>
      <c r="Q11" s="19" t="s">
        <v>98</v>
      </c>
      <c r="R11" s="17" t="s">
        <v>96</v>
      </c>
      <c r="S11" s="18" t="s">
        <v>97</v>
      </c>
      <c r="T11" s="19" t="s">
        <v>98</v>
      </c>
      <c r="U11" s="17" t="s">
        <v>96</v>
      </c>
      <c r="V11" s="18" t="s">
        <v>97</v>
      </c>
      <c r="W11" s="19" t="s">
        <v>98</v>
      </c>
      <c r="X11" s="17" t="s">
        <v>96</v>
      </c>
      <c r="Y11" s="18" t="s">
        <v>97</v>
      </c>
      <c r="Z11" s="19" t="s">
        <v>98</v>
      </c>
      <c r="AA11" s="17" t="s">
        <v>96</v>
      </c>
      <c r="AB11" s="18" t="s">
        <v>97</v>
      </c>
      <c r="AC11" s="19" t="s">
        <v>98</v>
      </c>
      <c r="AD11" s="17" t="s">
        <v>96</v>
      </c>
      <c r="AE11" s="18" t="s">
        <v>97</v>
      </c>
      <c r="AF11" s="19" t="s">
        <v>98</v>
      </c>
      <c r="AG11" s="17" t="s">
        <v>96</v>
      </c>
      <c r="AH11" s="18" t="s">
        <v>97</v>
      </c>
      <c r="AI11" s="19" t="s">
        <v>98</v>
      </c>
      <c r="AJ11" s="17" t="s">
        <v>96</v>
      </c>
      <c r="AK11" s="18" t="s">
        <v>97</v>
      </c>
      <c r="AL11" s="19" t="s">
        <v>98</v>
      </c>
      <c r="AM11" s="17" t="s">
        <v>96</v>
      </c>
      <c r="AN11" s="18" t="s">
        <v>97</v>
      </c>
      <c r="AO11" s="19" t="s">
        <v>98</v>
      </c>
      <c r="AP11" s="178"/>
      <c r="AQ11" s="181"/>
      <c r="AS11" s="2"/>
    </row>
    <row r="12" spans="1:45" ht="18" customHeight="1" x14ac:dyDescent="0.15">
      <c r="A12" s="6"/>
      <c r="B12" s="11" t="s">
        <v>166</v>
      </c>
      <c r="C12" s="61">
        <v>1713</v>
      </c>
      <c r="D12" s="62">
        <v>396</v>
      </c>
      <c r="E12" s="63">
        <v>1584</v>
      </c>
      <c r="F12" s="63">
        <f>G12+H12</f>
        <v>422</v>
      </c>
      <c r="G12" s="64">
        <v>164</v>
      </c>
      <c r="H12" s="65">
        <v>258</v>
      </c>
      <c r="I12" s="63">
        <f>J12+K12</f>
        <v>366</v>
      </c>
      <c r="J12" s="64">
        <v>125</v>
      </c>
      <c r="K12" s="65">
        <v>241</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422</v>
      </c>
      <c r="AQ12" s="81">
        <f t="shared" ref="AQ12:AQ32" si="0">AP12/E12</f>
        <v>0.26641414141414144</v>
      </c>
    </row>
    <row r="13" spans="1:45" ht="18" customHeight="1" x14ac:dyDescent="0.15">
      <c r="A13" s="6"/>
      <c r="B13" s="12" t="s">
        <v>167</v>
      </c>
      <c r="C13" s="66">
        <v>1084</v>
      </c>
      <c r="D13" s="67">
        <v>245</v>
      </c>
      <c r="E13" s="68">
        <v>980</v>
      </c>
      <c r="F13" s="69">
        <f t="shared" ref="F13:F31" si="1">G13+H13</f>
        <v>285</v>
      </c>
      <c r="G13" s="70">
        <v>204</v>
      </c>
      <c r="H13" s="71">
        <v>81</v>
      </c>
      <c r="I13" s="69">
        <f t="shared" ref="I13:I31" si="2">J13+K13</f>
        <v>251</v>
      </c>
      <c r="J13" s="70">
        <v>177</v>
      </c>
      <c r="K13" s="71">
        <v>74</v>
      </c>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285</v>
      </c>
      <c r="AQ13" s="20">
        <f t="shared" si="0"/>
        <v>0.29081632653061223</v>
      </c>
    </row>
    <row r="14" spans="1:45" ht="18" customHeight="1" x14ac:dyDescent="0.15">
      <c r="A14" s="6"/>
      <c r="B14" s="12" t="s">
        <v>168</v>
      </c>
      <c r="C14" s="66">
        <v>340</v>
      </c>
      <c r="D14" s="67">
        <v>80</v>
      </c>
      <c r="E14" s="68">
        <v>320</v>
      </c>
      <c r="F14" s="69">
        <f t="shared" si="1"/>
        <v>81</v>
      </c>
      <c r="G14" s="70">
        <v>13</v>
      </c>
      <c r="H14" s="71">
        <v>68</v>
      </c>
      <c r="I14" s="69">
        <f t="shared" si="2"/>
        <v>64</v>
      </c>
      <c r="J14" s="70">
        <v>10</v>
      </c>
      <c r="K14" s="71">
        <v>54</v>
      </c>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81</v>
      </c>
      <c r="AQ14" s="8">
        <f t="shared" si="0"/>
        <v>0.25312499999999999</v>
      </c>
    </row>
    <row r="15" spans="1:45" ht="18" customHeight="1" x14ac:dyDescent="0.15">
      <c r="A15" s="6"/>
      <c r="B15" s="12"/>
      <c r="C15" s="66"/>
      <c r="D15" s="67"/>
      <c r="E15" s="68"/>
      <c r="F15" s="69">
        <f t="shared" si="1"/>
        <v>0</v>
      </c>
      <c r="G15" s="70"/>
      <c r="H15" s="71"/>
      <c r="I15" s="69">
        <f t="shared" si="2"/>
        <v>0</v>
      </c>
      <c r="J15" s="70"/>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8">
        <v>0</v>
      </c>
    </row>
    <row r="16" spans="1:45" ht="18" customHeight="1" x14ac:dyDescent="0.15">
      <c r="A16" s="6"/>
      <c r="B16" s="12"/>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v>0</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v>0</v>
      </c>
    </row>
    <row r="32" spans="1:43" ht="18" customHeight="1" thickTop="1" x14ac:dyDescent="0.15">
      <c r="B32" s="14" t="s">
        <v>32</v>
      </c>
      <c r="C32" s="76">
        <f t="shared" ref="C32" si="14">SUM(C12:C31)</f>
        <v>3137</v>
      </c>
      <c r="D32" s="77">
        <f t="shared" ref="D32:AP32" si="15">SUM(D12:D31)</f>
        <v>721</v>
      </c>
      <c r="E32" s="78">
        <f t="shared" si="15"/>
        <v>2884</v>
      </c>
      <c r="F32" s="78">
        <f t="shared" si="15"/>
        <v>788</v>
      </c>
      <c r="G32" s="79">
        <f t="shared" si="15"/>
        <v>381</v>
      </c>
      <c r="H32" s="80">
        <f t="shared" si="15"/>
        <v>407</v>
      </c>
      <c r="I32" s="78">
        <f t="shared" ref="I32:N32" si="16">SUM(I12:I31)</f>
        <v>681</v>
      </c>
      <c r="J32" s="79">
        <f t="shared" si="16"/>
        <v>312</v>
      </c>
      <c r="K32" s="80">
        <f t="shared" si="16"/>
        <v>369</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788</v>
      </c>
      <c r="AQ32" s="9">
        <f t="shared" si="0"/>
        <v>0.27323162274618584</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22" zoomScaleNormal="100" zoomScaleSheetLayoutView="100" workbookViewId="0">
      <selection activeCell="B35" sqref="B35:I46"/>
    </sheetView>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63</v>
      </c>
      <c r="I1" s="34" t="s">
        <v>104</v>
      </c>
    </row>
    <row r="2" spans="1:9" ht="18.75" customHeight="1" x14ac:dyDescent="0.15">
      <c r="G2" s="34" t="s">
        <v>107</v>
      </c>
      <c r="H2" s="92" t="str">
        <f>'様式１－２　プログラムを構成する授業科目'!C2</f>
        <v>常磐大学</v>
      </c>
      <c r="I2" s="93"/>
    </row>
    <row r="3" spans="1:9" ht="18.75" customHeight="1" x14ac:dyDescent="0.15">
      <c r="G3" s="34"/>
      <c r="H3" s="10"/>
      <c r="I3" s="10"/>
    </row>
    <row r="4" spans="1:9" ht="18.600000000000001" customHeight="1" x14ac:dyDescent="0.15">
      <c r="A4" s="103" t="s">
        <v>35</v>
      </c>
      <c r="B4" s="103"/>
      <c r="C4" s="103"/>
      <c r="D4" s="103"/>
      <c r="E4" s="103"/>
      <c r="F4" s="103"/>
      <c r="G4" s="103"/>
      <c r="H4" s="103"/>
      <c r="I4" s="103"/>
    </row>
    <row r="5" spans="1:9" ht="13.15" customHeight="1" x14ac:dyDescent="0.15">
      <c r="B5" s="3"/>
      <c r="C5" s="3"/>
      <c r="D5" s="3"/>
      <c r="E5" s="3"/>
      <c r="F5" s="3"/>
      <c r="G5" s="3"/>
      <c r="H5" s="3"/>
      <c r="I5" s="3"/>
    </row>
    <row r="6" spans="1:9" ht="18" customHeight="1" x14ac:dyDescent="0.15">
      <c r="A6" s="1" t="s">
        <v>0</v>
      </c>
      <c r="B6" s="10" t="s">
        <v>89</v>
      </c>
      <c r="C6" s="235" t="s">
        <v>90</v>
      </c>
      <c r="D6" s="235"/>
      <c r="E6" s="33">
        <v>129</v>
      </c>
      <c r="F6" s="3" t="s">
        <v>1</v>
      </c>
      <c r="G6" s="3" t="s">
        <v>2</v>
      </c>
      <c r="H6" s="33">
        <v>85</v>
      </c>
      <c r="I6" s="10" t="s">
        <v>1</v>
      </c>
    </row>
    <row r="7" spans="1:9" ht="12" customHeight="1" x14ac:dyDescent="0.15">
      <c r="C7" s="2"/>
      <c r="D7" s="2"/>
      <c r="E7" s="2"/>
      <c r="F7" s="2"/>
      <c r="G7" s="2"/>
      <c r="H7" s="2"/>
      <c r="I7" s="41"/>
    </row>
    <row r="8" spans="1:9" ht="18" customHeight="1" x14ac:dyDescent="0.15">
      <c r="A8" s="1" t="s">
        <v>3</v>
      </c>
      <c r="B8" s="10" t="s">
        <v>91</v>
      </c>
      <c r="E8" s="3"/>
      <c r="F8" s="3"/>
      <c r="G8" s="3"/>
      <c r="H8" s="33">
        <v>10</v>
      </c>
      <c r="I8" s="10" t="s">
        <v>1</v>
      </c>
    </row>
    <row r="9" spans="1:9" ht="9" customHeight="1" x14ac:dyDescent="0.15">
      <c r="B9" s="3"/>
      <c r="C9" s="3"/>
      <c r="D9" s="3"/>
      <c r="E9" s="3"/>
      <c r="F9" s="3"/>
      <c r="G9" s="3"/>
      <c r="H9" s="3"/>
      <c r="I9" s="3"/>
    </row>
    <row r="10" spans="1:9" ht="18" customHeight="1" x14ac:dyDescent="0.15">
      <c r="A10" s="1" t="s">
        <v>4</v>
      </c>
      <c r="B10" s="10" t="s">
        <v>92</v>
      </c>
      <c r="C10" s="3"/>
      <c r="D10" s="3"/>
      <c r="E10" s="3"/>
      <c r="F10" s="3"/>
      <c r="G10" s="3"/>
      <c r="H10" s="3"/>
      <c r="I10" s="3"/>
    </row>
    <row r="11" spans="1:9" ht="18" customHeight="1" x14ac:dyDescent="0.15">
      <c r="B11" s="34" t="s">
        <v>42</v>
      </c>
      <c r="C11" s="230" t="s">
        <v>179</v>
      </c>
      <c r="D11" s="233"/>
      <c r="E11" s="234"/>
      <c r="F11" s="41"/>
      <c r="G11" s="34" t="s">
        <v>10</v>
      </c>
      <c r="H11" s="230" t="s">
        <v>171</v>
      </c>
      <c r="I11" s="234"/>
    </row>
    <row r="12" spans="1:9" ht="10.15" customHeight="1" x14ac:dyDescent="0.15">
      <c r="B12" s="34"/>
      <c r="C12" s="10"/>
      <c r="D12" s="41"/>
      <c r="E12" s="41"/>
      <c r="F12" s="41"/>
      <c r="G12" s="34"/>
      <c r="H12" s="10"/>
      <c r="I12" s="41"/>
    </row>
    <row r="13" spans="1:9" ht="18" customHeight="1" x14ac:dyDescent="0.15">
      <c r="A13" s="1" t="s">
        <v>7</v>
      </c>
      <c r="B13" s="10" t="s">
        <v>86</v>
      </c>
      <c r="C13" s="3"/>
      <c r="D13" s="3"/>
      <c r="E13" s="3"/>
      <c r="F13" s="3"/>
      <c r="G13" s="3"/>
      <c r="H13" s="3"/>
      <c r="I13" s="3"/>
    </row>
    <row r="14" spans="1:9" ht="18" customHeight="1" x14ac:dyDescent="0.15">
      <c r="B14" s="230" t="s">
        <v>169</v>
      </c>
      <c r="C14" s="231"/>
      <c r="D14" s="231"/>
      <c r="E14" s="231"/>
      <c r="F14" s="231"/>
      <c r="G14" s="231"/>
      <c r="H14" s="231"/>
      <c r="I14" s="232"/>
    </row>
    <row r="15" spans="1:9" ht="9" customHeight="1" x14ac:dyDescent="0.15">
      <c r="B15" s="3"/>
      <c r="C15" s="3"/>
      <c r="D15" s="3"/>
      <c r="E15" s="3"/>
      <c r="F15" s="3"/>
      <c r="G15" s="3"/>
      <c r="H15" s="3"/>
      <c r="I15" s="3"/>
    </row>
    <row r="16" spans="1:9" ht="18" customHeight="1" x14ac:dyDescent="0.15">
      <c r="B16" s="34" t="s">
        <v>42</v>
      </c>
      <c r="C16" s="230" t="s">
        <v>179</v>
      </c>
      <c r="D16" s="233"/>
      <c r="E16" s="234"/>
      <c r="F16" s="41"/>
      <c r="G16" s="34" t="s">
        <v>10</v>
      </c>
      <c r="H16" s="230" t="s">
        <v>171</v>
      </c>
      <c r="I16" s="234"/>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22" t="s">
        <v>181</v>
      </c>
      <c r="C19" s="223"/>
      <c r="D19" s="223"/>
      <c r="E19" s="223"/>
      <c r="F19" s="223"/>
      <c r="G19" s="223"/>
      <c r="H19" s="223"/>
      <c r="I19" s="224"/>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5"/>
      <c r="B22" s="212" t="s">
        <v>180</v>
      </c>
      <c r="C22" s="213"/>
      <c r="D22" s="213"/>
      <c r="E22" s="213"/>
      <c r="F22" s="213"/>
      <c r="G22" s="213"/>
      <c r="H22" s="213"/>
      <c r="I22" s="214"/>
    </row>
    <row r="23" spans="1:9" ht="18.75" customHeight="1" x14ac:dyDescent="0.15">
      <c r="A23" s="15"/>
      <c r="B23" s="225"/>
      <c r="C23" s="226"/>
      <c r="D23" s="226"/>
      <c r="E23" s="226"/>
      <c r="F23" s="226"/>
      <c r="G23" s="226"/>
      <c r="H23" s="226"/>
      <c r="I23" s="217"/>
    </row>
    <row r="24" spans="1:9" ht="18.75" customHeight="1" x14ac:dyDescent="0.15">
      <c r="A24" s="15"/>
      <c r="B24" s="225"/>
      <c r="C24" s="226"/>
      <c r="D24" s="226"/>
      <c r="E24" s="226"/>
      <c r="F24" s="226"/>
      <c r="G24" s="226"/>
      <c r="H24" s="226"/>
      <c r="I24" s="217"/>
    </row>
    <row r="25" spans="1:9" ht="18.75" customHeight="1" x14ac:dyDescent="0.15">
      <c r="A25" s="15"/>
      <c r="B25" s="225"/>
      <c r="C25" s="226"/>
      <c r="D25" s="226"/>
      <c r="E25" s="226"/>
      <c r="F25" s="226"/>
      <c r="G25" s="226"/>
      <c r="H25" s="226"/>
      <c r="I25" s="217"/>
    </row>
    <row r="26" spans="1:9" ht="18.75" customHeight="1" x14ac:dyDescent="0.15">
      <c r="A26" s="15"/>
      <c r="B26" s="225"/>
      <c r="C26" s="226"/>
      <c r="D26" s="226"/>
      <c r="E26" s="226"/>
      <c r="F26" s="226"/>
      <c r="G26" s="226"/>
      <c r="H26" s="226"/>
      <c r="I26" s="217"/>
    </row>
    <row r="27" spans="1:9" ht="18.75" customHeight="1" x14ac:dyDescent="0.15">
      <c r="A27" s="15"/>
      <c r="B27" s="225"/>
      <c r="C27" s="226"/>
      <c r="D27" s="226"/>
      <c r="E27" s="226"/>
      <c r="F27" s="226"/>
      <c r="G27" s="226"/>
      <c r="H27" s="226"/>
      <c r="I27" s="217"/>
    </row>
    <row r="28" spans="1:9" ht="18.75" customHeight="1" x14ac:dyDescent="0.15">
      <c r="A28" s="15"/>
      <c r="B28" s="225"/>
      <c r="C28" s="226"/>
      <c r="D28" s="226"/>
      <c r="E28" s="226"/>
      <c r="F28" s="226"/>
      <c r="G28" s="226"/>
      <c r="H28" s="226"/>
      <c r="I28" s="217"/>
    </row>
    <row r="29" spans="1:9" ht="18.75" customHeight="1" x14ac:dyDescent="0.15">
      <c r="A29" s="15"/>
      <c r="B29" s="225"/>
      <c r="C29" s="226"/>
      <c r="D29" s="226"/>
      <c r="E29" s="226"/>
      <c r="F29" s="226"/>
      <c r="G29" s="226"/>
      <c r="H29" s="226"/>
      <c r="I29" s="217"/>
    </row>
    <row r="30" spans="1:9" ht="18.75" customHeight="1" x14ac:dyDescent="0.15">
      <c r="A30" s="15"/>
      <c r="B30" s="215"/>
      <c r="C30" s="216"/>
      <c r="D30" s="216"/>
      <c r="E30" s="216"/>
      <c r="F30" s="216"/>
      <c r="G30" s="216"/>
      <c r="H30" s="216"/>
      <c r="I30" s="217"/>
    </row>
    <row r="31" spans="1:9" ht="18.75" customHeight="1" x14ac:dyDescent="0.15">
      <c r="A31" s="15"/>
      <c r="B31" s="215"/>
      <c r="C31" s="216"/>
      <c r="D31" s="216"/>
      <c r="E31" s="216"/>
      <c r="F31" s="216"/>
      <c r="G31" s="216"/>
      <c r="H31" s="216"/>
      <c r="I31" s="217"/>
    </row>
    <row r="32" spans="1:9" ht="18.75" customHeight="1" x14ac:dyDescent="0.15">
      <c r="A32" s="15"/>
      <c r="B32" s="218"/>
      <c r="C32" s="219"/>
      <c r="D32" s="219"/>
      <c r="E32" s="219"/>
      <c r="F32" s="219"/>
      <c r="G32" s="219"/>
      <c r="H32" s="219"/>
      <c r="I32" s="220"/>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12" t="s">
        <v>184</v>
      </c>
      <c r="C35" s="213"/>
      <c r="D35" s="213"/>
      <c r="E35" s="213"/>
      <c r="F35" s="213"/>
      <c r="G35" s="213"/>
      <c r="H35" s="213"/>
      <c r="I35" s="214"/>
    </row>
    <row r="36" spans="1:9" ht="18.75" customHeight="1" x14ac:dyDescent="0.15">
      <c r="A36" s="15"/>
      <c r="B36" s="215"/>
      <c r="C36" s="216"/>
      <c r="D36" s="216"/>
      <c r="E36" s="216"/>
      <c r="F36" s="216"/>
      <c r="G36" s="216"/>
      <c r="H36" s="216"/>
      <c r="I36" s="217"/>
    </row>
    <row r="37" spans="1:9" ht="18.75" customHeight="1" x14ac:dyDescent="0.15">
      <c r="A37" s="15"/>
      <c r="B37" s="215"/>
      <c r="C37" s="216"/>
      <c r="D37" s="216"/>
      <c r="E37" s="216"/>
      <c r="F37" s="216"/>
      <c r="G37" s="216"/>
      <c r="H37" s="216"/>
      <c r="I37" s="217"/>
    </row>
    <row r="38" spans="1:9" ht="18.75" customHeight="1" x14ac:dyDescent="0.15">
      <c r="A38" s="15"/>
      <c r="B38" s="215"/>
      <c r="C38" s="216"/>
      <c r="D38" s="216"/>
      <c r="E38" s="216"/>
      <c r="F38" s="216"/>
      <c r="G38" s="216"/>
      <c r="H38" s="216"/>
      <c r="I38" s="217"/>
    </row>
    <row r="39" spans="1:9" ht="18.75" customHeight="1" x14ac:dyDescent="0.15">
      <c r="A39" s="15"/>
      <c r="B39" s="215"/>
      <c r="C39" s="216"/>
      <c r="D39" s="216"/>
      <c r="E39" s="216"/>
      <c r="F39" s="216"/>
      <c r="G39" s="216"/>
      <c r="H39" s="216"/>
      <c r="I39" s="217"/>
    </row>
    <row r="40" spans="1:9" ht="18.75" customHeight="1" x14ac:dyDescent="0.15">
      <c r="A40" s="15"/>
      <c r="B40" s="215"/>
      <c r="C40" s="216"/>
      <c r="D40" s="216"/>
      <c r="E40" s="216"/>
      <c r="F40" s="216"/>
      <c r="G40" s="216"/>
      <c r="H40" s="216"/>
      <c r="I40" s="217"/>
    </row>
    <row r="41" spans="1:9" ht="18.75" customHeight="1" x14ac:dyDescent="0.15">
      <c r="A41" s="15"/>
      <c r="B41" s="215"/>
      <c r="C41" s="216"/>
      <c r="D41" s="216"/>
      <c r="E41" s="216"/>
      <c r="F41" s="216"/>
      <c r="G41" s="216"/>
      <c r="H41" s="216"/>
      <c r="I41" s="217"/>
    </row>
    <row r="42" spans="1:9" ht="18.75" customHeight="1" x14ac:dyDescent="0.15">
      <c r="A42" s="15"/>
      <c r="B42" s="215"/>
      <c r="C42" s="216"/>
      <c r="D42" s="216"/>
      <c r="E42" s="216"/>
      <c r="F42" s="216"/>
      <c r="G42" s="216"/>
      <c r="H42" s="216"/>
      <c r="I42" s="217"/>
    </row>
    <row r="43" spans="1:9" ht="18.75" customHeight="1" x14ac:dyDescent="0.15">
      <c r="A43" s="15"/>
      <c r="B43" s="215"/>
      <c r="C43" s="216"/>
      <c r="D43" s="216"/>
      <c r="E43" s="216"/>
      <c r="F43" s="216"/>
      <c r="G43" s="216"/>
      <c r="H43" s="216"/>
      <c r="I43" s="217"/>
    </row>
    <row r="44" spans="1:9" ht="18.75" customHeight="1" x14ac:dyDescent="0.15">
      <c r="A44" s="15"/>
      <c r="B44" s="215"/>
      <c r="C44" s="216"/>
      <c r="D44" s="216"/>
      <c r="E44" s="216"/>
      <c r="F44" s="216"/>
      <c r="G44" s="216"/>
      <c r="H44" s="216"/>
      <c r="I44" s="217"/>
    </row>
    <row r="45" spans="1:9" ht="18.75" customHeight="1" x14ac:dyDescent="0.15">
      <c r="A45" s="15"/>
      <c r="B45" s="215"/>
      <c r="C45" s="216"/>
      <c r="D45" s="216"/>
      <c r="E45" s="216"/>
      <c r="F45" s="216"/>
      <c r="G45" s="216"/>
      <c r="H45" s="216"/>
      <c r="I45" s="217"/>
    </row>
    <row r="46" spans="1:9" ht="18.75" customHeight="1" x14ac:dyDescent="0.15">
      <c r="A46" s="15"/>
      <c r="B46" s="218"/>
      <c r="C46" s="219"/>
      <c r="D46" s="219"/>
      <c r="E46" s="219"/>
      <c r="F46" s="219"/>
      <c r="G46" s="219"/>
      <c r="H46" s="219"/>
      <c r="I46" s="220"/>
    </row>
    <row r="47" spans="1:9" ht="7.5" customHeight="1" x14ac:dyDescent="0.15">
      <c r="A47" s="4"/>
      <c r="B47" s="4"/>
      <c r="C47" s="4"/>
      <c r="D47" s="4"/>
      <c r="E47" s="4"/>
      <c r="F47" s="4"/>
      <c r="G47" s="4"/>
      <c r="H47" s="4"/>
      <c r="I47" s="4"/>
    </row>
    <row r="48" spans="1:9" ht="18.75" customHeight="1" x14ac:dyDescent="0.15">
      <c r="A48" s="1" t="s">
        <v>30</v>
      </c>
      <c r="B48" s="1" t="s">
        <v>120</v>
      </c>
    </row>
    <row r="49" spans="1:15" s="3" customFormat="1" ht="18.75" customHeight="1" x14ac:dyDescent="0.15">
      <c r="B49" s="42" t="s">
        <v>87</v>
      </c>
      <c r="C49" s="201">
        <f>'様式２ 履修者等数の実績'!AQ32</f>
        <v>0.27323162274618584</v>
      </c>
      <c r="D49" s="201"/>
      <c r="E49" s="42" t="s">
        <v>64</v>
      </c>
      <c r="F49" s="201">
        <v>0.5</v>
      </c>
      <c r="G49" s="201"/>
      <c r="H49" s="42" t="s">
        <v>65</v>
      </c>
      <c r="I49" s="43">
        <v>0.75</v>
      </c>
      <c r="J49" s="1"/>
      <c r="M49" s="1"/>
      <c r="N49" s="44"/>
    </row>
    <row r="50" spans="1:15" s="3" customFormat="1" ht="18.75" customHeight="1" x14ac:dyDescent="0.15">
      <c r="B50" s="45" t="s">
        <v>66</v>
      </c>
      <c r="C50" s="202">
        <v>1</v>
      </c>
      <c r="D50" s="202"/>
      <c r="E50" s="45" t="s">
        <v>88</v>
      </c>
      <c r="F50" s="202">
        <v>1</v>
      </c>
      <c r="G50" s="202"/>
      <c r="H50" s="45" t="s">
        <v>67</v>
      </c>
      <c r="I50" s="46">
        <f>'様式２ 履修者等数の実績'!E32</f>
        <v>2884</v>
      </c>
      <c r="J50" s="1"/>
      <c r="M50" s="1"/>
      <c r="N50" s="44"/>
    </row>
    <row r="51" spans="1:15" ht="18.75" customHeight="1" x14ac:dyDescent="0.15">
      <c r="A51" s="1"/>
      <c r="B51" s="227" t="s">
        <v>68</v>
      </c>
      <c r="C51" s="228"/>
      <c r="D51" s="228"/>
      <c r="E51" s="228"/>
      <c r="F51" s="228"/>
      <c r="G51" s="228"/>
      <c r="H51" s="228"/>
      <c r="I51" s="229"/>
      <c r="N51" s="44"/>
      <c r="O51" s="3"/>
    </row>
    <row r="52" spans="1:15" ht="18.75" customHeight="1" x14ac:dyDescent="0.15">
      <c r="A52" s="1"/>
      <c r="B52" s="203" t="s">
        <v>135</v>
      </c>
      <c r="C52" s="204"/>
      <c r="D52" s="204"/>
      <c r="E52" s="204"/>
      <c r="F52" s="204"/>
      <c r="G52" s="204"/>
      <c r="H52" s="204"/>
      <c r="I52" s="205"/>
      <c r="N52" s="44"/>
      <c r="O52" s="3"/>
    </row>
    <row r="53" spans="1:15" ht="18.75" customHeight="1" x14ac:dyDescent="0.15">
      <c r="A53" s="1"/>
      <c r="B53" s="206"/>
      <c r="C53" s="207"/>
      <c r="D53" s="207"/>
      <c r="E53" s="207"/>
      <c r="F53" s="207"/>
      <c r="G53" s="207"/>
      <c r="H53" s="207"/>
      <c r="I53" s="208"/>
      <c r="N53" s="44"/>
      <c r="O53" s="3"/>
    </row>
    <row r="54" spans="1:15" ht="18.75" customHeight="1" x14ac:dyDescent="0.15">
      <c r="A54" s="1"/>
      <c r="B54" s="206"/>
      <c r="C54" s="207"/>
      <c r="D54" s="207"/>
      <c r="E54" s="207"/>
      <c r="F54" s="207"/>
      <c r="G54" s="207"/>
      <c r="H54" s="207"/>
      <c r="I54" s="208"/>
    </row>
    <row r="55" spans="1:15" ht="18.75" customHeight="1" x14ac:dyDescent="0.15">
      <c r="A55" s="1"/>
      <c r="B55" s="206"/>
      <c r="C55" s="207"/>
      <c r="D55" s="207"/>
      <c r="E55" s="207"/>
      <c r="F55" s="207"/>
      <c r="G55" s="207"/>
      <c r="H55" s="207"/>
      <c r="I55" s="208"/>
    </row>
    <row r="56" spans="1:15" ht="18.75" customHeight="1" x14ac:dyDescent="0.15">
      <c r="A56" s="1"/>
      <c r="B56" s="206"/>
      <c r="C56" s="207"/>
      <c r="D56" s="207"/>
      <c r="E56" s="207"/>
      <c r="F56" s="207"/>
      <c r="G56" s="207"/>
      <c r="H56" s="207"/>
      <c r="I56" s="208"/>
    </row>
    <row r="57" spans="1:15" ht="18.75" customHeight="1" x14ac:dyDescent="0.15">
      <c r="A57" s="1"/>
      <c r="B57" s="206"/>
      <c r="C57" s="207"/>
      <c r="D57" s="207"/>
      <c r="E57" s="207"/>
      <c r="F57" s="207"/>
      <c r="G57" s="207"/>
      <c r="H57" s="207"/>
      <c r="I57" s="208"/>
    </row>
    <row r="58" spans="1:15" ht="18.75" customHeight="1" x14ac:dyDescent="0.15">
      <c r="A58" s="1"/>
      <c r="B58" s="206"/>
      <c r="C58" s="207"/>
      <c r="D58" s="207"/>
      <c r="E58" s="207"/>
      <c r="F58" s="207"/>
      <c r="G58" s="207"/>
      <c r="H58" s="207"/>
      <c r="I58" s="208"/>
    </row>
    <row r="59" spans="1:15" ht="18.75" customHeight="1" x14ac:dyDescent="0.15">
      <c r="A59" s="1"/>
      <c r="B59" s="206"/>
      <c r="C59" s="207"/>
      <c r="D59" s="207"/>
      <c r="E59" s="207"/>
      <c r="F59" s="207"/>
      <c r="G59" s="207"/>
      <c r="H59" s="207"/>
      <c r="I59" s="208"/>
    </row>
    <row r="60" spans="1:15" ht="18.75" customHeight="1" x14ac:dyDescent="0.15">
      <c r="A60" s="1"/>
      <c r="B60" s="206"/>
      <c r="C60" s="207"/>
      <c r="D60" s="207"/>
      <c r="E60" s="207"/>
      <c r="F60" s="207"/>
      <c r="G60" s="207"/>
      <c r="H60" s="207"/>
      <c r="I60" s="208"/>
    </row>
    <row r="61" spans="1:15" ht="18.75" customHeight="1" x14ac:dyDescent="0.15">
      <c r="A61" s="1"/>
      <c r="B61" s="206"/>
      <c r="C61" s="207"/>
      <c r="D61" s="207"/>
      <c r="E61" s="207"/>
      <c r="F61" s="207"/>
      <c r="G61" s="207"/>
      <c r="H61" s="207"/>
      <c r="I61" s="208"/>
    </row>
    <row r="62" spans="1:15" ht="18.75" customHeight="1" x14ac:dyDescent="0.15">
      <c r="A62" s="1"/>
      <c r="B62" s="206"/>
      <c r="C62" s="207"/>
      <c r="D62" s="207"/>
      <c r="E62" s="207"/>
      <c r="F62" s="207"/>
      <c r="G62" s="207"/>
      <c r="H62" s="207"/>
      <c r="I62" s="208"/>
    </row>
    <row r="63" spans="1:15" ht="18.75" customHeight="1" x14ac:dyDescent="0.15">
      <c r="A63" s="1"/>
      <c r="B63" s="209"/>
      <c r="C63" s="210"/>
      <c r="D63" s="210"/>
      <c r="E63" s="210"/>
      <c r="F63" s="210"/>
      <c r="G63" s="210"/>
      <c r="H63" s="210"/>
      <c r="I63" s="211"/>
    </row>
    <row r="64" spans="1:15" ht="7.5" customHeight="1" x14ac:dyDescent="0.15">
      <c r="A64" s="15"/>
      <c r="B64" s="15"/>
      <c r="C64" s="15"/>
      <c r="D64" s="15"/>
      <c r="E64" s="15"/>
      <c r="F64" s="15"/>
      <c r="G64" s="15"/>
      <c r="H64" s="15"/>
      <c r="I64" s="15"/>
    </row>
    <row r="65" spans="1:9" ht="18.75" customHeight="1" x14ac:dyDescent="0.15">
      <c r="A65" s="16" t="s">
        <v>33</v>
      </c>
      <c r="B65" s="1" t="s">
        <v>36</v>
      </c>
      <c r="I65" s="16"/>
    </row>
    <row r="66" spans="1:9" ht="18.75" customHeight="1" x14ac:dyDescent="0.15">
      <c r="A66" s="4"/>
      <c r="B66" s="185" t="s">
        <v>130</v>
      </c>
      <c r="C66" s="186"/>
      <c r="D66" s="186"/>
      <c r="E66" s="186"/>
      <c r="F66" s="186"/>
      <c r="G66" s="186"/>
      <c r="H66" s="186"/>
      <c r="I66" s="187"/>
    </row>
    <row r="67" spans="1:9" ht="18.75" customHeight="1" x14ac:dyDescent="0.15">
      <c r="A67" s="4"/>
      <c r="B67" s="188"/>
      <c r="C67" s="189"/>
      <c r="D67" s="189"/>
      <c r="E67" s="189"/>
      <c r="F67" s="189"/>
      <c r="G67" s="189"/>
      <c r="H67" s="189"/>
      <c r="I67" s="190"/>
    </row>
    <row r="68" spans="1:9" ht="18.75" customHeight="1" x14ac:dyDescent="0.15">
      <c r="A68" s="4"/>
      <c r="B68" s="188"/>
      <c r="C68" s="189"/>
      <c r="D68" s="189"/>
      <c r="E68" s="189"/>
      <c r="F68" s="189"/>
      <c r="G68" s="189"/>
      <c r="H68" s="189"/>
      <c r="I68" s="190"/>
    </row>
    <row r="69" spans="1:9" ht="18.75" customHeight="1" x14ac:dyDescent="0.15">
      <c r="A69" s="4"/>
      <c r="B69" s="188"/>
      <c r="C69" s="189"/>
      <c r="D69" s="189"/>
      <c r="E69" s="189"/>
      <c r="F69" s="189"/>
      <c r="G69" s="189"/>
      <c r="H69" s="189"/>
      <c r="I69" s="190"/>
    </row>
    <row r="70" spans="1:9" ht="18.75" customHeight="1" x14ac:dyDescent="0.15">
      <c r="A70" s="4"/>
      <c r="B70" s="188"/>
      <c r="C70" s="189"/>
      <c r="D70" s="189"/>
      <c r="E70" s="189"/>
      <c r="F70" s="189"/>
      <c r="G70" s="189"/>
      <c r="H70" s="189"/>
      <c r="I70" s="190"/>
    </row>
    <row r="71" spans="1:9" ht="18.75" customHeight="1" x14ac:dyDescent="0.15">
      <c r="A71" s="4"/>
      <c r="B71" s="188"/>
      <c r="C71" s="189"/>
      <c r="D71" s="189"/>
      <c r="E71" s="189"/>
      <c r="F71" s="189"/>
      <c r="G71" s="189"/>
      <c r="H71" s="189"/>
      <c r="I71" s="190"/>
    </row>
    <row r="72" spans="1:9" ht="18.75" customHeight="1" x14ac:dyDescent="0.15">
      <c r="A72" s="4"/>
      <c r="B72" s="188"/>
      <c r="C72" s="189"/>
      <c r="D72" s="189"/>
      <c r="E72" s="189"/>
      <c r="F72" s="189"/>
      <c r="G72" s="189"/>
      <c r="H72" s="189"/>
      <c r="I72" s="190"/>
    </row>
    <row r="73" spans="1:9" ht="18.75" customHeight="1" x14ac:dyDescent="0.15">
      <c r="A73" s="4"/>
      <c r="B73" s="188"/>
      <c r="C73" s="189"/>
      <c r="D73" s="189"/>
      <c r="E73" s="189"/>
      <c r="F73" s="189"/>
      <c r="G73" s="189"/>
      <c r="H73" s="189"/>
      <c r="I73" s="190"/>
    </row>
    <row r="74" spans="1:9" ht="18.75" customHeight="1" x14ac:dyDescent="0.15">
      <c r="A74" s="4"/>
      <c r="B74" s="188"/>
      <c r="C74" s="189"/>
      <c r="D74" s="189"/>
      <c r="E74" s="189"/>
      <c r="F74" s="189"/>
      <c r="G74" s="189"/>
      <c r="H74" s="189"/>
      <c r="I74" s="190"/>
    </row>
    <row r="75" spans="1:9" ht="18.75" customHeight="1" x14ac:dyDescent="0.15">
      <c r="A75" s="4"/>
      <c r="B75" s="188"/>
      <c r="C75" s="189"/>
      <c r="D75" s="189"/>
      <c r="E75" s="189"/>
      <c r="F75" s="189"/>
      <c r="G75" s="189"/>
      <c r="H75" s="189"/>
      <c r="I75" s="190"/>
    </row>
    <row r="76" spans="1:9" ht="18.75" customHeight="1" x14ac:dyDescent="0.15">
      <c r="A76" s="4"/>
      <c r="B76" s="188"/>
      <c r="C76" s="189"/>
      <c r="D76" s="189"/>
      <c r="E76" s="189"/>
      <c r="F76" s="189"/>
      <c r="G76" s="189"/>
      <c r="H76" s="189"/>
      <c r="I76" s="190"/>
    </row>
    <row r="77" spans="1:9" ht="18.75" customHeight="1" x14ac:dyDescent="0.15">
      <c r="A77" s="4"/>
      <c r="B77" s="191"/>
      <c r="C77" s="192"/>
      <c r="D77" s="192"/>
      <c r="E77" s="192"/>
      <c r="F77" s="192"/>
      <c r="G77" s="192"/>
      <c r="H77" s="192"/>
      <c r="I77" s="193"/>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5" t="s">
        <v>134</v>
      </c>
      <c r="C80" s="186"/>
      <c r="D80" s="186"/>
      <c r="E80" s="186"/>
      <c r="F80" s="186"/>
      <c r="G80" s="186"/>
      <c r="H80" s="186"/>
      <c r="I80" s="194"/>
    </row>
    <row r="81" spans="1:9" ht="18.75" customHeight="1" x14ac:dyDescent="0.15">
      <c r="A81" s="1"/>
      <c r="B81" s="195"/>
      <c r="C81" s="196"/>
      <c r="D81" s="196"/>
      <c r="E81" s="196"/>
      <c r="F81" s="196"/>
      <c r="G81" s="196"/>
      <c r="H81" s="196"/>
      <c r="I81" s="197"/>
    </row>
    <row r="82" spans="1:9" ht="18.75" customHeight="1" x14ac:dyDescent="0.15">
      <c r="A82" s="1"/>
      <c r="B82" s="195"/>
      <c r="C82" s="196"/>
      <c r="D82" s="196"/>
      <c r="E82" s="196"/>
      <c r="F82" s="196"/>
      <c r="G82" s="196"/>
      <c r="H82" s="196"/>
      <c r="I82" s="197"/>
    </row>
    <row r="83" spans="1:9" ht="18.75" customHeight="1" x14ac:dyDescent="0.15">
      <c r="A83" s="1"/>
      <c r="B83" s="195"/>
      <c r="C83" s="196"/>
      <c r="D83" s="196"/>
      <c r="E83" s="196"/>
      <c r="F83" s="196"/>
      <c r="G83" s="196"/>
      <c r="H83" s="196"/>
      <c r="I83" s="197"/>
    </row>
    <row r="84" spans="1:9" ht="18.75" customHeight="1" x14ac:dyDescent="0.15">
      <c r="A84" s="1"/>
      <c r="B84" s="195"/>
      <c r="C84" s="196"/>
      <c r="D84" s="196"/>
      <c r="E84" s="196"/>
      <c r="F84" s="196"/>
      <c r="G84" s="196"/>
      <c r="H84" s="196"/>
      <c r="I84" s="197"/>
    </row>
    <row r="85" spans="1:9" ht="18.75" customHeight="1" x14ac:dyDescent="0.15">
      <c r="A85" s="1"/>
      <c r="B85" s="195"/>
      <c r="C85" s="196"/>
      <c r="D85" s="196"/>
      <c r="E85" s="196"/>
      <c r="F85" s="196"/>
      <c r="G85" s="196"/>
      <c r="H85" s="196"/>
      <c r="I85" s="197"/>
    </row>
    <row r="86" spans="1:9" ht="18.75" customHeight="1" x14ac:dyDescent="0.15">
      <c r="A86" s="1"/>
      <c r="B86" s="195"/>
      <c r="C86" s="196"/>
      <c r="D86" s="196"/>
      <c r="E86" s="196"/>
      <c r="F86" s="196"/>
      <c r="G86" s="196"/>
      <c r="H86" s="196"/>
      <c r="I86" s="197"/>
    </row>
    <row r="87" spans="1:9" ht="18.75" customHeight="1" x14ac:dyDescent="0.15">
      <c r="A87" s="1"/>
      <c r="B87" s="195"/>
      <c r="C87" s="196"/>
      <c r="D87" s="196"/>
      <c r="E87" s="196"/>
      <c r="F87" s="196"/>
      <c r="G87" s="196"/>
      <c r="H87" s="196"/>
      <c r="I87" s="197"/>
    </row>
    <row r="88" spans="1:9" ht="18.75" customHeight="1" x14ac:dyDescent="0.15">
      <c r="A88" s="1"/>
      <c r="B88" s="195"/>
      <c r="C88" s="196"/>
      <c r="D88" s="196"/>
      <c r="E88" s="196"/>
      <c r="F88" s="196"/>
      <c r="G88" s="196"/>
      <c r="H88" s="196"/>
      <c r="I88" s="197"/>
    </row>
    <row r="89" spans="1:9" ht="18.75" customHeight="1" x14ac:dyDescent="0.15">
      <c r="A89" s="1"/>
      <c r="B89" s="195"/>
      <c r="C89" s="196"/>
      <c r="D89" s="196"/>
      <c r="E89" s="196"/>
      <c r="F89" s="196"/>
      <c r="G89" s="196"/>
      <c r="H89" s="196"/>
      <c r="I89" s="197"/>
    </row>
    <row r="90" spans="1:9" ht="18.75" customHeight="1" x14ac:dyDescent="0.15">
      <c r="A90" s="4"/>
      <c r="B90" s="195"/>
      <c r="C90" s="196"/>
      <c r="D90" s="196"/>
      <c r="E90" s="196"/>
      <c r="F90" s="196"/>
      <c r="G90" s="196"/>
      <c r="H90" s="196"/>
      <c r="I90" s="197"/>
    </row>
    <row r="91" spans="1:9" ht="18.75" customHeight="1" x14ac:dyDescent="0.15">
      <c r="A91" s="4"/>
      <c r="B91" s="198"/>
      <c r="C91" s="199"/>
      <c r="D91" s="199"/>
      <c r="E91" s="199"/>
      <c r="F91" s="199"/>
      <c r="G91" s="199"/>
      <c r="H91" s="199"/>
      <c r="I91" s="200"/>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212" t="s">
        <v>132</v>
      </c>
      <c r="C94" s="213"/>
      <c r="D94" s="213"/>
      <c r="E94" s="213"/>
      <c r="F94" s="213"/>
      <c r="G94" s="213"/>
      <c r="H94" s="213"/>
      <c r="I94" s="214"/>
    </row>
    <row r="95" spans="1:9" ht="18.75" customHeight="1" x14ac:dyDescent="0.15">
      <c r="A95" s="1"/>
      <c r="B95" s="215"/>
      <c r="C95" s="216"/>
      <c r="D95" s="216"/>
      <c r="E95" s="216"/>
      <c r="F95" s="216"/>
      <c r="G95" s="216"/>
      <c r="H95" s="216"/>
      <c r="I95" s="217"/>
    </row>
    <row r="96" spans="1:9" ht="18.75" customHeight="1" x14ac:dyDescent="0.15">
      <c r="A96" s="1"/>
      <c r="B96" s="215"/>
      <c r="C96" s="216"/>
      <c r="D96" s="216"/>
      <c r="E96" s="216"/>
      <c r="F96" s="216"/>
      <c r="G96" s="216"/>
      <c r="H96" s="216"/>
      <c r="I96" s="217"/>
    </row>
    <row r="97" spans="1:9" ht="18.75" customHeight="1" x14ac:dyDescent="0.15">
      <c r="A97" s="1"/>
      <c r="B97" s="215"/>
      <c r="C97" s="216"/>
      <c r="D97" s="216"/>
      <c r="E97" s="216"/>
      <c r="F97" s="216"/>
      <c r="G97" s="216"/>
      <c r="H97" s="216"/>
      <c r="I97" s="217"/>
    </row>
    <row r="98" spans="1:9" ht="18.75" customHeight="1" x14ac:dyDescent="0.15">
      <c r="A98" s="1"/>
      <c r="B98" s="215"/>
      <c r="C98" s="216"/>
      <c r="D98" s="216"/>
      <c r="E98" s="216"/>
      <c r="F98" s="216"/>
      <c r="G98" s="216"/>
      <c r="H98" s="216"/>
      <c r="I98" s="217"/>
    </row>
    <row r="99" spans="1:9" ht="18.75" customHeight="1" x14ac:dyDescent="0.15">
      <c r="A99" s="1"/>
      <c r="B99" s="215"/>
      <c r="C99" s="216"/>
      <c r="D99" s="216"/>
      <c r="E99" s="216"/>
      <c r="F99" s="216"/>
      <c r="G99" s="216"/>
      <c r="H99" s="216"/>
      <c r="I99" s="217"/>
    </row>
    <row r="100" spans="1:9" ht="18.75" customHeight="1" x14ac:dyDescent="0.15">
      <c r="A100" s="1"/>
      <c r="B100" s="215"/>
      <c r="C100" s="216"/>
      <c r="D100" s="216"/>
      <c r="E100" s="216"/>
      <c r="F100" s="216"/>
      <c r="G100" s="216"/>
      <c r="H100" s="216"/>
      <c r="I100" s="217"/>
    </row>
    <row r="101" spans="1:9" ht="18.75" customHeight="1" x14ac:dyDescent="0.15">
      <c r="A101" s="1"/>
      <c r="B101" s="215"/>
      <c r="C101" s="216"/>
      <c r="D101" s="216"/>
      <c r="E101" s="216"/>
      <c r="F101" s="216"/>
      <c r="G101" s="216"/>
      <c r="H101" s="216"/>
      <c r="I101" s="217"/>
    </row>
    <row r="102" spans="1:9" ht="18.75" customHeight="1" x14ac:dyDescent="0.15">
      <c r="A102" s="1"/>
      <c r="B102" s="215"/>
      <c r="C102" s="216"/>
      <c r="D102" s="216"/>
      <c r="E102" s="216"/>
      <c r="F102" s="216"/>
      <c r="G102" s="216"/>
      <c r="H102" s="216"/>
      <c r="I102" s="217"/>
    </row>
    <row r="103" spans="1:9" ht="18.75" customHeight="1" x14ac:dyDescent="0.15">
      <c r="A103" s="1"/>
      <c r="B103" s="215"/>
      <c r="C103" s="216"/>
      <c r="D103" s="216"/>
      <c r="E103" s="216"/>
      <c r="F103" s="216"/>
      <c r="G103" s="216"/>
      <c r="H103" s="216"/>
      <c r="I103" s="217"/>
    </row>
    <row r="104" spans="1:9" ht="18.75" customHeight="1" x14ac:dyDescent="0.15">
      <c r="A104" s="1"/>
      <c r="B104" s="215"/>
      <c r="C104" s="216"/>
      <c r="D104" s="216"/>
      <c r="E104" s="216"/>
      <c r="F104" s="216"/>
      <c r="G104" s="216"/>
      <c r="H104" s="216"/>
      <c r="I104" s="217"/>
    </row>
    <row r="105" spans="1:9" ht="18.75" customHeight="1" x14ac:dyDescent="0.15">
      <c r="A105" s="4"/>
      <c r="B105" s="218"/>
      <c r="C105" s="219"/>
      <c r="D105" s="219"/>
      <c r="E105" s="219"/>
      <c r="F105" s="219"/>
      <c r="G105" s="219"/>
      <c r="H105" s="219"/>
      <c r="I105" s="220"/>
    </row>
    <row r="106" spans="1:9" ht="7.5" customHeight="1" x14ac:dyDescent="0.15">
      <c r="A106" s="4"/>
      <c r="B106" s="4"/>
      <c r="C106" s="4"/>
      <c r="D106" s="4"/>
      <c r="E106" s="4"/>
      <c r="F106" s="4"/>
      <c r="G106" s="4"/>
      <c r="H106" s="4"/>
      <c r="I106" s="4"/>
    </row>
    <row r="107" spans="1:9" ht="18.75" customHeight="1" x14ac:dyDescent="0.15">
      <c r="A107" s="1" t="s">
        <v>29</v>
      </c>
      <c r="B107" s="221" t="s">
        <v>45</v>
      </c>
      <c r="C107" s="221"/>
      <c r="D107" s="221"/>
      <c r="E107" s="221"/>
      <c r="F107" s="221"/>
      <c r="G107" s="221"/>
      <c r="H107" s="221"/>
      <c r="I107" s="221"/>
    </row>
    <row r="108" spans="1:9" ht="18.75" customHeight="1" x14ac:dyDescent="0.15">
      <c r="A108" s="4"/>
      <c r="B108" s="212" t="s">
        <v>131</v>
      </c>
      <c r="C108" s="213"/>
      <c r="D108" s="213"/>
      <c r="E108" s="213"/>
      <c r="F108" s="213"/>
      <c r="G108" s="213"/>
      <c r="H108" s="213"/>
      <c r="I108" s="214"/>
    </row>
    <row r="109" spans="1:9" ht="18.75" customHeight="1" x14ac:dyDescent="0.15">
      <c r="A109" s="4"/>
      <c r="B109" s="215"/>
      <c r="C109" s="216"/>
      <c r="D109" s="216"/>
      <c r="E109" s="216"/>
      <c r="F109" s="216"/>
      <c r="G109" s="216"/>
      <c r="H109" s="216"/>
      <c r="I109" s="217"/>
    </row>
    <row r="110" spans="1:9" ht="18.75" customHeight="1" x14ac:dyDescent="0.15">
      <c r="A110" s="4"/>
      <c r="B110" s="215"/>
      <c r="C110" s="216"/>
      <c r="D110" s="216"/>
      <c r="E110" s="216"/>
      <c r="F110" s="216"/>
      <c r="G110" s="216"/>
      <c r="H110" s="216"/>
      <c r="I110" s="217"/>
    </row>
    <row r="111" spans="1:9" ht="18.75" customHeight="1" x14ac:dyDescent="0.15">
      <c r="A111" s="4"/>
      <c r="B111" s="215"/>
      <c r="C111" s="216"/>
      <c r="D111" s="216"/>
      <c r="E111" s="216"/>
      <c r="F111" s="216"/>
      <c r="G111" s="216"/>
      <c r="H111" s="216"/>
      <c r="I111" s="217"/>
    </row>
    <row r="112" spans="1:9" ht="18.75" customHeight="1" x14ac:dyDescent="0.15">
      <c r="A112" s="4"/>
      <c r="B112" s="215"/>
      <c r="C112" s="216"/>
      <c r="D112" s="216"/>
      <c r="E112" s="216"/>
      <c r="F112" s="216"/>
      <c r="G112" s="216"/>
      <c r="H112" s="216"/>
      <c r="I112" s="217"/>
    </row>
    <row r="113" spans="1:9" ht="18.75" customHeight="1" x14ac:dyDescent="0.15">
      <c r="A113" s="4"/>
      <c r="B113" s="215"/>
      <c r="C113" s="216"/>
      <c r="D113" s="216"/>
      <c r="E113" s="216"/>
      <c r="F113" s="216"/>
      <c r="G113" s="216"/>
      <c r="H113" s="216"/>
      <c r="I113" s="217"/>
    </row>
    <row r="114" spans="1:9" ht="18.75" customHeight="1" x14ac:dyDescent="0.15">
      <c r="A114" s="4"/>
      <c r="B114" s="215"/>
      <c r="C114" s="216"/>
      <c r="D114" s="216"/>
      <c r="E114" s="216"/>
      <c r="F114" s="216"/>
      <c r="G114" s="216"/>
      <c r="H114" s="216"/>
      <c r="I114" s="217"/>
    </row>
    <row r="115" spans="1:9" ht="18.75" customHeight="1" x14ac:dyDescent="0.15">
      <c r="A115" s="4"/>
      <c r="B115" s="215"/>
      <c r="C115" s="216"/>
      <c r="D115" s="216"/>
      <c r="E115" s="216"/>
      <c r="F115" s="216"/>
      <c r="G115" s="216"/>
      <c r="H115" s="216"/>
      <c r="I115" s="217"/>
    </row>
    <row r="116" spans="1:9" ht="18.75" customHeight="1" x14ac:dyDescent="0.15">
      <c r="A116" s="4"/>
      <c r="B116" s="215"/>
      <c r="C116" s="216"/>
      <c r="D116" s="216"/>
      <c r="E116" s="216"/>
      <c r="F116" s="216"/>
      <c r="G116" s="216"/>
      <c r="H116" s="216"/>
      <c r="I116" s="217"/>
    </row>
    <row r="117" spans="1:9" ht="18.75" customHeight="1" x14ac:dyDescent="0.15">
      <c r="A117" s="4"/>
      <c r="B117" s="215"/>
      <c r="C117" s="216"/>
      <c r="D117" s="216"/>
      <c r="E117" s="216"/>
      <c r="F117" s="216"/>
      <c r="G117" s="216"/>
      <c r="H117" s="216"/>
      <c r="I117" s="217"/>
    </row>
    <row r="118" spans="1:9" ht="18.75" customHeight="1" x14ac:dyDescent="0.15">
      <c r="A118" s="4"/>
      <c r="B118" s="215"/>
      <c r="C118" s="216"/>
      <c r="D118" s="216"/>
      <c r="E118" s="216"/>
      <c r="F118" s="216"/>
      <c r="G118" s="216"/>
      <c r="H118" s="216"/>
      <c r="I118" s="217"/>
    </row>
    <row r="119" spans="1:9" ht="18.75" customHeight="1" x14ac:dyDescent="0.15">
      <c r="A119" s="4"/>
      <c r="B119" s="218"/>
      <c r="C119" s="219"/>
      <c r="D119" s="219"/>
      <c r="E119" s="219"/>
      <c r="F119" s="219"/>
      <c r="G119" s="219"/>
      <c r="H119" s="219"/>
      <c r="I119" s="220"/>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26" zoomScaleNormal="100" zoomScaleSheetLayoutView="100" workbookViewId="0">
      <selection activeCell="A2" sqref="A2"/>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69</v>
      </c>
      <c r="I1" s="34" t="s">
        <v>103</v>
      </c>
    </row>
    <row r="2" spans="1:9" ht="18.75" customHeight="1" x14ac:dyDescent="0.15">
      <c r="H2" s="34" t="s">
        <v>107</v>
      </c>
      <c r="I2" s="33" t="str">
        <f>'様式１－２　プログラムを構成する授業科目'!C2</f>
        <v>常磐大学</v>
      </c>
    </row>
    <row r="3" spans="1:9" ht="18.75" customHeight="1" x14ac:dyDescent="0.15">
      <c r="A3" s="103" t="s">
        <v>27</v>
      </c>
      <c r="B3" s="103"/>
      <c r="C3" s="103"/>
      <c r="D3" s="103"/>
      <c r="E3" s="103"/>
      <c r="F3" s="103"/>
      <c r="G3" s="103"/>
      <c r="H3" s="103"/>
      <c r="I3" s="103"/>
    </row>
    <row r="4" spans="1:9" ht="18.75" customHeight="1" x14ac:dyDescent="0.15">
      <c r="A4" s="5"/>
      <c r="B4" s="5"/>
      <c r="C4" s="5"/>
      <c r="D4" s="5"/>
      <c r="E4" s="5"/>
      <c r="F4" s="5"/>
      <c r="G4" s="5"/>
      <c r="H4" s="5"/>
      <c r="I4" s="5"/>
    </row>
    <row r="5" spans="1:9" ht="18.75" customHeight="1" x14ac:dyDescent="0.15">
      <c r="A5" s="1" t="s">
        <v>0</v>
      </c>
      <c r="B5" s="10" t="s">
        <v>93</v>
      </c>
      <c r="C5" s="5"/>
      <c r="D5" s="5"/>
      <c r="E5" s="5"/>
      <c r="F5" s="5"/>
      <c r="G5" s="5"/>
      <c r="H5" s="5"/>
      <c r="I5" s="5"/>
    </row>
    <row r="6" spans="1:9" ht="26.25" customHeight="1" x14ac:dyDescent="0.15">
      <c r="A6" s="5"/>
      <c r="B6" s="230" t="s">
        <v>146</v>
      </c>
      <c r="C6" s="258"/>
      <c r="D6" s="258"/>
      <c r="E6" s="258"/>
      <c r="F6" s="258"/>
      <c r="G6" s="258"/>
      <c r="H6" s="259"/>
      <c r="I6" s="3"/>
    </row>
    <row r="7" spans="1:9" ht="9" customHeight="1" x14ac:dyDescent="0.15">
      <c r="A7" s="5"/>
      <c r="B7" s="10"/>
      <c r="C7" s="10"/>
      <c r="D7" s="10"/>
      <c r="E7" s="10"/>
      <c r="F7" s="10"/>
      <c r="G7" s="10"/>
      <c r="H7" s="10"/>
      <c r="I7" s="3"/>
    </row>
    <row r="8" spans="1:9" ht="18.75" customHeight="1" x14ac:dyDescent="0.15">
      <c r="A8" s="5"/>
      <c r="B8" s="3"/>
      <c r="C8" s="3"/>
      <c r="D8" s="34" t="s">
        <v>42</v>
      </c>
      <c r="E8" s="35" t="s">
        <v>183</v>
      </c>
      <c r="F8" s="3"/>
      <c r="G8" s="34" t="s">
        <v>10</v>
      </c>
      <c r="H8" s="82" t="s">
        <v>176</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2" t="s">
        <v>23</v>
      </c>
      <c r="C11" s="98"/>
      <c r="D11" s="93"/>
      <c r="E11" s="98" t="s">
        <v>25</v>
      </c>
      <c r="F11" s="98"/>
      <c r="G11" s="98"/>
      <c r="H11" s="98"/>
      <c r="I11" s="93"/>
    </row>
    <row r="12" spans="1:9" ht="26.25" customHeight="1" x14ac:dyDescent="0.15">
      <c r="B12" s="49" t="s">
        <v>13</v>
      </c>
      <c r="C12" s="56"/>
      <c r="D12" s="50"/>
      <c r="E12" s="57"/>
      <c r="F12" s="57"/>
      <c r="G12" s="57"/>
      <c r="H12" s="57"/>
      <c r="I12" s="50"/>
    </row>
    <row r="13" spans="1:9" ht="210.75" customHeight="1" x14ac:dyDescent="0.15">
      <c r="B13" s="51"/>
      <c r="C13" s="241" t="s">
        <v>14</v>
      </c>
      <c r="D13" s="242"/>
      <c r="E13" s="254" t="s">
        <v>172</v>
      </c>
      <c r="F13" s="243"/>
      <c r="G13" s="243"/>
      <c r="H13" s="243"/>
      <c r="I13" s="244"/>
    </row>
    <row r="14" spans="1:9" ht="210.75" customHeight="1" x14ac:dyDescent="0.15">
      <c r="B14" s="51"/>
      <c r="C14" s="256" t="s">
        <v>15</v>
      </c>
      <c r="D14" s="257"/>
      <c r="E14" s="254" t="s">
        <v>175</v>
      </c>
      <c r="F14" s="243"/>
      <c r="G14" s="243"/>
      <c r="H14" s="243"/>
      <c r="I14" s="244"/>
    </row>
    <row r="15" spans="1:9" ht="210.75" customHeight="1" x14ac:dyDescent="0.15">
      <c r="B15" s="51"/>
      <c r="C15" s="241" t="s">
        <v>16</v>
      </c>
      <c r="D15" s="242"/>
      <c r="E15" s="254" t="s">
        <v>182</v>
      </c>
      <c r="F15" s="243"/>
      <c r="G15" s="243"/>
      <c r="H15" s="243"/>
      <c r="I15" s="244"/>
    </row>
    <row r="16" spans="1:9" ht="210.75" customHeight="1" x14ac:dyDescent="0.15">
      <c r="B16" s="51"/>
      <c r="C16" s="241" t="s">
        <v>17</v>
      </c>
      <c r="D16" s="242"/>
      <c r="E16" s="254" t="s">
        <v>150</v>
      </c>
      <c r="F16" s="243"/>
      <c r="G16" s="243"/>
      <c r="H16" s="243"/>
      <c r="I16" s="244"/>
    </row>
    <row r="17" spans="2:9" ht="210.75" customHeight="1" x14ac:dyDescent="0.15">
      <c r="B17" s="52"/>
      <c r="C17" s="245" t="s">
        <v>18</v>
      </c>
      <c r="D17" s="246"/>
      <c r="E17" s="255" t="s">
        <v>151</v>
      </c>
      <c r="F17" s="247"/>
      <c r="G17" s="247"/>
      <c r="H17" s="247"/>
      <c r="I17" s="248"/>
    </row>
    <row r="18" spans="2:9" ht="24" customHeight="1" x14ac:dyDescent="0.15">
      <c r="B18" s="49" t="s">
        <v>19</v>
      </c>
      <c r="C18" s="53"/>
      <c r="D18" s="54"/>
      <c r="E18" s="55"/>
      <c r="F18" s="55"/>
      <c r="G18" s="55"/>
      <c r="H18" s="55"/>
      <c r="I18" s="58"/>
    </row>
    <row r="19" spans="2:9" ht="218.25" customHeight="1" x14ac:dyDescent="0.15">
      <c r="B19" s="51"/>
      <c r="C19" s="241" t="s">
        <v>20</v>
      </c>
      <c r="D19" s="242"/>
      <c r="E19" s="243" t="s">
        <v>177</v>
      </c>
      <c r="F19" s="243"/>
      <c r="G19" s="243"/>
      <c r="H19" s="243"/>
      <c r="I19" s="244"/>
    </row>
    <row r="20" spans="2:9" ht="218.25" customHeight="1" x14ac:dyDescent="0.15">
      <c r="B20" s="52"/>
      <c r="C20" s="245" t="s">
        <v>21</v>
      </c>
      <c r="D20" s="246"/>
      <c r="E20" s="247" t="s">
        <v>178</v>
      </c>
      <c r="F20" s="247"/>
      <c r="G20" s="247"/>
      <c r="H20" s="247"/>
      <c r="I20" s="248"/>
    </row>
    <row r="21" spans="2:9" ht="218.25" customHeight="1" x14ac:dyDescent="0.15">
      <c r="B21" s="249" t="s">
        <v>22</v>
      </c>
      <c r="C21" s="250"/>
      <c r="D21" s="251"/>
      <c r="E21" s="252" t="s">
        <v>173</v>
      </c>
      <c r="F21" s="252"/>
      <c r="G21" s="252"/>
      <c r="H21" s="252"/>
      <c r="I21" s="253"/>
    </row>
    <row r="22" spans="2:9" ht="218.25" customHeight="1" x14ac:dyDescent="0.15">
      <c r="B22" s="236" t="s">
        <v>37</v>
      </c>
      <c r="C22" s="237"/>
      <c r="D22" s="238"/>
      <c r="E22" s="239" t="s">
        <v>174</v>
      </c>
      <c r="F22" s="239"/>
      <c r="G22" s="239"/>
      <c r="H22" s="239"/>
      <c r="I22" s="24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様式１－２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'様式１－２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2023-05-12T00:06:16Z</cp:lastPrinted>
  <dcterms:created xsi:type="dcterms:W3CDTF">2011-06-14T05:32:50Z</dcterms:created>
  <dcterms:modified xsi:type="dcterms:W3CDTF">2023-07-06T23:45:33Z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