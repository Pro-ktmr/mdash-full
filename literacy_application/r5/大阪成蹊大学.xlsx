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mc:AlternateContent xmlns:mc="http://schemas.openxmlformats.org/markup-compatibility/2006">
    <mc:Choice Requires="x15">
      <x15ac:absPath xmlns:x15ac="http://schemas.microsoft.com/office/spreadsheetml/2010/11/ac" url="Y:\大阪成蹊学園\経営企画局\＜一般＞\② 文科省等への申請・届出、補助金関係\数理・データサイエンス・AI教育プログラム認定制度（リテラシーレベル）\"/>
    </mc:Choice>
  </mc:AlternateContent>
  <xr:revisionPtr revIDLastSave="0" documentId="13_ncr:1_{F8F80312-D5CA-4604-B339-FD0662DB2D23}" xr6:coauthVersionLast="36" xr6:coauthVersionMax="47" xr10:uidLastSave="{00000000-0000-0000-0000-000000000000}"/>
  <bookViews>
    <workbookView xWindow="0" yWindow="0" windowWidth="19350" windowHeight="10620" firstSheet="1" activeTab="1"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プログラムを構成する授業科目'!$A$1:$S$102</definedName>
  </definedNames>
  <calcPr calcId="191029"/>
  <extLst>
    <ext uri="GoogleSheetsCustomDataVersion1">
      <go:sheetsCustomData xmlns:go="http://customooxmlschemas.google.com/" r:id="rId8" roundtripDataSignature="AMtx7mhQQjnpvPNgke9AwvHwz4tYBc+3sw=="/>
    </ext>
  </extLst>
</workbook>
</file>

<file path=xl/calcChain.xml><?xml version="1.0" encoding="utf-8"?>
<calcChain xmlns="http://schemas.openxmlformats.org/spreadsheetml/2006/main">
  <c r="I2" i="4" l="1"/>
  <c r="H2" i="3"/>
  <c r="AO32" i="2"/>
  <c r="AN32" i="2"/>
  <c r="AL32" i="2"/>
  <c r="AK32" i="2"/>
  <c r="AI32" i="2"/>
  <c r="AH32" i="2"/>
  <c r="AF32" i="2"/>
  <c r="AE32" i="2"/>
  <c r="AC32" i="2"/>
  <c r="AB32" i="2"/>
  <c r="Z32" i="2"/>
  <c r="Y32" i="2"/>
  <c r="W32" i="2"/>
  <c r="V32" i="2"/>
  <c r="T32" i="2"/>
  <c r="S32" i="2"/>
  <c r="Q32" i="2"/>
  <c r="P32" i="2"/>
  <c r="N32" i="2"/>
  <c r="M32" i="2"/>
  <c r="K32" i="2"/>
  <c r="J32" i="2"/>
  <c r="H32" i="2"/>
  <c r="G32" i="2"/>
  <c r="E32" i="2"/>
  <c r="I50" i="3" s="1"/>
  <c r="D32" i="2"/>
  <c r="C32" i="2"/>
  <c r="AM31" i="2"/>
  <c r="AJ31" i="2"/>
  <c r="AG31" i="2"/>
  <c r="AD31" i="2"/>
  <c r="AA31" i="2"/>
  <c r="X31" i="2"/>
  <c r="U31" i="2"/>
  <c r="R31" i="2"/>
  <c r="O31" i="2"/>
  <c r="L31" i="2"/>
  <c r="I31" i="2"/>
  <c r="F31" i="2"/>
  <c r="AP31" i="2" s="1"/>
  <c r="AQ31" i="2" s="1"/>
  <c r="AM30" i="2"/>
  <c r="AJ30" i="2"/>
  <c r="AG30" i="2"/>
  <c r="AD30" i="2"/>
  <c r="AA30" i="2"/>
  <c r="X30" i="2"/>
  <c r="U30" i="2"/>
  <c r="R30" i="2"/>
  <c r="O30" i="2"/>
  <c r="L30" i="2"/>
  <c r="I30" i="2"/>
  <c r="F30" i="2"/>
  <c r="AP30" i="2" s="1"/>
  <c r="AQ30" i="2" s="1"/>
  <c r="AM29" i="2"/>
  <c r="AJ29" i="2"/>
  <c r="AG29" i="2"/>
  <c r="AD29" i="2"/>
  <c r="AA29" i="2"/>
  <c r="X29" i="2"/>
  <c r="U29" i="2"/>
  <c r="R29" i="2"/>
  <c r="O29" i="2"/>
  <c r="L29" i="2"/>
  <c r="I29" i="2"/>
  <c r="F29" i="2"/>
  <c r="AP29" i="2" s="1"/>
  <c r="AQ29" i="2" s="1"/>
  <c r="AM28" i="2"/>
  <c r="AJ28" i="2"/>
  <c r="AG28" i="2"/>
  <c r="AD28" i="2"/>
  <c r="AA28" i="2"/>
  <c r="X28" i="2"/>
  <c r="U28" i="2"/>
  <c r="R28" i="2"/>
  <c r="O28" i="2"/>
  <c r="L28" i="2"/>
  <c r="AP28" i="2" s="1"/>
  <c r="AQ28" i="2" s="1"/>
  <c r="I28" i="2"/>
  <c r="F28" i="2"/>
  <c r="AM27" i="2"/>
  <c r="AJ27" i="2"/>
  <c r="AG27" i="2"/>
  <c r="AD27" i="2"/>
  <c r="AA27" i="2"/>
  <c r="X27" i="2"/>
  <c r="U27" i="2"/>
  <c r="R27" i="2"/>
  <c r="O27" i="2"/>
  <c r="L27" i="2"/>
  <c r="I27" i="2"/>
  <c r="F27" i="2"/>
  <c r="AP27" i="2" s="1"/>
  <c r="AQ27" i="2" s="1"/>
  <c r="AM26" i="2"/>
  <c r="AJ26" i="2"/>
  <c r="AG26" i="2"/>
  <c r="AD26" i="2"/>
  <c r="AA26" i="2"/>
  <c r="X26" i="2"/>
  <c r="U26" i="2"/>
  <c r="R26" i="2"/>
  <c r="O26" i="2"/>
  <c r="L26" i="2"/>
  <c r="I26" i="2"/>
  <c r="F26" i="2"/>
  <c r="AP26" i="2" s="1"/>
  <c r="AQ26" i="2" s="1"/>
  <c r="AM25" i="2"/>
  <c r="AJ25" i="2"/>
  <c r="AG25" i="2"/>
  <c r="AD25" i="2"/>
  <c r="AA25" i="2"/>
  <c r="X25" i="2"/>
  <c r="U25" i="2"/>
  <c r="R25" i="2"/>
  <c r="O25" i="2"/>
  <c r="L25" i="2"/>
  <c r="I25" i="2"/>
  <c r="F25" i="2"/>
  <c r="AP25" i="2" s="1"/>
  <c r="AQ25" i="2" s="1"/>
  <c r="AM24" i="2"/>
  <c r="AJ24" i="2"/>
  <c r="AG24" i="2"/>
  <c r="AD24" i="2"/>
  <c r="AA24" i="2"/>
  <c r="X24" i="2"/>
  <c r="U24" i="2"/>
  <c r="R24" i="2"/>
  <c r="O24" i="2"/>
  <c r="L24" i="2"/>
  <c r="I24" i="2"/>
  <c r="F24" i="2"/>
  <c r="AP24" i="2" s="1"/>
  <c r="AQ24" i="2" s="1"/>
  <c r="AP23" i="2"/>
  <c r="AQ23" i="2" s="1"/>
  <c r="AM23" i="2"/>
  <c r="AJ23" i="2"/>
  <c r="AG23" i="2"/>
  <c r="AD23" i="2"/>
  <c r="AA23" i="2"/>
  <c r="X23" i="2"/>
  <c r="U23" i="2"/>
  <c r="R23" i="2"/>
  <c r="O23" i="2"/>
  <c r="L23" i="2"/>
  <c r="I23" i="2"/>
  <c r="F23" i="2"/>
  <c r="AM22" i="2"/>
  <c r="AJ22" i="2"/>
  <c r="AG22" i="2"/>
  <c r="AD22" i="2"/>
  <c r="AA22" i="2"/>
  <c r="X22" i="2"/>
  <c r="U22" i="2"/>
  <c r="R22" i="2"/>
  <c r="O22" i="2"/>
  <c r="L22" i="2"/>
  <c r="I22" i="2"/>
  <c r="F22" i="2"/>
  <c r="AP22" i="2" s="1"/>
  <c r="AQ22" i="2" s="1"/>
  <c r="AM21" i="2"/>
  <c r="AJ21" i="2"/>
  <c r="AG21" i="2"/>
  <c r="AD21" i="2"/>
  <c r="AA21" i="2"/>
  <c r="X21" i="2"/>
  <c r="U21" i="2"/>
  <c r="R21" i="2"/>
  <c r="O21" i="2"/>
  <c r="L21" i="2"/>
  <c r="I21" i="2"/>
  <c r="F21" i="2"/>
  <c r="AP21" i="2" s="1"/>
  <c r="AQ21" i="2" s="1"/>
  <c r="AM20" i="2"/>
  <c r="AJ20" i="2"/>
  <c r="AG20" i="2"/>
  <c r="AD20" i="2"/>
  <c r="AA20" i="2"/>
  <c r="X20" i="2"/>
  <c r="U20" i="2"/>
  <c r="R20" i="2"/>
  <c r="O20" i="2"/>
  <c r="L20" i="2"/>
  <c r="I20" i="2"/>
  <c r="F20" i="2"/>
  <c r="AP20" i="2" s="1"/>
  <c r="AQ20" i="2" s="1"/>
  <c r="AM19" i="2"/>
  <c r="AJ19" i="2"/>
  <c r="AG19" i="2"/>
  <c r="AD19" i="2"/>
  <c r="AA19" i="2"/>
  <c r="X19" i="2"/>
  <c r="U19" i="2"/>
  <c r="R19" i="2"/>
  <c r="O19" i="2"/>
  <c r="L19" i="2"/>
  <c r="I19" i="2"/>
  <c r="F19" i="2"/>
  <c r="AP19" i="2" s="1"/>
  <c r="AQ19" i="2" s="1"/>
  <c r="AM18" i="2"/>
  <c r="AJ18" i="2"/>
  <c r="AG18" i="2"/>
  <c r="AD18" i="2"/>
  <c r="AA18" i="2"/>
  <c r="X18" i="2"/>
  <c r="U18" i="2"/>
  <c r="R18" i="2"/>
  <c r="O18" i="2"/>
  <c r="L18" i="2"/>
  <c r="AP18" i="2" s="1"/>
  <c r="AQ18" i="2" s="1"/>
  <c r="I18" i="2"/>
  <c r="I32" i="2" s="1"/>
  <c r="F18" i="2"/>
  <c r="AM17" i="2"/>
  <c r="AJ17" i="2"/>
  <c r="AG17" i="2"/>
  <c r="AD17" i="2"/>
  <c r="AA17" i="2"/>
  <c r="X17" i="2"/>
  <c r="U17" i="2"/>
  <c r="R17" i="2"/>
  <c r="O17" i="2"/>
  <c r="L17" i="2"/>
  <c r="I17" i="2"/>
  <c r="F17" i="2"/>
  <c r="AP17" i="2" s="1"/>
  <c r="AQ17" i="2" s="1"/>
  <c r="AM16" i="2"/>
  <c r="AJ16" i="2"/>
  <c r="AG16" i="2"/>
  <c r="AD16" i="2"/>
  <c r="AA16" i="2"/>
  <c r="X16" i="2"/>
  <c r="U16" i="2"/>
  <c r="R16" i="2"/>
  <c r="O16" i="2"/>
  <c r="L16" i="2"/>
  <c r="I16" i="2"/>
  <c r="F16" i="2"/>
  <c r="F32" i="2" s="1"/>
  <c r="AM15" i="2"/>
  <c r="AJ15" i="2"/>
  <c r="AG15" i="2"/>
  <c r="AD15" i="2"/>
  <c r="AA15" i="2"/>
  <c r="X15" i="2"/>
  <c r="U15" i="2"/>
  <c r="R15" i="2"/>
  <c r="O15" i="2"/>
  <c r="L15" i="2"/>
  <c r="AP15" i="2" s="1"/>
  <c r="AQ15" i="2" s="1"/>
  <c r="AM14" i="2"/>
  <c r="AJ14" i="2"/>
  <c r="AG14" i="2"/>
  <c r="AD14" i="2"/>
  <c r="AA14" i="2"/>
  <c r="X14" i="2"/>
  <c r="X32" i="2" s="1"/>
  <c r="U14" i="2"/>
  <c r="U32" i="2" s="1"/>
  <c r="R14" i="2"/>
  <c r="O14" i="2"/>
  <c r="L14" i="2"/>
  <c r="AP14" i="2" s="1"/>
  <c r="AQ14" i="2" s="1"/>
  <c r="AM13" i="2"/>
  <c r="AJ13" i="2"/>
  <c r="AG13" i="2"/>
  <c r="AD13" i="2"/>
  <c r="AD32" i="2" s="1"/>
  <c r="AA13" i="2"/>
  <c r="X13" i="2"/>
  <c r="U13" i="2"/>
  <c r="R13" i="2"/>
  <c r="O13" i="2"/>
  <c r="L13" i="2"/>
  <c r="AP13" i="2" s="1"/>
  <c r="AQ13" i="2" s="1"/>
  <c r="AM12" i="2"/>
  <c r="AM32" i="2" s="1"/>
  <c r="AJ12" i="2"/>
  <c r="AJ32" i="2" s="1"/>
  <c r="AG12" i="2"/>
  <c r="AG32" i="2" s="1"/>
  <c r="AD12" i="2"/>
  <c r="AA12" i="2"/>
  <c r="AA32" i="2" s="1"/>
  <c r="X12" i="2"/>
  <c r="U12" i="2"/>
  <c r="R12" i="2"/>
  <c r="R32" i="2" s="1"/>
  <c r="O12" i="2"/>
  <c r="O32" i="2" s="1"/>
  <c r="L12" i="2"/>
  <c r="AP12" i="2" s="1"/>
  <c r="AM2" i="2"/>
  <c r="AQ12" i="2" l="1"/>
  <c r="AP16" i="2"/>
  <c r="AQ16" i="2" s="1"/>
  <c r="L32" i="2"/>
  <c r="AP32" i="2" l="1"/>
  <c r="AQ32" i="2" s="1"/>
  <c r="C49" i="3" s="1"/>
</calcChain>
</file>

<file path=xl/sharedStrings.xml><?xml version="1.0" encoding="utf-8"?>
<sst xmlns="http://schemas.openxmlformats.org/spreadsheetml/2006/main" count="330" uniqueCount="177">
  <si>
    <t>様式１</t>
  </si>
  <si>
    <t>「学部・学科によって、修了要件は相違する」場合は、本シートを複製の上＜様式１－〇＞と枝番号を付してください</t>
  </si>
  <si>
    <t>大学等名</t>
  </si>
  <si>
    <t>大阪成蹊大学</t>
  </si>
  <si>
    <t>プログラム名</t>
  </si>
  <si>
    <t>AI・データサイエンス教育プログラム</t>
  </si>
  <si>
    <t>プログラムを構成する授業科目について</t>
  </si>
  <si>
    <t>① 対象となる学部・学科名称</t>
  </si>
  <si>
    <t>② 教育プログラムの修了要件</t>
  </si>
  <si>
    <t>学部・学科によって、修了要件は相違しない</t>
  </si>
  <si>
    <t>データサイエンス学部，看護学部，経営学部，国際観光学部，教育学部，芸術学部</t>
  </si>
  <si>
    <t>③ 修了要件</t>
  </si>
  <si>
    <t>　「データサイエンス基礎」、「統計学基礎」、「AI入門」のうち1科目（2単位）の取得を修了要件とする。</t>
  </si>
  <si>
    <t>【プルダウンリスト】</t>
  </si>
  <si>
    <t>令和４年度以前より、履修することが必須のプログラムとして実施</t>
  </si>
  <si>
    <t>令和７年度までに履修必須とする計画</t>
  </si>
  <si>
    <t>令和８年度以降に履修必須とする計画、又は未定</t>
  </si>
  <si>
    <t>必要最低単位数</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</si>
  <si>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</si>
  <si>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</si>
  <si>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</si>
  <si>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</si>
  <si>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</si>
  <si>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</si>
  <si>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</si>
  <si>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</si>
  <si>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データサイエンス基礎</t>
  </si>
  <si>
    <t>○</t>
  </si>
  <si>
    <t>統計学基礎</t>
  </si>
  <si>
    <t>AI入門</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</si>
  <si>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</si>
  <si>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</si>
  <si>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</si>
  <si>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</si>
  <si>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</si>
  <si>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</si>
  <si>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</si>
  <si>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</si>
  <si>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</si>
  <si>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</si>
  <si>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</si>
  <si>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</si>
  <si>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</si>
  <si>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</si>
  <si>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</si>
  <si>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</si>
  <si>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</si>
  <si>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</si>
  <si>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</si>
  <si>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・ビッグデータ、IoT、AI、ロボット 「データサイエンス基礎」（1回目、4回目）、「統計学基礎」（1回目）、「AI入門」（1回目、7～13回目）
・データ量の増加、計算機の処理性能の向上、AIの非連続的進化 「データサイエンス基礎」（1回目）、「統計学基礎」（4回目）
・第4次産業革命、Society 5.0、データ駆動型社会 「データサイエンス基礎」（1回目）、「統計学基礎」（1回目）
・複数技術を組み合わせたAIサービス 「AI入門」（7～8回目）
・データを起点としたものの見方、人間の知的活動を起点としたものの見方 「統計学基礎」（2、4回目）</t>
  </si>
  <si>
    <t xml:space="preserve">・AI等を活用した新しいビジネスモデル(シェアリングエコノミー、商品のレコメンデーションなど) 「統計学基礎」（4回目）、「AI入門」（12、13回目）
・AI最新技術の活用例（深層生成モデル、敵対的生成ネットワーク、強化学習、転移学習など） 「データサイエンス基礎」（1回目、4回目）、「統計学基礎」（1回目、14回目）、「AI入門」（12、13回目）
</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</si>
  <si>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</si>
  <si>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</si>
  <si>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・データ解析：予測、グルーピング、パターン発見、最適化、シミュレーション・データ同化など 「データサイエンス基礎」（3回目）、「統計学基礎」（6、7回目）
・データ可視化：複合グラフ、2軸グラフ、多次元の可視化、関係性の可視化、地図上の可視化、挙動・軌跡の可視化、リアルタイム可視化など 「データサイエンス基礎」（4回目）、「統計学基礎」（4回目）
・非構造化データ処理：言語処理、画像/動画処理、音声/音楽処理など 「統計学基礎」（4回目）、「AI入門」（7回目、12回目）
・特化型AIと汎用AI、今のAIで出来ることと出来ないこと、AIとビッグデータ 「データサイエンス基礎」（1回目）、「AI入門」（1回目）
・認識技術、ルールベース、自動化技術 「データサイエンス基礎」（1回目）</t>
  </si>
  <si>
    <t>・データサイエンスのサイクル（課題抽出と定式化、データの取得・管理・加工、探索的データ解析、データ解析と推論、結果の共有・伝達、課題解決に向けた提案） 「データサイエンス基礎」（4回目）、「統計学基礎」（1、9回目）
・流通、製造、金融、サービス、インフラ、公共、ヘルスケア等におけるデータ・AI利活用事例紹介 「データサイエンス基礎」（1～2回目）、「統計学基礎」（1、4回目）、「AI入門」（7回目、11～13回目）</t>
  </si>
  <si>
    <t>（４）活用に当たっての様々な留意事項（ELSI、個人情報、データ倫理、ＡＩ社会原則等）を考慮し、情報セキュリティや情報漏洩等、データを守る上での留意事項への理解をする</t>
  </si>
  <si>
    <t>・ELSI（Ethical, Legal and Social Issues） 「データサイエンス基礎」（6～8回目）、「統計学基礎」（1回目、14回目）、「AI入門」（2～5回目）
・個人情報保護、EU一般データ保護規則(GDPR)、忘れられる権利、オプトアウト 「データサイエンス基礎」（8回目）
・データ倫理：データのねつ造、改ざん、盗用、プライバシー保護 「データサイエンス基礎」（8回目）、「統計学基礎」（14回目）
・AI社会原則（公平性、説明責任、透明性、人間中心の判断）「AI入門」（7回目）
・データバイアス、アルゴリズムバイアス 「統計学基礎」（1、9、14回目）
・AIサービスの責任論「AI入門」（7回目）
・データ・AI活用における負の事例紹介「AI入門」（10回目）</t>
  </si>
  <si>
    <t>・情報セキュリティ：機密性、完全性、可用性 「データサイエンス基礎」（6～7回目）、「統計学基礎」（1回目）、「AI入門」（10回目）
・匿名加工情報、暗号化、パスワード、悪意ある情報搾取 「データサイエンス基礎」（7～8回目）</t>
  </si>
  <si>
    <t>（５）実データ・実課題（学術データ等を含む）を用いた演習など、社会での実例を題材として、「データを読む、説明する、扱う」といった数理・データサイエンス・ＡＩの基本的な活用法に関するもの</t>
  </si>
  <si>
    <t>・データの種類（量的変数、質的変数） 「データサイエンス基礎」（2回目）、「統計学基礎」（2、3回目）
・データの分布(ヒストグラム)と代表値（平均値、中央値、最頻値） 「データサイエンス基礎」（2回目、10回目）、「統計学基礎」（2回目）、「AI入門」（14回目）
・代表値の性質の違い（実社会では平均値＝最頻値でないことが多い） 「統計学基礎」（2回目）
・データのばらつき（分散、標準偏差、偏差値） 「データサイエンス基礎」（2回目、10回目）、「統計学基礎」（2、5回目）、「AI入門」（14回目）
・観測データに含まれる誤差の扱い 「統計学基礎」（9回目）
・打ち切りや脱落を含むデータ、層別の必要なデータ 「統計学基礎」（9回目）
・相関と因果（相関係数、擬似相関、交絡） 「データサイエンス基礎」（3回目、10回目）、「統計学基礎」（6回目）、「AI入門」（14回目）
・母集団と標本抽出（国勢調査、アンケート調査、全数調査、単純無作為抽出、層別抽出、多段抽出） 「データサイエンス基礎」（11回目）、「統計学基礎」（4、9、10回目）
・クロス集計表、分割表、相関係数行列、散布図行列「統計学基礎」（3、13回目）
・統計情報の正しい理解（誇張表現に惑わされない）「統計学基礎」（1、4、8、14回目）</t>
  </si>
  <si>
    <t>・データ表現（棒グラフ、折線グラフ、散布図、ヒートマップ） 「データサイエンス基礎」（12回目）、「統計学基礎」（2～4回目）、「AI入門」（14回目）
・データの図表表現（チャート化）「統計学基礎」（2、3回目）
・データの比較（条件をそろえた比較、処理の前後での比較、A/Bテスト)「統計学基礎」（1、4、14回目）
・不適切なグラフ表現（チャートジャンク、不必要な視覚的要素） 「データサイエンス基礎」（12回目）、「統計学基礎」（4回目）
・優れた可視化事例の紹介（可視化することによって新たな気づきがあった事例など） 「データサイエンス基礎」（4回目）、「統計学基礎」（4回目）</t>
  </si>
  <si>
    <t>・データの集計（和、平均） 「データサイエンス基礎」（10回目）、「統計学基礎」（3回目）、「AI入門」（14回目）
・データの並び替え、ランキング 「データサイエンス基礎」（13回目）、「統計学基礎」（2回目）、「AI入門」（14回目）
・データ解析ツール（スプレッドシート） 「データサイエンス基礎」（13回目）、「統計学基礎」（14回目）、「AI入門」（14回目）
・表形式のデータ（csv） 「データサイエンス基礎」（10～13回目）、「統計学基礎」（14回目）、「AI入門」（14回目）</t>
  </si>
  <si>
    <t>⑪ プログラムの学修成果（学生等が身に付けられる能力等）</t>
  </si>
  <si>
    <t xml:space="preserve">ビッグデータとAIが活用される現代の社会におけるデータサイエンス・統計学の役割を理解し、データサイエンスやAIに関する基礎的な知識や、データを適切に処理し読み解くことができる統計学の基本的な考え方を修得する。
</t>
  </si>
  <si>
    <t>様式２</t>
  </si>
  <si>
    <t>プログラムの履修者数等の実績について</t>
  </si>
  <si>
    <t>①プログラム開設年度</t>
  </si>
  <si>
    <t>令和4</t>
  </si>
  <si>
    <t>年度</t>
  </si>
  <si>
    <t>②履修者・修了者の実績</t>
  </si>
  <si>
    <t>学部・学科名称</t>
  </si>
  <si>
    <t>学生数</t>
  </si>
  <si>
    <t>入学
定員</t>
  </si>
  <si>
    <t>収容
定員</t>
  </si>
  <si>
    <t>令和4年度</t>
  </si>
  <si>
    <t>令和3年度</t>
  </si>
  <si>
    <t>令和2年度</t>
  </si>
  <si>
    <t>令和元年度</t>
  </si>
  <si>
    <t>平成30年度</t>
  </si>
  <si>
    <t>平成29年度</t>
  </si>
  <si>
    <t>履修者数
合計</t>
  </si>
  <si>
    <t>履修率</t>
  </si>
  <si>
    <t>履修者数</t>
  </si>
  <si>
    <t>修了者数</t>
  </si>
  <si>
    <t>合計</t>
  </si>
  <si>
    <t>男性</t>
  </si>
  <si>
    <t>女性</t>
  </si>
  <si>
    <t>経営学部</t>
  </si>
  <si>
    <t>国際観光学部</t>
  </si>
  <si>
    <t>芸術学部</t>
  </si>
  <si>
    <t>教育学部</t>
  </si>
  <si>
    <t>合　計</t>
  </si>
  <si>
    <t>　　　　　　　　　　　　　　　　　　　　　　　　　　　　　　　　　　　　　　　　　　　　　　　　　　　　　　　　　　　　　　　　　　　　　　　　　　　　　　　　　　　　　　　　　　　　　　　　　　　　　　　　　　　　　　　　　　　　　　　　　　　　　　　　　　　　　　　　　　　　　　　　　　　　　　　　　　　　　　　　　　　　　　　　　　　　　　　　　　　　　　　　　　　　　　　　　　　　　　　　　　　　　　　　　　　　　　　　　　　　　　　　　　　　　　　　　　　　　　　　　　　　　　　　　　　　　　　　　　　　　　　　　　　　　　　　　　　　　　　　　　　　　　　　　　　　　　　　　　　　　　　　　　　　　　　　　　　　　　　　　　　　　　　　　　　　　　　　　　　　　　　　　　　　　　　　　　　　　　　　　　　　　　　　　　　　　　　　　　　　　　　　　　　　　　　　　　　　　　　　　　　　　　　　　　　　　　　　　　　　　　　　　　　　　　　　　　　　　　　　　　　　　　　　　　　　　　　　　　　　　　　　　　　　　　　　　　　　　　　　　　　　　　　　　　　　　　　　　　　　　　　　　　　　　　　　　　　　　　　　　　　　　　　　　　　　　　　　　　　　　　　　　　　　　　　　　　　　　　　　　　　　　　　　　　　　　　　　　　　　　　　　　　　　　　　　　　　　　　　　　　　　　　　　　　　　　　　　　　　　　　　　　　　　　　　　　　　　　　　　　　　　　　　　　　　　　　　　　　　　　　　　　　　　　　　　　　　　　　　　　　　　　　　　　　　　　　　　　　　　　　　　　　　　　　　　　　　　　　　　　　　　　　　　　　　　　　</t>
  </si>
  <si>
    <t>様式３</t>
  </si>
  <si>
    <t>教育の質・履修者数を向上させるための体制・計画について</t>
  </si>
  <si>
    <t>①</t>
  </si>
  <si>
    <t>全学の教員数</t>
  </si>
  <si>
    <t>(常勤）</t>
  </si>
  <si>
    <t>人</t>
  </si>
  <si>
    <t>（非常勤）</t>
  </si>
  <si>
    <t>②</t>
  </si>
  <si>
    <t>プログラムの授業を教えている教員数</t>
  </si>
  <si>
    <t>③</t>
  </si>
  <si>
    <t>プログラムの運営責任者</t>
  </si>
  <si>
    <t>（責任者名）</t>
  </si>
  <si>
    <t>中村 佳正</t>
  </si>
  <si>
    <t>（役職名）</t>
  </si>
  <si>
    <t>副学長・教授</t>
  </si>
  <si>
    <t>④</t>
  </si>
  <si>
    <t>プログラムを改善・進化させるための体制（委員会・組織等）</t>
  </si>
  <si>
    <t>⑤</t>
  </si>
  <si>
    <t>プログラムを改善・進化させるための体制を定める規則名称</t>
  </si>
  <si>
    <t>教学改革FSD会議規程</t>
  </si>
  <si>
    <t>⑥</t>
  </si>
  <si>
    <t>体制の目的</t>
  </si>
  <si>
    <t>平成28年度より、大阪成蹊学園各校の教育・研究に関する重要事項を統括し、その円滑な運営を図ることを目的として「教学改革FSD会議」を設置。全学的な教学マネジメント体制の中心となる同会議のもとには、高等教育の質保証を巡る政策動向や社会で求められる人材需要の変化を踏まえた改革テーマを選定し、学部横断による複数のプロジェクトチームを編成。令和2年度より「Society5.0時代の新たな教育体系・学校運営の構築」プロジェクトを立ち上げ、令和5年度の「全学的なAI・数理・データサイエンス教育の構築」プロジェクトへと発展している。本プロジェクトでは、全学教育に「AI・データリテラシー」の科目群を新たに設け、AI・データサイエンス等に関する複数の科目を開発・運営。学部の別なく全ての学生がAI・数理・データサイエンスの基礎を身につけられるよう、各学部等における履修指導の工夫や、授業設計、効果検証、教材の開発等に取り組んでいる。</t>
  </si>
  <si>
    <t>⑦</t>
  </si>
  <si>
    <t>具体的な構成員</t>
  </si>
  <si>
    <t>⑧</t>
  </si>
  <si>
    <r>
      <rPr>
        <sz val="12"/>
        <color theme="1"/>
        <rFont val="MS PGothic"/>
        <family val="2"/>
        <charset val="128"/>
      </rPr>
      <t xml:space="preserve">履修者数・履修率の向上に向けた計画 </t>
    </r>
    <r>
      <rPr>
        <sz val="6"/>
        <color theme="1"/>
        <rFont val="ＭＳ Ｐゴシック"/>
        <family val="2"/>
        <charset val="128"/>
      </rPr>
      <t>※様式１の「履修必須の有無」で「計画がある」としている場合は詳細について記載すること</t>
    </r>
  </si>
  <si>
    <t>令和４年度実績</t>
  </si>
  <si>
    <t>令和５年度予定</t>
  </si>
  <si>
    <t>令和６年度予定</t>
  </si>
  <si>
    <t>70％</t>
  </si>
  <si>
    <t>令和７年度予定</t>
  </si>
  <si>
    <t>95％</t>
  </si>
  <si>
    <t>令和８年度予定</t>
  </si>
  <si>
    <t>100％</t>
  </si>
  <si>
    <t>収容定員（名）</t>
  </si>
  <si>
    <t>具体的な計画</t>
  </si>
  <si>
    <t xml:space="preserve">目標を達成するために令和4年度には、全学において毎年4月の第1週に行われる新入生オリエンテーションできめ細かい履修指導を行った。令和5年度よりプログラムを構成する科目のうち、学部の特性に合わせ、データサイエンス学部では「データサイエンス基礎」、看護学部では「統計学基礎」を必修とした。また、経営学部・国際観光学部では「データサイエンス基礎」、教育学部では「統計学基礎」、芸術学部では「データサイエンス基礎」「統計学基礎」「AI入門」の3科目から1科目を必履修とし、全新入生が本教育プログラムを履修する体制を構築した。
</t>
  </si>
  <si>
    <t>⑨</t>
  </si>
  <si>
    <t>学部・学科に関係なく希望する学生全員が受講可能となるような必要な体制・取組等</t>
  </si>
  <si>
    <t>⑩</t>
  </si>
  <si>
    <t>できる限り多くの学生が履修できるような具体的な周知方法・取組</t>
  </si>
  <si>
    <t xml:space="preserve">新入生に対して、文理問わずデータサイエンスを学ぶことが重要であることを説明している。さらに学部の特性に応じて、大阪成蹊大学の共通教育で提供している「データサイエンス基礎」「統計学基礎」「AI入門」について説明し、履修指導の際に履修するよう指導を行っている。また令和5年度の新入生からは、全ての学部で上記3科目のうちの1科目以上を必履修としている。令和5年度よりプログラムを構成する科目のうち、学部の特性に合わせ、データサイエンス学部では「データサイエンス基礎」、看護学部では「統計学基礎」を必修とした。また、経営学部・国際観光学部では「データサイエンス基礎」、教育学部では「統計学基礎」、芸術学部では「データサイエンス基礎」「統計学基礎」「AI入門」の3科目から1科目を必履修とし、全新入生が本教育プログラムを履修する。
</t>
  </si>
  <si>
    <t>⑪</t>
  </si>
  <si>
    <t>できる限り多くの学生が履修・修得できるようなサポート体制</t>
  </si>
  <si>
    <t>本学の学習管理システム（LMS）を通じて、独自の講義資料及びオンデマンド教材を公開することにより、多くの学生が学習することが可能な環境を構築している。</t>
  </si>
  <si>
    <t>⑫</t>
  </si>
  <si>
    <t>授業時間内外で学習指導、質問を受け付ける具体的な仕組み</t>
  </si>
  <si>
    <t>オフィスアワーを設定しており、学生からの質問を受けつけ、回答を行っている他、LMS上でも随時質問に対応している。また、毎回の課題などで受講生からコメントを受け付け、講義でフィードバックを行っている。</t>
  </si>
  <si>
    <t>　　　　　　　　　　　　　　　　　　　　　　　　　　　　　　　　　　　　　　　　　　　　　　　　　　　　　　　　　　　　　　　　　　　　　　　　　</t>
  </si>
  <si>
    <t>様式４</t>
  </si>
  <si>
    <t>自己点検・評価について</t>
  </si>
  <si>
    <t>プログラムの自己点検・評価を行う体制（委員会・組織等）</t>
  </si>
  <si>
    <t>大阪成蹊学園教学改革FSD会議 全学的なAI・数理・データサイエンス教育の構築プロジェクト</t>
  </si>
  <si>
    <t>石井 茂</t>
  </si>
  <si>
    <t>理事長・総長</t>
  </si>
  <si>
    <t>自己点検・評価体制における意見等</t>
  </si>
  <si>
    <t>自己点検・評価の視点</t>
  </si>
  <si>
    <t>自己点検・評価体制における意見・結果・改善に向けた取組等</t>
  </si>
  <si>
    <t>学内からの視点</t>
  </si>
  <si>
    <t>プログラムの履修・修得状況</t>
  </si>
  <si>
    <t>学修成果</t>
  </si>
  <si>
    <t>本教育プログラムの科目において、課題提出の際に自由記述欄を設け、講義に関するコメントを取集している。「全学的なAI・数理・データサイエンス教育の構築プロジェクト」と連携し、各科目の実施状況や受講生からのコメントを本教育プログラムの評価・改善に活用している。また大学のFD活動として、受講生に授業アンケートを実施しており、本プログラムの科目についても同様に実施している。このアンケート結果は担当教員にフィードバックされており、本教育プログラムの評価・改善に活用している。</t>
  </si>
  <si>
    <t>学生アンケート等を通じた学生の内容の理解度</t>
  </si>
  <si>
    <t>本教育プログラム受講者全員に対して授業アンケートを実施しており、「全学的なAI・数理・データサイエンス教育の構築プロジェクト」において学生の理解度を分析している。特に、学生がどの部分でつまづいているか、どの具体例を用いたら良いかなど、どのような教え方が効果的なのかを把握し、授業内容にフィードバックしている。</t>
  </si>
  <si>
    <t>学生アンケート等を通じた後輩等他の学生への推奨度</t>
  </si>
  <si>
    <t xml:space="preserve">令和5年度からは本プログラムの科目については必履修となるため、明示的に学生に対して他学生に本プログラムを推奨してもらうような仕組みにはしていない。受講生に対する授業アンケートにおいて満足度などの調査しており、現状では受講生は高い満足度を感じていることから、学生同士の情報交換によって高いモチベーションの確保などにつながることが見込まれる。また、受講生アンケートの結果は履修指導の際にも活用している。
</t>
  </si>
  <si>
    <t>全学的な履修者数、履修率向上に向けた計画の達成・進捗状況</t>
  </si>
  <si>
    <t>本教育プログラムを構成する科目「データサイエンス基礎」、「統計学基礎」，「AI入門」については令和5年度新入生から全学必履修とすることが決まり、履修者数、履修率の向上にむけて推進している。また、「全学的なAI・数理・データサイエンス教育の構築プロジェクト」会議において、各学部における数理・データサイエンス・AI教育の内容について各専門分野からの観点も取り入れ見直し等を検討し、より学生の履修を推進している。</t>
  </si>
  <si>
    <t>学外からの視点</t>
  </si>
  <si>
    <t>教育プログラム修了者の進路、活躍状況、企業等の評価</t>
  </si>
  <si>
    <t xml:space="preserve">卒業生に対して、卒業後半年経過時点でアンケートを実施し、「学生時代により学んでおくべきだったと感じていること」、「学んでよかったと感じていること」、「社会人生活の感想」等を調査している。（アンケート回収率80％以上）
また就職先企業・団体に対しては、本学卒業生に対する評価としてディプロマ・ポリシーの各指標の習得状況と強み・弱みについて明らかにするアンケート調査を実施している。（毎年50社以上を目標に調査・回収）
これらの調査結果をもとに、教育課程の見直しや各プロジェクトによる教学改革企画、就職支援体制の見直し等に活用している。
</t>
  </si>
  <si>
    <t>産業界からの視点を含めた教育プログラム内容・手法等への意見</t>
  </si>
  <si>
    <t>連携企業に対してアンケートを実施し、教育プログラムの講義内容及び実データを活用した演習等の手法について意見を収集するとともに、「全学的なAI・数理・データサイエンス教育の構築プロジェクト」においてプログラムの改善に活用する予定である。</t>
  </si>
  <si>
    <t>数理・データサイエンス・ＡＩを「学ぶ楽しさ」「学ぶことの意義」を理解させること</t>
  </si>
  <si>
    <t>本教育プログラムは全学部を対象とした科目であることから、モデルカリキュラムリテラシーレベルの導入部分に準じた内容を展開し、時事やトレンドなど社会での実例をもとにAI等がどのような活用をされているかを中心に好奇心を促す講義内容としている。取り上げる実例については、学生アンケート等を活用し、その内容について評価を実施している。</t>
  </si>
  <si>
    <t>内容・水準を維持・向上しつつ、より「分かりやすい」授業とすること</t>
  </si>
  <si>
    <t>各担当教員が授業内容の改善を行っている。また、「全学的なAI・数理・データサイエンス教育の構築プロジェクト」にて学生アンケートを参考に、学生の「分かりやすさ」の観点から講義の内容・実施方法の見直しを検討している。</t>
  </si>
  <si>
    <t>・調査データ、実験データ、人の行動ログデータ、機械の稼働ログデータなど 「データサイエンス基礎」（2回目）、「統計学基礎」（2、4回目）、「AI入門」（14回目）
・1次データ、2次データ、データのメタ化 「データサイエンス基礎」（2回目）、「統計学基礎」（4回目）
・構造化データ、非構造化データ（文章、画像/動画、音声/音楽など） 「データサイエンス基礎」（4回目）、「統計学基礎」（4回目）、「AI入門」（7回目、12～13回目）
・データ作成（ビッグデータとアノテーション） 「統計学基礎」（4回目）
・データのオープン化（オープンデータ） 「データサイエンス基礎」（2回目）、「統計学基礎」（4回目）、「AI入門」（14回目）</t>
    <phoneticPr fontId="16"/>
  </si>
  <si>
    <t>・データ・AI活用領域の広がり(生産、消費、文化活動など) 「データサイエンス基礎」（1、2回目）、「統計学基礎」（1、4回目）、「AI入門」（1回目）
・研究開発、調達、製造、物流、販売、マーケティング、サービスなど 「データサイエンス基礎」（2回目）、「統計学基礎」（4回目）、「AI入門」（11回目）
・仮説検証、知識発見、原因究明、計画策定、判断支援、活動代替、新規生成など 「データサイエンス基礎」（1回目）、「統計学基礎」（1、4、9、11、14回目）</t>
    <phoneticPr fontId="16"/>
  </si>
  <si>
    <t>大阪成蹊学園 教学改革FSD会議 全学的なAI・数理・データサイエンス教育の構築プロジェクト</t>
    <phoneticPr fontId="16"/>
  </si>
  <si>
    <t>本プログラムの科目は、大学共通科目として開講しているため、全学部の学生が履修可能である。データサイエンス学部の設置により全学的な教育コンテンツを作成し、本プログラムの基礎科目となる「データサイエンス基礎」及び「統計学基礎」に関して、時間割に依らず全学生の受講が可能となるようオンデマンド授業、対面授業の両方を開講している。両科目において、大学院生をティーチングアシスタントとして雇用し、全学的な履修を支援・促進している。「AI入門」では、学外から特別講師を招聘し、社会で活躍する様々な産業人や研究者から直接話をきくことや、質疑応答を通じて、AI時代の社会についての知識と想像力、思考力を身につけることを目指している。</t>
    <phoneticPr fontId="16"/>
  </si>
  <si>
    <t xml:space="preserve">中村佳正（データサイエンス学部設置準備室）
海野大（経営学部）
山岡淳（経営学部）
国枝よしみ（国際観光学部）
門脇英純（芸術学部）
浅田伸（芸術学部）
加藤隆文（芸術学部）
鈴木勇（教育学部）
山西輝也（データサイエンス学部設置準備室）
笠原秀一（データサイエンス学部設置準備室）
夏川浩明（データサイエンス学部設置準備室）
上阪彩香（データサイエンス学部設置準備室）
關戸啓人（データサイエンス学部設置準備室）
河村泰文（経営企画本部）
占野輝（教務本部）
</t>
    <phoneticPr fontId="16"/>
  </si>
  <si>
    <t xml:space="preserve">2022年度から本プログラム（AI・データサイエンス教育プログラム）を開講し、全学部生が履修できるよう整備を行った。所属学部で開講されている時間割との重複の配慮を考慮し、オンデマンド型の授業を実施を行った。その結果、2022度の履修・修得状況は履修者652名（経営学部375名、国際観光学部50名、芸術学部13名、教育学部214名）のうち、583名(経営学部330名、国際観光学部35名、芸術学部10名、教育学部208名)が単位取得した。
</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</si>
</sst>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font>
      <sz val="11"/>
      <color theme="1"/>
      <name val="Calibri"/>
      <scheme val="minor"/>
    </font>
    <font>
      <sz val="12"/>
      <color theme="1"/>
      <name val="MS PGothic"/>
      <family val="2"/>
      <charset val="128"/>
    </font>
    <font>
      <sz val="11"/>
      <color theme="1"/>
      <name val="MS PGothic"/>
      <family val="2"/>
      <charset val="128"/>
    </font>
    <font>
      <sz val="11"/>
      <name val="Calibri"/>
      <family val="2"/>
    </font>
    <font>
      <sz val="14"/>
      <color theme="1"/>
      <name val="MS PGothic"/>
      <family val="2"/>
      <charset val="128"/>
    </font>
    <font>
      <sz val="9"/>
      <color theme="1"/>
      <name val="MS PGothic"/>
      <family val="2"/>
      <charset val="128"/>
    </font>
    <font>
      <sz val="10"/>
      <color theme="1"/>
      <name val="MS PGothic"/>
      <family val="2"/>
      <charset val="128"/>
    </font>
    <font>
      <sz val="10"/>
      <color rgb="FF000000"/>
      <name val="MS PGothic"/>
      <family val="2"/>
      <charset val="128"/>
    </font>
    <font>
      <sz val="12"/>
      <color rgb="FF000000"/>
      <name val="MS PGothic"/>
      <family val="2"/>
      <charset val="128"/>
    </font>
    <font>
      <sz val="11"/>
      <color rgb="FF000000"/>
      <name val="MS PGothic"/>
      <family val="2"/>
      <charset val="128"/>
    </font>
    <font>
      <sz val="9"/>
      <color rgb="FF000000"/>
      <name val="MS PGothic"/>
      <family val="2"/>
      <charset val="128"/>
    </font>
    <font>
      <sz val="8"/>
      <color rgb="FF000000"/>
      <name val="MS PGothic"/>
      <family val="2"/>
      <charset val="128"/>
    </font>
    <font>
      <sz val="7"/>
      <color theme="1"/>
      <name val="MS PGothic"/>
      <family val="2"/>
      <charset val="128"/>
    </font>
    <font>
      <sz val="8"/>
      <color theme="1"/>
      <name val="MS PGothic"/>
      <family val="2"/>
      <charset val="128"/>
    </font>
    <font>
      <sz val="12"/>
      <color rgb="FF000000"/>
      <name val="&quot;ＭＳ Ｐゴシック&quot;"/>
      <family val="3"/>
      <charset val="128"/>
    </font>
    <font>
      <sz val="6"/>
      <color theme="1"/>
      <name val="ＭＳ Ｐゴシック"/>
      <family val="2"/>
      <charset val="128"/>
    </font>
    <font>
      <sz val="6"/>
      <name val="Calibri"/>
      <family val="3"/>
      <charset val="128"/>
      <scheme val="minor"/>
    </font>
  </fonts>
  <fills count="4">
    <fill>
      <patternFill patternType="none"/>
    </fill>
    <fill>
      <patternFill patternType="gray125"/>
    </fill>
    <fill>
      <patternFill patternType="solid">
        <fgColor theme="0"/>
        <bgColor theme="0"/>
      </patternFill>
    </fill>
    <fill>
      <patternFill patternType="solid">
        <fgColor rgb="FFF2F2F2"/>
        <bgColor rgb="FFF2F2F2"/>
      </patternFill>
    </fill>
  </fills>
  <borders count="7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right/>
      <top style="hair">
        <color rgb="FF000000"/>
      </top>
      <bottom/>
      <diagonal/>
    </border>
    <border>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hair">
        <color rgb="FF000000"/>
      </top>
      <bottom/>
      <diagonal/>
    </border>
    <border>
      <left style="dotted">
        <color rgb="FF000000"/>
      </left>
      <right/>
      <top style="dotted">
        <color rgb="FF000000"/>
      </top>
      <bottom style="thin">
        <color rgb="FF000000"/>
      </bottom>
      <diagonal/>
    </border>
    <border>
      <left style="hair">
        <color rgb="FF000000"/>
      </left>
      <right style="thin">
        <color rgb="FF000000"/>
      </right>
      <top style="dotted">
        <color rgb="FF000000"/>
      </top>
      <bottom style="thin">
        <color rgb="FF000000"/>
      </bottom>
      <diagonal/>
    </border>
    <border>
      <left style="dotted">
        <color rgb="FF000000"/>
      </left>
      <right/>
      <top/>
      <bottom/>
      <diagonal/>
    </border>
    <border>
      <left style="hair">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dotted">
        <color rgb="FF000000"/>
      </left>
      <right/>
      <top style="hair">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double">
        <color rgb="FF000000"/>
      </bottom>
      <diagonal/>
    </border>
    <border>
      <left style="dotted">
        <color rgb="FF000000"/>
      </left>
      <right/>
      <top/>
      <bottom style="double">
        <color rgb="FF000000"/>
      </bottom>
      <diagonal/>
    </border>
    <border>
      <left style="hair">
        <color rgb="FF000000"/>
      </left>
      <right style="thin">
        <color rgb="FF000000"/>
      </right>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dotted">
        <color rgb="FF000000"/>
      </left>
      <right style="hair">
        <color rgb="FF000000"/>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style="hair">
        <color rgb="FF000000"/>
      </right>
      <top style="hair">
        <color rgb="FF000000"/>
      </top>
      <bottom style="hair">
        <color rgb="FF000000"/>
      </bottom>
      <diagonal/>
    </border>
    <border>
      <left/>
      <right style="hair">
        <color rgb="FF000000"/>
      </right>
      <top style="thin">
        <color rgb="FF000000"/>
      </top>
      <bottom style="hair">
        <color rgb="FF000000"/>
      </bottom>
      <diagonal/>
    </border>
    <border>
      <left style="dotted">
        <color rgb="FF000000"/>
      </left>
      <right style="hair">
        <color rgb="FF000000"/>
      </right>
      <top style="thin">
        <color rgb="FF000000"/>
      </top>
      <bottom style="hair">
        <color rgb="FF000000"/>
      </bottom>
      <diagonal/>
    </border>
    <border>
      <left/>
      <right style="dotted">
        <color rgb="FF000000"/>
      </right>
      <top style="thin">
        <color rgb="FF000000"/>
      </top>
      <bottom style="hair">
        <color rgb="FF000000"/>
      </bottom>
      <diagonal/>
    </border>
    <border>
      <left style="dotted">
        <color rgb="FF000000"/>
      </left>
      <right style="hair">
        <color rgb="FF000000"/>
      </right>
      <top style="hair">
        <color rgb="FF000000"/>
      </top>
      <bottom style="hair">
        <color rgb="FF000000"/>
      </bottom>
      <diagonal/>
    </border>
    <border>
      <left/>
      <right style="dotted">
        <color rgb="FF000000"/>
      </right>
      <top style="hair">
        <color rgb="FF000000"/>
      </top>
      <bottom style="hair">
        <color rgb="FF000000"/>
      </bottom>
      <diagonal/>
    </border>
  </borders>
  <cellStyleXfs count="1">
    <xf numFmtId="0" fontId="0" fillId="0" borderId="0"/>
  </cellStyleXfs>
  <cellXfs count="189">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right"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2" xfId="0" applyFont="1" applyBorder="1" applyAlignment="1">
      <alignment vertical="center"/>
    </xf>
    <xf numFmtId="0" fontId="1" fillId="0" borderId="13" xfId="0" applyFont="1" applyBorder="1" applyAlignment="1">
      <alignment horizontal="center" vertical="center"/>
    </xf>
    <xf numFmtId="0" fontId="1" fillId="0" borderId="13" xfId="0" applyFont="1" applyBorder="1" applyAlignment="1">
      <alignment horizontal="right" vertical="center"/>
    </xf>
    <xf numFmtId="0" fontId="1" fillId="0" borderId="0" xfId="0" applyFont="1" applyAlignment="1">
      <alignment vertical="center" wrapText="1"/>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17"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6"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28"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5" fillId="0" borderId="35" xfId="0" applyNumberFormat="1" applyFont="1" applyBorder="1" applyAlignment="1">
      <alignment horizontal="center" vertical="center"/>
    </xf>
    <xf numFmtId="49" fontId="5" fillId="0" borderId="36" xfId="0" applyNumberFormat="1" applyFont="1" applyBorder="1" applyAlignment="1">
      <alignment horizontal="center" vertical="center"/>
    </xf>
    <xf numFmtId="49" fontId="5" fillId="0" borderId="37" xfId="0" applyNumberFormat="1" applyFont="1" applyBorder="1" applyAlignment="1">
      <alignment horizontal="center" vertical="center"/>
    </xf>
    <xf numFmtId="0" fontId="13" fillId="0" borderId="9" xfId="0" applyFont="1" applyBorder="1" applyAlignment="1">
      <alignment horizontal="center" vertical="center"/>
    </xf>
    <xf numFmtId="0" fontId="13" fillId="0" borderId="41" xfId="0" applyFont="1" applyBorder="1" applyAlignment="1">
      <alignment horizontal="center" vertical="center"/>
    </xf>
    <xf numFmtId="0" fontId="13" fillId="0" borderId="42" xfId="0" applyFont="1" applyBorder="1" applyAlignment="1">
      <alignment horizontal="center" vertical="center"/>
    </xf>
    <xf numFmtId="38" fontId="1" fillId="0" borderId="12" xfId="0" applyNumberFormat="1" applyFont="1" applyBorder="1" applyAlignment="1">
      <alignment vertical="center" shrinkToFit="1"/>
    </xf>
    <xf numFmtId="38" fontId="1" fillId="0" borderId="43" xfId="0" applyNumberFormat="1" applyFont="1" applyBorder="1" applyAlignment="1">
      <alignment vertical="center" shrinkToFit="1"/>
    </xf>
    <xf numFmtId="38" fontId="1" fillId="0" borderId="44" xfId="0" applyNumberFormat="1" applyFont="1" applyBorder="1" applyAlignment="1">
      <alignment vertical="center" shrinkToFit="1"/>
    </xf>
    <xf numFmtId="38" fontId="1" fillId="0" borderId="0" xfId="0" applyNumberFormat="1" applyFont="1" applyAlignment="1">
      <alignment vertical="center" shrinkToFit="1"/>
    </xf>
    <xf numFmtId="9" fontId="1" fillId="0" borderId="1" xfId="0" applyNumberFormat="1" applyFont="1" applyBorder="1" applyAlignment="1">
      <alignment vertical="center" shrinkToFit="1"/>
    </xf>
    <xf numFmtId="38" fontId="1" fillId="0" borderId="45" xfId="0" applyNumberFormat="1" applyFont="1" applyBorder="1" applyAlignment="1">
      <alignment vertical="center" shrinkToFit="1"/>
    </xf>
    <xf numFmtId="38" fontId="1" fillId="0" borderId="46" xfId="0" applyNumberFormat="1" applyFont="1" applyBorder="1" applyAlignment="1">
      <alignment vertical="center" shrinkToFit="1"/>
    </xf>
    <xf numFmtId="38" fontId="1" fillId="0" borderId="37" xfId="0" applyNumberFormat="1" applyFont="1" applyBorder="1" applyAlignment="1">
      <alignment vertical="center" shrinkToFit="1"/>
    </xf>
    <xf numFmtId="38" fontId="1" fillId="0" borderId="19" xfId="0" applyNumberFormat="1" applyFont="1" applyBorder="1" applyAlignment="1">
      <alignment vertical="center" shrinkToFit="1"/>
    </xf>
    <xf numFmtId="9" fontId="1" fillId="0" borderId="47" xfId="0" applyNumberFormat="1" applyFont="1" applyBorder="1" applyAlignment="1">
      <alignment vertical="center" shrinkToFit="1"/>
    </xf>
    <xf numFmtId="9" fontId="1" fillId="0" borderId="21" xfId="0" applyNumberFormat="1" applyFont="1" applyBorder="1" applyAlignment="1">
      <alignment vertical="center" shrinkToFit="1"/>
    </xf>
    <xf numFmtId="0" fontId="1" fillId="0" borderId="21" xfId="0" applyFont="1" applyBorder="1" applyAlignment="1">
      <alignment horizontal="left" vertical="center" shrinkToFit="1"/>
    </xf>
    <xf numFmtId="38" fontId="1" fillId="0" borderId="21"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20" xfId="0" applyNumberFormat="1" applyFont="1" applyBorder="1" applyAlignment="1">
      <alignment vertical="center" shrinkToFit="1"/>
    </xf>
    <xf numFmtId="0" fontId="1" fillId="0" borderId="48" xfId="0" applyFont="1" applyBorder="1" applyAlignment="1">
      <alignment horizontal="left" vertical="center" shrinkToFit="1"/>
    </xf>
    <xf numFmtId="38" fontId="1" fillId="0" borderId="39" xfId="0" applyNumberFormat="1" applyFont="1" applyBorder="1" applyAlignment="1">
      <alignment vertical="center" shrinkToFit="1"/>
    </xf>
    <xf numFmtId="38" fontId="1" fillId="0" borderId="5" xfId="0" applyNumberFormat="1" applyFont="1" applyBorder="1" applyAlignment="1">
      <alignment vertical="center" shrinkToFit="1"/>
    </xf>
    <xf numFmtId="38" fontId="1" fillId="0" borderId="49" xfId="0" applyNumberFormat="1" applyFont="1" applyBorder="1" applyAlignment="1">
      <alignment vertical="center" shrinkToFit="1"/>
    </xf>
    <xf numFmtId="38" fontId="1" fillId="0" borderId="50" xfId="0" applyNumberFormat="1" applyFont="1" applyBorder="1" applyAlignment="1">
      <alignment vertical="center" shrinkToFit="1"/>
    </xf>
    <xf numFmtId="9" fontId="1" fillId="0" borderId="5" xfId="0" applyNumberFormat="1" applyFont="1" applyBorder="1" applyAlignment="1">
      <alignment vertical="center" shrinkToFit="1"/>
    </xf>
    <xf numFmtId="0" fontId="1" fillId="0" borderId="51" xfId="0" applyFont="1" applyBorder="1" applyAlignment="1">
      <alignment horizontal="center" vertical="center" shrinkToFit="1"/>
    </xf>
    <xf numFmtId="38" fontId="1" fillId="0" borderId="51" xfId="0" applyNumberFormat="1" applyFont="1" applyBorder="1" applyAlignment="1">
      <alignment vertical="center" shrinkToFit="1"/>
    </xf>
    <xf numFmtId="38" fontId="1" fillId="0" borderId="52" xfId="0" applyNumberFormat="1" applyFont="1" applyBorder="1" applyAlignment="1">
      <alignment vertical="center" shrinkToFit="1"/>
    </xf>
    <xf numFmtId="38" fontId="1" fillId="0" borderId="53" xfId="0" applyNumberFormat="1" applyFont="1" applyBorder="1" applyAlignment="1">
      <alignment vertical="center" shrinkToFit="1"/>
    </xf>
    <xf numFmtId="38" fontId="1" fillId="0" borderId="54" xfId="0" applyNumberFormat="1" applyFont="1" applyBorder="1" applyAlignment="1">
      <alignment vertical="center" shrinkToFit="1"/>
    </xf>
    <xf numFmtId="38" fontId="1" fillId="0" borderId="55" xfId="0" applyNumberFormat="1" applyFont="1" applyBorder="1" applyAlignment="1">
      <alignment vertical="center" shrinkToFit="1"/>
    </xf>
    <xf numFmtId="9" fontId="1" fillId="0" borderId="56" xfId="0" applyNumberFormat="1" applyFont="1" applyBorder="1" applyAlignment="1">
      <alignment vertical="center" shrinkToFit="1"/>
    </xf>
    <xf numFmtId="0" fontId="5"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top" wrapText="1"/>
    </xf>
    <xf numFmtId="0" fontId="1" fillId="0" borderId="1" xfId="0"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5" fillId="0" borderId="0" xfId="0" applyFont="1" applyAlignment="1">
      <alignment vertical="center" wrapText="1"/>
    </xf>
    <xf numFmtId="0" fontId="1" fillId="0" borderId="1" xfId="0" applyFont="1" applyBorder="1" applyAlignment="1">
      <alignment horizontal="left" vertical="center"/>
    </xf>
    <xf numFmtId="0" fontId="1" fillId="3" borderId="60" xfId="0" applyFont="1" applyFill="1" applyBorder="1" applyAlignment="1">
      <alignment vertical="center"/>
    </xf>
    <xf numFmtId="0" fontId="5" fillId="3" borderId="13" xfId="0" applyFont="1" applyFill="1" applyBorder="1" applyAlignment="1">
      <alignment vertical="top" wrapText="1"/>
    </xf>
    <xf numFmtId="0" fontId="5" fillId="3" borderId="61" xfId="0" applyFont="1" applyFill="1" applyBorder="1" applyAlignment="1">
      <alignment vertical="top" wrapText="1"/>
    </xf>
    <xf numFmtId="0" fontId="1" fillId="3" borderId="13" xfId="0" applyFont="1" applyFill="1" applyBorder="1" applyAlignment="1">
      <alignment vertical="center"/>
    </xf>
    <xf numFmtId="0" fontId="5" fillId="3" borderId="60" xfId="0" applyFont="1" applyFill="1" applyBorder="1" applyAlignment="1">
      <alignment vertical="top" wrapText="1"/>
    </xf>
    <xf numFmtId="0" fontId="5" fillId="3" borderId="63" xfId="0" applyFont="1" applyFill="1" applyBorder="1" applyAlignment="1">
      <alignment vertical="top" wrapText="1"/>
    </xf>
    <xf numFmtId="0" fontId="5" fillId="3" borderId="65" xfId="0" applyFont="1" applyFill="1" applyBorder="1" applyAlignment="1">
      <alignment vertical="top" wrapText="1"/>
    </xf>
    <xf numFmtId="0" fontId="5" fillId="3" borderId="66" xfId="0" applyFont="1" applyFill="1" applyBorder="1" applyAlignment="1">
      <alignment vertical="top" wrapText="1"/>
    </xf>
    <xf numFmtId="0" fontId="5" fillId="3" borderId="65" xfId="0" applyFont="1" applyFill="1" applyBorder="1" applyAlignment="1">
      <alignment vertical="top" shrinkToFit="1"/>
    </xf>
    <xf numFmtId="0" fontId="5" fillId="3" borderId="66" xfId="0" applyFont="1" applyFill="1" applyBorder="1" applyAlignment="1">
      <alignment vertical="top" shrinkToFit="1"/>
    </xf>
    <xf numFmtId="0" fontId="1" fillId="0" borderId="18" xfId="0" applyFont="1" applyBorder="1" applyAlignment="1">
      <alignment vertical="center" shrinkToFit="1"/>
    </xf>
    <xf numFmtId="0" fontId="3" fillId="0" borderId="19" xfId="0" applyFont="1" applyBorder="1" applyAlignment="1">
      <alignment vertical="center"/>
    </xf>
    <xf numFmtId="0" fontId="3" fillId="0" borderId="20" xfId="0" applyFont="1" applyBorder="1" applyAlignment="1">
      <alignment vertical="center"/>
    </xf>
    <xf numFmtId="0" fontId="1" fillId="0" borderId="22" xfId="0" applyFont="1" applyBorder="1" applyAlignment="1">
      <alignment vertical="center" shrinkToFit="1"/>
    </xf>
    <xf numFmtId="0" fontId="3" fillId="0" borderId="23" xfId="0" applyFont="1" applyBorder="1" applyAlignment="1">
      <alignment vertical="center"/>
    </xf>
    <xf numFmtId="0" fontId="3" fillId="0" borderId="24" xfId="0" applyFont="1" applyBorder="1"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14" xfId="0" applyFont="1" applyBorder="1" applyAlignment="1">
      <alignment vertical="center" shrinkToFit="1"/>
    </xf>
    <xf numFmtId="0" fontId="3" fillId="0" borderId="15" xfId="0" applyFont="1" applyBorder="1" applyAlignment="1">
      <alignment vertical="center"/>
    </xf>
    <xf numFmtId="0" fontId="3" fillId="0" borderId="16" xfId="0" applyFont="1" applyBorder="1" applyAlignment="1">
      <alignment vertical="center"/>
    </xf>
    <xf numFmtId="0" fontId="1" fillId="0" borderId="0" xfId="0" applyFont="1" applyAlignment="1">
      <alignment vertical="center" wrapText="1"/>
    </xf>
    <xf numFmtId="0" fontId="0" fillId="0" borderId="0" xfId="0" applyAlignment="1">
      <alignment vertical="center"/>
    </xf>
    <xf numFmtId="0" fontId="1" fillId="0" borderId="0" xfId="0" applyFont="1" applyAlignment="1">
      <alignment horizontal="right" vertical="center"/>
    </xf>
    <xf numFmtId="0" fontId="4" fillId="0" borderId="0" xfId="0" applyFont="1" applyAlignment="1">
      <alignment horizontal="center" vertical="center"/>
    </xf>
    <xf numFmtId="0" fontId="2" fillId="0" borderId="2" xfId="0" applyFont="1" applyBorder="1" applyAlignment="1">
      <alignment horizontal="center" vertical="center"/>
    </xf>
    <xf numFmtId="0" fontId="1" fillId="0" borderId="6" xfId="0" applyFont="1" applyBorder="1" applyAlignment="1">
      <alignment horizontal="left" vertical="center" wrapText="1"/>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1" fillId="0" borderId="6" xfId="0" applyFont="1" applyBorder="1" applyAlignment="1">
      <alignment horizontal="left" vertical="top" wrapText="1"/>
    </xf>
    <xf numFmtId="0" fontId="3" fillId="0" borderId="12" xfId="0" applyFont="1" applyBorder="1" applyAlignment="1">
      <alignment vertical="center"/>
    </xf>
    <xf numFmtId="0" fontId="3" fillId="0" borderId="5" xfId="0" applyFont="1" applyBorder="1" applyAlignment="1">
      <alignment vertical="center"/>
    </xf>
    <xf numFmtId="0" fontId="2" fillId="0" borderId="2" xfId="0" applyFont="1" applyBorder="1" applyAlignment="1">
      <alignment horizontal="center" vertical="center" shrinkToFit="1"/>
    </xf>
    <xf numFmtId="0" fontId="1" fillId="0" borderId="14" xfId="0" applyFont="1" applyBorder="1" applyAlignment="1">
      <alignment horizontal="center" vertical="center" shrinkToFit="1"/>
    </xf>
    <xf numFmtId="0" fontId="5" fillId="0" borderId="27" xfId="0" applyFont="1" applyBorder="1" applyAlignment="1">
      <alignment vertical="center" wrapText="1"/>
    </xf>
    <xf numFmtId="0" fontId="3" fillId="0" borderId="34" xfId="0" applyFont="1" applyBorder="1" applyAlignment="1">
      <alignment vertical="center"/>
    </xf>
    <xf numFmtId="0" fontId="3" fillId="0" borderId="29" xfId="0" applyFont="1" applyBorder="1" applyAlignment="1">
      <alignment vertical="center"/>
    </xf>
    <xf numFmtId="0" fontId="7" fillId="0" borderId="15" xfId="0" applyFont="1" applyBorder="1" applyAlignment="1">
      <alignment horizontal="left" vertical="center" wrapText="1"/>
    </xf>
    <xf numFmtId="0" fontId="8" fillId="0" borderId="10" xfId="0" applyFont="1" applyBorder="1" applyAlignment="1">
      <alignment horizontal="left" vertical="center" wrapText="1"/>
    </xf>
    <xf numFmtId="0" fontId="10" fillId="0" borderId="7" xfId="0" applyFont="1" applyBorder="1" applyAlignment="1">
      <alignment horizontal="left" vertical="center" wrapText="1"/>
    </xf>
    <xf numFmtId="0" fontId="8" fillId="0" borderId="23" xfId="0" applyFont="1" applyBorder="1" applyAlignment="1">
      <alignment horizontal="left" vertical="center" wrapText="1"/>
    </xf>
    <xf numFmtId="0" fontId="11" fillId="0" borderId="15" xfId="0" applyFont="1" applyBorder="1" applyAlignment="1">
      <alignment vertical="center" wrapText="1"/>
    </xf>
    <xf numFmtId="0" fontId="7" fillId="0" borderId="18" xfId="0" applyFont="1" applyBorder="1" applyAlignment="1">
      <alignment vertical="center" wrapText="1"/>
    </xf>
    <xf numFmtId="0" fontId="7" fillId="0" borderId="10" xfId="0" applyFont="1" applyBorder="1" applyAlignment="1">
      <alignment vertical="center" wrapText="1"/>
    </xf>
    <xf numFmtId="0" fontId="1" fillId="0" borderId="18" xfId="0" applyFont="1" applyBorder="1" applyAlignment="1">
      <alignment horizontal="center" vertical="center" shrinkToFit="1"/>
    </xf>
    <xf numFmtId="0" fontId="8" fillId="0" borderId="2" xfId="0" applyFont="1" applyBorder="1" applyAlignment="1">
      <alignment vertical="center" wrapText="1"/>
    </xf>
    <xf numFmtId="0" fontId="6" fillId="0" borderId="2" xfId="0" applyFont="1" applyBorder="1" applyAlignment="1">
      <alignment horizontal="center" vertical="center" shrinkToFit="1"/>
    </xf>
    <xf numFmtId="0" fontId="1" fillId="0" borderId="3" xfId="0" applyFont="1" applyBorder="1" applyAlignment="1">
      <alignment horizontal="center" vertical="center"/>
    </xf>
    <xf numFmtId="0" fontId="7" fillId="0" borderId="7" xfId="0" applyFont="1" applyBorder="1" applyAlignment="1">
      <alignment horizontal="left" vertical="center" wrapText="1"/>
    </xf>
    <xf numFmtId="0" fontId="8" fillId="0" borderId="31" xfId="0" applyFont="1" applyBorder="1" applyAlignment="1">
      <alignment horizontal="left" vertical="center" wrapText="1"/>
    </xf>
    <xf numFmtId="0" fontId="3" fillId="0" borderId="31" xfId="0" applyFont="1" applyBorder="1" applyAlignment="1">
      <alignment vertical="center"/>
    </xf>
    <xf numFmtId="0" fontId="3" fillId="0" borderId="32" xfId="0" applyFont="1" applyBorder="1" applyAlignment="1">
      <alignment vertical="center"/>
    </xf>
    <xf numFmtId="0" fontId="10" fillId="0" borderId="15" xfId="0" applyFont="1" applyBorder="1" applyAlignment="1">
      <alignment horizontal="left" vertical="center" wrapText="1"/>
    </xf>
    <xf numFmtId="0" fontId="9" fillId="0" borderId="23" xfId="0" applyFont="1" applyBorder="1" applyAlignment="1">
      <alignment horizontal="left" vertical="center" wrapText="1"/>
    </xf>
    <xf numFmtId="0" fontId="1" fillId="0" borderId="6" xfId="0" applyFont="1" applyBorder="1" applyAlignment="1">
      <alignment horizontal="center" vertical="center"/>
    </xf>
    <xf numFmtId="0" fontId="1" fillId="0" borderId="22" xfId="0" applyFont="1" applyBorder="1" applyAlignment="1">
      <alignment horizontal="center" vertical="center" shrinkToFit="1"/>
    </xf>
    <xf numFmtId="0" fontId="1" fillId="0" borderId="14" xfId="0" applyFont="1" applyBorder="1" applyAlignment="1">
      <alignment horizontal="center" vertical="center"/>
    </xf>
    <xf numFmtId="0" fontId="2" fillId="0" borderId="40" xfId="0" applyFont="1" applyBorder="1" applyAlignment="1">
      <alignment horizontal="center" vertical="center"/>
    </xf>
    <xf numFmtId="0" fontId="1" fillId="0" borderId="2" xfId="0" applyFont="1" applyBorder="1" applyAlignment="1">
      <alignment horizontal="center" vertical="center" shrinkToFit="1"/>
    </xf>
    <xf numFmtId="0" fontId="1" fillId="0" borderId="38" xfId="0" applyFont="1" applyBorder="1" applyAlignment="1">
      <alignment horizontal="center" vertical="center"/>
    </xf>
    <xf numFmtId="0" fontId="3" fillId="0" borderId="39" xfId="0" applyFont="1" applyBorder="1" applyAlignment="1">
      <alignment vertical="center"/>
    </xf>
    <xf numFmtId="0" fontId="3" fillId="0" borderId="25" xfId="0" applyFont="1" applyBorder="1" applyAlignment="1">
      <alignment vertical="center"/>
    </xf>
    <xf numFmtId="0" fontId="6" fillId="0" borderId="38" xfId="0" applyFont="1" applyBorder="1" applyAlignment="1">
      <alignment horizontal="center" vertical="center" wrapText="1"/>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12" fillId="0" borderId="38" xfId="0" applyFont="1" applyBorder="1" applyAlignment="1">
      <alignment horizontal="center" vertical="center" wrapText="1"/>
    </xf>
    <xf numFmtId="0" fontId="6" fillId="0" borderId="8"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left" vertical="center"/>
    </xf>
    <xf numFmtId="0" fontId="1" fillId="2" borderId="2" xfId="0" applyFont="1" applyFill="1" applyBorder="1" applyAlignment="1">
      <alignment horizontal="left" vertical="center"/>
    </xf>
    <xf numFmtId="0" fontId="1" fillId="0" borderId="2" xfId="0" applyFont="1" applyFill="1" applyBorder="1" applyAlignment="1">
      <alignment horizontal="left" vertical="center" shrinkToFit="1"/>
    </xf>
    <xf numFmtId="0" fontId="3" fillId="0" borderId="3" xfId="0" applyFont="1" applyFill="1" applyBorder="1" applyAlignment="1">
      <alignment vertical="center" shrinkToFit="1"/>
    </xf>
    <xf numFmtId="0" fontId="3" fillId="0" borderId="4" xfId="0" applyFont="1" applyFill="1" applyBorder="1" applyAlignment="1">
      <alignment vertical="center" shrinkToFit="1"/>
    </xf>
    <xf numFmtId="0" fontId="1" fillId="3" borderId="57" xfId="0" applyFont="1" applyFill="1" applyBorder="1" applyAlignment="1">
      <alignment horizontal="center" vertical="center" shrinkToFit="1"/>
    </xf>
    <xf numFmtId="0" fontId="3" fillId="0" borderId="58" xfId="0" applyFont="1" applyBorder="1" applyAlignment="1">
      <alignment vertical="center"/>
    </xf>
    <xf numFmtId="0" fontId="3" fillId="0" borderId="59" xfId="0" applyFont="1" applyBorder="1" applyAlignment="1">
      <alignment vertical="center"/>
    </xf>
    <xf numFmtId="0" fontId="1" fillId="0" borderId="2" xfId="0" applyFont="1" applyBorder="1" applyAlignment="1">
      <alignment vertical="center" shrinkToFit="1"/>
    </xf>
    <xf numFmtId="0" fontId="1" fillId="0" borderId="6" xfId="0" applyFont="1" applyBorder="1" applyAlignment="1">
      <alignment vertical="top" wrapText="1"/>
    </xf>
    <xf numFmtId="0" fontId="1" fillId="0" borderId="6" xfId="0" applyFont="1" applyBorder="1" applyAlignment="1">
      <alignment vertical="top" wrapText="1" shrinkToFit="1"/>
    </xf>
    <xf numFmtId="9" fontId="1" fillId="0" borderId="2" xfId="0" applyNumberFormat="1" applyFont="1" applyBorder="1" applyAlignment="1">
      <alignment horizontal="center" vertical="center" shrinkToFit="1"/>
    </xf>
    <xf numFmtId="0" fontId="1" fillId="0" borderId="0" xfId="0" applyFont="1" applyAlignment="1">
      <alignment vertical="center"/>
    </xf>
    <xf numFmtId="0" fontId="1" fillId="0" borderId="64" xfId="0" applyFont="1" applyBorder="1" applyAlignment="1">
      <alignment vertical="center" wrapText="1"/>
    </xf>
    <xf numFmtId="0" fontId="1" fillId="0" borderId="67" xfId="0" applyFont="1" applyBorder="1" applyAlignment="1">
      <alignment vertical="center" wrapText="1"/>
    </xf>
    <xf numFmtId="0" fontId="3" fillId="0" borderId="68" xfId="0" applyFont="1" applyBorder="1" applyAlignment="1">
      <alignment vertical="center"/>
    </xf>
    <xf numFmtId="0" fontId="3" fillId="0" borderId="69" xfId="0" applyFont="1" applyBorder="1" applyAlignment="1">
      <alignment vertical="center"/>
    </xf>
    <xf numFmtId="0" fontId="1" fillId="0" borderId="9" xfId="0" applyFont="1" applyBorder="1" applyAlignment="1">
      <alignment vertical="center" wrapText="1"/>
    </xf>
    <xf numFmtId="0" fontId="8" fillId="0" borderId="18" xfId="0" applyFont="1" applyFill="1" applyBorder="1" applyAlignment="1">
      <alignment vertical="top" wrapText="1"/>
    </xf>
    <xf numFmtId="0" fontId="3" fillId="0" borderId="19" xfId="0" applyFont="1" applyFill="1" applyBorder="1" applyAlignment="1">
      <alignment vertical="center"/>
    </xf>
    <xf numFmtId="0" fontId="3" fillId="0" borderId="20" xfId="0" applyFont="1" applyFill="1" applyBorder="1" applyAlignment="1">
      <alignment vertical="center"/>
    </xf>
    <xf numFmtId="0" fontId="1" fillId="0" borderId="18" xfId="0" applyFont="1" applyBorder="1" applyAlignment="1">
      <alignment vertical="top" wrapText="1"/>
    </xf>
    <xf numFmtId="0" fontId="1" fillId="0" borderId="22" xfId="0" applyFont="1" applyBorder="1" applyAlignment="1">
      <alignment vertical="top" wrapText="1"/>
    </xf>
    <xf numFmtId="0" fontId="1" fillId="0" borderId="19" xfId="0" applyFont="1" applyBorder="1" applyAlignment="1">
      <alignment vertical="top" wrapText="1"/>
    </xf>
    <xf numFmtId="0" fontId="1" fillId="0" borderId="23" xfId="0" applyFont="1" applyBorder="1" applyAlignment="1">
      <alignment vertical="top" wrapText="1"/>
    </xf>
    <xf numFmtId="0" fontId="1" fillId="0" borderId="68" xfId="0" applyFont="1" applyBorder="1" applyAlignment="1">
      <alignment vertical="top" wrapText="1"/>
    </xf>
    <xf numFmtId="0" fontId="1" fillId="0" borderId="10" xfId="0" applyFont="1" applyBorder="1" applyAlignment="1">
      <alignment vertical="top" wrapText="1"/>
    </xf>
    <xf numFmtId="0" fontId="1" fillId="0" borderId="62" xfId="0" applyFont="1" applyBorder="1" applyAlignment="1">
      <alignment vertical="center" wrapText="1"/>
    </xf>
    <xf numFmtId="0" fontId="8" fillId="0" borderId="18" xfId="0" applyFont="1" applyBorder="1" applyAlignment="1">
      <alignment vertical="top" wrapText="1"/>
    </xf>
    <xf numFmtId="0" fontId="1" fillId="0" borderId="62" xfId="0" applyFont="1" applyBorder="1" applyAlignment="1">
      <alignment vertical="center"/>
    </xf>
    <xf numFmtId="0" fontId="14" fillId="0" borderId="17" xfId="0" applyFont="1" applyBorder="1" applyAlignment="1">
      <alignment horizontal="left" vertical="center"/>
    </xf>
    <xf numFmtId="38" fontId="14" fillId="0" borderId="17" xfId="0" applyNumberFormat="1" applyFont="1" applyBorder="1" applyAlignment="1">
      <alignment horizontal="right" vertical="center"/>
    </xf>
    <xf numFmtId="38" fontId="14" fillId="0" borderId="15" xfId="0" applyNumberFormat="1" applyFont="1" applyBorder="1" applyAlignment="1">
      <alignment horizontal="right" vertical="center"/>
    </xf>
    <xf numFmtId="38" fontId="14" fillId="0" borderId="14" xfId="0" applyNumberFormat="1" applyFont="1" applyBorder="1" applyAlignment="1">
      <alignment horizontal="right" vertical="center"/>
    </xf>
    <xf numFmtId="0" fontId="14" fillId="0" borderId="21" xfId="0" applyFont="1" applyBorder="1" applyAlignment="1">
      <alignment horizontal="left" vertical="center"/>
    </xf>
    <xf numFmtId="38" fontId="14" fillId="0" borderId="21" xfId="0" applyNumberFormat="1" applyFont="1" applyBorder="1" applyAlignment="1">
      <alignment horizontal="right" vertical="center"/>
    </xf>
    <xf numFmtId="38" fontId="14" fillId="0" borderId="19" xfId="0" applyNumberFormat="1" applyFont="1" applyBorder="1" applyAlignment="1">
      <alignment horizontal="right" vertical="center"/>
    </xf>
    <xf numFmtId="38" fontId="14" fillId="0" borderId="18" xfId="0" applyNumberFormat="1" applyFont="1" applyBorder="1" applyAlignment="1">
      <alignment horizontal="right" vertical="center"/>
    </xf>
    <xf numFmtId="38" fontId="14" fillId="0" borderId="70" xfId="0" applyNumberFormat="1" applyFont="1" applyBorder="1" applyAlignment="1">
      <alignment horizontal="right" vertical="center"/>
    </xf>
    <xf numFmtId="38" fontId="14" fillId="0" borderId="33" xfId="0" applyNumberFormat="1" applyFont="1" applyBorder="1" applyAlignment="1">
      <alignment horizontal="right" vertical="center"/>
    </xf>
    <xf numFmtId="38" fontId="14" fillId="0" borderId="37" xfId="0" applyNumberFormat="1" applyFont="1" applyBorder="1" applyAlignment="1">
      <alignment horizontal="right" vertical="center"/>
    </xf>
    <xf numFmtId="38" fontId="14" fillId="0" borderId="71" xfId="0" applyNumberFormat="1" applyFont="1" applyBorder="1" applyAlignment="1">
      <alignment horizontal="right" vertical="center"/>
    </xf>
    <xf numFmtId="38" fontId="14" fillId="0" borderId="72" xfId="0" applyNumberFormat="1" applyFont="1" applyBorder="1" applyAlignment="1">
      <alignment horizontal="right" vertical="center"/>
    </xf>
    <xf numFmtId="38" fontId="14" fillId="0" borderId="73" xfId="0" applyNumberFormat="1" applyFont="1" applyBorder="1" applyAlignment="1">
      <alignment horizontal="right" vertical="center"/>
    </xf>
    <xf numFmtId="38" fontId="14" fillId="0" borderId="74" xfId="0" applyNumberFormat="1" applyFont="1" applyBorder="1" applyAlignment="1">
      <alignment horizontal="right" vertical="center"/>
    </xf>
    <xf numFmtId="38" fontId="14" fillId="0" borderId="75" xfId="0" applyNumberFormat="1" applyFont="1" applyBorder="1" applyAlignment="1">
      <alignment horizontal="right" vertical="center"/>
    </xf>
  </cellXfs>
  <cellStyles count="1">
    <cellStyle name="標準" xfId="0" builtinId="0"/>
  </cellStyles>
  <dxfs count="2">
    <dxf>
      <fill>
        <patternFill patternType="none"/>
      </fill>
    </dxf>
    <dxf>
      <font>
        <color rgb="FFA5A5A5"/>
      </font>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view="pageBreakPreview" topLeftCell="A69" zoomScale="60" zoomScaleNormal="100" workbookViewId="0">
      <selection activeCell="D92" sqref="D92:S92"/>
    </sheetView>
  </sheetViews>
  <sheetFormatPr defaultColWidth="14.42578125" defaultRowHeight="15" customHeight="1"/>
  <cols>
    <col min="1" max="1" width="2.42578125" customWidth="1"/>
    <col min="2" max="2" width="16.42578125" customWidth="1"/>
    <col min="3" max="19" width="5.7109375" customWidth="1"/>
    <col min="20" max="20" width="9" customWidth="1"/>
    <col min="21" max="21" width="3.7109375" customWidth="1"/>
    <col min="22" max="22" width="48.7109375" hidden="1" customWidth="1"/>
    <col min="23" max="26" width="9" customWidth="1"/>
  </cols>
  <sheetData>
    <row r="1" spans="1:26" ht="18" customHeight="1">
      <c r="A1" s="1"/>
      <c r="B1" s="1"/>
      <c r="C1" s="1"/>
      <c r="D1" s="1"/>
      <c r="E1" s="1"/>
      <c r="F1" s="1"/>
      <c r="G1" s="1"/>
      <c r="H1" s="1"/>
      <c r="I1" s="1"/>
      <c r="J1" s="1"/>
      <c r="K1" s="1"/>
      <c r="L1" s="1"/>
      <c r="M1" s="1"/>
      <c r="N1" s="1"/>
      <c r="O1" s="1"/>
      <c r="P1" s="1"/>
      <c r="Q1" s="1"/>
      <c r="R1" s="95" t="s">
        <v>0</v>
      </c>
      <c r="S1" s="94"/>
      <c r="T1" s="3" t="s">
        <v>1</v>
      </c>
      <c r="U1" s="1"/>
      <c r="V1" s="1"/>
      <c r="W1" s="1"/>
      <c r="X1" s="1"/>
      <c r="Y1" s="1"/>
      <c r="Z1" s="1"/>
    </row>
    <row r="2" spans="1:26" ht="18.75" customHeight="1">
      <c r="A2" s="1"/>
      <c r="B2" s="4" t="s">
        <v>2</v>
      </c>
      <c r="C2" s="87" t="s">
        <v>3</v>
      </c>
      <c r="D2" s="88"/>
      <c r="E2" s="88"/>
      <c r="F2" s="88"/>
      <c r="G2" s="88"/>
      <c r="H2" s="88"/>
      <c r="I2" s="89"/>
      <c r="J2" s="2"/>
      <c r="K2" s="5"/>
      <c r="L2" s="5"/>
      <c r="M2" s="5"/>
      <c r="N2" s="5"/>
      <c r="O2" s="5"/>
      <c r="P2" s="5"/>
      <c r="Q2" s="5"/>
      <c r="R2" s="5"/>
      <c r="S2" s="5"/>
      <c r="T2" s="1"/>
      <c r="U2" s="1"/>
      <c r="V2" s="1"/>
      <c r="W2" s="1"/>
      <c r="X2" s="1"/>
      <c r="Y2" s="1"/>
      <c r="Z2" s="1"/>
    </row>
    <row r="3" spans="1:26" ht="18.75" customHeight="1">
      <c r="A3" s="1"/>
      <c r="B3" s="4" t="s">
        <v>4</v>
      </c>
      <c r="C3" s="87" t="s">
        <v>5</v>
      </c>
      <c r="D3" s="88"/>
      <c r="E3" s="88"/>
      <c r="F3" s="88"/>
      <c r="G3" s="88"/>
      <c r="H3" s="88"/>
      <c r="I3" s="89"/>
      <c r="J3" s="2"/>
      <c r="K3" s="5"/>
      <c r="L3" s="5"/>
      <c r="M3" s="5"/>
      <c r="N3" s="5"/>
      <c r="O3" s="5"/>
      <c r="P3" s="5"/>
      <c r="Q3" s="5"/>
      <c r="R3" s="5"/>
      <c r="S3" s="5"/>
      <c r="T3" s="1"/>
      <c r="U3" s="1"/>
      <c r="V3" s="1"/>
      <c r="W3" s="1"/>
      <c r="X3" s="1"/>
      <c r="Y3" s="1"/>
      <c r="Z3" s="1"/>
    </row>
    <row r="4" spans="1:26" ht="15" customHeight="1">
      <c r="A4" s="1"/>
      <c r="B4" s="1"/>
      <c r="C4" s="1"/>
      <c r="D4" s="1"/>
      <c r="E4" s="1"/>
      <c r="F4" s="1"/>
      <c r="G4" s="1"/>
      <c r="H4" s="1"/>
      <c r="I4" s="1"/>
      <c r="J4" s="1"/>
      <c r="K4" s="2"/>
      <c r="L4" s="6"/>
      <c r="M4" s="6"/>
      <c r="N4" s="6"/>
      <c r="O4" s="6"/>
      <c r="P4" s="6"/>
      <c r="Q4" s="6"/>
      <c r="R4" s="6"/>
      <c r="S4" s="6"/>
      <c r="T4" s="1"/>
      <c r="U4" s="1"/>
      <c r="V4" s="1"/>
      <c r="W4" s="1"/>
      <c r="X4" s="1"/>
      <c r="Y4" s="1"/>
      <c r="Z4" s="1"/>
    </row>
    <row r="5" spans="1:26" ht="18" customHeight="1">
      <c r="A5" s="96" t="s">
        <v>6</v>
      </c>
      <c r="B5" s="94"/>
      <c r="C5" s="94"/>
      <c r="D5" s="94"/>
      <c r="E5" s="94"/>
      <c r="F5" s="94"/>
      <c r="G5" s="94"/>
      <c r="H5" s="94"/>
      <c r="I5" s="94"/>
      <c r="J5" s="94"/>
      <c r="K5" s="94"/>
      <c r="L5" s="94"/>
      <c r="M5" s="94"/>
      <c r="N5" s="94"/>
      <c r="O5" s="94"/>
      <c r="P5" s="94"/>
      <c r="Q5" s="94"/>
      <c r="R5" s="94"/>
      <c r="S5" s="94"/>
      <c r="T5" s="1"/>
      <c r="U5" s="1"/>
      <c r="V5" s="1"/>
      <c r="W5" s="1"/>
      <c r="X5" s="1"/>
      <c r="Y5" s="1"/>
      <c r="Z5" s="1"/>
    </row>
    <row r="6" spans="1:26" ht="15" customHeight="1">
      <c r="A6" s="1"/>
      <c r="B6" s="8"/>
      <c r="C6" s="8"/>
      <c r="D6" s="8"/>
      <c r="E6" s="8"/>
      <c r="F6" s="8"/>
      <c r="G6" s="8"/>
      <c r="H6" s="8"/>
      <c r="I6" s="8"/>
      <c r="J6" s="8"/>
      <c r="K6" s="8"/>
      <c r="L6" s="8"/>
      <c r="M6" s="8"/>
      <c r="N6" s="8"/>
      <c r="O6" s="8"/>
      <c r="P6" s="8"/>
      <c r="Q6" s="8"/>
      <c r="R6" s="8"/>
      <c r="S6" s="8"/>
      <c r="T6" s="1"/>
      <c r="U6" s="1"/>
      <c r="V6" s="1"/>
      <c r="W6" s="1"/>
      <c r="X6" s="1"/>
      <c r="Y6" s="1"/>
      <c r="Z6" s="1"/>
    </row>
    <row r="7" spans="1:26" ht="18" customHeight="1">
      <c r="A7" s="1" t="s">
        <v>7</v>
      </c>
      <c r="B7" s="1"/>
      <c r="C7" s="8"/>
      <c r="D7" s="1"/>
      <c r="E7" s="1"/>
      <c r="F7" s="1"/>
      <c r="G7" s="1"/>
      <c r="H7" s="1"/>
      <c r="I7" s="1"/>
      <c r="J7" s="9" t="s">
        <v>8</v>
      </c>
      <c r="K7" s="97" t="s">
        <v>9</v>
      </c>
      <c r="L7" s="88"/>
      <c r="M7" s="88"/>
      <c r="N7" s="88"/>
      <c r="O7" s="88"/>
      <c r="P7" s="88"/>
      <c r="Q7" s="88"/>
      <c r="R7" s="88"/>
      <c r="S7" s="89"/>
      <c r="T7" s="1"/>
      <c r="U7" s="1"/>
      <c r="V7" s="1"/>
      <c r="W7" s="1"/>
      <c r="X7" s="1"/>
      <c r="Y7" s="1"/>
      <c r="Z7" s="1"/>
    </row>
    <row r="8" spans="1:26" ht="6" customHeight="1">
      <c r="A8" s="1"/>
      <c r="B8" s="8"/>
      <c r="C8" s="8"/>
      <c r="D8" s="8"/>
      <c r="E8" s="8"/>
      <c r="F8" s="8"/>
      <c r="G8" s="8"/>
      <c r="H8" s="8"/>
      <c r="I8" s="8"/>
      <c r="J8" s="8"/>
      <c r="K8" s="10"/>
      <c r="L8" s="8"/>
      <c r="M8" s="8"/>
      <c r="N8" s="8"/>
      <c r="O8" s="8"/>
      <c r="P8" s="8"/>
      <c r="Q8" s="8"/>
      <c r="R8" s="8"/>
      <c r="S8" s="8"/>
      <c r="T8" s="1"/>
      <c r="U8" s="1"/>
      <c r="V8" s="1"/>
      <c r="W8" s="1"/>
      <c r="X8" s="1"/>
      <c r="Y8" s="1"/>
      <c r="Z8" s="1"/>
    </row>
    <row r="9" spans="1:26" ht="18" customHeight="1">
      <c r="A9" s="1"/>
      <c r="B9" s="98" t="s">
        <v>10</v>
      </c>
      <c r="C9" s="99"/>
      <c r="D9" s="99"/>
      <c r="E9" s="99"/>
      <c r="F9" s="99"/>
      <c r="G9" s="99"/>
      <c r="H9" s="99"/>
      <c r="I9" s="99"/>
      <c r="J9" s="99"/>
      <c r="K9" s="99"/>
      <c r="L9" s="99"/>
      <c r="M9" s="99"/>
      <c r="N9" s="99"/>
      <c r="O9" s="99"/>
      <c r="P9" s="99"/>
      <c r="Q9" s="99"/>
      <c r="R9" s="99"/>
      <c r="S9" s="100"/>
      <c r="T9" s="1"/>
      <c r="U9" s="1"/>
      <c r="V9" s="1"/>
      <c r="W9" s="1"/>
      <c r="X9" s="1"/>
      <c r="Y9" s="1"/>
      <c r="Z9" s="1"/>
    </row>
    <row r="10" spans="1:26" ht="18" customHeight="1">
      <c r="A10" s="1"/>
      <c r="B10" s="101"/>
      <c r="C10" s="102"/>
      <c r="D10" s="102"/>
      <c r="E10" s="102"/>
      <c r="F10" s="102"/>
      <c r="G10" s="102"/>
      <c r="H10" s="102"/>
      <c r="I10" s="102"/>
      <c r="J10" s="102"/>
      <c r="K10" s="102"/>
      <c r="L10" s="102"/>
      <c r="M10" s="102"/>
      <c r="N10" s="102"/>
      <c r="O10" s="102"/>
      <c r="P10" s="102"/>
      <c r="Q10" s="102"/>
      <c r="R10" s="102"/>
      <c r="S10" s="103"/>
      <c r="T10" s="1"/>
      <c r="U10" s="1"/>
      <c r="V10" s="1"/>
      <c r="W10" s="1"/>
      <c r="X10" s="1"/>
      <c r="Y10" s="1"/>
      <c r="Z10" s="1"/>
    </row>
    <row r="11" spans="1:26" ht="6" customHeight="1">
      <c r="A11" s="1"/>
      <c r="B11" s="8"/>
      <c r="C11" s="8"/>
      <c r="D11" s="8"/>
      <c r="E11" s="8"/>
      <c r="F11" s="8"/>
      <c r="G11" s="8"/>
      <c r="H11" s="8"/>
      <c r="I11" s="8"/>
      <c r="J11" s="8"/>
      <c r="K11" s="10"/>
      <c r="L11" s="8"/>
      <c r="M11" s="8"/>
      <c r="N11" s="8"/>
      <c r="O11" s="8"/>
      <c r="P11" s="8"/>
      <c r="Q11" s="8"/>
      <c r="R11" s="8"/>
      <c r="S11" s="8"/>
      <c r="T11" s="1"/>
      <c r="U11" s="1"/>
      <c r="V11" s="1"/>
      <c r="W11" s="1"/>
      <c r="X11" s="1"/>
      <c r="Y11" s="1"/>
      <c r="Z11" s="1"/>
    </row>
    <row r="12" spans="1:26" ht="18" customHeight="1">
      <c r="A12" s="1" t="s">
        <v>11</v>
      </c>
      <c r="B12" s="8"/>
      <c r="C12" s="8"/>
      <c r="D12" s="2"/>
      <c r="E12" s="2"/>
      <c r="F12" s="2"/>
      <c r="G12" s="2"/>
      <c r="H12" s="2"/>
      <c r="I12" s="2"/>
      <c r="J12" s="2"/>
      <c r="K12" s="11"/>
      <c r="L12" s="11"/>
      <c r="M12" s="11"/>
      <c r="N12" s="11"/>
      <c r="O12" s="11"/>
      <c r="P12" s="11"/>
      <c r="Q12" s="11"/>
      <c r="R12" s="11"/>
      <c r="S12" s="11"/>
      <c r="T12" s="1"/>
      <c r="U12" s="1"/>
      <c r="V12" s="1"/>
      <c r="W12" s="1"/>
      <c r="X12" s="1"/>
      <c r="Y12" s="1"/>
      <c r="Z12" s="1"/>
    </row>
    <row r="13" spans="1:26" ht="18" customHeight="1">
      <c r="A13" s="1"/>
      <c r="B13" s="104" t="s">
        <v>12</v>
      </c>
      <c r="C13" s="99"/>
      <c r="D13" s="99"/>
      <c r="E13" s="99"/>
      <c r="F13" s="99"/>
      <c r="G13" s="99"/>
      <c r="H13" s="99"/>
      <c r="I13" s="99"/>
      <c r="J13" s="99"/>
      <c r="K13" s="99"/>
      <c r="L13" s="99"/>
      <c r="M13" s="99"/>
      <c r="N13" s="99"/>
      <c r="O13" s="99"/>
      <c r="P13" s="99"/>
      <c r="Q13" s="99"/>
      <c r="R13" s="99"/>
      <c r="S13" s="100"/>
      <c r="T13" s="1"/>
      <c r="U13" s="1"/>
      <c r="V13" s="1" t="s">
        <v>13</v>
      </c>
      <c r="W13" s="1"/>
      <c r="X13" s="1"/>
      <c r="Y13" s="1"/>
      <c r="Z13" s="1"/>
    </row>
    <row r="14" spans="1:26" ht="18" customHeight="1">
      <c r="A14" s="1"/>
      <c r="B14" s="105"/>
      <c r="C14" s="94"/>
      <c r="D14" s="94"/>
      <c r="E14" s="94"/>
      <c r="F14" s="94"/>
      <c r="G14" s="94"/>
      <c r="H14" s="94"/>
      <c r="I14" s="94"/>
      <c r="J14" s="94"/>
      <c r="K14" s="94"/>
      <c r="L14" s="94"/>
      <c r="M14" s="94"/>
      <c r="N14" s="94"/>
      <c r="O14" s="94"/>
      <c r="P14" s="94"/>
      <c r="Q14" s="94"/>
      <c r="R14" s="94"/>
      <c r="S14" s="106"/>
      <c r="T14" s="1"/>
      <c r="U14" s="1"/>
      <c r="V14" s="1" t="s">
        <v>14</v>
      </c>
      <c r="W14" s="1"/>
      <c r="X14" s="1"/>
      <c r="Y14" s="1"/>
      <c r="Z14" s="1"/>
    </row>
    <row r="15" spans="1:26" ht="18" customHeight="1">
      <c r="A15" s="1"/>
      <c r="B15" s="105"/>
      <c r="C15" s="94"/>
      <c r="D15" s="94"/>
      <c r="E15" s="94"/>
      <c r="F15" s="94"/>
      <c r="G15" s="94"/>
      <c r="H15" s="94"/>
      <c r="I15" s="94"/>
      <c r="J15" s="94"/>
      <c r="K15" s="94"/>
      <c r="L15" s="94"/>
      <c r="M15" s="94"/>
      <c r="N15" s="94"/>
      <c r="O15" s="94"/>
      <c r="P15" s="94"/>
      <c r="Q15" s="94"/>
      <c r="R15" s="94"/>
      <c r="S15" s="106"/>
      <c r="T15" s="1"/>
      <c r="U15" s="1"/>
      <c r="V15" s="1" t="s">
        <v>15</v>
      </c>
      <c r="W15" s="1"/>
      <c r="X15" s="1"/>
      <c r="Y15" s="1"/>
      <c r="Z15" s="1"/>
    </row>
    <row r="16" spans="1:26" ht="18" customHeight="1">
      <c r="A16" s="1"/>
      <c r="B16" s="105"/>
      <c r="C16" s="94"/>
      <c r="D16" s="94"/>
      <c r="E16" s="94"/>
      <c r="F16" s="94"/>
      <c r="G16" s="94"/>
      <c r="H16" s="94"/>
      <c r="I16" s="94"/>
      <c r="J16" s="94"/>
      <c r="K16" s="94"/>
      <c r="L16" s="94"/>
      <c r="M16" s="94"/>
      <c r="N16" s="94"/>
      <c r="O16" s="94"/>
      <c r="P16" s="94"/>
      <c r="Q16" s="94"/>
      <c r="R16" s="94"/>
      <c r="S16" s="106"/>
      <c r="T16" s="1"/>
      <c r="U16" s="1"/>
      <c r="V16" s="1" t="s">
        <v>16</v>
      </c>
      <c r="W16" s="1"/>
      <c r="X16" s="1"/>
      <c r="Y16" s="1"/>
      <c r="Z16" s="1"/>
    </row>
    <row r="17" spans="1:26" ht="18" customHeight="1">
      <c r="A17" s="1"/>
      <c r="B17" s="105"/>
      <c r="C17" s="94"/>
      <c r="D17" s="94"/>
      <c r="E17" s="94"/>
      <c r="F17" s="94"/>
      <c r="G17" s="94"/>
      <c r="H17" s="94"/>
      <c r="I17" s="94"/>
      <c r="J17" s="94"/>
      <c r="K17" s="94"/>
      <c r="L17" s="94"/>
      <c r="M17" s="94"/>
      <c r="N17" s="94"/>
      <c r="O17" s="94"/>
      <c r="P17" s="94"/>
      <c r="Q17" s="94"/>
      <c r="R17" s="94"/>
      <c r="S17" s="106"/>
      <c r="T17" s="1"/>
      <c r="U17" s="1"/>
      <c r="V17" s="1"/>
      <c r="W17" s="1"/>
      <c r="X17" s="1"/>
      <c r="Y17" s="1"/>
      <c r="Z17" s="1"/>
    </row>
    <row r="18" spans="1:26" ht="18" customHeight="1">
      <c r="A18" s="1"/>
      <c r="B18" s="101"/>
      <c r="C18" s="102"/>
      <c r="D18" s="102"/>
      <c r="E18" s="102"/>
      <c r="F18" s="102"/>
      <c r="G18" s="102"/>
      <c r="H18" s="102"/>
      <c r="I18" s="102"/>
      <c r="J18" s="102"/>
      <c r="K18" s="102"/>
      <c r="L18" s="102"/>
      <c r="M18" s="102"/>
      <c r="N18" s="102"/>
      <c r="O18" s="102"/>
      <c r="P18" s="102"/>
      <c r="Q18" s="102"/>
      <c r="R18" s="102"/>
      <c r="S18" s="103"/>
      <c r="T18" s="1"/>
      <c r="U18" s="1"/>
      <c r="V18" s="1"/>
      <c r="W18" s="1"/>
      <c r="X18" s="1"/>
      <c r="Y18" s="1"/>
      <c r="Z18" s="1"/>
    </row>
    <row r="19" spans="1:26" ht="7.5" customHeight="1">
      <c r="A19" s="1"/>
      <c r="B19" s="8"/>
      <c r="C19" s="8"/>
      <c r="D19" s="8"/>
      <c r="E19" s="8"/>
      <c r="F19" s="8"/>
      <c r="G19" s="8"/>
      <c r="H19" s="8"/>
      <c r="I19" s="8"/>
      <c r="J19" s="8"/>
      <c r="K19" s="8"/>
      <c r="L19" s="8"/>
      <c r="M19" s="8"/>
      <c r="N19" s="8"/>
      <c r="O19" s="8"/>
      <c r="P19" s="8"/>
      <c r="Q19" s="8"/>
      <c r="R19" s="8"/>
      <c r="S19" s="8"/>
      <c r="T19" s="1"/>
      <c r="U19" s="1"/>
      <c r="V19" s="1"/>
      <c r="W19" s="1"/>
      <c r="X19" s="1"/>
      <c r="Y19" s="1"/>
      <c r="Z19" s="1"/>
    </row>
    <row r="20" spans="1:26" ht="19.5" customHeight="1">
      <c r="A20" s="1"/>
      <c r="B20" s="1" t="s">
        <v>17</v>
      </c>
      <c r="C20" s="87">
        <v>2</v>
      </c>
      <c r="D20" s="89"/>
      <c r="E20" s="12" t="s">
        <v>18</v>
      </c>
      <c r="F20" s="1"/>
      <c r="G20" s="10"/>
      <c r="H20" s="13"/>
      <c r="I20" s="13"/>
      <c r="J20" s="14" t="s">
        <v>19</v>
      </c>
      <c r="K20" s="107" t="s">
        <v>16</v>
      </c>
      <c r="L20" s="88"/>
      <c r="M20" s="88"/>
      <c r="N20" s="88"/>
      <c r="O20" s="88"/>
      <c r="P20" s="88"/>
      <c r="Q20" s="88"/>
      <c r="R20" s="88"/>
      <c r="S20" s="89"/>
      <c r="T20" s="1"/>
      <c r="U20" s="1"/>
      <c r="V20" s="1"/>
      <c r="W20" s="1"/>
      <c r="X20" s="1"/>
      <c r="Y20" s="1"/>
      <c r="Z20" s="1"/>
    </row>
    <row r="21" spans="1:26" ht="7.5" customHeight="1">
      <c r="A21" s="1"/>
      <c r="B21" s="8"/>
      <c r="C21" s="8"/>
      <c r="D21" s="8"/>
      <c r="E21" s="8"/>
      <c r="F21" s="8"/>
      <c r="G21" s="8"/>
      <c r="H21" s="8"/>
      <c r="I21" s="8"/>
      <c r="J21" s="8"/>
      <c r="K21" s="8"/>
      <c r="L21" s="8"/>
      <c r="M21" s="8"/>
      <c r="N21" s="8"/>
      <c r="O21" s="8"/>
      <c r="P21" s="8"/>
      <c r="Q21" s="8"/>
      <c r="R21" s="8"/>
      <c r="S21" s="8"/>
      <c r="T21" s="1"/>
      <c r="U21" s="1"/>
      <c r="V21" s="1"/>
      <c r="W21" s="1"/>
      <c r="X21" s="1"/>
      <c r="Y21" s="1"/>
      <c r="Z21" s="1"/>
    </row>
    <row r="22" spans="1:26" ht="18" customHeight="1">
      <c r="A22" s="93" t="s">
        <v>20</v>
      </c>
      <c r="B22" s="94"/>
      <c r="C22" s="94"/>
      <c r="D22" s="94"/>
      <c r="E22" s="94"/>
      <c r="F22" s="94"/>
      <c r="G22" s="94"/>
      <c r="H22" s="94"/>
      <c r="I22" s="94"/>
      <c r="J22" s="94"/>
      <c r="K22" s="94"/>
      <c r="L22" s="94"/>
      <c r="M22" s="94"/>
      <c r="N22" s="94"/>
      <c r="O22" s="94"/>
      <c r="P22" s="94"/>
      <c r="Q22" s="94"/>
      <c r="R22" s="94"/>
      <c r="S22" s="94"/>
      <c r="T22" s="1"/>
      <c r="U22" s="1"/>
      <c r="V22" s="1"/>
      <c r="W22" s="1"/>
      <c r="X22" s="1"/>
      <c r="Y22" s="1"/>
      <c r="Z22" s="1"/>
    </row>
    <row r="23" spans="1:26" ht="18" customHeight="1">
      <c r="A23" s="94"/>
      <c r="B23" s="94"/>
      <c r="C23" s="94"/>
      <c r="D23" s="94"/>
      <c r="E23" s="94"/>
      <c r="F23" s="94"/>
      <c r="G23" s="94"/>
      <c r="H23" s="94"/>
      <c r="I23" s="94"/>
      <c r="J23" s="94"/>
      <c r="K23" s="94"/>
      <c r="L23" s="94"/>
      <c r="M23" s="94"/>
      <c r="N23" s="94"/>
      <c r="O23" s="94"/>
      <c r="P23" s="94"/>
      <c r="Q23" s="94"/>
      <c r="R23" s="94"/>
      <c r="S23" s="94"/>
      <c r="T23" s="1"/>
      <c r="U23" s="1"/>
      <c r="V23" s="1"/>
      <c r="W23" s="1"/>
      <c r="X23" s="1"/>
      <c r="Y23" s="1"/>
      <c r="Z23" s="1"/>
    </row>
    <row r="24" spans="1:26" ht="18" customHeight="1">
      <c r="A24" s="1"/>
      <c r="B24" s="87" t="s">
        <v>21</v>
      </c>
      <c r="C24" s="88"/>
      <c r="D24" s="88"/>
      <c r="E24" s="89"/>
      <c r="F24" s="16" t="s">
        <v>22</v>
      </c>
      <c r="G24" s="17" t="s">
        <v>23</v>
      </c>
      <c r="H24" s="18" t="s">
        <v>24</v>
      </c>
      <c r="I24" s="18" t="s">
        <v>25</v>
      </c>
      <c r="J24" s="87" t="s">
        <v>21</v>
      </c>
      <c r="K24" s="88"/>
      <c r="L24" s="88"/>
      <c r="M24" s="88"/>
      <c r="N24" s="88"/>
      <c r="O24" s="89"/>
      <c r="P24" s="16" t="s">
        <v>22</v>
      </c>
      <c r="Q24" s="17" t="s">
        <v>23</v>
      </c>
      <c r="R24" s="18" t="s">
        <v>24</v>
      </c>
      <c r="S24" s="18" t="s">
        <v>25</v>
      </c>
      <c r="T24" s="1"/>
      <c r="U24" s="1"/>
      <c r="V24" s="1"/>
      <c r="W24" s="1"/>
      <c r="X24" s="1"/>
      <c r="Y24" s="1"/>
      <c r="Z24" s="1"/>
    </row>
    <row r="25" spans="1:26" ht="18" customHeight="1">
      <c r="A25" s="1"/>
      <c r="B25" s="90" t="s">
        <v>26</v>
      </c>
      <c r="C25" s="91"/>
      <c r="D25" s="91"/>
      <c r="E25" s="92"/>
      <c r="F25" s="19">
        <v>2</v>
      </c>
      <c r="G25" s="19"/>
      <c r="H25" s="19" t="s">
        <v>27</v>
      </c>
      <c r="I25" s="19" t="s">
        <v>27</v>
      </c>
      <c r="J25" s="90"/>
      <c r="K25" s="91"/>
      <c r="L25" s="91"/>
      <c r="M25" s="91"/>
      <c r="N25" s="91"/>
      <c r="O25" s="92"/>
      <c r="P25" s="19"/>
      <c r="Q25" s="19"/>
      <c r="R25" s="19"/>
      <c r="S25" s="19"/>
      <c r="T25" s="1"/>
      <c r="U25" s="1"/>
      <c r="V25" s="1"/>
      <c r="W25" s="1"/>
      <c r="X25" s="1"/>
      <c r="Y25" s="1"/>
      <c r="Z25" s="1"/>
    </row>
    <row r="26" spans="1:26" ht="18" customHeight="1">
      <c r="A26" s="1"/>
      <c r="B26" s="81" t="s">
        <v>28</v>
      </c>
      <c r="C26" s="82"/>
      <c r="D26" s="82"/>
      <c r="E26" s="83"/>
      <c r="F26" s="20">
        <v>2</v>
      </c>
      <c r="G26" s="20"/>
      <c r="H26" s="20" t="s">
        <v>27</v>
      </c>
      <c r="I26" s="20" t="s">
        <v>27</v>
      </c>
      <c r="J26" s="81"/>
      <c r="K26" s="82"/>
      <c r="L26" s="82"/>
      <c r="M26" s="82"/>
      <c r="N26" s="82"/>
      <c r="O26" s="83"/>
      <c r="P26" s="20"/>
      <c r="Q26" s="20"/>
      <c r="R26" s="20"/>
      <c r="S26" s="20"/>
      <c r="T26" s="1"/>
      <c r="U26" s="1"/>
      <c r="V26" s="1"/>
      <c r="W26" s="1"/>
      <c r="X26" s="1"/>
      <c r="Y26" s="1"/>
      <c r="Z26" s="1"/>
    </row>
    <row r="27" spans="1:26" ht="18" customHeight="1">
      <c r="A27" s="1"/>
      <c r="B27" s="81" t="s">
        <v>29</v>
      </c>
      <c r="C27" s="82"/>
      <c r="D27" s="82"/>
      <c r="E27" s="83"/>
      <c r="F27" s="20">
        <v>2</v>
      </c>
      <c r="G27" s="20"/>
      <c r="H27" s="20" t="s">
        <v>27</v>
      </c>
      <c r="I27" s="20" t="s">
        <v>27</v>
      </c>
      <c r="J27" s="81"/>
      <c r="K27" s="82"/>
      <c r="L27" s="82"/>
      <c r="M27" s="82"/>
      <c r="N27" s="82"/>
      <c r="O27" s="83"/>
      <c r="P27" s="20"/>
      <c r="Q27" s="20"/>
      <c r="R27" s="20"/>
      <c r="S27" s="20"/>
      <c r="T27" s="1"/>
      <c r="U27" s="1"/>
      <c r="V27" s="1"/>
      <c r="W27" s="1"/>
      <c r="X27" s="1"/>
      <c r="Y27" s="1"/>
      <c r="Z27" s="1"/>
    </row>
    <row r="28" spans="1:26" ht="18" customHeight="1">
      <c r="A28" s="1"/>
      <c r="B28" s="81"/>
      <c r="C28" s="82"/>
      <c r="D28" s="82"/>
      <c r="E28" s="83"/>
      <c r="F28" s="20"/>
      <c r="G28" s="20"/>
      <c r="H28" s="20"/>
      <c r="I28" s="20"/>
      <c r="J28" s="81"/>
      <c r="K28" s="82"/>
      <c r="L28" s="82"/>
      <c r="M28" s="82"/>
      <c r="N28" s="82"/>
      <c r="O28" s="83"/>
      <c r="P28" s="20"/>
      <c r="Q28" s="20"/>
      <c r="R28" s="20"/>
      <c r="S28" s="20"/>
      <c r="T28" s="1"/>
      <c r="U28" s="1"/>
      <c r="V28" s="1"/>
      <c r="W28" s="1"/>
      <c r="X28" s="1"/>
      <c r="Y28" s="1"/>
      <c r="Z28" s="1"/>
    </row>
    <row r="29" spans="1:26" ht="18" customHeight="1">
      <c r="A29" s="1"/>
      <c r="B29" s="81"/>
      <c r="C29" s="82"/>
      <c r="D29" s="82"/>
      <c r="E29" s="83"/>
      <c r="F29" s="20"/>
      <c r="G29" s="20"/>
      <c r="H29" s="20"/>
      <c r="I29" s="20"/>
      <c r="J29" s="81"/>
      <c r="K29" s="82"/>
      <c r="L29" s="82"/>
      <c r="M29" s="82"/>
      <c r="N29" s="82"/>
      <c r="O29" s="83"/>
      <c r="P29" s="20"/>
      <c r="Q29" s="20"/>
      <c r="R29" s="20"/>
      <c r="S29" s="20"/>
      <c r="T29" s="1"/>
      <c r="U29" s="1"/>
      <c r="V29" s="1"/>
      <c r="W29" s="1"/>
      <c r="X29" s="1"/>
      <c r="Y29" s="1"/>
      <c r="Z29" s="1"/>
    </row>
    <row r="30" spans="1:26" ht="18" customHeight="1">
      <c r="A30" s="8"/>
      <c r="B30" s="81"/>
      <c r="C30" s="82"/>
      <c r="D30" s="82"/>
      <c r="E30" s="83"/>
      <c r="F30" s="20"/>
      <c r="G30" s="20"/>
      <c r="H30" s="20"/>
      <c r="I30" s="20"/>
      <c r="J30" s="81"/>
      <c r="K30" s="82"/>
      <c r="L30" s="82"/>
      <c r="M30" s="82"/>
      <c r="N30" s="82"/>
      <c r="O30" s="83"/>
      <c r="P30" s="20"/>
      <c r="Q30" s="20"/>
      <c r="R30" s="20"/>
      <c r="S30" s="20"/>
      <c r="T30" s="1"/>
      <c r="U30" s="1"/>
      <c r="V30" s="1"/>
      <c r="W30" s="1"/>
      <c r="X30" s="1"/>
      <c r="Y30" s="1"/>
      <c r="Z30" s="1"/>
    </row>
    <row r="31" spans="1:26" ht="18" customHeight="1">
      <c r="A31" s="8"/>
      <c r="B31" s="84"/>
      <c r="C31" s="85"/>
      <c r="D31" s="85"/>
      <c r="E31" s="86"/>
      <c r="F31" s="21"/>
      <c r="G31" s="21"/>
      <c r="H31" s="22"/>
      <c r="I31" s="22"/>
      <c r="J31" s="84"/>
      <c r="K31" s="85"/>
      <c r="L31" s="85"/>
      <c r="M31" s="85"/>
      <c r="N31" s="85"/>
      <c r="O31" s="86"/>
      <c r="P31" s="21"/>
      <c r="Q31" s="21"/>
      <c r="R31" s="22"/>
      <c r="S31" s="22"/>
      <c r="T31" s="1"/>
      <c r="U31" s="1"/>
      <c r="V31" s="1"/>
      <c r="W31" s="1"/>
      <c r="X31" s="1"/>
      <c r="Y31" s="1"/>
      <c r="Z31" s="1"/>
    </row>
    <row r="32" spans="1:26" ht="7.5" customHeight="1">
      <c r="A32" s="8"/>
      <c r="B32" s="5"/>
      <c r="C32" s="5"/>
      <c r="D32" s="8"/>
      <c r="E32" s="8"/>
      <c r="F32" s="8"/>
      <c r="G32" s="8"/>
      <c r="H32" s="5"/>
      <c r="I32" s="5"/>
      <c r="J32" s="5"/>
      <c r="K32" s="5"/>
      <c r="L32" s="5"/>
      <c r="M32" s="5"/>
      <c r="N32" s="5"/>
      <c r="O32" s="5"/>
      <c r="P32" s="5"/>
      <c r="Q32" s="5"/>
      <c r="R32" s="5"/>
      <c r="S32" s="8"/>
      <c r="T32" s="1"/>
      <c r="U32" s="1"/>
      <c r="V32" s="1"/>
      <c r="W32" s="1"/>
      <c r="X32" s="1"/>
      <c r="Y32" s="1"/>
      <c r="Z32" s="1"/>
    </row>
    <row r="33" spans="1:26" ht="18" customHeight="1">
      <c r="A33" s="93" t="s">
        <v>30</v>
      </c>
      <c r="B33" s="94"/>
      <c r="C33" s="94"/>
      <c r="D33" s="94"/>
      <c r="E33" s="94"/>
      <c r="F33" s="94"/>
      <c r="G33" s="94"/>
      <c r="H33" s="94"/>
      <c r="I33" s="94"/>
      <c r="J33" s="94"/>
      <c r="K33" s="94"/>
      <c r="L33" s="94"/>
      <c r="M33" s="94"/>
      <c r="N33" s="94"/>
      <c r="O33" s="94"/>
      <c r="P33" s="94"/>
      <c r="Q33" s="94"/>
      <c r="R33" s="94"/>
      <c r="S33" s="94"/>
      <c r="T33" s="1"/>
      <c r="U33" s="1"/>
      <c r="V33" s="1"/>
      <c r="W33" s="1"/>
      <c r="X33" s="1"/>
      <c r="Y33" s="1"/>
      <c r="Z33" s="1"/>
    </row>
    <row r="34" spans="1:26" ht="18" customHeight="1">
      <c r="A34" s="94"/>
      <c r="B34" s="94"/>
      <c r="C34" s="94"/>
      <c r="D34" s="94"/>
      <c r="E34" s="94"/>
      <c r="F34" s="94"/>
      <c r="G34" s="94"/>
      <c r="H34" s="94"/>
      <c r="I34" s="94"/>
      <c r="J34" s="94"/>
      <c r="K34" s="94"/>
      <c r="L34" s="94"/>
      <c r="M34" s="94"/>
      <c r="N34" s="94"/>
      <c r="O34" s="94"/>
      <c r="P34" s="94"/>
      <c r="Q34" s="94"/>
      <c r="R34" s="94"/>
      <c r="S34" s="94"/>
      <c r="T34" s="1"/>
      <c r="U34" s="1"/>
      <c r="V34" s="1"/>
      <c r="W34" s="1"/>
      <c r="X34" s="1"/>
      <c r="Y34" s="1"/>
      <c r="Z34" s="1"/>
    </row>
    <row r="35" spans="1:26" ht="18" customHeight="1">
      <c r="A35" s="1"/>
      <c r="B35" s="87" t="s">
        <v>21</v>
      </c>
      <c r="C35" s="88"/>
      <c r="D35" s="88"/>
      <c r="E35" s="89"/>
      <c r="F35" s="16" t="s">
        <v>22</v>
      </c>
      <c r="G35" s="17" t="s">
        <v>23</v>
      </c>
      <c r="H35" s="18" t="s">
        <v>31</v>
      </c>
      <c r="I35" s="18" t="s">
        <v>32</v>
      </c>
      <c r="J35" s="87" t="s">
        <v>21</v>
      </c>
      <c r="K35" s="88"/>
      <c r="L35" s="88"/>
      <c r="M35" s="88"/>
      <c r="N35" s="88"/>
      <c r="O35" s="89"/>
      <c r="P35" s="16" t="s">
        <v>22</v>
      </c>
      <c r="Q35" s="17" t="s">
        <v>23</v>
      </c>
      <c r="R35" s="18" t="s">
        <v>31</v>
      </c>
      <c r="S35" s="18" t="s">
        <v>32</v>
      </c>
      <c r="T35" s="1"/>
      <c r="U35" s="1"/>
      <c r="V35" s="1"/>
      <c r="W35" s="1"/>
      <c r="X35" s="1"/>
      <c r="Y35" s="1"/>
      <c r="Z35" s="1"/>
    </row>
    <row r="36" spans="1:26" ht="18" customHeight="1">
      <c r="A36" s="1"/>
      <c r="B36" s="90" t="s">
        <v>26</v>
      </c>
      <c r="C36" s="91"/>
      <c r="D36" s="91"/>
      <c r="E36" s="92"/>
      <c r="F36" s="19">
        <v>2</v>
      </c>
      <c r="G36" s="19"/>
      <c r="H36" s="19" t="s">
        <v>27</v>
      </c>
      <c r="I36" s="19" t="s">
        <v>27</v>
      </c>
      <c r="J36" s="90"/>
      <c r="K36" s="91"/>
      <c r="L36" s="91"/>
      <c r="M36" s="91"/>
      <c r="N36" s="91"/>
      <c r="O36" s="92"/>
      <c r="P36" s="19"/>
      <c r="Q36" s="19"/>
      <c r="R36" s="19"/>
      <c r="S36" s="19"/>
      <c r="T36" s="1"/>
      <c r="U36" s="1"/>
      <c r="V36" s="1"/>
      <c r="W36" s="1"/>
      <c r="X36" s="1"/>
      <c r="Y36" s="1"/>
      <c r="Z36" s="1"/>
    </row>
    <row r="37" spans="1:26" ht="18" customHeight="1">
      <c r="A37" s="1"/>
      <c r="B37" s="81" t="s">
        <v>28</v>
      </c>
      <c r="C37" s="82"/>
      <c r="D37" s="82"/>
      <c r="E37" s="83"/>
      <c r="F37" s="20">
        <v>2</v>
      </c>
      <c r="G37" s="20"/>
      <c r="H37" s="20" t="s">
        <v>27</v>
      </c>
      <c r="I37" s="20" t="s">
        <v>27</v>
      </c>
      <c r="J37" s="81"/>
      <c r="K37" s="82"/>
      <c r="L37" s="82"/>
      <c r="M37" s="82"/>
      <c r="N37" s="82"/>
      <c r="O37" s="83"/>
      <c r="P37" s="20"/>
      <c r="Q37" s="20"/>
      <c r="R37" s="20"/>
      <c r="S37" s="20"/>
      <c r="T37" s="1"/>
      <c r="U37" s="1"/>
      <c r="V37" s="1"/>
      <c r="W37" s="1"/>
      <c r="X37" s="1"/>
      <c r="Y37" s="1"/>
      <c r="Z37" s="1"/>
    </row>
    <row r="38" spans="1:26" ht="18" customHeight="1">
      <c r="A38" s="1"/>
      <c r="B38" s="81" t="s">
        <v>29</v>
      </c>
      <c r="C38" s="82"/>
      <c r="D38" s="82"/>
      <c r="E38" s="83"/>
      <c r="F38" s="20">
        <v>2</v>
      </c>
      <c r="G38" s="20"/>
      <c r="H38" s="20" t="s">
        <v>27</v>
      </c>
      <c r="I38" s="20" t="s">
        <v>27</v>
      </c>
      <c r="J38" s="81"/>
      <c r="K38" s="82"/>
      <c r="L38" s="82"/>
      <c r="M38" s="82"/>
      <c r="N38" s="82"/>
      <c r="O38" s="83"/>
      <c r="P38" s="20"/>
      <c r="Q38" s="20"/>
      <c r="R38" s="20"/>
      <c r="S38" s="20"/>
      <c r="T38" s="1"/>
      <c r="U38" s="1"/>
      <c r="V38" s="1"/>
      <c r="W38" s="1"/>
      <c r="X38" s="1"/>
      <c r="Y38" s="1"/>
      <c r="Z38" s="1"/>
    </row>
    <row r="39" spans="1:26" ht="18" customHeight="1">
      <c r="A39" s="1"/>
      <c r="B39" s="81"/>
      <c r="C39" s="82"/>
      <c r="D39" s="82"/>
      <c r="E39" s="83"/>
      <c r="F39" s="20"/>
      <c r="G39" s="20"/>
      <c r="H39" s="20"/>
      <c r="I39" s="20"/>
      <c r="J39" s="81"/>
      <c r="K39" s="82"/>
      <c r="L39" s="82"/>
      <c r="M39" s="82"/>
      <c r="N39" s="82"/>
      <c r="O39" s="83"/>
      <c r="P39" s="20"/>
      <c r="Q39" s="20"/>
      <c r="R39" s="20"/>
      <c r="S39" s="20"/>
      <c r="T39" s="1"/>
      <c r="U39" s="1"/>
      <c r="V39" s="1"/>
      <c r="W39" s="1"/>
      <c r="X39" s="1"/>
      <c r="Y39" s="1"/>
      <c r="Z39" s="1"/>
    </row>
    <row r="40" spans="1:26" ht="18" customHeight="1">
      <c r="A40" s="1"/>
      <c r="B40" s="81"/>
      <c r="C40" s="82"/>
      <c r="D40" s="82"/>
      <c r="E40" s="83"/>
      <c r="F40" s="20"/>
      <c r="G40" s="20"/>
      <c r="H40" s="20"/>
      <c r="I40" s="20"/>
      <c r="J40" s="81"/>
      <c r="K40" s="82"/>
      <c r="L40" s="82"/>
      <c r="M40" s="82"/>
      <c r="N40" s="82"/>
      <c r="O40" s="83"/>
      <c r="P40" s="20"/>
      <c r="Q40" s="20"/>
      <c r="R40" s="20"/>
      <c r="S40" s="20"/>
      <c r="T40" s="1"/>
      <c r="U40" s="1"/>
      <c r="V40" s="1"/>
      <c r="W40" s="1"/>
      <c r="X40" s="1"/>
      <c r="Y40" s="1"/>
      <c r="Z40" s="1"/>
    </row>
    <row r="41" spans="1:26" ht="18" customHeight="1">
      <c r="A41" s="1"/>
      <c r="B41" s="81"/>
      <c r="C41" s="82"/>
      <c r="D41" s="82"/>
      <c r="E41" s="83"/>
      <c r="F41" s="20"/>
      <c r="G41" s="20"/>
      <c r="H41" s="20"/>
      <c r="I41" s="20"/>
      <c r="J41" s="81"/>
      <c r="K41" s="82"/>
      <c r="L41" s="82"/>
      <c r="M41" s="82"/>
      <c r="N41" s="82"/>
      <c r="O41" s="83"/>
      <c r="P41" s="20"/>
      <c r="Q41" s="20"/>
      <c r="R41" s="20"/>
      <c r="S41" s="20"/>
      <c r="T41" s="1"/>
      <c r="U41" s="1"/>
      <c r="V41" s="1"/>
      <c r="W41" s="1"/>
      <c r="X41" s="1"/>
      <c r="Y41" s="1"/>
      <c r="Z41" s="1"/>
    </row>
    <row r="42" spans="1:26" ht="18" customHeight="1">
      <c r="A42" s="1"/>
      <c r="B42" s="84"/>
      <c r="C42" s="85"/>
      <c r="D42" s="85"/>
      <c r="E42" s="86"/>
      <c r="F42" s="21"/>
      <c r="G42" s="21"/>
      <c r="H42" s="22"/>
      <c r="I42" s="22"/>
      <c r="J42" s="84"/>
      <c r="K42" s="85"/>
      <c r="L42" s="85"/>
      <c r="M42" s="85"/>
      <c r="N42" s="85"/>
      <c r="O42" s="86"/>
      <c r="P42" s="21"/>
      <c r="Q42" s="21"/>
      <c r="R42" s="22"/>
      <c r="S42" s="22"/>
      <c r="T42" s="1"/>
      <c r="U42" s="1"/>
      <c r="V42" s="1"/>
      <c r="W42" s="1"/>
      <c r="X42" s="1"/>
      <c r="Y42" s="1"/>
      <c r="Z42" s="1"/>
    </row>
    <row r="43" spans="1:26" ht="7.5" customHeight="1">
      <c r="A43" s="8"/>
      <c r="B43" s="5"/>
      <c r="C43" s="5"/>
      <c r="D43" s="8"/>
      <c r="E43" s="8"/>
      <c r="F43" s="8"/>
      <c r="G43" s="8"/>
      <c r="H43" s="5"/>
      <c r="I43" s="5"/>
      <c r="J43" s="5"/>
      <c r="K43" s="5"/>
      <c r="L43" s="5"/>
      <c r="M43" s="5"/>
      <c r="N43" s="5"/>
      <c r="O43" s="5"/>
      <c r="P43" s="5"/>
      <c r="Q43" s="5"/>
      <c r="R43" s="5"/>
      <c r="S43" s="8"/>
      <c r="T43" s="1"/>
      <c r="U43" s="1"/>
      <c r="V43" s="1"/>
      <c r="W43" s="1"/>
      <c r="X43" s="1"/>
      <c r="Y43" s="1"/>
      <c r="Z43" s="1"/>
    </row>
    <row r="44" spans="1:26" ht="18" customHeight="1">
      <c r="A44" s="93" t="s">
        <v>33</v>
      </c>
      <c r="B44" s="94"/>
      <c r="C44" s="94"/>
      <c r="D44" s="94"/>
      <c r="E44" s="94"/>
      <c r="F44" s="94"/>
      <c r="G44" s="94"/>
      <c r="H44" s="94"/>
      <c r="I44" s="94"/>
      <c r="J44" s="94"/>
      <c r="K44" s="94"/>
      <c r="L44" s="94"/>
      <c r="M44" s="94"/>
      <c r="N44" s="94"/>
      <c r="O44" s="94"/>
      <c r="P44" s="94"/>
      <c r="Q44" s="94"/>
      <c r="R44" s="94"/>
      <c r="S44" s="94"/>
      <c r="T44" s="1"/>
      <c r="U44" s="1"/>
      <c r="V44" s="1"/>
      <c r="W44" s="1"/>
      <c r="X44" s="1"/>
      <c r="Y44" s="1"/>
      <c r="Z44" s="1"/>
    </row>
    <row r="45" spans="1:26" ht="18" customHeight="1">
      <c r="A45" s="94"/>
      <c r="B45" s="94"/>
      <c r="C45" s="94"/>
      <c r="D45" s="94"/>
      <c r="E45" s="94"/>
      <c r="F45" s="94"/>
      <c r="G45" s="94"/>
      <c r="H45" s="94"/>
      <c r="I45" s="94"/>
      <c r="J45" s="94"/>
      <c r="K45" s="94"/>
      <c r="L45" s="94"/>
      <c r="M45" s="94"/>
      <c r="N45" s="94"/>
      <c r="O45" s="94"/>
      <c r="P45" s="94"/>
      <c r="Q45" s="94"/>
      <c r="R45" s="94"/>
      <c r="S45" s="94"/>
      <c r="T45" s="1"/>
      <c r="U45" s="1"/>
      <c r="V45" s="1"/>
      <c r="W45" s="1"/>
      <c r="X45" s="1"/>
      <c r="Y45" s="1"/>
      <c r="Z45" s="1"/>
    </row>
    <row r="46" spans="1:26" ht="18" customHeight="1">
      <c r="A46" s="1"/>
      <c r="B46" s="87" t="s">
        <v>21</v>
      </c>
      <c r="C46" s="88"/>
      <c r="D46" s="88"/>
      <c r="E46" s="89"/>
      <c r="F46" s="16" t="s">
        <v>22</v>
      </c>
      <c r="G46" s="17" t="s">
        <v>23</v>
      </c>
      <c r="H46" s="18" t="s">
        <v>34</v>
      </c>
      <c r="I46" s="18" t="s">
        <v>35</v>
      </c>
      <c r="J46" s="87" t="s">
        <v>21</v>
      </c>
      <c r="K46" s="88"/>
      <c r="L46" s="88"/>
      <c r="M46" s="88"/>
      <c r="N46" s="88"/>
      <c r="O46" s="89"/>
      <c r="P46" s="16" t="s">
        <v>22</v>
      </c>
      <c r="Q46" s="17" t="s">
        <v>23</v>
      </c>
      <c r="R46" s="18" t="s">
        <v>34</v>
      </c>
      <c r="S46" s="18" t="s">
        <v>35</v>
      </c>
      <c r="T46" s="1"/>
      <c r="U46" s="1"/>
      <c r="V46" s="1"/>
      <c r="W46" s="1"/>
      <c r="X46" s="1"/>
      <c r="Y46" s="1"/>
      <c r="Z46" s="1"/>
    </row>
    <row r="47" spans="1:26" ht="18" customHeight="1">
      <c r="A47" s="8"/>
      <c r="B47" s="90" t="s">
        <v>26</v>
      </c>
      <c r="C47" s="91"/>
      <c r="D47" s="91"/>
      <c r="E47" s="92"/>
      <c r="F47" s="19">
        <v>2</v>
      </c>
      <c r="G47" s="19"/>
      <c r="H47" s="19" t="s">
        <v>27</v>
      </c>
      <c r="I47" s="19" t="s">
        <v>27</v>
      </c>
      <c r="J47" s="90"/>
      <c r="K47" s="91"/>
      <c r="L47" s="91"/>
      <c r="M47" s="91"/>
      <c r="N47" s="91"/>
      <c r="O47" s="92"/>
      <c r="P47" s="19"/>
      <c r="Q47" s="19"/>
      <c r="R47" s="19"/>
      <c r="S47" s="19"/>
      <c r="T47" s="1"/>
      <c r="U47" s="1"/>
      <c r="V47" s="1"/>
      <c r="W47" s="1"/>
      <c r="X47" s="1"/>
      <c r="Y47" s="1"/>
      <c r="Z47" s="1"/>
    </row>
    <row r="48" spans="1:26" ht="18" customHeight="1">
      <c r="A48" s="8"/>
      <c r="B48" s="81" t="s">
        <v>28</v>
      </c>
      <c r="C48" s="82"/>
      <c r="D48" s="82"/>
      <c r="E48" s="83"/>
      <c r="F48" s="20">
        <v>2</v>
      </c>
      <c r="G48" s="20"/>
      <c r="H48" s="20" t="s">
        <v>27</v>
      </c>
      <c r="I48" s="20" t="s">
        <v>27</v>
      </c>
      <c r="J48" s="81"/>
      <c r="K48" s="82"/>
      <c r="L48" s="82"/>
      <c r="M48" s="82"/>
      <c r="N48" s="82"/>
      <c r="O48" s="83"/>
      <c r="P48" s="20"/>
      <c r="Q48" s="20"/>
      <c r="R48" s="20"/>
      <c r="S48" s="20"/>
      <c r="T48" s="1"/>
      <c r="U48" s="1"/>
      <c r="V48" s="1"/>
      <c r="W48" s="1"/>
      <c r="X48" s="1"/>
      <c r="Y48" s="1"/>
      <c r="Z48" s="1"/>
    </row>
    <row r="49" spans="1:26" ht="18" customHeight="1">
      <c r="A49" s="8"/>
      <c r="B49" s="81" t="s">
        <v>29</v>
      </c>
      <c r="C49" s="82"/>
      <c r="D49" s="82"/>
      <c r="E49" s="83"/>
      <c r="F49" s="20">
        <v>2</v>
      </c>
      <c r="G49" s="20"/>
      <c r="H49" s="20" t="s">
        <v>27</v>
      </c>
      <c r="I49" s="20" t="s">
        <v>27</v>
      </c>
      <c r="J49" s="81"/>
      <c r="K49" s="82"/>
      <c r="L49" s="82"/>
      <c r="M49" s="82"/>
      <c r="N49" s="82"/>
      <c r="O49" s="83"/>
      <c r="P49" s="20"/>
      <c r="Q49" s="20"/>
      <c r="R49" s="20"/>
      <c r="S49" s="20"/>
      <c r="T49" s="1"/>
      <c r="U49" s="1"/>
      <c r="V49" s="1"/>
      <c r="W49" s="1"/>
      <c r="X49" s="1"/>
      <c r="Y49" s="1"/>
      <c r="Z49" s="1"/>
    </row>
    <row r="50" spans="1:26" ht="18" customHeight="1">
      <c r="A50" s="8"/>
      <c r="B50" s="81"/>
      <c r="C50" s="82"/>
      <c r="D50" s="82"/>
      <c r="E50" s="83"/>
      <c r="F50" s="20"/>
      <c r="G50" s="20"/>
      <c r="H50" s="20"/>
      <c r="I50" s="20"/>
      <c r="J50" s="81"/>
      <c r="K50" s="82"/>
      <c r="L50" s="82"/>
      <c r="M50" s="82"/>
      <c r="N50" s="82"/>
      <c r="O50" s="83"/>
      <c r="P50" s="20"/>
      <c r="Q50" s="20"/>
      <c r="R50" s="20"/>
      <c r="S50" s="20"/>
      <c r="T50" s="1"/>
      <c r="U50" s="1"/>
      <c r="V50" s="1"/>
      <c r="W50" s="1"/>
      <c r="X50" s="1"/>
      <c r="Y50" s="1"/>
      <c r="Z50" s="1"/>
    </row>
    <row r="51" spans="1:26" ht="18" customHeight="1">
      <c r="A51" s="8"/>
      <c r="B51" s="81"/>
      <c r="C51" s="82"/>
      <c r="D51" s="82"/>
      <c r="E51" s="83"/>
      <c r="F51" s="20"/>
      <c r="G51" s="20"/>
      <c r="H51" s="20"/>
      <c r="I51" s="20"/>
      <c r="J51" s="81"/>
      <c r="K51" s="82"/>
      <c r="L51" s="82"/>
      <c r="M51" s="82"/>
      <c r="N51" s="82"/>
      <c r="O51" s="83"/>
      <c r="P51" s="20"/>
      <c r="Q51" s="20"/>
      <c r="R51" s="20"/>
      <c r="S51" s="20"/>
      <c r="T51" s="1"/>
      <c r="U51" s="1"/>
      <c r="V51" s="1"/>
      <c r="W51" s="1"/>
      <c r="X51" s="1"/>
      <c r="Y51" s="1"/>
      <c r="Z51" s="1"/>
    </row>
    <row r="52" spans="1:26" ht="18" customHeight="1">
      <c r="A52" s="8"/>
      <c r="B52" s="81"/>
      <c r="C52" s="82"/>
      <c r="D52" s="82"/>
      <c r="E52" s="83"/>
      <c r="F52" s="20"/>
      <c r="G52" s="20"/>
      <c r="H52" s="20"/>
      <c r="I52" s="20"/>
      <c r="J52" s="81"/>
      <c r="K52" s="82"/>
      <c r="L52" s="82"/>
      <c r="M52" s="82"/>
      <c r="N52" s="82"/>
      <c r="O52" s="83"/>
      <c r="P52" s="20"/>
      <c r="Q52" s="20"/>
      <c r="R52" s="20"/>
      <c r="S52" s="20"/>
      <c r="T52" s="1"/>
      <c r="U52" s="1"/>
      <c r="V52" s="1"/>
      <c r="W52" s="1"/>
      <c r="X52" s="1"/>
      <c r="Y52" s="1"/>
      <c r="Z52" s="1"/>
    </row>
    <row r="53" spans="1:26" ht="18" customHeight="1">
      <c r="A53" s="8"/>
      <c r="B53" s="84"/>
      <c r="C53" s="85"/>
      <c r="D53" s="85"/>
      <c r="E53" s="86"/>
      <c r="F53" s="21"/>
      <c r="G53" s="21"/>
      <c r="H53" s="22"/>
      <c r="I53" s="22"/>
      <c r="J53" s="84"/>
      <c r="K53" s="85"/>
      <c r="L53" s="85"/>
      <c r="M53" s="85"/>
      <c r="N53" s="85"/>
      <c r="O53" s="86"/>
      <c r="P53" s="21"/>
      <c r="Q53" s="21"/>
      <c r="R53" s="22"/>
      <c r="S53" s="22"/>
      <c r="T53" s="1"/>
      <c r="U53" s="1"/>
      <c r="V53" s="1"/>
      <c r="W53" s="1"/>
      <c r="X53" s="1"/>
      <c r="Y53" s="1"/>
      <c r="Z53" s="1"/>
    </row>
    <row r="54" spans="1:26" ht="7.5" customHeight="1">
      <c r="A54" s="1"/>
      <c r="B54" s="23"/>
      <c r="C54" s="23"/>
      <c r="D54" s="23"/>
      <c r="E54" s="23"/>
      <c r="F54" s="23"/>
      <c r="G54" s="23"/>
      <c r="H54" s="23"/>
      <c r="I54" s="23"/>
      <c r="J54" s="23"/>
      <c r="K54" s="23"/>
      <c r="L54" s="23"/>
      <c r="M54" s="23"/>
      <c r="N54" s="23"/>
      <c r="O54" s="23"/>
      <c r="P54" s="23"/>
      <c r="Q54" s="23"/>
      <c r="R54" s="23"/>
      <c r="S54" s="1"/>
      <c r="T54" s="1"/>
      <c r="U54" s="1"/>
      <c r="V54" s="1"/>
      <c r="W54" s="1"/>
      <c r="X54" s="1"/>
      <c r="Y54" s="1"/>
      <c r="Z54" s="1"/>
    </row>
    <row r="55" spans="1:26" ht="18" customHeight="1">
      <c r="A55" s="93" t="s">
        <v>36</v>
      </c>
      <c r="B55" s="94"/>
      <c r="C55" s="94"/>
      <c r="D55" s="94"/>
      <c r="E55" s="94"/>
      <c r="F55" s="94"/>
      <c r="G55" s="94"/>
      <c r="H55" s="94"/>
      <c r="I55" s="94"/>
      <c r="J55" s="94"/>
      <c r="K55" s="94"/>
      <c r="L55" s="94"/>
      <c r="M55" s="94"/>
      <c r="N55" s="94"/>
      <c r="O55" s="94"/>
      <c r="P55" s="94"/>
      <c r="Q55" s="94"/>
      <c r="R55" s="94"/>
      <c r="S55" s="94"/>
      <c r="T55" s="1"/>
      <c r="U55" s="1"/>
      <c r="V55" s="1"/>
      <c r="W55" s="1"/>
      <c r="X55" s="1"/>
      <c r="Y55" s="1"/>
      <c r="Z55" s="1"/>
    </row>
    <row r="56" spans="1:26" ht="18" customHeight="1">
      <c r="A56" s="94"/>
      <c r="B56" s="94"/>
      <c r="C56" s="94"/>
      <c r="D56" s="94"/>
      <c r="E56" s="94"/>
      <c r="F56" s="94"/>
      <c r="G56" s="94"/>
      <c r="H56" s="94"/>
      <c r="I56" s="94"/>
      <c r="J56" s="94"/>
      <c r="K56" s="94"/>
      <c r="L56" s="94"/>
      <c r="M56" s="94"/>
      <c r="N56" s="94"/>
      <c r="O56" s="94"/>
      <c r="P56" s="94"/>
      <c r="Q56" s="94"/>
      <c r="R56" s="94"/>
      <c r="S56" s="94"/>
      <c r="T56" s="1"/>
      <c r="U56" s="1"/>
      <c r="V56" s="1"/>
      <c r="W56" s="1"/>
      <c r="X56" s="1"/>
      <c r="Y56" s="1"/>
      <c r="Z56" s="1"/>
    </row>
    <row r="57" spans="1:26" ht="18" customHeight="1">
      <c r="A57" s="1"/>
      <c r="B57" s="87" t="s">
        <v>21</v>
      </c>
      <c r="C57" s="88"/>
      <c r="D57" s="88"/>
      <c r="E57" s="89"/>
      <c r="F57" s="16" t="s">
        <v>22</v>
      </c>
      <c r="G57" s="17" t="s">
        <v>23</v>
      </c>
      <c r="H57" s="18" t="s">
        <v>37</v>
      </c>
      <c r="I57" s="18" t="s">
        <v>38</v>
      </c>
      <c r="J57" s="87" t="s">
        <v>21</v>
      </c>
      <c r="K57" s="88"/>
      <c r="L57" s="88"/>
      <c r="M57" s="88"/>
      <c r="N57" s="88"/>
      <c r="O57" s="89"/>
      <c r="P57" s="16" t="s">
        <v>22</v>
      </c>
      <c r="Q57" s="17" t="s">
        <v>23</v>
      </c>
      <c r="R57" s="18" t="s">
        <v>37</v>
      </c>
      <c r="S57" s="18" t="s">
        <v>38</v>
      </c>
      <c r="T57" s="1"/>
      <c r="U57" s="1"/>
      <c r="V57" s="1"/>
      <c r="W57" s="1"/>
      <c r="X57" s="1"/>
      <c r="Y57" s="1"/>
      <c r="Z57" s="1"/>
    </row>
    <row r="58" spans="1:26" ht="18" customHeight="1">
      <c r="A58" s="8"/>
      <c r="B58" s="90" t="s">
        <v>26</v>
      </c>
      <c r="C58" s="91"/>
      <c r="D58" s="91"/>
      <c r="E58" s="92"/>
      <c r="F58" s="19">
        <v>2</v>
      </c>
      <c r="G58" s="19"/>
      <c r="H58" s="19" t="s">
        <v>27</v>
      </c>
      <c r="I58" s="19" t="s">
        <v>27</v>
      </c>
      <c r="J58" s="90"/>
      <c r="K58" s="91"/>
      <c r="L58" s="91"/>
      <c r="M58" s="91"/>
      <c r="N58" s="91"/>
      <c r="O58" s="92"/>
      <c r="P58" s="19"/>
      <c r="Q58" s="19"/>
      <c r="R58" s="19"/>
      <c r="S58" s="19"/>
      <c r="T58" s="1"/>
      <c r="U58" s="1"/>
      <c r="V58" s="1"/>
      <c r="W58" s="1"/>
      <c r="X58" s="1"/>
      <c r="Y58" s="1"/>
      <c r="Z58" s="1"/>
    </row>
    <row r="59" spans="1:26" ht="18" customHeight="1">
      <c r="A59" s="8"/>
      <c r="B59" s="81" t="s">
        <v>28</v>
      </c>
      <c r="C59" s="82"/>
      <c r="D59" s="82"/>
      <c r="E59" s="83"/>
      <c r="F59" s="20">
        <v>2</v>
      </c>
      <c r="G59" s="20"/>
      <c r="H59" s="20" t="s">
        <v>27</v>
      </c>
      <c r="I59" s="20" t="s">
        <v>27</v>
      </c>
      <c r="J59" s="81"/>
      <c r="K59" s="82"/>
      <c r="L59" s="82"/>
      <c r="M59" s="82"/>
      <c r="N59" s="82"/>
      <c r="O59" s="83"/>
      <c r="P59" s="20"/>
      <c r="Q59" s="20"/>
      <c r="R59" s="20"/>
      <c r="S59" s="20"/>
      <c r="T59" s="1"/>
      <c r="U59" s="1"/>
      <c r="V59" s="1"/>
      <c r="W59" s="1"/>
      <c r="X59" s="1"/>
      <c r="Y59" s="1"/>
      <c r="Z59" s="1"/>
    </row>
    <row r="60" spans="1:26" ht="18" customHeight="1">
      <c r="A60" s="8"/>
      <c r="B60" s="81" t="s">
        <v>29</v>
      </c>
      <c r="C60" s="82"/>
      <c r="D60" s="82"/>
      <c r="E60" s="83"/>
      <c r="F60" s="20">
        <v>2</v>
      </c>
      <c r="G60" s="20"/>
      <c r="H60" s="20" t="s">
        <v>27</v>
      </c>
      <c r="I60" s="20" t="s">
        <v>27</v>
      </c>
      <c r="J60" s="81"/>
      <c r="K60" s="82"/>
      <c r="L60" s="82"/>
      <c r="M60" s="82"/>
      <c r="N60" s="82"/>
      <c r="O60" s="83"/>
      <c r="P60" s="20"/>
      <c r="Q60" s="20"/>
      <c r="R60" s="20"/>
      <c r="S60" s="20"/>
      <c r="T60" s="1"/>
      <c r="U60" s="1"/>
      <c r="V60" s="1"/>
      <c r="W60" s="1"/>
      <c r="X60" s="1"/>
      <c r="Y60" s="1"/>
      <c r="Z60" s="1"/>
    </row>
    <row r="61" spans="1:26" ht="18" customHeight="1">
      <c r="A61" s="8"/>
      <c r="B61" s="81"/>
      <c r="C61" s="82"/>
      <c r="D61" s="82"/>
      <c r="E61" s="83"/>
      <c r="F61" s="20"/>
      <c r="G61" s="20"/>
      <c r="H61" s="20"/>
      <c r="I61" s="20"/>
      <c r="J61" s="81"/>
      <c r="K61" s="82"/>
      <c r="L61" s="82"/>
      <c r="M61" s="82"/>
      <c r="N61" s="82"/>
      <c r="O61" s="83"/>
      <c r="P61" s="20"/>
      <c r="Q61" s="20"/>
      <c r="R61" s="20"/>
      <c r="S61" s="20"/>
      <c r="T61" s="1"/>
      <c r="U61" s="1"/>
      <c r="V61" s="1"/>
      <c r="W61" s="1"/>
      <c r="X61" s="1"/>
      <c r="Y61" s="1"/>
      <c r="Z61" s="1"/>
    </row>
    <row r="62" spans="1:26" ht="18" customHeight="1">
      <c r="A62" s="8"/>
      <c r="B62" s="81"/>
      <c r="C62" s="82"/>
      <c r="D62" s="82"/>
      <c r="E62" s="83"/>
      <c r="F62" s="20"/>
      <c r="G62" s="20"/>
      <c r="H62" s="20"/>
      <c r="I62" s="20"/>
      <c r="J62" s="81"/>
      <c r="K62" s="82"/>
      <c r="L62" s="82"/>
      <c r="M62" s="82"/>
      <c r="N62" s="82"/>
      <c r="O62" s="83"/>
      <c r="P62" s="20"/>
      <c r="Q62" s="20"/>
      <c r="R62" s="20"/>
      <c r="S62" s="20"/>
      <c r="T62" s="1"/>
      <c r="U62" s="1"/>
      <c r="V62" s="1"/>
      <c r="W62" s="1"/>
      <c r="X62" s="1"/>
      <c r="Y62" s="1"/>
      <c r="Z62" s="1"/>
    </row>
    <row r="63" spans="1:26" ht="18" customHeight="1">
      <c r="A63" s="8"/>
      <c r="B63" s="81"/>
      <c r="C63" s="82"/>
      <c r="D63" s="82"/>
      <c r="E63" s="83"/>
      <c r="F63" s="20"/>
      <c r="G63" s="20"/>
      <c r="H63" s="20"/>
      <c r="I63" s="20"/>
      <c r="J63" s="81"/>
      <c r="K63" s="82"/>
      <c r="L63" s="82"/>
      <c r="M63" s="82"/>
      <c r="N63" s="82"/>
      <c r="O63" s="83"/>
      <c r="P63" s="20"/>
      <c r="Q63" s="20"/>
      <c r="R63" s="20"/>
      <c r="S63" s="20"/>
      <c r="T63" s="1"/>
      <c r="U63" s="1"/>
      <c r="V63" s="1"/>
      <c r="W63" s="1"/>
      <c r="X63" s="1"/>
      <c r="Y63" s="1"/>
      <c r="Z63" s="1"/>
    </row>
    <row r="64" spans="1:26" ht="18" customHeight="1">
      <c r="A64" s="8"/>
      <c r="B64" s="84"/>
      <c r="C64" s="85"/>
      <c r="D64" s="85"/>
      <c r="E64" s="86"/>
      <c r="F64" s="21"/>
      <c r="G64" s="21"/>
      <c r="H64" s="22"/>
      <c r="I64" s="22"/>
      <c r="J64" s="84"/>
      <c r="K64" s="85"/>
      <c r="L64" s="85"/>
      <c r="M64" s="85"/>
      <c r="N64" s="85"/>
      <c r="O64" s="86"/>
      <c r="P64" s="21"/>
      <c r="Q64" s="21"/>
      <c r="R64" s="22"/>
      <c r="S64" s="22"/>
      <c r="T64" s="1"/>
      <c r="U64" s="1"/>
      <c r="V64" s="1"/>
      <c r="W64" s="1"/>
      <c r="X64" s="1"/>
      <c r="Y64" s="1"/>
      <c r="Z64" s="1"/>
    </row>
    <row r="65" spans="1:26" ht="7.5" customHeight="1">
      <c r="A65" s="1"/>
      <c r="B65" s="23"/>
      <c r="C65" s="23"/>
      <c r="D65" s="23"/>
      <c r="E65" s="23"/>
      <c r="F65" s="23"/>
      <c r="G65" s="23"/>
      <c r="H65" s="23"/>
      <c r="I65" s="23"/>
      <c r="J65" s="23"/>
      <c r="K65" s="23"/>
      <c r="L65" s="23"/>
      <c r="M65" s="23"/>
      <c r="N65" s="23"/>
      <c r="O65" s="23"/>
      <c r="P65" s="23"/>
      <c r="Q65" s="23"/>
      <c r="R65" s="23"/>
      <c r="S65" s="1"/>
      <c r="T65" s="1"/>
      <c r="U65" s="1"/>
      <c r="V65" s="1"/>
      <c r="W65" s="1"/>
      <c r="X65" s="1"/>
      <c r="Y65" s="1"/>
      <c r="Z65" s="1"/>
    </row>
    <row r="66" spans="1:26" ht="18" customHeight="1">
      <c r="A66" s="93" t="s">
        <v>39</v>
      </c>
      <c r="B66" s="94"/>
      <c r="C66" s="94"/>
      <c r="D66" s="94"/>
      <c r="E66" s="94"/>
      <c r="F66" s="94"/>
      <c r="G66" s="94"/>
      <c r="H66" s="94"/>
      <c r="I66" s="94"/>
      <c r="J66" s="94"/>
      <c r="K66" s="94"/>
      <c r="L66" s="94"/>
      <c r="M66" s="94"/>
      <c r="N66" s="94"/>
      <c r="O66" s="94"/>
      <c r="P66" s="94"/>
      <c r="Q66" s="94"/>
      <c r="R66" s="94"/>
      <c r="S66" s="94"/>
      <c r="T66" s="1"/>
      <c r="U66" s="1"/>
      <c r="V66" s="1"/>
      <c r="W66" s="1"/>
      <c r="X66" s="1"/>
      <c r="Y66" s="1"/>
      <c r="Z66" s="1"/>
    </row>
    <row r="67" spans="1:26" ht="18" customHeight="1">
      <c r="A67" s="94"/>
      <c r="B67" s="94"/>
      <c r="C67" s="94"/>
      <c r="D67" s="94"/>
      <c r="E67" s="94"/>
      <c r="F67" s="94"/>
      <c r="G67" s="94"/>
      <c r="H67" s="94"/>
      <c r="I67" s="94"/>
      <c r="J67" s="94"/>
      <c r="K67" s="94"/>
      <c r="L67" s="94"/>
      <c r="M67" s="94"/>
      <c r="N67" s="94"/>
      <c r="O67" s="94"/>
      <c r="P67" s="94"/>
      <c r="Q67" s="94"/>
      <c r="R67" s="94"/>
      <c r="S67" s="94"/>
      <c r="T67" s="1"/>
      <c r="U67" s="1"/>
      <c r="V67" s="1"/>
      <c r="W67" s="1"/>
      <c r="X67" s="1"/>
      <c r="Y67" s="1"/>
      <c r="Z67" s="1"/>
    </row>
    <row r="68" spans="1:26" ht="18" customHeight="1">
      <c r="A68" s="1"/>
      <c r="B68" s="87" t="s">
        <v>21</v>
      </c>
      <c r="C68" s="88"/>
      <c r="D68" s="88"/>
      <c r="E68" s="16" t="s">
        <v>22</v>
      </c>
      <c r="F68" s="17" t="s">
        <v>23</v>
      </c>
      <c r="G68" s="18" t="s">
        <v>40</v>
      </c>
      <c r="H68" s="18" t="s">
        <v>41</v>
      </c>
      <c r="I68" s="18" t="s">
        <v>42</v>
      </c>
      <c r="J68" s="87" t="s">
        <v>21</v>
      </c>
      <c r="K68" s="88"/>
      <c r="L68" s="88"/>
      <c r="M68" s="88"/>
      <c r="N68" s="89"/>
      <c r="O68" s="16" t="s">
        <v>22</v>
      </c>
      <c r="P68" s="17" t="s">
        <v>23</v>
      </c>
      <c r="Q68" s="18" t="s">
        <v>40</v>
      </c>
      <c r="R68" s="18" t="s">
        <v>41</v>
      </c>
      <c r="S68" s="18" t="s">
        <v>42</v>
      </c>
      <c r="T68" s="1"/>
      <c r="U68" s="1"/>
      <c r="V68" s="1"/>
      <c r="W68" s="1"/>
      <c r="X68" s="1"/>
      <c r="Y68" s="1"/>
      <c r="Z68" s="1"/>
    </row>
    <row r="69" spans="1:26" ht="18" customHeight="1">
      <c r="A69" s="8"/>
      <c r="B69" s="90" t="s">
        <v>26</v>
      </c>
      <c r="C69" s="91"/>
      <c r="D69" s="92"/>
      <c r="E69" s="19">
        <v>2</v>
      </c>
      <c r="F69" s="19"/>
      <c r="G69" s="19" t="s">
        <v>27</v>
      </c>
      <c r="H69" s="19" t="s">
        <v>27</v>
      </c>
      <c r="I69" s="19" t="s">
        <v>27</v>
      </c>
      <c r="J69" s="90"/>
      <c r="K69" s="91"/>
      <c r="L69" s="91"/>
      <c r="M69" s="91"/>
      <c r="N69" s="92"/>
      <c r="O69" s="19"/>
      <c r="P69" s="19"/>
      <c r="Q69" s="19"/>
      <c r="R69" s="19"/>
      <c r="S69" s="19"/>
      <c r="T69" s="1"/>
      <c r="U69" s="1"/>
      <c r="V69" s="1"/>
      <c r="W69" s="1"/>
      <c r="X69" s="1"/>
      <c r="Y69" s="1"/>
      <c r="Z69" s="1"/>
    </row>
    <row r="70" spans="1:26" ht="18" customHeight="1">
      <c r="A70" s="8"/>
      <c r="B70" s="81" t="s">
        <v>28</v>
      </c>
      <c r="C70" s="82"/>
      <c r="D70" s="83"/>
      <c r="E70" s="20">
        <v>2</v>
      </c>
      <c r="F70" s="20"/>
      <c r="G70" s="20" t="s">
        <v>27</v>
      </c>
      <c r="H70" s="20" t="s">
        <v>27</v>
      </c>
      <c r="I70" s="20" t="s">
        <v>27</v>
      </c>
      <c r="J70" s="81"/>
      <c r="K70" s="82"/>
      <c r="L70" s="82"/>
      <c r="M70" s="82"/>
      <c r="N70" s="83"/>
      <c r="O70" s="20"/>
      <c r="P70" s="20"/>
      <c r="Q70" s="20"/>
      <c r="R70" s="20"/>
      <c r="S70" s="20"/>
      <c r="T70" s="1"/>
      <c r="U70" s="1"/>
      <c r="V70" s="1"/>
      <c r="W70" s="1"/>
      <c r="X70" s="1"/>
      <c r="Y70" s="1"/>
      <c r="Z70" s="1"/>
    </row>
    <row r="71" spans="1:26" ht="18" customHeight="1">
      <c r="A71" s="8"/>
      <c r="B71" s="81" t="s">
        <v>29</v>
      </c>
      <c r="C71" s="82"/>
      <c r="D71" s="83"/>
      <c r="E71" s="20">
        <v>2</v>
      </c>
      <c r="F71" s="20"/>
      <c r="G71" s="20" t="s">
        <v>27</v>
      </c>
      <c r="H71" s="20" t="s">
        <v>27</v>
      </c>
      <c r="I71" s="20" t="s">
        <v>27</v>
      </c>
      <c r="J71" s="81"/>
      <c r="K71" s="82"/>
      <c r="L71" s="82"/>
      <c r="M71" s="82"/>
      <c r="N71" s="83"/>
      <c r="O71" s="20"/>
      <c r="P71" s="20"/>
      <c r="Q71" s="20"/>
      <c r="R71" s="20"/>
      <c r="S71" s="20"/>
      <c r="T71" s="1"/>
      <c r="U71" s="1"/>
      <c r="V71" s="1"/>
      <c r="W71" s="1"/>
      <c r="X71" s="1"/>
      <c r="Y71" s="1"/>
      <c r="Z71" s="1"/>
    </row>
    <row r="72" spans="1:26" ht="18" customHeight="1">
      <c r="A72" s="8"/>
      <c r="B72" s="81"/>
      <c r="C72" s="82"/>
      <c r="D72" s="82"/>
      <c r="E72" s="20"/>
      <c r="F72" s="20"/>
      <c r="G72" s="20"/>
      <c r="H72" s="20"/>
      <c r="I72" s="20"/>
      <c r="J72" s="81"/>
      <c r="K72" s="82"/>
      <c r="L72" s="82"/>
      <c r="M72" s="82"/>
      <c r="N72" s="83"/>
      <c r="O72" s="20"/>
      <c r="P72" s="20"/>
      <c r="Q72" s="20"/>
      <c r="R72" s="20"/>
      <c r="S72" s="20"/>
      <c r="T72" s="1"/>
      <c r="U72" s="1"/>
      <c r="V72" s="1"/>
      <c r="W72" s="1"/>
      <c r="X72" s="1"/>
      <c r="Y72" s="1"/>
      <c r="Z72" s="1"/>
    </row>
    <row r="73" spans="1:26" ht="18" customHeight="1">
      <c r="A73" s="8"/>
      <c r="B73" s="81"/>
      <c r="C73" s="82"/>
      <c r="D73" s="82"/>
      <c r="E73" s="20"/>
      <c r="F73" s="20"/>
      <c r="G73" s="20"/>
      <c r="H73" s="20"/>
      <c r="I73" s="20"/>
      <c r="J73" s="81"/>
      <c r="K73" s="82"/>
      <c r="L73" s="82"/>
      <c r="M73" s="82"/>
      <c r="N73" s="83"/>
      <c r="O73" s="20"/>
      <c r="P73" s="20"/>
      <c r="Q73" s="20"/>
      <c r="R73" s="20"/>
      <c r="S73" s="20"/>
      <c r="T73" s="1"/>
      <c r="U73" s="1"/>
      <c r="V73" s="1"/>
      <c r="W73" s="1"/>
      <c r="X73" s="1"/>
      <c r="Y73" s="1"/>
      <c r="Z73" s="1"/>
    </row>
    <row r="74" spans="1:26" ht="18" customHeight="1">
      <c r="A74" s="8"/>
      <c r="B74" s="81"/>
      <c r="C74" s="82"/>
      <c r="D74" s="82"/>
      <c r="E74" s="20"/>
      <c r="F74" s="20"/>
      <c r="G74" s="20"/>
      <c r="H74" s="20"/>
      <c r="I74" s="20"/>
      <c r="J74" s="81"/>
      <c r="K74" s="82"/>
      <c r="L74" s="82"/>
      <c r="M74" s="82"/>
      <c r="N74" s="83"/>
      <c r="O74" s="20"/>
      <c r="P74" s="20"/>
      <c r="Q74" s="20"/>
      <c r="R74" s="20"/>
      <c r="S74" s="20"/>
      <c r="T74" s="1"/>
      <c r="U74" s="1"/>
      <c r="V74" s="1"/>
      <c r="W74" s="1"/>
      <c r="X74" s="1"/>
      <c r="Y74" s="1"/>
      <c r="Z74" s="1"/>
    </row>
    <row r="75" spans="1:26" ht="18" customHeight="1">
      <c r="A75" s="8"/>
      <c r="B75" s="84"/>
      <c r="C75" s="85"/>
      <c r="D75" s="85"/>
      <c r="E75" s="21"/>
      <c r="F75" s="21"/>
      <c r="G75" s="22"/>
      <c r="H75" s="22"/>
      <c r="I75" s="22"/>
      <c r="J75" s="84"/>
      <c r="K75" s="85"/>
      <c r="L75" s="85"/>
      <c r="M75" s="85"/>
      <c r="N75" s="86"/>
      <c r="O75" s="21"/>
      <c r="P75" s="21"/>
      <c r="Q75" s="22"/>
      <c r="R75" s="22"/>
      <c r="S75" s="22"/>
      <c r="T75" s="1"/>
      <c r="U75" s="1"/>
      <c r="V75" s="1"/>
      <c r="W75" s="1"/>
      <c r="X75" s="1"/>
      <c r="Y75" s="1"/>
      <c r="Z75" s="1"/>
    </row>
    <row r="76" spans="1:26" ht="7.5" customHeight="1">
      <c r="A76" s="1"/>
      <c r="B76" s="23"/>
      <c r="C76" s="23"/>
      <c r="D76" s="23"/>
      <c r="E76" s="23"/>
      <c r="F76" s="23"/>
      <c r="G76" s="23"/>
      <c r="H76" s="23"/>
      <c r="I76" s="23"/>
      <c r="J76" s="23"/>
      <c r="K76" s="23"/>
      <c r="L76" s="23"/>
      <c r="M76" s="23"/>
      <c r="N76" s="23"/>
      <c r="O76" s="23"/>
      <c r="P76" s="23"/>
      <c r="Q76" s="23"/>
      <c r="R76" s="23"/>
      <c r="S76" s="1"/>
      <c r="T76" s="1"/>
      <c r="U76" s="1"/>
      <c r="V76" s="1"/>
      <c r="W76" s="1"/>
      <c r="X76" s="1"/>
      <c r="Y76" s="1"/>
      <c r="Z76" s="1"/>
    </row>
    <row r="77" spans="1:26" ht="18" customHeight="1">
      <c r="A77" s="1" t="s">
        <v>43</v>
      </c>
      <c r="B77" s="1"/>
      <c r="C77" s="1"/>
      <c r="D77" s="1"/>
      <c r="E77" s="1"/>
      <c r="F77" s="1"/>
      <c r="G77" s="1"/>
      <c r="H77" s="8"/>
      <c r="I77" s="8"/>
      <c r="J77" s="8"/>
      <c r="K77" s="8"/>
      <c r="L77" s="8"/>
      <c r="M77" s="8"/>
      <c r="N77" s="8"/>
      <c r="O77" s="8"/>
      <c r="P77" s="8"/>
      <c r="Q77" s="8"/>
      <c r="R77" s="8"/>
      <c r="S77" s="8"/>
      <c r="T77" s="1"/>
      <c r="U77" s="1"/>
      <c r="V77" s="1"/>
      <c r="W77" s="1"/>
      <c r="X77" s="1"/>
      <c r="Y77" s="1"/>
      <c r="Z77" s="1"/>
    </row>
    <row r="78" spans="1:26" ht="18" customHeight="1">
      <c r="A78" s="1"/>
      <c r="B78" s="87" t="s">
        <v>21</v>
      </c>
      <c r="C78" s="88"/>
      <c r="D78" s="88"/>
      <c r="E78" s="89"/>
      <c r="F78" s="87" t="s">
        <v>44</v>
      </c>
      <c r="G78" s="88"/>
      <c r="H78" s="88"/>
      <c r="I78" s="89"/>
      <c r="J78" s="129" t="s">
        <v>21</v>
      </c>
      <c r="K78" s="99"/>
      <c r="L78" s="99"/>
      <c r="M78" s="99"/>
      <c r="N78" s="99"/>
      <c r="O78" s="100"/>
      <c r="P78" s="87" t="s">
        <v>44</v>
      </c>
      <c r="Q78" s="88"/>
      <c r="R78" s="88"/>
      <c r="S78" s="89"/>
      <c r="T78" s="1"/>
      <c r="U78" s="1"/>
      <c r="V78" s="1"/>
      <c r="W78" s="1"/>
      <c r="X78" s="1"/>
      <c r="Y78" s="1"/>
      <c r="Z78" s="1"/>
    </row>
    <row r="79" spans="1:26" ht="18" customHeight="1">
      <c r="A79" s="8"/>
      <c r="B79" s="90"/>
      <c r="C79" s="91"/>
      <c r="D79" s="91"/>
      <c r="E79" s="92"/>
      <c r="F79" s="108"/>
      <c r="G79" s="91"/>
      <c r="H79" s="91"/>
      <c r="I79" s="92"/>
      <c r="J79" s="90"/>
      <c r="K79" s="91"/>
      <c r="L79" s="91"/>
      <c r="M79" s="91"/>
      <c r="N79" s="91"/>
      <c r="O79" s="92"/>
      <c r="P79" s="108"/>
      <c r="Q79" s="91"/>
      <c r="R79" s="91"/>
      <c r="S79" s="92"/>
      <c r="T79" s="1"/>
      <c r="U79" s="1"/>
      <c r="V79" s="1"/>
      <c r="W79" s="1"/>
      <c r="X79" s="1"/>
      <c r="Y79" s="1"/>
      <c r="Z79" s="1"/>
    </row>
    <row r="80" spans="1:26" ht="18" customHeight="1">
      <c r="A80" s="8"/>
      <c r="B80" s="81"/>
      <c r="C80" s="82"/>
      <c r="D80" s="82"/>
      <c r="E80" s="83"/>
      <c r="F80" s="119"/>
      <c r="G80" s="82"/>
      <c r="H80" s="82"/>
      <c r="I80" s="83"/>
      <c r="J80" s="81"/>
      <c r="K80" s="82"/>
      <c r="L80" s="82"/>
      <c r="M80" s="82"/>
      <c r="N80" s="82"/>
      <c r="O80" s="83"/>
      <c r="P80" s="119"/>
      <c r="Q80" s="82"/>
      <c r="R80" s="82"/>
      <c r="S80" s="83"/>
      <c r="T80" s="1"/>
      <c r="U80" s="1"/>
      <c r="V80" s="1"/>
      <c r="W80" s="1"/>
      <c r="X80" s="1"/>
      <c r="Y80" s="1"/>
      <c r="Z80" s="1"/>
    </row>
    <row r="81" spans="1:26" ht="18" customHeight="1">
      <c r="A81" s="8"/>
      <c r="B81" s="81"/>
      <c r="C81" s="82"/>
      <c r="D81" s="82"/>
      <c r="E81" s="83"/>
      <c r="F81" s="119"/>
      <c r="G81" s="82"/>
      <c r="H81" s="82"/>
      <c r="I81" s="83"/>
      <c r="J81" s="81"/>
      <c r="K81" s="82"/>
      <c r="L81" s="82"/>
      <c r="M81" s="82"/>
      <c r="N81" s="82"/>
      <c r="O81" s="83"/>
      <c r="P81" s="119"/>
      <c r="Q81" s="82"/>
      <c r="R81" s="82"/>
      <c r="S81" s="83"/>
      <c r="T81" s="1"/>
      <c r="U81" s="1"/>
      <c r="V81" s="1"/>
      <c r="W81" s="1"/>
      <c r="X81" s="1"/>
      <c r="Y81" s="1"/>
      <c r="Z81" s="1"/>
    </row>
    <row r="82" spans="1:26" ht="18" customHeight="1">
      <c r="A82" s="8"/>
      <c r="B82" s="81"/>
      <c r="C82" s="82"/>
      <c r="D82" s="82"/>
      <c r="E82" s="83"/>
      <c r="F82" s="119"/>
      <c r="G82" s="82"/>
      <c r="H82" s="82"/>
      <c r="I82" s="83"/>
      <c r="J82" s="81"/>
      <c r="K82" s="82"/>
      <c r="L82" s="82"/>
      <c r="M82" s="82"/>
      <c r="N82" s="82"/>
      <c r="O82" s="83"/>
      <c r="P82" s="119"/>
      <c r="Q82" s="82"/>
      <c r="R82" s="82"/>
      <c r="S82" s="83"/>
      <c r="T82" s="1"/>
      <c r="U82" s="1"/>
      <c r="V82" s="1"/>
      <c r="W82" s="1"/>
      <c r="X82" s="1"/>
      <c r="Y82" s="1"/>
      <c r="Z82" s="1"/>
    </row>
    <row r="83" spans="1:26" ht="18" customHeight="1">
      <c r="A83" s="8"/>
      <c r="B83" s="81"/>
      <c r="C83" s="82"/>
      <c r="D83" s="82"/>
      <c r="E83" s="83"/>
      <c r="F83" s="119"/>
      <c r="G83" s="82"/>
      <c r="H83" s="82"/>
      <c r="I83" s="83"/>
      <c r="J83" s="81"/>
      <c r="K83" s="82"/>
      <c r="L83" s="82"/>
      <c r="M83" s="82"/>
      <c r="N83" s="82"/>
      <c r="O83" s="83"/>
      <c r="P83" s="119"/>
      <c r="Q83" s="82"/>
      <c r="R83" s="82"/>
      <c r="S83" s="83"/>
      <c r="T83" s="1"/>
      <c r="U83" s="1"/>
      <c r="V83" s="1"/>
      <c r="W83" s="1"/>
      <c r="X83" s="1"/>
      <c r="Y83" s="1"/>
      <c r="Z83" s="1"/>
    </row>
    <row r="84" spans="1:26" ht="18" customHeight="1">
      <c r="A84" s="8"/>
      <c r="B84" s="81"/>
      <c r="C84" s="82"/>
      <c r="D84" s="82"/>
      <c r="E84" s="83"/>
      <c r="F84" s="119"/>
      <c r="G84" s="82"/>
      <c r="H84" s="82"/>
      <c r="I84" s="83"/>
      <c r="J84" s="81"/>
      <c r="K84" s="82"/>
      <c r="L84" s="82"/>
      <c r="M84" s="82"/>
      <c r="N84" s="82"/>
      <c r="O84" s="83"/>
      <c r="P84" s="119"/>
      <c r="Q84" s="82"/>
      <c r="R84" s="82"/>
      <c r="S84" s="83"/>
      <c r="T84" s="1"/>
      <c r="U84" s="1"/>
      <c r="V84" s="1"/>
      <c r="W84" s="1"/>
      <c r="X84" s="1"/>
      <c r="Y84" s="1"/>
      <c r="Z84" s="1"/>
    </row>
    <row r="85" spans="1:26" ht="18" customHeight="1">
      <c r="A85" s="8"/>
      <c r="B85" s="84"/>
      <c r="C85" s="85"/>
      <c r="D85" s="85"/>
      <c r="E85" s="86"/>
      <c r="F85" s="130"/>
      <c r="G85" s="85"/>
      <c r="H85" s="85"/>
      <c r="I85" s="86"/>
      <c r="J85" s="84"/>
      <c r="K85" s="85"/>
      <c r="L85" s="85"/>
      <c r="M85" s="85"/>
      <c r="N85" s="85"/>
      <c r="O85" s="86"/>
      <c r="P85" s="130"/>
      <c r="Q85" s="85"/>
      <c r="R85" s="85"/>
      <c r="S85" s="86"/>
      <c r="T85" s="1"/>
      <c r="U85" s="1"/>
      <c r="V85" s="1"/>
      <c r="W85" s="1"/>
      <c r="X85" s="1"/>
      <c r="Y85" s="1"/>
      <c r="Z85" s="1"/>
    </row>
    <row r="86" spans="1:26" ht="18" customHeight="1">
      <c r="A86" s="8"/>
      <c r="B86" s="5"/>
      <c r="C86" s="5"/>
      <c r="D86" s="5"/>
      <c r="E86" s="5"/>
      <c r="F86" s="24"/>
      <c r="G86" s="24"/>
      <c r="H86" s="24"/>
      <c r="I86" s="24"/>
      <c r="J86" s="5"/>
      <c r="K86" s="5"/>
      <c r="L86" s="5"/>
      <c r="M86" s="5"/>
      <c r="N86" s="5"/>
      <c r="O86" s="5"/>
      <c r="P86" s="24"/>
      <c r="Q86" s="24"/>
      <c r="R86" s="24"/>
      <c r="S86" s="24"/>
      <c r="T86" s="1"/>
      <c r="U86" s="1"/>
      <c r="V86" s="1"/>
      <c r="W86" s="1"/>
      <c r="X86" s="1"/>
      <c r="Y86" s="1"/>
      <c r="Z86" s="1"/>
    </row>
    <row r="87" spans="1:26" ht="18.75" customHeight="1">
      <c r="A87" s="1" t="s">
        <v>45</v>
      </c>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21" t="s">
        <v>46</v>
      </c>
      <c r="C88" s="89"/>
      <c r="D88" s="122" t="s">
        <v>47</v>
      </c>
      <c r="E88" s="88"/>
      <c r="F88" s="88"/>
      <c r="G88" s="88"/>
      <c r="H88" s="88"/>
      <c r="I88" s="88"/>
      <c r="J88" s="88"/>
      <c r="K88" s="88"/>
      <c r="L88" s="88"/>
      <c r="M88" s="88"/>
      <c r="N88" s="88"/>
      <c r="O88" s="88"/>
      <c r="P88" s="88"/>
      <c r="Q88" s="88"/>
      <c r="R88" s="88"/>
      <c r="S88" s="89"/>
      <c r="T88" s="1"/>
      <c r="U88" s="1"/>
      <c r="V88" s="1"/>
      <c r="W88" s="1"/>
      <c r="X88" s="1"/>
      <c r="Y88" s="1"/>
      <c r="Z88" s="1"/>
    </row>
    <row r="89" spans="1:26" ht="97.5" customHeight="1">
      <c r="A89" s="1"/>
      <c r="B89" s="109" t="s">
        <v>48</v>
      </c>
      <c r="C89" s="25" t="s">
        <v>24</v>
      </c>
      <c r="D89" s="123" t="s">
        <v>49</v>
      </c>
      <c r="E89" s="99"/>
      <c r="F89" s="99"/>
      <c r="G89" s="99"/>
      <c r="H89" s="99"/>
      <c r="I89" s="99"/>
      <c r="J89" s="99"/>
      <c r="K89" s="99"/>
      <c r="L89" s="99"/>
      <c r="M89" s="99"/>
      <c r="N89" s="99"/>
      <c r="O89" s="99"/>
      <c r="P89" s="99"/>
      <c r="Q89" s="99"/>
      <c r="R89" s="99"/>
      <c r="S89" s="100"/>
      <c r="T89" s="1"/>
      <c r="U89" s="1"/>
      <c r="V89" s="1"/>
      <c r="W89" s="1"/>
      <c r="X89" s="1"/>
      <c r="Y89" s="1"/>
      <c r="Z89" s="1"/>
    </row>
    <row r="90" spans="1:26" ht="87.95" customHeight="1">
      <c r="A90" s="1"/>
      <c r="B90" s="111"/>
      <c r="C90" s="26" t="s">
        <v>25</v>
      </c>
      <c r="D90" s="124" t="s">
        <v>50</v>
      </c>
      <c r="E90" s="125"/>
      <c r="F90" s="125"/>
      <c r="G90" s="125"/>
      <c r="H90" s="125"/>
      <c r="I90" s="125"/>
      <c r="J90" s="125"/>
      <c r="K90" s="125"/>
      <c r="L90" s="125"/>
      <c r="M90" s="125"/>
      <c r="N90" s="125"/>
      <c r="O90" s="125"/>
      <c r="P90" s="125"/>
      <c r="Q90" s="125"/>
      <c r="R90" s="125"/>
      <c r="S90" s="126"/>
      <c r="T90" s="1"/>
      <c r="U90" s="1"/>
      <c r="V90" s="1"/>
      <c r="W90" s="1"/>
      <c r="X90" s="1"/>
      <c r="Y90" s="1"/>
      <c r="Z90" s="1"/>
    </row>
    <row r="91" spans="1:26" ht="96.95" customHeight="1">
      <c r="A91" s="1"/>
      <c r="B91" s="109" t="s">
        <v>51</v>
      </c>
      <c r="C91" s="27" t="s">
        <v>31</v>
      </c>
      <c r="D91" s="127" t="s">
        <v>171</v>
      </c>
      <c r="E91" s="91"/>
      <c r="F91" s="91"/>
      <c r="G91" s="91"/>
      <c r="H91" s="91"/>
      <c r="I91" s="91"/>
      <c r="J91" s="91"/>
      <c r="K91" s="91"/>
      <c r="L91" s="91"/>
      <c r="M91" s="91"/>
      <c r="N91" s="91"/>
      <c r="O91" s="91"/>
      <c r="P91" s="91"/>
      <c r="Q91" s="91"/>
      <c r="R91" s="91"/>
      <c r="S91" s="92"/>
      <c r="T91" s="1"/>
      <c r="U91" s="1"/>
      <c r="V91" s="1"/>
      <c r="W91" s="1"/>
      <c r="X91" s="1"/>
      <c r="Y91" s="1"/>
      <c r="Z91" s="1"/>
    </row>
    <row r="92" spans="1:26" ht="97.5" customHeight="1">
      <c r="A92" s="1"/>
      <c r="B92" s="110"/>
      <c r="C92" s="28" t="s">
        <v>32</v>
      </c>
      <c r="D92" s="128" t="s">
        <v>172</v>
      </c>
      <c r="E92" s="85"/>
      <c r="F92" s="85"/>
      <c r="G92" s="85"/>
      <c r="H92" s="85"/>
      <c r="I92" s="85"/>
      <c r="J92" s="85"/>
      <c r="K92" s="85"/>
      <c r="L92" s="85"/>
      <c r="M92" s="85"/>
      <c r="N92" s="85"/>
      <c r="O92" s="85"/>
      <c r="P92" s="85"/>
      <c r="Q92" s="85"/>
      <c r="R92" s="85"/>
      <c r="S92" s="86"/>
      <c r="T92" s="1"/>
      <c r="U92" s="1"/>
      <c r="V92" s="1"/>
      <c r="W92" s="1"/>
      <c r="X92" s="1"/>
      <c r="Y92" s="1"/>
      <c r="Z92" s="1"/>
    </row>
    <row r="93" spans="1:26" ht="121.5" customHeight="1">
      <c r="A93" s="1"/>
      <c r="B93" s="109" t="s">
        <v>52</v>
      </c>
      <c r="C93" s="27" t="s">
        <v>34</v>
      </c>
      <c r="D93" s="112" t="s">
        <v>53</v>
      </c>
      <c r="E93" s="91"/>
      <c r="F93" s="91"/>
      <c r="G93" s="91"/>
      <c r="H93" s="91"/>
      <c r="I93" s="91"/>
      <c r="J93" s="91"/>
      <c r="K93" s="91"/>
      <c r="L93" s="91"/>
      <c r="M93" s="91"/>
      <c r="N93" s="91"/>
      <c r="O93" s="91"/>
      <c r="P93" s="91"/>
      <c r="Q93" s="91"/>
      <c r="R93" s="91"/>
      <c r="S93" s="92"/>
      <c r="T93" s="1"/>
      <c r="U93" s="1"/>
      <c r="V93" s="1"/>
      <c r="W93" s="1"/>
      <c r="X93" s="1"/>
      <c r="Y93" s="1"/>
      <c r="Z93" s="1"/>
    </row>
    <row r="94" spans="1:26" ht="97.5" customHeight="1">
      <c r="A94" s="1"/>
      <c r="B94" s="110"/>
      <c r="C94" s="29" t="s">
        <v>35</v>
      </c>
      <c r="D94" s="113" t="s">
        <v>54</v>
      </c>
      <c r="E94" s="102"/>
      <c r="F94" s="102"/>
      <c r="G94" s="102"/>
      <c r="H94" s="102"/>
      <c r="I94" s="102"/>
      <c r="J94" s="102"/>
      <c r="K94" s="102"/>
      <c r="L94" s="102"/>
      <c r="M94" s="102"/>
      <c r="N94" s="102"/>
      <c r="O94" s="102"/>
      <c r="P94" s="102"/>
      <c r="Q94" s="102"/>
      <c r="R94" s="102"/>
      <c r="S94" s="103"/>
      <c r="T94" s="1"/>
      <c r="U94" s="1"/>
      <c r="V94" s="1"/>
      <c r="W94" s="1"/>
      <c r="X94" s="1"/>
      <c r="Y94" s="1"/>
      <c r="Z94" s="1"/>
    </row>
    <row r="95" spans="1:26" ht="108.75" customHeight="1">
      <c r="A95" s="1"/>
      <c r="B95" s="109" t="s">
        <v>55</v>
      </c>
      <c r="C95" s="25" t="s">
        <v>37</v>
      </c>
      <c r="D95" s="114" t="s">
        <v>56</v>
      </c>
      <c r="E95" s="99"/>
      <c r="F95" s="99"/>
      <c r="G95" s="99"/>
      <c r="H95" s="99"/>
      <c r="I95" s="99"/>
      <c r="J95" s="99"/>
      <c r="K95" s="99"/>
      <c r="L95" s="99"/>
      <c r="M95" s="99"/>
      <c r="N95" s="99"/>
      <c r="O95" s="99"/>
      <c r="P95" s="99"/>
      <c r="Q95" s="99"/>
      <c r="R95" s="99"/>
      <c r="S95" s="100"/>
      <c r="T95" s="1"/>
      <c r="U95" s="1"/>
      <c r="V95" s="1"/>
      <c r="W95" s="1"/>
      <c r="X95" s="1"/>
      <c r="Y95" s="1"/>
      <c r="Z95" s="1"/>
    </row>
    <row r="96" spans="1:26" ht="97.5" customHeight="1">
      <c r="A96" s="1"/>
      <c r="B96" s="110"/>
      <c r="C96" s="28" t="s">
        <v>38</v>
      </c>
      <c r="D96" s="115" t="s">
        <v>57</v>
      </c>
      <c r="E96" s="85"/>
      <c r="F96" s="85"/>
      <c r="G96" s="85"/>
      <c r="H96" s="85"/>
      <c r="I96" s="85"/>
      <c r="J96" s="85"/>
      <c r="K96" s="85"/>
      <c r="L96" s="85"/>
      <c r="M96" s="85"/>
      <c r="N96" s="85"/>
      <c r="O96" s="85"/>
      <c r="P96" s="85"/>
      <c r="Q96" s="85"/>
      <c r="R96" s="85"/>
      <c r="S96" s="86"/>
      <c r="T96" s="1"/>
      <c r="U96" s="1"/>
      <c r="V96" s="1"/>
      <c r="W96" s="1"/>
      <c r="X96" s="1"/>
      <c r="Y96" s="1"/>
      <c r="Z96" s="1"/>
    </row>
    <row r="97" spans="1:26" ht="147" customHeight="1">
      <c r="A97" s="1"/>
      <c r="B97" s="109" t="s">
        <v>58</v>
      </c>
      <c r="C97" s="27" t="s">
        <v>40</v>
      </c>
      <c r="D97" s="116" t="s">
        <v>59</v>
      </c>
      <c r="E97" s="91"/>
      <c r="F97" s="91"/>
      <c r="G97" s="91"/>
      <c r="H97" s="91"/>
      <c r="I97" s="91"/>
      <c r="J97" s="91"/>
      <c r="K97" s="91"/>
      <c r="L97" s="91"/>
      <c r="M97" s="91"/>
      <c r="N97" s="91"/>
      <c r="O97" s="91"/>
      <c r="P97" s="91"/>
      <c r="Q97" s="91"/>
      <c r="R97" s="91"/>
      <c r="S97" s="92"/>
      <c r="T97" s="1"/>
      <c r="U97" s="1"/>
      <c r="V97" s="1"/>
      <c r="W97" s="1"/>
      <c r="X97" s="1"/>
      <c r="Y97" s="1"/>
      <c r="Z97" s="1"/>
    </row>
    <row r="98" spans="1:26" ht="114.75" customHeight="1">
      <c r="A98" s="1"/>
      <c r="B98" s="111"/>
      <c r="C98" s="30" t="s">
        <v>41</v>
      </c>
      <c r="D98" s="117" t="s">
        <v>60</v>
      </c>
      <c r="E98" s="82"/>
      <c r="F98" s="82"/>
      <c r="G98" s="82"/>
      <c r="H98" s="82"/>
      <c r="I98" s="82"/>
      <c r="J98" s="82"/>
      <c r="K98" s="82"/>
      <c r="L98" s="82"/>
      <c r="M98" s="82"/>
      <c r="N98" s="82"/>
      <c r="O98" s="82"/>
      <c r="P98" s="82"/>
      <c r="Q98" s="82"/>
      <c r="R98" s="82"/>
      <c r="S98" s="83"/>
      <c r="T98" s="1"/>
      <c r="U98" s="1"/>
      <c r="V98" s="1"/>
      <c r="W98" s="1"/>
      <c r="X98" s="1"/>
      <c r="Y98" s="1"/>
      <c r="Z98" s="1"/>
    </row>
    <row r="99" spans="1:26" ht="97.5" customHeight="1">
      <c r="A99" s="1"/>
      <c r="B99" s="110"/>
      <c r="C99" s="29" t="s">
        <v>42</v>
      </c>
      <c r="D99" s="118" t="s">
        <v>61</v>
      </c>
      <c r="E99" s="102"/>
      <c r="F99" s="102"/>
      <c r="G99" s="102"/>
      <c r="H99" s="102"/>
      <c r="I99" s="102"/>
      <c r="J99" s="102"/>
      <c r="K99" s="102"/>
      <c r="L99" s="102"/>
      <c r="M99" s="102"/>
      <c r="N99" s="102"/>
      <c r="O99" s="102"/>
      <c r="P99" s="102"/>
      <c r="Q99" s="102"/>
      <c r="R99" s="102"/>
      <c r="S99" s="103"/>
      <c r="T99" s="1"/>
      <c r="U99" s="1"/>
      <c r="V99" s="1"/>
      <c r="W99" s="1"/>
      <c r="X99" s="1"/>
      <c r="Y99" s="1"/>
      <c r="Z99" s="1"/>
    </row>
    <row r="100" spans="1:26" ht="6"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t="s">
        <v>62</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81.75" customHeight="1">
      <c r="A102" s="1"/>
      <c r="B102" s="120" t="s">
        <v>63</v>
      </c>
      <c r="C102" s="88"/>
      <c r="D102" s="88"/>
      <c r="E102" s="88"/>
      <c r="F102" s="88"/>
      <c r="G102" s="88"/>
      <c r="H102" s="88"/>
      <c r="I102" s="88"/>
      <c r="J102" s="88"/>
      <c r="K102" s="88"/>
      <c r="L102" s="88"/>
      <c r="M102" s="88"/>
      <c r="N102" s="88"/>
      <c r="O102" s="88"/>
      <c r="P102" s="88"/>
      <c r="Q102" s="88"/>
      <c r="R102" s="88"/>
      <c r="S102" s="89"/>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5">
    <mergeCell ref="P82:S82"/>
    <mergeCell ref="F83:I83"/>
    <mergeCell ref="J83:O83"/>
    <mergeCell ref="P83:S83"/>
    <mergeCell ref="J85:O85"/>
    <mergeCell ref="P85:S85"/>
    <mergeCell ref="B83:E83"/>
    <mergeCell ref="B84:E84"/>
    <mergeCell ref="F84:I84"/>
    <mergeCell ref="J84:O84"/>
    <mergeCell ref="P84:S84"/>
    <mergeCell ref="B85:E85"/>
    <mergeCell ref="F85:I85"/>
    <mergeCell ref="B102:S102"/>
    <mergeCell ref="B88:C88"/>
    <mergeCell ref="D88:S88"/>
    <mergeCell ref="B89:B90"/>
    <mergeCell ref="D89:S89"/>
    <mergeCell ref="D90:S90"/>
    <mergeCell ref="D91:S91"/>
    <mergeCell ref="D92:S92"/>
    <mergeCell ref="B71:D71"/>
    <mergeCell ref="J71:N71"/>
    <mergeCell ref="B72:D72"/>
    <mergeCell ref="J72:N72"/>
    <mergeCell ref="B73:D73"/>
    <mergeCell ref="J73:N73"/>
    <mergeCell ref="J74:N74"/>
    <mergeCell ref="J75:N75"/>
    <mergeCell ref="B74:D74"/>
    <mergeCell ref="B75:D75"/>
    <mergeCell ref="B78:E78"/>
    <mergeCell ref="F78:I78"/>
    <mergeCell ref="J78:O78"/>
    <mergeCell ref="P78:S78"/>
    <mergeCell ref="P79:S79"/>
    <mergeCell ref="J81:O81"/>
    <mergeCell ref="F79:I79"/>
    <mergeCell ref="J79:O79"/>
    <mergeCell ref="B91:B92"/>
    <mergeCell ref="B93:B94"/>
    <mergeCell ref="B95:B96"/>
    <mergeCell ref="B97:B99"/>
    <mergeCell ref="D93:S93"/>
    <mergeCell ref="D94:S94"/>
    <mergeCell ref="D95:S95"/>
    <mergeCell ref="D96:S96"/>
    <mergeCell ref="D97:S97"/>
    <mergeCell ref="D98:S98"/>
    <mergeCell ref="D99:S99"/>
    <mergeCell ref="P81:S81"/>
    <mergeCell ref="B79:E79"/>
    <mergeCell ref="B80:E80"/>
    <mergeCell ref="F80:I80"/>
    <mergeCell ref="J80:O80"/>
    <mergeCell ref="P80:S80"/>
    <mergeCell ref="B81:E81"/>
    <mergeCell ref="F81:I81"/>
    <mergeCell ref="B82:E82"/>
    <mergeCell ref="F82:I82"/>
    <mergeCell ref="J82:O82"/>
    <mergeCell ref="B35:E35"/>
    <mergeCell ref="B36:E36"/>
    <mergeCell ref="B37:E37"/>
    <mergeCell ref="B38:E38"/>
    <mergeCell ref="B39:E39"/>
    <mergeCell ref="J31:O31"/>
    <mergeCell ref="A33:S34"/>
    <mergeCell ref="J35:O35"/>
    <mergeCell ref="J36:O36"/>
    <mergeCell ref="J37:O37"/>
    <mergeCell ref="J38:O38"/>
    <mergeCell ref="J39:O39"/>
    <mergeCell ref="B27:E27"/>
    <mergeCell ref="J27:O27"/>
    <mergeCell ref="B28:E28"/>
    <mergeCell ref="J28:O28"/>
    <mergeCell ref="B29:E29"/>
    <mergeCell ref="J29:O29"/>
    <mergeCell ref="J30:O30"/>
    <mergeCell ref="B30:E30"/>
    <mergeCell ref="B31:E31"/>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J69:N69"/>
    <mergeCell ref="J70:N70"/>
    <mergeCell ref="B64:E64"/>
    <mergeCell ref="J64:O64"/>
    <mergeCell ref="A66:S67"/>
    <mergeCell ref="B68:D68"/>
    <mergeCell ref="J68:N68"/>
    <mergeCell ref="B69:D69"/>
    <mergeCell ref="B70:D70"/>
    <mergeCell ref="B58:E58"/>
    <mergeCell ref="J58:O58"/>
    <mergeCell ref="J59:O59"/>
    <mergeCell ref="J62:O62"/>
    <mergeCell ref="J63:O63"/>
    <mergeCell ref="B59:E59"/>
    <mergeCell ref="B60:E60"/>
    <mergeCell ref="J60:O60"/>
    <mergeCell ref="B61:E61"/>
    <mergeCell ref="J61:O61"/>
    <mergeCell ref="B62:E62"/>
    <mergeCell ref="B63:E63"/>
    <mergeCell ref="B51:E51"/>
    <mergeCell ref="J51:O51"/>
    <mergeCell ref="B52:E52"/>
    <mergeCell ref="J52:O52"/>
    <mergeCell ref="B53:E53"/>
    <mergeCell ref="J53:O53"/>
    <mergeCell ref="A55:S56"/>
    <mergeCell ref="B57:E57"/>
    <mergeCell ref="J57:O57"/>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s>
  <phoneticPr fontId="16"/>
  <conditionalFormatting sqref="B9:S10">
    <cfRule type="expression" dxfId="1" priority="1">
      <formula>$K$7="学部・学科によって、修了要件は相違しない"</formula>
    </cfRule>
  </conditionalFormatting>
  <dataValidations count="5">
    <dataValidation type="list" allowBlank="1" showErrorMessage="1" sqref="G25:I31 Q25:S31 G36:I42 Q36:S42 G47:I53 Q47:S53 G58:I64 Q58:S64 F69:I75 P69:S75" xr:uid="{00000000-0002-0000-0000-000000000000}">
      <formula1>"○"</formula1>
    </dataValidation>
    <dataValidation type="list" allowBlank="1" showErrorMessage="1" sqref="D32:G32 S32 D43:G43 S43" xr:uid="{00000000-0002-0000-0000-000001000000}">
      <formula1>"全学開講,一部開講"</formula1>
    </dataValidation>
    <dataValidation type="list" allowBlank="1" showErrorMessage="1" sqref="F79:F85 P79:P85 F86:I86 P86:S86" xr:uid="{00000000-0002-0000-0000-000002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K20" xr:uid="{00000000-0002-0000-0000-000003000000}">
      <formula1>$V$14:$V$16</formula1>
    </dataValidation>
    <dataValidation type="list" allowBlank="1" showErrorMessage="1" sqref="K7 K12" xr:uid="{00000000-0002-0000-0000-000004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19685039370078741" header="0" footer="0"/>
  <pageSetup paperSize="9" scale="73" fitToHeight="0" orientation="portrait" r:id="rId1"/>
  <headerFooter>
    <oddHeader>&amp;C数理・データサイエンス・AI教育プログラム認定制度【リテラシーレベル】</oddHeader>
  </headerFooter>
  <rowBreaks count="1" manualBreakCount="1">
    <brk id="65"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1000"/>
  <sheetViews>
    <sheetView tabSelected="1" topLeftCell="A7" workbookViewId="0">
      <selection activeCell="M27" sqref="M27"/>
    </sheetView>
  </sheetViews>
  <sheetFormatPr defaultColWidth="14.42578125" defaultRowHeight="15" customHeight="1"/>
  <cols>
    <col min="1" max="1" width="2.85546875" customWidth="1"/>
    <col min="2" max="2" width="20.85546875" customWidth="1"/>
    <col min="3" max="3" width="9.42578125" customWidth="1"/>
    <col min="4" max="4" width="6.140625" customWidth="1"/>
    <col min="5" max="5" width="8.85546875" customWidth="1"/>
    <col min="6" max="6" width="8" customWidth="1"/>
    <col min="7" max="11" width="6.7109375" customWidth="1"/>
    <col min="12" max="41" width="4.85546875" customWidth="1"/>
    <col min="42" max="42" width="6.42578125" customWidth="1"/>
    <col min="43" max="43" width="8.85546875" customWidth="1"/>
    <col min="44" max="45" width="9" customWidth="1"/>
  </cols>
  <sheetData>
    <row r="1" spans="1:45" ht="18"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t="s">
        <v>64</v>
      </c>
      <c r="AR1" s="1"/>
      <c r="AS1" s="1"/>
    </row>
    <row r="2" spans="1:45" ht="18" customHeight="1">
      <c r="A2" s="1"/>
      <c r="B2" s="1"/>
      <c r="C2" s="1"/>
      <c r="D2" s="1"/>
      <c r="E2" s="1"/>
      <c r="F2" s="1"/>
      <c r="G2" s="1"/>
      <c r="H2" s="1"/>
      <c r="I2" s="1"/>
      <c r="J2" s="1"/>
      <c r="K2" s="2"/>
      <c r="L2" s="1"/>
      <c r="M2" s="1"/>
      <c r="N2" s="1"/>
      <c r="O2" s="1"/>
      <c r="P2" s="1"/>
      <c r="Q2" s="2"/>
      <c r="R2" s="1"/>
      <c r="S2" s="1"/>
      <c r="T2" s="1"/>
      <c r="U2" s="1"/>
      <c r="V2" s="1"/>
      <c r="W2" s="2"/>
      <c r="X2" s="1"/>
      <c r="Y2" s="1"/>
      <c r="Z2" s="1"/>
      <c r="AA2" s="1"/>
      <c r="AB2" s="1"/>
      <c r="AC2" s="2"/>
      <c r="AD2" s="1"/>
      <c r="AE2" s="1"/>
      <c r="AF2" s="1"/>
      <c r="AG2" s="1"/>
      <c r="AH2" s="1"/>
      <c r="AI2" s="2"/>
      <c r="AJ2" s="1"/>
      <c r="AK2" s="1"/>
      <c r="AL2" s="2" t="s">
        <v>2</v>
      </c>
      <c r="AM2" s="87" t="str">
        <f>'様式１　プログラムを構成する授業科目'!C2</f>
        <v>大阪成蹊大学</v>
      </c>
      <c r="AN2" s="88"/>
      <c r="AO2" s="88"/>
      <c r="AP2" s="88"/>
      <c r="AQ2" s="89"/>
      <c r="AR2" s="1"/>
      <c r="AS2" s="1"/>
    </row>
    <row r="3" spans="1:45" ht="18" customHeight="1">
      <c r="A3" s="96" t="s">
        <v>65</v>
      </c>
      <c r="B3" s="94"/>
      <c r="C3" s="94"/>
      <c r="D3" s="94"/>
      <c r="E3" s="94"/>
      <c r="F3" s="94"/>
      <c r="G3" s="94"/>
      <c r="H3" s="94"/>
      <c r="I3" s="94"/>
      <c r="J3" s="94"/>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1"/>
      <c r="AS3" s="1"/>
    </row>
    <row r="4" spans="1:45" ht="7.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1"/>
      <c r="AS4" s="1"/>
    </row>
    <row r="5" spans="1:45" ht="18" customHeight="1">
      <c r="A5" s="1" t="s">
        <v>66</v>
      </c>
      <c r="B5" s="1"/>
      <c r="C5" s="133" t="s">
        <v>67</v>
      </c>
      <c r="D5" s="89"/>
      <c r="E5" s="8" t="s">
        <v>68</v>
      </c>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5"/>
      <c r="AQ5" s="5"/>
      <c r="AR5" s="1"/>
      <c r="AS5" s="1"/>
    </row>
    <row r="6" spans="1:45" ht="6" customHeight="1">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1"/>
      <c r="AS6" s="1"/>
    </row>
    <row r="7" spans="1:45" ht="18" customHeight="1">
      <c r="A7" s="1" t="s">
        <v>69</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1"/>
      <c r="AS7" s="1"/>
    </row>
    <row r="8" spans="1:45" ht="6" customHeight="1">
      <c r="A8" s="1"/>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1"/>
      <c r="AS8" s="1"/>
    </row>
    <row r="9" spans="1:45" ht="18" customHeight="1">
      <c r="A9" s="1"/>
      <c r="B9" s="134" t="s">
        <v>70</v>
      </c>
      <c r="C9" s="137" t="s">
        <v>71</v>
      </c>
      <c r="D9" s="138" t="s">
        <v>72</v>
      </c>
      <c r="E9" s="139" t="s">
        <v>73</v>
      </c>
      <c r="F9" s="131" t="s">
        <v>74</v>
      </c>
      <c r="G9" s="91"/>
      <c r="H9" s="91"/>
      <c r="I9" s="91"/>
      <c r="J9" s="91"/>
      <c r="K9" s="92"/>
      <c r="L9" s="131" t="s">
        <v>75</v>
      </c>
      <c r="M9" s="91"/>
      <c r="N9" s="91"/>
      <c r="O9" s="91"/>
      <c r="P9" s="91"/>
      <c r="Q9" s="92"/>
      <c r="R9" s="131" t="s">
        <v>76</v>
      </c>
      <c r="S9" s="91"/>
      <c r="T9" s="91"/>
      <c r="U9" s="91"/>
      <c r="V9" s="91"/>
      <c r="W9" s="92"/>
      <c r="X9" s="131" t="s">
        <v>77</v>
      </c>
      <c r="Y9" s="91"/>
      <c r="Z9" s="91"/>
      <c r="AA9" s="91"/>
      <c r="AB9" s="91"/>
      <c r="AC9" s="92"/>
      <c r="AD9" s="131" t="s">
        <v>78</v>
      </c>
      <c r="AE9" s="91"/>
      <c r="AF9" s="91"/>
      <c r="AG9" s="91"/>
      <c r="AH9" s="91"/>
      <c r="AI9" s="92"/>
      <c r="AJ9" s="131" t="s">
        <v>79</v>
      </c>
      <c r="AK9" s="91"/>
      <c r="AL9" s="91"/>
      <c r="AM9" s="91"/>
      <c r="AN9" s="91"/>
      <c r="AO9" s="92"/>
      <c r="AP9" s="140" t="s">
        <v>80</v>
      </c>
      <c r="AQ9" s="141" t="s">
        <v>81</v>
      </c>
      <c r="AR9" s="1"/>
      <c r="AS9" s="3"/>
    </row>
    <row r="10" spans="1:45" ht="16.5" customHeight="1">
      <c r="A10" s="1"/>
      <c r="B10" s="135"/>
      <c r="C10" s="135"/>
      <c r="D10" s="94"/>
      <c r="E10" s="105"/>
      <c r="F10" s="132" t="s">
        <v>82</v>
      </c>
      <c r="G10" s="125"/>
      <c r="H10" s="125"/>
      <c r="I10" s="132" t="s">
        <v>83</v>
      </c>
      <c r="J10" s="125"/>
      <c r="K10" s="125"/>
      <c r="L10" s="132" t="s">
        <v>82</v>
      </c>
      <c r="M10" s="125"/>
      <c r="N10" s="125"/>
      <c r="O10" s="132" t="s">
        <v>83</v>
      </c>
      <c r="P10" s="125"/>
      <c r="Q10" s="125"/>
      <c r="R10" s="132" t="s">
        <v>82</v>
      </c>
      <c r="S10" s="125"/>
      <c r="T10" s="125"/>
      <c r="U10" s="132" t="s">
        <v>83</v>
      </c>
      <c r="V10" s="125"/>
      <c r="W10" s="125"/>
      <c r="X10" s="132" t="s">
        <v>82</v>
      </c>
      <c r="Y10" s="125"/>
      <c r="Z10" s="125"/>
      <c r="AA10" s="132" t="s">
        <v>83</v>
      </c>
      <c r="AB10" s="125"/>
      <c r="AC10" s="125"/>
      <c r="AD10" s="132" t="s">
        <v>82</v>
      </c>
      <c r="AE10" s="125"/>
      <c r="AF10" s="125"/>
      <c r="AG10" s="132" t="s">
        <v>83</v>
      </c>
      <c r="AH10" s="125"/>
      <c r="AI10" s="125"/>
      <c r="AJ10" s="132" t="s">
        <v>82</v>
      </c>
      <c r="AK10" s="125"/>
      <c r="AL10" s="125"/>
      <c r="AM10" s="132" t="s">
        <v>83</v>
      </c>
      <c r="AN10" s="125"/>
      <c r="AO10" s="125"/>
      <c r="AP10" s="135"/>
      <c r="AQ10" s="106"/>
      <c r="AR10" s="1"/>
      <c r="AS10" s="3"/>
    </row>
    <row r="11" spans="1:45" ht="18" customHeight="1">
      <c r="A11" s="1"/>
      <c r="B11" s="136"/>
      <c r="C11" s="136"/>
      <c r="D11" s="102"/>
      <c r="E11" s="101"/>
      <c r="F11" s="31" t="s">
        <v>84</v>
      </c>
      <c r="G11" s="32" t="s">
        <v>85</v>
      </c>
      <c r="H11" s="33" t="s">
        <v>86</v>
      </c>
      <c r="I11" s="31" t="s">
        <v>84</v>
      </c>
      <c r="J11" s="32" t="s">
        <v>85</v>
      </c>
      <c r="K11" s="33" t="s">
        <v>86</v>
      </c>
      <c r="L11" s="31" t="s">
        <v>84</v>
      </c>
      <c r="M11" s="32" t="s">
        <v>85</v>
      </c>
      <c r="N11" s="33" t="s">
        <v>86</v>
      </c>
      <c r="O11" s="31" t="s">
        <v>84</v>
      </c>
      <c r="P11" s="32" t="s">
        <v>85</v>
      </c>
      <c r="Q11" s="33" t="s">
        <v>86</v>
      </c>
      <c r="R11" s="31" t="s">
        <v>84</v>
      </c>
      <c r="S11" s="32" t="s">
        <v>85</v>
      </c>
      <c r="T11" s="33" t="s">
        <v>86</v>
      </c>
      <c r="U11" s="31" t="s">
        <v>84</v>
      </c>
      <c r="V11" s="32" t="s">
        <v>85</v>
      </c>
      <c r="W11" s="33" t="s">
        <v>86</v>
      </c>
      <c r="X11" s="31" t="s">
        <v>84</v>
      </c>
      <c r="Y11" s="32" t="s">
        <v>85</v>
      </c>
      <c r="Z11" s="33" t="s">
        <v>86</v>
      </c>
      <c r="AA11" s="31" t="s">
        <v>84</v>
      </c>
      <c r="AB11" s="32" t="s">
        <v>85</v>
      </c>
      <c r="AC11" s="33" t="s">
        <v>86</v>
      </c>
      <c r="AD11" s="31" t="s">
        <v>84</v>
      </c>
      <c r="AE11" s="32" t="s">
        <v>85</v>
      </c>
      <c r="AF11" s="33" t="s">
        <v>86</v>
      </c>
      <c r="AG11" s="31" t="s">
        <v>84</v>
      </c>
      <c r="AH11" s="32" t="s">
        <v>85</v>
      </c>
      <c r="AI11" s="33" t="s">
        <v>86</v>
      </c>
      <c r="AJ11" s="31" t="s">
        <v>84</v>
      </c>
      <c r="AK11" s="32" t="s">
        <v>85</v>
      </c>
      <c r="AL11" s="33" t="s">
        <v>86</v>
      </c>
      <c r="AM11" s="31" t="s">
        <v>84</v>
      </c>
      <c r="AN11" s="32" t="s">
        <v>85</v>
      </c>
      <c r="AO11" s="33" t="s">
        <v>86</v>
      </c>
      <c r="AP11" s="136"/>
      <c r="AQ11" s="103"/>
      <c r="AR11" s="1"/>
      <c r="AS11" s="3"/>
    </row>
    <row r="12" spans="1:45" ht="18" customHeight="1">
      <c r="A12" s="5"/>
      <c r="B12" s="173" t="s">
        <v>87</v>
      </c>
      <c r="C12" s="174">
        <v>1212</v>
      </c>
      <c r="D12" s="175">
        <v>260</v>
      </c>
      <c r="E12" s="176">
        <v>1108</v>
      </c>
      <c r="F12" s="176">
        <v>375</v>
      </c>
      <c r="G12" s="185">
        <v>251</v>
      </c>
      <c r="H12" s="182">
        <v>124</v>
      </c>
      <c r="I12" s="186">
        <v>330</v>
      </c>
      <c r="J12" s="184">
        <v>215</v>
      </c>
      <c r="K12" s="182">
        <v>115</v>
      </c>
      <c r="L12" s="34">
        <f t="shared" ref="L12:L31" si="0">M12+N12</f>
        <v>0</v>
      </c>
      <c r="M12" s="35"/>
      <c r="N12" s="36"/>
      <c r="O12" s="34">
        <f t="shared" ref="O12:O31" si="1">P12+Q12</f>
        <v>0</v>
      </c>
      <c r="P12" s="35"/>
      <c r="Q12" s="36"/>
      <c r="R12" s="34">
        <f t="shared" ref="R12:R31" si="2">S12+T12</f>
        <v>0</v>
      </c>
      <c r="S12" s="35"/>
      <c r="T12" s="36"/>
      <c r="U12" s="34">
        <f t="shared" ref="U12:U31" si="3">V12+W12</f>
        <v>0</v>
      </c>
      <c r="V12" s="35"/>
      <c r="W12" s="36"/>
      <c r="X12" s="34">
        <f t="shared" ref="X12:X31" si="4">Y12+Z12</f>
        <v>0</v>
      </c>
      <c r="Y12" s="35"/>
      <c r="Z12" s="36"/>
      <c r="AA12" s="34">
        <f t="shared" ref="AA12:AA31" si="5">AB12+AC12</f>
        <v>0</v>
      </c>
      <c r="AB12" s="35"/>
      <c r="AC12" s="36"/>
      <c r="AD12" s="34">
        <f t="shared" ref="AD12:AD31" si="6">AE12+AF12</f>
        <v>0</v>
      </c>
      <c r="AE12" s="35"/>
      <c r="AF12" s="36"/>
      <c r="AG12" s="34">
        <f t="shared" ref="AG12:AG31" si="7">AH12+AI12</f>
        <v>0</v>
      </c>
      <c r="AH12" s="35"/>
      <c r="AI12" s="36"/>
      <c r="AJ12" s="34">
        <f t="shared" ref="AJ12:AJ31" si="8">AK12+AL12</f>
        <v>0</v>
      </c>
      <c r="AK12" s="35"/>
      <c r="AL12" s="36"/>
      <c r="AM12" s="34">
        <f t="shared" ref="AM12:AM31" si="9">AN12+AO12</f>
        <v>0</v>
      </c>
      <c r="AN12" s="35"/>
      <c r="AO12" s="36"/>
      <c r="AP12" s="37">
        <f t="shared" ref="AP12:AP31" si="10">F12+L12+R12+X12+AD12+AJ12</f>
        <v>375</v>
      </c>
      <c r="AQ12" s="38">
        <f t="shared" ref="AQ12:AQ32" si="11">AP12/E12</f>
        <v>0.33844765342960287</v>
      </c>
      <c r="AR12" s="1"/>
      <c r="AS12" s="1"/>
    </row>
    <row r="13" spans="1:45" ht="18" customHeight="1">
      <c r="A13" s="5"/>
      <c r="B13" s="177" t="s">
        <v>88</v>
      </c>
      <c r="C13" s="178">
        <v>50</v>
      </c>
      <c r="D13" s="179">
        <v>80</v>
      </c>
      <c r="E13" s="180">
        <v>80</v>
      </c>
      <c r="F13" s="180">
        <v>50</v>
      </c>
      <c r="G13" s="187">
        <v>20</v>
      </c>
      <c r="H13" s="183">
        <v>30</v>
      </c>
      <c r="I13" s="188">
        <v>35</v>
      </c>
      <c r="J13" s="181">
        <v>14</v>
      </c>
      <c r="K13" s="183">
        <v>21</v>
      </c>
      <c r="L13" s="39">
        <f t="shared" si="0"/>
        <v>0</v>
      </c>
      <c r="M13" s="40"/>
      <c r="N13" s="41"/>
      <c r="O13" s="39">
        <f t="shared" si="1"/>
        <v>0</v>
      </c>
      <c r="P13" s="40"/>
      <c r="Q13" s="41"/>
      <c r="R13" s="39">
        <f t="shared" si="2"/>
        <v>0</v>
      </c>
      <c r="S13" s="40"/>
      <c r="T13" s="41"/>
      <c r="U13" s="39">
        <f t="shared" si="3"/>
        <v>0</v>
      </c>
      <c r="V13" s="40"/>
      <c r="W13" s="41"/>
      <c r="X13" s="39">
        <f t="shared" si="4"/>
        <v>0</v>
      </c>
      <c r="Y13" s="40"/>
      <c r="Z13" s="41"/>
      <c r="AA13" s="39">
        <f t="shared" si="5"/>
        <v>0</v>
      </c>
      <c r="AB13" s="40"/>
      <c r="AC13" s="41"/>
      <c r="AD13" s="39">
        <f t="shared" si="6"/>
        <v>0</v>
      </c>
      <c r="AE13" s="40"/>
      <c r="AF13" s="41"/>
      <c r="AG13" s="39">
        <f t="shared" si="7"/>
        <v>0</v>
      </c>
      <c r="AH13" s="40"/>
      <c r="AI13" s="41"/>
      <c r="AJ13" s="39">
        <f t="shared" si="8"/>
        <v>0</v>
      </c>
      <c r="AK13" s="40"/>
      <c r="AL13" s="41"/>
      <c r="AM13" s="39">
        <f t="shared" si="9"/>
        <v>0</v>
      </c>
      <c r="AN13" s="40"/>
      <c r="AO13" s="41"/>
      <c r="AP13" s="42">
        <f t="shared" si="10"/>
        <v>50</v>
      </c>
      <c r="AQ13" s="43">
        <f t="shared" si="11"/>
        <v>0.625</v>
      </c>
      <c r="AR13" s="1"/>
      <c r="AS13" s="1"/>
    </row>
    <row r="14" spans="1:45" ht="18" customHeight="1">
      <c r="A14" s="5"/>
      <c r="B14" s="177" t="s">
        <v>89</v>
      </c>
      <c r="C14" s="178">
        <v>876</v>
      </c>
      <c r="D14" s="179">
        <v>220</v>
      </c>
      <c r="E14" s="180">
        <v>792</v>
      </c>
      <c r="F14" s="180">
        <v>13</v>
      </c>
      <c r="G14" s="187">
        <v>7</v>
      </c>
      <c r="H14" s="183">
        <v>6</v>
      </c>
      <c r="I14" s="188">
        <v>10</v>
      </c>
      <c r="J14" s="181">
        <v>5</v>
      </c>
      <c r="K14" s="183">
        <v>5</v>
      </c>
      <c r="L14" s="39">
        <f t="shared" si="0"/>
        <v>0</v>
      </c>
      <c r="M14" s="40"/>
      <c r="N14" s="41"/>
      <c r="O14" s="39">
        <f t="shared" si="1"/>
        <v>0</v>
      </c>
      <c r="P14" s="40"/>
      <c r="Q14" s="41"/>
      <c r="R14" s="39">
        <f t="shared" si="2"/>
        <v>0</v>
      </c>
      <c r="S14" s="40"/>
      <c r="T14" s="41"/>
      <c r="U14" s="39">
        <f t="shared" si="3"/>
        <v>0</v>
      </c>
      <c r="V14" s="40"/>
      <c r="W14" s="41"/>
      <c r="X14" s="39">
        <f t="shared" si="4"/>
        <v>0</v>
      </c>
      <c r="Y14" s="40"/>
      <c r="Z14" s="41"/>
      <c r="AA14" s="39">
        <f t="shared" si="5"/>
        <v>0</v>
      </c>
      <c r="AB14" s="40"/>
      <c r="AC14" s="41"/>
      <c r="AD14" s="39">
        <f t="shared" si="6"/>
        <v>0</v>
      </c>
      <c r="AE14" s="40"/>
      <c r="AF14" s="41"/>
      <c r="AG14" s="39">
        <f t="shared" si="7"/>
        <v>0</v>
      </c>
      <c r="AH14" s="40"/>
      <c r="AI14" s="41"/>
      <c r="AJ14" s="39">
        <f t="shared" si="8"/>
        <v>0</v>
      </c>
      <c r="AK14" s="40"/>
      <c r="AL14" s="41"/>
      <c r="AM14" s="39">
        <f t="shared" si="9"/>
        <v>0</v>
      </c>
      <c r="AN14" s="40"/>
      <c r="AO14" s="41"/>
      <c r="AP14" s="42">
        <f t="shared" si="10"/>
        <v>13</v>
      </c>
      <c r="AQ14" s="44">
        <f t="shared" si="11"/>
        <v>1.6414141414141416E-2</v>
      </c>
      <c r="AR14" s="1"/>
      <c r="AS14" s="1"/>
    </row>
    <row r="15" spans="1:45" ht="18" customHeight="1">
      <c r="A15" s="5"/>
      <c r="B15" s="177" t="s">
        <v>90</v>
      </c>
      <c r="C15" s="178">
        <v>863</v>
      </c>
      <c r="D15" s="179">
        <v>220</v>
      </c>
      <c r="E15" s="180">
        <v>810</v>
      </c>
      <c r="F15" s="180">
        <v>214</v>
      </c>
      <c r="G15" s="187">
        <v>46</v>
      </c>
      <c r="H15" s="183">
        <v>168</v>
      </c>
      <c r="I15" s="188">
        <v>208</v>
      </c>
      <c r="J15" s="181">
        <v>42</v>
      </c>
      <c r="K15" s="183">
        <v>166</v>
      </c>
      <c r="L15" s="39">
        <f t="shared" si="0"/>
        <v>0</v>
      </c>
      <c r="M15" s="40"/>
      <c r="N15" s="41"/>
      <c r="O15" s="39">
        <f t="shared" si="1"/>
        <v>0</v>
      </c>
      <c r="P15" s="40"/>
      <c r="Q15" s="41"/>
      <c r="R15" s="39">
        <f t="shared" si="2"/>
        <v>0</v>
      </c>
      <c r="S15" s="40"/>
      <c r="T15" s="41"/>
      <c r="U15" s="39">
        <f t="shared" si="3"/>
        <v>0</v>
      </c>
      <c r="V15" s="40"/>
      <c r="W15" s="41"/>
      <c r="X15" s="39">
        <f t="shared" si="4"/>
        <v>0</v>
      </c>
      <c r="Y15" s="40"/>
      <c r="Z15" s="41"/>
      <c r="AA15" s="39">
        <f t="shared" si="5"/>
        <v>0</v>
      </c>
      <c r="AB15" s="40"/>
      <c r="AC15" s="41"/>
      <c r="AD15" s="39">
        <f t="shared" si="6"/>
        <v>0</v>
      </c>
      <c r="AE15" s="40"/>
      <c r="AF15" s="41"/>
      <c r="AG15" s="39">
        <f t="shared" si="7"/>
        <v>0</v>
      </c>
      <c r="AH15" s="40"/>
      <c r="AI15" s="41"/>
      <c r="AJ15" s="39">
        <f t="shared" si="8"/>
        <v>0</v>
      </c>
      <c r="AK15" s="40"/>
      <c r="AL15" s="41"/>
      <c r="AM15" s="39">
        <f t="shared" si="9"/>
        <v>0</v>
      </c>
      <c r="AN15" s="40"/>
      <c r="AO15" s="41"/>
      <c r="AP15" s="42">
        <f t="shared" si="10"/>
        <v>214</v>
      </c>
      <c r="AQ15" s="44">
        <f t="shared" si="11"/>
        <v>0.26419753086419751</v>
      </c>
      <c r="AR15" s="1"/>
      <c r="AS15" s="1"/>
    </row>
    <row r="16" spans="1:45" ht="18" customHeight="1">
      <c r="A16" s="5"/>
      <c r="B16" s="45"/>
      <c r="C16" s="46"/>
      <c r="D16" s="42"/>
      <c r="E16" s="47"/>
      <c r="F16" s="39">
        <f t="shared" ref="F16:F31" si="12">G16+H16</f>
        <v>0</v>
      </c>
      <c r="G16" s="40"/>
      <c r="H16" s="41"/>
      <c r="I16" s="39">
        <f t="shared" ref="I16:I31" si="13">J16+K16</f>
        <v>0</v>
      </c>
      <c r="J16" s="40"/>
      <c r="K16" s="41"/>
      <c r="L16" s="39">
        <f t="shared" si="0"/>
        <v>0</v>
      </c>
      <c r="M16" s="40"/>
      <c r="N16" s="41"/>
      <c r="O16" s="39">
        <f t="shared" si="1"/>
        <v>0</v>
      </c>
      <c r="P16" s="40"/>
      <c r="Q16" s="41"/>
      <c r="R16" s="39">
        <f t="shared" si="2"/>
        <v>0</v>
      </c>
      <c r="S16" s="40"/>
      <c r="T16" s="41"/>
      <c r="U16" s="39">
        <f t="shared" si="3"/>
        <v>0</v>
      </c>
      <c r="V16" s="40"/>
      <c r="W16" s="41"/>
      <c r="X16" s="39">
        <f t="shared" si="4"/>
        <v>0</v>
      </c>
      <c r="Y16" s="40"/>
      <c r="Z16" s="41"/>
      <c r="AA16" s="39">
        <f t="shared" si="5"/>
        <v>0</v>
      </c>
      <c r="AB16" s="40"/>
      <c r="AC16" s="41"/>
      <c r="AD16" s="39">
        <f t="shared" si="6"/>
        <v>0</v>
      </c>
      <c r="AE16" s="40"/>
      <c r="AF16" s="41"/>
      <c r="AG16" s="39">
        <f t="shared" si="7"/>
        <v>0</v>
      </c>
      <c r="AH16" s="40"/>
      <c r="AI16" s="41"/>
      <c r="AJ16" s="39">
        <f t="shared" si="8"/>
        <v>0</v>
      </c>
      <c r="AK16" s="40"/>
      <c r="AL16" s="41"/>
      <c r="AM16" s="39">
        <f t="shared" si="9"/>
        <v>0</v>
      </c>
      <c r="AN16" s="40"/>
      <c r="AO16" s="41"/>
      <c r="AP16" s="42">
        <f t="shared" si="10"/>
        <v>0</v>
      </c>
      <c r="AQ16" s="44" t="e">
        <f t="shared" si="11"/>
        <v>#DIV/0!</v>
      </c>
      <c r="AR16" s="1"/>
      <c r="AS16" s="1"/>
    </row>
    <row r="17" spans="1:45" ht="18" customHeight="1">
      <c r="A17" s="5"/>
      <c r="B17" s="45"/>
      <c r="C17" s="46"/>
      <c r="D17" s="42"/>
      <c r="E17" s="47"/>
      <c r="F17" s="39">
        <f t="shared" si="12"/>
        <v>0</v>
      </c>
      <c r="G17" s="40"/>
      <c r="H17" s="41"/>
      <c r="I17" s="39">
        <f t="shared" si="13"/>
        <v>0</v>
      </c>
      <c r="J17" s="40"/>
      <c r="K17" s="41"/>
      <c r="L17" s="39">
        <f t="shared" si="0"/>
        <v>0</v>
      </c>
      <c r="M17" s="40"/>
      <c r="N17" s="41"/>
      <c r="O17" s="39">
        <f t="shared" si="1"/>
        <v>0</v>
      </c>
      <c r="P17" s="40"/>
      <c r="Q17" s="41"/>
      <c r="R17" s="39">
        <f t="shared" si="2"/>
        <v>0</v>
      </c>
      <c r="S17" s="40"/>
      <c r="T17" s="41"/>
      <c r="U17" s="39">
        <f t="shared" si="3"/>
        <v>0</v>
      </c>
      <c r="V17" s="40"/>
      <c r="W17" s="41"/>
      <c r="X17" s="39">
        <f t="shared" si="4"/>
        <v>0</v>
      </c>
      <c r="Y17" s="40"/>
      <c r="Z17" s="41"/>
      <c r="AA17" s="39">
        <f t="shared" si="5"/>
        <v>0</v>
      </c>
      <c r="AB17" s="40"/>
      <c r="AC17" s="41"/>
      <c r="AD17" s="39">
        <f t="shared" si="6"/>
        <v>0</v>
      </c>
      <c r="AE17" s="40"/>
      <c r="AF17" s="41"/>
      <c r="AG17" s="39">
        <f t="shared" si="7"/>
        <v>0</v>
      </c>
      <c r="AH17" s="40"/>
      <c r="AI17" s="41"/>
      <c r="AJ17" s="39">
        <f t="shared" si="8"/>
        <v>0</v>
      </c>
      <c r="AK17" s="40"/>
      <c r="AL17" s="41"/>
      <c r="AM17" s="39">
        <f t="shared" si="9"/>
        <v>0</v>
      </c>
      <c r="AN17" s="40"/>
      <c r="AO17" s="41"/>
      <c r="AP17" s="42">
        <f t="shared" si="10"/>
        <v>0</v>
      </c>
      <c r="AQ17" s="44" t="e">
        <f t="shared" si="11"/>
        <v>#DIV/0!</v>
      </c>
      <c r="AR17" s="1"/>
      <c r="AS17" s="1"/>
    </row>
    <row r="18" spans="1:45" ht="18" customHeight="1">
      <c r="A18" s="5"/>
      <c r="B18" s="45"/>
      <c r="C18" s="46"/>
      <c r="D18" s="42"/>
      <c r="E18" s="47"/>
      <c r="F18" s="39">
        <f t="shared" si="12"/>
        <v>0</v>
      </c>
      <c r="G18" s="40"/>
      <c r="H18" s="41"/>
      <c r="I18" s="39">
        <f t="shared" si="13"/>
        <v>0</v>
      </c>
      <c r="J18" s="40"/>
      <c r="K18" s="41"/>
      <c r="L18" s="39">
        <f t="shared" si="0"/>
        <v>0</v>
      </c>
      <c r="M18" s="40"/>
      <c r="N18" s="41"/>
      <c r="O18" s="39">
        <f t="shared" si="1"/>
        <v>0</v>
      </c>
      <c r="P18" s="40"/>
      <c r="Q18" s="41"/>
      <c r="R18" s="39">
        <f t="shared" si="2"/>
        <v>0</v>
      </c>
      <c r="S18" s="40"/>
      <c r="T18" s="41"/>
      <c r="U18" s="39">
        <f t="shared" si="3"/>
        <v>0</v>
      </c>
      <c r="V18" s="40"/>
      <c r="W18" s="41"/>
      <c r="X18" s="39">
        <f t="shared" si="4"/>
        <v>0</v>
      </c>
      <c r="Y18" s="40"/>
      <c r="Z18" s="41"/>
      <c r="AA18" s="39">
        <f t="shared" si="5"/>
        <v>0</v>
      </c>
      <c r="AB18" s="40"/>
      <c r="AC18" s="41"/>
      <c r="AD18" s="39">
        <f t="shared" si="6"/>
        <v>0</v>
      </c>
      <c r="AE18" s="40"/>
      <c r="AF18" s="41"/>
      <c r="AG18" s="39">
        <f t="shared" si="7"/>
        <v>0</v>
      </c>
      <c r="AH18" s="40"/>
      <c r="AI18" s="41"/>
      <c r="AJ18" s="39">
        <f t="shared" si="8"/>
        <v>0</v>
      </c>
      <c r="AK18" s="40"/>
      <c r="AL18" s="41"/>
      <c r="AM18" s="39">
        <f t="shared" si="9"/>
        <v>0</v>
      </c>
      <c r="AN18" s="40"/>
      <c r="AO18" s="41"/>
      <c r="AP18" s="42">
        <f t="shared" si="10"/>
        <v>0</v>
      </c>
      <c r="AQ18" s="44" t="e">
        <f t="shared" si="11"/>
        <v>#DIV/0!</v>
      </c>
      <c r="AR18" s="1"/>
      <c r="AS18" s="1"/>
    </row>
    <row r="19" spans="1:45" ht="18" customHeight="1">
      <c r="A19" s="5"/>
      <c r="B19" s="45"/>
      <c r="C19" s="46"/>
      <c r="D19" s="42"/>
      <c r="E19" s="47"/>
      <c r="F19" s="39">
        <f t="shared" si="12"/>
        <v>0</v>
      </c>
      <c r="G19" s="40"/>
      <c r="H19" s="41"/>
      <c r="I19" s="39">
        <f t="shared" si="13"/>
        <v>0</v>
      </c>
      <c r="J19" s="40"/>
      <c r="K19" s="41"/>
      <c r="L19" s="39">
        <f t="shared" si="0"/>
        <v>0</v>
      </c>
      <c r="M19" s="40"/>
      <c r="N19" s="41"/>
      <c r="O19" s="39">
        <f t="shared" si="1"/>
        <v>0</v>
      </c>
      <c r="P19" s="40"/>
      <c r="Q19" s="41"/>
      <c r="R19" s="39">
        <f t="shared" si="2"/>
        <v>0</v>
      </c>
      <c r="S19" s="40"/>
      <c r="T19" s="41"/>
      <c r="U19" s="39">
        <f t="shared" si="3"/>
        <v>0</v>
      </c>
      <c r="V19" s="40"/>
      <c r="W19" s="41"/>
      <c r="X19" s="39">
        <f t="shared" si="4"/>
        <v>0</v>
      </c>
      <c r="Y19" s="40"/>
      <c r="Z19" s="41"/>
      <c r="AA19" s="39">
        <f t="shared" si="5"/>
        <v>0</v>
      </c>
      <c r="AB19" s="40"/>
      <c r="AC19" s="41"/>
      <c r="AD19" s="39">
        <f t="shared" si="6"/>
        <v>0</v>
      </c>
      <c r="AE19" s="40"/>
      <c r="AF19" s="41"/>
      <c r="AG19" s="39">
        <f t="shared" si="7"/>
        <v>0</v>
      </c>
      <c r="AH19" s="40"/>
      <c r="AI19" s="41"/>
      <c r="AJ19" s="39">
        <f t="shared" si="8"/>
        <v>0</v>
      </c>
      <c r="AK19" s="40"/>
      <c r="AL19" s="41"/>
      <c r="AM19" s="39">
        <f t="shared" si="9"/>
        <v>0</v>
      </c>
      <c r="AN19" s="40"/>
      <c r="AO19" s="41"/>
      <c r="AP19" s="42">
        <f t="shared" si="10"/>
        <v>0</v>
      </c>
      <c r="AQ19" s="44" t="e">
        <f t="shared" si="11"/>
        <v>#DIV/0!</v>
      </c>
      <c r="AR19" s="1"/>
      <c r="AS19" s="1"/>
    </row>
    <row r="20" spans="1:45" ht="18" customHeight="1">
      <c r="A20" s="5"/>
      <c r="B20" s="45"/>
      <c r="C20" s="46"/>
      <c r="D20" s="42"/>
      <c r="E20" s="47"/>
      <c r="F20" s="39">
        <f t="shared" si="12"/>
        <v>0</v>
      </c>
      <c r="G20" s="40"/>
      <c r="H20" s="41"/>
      <c r="I20" s="39">
        <f t="shared" si="13"/>
        <v>0</v>
      </c>
      <c r="J20" s="40"/>
      <c r="K20" s="41"/>
      <c r="L20" s="39">
        <f t="shared" si="0"/>
        <v>0</v>
      </c>
      <c r="M20" s="40"/>
      <c r="N20" s="41"/>
      <c r="O20" s="39">
        <f t="shared" si="1"/>
        <v>0</v>
      </c>
      <c r="P20" s="40"/>
      <c r="Q20" s="41"/>
      <c r="R20" s="39">
        <f t="shared" si="2"/>
        <v>0</v>
      </c>
      <c r="S20" s="40"/>
      <c r="T20" s="41"/>
      <c r="U20" s="39">
        <f t="shared" si="3"/>
        <v>0</v>
      </c>
      <c r="V20" s="40"/>
      <c r="W20" s="41"/>
      <c r="X20" s="39">
        <f t="shared" si="4"/>
        <v>0</v>
      </c>
      <c r="Y20" s="40"/>
      <c r="Z20" s="41"/>
      <c r="AA20" s="39">
        <f t="shared" si="5"/>
        <v>0</v>
      </c>
      <c r="AB20" s="40"/>
      <c r="AC20" s="41"/>
      <c r="AD20" s="39">
        <f t="shared" si="6"/>
        <v>0</v>
      </c>
      <c r="AE20" s="40"/>
      <c r="AF20" s="41"/>
      <c r="AG20" s="39">
        <f t="shared" si="7"/>
        <v>0</v>
      </c>
      <c r="AH20" s="40"/>
      <c r="AI20" s="41"/>
      <c r="AJ20" s="39">
        <f t="shared" si="8"/>
        <v>0</v>
      </c>
      <c r="AK20" s="40"/>
      <c r="AL20" s="41"/>
      <c r="AM20" s="39">
        <f t="shared" si="9"/>
        <v>0</v>
      </c>
      <c r="AN20" s="40"/>
      <c r="AO20" s="41"/>
      <c r="AP20" s="42">
        <f t="shared" si="10"/>
        <v>0</v>
      </c>
      <c r="AQ20" s="44" t="e">
        <f t="shared" si="11"/>
        <v>#DIV/0!</v>
      </c>
      <c r="AR20" s="1"/>
      <c r="AS20" s="1"/>
    </row>
    <row r="21" spans="1:45" ht="18" customHeight="1">
      <c r="A21" s="5"/>
      <c r="B21" s="45"/>
      <c r="C21" s="46"/>
      <c r="D21" s="42"/>
      <c r="E21" s="47"/>
      <c r="F21" s="39">
        <f t="shared" si="12"/>
        <v>0</v>
      </c>
      <c r="G21" s="40"/>
      <c r="H21" s="41"/>
      <c r="I21" s="39">
        <f t="shared" si="13"/>
        <v>0</v>
      </c>
      <c r="J21" s="40"/>
      <c r="K21" s="41"/>
      <c r="L21" s="39">
        <f t="shared" si="0"/>
        <v>0</v>
      </c>
      <c r="M21" s="40"/>
      <c r="N21" s="41"/>
      <c r="O21" s="39">
        <f t="shared" si="1"/>
        <v>0</v>
      </c>
      <c r="P21" s="40"/>
      <c r="Q21" s="41"/>
      <c r="R21" s="39">
        <f t="shared" si="2"/>
        <v>0</v>
      </c>
      <c r="S21" s="40"/>
      <c r="T21" s="41"/>
      <c r="U21" s="39">
        <f t="shared" si="3"/>
        <v>0</v>
      </c>
      <c r="V21" s="40"/>
      <c r="W21" s="41"/>
      <c r="X21" s="39">
        <f t="shared" si="4"/>
        <v>0</v>
      </c>
      <c r="Y21" s="40"/>
      <c r="Z21" s="41"/>
      <c r="AA21" s="39">
        <f t="shared" si="5"/>
        <v>0</v>
      </c>
      <c r="AB21" s="40"/>
      <c r="AC21" s="41"/>
      <c r="AD21" s="39">
        <f t="shared" si="6"/>
        <v>0</v>
      </c>
      <c r="AE21" s="40"/>
      <c r="AF21" s="41"/>
      <c r="AG21" s="39">
        <f t="shared" si="7"/>
        <v>0</v>
      </c>
      <c r="AH21" s="40"/>
      <c r="AI21" s="41"/>
      <c r="AJ21" s="39">
        <f t="shared" si="8"/>
        <v>0</v>
      </c>
      <c r="AK21" s="40"/>
      <c r="AL21" s="41"/>
      <c r="AM21" s="39">
        <f t="shared" si="9"/>
        <v>0</v>
      </c>
      <c r="AN21" s="40"/>
      <c r="AO21" s="41"/>
      <c r="AP21" s="42">
        <f t="shared" si="10"/>
        <v>0</v>
      </c>
      <c r="AQ21" s="44" t="e">
        <f t="shared" si="11"/>
        <v>#DIV/0!</v>
      </c>
      <c r="AR21" s="1"/>
      <c r="AS21" s="1"/>
    </row>
    <row r="22" spans="1:45" ht="18" customHeight="1">
      <c r="A22" s="5"/>
      <c r="B22" s="45"/>
      <c r="C22" s="46"/>
      <c r="D22" s="42"/>
      <c r="E22" s="47"/>
      <c r="F22" s="39">
        <f t="shared" si="12"/>
        <v>0</v>
      </c>
      <c r="G22" s="40"/>
      <c r="H22" s="41"/>
      <c r="I22" s="39">
        <f t="shared" si="13"/>
        <v>0</v>
      </c>
      <c r="J22" s="40"/>
      <c r="K22" s="41"/>
      <c r="L22" s="39">
        <f t="shared" si="0"/>
        <v>0</v>
      </c>
      <c r="M22" s="40"/>
      <c r="N22" s="41"/>
      <c r="O22" s="39">
        <f t="shared" si="1"/>
        <v>0</v>
      </c>
      <c r="P22" s="40"/>
      <c r="Q22" s="41"/>
      <c r="R22" s="39">
        <f t="shared" si="2"/>
        <v>0</v>
      </c>
      <c r="S22" s="40"/>
      <c r="T22" s="41"/>
      <c r="U22" s="39">
        <f t="shared" si="3"/>
        <v>0</v>
      </c>
      <c r="V22" s="40"/>
      <c r="W22" s="41"/>
      <c r="X22" s="39">
        <f t="shared" si="4"/>
        <v>0</v>
      </c>
      <c r="Y22" s="40"/>
      <c r="Z22" s="41"/>
      <c r="AA22" s="39">
        <f t="shared" si="5"/>
        <v>0</v>
      </c>
      <c r="AB22" s="40"/>
      <c r="AC22" s="41"/>
      <c r="AD22" s="39">
        <f t="shared" si="6"/>
        <v>0</v>
      </c>
      <c r="AE22" s="40"/>
      <c r="AF22" s="41"/>
      <c r="AG22" s="39">
        <f t="shared" si="7"/>
        <v>0</v>
      </c>
      <c r="AH22" s="40"/>
      <c r="AI22" s="41"/>
      <c r="AJ22" s="39">
        <f t="shared" si="8"/>
        <v>0</v>
      </c>
      <c r="AK22" s="40"/>
      <c r="AL22" s="41"/>
      <c r="AM22" s="39">
        <f t="shared" si="9"/>
        <v>0</v>
      </c>
      <c r="AN22" s="40"/>
      <c r="AO22" s="41"/>
      <c r="AP22" s="42">
        <f t="shared" si="10"/>
        <v>0</v>
      </c>
      <c r="AQ22" s="44" t="e">
        <f t="shared" si="11"/>
        <v>#DIV/0!</v>
      </c>
      <c r="AR22" s="1"/>
      <c r="AS22" s="1"/>
    </row>
    <row r="23" spans="1:45" ht="18" customHeight="1">
      <c r="A23" s="5"/>
      <c r="B23" s="45"/>
      <c r="C23" s="46"/>
      <c r="D23" s="42"/>
      <c r="E23" s="47"/>
      <c r="F23" s="39">
        <f t="shared" si="12"/>
        <v>0</v>
      </c>
      <c r="G23" s="40"/>
      <c r="H23" s="41"/>
      <c r="I23" s="39">
        <f t="shared" si="13"/>
        <v>0</v>
      </c>
      <c r="J23" s="40"/>
      <c r="K23" s="41"/>
      <c r="L23" s="39">
        <f t="shared" si="0"/>
        <v>0</v>
      </c>
      <c r="M23" s="40"/>
      <c r="N23" s="41"/>
      <c r="O23" s="39">
        <f t="shared" si="1"/>
        <v>0</v>
      </c>
      <c r="P23" s="40"/>
      <c r="Q23" s="41"/>
      <c r="R23" s="39">
        <f t="shared" si="2"/>
        <v>0</v>
      </c>
      <c r="S23" s="40"/>
      <c r="T23" s="41"/>
      <c r="U23" s="39">
        <f t="shared" si="3"/>
        <v>0</v>
      </c>
      <c r="V23" s="40"/>
      <c r="W23" s="41"/>
      <c r="X23" s="39">
        <f t="shared" si="4"/>
        <v>0</v>
      </c>
      <c r="Y23" s="40"/>
      <c r="Z23" s="41"/>
      <c r="AA23" s="39">
        <f t="shared" si="5"/>
        <v>0</v>
      </c>
      <c r="AB23" s="40"/>
      <c r="AC23" s="41"/>
      <c r="AD23" s="39">
        <f t="shared" si="6"/>
        <v>0</v>
      </c>
      <c r="AE23" s="40"/>
      <c r="AF23" s="41"/>
      <c r="AG23" s="39">
        <f t="shared" si="7"/>
        <v>0</v>
      </c>
      <c r="AH23" s="40"/>
      <c r="AI23" s="41"/>
      <c r="AJ23" s="39">
        <f t="shared" si="8"/>
        <v>0</v>
      </c>
      <c r="AK23" s="40"/>
      <c r="AL23" s="41"/>
      <c r="AM23" s="39">
        <f t="shared" si="9"/>
        <v>0</v>
      </c>
      <c r="AN23" s="40"/>
      <c r="AO23" s="41"/>
      <c r="AP23" s="42">
        <f t="shared" si="10"/>
        <v>0</v>
      </c>
      <c r="AQ23" s="44" t="e">
        <f t="shared" si="11"/>
        <v>#DIV/0!</v>
      </c>
      <c r="AR23" s="1"/>
      <c r="AS23" s="1"/>
    </row>
    <row r="24" spans="1:45" ht="18" customHeight="1">
      <c r="A24" s="5"/>
      <c r="B24" s="45"/>
      <c r="C24" s="46"/>
      <c r="D24" s="42"/>
      <c r="E24" s="47"/>
      <c r="F24" s="39">
        <f t="shared" si="12"/>
        <v>0</v>
      </c>
      <c r="G24" s="40"/>
      <c r="H24" s="41"/>
      <c r="I24" s="39">
        <f t="shared" si="13"/>
        <v>0</v>
      </c>
      <c r="J24" s="40"/>
      <c r="K24" s="41"/>
      <c r="L24" s="39">
        <f t="shared" si="0"/>
        <v>0</v>
      </c>
      <c r="M24" s="40"/>
      <c r="N24" s="41"/>
      <c r="O24" s="39">
        <f t="shared" si="1"/>
        <v>0</v>
      </c>
      <c r="P24" s="40"/>
      <c r="Q24" s="41"/>
      <c r="R24" s="39">
        <f t="shared" si="2"/>
        <v>0</v>
      </c>
      <c r="S24" s="40"/>
      <c r="T24" s="41"/>
      <c r="U24" s="39">
        <f t="shared" si="3"/>
        <v>0</v>
      </c>
      <c r="V24" s="40"/>
      <c r="W24" s="41"/>
      <c r="X24" s="39">
        <f t="shared" si="4"/>
        <v>0</v>
      </c>
      <c r="Y24" s="40"/>
      <c r="Z24" s="41"/>
      <c r="AA24" s="39">
        <f t="shared" si="5"/>
        <v>0</v>
      </c>
      <c r="AB24" s="40"/>
      <c r="AC24" s="41"/>
      <c r="AD24" s="39">
        <f t="shared" si="6"/>
        <v>0</v>
      </c>
      <c r="AE24" s="40"/>
      <c r="AF24" s="41"/>
      <c r="AG24" s="39">
        <f t="shared" si="7"/>
        <v>0</v>
      </c>
      <c r="AH24" s="40"/>
      <c r="AI24" s="41"/>
      <c r="AJ24" s="39">
        <f t="shared" si="8"/>
        <v>0</v>
      </c>
      <c r="AK24" s="40"/>
      <c r="AL24" s="41"/>
      <c r="AM24" s="39">
        <f t="shared" si="9"/>
        <v>0</v>
      </c>
      <c r="AN24" s="40"/>
      <c r="AO24" s="41"/>
      <c r="AP24" s="42">
        <f t="shared" si="10"/>
        <v>0</v>
      </c>
      <c r="AQ24" s="44" t="e">
        <f t="shared" si="11"/>
        <v>#DIV/0!</v>
      </c>
      <c r="AR24" s="1"/>
      <c r="AS24" s="1"/>
    </row>
    <row r="25" spans="1:45" ht="18" customHeight="1">
      <c r="A25" s="5"/>
      <c r="B25" s="45"/>
      <c r="C25" s="46"/>
      <c r="D25" s="42"/>
      <c r="E25" s="47"/>
      <c r="F25" s="39">
        <f t="shared" si="12"/>
        <v>0</v>
      </c>
      <c r="G25" s="40"/>
      <c r="H25" s="41"/>
      <c r="I25" s="39">
        <f t="shared" si="13"/>
        <v>0</v>
      </c>
      <c r="J25" s="40"/>
      <c r="K25" s="41"/>
      <c r="L25" s="39">
        <f t="shared" si="0"/>
        <v>0</v>
      </c>
      <c r="M25" s="40"/>
      <c r="N25" s="41"/>
      <c r="O25" s="39">
        <f t="shared" si="1"/>
        <v>0</v>
      </c>
      <c r="P25" s="40"/>
      <c r="Q25" s="41"/>
      <c r="R25" s="39">
        <f t="shared" si="2"/>
        <v>0</v>
      </c>
      <c r="S25" s="40"/>
      <c r="T25" s="41"/>
      <c r="U25" s="39">
        <f t="shared" si="3"/>
        <v>0</v>
      </c>
      <c r="V25" s="40"/>
      <c r="W25" s="41"/>
      <c r="X25" s="39">
        <f t="shared" si="4"/>
        <v>0</v>
      </c>
      <c r="Y25" s="40"/>
      <c r="Z25" s="41"/>
      <c r="AA25" s="39">
        <f t="shared" si="5"/>
        <v>0</v>
      </c>
      <c r="AB25" s="40"/>
      <c r="AC25" s="41"/>
      <c r="AD25" s="39">
        <f t="shared" si="6"/>
        <v>0</v>
      </c>
      <c r="AE25" s="40"/>
      <c r="AF25" s="41"/>
      <c r="AG25" s="39">
        <f t="shared" si="7"/>
        <v>0</v>
      </c>
      <c r="AH25" s="40"/>
      <c r="AI25" s="41"/>
      <c r="AJ25" s="39">
        <f t="shared" si="8"/>
        <v>0</v>
      </c>
      <c r="AK25" s="40"/>
      <c r="AL25" s="41"/>
      <c r="AM25" s="39">
        <f t="shared" si="9"/>
        <v>0</v>
      </c>
      <c r="AN25" s="40"/>
      <c r="AO25" s="41"/>
      <c r="AP25" s="42">
        <f t="shared" si="10"/>
        <v>0</v>
      </c>
      <c r="AQ25" s="44" t="e">
        <f t="shared" si="11"/>
        <v>#DIV/0!</v>
      </c>
      <c r="AR25" s="1"/>
      <c r="AS25" s="1"/>
    </row>
    <row r="26" spans="1:45" ht="18" customHeight="1">
      <c r="A26" s="5"/>
      <c r="B26" s="45"/>
      <c r="C26" s="46"/>
      <c r="D26" s="42"/>
      <c r="E26" s="47"/>
      <c r="F26" s="39">
        <f t="shared" si="12"/>
        <v>0</v>
      </c>
      <c r="G26" s="40"/>
      <c r="H26" s="41"/>
      <c r="I26" s="39">
        <f t="shared" si="13"/>
        <v>0</v>
      </c>
      <c r="J26" s="40"/>
      <c r="K26" s="41"/>
      <c r="L26" s="39">
        <f t="shared" si="0"/>
        <v>0</v>
      </c>
      <c r="M26" s="40"/>
      <c r="N26" s="41"/>
      <c r="O26" s="39">
        <f t="shared" si="1"/>
        <v>0</v>
      </c>
      <c r="P26" s="40"/>
      <c r="Q26" s="41"/>
      <c r="R26" s="39">
        <f t="shared" si="2"/>
        <v>0</v>
      </c>
      <c r="S26" s="40"/>
      <c r="T26" s="41"/>
      <c r="U26" s="39">
        <f t="shared" si="3"/>
        <v>0</v>
      </c>
      <c r="V26" s="40"/>
      <c r="W26" s="41"/>
      <c r="X26" s="39">
        <f t="shared" si="4"/>
        <v>0</v>
      </c>
      <c r="Y26" s="40"/>
      <c r="Z26" s="41"/>
      <c r="AA26" s="39">
        <f t="shared" si="5"/>
        <v>0</v>
      </c>
      <c r="AB26" s="40"/>
      <c r="AC26" s="41"/>
      <c r="AD26" s="39">
        <f t="shared" si="6"/>
        <v>0</v>
      </c>
      <c r="AE26" s="40"/>
      <c r="AF26" s="41"/>
      <c r="AG26" s="39">
        <f t="shared" si="7"/>
        <v>0</v>
      </c>
      <c r="AH26" s="40"/>
      <c r="AI26" s="41"/>
      <c r="AJ26" s="39">
        <f t="shared" si="8"/>
        <v>0</v>
      </c>
      <c r="AK26" s="40"/>
      <c r="AL26" s="41"/>
      <c r="AM26" s="39">
        <f t="shared" si="9"/>
        <v>0</v>
      </c>
      <c r="AN26" s="40"/>
      <c r="AO26" s="41"/>
      <c r="AP26" s="42">
        <f t="shared" si="10"/>
        <v>0</v>
      </c>
      <c r="AQ26" s="44" t="e">
        <f t="shared" si="11"/>
        <v>#DIV/0!</v>
      </c>
      <c r="AR26" s="1"/>
      <c r="AS26" s="1"/>
    </row>
    <row r="27" spans="1:45" ht="18" customHeight="1">
      <c r="A27" s="5"/>
      <c r="B27" s="45"/>
      <c r="C27" s="46"/>
      <c r="D27" s="42"/>
      <c r="E27" s="47"/>
      <c r="F27" s="39">
        <f t="shared" si="12"/>
        <v>0</v>
      </c>
      <c r="G27" s="40"/>
      <c r="H27" s="41"/>
      <c r="I27" s="39">
        <f t="shared" si="13"/>
        <v>0</v>
      </c>
      <c r="J27" s="40"/>
      <c r="K27" s="41"/>
      <c r="L27" s="39">
        <f t="shared" si="0"/>
        <v>0</v>
      </c>
      <c r="M27" s="40"/>
      <c r="N27" s="41"/>
      <c r="O27" s="39">
        <f t="shared" si="1"/>
        <v>0</v>
      </c>
      <c r="P27" s="40"/>
      <c r="Q27" s="41"/>
      <c r="R27" s="39">
        <f t="shared" si="2"/>
        <v>0</v>
      </c>
      <c r="S27" s="40"/>
      <c r="T27" s="41"/>
      <c r="U27" s="39">
        <f t="shared" si="3"/>
        <v>0</v>
      </c>
      <c r="V27" s="40"/>
      <c r="W27" s="41"/>
      <c r="X27" s="39">
        <f t="shared" si="4"/>
        <v>0</v>
      </c>
      <c r="Y27" s="40"/>
      <c r="Z27" s="41"/>
      <c r="AA27" s="39">
        <f t="shared" si="5"/>
        <v>0</v>
      </c>
      <c r="AB27" s="40"/>
      <c r="AC27" s="41"/>
      <c r="AD27" s="39">
        <f t="shared" si="6"/>
        <v>0</v>
      </c>
      <c r="AE27" s="40"/>
      <c r="AF27" s="41"/>
      <c r="AG27" s="39">
        <f t="shared" si="7"/>
        <v>0</v>
      </c>
      <c r="AH27" s="40"/>
      <c r="AI27" s="41"/>
      <c r="AJ27" s="39">
        <f t="shared" si="8"/>
        <v>0</v>
      </c>
      <c r="AK27" s="40"/>
      <c r="AL27" s="41"/>
      <c r="AM27" s="39">
        <f t="shared" si="9"/>
        <v>0</v>
      </c>
      <c r="AN27" s="40"/>
      <c r="AO27" s="41"/>
      <c r="AP27" s="42">
        <f t="shared" si="10"/>
        <v>0</v>
      </c>
      <c r="AQ27" s="44" t="e">
        <f t="shared" si="11"/>
        <v>#DIV/0!</v>
      </c>
      <c r="AR27" s="1"/>
      <c r="AS27" s="1"/>
    </row>
    <row r="28" spans="1:45" ht="18" customHeight="1">
      <c r="A28" s="5"/>
      <c r="B28" s="45"/>
      <c r="C28" s="46"/>
      <c r="D28" s="42"/>
      <c r="E28" s="47"/>
      <c r="F28" s="39">
        <f t="shared" si="12"/>
        <v>0</v>
      </c>
      <c r="G28" s="40"/>
      <c r="H28" s="41"/>
      <c r="I28" s="39">
        <f t="shared" si="13"/>
        <v>0</v>
      </c>
      <c r="J28" s="40"/>
      <c r="K28" s="41"/>
      <c r="L28" s="39">
        <f t="shared" si="0"/>
        <v>0</v>
      </c>
      <c r="M28" s="40"/>
      <c r="N28" s="41"/>
      <c r="O28" s="39">
        <f t="shared" si="1"/>
        <v>0</v>
      </c>
      <c r="P28" s="40"/>
      <c r="Q28" s="41"/>
      <c r="R28" s="39">
        <f t="shared" si="2"/>
        <v>0</v>
      </c>
      <c r="S28" s="40"/>
      <c r="T28" s="41"/>
      <c r="U28" s="39">
        <f t="shared" si="3"/>
        <v>0</v>
      </c>
      <c r="V28" s="40"/>
      <c r="W28" s="41"/>
      <c r="X28" s="39">
        <f t="shared" si="4"/>
        <v>0</v>
      </c>
      <c r="Y28" s="40"/>
      <c r="Z28" s="41"/>
      <c r="AA28" s="39">
        <f t="shared" si="5"/>
        <v>0</v>
      </c>
      <c r="AB28" s="40"/>
      <c r="AC28" s="41"/>
      <c r="AD28" s="39">
        <f t="shared" si="6"/>
        <v>0</v>
      </c>
      <c r="AE28" s="40"/>
      <c r="AF28" s="41"/>
      <c r="AG28" s="39">
        <f t="shared" si="7"/>
        <v>0</v>
      </c>
      <c r="AH28" s="40"/>
      <c r="AI28" s="41"/>
      <c r="AJ28" s="39">
        <f t="shared" si="8"/>
        <v>0</v>
      </c>
      <c r="AK28" s="40"/>
      <c r="AL28" s="41"/>
      <c r="AM28" s="39">
        <f t="shared" si="9"/>
        <v>0</v>
      </c>
      <c r="AN28" s="40"/>
      <c r="AO28" s="41"/>
      <c r="AP28" s="42">
        <f t="shared" si="10"/>
        <v>0</v>
      </c>
      <c r="AQ28" s="44" t="e">
        <f t="shared" si="11"/>
        <v>#DIV/0!</v>
      </c>
      <c r="AR28" s="1"/>
      <c r="AS28" s="1"/>
    </row>
    <row r="29" spans="1:45" ht="18" customHeight="1">
      <c r="A29" s="5"/>
      <c r="B29" s="45"/>
      <c r="C29" s="46"/>
      <c r="D29" s="48"/>
      <c r="E29" s="47"/>
      <c r="F29" s="39">
        <f t="shared" si="12"/>
        <v>0</v>
      </c>
      <c r="G29" s="40"/>
      <c r="H29" s="41"/>
      <c r="I29" s="39">
        <f t="shared" si="13"/>
        <v>0</v>
      </c>
      <c r="J29" s="40"/>
      <c r="K29" s="41"/>
      <c r="L29" s="39">
        <f t="shared" si="0"/>
        <v>0</v>
      </c>
      <c r="M29" s="40"/>
      <c r="N29" s="41"/>
      <c r="O29" s="39">
        <f t="shared" si="1"/>
        <v>0</v>
      </c>
      <c r="P29" s="40"/>
      <c r="Q29" s="41"/>
      <c r="R29" s="39">
        <f t="shared" si="2"/>
        <v>0</v>
      </c>
      <c r="S29" s="40"/>
      <c r="T29" s="41"/>
      <c r="U29" s="39">
        <f t="shared" si="3"/>
        <v>0</v>
      </c>
      <c r="V29" s="40"/>
      <c r="W29" s="41"/>
      <c r="X29" s="39">
        <f t="shared" si="4"/>
        <v>0</v>
      </c>
      <c r="Y29" s="40"/>
      <c r="Z29" s="41"/>
      <c r="AA29" s="39">
        <f t="shared" si="5"/>
        <v>0</v>
      </c>
      <c r="AB29" s="40"/>
      <c r="AC29" s="41"/>
      <c r="AD29" s="39">
        <f t="shared" si="6"/>
        <v>0</v>
      </c>
      <c r="AE29" s="40"/>
      <c r="AF29" s="41"/>
      <c r="AG29" s="39">
        <f t="shared" si="7"/>
        <v>0</v>
      </c>
      <c r="AH29" s="40"/>
      <c r="AI29" s="41"/>
      <c r="AJ29" s="39">
        <f t="shared" si="8"/>
        <v>0</v>
      </c>
      <c r="AK29" s="40"/>
      <c r="AL29" s="41"/>
      <c r="AM29" s="39">
        <f t="shared" si="9"/>
        <v>0</v>
      </c>
      <c r="AN29" s="40"/>
      <c r="AO29" s="41"/>
      <c r="AP29" s="48">
        <f t="shared" si="10"/>
        <v>0</v>
      </c>
      <c r="AQ29" s="44" t="e">
        <f t="shared" si="11"/>
        <v>#DIV/0!</v>
      </c>
      <c r="AR29" s="1"/>
      <c r="AS29" s="1"/>
    </row>
    <row r="30" spans="1:45" ht="18" customHeight="1">
      <c r="A30" s="5"/>
      <c r="B30" s="45"/>
      <c r="C30" s="46"/>
      <c r="D30" s="48"/>
      <c r="E30" s="47"/>
      <c r="F30" s="39">
        <f t="shared" si="12"/>
        <v>0</v>
      </c>
      <c r="G30" s="40"/>
      <c r="H30" s="41"/>
      <c r="I30" s="39">
        <f t="shared" si="13"/>
        <v>0</v>
      </c>
      <c r="J30" s="40"/>
      <c r="K30" s="41"/>
      <c r="L30" s="39">
        <f t="shared" si="0"/>
        <v>0</v>
      </c>
      <c r="M30" s="40"/>
      <c r="N30" s="41"/>
      <c r="O30" s="39">
        <f t="shared" si="1"/>
        <v>0</v>
      </c>
      <c r="P30" s="40"/>
      <c r="Q30" s="41"/>
      <c r="R30" s="39">
        <f t="shared" si="2"/>
        <v>0</v>
      </c>
      <c r="S30" s="40"/>
      <c r="T30" s="41"/>
      <c r="U30" s="39">
        <f t="shared" si="3"/>
        <v>0</v>
      </c>
      <c r="V30" s="40"/>
      <c r="W30" s="41"/>
      <c r="X30" s="39">
        <f t="shared" si="4"/>
        <v>0</v>
      </c>
      <c r="Y30" s="40"/>
      <c r="Z30" s="41"/>
      <c r="AA30" s="39">
        <f t="shared" si="5"/>
        <v>0</v>
      </c>
      <c r="AB30" s="40"/>
      <c r="AC30" s="41"/>
      <c r="AD30" s="39">
        <f t="shared" si="6"/>
        <v>0</v>
      </c>
      <c r="AE30" s="40"/>
      <c r="AF30" s="41"/>
      <c r="AG30" s="39">
        <f t="shared" si="7"/>
        <v>0</v>
      </c>
      <c r="AH30" s="40"/>
      <c r="AI30" s="41"/>
      <c r="AJ30" s="39">
        <f t="shared" si="8"/>
        <v>0</v>
      </c>
      <c r="AK30" s="40"/>
      <c r="AL30" s="41"/>
      <c r="AM30" s="39">
        <f t="shared" si="9"/>
        <v>0</v>
      </c>
      <c r="AN30" s="40"/>
      <c r="AO30" s="41"/>
      <c r="AP30" s="48">
        <f t="shared" si="10"/>
        <v>0</v>
      </c>
      <c r="AQ30" s="44" t="e">
        <f t="shared" si="11"/>
        <v>#DIV/0!</v>
      </c>
      <c r="AR30" s="1"/>
      <c r="AS30" s="1"/>
    </row>
    <row r="31" spans="1:45" ht="18" customHeight="1">
      <c r="A31" s="5"/>
      <c r="B31" s="49"/>
      <c r="C31" s="50"/>
      <c r="D31" s="51"/>
      <c r="E31" s="34"/>
      <c r="F31" s="34">
        <f t="shared" si="12"/>
        <v>0</v>
      </c>
      <c r="G31" s="52"/>
      <c r="H31" s="53"/>
      <c r="I31" s="34">
        <f t="shared" si="13"/>
        <v>0</v>
      </c>
      <c r="J31" s="52"/>
      <c r="K31" s="53"/>
      <c r="L31" s="34">
        <f t="shared" si="0"/>
        <v>0</v>
      </c>
      <c r="M31" s="52"/>
      <c r="N31" s="53"/>
      <c r="O31" s="34">
        <f t="shared" si="1"/>
        <v>0</v>
      </c>
      <c r="P31" s="52"/>
      <c r="Q31" s="53"/>
      <c r="R31" s="34">
        <f t="shared" si="2"/>
        <v>0</v>
      </c>
      <c r="S31" s="52"/>
      <c r="T31" s="53"/>
      <c r="U31" s="34">
        <f t="shared" si="3"/>
        <v>0</v>
      </c>
      <c r="V31" s="52"/>
      <c r="W31" s="53"/>
      <c r="X31" s="34">
        <f t="shared" si="4"/>
        <v>0</v>
      </c>
      <c r="Y31" s="52"/>
      <c r="Z31" s="53"/>
      <c r="AA31" s="34">
        <f t="shared" si="5"/>
        <v>0</v>
      </c>
      <c r="AB31" s="52"/>
      <c r="AC31" s="53"/>
      <c r="AD31" s="34">
        <f t="shared" si="6"/>
        <v>0</v>
      </c>
      <c r="AE31" s="52"/>
      <c r="AF31" s="53"/>
      <c r="AG31" s="34">
        <f t="shared" si="7"/>
        <v>0</v>
      </c>
      <c r="AH31" s="52"/>
      <c r="AI31" s="53"/>
      <c r="AJ31" s="34">
        <f t="shared" si="8"/>
        <v>0</v>
      </c>
      <c r="AK31" s="52"/>
      <c r="AL31" s="53"/>
      <c r="AM31" s="34">
        <f t="shared" si="9"/>
        <v>0</v>
      </c>
      <c r="AN31" s="52"/>
      <c r="AO31" s="53"/>
      <c r="AP31" s="51">
        <f t="shared" si="10"/>
        <v>0</v>
      </c>
      <c r="AQ31" s="54" t="e">
        <f t="shared" si="11"/>
        <v>#DIV/0!</v>
      </c>
      <c r="AR31" s="1"/>
      <c r="AS31" s="1"/>
    </row>
    <row r="32" spans="1:45" ht="18" customHeight="1">
      <c r="A32" s="1"/>
      <c r="B32" s="55" t="s">
        <v>91</v>
      </c>
      <c r="C32" s="56">
        <f t="shared" ref="C32:AP32" si="14">SUM(C12:C31)</f>
        <v>3001</v>
      </c>
      <c r="D32" s="57">
        <f t="shared" si="14"/>
        <v>780</v>
      </c>
      <c r="E32" s="58">
        <f t="shared" si="14"/>
        <v>2790</v>
      </c>
      <c r="F32" s="58">
        <f t="shared" si="14"/>
        <v>652</v>
      </c>
      <c r="G32" s="59">
        <f t="shared" si="14"/>
        <v>324</v>
      </c>
      <c r="H32" s="60">
        <f t="shared" si="14"/>
        <v>328</v>
      </c>
      <c r="I32" s="58">
        <f t="shared" si="14"/>
        <v>583</v>
      </c>
      <c r="J32" s="59">
        <f t="shared" si="14"/>
        <v>276</v>
      </c>
      <c r="K32" s="60">
        <f t="shared" si="14"/>
        <v>307</v>
      </c>
      <c r="L32" s="58">
        <f t="shared" si="14"/>
        <v>0</v>
      </c>
      <c r="M32" s="59">
        <f t="shared" si="14"/>
        <v>0</v>
      </c>
      <c r="N32" s="60">
        <f t="shared" si="14"/>
        <v>0</v>
      </c>
      <c r="O32" s="58">
        <f t="shared" si="14"/>
        <v>0</v>
      </c>
      <c r="P32" s="59">
        <f t="shared" si="14"/>
        <v>0</v>
      </c>
      <c r="Q32" s="60">
        <f t="shared" si="14"/>
        <v>0</v>
      </c>
      <c r="R32" s="58">
        <f t="shared" si="14"/>
        <v>0</v>
      </c>
      <c r="S32" s="59">
        <f t="shared" si="14"/>
        <v>0</v>
      </c>
      <c r="T32" s="60">
        <f t="shared" si="14"/>
        <v>0</v>
      </c>
      <c r="U32" s="58">
        <f t="shared" si="14"/>
        <v>0</v>
      </c>
      <c r="V32" s="59">
        <f t="shared" si="14"/>
        <v>0</v>
      </c>
      <c r="W32" s="60">
        <f t="shared" si="14"/>
        <v>0</v>
      </c>
      <c r="X32" s="58">
        <f t="shared" si="14"/>
        <v>0</v>
      </c>
      <c r="Y32" s="59">
        <f t="shared" si="14"/>
        <v>0</v>
      </c>
      <c r="Z32" s="60">
        <f t="shared" si="14"/>
        <v>0</v>
      </c>
      <c r="AA32" s="58">
        <f t="shared" si="14"/>
        <v>0</v>
      </c>
      <c r="AB32" s="59">
        <f t="shared" si="14"/>
        <v>0</v>
      </c>
      <c r="AC32" s="60">
        <f t="shared" si="14"/>
        <v>0</v>
      </c>
      <c r="AD32" s="58">
        <f t="shared" si="14"/>
        <v>0</v>
      </c>
      <c r="AE32" s="59">
        <f t="shared" si="14"/>
        <v>0</v>
      </c>
      <c r="AF32" s="60">
        <f t="shared" si="14"/>
        <v>0</v>
      </c>
      <c r="AG32" s="58">
        <f t="shared" si="14"/>
        <v>0</v>
      </c>
      <c r="AH32" s="59">
        <f t="shared" si="14"/>
        <v>0</v>
      </c>
      <c r="AI32" s="60">
        <f t="shared" si="14"/>
        <v>0</v>
      </c>
      <c r="AJ32" s="58">
        <f t="shared" si="14"/>
        <v>0</v>
      </c>
      <c r="AK32" s="59">
        <f t="shared" si="14"/>
        <v>0</v>
      </c>
      <c r="AL32" s="60">
        <f t="shared" si="14"/>
        <v>0</v>
      </c>
      <c r="AM32" s="58">
        <f t="shared" si="14"/>
        <v>0</v>
      </c>
      <c r="AN32" s="59">
        <f t="shared" si="14"/>
        <v>0</v>
      </c>
      <c r="AO32" s="60">
        <f t="shared" si="14"/>
        <v>0</v>
      </c>
      <c r="AP32" s="57">
        <f t="shared" si="14"/>
        <v>652</v>
      </c>
      <c r="AQ32" s="61">
        <f t="shared" si="11"/>
        <v>0.23369175627240144</v>
      </c>
      <c r="AR32" s="1"/>
      <c r="AS32" s="1"/>
    </row>
    <row r="33" spans="1:45"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row r="86" spans="1:45"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spans="1:45"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spans="1:45"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spans="1:4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spans="1:45"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spans="1:45"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spans="1:45"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spans="1:45"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spans="1:45"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spans="1:45"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spans="1:45"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spans="1:45"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spans="1:45"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spans="1:45"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spans="1:45"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spans="1:45"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spans="1:45"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spans="1:45"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spans="1:45"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spans="1:45"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spans="1:4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spans="1:45"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spans="1:45"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spans="1:45"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spans="1:45"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spans="1:45"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spans="1:45"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spans="1:4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spans="1:45"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spans="1:45"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spans="1:45"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spans="1:45"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spans="1:45"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row>
    <row r="181" spans="1:45"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spans="1:45"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spans="1:45"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spans="1:4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spans="1:45"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spans="1:45"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spans="1:45"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spans="1:45"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spans="1:45"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spans="1:45"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spans="1:45"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spans="1:45"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spans="1:45"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spans="1:45"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spans="1:45"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spans="1:45"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spans="1:4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spans="1:45"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spans="1:45"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spans="1:45"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spans="1:45"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spans="1:45"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spans="1:45"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spans="1:45"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spans="1:45"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spans="1:4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spans="1:45"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spans="1:45"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spans="1:45"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spans="1:45"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spans="1:45"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spans="1:45"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spans="1:45"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spans="1:4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spans="1:45"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spans="1:45"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spans="1:45"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spans="1:45"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spans="1:45"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spans="1:45"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spans="1:45"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spans="1:45"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spans="1:45"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spans="1:4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spans="1:45"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spans="1:45"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spans="1:45"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spans="1:45"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spans="1:45"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spans="1:45"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spans="1:45"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spans="1:45"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spans="1:45"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spans="1: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spans="1:45"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spans="1:45"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spans="1:45"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spans="1:45"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spans="1:45"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spans="1:45"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spans="1:45"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spans="1:45"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spans="1:45"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spans="1:4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spans="1:45"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spans="1:45"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spans="1:45"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spans="1:45"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spans="1:45"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spans="1:45"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spans="1:45"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spans="1:45"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spans="1:45"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spans="1:4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spans="1:45"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spans="1:45"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spans="1:45"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spans="1:45"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spans="1:45"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row>
    <row r="271" spans="1:45"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spans="1:45"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spans="1:45"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spans="1:45"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spans="1:4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spans="1:45"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spans="1:45"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spans="1:45"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spans="1:45"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spans="1:45"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spans="1:45"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spans="1:45"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spans="1:45"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spans="1:45"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spans="1:4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spans="1:45"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spans="1:45"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spans="1:45"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spans="1:45"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spans="1:45"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spans="1:45"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spans="1:45"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spans="1:45"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spans="1:45"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spans="1:4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spans="1:45"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spans="1:45"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spans="1:45"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spans="1:45"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spans="1:45"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spans="1:45"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spans="1:45"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spans="1:45"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spans="1:45"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spans="1:4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spans="1:45"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spans="1:45"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spans="1:45"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spans="1:45"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spans="1:45"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spans="1:45"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spans="1:45"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row>
    <row r="313" spans="1:45"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spans="1:45"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row>
    <row r="315" spans="1:4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row>
    <row r="316" spans="1:45"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spans="1:45"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row>
    <row r="318" spans="1:45"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spans="1:45"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spans="1:45"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row>
    <row r="321" spans="1:45"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spans="1:45"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spans="1:45"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row>
    <row r="324" spans="1:45"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row>
    <row r="325" spans="1:4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row>
    <row r="326" spans="1:45"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spans="1:45"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row>
    <row r="328" spans="1:45"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spans="1:45"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row>
    <row r="330" spans="1:45"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row>
    <row r="331" spans="1:45"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row>
    <row r="332" spans="1:45"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spans="1:45"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spans="1:45"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spans="1:4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spans="1:45"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spans="1:45"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spans="1:45"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spans="1:45"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spans="1:45"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spans="1:45"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spans="1:45"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spans="1:45"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spans="1:45"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spans="1: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spans="1:45"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spans="1:45"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spans="1:45"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row>
    <row r="349" spans="1:45"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spans="1:45"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spans="1:45"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spans="1:45"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spans="1:45"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spans="1:45"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spans="1:4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spans="1:45"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spans="1:45"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spans="1:45"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spans="1:45"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spans="1:45"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spans="1:45"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spans="1:45"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row>
    <row r="363" spans="1:45"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spans="1:45"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spans="1:4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row>
    <row r="366" spans="1:45"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row>
    <row r="367" spans="1:45"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spans="1:45"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spans="1:45"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spans="1:45"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spans="1:45"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row>
    <row r="372" spans="1:45"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spans="1:45"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spans="1:45"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row>
    <row r="375" spans="1:4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spans="1:45"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spans="1:45"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spans="1:45"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spans="1:45"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spans="1:45"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spans="1:45"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spans="1:45"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spans="1:45"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spans="1:45"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spans="1:4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spans="1:45"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spans="1:45"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spans="1:45"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spans="1:45"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spans="1:45"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spans="1:4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spans="1:45"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spans="1:45"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spans="1:45"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spans="1:45"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spans="1:45"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spans="1:45"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spans="1:45"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spans="1:45"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spans="1:45"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spans="1:4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spans="1:45"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spans="1:45"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spans="1:45"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spans="1:45"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spans="1:45"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row>
    <row r="411" spans="1:45"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spans="1:45"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spans="1:45"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spans="1:45"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spans="1:4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spans="1:45"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spans="1:45"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spans="1:45"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spans="1:45"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row>
    <row r="420" spans="1:45"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spans="1:45"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spans="1:45"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spans="1:45"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spans="1:45"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spans="1:4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spans="1:45"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spans="1:45"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spans="1:45"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spans="1:45"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spans="1:45"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spans="1:45"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spans="1:45"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row>
    <row r="433" spans="1:45"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spans="1:45"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spans="1:4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spans="1:45"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spans="1:45"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spans="1:45"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spans="1:45"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spans="1:45"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spans="1:45"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spans="1:45"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spans="1:45"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spans="1:45"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spans="1: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spans="1:45"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spans="1:45"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row>
    <row r="448" spans="1:45"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spans="1:45"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spans="1:45"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row>
    <row r="451" spans="1:45"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spans="1:45"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spans="1:45"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spans="1:45"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spans="1:4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spans="1:45"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spans="1:45"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spans="1:45"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spans="1:45"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spans="1:45"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spans="1:45"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row>
    <row r="462" spans="1:45"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spans="1:45"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spans="1:45"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spans="1:4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spans="1:45"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spans="1:45"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spans="1:45"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spans="1:45"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row>
    <row r="470" spans="1:45"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row>
    <row r="471" spans="1:45"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spans="1:45"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spans="1:45"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spans="1:45"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spans="1:4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spans="1:45"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spans="1:45"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spans="1:45"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spans="1:45"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spans="1:45"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spans="1:45"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spans="1:45"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spans="1:45"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spans="1:45"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spans="1:4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spans="1:45"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spans="1:45"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row>
    <row r="488" spans="1:45"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spans="1:45"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row>
    <row r="490" spans="1:45"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spans="1:45"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row>
    <row r="492" spans="1:45"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spans="1:45"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spans="1:45"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spans="1:4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row>
    <row r="496" spans="1:45"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spans="1:45"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spans="1:45"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row>
    <row r="499" spans="1:45"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row>
    <row r="500" spans="1:45"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row>
    <row r="501" spans="1:45"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spans="1:45"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spans="1:45"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row>
    <row r="504" spans="1:45"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row>
    <row r="505" spans="1:4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spans="1:45"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spans="1:45"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row>
    <row r="508" spans="1:45"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spans="1:45"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spans="1:45"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spans="1:45"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row>
    <row r="512" spans="1:45"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row>
    <row r="513" spans="1:45"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spans="1:45"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row>
    <row r="515" spans="1:4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row>
    <row r="516" spans="1:45"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row>
    <row r="517" spans="1:45"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row>
    <row r="518" spans="1:45"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row>
    <row r="519" spans="1:45"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row>
    <row r="520" spans="1:45"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row>
    <row r="521" spans="1:45"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spans="1:45"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spans="1:45"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spans="1:45"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row>
    <row r="525" spans="1:4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spans="1:45"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spans="1:45"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spans="1:45"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spans="1:45"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spans="1:45"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spans="1:45"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spans="1:45"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spans="1:45"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spans="1:45"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spans="1:4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spans="1:45"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spans="1:45"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spans="1:45"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spans="1:45"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spans="1:45"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spans="1:45"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spans="1:45"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spans="1:45"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row>
    <row r="544" spans="1:45"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row>
    <row r="545" spans="1: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row>
    <row r="546" spans="1:45"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row>
    <row r="547" spans="1:45"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spans="1:45"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row>
    <row r="549" spans="1:45"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row>
    <row r="550" spans="1:45"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row>
    <row r="551" spans="1:45"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row>
    <row r="552" spans="1:45"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spans="1:45"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row>
    <row r="554" spans="1:45"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row>
    <row r="555" spans="1:4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row>
    <row r="556" spans="1:45"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spans="1:45"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spans="1:45"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row>
    <row r="559" spans="1:45"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row>
    <row r="560" spans="1:45"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spans="1:45"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spans="1:45"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spans="1:45"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spans="1:45"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spans="1:4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spans="1:45"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spans="1:45"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spans="1:45"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spans="1:45"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spans="1:45"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spans="1:45"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spans="1:45"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row>
    <row r="573" spans="1:45"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spans="1:45"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row>
    <row r="575" spans="1:4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spans="1:45"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spans="1:45"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spans="1:45"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row>
    <row r="579" spans="1:45"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row>
    <row r="580" spans="1:45"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row>
    <row r="581" spans="1:45"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row>
    <row r="582" spans="1:45"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spans="1:45"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row>
    <row r="584" spans="1:45"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spans="1:4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spans="1:45"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row>
    <row r="587" spans="1:45"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row>
    <row r="588" spans="1:45"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row>
    <row r="589" spans="1:45"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spans="1:45"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spans="1:45"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spans="1:45"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row>
    <row r="593" spans="1:45"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spans="1:45"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spans="1:4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spans="1:45"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spans="1:45"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row>
    <row r="598" spans="1:45"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row>
    <row r="599" spans="1:45"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row>
    <row r="600" spans="1:45"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row>
    <row r="601" spans="1:45"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spans="1:45"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row>
    <row r="603" spans="1:45"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spans="1:45"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spans="1:4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spans="1:45"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spans="1:45"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spans="1:45"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row>
    <row r="609" spans="1:45"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spans="1:45"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row>
    <row r="611" spans="1:45"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spans="1:45"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spans="1:45"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row>
    <row r="614" spans="1:45"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row>
    <row r="615" spans="1:4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spans="1:45"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row>
    <row r="617" spans="1:45"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spans="1:45"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spans="1:45"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spans="1:45"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row>
    <row r="621" spans="1:45"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row>
    <row r="622" spans="1:45"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spans="1:45"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spans="1:45"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spans="1:4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spans="1:45"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spans="1:45"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spans="1:45"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spans="1:45"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spans="1:45"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spans="1:45"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row>
    <row r="632" spans="1:45"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row>
    <row r="633" spans="1:45"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row>
    <row r="634" spans="1:45"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spans="1:4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spans="1:45"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row>
    <row r="637" spans="1:45"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row>
    <row r="638" spans="1:45"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spans="1:45"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spans="1:45"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row>
    <row r="641" spans="1:45"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row>
    <row r="642" spans="1:45"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row>
    <row r="643" spans="1:45"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row>
    <row r="644" spans="1:45"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spans="1: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row>
    <row r="646" spans="1:45"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spans="1:45"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spans="1:45"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spans="1:45"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row>
    <row r="650" spans="1:45"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spans="1:45"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spans="1:45"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spans="1:45"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spans="1:45"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row>
    <row r="655" spans="1:4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spans="1:45"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row>
    <row r="657" spans="1:45"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spans="1:45"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row>
    <row r="659" spans="1:45"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spans="1:45"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spans="1:45"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spans="1:45"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row>
    <row r="663" spans="1:45"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spans="1:45"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spans="1:4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spans="1:45"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spans="1:45"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row>
    <row r="668" spans="1:45"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spans="1:45"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spans="1:45"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spans="1:45"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spans="1:45"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spans="1:45"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row>
    <row r="674" spans="1:45"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spans="1:4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row>
    <row r="676" spans="1:45"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row>
    <row r="677" spans="1:45"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spans="1:45"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row>
    <row r="679" spans="1:45"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spans="1:45"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row>
    <row r="681" spans="1:45"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row>
    <row r="682" spans="1:45"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spans="1:45"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spans="1:45"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row>
    <row r="685" spans="1:4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row>
    <row r="686" spans="1:45"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spans="1:45"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spans="1:45"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spans="1:45"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row>
    <row r="690" spans="1:45"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spans="1:45"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row>
    <row r="692" spans="1:45"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spans="1:45"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spans="1:45"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spans="1:4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row>
    <row r="696" spans="1:45"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row>
    <row r="697" spans="1:45"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spans="1:45"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spans="1:45"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spans="1:45"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spans="1:45"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spans="1:45"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row>
    <row r="703" spans="1:45"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spans="1:45"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row>
    <row r="705" spans="1:4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spans="1:45"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spans="1:45"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spans="1:45"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spans="1:45"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spans="1:45"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row>
    <row r="711" spans="1:45"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spans="1:45"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row>
    <row r="713" spans="1:45"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row>
    <row r="714" spans="1:45"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row>
    <row r="715" spans="1:4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row>
    <row r="716" spans="1:45"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spans="1:45"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row>
    <row r="718" spans="1:45"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row>
    <row r="719" spans="1:45"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row>
    <row r="720" spans="1:45"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spans="1:45"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row>
    <row r="722" spans="1:45"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spans="1:45"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spans="1:45"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row>
    <row r="725" spans="1:4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spans="1:45"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row>
    <row r="727" spans="1:45"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row>
    <row r="728" spans="1:45"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spans="1:45"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spans="1:45"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spans="1:45"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spans="1:45"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spans="1:45"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spans="1:45"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row>
    <row r="735" spans="1:4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spans="1:45"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spans="1:45"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spans="1:45"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spans="1:45"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row>
    <row r="740" spans="1:45"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spans="1:45"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spans="1:45"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row>
    <row r="743" spans="1:45"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spans="1:45"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spans="1: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row>
    <row r="746" spans="1:45"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spans="1:45"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row>
    <row r="748" spans="1:45"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row>
    <row r="749" spans="1:45"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row>
    <row r="750" spans="1:45"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spans="1:45"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spans="1:45"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spans="1:45"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spans="1:45"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spans="1:4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spans="1:45"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row>
    <row r="757" spans="1:45"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row>
    <row r="758" spans="1:45"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spans="1:45"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spans="1:45"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row>
    <row r="761" spans="1:45"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spans="1:45"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spans="1:45"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row>
    <row r="764" spans="1:45"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spans="1:4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row>
    <row r="766" spans="1:45"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spans="1:45"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row>
    <row r="768" spans="1:45"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spans="1:45"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spans="1:45"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spans="1:45"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spans="1:45"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spans="1:45"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spans="1:45"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spans="1:4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spans="1:45"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spans="1:45"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spans="1:45"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spans="1:45"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row>
    <row r="780" spans="1:45"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row>
    <row r="781" spans="1:45"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row>
    <row r="782" spans="1:45"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row>
    <row r="783" spans="1:45"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spans="1:45"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spans="1:4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row>
    <row r="786" spans="1:45"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row>
    <row r="787" spans="1:45"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spans="1:45"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row>
    <row r="789" spans="1:45"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spans="1:45"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row>
    <row r="791" spans="1:45"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row>
    <row r="792" spans="1:45"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spans="1:45"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row>
    <row r="794" spans="1:45"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row>
    <row r="795" spans="1:4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spans="1:45"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spans="1:45"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spans="1:45"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spans="1:45"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row>
    <row r="800" spans="1:45"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row>
    <row r="801" spans="1:45"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row>
    <row r="802" spans="1:45"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spans="1:45"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row>
    <row r="804" spans="1:45"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spans="1:4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row>
    <row r="806" spans="1:45"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spans="1:45"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spans="1:45"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row>
    <row r="809" spans="1:45"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row>
    <row r="810" spans="1:45"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row>
    <row r="811" spans="1:45"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row>
    <row r="812" spans="1:45"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row>
    <row r="813" spans="1:45"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row>
    <row r="814" spans="1:45"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spans="1:4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spans="1:45"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row>
    <row r="817" spans="1:45"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row>
    <row r="818" spans="1:45"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spans="1:45"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spans="1:45"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spans="1:45"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spans="1:45"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spans="1:45"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row>
    <row r="824" spans="1:45"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spans="1:4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spans="1:45"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spans="1:45"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spans="1:45"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row>
    <row r="829" spans="1:45"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spans="1:45"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row>
    <row r="831" spans="1:45"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row>
    <row r="832" spans="1:45"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spans="1:45"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spans="1:45"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spans="1:4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spans="1:45"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spans="1:45"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row>
    <row r="838" spans="1:45"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spans="1:45"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row>
    <row r="840" spans="1:45"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spans="1:45"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row>
    <row r="842" spans="1:45"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row>
    <row r="843" spans="1:45"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row>
    <row r="844" spans="1:45"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row>
    <row r="845" spans="1: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row>
    <row r="846" spans="1:45"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row>
    <row r="847" spans="1:45"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row>
    <row r="848" spans="1:45"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row>
    <row r="849" spans="1:45"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row>
    <row r="850" spans="1:45"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row>
    <row r="851" spans="1:45"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row>
    <row r="852" spans="1:45"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row>
    <row r="853" spans="1:45"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row>
    <row r="854" spans="1:45"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row>
    <row r="855" spans="1:4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row>
    <row r="856" spans="1:45"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row>
    <row r="857" spans="1:45"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row>
    <row r="858" spans="1:45"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row>
    <row r="859" spans="1:45"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row>
    <row r="860" spans="1:45"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row>
    <row r="861" spans="1:45"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spans="1:45"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spans="1:45"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row>
    <row r="864" spans="1:45"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spans="1:4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spans="1:45"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spans="1:45"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row>
    <row r="868" spans="1:45"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row>
    <row r="869" spans="1:45"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spans="1:45"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spans="1:45"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row>
    <row r="872" spans="1:45"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row>
    <row r="873" spans="1:45"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row>
    <row r="874" spans="1:45"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row>
    <row r="875" spans="1:4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row>
    <row r="876" spans="1:45"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row>
    <row r="877" spans="1:45"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row>
    <row r="878" spans="1:45"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spans="1:45"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row>
    <row r="880" spans="1:45"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spans="1:45"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row>
    <row r="882" spans="1:45"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row>
    <row r="883" spans="1:45"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row>
    <row r="884" spans="1:45"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spans="1:4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row>
    <row r="886" spans="1:45"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row>
    <row r="887" spans="1:45"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row>
    <row r="888" spans="1:45"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row>
    <row r="889" spans="1:45"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row>
    <row r="890" spans="1:45"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spans="1:45"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spans="1:45"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row>
    <row r="893" spans="1:45"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row>
    <row r="894" spans="1:45"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spans="1:4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row>
    <row r="896" spans="1:45"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spans="1:45"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row>
    <row r="898" spans="1:45"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row>
    <row r="899" spans="1:45"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spans="1:45"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spans="1:45"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row>
    <row r="902" spans="1:45"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spans="1:45"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spans="1:45"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spans="1:4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row>
    <row r="906" spans="1:45"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row>
    <row r="907" spans="1:45"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row>
    <row r="908" spans="1:45"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spans="1:45"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row>
    <row r="910" spans="1:45"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row>
    <row r="911" spans="1:45"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spans="1:45"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row>
    <row r="913" spans="1:45"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row>
    <row r="914" spans="1:45"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spans="1:4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spans="1:45"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spans="1:45"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spans="1:45"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spans="1:45"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row>
    <row r="920" spans="1:45"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spans="1:45"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spans="1:45"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spans="1:45"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spans="1:45"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spans="1:4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spans="1:45"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spans="1:45"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row>
    <row r="928" spans="1:45"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spans="1:45"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spans="1:45"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row>
    <row r="931" spans="1:45"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row>
    <row r="932" spans="1:45"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spans="1:45"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row>
    <row r="934" spans="1:45"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spans="1:4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spans="1:45"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row>
    <row r="937" spans="1:45"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row>
    <row r="938" spans="1:45"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spans="1:45"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row>
    <row r="940" spans="1:45"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row>
    <row r="941" spans="1:45"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row>
    <row r="942" spans="1:45"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row>
    <row r="943" spans="1:45"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row>
    <row r="944" spans="1:45"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row>
    <row r="945" spans="1: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row>
    <row r="946" spans="1:45"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row>
    <row r="947" spans="1:45"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row>
    <row r="948" spans="1:45"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row>
    <row r="949" spans="1:45"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row>
    <row r="950" spans="1:45"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row>
    <row r="951" spans="1:45"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row>
    <row r="952" spans="1:45"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row>
    <row r="953" spans="1:45"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row>
    <row r="954" spans="1:45"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row>
    <row r="955" spans="1:4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row>
    <row r="956" spans="1:45"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row>
    <row r="957" spans="1:45"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row>
    <row r="958" spans="1:45"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row>
    <row r="959" spans="1:45"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row>
    <row r="960" spans="1:45"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row>
    <row r="961" spans="1:45"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row>
    <row r="962" spans="1:45"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row>
    <row r="963" spans="1:45"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row>
    <row r="964" spans="1:45"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row>
    <row r="965" spans="1:4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row>
    <row r="966" spans="1:45"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row>
    <row r="967" spans="1:45"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row>
    <row r="968" spans="1:45"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row>
    <row r="969" spans="1:45"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row>
    <row r="970" spans="1:45"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row>
    <row r="971" spans="1:45"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row>
    <row r="972" spans="1:45"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row>
    <row r="973" spans="1:45"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row>
    <row r="974" spans="1:45"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row>
    <row r="975" spans="1:4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row>
    <row r="976" spans="1:45"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row>
    <row r="977" spans="1:45"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row>
    <row r="978" spans="1:45"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row>
    <row r="979" spans="1:45"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row>
    <row r="980" spans="1:45"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row>
    <row r="981" spans="1:45"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row>
    <row r="982" spans="1:45"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row>
    <row r="983" spans="1:45"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row>
    <row r="984" spans="1:45"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row>
    <row r="985" spans="1:4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row>
    <row r="986" spans="1:45"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row>
    <row r="987" spans="1:45"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row>
    <row r="988" spans="1:45"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row>
    <row r="989" spans="1:45"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row>
    <row r="990" spans="1:45"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row>
    <row r="991" spans="1:45"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row>
    <row r="992" spans="1:45"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row>
    <row r="993" spans="1:45"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row>
    <row r="994" spans="1:45"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row>
    <row r="995" spans="1:4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row>
    <row r="996" spans="1:45"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row>
    <row r="997" spans="1:45"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row>
    <row r="998" spans="1:45"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row>
    <row r="999" spans="1:45"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row>
    <row r="1000" spans="1:45"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row>
  </sheetData>
  <mergeCells count="27">
    <mergeCell ref="O10:Q10"/>
    <mergeCell ref="R10:T10"/>
    <mergeCell ref="U10:W10"/>
    <mergeCell ref="X10:Z10"/>
    <mergeCell ref="AA10:AC10"/>
    <mergeCell ref="AM2:AQ2"/>
    <mergeCell ref="A3:AQ3"/>
    <mergeCell ref="C5:D5"/>
    <mergeCell ref="B9:B11"/>
    <mergeCell ref="C9:C11"/>
    <mergeCell ref="D9:D11"/>
    <mergeCell ref="E9:E11"/>
    <mergeCell ref="F9:K9"/>
    <mergeCell ref="L9:Q9"/>
    <mergeCell ref="R9:W9"/>
    <mergeCell ref="X9:AC9"/>
    <mergeCell ref="AP9:AP11"/>
    <mergeCell ref="AQ9:AQ11"/>
    <mergeCell ref="F10:H10"/>
    <mergeCell ref="I10:K10"/>
    <mergeCell ref="L10:N10"/>
    <mergeCell ref="AD9:AI9"/>
    <mergeCell ref="AJ9:AO9"/>
    <mergeCell ref="AD10:AF10"/>
    <mergeCell ref="AG10:AI10"/>
    <mergeCell ref="AJ10:AL10"/>
    <mergeCell ref="AM10:AO10"/>
  </mergeCells>
  <phoneticPr fontId="16"/>
  <conditionalFormatting sqref="C5:D5">
    <cfRule type="cellIs" dxfId="0" priority="1" operator="equal">
      <formula>0</formula>
    </cfRule>
  </conditionalFormatting>
  <printOptions horizontalCentered="1"/>
  <pageMargins left="0.78740157480314965" right="0.78740157480314965" top="0.78740157480314965" bottom="0.59055118110236227" header="0" footer="0"/>
  <pageSetup paperSize="9" scale="51"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topLeftCell="A106" workbookViewId="0">
      <selection activeCell="D92" sqref="D92:S92"/>
    </sheetView>
  </sheetViews>
  <sheetFormatPr defaultColWidth="14.42578125" defaultRowHeight="15" customHeight="1"/>
  <cols>
    <col min="1" max="1" width="2.85546875" customWidth="1"/>
    <col min="2" max="2" width="16.7109375" customWidth="1"/>
    <col min="3" max="3" width="8.85546875" customWidth="1"/>
    <col min="4" max="4" width="2.140625" customWidth="1"/>
    <col min="5" max="5" width="16.7109375" customWidth="1"/>
    <col min="6" max="6" width="4.28515625" customWidth="1"/>
    <col min="7" max="7" width="9" customWidth="1"/>
    <col min="8" max="8" width="16.7109375" customWidth="1"/>
    <col min="9" max="9" width="12.140625" customWidth="1"/>
    <col min="10" max="26" width="11.28515625" customWidth="1"/>
  </cols>
  <sheetData>
    <row r="1" spans="1:26" ht="18.75" customHeight="1">
      <c r="A1" s="62" t="s">
        <v>92</v>
      </c>
      <c r="B1" s="1"/>
      <c r="C1" s="1"/>
      <c r="D1" s="1"/>
      <c r="E1" s="1"/>
      <c r="F1" s="1"/>
      <c r="G1" s="1"/>
      <c r="H1" s="1"/>
      <c r="I1" s="2" t="s">
        <v>93</v>
      </c>
      <c r="J1" s="1"/>
      <c r="K1" s="1"/>
      <c r="L1" s="1"/>
      <c r="M1" s="1"/>
      <c r="N1" s="1"/>
      <c r="O1" s="1"/>
      <c r="P1" s="1"/>
      <c r="Q1" s="1"/>
      <c r="R1" s="1"/>
      <c r="S1" s="1"/>
      <c r="T1" s="1"/>
      <c r="U1" s="1"/>
      <c r="V1" s="1"/>
      <c r="W1" s="1"/>
      <c r="X1" s="1"/>
      <c r="Y1" s="1"/>
      <c r="Z1" s="1"/>
    </row>
    <row r="2" spans="1:26" ht="18.75" customHeight="1">
      <c r="A2" s="62"/>
      <c r="B2" s="1"/>
      <c r="C2" s="1"/>
      <c r="D2" s="1"/>
      <c r="E2" s="1"/>
      <c r="F2" s="1"/>
      <c r="G2" s="2" t="s">
        <v>2</v>
      </c>
      <c r="H2" s="87" t="str">
        <f>'様式１　プログラムを構成する授業科目'!C2</f>
        <v>大阪成蹊大学</v>
      </c>
      <c r="I2" s="89"/>
      <c r="J2" s="1"/>
      <c r="K2" s="1"/>
      <c r="L2" s="1"/>
      <c r="M2" s="1"/>
      <c r="N2" s="1"/>
      <c r="O2" s="1"/>
      <c r="P2" s="1"/>
      <c r="Q2" s="1"/>
      <c r="R2" s="1"/>
      <c r="S2" s="1"/>
      <c r="T2" s="1"/>
      <c r="U2" s="1"/>
      <c r="V2" s="1"/>
      <c r="W2" s="1"/>
      <c r="X2" s="1"/>
      <c r="Y2" s="1"/>
      <c r="Z2" s="1"/>
    </row>
    <row r="3" spans="1:26" ht="18.75" customHeight="1">
      <c r="A3" s="62"/>
      <c r="B3" s="1"/>
      <c r="C3" s="1"/>
      <c r="D3" s="1"/>
      <c r="E3" s="1"/>
      <c r="F3" s="1"/>
      <c r="G3" s="2"/>
      <c r="H3" s="10"/>
      <c r="I3" s="10"/>
      <c r="J3" s="1"/>
      <c r="K3" s="1"/>
      <c r="L3" s="1"/>
      <c r="M3" s="1"/>
      <c r="N3" s="1"/>
      <c r="O3" s="1"/>
      <c r="P3" s="1"/>
      <c r="Q3" s="1"/>
      <c r="R3" s="1"/>
      <c r="S3" s="1"/>
      <c r="T3" s="1"/>
      <c r="U3" s="1"/>
      <c r="V3" s="1"/>
      <c r="W3" s="1"/>
      <c r="X3" s="1"/>
      <c r="Y3" s="1"/>
      <c r="Z3" s="1"/>
    </row>
    <row r="4" spans="1:26" ht="18" customHeight="1">
      <c r="A4" s="96" t="s">
        <v>94</v>
      </c>
      <c r="B4" s="94"/>
      <c r="C4" s="94"/>
      <c r="D4" s="94"/>
      <c r="E4" s="94"/>
      <c r="F4" s="94"/>
      <c r="G4" s="94"/>
      <c r="H4" s="94"/>
      <c r="I4" s="94"/>
      <c r="J4" s="1"/>
      <c r="K4" s="1"/>
      <c r="L4" s="1"/>
      <c r="M4" s="1"/>
      <c r="N4" s="1"/>
      <c r="O4" s="1"/>
      <c r="P4" s="1"/>
      <c r="Q4" s="1"/>
      <c r="R4" s="1"/>
      <c r="S4" s="1"/>
      <c r="T4" s="1"/>
      <c r="U4" s="1"/>
      <c r="V4" s="1"/>
      <c r="W4" s="1"/>
      <c r="X4" s="1"/>
      <c r="Y4" s="1"/>
      <c r="Z4" s="1"/>
    </row>
    <row r="5" spans="1:26" ht="12.75" customHeight="1">
      <c r="A5" s="62"/>
      <c r="B5" s="8"/>
      <c r="C5" s="8"/>
      <c r="D5" s="8"/>
      <c r="E5" s="8"/>
      <c r="F5" s="8"/>
      <c r="G5" s="8"/>
      <c r="H5" s="8"/>
      <c r="I5" s="8"/>
      <c r="J5" s="1"/>
      <c r="K5" s="1"/>
      <c r="L5" s="1"/>
      <c r="M5" s="1"/>
      <c r="N5" s="1"/>
      <c r="O5" s="1"/>
      <c r="P5" s="1"/>
      <c r="Q5" s="1"/>
      <c r="R5" s="1"/>
      <c r="S5" s="1"/>
      <c r="T5" s="1"/>
      <c r="U5" s="1"/>
      <c r="V5" s="1"/>
      <c r="W5" s="1"/>
      <c r="X5" s="1"/>
      <c r="Y5" s="1"/>
      <c r="Z5" s="1"/>
    </row>
    <row r="6" spans="1:26" ht="18" customHeight="1">
      <c r="A6" s="1" t="s">
        <v>95</v>
      </c>
      <c r="B6" s="10" t="s">
        <v>96</v>
      </c>
      <c r="C6" s="142" t="s">
        <v>97</v>
      </c>
      <c r="D6" s="94"/>
      <c r="E6" s="4">
        <v>137</v>
      </c>
      <c r="F6" s="8" t="s">
        <v>98</v>
      </c>
      <c r="G6" s="8" t="s">
        <v>99</v>
      </c>
      <c r="H6" s="4">
        <v>224</v>
      </c>
      <c r="I6" s="10" t="s">
        <v>98</v>
      </c>
      <c r="J6" s="1"/>
      <c r="K6" s="1"/>
      <c r="L6" s="1"/>
      <c r="M6" s="1"/>
      <c r="N6" s="1"/>
      <c r="O6" s="1"/>
      <c r="P6" s="1"/>
      <c r="Q6" s="1"/>
      <c r="R6" s="1"/>
      <c r="S6" s="1"/>
      <c r="T6" s="1"/>
      <c r="U6" s="1"/>
      <c r="V6" s="1"/>
      <c r="W6" s="1"/>
      <c r="X6" s="1"/>
      <c r="Y6" s="1"/>
      <c r="Z6" s="1"/>
    </row>
    <row r="7" spans="1:26" ht="12" customHeight="1">
      <c r="A7" s="62"/>
      <c r="B7" s="1"/>
      <c r="C7" s="3"/>
      <c r="D7" s="3"/>
      <c r="E7" s="3"/>
      <c r="F7" s="3"/>
      <c r="G7" s="3"/>
      <c r="H7" s="3"/>
      <c r="I7" s="63"/>
      <c r="J7" s="1"/>
      <c r="K7" s="1"/>
      <c r="L7" s="1"/>
      <c r="M7" s="1"/>
      <c r="N7" s="1"/>
      <c r="O7" s="1"/>
      <c r="P7" s="1"/>
      <c r="Q7" s="1"/>
      <c r="R7" s="1"/>
      <c r="S7" s="1"/>
      <c r="T7" s="1"/>
      <c r="U7" s="1"/>
      <c r="V7" s="1"/>
      <c r="W7" s="1"/>
      <c r="X7" s="1"/>
      <c r="Y7" s="1"/>
      <c r="Z7" s="1"/>
    </row>
    <row r="8" spans="1:26" ht="18" customHeight="1">
      <c r="A8" s="1" t="s">
        <v>100</v>
      </c>
      <c r="B8" s="10" t="s">
        <v>101</v>
      </c>
      <c r="C8" s="1"/>
      <c r="D8" s="1"/>
      <c r="E8" s="8"/>
      <c r="F8" s="8"/>
      <c r="G8" s="8"/>
      <c r="H8" s="4">
        <v>6</v>
      </c>
      <c r="I8" s="10" t="s">
        <v>98</v>
      </c>
      <c r="J8" s="1"/>
      <c r="K8" s="1"/>
      <c r="L8" s="1"/>
      <c r="M8" s="1"/>
      <c r="N8" s="1"/>
      <c r="O8" s="1"/>
      <c r="P8" s="1"/>
      <c r="Q8" s="1"/>
      <c r="R8" s="1"/>
      <c r="S8" s="1"/>
      <c r="T8" s="1"/>
      <c r="U8" s="1"/>
      <c r="V8" s="1"/>
      <c r="W8" s="1"/>
      <c r="X8" s="1"/>
      <c r="Y8" s="1"/>
      <c r="Z8" s="1"/>
    </row>
    <row r="9" spans="1:26" ht="9" customHeight="1">
      <c r="A9" s="62"/>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102</v>
      </c>
      <c r="B10" s="10" t="s">
        <v>103</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62"/>
      <c r="B11" s="2" t="s">
        <v>104</v>
      </c>
      <c r="C11" s="143" t="s">
        <v>105</v>
      </c>
      <c r="D11" s="88"/>
      <c r="E11" s="89"/>
      <c r="F11" s="63"/>
      <c r="G11" s="2" t="s">
        <v>106</v>
      </c>
      <c r="H11" s="144" t="s">
        <v>107</v>
      </c>
      <c r="I11" s="89"/>
      <c r="J11" s="1"/>
      <c r="K11" s="1"/>
      <c r="L11" s="1"/>
      <c r="M11" s="1"/>
      <c r="N11" s="1"/>
      <c r="O11" s="1"/>
      <c r="P11" s="1"/>
      <c r="Q11" s="1"/>
      <c r="R11" s="1"/>
      <c r="S11" s="1"/>
      <c r="T11" s="1"/>
      <c r="U11" s="1"/>
      <c r="V11" s="1"/>
      <c r="W11" s="1"/>
      <c r="X11" s="1"/>
      <c r="Y11" s="1"/>
      <c r="Z11" s="1"/>
    </row>
    <row r="12" spans="1:26" ht="9.75" customHeight="1">
      <c r="A12" s="62"/>
      <c r="B12" s="2"/>
      <c r="C12" s="10"/>
      <c r="D12" s="63"/>
      <c r="E12" s="63"/>
      <c r="F12" s="63"/>
      <c r="G12" s="2"/>
      <c r="H12" s="10"/>
      <c r="I12" s="63"/>
      <c r="J12" s="1"/>
      <c r="K12" s="1"/>
      <c r="L12" s="1"/>
      <c r="M12" s="1"/>
      <c r="N12" s="1"/>
      <c r="O12" s="1"/>
      <c r="P12" s="1"/>
      <c r="Q12" s="1"/>
      <c r="R12" s="1"/>
      <c r="S12" s="1"/>
      <c r="T12" s="1"/>
      <c r="U12" s="1"/>
      <c r="V12" s="1"/>
      <c r="W12" s="1"/>
      <c r="X12" s="1"/>
      <c r="Y12" s="1"/>
      <c r="Z12" s="1"/>
    </row>
    <row r="13" spans="1:26" ht="18" customHeight="1">
      <c r="A13" s="1" t="s">
        <v>108</v>
      </c>
      <c r="B13" s="10" t="s">
        <v>109</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62"/>
      <c r="B14" s="145" t="s">
        <v>173</v>
      </c>
      <c r="C14" s="146"/>
      <c r="D14" s="146"/>
      <c r="E14" s="146"/>
      <c r="F14" s="146"/>
      <c r="G14" s="146"/>
      <c r="H14" s="146"/>
      <c r="I14" s="147"/>
      <c r="J14" s="1"/>
      <c r="K14" s="1"/>
      <c r="L14" s="1"/>
      <c r="M14" s="1"/>
      <c r="N14" s="1"/>
      <c r="O14" s="1"/>
      <c r="P14" s="1"/>
      <c r="Q14" s="1"/>
      <c r="R14" s="1"/>
      <c r="S14" s="1"/>
      <c r="T14" s="1"/>
      <c r="U14" s="1"/>
      <c r="V14" s="1"/>
      <c r="W14" s="1"/>
      <c r="X14" s="1"/>
      <c r="Y14" s="1"/>
      <c r="Z14" s="1"/>
    </row>
    <row r="15" spans="1:26" ht="9" customHeight="1">
      <c r="A15" s="62"/>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62"/>
      <c r="B16" s="2" t="s">
        <v>104</v>
      </c>
      <c r="C16" s="143" t="s">
        <v>105</v>
      </c>
      <c r="D16" s="88"/>
      <c r="E16" s="89"/>
      <c r="F16" s="63"/>
      <c r="G16" s="2" t="s">
        <v>106</v>
      </c>
      <c r="H16" s="144" t="s">
        <v>107</v>
      </c>
      <c r="I16" s="89"/>
      <c r="J16" s="1"/>
      <c r="K16" s="1"/>
      <c r="L16" s="1"/>
      <c r="M16" s="1"/>
      <c r="N16" s="1"/>
      <c r="O16" s="1"/>
      <c r="P16" s="1"/>
      <c r="Q16" s="1"/>
      <c r="R16" s="1"/>
      <c r="S16" s="1"/>
      <c r="T16" s="1"/>
      <c r="U16" s="1"/>
      <c r="V16" s="1"/>
      <c r="W16" s="1"/>
      <c r="X16" s="1"/>
      <c r="Y16" s="1"/>
      <c r="Z16" s="1"/>
    </row>
    <row r="17" spans="1:26" ht="18" customHeight="1">
      <c r="A17" s="62"/>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110</v>
      </c>
      <c r="B18" s="1" t="s">
        <v>111</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51" t="s">
        <v>112</v>
      </c>
      <c r="C19" s="88"/>
      <c r="D19" s="88"/>
      <c r="E19" s="88"/>
      <c r="F19" s="88"/>
      <c r="G19" s="88"/>
      <c r="H19" s="88"/>
      <c r="I19" s="89"/>
      <c r="J19" s="1"/>
      <c r="K19" s="1"/>
      <c r="L19" s="1"/>
      <c r="M19" s="1"/>
      <c r="N19" s="1"/>
      <c r="O19" s="1"/>
      <c r="P19" s="1"/>
      <c r="Q19" s="1"/>
      <c r="R19" s="1"/>
      <c r="S19" s="1"/>
      <c r="T19" s="1"/>
      <c r="U19" s="1"/>
      <c r="V19" s="1"/>
      <c r="W19" s="1"/>
      <c r="X19" s="1"/>
      <c r="Y19" s="1"/>
      <c r="Z19" s="1"/>
    </row>
    <row r="20" spans="1:26" ht="7.5" customHeight="1">
      <c r="A20" s="62"/>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113</v>
      </c>
      <c r="B21" s="1" t="s">
        <v>114</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3"/>
      <c r="B22" s="152" t="s">
        <v>115</v>
      </c>
      <c r="C22" s="99"/>
      <c r="D22" s="99"/>
      <c r="E22" s="99"/>
      <c r="F22" s="99"/>
      <c r="G22" s="99"/>
      <c r="H22" s="99"/>
      <c r="I22" s="100"/>
      <c r="J22" s="1"/>
      <c r="K22" s="1"/>
      <c r="L22" s="1"/>
      <c r="M22" s="1"/>
      <c r="N22" s="1"/>
      <c r="O22" s="1"/>
      <c r="P22" s="1"/>
      <c r="Q22" s="1"/>
      <c r="R22" s="1"/>
      <c r="S22" s="1"/>
      <c r="T22" s="1"/>
      <c r="U22" s="1"/>
      <c r="V22" s="1"/>
      <c r="W22" s="1"/>
      <c r="X22" s="1"/>
      <c r="Y22" s="1"/>
      <c r="Z22" s="1"/>
    </row>
    <row r="23" spans="1:26" ht="18.75" customHeight="1">
      <c r="A23" s="23"/>
      <c r="B23" s="105"/>
      <c r="C23" s="94"/>
      <c r="D23" s="94"/>
      <c r="E23" s="94"/>
      <c r="F23" s="94"/>
      <c r="G23" s="94"/>
      <c r="H23" s="94"/>
      <c r="I23" s="106"/>
      <c r="J23" s="1"/>
      <c r="K23" s="1"/>
      <c r="L23" s="1"/>
      <c r="M23" s="1"/>
      <c r="N23" s="1"/>
      <c r="O23" s="1"/>
      <c r="P23" s="1"/>
      <c r="Q23" s="1"/>
      <c r="R23" s="1"/>
      <c r="S23" s="1"/>
      <c r="T23" s="1"/>
      <c r="U23" s="1"/>
      <c r="V23" s="1"/>
      <c r="W23" s="1"/>
      <c r="X23" s="1"/>
      <c r="Y23" s="1"/>
      <c r="Z23" s="1"/>
    </row>
    <row r="24" spans="1:26" ht="18.75" customHeight="1">
      <c r="A24" s="23"/>
      <c r="B24" s="105"/>
      <c r="C24" s="94"/>
      <c r="D24" s="94"/>
      <c r="E24" s="94"/>
      <c r="F24" s="94"/>
      <c r="G24" s="94"/>
      <c r="H24" s="94"/>
      <c r="I24" s="106"/>
      <c r="J24" s="1"/>
      <c r="K24" s="1"/>
      <c r="L24" s="1"/>
      <c r="M24" s="1"/>
      <c r="N24" s="1"/>
      <c r="O24" s="1"/>
      <c r="P24" s="1"/>
      <c r="Q24" s="1"/>
      <c r="R24" s="1"/>
      <c r="S24" s="1"/>
      <c r="T24" s="1"/>
      <c r="U24" s="1"/>
      <c r="V24" s="1"/>
      <c r="W24" s="1"/>
      <c r="X24" s="1"/>
      <c r="Y24" s="1"/>
      <c r="Z24" s="1"/>
    </row>
    <row r="25" spans="1:26" ht="18.75" customHeight="1">
      <c r="A25" s="23"/>
      <c r="B25" s="105"/>
      <c r="C25" s="94"/>
      <c r="D25" s="94"/>
      <c r="E25" s="94"/>
      <c r="F25" s="94"/>
      <c r="G25" s="94"/>
      <c r="H25" s="94"/>
      <c r="I25" s="106"/>
      <c r="J25" s="1"/>
      <c r="K25" s="1"/>
      <c r="L25" s="1"/>
      <c r="M25" s="1"/>
      <c r="N25" s="1"/>
      <c r="O25" s="1"/>
      <c r="P25" s="1"/>
      <c r="Q25" s="1"/>
      <c r="R25" s="1"/>
      <c r="S25" s="1"/>
      <c r="T25" s="1"/>
      <c r="U25" s="1"/>
      <c r="V25" s="1"/>
      <c r="W25" s="1"/>
      <c r="X25" s="1"/>
      <c r="Y25" s="1"/>
      <c r="Z25" s="1"/>
    </row>
    <row r="26" spans="1:26" ht="18.75" customHeight="1">
      <c r="A26" s="23"/>
      <c r="B26" s="105"/>
      <c r="C26" s="94"/>
      <c r="D26" s="94"/>
      <c r="E26" s="94"/>
      <c r="F26" s="94"/>
      <c r="G26" s="94"/>
      <c r="H26" s="94"/>
      <c r="I26" s="106"/>
      <c r="J26" s="1"/>
      <c r="K26" s="1"/>
      <c r="L26" s="1"/>
      <c r="M26" s="1"/>
      <c r="N26" s="1"/>
      <c r="O26" s="1"/>
      <c r="P26" s="1"/>
      <c r="Q26" s="1"/>
      <c r="R26" s="1"/>
      <c r="S26" s="1"/>
      <c r="T26" s="1"/>
      <c r="U26" s="1"/>
      <c r="V26" s="1"/>
      <c r="W26" s="1"/>
      <c r="X26" s="1"/>
      <c r="Y26" s="1"/>
      <c r="Z26" s="1"/>
    </row>
    <row r="27" spans="1:26" ht="18.75" customHeight="1">
      <c r="A27" s="23"/>
      <c r="B27" s="105"/>
      <c r="C27" s="94"/>
      <c r="D27" s="94"/>
      <c r="E27" s="94"/>
      <c r="F27" s="94"/>
      <c r="G27" s="94"/>
      <c r="H27" s="94"/>
      <c r="I27" s="106"/>
      <c r="J27" s="1"/>
      <c r="K27" s="1"/>
      <c r="L27" s="1"/>
      <c r="M27" s="1"/>
      <c r="N27" s="1"/>
      <c r="O27" s="1"/>
      <c r="P27" s="1"/>
      <c r="Q27" s="1"/>
      <c r="R27" s="1"/>
      <c r="S27" s="1"/>
      <c r="T27" s="1"/>
      <c r="U27" s="1"/>
      <c r="V27" s="1"/>
      <c r="W27" s="1"/>
      <c r="X27" s="1"/>
      <c r="Y27" s="1"/>
      <c r="Z27" s="1"/>
    </row>
    <row r="28" spans="1:26" ht="18.75" customHeight="1">
      <c r="A28" s="23"/>
      <c r="B28" s="105"/>
      <c r="C28" s="94"/>
      <c r="D28" s="94"/>
      <c r="E28" s="94"/>
      <c r="F28" s="94"/>
      <c r="G28" s="94"/>
      <c r="H28" s="94"/>
      <c r="I28" s="106"/>
      <c r="J28" s="1"/>
      <c r="K28" s="1"/>
      <c r="L28" s="1"/>
      <c r="M28" s="1"/>
      <c r="N28" s="1"/>
      <c r="O28" s="1"/>
      <c r="P28" s="1"/>
      <c r="Q28" s="1"/>
      <c r="R28" s="1"/>
      <c r="S28" s="1"/>
      <c r="T28" s="1"/>
      <c r="U28" s="1"/>
      <c r="V28" s="1"/>
      <c r="W28" s="1"/>
      <c r="X28" s="1"/>
      <c r="Y28" s="1"/>
      <c r="Z28" s="1"/>
    </row>
    <row r="29" spans="1:26" ht="18.75" customHeight="1">
      <c r="A29" s="23"/>
      <c r="B29" s="105"/>
      <c r="C29" s="94"/>
      <c r="D29" s="94"/>
      <c r="E29" s="94"/>
      <c r="F29" s="94"/>
      <c r="G29" s="94"/>
      <c r="H29" s="94"/>
      <c r="I29" s="106"/>
      <c r="J29" s="1"/>
      <c r="K29" s="1"/>
      <c r="L29" s="1"/>
      <c r="M29" s="1"/>
      <c r="N29" s="1"/>
      <c r="O29" s="1"/>
      <c r="P29" s="1"/>
      <c r="Q29" s="1"/>
      <c r="R29" s="1"/>
      <c r="S29" s="1"/>
      <c r="T29" s="1"/>
      <c r="U29" s="1"/>
      <c r="V29" s="1"/>
      <c r="W29" s="1"/>
      <c r="X29" s="1"/>
      <c r="Y29" s="1"/>
      <c r="Z29" s="1"/>
    </row>
    <row r="30" spans="1:26" ht="18.75" customHeight="1">
      <c r="A30" s="23"/>
      <c r="B30" s="105"/>
      <c r="C30" s="94"/>
      <c r="D30" s="94"/>
      <c r="E30" s="94"/>
      <c r="F30" s="94"/>
      <c r="G30" s="94"/>
      <c r="H30" s="94"/>
      <c r="I30" s="106"/>
      <c r="J30" s="1"/>
      <c r="K30" s="1"/>
      <c r="L30" s="1"/>
      <c r="M30" s="1"/>
      <c r="N30" s="1"/>
      <c r="O30" s="1"/>
      <c r="P30" s="1"/>
      <c r="Q30" s="1"/>
      <c r="R30" s="1"/>
      <c r="S30" s="1"/>
      <c r="T30" s="1"/>
      <c r="U30" s="1"/>
      <c r="V30" s="1"/>
      <c r="W30" s="1"/>
      <c r="X30" s="1"/>
      <c r="Y30" s="1"/>
      <c r="Z30" s="1"/>
    </row>
    <row r="31" spans="1:26" ht="9" customHeight="1">
      <c r="A31" s="23"/>
      <c r="B31" s="105"/>
      <c r="C31" s="94"/>
      <c r="D31" s="94"/>
      <c r="E31" s="94"/>
      <c r="F31" s="94"/>
      <c r="G31" s="94"/>
      <c r="H31" s="94"/>
      <c r="I31" s="106"/>
      <c r="J31" s="1"/>
      <c r="K31" s="1"/>
      <c r="L31" s="1"/>
      <c r="M31" s="1"/>
      <c r="N31" s="1"/>
      <c r="O31" s="1"/>
      <c r="P31" s="1"/>
      <c r="Q31" s="1"/>
      <c r="R31" s="1"/>
      <c r="S31" s="1"/>
      <c r="T31" s="1"/>
      <c r="U31" s="1"/>
      <c r="V31" s="1"/>
      <c r="W31" s="1"/>
      <c r="X31" s="1"/>
      <c r="Y31" s="1"/>
      <c r="Z31" s="1"/>
    </row>
    <row r="32" spans="1:26" ht="18.75" customHeight="1">
      <c r="A32" s="23"/>
      <c r="B32" s="101"/>
      <c r="C32" s="102"/>
      <c r="D32" s="102"/>
      <c r="E32" s="102"/>
      <c r="F32" s="102"/>
      <c r="G32" s="102"/>
      <c r="H32" s="102"/>
      <c r="I32" s="103"/>
      <c r="J32" s="1"/>
      <c r="K32" s="1"/>
      <c r="L32" s="1"/>
      <c r="M32" s="1"/>
      <c r="N32" s="1"/>
      <c r="O32" s="1"/>
      <c r="P32" s="1"/>
      <c r="Q32" s="1"/>
      <c r="R32" s="1"/>
      <c r="S32" s="1"/>
      <c r="T32" s="1"/>
      <c r="U32" s="1"/>
      <c r="V32" s="1"/>
      <c r="W32" s="1"/>
      <c r="X32" s="1"/>
      <c r="Y32" s="1"/>
      <c r="Z32" s="1"/>
    </row>
    <row r="33" spans="1:26" ht="7.5" customHeight="1">
      <c r="A33" s="23"/>
      <c r="B33" s="23"/>
      <c r="C33" s="23"/>
      <c r="D33" s="23"/>
      <c r="E33" s="23"/>
      <c r="F33" s="23"/>
      <c r="G33" s="23"/>
      <c r="H33" s="23"/>
      <c r="I33" s="23"/>
      <c r="J33" s="1"/>
      <c r="K33" s="1"/>
      <c r="L33" s="1"/>
      <c r="M33" s="1"/>
      <c r="N33" s="1"/>
      <c r="O33" s="1"/>
      <c r="P33" s="1"/>
      <c r="Q33" s="1"/>
      <c r="R33" s="1"/>
      <c r="S33" s="1"/>
      <c r="T33" s="1"/>
      <c r="U33" s="1"/>
      <c r="V33" s="1"/>
      <c r="W33" s="1"/>
      <c r="X33" s="1"/>
      <c r="Y33" s="1"/>
      <c r="Z33" s="1"/>
    </row>
    <row r="34" spans="1:26" ht="18.75" customHeight="1">
      <c r="A34" s="15" t="s">
        <v>116</v>
      </c>
      <c r="B34" s="15" t="s">
        <v>117</v>
      </c>
      <c r="C34" s="10"/>
      <c r="D34" s="15"/>
      <c r="E34" s="15"/>
      <c r="F34" s="15"/>
      <c r="G34" s="15"/>
      <c r="H34" s="15"/>
      <c r="I34" s="15"/>
      <c r="J34" s="1"/>
      <c r="K34" s="1"/>
      <c r="L34" s="1"/>
      <c r="M34" s="1"/>
      <c r="N34" s="1"/>
      <c r="O34" s="1"/>
      <c r="P34" s="1"/>
      <c r="Q34" s="1"/>
      <c r="R34" s="1"/>
      <c r="S34" s="1"/>
      <c r="T34" s="1"/>
      <c r="U34" s="1"/>
      <c r="V34" s="1"/>
      <c r="W34" s="1"/>
      <c r="X34" s="1"/>
      <c r="Y34" s="1"/>
      <c r="Z34" s="1"/>
    </row>
    <row r="35" spans="1:26" ht="18.75" customHeight="1">
      <c r="A35" s="23"/>
      <c r="B35" s="153" t="s">
        <v>175</v>
      </c>
      <c r="C35" s="99"/>
      <c r="D35" s="99"/>
      <c r="E35" s="99"/>
      <c r="F35" s="99"/>
      <c r="G35" s="99"/>
      <c r="H35" s="99"/>
      <c r="I35" s="100"/>
      <c r="J35" s="1"/>
      <c r="K35" s="1"/>
      <c r="L35" s="1"/>
      <c r="M35" s="1"/>
      <c r="N35" s="1"/>
      <c r="O35" s="1"/>
      <c r="P35" s="1"/>
      <c r="Q35" s="1"/>
      <c r="R35" s="1"/>
      <c r="S35" s="1"/>
      <c r="T35" s="1"/>
      <c r="U35" s="1"/>
      <c r="V35" s="1"/>
      <c r="W35" s="1"/>
      <c r="X35" s="1"/>
      <c r="Y35" s="1"/>
      <c r="Z35" s="1"/>
    </row>
    <row r="36" spans="1:26" ht="18.75" customHeight="1">
      <c r="A36" s="23"/>
      <c r="B36" s="105"/>
      <c r="C36" s="94"/>
      <c r="D36" s="94"/>
      <c r="E36" s="94"/>
      <c r="F36" s="94"/>
      <c r="G36" s="94"/>
      <c r="H36" s="94"/>
      <c r="I36" s="106"/>
      <c r="J36" s="1"/>
      <c r="K36" s="1"/>
      <c r="L36" s="1"/>
      <c r="M36" s="1"/>
      <c r="N36" s="1"/>
      <c r="O36" s="1"/>
      <c r="P36" s="1"/>
      <c r="Q36" s="1"/>
      <c r="R36" s="1"/>
      <c r="S36" s="1"/>
      <c r="T36" s="1"/>
      <c r="U36" s="1"/>
      <c r="V36" s="1"/>
      <c r="W36" s="1"/>
      <c r="X36" s="1"/>
      <c r="Y36" s="1"/>
      <c r="Z36" s="1"/>
    </row>
    <row r="37" spans="1:26" ht="18.75" customHeight="1">
      <c r="A37" s="23"/>
      <c r="B37" s="105"/>
      <c r="C37" s="94"/>
      <c r="D37" s="94"/>
      <c r="E37" s="94"/>
      <c r="F37" s="94"/>
      <c r="G37" s="94"/>
      <c r="H37" s="94"/>
      <c r="I37" s="106"/>
      <c r="J37" s="1"/>
      <c r="K37" s="1"/>
      <c r="L37" s="1"/>
      <c r="M37" s="1"/>
      <c r="N37" s="1"/>
      <c r="O37" s="1"/>
      <c r="P37" s="1"/>
      <c r="Q37" s="1"/>
      <c r="R37" s="1"/>
      <c r="S37" s="1"/>
      <c r="T37" s="1"/>
      <c r="U37" s="1"/>
      <c r="V37" s="1"/>
      <c r="W37" s="1"/>
      <c r="X37" s="1"/>
      <c r="Y37" s="1"/>
      <c r="Z37" s="1"/>
    </row>
    <row r="38" spans="1:26" ht="18.75" customHeight="1">
      <c r="A38" s="23"/>
      <c r="B38" s="105"/>
      <c r="C38" s="94"/>
      <c r="D38" s="94"/>
      <c r="E38" s="94"/>
      <c r="F38" s="94"/>
      <c r="G38" s="94"/>
      <c r="H38" s="94"/>
      <c r="I38" s="106"/>
      <c r="J38" s="1"/>
      <c r="K38" s="1"/>
      <c r="L38" s="1"/>
      <c r="M38" s="1"/>
      <c r="N38" s="1"/>
      <c r="O38" s="1"/>
      <c r="P38" s="1"/>
      <c r="Q38" s="1"/>
      <c r="R38" s="1"/>
      <c r="S38" s="1"/>
      <c r="T38" s="1"/>
      <c r="U38" s="1"/>
      <c r="V38" s="1"/>
      <c r="W38" s="1"/>
      <c r="X38" s="1"/>
      <c r="Y38" s="1"/>
      <c r="Z38" s="1"/>
    </row>
    <row r="39" spans="1:26" ht="18.75" customHeight="1">
      <c r="A39" s="23"/>
      <c r="B39" s="105"/>
      <c r="C39" s="94"/>
      <c r="D39" s="94"/>
      <c r="E39" s="94"/>
      <c r="F39" s="94"/>
      <c r="G39" s="94"/>
      <c r="H39" s="94"/>
      <c r="I39" s="106"/>
      <c r="J39" s="1"/>
      <c r="K39" s="1"/>
      <c r="L39" s="1"/>
      <c r="M39" s="1"/>
      <c r="N39" s="1"/>
      <c r="O39" s="1"/>
      <c r="P39" s="1"/>
      <c r="Q39" s="1"/>
      <c r="R39" s="1"/>
      <c r="S39" s="1"/>
      <c r="T39" s="1"/>
      <c r="U39" s="1"/>
      <c r="V39" s="1"/>
      <c r="W39" s="1"/>
      <c r="X39" s="1"/>
      <c r="Y39" s="1"/>
      <c r="Z39" s="1"/>
    </row>
    <row r="40" spans="1:26" ht="18.75" customHeight="1">
      <c r="A40" s="23"/>
      <c r="B40" s="105"/>
      <c r="C40" s="94"/>
      <c r="D40" s="94"/>
      <c r="E40" s="94"/>
      <c r="F40" s="94"/>
      <c r="G40" s="94"/>
      <c r="H40" s="94"/>
      <c r="I40" s="106"/>
      <c r="J40" s="1"/>
      <c r="K40" s="1"/>
      <c r="L40" s="1"/>
      <c r="M40" s="1"/>
      <c r="N40" s="1"/>
      <c r="O40" s="1"/>
      <c r="P40" s="1"/>
      <c r="Q40" s="1"/>
      <c r="R40" s="1"/>
      <c r="S40" s="1"/>
      <c r="T40" s="1"/>
      <c r="U40" s="1"/>
      <c r="V40" s="1"/>
      <c r="W40" s="1"/>
      <c r="X40" s="1"/>
      <c r="Y40" s="1"/>
      <c r="Z40" s="1"/>
    </row>
    <row r="41" spans="1:26" ht="18.75" customHeight="1">
      <c r="A41" s="23"/>
      <c r="B41" s="105"/>
      <c r="C41" s="94"/>
      <c r="D41" s="94"/>
      <c r="E41" s="94"/>
      <c r="F41" s="94"/>
      <c r="G41" s="94"/>
      <c r="H41" s="94"/>
      <c r="I41" s="106"/>
      <c r="J41" s="1"/>
      <c r="K41" s="1"/>
      <c r="L41" s="1"/>
      <c r="M41" s="1"/>
      <c r="N41" s="1"/>
      <c r="O41" s="1"/>
      <c r="P41" s="1"/>
      <c r="Q41" s="1"/>
      <c r="R41" s="1"/>
      <c r="S41" s="1"/>
      <c r="T41" s="1"/>
      <c r="U41" s="1"/>
      <c r="V41" s="1"/>
      <c r="W41" s="1"/>
      <c r="X41" s="1"/>
      <c r="Y41" s="1"/>
      <c r="Z41" s="1"/>
    </row>
    <row r="42" spans="1:26" ht="18.75" customHeight="1">
      <c r="A42" s="23"/>
      <c r="B42" s="105"/>
      <c r="C42" s="94"/>
      <c r="D42" s="94"/>
      <c r="E42" s="94"/>
      <c r="F42" s="94"/>
      <c r="G42" s="94"/>
      <c r="H42" s="94"/>
      <c r="I42" s="106"/>
      <c r="J42" s="1"/>
      <c r="K42" s="1"/>
      <c r="L42" s="1"/>
      <c r="M42" s="1"/>
      <c r="N42" s="1"/>
      <c r="O42" s="1"/>
      <c r="P42" s="1"/>
      <c r="Q42" s="1"/>
      <c r="R42" s="1"/>
      <c r="S42" s="1"/>
      <c r="T42" s="1"/>
      <c r="U42" s="1"/>
      <c r="V42" s="1"/>
      <c r="W42" s="1"/>
      <c r="X42" s="1"/>
      <c r="Y42" s="1"/>
      <c r="Z42" s="1"/>
    </row>
    <row r="43" spans="1:26" ht="18.75" customHeight="1">
      <c r="A43" s="23"/>
      <c r="B43" s="105"/>
      <c r="C43" s="94"/>
      <c r="D43" s="94"/>
      <c r="E43" s="94"/>
      <c r="F43" s="94"/>
      <c r="G43" s="94"/>
      <c r="H43" s="94"/>
      <c r="I43" s="106"/>
      <c r="J43" s="1"/>
      <c r="K43" s="1"/>
      <c r="L43" s="1"/>
      <c r="M43" s="1"/>
      <c r="N43" s="1"/>
      <c r="O43" s="1"/>
      <c r="P43" s="1"/>
      <c r="Q43" s="1"/>
      <c r="R43" s="1"/>
      <c r="S43" s="1"/>
      <c r="T43" s="1"/>
      <c r="U43" s="1"/>
      <c r="V43" s="1"/>
      <c r="W43" s="1"/>
      <c r="X43" s="1"/>
      <c r="Y43" s="1"/>
      <c r="Z43" s="1"/>
    </row>
    <row r="44" spans="1:26" ht="18.75" customHeight="1">
      <c r="A44" s="23"/>
      <c r="B44" s="105"/>
      <c r="C44" s="94"/>
      <c r="D44" s="94"/>
      <c r="E44" s="94"/>
      <c r="F44" s="94"/>
      <c r="G44" s="94"/>
      <c r="H44" s="94"/>
      <c r="I44" s="106"/>
      <c r="J44" s="1"/>
      <c r="K44" s="1"/>
      <c r="L44" s="1"/>
      <c r="M44" s="1"/>
      <c r="N44" s="1"/>
      <c r="O44" s="1"/>
      <c r="P44" s="1"/>
      <c r="Q44" s="1"/>
      <c r="R44" s="1"/>
      <c r="S44" s="1"/>
      <c r="T44" s="1"/>
      <c r="U44" s="1"/>
      <c r="V44" s="1"/>
      <c r="W44" s="1"/>
      <c r="X44" s="1"/>
      <c r="Y44" s="1"/>
      <c r="Z44" s="1"/>
    </row>
    <row r="45" spans="1:26" ht="18.75" customHeight="1">
      <c r="A45" s="23"/>
      <c r="B45" s="105"/>
      <c r="C45" s="94"/>
      <c r="D45" s="94"/>
      <c r="E45" s="94"/>
      <c r="F45" s="94"/>
      <c r="G45" s="94"/>
      <c r="H45" s="94"/>
      <c r="I45" s="106"/>
      <c r="J45" s="1"/>
      <c r="K45" s="1"/>
      <c r="L45" s="1"/>
      <c r="M45" s="1"/>
      <c r="N45" s="1"/>
      <c r="O45" s="1"/>
      <c r="P45" s="1"/>
      <c r="Q45" s="1"/>
      <c r="R45" s="1"/>
      <c r="S45" s="1"/>
      <c r="T45" s="1"/>
      <c r="U45" s="1"/>
      <c r="V45" s="1"/>
      <c r="W45" s="1"/>
      <c r="X45" s="1"/>
      <c r="Y45" s="1"/>
      <c r="Z45" s="1"/>
    </row>
    <row r="46" spans="1:26" ht="14.25" customHeight="1">
      <c r="A46" s="23"/>
      <c r="B46" s="101"/>
      <c r="C46" s="102"/>
      <c r="D46" s="102"/>
      <c r="E46" s="102"/>
      <c r="F46" s="102"/>
      <c r="G46" s="102"/>
      <c r="H46" s="102"/>
      <c r="I46" s="103"/>
      <c r="J46" s="1"/>
      <c r="K46" s="1"/>
      <c r="L46" s="1"/>
      <c r="M46" s="1"/>
      <c r="N46" s="1"/>
      <c r="O46" s="1"/>
      <c r="P46" s="1"/>
      <c r="Q46" s="1"/>
      <c r="R46" s="1"/>
      <c r="S46" s="1"/>
      <c r="T46" s="1"/>
      <c r="U46" s="1"/>
      <c r="V46" s="1"/>
      <c r="W46" s="1"/>
      <c r="X46" s="1"/>
      <c r="Y46" s="1"/>
      <c r="Z46" s="1"/>
    </row>
    <row r="47" spans="1:26" ht="7.5" customHeight="1">
      <c r="A47" s="64"/>
      <c r="B47" s="64"/>
      <c r="C47" s="64"/>
      <c r="D47" s="64"/>
      <c r="E47" s="64"/>
      <c r="F47" s="64"/>
      <c r="G47" s="64"/>
      <c r="H47" s="64"/>
      <c r="I47" s="64"/>
      <c r="J47" s="1"/>
      <c r="K47" s="1"/>
      <c r="L47" s="1"/>
      <c r="M47" s="1"/>
      <c r="N47" s="1"/>
      <c r="O47" s="1"/>
      <c r="P47" s="1"/>
      <c r="Q47" s="1"/>
      <c r="R47" s="1"/>
      <c r="S47" s="1"/>
      <c r="T47" s="1"/>
      <c r="U47" s="1"/>
      <c r="V47" s="1"/>
      <c r="W47" s="1"/>
      <c r="X47" s="1"/>
      <c r="Y47" s="1"/>
      <c r="Z47" s="1"/>
    </row>
    <row r="48" spans="1:26" ht="18.75" customHeight="1">
      <c r="A48" s="1" t="s">
        <v>118</v>
      </c>
      <c r="B48" s="1" t="s">
        <v>119</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65" t="s">
        <v>120</v>
      </c>
      <c r="C49" s="154">
        <f>'様式２ 履修者等数の実績'!AQ32</f>
        <v>0.23369175627240144</v>
      </c>
      <c r="D49" s="89"/>
      <c r="E49" s="65" t="s">
        <v>121</v>
      </c>
      <c r="F49" s="154">
        <v>0.45</v>
      </c>
      <c r="G49" s="89"/>
      <c r="H49" s="65" t="s">
        <v>122</v>
      </c>
      <c r="I49" s="65" t="s">
        <v>123</v>
      </c>
      <c r="J49" s="1"/>
      <c r="K49" s="8"/>
      <c r="L49" s="8"/>
      <c r="M49" s="1"/>
      <c r="N49" s="66"/>
      <c r="O49" s="8"/>
      <c r="P49" s="8"/>
      <c r="Q49" s="8"/>
      <c r="R49" s="8"/>
      <c r="S49" s="8"/>
      <c r="T49" s="8"/>
      <c r="U49" s="8"/>
      <c r="V49" s="8"/>
      <c r="W49" s="8"/>
      <c r="X49" s="8"/>
      <c r="Y49" s="8"/>
      <c r="Z49" s="8"/>
    </row>
    <row r="50" spans="1:26" ht="18.75" customHeight="1">
      <c r="A50" s="8"/>
      <c r="B50" s="65" t="s">
        <v>124</v>
      </c>
      <c r="C50" s="133" t="s">
        <v>125</v>
      </c>
      <c r="D50" s="89"/>
      <c r="E50" s="65" t="s">
        <v>126</v>
      </c>
      <c r="F50" s="133" t="s">
        <v>127</v>
      </c>
      <c r="G50" s="89"/>
      <c r="H50" s="65" t="s">
        <v>128</v>
      </c>
      <c r="I50" s="67">
        <f>'様式２ 履修者等数の実績'!E32</f>
        <v>2790</v>
      </c>
      <c r="J50" s="1"/>
      <c r="K50" s="8"/>
      <c r="L50" s="8"/>
      <c r="M50" s="1"/>
      <c r="N50" s="66"/>
      <c r="O50" s="8"/>
      <c r="P50" s="8"/>
      <c r="Q50" s="8"/>
      <c r="R50" s="8"/>
      <c r="S50" s="8"/>
      <c r="T50" s="8"/>
      <c r="U50" s="8"/>
      <c r="V50" s="8"/>
      <c r="W50" s="8"/>
      <c r="X50" s="8"/>
      <c r="Y50" s="8"/>
      <c r="Z50" s="8"/>
    </row>
    <row r="51" spans="1:26" ht="18.75" customHeight="1">
      <c r="A51" s="1"/>
      <c r="B51" s="148" t="s">
        <v>129</v>
      </c>
      <c r="C51" s="149"/>
      <c r="D51" s="149"/>
      <c r="E51" s="149"/>
      <c r="F51" s="149"/>
      <c r="G51" s="149"/>
      <c r="H51" s="149"/>
      <c r="I51" s="150"/>
      <c r="J51" s="1"/>
      <c r="K51" s="1"/>
      <c r="L51" s="1"/>
      <c r="M51" s="1"/>
      <c r="N51" s="66"/>
      <c r="O51" s="8"/>
      <c r="P51" s="1"/>
      <c r="Q51" s="1"/>
      <c r="R51" s="1"/>
      <c r="S51" s="1"/>
      <c r="T51" s="1"/>
      <c r="U51" s="1"/>
      <c r="V51" s="1"/>
      <c r="W51" s="1"/>
      <c r="X51" s="1"/>
      <c r="Y51" s="1"/>
      <c r="Z51" s="1"/>
    </row>
    <row r="52" spans="1:26" ht="18.75" customHeight="1">
      <c r="A52" s="1"/>
      <c r="B52" s="104" t="s">
        <v>130</v>
      </c>
      <c r="C52" s="99"/>
      <c r="D52" s="99"/>
      <c r="E52" s="99"/>
      <c r="F52" s="99"/>
      <c r="G52" s="99"/>
      <c r="H52" s="99"/>
      <c r="I52" s="100"/>
      <c r="J52" s="1"/>
      <c r="K52" s="1"/>
      <c r="L52" s="1"/>
      <c r="M52" s="1"/>
      <c r="N52" s="66"/>
      <c r="O52" s="8"/>
      <c r="P52" s="1"/>
      <c r="Q52" s="1"/>
      <c r="R52" s="1"/>
      <c r="S52" s="1"/>
      <c r="T52" s="1"/>
      <c r="U52" s="1"/>
      <c r="V52" s="1"/>
      <c r="W52" s="1"/>
      <c r="X52" s="1"/>
      <c r="Y52" s="1"/>
      <c r="Z52" s="1"/>
    </row>
    <row r="53" spans="1:26" ht="18.75" customHeight="1">
      <c r="A53" s="1"/>
      <c r="B53" s="105"/>
      <c r="C53" s="94"/>
      <c r="D53" s="94"/>
      <c r="E53" s="94"/>
      <c r="F53" s="94"/>
      <c r="G53" s="94"/>
      <c r="H53" s="94"/>
      <c r="I53" s="106"/>
      <c r="J53" s="1"/>
      <c r="K53" s="1"/>
      <c r="L53" s="1"/>
      <c r="M53" s="1"/>
      <c r="N53" s="66"/>
      <c r="O53" s="8"/>
      <c r="P53" s="1"/>
      <c r="Q53" s="1"/>
      <c r="R53" s="1"/>
      <c r="S53" s="1"/>
      <c r="T53" s="1"/>
      <c r="U53" s="1"/>
      <c r="V53" s="1"/>
      <c r="W53" s="1"/>
      <c r="X53" s="1"/>
      <c r="Y53" s="1"/>
      <c r="Z53" s="1"/>
    </row>
    <row r="54" spans="1:26" ht="18.75" customHeight="1">
      <c r="A54" s="1"/>
      <c r="B54" s="105"/>
      <c r="C54" s="94"/>
      <c r="D54" s="94"/>
      <c r="E54" s="94"/>
      <c r="F54" s="94"/>
      <c r="G54" s="94"/>
      <c r="H54" s="94"/>
      <c r="I54" s="106"/>
      <c r="J54" s="1"/>
      <c r="K54" s="1"/>
      <c r="L54" s="1"/>
      <c r="M54" s="1"/>
      <c r="N54" s="1"/>
      <c r="O54" s="1"/>
      <c r="P54" s="1"/>
      <c r="Q54" s="1"/>
      <c r="R54" s="1"/>
      <c r="S54" s="1"/>
      <c r="T54" s="1"/>
      <c r="U54" s="1"/>
      <c r="V54" s="1"/>
      <c r="W54" s="1"/>
      <c r="X54" s="1"/>
      <c r="Y54" s="1"/>
      <c r="Z54" s="1"/>
    </row>
    <row r="55" spans="1:26" ht="18.75" customHeight="1">
      <c r="A55" s="1"/>
      <c r="B55" s="105"/>
      <c r="C55" s="94"/>
      <c r="D55" s="94"/>
      <c r="E55" s="94"/>
      <c r="F55" s="94"/>
      <c r="G55" s="94"/>
      <c r="H55" s="94"/>
      <c r="I55" s="106"/>
      <c r="J55" s="1"/>
      <c r="K55" s="1"/>
      <c r="L55" s="1"/>
      <c r="M55" s="1"/>
      <c r="N55" s="1"/>
      <c r="O55" s="1"/>
      <c r="P55" s="1"/>
      <c r="Q55" s="1"/>
      <c r="R55" s="1"/>
      <c r="S55" s="1"/>
      <c r="T55" s="1"/>
      <c r="U55" s="1"/>
      <c r="V55" s="1"/>
      <c r="W55" s="1"/>
      <c r="X55" s="1"/>
      <c r="Y55" s="1"/>
      <c r="Z55" s="1"/>
    </row>
    <row r="56" spans="1:26" ht="18.75" customHeight="1">
      <c r="A56" s="1"/>
      <c r="B56" s="105"/>
      <c r="C56" s="94"/>
      <c r="D56" s="94"/>
      <c r="E56" s="94"/>
      <c r="F56" s="94"/>
      <c r="G56" s="94"/>
      <c r="H56" s="94"/>
      <c r="I56" s="106"/>
      <c r="J56" s="1"/>
      <c r="K56" s="1"/>
      <c r="L56" s="1"/>
      <c r="M56" s="1"/>
      <c r="N56" s="1"/>
      <c r="O56" s="1"/>
      <c r="P56" s="1"/>
      <c r="Q56" s="1"/>
      <c r="R56" s="1"/>
      <c r="S56" s="1"/>
      <c r="T56" s="1"/>
      <c r="U56" s="1"/>
      <c r="V56" s="1"/>
      <c r="W56" s="1"/>
      <c r="X56" s="1"/>
      <c r="Y56" s="1"/>
      <c r="Z56" s="1"/>
    </row>
    <row r="57" spans="1:26" ht="18.75" customHeight="1">
      <c r="A57" s="1"/>
      <c r="B57" s="105"/>
      <c r="C57" s="94"/>
      <c r="D57" s="94"/>
      <c r="E57" s="94"/>
      <c r="F57" s="94"/>
      <c r="G57" s="94"/>
      <c r="H57" s="94"/>
      <c r="I57" s="106"/>
      <c r="J57" s="1"/>
      <c r="K57" s="1"/>
      <c r="L57" s="1"/>
      <c r="M57" s="1"/>
      <c r="N57" s="1"/>
      <c r="O57" s="1"/>
      <c r="P57" s="1"/>
      <c r="Q57" s="1"/>
      <c r="R57" s="1"/>
      <c r="S57" s="1"/>
      <c r="T57" s="1"/>
      <c r="U57" s="1"/>
      <c r="V57" s="1"/>
      <c r="W57" s="1"/>
      <c r="X57" s="1"/>
      <c r="Y57" s="1"/>
      <c r="Z57" s="1"/>
    </row>
    <row r="58" spans="1:26" ht="18.75" customHeight="1">
      <c r="A58" s="1"/>
      <c r="B58" s="105"/>
      <c r="C58" s="94"/>
      <c r="D58" s="94"/>
      <c r="E58" s="94"/>
      <c r="F58" s="94"/>
      <c r="G58" s="94"/>
      <c r="H58" s="94"/>
      <c r="I58" s="106"/>
      <c r="J58" s="1"/>
      <c r="K58" s="1"/>
      <c r="L58" s="1"/>
      <c r="M58" s="1"/>
      <c r="N58" s="1"/>
      <c r="O58" s="1"/>
      <c r="P58" s="1"/>
      <c r="Q58" s="1"/>
      <c r="R58" s="1"/>
      <c r="S58" s="1"/>
      <c r="T58" s="1"/>
      <c r="U58" s="1"/>
      <c r="V58" s="1"/>
      <c r="W58" s="1"/>
      <c r="X58" s="1"/>
      <c r="Y58" s="1"/>
      <c r="Z58" s="1"/>
    </row>
    <row r="59" spans="1:26" ht="18.75" customHeight="1">
      <c r="A59" s="1"/>
      <c r="B59" s="105"/>
      <c r="C59" s="94"/>
      <c r="D59" s="94"/>
      <c r="E59" s="94"/>
      <c r="F59" s="94"/>
      <c r="G59" s="94"/>
      <c r="H59" s="94"/>
      <c r="I59" s="106"/>
      <c r="J59" s="1"/>
      <c r="K59" s="1"/>
      <c r="L59" s="1"/>
      <c r="M59" s="1"/>
      <c r="N59" s="1"/>
      <c r="O59" s="1"/>
      <c r="P59" s="1"/>
      <c r="Q59" s="1"/>
      <c r="R59" s="1"/>
      <c r="S59" s="1"/>
      <c r="T59" s="1"/>
      <c r="U59" s="1"/>
      <c r="V59" s="1"/>
      <c r="W59" s="1"/>
      <c r="X59" s="1"/>
      <c r="Y59" s="1"/>
      <c r="Z59" s="1"/>
    </row>
    <row r="60" spans="1:26" ht="18.75" customHeight="1">
      <c r="A60" s="1"/>
      <c r="B60" s="105"/>
      <c r="C60" s="94"/>
      <c r="D60" s="94"/>
      <c r="E60" s="94"/>
      <c r="F60" s="94"/>
      <c r="G60" s="94"/>
      <c r="H60" s="94"/>
      <c r="I60" s="106"/>
      <c r="J60" s="1"/>
      <c r="K60" s="1"/>
      <c r="L60" s="1"/>
      <c r="M60" s="1"/>
      <c r="N60" s="1"/>
      <c r="O60" s="1"/>
      <c r="P60" s="1"/>
      <c r="Q60" s="1"/>
      <c r="R60" s="1"/>
      <c r="S60" s="1"/>
      <c r="T60" s="1"/>
      <c r="U60" s="1"/>
      <c r="V60" s="1"/>
      <c r="W60" s="1"/>
      <c r="X60" s="1"/>
      <c r="Y60" s="1"/>
      <c r="Z60" s="1"/>
    </row>
    <row r="61" spans="1:26" ht="12.75" customHeight="1">
      <c r="A61" s="1"/>
      <c r="B61" s="105"/>
      <c r="C61" s="94"/>
      <c r="D61" s="94"/>
      <c r="E61" s="94"/>
      <c r="F61" s="94"/>
      <c r="G61" s="94"/>
      <c r="H61" s="94"/>
      <c r="I61" s="106"/>
      <c r="J61" s="1"/>
      <c r="K61" s="1"/>
      <c r="L61" s="1"/>
      <c r="M61" s="1"/>
      <c r="N61" s="1"/>
      <c r="O61" s="1"/>
      <c r="P61" s="1"/>
      <c r="Q61" s="1"/>
      <c r="R61" s="1"/>
      <c r="S61" s="1"/>
      <c r="T61" s="1"/>
      <c r="U61" s="1"/>
      <c r="V61" s="1"/>
      <c r="W61" s="1"/>
      <c r="X61" s="1"/>
      <c r="Y61" s="1"/>
      <c r="Z61" s="1"/>
    </row>
    <row r="62" spans="1:26" ht="13.5" customHeight="1">
      <c r="A62" s="1"/>
      <c r="B62" s="105"/>
      <c r="C62" s="94"/>
      <c r="D62" s="94"/>
      <c r="E62" s="94"/>
      <c r="F62" s="94"/>
      <c r="G62" s="94"/>
      <c r="H62" s="94"/>
      <c r="I62" s="106"/>
      <c r="J62" s="1"/>
      <c r="K62" s="1"/>
      <c r="L62" s="1"/>
      <c r="M62" s="1"/>
      <c r="N62" s="1"/>
      <c r="O62" s="1"/>
      <c r="P62" s="1"/>
      <c r="Q62" s="1"/>
      <c r="R62" s="1"/>
      <c r="S62" s="1"/>
      <c r="T62" s="1"/>
      <c r="U62" s="1"/>
      <c r="V62" s="1"/>
      <c r="W62" s="1"/>
      <c r="X62" s="1"/>
      <c r="Y62" s="1"/>
      <c r="Z62" s="1"/>
    </row>
    <row r="63" spans="1:26" ht="18.75" customHeight="1">
      <c r="A63" s="1"/>
      <c r="B63" s="101"/>
      <c r="C63" s="102"/>
      <c r="D63" s="102"/>
      <c r="E63" s="102"/>
      <c r="F63" s="102"/>
      <c r="G63" s="102"/>
      <c r="H63" s="102"/>
      <c r="I63" s="103"/>
      <c r="J63" s="1"/>
      <c r="K63" s="1"/>
      <c r="L63" s="1"/>
      <c r="M63" s="1"/>
      <c r="N63" s="1"/>
      <c r="O63" s="1"/>
      <c r="P63" s="1"/>
      <c r="Q63" s="1"/>
      <c r="R63" s="1"/>
      <c r="S63" s="1"/>
      <c r="T63" s="1"/>
      <c r="U63" s="1"/>
      <c r="V63" s="1"/>
      <c r="W63" s="1"/>
      <c r="X63" s="1"/>
      <c r="Y63" s="1"/>
      <c r="Z63" s="1"/>
    </row>
    <row r="64" spans="1:26" ht="7.5" customHeight="1">
      <c r="A64" s="23"/>
      <c r="B64" s="23"/>
      <c r="C64" s="23"/>
      <c r="D64" s="23"/>
      <c r="E64" s="23"/>
      <c r="F64" s="23"/>
      <c r="G64" s="23"/>
      <c r="H64" s="23"/>
      <c r="I64" s="23"/>
      <c r="J64" s="1"/>
      <c r="K64" s="1"/>
      <c r="L64" s="1"/>
      <c r="M64" s="1"/>
      <c r="N64" s="1"/>
      <c r="O64" s="1"/>
      <c r="P64" s="1"/>
      <c r="Q64" s="1"/>
      <c r="R64" s="1"/>
      <c r="S64" s="1"/>
      <c r="T64" s="1"/>
      <c r="U64" s="1"/>
      <c r="V64" s="1"/>
      <c r="W64" s="1"/>
      <c r="X64" s="1"/>
      <c r="Y64" s="1"/>
      <c r="Z64" s="1"/>
    </row>
    <row r="65" spans="1:26" ht="18.75" customHeight="1">
      <c r="A65" s="15" t="s">
        <v>131</v>
      </c>
      <c r="B65" s="1" t="s">
        <v>132</v>
      </c>
      <c r="C65" s="1"/>
      <c r="D65" s="1"/>
      <c r="E65" s="1"/>
      <c r="F65" s="1"/>
      <c r="G65" s="1"/>
      <c r="H65" s="1"/>
      <c r="I65" s="15"/>
      <c r="J65" s="1"/>
      <c r="K65" s="1"/>
      <c r="L65" s="1"/>
      <c r="M65" s="1"/>
      <c r="N65" s="1"/>
      <c r="O65" s="1"/>
      <c r="P65" s="1"/>
      <c r="Q65" s="1"/>
      <c r="R65" s="1"/>
      <c r="S65" s="1"/>
      <c r="T65" s="1"/>
      <c r="U65" s="1"/>
      <c r="V65" s="1"/>
      <c r="W65" s="1"/>
      <c r="X65" s="1"/>
      <c r="Y65" s="1"/>
      <c r="Z65" s="1"/>
    </row>
    <row r="66" spans="1:26" ht="18.75" customHeight="1">
      <c r="A66" s="64"/>
      <c r="B66" s="152" t="s">
        <v>174</v>
      </c>
      <c r="C66" s="99"/>
      <c r="D66" s="99"/>
      <c r="E66" s="99"/>
      <c r="F66" s="99"/>
      <c r="G66" s="99"/>
      <c r="H66" s="99"/>
      <c r="I66" s="100"/>
      <c r="J66" s="1"/>
      <c r="K66" s="1"/>
      <c r="L66" s="1"/>
      <c r="M66" s="1"/>
      <c r="N66" s="1"/>
      <c r="O66" s="1"/>
      <c r="P66" s="1"/>
      <c r="Q66" s="1"/>
      <c r="R66" s="1"/>
      <c r="S66" s="1"/>
      <c r="T66" s="1"/>
      <c r="U66" s="1"/>
      <c r="V66" s="1"/>
      <c r="W66" s="1"/>
      <c r="X66" s="1"/>
      <c r="Y66" s="1"/>
      <c r="Z66" s="1"/>
    </row>
    <row r="67" spans="1:26" ht="18.75" customHeight="1">
      <c r="A67" s="64"/>
      <c r="B67" s="105"/>
      <c r="C67" s="94"/>
      <c r="D67" s="94"/>
      <c r="E67" s="94"/>
      <c r="F67" s="94"/>
      <c r="G67" s="94"/>
      <c r="H67" s="94"/>
      <c r="I67" s="106"/>
      <c r="J67" s="1"/>
      <c r="K67" s="1"/>
      <c r="L67" s="1"/>
      <c r="M67" s="1"/>
      <c r="N67" s="1"/>
      <c r="O67" s="1"/>
      <c r="P67" s="1"/>
      <c r="Q67" s="1"/>
      <c r="R67" s="1"/>
      <c r="S67" s="1"/>
      <c r="T67" s="1"/>
      <c r="U67" s="1"/>
      <c r="V67" s="1"/>
      <c r="W67" s="1"/>
      <c r="X67" s="1"/>
      <c r="Y67" s="1"/>
      <c r="Z67" s="1"/>
    </row>
    <row r="68" spans="1:26" ht="18.75" customHeight="1">
      <c r="A68" s="64"/>
      <c r="B68" s="105"/>
      <c r="C68" s="94"/>
      <c r="D68" s="94"/>
      <c r="E68" s="94"/>
      <c r="F68" s="94"/>
      <c r="G68" s="94"/>
      <c r="H68" s="94"/>
      <c r="I68" s="106"/>
      <c r="J68" s="1"/>
      <c r="K68" s="1"/>
      <c r="L68" s="1"/>
      <c r="M68" s="1"/>
      <c r="N68" s="1"/>
      <c r="O68" s="1"/>
      <c r="P68" s="1"/>
      <c r="Q68" s="1"/>
      <c r="R68" s="1"/>
      <c r="S68" s="1"/>
      <c r="T68" s="1"/>
      <c r="U68" s="1"/>
      <c r="V68" s="1"/>
      <c r="W68" s="1"/>
      <c r="X68" s="1"/>
      <c r="Y68" s="1"/>
      <c r="Z68" s="1"/>
    </row>
    <row r="69" spans="1:26" ht="18.75" customHeight="1">
      <c r="A69" s="64"/>
      <c r="B69" s="105"/>
      <c r="C69" s="94"/>
      <c r="D69" s="94"/>
      <c r="E69" s="94"/>
      <c r="F69" s="94"/>
      <c r="G69" s="94"/>
      <c r="H69" s="94"/>
      <c r="I69" s="106"/>
      <c r="J69" s="1"/>
      <c r="K69" s="1"/>
      <c r="L69" s="1"/>
      <c r="M69" s="1"/>
      <c r="N69" s="1"/>
      <c r="O69" s="1"/>
      <c r="P69" s="1"/>
      <c r="Q69" s="1"/>
      <c r="R69" s="1"/>
      <c r="S69" s="1"/>
      <c r="T69" s="1"/>
      <c r="U69" s="1"/>
      <c r="V69" s="1"/>
      <c r="W69" s="1"/>
      <c r="X69" s="1"/>
      <c r="Y69" s="1"/>
      <c r="Z69" s="1"/>
    </row>
    <row r="70" spans="1:26" ht="18.75" customHeight="1">
      <c r="A70" s="64"/>
      <c r="B70" s="105"/>
      <c r="C70" s="94"/>
      <c r="D70" s="94"/>
      <c r="E70" s="94"/>
      <c r="F70" s="94"/>
      <c r="G70" s="94"/>
      <c r="H70" s="94"/>
      <c r="I70" s="106"/>
      <c r="J70" s="1"/>
      <c r="K70" s="1"/>
      <c r="L70" s="1"/>
      <c r="M70" s="1"/>
      <c r="N70" s="1"/>
      <c r="O70" s="1"/>
      <c r="P70" s="1"/>
      <c r="Q70" s="1"/>
      <c r="R70" s="1"/>
      <c r="S70" s="1"/>
      <c r="T70" s="1"/>
      <c r="U70" s="1"/>
      <c r="V70" s="1"/>
      <c r="W70" s="1"/>
      <c r="X70" s="1"/>
      <c r="Y70" s="1"/>
      <c r="Z70" s="1"/>
    </row>
    <row r="71" spans="1:26" ht="18.75" customHeight="1">
      <c r="A71" s="64"/>
      <c r="B71" s="105"/>
      <c r="C71" s="94"/>
      <c r="D71" s="94"/>
      <c r="E71" s="94"/>
      <c r="F71" s="94"/>
      <c r="G71" s="94"/>
      <c r="H71" s="94"/>
      <c r="I71" s="106"/>
      <c r="J71" s="1"/>
      <c r="K71" s="1"/>
      <c r="L71" s="1"/>
      <c r="M71" s="1"/>
      <c r="N71" s="1"/>
      <c r="O71" s="1"/>
      <c r="P71" s="1"/>
      <c r="Q71" s="1"/>
      <c r="R71" s="1"/>
      <c r="S71" s="1"/>
      <c r="T71" s="1"/>
      <c r="U71" s="1"/>
      <c r="V71" s="1"/>
      <c r="W71" s="1"/>
      <c r="X71" s="1"/>
      <c r="Y71" s="1"/>
      <c r="Z71" s="1"/>
    </row>
    <row r="72" spans="1:26" ht="18.75" customHeight="1">
      <c r="A72" s="64"/>
      <c r="B72" s="105"/>
      <c r="C72" s="94"/>
      <c r="D72" s="94"/>
      <c r="E72" s="94"/>
      <c r="F72" s="94"/>
      <c r="G72" s="94"/>
      <c r="H72" s="94"/>
      <c r="I72" s="106"/>
      <c r="J72" s="1"/>
      <c r="K72" s="1"/>
      <c r="L72" s="1"/>
      <c r="M72" s="1"/>
      <c r="N72" s="1"/>
      <c r="O72" s="1"/>
      <c r="P72" s="1"/>
      <c r="Q72" s="1"/>
      <c r="R72" s="1"/>
      <c r="S72" s="1"/>
      <c r="T72" s="1"/>
      <c r="U72" s="1"/>
      <c r="V72" s="1"/>
      <c r="W72" s="1"/>
      <c r="X72" s="1"/>
      <c r="Y72" s="1"/>
      <c r="Z72" s="1"/>
    </row>
    <row r="73" spans="1:26" ht="18.75" customHeight="1">
      <c r="A73" s="64"/>
      <c r="B73" s="105"/>
      <c r="C73" s="94"/>
      <c r="D73" s="94"/>
      <c r="E73" s="94"/>
      <c r="F73" s="94"/>
      <c r="G73" s="94"/>
      <c r="H73" s="94"/>
      <c r="I73" s="106"/>
      <c r="J73" s="1"/>
      <c r="K73" s="1"/>
      <c r="L73" s="1"/>
      <c r="M73" s="1"/>
      <c r="N73" s="1"/>
      <c r="O73" s="1"/>
      <c r="P73" s="1"/>
      <c r="Q73" s="1"/>
      <c r="R73" s="1"/>
      <c r="S73" s="1"/>
      <c r="T73" s="1"/>
      <c r="U73" s="1"/>
      <c r="V73" s="1"/>
      <c r="W73" s="1"/>
      <c r="X73" s="1"/>
      <c r="Y73" s="1"/>
      <c r="Z73" s="1"/>
    </row>
    <row r="74" spans="1:26" ht="18.75" customHeight="1">
      <c r="A74" s="64"/>
      <c r="B74" s="105"/>
      <c r="C74" s="94"/>
      <c r="D74" s="94"/>
      <c r="E74" s="94"/>
      <c r="F74" s="94"/>
      <c r="G74" s="94"/>
      <c r="H74" s="94"/>
      <c r="I74" s="106"/>
      <c r="J74" s="1"/>
      <c r="K74" s="1"/>
      <c r="L74" s="1"/>
      <c r="M74" s="1"/>
      <c r="N74" s="1"/>
      <c r="O74" s="1"/>
      <c r="P74" s="1"/>
      <c r="Q74" s="1"/>
      <c r="R74" s="1"/>
      <c r="S74" s="1"/>
      <c r="T74" s="1"/>
      <c r="U74" s="1"/>
      <c r="V74" s="1"/>
      <c r="W74" s="1"/>
      <c r="X74" s="1"/>
      <c r="Y74" s="1"/>
      <c r="Z74" s="1"/>
    </row>
    <row r="75" spans="1:26" ht="12" customHeight="1">
      <c r="A75" s="64"/>
      <c r="B75" s="105"/>
      <c r="C75" s="94"/>
      <c r="D75" s="94"/>
      <c r="E75" s="94"/>
      <c r="F75" s="94"/>
      <c r="G75" s="94"/>
      <c r="H75" s="94"/>
      <c r="I75" s="106"/>
      <c r="J75" s="1"/>
      <c r="K75" s="1"/>
      <c r="L75" s="1"/>
      <c r="M75" s="1"/>
      <c r="N75" s="1"/>
      <c r="O75" s="1"/>
      <c r="P75" s="1"/>
      <c r="Q75" s="1"/>
      <c r="R75" s="1"/>
      <c r="S75" s="1"/>
      <c r="T75" s="1"/>
      <c r="U75" s="1"/>
      <c r="V75" s="1"/>
      <c r="W75" s="1"/>
      <c r="X75" s="1"/>
      <c r="Y75" s="1"/>
      <c r="Z75" s="1"/>
    </row>
    <row r="76" spans="1:26" ht="18.75" customHeight="1">
      <c r="A76" s="64"/>
      <c r="B76" s="105"/>
      <c r="C76" s="94"/>
      <c r="D76" s="94"/>
      <c r="E76" s="94"/>
      <c r="F76" s="94"/>
      <c r="G76" s="94"/>
      <c r="H76" s="94"/>
      <c r="I76" s="106"/>
      <c r="J76" s="1"/>
      <c r="K76" s="1"/>
      <c r="L76" s="1"/>
      <c r="M76" s="1"/>
      <c r="N76" s="1"/>
      <c r="O76" s="1"/>
      <c r="P76" s="1"/>
      <c r="Q76" s="1"/>
      <c r="R76" s="1"/>
      <c r="S76" s="1"/>
      <c r="T76" s="1"/>
      <c r="U76" s="1"/>
      <c r="V76" s="1"/>
      <c r="W76" s="1"/>
      <c r="X76" s="1"/>
      <c r="Y76" s="1"/>
      <c r="Z76" s="1"/>
    </row>
    <row r="77" spans="1:26" ht="18.75" customHeight="1">
      <c r="A77" s="64"/>
      <c r="B77" s="101"/>
      <c r="C77" s="102"/>
      <c r="D77" s="102"/>
      <c r="E77" s="102"/>
      <c r="F77" s="102"/>
      <c r="G77" s="102"/>
      <c r="H77" s="102"/>
      <c r="I77" s="103"/>
      <c r="J77" s="1"/>
      <c r="K77" s="1"/>
      <c r="L77" s="1"/>
      <c r="M77" s="1"/>
      <c r="N77" s="1"/>
      <c r="O77" s="1"/>
      <c r="P77" s="1"/>
      <c r="Q77" s="1"/>
      <c r="R77" s="1"/>
      <c r="S77" s="1"/>
      <c r="T77" s="1"/>
      <c r="U77" s="1"/>
      <c r="V77" s="1"/>
      <c r="W77" s="1"/>
      <c r="X77" s="1"/>
      <c r="Y77" s="1"/>
      <c r="Z77" s="1"/>
    </row>
    <row r="78" spans="1:26" ht="7.5" customHeight="1">
      <c r="A78" s="64"/>
      <c r="B78" s="64"/>
      <c r="C78" s="64"/>
      <c r="D78" s="64"/>
      <c r="E78" s="64"/>
      <c r="F78" s="64"/>
      <c r="G78" s="64"/>
      <c r="H78" s="64"/>
      <c r="I78" s="64"/>
      <c r="J78" s="1"/>
      <c r="K78" s="1"/>
      <c r="L78" s="1"/>
      <c r="M78" s="1"/>
      <c r="N78" s="1"/>
      <c r="O78" s="1"/>
      <c r="P78" s="1"/>
      <c r="Q78" s="1"/>
      <c r="R78" s="1"/>
      <c r="S78" s="1"/>
      <c r="T78" s="1"/>
      <c r="U78" s="1"/>
      <c r="V78" s="1"/>
      <c r="W78" s="1"/>
      <c r="X78" s="1"/>
      <c r="Y78" s="1"/>
      <c r="Z78" s="1"/>
    </row>
    <row r="79" spans="1:26" ht="18.75" customHeight="1">
      <c r="A79" s="1" t="s">
        <v>133</v>
      </c>
      <c r="B79" s="1" t="s">
        <v>134</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52" t="s">
        <v>135</v>
      </c>
      <c r="C80" s="99"/>
      <c r="D80" s="99"/>
      <c r="E80" s="99"/>
      <c r="F80" s="99"/>
      <c r="G80" s="99"/>
      <c r="H80" s="99"/>
      <c r="I80" s="100"/>
      <c r="J80" s="1"/>
      <c r="K80" s="1"/>
      <c r="L80" s="1"/>
      <c r="M80" s="1"/>
      <c r="N80" s="1"/>
      <c r="O80" s="1"/>
      <c r="P80" s="1"/>
      <c r="Q80" s="1"/>
      <c r="R80" s="1"/>
      <c r="S80" s="1"/>
      <c r="T80" s="1"/>
      <c r="U80" s="1"/>
      <c r="V80" s="1"/>
      <c r="W80" s="1"/>
      <c r="X80" s="1"/>
      <c r="Y80" s="1"/>
      <c r="Z80" s="1"/>
    </row>
    <row r="81" spans="1:26" ht="18.75" customHeight="1">
      <c r="A81" s="1"/>
      <c r="B81" s="105"/>
      <c r="C81" s="94"/>
      <c r="D81" s="94"/>
      <c r="E81" s="94"/>
      <c r="F81" s="94"/>
      <c r="G81" s="94"/>
      <c r="H81" s="94"/>
      <c r="I81" s="106"/>
      <c r="J81" s="1"/>
      <c r="K81" s="1"/>
      <c r="L81" s="1"/>
      <c r="M81" s="1"/>
      <c r="N81" s="1"/>
      <c r="O81" s="1"/>
      <c r="P81" s="1"/>
      <c r="Q81" s="1"/>
      <c r="R81" s="1"/>
      <c r="S81" s="1"/>
      <c r="T81" s="1"/>
      <c r="U81" s="1"/>
      <c r="V81" s="1"/>
      <c r="W81" s="1"/>
      <c r="X81" s="1"/>
      <c r="Y81" s="1"/>
      <c r="Z81" s="1"/>
    </row>
    <row r="82" spans="1:26" ht="18.75" customHeight="1">
      <c r="A82" s="1"/>
      <c r="B82" s="105"/>
      <c r="C82" s="94"/>
      <c r="D82" s="94"/>
      <c r="E82" s="94"/>
      <c r="F82" s="94"/>
      <c r="G82" s="94"/>
      <c r="H82" s="94"/>
      <c r="I82" s="106"/>
      <c r="J82" s="1"/>
      <c r="K82" s="1"/>
      <c r="L82" s="1"/>
      <c r="M82" s="1"/>
      <c r="N82" s="1"/>
      <c r="O82" s="1"/>
      <c r="P82" s="1"/>
      <c r="Q82" s="1"/>
      <c r="R82" s="1"/>
      <c r="S82" s="1"/>
      <c r="T82" s="1"/>
      <c r="U82" s="1"/>
      <c r="V82" s="1"/>
      <c r="W82" s="1"/>
      <c r="X82" s="1"/>
      <c r="Y82" s="1"/>
      <c r="Z82" s="1"/>
    </row>
    <row r="83" spans="1:26" ht="18.75" customHeight="1">
      <c r="A83" s="1"/>
      <c r="B83" s="105"/>
      <c r="C83" s="94"/>
      <c r="D83" s="94"/>
      <c r="E83" s="94"/>
      <c r="F83" s="94"/>
      <c r="G83" s="94"/>
      <c r="H83" s="94"/>
      <c r="I83" s="106"/>
      <c r="J83" s="1"/>
      <c r="K83" s="1"/>
      <c r="L83" s="1"/>
      <c r="M83" s="1"/>
      <c r="N83" s="1"/>
      <c r="O83" s="1"/>
      <c r="P83" s="1"/>
      <c r="Q83" s="1"/>
      <c r="R83" s="1"/>
      <c r="S83" s="1"/>
      <c r="T83" s="1"/>
      <c r="U83" s="1"/>
      <c r="V83" s="1"/>
      <c r="W83" s="1"/>
      <c r="X83" s="1"/>
      <c r="Y83" s="1"/>
      <c r="Z83" s="1"/>
    </row>
    <row r="84" spans="1:26" ht="18.75" customHeight="1">
      <c r="A84" s="1"/>
      <c r="B84" s="105"/>
      <c r="C84" s="94"/>
      <c r="D84" s="94"/>
      <c r="E84" s="94"/>
      <c r="F84" s="94"/>
      <c r="G84" s="94"/>
      <c r="H84" s="94"/>
      <c r="I84" s="106"/>
      <c r="J84" s="1"/>
      <c r="K84" s="1"/>
      <c r="L84" s="1"/>
      <c r="M84" s="1"/>
      <c r="N84" s="1"/>
      <c r="O84" s="1"/>
      <c r="P84" s="1"/>
      <c r="Q84" s="1"/>
      <c r="R84" s="1"/>
      <c r="S84" s="1"/>
      <c r="T84" s="1"/>
      <c r="U84" s="1"/>
      <c r="V84" s="1"/>
      <c r="W84" s="1"/>
      <c r="X84" s="1"/>
      <c r="Y84" s="1"/>
      <c r="Z84" s="1"/>
    </row>
    <row r="85" spans="1:26" ht="18.75" customHeight="1">
      <c r="A85" s="1"/>
      <c r="B85" s="105"/>
      <c r="C85" s="94"/>
      <c r="D85" s="94"/>
      <c r="E85" s="94"/>
      <c r="F85" s="94"/>
      <c r="G85" s="94"/>
      <c r="H85" s="94"/>
      <c r="I85" s="106"/>
      <c r="J85" s="1"/>
      <c r="K85" s="1"/>
      <c r="L85" s="1"/>
      <c r="M85" s="1"/>
      <c r="N85" s="1"/>
      <c r="O85" s="1"/>
      <c r="P85" s="1"/>
      <c r="Q85" s="1"/>
      <c r="R85" s="1"/>
      <c r="S85" s="1"/>
      <c r="T85" s="1"/>
      <c r="U85" s="1"/>
      <c r="V85" s="1"/>
      <c r="W85" s="1"/>
      <c r="X85" s="1"/>
      <c r="Y85" s="1"/>
      <c r="Z85" s="1"/>
    </row>
    <row r="86" spans="1:26" ht="18.75" customHeight="1">
      <c r="A86" s="1"/>
      <c r="B86" s="105"/>
      <c r="C86" s="94"/>
      <c r="D86" s="94"/>
      <c r="E86" s="94"/>
      <c r="F86" s="94"/>
      <c r="G86" s="94"/>
      <c r="H86" s="94"/>
      <c r="I86" s="106"/>
      <c r="J86" s="1"/>
      <c r="K86" s="1"/>
      <c r="L86" s="1"/>
      <c r="M86" s="1"/>
      <c r="N86" s="1"/>
      <c r="O86" s="1"/>
      <c r="P86" s="1"/>
      <c r="Q86" s="1"/>
      <c r="R86" s="1"/>
      <c r="S86" s="1"/>
      <c r="T86" s="1"/>
      <c r="U86" s="1"/>
      <c r="V86" s="1"/>
      <c r="W86" s="1"/>
      <c r="X86" s="1"/>
      <c r="Y86" s="1"/>
      <c r="Z86" s="1"/>
    </row>
    <row r="87" spans="1:26" ht="18.75" customHeight="1">
      <c r="A87" s="1"/>
      <c r="B87" s="105"/>
      <c r="C87" s="94"/>
      <c r="D87" s="94"/>
      <c r="E87" s="94"/>
      <c r="F87" s="94"/>
      <c r="G87" s="94"/>
      <c r="H87" s="94"/>
      <c r="I87" s="106"/>
      <c r="J87" s="1"/>
      <c r="K87" s="1"/>
      <c r="L87" s="1"/>
      <c r="M87" s="1"/>
      <c r="N87" s="1"/>
      <c r="O87" s="1"/>
      <c r="P87" s="1"/>
      <c r="Q87" s="1"/>
      <c r="R87" s="1"/>
      <c r="S87" s="1"/>
      <c r="T87" s="1"/>
      <c r="U87" s="1"/>
      <c r="V87" s="1"/>
      <c r="W87" s="1"/>
      <c r="X87" s="1"/>
      <c r="Y87" s="1"/>
      <c r="Z87" s="1"/>
    </row>
    <row r="88" spans="1:26" ht="6.75" customHeight="1">
      <c r="A88" s="1"/>
      <c r="B88" s="105"/>
      <c r="C88" s="94"/>
      <c r="D88" s="94"/>
      <c r="E88" s="94"/>
      <c r="F88" s="94"/>
      <c r="G88" s="94"/>
      <c r="H88" s="94"/>
      <c r="I88" s="106"/>
      <c r="J88" s="1"/>
      <c r="K88" s="1"/>
      <c r="L88" s="1"/>
      <c r="M88" s="1"/>
      <c r="N88" s="1"/>
      <c r="O88" s="1"/>
      <c r="P88" s="1"/>
      <c r="Q88" s="1"/>
      <c r="R88" s="1"/>
      <c r="S88" s="1"/>
      <c r="T88" s="1"/>
      <c r="U88" s="1"/>
      <c r="V88" s="1"/>
      <c r="W88" s="1"/>
      <c r="X88" s="1"/>
      <c r="Y88" s="1"/>
      <c r="Z88" s="1"/>
    </row>
    <row r="89" spans="1:26" ht="18.75" customHeight="1">
      <c r="A89" s="1"/>
      <c r="B89" s="105"/>
      <c r="C89" s="94"/>
      <c r="D89" s="94"/>
      <c r="E89" s="94"/>
      <c r="F89" s="94"/>
      <c r="G89" s="94"/>
      <c r="H89" s="94"/>
      <c r="I89" s="106"/>
      <c r="J89" s="1"/>
      <c r="K89" s="1"/>
      <c r="L89" s="1"/>
      <c r="M89" s="1"/>
      <c r="N89" s="1"/>
      <c r="O89" s="1"/>
      <c r="P89" s="1"/>
      <c r="Q89" s="1"/>
      <c r="R89" s="1"/>
      <c r="S89" s="1"/>
      <c r="T89" s="1"/>
      <c r="U89" s="1"/>
      <c r="V89" s="1"/>
      <c r="W89" s="1"/>
      <c r="X89" s="1"/>
      <c r="Y89" s="1"/>
      <c r="Z89" s="1"/>
    </row>
    <row r="90" spans="1:26" ht="18.75" customHeight="1">
      <c r="A90" s="64"/>
      <c r="B90" s="105"/>
      <c r="C90" s="94"/>
      <c r="D90" s="94"/>
      <c r="E90" s="94"/>
      <c r="F90" s="94"/>
      <c r="G90" s="94"/>
      <c r="H90" s="94"/>
      <c r="I90" s="106"/>
      <c r="J90" s="1"/>
      <c r="K90" s="1"/>
      <c r="L90" s="1"/>
      <c r="M90" s="1"/>
      <c r="N90" s="1"/>
      <c r="O90" s="1"/>
      <c r="P90" s="1"/>
      <c r="Q90" s="1"/>
      <c r="R90" s="1"/>
      <c r="S90" s="1"/>
      <c r="T90" s="1"/>
      <c r="U90" s="1"/>
      <c r="V90" s="1"/>
      <c r="W90" s="1"/>
      <c r="X90" s="1"/>
      <c r="Y90" s="1"/>
      <c r="Z90" s="1"/>
    </row>
    <row r="91" spans="1:26" ht="18.75" customHeight="1">
      <c r="A91" s="64"/>
      <c r="B91" s="101"/>
      <c r="C91" s="102"/>
      <c r="D91" s="102"/>
      <c r="E91" s="102"/>
      <c r="F91" s="102"/>
      <c r="G91" s="102"/>
      <c r="H91" s="102"/>
      <c r="I91" s="103"/>
      <c r="J91" s="1"/>
      <c r="K91" s="1"/>
      <c r="L91" s="1"/>
      <c r="M91" s="1"/>
      <c r="N91" s="1"/>
      <c r="O91" s="1"/>
      <c r="P91" s="1"/>
      <c r="Q91" s="1"/>
      <c r="R91" s="1"/>
      <c r="S91" s="1"/>
      <c r="T91" s="1"/>
      <c r="U91" s="1"/>
      <c r="V91" s="1"/>
      <c r="W91" s="1"/>
      <c r="X91" s="1"/>
      <c r="Y91" s="1"/>
      <c r="Z91" s="1"/>
    </row>
    <row r="92" spans="1:26" ht="7.5" customHeight="1">
      <c r="A92" s="64"/>
      <c r="B92" s="64"/>
      <c r="C92" s="64"/>
      <c r="D92" s="64"/>
      <c r="E92" s="64"/>
      <c r="F92" s="64"/>
      <c r="G92" s="64"/>
      <c r="H92" s="64"/>
      <c r="I92" s="64"/>
      <c r="J92" s="1"/>
      <c r="K92" s="1"/>
      <c r="L92" s="1"/>
      <c r="M92" s="1"/>
      <c r="N92" s="1"/>
      <c r="O92" s="1"/>
      <c r="P92" s="1"/>
      <c r="Q92" s="1"/>
      <c r="R92" s="1"/>
      <c r="S92" s="1"/>
      <c r="T92" s="1"/>
      <c r="U92" s="1"/>
      <c r="V92" s="1"/>
      <c r="W92" s="1"/>
      <c r="X92" s="1"/>
      <c r="Y92" s="1"/>
      <c r="Z92" s="1"/>
    </row>
    <row r="93" spans="1:26" ht="18.75" customHeight="1">
      <c r="A93" s="1" t="s">
        <v>136</v>
      </c>
      <c r="B93" s="1" t="s">
        <v>137</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52" t="s">
        <v>138</v>
      </c>
      <c r="C94" s="99"/>
      <c r="D94" s="99"/>
      <c r="E94" s="99"/>
      <c r="F94" s="99"/>
      <c r="G94" s="99"/>
      <c r="H94" s="99"/>
      <c r="I94" s="100"/>
      <c r="J94" s="1"/>
      <c r="K94" s="1"/>
      <c r="L94" s="1"/>
      <c r="M94" s="1"/>
      <c r="N94" s="1"/>
      <c r="O94" s="1"/>
      <c r="P94" s="1"/>
      <c r="Q94" s="1"/>
      <c r="R94" s="1"/>
      <c r="S94" s="1"/>
      <c r="T94" s="1"/>
      <c r="U94" s="1"/>
      <c r="V94" s="1"/>
      <c r="W94" s="1"/>
      <c r="X94" s="1"/>
      <c r="Y94" s="1"/>
      <c r="Z94" s="1"/>
    </row>
    <row r="95" spans="1:26" ht="18.75" customHeight="1">
      <c r="A95" s="1"/>
      <c r="B95" s="105"/>
      <c r="C95" s="94"/>
      <c r="D95" s="94"/>
      <c r="E95" s="94"/>
      <c r="F95" s="94"/>
      <c r="G95" s="94"/>
      <c r="H95" s="94"/>
      <c r="I95" s="106"/>
      <c r="J95" s="1"/>
      <c r="K95" s="1"/>
      <c r="L95" s="1"/>
      <c r="M95" s="1"/>
      <c r="N95" s="1"/>
      <c r="O95" s="1"/>
      <c r="P95" s="1"/>
      <c r="Q95" s="1"/>
      <c r="R95" s="1"/>
      <c r="S95" s="1"/>
      <c r="T95" s="1"/>
      <c r="U95" s="1"/>
      <c r="V95" s="1"/>
      <c r="W95" s="1"/>
      <c r="X95" s="1"/>
      <c r="Y95" s="1"/>
      <c r="Z95" s="1"/>
    </row>
    <row r="96" spans="1:26" ht="18.75" customHeight="1">
      <c r="A96" s="1"/>
      <c r="B96" s="105"/>
      <c r="C96" s="94"/>
      <c r="D96" s="94"/>
      <c r="E96" s="94"/>
      <c r="F96" s="94"/>
      <c r="G96" s="94"/>
      <c r="H96" s="94"/>
      <c r="I96" s="106"/>
      <c r="J96" s="1"/>
      <c r="K96" s="1"/>
      <c r="L96" s="1"/>
      <c r="M96" s="1"/>
      <c r="N96" s="1"/>
      <c r="O96" s="1"/>
      <c r="P96" s="1"/>
      <c r="Q96" s="1"/>
      <c r="R96" s="1"/>
      <c r="S96" s="1"/>
      <c r="T96" s="1"/>
      <c r="U96" s="1"/>
      <c r="V96" s="1"/>
      <c r="W96" s="1"/>
      <c r="X96" s="1"/>
      <c r="Y96" s="1"/>
      <c r="Z96" s="1"/>
    </row>
    <row r="97" spans="1:26" ht="18.75" customHeight="1">
      <c r="A97" s="1"/>
      <c r="B97" s="105"/>
      <c r="C97" s="94"/>
      <c r="D97" s="94"/>
      <c r="E97" s="94"/>
      <c r="F97" s="94"/>
      <c r="G97" s="94"/>
      <c r="H97" s="94"/>
      <c r="I97" s="106"/>
      <c r="J97" s="1"/>
      <c r="K97" s="1"/>
      <c r="L97" s="1"/>
      <c r="M97" s="1"/>
      <c r="N97" s="1"/>
      <c r="O97" s="1"/>
      <c r="P97" s="1"/>
      <c r="Q97" s="1"/>
      <c r="R97" s="1"/>
      <c r="S97" s="1"/>
      <c r="T97" s="1"/>
      <c r="U97" s="1"/>
      <c r="V97" s="1"/>
      <c r="W97" s="1"/>
      <c r="X97" s="1"/>
      <c r="Y97" s="1"/>
      <c r="Z97" s="1"/>
    </row>
    <row r="98" spans="1:26" ht="18.75" customHeight="1">
      <c r="A98" s="1"/>
      <c r="B98" s="105"/>
      <c r="C98" s="94"/>
      <c r="D98" s="94"/>
      <c r="E98" s="94"/>
      <c r="F98" s="94"/>
      <c r="G98" s="94"/>
      <c r="H98" s="94"/>
      <c r="I98" s="106"/>
      <c r="J98" s="1"/>
      <c r="K98" s="1"/>
      <c r="L98" s="1"/>
      <c r="M98" s="1"/>
      <c r="N98" s="1"/>
      <c r="O98" s="1"/>
      <c r="P98" s="1"/>
      <c r="Q98" s="1"/>
      <c r="R98" s="1"/>
      <c r="S98" s="1"/>
      <c r="T98" s="1"/>
      <c r="U98" s="1"/>
      <c r="V98" s="1"/>
      <c r="W98" s="1"/>
      <c r="X98" s="1"/>
      <c r="Y98" s="1"/>
      <c r="Z98" s="1"/>
    </row>
    <row r="99" spans="1:26" ht="18.75" customHeight="1">
      <c r="A99" s="1"/>
      <c r="B99" s="105"/>
      <c r="C99" s="94"/>
      <c r="D99" s="94"/>
      <c r="E99" s="94"/>
      <c r="F99" s="94"/>
      <c r="G99" s="94"/>
      <c r="H99" s="94"/>
      <c r="I99" s="106"/>
      <c r="J99" s="1"/>
      <c r="K99" s="1"/>
      <c r="L99" s="1"/>
      <c r="M99" s="1"/>
      <c r="N99" s="1"/>
      <c r="O99" s="1"/>
      <c r="P99" s="1"/>
      <c r="Q99" s="1"/>
      <c r="R99" s="1"/>
      <c r="S99" s="1"/>
      <c r="T99" s="1"/>
      <c r="U99" s="1"/>
      <c r="V99" s="1"/>
      <c r="W99" s="1"/>
      <c r="X99" s="1"/>
      <c r="Y99" s="1"/>
      <c r="Z99" s="1"/>
    </row>
    <row r="100" spans="1:26" ht="18.75" customHeight="1">
      <c r="A100" s="1"/>
      <c r="B100" s="105"/>
      <c r="C100" s="94"/>
      <c r="D100" s="94"/>
      <c r="E100" s="94"/>
      <c r="F100" s="94"/>
      <c r="G100" s="94"/>
      <c r="H100" s="94"/>
      <c r="I100" s="106"/>
      <c r="J100" s="1"/>
      <c r="K100" s="1"/>
      <c r="L100" s="1"/>
      <c r="M100" s="1"/>
      <c r="N100" s="1"/>
      <c r="O100" s="1"/>
      <c r="P100" s="1"/>
      <c r="Q100" s="1"/>
      <c r="R100" s="1"/>
      <c r="S100" s="1"/>
      <c r="T100" s="1"/>
      <c r="U100" s="1"/>
      <c r="V100" s="1"/>
      <c r="W100" s="1"/>
      <c r="X100" s="1"/>
      <c r="Y100" s="1"/>
      <c r="Z100" s="1"/>
    </row>
    <row r="101" spans="1:26" ht="18.75" customHeight="1">
      <c r="A101" s="1"/>
      <c r="B101" s="105"/>
      <c r="C101" s="94"/>
      <c r="D101" s="94"/>
      <c r="E101" s="94"/>
      <c r="F101" s="94"/>
      <c r="G101" s="94"/>
      <c r="H101" s="94"/>
      <c r="I101" s="106"/>
      <c r="J101" s="1"/>
      <c r="K101" s="1"/>
      <c r="L101" s="1"/>
      <c r="M101" s="1"/>
      <c r="N101" s="1"/>
      <c r="O101" s="1"/>
      <c r="P101" s="1"/>
      <c r="Q101" s="1"/>
      <c r="R101" s="1"/>
      <c r="S101" s="1"/>
      <c r="T101" s="1"/>
      <c r="U101" s="1"/>
      <c r="V101" s="1"/>
      <c r="W101" s="1"/>
      <c r="X101" s="1"/>
      <c r="Y101" s="1"/>
      <c r="Z101" s="1"/>
    </row>
    <row r="102" spans="1:26" ht="18.75" customHeight="1">
      <c r="A102" s="1"/>
      <c r="B102" s="105"/>
      <c r="C102" s="94"/>
      <c r="D102" s="94"/>
      <c r="E102" s="94"/>
      <c r="F102" s="94"/>
      <c r="G102" s="94"/>
      <c r="H102" s="94"/>
      <c r="I102" s="106"/>
      <c r="J102" s="1"/>
      <c r="K102" s="1"/>
      <c r="L102" s="1"/>
      <c r="M102" s="1"/>
      <c r="N102" s="1"/>
      <c r="O102" s="1"/>
      <c r="P102" s="1"/>
      <c r="Q102" s="1"/>
      <c r="R102" s="1"/>
      <c r="S102" s="1"/>
      <c r="T102" s="1"/>
      <c r="U102" s="1"/>
      <c r="V102" s="1"/>
      <c r="W102" s="1"/>
      <c r="X102" s="1"/>
      <c r="Y102" s="1"/>
      <c r="Z102" s="1"/>
    </row>
    <row r="103" spans="1:26" ht="18.75" customHeight="1">
      <c r="A103" s="1"/>
      <c r="B103" s="105"/>
      <c r="C103" s="94"/>
      <c r="D103" s="94"/>
      <c r="E103" s="94"/>
      <c r="F103" s="94"/>
      <c r="G103" s="94"/>
      <c r="H103" s="94"/>
      <c r="I103" s="106"/>
      <c r="J103" s="1"/>
      <c r="K103" s="1"/>
      <c r="L103" s="1"/>
      <c r="M103" s="1"/>
      <c r="N103" s="1"/>
      <c r="O103" s="1"/>
      <c r="P103" s="1"/>
      <c r="Q103" s="1"/>
      <c r="R103" s="1"/>
      <c r="S103" s="1"/>
      <c r="T103" s="1"/>
      <c r="U103" s="1"/>
      <c r="V103" s="1"/>
      <c r="W103" s="1"/>
      <c r="X103" s="1"/>
      <c r="Y103" s="1"/>
      <c r="Z103" s="1"/>
    </row>
    <row r="104" spans="1:26" ht="18.75" customHeight="1">
      <c r="A104" s="1"/>
      <c r="B104" s="105"/>
      <c r="C104" s="94"/>
      <c r="D104" s="94"/>
      <c r="E104" s="94"/>
      <c r="F104" s="94"/>
      <c r="G104" s="94"/>
      <c r="H104" s="94"/>
      <c r="I104" s="106"/>
      <c r="J104" s="1"/>
      <c r="K104" s="1"/>
      <c r="L104" s="1"/>
      <c r="M104" s="1"/>
      <c r="N104" s="1"/>
      <c r="O104" s="1"/>
      <c r="P104" s="1"/>
      <c r="Q104" s="1"/>
      <c r="R104" s="1"/>
      <c r="S104" s="1"/>
      <c r="T104" s="1"/>
      <c r="U104" s="1"/>
      <c r="V104" s="1"/>
      <c r="W104" s="1"/>
      <c r="X104" s="1"/>
      <c r="Y104" s="1"/>
      <c r="Z104" s="1"/>
    </row>
    <row r="105" spans="1:26" ht="18.75" customHeight="1">
      <c r="A105" s="64"/>
      <c r="B105" s="101"/>
      <c r="C105" s="102"/>
      <c r="D105" s="102"/>
      <c r="E105" s="102"/>
      <c r="F105" s="102"/>
      <c r="G105" s="102"/>
      <c r="H105" s="102"/>
      <c r="I105" s="103"/>
      <c r="J105" s="1"/>
      <c r="K105" s="1"/>
      <c r="L105" s="1"/>
      <c r="M105" s="1"/>
      <c r="N105" s="1"/>
      <c r="O105" s="1"/>
      <c r="P105" s="1"/>
      <c r="Q105" s="1"/>
      <c r="R105" s="1"/>
      <c r="S105" s="1"/>
      <c r="T105" s="1"/>
      <c r="U105" s="1"/>
      <c r="V105" s="1"/>
      <c r="W105" s="1"/>
      <c r="X105" s="1"/>
      <c r="Y105" s="1"/>
      <c r="Z105" s="1"/>
    </row>
    <row r="106" spans="1:26" ht="7.5" customHeight="1">
      <c r="A106" s="64"/>
      <c r="B106" s="64"/>
      <c r="C106" s="64"/>
      <c r="D106" s="64"/>
      <c r="E106" s="64"/>
      <c r="F106" s="64"/>
      <c r="G106" s="64"/>
      <c r="H106" s="64"/>
      <c r="I106" s="64"/>
      <c r="J106" s="1"/>
      <c r="K106" s="1"/>
      <c r="L106" s="1"/>
      <c r="M106" s="1"/>
      <c r="N106" s="1"/>
      <c r="O106" s="1"/>
      <c r="P106" s="1"/>
      <c r="Q106" s="1"/>
      <c r="R106" s="1"/>
      <c r="S106" s="1"/>
      <c r="T106" s="1"/>
      <c r="U106" s="1"/>
      <c r="V106" s="1"/>
      <c r="W106" s="1"/>
      <c r="X106" s="1"/>
      <c r="Y106" s="1"/>
      <c r="Z106" s="1"/>
    </row>
    <row r="107" spans="1:26" ht="18.75" customHeight="1">
      <c r="A107" s="1" t="s">
        <v>139</v>
      </c>
      <c r="B107" s="155" t="s">
        <v>140</v>
      </c>
      <c r="C107" s="94"/>
      <c r="D107" s="94"/>
      <c r="E107" s="94"/>
      <c r="F107" s="94"/>
      <c r="G107" s="94"/>
      <c r="H107" s="94"/>
      <c r="I107" s="94"/>
      <c r="J107" s="1"/>
      <c r="K107" s="1"/>
      <c r="L107" s="1"/>
      <c r="M107" s="1"/>
      <c r="N107" s="1"/>
      <c r="O107" s="1"/>
      <c r="P107" s="1"/>
      <c r="Q107" s="1"/>
      <c r="R107" s="1"/>
      <c r="S107" s="1"/>
      <c r="T107" s="1"/>
      <c r="U107" s="1"/>
      <c r="V107" s="1"/>
      <c r="W107" s="1"/>
      <c r="X107" s="1"/>
      <c r="Y107" s="1"/>
      <c r="Z107" s="1"/>
    </row>
    <row r="108" spans="1:26" ht="18.75" customHeight="1">
      <c r="A108" s="64"/>
      <c r="B108" s="152" t="s">
        <v>141</v>
      </c>
      <c r="C108" s="99"/>
      <c r="D108" s="99"/>
      <c r="E108" s="99"/>
      <c r="F108" s="99"/>
      <c r="G108" s="99"/>
      <c r="H108" s="99"/>
      <c r="I108" s="100"/>
      <c r="J108" s="1"/>
      <c r="K108" s="1"/>
      <c r="L108" s="1"/>
      <c r="M108" s="1"/>
      <c r="N108" s="1"/>
      <c r="O108" s="1"/>
      <c r="P108" s="1"/>
      <c r="Q108" s="1"/>
      <c r="R108" s="1"/>
      <c r="S108" s="1"/>
      <c r="T108" s="1"/>
      <c r="U108" s="1"/>
      <c r="V108" s="1"/>
      <c r="W108" s="1"/>
      <c r="X108" s="1"/>
      <c r="Y108" s="1"/>
      <c r="Z108" s="1"/>
    </row>
    <row r="109" spans="1:26" ht="18.75" customHeight="1">
      <c r="A109" s="64"/>
      <c r="B109" s="105"/>
      <c r="C109" s="94"/>
      <c r="D109" s="94"/>
      <c r="E109" s="94"/>
      <c r="F109" s="94"/>
      <c r="G109" s="94"/>
      <c r="H109" s="94"/>
      <c r="I109" s="106"/>
      <c r="J109" s="1"/>
      <c r="K109" s="1"/>
      <c r="L109" s="1"/>
      <c r="M109" s="1"/>
      <c r="N109" s="1"/>
      <c r="O109" s="1"/>
      <c r="P109" s="1"/>
      <c r="Q109" s="1"/>
      <c r="R109" s="1"/>
      <c r="S109" s="1"/>
      <c r="T109" s="1"/>
      <c r="U109" s="1"/>
      <c r="V109" s="1"/>
      <c r="W109" s="1"/>
      <c r="X109" s="1"/>
      <c r="Y109" s="1"/>
      <c r="Z109" s="1"/>
    </row>
    <row r="110" spans="1:26" ht="18.75" customHeight="1">
      <c r="A110" s="64"/>
      <c r="B110" s="105"/>
      <c r="C110" s="94"/>
      <c r="D110" s="94"/>
      <c r="E110" s="94"/>
      <c r="F110" s="94"/>
      <c r="G110" s="94"/>
      <c r="H110" s="94"/>
      <c r="I110" s="106"/>
      <c r="J110" s="1"/>
      <c r="K110" s="1"/>
      <c r="L110" s="1"/>
      <c r="M110" s="1"/>
      <c r="N110" s="1"/>
      <c r="O110" s="1"/>
      <c r="P110" s="1"/>
      <c r="Q110" s="1"/>
      <c r="R110" s="1"/>
      <c r="S110" s="1"/>
      <c r="T110" s="1"/>
      <c r="U110" s="1"/>
      <c r="V110" s="1"/>
      <c r="W110" s="1"/>
      <c r="X110" s="1"/>
      <c r="Y110" s="1"/>
      <c r="Z110" s="1"/>
    </row>
    <row r="111" spans="1:26" ht="18.75" customHeight="1">
      <c r="A111" s="64"/>
      <c r="B111" s="105"/>
      <c r="C111" s="94"/>
      <c r="D111" s="94"/>
      <c r="E111" s="94"/>
      <c r="F111" s="94"/>
      <c r="G111" s="94"/>
      <c r="H111" s="94"/>
      <c r="I111" s="106"/>
      <c r="J111" s="1"/>
      <c r="K111" s="1"/>
      <c r="L111" s="1"/>
      <c r="M111" s="1"/>
      <c r="N111" s="1"/>
      <c r="O111" s="1"/>
      <c r="P111" s="1"/>
      <c r="Q111" s="1"/>
      <c r="R111" s="1"/>
      <c r="S111" s="1"/>
      <c r="T111" s="1"/>
      <c r="U111" s="1"/>
      <c r="V111" s="1"/>
      <c r="W111" s="1"/>
      <c r="X111" s="1"/>
      <c r="Y111" s="1"/>
      <c r="Z111" s="1"/>
    </row>
    <row r="112" spans="1:26" ht="18.75" customHeight="1">
      <c r="A112" s="64"/>
      <c r="B112" s="105"/>
      <c r="C112" s="94"/>
      <c r="D112" s="94"/>
      <c r="E112" s="94"/>
      <c r="F112" s="94"/>
      <c r="G112" s="94"/>
      <c r="H112" s="94"/>
      <c r="I112" s="106"/>
      <c r="J112" s="1"/>
      <c r="K112" s="1"/>
      <c r="L112" s="1"/>
      <c r="M112" s="1"/>
      <c r="N112" s="1"/>
      <c r="O112" s="1"/>
      <c r="P112" s="1"/>
      <c r="Q112" s="1"/>
      <c r="R112" s="1"/>
      <c r="S112" s="1"/>
      <c r="T112" s="1"/>
      <c r="U112" s="1"/>
      <c r="V112" s="1"/>
      <c r="W112" s="1"/>
      <c r="X112" s="1"/>
      <c r="Y112" s="1"/>
      <c r="Z112" s="1"/>
    </row>
    <row r="113" spans="1:26" ht="18.75" customHeight="1">
      <c r="A113" s="64"/>
      <c r="B113" s="105"/>
      <c r="C113" s="94"/>
      <c r="D113" s="94"/>
      <c r="E113" s="94"/>
      <c r="F113" s="94"/>
      <c r="G113" s="94"/>
      <c r="H113" s="94"/>
      <c r="I113" s="106"/>
      <c r="J113" s="1"/>
      <c r="K113" s="1"/>
      <c r="L113" s="1"/>
      <c r="M113" s="1"/>
      <c r="N113" s="1"/>
      <c r="O113" s="1"/>
      <c r="P113" s="1"/>
      <c r="Q113" s="1"/>
      <c r="R113" s="1"/>
      <c r="S113" s="1"/>
      <c r="T113" s="1"/>
      <c r="U113" s="1"/>
      <c r="V113" s="1"/>
      <c r="W113" s="1"/>
      <c r="X113" s="1"/>
      <c r="Y113" s="1"/>
      <c r="Z113" s="1"/>
    </row>
    <row r="114" spans="1:26" ht="18.75" customHeight="1">
      <c r="A114" s="64"/>
      <c r="B114" s="105"/>
      <c r="C114" s="94"/>
      <c r="D114" s="94"/>
      <c r="E114" s="94"/>
      <c r="F114" s="94"/>
      <c r="G114" s="94"/>
      <c r="H114" s="94"/>
      <c r="I114" s="106"/>
      <c r="J114" s="1"/>
      <c r="K114" s="1"/>
      <c r="L114" s="1"/>
      <c r="M114" s="1"/>
      <c r="N114" s="1"/>
      <c r="O114" s="1"/>
      <c r="P114" s="1"/>
      <c r="Q114" s="1"/>
      <c r="R114" s="1"/>
      <c r="S114" s="1"/>
      <c r="T114" s="1"/>
      <c r="U114" s="1"/>
      <c r="V114" s="1"/>
      <c r="W114" s="1"/>
      <c r="X114" s="1"/>
      <c r="Y114" s="1"/>
      <c r="Z114" s="1"/>
    </row>
    <row r="115" spans="1:26" ht="18.75" customHeight="1">
      <c r="A115" s="64"/>
      <c r="B115" s="105"/>
      <c r="C115" s="94"/>
      <c r="D115" s="94"/>
      <c r="E115" s="94"/>
      <c r="F115" s="94"/>
      <c r="G115" s="94"/>
      <c r="H115" s="94"/>
      <c r="I115" s="106"/>
      <c r="J115" s="1"/>
      <c r="K115" s="1"/>
      <c r="L115" s="1"/>
      <c r="M115" s="1"/>
      <c r="N115" s="1"/>
      <c r="O115" s="1"/>
      <c r="P115" s="1"/>
      <c r="Q115" s="1"/>
      <c r="R115" s="1"/>
      <c r="S115" s="1"/>
      <c r="T115" s="1"/>
      <c r="U115" s="1"/>
      <c r="V115" s="1"/>
      <c r="W115" s="1"/>
      <c r="X115" s="1"/>
      <c r="Y115" s="1"/>
      <c r="Z115" s="1"/>
    </row>
    <row r="116" spans="1:26" ht="18.75" customHeight="1">
      <c r="A116" s="64"/>
      <c r="B116" s="105"/>
      <c r="C116" s="94"/>
      <c r="D116" s="94"/>
      <c r="E116" s="94"/>
      <c r="F116" s="94"/>
      <c r="G116" s="94"/>
      <c r="H116" s="94"/>
      <c r="I116" s="106"/>
      <c r="J116" s="1"/>
      <c r="K116" s="1"/>
      <c r="L116" s="1"/>
      <c r="M116" s="1"/>
      <c r="N116" s="1"/>
      <c r="O116" s="1"/>
      <c r="P116" s="1"/>
      <c r="Q116" s="1"/>
      <c r="R116" s="1"/>
      <c r="S116" s="1"/>
      <c r="T116" s="1"/>
      <c r="U116" s="1"/>
      <c r="V116" s="1"/>
      <c r="W116" s="1"/>
      <c r="X116" s="1"/>
      <c r="Y116" s="1"/>
      <c r="Z116" s="1"/>
    </row>
    <row r="117" spans="1:26" ht="18.75" customHeight="1">
      <c r="A117" s="64"/>
      <c r="B117" s="105"/>
      <c r="C117" s="94"/>
      <c r="D117" s="94"/>
      <c r="E117" s="94"/>
      <c r="F117" s="94"/>
      <c r="G117" s="94"/>
      <c r="H117" s="94"/>
      <c r="I117" s="106"/>
      <c r="J117" s="1"/>
      <c r="K117" s="1"/>
      <c r="L117" s="1"/>
      <c r="M117" s="1"/>
      <c r="N117" s="1"/>
      <c r="O117" s="1"/>
      <c r="P117" s="1"/>
      <c r="Q117" s="1"/>
      <c r="R117" s="1"/>
      <c r="S117" s="1"/>
      <c r="T117" s="1"/>
      <c r="U117" s="1"/>
      <c r="V117" s="1"/>
      <c r="W117" s="1"/>
      <c r="X117" s="1"/>
      <c r="Y117" s="1"/>
      <c r="Z117" s="1"/>
    </row>
    <row r="118" spans="1:26" ht="18.75" customHeight="1">
      <c r="A118" s="64"/>
      <c r="B118" s="105"/>
      <c r="C118" s="94"/>
      <c r="D118" s="94"/>
      <c r="E118" s="94"/>
      <c r="F118" s="94"/>
      <c r="G118" s="94"/>
      <c r="H118" s="94"/>
      <c r="I118" s="106"/>
      <c r="J118" s="1"/>
      <c r="K118" s="1"/>
      <c r="L118" s="1"/>
      <c r="M118" s="1"/>
      <c r="N118" s="1"/>
      <c r="O118" s="1"/>
      <c r="P118" s="1"/>
      <c r="Q118" s="1"/>
      <c r="R118" s="1"/>
      <c r="S118" s="1"/>
      <c r="T118" s="1"/>
      <c r="U118" s="1"/>
      <c r="V118" s="1"/>
      <c r="W118" s="1"/>
      <c r="X118" s="1"/>
      <c r="Y118" s="1"/>
      <c r="Z118" s="1"/>
    </row>
    <row r="119" spans="1:26" ht="18.75" customHeight="1">
      <c r="A119" s="64"/>
      <c r="B119" s="101"/>
      <c r="C119" s="102"/>
      <c r="D119" s="102"/>
      <c r="E119" s="102"/>
      <c r="F119" s="102"/>
      <c r="G119" s="102"/>
      <c r="H119" s="102"/>
      <c r="I119" s="103"/>
      <c r="J119" s="1"/>
      <c r="K119" s="1"/>
      <c r="L119" s="1"/>
      <c r="M119" s="1"/>
      <c r="N119" s="1"/>
      <c r="O119" s="1"/>
      <c r="P119" s="1"/>
      <c r="Q119" s="1"/>
      <c r="R119" s="1"/>
      <c r="S119" s="1"/>
      <c r="T119" s="1"/>
      <c r="U119" s="1"/>
      <c r="V119" s="1"/>
      <c r="W119" s="1"/>
      <c r="X119" s="1"/>
      <c r="Y119" s="1"/>
      <c r="Z119" s="1"/>
    </row>
    <row r="120" spans="1:26" ht="7.5" customHeight="1">
      <c r="A120" s="64"/>
      <c r="B120" s="68"/>
      <c r="C120" s="68"/>
      <c r="D120" s="68"/>
      <c r="E120" s="68"/>
      <c r="F120" s="68"/>
      <c r="G120" s="68"/>
      <c r="H120" s="68"/>
      <c r="I120" s="68"/>
      <c r="J120" s="1"/>
      <c r="K120" s="1"/>
      <c r="L120" s="1"/>
      <c r="M120" s="1"/>
      <c r="N120" s="1"/>
      <c r="O120" s="1"/>
      <c r="P120" s="1"/>
      <c r="Q120" s="1"/>
      <c r="R120" s="1"/>
      <c r="S120" s="1"/>
      <c r="T120" s="1"/>
      <c r="U120" s="1"/>
      <c r="V120" s="1"/>
      <c r="W120" s="1"/>
      <c r="X120" s="1"/>
      <c r="Y120" s="1"/>
      <c r="Z120" s="1"/>
    </row>
    <row r="121" spans="1:26" ht="18.75" customHeight="1">
      <c r="A121" s="64"/>
      <c r="B121" s="64"/>
      <c r="C121" s="64"/>
      <c r="D121" s="64"/>
      <c r="E121" s="64"/>
      <c r="F121" s="64"/>
      <c r="G121" s="64"/>
      <c r="H121" s="64"/>
      <c r="I121" s="64"/>
      <c r="J121" s="1"/>
      <c r="K121" s="1"/>
      <c r="L121" s="1"/>
      <c r="M121" s="1"/>
      <c r="N121" s="1"/>
      <c r="O121" s="1"/>
      <c r="P121" s="1"/>
      <c r="Q121" s="1"/>
      <c r="R121" s="1"/>
      <c r="S121" s="1"/>
      <c r="T121" s="1"/>
      <c r="U121" s="1"/>
      <c r="V121" s="1"/>
      <c r="W121" s="1"/>
      <c r="X121" s="1"/>
      <c r="Y121" s="1"/>
      <c r="Z121" s="1"/>
    </row>
    <row r="122" spans="1:26" ht="18.75" customHeight="1">
      <c r="A122" s="64"/>
      <c r="B122" s="64"/>
      <c r="C122" s="64"/>
      <c r="D122" s="64"/>
      <c r="E122" s="64"/>
      <c r="F122" s="64"/>
      <c r="G122" s="64"/>
      <c r="H122" s="64"/>
      <c r="I122" s="64"/>
      <c r="J122" s="1"/>
      <c r="K122" s="1"/>
      <c r="L122" s="1"/>
      <c r="M122" s="1"/>
      <c r="N122" s="1"/>
      <c r="O122" s="1"/>
      <c r="P122" s="1"/>
      <c r="Q122" s="1"/>
      <c r="R122" s="1"/>
      <c r="S122" s="1"/>
      <c r="T122" s="1"/>
      <c r="U122" s="1"/>
      <c r="V122" s="1"/>
      <c r="W122" s="1"/>
      <c r="X122" s="1"/>
      <c r="Y122" s="1"/>
      <c r="Z122" s="1"/>
    </row>
    <row r="123" spans="1:26" ht="18.75" customHeight="1">
      <c r="A123" s="64"/>
      <c r="B123" s="64"/>
      <c r="C123" s="64"/>
      <c r="D123" s="64"/>
      <c r="E123" s="64"/>
      <c r="F123" s="64"/>
      <c r="G123" s="64"/>
      <c r="H123" s="64"/>
      <c r="I123" s="64"/>
      <c r="J123" s="1"/>
      <c r="K123" s="1"/>
      <c r="L123" s="1"/>
      <c r="M123" s="1"/>
      <c r="N123" s="1"/>
      <c r="O123" s="1"/>
      <c r="P123" s="1"/>
      <c r="Q123" s="1"/>
      <c r="R123" s="1"/>
      <c r="S123" s="1"/>
      <c r="T123" s="1"/>
      <c r="U123" s="1"/>
      <c r="V123" s="1"/>
      <c r="W123" s="1"/>
      <c r="X123" s="1"/>
      <c r="Y123" s="1"/>
      <c r="Z123" s="1"/>
    </row>
    <row r="124" spans="1:26" ht="18.75" customHeight="1">
      <c r="A124" s="64"/>
      <c r="B124" s="64"/>
      <c r="C124" s="64"/>
      <c r="D124" s="64"/>
      <c r="E124" s="64"/>
      <c r="F124" s="64"/>
      <c r="G124" s="64"/>
      <c r="H124" s="64"/>
      <c r="I124" s="64"/>
      <c r="J124" s="1"/>
      <c r="K124" s="1"/>
      <c r="L124" s="1"/>
      <c r="M124" s="1"/>
      <c r="N124" s="1"/>
      <c r="O124" s="1"/>
      <c r="P124" s="1"/>
      <c r="Q124" s="1"/>
      <c r="R124" s="1"/>
      <c r="S124" s="1"/>
      <c r="T124" s="1"/>
      <c r="U124" s="1"/>
      <c r="V124" s="1"/>
      <c r="W124" s="1"/>
      <c r="X124" s="1"/>
      <c r="Y124" s="1"/>
      <c r="Z124" s="1"/>
    </row>
    <row r="125" spans="1:26" ht="18.75" customHeight="1">
      <c r="A125" s="64"/>
      <c r="B125" s="64"/>
      <c r="C125" s="64"/>
      <c r="D125" s="64"/>
      <c r="E125" s="64"/>
      <c r="F125" s="64"/>
      <c r="G125" s="64"/>
      <c r="H125" s="64"/>
      <c r="I125" s="64"/>
      <c r="J125" s="1"/>
      <c r="K125" s="1"/>
      <c r="L125" s="1"/>
      <c r="M125" s="1"/>
      <c r="N125" s="1"/>
      <c r="O125" s="1"/>
      <c r="P125" s="1"/>
      <c r="Q125" s="1"/>
      <c r="R125" s="1"/>
      <c r="S125" s="1"/>
      <c r="T125" s="1"/>
      <c r="U125" s="1"/>
      <c r="V125" s="1"/>
      <c r="W125" s="1"/>
      <c r="X125" s="1"/>
      <c r="Y125" s="1"/>
      <c r="Z125" s="1"/>
    </row>
    <row r="126" spans="1:26" ht="18.75" customHeight="1">
      <c r="A126" s="64"/>
      <c r="B126" s="64"/>
      <c r="C126" s="64"/>
      <c r="D126" s="64"/>
      <c r="E126" s="64"/>
      <c r="F126" s="64"/>
      <c r="G126" s="64"/>
      <c r="H126" s="64"/>
      <c r="I126" s="64"/>
      <c r="J126" s="1"/>
      <c r="K126" s="1"/>
      <c r="L126" s="1"/>
      <c r="M126" s="1"/>
      <c r="N126" s="1"/>
      <c r="O126" s="1"/>
      <c r="P126" s="1"/>
      <c r="Q126" s="1"/>
      <c r="R126" s="1"/>
      <c r="S126" s="1"/>
      <c r="T126" s="1"/>
      <c r="U126" s="1"/>
      <c r="V126" s="1"/>
      <c r="W126" s="1"/>
      <c r="X126" s="1"/>
      <c r="Y126" s="1"/>
      <c r="Z126" s="1"/>
    </row>
    <row r="127" spans="1:26" ht="18.75" customHeight="1">
      <c r="A127" s="64"/>
      <c r="B127" s="64"/>
      <c r="C127" s="64"/>
      <c r="D127" s="64"/>
      <c r="E127" s="64"/>
      <c r="F127" s="64"/>
      <c r="G127" s="64"/>
      <c r="H127" s="64"/>
      <c r="I127" s="64"/>
      <c r="J127" s="1"/>
      <c r="K127" s="1"/>
      <c r="L127" s="1"/>
      <c r="M127" s="1"/>
      <c r="N127" s="1"/>
      <c r="O127" s="1"/>
      <c r="P127" s="1"/>
      <c r="Q127" s="1"/>
      <c r="R127" s="1"/>
      <c r="S127" s="1"/>
      <c r="T127" s="1"/>
      <c r="U127" s="1"/>
      <c r="V127" s="1"/>
      <c r="W127" s="1"/>
      <c r="X127" s="1"/>
      <c r="Y127" s="1"/>
      <c r="Z127" s="1"/>
    </row>
    <row r="128" spans="1:26" ht="18.75" customHeight="1">
      <c r="A128" s="64"/>
      <c r="B128" s="64"/>
      <c r="C128" s="64"/>
      <c r="D128" s="64"/>
      <c r="E128" s="64"/>
      <c r="F128" s="64"/>
      <c r="G128" s="64"/>
      <c r="H128" s="64"/>
      <c r="I128" s="64"/>
      <c r="J128" s="1"/>
      <c r="K128" s="1"/>
      <c r="L128" s="1"/>
      <c r="M128" s="1"/>
      <c r="N128" s="1"/>
      <c r="O128" s="1"/>
      <c r="P128" s="1"/>
      <c r="Q128" s="1"/>
      <c r="R128" s="1"/>
      <c r="S128" s="1"/>
      <c r="T128" s="1"/>
      <c r="U128" s="1"/>
      <c r="V128" s="1"/>
      <c r="W128" s="1"/>
      <c r="X128" s="1"/>
      <c r="Y128" s="1"/>
      <c r="Z128" s="1"/>
    </row>
    <row r="129" spans="1:26" ht="18.75" customHeight="1">
      <c r="A129" s="64"/>
      <c r="B129" s="64"/>
      <c r="C129" s="64"/>
      <c r="D129" s="64"/>
      <c r="E129" s="64"/>
      <c r="F129" s="64"/>
      <c r="G129" s="64"/>
      <c r="H129" s="64"/>
      <c r="I129" s="64"/>
      <c r="J129" s="1"/>
      <c r="K129" s="1"/>
      <c r="L129" s="1"/>
      <c r="M129" s="1"/>
      <c r="N129" s="1"/>
      <c r="O129" s="1"/>
      <c r="P129" s="1"/>
      <c r="Q129" s="1"/>
      <c r="R129" s="1"/>
      <c r="S129" s="1"/>
      <c r="T129" s="1"/>
      <c r="U129" s="1"/>
      <c r="V129" s="1"/>
      <c r="W129" s="1"/>
      <c r="X129" s="1"/>
      <c r="Y129" s="1"/>
      <c r="Z129" s="1"/>
    </row>
    <row r="130" spans="1:26" ht="18.75" customHeight="1">
      <c r="A130" s="64"/>
      <c r="B130" s="64"/>
      <c r="C130" s="64"/>
      <c r="D130" s="64"/>
      <c r="E130" s="64"/>
      <c r="F130" s="64"/>
      <c r="G130" s="64"/>
      <c r="H130" s="64"/>
      <c r="I130" s="64"/>
      <c r="J130" s="1"/>
      <c r="K130" s="1"/>
      <c r="L130" s="1"/>
      <c r="M130" s="1"/>
      <c r="N130" s="1"/>
      <c r="O130" s="1"/>
      <c r="P130" s="1"/>
      <c r="Q130" s="1"/>
      <c r="R130" s="1"/>
      <c r="S130" s="1"/>
      <c r="T130" s="1"/>
      <c r="U130" s="1"/>
      <c r="V130" s="1"/>
      <c r="W130" s="1"/>
      <c r="X130" s="1"/>
      <c r="Y130" s="1"/>
      <c r="Z130" s="1"/>
    </row>
    <row r="131" spans="1:26" ht="18.75" customHeight="1">
      <c r="A131" s="64"/>
      <c r="B131" s="64"/>
      <c r="C131" s="64"/>
      <c r="D131" s="64"/>
      <c r="E131" s="64"/>
      <c r="F131" s="64"/>
      <c r="G131" s="64"/>
      <c r="H131" s="64"/>
      <c r="I131" s="64"/>
      <c r="J131" s="1"/>
      <c r="K131" s="1"/>
      <c r="L131" s="1"/>
      <c r="M131" s="1"/>
      <c r="N131" s="1"/>
      <c r="O131" s="1"/>
      <c r="P131" s="1"/>
      <c r="Q131" s="1"/>
      <c r="R131" s="1"/>
      <c r="S131" s="1"/>
      <c r="T131" s="1"/>
      <c r="U131" s="1"/>
      <c r="V131" s="1"/>
      <c r="W131" s="1"/>
      <c r="X131" s="1"/>
      <c r="Y131" s="1"/>
      <c r="Z131" s="1"/>
    </row>
    <row r="132" spans="1:26" ht="18.75" customHeight="1">
      <c r="A132" s="64"/>
      <c r="B132" s="64"/>
      <c r="C132" s="64"/>
      <c r="D132" s="64"/>
      <c r="E132" s="64"/>
      <c r="F132" s="64"/>
      <c r="G132" s="64"/>
      <c r="H132" s="64"/>
      <c r="I132" s="64"/>
      <c r="J132" s="1"/>
      <c r="K132" s="1"/>
      <c r="L132" s="1"/>
      <c r="M132" s="1"/>
      <c r="N132" s="1"/>
      <c r="O132" s="1"/>
      <c r="P132" s="1"/>
      <c r="Q132" s="1"/>
      <c r="R132" s="1"/>
      <c r="S132" s="1"/>
      <c r="T132" s="1"/>
      <c r="U132" s="1"/>
      <c r="V132" s="1"/>
      <c r="W132" s="1"/>
      <c r="X132" s="1"/>
      <c r="Y132" s="1"/>
      <c r="Z132" s="1"/>
    </row>
    <row r="133" spans="1:26" ht="18.75" customHeight="1">
      <c r="A133" s="64"/>
      <c r="B133" s="64"/>
      <c r="C133" s="64"/>
      <c r="D133" s="64"/>
      <c r="E133" s="64"/>
      <c r="F133" s="64"/>
      <c r="G133" s="64"/>
      <c r="H133" s="64"/>
      <c r="I133" s="64"/>
      <c r="J133" s="1"/>
      <c r="K133" s="1"/>
      <c r="L133" s="1"/>
      <c r="M133" s="1"/>
      <c r="N133" s="1"/>
      <c r="O133" s="1"/>
      <c r="P133" s="1"/>
      <c r="Q133" s="1"/>
      <c r="R133" s="1"/>
      <c r="S133" s="1"/>
      <c r="T133" s="1"/>
      <c r="U133" s="1"/>
      <c r="V133" s="1"/>
      <c r="W133" s="1"/>
      <c r="X133" s="1"/>
      <c r="Y133" s="1"/>
      <c r="Z133" s="1"/>
    </row>
    <row r="134" spans="1:26" ht="7.5" customHeight="1">
      <c r="A134" s="69"/>
      <c r="B134" s="69"/>
      <c r="C134" s="69"/>
      <c r="D134" s="69"/>
      <c r="E134" s="69"/>
      <c r="F134" s="69"/>
      <c r="G134" s="69"/>
      <c r="H134" s="69"/>
      <c r="I134" s="69"/>
      <c r="J134" s="1"/>
      <c r="K134" s="1"/>
      <c r="L134" s="1"/>
      <c r="M134" s="1"/>
      <c r="N134" s="1"/>
      <c r="O134" s="1"/>
      <c r="P134" s="1"/>
      <c r="Q134" s="1"/>
      <c r="R134" s="1"/>
      <c r="S134" s="1"/>
      <c r="T134" s="1"/>
      <c r="U134" s="1"/>
      <c r="V134" s="1"/>
      <c r="W134" s="1"/>
      <c r="X134" s="1"/>
      <c r="Y134" s="1"/>
      <c r="Z134" s="1"/>
    </row>
    <row r="135" spans="1:26" ht="18.75" customHeight="1">
      <c r="A135" s="6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6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6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6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6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6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6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6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6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6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6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6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6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6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6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6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6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6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6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6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6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6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6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6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6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6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6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6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6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6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6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6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6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6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6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6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6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6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6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6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6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6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6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6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6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6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6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6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6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6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6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6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6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6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6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6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6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6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6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6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6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6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6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6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6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6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6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6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6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6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6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6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6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6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6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6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6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6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6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6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6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6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6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6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6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6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6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6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6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6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6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6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6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6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6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6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6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6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6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6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6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6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6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6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6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6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6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6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6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6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6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6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6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6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6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6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6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6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6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6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6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6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6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6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6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6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6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6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6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6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6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6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6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6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6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6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6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6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6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6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6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6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6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6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6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6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6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6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6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6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6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6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6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6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6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6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6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6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6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6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6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6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6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6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6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6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6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6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6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6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6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6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6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6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6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6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6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6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6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6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6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6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6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6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6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6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6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6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6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6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6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6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6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6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6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6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6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6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6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6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6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6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6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6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6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6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6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6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6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6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6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6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6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6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6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6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6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6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6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6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6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6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6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6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6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6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6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6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6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6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6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6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6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6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6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6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6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6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6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6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6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6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6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6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6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6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6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6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6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6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6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6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6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6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6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6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6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6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6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6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6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6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6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6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6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6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6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6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6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6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6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6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6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6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6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6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6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6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6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6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6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6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6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6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6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6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6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6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6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6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6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6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6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6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6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6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6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6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6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6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6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6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6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6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6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6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6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6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6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6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6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6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6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6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6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6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6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6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6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6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6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6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6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6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6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6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6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6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6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6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6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6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6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6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6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6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6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6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6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6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6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6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6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6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6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6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6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6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6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6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6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6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6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6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6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6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6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6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6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6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6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6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6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6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6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6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6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6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6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6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6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6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6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6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6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6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6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6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6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6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6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6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6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6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6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6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6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6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6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6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6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6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6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6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6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6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6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6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6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6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6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6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6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6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6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6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6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6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6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6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6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6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6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6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6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6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6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6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6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6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6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6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6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6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6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6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6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6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6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6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6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6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6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6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6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6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6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6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6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6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6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6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6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6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6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6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6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6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6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6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6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6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6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6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6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6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6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6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6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6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6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6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6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6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6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6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6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6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6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6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6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6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6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6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6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6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6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6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6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6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6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6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6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6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6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6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6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6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6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6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6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6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6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6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6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6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6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6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6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6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6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6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6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6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6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6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6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6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6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6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6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6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6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6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6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6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6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6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6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6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6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6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6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6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6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6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6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6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6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6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6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6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6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6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6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6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6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6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6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6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6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6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6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6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6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6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6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6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6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6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6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6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6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6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6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6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6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6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6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6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6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6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6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6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6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6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6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6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6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6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6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6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6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6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6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6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6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6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6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6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6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6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6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6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6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6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6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6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6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6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6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6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6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6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6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6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6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6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6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6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6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6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6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6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6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6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6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6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6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6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6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6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6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6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6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6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6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6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6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6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6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6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6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6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6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6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6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6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6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6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6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6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6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6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6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6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6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6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6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6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6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6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6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6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6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6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6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6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6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6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6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6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6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6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6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6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6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6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6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6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6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6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6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6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6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6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6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6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6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6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6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6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6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6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6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6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6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6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6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6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6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6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6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6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6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6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6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6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6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6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6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6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6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6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6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6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6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6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6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6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6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6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6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6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6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6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6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6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6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6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6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6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6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6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6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6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6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6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6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6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6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6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6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6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6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6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6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6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6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6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6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6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6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6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6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6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6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6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6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6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6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6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6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6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6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6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6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6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6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6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6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6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6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6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6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6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6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6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6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6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6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6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6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6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6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6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6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6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6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6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6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6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6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6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6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6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6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6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6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6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6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6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6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6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6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6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6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6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6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6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6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6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6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6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6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6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6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6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6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6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6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6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6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6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6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6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6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6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6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6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6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6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6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6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6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6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6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6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6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6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6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6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6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6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6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6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6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6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6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6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6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6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6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6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6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6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6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6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6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6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6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6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6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6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6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6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6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6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6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6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6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6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6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6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6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6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6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6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6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6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6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6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6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6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6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6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B66:I77"/>
    <mergeCell ref="B80:I91"/>
    <mergeCell ref="B94:I105"/>
    <mergeCell ref="B107:I107"/>
    <mergeCell ref="B108:I119"/>
    <mergeCell ref="B14:I14"/>
    <mergeCell ref="H16:I16"/>
    <mergeCell ref="F50:G50"/>
    <mergeCell ref="B51:I51"/>
    <mergeCell ref="B52:I63"/>
    <mergeCell ref="C16:E16"/>
    <mergeCell ref="B19:I19"/>
    <mergeCell ref="B22:I32"/>
    <mergeCell ref="B35:I46"/>
    <mergeCell ref="C49:D49"/>
    <mergeCell ref="F49:G49"/>
    <mergeCell ref="C50:D50"/>
    <mergeCell ref="H2:I2"/>
    <mergeCell ref="A4:I4"/>
    <mergeCell ref="C6:D6"/>
    <mergeCell ref="C11:E11"/>
    <mergeCell ref="H11:I11"/>
  </mergeCells>
  <phoneticPr fontId="16"/>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opLeftCell="A19" workbookViewId="0">
      <selection activeCell="D92" sqref="D92:S92"/>
    </sheetView>
  </sheetViews>
  <sheetFormatPr defaultColWidth="14.42578125" defaultRowHeight="15" customHeight="1"/>
  <cols>
    <col min="1" max="3" width="2.85546875" customWidth="1"/>
    <col min="4" max="4" width="22.140625" customWidth="1"/>
    <col min="5" max="5" width="30.85546875" customWidth="1"/>
    <col min="6" max="7" width="7.85546875" customWidth="1"/>
    <col min="8" max="9" width="30.85546875" customWidth="1"/>
    <col min="10" max="26" width="11.28515625" customWidth="1"/>
  </cols>
  <sheetData>
    <row r="1" spans="1:26" ht="18.75" customHeight="1">
      <c r="A1" s="1" t="s">
        <v>142</v>
      </c>
      <c r="B1" s="1"/>
      <c r="C1" s="1"/>
      <c r="D1" s="1"/>
      <c r="E1" s="1"/>
      <c r="F1" s="1"/>
      <c r="G1" s="1"/>
      <c r="H1" s="1"/>
      <c r="I1" s="2" t="s">
        <v>143</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大阪成蹊大学</v>
      </c>
      <c r="J2" s="1"/>
      <c r="K2" s="1"/>
      <c r="L2" s="1"/>
      <c r="M2" s="1"/>
      <c r="N2" s="1"/>
      <c r="O2" s="1"/>
      <c r="P2" s="1"/>
      <c r="Q2" s="1"/>
      <c r="R2" s="1"/>
      <c r="S2" s="1"/>
      <c r="T2" s="1"/>
      <c r="U2" s="1"/>
      <c r="V2" s="1"/>
      <c r="W2" s="1"/>
      <c r="X2" s="1"/>
      <c r="Y2" s="1"/>
      <c r="Z2" s="1"/>
    </row>
    <row r="3" spans="1:26" ht="18.75" customHeight="1">
      <c r="A3" s="96" t="s">
        <v>144</v>
      </c>
      <c r="B3" s="94"/>
      <c r="C3" s="94"/>
      <c r="D3" s="94"/>
      <c r="E3" s="94"/>
      <c r="F3" s="94"/>
      <c r="G3" s="94"/>
      <c r="H3" s="94"/>
      <c r="I3" s="94"/>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95</v>
      </c>
      <c r="B5" s="10" t="s">
        <v>145</v>
      </c>
      <c r="C5" s="7"/>
      <c r="D5" s="7"/>
      <c r="E5" s="7"/>
      <c r="F5" s="7"/>
      <c r="G5" s="7"/>
      <c r="H5" s="7"/>
      <c r="I5" s="7"/>
      <c r="J5" s="1"/>
      <c r="K5" s="1"/>
      <c r="L5" s="1"/>
      <c r="M5" s="1"/>
      <c r="N5" s="1"/>
      <c r="O5" s="1"/>
      <c r="P5" s="1"/>
      <c r="Q5" s="1"/>
      <c r="R5" s="1"/>
      <c r="S5" s="1"/>
      <c r="T5" s="1"/>
      <c r="U5" s="1"/>
      <c r="V5" s="1"/>
      <c r="W5" s="1"/>
      <c r="X5" s="1"/>
      <c r="Y5" s="1"/>
      <c r="Z5" s="1"/>
    </row>
    <row r="6" spans="1:26" ht="26.25" customHeight="1">
      <c r="A6" s="7"/>
      <c r="B6" s="143" t="s">
        <v>146</v>
      </c>
      <c r="C6" s="88"/>
      <c r="D6" s="88"/>
      <c r="E6" s="88"/>
      <c r="F6" s="88"/>
      <c r="G6" s="88"/>
      <c r="H6" s="89"/>
      <c r="I6" s="8"/>
      <c r="J6" s="1"/>
      <c r="K6" s="1"/>
      <c r="L6" s="1"/>
      <c r="M6" s="1"/>
      <c r="N6" s="1"/>
      <c r="O6" s="1"/>
      <c r="P6" s="1"/>
      <c r="Q6" s="1"/>
      <c r="R6" s="1"/>
      <c r="S6" s="1"/>
      <c r="T6" s="1"/>
      <c r="U6" s="1"/>
      <c r="V6" s="1"/>
      <c r="W6" s="1"/>
      <c r="X6" s="1"/>
      <c r="Y6" s="1"/>
      <c r="Z6" s="1"/>
    </row>
    <row r="7" spans="1:26" ht="9" customHeight="1">
      <c r="A7" s="7"/>
      <c r="B7" s="10"/>
      <c r="C7" s="10"/>
      <c r="D7" s="10"/>
      <c r="E7" s="10"/>
      <c r="F7" s="10"/>
      <c r="G7" s="10"/>
      <c r="H7" s="10"/>
      <c r="I7" s="8"/>
      <c r="J7" s="1"/>
      <c r="K7" s="1"/>
      <c r="L7" s="1"/>
      <c r="M7" s="1"/>
      <c r="N7" s="1"/>
      <c r="O7" s="1"/>
      <c r="P7" s="1"/>
      <c r="Q7" s="1"/>
      <c r="R7" s="1"/>
      <c r="S7" s="1"/>
      <c r="T7" s="1"/>
      <c r="U7" s="1"/>
      <c r="V7" s="1"/>
      <c r="W7" s="1"/>
      <c r="X7" s="1"/>
      <c r="Y7" s="1"/>
      <c r="Z7" s="1"/>
    </row>
    <row r="8" spans="1:26" ht="18.75" customHeight="1">
      <c r="A8" s="7"/>
      <c r="B8" s="8"/>
      <c r="C8" s="8"/>
      <c r="D8" s="2" t="s">
        <v>104</v>
      </c>
      <c r="E8" s="70" t="s">
        <v>147</v>
      </c>
      <c r="F8" s="8"/>
      <c r="G8" s="2" t="s">
        <v>106</v>
      </c>
      <c r="H8" s="70" t="s">
        <v>148</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100</v>
      </c>
      <c r="B10" s="1" t="s">
        <v>149</v>
      </c>
      <c r="C10" s="64"/>
      <c r="D10" s="64"/>
      <c r="E10" s="64"/>
      <c r="F10" s="64"/>
      <c r="G10" s="64"/>
      <c r="H10" s="64"/>
      <c r="I10" s="64"/>
      <c r="J10" s="1"/>
      <c r="K10" s="1"/>
      <c r="L10" s="1"/>
      <c r="M10" s="1"/>
      <c r="N10" s="1"/>
      <c r="O10" s="1"/>
      <c r="P10" s="1"/>
      <c r="Q10" s="1"/>
      <c r="R10" s="1"/>
      <c r="S10" s="1"/>
      <c r="T10" s="1"/>
      <c r="U10" s="1"/>
      <c r="V10" s="1"/>
      <c r="W10" s="1"/>
      <c r="X10" s="1"/>
      <c r="Y10" s="1"/>
      <c r="Z10" s="1"/>
    </row>
    <row r="11" spans="1:26" ht="18.75" customHeight="1">
      <c r="A11" s="1"/>
      <c r="B11" s="87" t="s">
        <v>150</v>
      </c>
      <c r="C11" s="88"/>
      <c r="D11" s="89"/>
      <c r="E11" s="122" t="s">
        <v>151</v>
      </c>
      <c r="F11" s="88"/>
      <c r="G11" s="88"/>
      <c r="H11" s="88"/>
      <c r="I11" s="89"/>
      <c r="J11" s="1"/>
      <c r="K11" s="1"/>
      <c r="L11" s="1"/>
      <c r="M11" s="1"/>
      <c r="N11" s="1"/>
      <c r="O11" s="1"/>
      <c r="P11" s="1"/>
      <c r="Q11" s="1"/>
      <c r="R11" s="1"/>
      <c r="S11" s="1"/>
      <c r="T11" s="1"/>
      <c r="U11" s="1"/>
      <c r="V11" s="1"/>
      <c r="W11" s="1"/>
      <c r="X11" s="1"/>
      <c r="Y11" s="1"/>
      <c r="Z11" s="1"/>
    </row>
    <row r="12" spans="1:26" ht="26.25" customHeight="1">
      <c r="A12" s="1"/>
      <c r="B12" s="71" t="s">
        <v>152</v>
      </c>
      <c r="C12" s="72"/>
      <c r="D12" s="73"/>
      <c r="E12" s="74"/>
      <c r="F12" s="74"/>
      <c r="G12" s="74"/>
      <c r="H12" s="74"/>
      <c r="I12" s="73"/>
      <c r="J12" s="1"/>
      <c r="K12" s="1"/>
      <c r="L12" s="1"/>
      <c r="M12" s="1"/>
      <c r="N12" s="1"/>
      <c r="O12" s="1"/>
      <c r="P12" s="1"/>
      <c r="Q12" s="1"/>
      <c r="R12" s="1"/>
      <c r="S12" s="1"/>
      <c r="T12" s="1"/>
      <c r="U12" s="1"/>
      <c r="V12" s="1"/>
      <c r="W12" s="1"/>
      <c r="X12" s="1"/>
      <c r="Y12" s="1"/>
      <c r="Z12" s="1"/>
    </row>
    <row r="13" spans="1:26" ht="210.75" customHeight="1">
      <c r="A13" s="1"/>
      <c r="B13" s="75"/>
      <c r="C13" s="170" t="s">
        <v>153</v>
      </c>
      <c r="D13" s="83"/>
      <c r="E13" s="171" t="s">
        <v>176</v>
      </c>
      <c r="F13" s="82"/>
      <c r="G13" s="82"/>
      <c r="H13" s="82"/>
      <c r="I13" s="83"/>
      <c r="J13" s="1"/>
      <c r="K13" s="1"/>
      <c r="L13" s="1"/>
      <c r="M13" s="1"/>
      <c r="N13" s="1"/>
      <c r="O13" s="1"/>
      <c r="P13" s="1"/>
      <c r="Q13" s="1"/>
      <c r="R13" s="1"/>
      <c r="S13" s="1"/>
      <c r="T13" s="1"/>
      <c r="U13" s="1"/>
      <c r="V13" s="1"/>
      <c r="W13" s="1"/>
      <c r="X13" s="1"/>
      <c r="Y13" s="1"/>
      <c r="Z13" s="1"/>
    </row>
    <row r="14" spans="1:26" ht="210.75" customHeight="1">
      <c r="A14" s="1"/>
      <c r="B14" s="75"/>
      <c r="C14" s="172" t="s">
        <v>154</v>
      </c>
      <c r="D14" s="83"/>
      <c r="E14" s="171" t="s">
        <v>155</v>
      </c>
      <c r="F14" s="82"/>
      <c r="G14" s="82"/>
      <c r="H14" s="82"/>
      <c r="I14" s="83"/>
      <c r="J14" s="1"/>
      <c r="K14" s="1"/>
      <c r="L14" s="1"/>
      <c r="M14" s="1"/>
      <c r="N14" s="1"/>
      <c r="O14" s="1"/>
      <c r="P14" s="1"/>
      <c r="Q14" s="1"/>
      <c r="R14" s="1"/>
      <c r="S14" s="1"/>
      <c r="T14" s="1"/>
      <c r="U14" s="1"/>
      <c r="V14" s="1"/>
      <c r="W14" s="1"/>
      <c r="X14" s="1"/>
      <c r="Y14" s="1"/>
      <c r="Z14" s="1"/>
    </row>
    <row r="15" spans="1:26" ht="210.75" customHeight="1">
      <c r="A15" s="1"/>
      <c r="B15" s="75"/>
      <c r="C15" s="170" t="s">
        <v>156</v>
      </c>
      <c r="D15" s="83"/>
      <c r="E15" s="161" t="s">
        <v>157</v>
      </c>
      <c r="F15" s="162"/>
      <c r="G15" s="162"/>
      <c r="H15" s="162"/>
      <c r="I15" s="163"/>
      <c r="J15" s="1"/>
      <c r="K15" s="1"/>
      <c r="L15" s="1"/>
      <c r="M15" s="1"/>
      <c r="N15" s="1"/>
      <c r="O15" s="1"/>
      <c r="P15" s="1"/>
      <c r="Q15" s="1"/>
      <c r="R15" s="1"/>
      <c r="S15" s="1"/>
      <c r="T15" s="1"/>
      <c r="U15" s="1"/>
      <c r="V15" s="1"/>
      <c r="W15" s="1"/>
      <c r="X15" s="1"/>
      <c r="Y15" s="1"/>
      <c r="Z15" s="1"/>
    </row>
    <row r="16" spans="1:26" ht="210.75" customHeight="1">
      <c r="A16" s="1"/>
      <c r="B16" s="75"/>
      <c r="C16" s="170" t="s">
        <v>158</v>
      </c>
      <c r="D16" s="83"/>
      <c r="E16" s="164" t="s">
        <v>159</v>
      </c>
      <c r="F16" s="82"/>
      <c r="G16" s="82"/>
      <c r="H16" s="82"/>
      <c r="I16" s="83"/>
      <c r="J16" s="1"/>
      <c r="K16" s="1"/>
      <c r="L16" s="1"/>
      <c r="M16" s="1"/>
      <c r="N16" s="1"/>
      <c r="O16" s="1"/>
      <c r="P16" s="1"/>
      <c r="Q16" s="1"/>
      <c r="R16" s="1"/>
      <c r="S16" s="1"/>
      <c r="T16" s="1"/>
      <c r="U16" s="1"/>
      <c r="V16" s="1"/>
      <c r="W16" s="1"/>
      <c r="X16" s="1"/>
      <c r="Y16" s="1"/>
      <c r="Z16" s="1"/>
    </row>
    <row r="17" spans="1:26" ht="210.75" customHeight="1">
      <c r="A17" s="1"/>
      <c r="B17" s="76"/>
      <c r="C17" s="156" t="s">
        <v>160</v>
      </c>
      <c r="D17" s="86"/>
      <c r="E17" s="165" t="s">
        <v>161</v>
      </c>
      <c r="F17" s="85"/>
      <c r="G17" s="85"/>
      <c r="H17" s="85"/>
      <c r="I17" s="86"/>
      <c r="J17" s="1"/>
      <c r="K17" s="1"/>
      <c r="L17" s="1"/>
      <c r="M17" s="1"/>
      <c r="N17" s="1"/>
      <c r="O17" s="1"/>
      <c r="P17" s="1"/>
      <c r="Q17" s="1"/>
      <c r="R17" s="1"/>
      <c r="S17" s="1"/>
      <c r="T17" s="1"/>
      <c r="U17" s="1"/>
      <c r="V17" s="1"/>
      <c r="W17" s="1"/>
      <c r="X17" s="1"/>
      <c r="Y17" s="1"/>
      <c r="Z17" s="1"/>
    </row>
    <row r="18" spans="1:26" ht="24" customHeight="1">
      <c r="A18" s="1"/>
      <c r="B18" s="71" t="s">
        <v>162</v>
      </c>
      <c r="C18" s="77"/>
      <c r="D18" s="78"/>
      <c r="E18" s="79"/>
      <c r="F18" s="79"/>
      <c r="G18" s="79"/>
      <c r="H18" s="79"/>
      <c r="I18" s="80"/>
      <c r="J18" s="1"/>
      <c r="K18" s="1"/>
      <c r="L18" s="1"/>
      <c r="M18" s="1"/>
      <c r="N18" s="1"/>
      <c r="O18" s="1"/>
      <c r="P18" s="1"/>
      <c r="Q18" s="1"/>
      <c r="R18" s="1"/>
      <c r="S18" s="1"/>
      <c r="T18" s="1"/>
      <c r="U18" s="1"/>
      <c r="V18" s="1"/>
      <c r="W18" s="1"/>
      <c r="X18" s="1"/>
      <c r="Y18" s="1"/>
      <c r="Z18" s="1"/>
    </row>
    <row r="19" spans="1:26" ht="218.25" customHeight="1">
      <c r="A19" s="1"/>
      <c r="B19" s="75"/>
      <c r="C19" s="170" t="s">
        <v>163</v>
      </c>
      <c r="D19" s="83"/>
      <c r="E19" s="166" t="s">
        <v>164</v>
      </c>
      <c r="F19" s="82"/>
      <c r="G19" s="82"/>
      <c r="H19" s="82"/>
      <c r="I19" s="83"/>
      <c r="J19" s="1"/>
      <c r="K19" s="1"/>
      <c r="L19" s="1"/>
      <c r="M19" s="1"/>
      <c r="N19" s="1"/>
      <c r="O19" s="1"/>
      <c r="P19" s="1"/>
      <c r="Q19" s="1"/>
      <c r="R19" s="1"/>
      <c r="S19" s="1"/>
      <c r="T19" s="1"/>
      <c r="U19" s="1"/>
      <c r="V19" s="1"/>
      <c r="W19" s="1"/>
      <c r="X19" s="1"/>
      <c r="Y19" s="1"/>
      <c r="Z19" s="1"/>
    </row>
    <row r="20" spans="1:26" ht="218.25" customHeight="1">
      <c r="A20" s="1"/>
      <c r="B20" s="76"/>
      <c r="C20" s="156" t="s">
        <v>165</v>
      </c>
      <c r="D20" s="86"/>
      <c r="E20" s="167" t="s">
        <v>166</v>
      </c>
      <c r="F20" s="85"/>
      <c r="G20" s="85"/>
      <c r="H20" s="85"/>
      <c r="I20" s="86"/>
      <c r="J20" s="1"/>
      <c r="K20" s="1"/>
      <c r="L20" s="1"/>
      <c r="M20" s="1"/>
      <c r="N20" s="1"/>
      <c r="O20" s="1"/>
      <c r="P20" s="1"/>
      <c r="Q20" s="1"/>
      <c r="R20" s="1"/>
      <c r="S20" s="1"/>
      <c r="T20" s="1"/>
      <c r="U20" s="1"/>
      <c r="V20" s="1"/>
      <c r="W20" s="1"/>
      <c r="X20" s="1"/>
      <c r="Y20" s="1"/>
      <c r="Z20" s="1"/>
    </row>
    <row r="21" spans="1:26" ht="218.25" customHeight="1">
      <c r="A21" s="1"/>
      <c r="B21" s="157" t="s">
        <v>167</v>
      </c>
      <c r="C21" s="158"/>
      <c r="D21" s="159"/>
      <c r="E21" s="168" t="s">
        <v>168</v>
      </c>
      <c r="F21" s="158"/>
      <c r="G21" s="158"/>
      <c r="H21" s="158"/>
      <c r="I21" s="159"/>
      <c r="J21" s="1"/>
      <c r="K21" s="1"/>
      <c r="L21" s="1"/>
      <c r="M21" s="1"/>
      <c r="N21" s="1"/>
      <c r="O21" s="1"/>
      <c r="P21" s="1"/>
      <c r="Q21" s="1"/>
      <c r="R21" s="1"/>
      <c r="S21" s="1"/>
      <c r="T21" s="1"/>
      <c r="U21" s="1"/>
      <c r="V21" s="1"/>
      <c r="W21" s="1"/>
      <c r="X21" s="1"/>
      <c r="Y21" s="1"/>
      <c r="Z21" s="1"/>
    </row>
    <row r="22" spans="1:26" ht="218.25" customHeight="1">
      <c r="A22" s="1"/>
      <c r="B22" s="160" t="s">
        <v>169</v>
      </c>
      <c r="C22" s="102"/>
      <c r="D22" s="103"/>
      <c r="E22" s="169" t="s">
        <v>170</v>
      </c>
      <c r="F22" s="102"/>
      <c r="G22" s="102"/>
      <c r="H22" s="102"/>
      <c r="I22" s="103"/>
      <c r="J22" s="1"/>
      <c r="K22" s="1"/>
      <c r="L22" s="1"/>
      <c r="M22" s="1"/>
      <c r="N22" s="1"/>
      <c r="O22" s="1"/>
      <c r="P22" s="1"/>
      <c r="Q22" s="1"/>
      <c r="R22" s="1"/>
      <c r="S22" s="1"/>
      <c r="T22" s="1"/>
      <c r="U22" s="1"/>
      <c r="V22" s="1"/>
      <c r="W22" s="1"/>
      <c r="X22" s="1"/>
      <c r="Y22" s="1"/>
      <c r="Z22" s="1"/>
    </row>
    <row r="23" spans="1:26" ht="22.5" customHeight="1">
      <c r="A23" s="1"/>
      <c r="B23" s="64"/>
      <c r="C23" s="64"/>
      <c r="D23" s="64"/>
      <c r="E23" s="64"/>
      <c r="F23" s="64"/>
      <c r="G23" s="64"/>
      <c r="H23" s="64"/>
      <c r="I23" s="64"/>
      <c r="J23" s="1"/>
      <c r="K23" s="1"/>
      <c r="L23" s="1"/>
      <c r="M23" s="1"/>
      <c r="N23" s="1"/>
      <c r="O23" s="1"/>
      <c r="P23" s="1"/>
      <c r="Q23" s="1"/>
      <c r="R23" s="1"/>
      <c r="S23" s="1"/>
      <c r="T23" s="1"/>
      <c r="U23" s="1"/>
      <c r="V23" s="1"/>
      <c r="W23" s="1"/>
      <c r="X23" s="1"/>
      <c r="Y23" s="1"/>
      <c r="Z23" s="1"/>
    </row>
    <row r="24" spans="1:26" ht="22.5" customHeight="1">
      <c r="A24" s="1"/>
      <c r="B24" s="64"/>
      <c r="C24" s="64"/>
      <c r="D24" s="64"/>
      <c r="E24" s="64"/>
      <c r="F24" s="64"/>
      <c r="G24" s="64"/>
      <c r="H24" s="64"/>
      <c r="I24" s="64"/>
      <c r="J24" s="1"/>
      <c r="K24" s="1"/>
      <c r="L24" s="1"/>
      <c r="M24" s="1"/>
      <c r="N24" s="1"/>
      <c r="O24" s="1"/>
      <c r="P24" s="1"/>
      <c r="Q24" s="1"/>
      <c r="R24" s="1"/>
      <c r="S24" s="1"/>
      <c r="T24" s="1"/>
      <c r="U24" s="1"/>
      <c r="V24" s="1"/>
      <c r="W24" s="1"/>
      <c r="X24" s="1"/>
      <c r="Y24" s="1"/>
      <c r="Z24" s="1"/>
    </row>
    <row r="25" spans="1:26" ht="22.5" customHeight="1">
      <c r="A25" s="1"/>
      <c r="B25" s="64"/>
      <c r="C25" s="64"/>
      <c r="D25" s="64"/>
      <c r="E25" s="64"/>
      <c r="F25" s="64"/>
      <c r="G25" s="64"/>
      <c r="H25" s="64"/>
      <c r="I25" s="64"/>
      <c r="J25" s="1"/>
      <c r="K25" s="1"/>
      <c r="L25" s="1"/>
      <c r="M25" s="1"/>
      <c r="N25" s="1"/>
      <c r="O25" s="1"/>
      <c r="P25" s="1"/>
      <c r="Q25" s="1"/>
      <c r="R25" s="1"/>
      <c r="S25" s="1"/>
      <c r="T25" s="1"/>
      <c r="U25" s="1"/>
      <c r="V25" s="1"/>
      <c r="W25" s="1"/>
      <c r="X25" s="1"/>
      <c r="Y25" s="1"/>
      <c r="Z25" s="1"/>
    </row>
    <row r="26" spans="1:26" ht="22.5" customHeight="1">
      <c r="A26" s="1"/>
      <c r="B26" s="64"/>
      <c r="C26" s="64"/>
      <c r="D26" s="64"/>
      <c r="E26" s="64"/>
      <c r="F26" s="64"/>
      <c r="G26" s="64"/>
      <c r="H26" s="64"/>
      <c r="I26" s="64"/>
      <c r="J26" s="1"/>
      <c r="K26" s="1"/>
      <c r="L26" s="1"/>
      <c r="M26" s="1"/>
      <c r="N26" s="1"/>
      <c r="O26" s="1"/>
      <c r="P26" s="1"/>
      <c r="Q26" s="1"/>
      <c r="R26" s="1"/>
      <c r="S26" s="1"/>
      <c r="T26" s="1"/>
      <c r="U26" s="1"/>
      <c r="V26" s="1"/>
      <c r="W26" s="1"/>
      <c r="X26" s="1"/>
      <c r="Y26" s="1"/>
      <c r="Z26" s="1"/>
    </row>
    <row r="27" spans="1:26" ht="22.5" customHeight="1">
      <c r="A27" s="1"/>
      <c r="B27" s="64"/>
      <c r="C27" s="64"/>
      <c r="D27" s="64"/>
      <c r="E27" s="64"/>
      <c r="F27" s="64"/>
      <c r="G27" s="64"/>
      <c r="H27" s="64"/>
      <c r="I27" s="64"/>
      <c r="J27" s="1"/>
      <c r="K27" s="1"/>
      <c r="L27" s="1"/>
      <c r="M27" s="1"/>
      <c r="N27" s="1"/>
      <c r="O27" s="1"/>
      <c r="P27" s="1"/>
      <c r="Q27" s="1"/>
      <c r="R27" s="1"/>
      <c r="S27" s="1"/>
      <c r="T27" s="1"/>
      <c r="U27" s="1"/>
      <c r="V27" s="1"/>
      <c r="W27" s="1"/>
      <c r="X27" s="1"/>
      <c r="Y27" s="1"/>
      <c r="Z27" s="1"/>
    </row>
    <row r="28" spans="1:26" ht="22.5" customHeight="1">
      <c r="A28" s="1"/>
      <c r="B28" s="23"/>
      <c r="C28" s="23"/>
      <c r="D28" s="23"/>
      <c r="E28" s="23"/>
      <c r="F28" s="23"/>
      <c r="G28" s="23"/>
      <c r="H28" s="23"/>
      <c r="I28" s="23"/>
      <c r="J28" s="1"/>
      <c r="K28" s="1"/>
      <c r="L28" s="1"/>
      <c r="M28" s="1"/>
      <c r="N28" s="1"/>
      <c r="O28" s="1"/>
      <c r="P28" s="1"/>
      <c r="Q28" s="1"/>
      <c r="R28" s="1"/>
      <c r="S28" s="1"/>
      <c r="T28" s="1"/>
      <c r="U28" s="1"/>
      <c r="V28" s="1"/>
      <c r="W28" s="1"/>
      <c r="X28" s="1"/>
      <c r="Y28" s="1"/>
      <c r="Z28" s="1"/>
    </row>
    <row r="29" spans="1:26" ht="22.5" customHeight="1">
      <c r="A29" s="1"/>
      <c r="B29" s="23"/>
      <c r="C29" s="23"/>
      <c r="D29" s="23"/>
      <c r="E29" s="23"/>
      <c r="F29" s="23"/>
      <c r="G29" s="23"/>
      <c r="H29" s="23"/>
      <c r="I29" s="23"/>
      <c r="J29" s="1"/>
      <c r="K29" s="1"/>
      <c r="L29" s="1"/>
      <c r="M29" s="1"/>
      <c r="N29" s="1"/>
      <c r="O29" s="1"/>
      <c r="P29" s="1"/>
      <c r="Q29" s="1"/>
      <c r="R29" s="1"/>
      <c r="S29" s="1"/>
      <c r="T29" s="1"/>
      <c r="U29" s="1"/>
      <c r="V29" s="1"/>
      <c r="W29" s="1"/>
      <c r="X29" s="1"/>
      <c r="Y29" s="1"/>
      <c r="Z29" s="1"/>
    </row>
    <row r="30" spans="1:26" ht="22.5" customHeight="1">
      <c r="A30" s="1"/>
      <c r="B30" s="23"/>
      <c r="C30" s="23"/>
      <c r="D30" s="23"/>
      <c r="E30" s="23"/>
      <c r="F30" s="23"/>
      <c r="G30" s="23"/>
      <c r="H30" s="23"/>
      <c r="I30" s="23"/>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E14:I14"/>
    <mergeCell ref="A3:I3"/>
    <mergeCell ref="B6:H6"/>
    <mergeCell ref="B11:D11"/>
    <mergeCell ref="E11:I11"/>
    <mergeCell ref="C13:D13"/>
    <mergeCell ref="E13:I13"/>
    <mergeCell ref="C14:D14"/>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s>
  <phoneticPr fontId="16"/>
  <printOptions horizontalCentered="1"/>
  <pageMargins left="0.78740157480314965" right="0.78740157480314965" top="0.78740157480314965" bottom="0.59055118110236227" header="0" footer="0"/>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河村　泰文</cp:lastModifiedBy>
  <cp:lastPrinted>2023-05-15T00:48:23Z</cp:lastPrinted>
  <dcterms:created xsi:type="dcterms:W3CDTF">2011-06-14T05:32:50Z</dcterms:created>
  <dcterms:modified xsi:type="dcterms:W3CDTF">2023-05-15T00:50:44Z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