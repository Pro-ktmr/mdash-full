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4"/>
  <workbookPr defaultThemeVersion="124226"/>
  <mc:AlternateContent xmlns:mc="http://schemas.openxmlformats.org/markup-compatibility/2006">
    <mc:Choice Requires="x15">
      <x15ac:absPath xmlns:x15ac="http://schemas.microsoft.com/office/spreadsheetml/2010/11/ac" url="J:\管理職\MDASH\★令和5年度申請資料\提出用書類\01_追手門学院大学\"/>
    </mc:Choice>
  </mc:AlternateContent>
  <xr:revisionPtr revIDLastSave="0" documentId="13_ncr:1_{8988195A-38A1-44D4-BAFC-41FFCE14F38F}" xr6:coauthVersionLast="36" xr6:coauthVersionMax="36" xr10:uidLastSave="{00000000-0000-0000-0000-000000000000}"/>
  <bookViews>
    <workbookView xWindow="-110" yWindow="-110" windowWidth="19410" windowHeight="1149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G32" i="40"/>
  <c r="H32" i="40"/>
  <c r="AP13" i="40"/>
  <c r="AP14" i="40"/>
  <c r="AP15" i="40"/>
  <c r="AP16" i="40"/>
  <c r="AP17" i="40"/>
  <c r="AP18" i="40"/>
  <c r="AP19" i="40"/>
  <c r="AP20" i="40"/>
  <c r="AP21" i="40"/>
  <c r="F22" i="40"/>
  <c r="AP22" i="40" s="1"/>
  <c r="F23" i="40"/>
  <c r="AP23" i="40" s="1"/>
  <c r="F24" i="40"/>
  <c r="AP24" i="40" s="1"/>
  <c r="F25" i="40"/>
  <c r="AP25" i="40" s="1"/>
  <c r="F26" i="40"/>
  <c r="AP26" i="40" s="1"/>
  <c r="F27" i="40"/>
  <c r="AP27" i="40" s="1"/>
  <c r="F28" i="40"/>
  <c r="AP28" i="40" s="1"/>
  <c r="F29" i="40"/>
  <c r="AP29" i="40" s="1"/>
  <c r="F30" i="40"/>
  <c r="AP30" i="40" s="1"/>
  <c r="F31" i="40"/>
  <c r="AP31" i="40" s="1"/>
  <c r="AP12" i="40"/>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l="1"/>
  <c r="C49" i="41" s="1"/>
</calcChain>
</file>

<file path=xl/sharedStrings.xml><?xml version="1.0" encoding="utf-8"?>
<sst xmlns="http://schemas.openxmlformats.org/spreadsheetml/2006/main" count="311" uniqueCount="186">
  <si>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</si>
  <si>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</si>
  <si>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</si>
  <si>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</si>
  <si>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</si>
  <si>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</si>
  <si>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</si>
  <si>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</si>
  <si>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</si>
  <si>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</si>
  <si>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</si>
  <si>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</si>
  <si>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</si>
  <si>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</si>
  <si>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</si>
  <si>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</si>
  <si>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</si>
  <si>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</si>
  <si>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</si>
  <si>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</si>
  <si>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</si>
  <si>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</si>
  <si>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</si>
  <si>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</si>
  <si>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</si>
  <si>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</si>
  <si>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</si>
  <si>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</si>
  <si>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</si>
  <si>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</si>
  <si>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</si>
  <si>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</si>
  <si>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</si>
  <si>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</si>
  <si>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</si>
  <si>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</si>
  <si>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</si>
  <si>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</si>
  <si>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</si>
  <si>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</si>
  <si>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</si>
  <si>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</si>
  <si>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</si>
  <si>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</si>
  <si>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</si>
  <si>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</si>
  <si>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</si>
  <si>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</si>
  <si>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</si>
  <si>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</si>
  <si>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</si>
  <si>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</si>
  <si>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</si>
  <si>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</si>
  <si>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</si>
  <si>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</si>
  <si>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</si>
  <si>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</si>
  <si>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</si>
  <si>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</si>
  <si>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</si>
  <si>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</si>
  <si>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</si>
  <si>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</si>
  <si>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</si>
  <si>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</si>
  <si>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</si>
  <si>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</si>
  <si>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</si>
  <si>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</si>
  <si>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</si>
  <si>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</si>
  <si>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</si>
  <si>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</si>
  <si>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</si>
  <si>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</si>
  <si>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</si>
  <si>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</si>
  <si>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</si>
  <si>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</si>
  <si>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</si>
  <si>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</si>
  <si>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</si>
  <si>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</si>
  <si>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</si>
  <si>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</si>
  <si>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</si>
  <si>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</si>
  <si>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</si>
  <si>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</si>
  <si>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</si>
  <si>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</si>
  <si>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</si>
  <si>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</si>
  <si>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</si>
  <si>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</si>
  <si>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</si>
  <si>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</si>
  <si>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</si>
  <si>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</si>
  <si>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</si>
  <si>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</si>
  <si>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</si>
  <si>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</si>
  <si>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</si>
  <si>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</si>
  <si>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</si>
  <si>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</si>
  <si>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</si>
  <si>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</si>
  <si>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</si>
  <si>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</si>
  <si>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</si>
  <si>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</si>
  <si>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</si>
  <si>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</si>
  <si>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</si>
  <si>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</si>
  <si>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</si>
  <si>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</si>
  <si>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</si>
  <si>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</si>
  <si>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</si>
  <si>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</si>
  <si>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</si>
  <si>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追手門学院大学</t>
    <rPh sb="0" eb="7">
      <t>オウテモンガクインダイガク</t>
    </rPh>
    <phoneticPr fontId="1"/>
  </si>
  <si>
    <t>数理・データサイエンス・AI 教育プログラム</t>
    <rPh sb="0" eb="2">
      <t>スウリ</t>
    </rPh>
    <rPh sb="15" eb="17">
      <t>キョウイク</t>
    </rPh>
    <phoneticPr fontId="1"/>
  </si>
  <si>
    <t>学部・学科によって、修了要件は相違しない</t>
  </si>
  <si>
    <t>情報の科学</t>
    <rPh sb="0" eb="2">
      <t>ジョウホウ</t>
    </rPh>
    <rPh sb="3" eb="5">
      <t>カガク</t>
    </rPh>
    <phoneticPr fontId="1"/>
  </si>
  <si>
    <t>○</t>
  </si>
  <si>
    <t>コンピュータ入門１</t>
    <rPh sb="6" eb="8">
      <t>ニュウモン</t>
    </rPh>
    <phoneticPr fontId="1"/>
  </si>
  <si>
    <t>コンピュータ入門２</t>
    <rPh sb="6" eb="8">
      <t>ニュウモン</t>
    </rPh>
    <phoneticPr fontId="1"/>
  </si>
  <si>
    <t>プログラムを構成する「基盤教育科目群（下記１～４）」のすべての科目、合計６単位を取得すること。
【基盤教育科目群】
１．数的処理入門
２．コンピュータ入門１
３．コンピュータ入門２
４．情報の科学</t>
    <rPh sb="6" eb="8">
      <t>コウセイ</t>
    </rPh>
    <rPh sb="11" eb="13">
      <t>キバン</t>
    </rPh>
    <rPh sb="13" eb="15">
      <t>キョウイク</t>
    </rPh>
    <rPh sb="15" eb="17">
      <t>カモク</t>
    </rPh>
    <rPh sb="17" eb="18">
      <t>グン</t>
    </rPh>
    <rPh sb="19" eb="21">
      <t>カキ</t>
    </rPh>
    <rPh sb="31" eb="33">
      <t>カモク</t>
    </rPh>
    <rPh sb="34" eb="36">
      <t>ゴウケイ</t>
    </rPh>
    <rPh sb="37" eb="39">
      <t>タンイ</t>
    </rPh>
    <rPh sb="40" eb="42">
      <t>シュトク</t>
    </rPh>
    <rPh sb="50" eb="56">
      <t>キバンキョウイクカモク</t>
    </rPh>
    <rPh sb="56" eb="57">
      <t>グン</t>
    </rPh>
    <rPh sb="76" eb="78">
      <t>ニュウモン</t>
    </rPh>
    <rPh sb="88" eb="90">
      <t>ニュウモン</t>
    </rPh>
    <rPh sb="94" eb="96">
      <t>ジョウホウ</t>
    </rPh>
    <rPh sb="97" eb="99">
      <t>カガク</t>
    </rPh>
    <phoneticPr fontId="1"/>
  </si>
  <si>
    <t>数的処理入門</t>
    <rPh sb="0" eb="6">
      <t>スウテキショリニュウモン</t>
    </rPh>
    <phoneticPr fontId="1"/>
  </si>
  <si>
    <t>4-1統計および数理基礎</t>
  </si>
  <si>
    <t>4‐2アルゴリズム基礎</t>
  </si>
  <si>
    <t>4‐7データハンドリング</t>
  </si>
  <si>
    <t>副学長</t>
    <rPh sb="0" eb="3">
      <t>フクガクチョウ</t>
    </rPh>
    <phoneticPr fontId="1"/>
  </si>
  <si>
    <t>松井　健</t>
    <phoneticPr fontId="1"/>
  </si>
  <si>
    <t>文学部人文学科</t>
    <rPh sb="0" eb="3">
      <t>ブンガクブ</t>
    </rPh>
    <rPh sb="3" eb="5">
      <t>ジンブン</t>
    </rPh>
    <rPh sb="5" eb="7">
      <t>ガッカ</t>
    </rPh>
    <phoneticPr fontId="1"/>
  </si>
  <si>
    <t>心理学部心理学科</t>
    <rPh sb="0" eb="2">
      <t>シンリ</t>
    </rPh>
    <rPh sb="2" eb="4">
      <t>ガクブ</t>
    </rPh>
    <rPh sb="4" eb="6">
      <t>シンリ</t>
    </rPh>
    <rPh sb="6" eb="8">
      <t>ガッカ</t>
    </rPh>
    <phoneticPr fontId="1"/>
  </si>
  <si>
    <t>社会学部社会学科</t>
    <rPh sb="0" eb="2">
      <t>シャカイ</t>
    </rPh>
    <rPh sb="2" eb="4">
      <t>ガクブ</t>
    </rPh>
    <rPh sb="4" eb="6">
      <t>シャカイ</t>
    </rPh>
    <rPh sb="6" eb="8">
      <t>ガッカ</t>
    </rPh>
    <phoneticPr fontId="1"/>
  </si>
  <si>
    <t>経済学部経済学科</t>
    <rPh sb="0" eb="2">
      <t>ケイザイ</t>
    </rPh>
    <rPh sb="2" eb="4">
      <t>ガクブ</t>
    </rPh>
    <rPh sb="4" eb="6">
      <t>ケイザイ</t>
    </rPh>
    <rPh sb="6" eb="8">
      <t>ガッカ</t>
    </rPh>
    <phoneticPr fontId="1"/>
  </si>
  <si>
    <t>経営学部経営学科</t>
    <rPh sb="0" eb="2">
      <t>ケイエイ</t>
    </rPh>
    <rPh sb="2" eb="4">
      <t>ガクブ</t>
    </rPh>
    <rPh sb="4" eb="6">
      <t>ケイエイ</t>
    </rPh>
    <rPh sb="6" eb="8">
      <t>ガッカ</t>
    </rPh>
    <phoneticPr fontId="1"/>
  </si>
  <si>
    <t>地域創造学部地域創造学科</t>
    <rPh sb="0" eb="2">
      <t>チイキ</t>
    </rPh>
    <rPh sb="2" eb="4">
      <t>ソウゾウ</t>
    </rPh>
    <rPh sb="4" eb="6">
      <t>ガクブ</t>
    </rPh>
    <rPh sb="6" eb="8">
      <t>チイキ</t>
    </rPh>
    <rPh sb="8" eb="10">
      <t>ソウゾウ</t>
    </rPh>
    <rPh sb="10" eb="12">
      <t>ガッカ</t>
    </rPh>
    <phoneticPr fontId="1"/>
  </si>
  <si>
    <t>松井　健</t>
    <rPh sb="0" eb="2">
      <t>マツイ</t>
    </rPh>
    <rPh sb="3" eb="4">
      <t>ケン</t>
    </rPh>
    <phoneticPr fontId="1"/>
  </si>
  <si>
    <t>　令和4年度組織の改編を行い、全学に共通する教育の充実・発展に資するために、副学長が統括となる共通教育機構を設置した。本プログラムは、全学に共通する科目（共通教育科目）によって構成されており、一次的には本プログラムの科目内容や普及・推進に関することは当機構に設置される「共通教育機構連絡会」（以下「連絡会」）において、領域長によって検討される。連絡会で検討された内容を全学的な観点から協議・浸透を図るために、副学長が委員長となる「教務連絡委員会」（以下「委員会」）を設置している。この体制によって、副学長のリーダーシップの下に、連絡会が本プログラムの内容の充実と推進を、委員会が全学的な普及・浸透を担うという体制が整っている。</t>
    <rPh sb="1" eb="3">
      <t>レイワ</t>
    </rPh>
    <rPh sb="4" eb="6">
      <t>ネンド</t>
    </rPh>
    <rPh sb="6" eb="8">
      <t>ソシキ</t>
    </rPh>
    <rPh sb="9" eb="11">
      <t>カイヘン</t>
    </rPh>
    <rPh sb="12" eb="13">
      <t>オコナ</t>
    </rPh>
    <rPh sb="38" eb="41">
      <t>フクガクチョウ</t>
    </rPh>
    <rPh sb="42" eb="44">
      <t>トウカツ</t>
    </rPh>
    <rPh sb="47" eb="49">
      <t>キョウツウ</t>
    </rPh>
    <rPh sb="49" eb="51">
      <t>キョウイク</t>
    </rPh>
    <rPh sb="51" eb="53">
      <t>キコウ</t>
    </rPh>
    <rPh sb="54" eb="56">
      <t>セッチ</t>
    </rPh>
    <rPh sb="59" eb="60">
      <t>ホン</t>
    </rPh>
    <rPh sb="77" eb="79">
      <t>キョウツウ</t>
    </rPh>
    <rPh sb="79" eb="81">
      <t>キョウイク</t>
    </rPh>
    <rPh sb="81" eb="83">
      <t>カモク</t>
    </rPh>
    <rPh sb="96" eb="99">
      <t>イチジテキ</t>
    </rPh>
    <rPh sb="101" eb="102">
      <t>ホン</t>
    </rPh>
    <rPh sb="108" eb="110">
      <t>カモク</t>
    </rPh>
    <rPh sb="110" eb="112">
      <t>ナイヨウ</t>
    </rPh>
    <rPh sb="113" eb="115">
      <t>フキュウ</t>
    </rPh>
    <rPh sb="119" eb="120">
      <t>カン</t>
    </rPh>
    <rPh sb="125" eb="126">
      <t>トウ</t>
    </rPh>
    <rPh sb="126" eb="128">
      <t>キコウ</t>
    </rPh>
    <rPh sb="129" eb="131">
      <t>セッチ</t>
    </rPh>
    <rPh sb="135" eb="137">
      <t>キョウツウ</t>
    </rPh>
    <rPh sb="137" eb="139">
      <t>キョウイク</t>
    </rPh>
    <rPh sb="139" eb="141">
      <t>キコウ</t>
    </rPh>
    <rPh sb="141" eb="144">
      <t>レンラクカイ</t>
    </rPh>
    <rPh sb="146" eb="148">
      <t>イカ</t>
    </rPh>
    <rPh sb="149" eb="152">
      <t>レンラクカイ</t>
    </rPh>
    <rPh sb="159" eb="161">
      <t>リョウイキ</t>
    </rPh>
    <rPh sb="161" eb="162">
      <t>チョウ</t>
    </rPh>
    <rPh sb="166" eb="168">
      <t>ケントウ</t>
    </rPh>
    <rPh sb="172" eb="175">
      <t>レンラクカイ</t>
    </rPh>
    <rPh sb="176" eb="178">
      <t>ケントウ</t>
    </rPh>
    <rPh sb="181" eb="183">
      <t>ナイヨウ</t>
    </rPh>
    <rPh sb="184" eb="187">
      <t>ゼンガクテキ</t>
    </rPh>
    <rPh sb="188" eb="190">
      <t>カンテン</t>
    </rPh>
    <rPh sb="192" eb="194">
      <t>キョウギ</t>
    </rPh>
    <rPh sb="195" eb="197">
      <t>シントウ</t>
    </rPh>
    <rPh sb="198" eb="199">
      <t>ハカ</t>
    </rPh>
    <rPh sb="204" eb="207">
      <t>フクガクチョウ</t>
    </rPh>
    <rPh sb="208" eb="211">
      <t>イインチョウ</t>
    </rPh>
    <rPh sb="227" eb="229">
      <t>イイン</t>
    </rPh>
    <rPh sb="229" eb="230">
      <t>カイ</t>
    </rPh>
    <rPh sb="233" eb="235">
      <t>セッチ</t>
    </rPh>
    <rPh sb="242" eb="244">
      <t>タイセイ</t>
    </rPh>
    <rPh sb="249" eb="252">
      <t>フクガクチョウ</t>
    </rPh>
    <rPh sb="261" eb="262">
      <t>モト</t>
    </rPh>
    <rPh sb="275" eb="277">
      <t>ナイヨウ</t>
    </rPh>
    <rPh sb="278" eb="280">
      <t>ジュウジツ</t>
    </rPh>
    <rPh sb="281" eb="283">
      <t>スイシン</t>
    </rPh>
    <rPh sb="289" eb="292">
      <t>ゼンガクテキ</t>
    </rPh>
    <rPh sb="293" eb="295">
      <t>フキュウ</t>
    </rPh>
    <rPh sb="296" eb="298">
      <t>シントウ</t>
    </rPh>
    <rPh sb="299" eb="300">
      <t>ニナ</t>
    </rPh>
    <rPh sb="304" eb="306">
      <t>タイセイ</t>
    </rPh>
    <rPh sb="307" eb="308">
      <t>トトノ</t>
    </rPh>
    <phoneticPr fontId="1"/>
  </si>
  <si>
    <t>　本プログラムの令和4年度履修者数実績は62名（履修率0.8%）であり、そのうち修了者数49名（修了率79%）を輩出した。履修率は１%未満であるが、本学は文系総合大学のため、理数系科目に苦手意識を持つ学生が多いことから、プログラム初年度に修了者49名を輩出できたことは次年度応用基礎レベルの履修に繋がる成果として捉えている。一方、履修者の所属学部を分析した結果、学部間による乖離が大きい実態が明らかになった。これら履修状況を踏まえ、次年度からは履修率の高い「数的処理入門」にて当該プログラムに関する紹介・PRを実施し、各年度の目標とする履修者数の確保に繋げていく。</t>
    <rPh sb="162" eb="164">
      <t>イッポウ</t>
    </rPh>
    <phoneticPr fontId="1"/>
  </si>
  <si>
    <t>「全学授業アンケート」の結果を基に、本プログラムのシラバスに記載の到達目標に対する達成度について確認を行った結果、総じて83%の学生が到達目標に達したと回答。この結果より大半の学生は学修成果を得られたものと考える。一方、プログラムを構成する科目ごとの到達目標に対する達成度を確認したところ、一部科目において達成度が8割未満となった。今後の対策として、以前より本学の学習支援センターが提供しているリメディアル教育の場を学生に幅広く周知・PRし、授業後に理解が難しかった内容を気軽に質問できるサービスとして普及させる。とくに本プログラムを構成する各授業の担当教員と連携し、当該サービスの利用促進に繋げていく。</t>
    <rPh sb="15" eb="16">
      <t>モト</t>
    </rPh>
    <phoneticPr fontId="1"/>
  </si>
  <si>
    <t>学生の授業内容に対する理解度に影響を与えると考えられる使用教材や資料構成、ならびにICTを活用した授業の工夫等について「全学授業アンケート」の結果をもとに確認を行った。結果として、使用教材や提示資料の分かり易さにおける学生評価においては、86%の学生が分かり易いと回答。さらに授業内の説明や課題、予習・復習に至る進め方において、LMSやPCなど、ICTを活用することで理解し易い授業構成の工夫に関するアンケートに対して、90％以上の学生から満足度の高い評価を得ることができた。</t>
    <phoneticPr fontId="1"/>
  </si>
  <si>
    <t>後輩等他の学生への推奨度を測る指標として、該当科目の授業計画や課題提出のスケジュール、理解度に繋がる予習・復習の具体的な指示など、分かり易い授業の進め方に関する「全学授業アンケート」の結果をもとに確認を行った。結果として、80%以上の学生から総じて満足度が高いとの評価を得ることができた。科目ごとの評価においても全科目で満足度が80%以上を達成しており、授業の進め方において後輩等他の学生への推奨度は高いと言える。また、授業内でチャットやメッセージ等の機能を利用し気軽に教員へ質問できる授業環境の整備有無においては80%以上の満足度となっているため、授業内においても理解度を高める教育環境の工夫が成されていると評価できる。</t>
    <phoneticPr fontId="1"/>
  </si>
  <si>
    <t>後輩等他の学生への推奨度を測る指標として、該当科目の分かり易い授業の進め方に関する「全学授業アンケート」の結果をもとに確認を行った。結果として、80%以上の学生から総じて満足度が高いとの評価を得ることができた。科目ごとの評価においても全科目で満足度が80%以上を達成しており、授業の進め方において後輩等他の学生への推奨度は高いと言える。また、授業内でチャットやメッセージ等の機能を利用し気軽に教員へ質問できる授業環境の整備有無においては80%以上の満足度となっているため、授業内においても理解度を高める教育環境の工夫が成されていると評価できる。</t>
    <phoneticPr fontId="1"/>
  </si>
  <si>
    <t>本プログラムは令和4年度開講となるため、プログラム修了者のなかで現時点卒業生を輩出していない。よって、進路状況及び企業等の評価は確認できない状況にある。一方で、本学の就職キャリア支援課による進路状況調査や就職先企業へのヒアリング調査、ならびに大学政策課が実施する卒業者アンケートにより、将来的に本プログラムを修了した学生の動向について調査・分析することが可能となる。これら調査データをもとに、本学IR推進オフィスと連携して多角的に本プログラムの有効性について検証することを予定している。	1</t>
    <phoneticPr fontId="1"/>
  </si>
  <si>
    <t>本プログラムは令和4年度開講となるため、十分な評価を得るための修了者数に至っていない。よって、産業界からの視点を含めた教育プログラムの内容・手法への意見の調査については令和5年度に予定している。具体的には、本学WIL推進センターが主催する実習プログラム先の企業、及び就職・キャリア支援課主催の就職活動イベントに参加する企業等に対してアンケート調査を実施し、企業側の課題・ニーズを収集する。これら意見を推進部局である「共通教育機構連絡会」及び「教務連絡委員会」を中心に本プログラムへの反映を行い、企業側が求める能力を修得可能な教育内容に改善していく。</t>
    <phoneticPr fontId="1"/>
  </si>
  <si>
    <t>全学授業アンケートの「予習・復習に関する適切な指示」「ICTの活用有無」「資料構成・提示資料の分かり易さ」「授業計画や課題提出のスケジュールの適正」など、学生の理解度に関するアンケート結果から確認を実施した。いずれの結果においても総合評価では80%以上の満足度を得る一方で、「板書や資料提示（パワーポイント）等の文字・図表の読み取りやすさ」に関して、一部科目で満足度80%未満となる結果となった。当該科目はフルオンライン（オンデマンド）授業のため、オンライン形式でも分かり易い資料構成と提示方法について更なる満足度の向上を目指したい。</t>
    <phoneticPr fontId="1"/>
  </si>
  <si>
    <t>データサイエンス・AI・IoT といった用語が日常的に使われるデジタル社会においては、生活や仕事のなかで「データ」をもとに事象を捉え、分析・説明できる力「データ思考を涵養すること」が必要となる。たとえ文科系大学生であっても必要不可欠であり、今後の社会で活躍するにあたり修得すべき教養教育と位置付ける。具体的には、コンピュータやインターネットについての科学技術的な基礎、情報システムの仕組みや社会における役割、AI との関連や AI の倫理、データを科学的に取り扱う手法等の基礎的な知識・スキルを身に付ける。</t>
    <rPh sb="236" eb="239">
      <t>キソテキ</t>
    </rPh>
    <rPh sb="247" eb="248">
      <t>ミ</t>
    </rPh>
    <rPh sb="249" eb="250">
      <t>ツ</t>
    </rPh>
    <phoneticPr fontId="1"/>
  </si>
  <si>
    <t>教務連絡委員会、共通教育機構連絡会</t>
    <rPh sb="8" eb="10">
      <t>キョウツウ</t>
    </rPh>
    <rPh sb="10" eb="12">
      <t>キョウイク</t>
    </rPh>
    <rPh sb="12" eb="14">
      <t>キコウ</t>
    </rPh>
    <rPh sb="14" eb="17">
      <t>レンラクカイ</t>
    </rPh>
    <phoneticPr fontId="1"/>
  </si>
  <si>
    <t>教務連絡委員会規程、共通教育機構規程</t>
    <rPh sb="10" eb="12">
      <t>キョウツウ</t>
    </rPh>
    <rPh sb="12" eb="14">
      <t>キョウイク</t>
    </rPh>
    <rPh sb="14" eb="16">
      <t>キコウ</t>
    </rPh>
    <rPh sb="16" eb="18">
      <t>キテイ</t>
    </rPh>
    <phoneticPr fontId="1"/>
  </si>
  <si>
    <t>　当該プログラムの対象となる科目は、学部・学科に関係なく希望する全ての学生が履修可能となる共通教育科目（全学生が履修可能な教養科目群）として設置しているため、希望する全ての学部・学科の学生が受講可能となっている。
　併せて、履修の利便性を高めるため、本プログラムの全対象科目をフルオンライン（オンデマンド科目）で実施しており、他の授業時間や課外活動等による制限を受けないフレキシビリティを実現し、希望者が履修可能となる受講環境を構築している。
　</t>
    <rPh sb="1" eb="3">
      <t>トウガイ</t>
    </rPh>
    <rPh sb="9" eb="11">
      <t>タイショウ</t>
    </rPh>
    <rPh sb="14" eb="16">
      <t>カモク</t>
    </rPh>
    <rPh sb="92" eb="94">
      <t>ガクセイ</t>
    </rPh>
    <rPh sb="108" eb="109">
      <t>アワ</t>
    </rPh>
    <rPh sb="112" eb="114">
      <t>リシュウ</t>
    </rPh>
    <rPh sb="115" eb="118">
      <t>リベンセイ</t>
    </rPh>
    <rPh sb="119" eb="120">
      <t>タカ</t>
    </rPh>
    <phoneticPr fontId="1"/>
  </si>
  <si>
    <t xml:space="preserve">　最も履修率の高い「数的処理入門」において、本プログラムの意義や有効性などを周知し、履修を促進することを行っている。
　併せて、学生が履修時に必ず参照する学生ポータルサイト「CampusSquare」のお知らせ機能を活用し、本プログラムの概要及び履修方法について周知を図っている。さらに、当該学生ポータルサイトに掲載している本学の学修体制やカリキュラム概要等の全てが記載される「StudyGuide」において、本プログラムの特設ページを設置することで、全ての学生が容易に参照できる状態を整備している。
</t>
    <rPh sb="1" eb="2">
      <t>モット</t>
    </rPh>
    <rPh sb="3" eb="5">
      <t>リシュウ</t>
    </rPh>
    <rPh sb="5" eb="6">
      <t>リツ</t>
    </rPh>
    <rPh sb="7" eb="8">
      <t>タカ</t>
    </rPh>
    <rPh sb="10" eb="12">
      <t>スウテキ</t>
    </rPh>
    <rPh sb="12" eb="14">
      <t>ショリ</t>
    </rPh>
    <rPh sb="14" eb="16">
      <t>ニュウモン</t>
    </rPh>
    <rPh sb="22" eb="23">
      <t>ホン</t>
    </rPh>
    <rPh sb="29" eb="31">
      <t>イギ</t>
    </rPh>
    <rPh sb="32" eb="35">
      <t>ユウコウセイ</t>
    </rPh>
    <rPh sb="38" eb="40">
      <t>シュウチ</t>
    </rPh>
    <rPh sb="42" eb="44">
      <t>リシュウ</t>
    </rPh>
    <rPh sb="45" eb="47">
      <t>ソクシン</t>
    </rPh>
    <rPh sb="52" eb="53">
      <t>オコナ</t>
    </rPh>
    <rPh sb="60" eb="61">
      <t>アワ</t>
    </rPh>
    <rPh sb="134" eb="135">
      <t>ハカ</t>
    </rPh>
    <phoneticPr fontId="1"/>
  </si>
  <si>
    <t>　より多くの学生が履修可能となるよう、「数的処理入門」は各学部対象に20クラスを開講し、「コンピュータ入門１」・「コンピュータ入門２」は春・秋学期で各10クラスを開講するなど、可能な限り多くの学生が履修可能となるよう努めている。また「情報の科学」は、現在460名を超える学生が履修しているが、前述の通り、今後必要に応じてクラス数の増加なども検討することを視野に入れている。
　またできる限りの学生が修得できるよう、以下の通りLMS（Learning Managemant System）の活用による学習状況の見える化を進めている。オンライン授業で利用されている本学LMSの機能を活用し、授業実施後の理解度確認テストや授業レポート課題の提出を課している。学習機会ごとに学習到達度を教員が確認することで、インフラ面だけでなく、授業日ごとに学習状況を教員と学生側の双方で確認できるサポート体制を実現している。</t>
    <rPh sb="3" eb="4">
      <t>オオ</t>
    </rPh>
    <rPh sb="6" eb="8">
      <t>ガクセイ</t>
    </rPh>
    <rPh sb="9" eb="11">
      <t>リシュウ</t>
    </rPh>
    <rPh sb="11" eb="13">
      <t>カノウ</t>
    </rPh>
    <rPh sb="31" eb="33">
      <t>タイショウ</t>
    </rPh>
    <rPh sb="40" eb="42">
      <t>カイコウ</t>
    </rPh>
    <rPh sb="74" eb="75">
      <t>カク</t>
    </rPh>
    <rPh sb="88" eb="90">
      <t>カノウ</t>
    </rPh>
    <rPh sb="91" eb="92">
      <t>カギ</t>
    </rPh>
    <rPh sb="93" eb="94">
      <t>オオ</t>
    </rPh>
    <rPh sb="96" eb="98">
      <t>ガクセイ</t>
    </rPh>
    <rPh sb="99" eb="101">
      <t>リシュウ</t>
    </rPh>
    <rPh sb="101" eb="103">
      <t>カノウ</t>
    </rPh>
    <rPh sb="108" eb="109">
      <t>ツト</t>
    </rPh>
    <rPh sb="117" eb="119">
      <t>ジョウホウ</t>
    </rPh>
    <rPh sb="120" eb="122">
      <t>カガク</t>
    </rPh>
    <rPh sb="125" eb="127">
      <t>ゲンザイ</t>
    </rPh>
    <rPh sb="130" eb="131">
      <t>メイ</t>
    </rPh>
    <rPh sb="132" eb="133">
      <t>コ</t>
    </rPh>
    <rPh sb="135" eb="137">
      <t>ガクセイ</t>
    </rPh>
    <rPh sb="138" eb="140">
      <t>リシュウ</t>
    </rPh>
    <rPh sb="146" eb="148">
      <t>ゼンジュツ</t>
    </rPh>
    <rPh sb="149" eb="150">
      <t>トオ</t>
    </rPh>
    <rPh sb="152" eb="154">
      <t>コンゴ</t>
    </rPh>
    <rPh sb="154" eb="156">
      <t>ヒツヨウ</t>
    </rPh>
    <rPh sb="157" eb="158">
      <t>オウ</t>
    </rPh>
    <rPh sb="163" eb="164">
      <t>スウ</t>
    </rPh>
    <rPh sb="165" eb="167">
      <t>ゾウカ</t>
    </rPh>
    <rPh sb="170" eb="172">
      <t>ケントウ</t>
    </rPh>
    <rPh sb="177" eb="179">
      <t>シヤ</t>
    </rPh>
    <rPh sb="180" eb="181">
      <t>イ</t>
    </rPh>
    <rPh sb="193" eb="194">
      <t>カギ</t>
    </rPh>
    <rPh sb="196" eb="198">
      <t>ガクセイ</t>
    </rPh>
    <rPh sb="199" eb="201">
      <t>シュウトク</t>
    </rPh>
    <rPh sb="207" eb="209">
      <t>イカ</t>
    </rPh>
    <rPh sb="210" eb="211">
      <t>トオ</t>
    </rPh>
    <rPh sb="259" eb="260">
      <t>スス</t>
    </rPh>
    <phoneticPr fontId="1"/>
  </si>
  <si>
    <t>　フルオンデマンド授業であることで、学生にとっては個別最適化を図る受講形態ではある。授業内容の理解を促進するために、オンデマンド教材は、教員が作成した教材に動画を取り入れるなどの工夫をしているが、それでも不明な点があればLMSを活用して随時質問内容が送信できる体制を構築し、教員は必要に応じて個別に、あるいはクラス全体に回答を返信または掲載している。併せて、オンライン（ライブ型）及び対面での質疑応答の機会を設けたりしている。
　また、学習支援センターでは、本学学生が特に苦手とする「数的処理入門」に関して、当該科目担当教員と学生による週に1回対面での個別相談を実施している。</t>
    <rPh sb="9" eb="11">
      <t>ジュギョウ</t>
    </rPh>
    <rPh sb="18" eb="20">
      <t>ガクセイ</t>
    </rPh>
    <rPh sb="25" eb="27">
      <t>コベツ</t>
    </rPh>
    <rPh sb="27" eb="30">
      <t>サイテキカ</t>
    </rPh>
    <rPh sb="31" eb="32">
      <t>ハカ</t>
    </rPh>
    <rPh sb="33" eb="35">
      <t>ジュコウ</t>
    </rPh>
    <rPh sb="35" eb="37">
      <t>ケイタイ</t>
    </rPh>
    <rPh sb="42" eb="44">
      <t>ジュギョウ</t>
    </rPh>
    <rPh sb="44" eb="46">
      <t>ナイヨウ</t>
    </rPh>
    <rPh sb="47" eb="49">
      <t>リカイ</t>
    </rPh>
    <rPh sb="50" eb="52">
      <t>ソクシン</t>
    </rPh>
    <rPh sb="64" eb="66">
      <t>キョウザイ</t>
    </rPh>
    <rPh sb="68" eb="70">
      <t>キョウイン</t>
    </rPh>
    <rPh sb="71" eb="73">
      <t>サクセイ</t>
    </rPh>
    <rPh sb="75" eb="77">
      <t>キョウザイ</t>
    </rPh>
    <rPh sb="78" eb="80">
      <t>ドウガ</t>
    </rPh>
    <rPh sb="81" eb="82">
      <t>ト</t>
    </rPh>
    <rPh sb="83" eb="84">
      <t>イ</t>
    </rPh>
    <rPh sb="89" eb="91">
      <t>クフウ</t>
    </rPh>
    <rPh sb="102" eb="104">
      <t>フメイ</t>
    </rPh>
    <rPh sb="105" eb="106">
      <t>テン</t>
    </rPh>
    <rPh sb="114" eb="116">
      <t>カツヨウ</t>
    </rPh>
    <rPh sb="118" eb="120">
      <t>ズイジ</t>
    </rPh>
    <rPh sb="120" eb="122">
      <t>シツモン</t>
    </rPh>
    <rPh sb="122" eb="124">
      <t>ナイヨウ</t>
    </rPh>
    <rPh sb="125" eb="127">
      <t>ソウシン</t>
    </rPh>
    <rPh sb="130" eb="132">
      <t>タイセイ</t>
    </rPh>
    <rPh sb="133" eb="135">
      <t>コウチク</t>
    </rPh>
    <rPh sb="137" eb="139">
      <t>キョウイン</t>
    </rPh>
    <rPh sb="140" eb="142">
      <t>ヒツヨウ</t>
    </rPh>
    <rPh sb="143" eb="144">
      <t>オウ</t>
    </rPh>
    <rPh sb="146" eb="148">
      <t>コベツ</t>
    </rPh>
    <rPh sb="157" eb="159">
      <t>ゼンタイ</t>
    </rPh>
    <rPh sb="160" eb="162">
      <t>カイトウ</t>
    </rPh>
    <rPh sb="163" eb="165">
      <t>ヘンシン</t>
    </rPh>
    <rPh sb="168" eb="170">
      <t>ケイサイ</t>
    </rPh>
    <rPh sb="175" eb="176">
      <t>アワ</t>
    </rPh>
    <rPh sb="188" eb="189">
      <t>ガタ</t>
    </rPh>
    <rPh sb="190" eb="191">
      <t>オヨ</t>
    </rPh>
    <rPh sb="196" eb="198">
      <t>シツギ</t>
    </rPh>
    <rPh sb="198" eb="200">
      <t>オウトウ</t>
    </rPh>
    <rPh sb="201" eb="203">
      <t>キカイ</t>
    </rPh>
    <rPh sb="204" eb="205">
      <t>モウ</t>
    </rPh>
    <rPh sb="229" eb="231">
      <t>ホンガク</t>
    </rPh>
    <rPh sb="231" eb="233">
      <t>ガクセイ</t>
    </rPh>
    <rPh sb="234" eb="235">
      <t>トク</t>
    </rPh>
    <rPh sb="236" eb="238">
      <t>ニガテ</t>
    </rPh>
    <rPh sb="242" eb="244">
      <t>スウテキ</t>
    </rPh>
    <rPh sb="244" eb="246">
      <t>ショリ</t>
    </rPh>
    <rPh sb="246" eb="248">
      <t>ニュウモン</t>
    </rPh>
    <rPh sb="250" eb="251">
      <t>カン</t>
    </rPh>
    <rPh sb="254" eb="256">
      <t>トウガイ</t>
    </rPh>
    <rPh sb="256" eb="258">
      <t>カモク</t>
    </rPh>
    <rPh sb="258" eb="260">
      <t>タントウ</t>
    </rPh>
    <rPh sb="263" eb="265">
      <t>ガクセイ</t>
    </rPh>
    <rPh sb="268" eb="269">
      <t>シュウ</t>
    </rPh>
    <rPh sb="271" eb="272">
      <t>カイ</t>
    </rPh>
    <rPh sb="272" eb="274">
      <t>タイメン</t>
    </rPh>
    <rPh sb="276" eb="278">
      <t>コベツ</t>
    </rPh>
    <rPh sb="278" eb="280">
      <t>ソウダン</t>
    </rPh>
    <rPh sb="281" eb="283">
      <t>ジッシ</t>
    </rPh>
    <phoneticPr fontId="1"/>
  </si>
  <si>
    <t>真銅　正宏</t>
    <rPh sb="0" eb="2">
      <t>シンドウ</t>
    </rPh>
    <rPh sb="3" eb="4">
      <t>セイ</t>
    </rPh>
    <rPh sb="4" eb="5">
      <t>ヒロシ</t>
    </rPh>
    <phoneticPr fontId="1"/>
  </si>
  <si>
    <t>学長</t>
    <rPh sb="0" eb="2">
      <t>ガクチョウ</t>
    </rPh>
    <phoneticPr fontId="1"/>
  </si>
  <si>
    <t>全学授業アンケートの「授業の進め方・運営手法」及び「修得した知識・スキルの将来的な必要性」の結果から確認を実施した。いずれの結果においても総じて80%以上の満足度を得る一方で、「授業の進め方・運営手法」のおいては、ディベートやディスカッション等の手法を用いる場面が少なかったとの意見もあり、学生の主体的な関わりに影響を与えている可能性が懸念された。これらアンケート結果をもとにFDを通して授業運営・手法を改善していくとともに、アンケート結果が実質的に「学ぶ楽しさ」「意義」にどう結び付くのか等の検証を進め、必要に応じてアンケート設問の改善も併せて検討していく。</t>
    <rPh sb="239" eb="240">
      <t>ムス</t>
    </rPh>
    <rPh sb="241" eb="242">
      <t>ツ</t>
    </rPh>
    <rPh sb="245" eb="246">
      <t>トウ</t>
    </rPh>
    <phoneticPr fontId="1"/>
  </si>
  <si>
    <t>　　　　　　　　　　　　　　　　　　　　　　　　　　　　　　　　　　　　　　　　　　　　　　　　　　　　　　　　　　　　　　　　　　　　　　　　　　　　　　　　　　　　　　　　　　　　　　　　　　　　　　　　　　　　　　　　　　　　　　　　　　　　　　　　　　　　　　　　　　　　　　　　　　　　　　　　　　　　　　　　　　　　　　　　　　　　　　　　　　　　　　　　　</t>
  </si>
  <si>
    <t>　　　　　　　　　　　　　　　　　　　</t>
  </si>
  <si>
    <t>＜共通教育機構連絡会＞
松井 健　副学長（機構統括）、武田 裕紀　領域長、松家 裕子　領域長、
大串 恵太　領域長、千葉 英史　領域長
＜教務連絡委員会＞
松井 健　副学長（委員長）、金政 祐司　副学長（委員長が必要と認めた者）、
伊藤 文男　教務部長（副委員長）、城野 充　文学部 副学部長（委員）、
増崎 恒　国際学部 副学部長（委員）、東 正訓　心理学部 副学部長（委員）、
林 大造　社会学部 副学部長（委員）、長町 理恵子　経済学部 副学部長（委員）、
山下 克之　経営学部 副学部長（委員）、泊 吉実　地域創造学部 副学部長（委員）、
武田 裕紀　共通教育機構 L&amp;S領域長（委員）、上森 啓史　大学事務局長（委員）、
安藤 章二　教務・学生支援部長（委員）、山本 憲吾　教務・学生支援部次長（委員）、
宗 浩嗣　教務課長（委員）</t>
    <rPh sb="1" eb="3">
      <t>キョウツウ</t>
    </rPh>
    <rPh sb="3" eb="5">
      <t>キョウイク</t>
    </rPh>
    <rPh sb="5" eb="7">
      <t>キコウ</t>
    </rPh>
    <rPh sb="7" eb="10">
      <t>レンラクカイ</t>
    </rPh>
    <rPh sb="21" eb="23">
      <t>キコウ</t>
    </rPh>
    <rPh sb="23" eb="25">
      <t>トウカツ</t>
    </rPh>
    <rPh sb="33" eb="35">
      <t>リョウイキ</t>
    </rPh>
    <rPh sb="35" eb="36">
      <t>チョウ</t>
    </rPh>
    <rPh sb="37" eb="39">
      <t>マツカ</t>
    </rPh>
    <rPh sb="48" eb="50">
      <t>オオグシ</t>
    </rPh>
    <rPh sb="51" eb="53">
      <t>ケイタ</t>
    </rPh>
    <rPh sb="58" eb="60">
      <t>チバ</t>
    </rPh>
    <phoneticPr fontId="1"/>
  </si>
  <si>
    <t>令和4</t>
    <rPh sb="0" eb="2">
      <t>レイワ</t>
    </rPh>
    <phoneticPr fontId="1"/>
  </si>
  <si>
    <t>全学自己点検評価委員会</t>
    <rPh sb="0" eb="2">
      <t>ゼンガク</t>
    </rPh>
    <rPh sb="2" eb="4">
      <t>ジコ</t>
    </rPh>
    <rPh sb="4" eb="6">
      <t>テンケン</t>
    </rPh>
    <rPh sb="6" eb="8">
      <t>ヒョウカ</t>
    </rPh>
    <rPh sb="8" eb="11">
      <t>イインカイ</t>
    </rPh>
    <phoneticPr fontId="1"/>
  </si>
  <si>
    <t xml:space="preserve"> ・ ビッグデータ、IoT、AI、ロボット「情報の科学」（1回目）
 ・ 第4次産業革命、Society5.0、データ駆動型社会「情報の科学」（1回目）</t>
    <rPh sb="22" eb="24">
      <t>ジョウホウ</t>
    </rPh>
    <rPh sb="25" eb="27">
      <t>カガク</t>
    </rPh>
    <rPh sb="30" eb="32">
      <t>カイメ</t>
    </rPh>
    <rPh sb="37" eb="38">
      <t>ダイ</t>
    </rPh>
    <rPh sb="39" eb="40">
      <t>ジ</t>
    </rPh>
    <rPh sb="40" eb="42">
      <t>サンギョウ</t>
    </rPh>
    <rPh sb="42" eb="44">
      <t>カクメイ</t>
    </rPh>
    <rPh sb="59" eb="62">
      <t>クドウガタ</t>
    </rPh>
    <rPh sb="62" eb="64">
      <t>シャカイ</t>
    </rPh>
    <rPh sb="65" eb="67">
      <t>ジョウホウ</t>
    </rPh>
    <rPh sb="68" eb="70">
      <t>カガク</t>
    </rPh>
    <rPh sb="73" eb="75">
      <t>カイメ</t>
    </rPh>
    <phoneticPr fontId="1"/>
  </si>
  <si>
    <t>AI等を活用した新しいビジネスモデル（商品のレコメンデーションなど）「情報の科学」（13回目）</t>
    <rPh sb="8" eb="9">
      <t>アタラ</t>
    </rPh>
    <rPh sb="35" eb="37">
      <t>ジョウホウ</t>
    </rPh>
    <rPh sb="38" eb="40">
      <t>カガク</t>
    </rPh>
    <rPh sb="44" eb="46">
      <t>カイメ</t>
    </rPh>
    <phoneticPr fontId="1"/>
  </si>
  <si>
    <t xml:space="preserve"> ・ 調査データ、実験データ、人の行動ログデータ、機械の稼働ログデータなど「情報の科学」（13回目）
 ・ 1次データ、2次データ、データのメタ化「情報の科学」（13回目）
 ・ 構造化データ、非構造化データ（文章、画像/動画、音声/音楽など）「情報の科学」（13回目）
 ・ データ作成（ビッグデータとアノテーション）「情報の科学」（13回目）
 ・ データのオープン化（オープンデータ）「情報の科学」（13回目）</t>
    <rPh sb="3" eb="5">
      <t>チョウサ</t>
    </rPh>
    <rPh sb="9" eb="11">
      <t>ジッケン</t>
    </rPh>
    <rPh sb="15" eb="16">
      <t>ヒト</t>
    </rPh>
    <rPh sb="17" eb="19">
      <t>コウドウ</t>
    </rPh>
    <rPh sb="25" eb="27">
      <t>キカイ</t>
    </rPh>
    <rPh sb="28" eb="30">
      <t>カドウ</t>
    </rPh>
    <rPh sb="72" eb="73">
      <t>カ</t>
    </rPh>
    <rPh sb="74" eb="76">
      <t>ジョウホウ</t>
    </rPh>
    <rPh sb="77" eb="79">
      <t>カガク</t>
    </rPh>
    <rPh sb="83" eb="85">
      <t>カイメ</t>
    </rPh>
    <rPh sb="105" eb="107">
      <t>ブンショウ</t>
    </rPh>
    <rPh sb="108" eb="110">
      <t>ガゾウ</t>
    </rPh>
    <rPh sb="111" eb="113">
      <t>ドウガ</t>
    </rPh>
    <rPh sb="114" eb="116">
      <t>オンセイ</t>
    </rPh>
    <rPh sb="117" eb="119">
      <t>オンガク</t>
    </rPh>
    <rPh sb="123" eb="125">
      <t>ジョウホウ</t>
    </rPh>
    <rPh sb="126" eb="128">
      <t>カガク</t>
    </rPh>
    <rPh sb="132" eb="134">
      <t>カイメ</t>
    </rPh>
    <rPh sb="161" eb="163">
      <t>ジョウホウ</t>
    </rPh>
    <rPh sb="164" eb="166">
      <t>カガク</t>
    </rPh>
    <rPh sb="170" eb="172">
      <t>カイメ</t>
    </rPh>
    <rPh sb="185" eb="186">
      <t>カ</t>
    </rPh>
    <rPh sb="196" eb="198">
      <t>ジョウホウ</t>
    </rPh>
    <rPh sb="199" eb="201">
      <t>カガク</t>
    </rPh>
    <rPh sb="205" eb="207">
      <t>カイメ</t>
    </rPh>
    <phoneticPr fontId="1"/>
  </si>
  <si>
    <t xml:space="preserve"> ・ 研究開発、調達、製造、物流、販売、マーケティング、サービスなど「情報の科学」（11回目）
 ・ データ・AI活用領域の広がり（生産、消費、文化活動など）「情報の科学」（13回目）</t>
    <rPh sb="3" eb="5">
      <t>ケンキュウ</t>
    </rPh>
    <rPh sb="5" eb="7">
      <t>カイハツ</t>
    </rPh>
    <rPh sb="8" eb="10">
      <t>チョウタツ</t>
    </rPh>
    <rPh sb="11" eb="13">
      <t>セイゾウ</t>
    </rPh>
    <rPh sb="14" eb="16">
      <t>ブツリュウ</t>
    </rPh>
    <rPh sb="17" eb="19">
      <t>ハンバイ</t>
    </rPh>
    <rPh sb="35" eb="37">
      <t>ジョウホウ</t>
    </rPh>
    <rPh sb="38" eb="40">
      <t>カガク</t>
    </rPh>
    <rPh sb="44" eb="46">
      <t>カイメ</t>
    </rPh>
    <rPh sb="62" eb="63">
      <t>ヒロ</t>
    </rPh>
    <rPh sb="66" eb="68">
      <t>セイサン</t>
    </rPh>
    <rPh sb="69" eb="71">
      <t>ショウヒ</t>
    </rPh>
    <rPh sb="72" eb="74">
      <t>ブンカ</t>
    </rPh>
    <rPh sb="74" eb="76">
      <t>カツドウ</t>
    </rPh>
    <rPh sb="80" eb="82">
      <t>ジョウホウ</t>
    </rPh>
    <rPh sb="83" eb="85">
      <t>カガク</t>
    </rPh>
    <phoneticPr fontId="1"/>
  </si>
  <si>
    <t xml:space="preserve"> ・ 特化型AIと汎用AI「情報の科学」（11回目）
 ・ 非構造化データ処理：言語処理、画像/動画処理、音声/音楽処理「情報の科学」（13回目）</t>
    <rPh sb="14" eb="16">
      <t>ジョウホウ</t>
    </rPh>
    <rPh sb="17" eb="19">
      <t>カガク</t>
    </rPh>
    <rPh sb="30" eb="31">
      <t>ヒ</t>
    </rPh>
    <rPh sb="31" eb="34">
      <t>コウゾウカ</t>
    </rPh>
    <rPh sb="37" eb="39">
      <t>ショリ</t>
    </rPh>
    <rPh sb="40" eb="42">
      <t>ゲンゴ</t>
    </rPh>
    <rPh sb="42" eb="44">
      <t>ショリ</t>
    </rPh>
    <rPh sb="45" eb="47">
      <t>ガゾウ</t>
    </rPh>
    <rPh sb="48" eb="50">
      <t>ドウガ</t>
    </rPh>
    <rPh sb="50" eb="52">
      <t>ショリ</t>
    </rPh>
    <rPh sb="53" eb="55">
      <t>オンセイ</t>
    </rPh>
    <rPh sb="56" eb="58">
      <t>オンガク</t>
    </rPh>
    <rPh sb="58" eb="60">
      <t>ショリ</t>
    </rPh>
    <rPh sb="61" eb="63">
      <t>ジョウホウ</t>
    </rPh>
    <rPh sb="64" eb="66">
      <t>カガク</t>
    </rPh>
    <rPh sb="70" eb="72">
      <t>カイメ</t>
    </rPh>
    <phoneticPr fontId="1"/>
  </si>
  <si>
    <t>流通、製造、金融、サービス、インフラ、公共、ヘルスケア等におけるデータ・AI利活用事例紹介「情報の科学」（11回目）</t>
    <rPh sb="0" eb="2">
      <t>リュウツウ</t>
    </rPh>
    <rPh sb="3" eb="5">
      <t>セイゾウ</t>
    </rPh>
    <rPh sb="6" eb="8">
      <t>キンユウ</t>
    </rPh>
    <rPh sb="19" eb="21">
      <t>コウキョウ</t>
    </rPh>
    <rPh sb="27" eb="28">
      <t>トウ</t>
    </rPh>
    <rPh sb="38" eb="41">
      <t>リカツヨウ</t>
    </rPh>
    <rPh sb="41" eb="43">
      <t>ジレイ</t>
    </rPh>
    <rPh sb="43" eb="45">
      <t>ショウカイ</t>
    </rPh>
    <rPh sb="46" eb="48">
      <t>ジョウホウ</t>
    </rPh>
    <rPh sb="49" eb="51">
      <t>カガク</t>
    </rPh>
    <rPh sb="55" eb="57">
      <t>カイメ</t>
    </rPh>
    <phoneticPr fontId="1"/>
  </si>
  <si>
    <t xml:space="preserve"> ・ 情報セキュリティ：機密性、完全性、可用性「コンピュータ入門1」（1～7回目）
 ・ パスワード「コンピュータ入門1」（1回目）
</t>
    <rPh sb="12" eb="15">
      <t>キミツセイ</t>
    </rPh>
    <rPh sb="16" eb="19">
      <t>カンゼンセイ</t>
    </rPh>
    <rPh sb="20" eb="23">
      <t>カヨウセイ</t>
    </rPh>
    <rPh sb="30" eb="32">
      <t>ニュウモン</t>
    </rPh>
    <rPh sb="57" eb="59">
      <t>ニュウモン</t>
    </rPh>
    <rPh sb="63" eb="65">
      <t>カイメ</t>
    </rPh>
    <phoneticPr fontId="1"/>
  </si>
  <si>
    <t>データの種類（量的変数、質的変数）「コンピュータ入門2」（5回目）</t>
    <rPh sb="7" eb="9">
      <t>リョウテキ</t>
    </rPh>
    <rPh sb="9" eb="11">
      <t>ヘンスウ</t>
    </rPh>
    <rPh sb="12" eb="14">
      <t>シツテキ</t>
    </rPh>
    <rPh sb="14" eb="16">
      <t>ヘンスウ</t>
    </rPh>
    <rPh sb="24" eb="26">
      <t>ニュウモン</t>
    </rPh>
    <rPh sb="31" eb="32">
      <t>メ</t>
    </rPh>
    <phoneticPr fontId="1"/>
  </si>
  <si>
    <t>データ倫理：データのねつ造、改ざん、盗用、プライバシー保護「コンピュータ入門1」（2～7回目）</t>
    <rPh sb="12" eb="13">
      <t>ゾウ</t>
    </rPh>
    <rPh sb="14" eb="15">
      <t>カイ</t>
    </rPh>
    <rPh sb="18" eb="20">
      <t>トウヨウ</t>
    </rPh>
    <rPh sb="27" eb="29">
      <t>ホゴ</t>
    </rPh>
    <rPh sb="36" eb="38">
      <t>ニュウモン</t>
    </rPh>
    <rPh sb="45" eb="46">
      <t>メ</t>
    </rPh>
    <phoneticPr fontId="1"/>
  </si>
  <si>
    <t>データ表現（棒グラフ、折線グラフ、散布図、ヒートマップ）「コンピュータ入門2」（6回目）</t>
    <rPh sb="3" eb="5">
      <t>ヒョウゲン</t>
    </rPh>
    <rPh sb="6" eb="7">
      <t>ボウ</t>
    </rPh>
    <rPh sb="11" eb="12">
      <t>オ</t>
    </rPh>
    <rPh sb="12" eb="13">
      <t>セン</t>
    </rPh>
    <rPh sb="17" eb="19">
      <t>サンプ</t>
    </rPh>
    <rPh sb="19" eb="20">
      <t>ズ</t>
    </rPh>
    <rPh sb="35" eb="37">
      <t>ニュウモン</t>
    </rPh>
    <rPh sb="42" eb="43">
      <t>メ</t>
    </rPh>
    <phoneticPr fontId="1"/>
  </si>
  <si>
    <t>データの集計（和、平均）「コンピュータ入門2」（3回目）</t>
    <rPh sb="4" eb="6">
      <t>シュウケイ</t>
    </rPh>
    <rPh sb="7" eb="8">
      <t>ワ</t>
    </rPh>
    <rPh sb="9" eb="11">
      <t>ヘイキン</t>
    </rPh>
    <rPh sb="19" eb="21">
      <t>ニュウモン</t>
    </rPh>
    <rPh sb="26" eb="27">
      <t>メ</t>
    </rPh>
    <phoneticPr fontId="1"/>
  </si>
  <si>
    <t>国際学部国際学科</t>
    <rPh sb="0" eb="2">
      <t>コクサイ</t>
    </rPh>
    <rPh sb="2" eb="4">
      <t>ガクブ</t>
    </rPh>
    <rPh sb="4" eb="6">
      <t>コクサイ</t>
    </rPh>
    <rPh sb="6" eb="8">
      <t>ガッカ</t>
    </rPh>
    <phoneticPr fontId="1"/>
  </si>
  <si>
    <t xml:space="preserve">　本プログラムは、令和4年度から設置したものである。対象となる科目のうち、主に1年生を対象とする科目の履修者数（令和4年度実績）は、「数的処理入門」は2,070人（履修率99％）、「コンピュータ入門１」は1,190人（同57％）、「コンピュータ入門２」は1,206人（同58％）といずれも高い履修率になっている。「情報の科学」は全学年が履修対象であり、1年生の履修は少なかったが、学年進行と共に増加することが見込まれる。また、履修希望状況に応じて、クラス数増加の検討も予定しており、今後の履修率の向上は十分見込まれる。
</t>
    <rPh sb="1" eb="2">
      <t>ホン</t>
    </rPh>
    <rPh sb="9" eb="11">
      <t>レイワ</t>
    </rPh>
    <rPh sb="12" eb="13">
      <t>ネン</t>
    </rPh>
    <rPh sb="13" eb="14">
      <t>ド</t>
    </rPh>
    <rPh sb="16" eb="18">
      <t>セッチ</t>
    </rPh>
    <rPh sb="26" eb="28">
      <t>タイショウ</t>
    </rPh>
    <rPh sb="31" eb="33">
      <t>カモク</t>
    </rPh>
    <rPh sb="37" eb="38">
      <t>オモ</t>
    </rPh>
    <rPh sb="40" eb="41">
      <t>ネン</t>
    </rPh>
    <rPh sb="41" eb="42">
      <t>セイ</t>
    </rPh>
    <rPh sb="43" eb="45">
      <t>タイショウ</t>
    </rPh>
    <rPh sb="48" eb="50">
      <t>カモク</t>
    </rPh>
    <rPh sb="51" eb="53">
      <t>リシュウ</t>
    </rPh>
    <rPh sb="53" eb="54">
      <t>シャ</t>
    </rPh>
    <rPh sb="54" eb="55">
      <t>スウ</t>
    </rPh>
    <rPh sb="61" eb="63">
      <t>ジッセキ</t>
    </rPh>
    <rPh sb="82" eb="84">
      <t>リシュウ</t>
    </rPh>
    <rPh sb="84" eb="85">
      <t>リツ</t>
    </rPh>
    <rPh sb="97" eb="99">
      <t>ニュウモン</t>
    </rPh>
    <rPh sb="107" eb="108">
      <t>ニン</t>
    </rPh>
    <rPh sb="109" eb="110">
      <t>ドウ</t>
    </rPh>
    <rPh sb="122" eb="124">
      <t>ニュウモン</t>
    </rPh>
    <rPh sb="132" eb="133">
      <t>ニン</t>
    </rPh>
    <rPh sb="134" eb="135">
      <t>ドウ</t>
    </rPh>
    <rPh sb="144" eb="145">
      <t>タカ</t>
    </rPh>
    <rPh sb="146" eb="148">
      <t>リシュウ</t>
    </rPh>
    <rPh sb="148" eb="149">
      <t>リツ</t>
    </rPh>
    <rPh sb="157" eb="159">
      <t>ジョウホウ</t>
    </rPh>
    <rPh sb="160" eb="162">
      <t>カガク</t>
    </rPh>
    <rPh sb="164" eb="165">
      <t>ゼン</t>
    </rPh>
    <rPh sb="165" eb="167">
      <t>ガクネン</t>
    </rPh>
    <rPh sb="168" eb="170">
      <t>リシュウ</t>
    </rPh>
    <rPh sb="170" eb="172">
      <t>タイショウ</t>
    </rPh>
    <rPh sb="177" eb="179">
      <t>ネンセイ</t>
    </rPh>
    <rPh sb="180" eb="182">
      <t>リシュウ</t>
    </rPh>
    <rPh sb="183" eb="184">
      <t>スク</t>
    </rPh>
    <rPh sb="190" eb="192">
      <t>ガクネン</t>
    </rPh>
    <rPh sb="192" eb="194">
      <t>シンコウ</t>
    </rPh>
    <rPh sb="195" eb="196">
      <t>トモ</t>
    </rPh>
    <rPh sb="197" eb="199">
      <t>ゾウカ</t>
    </rPh>
    <rPh sb="204" eb="206">
      <t>ミコ</t>
    </rPh>
    <rPh sb="213" eb="215">
      <t>リシュウ</t>
    </rPh>
    <rPh sb="231" eb="233">
      <t>ケントウ</t>
    </rPh>
    <rPh sb="241" eb="243">
      <t>コンゴ</t>
    </rPh>
    <phoneticPr fontId="1"/>
  </si>
  <si>
    <t>国際教養学部国際教養学科</t>
    <rPh sb="0" eb="2">
      <t>コクサイ</t>
    </rPh>
    <rPh sb="2" eb="4">
      <t>キョウヨウ</t>
    </rPh>
    <rPh sb="4" eb="6">
      <t>ガクブ</t>
    </rPh>
    <rPh sb="6" eb="8">
      <t>コクサイ</t>
    </rPh>
    <rPh sb="8" eb="10">
      <t>キョウヨウ</t>
    </rPh>
    <rPh sb="10" eb="12">
      <t>ガッカ</t>
    </rPh>
    <phoneticPr fontId="1"/>
  </si>
  <si>
    <t>国際教養学部国際日本学科</t>
    <rPh sb="0" eb="2">
      <t>コクサイ</t>
    </rPh>
    <rPh sb="2" eb="4">
      <t>キョウヨウ</t>
    </rPh>
    <rPh sb="4" eb="6">
      <t>ガクブ</t>
    </rPh>
    <rPh sb="6" eb="8">
      <t>コクサイ</t>
    </rPh>
    <rPh sb="8" eb="10">
      <t>ニホン</t>
    </rPh>
    <rPh sb="10" eb="12">
      <t>ガッカ</t>
    </rPh>
    <phoneticPr fontId="1"/>
  </si>
  <si>
    <t>経営学部マーケティング学科</t>
    <rPh sb="0" eb="2">
      <t>ケイエイ</t>
    </rPh>
    <rPh sb="2" eb="4">
      <t>ガクブ</t>
    </rPh>
    <rPh sb="11" eb="13">
      <t>ガッカ</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</si>
</sst>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
  </numFmts>
  <fonts count="1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9"/>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2">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0" xfId="0" applyFont="1" applyFill="1" applyAlignment="1">
      <alignment vertical="top" wrapText="1"/>
    </xf>
    <xf numFmtId="0" fontId="2" fillId="2" borderId="0" xfId="0" applyFont="1" applyFill="1">
      <alignment vertical="center"/>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13" fillId="2" borderId="42" xfId="0" applyFont="1" applyFill="1" applyBorder="1" applyAlignment="1">
      <alignment vertical="top" shrinkToFit="1"/>
    </xf>
    <xf numFmtId="0" fontId="13" fillId="2" borderId="43" xfId="0" applyFont="1" applyFill="1" applyBorder="1" applyAlignment="1">
      <alignment vertical="top" shrinkToFit="1"/>
    </xf>
    <xf numFmtId="0" fontId="12" fillId="0" borderId="1" xfId="0" applyFont="1" applyBorder="1" applyAlignment="1">
      <alignment horizontal="center" vertical="center" wrapText="1" shrinkToFit="1"/>
    </xf>
    <xf numFmtId="177" fontId="12" fillId="0" borderId="1" xfId="0" applyNumberFormat="1" applyFont="1" applyBorder="1" applyAlignment="1">
      <alignment horizontal="center" vertical="center" shrinkToFit="1"/>
    </xf>
    <xf numFmtId="0" fontId="12" fillId="0" borderId="1" xfId="0" applyFont="1" applyBorder="1" applyAlignment="1">
      <alignment horizontal="center" vertical="center" shrinkToFit="1"/>
    </xf>
    <xf numFmtId="176" fontId="12" fillId="0" borderId="1" xfId="0" applyNumberFormat="1" applyFont="1" applyBorder="1" applyAlignment="1">
      <alignment horizontal="center" vertical="center" shrinkToFit="1"/>
    </xf>
    <xf numFmtId="0" fontId="2" fillId="0" borderId="1" xfId="0" applyFont="1" applyFill="1" applyBorder="1" applyAlignment="1">
      <alignment horizontal="center" vertical="center"/>
    </xf>
    <xf numFmtId="0" fontId="2" fillId="0" borderId="0" xfId="0" applyFont="1" applyFill="1" applyAlignment="1">
      <alignment horizontal="center" vertical="center"/>
    </xf>
    <xf numFmtId="0" fontId="5" fillId="0" borderId="0" xfId="0" applyFont="1" applyFill="1">
      <alignment vertical="center"/>
    </xf>
    <xf numFmtId="0" fontId="12" fillId="0" borderId="23" xfId="0" applyFont="1" applyBorder="1" applyAlignment="1">
      <alignment horizontal="center" vertical="center" shrinkToFit="1"/>
    </xf>
    <xf numFmtId="0" fontId="2" fillId="0" borderId="1" xfId="0" applyFont="1" applyFill="1" applyBorder="1" applyAlignment="1">
      <alignment horizontal="left" vertical="center"/>
    </xf>
    <xf numFmtId="0" fontId="2" fillId="0" borderId="0" xfId="0" applyFont="1" applyFill="1" applyAlignment="1">
      <alignment horizontal="right"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12" fillId="0" borderId="2" xfId="0" applyFont="1" applyBorder="1" applyAlignment="1">
      <alignment horizontal="center" vertical="center"/>
    </xf>
    <xf numFmtId="0" fontId="12" fillId="0" borderId="4" xfId="0" applyFont="1" applyBorder="1" applyAlignment="1">
      <alignment horizontal="center" vertical="center"/>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12" fillId="0" borderId="19" xfId="0" applyFont="1" applyBorder="1" applyAlignment="1">
      <alignment vertical="center" shrinkToFit="1"/>
    </xf>
    <xf numFmtId="0" fontId="12" fillId="0" borderId="20" xfId="0" applyFont="1" applyBorder="1" applyAlignment="1">
      <alignment vertical="center" shrinkToFit="1"/>
    </xf>
    <xf numFmtId="0" fontId="12" fillId="0" borderId="18"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12" fillId="0" borderId="2" xfId="0" applyFont="1" applyBorder="1" applyAlignment="1">
      <alignment vertical="center" wrapText="1" shrinkToFit="1"/>
    </xf>
    <xf numFmtId="0" fontId="12" fillId="0" borderId="3" xfId="0" applyFont="1" applyBorder="1" applyAlignment="1">
      <alignment vertical="center" wrapText="1" shrinkToFit="1"/>
    </xf>
    <xf numFmtId="0" fontId="1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11" fillId="0" borderId="19" xfId="0" applyFont="1" applyBorder="1" applyAlignment="1">
      <alignment vertical="center" shrinkToFit="1"/>
    </xf>
    <xf numFmtId="0" fontId="11" fillId="0" borderId="20" xfId="0" applyFont="1" applyBorder="1" applyAlignment="1">
      <alignment vertical="center" shrinkToFit="1"/>
    </xf>
    <xf numFmtId="0" fontId="11" fillId="0" borderId="18" xfId="0" applyFont="1" applyBorder="1" applyAlignment="1">
      <alignment vertical="center" shrinkToFit="1"/>
    </xf>
    <xf numFmtId="0" fontId="12" fillId="0" borderId="22" xfId="0" applyFont="1" applyBorder="1" applyAlignment="1">
      <alignment horizontal="left" vertical="center" wrapText="1" shrinkToFit="1"/>
    </xf>
    <xf numFmtId="0" fontId="12" fillId="0" borderId="21" xfId="0" applyFont="1" applyBorder="1" applyAlignment="1">
      <alignment horizontal="left" vertical="center" wrapText="1" shrinkToFit="1"/>
    </xf>
    <xf numFmtId="0" fontId="2" fillId="0" borderId="36" xfId="0" applyFont="1" applyBorder="1" applyAlignment="1">
      <alignment horizontal="left" vertical="center" wrapText="1" shrinkToFit="1"/>
    </xf>
    <xf numFmtId="0" fontId="2" fillId="0" borderId="35" xfId="0" applyFont="1" applyBorder="1" applyAlignment="1">
      <alignment horizontal="left" vertical="center" wrapText="1" shrinkToFit="1"/>
    </xf>
    <xf numFmtId="0" fontId="2" fillId="0" borderId="6" xfId="0" applyFont="1" applyBorder="1" applyAlignment="1">
      <alignment horizontal="left" vertical="center" wrapText="1" shrinkToFit="1"/>
    </xf>
    <xf numFmtId="0" fontId="2" fillId="0" borderId="12" xfId="0" applyFont="1" applyBorder="1" applyAlignment="1">
      <alignment horizontal="left" vertical="center" wrapText="1" shrinkToFit="1"/>
    </xf>
    <xf numFmtId="0" fontId="2" fillId="0" borderId="38" xfId="0" applyFont="1" applyBorder="1" applyAlignment="1">
      <alignment horizontal="left" vertical="center" wrapText="1" shrinkToFit="1"/>
    </xf>
    <xf numFmtId="0" fontId="2" fillId="0" borderId="39" xfId="0" applyFont="1" applyBorder="1" applyAlignment="1">
      <alignment horizontal="left" vertical="center" wrapText="1"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2" fillId="0" borderId="19" xfId="0" applyFont="1" applyBorder="1" applyAlignment="1">
      <alignment vertical="center" wrapText="1" shrinkToFit="1"/>
    </xf>
    <xf numFmtId="0" fontId="2" fillId="0" borderId="20" xfId="0" applyFont="1" applyBorder="1" applyAlignment="1">
      <alignment vertical="center" wrapText="1" shrinkToFit="1"/>
    </xf>
    <xf numFmtId="0" fontId="2" fillId="0" borderId="18" xfId="0" applyFont="1" applyBorder="1" applyAlignment="1">
      <alignment vertical="center" wrapText="1"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45" xfId="0" applyFont="1" applyBorder="1" applyAlignment="1">
      <alignment vertical="center" wrapText="1"/>
    </xf>
    <xf numFmtId="0" fontId="3" fillId="0" borderId="46" xfId="0" applyFont="1" applyBorder="1" applyAlignment="1">
      <alignment vertical="center" wrapText="1"/>
    </xf>
    <xf numFmtId="0" fontId="3" fillId="0" borderId="31" xfId="0" applyFont="1" applyBorder="1" applyAlignment="1">
      <alignment vertical="center" wrapText="1"/>
    </xf>
    <xf numFmtId="0" fontId="2" fillId="0" borderId="36" xfId="0" applyFont="1" applyBorder="1" applyAlignment="1">
      <alignment vertical="center" wrapText="1" shrinkToFit="1"/>
    </xf>
    <xf numFmtId="0" fontId="2" fillId="0" borderId="6" xfId="0" applyFont="1" applyBorder="1" applyAlignment="1">
      <alignment vertical="center" wrapText="1" shrinkToFit="1"/>
    </xf>
    <xf numFmtId="0" fontId="2" fillId="0" borderId="12" xfId="0" applyFont="1" applyBorder="1" applyAlignment="1">
      <alignment vertical="center" wrapText="1" shrinkToFi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9" xfId="0" applyFont="1" applyBorder="1" applyAlignment="1">
      <alignment horizontal="left" vertical="center" wrapText="1"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12" fillId="0" borderId="7" xfId="0" applyFont="1" applyBorder="1" applyAlignment="1">
      <alignment vertical="top" wrapText="1"/>
    </xf>
    <xf numFmtId="0" fontId="12" fillId="0" borderId="8" xfId="0" applyFont="1" applyBorder="1" applyAlignment="1">
      <alignment vertical="top" wrapText="1"/>
    </xf>
    <xf numFmtId="0" fontId="12" fillId="0" borderId="9" xfId="0" applyFont="1" applyBorder="1" applyAlignment="1">
      <alignment vertical="top" wrapText="1"/>
    </xf>
    <xf numFmtId="0" fontId="12" fillId="0" borderId="5" xfId="0" applyFont="1" applyBorder="1" applyAlignment="1">
      <alignment vertical="top" wrapText="1"/>
    </xf>
    <xf numFmtId="0" fontId="12" fillId="0" borderId="0" xfId="0" applyFont="1" applyAlignment="1">
      <alignment vertical="top" wrapText="1"/>
    </xf>
    <xf numFmtId="0" fontId="12" fillId="0" borderId="10" xfId="0" applyFont="1" applyBorder="1" applyAlignment="1">
      <alignment vertical="top" wrapText="1"/>
    </xf>
    <xf numFmtId="0" fontId="12" fillId="0" borderId="11" xfId="0" applyFont="1" applyBorder="1" applyAlignment="1">
      <alignment vertical="top" wrapText="1"/>
    </xf>
    <xf numFmtId="0" fontId="12" fillId="0" borderId="6" xfId="0" applyFont="1" applyBorder="1" applyAlignment="1">
      <alignment vertical="top" wrapText="1"/>
    </xf>
    <xf numFmtId="0" fontId="12" fillId="0" borderId="12" xfId="0" applyFont="1" applyBorder="1" applyAlignment="1">
      <alignment vertical="top" wrapText="1"/>
    </xf>
    <xf numFmtId="0" fontId="12" fillId="0" borderId="9" xfId="0" applyFont="1" applyBorder="1" applyAlignment="1">
      <alignment vertical="top"/>
    </xf>
    <xf numFmtId="0" fontId="12" fillId="0" borderId="5" xfId="0" applyFont="1" applyBorder="1" applyAlignment="1">
      <alignment vertical="top"/>
    </xf>
    <xf numFmtId="0" fontId="12" fillId="0" borderId="0" xfId="0" applyFont="1" applyAlignment="1">
      <alignment vertical="top"/>
    </xf>
    <xf numFmtId="0" fontId="12" fillId="0" borderId="10" xfId="0" applyFont="1" applyBorder="1" applyAlignment="1">
      <alignment vertical="top"/>
    </xf>
    <xf numFmtId="0" fontId="12" fillId="0" borderId="11" xfId="0" applyFont="1" applyBorder="1" applyAlignment="1">
      <alignment vertical="top"/>
    </xf>
    <xf numFmtId="0" fontId="12" fillId="0" borderId="6" xfId="0" applyFont="1" applyBorder="1" applyAlignment="1">
      <alignment vertical="top"/>
    </xf>
    <xf numFmtId="0" fontId="12" fillId="0" borderId="12" xfId="0" applyFont="1" applyBorder="1" applyAlignment="1">
      <alignment vertical="top"/>
    </xf>
    <xf numFmtId="177" fontId="12" fillId="0" borderId="1" xfId="0" applyNumberFormat="1" applyFont="1" applyBorder="1" applyAlignment="1">
      <alignment horizontal="center" vertical="center" wrapText="1" shrinkToFit="1"/>
    </xf>
    <xf numFmtId="177" fontId="12" fillId="0" borderId="1" xfId="0" applyNumberFormat="1" applyFont="1" applyBorder="1" applyAlignment="1">
      <alignment horizontal="center" vertical="center" shrinkToFit="1"/>
    </xf>
    <xf numFmtId="0" fontId="12" fillId="0" borderId="7" xfId="0" applyFont="1" applyBorder="1" applyAlignment="1">
      <alignment horizontal="left" vertical="top" wrapText="1"/>
    </xf>
    <xf numFmtId="0" fontId="12" fillId="0" borderId="8" xfId="0" applyFont="1" applyBorder="1" applyAlignment="1">
      <alignment horizontal="left" vertical="top" wrapText="1"/>
    </xf>
    <xf numFmtId="0" fontId="12" fillId="0" borderId="9" xfId="0" applyFont="1" applyBorder="1" applyAlignment="1">
      <alignment horizontal="left" vertical="top" wrapText="1"/>
    </xf>
    <xf numFmtId="0" fontId="12" fillId="0" borderId="5" xfId="0" applyFont="1" applyBorder="1" applyAlignment="1">
      <alignment horizontal="left" vertical="top" wrapText="1"/>
    </xf>
    <xf numFmtId="0" fontId="12" fillId="0" borderId="0" xfId="0" applyFont="1" applyAlignment="1">
      <alignment horizontal="left" vertical="top" wrapText="1"/>
    </xf>
    <xf numFmtId="0" fontId="12" fillId="0" borderId="10" xfId="0" applyFont="1" applyBorder="1" applyAlignment="1">
      <alignment horizontal="left" vertical="top" wrapText="1"/>
    </xf>
    <xf numFmtId="0" fontId="12" fillId="0" borderId="11" xfId="0" applyFont="1" applyBorder="1" applyAlignment="1">
      <alignment horizontal="left" vertical="top" wrapText="1"/>
    </xf>
    <xf numFmtId="0" fontId="12" fillId="0" borderId="6" xfId="0" applyFont="1" applyBorder="1" applyAlignment="1">
      <alignment horizontal="left" vertical="top" wrapText="1"/>
    </xf>
    <xf numFmtId="0" fontId="12" fillId="0" borderId="12" xfId="0" applyFont="1" applyBorder="1" applyAlignment="1">
      <alignment horizontal="left" vertical="top"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12" fillId="0" borderId="20" xfId="0" applyFont="1" applyBorder="1" applyAlignment="1">
      <alignment vertical="top" wrapText="1" shrinkToFit="1"/>
    </xf>
    <xf numFmtId="0" fontId="1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12" fillId="0" borderId="38" xfId="0" applyFont="1" applyBorder="1" applyAlignment="1">
      <alignment vertical="top" wrapText="1" shrinkToFit="1"/>
    </xf>
    <xf numFmtId="0" fontId="1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12" fillId="0" borderId="42" xfId="0" applyFont="1" applyBorder="1" applyAlignment="1">
      <alignment vertical="top" wrapText="1" shrinkToFit="1"/>
    </xf>
    <xf numFmtId="0" fontId="12" fillId="0" borderId="43" xfId="0" applyFont="1" applyBorder="1" applyAlignment="1">
      <alignment vertical="top" wrapText="1" shrinkToFit="1"/>
    </xf>
    <xf numFmtId="0" fontId="12" fillId="0" borderId="19" xfId="0" applyFont="1" applyBorder="1" applyAlignment="1">
      <alignment vertical="top" wrapText="1" shrinkToFit="1"/>
    </xf>
    <xf numFmtId="0" fontId="12" fillId="0" borderId="37"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tabSelected="1" zoomScaleNormal="100" zoomScaleSheetLayoutView="100" workbookViewId="0">
      <selection activeCell="A5" sqref="A5:S5"/>
    </sheetView>
  </sheetViews>
  <sheetFormatPr defaultColWidth="9" defaultRowHeight="18.75" customHeight="1" x14ac:dyDescent="0.2"/>
  <cols>
    <col min="1" max="1" width="2.453125" style="1" customWidth="1"/>
    <col min="2" max="2" width="16.453125" style="1" customWidth="1"/>
    <col min="3" max="19" width="5.6328125" style="1" customWidth="1"/>
    <col min="20" max="20" width="9" style="1"/>
    <col min="21" max="21" width="3.6328125" style="1" customWidth="1"/>
    <col min="22" max="22" width="48.6328125" style="1" hidden="1" customWidth="1"/>
    <col min="23" max="16384" width="9" style="1"/>
  </cols>
  <sheetData>
    <row r="1" spans="1:22" ht="18.649999999999999" customHeight="1" x14ac:dyDescent="0.2">
      <c r="R1" s="113" t="s">
        <v>12</v>
      </c>
      <c r="S1" s="113"/>
      <c r="T1" s="2" t="s">
        <v>108</v>
      </c>
    </row>
    <row r="2" spans="1:22" ht="18.75" customHeight="1" x14ac:dyDescent="0.2">
      <c r="B2" s="34" t="s">
        <v>107</v>
      </c>
      <c r="C2" s="101" t="s">
        <v>125</v>
      </c>
      <c r="D2" s="102"/>
      <c r="E2" s="102"/>
      <c r="F2" s="102"/>
      <c r="G2" s="102"/>
      <c r="H2" s="102"/>
      <c r="I2" s="103"/>
      <c r="J2" s="35"/>
      <c r="K2" s="6"/>
      <c r="L2" s="6"/>
      <c r="M2" s="6"/>
      <c r="N2" s="6"/>
      <c r="O2" s="6"/>
      <c r="P2" s="6"/>
      <c r="Q2" s="6"/>
      <c r="R2" s="6"/>
      <c r="S2" s="6"/>
    </row>
    <row r="3" spans="1:22" ht="18.75" customHeight="1" x14ac:dyDescent="0.2">
      <c r="B3" s="34" t="s">
        <v>101</v>
      </c>
      <c r="C3" s="101" t="s">
        <v>126</v>
      </c>
      <c r="D3" s="102"/>
      <c r="E3" s="102"/>
      <c r="F3" s="102"/>
      <c r="G3" s="102"/>
      <c r="H3" s="102"/>
      <c r="I3" s="103"/>
      <c r="J3" s="35"/>
      <c r="K3" s="6"/>
      <c r="L3" s="6"/>
      <c r="M3" s="6"/>
      <c r="N3" s="6"/>
      <c r="O3" s="6"/>
      <c r="P3" s="6"/>
      <c r="Q3" s="6"/>
      <c r="R3" s="6"/>
      <c r="S3" s="6"/>
    </row>
    <row r="4" spans="1:22" ht="15" customHeight="1" x14ac:dyDescent="0.2">
      <c r="K4" s="35"/>
      <c r="L4" s="36"/>
      <c r="M4" s="36"/>
      <c r="N4" s="36"/>
      <c r="O4" s="36"/>
      <c r="P4" s="36"/>
      <c r="Q4" s="36"/>
      <c r="R4" s="36"/>
      <c r="S4" s="36"/>
    </row>
    <row r="5" spans="1:22" ht="18" customHeight="1" x14ac:dyDescent="0.2">
      <c r="A5" s="117" t="s">
        <v>39</v>
      </c>
      <c r="B5" s="117"/>
      <c r="C5" s="117"/>
      <c r="D5" s="117"/>
      <c r="E5" s="117"/>
      <c r="F5" s="117"/>
      <c r="G5" s="117"/>
      <c r="H5" s="117"/>
      <c r="I5" s="117"/>
      <c r="J5" s="117"/>
      <c r="K5" s="117"/>
      <c r="L5" s="117"/>
      <c r="M5" s="117"/>
      <c r="N5" s="117"/>
      <c r="O5" s="117"/>
      <c r="P5" s="117"/>
      <c r="Q5" s="117"/>
      <c r="R5" s="117"/>
      <c r="S5" s="117"/>
    </row>
    <row r="6" spans="1:22" ht="15" customHeight="1" x14ac:dyDescent="0.2">
      <c r="B6" s="3"/>
      <c r="C6" s="3"/>
      <c r="D6" s="3"/>
      <c r="E6" s="3"/>
      <c r="F6" s="3"/>
      <c r="G6" s="3"/>
      <c r="H6" s="3"/>
      <c r="I6" s="3"/>
      <c r="J6" s="3"/>
      <c r="K6" s="3"/>
      <c r="L6" s="3"/>
      <c r="M6" s="3"/>
      <c r="N6" s="3"/>
      <c r="O6" s="3"/>
      <c r="P6" s="3"/>
      <c r="Q6" s="3"/>
      <c r="R6" s="3"/>
      <c r="S6" s="3"/>
    </row>
    <row r="7" spans="1:22" ht="18" customHeight="1" x14ac:dyDescent="0.2">
      <c r="A7" s="1" t="s">
        <v>123</v>
      </c>
      <c r="C7" s="3"/>
      <c r="J7" s="37" t="s">
        <v>106</v>
      </c>
      <c r="K7" s="127" t="s">
        <v>127</v>
      </c>
      <c r="L7" s="128"/>
      <c r="M7" s="128"/>
      <c r="N7" s="128"/>
      <c r="O7" s="128"/>
      <c r="P7" s="128"/>
      <c r="Q7" s="128"/>
      <c r="R7" s="128"/>
      <c r="S7" s="129"/>
    </row>
    <row r="8" spans="1:22" ht="6" customHeight="1" x14ac:dyDescent="0.2">
      <c r="B8" s="3"/>
      <c r="C8" s="3"/>
      <c r="D8" s="3"/>
      <c r="E8" s="3"/>
      <c r="F8" s="3"/>
      <c r="G8" s="3"/>
      <c r="H8" s="3"/>
      <c r="I8" s="3"/>
      <c r="J8" s="3"/>
      <c r="K8" s="10"/>
      <c r="L8" s="3"/>
      <c r="M8" s="3"/>
      <c r="N8" s="3"/>
      <c r="O8" s="3"/>
      <c r="P8" s="3"/>
      <c r="Q8" s="3"/>
      <c r="R8" s="3"/>
      <c r="S8" s="3"/>
    </row>
    <row r="9" spans="1:22" ht="18" customHeight="1" x14ac:dyDescent="0.2">
      <c r="B9" s="89"/>
      <c r="C9" s="90"/>
      <c r="D9" s="90"/>
      <c r="E9" s="90"/>
      <c r="F9" s="90"/>
      <c r="G9" s="90"/>
      <c r="H9" s="90"/>
      <c r="I9" s="90"/>
      <c r="J9" s="90"/>
      <c r="K9" s="90"/>
      <c r="L9" s="90"/>
      <c r="M9" s="90"/>
      <c r="N9" s="90"/>
      <c r="O9" s="90"/>
      <c r="P9" s="90"/>
      <c r="Q9" s="90"/>
      <c r="R9" s="90"/>
      <c r="S9" s="91"/>
    </row>
    <row r="10" spans="1:22" ht="18" customHeight="1" x14ac:dyDescent="0.2">
      <c r="B10" s="92"/>
      <c r="C10" s="93"/>
      <c r="D10" s="93"/>
      <c r="E10" s="93"/>
      <c r="F10" s="93"/>
      <c r="G10" s="93"/>
      <c r="H10" s="93"/>
      <c r="I10" s="93"/>
      <c r="J10" s="93"/>
      <c r="K10" s="93"/>
      <c r="L10" s="93"/>
      <c r="M10" s="93"/>
      <c r="N10" s="93"/>
      <c r="O10" s="93"/>
      <c r="P10" s="93"/>
      <c r="Q10" s="93"/>
      <c r="R10" s="93"/>
      <c r="S10" s="94"/>
    </row>
    <row r="11" spans="1:22" ht="6" customHeight="1" x14ac:dyDescent="0.2">
      <c r="B11" s="3"/>
      <c r="C11" s="3"/>
      <c r="D11" s="3"/>
      <c r="E11" s="3"/>
      <c r="F11" s="3"/>
      <c r="G11" s="3"/>
      <c r="H11" s="3"/>
      <c r="I11" s="3"/>
      <c r="J11" s="3"/>
      <c r="K11" s="10"/>
      <c r="L11" s="3"/>
      <c r="M11" s="3"/>
      <c r="N11" s="3"/>
      <c r="O11" s="3"/>
      <c r="P11" s="3"/>
      <c r="Q11" s="3"/>
      <c r="R11" s="3"/>
      <c r="S11" s="3"/>
    </row>
    <row r="12" spans="1:22" ht="18" customHeight="1" x14ac:dyDescent="0.2">
      <c r="A12" s="1" t="s">
        <v>110</v>
      </c>
      <c r="B12" s="3"/>
      <c r="C12" s="3"/>
      <c r="D12" s="35"/>
      <c r="E12" s="35"/>
      <c r="F12" s="35"/>
      <c r="G12" s="35"/>
      <c r="H12" s="35"/>
      <c r="I12" s="35"/>
      <c r="J12" s="35"/>
      <c r="K12" s="38"/>
      <c r="L12" s="38"/>
      <c r="M12" s="38"/>
      <c r="N12" s="38"/>
      <c r="O12" s="38"/>
      <c r="P12" s="38"/>
      <c r="Q12" s="38"/>
      <c r="R12" s="38"/>
      <c r="S12" s="38"/>
    </row>
    <row r="13" spans="1:22" ht="18" customHeight="1" x14ac:dyDescent="0.2">
      <c r="B13" s="118" t="s">
        <v>132</v>
      </c>
      <c r="C13" s="119"/>
      <c r="D13" s="119"/>
      <c r="E13" s="119"/>
      <c r="F13" s="119"/>
      <c r="G13" s="119"/>
      <c r="H13" s="119"/>
      <c r="I13" s="119"/>
      <c r="J13" s="119"/>
      <c r="K13" s="119"/>
      <c r="L13" s="119"/>
      <c r="M13" s="119"/>
      <c r="N13" s="119"/>
      <c r="O13" s="119"/>
      <c r="P13" s="119"/>
      <c r="Q13" s="119"/>
      <c r="R13" s="119"/>
      <c r="S13" s="120"/>
      <c r="V13" s="1" t="s">
        <v>102</v>
      </c>
    </row>
    <row r="14" spans="1:22" ht="18" customHeight="1" x14ac:dyDescent="0.2">
      <c r="B14" s="121"/>
      <c r="C14" s="122"/>
      <c r="D14" s="122"/>
      <c r="E14" s="122"/>
      <c r="F14" s="122"/>
      <c r="G14" s="122"/>
      <c r="H14" s="122"/>
      <c r="I14" s="122"/>
      <c r="J14" s="122"/>
      <c r="K14" s="122"/>
      <c r="L14" s="122"/>
      <c r="M14" s="122"/>
      <c r="N14" s="122"/>
      <c r="O14" s="122"/>
      <c r="P14" s="122"/>
      <c r="Q14" s="122"/>
      <c r="R14" s="122"/>
      <c r="S14" s="123"/>
      <c r="V14" s="1" t="s">
        <v>109</v>
      </c>
    </row>
    <row r="15" spans="1:22" ht="18" customHeight="1" x14ac:dyDescent="0.2">
      <c r="B15" s="121"/>
      <c r="C15" s="122"/>
      <c r="D15" s="122"/>
      <c r="E15" s="122"/>
      <c r="F15" s="122"/>
      <c r="G15" s="122"/>
      <c r="H15" s="122"/>
      <c r="I15" s="122"/>
      <c r="J15" s="122"/>
      <c r="K15" s="122"/>
      <c r="L15" s="122"/>
      <c r="M15" s="122"/>
      <c r="N15" s="122"/>
      <c r="O15" s="122"/>
      <c r="P15" s="122"/>
      <c r="Q15" s="122"/>
      <c r="R15" s="122"/>
      <c r="S15" s="123"/>
      <c r="V15" s="1" t="s">
        <v>122</v>
      </c>
    </row>
    <row r="16" spans="1:22" ht="18" customHeight="1" x14ac:dyDescent="0.2">
      <c r="B16" s="121"/>
      <c r="C16" s="122"/>
      <c r="D16" s="122"/>
      <c r="E16" s="122"/>
      <c r="F16" s="122"/>
      <c r="G16" s="122"/>
      <c r="H16" s="122"/>
      <c r="I16" s="122"/>
      <c r="J16" s="122"/>
      <c r="K16" s="122"/>
      <c r="L16" s="122"/>
      <c r="M16" s="122"/>
      <c r="N16" s="122"/>
      <c r="O16" s="122"/>
      <c r="P16" s="122"/>
      <c r="Q16" s="122"/>
      <c r="R16" s="122"/>
      <c r="S16" s="123"/>
      <c r="V16" s="1" t="s">
        <v>124</v>
      </c>
    </row>
    <row r="17" spans="1:19" ht="18" customHeight="1" x14ac:dyDescent="0.2">
      <c r="B17" s="121"/>
      <c r="C17" s="122"/>
      <c r="D17" s="122"/>
      <c r="E17" s="122"/>
      <c r="F17" s="122"/>
      <c r="G17" s="122"/>
      <c r="H17" s="122"/>
      <c r="I17" s="122"/>
      <c r="J17" s="122"/>
      <c r="K17" s="122"/>
      <c r="L17" s="122"/>
      <c r="M17" s="122"/>
      <c r="N17" s="122"/>
      <c r="O17" s="122"/>
      <c r="P17" s="122"/>
      <c r="Q17" s="122"/>
      <c r="R17" s="122"/>
      <c r="S17" s="123"/>
    </row>
    <row r="18" spans="1:19" ht="18" customHeight="1" x14ac:dyDescent="0.2">
      <c r="B18" s="124"/>
      <c r="C18" s="125"/>
      <c r="D18" s="125"/>
      <c r="E18" s="125"/>
      <c r="F18" s="125"/>
      <c r="G18" s="125"/>
      <c r="H18" s="125"/>
      <c r="I18" s="125"/>
      <c r="J18" s="125"/>
      <c r="K18" s="125"/>
      <c r="L18" s="125"/>
      <c r="M18" s="125"/>
      <c r="N18" s="125"/>
      <c r="O18" s="125"/>
      <c r="P18" s="125"/>
      <c r="Q18" s="125"/>
      <c r="R18" s="125"/>
      <c r="S18" s="126"/>
    </row>
    <row r="19" spans="1:19" ht="7.5" customHeight="1" x14ac:dyDescent="0.2">
      <c r="B19" s="3"/>
      <c r="C19" s="3"/>
      <c r="D19" s="3"/>
      <c r="E19" s="3"/>
      <c r="F19" s="3"/>
      <c r="G19" s="3"/>
      <c r="H19" s="3"/>
      <c r="I19" s="3"/>
      <c r="J19" s="3"/>
      <c r="K19" s="3"/>
      <c r="L19" s="3"/>
      <c r="M19" s="3"/>
      <c r="N19" s="3"/>
      <c r="O19" s="3"/>
      <c r="P19" s="3"/>
      <c r="Q19" s="3"/>
      <c r="R19" s="3"/>
      <c r="S19" s="3"/>
    </row>
    <row r="20" spans="1:19" ht="19.899999999999999" customHeight="1" x14ac:dyDescent="0.2">
      <c r="B20" s="1" t="s">
        <v>111</v>
      </c>
      <c r="C20" s="105">
        <v>6</v>
      </c>
      <c r="D20" s="106"/>
      <c r="E20" s="39" t="s">
        <v>94</v>
      </c>
      <c r="G20" s="10"/>
      <c r="H20" s="3"/>
      <c r="I20" s="3"/>
      <c r="J20" s="35" t="s">
        <v>120</v>
      </c>
      <c r="K20" s="114" t="s">
        <v>124</v>
      </c>
      <c r="L20" s="115"/>
      <c r="M20" s="115"/>
      <c r="N20" s="115"/>
      <c r="O20" s="115"/>
      <c r="P20" s="115"/>
      <c r="Q20" s="115"/>
      <c r="R20" s="115"/>
      <c r="S20" s="116"/>
    </row>
    <row r="21" spans="1:19" ht="7.5" customHeight="1" x14ac:dyDescent="0.2">
      <c r="B21" s="3"/>
      <c r="C21" s="3"/>
      <c r="D21" s="3"/>
      <c r="E21" s="3"/>
      <c r="F21" s="3"/>
      <c r="G21" s="3"/>
      <c r="H21" s="3"/>
      <c r="I21" s="3"/>
      <c r="J21" s="3"/>
      <c r="K21" s="3"/>
      <c r="L21" s="3"/>
      <c r="M21" s="3"/>
      <c r="N21" s="3"/>
      <c r="O21" s="3"/>
      <c r="P21" s="3"/>
      <c r="Q21" s="3"/>
      <c r="R21" s="3"/>
      <c r="S21" s="3"/>
    </row>
    <row r="22" spans="1:19" ht="18" customHeight="1" x14ac:dyDescent="0.2">
      <c r="A22" s="104" t="s">
        <v>112</v>
      </c>
      <c r="B22" s="104"/>
      <c r="C22" s="104"/>
      <c r="D22" s="104"/>
      <c r="E22" s="104"/>
      <c r="F22" s="104"/>
      <c r="G22" s="104"/>
      <c r="H22" s="104"/>
      <c r="I22" s="104"/>
      <c r="J22" s="104"/>
      <c r="K22" s="104"/>
      <c r="L22" s="104"/>
      <c r="M22" s="104"/>
      <c r="N22" s="104"/>
      <c r="O22" s="104"/>
      <c r="P22" s="104"/>
      <c r="Q22" s="104"/>
      <c r="R22" s="104"/>
      <c r="S22" s="104"/>
    </row>
    <row r="23" spans="1:19" ht="18" customHeight="1" x14ac:dyDescent="0.2">
      <c r="A23" s="104"/>
      <c r="B23" s="104"/>
      <c r="C23" s="104"/>
      <c r="D23" s="104"/>
      <c r="E23" s="104"/>
      <c r="F23" s="104"/>
      <c r="G23" s="104"/>
      <c r="H23" s="104"/>
      <c r="I23" s="104"/>
      <c r="J23" s="104"/>
      <c r="K23" s="104"/>
      <c r="L23" s="104"/>
      <c r="M23" s="104"/>
      <c r="N23" s="104"/>
      <c r="O23" s="104"/>
      <c r="P23" s="104"/>
      <c r="Q23" s="104"/>
      <c r="R23" s="104"/>
      <c r="S23" s="104"/>
    </row>
    <row r="24" spans="1:19" ht="18" customHeight="1" x14ac:dyDescent="0.2">
      <c r="B24" s="101" t="s">
        <v>54</v>
      </c>
      <c r="C24" s="102"/>
      <c r="D24" s="102"/>
      <c r="E24" s="103"/>
      <c r="F24" s="56" t="s">
        <v>79</v>
      </c>
      <c r="G24" s="55" t="s">
        <v>83</v>
      </c>
      <c r="H24" s="22" t="s">
        <v>57</v>
      </c>
      <c r="I24" s="22" t="s">
        <v>60</v>
      </c>
      <c r="J24" s="101" t="s">
        <v>54</v>
      </c>
      <c r="K24" s="102"/>
      <c r="L24" s="102"/>
      <c r="M24" s="102"/>
      <c r="N24" s="102"/>
      <c r="O24" s="103"/>
      <c r="P24" s="56" t="s">
        <v>79</v>
      </c>
      <c r="Q24" s="55" t="s">
        <v>83</v>
      </c>
      <c r="R24" s="22" t="s">
        <v>57</v>
      </c>
      <c r="S24" s="22" t="s">
        <v>60</v>
      </c>
    </row>
    <row r="25" spans="1:19" ht="18" customHeight="1" x14ac:dyDescent="0.2">
      <c r="B25" s="107" t="s">
        <v>128</v>
      </c>
      <c r="C25" s="108"/>
      <c r="D25" s="108"/>
      <c r="E25" s="109"/>
      <c r="F25" s="23">
        <v>2</v>
      </c>
      <c r="G25" s="23" t="s">
        <v>129</v>
      </c>
      <c r="H25" s="23" t="s">
        <v>129</v>
      </c>
      <c r="I25" s="23" t="s">
        <v>129</v>
      </c>
      <c r="J25" s="107"/>
      <c r="K25" s="108"/>
      <c r="L25" s="108"/>
      <c r="M25" s="108"/>
      <c r="N25" s="108"/>
      <c r="O25" s="109"/>
      <c r="P25" s="23"/>
      <c r="Q25" s="23"/>
      <c r="R25" s="23"/>
      <c r="S25" s="23"/>
    </row>
    <row r="26" spans="1:19" ht="18" customHeight="1" x14ac:dyDescent="0.2">
      <c r="B26" s="95"/>
      <c r="C26" s="96"/>
      <c r="D26" s="96"/>
      <c r="E26" s="97"/>
      <c r="F26" s="24"/>
      <c r="G26" s="24"/>
      <c r="H26" s="24"/>
      <c r="I26" s="24"/>
      <c r="J26" s="95"/>
      <c r="K26" s="96"/>
      <c r="L26" s="96"/>
      <c r="M26" s="96"/>
      <c r="N26" s="96"/>
      <c r="O26" s="97"/>
      <c r="P26" s="24"/>
      <c r="Q26" s="24"/>
      <c r="R26" s="24"/>
      <c r="S26" s="24"/>
    </row>
    <row r="27" spans="1:19" ht="18" customHeight="1" x14ac:dyDescent="0.2">
      <c r="B27" s="95"/>
      <c r="C27" s="96"/>
      <c r="D27" s="96"/>
      <c r="E27" s="97"/>
      <c r="F27" s="24"/>
      <c r="G27" s="24"/>
      <c r="H27" s="24"/>
      <c r="I27" s="24"/>
      <c r="J27" s="95"/>
      <c r="K27" s="96"/>
      <c r="L27" s="96"/>
      <c r="M27" s="96"/>
      <c r="N27" s="96"/>
      <c r="O27" s="97"/>
      <c r="P27" s="24"/>
      <c r="Q27" s="24"/>
      <c r="R27" s="24"/>
      <c r="S27" s="24"/>
    </row>
    <row r="28" spans="1:19" ht="18" customHeight="1" x14ac:dyDescent="0.2">
      <c r="B28" s="95"/>
      <c r="C28" s="96"/>
      <c r="D28" s="96"/>
      <c r="E28" s="97"/>
      <c r="F28" s="24"/>
      <c r="G28" s="24"/>
      <c r="H28" s="24"/>
      <c r="I28" s="24"/>
      <c r="J28" s="95"/>
      <c r="K28" s="96"/>
      <c r="L28" s="96"/>
      <c r="M28" s="96"/>
      <c r="N28" s="96"/>
      <c r="O28" s="97"/>
      <c r="P28" s="24"/>
      <c r="Q28" s="24"/>
      <c r="R28" s="24"/>
      <c r="S28" s="24"/>
    </row>
    <row r="29" spans="1:19" ht="18" customHeight="1" x14ac:dyDescent="0.2">
      <c r="B29" s="95"/>
      <c r="C29" s="96"/>
      <c r="D29" s="96"/>
      <c r="E29" s="97"/>
      <c r="F29" s="24"/>
      <c r="G29" s="24"/>
      <c r="H29" s="24"/>
      <c r="I29" s="24"/>
      <c r="J29" s="95"/>
      <c r="K29" s="96"/>
      <c r="L29" s="96"/>
      <c r="M29" s="96"/>
      <c r="N29" s="96"/>
      <c r="O29" s="97"/>
      <c r="P29" s="24"/>
      <c r="Q29" s="24"/>
      <c r="R29" s="24"/>
      <c r="S29" s="24"/>
    </row>
    <row r="30" spans="1:19" ht="18" customHeight="1" x14ac:dyDescent="0.2">
      <c r="A30" s="3"/>
      <c r="B30" s="95"/>
      <c r="C30" s="96"/>
      <c r="D30" s="96"/>
      <c r="E30" s="97"/>
      <c r="F30" s="24"/>
      <c r="G30" s="24"/>
      <c r="H30" s="24"/>
      <c r="I30" s="24"/>
      <c r="J30" s="95"/>
      <c r="K30" s="96"/>
      <c r="L30" s="96"/>
      <c r="M30" s="96"/>
      <c r="N30" s="96"/>
      <c r="O30" s="97"/>
      <c r="P30" s="24"/>
      <c r="Q30" s="24"/>
      <c r="R30" s="24"/>
      <c r="S30" s="24"/>
    </row>
    <row r="31" spans="1:19" ht="18" customHeight="1" x14ac:dyDescent="0.2">
      <c r="A31" s="3"/>
      <c r="B31" s="98"/>
      <c r="C31" s="99"/>
      <c r="D31" s="99"/>
      <c r="E31" s="100"/>
      <c r="F31" s="25"/>
      <c r="G31" s="25"/>
      <c r="H31" s="26"/>
      <c r="I31" s="26"/>
      <c r="J31" s="98"/>
      <c r="K31" s="99"/>
      <c r="L31" s="99"/>
      <c r="M31" s="99"/>
      <c r="N31" s="99"/>
      <c r="O31" s="100"/>
      <c r="P31" s="25"/>
      <c r="Q31" s="25"/>
      <c r="R31" s="26"/>
      <c r="S31" s="26"/>
    </row>
    <row r="32" spans="1:19" ht="7.5" customHeight="1" x14ac:dyDescent="0.2">
      <c r="A32" s="3"/>
      <c r="B32" s="6"/>
      <c r="C32" s="6"/>
      <c r="D32" s="3"/>
      <c r="E32" s="3"/>
      <c r="F32" s="3"/>
      <c r="G32" s="3"/>
      <c r="H32" s="6"/>
      <c r="I32" s="6"/>
      <c r="J32" s="6"/>
      <c r="K32" s="6"/>
      <c r="L32" s="6"/>
      <c r="M32" s="6"/>
      <c r="N32" s="6"/>
      <c r="O32" s="6"/>
      <c r="P32" s="6"/>
      <c r="Q32" s="6"/>
      <c r="R32" s="6"/>
      <c r="S32" s="3"/>
    </row>
    <row r="33" spans="1:19" ht="18" customHeight="1" x14ac:dyDescent="0.2">
      <c r="A33" s="104" t="s">
        <v>113</v>
      </c>
      <c r="B33" s="104"/>
      <c r="C33" s="104"/>
      <c r="D33" s="104"/>
      <c r="E33" s="104"/>
      <c r="F33" s="104"/>
      <c r="G33" s="104"/>
      <c r="H33" s="104"/>
      <c r="I33" s="104"/>
      <c r="J33" s="104"/>
      <c r="K33" s="104"/>
      <c r="L33" s="104"/>
      <c r="M33" s="104"/>
      <c r="N33" s="104"/>
      <c r="O33" s="104"/>
      <c r="P33" s="104"/>
      <c r="Q33" s="104"/>
      <c r="R33" s="104"/>
      <c r="S33" s="104"/>
    </row>
    <row r="34" spans="1:19" ht="18" customHeight="1" x14ac:dyDescent="0.2">
      <c r="A34" s="104"/>
      <c r="B34" s="104"/>
      <c r="C34" s="104"/>
      <c r="D34" s="104"/>
      <c r="E34" s="104"/>
      <c r="F34" s="104"/>
      <c r="G34" s="104"/>
      <c r="H34" s="104"/>
      <c r="I34" s="104"/>
      <c r="J34" s="104"/>
      <c r="K34" s="104"/>
      <c r="L34" s="104"/>
      <c r="M34" s="104"/>
      <c r="N34" s="104"/>
      <c r="O34" s="104"/>
      <c r="P34" s="104"/>
      <c r="Q34" s="104"/>
      <c r="R34" s="104"/>
      <c r="S34" s="104"/>
    </row>
    <row r="35" spans="1:19" ht="18" customHeight="1" x14ac:dyDescent="0.2">
      <c r="B35" s="101" t="s">
        <v>54</v>
      </c>
      <c r="C35" s="102"/>
      <c r="D35" s="102"/>
      <c r="E35" s="103"/>
      <c r="F35" s="56" t="s">
        <v>79</v>
      </c>
      <c r="G35" s="55" t="s">
        <v>83</v>
      </c>
      <c r="H35" s="22" t="s">
        <v>70</v>
      </c>
      <c r="I35" s="22" t="s">
        <v>71</v>
      </c>
      <c r="J35" s="101" t="s">
        <v>54</v>
      </c>
      <c r="K35" s="102"/>
      <c r="L35" s="102"/>
      <c r="M35" s="102"/>
      <c r="N35" s="102"/>
      <c r="O35" s="103"/>
      <c r="P35" s="56" t="s">
        <v>79</v>
      </c>
      <c r="Q35" s="55" t="s">
        <v>83</v>
      </c>
      <c r="R35" s="22" t="s">
        <v>70</v>
      </c>
      <c r="S35" s="22" t="s">
        <v>71</v>
      </c>
    </row>
    <row r="36" spans="1:19" ht="18" customHeight="1" x14ac:dyDescent="0.2">
      <c r="B36" s="107" t="s">
        <v>128</v>
      </c>
      <c r="C36" s="108"/>
      <c r="D36" s="108"/>
      <c r="E36" s="109"/>
      <c r="F36" s="23">
        <v>2</v>
      </c>
      <c r="G36" s="23" t="s">
        <v>129</v>
      </c>
      <c r="H36" s="23" t="s">
        <v>129</v>
      </c>
      <c r="I36" s="23" t="s">
        <v>129</v>
      </c>
      <c r="J36" s="107"/>
      <c r="K36" s="108"/>
      <c r="L36" s="108"/>
      <c r="M36" s="108"/>
      <c r="N36" s="108"/>
      <c r="O36" s="109"/>
      <c r="P36" s="23"/>
      <c r="Q36" s="23"/>
      <c r="R36" s="23"/>
      <c r="S36" s="23"/>
    </row>
    <row r="37" spans="1:19" ht="18" customHeight="1" x14ac:dyDescent="0.2">
      <c r="B37" s="95"/>
      <c r="C37" s="96"/>
      <c r="D37" s="96"/>
      <c r="E37" s="97"/>
      <c r="F37" s="24"/>
      <c r="G37" s="24"/>
      <c r="H37" s="24"/>
      <c r="I37" s="24"/>
      <c r="J37" s="95"/>
      <c r="K37" s="96"/>
      <c r="L37" s="96"/>
      <c r="M37" s="96"/>
      <c r="N37" s="96"/>
      <c r="O37" s="97"/>
      <c r="P37" s="24"/>
      <c r="Q37" s="24"/>
      <c r="R37" s="24"/>
      <c r="S37" s="24"/>
    </row>
    <row r="38" spans="1:19" ht="18" customHeight="1" x14ac:dyDescent="0.2">
      <c r="B38" s="95"/>
      <c r="C38" s="96"/>
      <c r="D38" s="96"/>
      <c r="E38" s="97"/>
      <c r="F38" s="24"/>
      <c r="G38" s="24"/>
      <c r="H38" s="24"/>
      <c r="I38" s="24"/>
      <c r="J38" s="95"/>
      <c r="K38" s="96"/>
      <c r="L38" s="96"/>
      <c r="M38" s="96"/>
      <c r="N38" s="96"/>
      <c r="O38" s="97"/>
      <c r="P38" s="24"/>
      <c r="Q38" s="24"/>
      <c r="R38" s="24"/>
      <c r="S38" s="24"/>
    </row>
    <row r="39" spans="1:19" ht="18" customHeight="1" x14ac:dyDescent="0.2">
      <c r="B39" s="95"/>
      <c r="C39" s="96"/>
      <c r="D39" s="96"/>
      <c r="E39" s="97"/>
      <c r="F39" s="24"/>
      <c r="G39" s="24"/>
      <c r="H39" s="24"/>
      <c r="I39" s="24"/>
      <c r="J39" s="95"/>
      <c r="K39" s="96"/>
      <c r="L39" s="96"/>
      <c r="M39" s="96"/>
      <c r="N39" s="96"/>
      <c r="O39" s="97"/>
      <c r="P39" s="24"/>
      <c r="Q39" s="24"/>
      <c r="R39" s="24"/>
      <c r="S39" s="24"/>
    </row>
    <row r="40" spans="1:19" ht="18" customHeight="1" x14ac:dyDescent="0.2">
      <c r="B40" s="95"/>
      <c r="C40" s="96"/>
      <c r="D40" s="96"/>
      <c r="E40" s="97"/>
      <c r="F40" s="24"/>
      <c r="G40" s="24"/>
      <c r="H40" s="24"/>
      <c r="I40" s="24"/>
      <c r="J40" s="95"/>
      <c r="K40" s="96"/>
      <c r="L40" s="96"/>
      <c r="M40" s="96"/>
      <c r="N40" s="96"/>
      <c r="O40" s="97"/>
      <c r="P40" s="24"/>
      <c r="Q40" s="24"/>
      <c r="R40" s="24"/>
      <c r="S40" s="24"/>
    </row>
    <row r="41" spans="1:19" ht="18" customHeight="1" x14ac:dyDescent="0.2">
      <c r="B41" s="95"/>
      <c r="C41" s="96"/>
      <c r="D41" s="96"/>
      <c r="E41" s="97"/>
      <c r="F41" s="24"/>
      <c r="G41" s="24"/>
      <c r="H41" s="24"/>
      <c r="I41" s="24"/>
      <c r="J41" s="95"/>
      <c r="K41" s="96"/>
      <c r="L41" s="96"/>
      <c r="M41" s="96"/>
      <c r="N41" s="96"/>
      <c r="O41" s="97"/>
      <c r="P41" s="24"/>
      <c r="Q41" s="24"/>
      <c r="R41" s="24"/>
      <c r="S41" s="24"/>
    </row>
    <row r="42" spans="1:19" ht="18" customHeight="1" x14ac:dyDescent="0.2">
      <c r="B42" s="98"/>
      <c r="C42" s="99"/>
      <c r="D42" s="99"/>
      <c r="E42" s="100"/>
      <c r="F42" s="25"/>
      <c r="G42" s="25"/>
      <c r="H42" s="26"/>
      <c r="I42" s="26"/>
      <c r="J42" s="98"/>
      <c r="K42" s="99"/>
      <c r="L42" s="99"/>
      <c r="M42" s="99"/>
      <c r="N42" s="99"/>
      <c r="O42" s="100"/>
      <c r="P42" s="25"/>
      <c r="Q42" s="25"/>
      <c r="R42" s="26"/>
      <c r="S42" s="26"/>
    </row>
    <row r="43" spans="1:19" ht="7.5" customHeight="1" x14ac:dyDescent="0.2">
      <c r="A43" s="3"/>
      <c r="B43" s="6"/>
      <c r="C43" s="6"/>
      <c r="D43" s="3"/>
      <c r="E43" s="3"/>
      <c r="F43" s="3"/>
      <c r="G43" s="3"/>
      <c r="H43" s="6"/>
      <c r="I43" s="6"/>
      <c r="J43" s="6"/>
      <c r="K43" s="6"/>
      <c r="L43" s="6"/>
      <c r="M43" s="6"/>
      <c r="N43" s="6"/>
      <c r="O43" s="6"/>
      <c r="P43" s="6"/>
      <c r="Q43" s="6"/>
      <c r="R43" s="6"/>
      <c r="S43" s="3"/>
    </row>
    <row r="44" spans="1:19" ht="18" customHeight="1" x14ac:dyDescent="0.2">
      <c r="A44" s="104" t="s">
        <v>114</v>
      </c>
      <c r="B44" s="104"/>
      <c r="C44" s="104"/>
      <c r="D44" s="104"/>
      <c r="E44" s="104"/>
      <c r="F44" s="104"/>
      <c r="G44" s="104"/>
      <c r="H44" s="104"/>
      <c r="I44" s="104"/>
      <c r="J44" s="104"/>
      <c r="K44" s="104"/>
      <c r="L44" s="104"/>
      <c r="M44" s="104"/>
      <c r="N44" s="104"/>
      <c r="O44" s="104"/>
      <c r="P44" s="104"/>
      <c r="Q44" s="104"/>
      <c r="R44" s="104"/>
      <c r="S44" s="104"/>
    </row>
    <row r="45" spans="1:19" ht="18" customHeight="1" x14ac:dyDescent="0.2">
      <c r="A45" s="104"/>
      <c r="B45" s="104"/>
      <c r="C45" s="104"/>
      <c r="D45" s="104"/>
      <c r="E45" s="104"/>
      <c r="F45" s="104"/>
      <c r="G45" s="104"/>
      <c r="H45" s="104"/>
      <c r="I45" s="104"/>
      <c r="J45" s="104"/>
      <c r="K45" s="104"/>
      <c r="L45" s="104"/>
      <c r="M45" s="104"/>
      <c r="N45" s="104"/>
      <c r="O45" s="104"/>
      <c r="P45" s="104"/>
      <c r="Q45" s="104"/>
      <c r="R45" s="104"/>
      <c r="S45" s="104"/>
    </row>
    <row r="46" spans="1:19" ht="18" customHeight="1" x14ac:dyDescent="0.2">
      <c r="B46" s="101" t="s">
        <v>54</v>
      </c>
      <c r="C46" s="102"/>
      <c r="D46" s="102"/>
      <c r="E46" s="103"/>
      <c r="F46" s="56" t="s">
        <v>79</v>
      </c>
      <c r="G46" s="55" t="s">
        <v>83</v>
      </c>
      <c r="H46" s="22" t="s">
        <v>72</v>
      </c>
      <c r="I46" s="22" t="s">
        <v>73</v>
      </c>
      <c r="J46" s="101" t="s">
        <v>54</v>
      </c>
      <c r="K46" s="102"/>
      <c r="L46" s="102"/>
      <c r="M46" s="102"/>
      <c r="N46" s="102"/>
      <c r="O46" s="103"/>
      <c r="P46" s="56" t="s">
        <v>79</v>
      </c>
      <c r="Q46" s="55" t="s">
        <v>83</v>
      </c>
      <c r="R46" s="22" t="s">
        <v>72</v>
      </c>
      <c r="S46" s="22" t="s">
        <v>73</v>
      </c>
    </row>
    <row r="47" spans="1:19" ht="18" customHeight="1" x14ac:dyDescent="0.2">
      <c r="A47" s="3"/>
      <c r="B47" s="107" t="s">
        <v>128</v>
      </c>
      <c r="C47" s="108"/>
      <c r="D47" s="108"/>
      <c r="E47" s="109"/>
      <c r="F47" s="23">
        <v>2</v>
      </c>
      <c r="G47" s="23" t="s">
        <v>129</v>
      </c>
      <c r="H47" s="23" t="s">
        <v>129</v>
      </c>
      <c r="I47" s="23" t="s">
        <v>129</v>
      </c>
      <c r="J47" s="107"/>
      <c r="K47" s="108"/>
      <c r="L47" s="108"/>
      <c r="M47" s="108"/>
      <c r="N47" s="108"/>
      <c r="O47" s="109"/>
      <c r="P47" s="23"/>
      <c r="Q47" s="23"/>
      <c r="R47" s="23"/>
      <c r="S47" s="23"/>
    </row>
    <row r="48" spans="1:19" ht="18" customHeight="1" x14ac:dyDescent="0.2">
      <c r="A48" s="3"/>
      <c r="B48" s="95"/>
      <c r="C48" s="96"/>
      <c r="D48" s="96"/>
      <c r="E48" s="97"/>
      <c r="F48" s="24"/>
      <c r="G48" s="24"/>
      <c r="H48" s="24"/>
      <c r="I48" s="24"/>
      <c r="J48" s="95"/>
      <c r="K48" s="96"/>
      <c r="L48" s="96"/>
      <c r="M48" s="96"/>
      <c r="N48" s="96"/>
      <c r="O48" s="97"/>
      <c r="P48" s="24"/>
      <c r="Q48" s="24"/>
      <c r="R48" s="24"/>
      <c r="S48" s="24"/>
    </row>
    <row r="49" spans="1:19" ht="18" customHeight="1" x14ac:dyDescent="0.2">
      <c r="A49" s="3"/>
      <c r="B49" s="95"/>
      <c r="C49" s="96"/>
      <c r="D49" s="96"/>
      <c r="E49" s="97"/>
      <c r="F49" s="24"/>
      <c r="G49" s="24"/>
      <c r="H49" s="24"/>
      <c r="I49" s="24"/>
      <c r="J49" s="95"/>
      <c r="K49" s="96"/>
      <c r="L49" s="96"/>
      <c r="M49" s="96"/>
      <c r="N49" s="96"/>
      <c r="O49" s="97"/>
      <c r="P49" s="24"/>
      <c r="Q49" s="24"/>
      <c r="R49" s="24"/>
      <c r="S49" s="24"/>
    </row>
    <row r="50" spans="1:19" ht="18" customHeight="1" x14ac:dyDescent="0.2">
      <c r="A50" s="3"/>
      <c r="B50" s="95"/>
      <c r="C50" s="96"/>
      <c r="D50" s="96"/>
      <c r="E50" s="97"/>
      <c r="F50" s="24"/>
      <c r="G50" s="24"/>
      <c r="H50" s="24"/>
      <c r="I50" s="24"/>
      <c r="J50" s="95"/>
      <c r="K50" s="96"/>
      <c r="L50" s="96"/>
      <c r="M50" s="96"/>
      <c r="N50" s="96"/>
      <c r="O50" s="97"/>
      <c r="P50" s="24"/>
      <c r="Q50" s="24"/>
      <c r="R50" s="24"/>
      <c r="S50" s="24"/>
    </row>
    <row r="51" spans="1:19" ht="18" customHeight="1" x14ac:dyDescent="0.2">
      <c r="A51" s="3"/>
      <c r="B51" s="95"/>
      <c r="C51" s="96"/>
      <c r="D51" s="96"/>
      <c r="E51" s="97"/>
      <c r="F51" s="24"/>
      <c r="G51" s="24"/>
      <c r="H51" s="24"/>
      <c r="I51" s="24"/>
      <c r="J51" s="95"/>
      <c r="K51" s="96"/>
      <c r="L51" s="96"/>
      <c r="M51" s="96"/>
      <c r="N51" s="96"/>
      <c r="O51" s="97"/>
      <c r="P51" s="24"/>
      <c r="Q51" s="24"/>
      <c r="R51" s="24"/>
      <c r="S51" s="24"/>
    </row>
    <row r="52" spans="1:19" ht="18" customHeight="1" x14ac:dyDescent="0.2">
      <c r="A52" s="3"/>
      <c r="B52" s="95"/>
      <c r="C52" s="96"/>
      <c r="D52" s="96"/>
      <c r="E52" s="97"/>
      <c r="F52" s="24"/>
      <c r="G52" s="24"/>
      <c r="H52" s="24"/>
      <c r="I52" s="24"/>
      <c r="J52" s="95"/>
      <c r="K52" s="96"/>
      <c r="L52" s="96"/>
      <c r="M52" s="96"/>
      <c r="N52" s="96"/>
      <c r="O52" s="97"/>
      <c r="P52" s="24"/>
      <c r="Q52" s="24"/>
      <c r="R52" s="24"/>
      <c r="S52" s="24"/>
    </row>
    <row r="53" spans="1:19" ht="18" customHeight="1" x14ac:dyDescent="0.2">
      <c r="A53" s="3"/>
      <c r="B53" s="98"/>
      <c r="C53" s="99"/>
      <c r="D53" s="99"/>
      <c r="E53" s="100"/>
      <c r="F53" s="25"/>
      <c r="G53" s="25"/>
      <c r="H53" s="26"/>
      <c r="I53" s="26"/>
      <c r="J53" s="98"/>
      <c r="K53" s="99"/>
      <c r="L53" s="99"/>
      <c r="M53" s="99"/>
      <c r="N53" s="99"/>
      <c r="O53" s="100"/>
      <c r="P53" s="25"/>
      <c r="Q53" s="25"/>
      <c r="R53" s="26"/>
      <c r="S53" s="26"/>
    </row>
    <row r="54" spans="1:19" ht="7.5" customHeight="1" x14ac:dyDescent="0.2">
      <c r="B54" s="15"/>
      <c r="C54" s="15"/>
      <c r="D54" s="15"/>
      <c r="E54" s="15"/>
      <c r="F54" s="15"/>
      <c r="G54" s="15"/>
      <c r="H54" s="15"/>
      <c r="I54" s="15"/>
      <c r="J54" s="15"/>
      <c r="K54" s="15"/>
      <c r="L54" s="15"/>
      <c r="M54" s="15"/>
      <c r="N54" s="15"/>
      <c r="O54" s="15"/>
      <c r="P54" s="15"/>
      <c r="Q54" s="15"/>
      <c r="R54" s="15"/>
    </row>
    <row r="55" spans="1:19" ht="18" customHeight="1" x14ac:dyDescent="0.2">
      <c r="A55" s="104" t="s">
        <v>115</v>
      </c>
      <c r="B55" s="104"/>
      <c r="C55" s="104"/>
      <c r="D55" s="104"/>
      <c r="E55" s="104"/>
      <c r="F55" s="104"/>
      <c r="G55" s="104"/>
      <c r="H55" s="104"/>
      <c r="I55" s="104"/>
      <c r="J55" s="104"/>
      <c r="K55" s="104"/>
      <c r="L55" s="104"/>
      <c r="M55" s="104"/>
      <c r="N55" s="104"/>
      <c r="O55" s="104"/>
      <c r="P55" s="104"/>
      <c r="Q55" s="104"/>
      <c r="R55" s="104"/>
      <c r="S55" s="104"/>
    </row>
    <row r="56" spans="1:19" ht="18" customHeight="1" x14ac:dyDescent="0.2">
      <c r="A56" s="104"/>
      <c r="B56" s="104"/>
      <c r="C56" s="104"/>
      <c r="D56" s="104"/>
      <c r="E56" s="104"/>
      <c r="F56" s="104"/>
      <c r="G56" s="104"/>
      <c r="H56" s="104"/>
      <c r="I56" s="104"/>
      <c r="J56" s="104"/>
      <c r="K56" s="104"/>
      <c r="L56" s="104"/>
      <c r="M56" s="104"/>
      <c r="N56" s="104"/>
      <c r="O56" s="104"/>
      <c r="P56" s="104"/>
      <c r="Q56" s="104"/>
      <c r="R56" s="104"/>
      <c r="S56" s="104"/>
    </row>
    <row r="57" spans="1:19" ht="18" customHeight="1" x14ac:dyDescent="0.2">
      <c r="B57" s="101" t="s">
        <v>54</v>
      </c>
      <c r="C57" s="102"/>
      <c r="D57" s="102"/>
      <c r="E57" s="103"/>
      <c r="F57" s="56" t="s">
        <v>79</v>
      </c>
      <c r="G57" s="55" t="s">
        <v>83</v>
      </c>
      <c r="H57" s="22" t="s">
        <v>59</v>
      </c>
      <c r="I57" s="22" t="s">
        <v>61</v>
      </c>
      <c r="J57" s="101" t="s">
        <v>54</v>
      </c>
      <c r="K57" s="102"/>
      <c r="L57" s="102"/>
      <c r="M57" s="102"/>
      <c r="N57" s="102"/>
      <c r="O57" s="103"/>
      <c r="P57" s="56" t="s">
        <v>79</v>
      </c>
      <c r="Q57" s="55" t="s">
        <v>83</v>
      </c>
      <c r="R57" s="22" t="s">
        <v>59</v>
      </c>
      <c r="S57" s="22" t="s">
        <v>61</v>
      </c>
    </row>
    <row r="58" spans="1:19" ht="18" customHeight="1" x14ac:dyDescent="0.2">
      <c r="A58" s="3"/>
      <c r="B58" s="110" t="s">
        <v>130</v>
      </c>
      <c r="C58" s="111"/>
      <c r="D58" s="111"/>
      <c r="E58" s="112"/>
      <c r="F58" s="86">
        <v>1</v>
      </c>
      <c r="G58" s="86" t="s">
        <v>129</v>
      </c>
      <c r="H58" s="86" t="s">
        <v>129</v>
      </c>
      <c r="I58" s="86" t="s">
        <v>129</v>
      </c>
      <c r="J58" s="107"/>
      <c r="K58" s="108"/>
      <c r="L58" s="108"/>
      <c r="M58" s="108"/>
      <c r="N58" s="108"/>
      <c r="O58" s="109"/>
      <c r="P58" s="23"/>
      <c r="Q58" s="23"/>
      <c r="R58" s="23"/>
      <c r="S58" s="23"/>
    </row>
    <row r="59" spans="1:19" ht="18" customHeight="1" x14ac:dyDescent="0.2">
      <c r="A59" s="3"/>
      <c r="B59" s="95"/>
      <c r="C59" s="96"/>
      <c r="D59" s="96"/>
      <c r="E59" s="97"/>
      <c r="F59" s="24"/>
      <c r="G59" s="24"/>
      <c r="H59" s="24"/>
      <c r="I59" s="24"/>
      <c r="J59" s="95"/>
      <c r="K59" s="96"/>
      <c r="L59" s="96"/>
      <c r="M59" s="96"/>
      <c r="N59" s="96"/>
      <c r="O59" s="97"/>
      <c r="P59" s="24"/>
      <c r="Q59" s="24"/>
      <c r="R59" s="24"/>
      <c r="S59" s="24"/>
    </row>
    <row r="60" spans="1:19" ht="18" customHeight="1" x14ac:dyDescent="0.2">
      <c r="A60" s="3"/>
      <c r="B60" s="95"/>
      <c r="C60" s="96"/>
      <c r="D60" s="96"/>
      <c r="E60" s="97"/>
      <c r="F60" s="24"/>
      <c r="G60" s="24"/>
      <c r="H60" s="24"/>
      <c r="I60" s="24"/>
      <c r="J60" s="95"/>
      <c r="K60" s="96"/>
      <c r="L60" s="96"/>
      <c r="M60" s="96"/>
      <c r="N60" s="96"/>
      <c r="O60" s="97"/>
      <c r="P60" s="24"/>
      <c r="Q60" s="24"/>
      <c r="R60" s="24"/>
      <c r="S60" s="24"/>
    </row>
    <row r="61" spans="1:19" ht="18" customHeight="1" x14ac:dyDescent="0.2">
      <c r="A61" s="3"/>
      <c r="B61" s="95"/>
      <c r="C61" s="96"/>
      <c r="D61" s="96"/>
      <c r="E61" s="97"/>
      <c r="F61" s="24"/>
      <c r="G61" s="24"/>
      <c r="H61" s="24"/>
      <c r="I61" s="24"/>
      <c r="J61" s="95"/>
      <c r="K61" s="96"/>
      <c r="L61" s="96"/>
      <c r="M61" s="96"/>
      <c r="N61" s="96"/>
      <c r="O61" s="97"/>
      <c r="P61" s="24"/>
      <c r="Q61" s="24"/>
      <c r="R61" s="24"/>
      <c r="S61" s="24"/>
    </row>
    <row r="62" spans="1:19" ht="18" customHeight="1" x14ac:dyDescent="0.2">
      <c r="A62" s="3"/>
      <c r="B62" s="95"/>
      <c r="C62" s="96"/>
      <c r="D62" s="96"/>
      <c r="E62" s="97"/>
      <c r="F62" s="24"/>
      <c r="G62" s="24"/>
      <c r="H62" s="24"/>
      <c r="I62" s="24"/>
      <c r="J62" s="95"/>
      <c r="K62" s="96"/>
      <c r="L62" s="96"/>
      <c r="M62" s="96"/>
      <c r="N62" s="96"/>
      <c r="O62" s="97"/>
      <c r="P62" s="24"/>
      <c r="Q62" s="24"/>
      <c r="R62" s="24"/>
      <c r="S62" s="24"/>
    </row>
    <row r="63" spans="1:19" ht="18" customHeight="1" x14ac:dyDescent="0.2">
      <c r="A63" s="3"/>
      <c r="B63" s="95"/>
      <c r="C63" s="96"/>
      <c r="D63" s="96"/>
      <c r="E63" s="97"/>
      <c r="F63" s="24"/>
      <c r="G63" s="24"/>
      <c r="H63" s="24"/>
      <c r="I63" s="24"/>
      <c r="J63" s="95"/>
      <c r="K63" s="96"/>
      <c r="L63" s="96"/>
      <c r="M63" s="96"/>
      <c r="N63" s="96"/>
      <c r="O63" s="97"/>
      <c r="P63" s="24"/>
      <c r="Q63" s="24"/>
      <c r="R63" s="24"/>
      <c r="S63" s="24"/>
    </row>
    <row r="64" spans="1:19" ht="18" customHeight="1" x14ac:dyDescent="0.2">
      <c r="A64" s="3"/>
      <c r="B64" s="98"/>
      <c r="C64" s="99"/>
      <c r="D64" s="99"/>
      <c r="E64" s="100"/>
      <c r="F64" s="25"/>
      <c r="G64" s="25"/>
      <c r="H64" s="26"/>
      <c r="I64" s="26"/>
      <c r="J64" s="98"/>
      <c r="K64" s="99"/>
      <c r="L64" s="99"/>
      <c r="M64" s="99"/>
      <c r="N64" s="99"/>
      <c r="O64" s="100"/>
      <c r="P64" s="25"/>
      <c r="Q64" s="25"/>
      <c r="R64" s="26"/>
      <c r="S64" s="26"/>
    </row>
    <row r="65" spans="1:19" ht="7.5" customHeight="1" x14ac:dyDescent="0.2">
      <c r="B65" s="15"/>
      <c r="C65" s="15"/>
      <c r="D65" s="15"/>
      <c r="E65" s="15"/>
      <c r="F65" s="15"/>
      <c r="G65" s="15"/>
      <c r="H65" s="15"/>
      <c r="I65" s="15"/>
      <c r="J65" s="15"/>
      <c r="K65" s="15"/>
      <c r="L65" s="15"/>
      <c r="M65" s="15"/>
      <c r="N65" s="15"/>
      <c r="O65" s="15"/>
      <c r="P65" s="15"/>
      <c r="Q65" s="15"/>
      <c r="R65" s="15"/>
    </row>
    <row r="66" spans="1:19" ht="18" customHeight="1" x14ac:dyDescent="0.2">
      <c r="A66" s="104" t="s">
        <v>116</v>
      </c>
      <c r="B66" s="104"/>
      <c r="C66" s="104"/>
      <c r="D66" s="104"/>
      <c r="E66" s="104"/>
      <c r="F66" s="104"/>
      <c r="G66" s="104"/>
      <c r="H66" s="104"/>
      <c r="I66" s="104"/>
      <c r="J66" s="104"/>
      <c r="K66" s="104"/>
      <c r="L66" s="104"/>
      <c r="M66" s="104"/>
      <c r="N66" s="104"/>
      <c r="O66" s="104"/>
      <c r="P66" s="104"/>
      <c r="Q66" s="104"/>
      <c r="R66" s="104"/>
      <c r="S66" s="104"/>
    </row>
    <row r="67" spans="1:19" ht="18" customHeight="1" x14ac:dyDescent="0.2">
      <c r="A67" s="104"/>
      <c r="B67" s="104"/>
      <c r="C67" s="104"/>
      <c r="D67" s="104"/>
      <c r="E67" s="104"/>
      <c r="F67" s="104"/>
      <c r="G67" s="104"/>
      <c r="H67" s="104"/>
      <c r="I67" s="104"/>
      <c r="J67" s="104"/>
      <c r="K67" s="104"/>
      <c r="L67" s="104"/>
      <c r="M67" s="104"/>
      <c r="N67" s="104"/>
      <c r="O67" s="104"/>
      <c r="P67" s="104"/>
      <c r="Q67" s="104"/>
      <c r="R67" s="104"/>
      <c r="S67" s="104"/>
    </row>
    <row r="68" spans="1:19" ht="18" customHeight="1" x14ac:dyDescent="0.2">
      <c r="B68" s="101" t="s">
        <v>54</v>
      </c>
      <c r="C68" s="102"/>
      <c r="D68" s="102"/>
      <c r="E68" s="56" t="s">
        <v>79</v>
      </c>
      <c r="F68" s="55" t="s">
        <v>83</v>
      </c>
      <c r="G68" s="22" t="s">
        <v>100</v>
      </c>
      <c r="H68" s="22" t="s">
        <v>74</v>
      </c>
      <c r="I68" s="22" t="s">
        <v>75</v>
      </c>
      <c r="J68" s="101" t="s">
        <v>54</v>
      </c>
      <c r="K68" s="102"/>
      <c r="L68" s="102"/>
      <c r="M68" s="102"/>
      <c r="N68" s="103"/>
      <c r="O68" s="56" t="s">
        <v>79</v>
      </c>
      <c r="P68" s="55" t="s">
        <v>83</v>
      </c>
      <c r="Q68" s="22" t="s">
        <v>100</v>
      </c>
      <c r="R68" s="22" t="s">
        <v>74</v>
      </c>
      <c r="S68" s="22" t="s">
        <v>75</v>
      </c>
    </row>
    <row r="69" spans="1:19" ht="18" customHeight="1" x14ac:dyDescent="0.2">
      <c r="A69" s="3"/>
      <c r="B69" s="95" t="s">
        <v>131</v>
      </c>
      <c r="C69" s="96"/>
      <c r="D69" s="96"/>
      <c r="E69" s="24">
        <v>1</v>
      </c>
      <c r="F69" s="24" t="s">
        <v>129</v>
      </c>
      <c r="G69" s="24" t="s">
        <v>129</v>
      </c>
      <c r="H69" s="24" t="s">
        <v>129</v>
      </c>
      <c r="I69" s="24" t="s">
        <v>129</v>
      </c>
      <c r="J69" s="95"/>
      <c r="K69" s="96"/>
      <c r="L69" s="96"/>
      <c r="M69" s="96"/>
      <c r="N69" s="97"/>
      <c r="O69" s="23"/>
      <c r="P69" s="23"/>
      <c r="Q69" s="23"/>
      <c r="R69" s="23"/>
      <c r="S69" s="23"/>
    </row>
    <row r="70" spans="1:19" ht="18" customHeight="1" x14ac:dyDescent="0.2">
      <c r="A70" s="3"/>
      <c r="B70" s="95"/>
      <c r="C70" s="96"/>
      <c r="D70" s="96"/>
      <c r="E70" s="24"/>
      <c r="F70" s="24"/>
      <c r="G70" s="24"/>
      <c r="H70" s="24"/>
      <c r="I70" s="24"/>
      <c r="J70" s="95"/>
      <c r="K70" s="96"/>
      <c r="L70" s="96"/>
      <c r="M70" s="96"/>
      <c r="N70" s="97"/>
      <c r="O70" s="24"/>
      <c r="P70" s="24"/>
      <c r="Q70" s="24"/>
      <c r="R70" s="24"/>
      <c r="S70" s="24"/>
    </row>
    <row r="71" spans="1:19" ht="18" customHeight="1" x14ac:dyDescent="0.2">
      <c r="A71" s="3"/>
      <c r="B71" s="95"/>
      <c r="C71" s="96"/>
      <c r="D71" s="96"/>
      <c r="E71" s="24"/>
      <c r="F71" s="24"/>
      <c r="G71" s="24"/>
      <c r="H71" s="24"/>
      <c r="I71" s="24"/>
      <c r="J71" s="95"/>
      <c r="K71" s="96"/>
      <c r="L71" s="96"/>
      <c r="M71" s="96"/>
      <c r="N71" s="97"/>
      <c r="O71" s="24"/>
      <c r="P71" s="24"/>
      <c r="Q71" s="24"/>
      <c r="R71" s="24"/>
      <c r="S71" s="24"/>
    </row>
    <row r="72" spans="1:19" ht="18" customHeight="1" x14ac:dyDescent="0.2">
      <c r="A72" s="3"/>
      <c r="B72" s="95"/>
      <c r="C72" s="96"/>
      <c r="D72" s="96"/>
      <c r="E72" s="24"/>
      <c r="F72" s="24"/>
      <c r="G72" s="24"/>
      <c r="H72" s="24"/>
      <c r="I72" s="24"/>
      <c r="J72" s="95"/>
      <c r="K72" s="96"/>
      <c r="L72" s="96"/>
      <c r="M72" s="96"/>
      <c r="N72" s="97"/>
      <c r="O72" s="24"/>
      <c r="P72" s="24"/>
      <c r="Q72" s="24"/>
      <c r="R72" s="24"/>
      <c r="S72" s="24"/>
    </row>
    <row r="73" spans="1:19" ht="18" customHeight="1" x14ac:dyDescent="0.2">
      <c r="A73" s="3"/>
      <c r="B73" s="95"/>
      <c r="C73" s="96"/>
      <c r="D73" s="96"/>
      <c r="E73" s="24"/>
      <c r="F73" s="24"/>
      <c r="G73" s="24"/>
      <c r="H73" s="24"/>
      <c r="I73" s="24"/>
      <c r="J73" s="95"/>
      <c r="K73" s="96"/>
      <c r="L73" s="96"/>
      <c r="M73" s="96"/>
      <c r="N73" s="97"/>
      <c r="O73" s="24"/>
      <c r="P73" s="24"/>
      <c r="Q73" s="24"/>
      <c r="R73" s="24"/>
      <c r="S73" s="24"/>
    </row>
    <row r="74" spans="1:19" ht="18" customHeight="1" x14ac:dyDescent="0.2">
      <c r="A74" s="3"/>
      <c r="B74" s="95"/>
      <c r="C74" s="96"/>
      <c r="D74" s="96"/>
      <c r="E74" s="24"/>
      <c r="F74" s="24"/>
      <c r="G74" s="24"/>
      <c r="H74" s="24"/>
      <c r="I74" s="24"/>
      <c r="J74" s="95"/>
      <c r="K74" s="96"/>
      <c r="L74" s="96"/>
      <c r="M74" s="96"/>
      <c r="N74" s="97"/>
      <c r="O74" s="24"/>
      <c r="P74" s="24"/>
      <c r="Q74" s="24"/>
      <c r="R74" s="24"/>
      <c r="S74" s="24"/>
    </row>
    <row r="75" spans="1:19" ht="18" customHeight="1" x14ac:dyDescent="0.2">
      <c r="A75" s="3"/>
      <c r="B75" s="98"/>
      <c r="C75" s="99"/>
      <c r="D75" s="99"/>
      <c r="E75" s="25"/>
      <c r="F75" s="25"/>
      <c r="G75" s="26"/>
      <c r="H75" s="26"/>
      <c r="I75" s="26"/>
      <c r="J75" s="98"/>
      <c r="K75" s="99"/>
      <c r="L75" s="99"/>
      <c r="M75" s="99"/>
      <c r="N75" s="100"/>
      <c r="O75" s="25"/>
      <c r="P75" s="25"/>
      <c r="Q75" s="26"/>
      <c r="R75" s="26"/>
      <c r="S75" s="26"/>
    </row>
    <row r="76" spans="1:19" ht="7.5" customHeight="1" x14ac:dyDescent="0.2">
      <c r="B76" s="15"/>
      <c r="C76" s="15"/>
      <c r="D76" s="15"/>
      <c r="E76" s="15"/>
      <c r="F76" s="15"/>
      <c r="G76" s="15"/>
      <c r="H76" s="15"/>
      <c r="I76" s="15"/>
      <c r="J76" s="15"/>
      <c r="K76" s="15"/>
      <c r="L76" s="15"/>
      <c r="M76" s="15"/>
      <c r="N76" s="15"/>
      <c r="O76" s="15"/>
      <c r="P76" s="15"/>
      <c r="Q76" s="15"/>
      <c r="R76" s="15"/>
    </row>
    <row r="77" spans="1:19" ht="18" customHeight="1" x14ac:dyDescent="0.2">
      <c r="A77" s="1" t="s">
        <v>117</v>
      </c>
      <c r="H77" s="3"/>
      <c r="I77" s="3"/>
      <c r="J77" s="3"/>
      <c r="K77" s="3"/>
      <c r="L77" s="3"/>
      <c r="M77" s="3"/>
      <c r="N77" s="3"/>
      <c r="O77" s="3"/>
      <c r="P77" s="3"/>
      <c r="Q77" s="3"/>
      <c r="R77" s="3"/>
      <c r="S77" s="3"/>
    </row>
    <row r="78" spans="1:19" ht="18" customHeight="1" x14ac:dyDescent="0.2">
      <c r="B78" s="101" t="s">
        <v>54</v>
      </c>
      <c r="C78" s="102"/>
      <c r="D78" s="102"/>
      <c r="E78" s="103"/>
      <c r="F78" s="101" t="s">
        <v>81</v>
      </c>
      <c r="G78" s="102"/>
      <c r="H78" s="102"/>
      <c r="I78" s="103"/>
      <c r="J78" s="155" t="s">
        <v>54</v>
      </c>
      <c r="K78" s="156"/>
      <c r="L78" s="156"/>
      <c r="M78" s="156"/>
      <c r="N78" s="156"/>
      <c r="O78" s="157"/>
      <c r="P78" s="101" t="s">
        <v>81</v>
      </c>
      <c r="Q78" s="102"/>
      <c r="R78" s="102"/>
      <c r="S78" s="103"/>
    </row>
    <row r="79" spans="1:19" ht="18" customHeight="1" x14ac:dyDescent="0.2">
      <c r="A79" s="3"/>
      <c r="B79" s="107" t="s">
        <v>133</v>
      </c>
      <c r="C79" s="108"/>
      <c r="D79" s="108"/>
      <c r="E79" s="109"/>
      <c r="F79" s="170" t="s">
        <v>134</v>
      </c>
      <c r="G79" s="171"/>
      <c r="H79" s="171"/>
      <c r="I79" s="172"/>
      <c r="J79" s="107"/>
      <c r="K79" s="108"/>
      <c r="L79" s="108"/>
      <c r="M79" s="108"/>
      <c r="N79" s="108"/>
      <c r="O79" s="109"/>
      <c r="P79" s="170"/>
      <c r="Q79" s="171"/>
      <c r="R79" s="171"/>
      <c r="S79" s="172"/>
    </row>
    <row r="80" spans="1:19" ht="18" customHeight="1" x14ac:dyDescent="0.2">
      <c r="A80" s="3"/>
      <c r="B80" s="95" t="s">
        <v>128</v>
      </c>
      <c r="C80" s="96"/>
      <c r="D80" s="96"/>
      <c r="E80" s="97"/>
      <c r="F80" s="136" t="s">
        <v>135</v>
      </c>
      <c r="G80" s="137"/>
      <c r="H80" s="137"/>
      <c r="I80" s="138"/>
      <c r="J80" s="95"/>
      <c r="K80" s="96"/>
      <c r="L80" s="96"/>
      <c r="M80" s="96"/>
      <c r="N80" s="96"/>
      <c r="O80" s="97"/>
      <c r="P80" s="136"/>
      <c r="Q80" s="137"/>
      <c r="R80" s="137"/>
      <c r="S80" s="138"/>
    </row>
    <row r="81" spans="1:19" ht="18" customHeight="1" x14ac:dyDescent="0.2">
      <c r="A81" s="3"/>
      <c r="B81" s="110" t="s">
        <v>128</v>
      </c>
      <c r="C81" s="111"/>
      <c r="D81" s="111"/>
      <c r="E81" s="112"/>
      <c r="F81" s="136" t="s">
        <v>136</v>
      </c>
      <c r="G81" s="137"/>
      <c r="H81" s="137"/>
      <c r="I81" s="138"/>
      <c r="J81" s="95"/>
      <c r="K81" s="96"/>
      <c r="L81" s="96"/>
      <c r="M81" s="96"/>
      <c r="N81" s="96"/>
      <c r="O81" s="97"/>
      <c r="P81" s="136"/>
      <c r="Q81" s="137"/>
      <c r="R81" s="137"/>
      <c r="S81" s="138"/>
    </row>
    <row r="82" spans="1:19" ht="18" customHeight="1" x14ac:dyDescent="0.2">
      <c r="A82" s="3"/>
      <c r="B82" s="95"/>
      <c r="C82" s="96"/>
      <c r="D82" s="96"/>
      <c r="E82" s="97"/>
      <c r="F82" s="136"/>
      <c r="G82" s="137"/>
      <c r="H82" s="137"/>
      <c r="I82" s="138"/>
      <c r="J82" s="95"/>
      <c r="K82" s="96"/>
      <c r="L82" s="96"/>
      <c r="M82" s="96"/>
      <c r="N82" s="96"/>
      <c r="O82" s="97"/>
      <c r="P82" s="136"/>
      <c r="Q82" s="137"/>
      <c r="R82" s="137"/>
      <c r="S82" s="138"/>
    </row>
    <row r="83" spans="1:19" ht="18" customHeight="1" x14ac:dyDescent="0.2">
      <c r="A83" s="3"/>
      <c r="B83" s="139"/>
      <c r="C83" s="140"/>
      <c r="D83" s="140"/>
      <c r="E83" s="141"/>
      <c r="F83" s="136"/>
      <c r="G83" s="137"/>
      <c r="H83" s="137"/>
      <c r="I83" s="138"/>
      <c r="J83" s="95"/>
      <c r="K83" s="96"/>
      <c r="L83" s="96"/>
      <c r="M83" s="96"/>
      <c r="N83" s="96"/>
      <c r="O83" s="97"/>
      <c r="P83" s="136"/>
      <c r="Q83" s="137"/>
      <c r="R83" s="137"/>
      <c r="S83" s="138"/>
    </row>
    <row r="84" spans="1:19" ht="18" customHeight="1" x14ac:dyDescent="0.2">
      <c r="A84" s="3"/>
      <c r="B84" s="95"/>
      <c r="C84" s="96"/>
      <c r="D84" s="96"/>
      <c r="E84" s="97"/>
      <c r="F84" s="136"/>
      <c r="G84" s="137"/>
      <c r="H84" s="137"/>
      <c r="I84" s="138"/>
      <c r="J84" s="95"/>
      <c r="K84" s="96"/>
      <c r="L84" s="96"/>
      <c r="M84" s="96"/>
      <c r="N84" s="96"/>
      <c r="O84" s="97"/>
      <c r="P84" s="136"/>
      <c r="Q84" s="137"/>
      <c r="R84" s="137"/>
      <c r="S84" s="138"/>
    </row>
    <row r="85" spans="1:19" ht="18" customHeight="1" x14ac:dyDescent="0.2">
      <c r="A85" s="3"/>
      <c r="B85" s="98"/>
      <c r="C85" s="99"/>
      <c r="D85" s="99"/>
      <c r="E85" s="100"/>
      <c r="F85" s="133"/>
      <c r="G85" s="134"/>
      <c r="H85" s="134"/>
      <c r="I85" s="135"/>
      <c r="J85" s="98"/>
      <c r="K85" s="99"/>
      <c r="L85" s="99"/>
      <c r="M85" s="99"/>
      <c r="N85" s="99"/>
      <c r="O85" s="100"/>
      <c r="P85" s="133"/>
      <c r="Q85" s="134"/>
      <c r="R85" s="134"/>
      <c r="S85" s="135"/>
    </row>
    <row r="86" spans="1:19" ht="18" customHeight="1" x14ac:dyDescent="0.2">
      <c r="A86" s="3"/>
      <c r="B86" s="6"/>
      <c r="C86" s="6"/>
      <c r="D86" s="6"/>
      <c r="E86" s="6"/>
      <c r="F86" s="27"/>
      <c r="G86" s="27"/>
      <c r="H86" s="27"/>
      <c r="I86" s="27"/>
      <c r="J86" s="6"/>
      <c r="K86" s="6"/>
      <c r="L86" s="6"/>
      <c r="M86" s="6"/>
      <c r="N86" s="6"/>
      <c r="O86" s="6"/>
      <c r="P86" s="27"/>
      <c r="Q86" s="27"/>
      <c r="R86" s="27"/>
      <c r="S86" s="27"/>
    </row>
    <row r="87" spans="1:19" ht="18.75" customHeight="1" x14ac:dyDescent="0.2">
      <c r="A87" s="1" t="s">
        <v>118</v>
      </c>
    </row>
    <row r="88" spans="1:19" ht="18.75" customHeight="1" x14ac:dyDescent="0.2">
      <c r="B88" s="167" t="s">
        <v>55</v>
      </c>
      <c r="C88" s="168"/>
      <c r="D88" s="102" t="s">
        <v>56</v>
      </c>
      <c r="E88" s="102"/>
      <c r="F88" s="102"/>
      <c r="G88" s="102"/>
      <c r="H88" s="102"/>
      <c r="I88" s="102"/>
      <c r="J88" s="102"/>
      <c r="K88" s="102"/>
      <c r="L88" s="102"/>
      <c r="M88" s="102"/>
      <c r="N88" s="102"/>
      <c r="O88" s="102"/>
      <c r="P88" s="102"/>
      <c r="Q88" s="102"/>
      <c r="R88" s="102"/>
      <c r="S88" s="103"/>
    </row>
    <row r="89" spans="1:19" ht="97.5" customHeight="1" x14ac:dyDescent="0.2">
      <c r="B89" s="158" t="s">
        <v>62</v>
      </c>
      <c r="C89" s="28" t="s">
        <v>57</v>
      </c>
      <c r="D89" s="164" t="s">
        <v>170</v>
      </c>
      <c r="E89" s="164"/>
      <c r="F89" s="164"/>
      <c r="G89" s="164"/>
      <c r="H89" s="164"/>
      <c r="I89" s="164"/>
      <c r="J89" s="164"/>
      <c r="K89" s="164"/>
      <c r="L89" s="164"/>
      <c r="M89" s="164"/>
      <c r="N89" s="164"/>
      <c r="O89" s="164"/>
      <c r="P89" s="164"/>
      <c r="Q89" s="164"/>
      <c r="R89" s="164"/>
      <c r="S89" s="169"/>
    </row>
    <row r="90" spans="1:19" ht="97.5" customHeight="1" x14ac:dyDescent="0.2">
      <c r="B90" s="160"/>
      <c r="C90" s="29" t="s">
        <v>76</v>
      </c>
      <c r="D90" s="142" t="s">
        <v>171</v>
      </c>
      <c r="E90" s="142"/>
      <c r="F90" s="142"/>
      <c r="G90" s="142"/>
      <c r="H90" s="142"/>
      <c r="I90" s="142"/>
      <c r="J90" s="142"/>
      <c r="K90" s="142"/>
      <c r="L90" s="142"/>
      <c r="M90" s="142"/>
      <c r="N90" s="142"/>
      <c r="O90" s="142"/>
      <c r="P90" s="142"/>
      <c r="Q90" s="142"/>
      <c r="R90" s="142"/>
      <c r="S90" s="143"/>
    </row>
    <row r="91" spans="1:19" ht="97.5" customHeight="1" x14ac:dyDescent="0.2">
      <c r="B91" s="158" t="s">
        <v>63</v>
      </c>
      <c r="C91" s="30" t="s">
        <v>70</v>
      </c>
      <c r="D91" s="144" t="s">
        <v>172</v>
      </c>
      <c r="E91" s="144"/>
      <c r="F91" s="144"/>
      <c r="G91" s="144"/>
      <c r="H91" s="144"/>
      <c r="I91" s="144"/>
      <c r="J91" s="144"/>
      <c r="K91" s="144"/>
      <c r="L91" s="144"/>
      <c r="M91" s="144"/>
      <c r="N91" s="144"/>
      <c r="O91" s="144"/>
      <c r="P91" s="144"/>
      <c r="Q91" s="144"/>
      <c r="R91" s="144"/>
      <c r="S91" s="145"/>
    </row>
    <row r="92" spans="1:19" ht="97.5" customHeight="1" x14ac:dyDescent="0.2">
      <c r="B92" s="159"/>
      <c r="C92" s="31" t="s">
        <v>71</v>
      </c>
      <c r="D92" s="148" t="s">
        <v>173</v>
      </c>
      <c r="E92" s="148"/>
      <c r="F92" s="148"/>
      <c r="G92" s="148"/>
      <c r="H92" s="148"/>
      <c r="I92" s="148"/>
      <c r="J92" s="148"/>
      <c r="K92" s="148"/>
      <c r="L92" s="148"/>
      <c r="M92" s="148"/>
      <c r="N92" s="148"/>
      <c r="O92" s="148"/>
      <c r="P92" s="148"/>
      <c r="Q92" s="148"/>
      <c r="R92" s="148"/>
      <c r="S92" s="149"/>
    </row>
    <row r="93" spans="1:19" ht="97.5" customHeight="1" x14ac:dyDescent="0.2">
      <c r="B93" s="158" t="s">
        <v>64</v>
      </c>
      <c r="C93" s="30" t="s">
        <v>72</v>
      </c>
      <c r="D93" s="144" t="s">
        <v>174</v>
      </c>
      <c r="E93" s="144"/>
      <c r="F93" s="144"/>
      <c r="G93" s="144"/>
      <c r="H93" s="144"/>
      <c r="I93" s="144"/>
      <c r="J93" s="144"/>
      <c r="K93" s="144"/>
      <c r="L93" s="144"/>
      <c r="M93" s="144"/>
      <c r="N93" s="144"/>
      <c r="O93" s="144"/>
      <c r="P93" s="144"/>
      <c r="Q93" s="144"/>
      <c r="R93" s="144"/>
      <c r="S93" s="145"/>
    </row>
    <row r="94" spans="1:19" ht="97.5" customHeight="1" x14ac:dyDescent="0.2">
      <c r="B94" s="159"/>
      <c r="C94" s="32" t="s">
        <v>73</v>
      </c>
      <c r="D94" s="146" t="s">
        <v>175</v>
      </c>
      <c r="E94" s="146"/>
      <c r="F94" s="146"/>
      <c r="G94" s="146"/>
      <c r="H94" s="146"/>
      <c r="I94" s="146"/>
      <c r="J94" s="146"/>
      <c r="K94" s="146"/>
      <c r="L94" s="146"/>
      <c r="M94" s="146"/>
      <c r="N94" s="146"/>
      <c r="O94" s="146"/>
      <c r="P94" s="146"/>
      <c r="Q94" s="146"/>
      <c r="R94" s="146"/>
      <c r="S94" s="147"/>
    </row>
    <row r="95" spans="1:19" ht="97.5" customHeight="1" x14ac:dyDescent="0.2">
      <c r="B95" s="158" t="s">
        <v>77</v>
      </c>
      <c r="C95" s="28" t="s">
        <v>59</v>
      </c>
      <c r="D95" s="164" t="s">
        <v>178</v>
      </c>
      <c r="E95" s="165"/>
      <c r="F95" s="165"/>
      <c r="G95" s="165"/>
      <c r="H95" s="165"/>
      <c r="I95" s="165"/>
      <c r="J95" s="165"/>
      <c r="K95" s="165"/>
      <c r="L95" s="165"/>
      <c r="M95" s="165"/>
      <c r="N95" s="165"/>
      <c r="O95" s="165"/>
      <c r="P95" s="165"/>
      <c r="Q95" s="165"/>
      <c r="R95" s="165"/>
      <c r="S95" s="166"/>
    </row>
    <row r="96" spans="1:19" ht="97.5" customHeight="1" x14ac:dyDescent="0.2">
      <c r="B96" s="159"/>
      <c r="C96" s="31" t="s">
        <v>61</v>
      </c>
      <c r="D96" s="148" t="s">
        <v>176</v>
      </c>
      <c r="E96" s="150"/>
      <c r="F96" s="150"/>
      <c r="G96" s="150"/>
      <c r="H96" s="150"/>
      <c r="I96" s="150"/>
      <c r="J96" s="150"/>
      <c r="K96" s="150"/>
      <c r="L96" s="150"/>
      <c r="M96" s="150"/>
      <c r="N96" s="150"/>
      <c r="O96" s="150"/>
      <c r="P96" s="150"/>
      <c r="Q96" s="150"/>
      <c r="R96" s="150"/>
      <c r="S96" s="151"/>
    </row>
    <row r="97" spans="1:19" ht="97.5" customHeight="1" x14ac:dyDescent="0.2">
      <c r="B97" s="158" t="s">
        <v>78</v>
      </c>
      <c r="C97" s="30" t="s">
        <v>58</v>
      </c>
      <c r="D97" s="161" t="s">
        <v>177</v>
      </c>
      <c r="E97" s="108"/>
      <c r="F97" s="108"/>
      <c r="G97" s="108"/>
      <c r="H97" s="108"/>
      <c r="I97" s="108"/>
      <c r="J97" s="108"/>
      <c r="K97" s="108"/>
      <c r="L97" s="108"/>
      <c r="M97" s="108"/>
      <c r="N97" s="108"/>
      <c r="O97" s="108"/>
      <c r="P97" s="108"/>
      <c r="Q97" s="108"/>
      <c r="R97" s="108"/>
      <c r="S97" s="109"/>
    </row>
    <row r="98" spans="1:19" ht="97.5" customHeight="1" x14ac:dyDescent="0.2">
      <c r="B98" s="160"/>
      <c r="C98" s="33" t="s">
        <v>74</v>
      </c>
      <c r="D98" s="152" t="s">
        <v>179</v>
      </c>
      <c r="E98" s="153"/>
      <c r="F98" s="153"/>
      <c r="G98" s="153"/>
      <c r="H98" s="153"/>
      <c r="I98" s="153"/>
      <c r="J98" s="153"/>
      <c r="K98" s="153"/>
      <c r="L98" s="153"/>
      <c r="M98" s="153"/>
      <c r="N98" s="153"/>
      <c r="O98" s="153"/>
      <c r="P98" s="153"/>
      <c r="Q98" s="153"/>
      <c r="R98" s="153"/>
      <c r="S98" s="154"/>
    </row>
    <row r="99" spans="1:19" ht="97.5" customHeight="1" x14ac:dyDescent="0.2">
      <c r="B99" s="159"/>
      <c r="C99" s="32" t="s">
        <v>75</v>
      </c>
      <c r="D99" s="162" t="s">
        <v>180</v>
      </c>
      <c r="E99" s="162"/>
      <c r="F99" s="162"/>
      <c r="G99" s="162"/>
      <c r="H99" s="162"/>
      <c r="I99" s="162"/>
      <c r="J99" s="162"/>
      <c r="K99" s="162"/>
      <c r="L99" s="162"/>
      <c r="M99" s="162"/>
      <c r="N99" s="162"/>
      <c r="O99" s="162"/>
      <c r="P99" s="162"/>
      <c r="Q99" s="162"/>
      <c r="R99" s="162"/>
      <c r="S99" s="163"/>
    </row>
    <row r="100" spans="1:19" ht="6" customHeight="1" x14ac:dyDescent="0.2"/>
    <row r="101" spans="1:19" ht="18.75" customHeight="1" x14ac:dyDescent="0.2">
      <c r="A101" s="1" t="s">
        <v>119</v>
      </c>
    </row>
    <row r="102" spans="1:19" ht="81.75" customHeight="1" x14ac:dyDescent="0.2">
      <c r="B102" s="130" t="s">
        <v>155</v>
      </c>
      <c r="C102" s="131"/>
      <c r="D102" s="131"/>
      <c r="E102" s="131"/>
      <c r="F102" s="131"/>
      <c r="G102" s="131"/>
      <c r="H102" s="131"/>
      <c r="I102" s="131"/>
      <c r="J102" s="131"/>
      <c r="K102" s="131"/>
      <c r="L102" s="131"/>
      <c r="M102" s="131"/>
      <c r="N102" s="131"/>
      <c r="O102" s="131"/>
      <c r="P102" s="131"/>
      <c r="Q102" s="131"/>
      <c r="R102" s="131"/>
      <c r="S102" s="132"/>
    </row>
    <row r="110" spans="1:19" ht="18" customHeight="1" x14ac:dyDescent="0.2"/>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P69:S75 Q58:S64 G58:I64 F69:I75"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Q79:S80 P79:P86 G79:I81 G83:I86 Q83:S86 F79:F86"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6" fitToHeight="0" orientation="portrait" r:id="rId1"/>
  <headerFooter>
    <oddHeader>&amp;C　　 　　　　　　　　　　　　　　　　　　　　　　　　　　　　　　</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zoomScaleNormal="100" zoomScaleSheetLayoutView="100" zoomScalePageLayoutView="85" workbookViewId="0">
      <selection activeCell="D4" sqref="D4"/>
    </sheetView>
  </sheetViews>
  <sheetFormatPr defaultColWidth="9" defaultRowHeight="18.75" customHeight="1" x14ac:dyDescent="0.2"/>
  <cols>
    <col min="1" max="1" width="2.7265625" style="1" customWidth="1"/>
    <col min="2" max="2" width="20.7265625" style="1" customWidth="1"/>
    <col min="3" max="5" width="6.08984375" style="1" customWidth="1"/>
    <col min="6" max="42" width="4.90625" style="1" customWidth="1"/>
    <col min="43" max="43" width="6.6328125" style="1" customWidth="1"/>
    <col min="44" max="16384" width="9" style="1"/>
  </cols>
  <sheetData>
    <row r="1" spans="1:45" ht="18" customHeight="1" x14ac:dyDescent="0.2">
      <c r="AQ1" s="1" t="s">
        <v>105</v>
      </c>
    </row>
    <row r="2" spans="1:45" ht="18" customHeight="1" x14ac:dyDescent="0.2">
      <c r="K2" s="35"/>
      <c r="Q2" s="35"/>
      <c r="W2" s="35"/>
      <c r="AC2" s="35"/>
      <c r="AI2" s="35"/>
      <c r="AL2" s="35" t="s">
        <v>107</v>
      </c>
      <c r="AM2" s="176" t="str">
        <f>'様式１　プログラムを構成する授業科目'!C2</f>
        <v>追手門学院大学</v>
      </c>
      <c r="AN2" s="176"/>
      <c r="AO2" s="176"/>
      <c r="AP2" s="176"/>
      <c r="AQ2" s="176"/>
    </row>
    <row r="3" spans="1:45" ht="18" customHeight="1" x14ac:dyDescent="0.2">
      <c r="A3" s="117" t="s">
        <v>48</v>
      </c>
      <c r="B3" s="117"/>
      <c r="C3" s="117"/>
      <c r="D3" s="117"/>
      <c r="E3" s="117"/>
      <c r="F3" s="117"/>
      <c r="G3" s="117"/>
      <c r="H3" s="117"/>
      <c r="I3" s="117"/>
      <c r="J3" s="117"/>
      <c r="K3" s="117"/>
      <c r="L3" s="117"/>
      <c r="M3" s="117"/>
      <c r="N3" s="117"/>
      <c r="O3" s="117"/>
      <c r="P3" s="117"/>
      <c r="Q3" s="117"/>
      <c r="R3" s="117"/>
      <c r="S3" s="117"/>
      <c r="T3" s="117"/>
      <c r="U3" s="117"/>
      <c r="V3" s="117"/>
      <c r="W3" s="117"/>
      <c r="X3" s="117"/>
      <c r="Y3" s="117"/>
      <c r="Z3" s="117"/>
      <c r="AA3" s="117"/>
      <c r="AB3" s="117"/>
      <c r="AC3" s="117"/>
      <c r="AD3" s="117"/>
      <c r="AE3" s="117"/>
      <c r="AF3" s="117"/>
      <c r="AG3" s="117"/>
      <c r="AH3" s="117"/>
      <c r="AI3" s="117"/>
      <c r="AJ3" s="117"/>
      <c r="AK3" s="117"/>
      <c r="AL3" s="117"/>
      <c r="AM3" s="117"/>
      <c r="AN3" s="117"/>
      <c r="AO3" s="117"/>
      <c r="AP3" s="117"/>
      <c r="AQ3" s="117"/>
    </row>
    <row r="4" spans="1:45" ht="7.5" customHeight="1" x14ac:dyDescent="0.2">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2">
      <c r="A5" s="1" t="s">
        <v>82</v>
      </c>
      <c r="C5" s="177" t="s">
        <v>168</v>
      </c>
      <c r="D5" s="178"/>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2">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2">
      <c r="A7" s="1" t="s">
        <v>80</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2">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2">
      <c r="B9" s="179" t="s">
        <v>45</v>
      </c>
      <c r="C9" s="194" t="s">
        <v>85</v>
      </c>
      <c r="D9" s="182" t="s">
        <v>47</v>
      </c>
      <c r="E9" s="185" t="s">
        <v>40</v>
      </c>
      <c r="F9" s="175" t="s">
        <v>84</v>
      </c>
      <c r="G9" s="175"/>
      <c r="H9" s="175"/>
      <c r="I9" s="175"/>
      <c r="J9" s="175"/>
      <c r="K9" s="175"/>
      <c r="L9" s="175" t="s">
        <v>49</v>
      </c>
      <c r="M9" s="175"/>
      <c r="N9" s="175"/>
      <c r="O9" s="175"/>
      <c r="P9" s="175"/>
      <c r="Q9" s="175"/>
      <c r="R9" s="175" t="s">
        <v>50</v>
      </c>
      <c r="S9" s="175"/>
      <c r="T9" s="175"/>
      <c r="U9" s="175"/>
      <c r="V9" s="175"/>
      <c r="W9" s="175"/>
      <c r="X9" s="175" t="s">
        <v>99</v>
      </c>
      <c r="Y9" s="175"/>
      <c r="Z9" s="175"/>
      <c r="AA9" s="175"/>
      <c r="AB9" s="175"/>
      <c r="AC9" s="175"/>
      <c r="AD9" s="175" t="s">
        <v>51</v>
      </c>
      <c r="AE9" s="175"/>
      <c r="AF9" s="175"/>
      <c r="AG9" s="175"/>
      <c r="AH9" s="175"/>
      <c r="AI9" s="175"/>
      <c r="AJ9" s="175" t="s">
        <v>52</v>
      </c>
      <c r="AK9" s="175"/>
      <c r="AL9" s="175"/>
      <c r="AM9" s="175"/>
      <c r="AN9" s="175"/>
      <c r="AO9" s="175"/>
      <c r="AP9" s="188" t="s">
        <v>35</v>
      </c>
      <c r="AQ9" s="191" t="s">
        <v>32</v>
      </c>
      <c r="AS9" s="2"/>
    </row>
    <row r="10" spans="1:45" ht="16.899999999999999" customHeight="1" x14ac:dyDescent="0.2">
      <c r="B10" s="180"/>
      <c r="C10" s="195"/>
      <c r="D10" s="183"/>
      <c r="E10" s="186"/>
      <c r="F10" s="173" t="s">
        <v>95</v>
      </c>
      <c r="G10" s="174"/>
      <c r="H10" s="174"/>
      <c r="I10" s="173" t="s">
        <v>29</v>
      </c>
      <c r="J10" s="174"/>
      <c r="K10" s="174"/>
      <c r="L10" s="173" t="s">
        <v>95</v>
      </c>
      <c r="M10" s="174"/>
      <c r="N10" s="174"/>
      <c r="O10" s="173" t="s">
        <v>29</v>
      </c>
      <c r="P10" s="174"/>
      <c r="Q10" s="174"/>
      <c r="R10" s="173" t="s">
        <v>95</v>
      </c>
      <c r="S10" s="174"/>
      <c r="T10" s="174"/>
      <c r="U10" s="173" t="s">
        <v>29</v>
      </c>
      <c r="V10" s="174"/>
      <c r="W10" s="174"/>
      <c r="X10" s="173" t="s">
        <v>95</v>
      </c>
      <c r="Y10" s="174"/>
      <c r="Z10" s="174"/>
      <c r="AA10" s="173" t="s">
        <v>29</v>
      </c>
      <c r="AB10" s="174"/>
      <c r="AC10" s="174"/>
      <c r="AD10" s="173" t="s">
        <v>95</v>
      </c>
      <c r="AE10" s="174"/>
      <c r="AF10" s="174"/>
      <c r="AG10" s="173" t="s">
        <v>29</v>
      </c>
      <c r="AH10" s="174"/>
      <c r="AI10" s="174"/>
      <c r="AJ10" s="173" t="s">
        <v>95</v>
      </c>
      <c r="AK10" s="174"/>
      <c r="AL10" s="174"/>
      <c r="AM10" s="173" t="s">
        <v>29</v>
      </c>
      <c r="AN10" s="174"/>
      <c r="AO10" s="174"/>
      <c r="AP10" s="189"/>
      <c r="AQ10" s="192"/>
      <c r="AS10" s="2"/>
    </row>
    <row r="11" spans="1:45" ht="18" customHeight="1" x14ac:dyDescent="0.2">
      <c r="B11" s="181"/>
      <c r="C11" s="196"/>
      <c r="D11" s="184"/>
      <c r="E11" s="187"/>
      <c r="F11" s="17" t="s">
        <v>96</v>
      </c>
      <c r="G11" s="18" t="s">
        <v>97</v>
      </c>
      <c r="H11" s="19" t="s">
        <v>98</v>
      </c>
      <c r="I11" s="17" t="s">
        <v>96</v>
      </c>
      <c r="J11" s="18" t="s">
        <v>97</v>
      </c>
      <c r="K11" s="19" t="s">
        <v>98</v>
      </c>
      <c r="L11" s="17" t="s">
        <v>96</v>
      </c>
      <c r="M11" s="18" t="s">
        <v>97</v>
      </c>
      <c r="N11" s="19" t="s">
        <v>98</v>
      </c>
      <c r="O11" s="17" t="s">
        <v>96</v>
      </c>
      <c r="P11" s="18" t="s">
        <v>97</v>
      </c>
      <c r="Q11" s="19" t="s">
        <v>98</v>
      </c>
      <c r="R11" s="17" t="s">
        <v>96</v>
      </c>
      <c r="S11" s="18" t="s">
        <v>97</v>
      </c>
      <c r="T11" s="19" t="s">
        <v>98</v>
      </c>
      <c r="U11" s="17" t="s">
        <v>96</v>
      </c>
      <c r="V11" s="18" t="s">
        <v>97</v>
      </c>
      <c r="W11" s="19" t="s">
        <v>98</v>
      </c>
      <c r="X11" s="17" t="s">
        <v>96</v>
      </c>
      <c r="Y11" s="18" t="s">
        <v>97</v>
      </c>
      <c r="Z11" s="19" t="s">
        <v>98</v>
      </c>
      <c r="AA11" s="17" t="s">
        <v>96</v>
      </c>
      <c r="AB11" s="18" t="s">
        <v>97</v>
      </c>
      <c r="AC11" s="19" t="s">
        <v>98</v>
      </c>
      <c r="AD11" s="17" t="s">
        <v>96</v>
      </c>
      <c r="AE11" s="18" t="s">
        <v>97</v>
      </c>
      <c r="AF11" s="19" t="s">
        <v>98</v>
      </c>
      <c r="AG11" s="17" t="s">
        <v>96</v>
      </c>
      <c r="AH11" s="18" t="s">
        <v>97</v>
      </c>
      <c r="AI11" s="19" t="s">
        <v>98</v>
      </c>
      <c r="AJ11" s="17" t="s">
        <v>96</v>
      </c>
      <c r="AK11" s="18" t="s">
        <v>97</v>
      </c>
      <c r="AL11" s="19" t="s">
        <v>98</v>
      </c>
      <c r="AM11" s="17" t="s">
        <v>96</v>
      </c>
      <c r="AN11" s="18" t="s">
        <v>97</v>
      </c>
      <c r="AO11" s="19" t="s">
        <v>98</v>
      </c>
      <c r="AP11" s="190"/>
      <c r="AQ11" s="193"/>
      <c r="AS11" s="2"/>
    </row>
    <row r="12" spans="1:45" ht="18" customHeight="1" x14ac:dyDescent="0.2">
      <c r="A12" s="6"/>
      <c r="B12" s="11" t="s">
        <v>139</v>
      </c>
      <c r="C12" s="57">
        <v>195</v>
      </c>
      <c r="D12" s="58">
        <v>180</v>
      </c>
      <c r="E12" s="59">
        <v>180</v>
      </c>
      <c r="F12" s="59">
        <v>4</v>
      </c>
      <c r="G12" s="60">
        <v>3</v>
      </c>
      <c r="H12" s="61">
        <v>1</v>
      </c>
      <c r="I12" s="59">
        <v>3</v>
      </c>
      <c r="J12" s="60">
        <v>2</v>
      </c>
      <c r="K12" s="61">
        <v>1</v>
      </c>
      <c r="L12" s="59">
        <f>M12+N12</f>
        <v>0</v>
      </c>
      <c r="M12" s="60"/>
      <c r="N12" s="61"/>
      <c r="O12" s="59">
        <f>P12+Q12</f>
        <v>0</v>
      </c>
      <c r="P12" s="60"/>
      <c r="Q12" s="61"/>
      <c r="R12" s="59">
        <f>S12+T12</f>
        <v>0</v>
      </c>
      <c r="S12" s="60"/>
      <c r="T12" s="61"/>
      <c r="U12" s="59">
        <f>V12+W12</f>
        <v>0</v>
      </c>
      <c r="V12" s="60"/>
      <c r="W12" s="61"/>
      <c r="X12" s="59">
        <f>Y12+Z12</f>
        <v>0</v>
      </c>
      <c r="Y12" s="60"/>
      <c r="Z12" s="61"/>
      <c r="AA12" s="59">
        <f>AB12+AC12</f>
        <v>0</v>
      </c>
      <c r="AB12" s="60"/>
      <c r="AC12" s="61"/>
      <c r="AD12" s="59">
        <f>AE12+AF12</f>
        <v>0</v>
      </c>
      <c r="AE12" s="60"/>
      <c r="AF12" s="61"/>
      <c r="AG12" s="59">
        <f>AH12+AI12</f>
        <v>0</v>
      </c>
      <c r="AH12" s="60"/>
      <c r="AI12" s="61"/>
      <c r="AJ12" s="59">
        <f>AK12+AL12</f>
        <v>0</v>
      </c>
      <c r="AK12" s="60"/>
      <c r="AL12" s="61"/>
      <c r="AM12" s="59">
        <f>AN12+AO12</f>
        <v>0</v>
      </c>
      <c r="AN12" s="60"/>
      <c r="AO12" s="61"/>
      <c r="AP12" s="58">
        <f>F12+L12+R12+X12+AD12+AJ12</f>
        <v>4</v>
      </c>
      <c r="AQ12" s="21">
        <f t="shared" ref="AQ12:AQ32" si="0">AP12/E12</f>
        <v>2.2222222222222223E-2</v>
      </c>
    </row>
    <row r="13" spans="1:45" ht="18" customHeight="1" x14ac:dyDescent="0.2">
      <c r="A13" s="6"/>
      <c r="B13" s="12" t="s">
        <v>181</v>
      </c>
      <c r="C13" s="62">
        <v>141</v>
      </c>
      <c r="D13" s="63">
        <v>150</v>
      </c>
      <c r="E13" s="64">
        <v>150</v>
      </c>
      <c r="F13" s="65">
        <v>0</v>
      </c>
      <c r="G13" s="66"/>
      <c r="H13" s="67"/>
      <c r="I13" s="65">
        <v>0</v>
      </c>
      <c r="J13" s="66"/>
      <c r="K13" s="67"/>
      <c r="L13" s="65">
        <f t="shared" ref="L13:L31" si="1">M13+N13</f>
        <v>0</v>
      </c>
      <c r="M13" s="66"/>
      <c r="N13" s="67"/>
      <c r="O13" s="65">
        <f t="shared" ref="O13:O31" si="2">P13+Q13</f>
        <v>0</v>
      </c>
      <c r="P13" s="66"/>
      <c r="Q13" s="67"/>
      <c r="R13" s="65">
        <f t="shared" ref="R13:R31" si="3">S13+T13</f>
        <v>0</v>
      </c>
      <c r="S13" s="66"/>
      <c r="T13" s="67"/>
      <c r="U13" s="65">
        <f t="shared" ref="U13:U31" si="4">V13+W13</f>
        <v>0</v>
      </c>
      <c r="V13" s="66"/>
      <c r="W13" s="67"/>
      <c r="X13" s="65">
        <f t="shared" ref="X13:X31" si="5">Y13+Z13</f>
        <v>0</v>
      </c>
      <c r="Y13" s="66"/>
      <c r="Z13" s="67"/>
      <c r="AA13" s="65">
        <f t="shared" ref="AA13:AA31" si="6">AB13+AC13</f>
        <v>0</v>
      </c>
      <c r="AB13" s="66"/>
      <c r="AC13" s="67"/>
      <c r="AD13" s="65">
        <f t="shared" ref="AD13:AD31" si="7">AE13+AF13</f>
        <v>0</v>
      </c>
      <c r="AE13" s="66"/>
      <c r="AF13" s="67"/>
      <c r="AG13" s="65">
        <f t="shared" ref="AG13:AG31" si="8">AH13+AI13</f>
        <v>0</v>
      </c>
      <c r="AH13" s="66"/>
      <c r="AI13" s="67"/>
      <c r="AJ13" s="65">
        <f t="shared" ref="AJ13:AJ31" si="9">AK13+AL13</f>
        <v>0</v>
      </c>
      <c r="AK13" s="66"/>
      <c r="AL13" s="67"/>
      <c r="AM13" s="65">
        <f t="shared" ref="AM13:AM31" si="10">AN13+AO13</f>
        <v>0</v>
      </c>
      <c r="AN13" s="66"/>
      <c r="AO13" s="67"/>
      <c r="AP13" s="63">
        <f t="shared" ref="AP13:AP31" si="11">F13+L13+R13+X13+AD13+AJ13</f>
        <v>0</v>
      </c>
      <c r="AQ13" s="20">
        <f t="shared" si="0"/>
        <v>0</v>
      </c>
    </row>
    <row r="14" spans="1:45" ht="18" customHeight="1" x14ac:dyDescent="0.2">
      <c r="A14" s="6"/>
      <c r="B14" s="12" t="s">
        <v>183</v>
      </c>
      <c r="C14" s="62">
        <v>482</v>
      </c>
      <c r="D14" s="63"/>
      <c r="E14" s="64">
        <v>460</v>
      </c>
      <c r="F14" s="65">
        <v>0</v>
      </c>
      <c r="G14" s="66"/>
      <c r="H14" s="67"/>
      <c r="I14" s="65">
        <v>0</v>
      </c>
      <c r="J14" s="66"/>
      <c r="K14" s="67"/>
      <c r="L14" s="65">
        <f t="shared" si="1"/>
        <v>0</v>
      </c>
      <c r="M14" s="66"/>
      <c r="N14" s="67"/>
      <c r="O14" s="65">
        <f t="shared" si="2"/>
        <v>0</v>
      </c>
      <c r="P14" s="66"/>
      <c r="Q14" s="67"/>
      <c r="R14" s="65">
        <f t="shared" si="3"/>
        <v>0</v>
      </c>
      <c r="S14" s="66"/>
      <c r="T14" s="67"/>
      <c r="U14" s="65">
        <f t="shared" si="4"/>
        <v>0</v>
      </c>
      <c r="V14" s="66"/>
      <c r="W14" s="67"/>
      <c r="X14" s="65">
        <f t="shared" si="5"/>
        <v>0</v>
      </c>
      <c r="Y14" s="66"/>
      <c r="Z14" s="67"/>
      <c r="AA14" s="65">
        <f t="shared" si="6"/>
        <v>0</v>
      </c>
      <c r="AB14" s="66"/>
      <c r="AC14" s="67"/>
      <c r="AD14" s="65">
        <f t="shared" si="7"/>
        <v>0</v>
      </c>
      <c r="AE14" s="66"/>
      <c r="AF14" s="67"/>
      <c r="AG14" s="65">
        <f t="shared" si="8"/>
        <v>0</v>
      </c>
      <c r="AH14" s="66"/>
      <c r="AI14" s="67"/>
      <c r="AJ14" s="65">
        <f t="shared" si="9"/>
        <v>0</v>
      </c>
      <c r="AK14" s="66"/>
      <c r="AL14" s="67"/>
      <c r="AM14" s="65">
        <f t="shared" si="10"/>
        <v>0</v>
      </c>
      <c r="AN14" s="66"/>
      <c r="AO14" s="67"/>
      <c r="AP14" s="63">
        <f t="shared" si="11"/>
        <v>0</v>
      </c>
      <c r="AQ14" s="8">
        <f t="shared" si="0"/>
        <v>0</v>
      </c>
    </row>
    <row r="15" spans="1:45" ht="18" customHeight="1" x14ac:dyDescent="0.2">
      <c r="A15" s="6"/>
      <c r="B15" s="12" t="s">
        <v>184</v>
      </c>
      <c r="C15" s="62">
        <v>591</v>
      </c>
      <c r="D15" s="63"/>
      <c r="E15" s="64">
        <v>550</v>
      </c>
      <c r="F15" s="65">
        <v>0</v>
      </c>
      <c r="G15" s="66"/>
      <c r="H15" s="67"/>
      <c r="I15" s="65">
        <v>0</v>
      </c>
      <c r="J15" s="66"/>
      <c r="K15" s="67"/>
      <c r="L15" s="65">
        <f t="shared" si="1"/>
        <v>0</v>
      </c>
      <c r="M15" s="66"/>
      <c r="N15" s="67"/>
      <c r="O15" s="65">
        <f t="shared" si="2"/>
        <v>0</v>
      </c>
      <c r="P15" s="66"/>
      <c r="Q15" s="67"/>
      <c r="R15" s="65">
        <f t="shared" si="3"/>
        <v>0</v>
      </c>
      <c r="S15" s="66"/>
      <c r="T15" s="67"/>
      <c r="U15" s="65">
        <f t="shared" si="4"/>
        <v>0</v>
      </c>
      <c r="V15" s="66"/>
      <c r="W15" s="67"/>
      <c r="X15" s="65">
        <f t="shared" si="5"/>
        <v>0</v>
      </c>
      <c r="Y15" s="66"/>
      <c r="Z15" s="67"/>
      <c r="AA15" s="65">
        <f t="shared" si="6"/>
        <v>0</v>
      </c>
      <c r="AB15" s="66"/>
      <c r="AC15" s="67"/>
      <c r="AD15" s="65">
        <f t="shared" si="7"/>
        <v>0</v>
      </c>
      <c r="AE15" s="66"/>
      <c r="AF15" s="67"/>
      <c r="AG15" s="65">
        <f t="shared" si="8"/>
        <v>0</v>
      </c>
      <c r="AH15" s="66"/>
      <c r="AI15" s="67"/>
      <c r="AJ15" s="65">
        <f t="shared" si="9"/>
        <v>0</v>
      </c>
      <c r="AK15" s="66"/>
      <c r="AL15" s="67"/>
      <c r="AM15" s="65">
        <f t="shared" si="10"/>
        <v>0</v>
      </c>
      <c r="AN15" s="66"/>
      <c r="AO15" s="67"/>
      <c r="AP15" s="63">
        <f t="shared" si="11"/>
        <v>0</v>
      </c>
      <c r="AQ15" s="8">
        <f t="shared" si="0"/>
        <v>0</v>
      </c>
    </row>
    <row r="16" spans="1:45" ht="18" customHeight="1" x14ac:dyDescent="0.2">
      <c r="A16" s="6"/>
      <c r="B16" s="12" t="s">
        <v>140</v>
      </c>
      <c r="C16" s="62">
        <v>1009</v>
      </c>
      <c r="D16" s="63">
        <v>220</v>
      </c>
      <c r="E16" s="64">
        <v>900</v>
      </c>
      <c r="F16" s="65">
        <v>9</v>
      </c>
      <c r="G16" s="66">
        <v>8</v>
      </c>
      <c r="H16" s="67">
        <v>1</v>
      </c>
      <c r="I16" s="65">
        <v>7</v>
      </c>
      <c r="J16" s="66">
        <v>6</v>
      </c>
      <c r="K16" s="67">
        <v>1</v>
      </c>
      <c r="L16" s="65">
        <f t="shared" si="1"/>
        <v>0</v>
      </c>
      <c r="M16" s="66"/>
      <c r="N16" s="67"/>
      <c r="O16" s="65">
        <f t="shared" si="2"/>
        <v>0</v>
      </c>
      <c r="P16" s="66"/>
      <c r="Q16" s="67"/>
      <c r="R16" s="65">
        <f t="shared" si="3"/>
        <v>0</v>
      </c>
      <c r="S16" s="66"/>
      <c r="T16" s="67"/>
      <c r="U16" s="65">
        <f t="shared" si="4"/>
        <v>0</v>
      </c>
      <c r="V16" s="66"/>
      <c r="W16" s="67"/>
      <c r="X16" s="65">
        <f t="shared" si="5"/>
        <v>0</v>
      </c>
      <c r="Y16" s="66"/>
      <c r="Z16" s="67"/>
      <c r="AA16" s="65">
        <f t="shared" si="6"/>
        <v>0</v>
      </c>
      <c r="AB16" s="66"/>
      <c r="AC16" s="67"/>
      <c r="AD16" s="65">
        <f t="shared" si="7"/>
        <v>0</v>
      </c>
      <c r="AE16" s="66"/>
      <c r="AF16" s="67"/>
      <c r="AG16" s="65">
        <f t="shared" si="8"/>
        <v>0</v>
      </c>
      <c r="AH16" s="66"/>
      <c r="AI16" s="67"/>
      <c r="AJ16" s="65">
        <f t="shared" si="9"/>
        <v>0</v>
      </c>
      <c r="AK16" s="66"/>
      <c r="AL16" s="67"/>
      <c r="AM16" s="65">
        <f t="shared" si="10"/>
        <v>0</v>
      </c>
      <c r="AN16" s="66"/>
      <c r="AO16" s="67"/>
      <c r="AP16" s="63">
        <f t="shared" si="11"/>
        <v>9</v>
      </c>
      <c r="AQ16" s="8">
        <f t="shared" si="0"/>
        <v>0.01</v>
      </c>
    </row>
    <row r="17" spans="1:43" ht="18" customHeight="1" x14ac:dyDescent="0.2">
      <c r="A17" s="6"/>
      <c r="B17" s="12" t="s">
        <v>141</v>
      </c>
      <c r="C17" s="62">
        <v>1325</v>
      </c>
      <c r="D17" s="63">
        <v>350</v>
      </c>
      <c r="E17" s="64">
        <v>1294</v>
      </c>
      <c r="F17" s="65">
        <v>14</v>
      </c>
      <c r="G17" s="66">
        <v>13</v>
      </c>
      <c r="H17" s="67">
        <v>1</v>
      </c>
      <c r="I17" s="65">
        <v>12</v>
      </c>
      <c r="J17" s="66">
        <v>11</v>
      </c>
      <c r="K17" s="67">
        <v>1</v>
      </c>
      <c r="L17" s="65">
        <f t="shared" si="1"/>
        <v>0</v>
      </c>
      <c r="M17" s="66"/>
      <c r="N17" s="67"/>
      <c r="O17" s="65">
        <f t="shared" si="2"/>
        <v>0</v>
      </c>
      <c r="P17" s="66"/>
      <c r="Q17" s="67"/>
      <c r="R17" s="65">
        <f t="shared" si="3"/>
        <v>0</v>
      </c>
      <c r="S17" s="66"/>
      <c r="T17" s="67"/>
      <c r="U17" s="65">
        <f t="shared" si="4"/>
        <v>0</v>
      </c>
      <c r="V17" s="66"/>
      <c r="W17" s="67"/>
      <c r="X17" s="65">
        <f t="shared" si="5"/>
        <v>0</v>
      </c>
      <c r="Y17" s="66"/>
      <c r="Z17" s="67"/>
      <c r="AA17" s="65">
        <f t="shared" si="6"/>
        <v>0</v>
      </c>
      <c r="AB17" s="66"/>
      <c r="AC17" s="67"/>
      <c r="AD17" s="65">
        <f t="shared" si="7"/>
        <v>0</v>
      </c>
      <c r="AE17" s="66"/>
      <c r="AF17" s="67"/>
      <c r="AG17" s="65">
        <f t="shared" si="8"/>
        <v>0</v>
      </c>
      <c r="AH17" s="66"/>
      <c r="AI17" s="67"/>
      <c r="AJ17" s="65">
        <f t="shared" si="9"/>
        <v>0</v>
      </c>
      <c r="AK17" s="66"/>
      <c r="AL17" s="67"/>
      <c r="AM17" s="65">
        <f t="shared" si="10"/>
        <v>0</v>
      </c>
      <c r="AN17" s="66"/>
      <c r="AO17" s="67"/>
      <c r="AP17" s="63">
        <f t="shared" si="11"/>
        <v>14</v>
      </c>
      <c r="AQ17" s="8">
        <f t="shared" si="0"/>
        <v>1.0819165378670788E-2</v>
      </c>
    </row>
    <row r="18" spans="1:43" ht="18" customHeight="1" x14ac:dyDescent="0.2">
      <c r="A18" s="6"/>
      <c r="B18" s="12" t="s">
        <v>142</v>
      </c>
      <c r="C18" s="62">
        <v>1697</v>
      </c>
      <c r="D18" s="63">
        <v>400</v>
      </c>
      <c r="E18" s="64">
        <v>1620</v>
      </c>
      <c r="F18" s="65">
        <v>6</v>
      </c>
      <c r="G18" s="66">
        <v>6</v>
      </c>
      <c r="H18" s="67"/>
      <c r="I18" s="65">
        <v>5</v>
      </c>
      <c r="J18" s="66">
        <v>5</v>
      </c>
      <c r="K18" s="67"/>
      <c r="L18" s="65">
        <f t="shared" si="1"/>
        <v>0</v>
      </c>
      <c r="M18" s="66"/>
      <c r="N18" s="67"/>
      <c r="O18" s="65">
        <f t="shared" si="2"/>
        <v>0</v>
      </c>
      <c r="P18" s="66"/>
      <c r="Q18" s="67"/>
      <c r="R18" s="65">
        <f t="shared" si="3"/>
        <v>0</v>
      </c>
      <c r="S18" s="66"/>
      <c r="T18" s="67"/>
      <c r="U18" s="65">
        <f t="shared" si="4"/>
        <v>0</v>
      </c>
      <c r="V18" s="66"/>
      <c r="W18" s="67"/>
      <c r="X18" s="65">
        <f t="shared" si="5"/>
        <v>0</v>
      </c>
      <c r="Y18" s="66"/>
      <c r="Z18" s="67"/>
      <c r="AA18" s="65">
        <f t="shared" si="6"/>
        <v>0</v>
      </c>
      <c r="AB18" s="66"/>
      <c r="AC18" s="67"/>
      <c r="AD18" s="65">
        <f t="shared" si="7"/>
        <v>0</v>
      </c>
      <c r="AE18" s="66"/>
      <c r="AF18" s="67"/>
      <c r="AG18" s="65">
        <f t="shared" si="8"/>
        <v>0</v>
      </c>
      <c r="AH18" s="66"/>
      <c r="AI18" s="67"/>
      <c r="AJ18" s="65">
        <f t="shared" si="9"/>
        <v>0</v>
      </c>
      <c r="AK18" s="66"/>
      <c r="AL18" s="67"/>
      <c r="AM18" s="65">
        <f t="shared" si="10"/>
        <v>0</v>
      </c>
      <c r="AN18" s="66"/>
      <c r="AO18" s="67"/>
      <c r="AP18" s="63">
        <f t="shared" si="11"/>
        <v>6</v>
      </c>
      <c r="AQ18" s="8">
        <f t="shared" si="0"/>
        <v>3.7037037037037038E-3</v>
      </c>
    </row>
    <row r="19" spans="1:43" ht="18" customHeight="1" x14ac:dyDescent="0.2">
      <c r="A19" s="6"/>
      <c r="B19" s="12" t="s">
        <v>143</v>
      </c>
      <c r="C19" s="62">
        <v>1859</v>
      </c>
      <c r="D19" s="63">
        <v>443</v>
      </c>
      <c r="E19" s="64">
        <v>1786</v>
      </c>
      <c r="F19" s="65">
        <v>27</v>
      </c>
      <c r="G19" s="66">
        <v>18</v>
      </c>
      <c r="H19" s="67">
        <v>9</v>
      </c>
      <c r="I19" s="65">
        <v>21</v>
      </c>
      <c r="J19" s="66">
        <v>13</v>
      </c>
      <c r="K19" s="67">
        <v>8</v>
      </c>
      <c r="L19" s="65">
        <f t="shared" si="1"/>
        <v>0</v>
      </c>
      <c r="M19" s="66"/>
      <c r="N19" s="67"/>
      <c r="O19" s="65">
        <f t="shared" si="2"/>
        <v>0</v>
      </c>
      <c r="P19" s="66"/>
      <c r="Q19" s="67"/>
      <c r="R19" s="65">
        <f t="shared" si="3"/>
        <v>0</v>
      </c>
      <c r="S19" s="66"/>
      <c r="T19" s="67"/>
      <c r="U19" s="65">
        <f t="shared" si="4"/>
        <v>0</v>
      </c>
      <c r="V19" s="66"/>
      <c r="W19" s="67"/>
      <c r="X19" s="65">
        <f t="shared" si="5"/>
        <v>0</v>
      </c>
      <c r="Y19" s="66"/>
      <c r="Z19" s="67"/>
      <c r="AA19" s="65">
        <f t="shared" si="6"/>
        <v>0</v>
      </c>
      <c r="AB19" s="66"/>
      <c r="AC19" s="67"/>
      <c r="AD19" s="65">
        <f t="shared" si="7"/>
        <v>0</v>
      </c>
      <c r="AE19" s="66"/>
      <c r="AF19" s="67"/>
      <c r="AG19" s="65">
        <f t="shared" si="8"/>
        <v>0</v>
      </c>
      <c r="AH19" s="66"/>
      <c r="AI19" s="67"/>
      <c r="AJ19" s="65">
        <f t="shared" si="9"/>
        <v>0</v>
      </c>
      <c r="AK19" s="66"/>
      <c r="AL19" s="67"/>
      <c r="AM19" s="65">
        <f t="shared" si="10"/>
        <v>0</v>
      </c>
      <c r="AN19" s="66"/>
      <c r="AO19" s="67"/>
      <c r="AP19" s="63">
        <f t="shared" si="11"/>
        <v>27</v>
      </c>
      <c r="AQ19" s="8">
        <f t="shared" si="0"/>
        <v>1.5117581187010079E-2</v>
      </c>
    </row>
    <row r="20" spans="1:43" ht="18" customHeight="1" x14ac:dyDescent="0.2">
      <c r="A20" s="6"/>
      <c r="B20" s="12" t="s">
        <v>185</v>
      </c>
      <c r="C20" s="62">
        <v>30</v>
      </c>
      <c r="D20" s="63"/>
      <c r="E20" s="64"/>
      <c r="F20" s="65">
        <v>0</v>
      </c>
      <c r="G20" s="66"/>
      <c r="H20" s="67"/>
      <c r="I20" s="65">
        <v>0</v>
      </c>
      <c r="J20" s="66"/>
      <c r="K20" s="67"/>
      <c r="L20" s="65">
        <f t="shared" si="1"/>
        <v>0</v>
      </c>
      <c r="M20" s="66"/>
      <c r="N20" s="67"/>
      <c r="O20" s="65">
        <f t="shared" si="2"/>
        <v>0</v>
      </c>
      <c r="P20" s="66"/>
      <c r="Q20" s="67"/>
      <c r="R20" s="65">
        <f t="shared" si="3"/>
        <v>0</v>
      </c>
      <c r="S20" s="66"/>
      <c r="T20" s="67"/>
      <c r="U20" s="65">
        <f t="shared" si="4"/>
        <v>0</v>
      </c>
      <c r="V20" s="66"/>
      <c r="W20" s="67"/>
      <c r="X20" s="65">
        <f t="shared" si="5"/>
        <v>0</v>
      </c>
      <c r="Y20" s="66"/>
      <c r="Z20" s="67"/>
      <c r="AA20" s="65">
        <f t="shared" si="6"/>
        <v>0</v>
      </c>
      <c r="AB20" s="66"/>
      <c r="AC20" s="67"/>
      <c r="AD20" s="65">
        <f t="shared" si="7"/>
        <v>0</v>
      </c>
      <c r="AE20" s="66"/>
      <c r="AF20" s="67"/>
      <c r="AG20" s="65">
        <f t="shared" si="8"/>
        <v>0</v>
      </c>
      <c r="AH20" s="66"/>
      <c r="AI20" s="67"/>
      <c r="AJ20" s="65">
        <f t="shared" si="9"/>
        <v>0</v>
      </c>
      <c r="AK20" s="66"/>
      <c r="AL20" s="67"/>
      <c r="AM20" s="65">
        <f t="shared" si="10"/>
        <v>0</v>
      </c>
      <c r="AN20" s="66"/>
      <c r="AO20" s="67"/>
      <c r="AP20" s="63">
        <f t="shared" si="11"/>
        <v>0</v>
      </c>
      <c r="AQ20" s="8" t="e">
        <f t="shared" si="0"/>
        <v>#DIV/0!</v>
      </c>
    </row>
    <row r="21" spans="1:43" ht="18" customHeight="1" x14ac:dyDescent="0.2">
      <c r="A21" s="6"/>
      <c r="B21" s="12" t="s">
        <v>144</v>
      </c>
      <c r="C21" s="62">
        <v>903</v>
      </c>
      <c r="D21" s="63">
        <v>230</v>
      </c>
      <c r="E21" s="64">
        <v>840</v>
      </c>
      <c r="F21" s="65">
        <v>2</v>
      </c>
      <c r="G21" s="66">
        <v>2</v>
      </c>
      <c r="H21" s="67"/>
      <c r="I21" s="65">
        <v>1</v>
      </c>
      <c r="J21" s="66">
        <v>1</v>
      </c>
      <c r="K21" s="67"/>
      <c r="L21" s="65">
        <f t="shared" si="1"/>
        <v>0</v>
      </c>
      <c r="M21" s="66"/>
      <c r="N21" s="67"/>
      <c r="O21" s="65">
        <f t="shared" si="2"/>
        <v>0</v>
      </c>
      <c r="P21" s="66"/>
      <c r="Q21" s="67"/>
      <c r="R21" s="65">
        <f t="shared" si="3"/>
        <v>0</v>
      </c>
      <c r="S21" s="66"/>
      <c r="T21" s="67"/>
      <c r="U21" s="65">
        <f t="shared" si="4"/>
        <v>0</v>
      </c>
      <c r="V21" s="66"/>
      <c r="W21" s="67"/>
      <c r="X21" s="65">
        <f t="shared" si="5"/>
        <v>0</v>
      </c>
      <c r="Y21" s="66"/>
      <c r="Z21" s="67"/>
      <c r="AA21" s="65">
        <f t="shared" si="6"/>
        <v>0</v>
      </c>
      <c r="AB21" s="66"/>
      <c r="AC21" s="67"/>
      <c r="AD21" s="65">
        <f t="shared" si="7"/>
        <v>0</v>
      </c>
      <c r="AE21" s="66"/>
      <c r="AF21" s="67"/>
      <c r="AG21" s="65">
        <f t="shared" si="8"/>
        <v>0</v>
      </c>
      <c r="AH21" s="66"/>
      <c r="AI21" s="67"/>
      <c r="AJ21" s="65">
        <f t="shared" si="9"/>
        <v>0</v>
      </c>
      <c r="AK21" s="66"/>
      <c r="AL21" s="67"/>
      <c r="AM21" s="65">
        <f t="shared" si="10"/>
        <v>0</v>
      </c>
      <c r="AN21" s="66"/>
      <c r="AO21" s="67"/>
      <c r="AP21" s="63">
        <f t="shared" si="11"/>
        <v>2</v>
      </c>
      <c r="AQ21" s="8">
        <f t="shared" si="0"/>
        <v>2.3809523809523812E-3</v>
      </c>
    </row>
    <row r="22" spans="1:43" ht="18" customHeight="1" x14ac:dyDescent="0.2">
      <c r="A22" s="6"/>
      <c r="B22" s="12"/>
      <c r="C22" s="62"/>
      <c r="D22" s="63"/>
      <c r="E22" s="64"/>
      <c r="F22" s="65">
        <f t="shared" ref="F13:F31" si="12">G22+H22</f>
        <v>0</v>
      </c>
      <c r="G22" s="66"/>
      <c r="H22" s="67"/>
      <c r="I22" s="65">
        <f t="shared" ref="I13:I31" si="13">J22+K22</f>
        <v>0</v>
      </c>
      <c r="J22" s="66"/>
      <c r="K22" s="67"/>
      <c r="L22" s="65">
        <f t="shared" si="1"/>
        <v>0</v>
      </c>
      <c r="M22" s="66"/>
      <c r="N22" s="67"/>
      <c r="O22" s="65">
        <f t="shared" si="2"/>
        <v>0</v>
      </c>
      <c r="P22" s="66"/>
      <c r="Q22" s="67"/>
      <c r="R22" s="65">
        <f t="shared" si="3"/>
        <v>0</v>
      </c>
      <c r="S22" s="66"/>
      <c r="T22" s="67"/>
      <c r="U22" s="65">
        <f t="shared" si="4"/>
        <v>0</v>
      </c>
      <c r="V22" s="66"/>
      <c r="W22" s="67"/>
      <c r="X22" s="65">
        <f t="shared" si="5"/>
        <v>0</v>
      </c>
      <c r="Y22" s="66"/>
      <c r="Z22" s="67"/>
      <c r="AA22" s="65">
        <f t="shared" si="6"/>
        <v>0</v>
      </c>
      <c r="AB22" s="66"/>
      <c r="AC22" s="67"/>
      <c r="AD22" s="65">
        <f t="shared" si="7"/>
        <v>0</v>
      </c>
      <c r="AE22" s="66"/>
      <c r="AF22" s="67"/>
      <c r="AG22" s="65">
        <f t="shared" si="8"/>
        <v>0</v>
      </c>
      <c r="AH22" s="66"/>
      <c r="AI22" s="67"/>
      <c r="AJ22" s="65">
        <f t="shared" si="9"/>
        <v>0</v>
      </c>
      <c r="AK22" s="66"/>
      <c r="AL22" s="67"/>
      <c r="AM22" s="65">
        <f t="shared" si="10"/>
        <v>0</v>
      </c>
      <c r="AN22" s="66"/>
      <c r="AO22" s="67"/>
      <c r="AP22" s="63">
        <f t="shared" si="11"/>
        <v>0</v>
      </c>
      <c r="AQ22" s="8" t="e">
        <f t="shared" si="0"/>
        <v>#DIV/0!</v>
      </c>
    </row>
    <row r="23" spans="1:43" ht="18" customHeight="1" x14ac:dyDescent="0.2">
      <c r="A23" s="6"/>
      <c r="B23" s="12"/>
      <c r="C23" s="62"/>
      <c r="D23" s="63"/>
      <c r="E23" s="64"/>
      <c r="F23" s="65">
        <f t="shared" si="12"/>
        <v>0</v>
      </c>
      <c r="G23" s="66"/>
      <c r="H23" s="67"/>
      <c r="I23" s="65">
        <f t="shared" si="13"/>
        <v>0</v>
      </c>
      <c r="J23" s="66"/>
      <c r="K23" s="67"/>
      <c r="L23" s="65">
        <f t="shared" si="1"/>
        <v>0</v>
      </c>
      <c r="M23" s="66"/>
      <c r="N23" s="67"/>
      <c r="O23" s="65">
        <f t="shared" si="2"/>
        <v>0</v>
      </c>
      <c r="P23" s="66"/>
      <c r="Q23" s="67"/>
      <c r="R23" s="65">
        <f t="shared" si="3"/>
        <v>0</v>
      </c>
      <c r="S23" s="66"/>
      <c r="T23" s="67"/>
      <c r="U23" s="65">
        <f t="shared" si="4"/>
        <v>0</v>
      </c>
      <c r="V23" s="66"/>
      <c r="W23" s="67"/>
      <c r="X23" s="65">
        <f t="shared" si="5"/>
        <v>0</v>
      </c>
      <c r="Y23" s="66"/>
      <c r="Z23" s="67"/>
      <c r="AA23" s="65">
        <f t="shared" si="6"/>
        <v>0</v>
      </c>
      <c r="AB23" s="66"/>
      <c r="AC23" s="67"/>
      <c r="AD23" s="65">
        <f t="shared" si="7"/>
        <v>0</v>
      </c>
      <c r="AE23" s="66"/>
      <c r="AF23" s="67"/>
      <c r="AG23" s="65">
        <f t="shared" si="8"/>
        <v>0</v>
      </c>
      <c r="AH23" s="66"/>
      <c r="AI23" s="67"/>
      <c r="AJ23" s="65">
        <f t="shared" si="9"/>
        <v>0</v>
      </c>
      <c r="AK23" s="66"/>
      <c r="AL23" s="67"/>
      <c r="AM23" s="65">
        <f t="shared" si="10"/>
        <v>0</v>
      </c>
      <c r="AN23" s="66"/>
      <c r="AO23" s="67"/>
      <c r="AP23" s="63">
        <f t="shared" si="11"/>
        <v>0</v>
      </c>
      <c r="AQ23" s="8" t="e">
        <f t="shared" si="0"/>
        <v>#DIV/0!</v>
      </c>
    </row>
    <row r="24" spans="1:43" ht="18" customHeight="1" x14ac:dyDescent="0.2">
      <c r="A24" s="6"/>
      <c r="B24" s="12"/>
      <c r="C24" s="62"/>
      <c r="D24" s="63"/>
      <c r="E24" s="64"/>
      <c r="F24" s="65">
        <f t="shared" si="12"/>
        <v>0</v>
      </c>
      <c r="G24" s="66"/>
      <c r="H24" s="67"/>
      <c r="I24" s="65">
        <f t="shared" si="13"/>
        <v>0</v>
      </c>
      <c r="J24" s="66"/>
      <c r="K24" s="67"/>
      <c r="L24" s="65">
        <f t="shared" si="1"/>
        <v>0</v>
      </c>
      <c r="M24" s="66"/>
      <c r="N24" s="67"/>
      <c r="O24" s="65">
        <f t="shared" si="2"/>
        <v>0</v>
      </c>
      <c r="P24" s="66"/>
      <c r="Q24" s="67"/>
      <c r="R24" s="65">
        <f t="shared" si="3"/>
        <v>0</v>
      </c>
      <c r="S24" s="66"/>
      <c r="T24" s="67"/>
      <c r="U24" s="65">
        <f t="shared" si="4"/>
        <v>0</v>
      </c>
      <c r="V24" s="66"/>
      <c r="W24" s="67"/>
      <c r="X24" s="65">
        <f t="shared" si="5"/>
        <v>0</v>
      </c>
      <c r="Y24" s="66"/>
      <c r="Z24" s="67"/>
      <c r="AA24" s="65">
        <f t="shared" si="6"/>
        <v>0</v>
      </c>
      <c r="AB24" s="66"/>
      <c r="AC24" s="67"/>
      <c r="AD24" s="65">
        <f t="shared" si="7"/>
        <v>0</v>
      </c>
      <c r="AE24" s="66"/>
      <c r="AF24" s="67"/>
      <c r="AG24" s="65">
        <f t="shared" si="8"/>
        <v>0</v>
      </c>
      <c r="AH24" s="66"/>
      <c r="AI24" s="67"/>
      <c r="AJ24" s="65">
        <f t="shared" si="9"/>
        <v>0</v>
      </c>
      <c r="AK24" s="66"/>
      <c r="AL24" s="67"/>
      <c r="AM24" s="65">
        <f t="shared" si="10"/>
        <v>0</v>
      </c>
      <c r="AN24" s="66"/>
      <c r="AO24" s="67"/>
      <c r="AP24" s="63">
        <f t="shared" si="11"/>
        <v>0</v>
      </c>
      <c r="AQ24" s="8" t="e">
        <f t="shared" si="0"/>
        <v>#DIV/0!</v>
      </c>
    </row>
    <row r="25" spans="1:43" ht="18" customHeight="1" x14ac:dyDescent="0.2">
      <c r="A25" s="6"/>
      <c r="B25" s="12"/>
      <c r="C25" s="62"/>
      <c r="D25" s="63"/>
      <c r="E25" s="64"/>
      <c r="F25" s="65">
        <f t="shared" si="12"/>
        <v>0</v>
      </c>
      <c r="G25" s="66"/>
      <c r="H25" s="67"/>
      <c r="I25" s="65">
        <f t="shared" si="13"/>
        <v>0</v>
      </c>
      <c r="J25" s="66"/>
      <c r="K25" s="67"/>
      <c r="L25" s="65">
        <f t="shared" si="1"/>
        <v>0</v>
      </c>
      <c r="M25" s="66"/>
      <c r="N25" s="67"/>
      <c r="O25" s="65">
        <f t="shared" si="2"/>
        <v>0</v>
      </c>
      <c r="P25" s="66"/>
      <c r="Q25" s="67"/>
      <c r="R25" s="65">
        <f t="shared" si="3"/>
        <v>0</v>
      </c>
      <c r="S25" s="66"/>
      <c r="T25" s="67"/>
      <c r="U25" s="65">
        <f t="shared" si="4"/>
        <v>0</v>
      </c>
      <c r="V25" s="66"/>
      <c r="W25" s="67"/>
      <c r="X25" s="65">
        <f t="shared" si="5"/>
        <v>0</v>
      </c>
      <c r="Y25" s="66"/>
      <c r="Z25" s="67"/>
      <c r="AA25" s="65">
        <f t="shared" si="6"/>
        <v>0</v>
      </c>
      <c r="AB25" s="66"/>
      <c r="AC25" s="67"/>
      <c r="AD25" s="65">
        <f t="shared" si="7"/>
        <v>0</v>
      </c>
      <c r="AE25" s="66"/>
      <c r="AF25" s="67"/>
      <c r="AG25" s="65">
        <f t="shared" si="8"/>
        <v>0</v>
      </c>
      <c r="AH25" s="66"/>
      <c r="AI25" s="67"/>
      <c r="AJ25" s="65">
        <f t="shared" si="9"/>
        <v>0</v>
      </c>
      <c r="AK25" s="66"/>
      <c r="AL25" s="67"/>
      <c r="AM25" s="65">
        <f t="shared" si="10"/>
        <v>0</v>
      </c>
      <c r="AN25" s="66"/>
      <c r="AO25" s="67"/>
      <c r="AP25" s="63">
        <f t="shared" si="11"/>
        <v>0</v>
      </c>
      <c r="AQ25" s="8" t="e">
        <f t="shared" si="0"/>
        <v>#DIV/0!</v>
      </c>
    </row>
    <row r="26" spans="1:43" ht="18" customHeight="1" x14ac:dyDescent="0.2">
      <c r="A26" s="6"/>
      <c r="B26" s="12"/>
      <c r="C26" s="62"/>
      <c r="D26" s="63"/>
      <c r="E26" s="64"/>
      <c r="F26" s="65">
        <f t="shared" si="12"/>
        <v>0</v>
      </c>
      <c r="G26" s="66"/>
      <c r="H26" s="67"/>
      <c r="I26" s="65">
        <f t="shared" si="13"/>
        <v>0</v>
      </c>
      <c r="J26" s="66"/>
      <c r="K26" s="67"/>
      <c r="L26" s="65">
        <f t="shared" si="1"/>
        <v>0</v>
      </c>
      <c r="M26" s="66"/>
      <c r="N26" s="67"/>
      <c r="O26" s="65">
        <f t="shared" si="2"/>
        <v>0</v>
      </c>
      <c r="P26" s="66"/>
      <c r="Q26" s="67"/>
      <c r="R26" s="65">
        <f t="shared" si="3"/>
        <v>0</v>
      </c>
      <c r="S26" s="66"/>
      <c r="T26" s="67"/>
      <c r="U26" s="65">
        <f t="shared" si="4"/>
        <v>0</v>
      </c>
      <c r="V26" s="66"/>
      <c r="W26" s="67"/>
      <c r="X26" s="65">
        <f t="shared" si="5"/>
        <v>0</v>
      </c>
      <c r="Y26" s="66"/>
      <c r="Z26" s="67"/>
      <c r="AA26" s="65">
        <f t="shared" si="6"/>
        <v>0</v>
      </c>
      <c r="AB26" s="66"/>
      <c r="AC26" s="67"/>
      <c r="AD26" s="65">
        <f t="shared" si="7"/>
        <v>0</v>
      </c>
      <c r="AE26" s="66"/>
      <c r="AF26" s="67"/>
      <c r="AG26" s="65">
        <f t="shared" si="8"/>
        <v>0</v>
      </c>
      <c r="AH26" s="66"/>
      <c r="AI26" s="67"/>
      <c r="AJ26" s="65">
        <f t="shared" si="9"/>
        <v>0</v>
      </c>
      <c r="AK26" s="66"/>
      <c r="AL26" s="67"/>
      <c r="AM26" s="65">
        <f t="shared" si="10"/>
        <v>0</v>
      </c>
      <c r="AN26" s="66"/>
      <c r="AO26" s="67"/>
      <c r="AP26" s="63">
        <f t="shared" si="11"/>
        <v>0</v>
      </c>
      <c r="AQ26" s="8" t="e">
        <f t="shared" si="0"/>
        <v>#DIV/0!</v>
      </c>
    </row>
    <row r="27" spans="1:43" ht="18" customHeight="1" x14ac:dyDescent="0.2">
      <c r="A27" s="6"/>
      <c r="B27" s="12"/>
      <c r="C27" s="62"/>
      <c r="D27" s="63"/>
      <c r="E27" s="64"/>
      <c r="F27" s="65">
        <f t="shared" si="12"/>
        <v>0</v>
      </c>
      <c r="G27" s="66"/>
      <c r="H27" s="67"/>
      <c r="I27" s="65">
        <f t="shared" si="13"/>
        <v>0</v>
      </c>
      <c r="J27" s="66"/>
      <c r="K27" s="67"/>
      <c r="L27" s="65">
        <f t="shared" si="1"/>
        <v>0</v>
      </c>
      <c r="M27" s="66"/>
      <c r="N27" s="67"/>
      <c r="O27" s="65">
        <f t="shared" si="2"/>
        <v>0</v>
      </c>
      <c r="P27" s="66"/>
      <c r="Q27" s="67"/>
      <c r="R27" s="65">
        <f t="shared" si="3"/>
        <v>0</v>
      </c>
      <c r="S27" s="66"/>
      <c r="T27" s="67"/>
      <c r="U27" s="65">
        <f t="shared" si="4"/>
        <v>0</v>
      </c>
      <c r="V27" s="66"/>
      <c r="W27" s="67"/>
      <c r="X27" s="65">
        <f t="shared" si="5"/>
        <v>0</v>
      </c>
      <c r="Y27" s="66"/>
      <c r="Z27" s="67"/>
      <c r="AA27" s="65">
        <f t="shared" si="6"/>
        <v>0</v>
      </c>
      <c r="AB27" s="66"/>
      <c r="AC27" s="67"/>
      <c r="AD27" s="65">
        <f t="shared" si="7"/>
        <v>0</v>
      </c>
      <c r="AE27" s="66"/>
      <c r="AF27" s="67"/>
      <c r="AG27" s="65">
        <f t="shared" si="8"/>
        <v>0</v>
      </c>
      <c r="AH27" s="66"/>
      <c r="AI27" s="67"/>
      <c r="AJ27" s="65">
        <f t="shared" si="9"/>
        <v>0</v>
      </c>
      <c r="AK27" s="66"/>
      <c r="AL27" s="67"/>
      <c r="AM27" s="65">
        <f t="shared" si="10"/>
        <v>0</v>
      </c>
      <c r="AN27" s="66"/>
      <c r="AO27" s="67"/>
      <c r="AP27" s="63">
        <f t="shared" si="11"/>
        <v>0</v>
      </c>
      <c r="AQ27" s="8" t="e">
        <f t="shared" si="0"/>
        <v>#DIV/0!</v>
      </c>
    </row>
    <row r="28" spans="1:43" ht="18" customHeight="1" x14ac:dyDescent="0.2">
      <c r="A28" s="6"/>
      <c r="B28" s="12"/>
      <c r="C28" s="62"/>
      <c r="D28" s="63"/>
      <c r="E28" s="64"/>
      <c r="F28" s="65">
        <f t="shared" si="12"/>
        <v>0</v>
      </c>
      <c r="G28" s="66"/>
      <c r="H28" s="67"/>
      <c r="I28" s="65">
        <f t="shared" si="13"/>
        <v>0</v>
      </c>
      <c r="J28" s="66"/>
      <c r="K28" s="67"/>
      <c r="L28" s="65">
        <f t="shared" si="1"/>
        <v>0</v>
      </c>
      <c r="M28" s="66"/>
      <c r="N28" s="67"/>
      <c r="O28" s="65">
        <f t="shared" si="2"/>
        <v>0</v>
      </c>
      <c r="P28" s="66"/>
      <c r="Q28" s="67"/>
      <c r="R28" s="65">
        <f t="shared" si="3"/>
        <v>0</v>
      </c>
      <c r="S28" s="66"/>
      <c r="T28" s="67"/>
      <c r="U28" s="65">
        <f t="shared" si="4"/>
        <v>0</v>
      </c>
      <c r="V28" s="66"/>
      <c r="W28" s="67"/>
      <c r="X28" s="65">
        <f t="shared" si="5"/>
        <v>0</v>
      </c>
      <c r="Y28" s="66"/>
      <c r="Z28" s="67"/>
      <c r="AA28" s="65">
        <f t="shared" si="6"/>
        <v>0</v>
      </c>
      <c r="AB28" s="66"/>
      <c r="AC28" s="67"/>
      <c r="AD28" s="65">
        <f t="shared" si="7"/>
        <v>0</v>
      </c>
      <c r="AE28" s="66"/>
      <c r="AF28" s="67"/>
      <c r="AG28" s="65">
        <f t="shared" si="8"/>
        <v>0</v>
      </c>
      <c r="AH28" s="66"/>
      <c r="AI28" s="67"/>
      <c r="AJ28" s="65">
        <f t="shared" si="9"/>
        <v>0</v>
      </c>
      <c r="AK28" s="66"/>
      <c r="AL28" s="67"/>
      <c r="AM28" s="65">
        <f t="shared" si="10"/>
        <v>0</v>
      </c>
      <c r="AN28" s="66"/>
      <c r="AO28" s="67"/>
      <c r="AP28" s="63">
        <f t="shared" si="11"/>
        <v>0</v>
      </c>
      <c r="AQ28" s="8" t="e">
        <f t="shared" si="0"/>
        <v>#DIV/0!</v>
      </c>
    </row>
    <row r="29" spans="1:43" ht="18" customHeight="1" x14ac:dyDescent="0.2">
      <c r="A29" s="6"/>
      <c r="B29" s="12"/>
      <c r="C29" s="62"/>
      <c r="D29" s="68"/>
      <c r="E29" s="64"/>
      <c r="F29" s="65">
        <f t="shared" si="12"/>
        <v>0</v>
      </c>
      <c r="G29" s="66"/>
      <c r="H29" s="67"/>
      <c r="I29" s="65">
        <f t="shared" si="13"/>
        <v>0</v>
      </c>
      <c r="J29" s="66"/>
      <c r="K29" s="67"/>
      <c r="L29" s="65">
        <f t="shared" si="1"/>
        <v>0</v>
      </c>
      <c r="M29" s="66"/>
      <c r="N29" s="67"/>
      <c r="O29" s="65">
        <f t="shared" si="2"/>
        <v>0</v>
      </c>
      <c r="P29" s="66"/>
      <c r="Q29" s="67"/>
      <c r="R29" s="65">
        <f t="shared" si="3"/>
        <v>0</v>
      </c>
      <c r="S29" s="66"/>
      <c r="T29" s="67"/>
      <c r="U29" s="65">
        <f t="shared" si="4"/>
        <v>0</v>
      </c>
      <c r="V29" s="66"/>
      <c r="W29" s="67"/>
      <c r="X29" s="65">
        <f t="shared" si="5"/>
        <v>0</v>
      </c>
      <c r="Y29" s="66"/>
      <c r="Z29" s="67"/>
      <c r="AA29" s="65">
        <f t="shared" si="6"/>
        <v>0</v>
      </c>
      <c r="AB29" s="66"/>
      <c r="AC29" s="67"/>
      <c r="AD29" s="65">
        <f t="shared" si="7"/>
        <v>0</v>
      </c>
      <c r="AE29" s="66"/>
      <c r="AF29" s="67"/>
      <c r="AG29" s="65">
        <f t="shared" si="8"/>
        <v>0</v>
      </c>
      <c r="AH29" s="66"/>
      <c r="AI29" s="67"/>
      <c r="AJ29" s="65">
        <f t="shared" si="9"/>
        <v>0</v>
      </c>
      <c r="AK29" s="66"/>
      <c r="AL29" s="67"/>
      <c r="AM29" s="65">
        <f t="shared" si="10"/>
        <v>0</v>
      </c>
      <c r="AN29" s="66"/>
      <c r="AO29" s="67"/>
      <c r="AP29" s="68">
        <f t="shared" si="11"/>
        <v>0</v>
      </c>
      <c r="AQ29" s="8" t="e">
        <f t="shared" si="0"/>
        <v>#DIV/0!</v>
      </c>
    </row>
    <row r="30" spans="1:43" ht="18" customHeight="1" x14ac:dyDescent="0.2">
      <c r="A30" s="6"/>
      <c r="B30" s="12"/>
      <c r="C30" s="62"/>
      <c r="D30" s="68"/>
      <c r="E30" s="64"/>
      <c r="F30" s="65">
        <f t="shared" si="12"/>
        <v>0</v>
      </c>
      <c r="G30" s="66"/>
      <c r="H30" s="67"/>
      <c r="I30" s="65">
        <f t="shared" si="13"/>
        <v>0</v>
      </c>
      <c r="J30" s="66"/>
      <c r="K30" s="67"/>
      <c r="L30" s="65">
        <f t="shared" si="1"/>
        <v>0</v>
      </c>
      <c r="M30" s="66"/>
      <c r="N30" s="67"/>
      <c r="O30" s="65">
        <f t="shared" si="2"/>
        <v>0</v>
      </c>
      <c r="P30" s="66"/>
      <c r="Q30" s="67"/>
      <c r="R30" s="65">
        <f t="shared" si="3"/>
        <v>0</v>
      </c>
      <c r="S30" s="66"/>
      <c r="T30" s="67"/>
      <c r="U30" s="65">
        <f t="shared" si="4"/>
        <v>0</v>
      </c>
      <c r="V30" s="66"/>
      <c r="W30" s="67"/>
      <c r="X30" s="65">
        <f t="shared" si="5"/>
        <v>0</v>
      </c>
      <c r="Y30" s="66"/>
      <c r="Z30" s="67"/>
      <c r="AA30" s="65">
        <f t="shared" si="6"/>
        <v>0</v>
      </c>
      <c r="AB30" s="66"/>
      <c r="AC30" s="67"/>
      <c r="AD30" s="65">
        <f t="shared" si="7"/>
        <v>0</v>
      </c>
      <c r="AE30" s="66"/>
      <c r="AF30" s="67"/>
      <c r="AG30" s="65">
        <f t="shared" si="8"/>
        <v>0</v>
      </c>
      <c r="AH30" s="66"/>
      <c r="AI30" s="67"/>
      <c r="AJ30" s="65">
        <f t="shared" si="9"/>
        <v>0</v>
      </c>
      <c r="AK30" s="66"/>
      <c r="AL30" s="67"/>
      <c r="AM30" s="65">
        <f t="shared" si="10"/>
        <v>0</v>
      </c>
      <c r="AN30" s="66"/>
      <c r="AO30" s="67"/>
      <c r="AP30" s="68">
        <f t="shared" si="11"/>
        <v>0</v>
      </c>
      <c r="AQ30" s="8" t="e">
        <f t="shared" si="0"/>
        <v>#DIV/0!</v>
      </c>
    </row>
    <row r="31" spans="1:43" ht="18" customHeight="1" thickBot="1" x14ac:dyDescent="0.25">
      <c r="A31" s="6"/>
      <c r="B31" s="13"/>
      <c r="C31" s="57"/>
      <c r="D31" s="69"/>
      <c r="E31" s="59"/>
      <c r="F31" s="59">
        <f t="shared" si="12"/>
        <v>0</v>
      </c>
      <c r="G31" s="70"/>
      <c r="H31" s="71"/>
      <c r="I31" s="59">
        <f t="shared" si="13"/>
        <v>0</v>
      </c>
      <c r="J31" s="70"/>
      <c r="K31" s="71"/>
      <c r="L31" s="59">
        <f t="shared" si="1"/>
        <v>0</v>
      </c>
      <c r="M31" s="70"/>
      <c r="N31" s="71"/>
      <c r="O31" s="59">
        <f t="shared" si="2"/>
        <v>0</v>
      </c>
      <c r="P31" s="70"/>
      <c r="Q31" s="71"/>
      <c r="R31" s="59">
        <f t="shared" si="3"/>
        <v>0</v>
      </c>
      <c r="S31" s="70"/>
      <c r="T31" s="71"/>
      <c r="U31" s="59">
        <f t="shared" si="4"/>
        <v>0</v>
      </c>
      <c r="V31" s="70"/>
      <c r="W31" s="71"/>
      <c r="X31" s="59">
        <f t="shared" si="5"/>
        <v>0</v>
      </c>
      <c r="Y31" s="70"/>
      <c r="Z31" s="71"/>
      <c r="AA31" s="59">
        <f t="shared" si="6"/>
        <v>0</v>
      </c>
      <c r="AB31" s="70"/>
      <c r="AC31" s="71"/>
      <c r="AD31" s="59">
        <f t="shared" si="7"/>
        <v>0</v>
      </c>
      <c r="AE31" s="70"/>
      <c r="AF31" s="71"/>
      <c r="AG31" s="59">
        <f t="shared" si="8"/>
        <v>0</v>
      </c>
      <c r="AH31" s="70"/>
      <c r="AI31" s="71"/>
      <c r="AJ31" s="59">
        <f t="shared" si="9"/>
        <v>0</v>
      </c>
      <c r="AK31" s="70"/>
      <c r="AL31" s="71"/>
      <c r="AM31" s="59">
        <f t="shared" si="10"/>
        <v>0</v>
      </c>
      <c r="AN31" s="70"/>
      <c r="AO31" s="71"/>
      <c r="AP31" s="69">
        <f t="shared" si="11"/>
        <v>0</v>
      </c>
      <c r="AQ31" s="7" t="e">
        <f t="shared" si="0"/>
        <v>#DIV/0!</v>
      </c>
    </row>
    <row r="32" spans="1:43" ht="18" customHeight="1" thickTop="1" x14ac:dyDescent="0.2">
      <c r="B32" s="14" t="s">
        <v>33</v>
      </c>
      <c r="C32" s="72">
        <f t="shared" ref="C32" si="14">SUM(C12:C31)</f>
        <v>8232</v>
      </c>
      <c r="D32" s="73">
        <f t="shared" ref="D32:AP32" si="15">SUM(D12:D31)</f>
        <v>1973</v>
      </c>
      <c r="E32" s="74">
        <f t="shared" si="15"/>
        <v>7780</v>
      </c>
      <c r="F32" s="74">
        <f t="shared" si="15"/>
        <v>62</v>
      </c>
      <c r="G32" s="75">
        <f t="shared" si="15"/>
        <v>50</v>
      </c>
      <c r="H32" s="76">
        <f t="shared" si="15"/>
        <v>12</v>
      </c>
      <c r="I32" s="74">
        <f t="shared" ref="I32:N32" si="16">SUM(I12:I31)</f>
        <v>49</v>
      </c>
      <c r="J32" s="75">
        <f t="shared" si="16"/>
        <v>38</v>
      </c>
      <c r="K32" s="76">
        <f t="shared" si="16"/>
        <v>11</v>
      </c>
      <c r="L32" s="74">
        <f t="shared" si="16"/>
        <v>0</v>
      </c>
      <c r="M32" s="75">
        <f t="shared" si="16"/>
        <v>0</v>
      </c>
      <c r="N32" s="76">
        <f t="shared" si="16"/>
        <v>0</v>
      </c>
      <c r="O32" s="74">
        <f t="shared" ref="O32:T32" si="17">SUM(O12:O31)</f>
        <v>0</v>
      </c>
      <c r="P32" s="75">
        <f t="shared" si="17"/>
        <v>0</v>
      </c>
      <c r="Q32" s="76">
        <f t="shared" si="17"/>
        <v>0</v>
      </c>
      <c r="R32" s="74">
        <f t="shared" si="17"/>
        <v>0</v>
      </c>
      <c r="S32" s="75">
        <f t="shared" si="17"/>
        <v>0</v>
      </c>
      <c r="T32" s="76">
        <f t="shared" si="17"/>
        <v>0</v>
      </c>
      <c r="U32" s="74">
        <f t="shared" ref="U32:AI32" si="18">SUM(U12:U31)</f>
        <v>0</v>
      </c>
      <c r="V32" s="75">
        <f t="shared" si="18"/>
        <v>0</v>
      </c>
      <c r="W32" s="76">
        <f t="shared" si="18"/>
        <v>0</v>
      </c>
      <c r="X32" s="74">
        <f t="shared" si="18"/>
        <v>0</v>
      </c>
      <c r="Y32" s="75">
        <f t="shared" si="18"/>
        <v>0</v>
      </c>
      <c r="Z32" s="76">
        <f t="shared" si="18"/>
        <v>0</v>
      </c>
      <c r="AA32" s="74">
        <f t="shared" si="18"/>
        <v>0</v>
      </c>
      <c r="AB32" s="75">
        <f t="shared" si="18"/>
        <v>0</v>
      </c>
      <c r="AC32" s="76">
        <f t="shared" si="18"/>
        <v>0</v>
      </c>
      <c r="AD32" s="74">
        <f t="shared" si="18"/>
        <v>0</v>
      </c>
      <c r="AE32" s="75">
        <f t="shared" si="18"/>
        <v>0</v>
      </c>
      <c r="AF32" s="76">
        <f t="shared" si="18"/>
        <v>0</v>
      </c>
      <c r="AG32" s="74">
        <f t="shared" si="18"/>
        <v>0</v>
      </c>
      <c r="AH32" s="75">
        <f t="shared" si="18"/>
        <v>0</v>
      </c>
      <c r="AI32" s="76">
        <f t="shared" si="18"/>
        <v>0</v>
      </c>
      <c r="AJ32" s="74">
        <f t="shared" ref="AJ32:AO32" si="19">SUM(AJ12:AJ31)</f>
        <v>0</v>
      </c>
      <c r="AK32" s="75">
        <f t="shared" si="19"/>
        <v>0</v>
      </c>
      <c r="AL32" s="76">
        <f t="shared" si="19"/>
        <v>0</v>
      </c>
      <c r="AM32" s="74">
        <f t="shared" si="19"/>
        <v>0</v>
      </c>
      <c r="AN32" s="75">
        <f t="shared" si="19"/>
        <v>0</v>
      </c>
      <c r="AO32" s="76">
        <f t="shared" si="19"/>
        <v>0</v>
      </c>
      <c r="AP32" s="73">
        <f t="shared" si="15"/>
        <v>62</v>
      </c>
      <c r="AQ32" s="9">
        <f>AP32/E32</f>
        <v>7.9691516709511565E-3</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topLeftCell="A13" zoomScale="85" zoomScaleNormal="85" zoomScaleSheetLayoutView="72" workbookViewId="0">
      <selection activeCell="L43" sqref="L43"/>
    </sheetView>
  </sheetViews>
  <sheetFormatPr defaultColWidth="11.36328125" defaultRowHeight="18.75" customHeight="1" x14ac:dyDescent="0.2"/>
  <cols>
    <col min="1" max="1" width="2.7265625" style="40" customWidth="1"/>
    <col min="2" max="2" width="16.6328125" style="1" customWidth="1"/>
    <col min="3" max="3" width="8.90625" style="1" customWidth="1"/>
    <col min="4" max="4" width="2.26953125" style="1" customWidth="1"/>
    <col min="5" max="5" width="16.6328125" style="1" customWidth="1"/>
    <col min="6" max="6" width="4.36328125" style="1" customWidth="1"/>
    <col min="7" max="7" width="9" style="1" customWidth="1"/>
    <col min="8" max="8" width="16.6328125" style="1" customWidth="1"/>
    <col min="9" max="9" width="12.08984375" style="1" customWidth="1"/>
    <col min="10" max="16384" width="11.36328125" style="1"/>
  </cols>
  <sheetData>
    <row r="1" spans="1:9" ht="18.75" customHeight="1" x14ac:dyDescent="0.2">
      <c r="A1" s="40" t="s">
        <v>165</v>
      </c>
      <c r="I1" s="35" t="s">
        <v>104</v>
      </c>
    </row>
    <row r="2" spans="1:9" ht="18.75" customHeight="1" x14ac:dyDescent="0.2">
      <c r="G2" s="35" t="s">
        <v>107</v>
      </c>
      <c r="H2" s="101" t="str">
        <f>'様式１　プログラムを構成する授業科目'!C2</f>
        <v>追手門学院大学</v>
      </c>
      <c r="I2" s="103"/>
    </row>
    <row r="3" spans="1:9" ht="18.75" customHeight="1" x14ac:dyDescent="0.2">
      <c r="G3" s="35"/>
      <c r="H3" s="10"/>
      <c r="I3" s="10"/>
    </row>
    <row r="4" spans="1:9" ht="18.649999999999999" customHeight="1" x14ac:dyDescent="0.2">
      <c r="A4" s="117" t="s">
        <v>36</v>
      </c>
      <c r="B4" s="117"/>
      <c r="C4" s="117"/>
      <c r="D4" s="117"/>
      <c r="E4" s="117"/>
      <c r="F4" s="117"/>
      <c r="G4" s="117"/>
      <c r="H4" s="117"/>
      <c r="I4" s="117"/>
    </row>
    <row r="5" spans="1:9" ht="13.15" customHeight="1" x14ac:dyDescent="0.2">
      <c r="B5" s="3"/>
      <c r="C5" s="3"/>
      <c r="D5" s="3"/>
      <c r="E5" s="3"/>
      <c r="F5" s="3"/>
      <c r="G5" s="3"/>
      <c r="H5" s="3"/>
      <c r="I5" s="3"/>
    </row>
    <row r="6" spans="1:9" ht="18" customHeight="1" x14ac:dyDescent="0.2">
      <c r="A6" s="1" t="s">
        <v>0</v>
      </c>
      <c r="B6" s="10" t="s">
        <v>89</v>
      </c>
      <c r="C6" s="247" t="s">
        <v>90</v>
      </c>
      <c r="D6" s="247"/>
      <c r="E6" s="83">
        <v>204</v>
      </c>
      <c r="F6" s="84" t="s">
        <v>1</v>
      </c>
      <c r="G6" s="84" t="s">
        <v>2</v>
      </c>
      <c r="H6" s="83">
        <v>162</v>
      </c>
      <c r="I6" s="10" t="s">
        <v>1</v>
      </c>
    </row>
    <row r="7" spans="1:9" ht="12" customHeight="1" x14ac:dyDescent="0.2">
      <c r="C7" s="2"/>
      <c r="D7" s="2"/>
      <c r="E7" s="85"/>
      <c r="F7" s="85"/>
      <c r="G7" s="85"/>
      <c r="H7" s="85"/>
      <c r="I7" s="41"/>
    </row>
    <row r="8" spans="1:9" ht="18" customHeight="1" x14ac:dyDescent="0.2">
      <c r="A8" s="1" t="s">
        <v>3</v>
      </c>
      <c r="B8" s="10" t="s">
        <v>91</v>
      </c>
      <c r="E8" s="84"/>
      <c r="F8" s="84"/>
      <c r="G8" s="84"/>
      <c r="H8" s="83">
        <v>4</v>
      </c>
      <c r="I8" s="10" t="s">
        <v>1</v>
      </c>
    </row>
    <row r="9" spans="1:9" ht="9" customHeight="1" x14ac:dyDescent="0.2">
      <c r="B9" s="3"/>
      <c r="C9" s="3"/>
      <c r="D9" s="3"/>
      <c r="E9" s="3"/>
      <c r="F9" s="3"/>
      <c r="G9" s="3"/>
      <c r="H9" s="3"/>
      <c r="I9" s="3"/>
    </row>
    <row r="10" spans="1:9" ht="18" customHeight="1" x14ac:dyDescent="0.2">
      <c r="A10" s="1" t="s">
        <v>4</v>
      </c>
      <c r="B10" s="10" t="s">
        <v>92</v>
      </c>
      <c r="C10" s="3"/>
      <c r="D10" s="3"/>
      <c r="E10" s="3"/>
      <c r="F10" s="3"/>
      <c r="G10" s="3"/>
      <c r="H10" s="3"/>
      <c r="I10" s="3"/>
    </row>
    <row r="11" spans="1:9" ht="18" customHeight="1" x14ac:dyDescent="0.2">
      <c r="B11" s="35" t="s">
        <v>43</v>
      </c>
      <c r="C11" s="242" t="s">
        <v>145</v>
      </c>
      <c r="D11" s="245"/>
      <c r="E11" s="246"/>
      <c r="F11" s="41"/>
      <c r="G11" s="35" t="s">
        <v>10</v>
      </c>
      <c r="H11" s="242" t="s">
        <v>137</v>
      </c>
      <c r="I11" s="246"/>
    </row>
    <row r="12" spans="1:9" ht="10.15" customHeight="1" x14ac:dyDescent="0.2">
      <c r="B12" s="35"/>
      <c r="C12" s="10"/>
      <c r="D12" s="41"/>
      <c r="E12" s="41"/>
      <c r="F12" s="41"/>
      <c r="G12" s="35"/>
      <c r="H12" s="10"/>
      <c r="I12" s="41"/>
    </row>
    <row r="13" spans="1:9" ht="18" customHeight="1" x14ac:dyDescent="0.2">
      <c r="A13" s="1" t="s">
        <v>7</v>
      </c>
      <c r="B13" s="10" t="s">
        <v>86</v>
      </c>
      <c r="C13" s="3"/>
      <c r="D13" s="3"/>
      <c r="E13" s="3"/>
      <c r="F13" s="3"/>
      <c r="G13" s="3"/>
      <c r="H13" s="3"/>
      <c r="I13" s="3"/>
    </row>
    <row r="14" spans="1:9" ht="18" customHeight="1" x14ac:dyDescent="0.2">
      <c r="B14" s="242" t="s">
        <v>156</v>
      </c>
      <c r="C14" s="243"/>
      <c r="D14" s="243"/>
      <c r="E14" s="243"/>
      <c r="F14" s="243"/>
      <c r="G14" s="243"/>
      <c r="H14" s="243"/>
      <c r="I14" s="244"/>
    </row>
    <row r="15" spans="1:9" ht="9" customHeight="1" x14ac:dyDescent="0.2">
      <c r="B15" s="3"/>
      <c r="C15" s="3"/>
      <c r="D15" s="3"/>
      <c r="E15" s="3"/>
      <c r="F15" s="3"/>
      <c r="G15" s="3"/>
      <c r="H15" s="3"/>
      <c r="I15" s="3"/>
    </row>
    <row r="16" spans="1:9" ht="18" customHeight="1" x14ac:dyDescent="0.2">
      <c r="B16" s="35" t="s">
        <v>43</v>
      </c>
      <c r="C16" s="242" t="s">
        <v>138</v>
      </c>
      <c r="D16" s="245"/>
      <c r="E16" s="246"/>
      <c r="F16" s="41"/>
      <c r="G16" s="35" t="s">
        <v>10</v>
      </c>
      <c r="H16" s="242" t="s">
        <v>137</v>
      </c>
      <c r="I16" s="246"/>
    </row>
    <row r="17" spans="1:9" ht="18" customHeight="1" x14ac:dyDescent="0.2">
      <c r="B17" s="3"/>
      <c r="C17" s="3"/>
      <c r="D17" s="3"/>
      <c r="E17" s="3"/>
      <c r="F17" s="3"/>
      <c r="G17" s="3"/>
      <c r="H17" s="3"/>
      <c r="I17" s="3"/>
    </row>
    <row r="18" spans="1:9" ht="18.75" customHeight="1" x14ac:dyDescent="0.2">
      <c r="A18" s="1" t="s">
        <v>5</v>
      </c>
      <c r="B18" s="1" t="s">
        <v>42</v>
      </c>
      <c r="I18" s="3"/>
    </row>
    <row r="19" spans="1:9" ht="18.75" customHeight="1" x14ac:dyDescent="0.2">
      <c r="A19" s="1"/>
      <c r="B19" s="234" t="s">
        <v>157</v>
      </c>
      <c r="C19" s="235"/>
      <c r="D19" s="235"/>
      <c r="E19" s="235"/>
      <c r="F19" s="235"/>
      <c r="G19" s="235"/>
      <c r="H19" s="235"/>
      <c r="I19" s="236"/>
    </row>
    <row r="20" spans="1:9" ht="7.5" customHeight="1" x14ac:dyDescent="0.2">
      <c r="B20" s="3"/>
      <c r="C20" s="3"/>
      <c r="D20" s="3"/>
      <c r="E20" s="3"/>
      <c r="F20" s="3"/>
      <c r="G20" s="3"/>
      <c r="H20" s="3"/>
      <c r="I20" s="3"/>
    </row>
    <row r="21" spans="1:9" ht="18.75" customHeight="1" x14ac:dyDescent="0.2">
      <c r="A21" s="1" t="s">
        <v>8</v>
      </c>
      <c r="B21" s="1" t="s">
        <v>25</v>
      </c>
    </row>
    <row r="22" spans="1:9" ht="18.75" customHeight="1" x14ac:dyDescent="0.2">
      <c r="A22" s="15"/>
      <c r="B22" s="224" t="s">
        <v>146</v>
      </c>
      <c r="C22" s="225"/>
      <c r="D22" s="225"/>
      <c r="E22" s="225"/>
      <c r="F22" s="225"/>
      <c r="G22" s="225"/>
      <c r="H22" s="225"/>
      <c r="I22" s="226"/>
    </row>
    <row r="23" spans="1:9" ht="18.75" customHeight="1" x14ac:dyDescent="0.2">
      <c r="A23" s="15"/>
      <c r="B23" s="237"/>
      <c r="C23" s="238"/>
      <c r="D23" s="238"/>
      <c r="E23" s="238"/>
      <c r="F23" s="238"/>
      <c r="G23" s="238"/>
      <c r="H23" s="238"/>
      <c r="I23" s="229"/>
    </row>
    <row r="24" spans="1:9" ht="18.75" customHeight="1" x14ac:dyDescent="0.2">
      <c r="A24" s="15"/>
      <c r="B24" s="237"/>
      <c r="C24" s="238"/>
      <c r="D24" s="238"/>
      <c r="E24" s="238"/>
      <c r="F24" s="238"/>
      <c r="G24" s="238"/>
      <c r="H24" s="238"/>
      <c r="I24" s="229"/>
    </row>
    <row r="25" spans="1:9" ht="18.75" customHeight="1" x14ac:dyDescent="0.2">
      <c r="A25" s="15"/>
      <c r="B25" s="237"/>
      <c r="C25" s="238"/>
      <c r="D25" s="238"/>
      <c r="E25" s="238"/>
      <c r="F25" s="238"/>
      <c r="G25" s="238"/>
      <c r="H25" s="238"/>
      <c r="I25" s="229"/>
    </row>
    <row r="26" spans="1:9" ht="18.75" customHeight="1" x14ac:dyDescent="0.2">
      <c r="A26" s="15"/>
      <c r="B26" s="237"/>
      <c r="C26" s="238"/>
      <c r="D26" s="238"/>
      <c r="E26" s="238"/>
      <c r="F26" s="238"/>
      <c r="G26" s="238"/>
      <c r="H26" s="238"/>
      <c r="I26" s="229"/>
    </row>
    <row r="27" spans="1:9" ht="18.75" customHeight="1" x14ac:dyDescent="0.2">
      <c r="A27" s="15"/>
      <c r="B27" s="237"/>
      <c r="C27" s="238"/>
      <c r="D27" s="238"/>
      <c r="E27" s="238"/>
      <c r="F27" s="238"/>
      <c r="G27" s="238"/>
      <c r="H27" s="238"/>
      <c r="I27" s="229"/>
    </row>
    <row r="28" spans="1:9" ht="18.75" customHeight="1" x14ac:dyDescent="0.2">
      <c r="A28" s="15"/>
      <c r="B28" s="237"/>
      <c r="C28" s="238"/>
      <c r="D28" s="238"/>
      <c r="E28" s="238"/>
      <c r="F28" s="238"/>
      <c r="G28" s="238"/>
      <c r="H28" s="238"/>
      <c r="I28" s="229"/>
    </row>
    <row r="29" spans="1:9" ht="18.75" customHeight="1" x14ac:dyDescent="0.2">
      <c r="A29" s="15"/>
      <c r="B29" s="237"/>
      <c r="C29" s="238"/>
      <c r="D29" s="238"/>
      <c r="E29" s="238"/>
      <c r="F29" s="238"/>
      <c r="G29" s="238"/>
      <c r="H29" s="238"/>
      <c r="I29" s="229"/>
    </row>
    <row r="30" spans="1:9" ht="18.75" customHeight="1" x14ac:dyDescent="0.2">
      <c r="A30" s="15"/>
      <c r="B30" s="227"/>
      <c r="C30" s="228"/>
      <c r="D30" s="228"/>
      <c r="E30" s="228"/>
      <c r="F30" s="228"/>
      <c r="G30" s="228"/>
      <c r="H30" s="228"/>
      <c r="I30" s="229"/>
    </row>
    <row r="31" spans="1:9" ht="18.75" customHeight="1" x14ac:dyDescent="0.2">
      <c r="A31" s="15"/>
      <c r="B31" s="227"/>
      <c r="C31" s="228"/>
      <c r="D31" s="228"/>
      <c r="E31" s="228"/>
      <c r="F31" s="228"/>
      <c r="G31" s="228"/>
      <c r="H31" s="228"/>
      <c r="I31" s="229"/>
    </row>
    <row r="32" spans="1:9" ht="18.75" customHeight="1" x14ac:dyDescent="0.2">
      <c r="A32" s="15"/>
      <c r="B32" s="230"/>
      <c r="C32" s="231"/>
      <c r="D32" s="231"/>
      <c r="E32" s="231"/>
      <c r="F32" s="231"/>
      <c r="G32" s="231"/>
      <c r="H32" s="231"/>
      <c r="I32" s="232"/>
    </row>
    <row r="33" spans="1:9" ht="7.5" customHeight="1" x14ac:dyDescent="0.2">
      <c r="A33" s="15"/>
      <c r="B33" s="15"/>
      <c r="C33" s="15"/>
      <c r="D33" s="15"/>
      <c r="E33" s="15"/>
      <c r="F33" s="15"/>
      <c r="G33" s="15"/>
      <c r="H33" s="15"/>
      <c r="I33" s="15"/>
    </row>
    <row r="34" spans="1:9" ht="18.75" customHeight="1" x14ac:dyDescent="0.2">
      <c r="A34" s="16" t="s">
        <v>6</v>
      </c>
      <c r="B34" s="16" t="s">
        <v>9</v>
      </c>
      <c r="C34" s="10"/>
      <c r="D34" s="16"/>
      <c r="E34" s="16"/>
      <c r="F34" s="16"/>
      <c r="G34" s="16"/>
      <c r="H34" s="16"/>
      <c r="I34" s="16"/>
    </row>
    <row r="35" spans="1:9" ht="18.75" customHeight="1" x14ac:dyDescent="0.2">
      <c r="A35" s="15"/>
      <c r="B35" s="224" t="s">
        <v>167</v>
      </c>
      <c r="C35" s="225"/>
      <c r="D35" s="225"/>
      <c r="E35" s="225"/>
      <c r="F35" s="225"/>
      <c r="G35" s="225"/>
      <c r="H35" s="225"/>
      <c r="I35" s="226"/>
    </row>
    <row r="36" spans="1:9" ht="18.75" customHeight="1" x14ac:dyDescent="0.2">
      <c r="A36" s="15"/>
      <c r="B36" s="227"/>
      <c r="C36" s="228"/>
      <c r="D36" s="228"/>
      <c r="E36" s="228"/>
      <c r="F36" s="228"/>
      <c r="G36" s="228"/>
      <c r="H36" s="228"/>
      <c r="I36" s="229"/>
    </row>
    <row r="37" spans="1:9" ht="18.75" customHeight="1" x14ac:dyDescent="0.2">
      <c r="A37" s="15"/>
      <c r="B37" s="227"/>
      <c r="C37" s="228"/>
      <c r="D37" s="228"/>
      <c r="E37" s="228"/>
      <c r="F37" s="228"/>
      <c r="G37" s="228"/>
      <c r="H37" s="228"/>
      <c r="I37" s="229"/>
    </row>
    <row r="38" spans="1:9" ht="18.75" customHeight="1" x14ac:dyDescent="0.2">
      <c r="A38" s="15"/>
      <c r="B38" s="227"/>
      <c r="C38" s="228"/>
      <c r="D38" s="228"/>
      <c r="E38" s="228"/>
      <c r="F38" s="228"/>
      <c r="G38" s="228"/>
      <c r="H38" s="228"/>
      <c r="I38" s="229"/>
    </row>
    <row r="39" spans="1:9" ht="18.75" customHeight="1" x14ac:dyDescent="0.2">
      <c r="A39" s="15"/>
      <c r="B39" s="227"/>
      <c r="C39" s="228"/>
      <c r="D39" s="228"/>
      <c r="E39" s="228"/>
      <c r="F39" s="228"/>
      <c r="G39" s="228"/>
      <c r="H39" s="228"/>
      <c r="I39" s="229"/>
    </row>
    <row r="40" spans="1:9" ht="18.75" customHeight="1" x14ac:dyDescent="0.2">
      <c r="A40" s="15"/>
      <c r="B40" s="227"/>
      <c r="C40" s="228"/>
      <c r="D40" s="228"/>
      <c r="E40" s="228"/>
      <c r="F40" s="228"/>
      <c r="G40" s="228"/>
      <c r="H40" s="228"/>
      <c r="I40" s="229"/>
    </row>
    <row r="41" spans="1:9" ht="18.75" customHeight="1" x14ac:dyDescent="0.2">
      <c r="A41" s="15"/>
      <c r="B41" s="227"/>
      <c r="C41" s="228"/>
      <c r="D41" s="228"/>
      <c r="E41" s="228"/>
      <c r="F41" s="228"/>
      <c r="G41" s="228"/>
      <c r="H41" s="228"/>
      <c r="I41" s="229"/>
    </row>
    <row r="42" spans="1:9" ht="18.75" customHeight="1" x14ac:dyDescent="0.2">
      <c r="A42" s="15"/>
      <c r="B42" s="227"/>
      <c r="C42" s="228"/>
      <c r="D42" s="228"/>
      <c r="E42" s="228"/>
      <c r="F42" s="228"/>
      <c r="G42" s="228"/>
      <c r="H42" s="228"/>
      <c r="I42" s="229"/>
    </row>
    <row r="43" spans="1:9" ht="18.75" customHeight="1" x14ac:dyDescent="0.2">
      <c r="A43" s="15"/>
      <c r="B43" s="227"/>
      <c r="C43" s="228"/>
      <c r="D43" s="228"/>
      <c r="E43" s="228"/>
      <c r="F43" s="228"/>
      <c r="G43" s="228"/>
      <c r="H43" s="228"/>
      <c r="I43" s="229"/>
    </row>
    <row r="44" spans="1:9" ht="18.75" customHeight="1" x14ac:dyDescent="0.2">
      <c r="A44" s="15"/>
      <c r="B44" s="227"/>
      <c r="C44" s="228"/>
      <c r="D44" s="228"/>
      <c r="E44" s="228"/>
      <c r="F44" s="228"/>
      <c r="G44" s="228"/>
      <c r="H44" s="228"/>
      <c r="I44" s="229"/>
    </row>
    <row r="45" spans="1:9" ht="18.75" customHeight="1" x14ac:dyDescent="0.2">
      <c r="A45" s="15"/>
      <c r="B45" s="227"/>
      <c r="C45" s="228"/>
      <c r="D45" s="228"/>
      <c r="E45" s="228"/>
      <c r="F45" s="228"/>
      <c r="G45" s="228"/>
      <c r="H45" s="228"/>
      <c r="I45" s="229"/>
    </row>
    <row r="46" spans="1:9" ht="18.75" customHeight="1" x14ac:dyDescent="0.2">
      <c r="A46" s="15"/>
      <c r="B46" s="230"/>
      <c r="C46" s="231"/>
      <c r="D46" s="231"/>
      <c r="E46" s="231"/>
      <c r="F46" s="231"/>
      <c r="G46" s="231"/>
      <c r="H46" s="231"/>
      <c r="I46" s="232"/>
    </row>
    <row r="47" spans="1:9" ht="7.5" customHeight="1" x14ac:dyDescent="0.2">
      <c r="A47" s="4"/>
      <c r="B47" s="4"/>
      <c r="C47" s="4"/>
      <c r="D47" s="4"/>
      <c r="E47" s="4"/>
      <c r="F47" s="4"/>
      <c r="G47" s="4"/>
      <c r="H47" s="4"/>
      <c r="I47" s="4"/>
    </row>
    <row r="48" spans="1:9" ht="18.75" customHeight="1" x14ac:dyDescent="0.2">
      <c r="A48" s="1" t="s">
        <v>31</v>
      </c>
      <c r="B48" s="1" t="s">
        <v>121</v>
      </c>
    </row>
    <row r="49" spans="1:15" s="3" customFormat="1" ht="18.75" customHeight="1" x14ac:dyDescent="0.2">
      <c r="B49" s="42" t="s">
        <v>87</v>
      </c>
      <c r="C49" s="213">
        <f>'様式２ 履修者等数の実績'!AQ32</f>
        <v>7.9691516709511565E-3</v>
      </c>
      <c r="D49" s="213"/>
      <c r="E49" s="79" t="s">
        <v>65</v>
      </c>
      <c r="F49" s="213">
        <v>3.6999999999999998E-2</v>
      </c>
      <c r="G49" s="213"/>
      <c r="H49" s="79" t="s">
        <v>66</v>
      </c>
      <c r="I49" s="80">
        <v>5.1999999999999998E-2</v>
      </c>
      <c r="J49" s="1"/>
      <c r="M49" s="1"/>
      <c r="N49" s="43"/>
    </row>
    <row r="50" spans="1:15" s="3" customFormat="1" ht="18.75" customHeight="1" x14ac:dyDescent="0.2">
      <c r="B50" s="44" t="s">
        <v>67</v>
      </c>
      <c r="C50" s="214">
        <v>6.4000000000000001E-2</v>
      </c>
      <c r="D50" s="214"/>
      <c r="E50" s="81" t="s">
        <v>88</v>
      </c>
      <c r="F50" s="214">
        <v>7.3999999999999996E-2</v>
      </c>
      <c r="G50" s="214"/>
      <c r="H50" s="81" t="s">
        <v>68</v>
      </c>
      <c r="I50" s="82">
        <f>'様式２ 履修者等数の実績'!E32</f>
        <v>7780</v>
      </c>
      <c r="J50" s="1"/>
      <c r="M50" s="1"/>
      <c r="N50" s="43"/>
    </row>
    <row r="51" spans="1:15" ht="18.75" customHeight="1" x14ac:dyDescent="0.2">
      <c r="A51" s="1"/>
      <c r="B51" s="239" t="s">
        <v>69</v>
      </c>
      <c r="C51" s="240"/>
      <c r="D51" s="240"/>
      <c r="E51" s="240"/>
      <c r="F51" s="240"/>
      <c r="G51" s="240"/>
      <c r="H51" s="240"/>
      <c r="I51" s="241"/>
      <c r="N51" s="43"/>
      <c r="O51" s="3"/>
    </row>
    <row r="52" spans="1:15" ht="18.75" customHeight="1" x14ac:dyDescent="0.2">
      <c r="A52" s="1"/>
      <c r="B52" s="215" t="s">
        <v>182</v>
      </c>
      <c r="C52" s="216"/>
      <c r="D52" s="216"/>
      <c r="E52" s="216"/>
      <c r="F52" s="216"/>
      <c r="G52" s="216"/>
      <c r="H52" s="216"/>
      <c r="I52" s="217"/>
      <c r="N52" s="43"/>
      <c r="O52" s="3"/>
    </row>
    <row r="53" spans="1:15" ht="18.75" customHeight="1" x14ac:dyDescent="0.2">
      <c r="A53" s="1"/>
      <c r="B53" s="218"/>
      <c r="C53" s="219"/>
      <c r="D53" s="219"/>
      <c r="E53" s="219"/>
      <c r="F53" s="219"/>
      <c r="G53" s="219"/>
      <c r="H53" s="219"/>
      <c r="I53" s="220"/>
      <c r="N53" s="43"/>
      <c r="O53" s="3"/>
    </row>
    <row r="54" spans="1:15" ht="18.75" customHeight="1" x14ac:dyDescent="0.2">
      <c r="A54" s="1"/>
      <c r="B54" s="218"/>
      <c r="C54" s="219"/>
      <c r="D54" s="219"/>
      <c r="E54" s="219"/>
      <c r="F54" s="219"/>
      <c r="G54" s="219"/>
      <c r="H54" s="219"/>
      <c r="I54" s="220"/>
    </row>
    <row r="55" spans="1:15" ht="18.75" customHeight="1" x14ac:dyDescent="0.2">
      <c r="A55" s="1"/>
      <c r="B55" s="218"/>
      <c r="C55" s="219"/>
      <c r="D55" s="219"/>
      <c r="E55" s="219"/>
      <c r="F55" s="219"/>
      <c r="G55" s="219"/>
      <c r="H55" s="219"/>
      <c r="I55" s="220"/>
    </row>
    <row r="56" spans="1:15" ht="18.75" customHeight="1" x14ac:dyDescent="0.2">
      <c r="A56" s="1"/>
      <c r="B56" s="218"/>
      <c r="C56" s="219"/>
      <c r="D56" s="219"/>
      <c r="E56" s="219"/>
      <c r="F56" s="219"/>
      <c r="G56" s="219"/>
      <c r="H56" s="219"/>
      <c r="I56" s="220"/>
    </row>
    <row r="57" spans="1:15" ht="18.75" customHeight="1" x14ac:dyDescent="0.2">
      <c r="A57" s="1"/>
      <c r="B57" s="218"/>
      <c r="C57" s="219"/>
      <c r="D57" s="219"/>
      <c r="E57" s="219"/>
      <c r="F57" s="219"/>
      <c r="G57" s="219"/>
      <c r="H57" s="219"/>
      <c r="I57" s="220"/>
    </row>
    <row r="58" spans="1:15" ht="18.75" customHeight="1" x14ac:dyDescent="0.2">
      <c r="A58" s="1"/>
      <c r="B58" s="218"/>
      <c r="C58" s="219"/>
      <c r="D58" s="219"/>
      <c r="E58" s="219"/>
      <c r="F58" s="219"/>
      <c r="G58" s="219"/>
      <c r="H58" s="219"/>
      <c r="I58" s="220"/>
    </row>
    <row r="59" spans="1:15" ht="18.75" customHeight="1" x14ac:dyDescent="0.2">
      <c r="A59" s="1"/>
      <c r="B59" s="218"/>
      <c r="C59" s="219"/>
      <c r="D59" s="219"/>
      <c r="E59" s="219"/>
      <c r="F59" s="219"/>
      <c r="G59" s="219"/>
      <c r="H59" s="219"/>
      <c r="I59" s="220"/>
    </row>
    <row r="60" spans="1:15" ht="18.75" customHeight="1" x14ac:dyDescent="0.2">
      <c r="A60" s="1"/>
      <c r="B60" s="218"/>
      <c r="C60" s="219"/>
      <c r="D60" s="219"/>
      <c r="E60" s="219"/>
      <c r="F60" s="219"/>
      <c r="G60" s="219"/>
      <c r="H60" s="219"/>
      <c r="I60" s="220"/>
    </row>
    <row r="61" spans="1:15" ht="18.75" customHeight="1" x14ac:dyDescent="0.2">
      <c r="A61" s="1"/>
      <c r="B61" s="218"/>
      <c r="C61" s="219"/>
      <c r="D61" s="219"/>
      <c r="E61" s="219"/>
      <c r="F61" s="219"/>
      <c r="G61" s="219"/>
      <c r="H61" s="219"/>
      <c r="I61" s="220"/>
    </row>
    <row r="62" spans="1:15" ht="18.75" customHeight="1" x14ac:dyDescent="0.2">
      <c r="A62" s="1"/>
      <c r="B62" s="218"/>
      <c r="C62" s="219"/>
      <c r="D62" s="219"/>
      <c r="E62" s="219"/>
      <c r="F62" s="219"/>
      <c r="G62" s="219"/>
      <c r="H62" s="219"/>
      <c r="I62" s="220"/>
    </row>
    <row r="63" spans="1:15" ht="18.75" customHeight="1" x14ac:dyDescent="0.2">
      <c r="A63" s="1"/>
      <c r="B63" s="221"/>
      <c r="C63" s="222"/>
      <c r="D63" s="222"/>
      <c r="E63" s="222"/>
      <c r="F63" s="222"/>
      <c r="G63" s="222"/>
      <c r="H63" s="222"/>
      <c r="I63" s="223"/>
    </row>
    <row r="64" spans="1:15" ht="7.5" customHeight="1" x14ac:dyDescent="0.2">
      <c r="A64" s="15"/>
      <c r="B64" s="15"/>
      <c r="C64" s="15"/>
      <c r="D64" s="15"/>
      <c r="E64" s="15"/>
      <c r="F64" s="15"/>
      <c r="G64" s="15"/>
      <c r="H64" s="15"/>
      <c r="I64" s="15"/>
    </row>
    <row r="65" spans="1:9" ht="18.75" customHeight="1" x14ac:dyDescent="0.2">
      <c r="A65" s="16" t="s">
        <v>34</v>
      </c>
      <c r="B65" s="1" t="s">
        <v>37</v>
      </c>
      <c r="I65" s="16"/>
    </row>
    <row r="66" spans="1:9" ht="18.75" customHeight="1" x14ac:dyDescent="0.2">
      <c r="A66" s="4"/>
      <c r="B66" s="197" t="s">
        <v>158</v>
      </c>
      <c r="C66" s="198"/>
      <c r="D66" s="198"/>
      <c r="E66" s="198"/>
      <c r="F66" s="198"/>
      <c r="G66" s="198"/>
      <c r="H66" s="198"/>
      <c r="I66" s="199"/>
    </row>
    <row r="67" spans="1:9" ht="18.75" customHeight="1" x14ac:dyDescent="0.2">
      <c r="A67" s="4"/>
      <c r="B67" s="200"/>
      <c r="C67" s="201"/>
      <c r="D67" s="201"/>
      <c r="E67" s="201"/>
      <c r="F67" s="201"/>
      <c r="G67" s="201"/>
      <c r="H67" s="201"/>
      <c r="I67" s="202"/>
    </row>
    <row r="68" spans="1:9" ht="18.75" customHeight="1" x14ac:dyDescent="0.2">
      <c r="A68" s="4"/>
      <c r="B68" s="200"/>
      <c r="C68" s="201"/>
      <c r="D68" s="201"/>
      <c r="E68" s="201"/>
      <c r="F68" s="201"/>
      <c r="G68" s="201"/>
      <c r="H68" s="201"/>
      <c r="I68" s="202"/>
    </row>
    <row r="69" spans="1:9" ht="18.75" customHeight="1" x14ac:dyDescent="0.2">
      <c r="A69" s="4"/>
      <c r="B69" s="200"/>
      <c r="C69" s="201"/>
      <c r="D69" s="201"/>
      <c r="E69" s="201"/>
      <c r="F69" s="201"/>
      <c r="G69" s="201"/>
      <c r="H69" s="201"/>
      <c r="I69" s="202"/>
    </row>
    <row r="70" spans="1:9" ht="18.75" customHeight="1" x14ac:dyDescent="0.2">
      <c r="A70" s="4"/>
      <c r="B70" s="200"/>
      <c r="C70" s="201"/>
      <c r="D70" s="201"/>
      <c r="E70" s="201"/>
      <c r="F70" s="201"/>
      <c r="G70" s="201"/>
      <c r="H70" s="201"/>
      <c r="I70" s="202"/>
    </row>
    <row r="71" spans="1:9" ht="18.75" customHeight="1" x14ac:dyDescent="0.2">
      <c r="A71" s="4"/>
      <c r="B71" s="200"/>
      <c r="C71" s="201"/>
      <c r="D71" s="201"/>
      <c r="E71" s="201"/>
      <c r="F71" s="201"/>
      <c r="G71" s="201"/>
      <c r="H71" s="201"/>
      <c r="I71" s="202"/>
    </row>
    <row r="72" spans="1:9" ht="18.75" customHeight="1" x14ac:dyDescent="0.2">
      <c r="A72" s="4"/>
      <c r="B72" s="200"/>
      <c r="C72" s="201"/>
      <c r="D72" s="201"/>
      <c r="E72" s="201"/>
      <c r="F72" s="201"/>
      <c r="G72" s="201"/>
      <c r="H72" s="201"/>
      <c r="I72" s="202"/>
    </row>
    <row r="73" spans="1:9" ht="18.75" customHeight="1" x14ac:dyDescent="0.2">
      <c r="A73" s="4"/>
      <c r="B73" s="200"/>
      <c r="C73" s="201"/>
      <c r="D73" s="201"/>
      <c r="E73" s="201"/>
      <c r="F73" s="201"/>
      <c r="G73" s="201"/>
      <c r="H73" s="201"/>
      <c r="I73" s="202"/>
    </row>
    <row r="74" spans="1:9" ht="18.75" customHeight="1" x14ac:dyDescent="0.2">
      <c r="A74" s="4"/>
      <c r="B74" s="200"/>
      <c r="C74" s="201"/>
      <c r="D74" s="201"/>
      <c r="E74" s="201"/>
      <c r="F74" s="201"/>
      <c r="G74" s="201"/>
      <c r="H74" s="201"/>
      <c r="I74" s="202"/>
    </row>
    <row r="75" spans="1:9" ht="18.75" customHeight="1" x14ac:dyDescent="0.2">
      <c r="A75" s="4"/>
      <c r="B75" s="200"/>
      <c r="C75" s="201"/>
      <c r="D75" s="201"/>
      <c r="E75" s="201"/>
      <c r="F75" s="201"/>
      <c r="G75" s="201"/>
      <c r="H75" s="201"/>
      <c r="I75" s="202"/>
    </row>
    <row r="76" spans="1:9" ht="18.75" customHeight="1" x14ac:dyDescent="0.2">
      <c r="A76" s="4"/>
      <c r="B76" s="200"/>
      <c r="C76" s="201"/>
      <c r="D76" s="201"/>
      <c r="E76" s="201"/>
      <c r="F76" s="201"/>
      <c r="G76" s="201"/>
      <c r="H76" s="201"/>
      <c r="I76" s="202"/>
    </row>
    <row r="77" spans="1:9" ht="18.75" customHeight="1" x14ac:dyDescent="0.2">
      <c r="A77" s="4"/>
      <c r="B77" s="203"/>
      <c r="C77" s="204"/>
      <c r="D77" s="204"/>
      <c r="E77" s="204"/>
      <c r="F77" s="204"/>
      <c r="G77" s="204"/>
      <c r="H77" s="204"/>
      <c r="I77" s="205"/>
    </row>
    <row r="78" spans="1:9" ht="7.5" customHeight="1" x14ac:dyDescent="0.2">
      <c r="A78" s="4"/>
      <c r="B78" s="4"/>
      <c r="C78" s="4"/>
      <c r="D78" s="4"/>
      <c r="E78" s="4"/>
      <c r="F78" s="4"/>
      <c r="G78" s="4"/>
      <c r="H78" s="4"/>
      <c r="I78" s="4"/>
    </row>
    <row r="79" spans="1:9" ht="18.75" customHeight="1" x14ac:dyDescent="0.2">
      <c r="A79" s="1" t="s">
        <v>11</v>
      </c>
      <c r="B79" s="1" t="s">
        <v>41</v>
      </c>
    </row>
    <row r="80" spans="1:9" ht="18.75" customHeight="1" x14ac:dyDescent="0.2">
      <c r="A80" s="1"/>
      <c r="B80" s="197" t="s">
        <v>159</v>
      </c>
      <c r="C80" s="198"/>
      <c r="D80" s="198"/>
      <c r="E80" s="198"/>
      <c r="F80" s="198"/>
      <c r="G80" s="198"/>
      <c r="H80" s="198"/>
      <c r="I80" s="206"/>
    </row>
    <row r="81" spans="1:9" ht="18.75" customHeight="1" x14ac:dyDescent="0.2">
      <c r="A81" s="1"/>
      <c r="B81" s="207"/>
      <c r="C81" s="208"/>
      <c r="D81" s="208"/>
      <c r="E81" s="208"/>
      <c r="F81" s="208"/>
      <c r="G81" s="208"/>
      <c r="H81" s="208"/>
      <c r="I81" s="209"/>
    </row>
    <row r="82" spans="1:9" ht="18.75" customHeight="1" x14ac:dyDescent="0.2">
      <c r="A82" s="1"/>
      <c r="B82" s="207"/>
      <c r="C82" s="208"/>
      <c r="D82" s="208"/>
      <c r="E82" s="208"/>
      <c r="F82" s="208"/>
      <c r="G82" s="208"/>
      <c r="H82" s="208"/>
      <c r="I82" s="209"/>
    </row>
    <row r="83" spans="1:9" ht="18.75" customHeight="1" x14ac:dyDescent="0.2">
      <c r="A83" s="1"/>
      <c r="B83" s="207"/>
      <c r="C83" s="208"/>
      <c r="D83" s="208"/>
      <c r="E83" s="208"/>
      <c r="F83" s="208"/>
      <c r="G83" s="208"/>
      <c r="H83" s="208"/>
      <c r="I83" s="209"/>
    </row>
    <row r="84" spans="1:9" ht="18.75" customHeight="1" x14ac:dyDescent="0.2">
      <c r="A84" s="1"/>
      <c r="B84" s="207"/>
      <c r="C84" s="208"/>
      <c r="D84" s="208"/>
      <c r="E84" s="208"/>
      <c r="F84" s="208"/>
      <c r="G84" s="208"/>
      <c r="H84" s="208"/>
      <c r="I84" s="209"/>
    </row>
    <row r="85" spans="1:9" ht="18.75" customHeight="1" x14ac:dyDescent="0.2">
      <c r="A85" s="1"/>
      <c r="B85" s="207"/>
      <c r="C85" s="208"/>
      <c r="D85" s="208"/>
      <c r="E85" s="208"/>
      <c r="F85" s="208"/>
      <c r="G85" s="208"/>
      <c r="H85" s="208"/>
      <c r="I85" s="209"/>
    </row>
    <row r="86" spans="1:9" ht="18.75" customHeight="1" x14ac:dyDescent="0.2">
      <c r="A86" s="1"/>
      <c r="B86" s="207"/>
      <c r="C86" s="208"/>
      <c r="D86" s="208"/>
      <c r="E86" s="208"/>
      <c r="F86" s="208"/>
      <c r="G86" s="208"/>
      <c r="H86" s="208"/>
      <c r="I86" s="209"/>
    </row>
    <row r="87" spans="1:9" ht="18.75" customHeight="1" x14ac:dyDescent="0.2">
      <c r="A87" s="1"/>
      <c r="B87" s="207"/>
      <c r="C87" s="208"/>
      <c r="D87" s="208"/>
      <c r="E87" s="208"/>
      <c r="F87" s="208"/>
      <c r="G87" s="208"/>
      <c r="H87" s="208"/>
      <c r="I87" s="209"/>
    </row>
    <row r="88" spans="1:9" ht="18.75" customHeight="1" x14ac:dyDescent="0.2">
      <c r="A88" s="1"/>
      <c r="B88" s="207"/>
      <c r="C88" s="208"/>
      <c r="D88" s="208"/>
      <c r="E88" s="208"/>
      <c r="F88" s="208"/>
      <c r="G88" s="208"/>
      <c r="H88" s="208"/>
      <c r="I88" s="209"/>
    </row>
    <row r="89" spans="1:9" ht="18.75" customHeight="1" x14ac:dyDescent="0.2">
      <c r="A89" s="1"/>
      <c r="B89" s="207"/>
      <c r="C89" s="208"/>
      <c r="D89" s="208"/>
      <c r="E89" s="208"/>
      <c r="F89" s="208"/>
      <c r="G89" s="208"/>
      <c r="H89" s="208"/>
      <c r="I89" s="209"/>
    </row>
    <row r="90" spans="1:9" ht="18.75" customHeight="1" x14ac:dyDescent="0.2">
      <c r="A90" s="4"/>
      <c r="B90" s="207"/>
      <c r="C90" s="208"/>
      <c r="D90" s="208"/>
      <c r="E90" s="208"/>
      <c r="F90" s="208"/>
      <c r="G90" s="208"/>
      <c r="H90" s="208"/>
      <c r="I90" s="209"/>
    </row>
    <row r="91" spans="1:9" ht="18.75" customHeight="1" x14ac:dyDescent="0.2">
      <c r="A91" s="4"/>
      <c r="B91" s="210"/>
      <c r="C91" s="211"/>
      <c r="D91" s="211"/>
      <c r="E91" s="211"/>
      <c r="F91" s="211"/>
      <c r="G91" s="211"/>
      <c r="H91" s="211"/>
      <c r="I91" s="212"/>
    </row>
    <row r="92" spans="1:9" ht="7.5" customHeight="1" x14ac:dyDescent="0.2">
      <c r="A92" s="4"/>
      <c r="B92" s="4"/>
      <c r="C92" s="4"/>
      <c r="D92" s="4"/>
      <c r="E92" s="4"/>
      <c r="F92" s="4"/>
      <c r="G92" s="4"/>
      <c r="H92" s="4"/>
      <c r="I92" s="4"/>
    </row>
    <row r="93" spans="1:9" ht="18.75" customHeight="1" x14ac:dyDescent="0.2">
      <c r="A93" s="1" t="s">
        <v>44</v>
      </c>
      <c r="B93" s="1" t="s">
        <v>13</v>
      </c>
    </row>
    <row r="94" spans="1:9" ht="18.75" customHeight="1" x14ac:dyDescent="0.2">
      <c r="A94" s="1"/>
      <c r="B94" s="224" t="s">
        <v>160</v>
      </c>
      <c r="C94" s="225"/>
      <c r="D94" s="225"/>
      <c r="E94" s="225"/>
      <c r="F94" s="225"/>
      <c r="G94" s="225"/>
      <c r="H94" s="225"/>
      <c r="I94" s="226"/>
    </row>
    <row r="95" spans="1:9" ht="18.75" customHeight="1" x14ac:dyDescent="0.2">
      <c r="A95" s="1"/>
      <c r="B95" s="227"/>
      <c r="C95" s="228"/>
      <c r="D95" s="228"/>
      <c r="E95" s="228"/>
      <c r="F95" s="228"/>
      <c r="G95" s="228"/>
      <c r="H95" s="228"/>
      <c r="I95" s="229"/>
    </row>
    <row r="96" spans="1:9" ht="18.75" customHeight="1" x14ac:dyDescent="0.2">
      <c r="A96" s="1"/>
      <c r="B96" s="227"/>
      <c r="C96" s="228"/>
      <c r="D96" s="228"/>
      <c r="E96" s="228"/>
      <c r="F96" s="228"/>
      <c r="G96" s="228"/>
      <c r="H96" s="228"/>
      <c r="I96" s="229"/>
    </row>
    <row r="97" spans="1:9" ht="18.75" customHeight="1" x14ac:dyDescent="0.2">
      <c r="A97" s="1"/>
      <c r="B97" s="227"/>
      <c r="C97" s="228"/>
      <c r="D97" s="228"/>
      <c r="E97" s="228"/>
      <c r="F97" s="228"/>
      <c r="G97" s="228"/>
      <c r="H97" s="228"/>
      <c r="I97" s="229"/>
    </row>
    <row r="98" spans="1:9" ht="18.75" customHeight="1" x14ac:dyDescent="0.2">
      <c r="A98" s="1"/>
      <c r="B98" s="227"/>
      <c r="C98" s="228"/>
      <c r="D98" s="228"/>
      <c r="E98" s="228"/>
      <c r="F98" s="228"/>
      <c r="G98" s="228"/>
      <c r="H98" s="228"/>
      <c r="I98" s="229"/>
    </row>
    <row r="99" spans="1:9" ht="18.75" customHeight="1" x14ac:dyDescent="0.2">
      <c r="A99" s="1"/>
      <c r="B99" s="227"/>
      <c r="C99" s="228"/>
      <c r="D99" s="228"/>
      <c r="E99" s="228"/>
      <c r="F99" s="228"/>
      <c r="G99" s="228"/>
      <c r="H99" s="228"/>
      <c r="I99" s="229"/>
    </row>
    <row r="100" spans="1:9" ht="18.75" customHeight="1" x14ac:dyDescent="0.2">
      <c r="A100" s="1"/>
      <c r="B100" s="227"/>
      <c r="C100" s="228"/>
      <c r="D100" s="228"/>
      <c r="E100" s="228"/>
      <c r="F100" s="228"/>
      <c r="G100" s="228"/>
      <c r="H100" s="228"/>
      <c r="I100" s="229"/>
    </row>
    <row r="101" spans="1:9" ht="18.75" customHeight="1" x14ac:dyDescent="0.2">
      <c r="A101" s="1"/>
      <c r="B101" s="227"/>
      <c r="C101" s="228"/>
      <c r="D101" s="228"/>
      <c r="E101" s="228"/>
      <c r="F101" s="228"/>
      <c r="G101" s="228"/>
      <c r="H101" s="228"/>
      <c r="I101" s="229"/>
    </row>
    <row r="102" spans="1:9" ht="18.75" customHeight="1" x14ac:dyDescent="0.2">
      <c r="A102" s="1"/>
      <c r="B102" s="227"/>
      <c r="C102" s="228"/>
      <c r="D102" s="228"/>
      <c r="E102" s="228"/>
      <c r="F102" s="228"/>
      <c r="G102" s="228"/>
      <c r="H102" s="228"/>
      <c r="I102" s="229"/>
    </row>
    <row r="103" spans="1:9" ht="18.75" customHeight="1" x14ac:dyDescent="0.2">
      <c r="A103" s="1"/>
      <c r="B103" s="227"/>
      <c r="C103" s="228"/>
      <c r="D103" s="228"/>
      <c r="E103" s="228"/>
      <c r="F103" s="228"/>
      <c r="G103" s="228"/>
      <c r="H103" s="228"/>
      <c r="I103" s="229"/>
    </row>
    <row r="104" spans="1:9" ht="18.75" customHeight="1" x14ac:dyDescent="0.2">
      <c r="A104" s="1"/>
      <c r="B104" s="227"/>
      <c r="C104" s="228"/>
      <c r="D104" s="228"/>
      <c r="E104" s="228"/>
      <c r="F104" s="228"/>
      <c r="G104" s="228"/>
      <c r="H104" s="228"/>
      <c r="I104" s="229"/>
    </row>
    <row r="105" spans="1:9" ht="18.75" customHeight="1" x14ac:dyDescent="0.2">
      <c r="A105" s="4"/>
      <c r="B105" s="230"/>
      <c r="C105" s="231"/>
      <c r="D105" s="231"/>
      <c r="E105" s="231"/>
      <c r="F105" s="231"/>
      <c r="G105" s="231"/>
      <c r="H105" s="231"/>
      <c r="I105" s="232"/>
    </row>
    <row r="106" spans="1:9" ht="7.5" customHeight="1" x14ac:dyDescent="0.2">
      <c r="A106" s="4"/>
      <c r="B106" s="4"/>
      <c r="C106" s="4"/>
      <c r="D106" s="4"/>
      <c r="E106" s="4"/>
      <c r="F106" s="4"/>
      <c r="G106" s="4"/>
      <c r="H106" s="4"/>
      <c r="I106" s="4"/>
    </row>
    <row r="107" spans="1:9" ht="18.75" customHeight="1" x14ac:dyDescent="0.2">
      <c r="A107" s="1" t="s">
        <v>30</v>
      </c>
      <c r="B107" s="233" t="s">
        <v>46</v>
      </c>
      <c r="C107" s="233"/>
      <c r="D107" s="233"/>
      <c r="E107" s="233"/>
      <c r="F107" s="233"/>
      <c r="G107" s="233"/>
      <c r="H107" s="233"/>
      <c r="I107" s="233"/>
    </row>
    <row r="108" spans="1:9" ht="18.75" customHeight="1" x14ac:dyDescent="0.2">
      <c r="A108" s="4"/>
      <c r="B108" s="224" t="s">
        <v>161</v>
      </c>
      <c r="C108" s="225"/>
      <c r="D108" s="225"/>
      <c r="E108" s="225"/>
      <c r="F108" s="225"/>
      <c r="G108" s="225"/>
      <c r="H108" s="225"/>
      <c r="I108" s="226"/>
    </row>
    <row r="109" spans="1:9" ht="18.75" customHeight="1" x14ac:dyDescent="0.2">
      <c r="A109" s="4"/>
      <c r="B109" s="227"/>
      <c r="C109" s="228"/>
      <c r="D109" s="228"/>
      <c r="E109" s="228"/>
      <c r="F109" s="228"/>
      <c r="G109" s="228"/>
      <c r="H109" s="228"/>
      <c r="I109" s="229"/>
    </row>
    <row r="110" spans="1:9" ht="18.75" customHeight="1" x14ac:dyDescent="0.2">
      <c r="A110" s="4"/>
      <c r="B110" s="227"/>
      <c r="C110" s="228"/>
      <c r="D110" s="228"/>
      <c r="E110" s="228"/>
      <c r="F110" s="228"/>
      <c r="G110" s="228"/>
      <c r="H110" s="228"/>
      <c r="I110" s="229"/>
    </row>
    <row r="111" spans="1:9" ht="18.75" customHeight="1" x14ac:dyDescent="0.2">
      <c r="A111" s="4"/>
      <c r="B111" s="227"/>
      <c r="C111" s="228"/>
      <c r="D111" s="228"/>
      <c r="E111" s="228"/>
      <c r="F111" s="228"/>
      <c r="G111" s="228"/>
      <c r="H111" s="228"/>
      <c r="I111" s="229"/>
    </row>
    <row r="112" spans="1:9" ht="18.75" customHeight="1" x14ac:dyDescent="0.2">
      <c r="A112" s="4"/>
      <c r="B112" s="227"/>
      <c r="C112" s="228"/>
      <c r="D112" s="228"/>
      <c r="E112" s="228"/>
      <c r="F112" s="228"/>
      <c r="G112" s="228"/>
      <c r="H112" s="228"/>
      <c r="I112" s="229"/>
    </row>
    <row r="113" spans="1:9" ht="18.75" customHeight="1" x14ac:dyDescent="0.2">
      <c r="A113" s="4"/>
      <c r="B113" s="227"/>
      <c r="C113" s="228"/>
      <c r="D113" s="228"/>
      <c r="E113" s="228"/>
      <c r="F113" s="228"/>
      <c r="G113" s="228"/>
      <c r="H113" s="228"/>
      <c r="I113" s="229"/>
    </row>
    <row r="114" spans="1:9" ht="18.75" customHeight="1" x14ac:dyDescent="0.2">
      <c r="A114" s="4"/>
      <c r="B114" s="227"/>
      <c r="C114" s="228"/>
      <c r="D114" s="228"/>
      <c r="E114" s="228"/>
      <c r="F114" s="228"/>
      <c r="G114" s="228"/>
      <c r="H114" s="228"/>
      <c r="I114" s="229"/>
    </row>
    <row r="115" spans="1:9" ht="18.75" customHeight="1" x14ac:dyDescent="0.2">
      <c r="A115" s="4"/>
      <c r="B115" s="227"/>
      <c r="C115" s="228"/>
      <c r="D115" s="228"/>
      <c r="E115" s="228"/>
      <c r="F115" s="228"/>
      <c r="G115" s="228"/>
      <c r="H115" s="228"/>
      <c r="I115" s="229"/>
    </row>
    <row r="116" spans="1:9" ht="18.75" customHeight="1" x14ac:dyDescent="0.2">
      <c r="A116" s="4"/>
      <c r="B116" s="227"/>
      <c r="C116" s="228"/>
      <c r="D116" s="228"/>
      <c r="E116" s="228"/>
      <c r="F116" s="228"/>
      <c r="G116" s="228"/>
      <c r="H116" s="228"/>
      <c r="I116" s="229"/>
    </row>
    <row r="117" spans="1:9" ht="18.75" customHeight="1" x14ac:dyDescent="0.2">
      <c r="A117" s="4"/>
      <c r="B117" s="227"/>
      <c r="C117" s="228"/>
      <c r="D117" s="228"/>
      <c r="E117" s="228"/>
      <c r="F117" s="228"/>
      <c r="G117" s="228"/>
      <c r="H117" s="228"/>
      <c r="I117" s="229"/>
    </row>
    <row r="118" spans="1:9" ht="18.75" customHeight="1" x14ac:dyDescent="0.2">
      <c r="A118" s="4"/>
      <c r="B118" s="227"/>
      <c r="C118" s="228"/>
      <c r="D118" s="228"/>
      <c r="E118" s="228"/>
      <c r="F118" s="228"/>
      <c r="G118" s="228"/>
      <c r="H118" s="228"/>
      <c r="I118" s="229"/>
    </row>
    <row r="119" spans="1:9" ht="18.75" customHeight="1" x14ac:dyDescent="0.2">
      <c r="A119" s="4"/>
      <c r="B119" s="230"/>
      <c r="C119" s="231"/>
      <c r="D119" s="231"/>
      <c r="E119" s="231"/>
      <c r="F119" s="231"/>
      <c r="G119" s="231"/>
      <c r="H119" s="231"/>
      <c r="I119" s="232"/>
    </row>
    <row r="120" spans="1:9" ht="7.5" customHeight="1" x14ac:dyDescent="0.2">
      <c r="A120" s="4"/>
      <c r="B120" s="45"/>
      <c r="C120" s="45"/>
      <c r="D120" s="45"/>
      <c r="E120" s="45"/>
      <c r="F120" s="45"/>
      <c r="G120" s="45"/>
      <c r="H120" s="45"/>
      <c r="I120" s="45"/>
    </row>
    <row r="121" spans="1:9" ht="18.75" customHeight="1" x14ac:dyDescent="0.2">
      <c r="A121" s="4"/>
      <c r="B121" s="4"/>
      <c r="C121" s="4"/>
      <c r="D121" s="4"/>
      <c r="E121" s="4"/>
      <c r="F121" s="4"/>
      <c r="G121" s="4"/>
      <c r="H121" s="4"/>
      <c r="I121" s="4"/>
    </row>
    <row r="122" spans="1:9" ht="18.75" customHeight="1" x14ac:dyDescent="0.2">
      <c r="A122" s="4"/>
      <c r="B122" s="4"/>
      <c r="C122" s="4"/>
      <c r="D122" s="4"/>
      <c r="E122" s="4"/>
      <c r="F122" s="4"/>
      <c r="G122" s="4"/>
      <c r="H122" s="4"/>
      <c r="I122" s="4"/>
    </row>
    <row r="123" spans="1:9" ht="18.75" customHeight="1" x14ac:dyDescent="0.2">
      <c r="A123" s="4"/>
      <c r="B123" s="4"/>
      <c r="C123" s="4"/>
      <c r="D123" s="4"/>
      <c r="E123" s="4"/>
      <c r="F123" s="4"/>
      <c r="G123" s="4"/>
      <c r="H123" s="4"/>
      <c r="I123" s="4"/>
    </row>
    <row r="124" spans="1:9" ht="18.75" customHeight="1" x14ac:dyDescent="0.2">
      <c r="A124" s="4"/>
      <c r="B124" s="4"/>
      <c r="C124" s="4"/>
      <c r="D124" s="4"/>
      <c r="E124" s="4"/>
      <c r="F124" s="4"/>
      <c r="G124" s="4"/>
      <c r="H124" s="4"/>
      <c r="I124" s="4"/>
    </row>
    <row r="125" spans="1:9" ht="18.75" customHeight="1" x14ac:dyDescent="0.2">
      <c r="A125" s="4"/>
      <c r="B125" s="4"/>
      <c r="C125" s="4"/>
      <c r="D125" s="4"/>
      <c r="E125" s="4"/>
      <c r="F125" s="4"/>
      <c r="G125" s="4"/>
      <c r="H125" s="4"/>
      <c r="I125" s="4"/>
    </row>
    <row r="126" spans="1:9" ht="18.75" customHeight="1" x14ac:dyDescent="0.2">
      <c r="A126" s="4"/>
      <c r="B126" s="4"/>
      <c r="C126" s="4"/>
      <c r="D126" s="4"/>
      <c r="E126" s="4"/>
      <c r="F126" s="4"/>
      <c r="G126" s="4"/>
      <c r="H126" s="4"/>
      <c r="I126" s="4"/>
    </row>
    <row r="127" spans="1:9" ht="18.75" customHeight="1" x14ac:dyDescent="0.2">
      <c r="A127" s="4"/>
      <c r="B127" s="4"/>
      <c r="C127" s="4"/>
      <c r="D127" s="4"/>
      <c r="E127" s="4"/>
      <c r="F127" s="4"/>
      <c r="G127" s="4"/>
      <c r="H127" s="4"/>
      <c r="I127" s="4"/>
    </row>
    <row r="128" spans="1:9" ht="18.75" customHeight="1" x14ac:dyDescent="0.2">
      <c r="A128" s="4"/>
      <c r="B128" s="4"/>
      <c r="C128" s="4"/>
      <c r="D128" s="4"/>
      <c r="E128" s="4"/>
      <c r="F128" s="4"/>
      <c r="G128" s="4"/>
      <c r="H128" s="4"/>
      <c r="I128" s="4"/>
    </row>
    <row r="129" spans="1:9" ht="18.75" customHeight="1" x14ac:dyDescent="0.2">
      <c r="A129" s="4"/>
      <c r="B129" s="4"/>
      <c r="C129" s="4"/>
      <c r="D129" s="4"/>
      <c r="E129" s="4"/>
      <c r="F129" s="4"/>
      <c r="G129" s="4"/>
      <c r="H129" s="4"/>
      <c r="I129" s="4"/>
    </row>
    <row r="130" spans="1:9" ht="18.75" customHeight="1" x14ac:dyDescent="0.2">
      <c r="A130" s="4"/>
      <c r="B130" s="4"/>
      <c r="C130" s="4"/>
      <c r="D130" s="4"/>
      <c r="E130" s="4"/>
      <c r="F130" s="4"/>
      <c r="G130" s="4"/>
      <c r="H130" s="4"/>
      <c r="I130" s="4"/>
    </row>
    <row r="131" spans="1:9" ht="18.75" customHeight="1" x14ac:dyDescent="0.2">
      <c r="A131" s="4"/>
      <c r="B131" s="4"/>
      <c r="C131" s="4"/>
      <c r="D131" s="4"/>
      <c r="E131" s="4"/>
      <c r="F131" s="4"/>
      <c r="G131" s="4"/>
      <c r="H131" s="4"/>
      <c r="I131" s="4"/>
    </row>
    <row r="132" spans="1:9" ht="18.75" customHeight="1" x14ac:dyDescent="0.2">
      <c r="A132" s="4"/>
      <c r="B132" s="4"/>
      <c r="C132" s="4"/>
      <c r="D132" s="4"/>
      <c r="E132" s="4"/>
      <c r="F132" s="4"/>
      <c r="G132" s="4"/>
      <c r="H132" s="4"/>
      <c r="I132" s="4"/>
    </row>
    <row r="133" spans="1:9" ht="14" x14ac:dyDescent="0.2">
      <c r="A133" s="4"/>
      <c r="B133" s="4"/>
      <c r="C133" s="4"/>
      <c r="D133" s="4"/>
      <c r="E133" s="4"/>
      <c r="F133" s="4"/>
      <c r="G133" s="4"/>
      <c r="H133" s="4"/>
      <c r="I133" s="4"/>
    </row>
    <row r="134" spans="1:9" ht="7.5" customHeight="1" x14ac:dyDescent="0.2">
      <c r="A134" s="46"/>
      <c r="B134" s="46"/>
      <c r="C134" s="46"/>
      <c r="D134" s="46"/>
      <c r="E134" s="46"/>
      <c r="F134" s="46"/>
      <c r="G134" s="46"/>
      <c r="H134" s="46"/>
      <c r="I134" s="46"/>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rowBreaks count="2" manualBreakCount="2">
    <brk id="47" max="9" man="1"/>
    <brk id="91"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zoomScale="85" zoomScaleNormal="85" zoomScaleSheetLayoutView="55" workbookViewId="0">
      <selection activeCell="E12" sqref="E12"/>
    </sheetView>
  </sheetViews>
  <sheetFormatPr defaultColWidth="11.36328125" defaultRowHeight="22.5" customHeight="1" x14ac:dyDescent="0.2"/>
  <cols>
    <col min="1" max="3" width="2.7265625" style="1" customWidth="1"/>
    <col min="4" max="4" width="22.26953125" style="1" customWidth="1"/>
    <col min="5" max="5" width="30.7265625" style="1" customWidth="1"/>
    <col min="6" max="7" width="7.7265625" style="1" customWidth="1"/>
    <col min="8" max="9" width="30.7265625" style="1" customWidth="1"/>
    <col min="10" max="10" width="4.08984375" style="1" customWidth="1"/>
    <col min="11" max="16384" width="11.36328125" style="1"/>
  </cols>
  <sheetData>
    <row r="1" spans="1:9" ht="18.75" customHeight="1" x14ac:dyDescent="0.2">
      <c r="A1" s="1" t="s">
        <v>166</v>
      </c>
      <c r="I1" s="35" t="s">
        <v>103</v>
      </c>
    </row>
    <row r="2" spans="1:9" ht="18.75" customHeight="1" x14ac:dyDescent="0.2">
      <c r="H2" s="35" t="s">
        <v>107</v>
      </c>
      <c r="I2" s="34" t="str">
        <f>'様式１　プログラムを構成する授業科目'!C2</f>
        <v>追手門学院大学</v>
      </c>
    </row>
    <row r="3" spans="1:9" ht="18.75" customHeight="1" x14ac:dyDescent="0.2">
      <c r="A3" s="117" t="s">
        <v>28</v>
      </c>
      <c r="B3" s="117"/>
      <c r="C3" s="117"/>
      <c r="D3" s="117"/>
      <c r="E3" s="117"/>
      <c r="F3" s="117"/>
      <c r="G3" s="117"/>
      <c r="H3" s="117"/>
      <c r="I3" s="117"/>
    </row>
    <row r="4" spans="1:9" ht="18.75" customHeight="1" x14ac:dyDescent="0.2">
      <c r="A4" s="5"/>
      <c r="B4" s="5"/>
      <c r="C4" s="5"/>
      <c r="D4" s="5"/>
      <c r="E4" s="5"/>
      <c r="F4" s="5"/>
      <c r="G4" s="5"/>
      <c r="H4" s="5"/>
      <c r="I4" s="5"/>
    </row>
    <row r="5" spans="1:9" ht="18.75" customHeight="1" x14ac:dyDescent="0.2">
      <c r="A5" s="1" t="s">
        <v>0</v>
      </c>
      <c r="B5" s="10" t="s">
        <v>93</v>
      </c>
      <c r="C5" s="5"/>
      <c r="D5" s="5"/>
      <c r="E5" s="5"/>
      <c r="F5" s="5"/>
      <c r="G5" s="5"/>
      <c r="H5" s="5"/>
      <c r="I5" s="5"/>
    </row>
    <row r="6" spans="1:9" ht="26.25" customHeight="1" x14ac:dyDescent="0.2">
      <c r="A6" s="5"/>
      <c r="B6" s="242" t="s">
        <v>169</v>
      </c>
      <c r="C6" s="270"/>
      <c r="D6" s="270"/>
      <c r="E6" s="270"/>
      <c r="F6" s="270"/>
      <c r="G6" s="270"/>
      <c r="H6" s="271"/>
      <c r="I6" s="3"/>
    </row>
    <row r="7" spans="1:9" ht="9" customHeight="1" x14ac:dyDescent="0.2">
      <c r="A7" s="5"/>
      <c r="B7" s="10"/>
      <c r="C7" s="10"/>
      <c r="D7" s="10"/>
      <c r="E7" s="10"/>
      <c r="F7" s="10"/>
      <c r="G7" s="10"/>
      <c r="H7" s="10"/>
      <c r="I7" s="3"/>
    </row>
    <row r="8" spans="1:9" ht="18.75" customHeight="1" x14ac:dyDescent="0.2">
      <c r="A8" s="5"/>
      <c r="B8" s="3"/>
      <c r="C8" s="3"/>
      <c r="D8" s="35" t="s">
        <v>43</v>
      </c>
      <c r="E8" s="87" t="s">
        <v>162</v>
      </c>
      <c r="F8" s="84"/>
      <c r="G8" s="88" t="s">
        <v>10</v>
      </c>
      <c r="H8" s="87" t="s">
        <v>163</v>
      </c>
      <c r="I8" s="3"/>
    </row>
    <row r="9" spans="1:9" ht="7.5" customHeight="1" x14ac:dyDescent="0.2">
      <c r="A9" s="5"/>
      <c r="B9" s="5"/>
      <c r="C9" s="5"/>
      <c r="D9" s="5"/>
      <c r="E9" s="5"/>
      <c r="F9" s="5"/>
      <c r="G9" s="5"/>
      <c r="H9" s="5"/>
      <c r="I9" s="5"/>
    </row>
    <row r="10" spans="1:9" ht="18.75" customHeight="1" x14ac:dyDescent="0.2">
      <c r="A10" s="1" t="s">
        <v>3</v>
      </c>
      <c r="B10" s="1" t="s">
        <v>27</v>
      </c>
      <c r="C10" s="4"/>
      <c r="D10" s="4"/>
      <c r="E10" s="4"/>
      <c r="F10" s="4"/>
      <c r="G10" s="4"/>
      <c r="H10" s="4"/>
      <c r="I10" s="4"/>
    </row>
    <row r="11" spans="1:9" ht="18.75" customHeight="1" x14ac:dyDescent="0.2">
      <c r="B11" s="101" t="s">
        <v>24</v>
      </c>
      <c r="C11" s="102"/>
      <c r="D11" s="103"/>
      <c r="E11" s="102" t="s">
        <v>26</v>
      </c>
      <c r="F11" s="102"/>
      <c r="G11" s="102"/>
      <c r="H11" s="102"/>
      <c r="I11" s="103"/>
    </row>
    <row r="12" spans="1:9" ht="26.25" customHeight="1" x14ac:dyDescent="0.2">
      <c r="B12" s="47" t="s">
        <v>14</v>
      </c>
      <c r="C12" s="53"/>
      <c r="D12" s="48"/>
      <c r="E12" s="54"/>
      <c r="F12" s="54"/>
      <c r="G12" s="54"/>
      <c r="H12" s="54"/>
      <c r="I12" s="48"/>
    </row>
    <row r="13" spans="1:9" ht="210.75" customHeight="1" x14ac:dyDescent="0.2">
      <c r="B13" s="49"/>
      <c r="C13" s="253" t="s">
        <v>15</v>
      </c>
      <c r="D13" s="254"/>
      <c r="E13" s="266" t="s">
        <v>147</v>
      </c>
      <c r="F13" s="255"/>
      <c r="G13" s="255"/>
      <c r="H13" s="255"/>
      <c r="I13" s="256"/>
    </row>
    <row r="14" spans="1:9" ht="210.75" customHeight="1" x14ac:dyDescent="0.2">
      <c r="B14" s="49"/>
      <c r="C14" s="268" t="s">
        <v>16</v>
      </c>
      <c r="D14" s="269"/>
      <c r="E14" s="266" t="s">
        <v>148</v>
      </c>
      <c r="F14" s="255"/>
      <c r="G14" s="255"/>
      <c r="H14" s="255"/>
      <c r="I14" s="256"/>
    </row>
    <row r="15" spans="1:9" ht="210.75" customHeight="1" x14ac:dyDescent="0.2">
      <c r="B15" s="49"/>
      <c r="C15" s="253" t="s">
        <v>17</v>
      </c>
      <c r="D15" s="254"/>
      <c r="E15" s="266" t="s">
        <v>149</v>
      </c>
      <c r="F15" s="255"/>
      <c r="G15" s="255"/>
      <c r="H15" s="255"/>
      <c r="I15" s="256"/>
    </row>
    <row r="16" spans="1:9" ht="210.75" customHeight="1" x14ac:dyDescent="0.2">
      <c r="B16" s="49"/>
      <c r="C16" s="253" t="s">
        <v>18</v>
      </c>
      <c r="D16" s="254"/>
      <c r="E16" s="266" t="s">
        <v>150</v>
      </c>
      <c r="F16" s="255"/>
      <c r="G16" s="255"/>
      <c r="H16" s="255"/>
      <c r="I16" s="256"/>
    </row>
    <row r="17" spans="2:9" ht="210.75" customHeight="1" x14ac:dyDescent="0.2">
      <c r="B17" s="50"/>
      <c r="C17" s="257" t="s">
        <v>19</v>
      </c>
      <c r="D17" s="258"/>
      <c r="E17" s="267" t="s">
        <v>151</v>
      </c>
      <c r="F17" s="259"/>
      <c r="G17" s="259"/>
      <c r="H17" s="259"/>
      <c r="I17" s="260"/>
    </row>
    <row r="18" spans="2:9" ht="24" customHeight="1" x14ac:dyDescent="0.2">
      <c r="B18" s="47" t="s">
        <v>20</v>
      </c>
      <c r="C18" s="51"/>
      <c r="D18" s="52"/>
      <c r="E18" s="77"/>
      <c r="F18" s="77"/>
      <c r="G18" s="77"/>
      <c r="H18" s="77"/>
      <c r="I18" s="78"/>
    </row>
    <row r="19" spans="2:9" ht="218.25" customHeight="1" x14ac:dyDescent="0.2">
      <c r="B19" s="49"/>
      <c r="C19" s="253" t="s">
        <v>21</v>
      </c>
      <c r="D19" s="254"/>
      <c r="E19" s="255" t="s">
        <v>152</v>
      </c>
      <c r="F19" s="255"/>
      <c r="G19" s="255"/>
      <c r="H19" s="255"/>
      <c r="I19" s="256"/>
    </row>
    <row r="20" spans="2:9" ht="218.25" customHeight="1" x14ac:dyDescent="0.2">
      <c r="B20" s="50"/>
      <c r="C20" s="257" t="s">
        <v>22</v>
      </c>
      <c r="D20" s="258"/>
      <c r="E20" s="259" t="s">
        <v>153</v>
      </c>
      <c r="F20" s="259"/>
      <c r="G20" s="259"/>
      <c r="H20" s="259"/>
      <c r="I20" s="260"/>
    </row>
    <row r="21" spans="2:9" ht="218.25" customHeight="1" x14ac:dyDescent="0.2">
      <c r="B21" s="261" t="s">
        <v>23</v>
      </c>
      <c r="C21" s="262"/>
      <c r="D21" s="263"/>
      <c r="E21" s="264" t="s">
        <v>164</v>
      </c>
      <c r="F21" s="264"/>
      <c r="G21" s="264"/>
      <c r="H21" s="264"/>
      <c r="I21" s="265"/>
    </row>
    <row r="22" spans="2:9" ht="218.25" customHeight="1" x14ac:dyDescent="0.2">
      <c r="B22" s="248" t="s">
        <v>38</v>
      </c>
      <c r="C22" s="249"/>
      <c r="D22" s="250"/>
      <c r="E22" s="251" t="s">
        <v>154</v>
      </c>
      <c r="F22" s="251"/>
      <c r="G22" s="251"/>
      <c r="H22" s="251"/>
      <c r="I22" s="252"/>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5"/>
      <c r="C28" s="15"/>
      <c r="D28" s="15"/>
      <c r="E28" s="15"/>
      <c r="F28" s="15"/>
      <c r="G28" s="15"/>
      <c r="H28" s="15"/>
      <c r="I28" s="15"/>
    </row>
    <row r="29" spans="2:9" ht="22.5" customHeight="1" x14ac:dyDescent="0.2">
      <c r="B29" s="15"/>
      <c r="C29" s="15"/>
      <c r="D29" s="15"/>
      <c r="E29" s="15"/>
      <c r="F29" s="15"/>
      <c r="G29" s="15"/>
      <c r="H29" s="15"/>
      <c r="I29" s="15"/>
    </row>
    <row r="30" spans="2:9" ht="22.5" customHeight="1" x14ac:dyDescent="0.2">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宗　浩嗣</cp:lastModifiedBy>
  <cp:lastPrinted>2023-04-05T05:51:19Z</cp:lastPrinted>
  <dcterms:created xsi:type="dcterms:W3CDTF">2011-06-14T05:32:50Z</dcterms:created>
  <dcterms:modified xsi:type="dcterms:W3CDTF">2023-06-21T08:46:35Z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