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K:\高等教育推進課\44_数理DSAI教育\プログラム申請関連資料\1_リテラシーレベル申請書式\R5年度申請書\申請書類一式\申請書類\02_四天王寺大学_リテラシー(修正)\"/>
    </mc:Choice>
  </mc:AlternateContent>
  <bookViews>
    <workbookView xWindow="0" yWindow="0" windowWidth="21570" windowHeight="9405"/>
  </bookViews>
  <sheets>
    <sheet name="様式１　プログラムを構成する授業科目 " sheetId="1" r:id="rId1"/>
    <sheet name="様式２ 履修者等数の実績" sheetId="2" r:id="rId2"/>
    <sheet name="様式３ 教育の質・履修者数を向上させるための体制・計画" sheetId="3" r:id="rId3"/>
    <sheet name="様式４　自己点検・評価" sheetId="4" r:id="rId4"/>
  </sheets>
  <calcPr calcId="162913"/>
  <extLst>
    <ext uri="GoogleSheetsCustomDataVersion2">
      <go:sheetsCustomData xmlns:go="http://customooxmlschemas.google.com/" r:id="rId8" roundtripDataChecksum="1n3uBgNHchdBH202U6xk7vgtTOCDJoBVvEH2hCdIb98="/>
    </ext>
  </extLst>
</workbook>
</file>

<file path=xl/calcChain.xml><?xml version="1.0" encoding="utf-8"?>
<calcChain xmlns="http://schemas.openxmlformats.org/spreadsheetml/2006/main">
  <c r="AO32" i="2" l="1"/>
  <c r="AN32" i="2"/>
  <c r="AL32" i="2"/>
  <c r="AK32" i="2"/>
  <c r="AI32" i="2"/>
  <c r="AH32" i="2"/>
  <c r="AF32" i="2"/>
  <c r="AE32" i="2"/>
  <c r="AC32" i="2"/>
  <c r="AB32" i="2"/>
  <c r="Z32" i="2"/>
  <c r="Y32" i="2"/>
  <c r="W32" i="2"/>
  <c r="V32" i="2"/>
  <c r="T32" i="2"/>
  <c r="S32" i="2"/>
  <c r="Q32" i="2"/>
  <c r="P32" i="2"/>
  <c r="N32" i="2"/>
  <c r="M32" i="2"/>
  <c r="K32" i="2"/>
  <c r="J32" i="2"/>
  <c r="H32" i="2"/>
  <c r="G32" i="2"/>
  <c r="E32" i="2"/>
  <c r="I50" i="3" s="1"/>
  <c r="D32" i="2"/>
  <c r="C32" i="2"/>
  <c r="AM31" i="2"/>
  <c r="AJ31" i="2"/>
  <c r="AG31" i="2"/>
  <c r="AD31" i="2"/>
  <c r="AA31" i="2"/>
  <c r="X31" i="2"/>
  <c r="U31" i="2"/>
  <c r="R31" i="2"/>
  <c r="O31" i="2"/>
  <c r="L31" i="2"/>
  <c r="I31" i="2"/>
  <c r="F31" i="2"/>
  <c r="AP31" i="2" s="1"/>
  <c r="AQ31" i="2" s="1"/>
  <c r="AM30" i="2"/>
  <c r="AJ30" i="2"/>
  <c r="AG30" i="2"/>
  <c r="AD30" i="2"/>
  <c r="AA30" i="2"/>
  <c r="X30" i="2"/>
  <c r="U30" i="2"/>
  <c r="R30" i="2"/>
  <c r="O30" i="2"/>
  <c r="L30" i="2"/>
  <c r="I30" i="2"/>
  <c r="F30" i="2"/>
  <c r="AP30" i="2" s="1"/>
  <c r="AQ30" i="2" s="1"/>
  <c r="AM29" i="2"/>
  <c r="AJ29" i="2"/>
  <c r="AG29" i="2"/>
  <c r="AD29" i="2"/>
  <c r="AA29" i="2"/>
  <c r="X29" i="2"/>
  <c r="U29" i="2"/>
  <c r="R29" i="2"/>
  <c r="O29" i="2"/>
  <c r="L29" i="2"/>
  <c r="I29" i="2"/>
  <c r="F29" i="2"/>
  <c r="AP29" i="2" s="1"/>
  <c r="AQ29" i="2" s="1"/>
  <c r="AM28" i="2"/>
  <c r="AJ28" i="2"/>
  <c r="AG28" i="2"/>
  <c r="AD28" i="2"/>
  <c r="AA28" i="2"/>
  <c r="X28" i="2"/>
  <c r="U28" i="2"/>
  <c r="R28" i="2"/>
  <c r="AP28" i="2" s="1"/>
  <c r="AQ28" i="2" s="1"/>
  <c r="O28" i="2"/>
  <c r="L28" i="2"/>
  <c r="I28" i="2"/>
  <c r="F28" i="2"/>
  <c r="AM27" i="2"/>
  <c r="AJ27" i="2"/>
  <c r="AG27" i="2"/>
  <c r="AD27" i="2"/>
  <c r="AA27" i="2"/>
  <c r="X27" i="2"/>
  <c r="U27" i="2"/>
  <c r="R27" i="2"/>
  <c r="O27" i="2"/>
  <c r="L27" i="2"/>
  <c r="I27" i="2"/>
  <c r="F27" i="2"/>
  <c r="AP27" i="2" s="1"/>
  <c r="AQ27" i="2" s="1"/>
  <c r="AM26" i="2"/>
  <c r="AJ26" i="2"/>
  <c r="AG26" i="2"/>
  <c r="AD26" i="2"/>
  <c r="AA26" i="2"/>
  <c r="X26" i="2"/>
  <c r="U26" i="2"/>
  <c r="R26" i="2"/>
  <c r="O26" i="2"/>
  <c r="L26" i="2"/>
  <c r="I26" i="2"/>
  <c r="F26" i="2"/>
  <c r="AP26" i="2" s="1"/>
  <c r="AQ26" i="2" s="1"/>
  <c r="AM25" i="2"/>
  <c r="AJ25" i="2"/>
  <c r="AG25" i="2"/>
  <c r="AD25" i="2"/>
  <c r="AA25" i="2"/>
  <c r="X25" i="2"/>
  <c r="U25" i="2"/>
  <c r="R25" i="2"/>
  <c r="O25" i="2"/>
  <c r="L25" i="2"/>
  <c r="I25" i="2"/>
  <c r="F25" i="2"/>
  <c r="AP25" i="2" s="1"/>
  <c r="AQ25" i="2" s="1"/>
  <c r="AM24" i="2"/>
  <c r="AJ24" i="2"/>
  <c r="AG24" i="2"/>
  <c r="AD24" i="2"/>
  <c r="AA24" i="2"/>
  <c r="X24" i="2"/>
  <c r="U24" i="2"/>
  <c r="R24" i="2"/>
  <c r="AP24" i="2" s="1"/>
  <c r="AQ24" i="2" s="1"/>
  <c r="O24" i="2"/>
  <c r="L24" i="2"/>
  <c r="I24" i="2"/>
  <c r="F24" i="2"/>
  <c r="AM23" i="2"/>
  <c r="AJ23" i="2"/>
  <c r="AG23" i="2"/>
  <c r="AD23" i="2"/>
  <c r="AA23" i="2"/>
  <c r="X23" i="2"/>
  <c r="U23" i="2"/>
  <c r="R23" i="2"/>
  <c r="O23" i="2"/>
  <c r="L23" i="2"/>
  <c r="I23" i="2"/>
  <c r="F23" i="2"/>
  <c r="AP23" i="2" s="1"/>
  <c r="AQ23" i="2" s="1"/>
  <c r="AM22" i="2"/>
  <c r="AJ22" i="2"/>
  <c r="AG22" i="2"/>
  <c r="AD22" i="2"/>
  <c r="AA22" i="2"/>
  <c r="X22" i="2"/>
  <c r="U22" i="2"/>
  <c r="R22" i="2"/>
  <c r="O22" i="2"/>
  <c r="L22" i="2"/>
  <c r="I22" i="2"/>
  <c r="F22" i="2"/>
  <c r="AP22" i="2" s="1"/>
  <c r="AQ22" i="2" s="1"/>
  <c r="AM21" i="2"/>
  <c r="AJ21" i="2"/>
  <c r="AG21" i="2"/>
  <c r="AD21" i="2"/>
  <c r="AA21" i="2"/>
  <c r="X21" i="2"/>
  <c r="U21" i="2"/>
  <c r="R21" i="2"/>
  <c r="O21" i="2"/>
  <c r="L21" i="2"/>
  <c r="I21" i="2"/>
  <c r="F21" i="2"/>
  <c r="AP21" i="2" s="1"/>
  <c r="AQ21" i="2" s="1"/>
  <c r="AM20" i="2"/>
  <c r="AJ20" i="2"/>
  <c r="AG20" i="2"/>
  <c r="AD20" i="2"/>
  <c r="AA20" i="2"/>
  <c r="X20" i="2"/>
  <c r="U20" i="2"/>
  <c r="R20" i="2"/>
  <c r="AP20" i="2" s="1"/>
  <c r="AQ20" i="2" s="1"/>
  <c r="O20" i="2"/>
  <c r="L20" i="2"/>
  <c r="I20" i="2"/>
  <c r="F20" i="2"/>
  <c r="AM19" i="2"/>
  <c r="AJ19" i="2"/>
  <c r="AG19" i="2"/>
  <c r="AD19" i="2"/>
  <c r="AA19" i="2"/>
  <c r="X19" i="2"/>
  <c r="U19" i="2"/>
  <c r="R19" i="2"/>
  <c r="O19" i="2"/>
  <c r="L19" i="2"/>
  <c r="AP19" i="2" s="1"/>
  <c r="AQ19" i="2" s="1"/>
  <c r="I19" i="2"/>
  <c r="F19" i="2"/>
  <c r="AM18" i="2"/>
  <c r="AJ18" i="2"/>
  <c r="AG18" i="2"/>
  <c r="AD18" i="2"/>
  <c r="AA18" i="2"/>
  <c r="X18" i="2"/>
  <c r="U18" i="2"/>
  <c r="R18" i="2"/>
  <c r="O18" i="2"/>
  <c r="L18" i="2"/>
  <c r="I18" i="2"/>
  <c r="F18" i="2"/>
  <c r="AP18" i="2" s="1"/>
  <c r="AQ18" i="2" s="1"/>
  <c r="AM17" i="2"/>
  <c r="AJ17" i="2"/>
  <c r="AG17" i="2"/>
  <c r="AD17" i="2"/>
  <c r="AA17" i="2"/>
  <c r="X17" i="2"/>
  <c r="U17" i="2"/>
  <c r="R17" i="2"/>
  <c r="O17" i="2"/>
  <c r="L17" i="2"/>
  <c r="I17" i="2"/>
  <c r="F17" i="2"/>
  <c r="AP17" i="2" s="1"/>
  <c r="AQ17" i="2" s="1"/>
  <c r="AM16" i="2"/>
  <c r="AJ16" i="2"/>
  <c r="AG16" i="2"/>
  <c r="AD16" i="2"/>
  <c r="AA16" i="2"/>
  <c r="X16" i="2"/>
  <c r="U16" i="2"/>
  <c r="R16" i="2"/>
  <c r="AP16" i="2" s="1"/>
  <c r="AQ16" i="2" s="1"/>
  <c r="O16" i="2"/>
  <c r="L16" i="2"/>
  <c r="I16" i="2"/>
  <c r="F16" i="2"/>
  <c r="AM15" i="2"/>
  <c r="AJ15" i="2"/>
  <c r="AG15" i="2"/>
  <c r="AD15" i="2"/>
  <c r="AA15" i="2"/>
  <c r="X15" i="2"/>
  <c r="U15" i="2"/>
  <c r="R15" i="2"/>
  <c r="O15" i="2"/>
  <c r="L15" i="2"/>
  <c r="I15" i="2"/>
  <c r="F15" i="2"/>
  <c r="AP15" i="2" s="1"/>
  <c r="AQ15" i="2" s="1"/>
  <c r="AM14" i="2"/>
  <c r="AJ14" i="2"/>
  <c r="AG14" i="2"/>
  <c r="AD14" i="2"/>
  <c r="AA14" i="2"/>
  <c r="X14" i="2"/>
  <c r="U14" i="2"/>
  <c r="R14" i="2"/>
  <c r="O14" i="2"/>
  <c r="L14" i="2"/>
  <c r="AP14" i="2" s="1"/>
  <c r="AQ14" i="2" s="1"/>
  <c r="I14" i="2"/>
  <c r="AM13" i="2"/>
  <c r="AJ13" i="2"/>
  <c r="AG13" i="2"/>
  <c r="AD13" i="2"/>
  <c r="AA13" i="2"/>
  <c r="X13" i="2"/>
  <c r="U13" i="2"/>
  <c r="R13" i="2"/>
  <c r="O13" i="2"/>
  <c r="L13" i="2"/>
  <c r="AP13" i="2" s="1"/>
  <c r="AQ13" i="2" s="1"/>
  <c r="I13" i="2"/>
  <c r="F13" i="2"/>
  <c r="AM12" i="2"/>
  <c r="AM32" i="2" s="1"/>
  <c r="AJ12" i="2"/>
  <c r="AJ32" i="2" s="1"/>
  <c r="AG12" i="2"/>
  <c r="AG32" i="2" s="1"/>
  <c r="AD12" i="2"/>
  <c r="AD32" i="2" s="1"/>
  <c r="AA12" i="2"/>
  <c r="AA32" i="2" s="1"/>
  <c r="X12" i="2"/>
  <c r="X32" i="2" s="1"/>
  <c r="U12" i="2"/>
  <c r="U32" i="2" s="1"/>
  <c r="R12" i="2"/>
  <c r="R32" i="2" s="1"/>
  <c r="O12" i="2"/>
  <c r="O32" i="2" s="1"/>
  <c r="L12" i="2"/>
  <c r="L32" i="2" s="1"/>
  <c r="I12" i="2"/>
  <c r="I32" i="2" s="1"/>
  <c r="F12" i="2"/>
  <c r="AP12" i="2" s="1"/>
  <c r="AP32" i="2" l="1"/>
  <c r="AQ32" i="2" s="1"/>
  <c r="C49" i="3" s="1"/>
  <c r="AQ12" i="2"/>
  <c r="F32" i="2"/>
</calcChain>
</file>

<file path=xl/sharedStrings.xml><?xml version="1.0" encoding="utf-8"?>
<sst xmlns="http://schemas.openxmlformats.org/spreadsheetml/2006/main" count="318" uniqueCount="175">
  <si>
    <t>「学部・学科によって、修了要件は相違する」場合は、本シートを複製の上＜様式１－〇＞と枝番号を付してください</t>
  </si>
  <si>
    <t>様式１</t>
  </si>
  <si>
    <t>大学等名</t>
  </si>
  <si>
    <t>四天王寺大学</t>
  </si>
  <si>
    <t>プログラム名</t>
  </si>
  <si>
    <t>IBU数理・データサイエンス・AI教育プログラム</t>
  </si>
  <si>
    <t>プログラムを構成する授業科目について</t>
  </si>
  <si>
    <t>① 対象となる学部・学科名称</t>
  </si>
  <si>
    <t>② 教育プログラムの修了要件</t>
  </si>
  <si>
    <t>学部・学科によって、修了要件は相違しない</t>
  </si>
  <si>
    <t>人文社会学部・教育学部・経営学部・看護学部</t>
  </si>
  <si>
    <t>③ 修了要件</t>
  </si>
  <si>
    <t>プログラムを構成する全学共通の［共通教育科目「情報処理演習Ⅰ」（２単位）及び「情報処理演習Ⅱ」（2単位）の合計４単位を修得すること。</t>
  </si>
  <si>
    <t>【プルダウンリスト】</t>
  </si>
  <si>
    <t>令和４年度以前より、履修することが必須のプログラムとして実施</t>
  </si>
  <si>
    <t>令和７年度までに履修必須とする計画</t>
  </si>
  <si>
    <t>令和８年度以降に履修必須とする計画、又は未定</t>
  </si>
  <si>
    <t>必要最低単位数</t>
  </si>
  <si>
    <t>単位</t>
  </si>
  <si>
    <t>履修必須の有無</t>
  </si>
  <si>
    <t>④ 現在進行中の社会変化（第４次産業革命、Society 5.0、データ駆動型社会等）に深く寄与しているものであり、それが自らの生活と密接に結びついている」の内容を含む授業科目</t>
  </si>
  <si>
    <t>授業科目</t>
  </si>
  <si>
    <t>単位数</t>
  </si>
  <si>
    <t>必須</t>
  </si>
  <si>
    <t>1-1</t>
  </si>
  <si>
    <t>1-6</t>
  </si>
  <si>
    <t>情報処理演習Ⅰ</t>
  </si>
  <si>
    <t>○</t>
  </si>
  <si>
    <t>情報処理演習Ⅱ</t>
  </si>
  <si>
    <t>⑤ 「社会で活用されているデータ」や「データの活用領域」は非常に広範囲であって、日常生活や社会の課題を解決する有用なツールになり得るもの」の内容を含む授業科目</t>
  </si>
  <si>
    <t>1-2</t>
  </si>
  <si>
    <t>1-3</t>
  </si>
  <si>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</si>
  <si>
    <t>1-4</t>
  </si>
  <si>
    <t>1-5</t>
  </si>
  <si>
    <t>⑦ 「活用に当たっての様々な留意事項（ELSI、個人情報、データ倫理、ＡＩ社会原則等）を考慮し、情報セキュリティや情報漏洩等、データを守る上での留意事項への理解をする」の内容を含む授業科目</t>
  </si>
  <si>
    <t>3-1</t>
  </si>
  <si>
    <t>3-2</t>
  </si>
  <si>
    <t>⑧ 「実データ・実課題（学術データ等を含む）を用いた演習など、社会での実例を題材として、「データを読む、説明する、扱う」といった数理・データサイエンス・ＡＩの基本的な活用法に関するもの」の内容を含む授業科目</t>
  </si>
  <si>
    <t>2-1</t>
  </si>
  <si>
    <t>2-2</t>
  </si>
  <si>
    <t>2-3</t>
  </si>
  <si>
    <t>⑨ 選択「４．オプション」の内容を含む授業科目</t>
  </si>
  <si>
    <t>選択項目</t>
  </si>
  <si>
    <t>4-1統計および数理基礎</t>
  </si>
  <si>
    <t>4‐2アルゴリズム基礎</t>
  </si>
  <si>
    <t>4‐3データ構造とプログラミング基礎</t>
  </si>
  <si>
    <t>⑩ プログラムを構成する授業の内容</t>
  </si>
  <si>
    <t>授業に含まれている内容・要素</t>
  </si>
  <si>
    <t>講義内容</t>
  </si>
  <si>
    <t>（１）現在進行中の社会変化（第４次産業革命、Society 5.0、データ駆動型社会等）に深く寄与しているものであり、それが自らの生活と密接に結びついている</t>
  </si>
  <si>
    <t>ビッグデータ、AI、Society 5.0、データ駆動型社会、データを起点としたものの見方、人間の知的活動を起点としたものの見方「情報処理演習Ｉ」（８回目）</t>
  </si>
  <si>
    <t>AI等を活用した新しいビジネスモデル（商品のレコメンデーションなど）「情報処理演習Ｉ」（１４回目）
AI最新技術の活用例（強化学習）「情報処理演習ＩＩ」（７回目）</t>
  </si>
  <si>
    <t>（２）「社会で活用されているデータ」や「データの活用領域」は非常に広範囲であって、日常生活や社会の課題を解決する有用なツールになり得るもの</t>
  </si>
  <si>
    <t>調査データ、実験データ、人の行動ログデータ、構造化データ、非構造化データ、データのオープン化（オープンデータ）「情報処理演習Ⅰ」（８回目）</t>
  </si>
  <si>
    <t>データ・AI活用領域の広がり「情報処理演習ＩＩ」（７回目）
仮説検証、知識発見、原因究明「情報処理演習ＩＩ」（９〜１２回目）</t>
  </si>
  <si>
    <t>（３）様々なデータ利活用の現場におけるデータ利活用事例が示され、様々な適用領域（流通、製造、金融、サービス、インフラ、公共、ヘルスケア等）の知見と組み合わせることで価値を創出するもの</t>
  </si>
  <si>
    <t>データ解析：予測、グルーピング、パターン発見、データ可視化：複合グラフ、２軸グラフ、関係性の可視化「情報処理演習Ⅰ」（７〜１１回目）</t>
  </si>
  <si>
    <t>データサイエンスのサイクル（課題抽出と定式化、データの取得・管理・加工、データ解析と推論、結果の共有・伝達、課題解決に向けた提案）「情報処理演習Ⅰ」（１０〜１１回目）</t>
  </si>
  <si>
    <t>（４）活用に当たっての様々な留意事項（ELSI、個人情報、データ倫理、ＡＩ社会原則等）を考慮し、情報セキュリティや情報漏洩等、データを守る上での留意事項への理解をする</t>
  </si>
  <si>
    <t>データ倫理：データの捏造、改ざん、盗用、プライバシー保護「情報処理演習Ｉ」（３回目）
データ・AI活用における負の事例紹介「情報処理演習Ⅰ」（１０〜１１回目）</t>
  </si>
  <si>
    <t>匿名加工情報、暗号化、パスワード、悪意ある情報搾取、情報漏洩等によるセキュリティ事故の事例紹介「情報処理演習Ｉ」（３回目）</t>
  </si>
  <si>
    <t>（５）実データ・実課題（学術データ等を含む）を用いた演習など、社会での実例を題材として、「データを読む、説明する、扱う」といった数理・データサイエンス・ＡＩの基本的な活用法に関するもの</t>
  </si>
  <si>
    <t>データの種類（量的変数、質的変数）、データの分布（ヒストグラム）と代表値（平均値、中央値、最頻値）、代表値の性質の違い（実社会では平均値＝最頻値でないことが多い）、データのばらつき（分散、標準偏差、偏差値）、相関と因果（相関係数、擬似相関、交絡）、母集団と標本抽出（アンケート調査）、クロス集計表、分割表、相関係数行列、散布図行列、統計情報の正しい理解（誇張表現に惑わされない）「情報処理演習Ⅰ」（８〜１２回目）</t>
  </si>
  <si>
    <t>データ表現（棒グラフ、折線グラフ、散布図）、データの比較、不適切なグラフ表現（チャートジャンク、不必要な視覚的要素）、優れた可視化事例の紹介（可視化することによって新たな気づきがあった事例など）「情報処理演習Ⅰ」（８〜１２回目）</t>
  </si>
  <si>
    <t>データの集計（和、平均）、データの並び替え、ランキング、表形式のデータ（csv）「情報処理演習Ⅰ」（８〜１２回目）、「情報処理演習ＩＩ」（６、８〜１２回目）</t>
  </si>
  <si>
    <t>⑪ プログラムの学修成果（学生等が身に付けられる能力等）</t>
  </si>
  <si>
    <t>このプログラムを学修することによって、学生はデータを見る視点、分析に必要な着眼点を学び、実際に自らが分析するためのスキルを獲得すると共に、世の中は膨大なデータから得られた情報を基に問題解決を図りながら動いているということを学ぶ。この上で、文系、理系などの分野は関係なく、全ての業種・職種の人がデータ分析と無関係ではなく、そういった考え方を身につけることは重要であるという考え方を身につける。</t>
  </si>
  <si>
    <t>様式２</t>
  </si>
  <si>
    <t>プログラムの履修者数等の実績について</t>
  </si>
  <si>
    <t>①プログラム開設年度</t>
  </si>
  <si>
    <t>令和４</t>
  </si>
  <si>
    <t>年度</t>
  </si>
  <si>
    <t>②履修者・修了者の実績</t>
  </si>
  <si>
    <t>学部・学科名称</t>
  </si>
  <si>
    <t>学生数</t>
  </si>
  <si>
    <t>入学
定員</t>
  </si>
  <si>
    <t>収容
定員</t>
  </si>
  <si>
    <t>令和4年度</t>
  </si>
  <si>
    <t>令和3年度</t>
  </si>
  <si>
    <t>令和2年度</t>
  </si>
  <si>
    <t>令和元年度</t>
  </si>
  <si>
    <t>平成30年度</t>
  </si>
  <si>
    <t>平成29年度</t>
  </si>
  <si>
    <t>履修者数
合計</t>
  </si>
  <si>
    <t>履修率</t>
  </si>
  <si>
    <t>履修者数</t>
  </si>
  <si>
    <t>修了者数</t>
  </si>
  <si>
    <t>合計</t>
  </si>
  <si>
    <t>男性</t>
  </si>
  <si>
    <t>女性</t>
  </si>
  <si>
    <t>人文社会学部</t>
  </si>
  <si>
    <t>教育学部</t>
  </si>
  <si>
    <t>経営学部</t>
  </si>
  <si>
    <t>看護学部</t>
  </si>
  <si>
    <t>合　計</t>
  </si>
  <si>
    <t>　　　　　　　　　　　　　　　　　　　　　　　　　　　　　　　　　　　　　　　　　　　　　　　　　　　　　　　　　　　　　　　　　　　　　　　　　　　　　　　　　　　　　　　　　　　　　　　　　　　　　　　　　　　　　　　　　　　　　　　　　　　　　　　　　　　　　　　　　　　　　　　　　　　　　　　　　　　　　　　　　　　　　　　　　　　　　　　　　　　　　　　　　　　　　　　　　　　　　　　　　　　　　　　　　　　　　　　　　　　　　　　　　　　　　　　　　　　　　　　　　　　　　　　　　　　　　　　　　　　　　　　　　　　　　　　　　　　　　　　　　　　　　　　　　　　　　　　　　　　　　　　　　　　　　　　　　　　　　　　　　　　　　　　　　　　　　　　　　　　　　　　　　　　　　　　　　　　　　　　　　　　　　　　　　　　　　　　　　　　　　　　　　　　　　　　　　　　　　　　　　　　　　　　　　　　　　　　　　　　　　　　　　　　　　　　　　　　　　　　　　　　　　　　　　　　　　　　　　　　　　　　　　　　　　　　　　　　　　　　　　　　　　　　　　　　　　　　　　　　　　　　　　　　　　　　　　　　　　　　　　　　　　　　　　　　　　　　　　　　　　　　　　　　　　　　　　　　　　　　　　　　　　　　　　　　　　　　　　　　　　　　　　　　　　　　　　　　　　　　　　　　　　　　　　　　　　　　　　　　　　　　　　　　　　　　　　　　　　　　　　　　　　　　　　　　　　　　　　　　　　　　　　　　　　　　　　　　　　　　　　　　　　　　　　　　　　　　　　　　　　　　　　　　　　　　　　　　　　　　　　　　　　　　　　　　　　　</t>
  </si>
  <si>
    <t>様式３</t>
  </si>
  <si>
    <t>教育の質・履修者数を向上させるための体制・計画について</t>
  </si>
  <si>
    <t>①</t>
  </si>
  <si>
    <t>全学の教員数</t>
  </si>
  <si>
    <t>(常勤）</t>
  </si>
  <si>
    <t>人</t>
  </si>
  <si>
    <t>②</t>
  </si>
  <si>
    <t>プログラムの授業を教えている教員数</t>
  </si>
  <si>
    <t>③</t>
  </si>
  <si>
    <t>プログラムの運営責任者</t>
  </si>
  <si>
    <t>（責任者名）</t>
  </si>
  <si>
    <t>松岡　隆</t>
  </si>
  <si>
    <t>（役職名）</t>
  </si>
  <si>
    <t>副学長</t>
  </si>
  <si>
    <t>④</t>
  </si>
  <si>
    <t>プログラムを改善・進化させるための体制（委員会・組織等）</t>
  </si>
  <si>
    <t>高等教育推進センター</t>
  </si>
  <si>
    <t>センター長</t>
  </si>
  <si>
    <t>⑤</t>
  </si>
  <si>
    <t>プログラムを改善・進化させるための体制を定める規則名称</t>
  </si>
  <si>
    <t>四天王寺大学・四天王寺大学大学院・四天王寺大学短期大学部高等教育推進センター規程</t>
  </si>
  <si>
    <t>⑥</t>
  </si>
  <si>
    <t>体制の目的</t>
  </si>
  <si>
    <t>　高等教育推進センターは、四天王寺大学、四天王寺大学大学院および四天王寺大学短期大学部(以下「本学」という。)の学生の特性を踏まえ、学修意欲を引き出し自律的な活動を促すための教育内容・教育方法を開発し実践を支援するとともに、その継続的な改善を図ることにより、教育の質を向上させ本学教育の充実と発展に資することを目的としている。とくに情報教育においては情報教育部門を設け、「数理・テータサイエンス・AI教育」の教育内容・教育方法の開発・実践支援及び普及、ICTを活用した教育方法の開発・実践支援等を行い、自ら問いを立てデータを用いて解決を図ることができる人材育成することを目的としている。</t>
  </si>
  <si>
    <t>⑦</t>
  </si>
  <si>
    <t>具体的な構成員</t>
  </si>
  <si>
    <t>【高等教育推進センター】
センター長　　　：松岡　隆　　（副学長　教育学部教育学科　教授）
副センター長　　：間辺　広樹　（高等教育推進センター　教授）
センター専任教員：本多　佑希　（高等教育推進センター　助教）
センター兼務教員：
　　　　　　　　　麻生　迪子（人文社会学部日本学科　講師）
　　　　　　　　　永田　麻詠（教育学部教育学科　准教授）
　　　　　　　　　深見　環　　（人文社会学部国際キャリア学科　教授）
　　　　　　　　　森田　英俊　（教育学部教育学科　助教）
　　　　　　　　　西口　卓磨　（教育学部教育学科　助教）
　　　　　　　　　上野　舞斗　（人文社会学部国際キャリア学科　助教）
　　　　　　　　　齋藤　奈都美（短期大学部保育科　講師）</t>
  </si>
  <si>
    <t>⑧</t>
  </si>
  <si>
    <r>
      <rPr>
        <sz val="12"/>
        <color theme="1"/>
        <rFont val="MS PGothic"/>
        <family val="3"/>
        <charset val="128"/>
      </rPr>
      <t xml:space="preserve">履修者数・履修率の向上に向けた計画 </t>
    </r>
    <r>
      <rPr>
        <sz val="6"/>
        <color theme="1"/>
        <rFont val="ＭＳ Ｐゴシック"/>
        <family val="3"/>
        <charset val="128"/>
      </rPr>
      <t>※様式１の「履修必須の有無」で「計画がある」としている場合は詳細について記載すること</t>
    </r>
  </si>
  <si>
    <t>令和４年度実績</t>
  </si>
  <si>
    <t>令和５年度予定</t>
  </si>
  <si>
    <t>令和６年度予定</t>
  </si>
  <si>
    <t>令和７年度予定</t>
  </si>
  <si>
    <t>令和８年度予定</t>
  </si>
  <si>
    <t>収容定員（名）</t>
  </si>
  <si>
    <t>具体的な計画</t>
  </si>
  <si>
    <t>　プログラムを構成する全学共通の共通教育科目（情報処理演習Ⅰ、情報処理演習Ⅱ）について、令和４年度及び５年度はⅠまたはⅡのどちらかを選択する選択必修科目としているが、令和６年度よりⅠは必修科目とし、Ⅱは選択科目になる計画である。
　令和7年度以降は今まで以上にガイダンスやオリエンテーション等でⅡの履修を推奨していくことに加え、Ⅱについても必修化していくことを検討する。</t>
  </si>
  <si>
    <t>⑨</t>
  </si>
  <si>
    <t>学部・学科に関係なく希望する学生全員が受講可能となるような必要な体制・取組等</t>
  </si>
  <si>
    <t>　プログラムを構成する「情報処理演習Ⅰ」「情報処理演習Ⅱ」は、いずれも全学共通の共通教育科目として開講している。学部・学科に関係なく希望する学生全員が受講できる体制を整え、安定的な運用を行っている。
　また、令和６年度より「情報処理演習Ⅰ」は、本学教育の根幹に位置付けられている基礎教育科目に移行し、名称も「コンピュータリテラシー」と改め、必修科目となる。
　授業内容については、該当科目のシラバスを学習支援システム上で公開し、授業内容の理解に努めている。</t>
  </si>
  <si>
    <t>⑩</t>
  </si>
  <si>
    <t>できる限り多くの学生が履修できるような具体的な周知方法・取組</t>
  </si>
  <si>
    <t>・ネットガイダンス
　入学当初に開催されるネットガイダンス（本学の情報環境を新入生に周知する講習会）の際に本学の数理・データサイエンス・AI教育の概要についても説明し、履修を強く推奨することにより、履修者の増加を図っている。
・履修要覧
　全学生に配布される履修要覧において、令和４年度版では本学の数理・データサイエンス・AI教育プログラム（リテラシーレベル）について説明している。令和５年度版の履修要覧では、令和６年度申請予定の数理・データサイエンス・AI教育プログラム認定制度（応用基礎レベル）に対応する科目についても言及し、より高度な知識の習得へ誘導している。
・学部学科別オリエンテーション
　履修指導等を行う学部学科別オリエンテーションにおいても、数理・データサイエンス・AI教育関連の科目を可能な限り履修するよう担当教員に依頼する。</t>
  </si>
  <si>
    <t>⑪</t>
  </si>
  <si>
    <t>できる限り多くの学生が履修・修得できるようなサポート体制</t>
  </si>
  <si>
    <t>・既に情報処理演習Ⅰ、Ⅱを修得した上級学年のSAによるヘルプデスクサポートをラーニングコモンズ内に設置し、数理・データサイエンス・AI関連に限らずICT機器の利用に関する質問に対して個別対応を行う態勢を整えている。
・情報処理演習Ⅰ、Ⅱで使用した動画や授業資料を学修ポートフォリオシステムを通じて学内の全学生、教職員に公開し、本学の数理・データサイエンス・AI教育内容の周知を図る。
・数理・データサイエンス・AIに関する図書館の選書を高等教育推進センターの専任教員が行い、授業関連資料の充実を図っている。
・令和３年度入学生よりノートパソコンを必携化し、学習に必要なオフィスソフト（マイクロソフト社）について、学生が無料で利用できる環境を整えている。</t>
  </si>
  <si>
    <t>⑫</t>
  </si>
  <si>
    <t>授業時間内外で学習指導、質問を受け付ける具体的な仕組み</t>
  </si>
  <si>
    <t>・学修ポートフォリオシステム内の授業支援関連のメニューとして、授業単位で教員と履修生が自由に議論できるクラスフォーラムを設置している。
また、教員と学生が１対１で質問を行うQ&amp;A機能も整備し、ネットワークを通じて授業時間以外に学生への支援が可能となる仕組みを導入している。
・上記機能以外でも電子メール（Gmail）を使って直接担当教員に質問したり、決められた曜日時限に開かれているオフィスアワーを活用し、教員研究室で学習指導を行うことも可能となっている。</t>
  </si>
  <si>
    <t>　　　　　　　　　　　　　　　　　　　　　　　　　　　　　　　　　　　　　　　　　　　　　　　　　　　　　　　　　　　　　　　　　　　　　　　　　</t>
  </si>
  <si>
    <t>様式４</t>
  </si>
  <si>
    <t>自己点検・評価について</t>
  </si>
  <si>
    <t>プログラムの自己点検・評価を行う体制（委員会・組織等）</t>
  </si>
  <si>
    <t>高等教育推進センター運営委員会</t>
  </si>
  <si>
    <t>委員長</t>
  </si>
  <si>
    <t>自己点検・評価体制における意見等</t>
  </si>
  <si>
    <t>自己点検・評価の視点</t>
  </si>
  <si>
    <t>自己点検・評価体制における意見・結果・改善に向けた取組等</t>
  </si>
  <si>
    <t>学内からの視点</t>
  </si>
  <si>
    <t>プログラムの履修・修得状況</t>
  </si>
  <si>
    <t>　教務システムを通じて履修状況、単位修得状況などを確認し、プログラムの実施状況を確認している。また、学修ポートフォリオにおいて課題の提出状況や出席状況について把握することができる。
　プログラムが開始された令和４年度入学生を対象とした履修状況については、情報処理演習Ⅰの履修率が98.1%（修得率90.6％）で、情報処理演習Ⅱの履修率が20.8%（修得率16.1％）であった。プログラム修了要件の情報処理演習Ⅰ及びⅡ双方とも履修した学生の履修率は20.0%（修得率15.0％）で、今後は情報処理演習Ⅱの履修率と修得率を上げていくことが課題である。</t>
  </si>
  <si>
    <t>学修成果</t>
  </si>
  <si>
    <t xml:space="preserve">　プログラム修了条件の情報処理演習Ⅰ・Ⅱは、高等教育推進センターの専任教員２名が担当しているため、小テスト、レポート、授業課題などにより全受講生の学修成果の分析が可能であり、その結果を基に授業内容や評価方法、指導方法の改善について検討を行っている。
　また、毎年全学生を対象として行っている学生調査のアンケート項目における以下の設問によって、学生自身の評価による学修成果を測ることも可能になっている。
　【設問】次の知識を身につけるためにあなたが本学で受けた教育は役に立っていると思いますか。
　　　　　　（カッコ内の割合は「とても役立っている」「役立っている」と回答した割合）
　　　・問題を見つけ、解決方法を考える力（64.9%）
　　　・ICTを活用して課題に取り組む力（54.9%）
　　　・文献・資料・データを収集・分析する力（58.4%）
　　　・統計数理の知識・技能（42.1%）
</t>
  </si>
  <si>
    <t>学生アンケート等を通じた学生の内容の理解度</t>
  </si>
  <si>
    <t>　授業毎に実施する小テストにより授業内容の理解度を確認し、回答例を配布することで各自の振り返りを促し理解度を深めることとしている。また、授業では事前動画を視聴していることを前提としており、ひとつの単元を繰り返し学習できる環境を整えている。
　毎年全学生に対して行っている授業評価アンケートにおいては、以下の設問で学生の理解度を深めるための授業が実施できているかどうかを確認している。
　【設問・評価】（各設問とも5点満点）
　　・授業での先生の説明はわかりやすかったですか(情報処理演習Ⅰ：4.25点　情報処理演習Ⅱ：4.36点）
　　・資料やスライドは分かりやすかったですか(情報処理演習Ⅰ：4.41点　情報処理演習Ⅱ：4.34点）
　　　　</t>
  </si>
  <si>
    <t>学生アンケート等を通じた後輩等他の学生への推奨度</t>
  </si>
  <si>
    <t xml:space="preserve">　現在実施されている各種アンケートにおいて、後輩等他の学生への推奨度を測るアンケートは実施していないが、授業評価アンケートにおける「総合的に判断してこの授業を受講して良かったと思うか」との設問に対し情報処理演習Ⅰ：4.34点、情報処理演習Ⅱ：4.32（各5点満点）と結果が出ており、この回答を以て、他の学生への推奨度もある程度期待できると判断している。なお、授業評価アンケートの結果は学内ホームページですべて公開されているため、履修登録の際には前年度履修者の回答結果を参考にすることができる。
　現在の各種アンケート調査では明確な指標を測ることはできないため、高等教育推進センターの情報教育部門会議で授業評価アンケートの新たな設問として加えるかなどについて検討する。
</t>
  </si>
  <si>
    <t>全学的な履修者数、履修率向上に向けた計画の達成・進捗状況</t>
  </si>
  <si>
    <t>　令和５年度より本教育プログラムを修了した学生に対し、希望すれば修了認定証としてオープンバッジの発行を行うこととし、プログラム履修の動機づけとしている。
　また、数理・データサイエンス・AI教育に関連する資格について、本学が設けている「四天王寺大学・四天王寺大学短期大学部チャレンジ奨励金規程」に統計検定、統計検定データサイエンス、データサイエンティスト検定等を加え、合格者には難易度に応じた奨励金が支給される。これらによって、数理・データサイエンス・AI教育に対する関心を高めてもらうよう努めている。
　令和６年度より情報処理演習Ⅰを共通教育科目から本学教育の根幹と位置付けられている科目群の基礎教育科目へ編入し、本学が数理・データサイエンス・AI教育を重要視しているという姿勢を示すとともに、選択必修科目から必修科目に変更する計画である。さらに高等教育推進センターの情報教育部門において、授業評価アンケート、学生調査、履修成績情報など様々な情報を多角的に分析し、カリキュラム内容や教育手法にフィードバックしていく予定である。</t>
  </si>
  <si>
    <t>学外からの視点</t>
  </si>
  <si>
    <t>教育プログラム修了者の進路、活躍状況、企業等の評価</t>
  </si>
  <si>
    <t>　令和４年度からのプログラム開始となっているため、プログラム修了者の卒業生はまだ居ない。但し、地元自治体、教育委員会、学校、企業等の外部有識者から評価・助言を頂く外部評価者会議を隔年開催しており、卒業生への客観的な評価やカリキュラム内容についての意見を求め、教育プログラム内容の向上に努める予定である。
　キャリアセンターが卒業生が就職している企業に対し行っている「卒業後の就業状況に関するアンケート調査」結果を分析し、本学教育プログラムの成果を評価し改善につなげていく予定である。</t>
  </si>
  <si>
    <t>産業界からの視点を含めた教育プログラム内容・手法等への意見</t>
  </si>
  <si>
    <t>　キャリアセンターと連携し、本学に求人票を出している企業の人事担当者からプログラムに関するご意見を伺う機会をつくり、本学のカリキュラム内容を説明した上で、意見交換を行い産業界からの意見を教育プログラムに反映させることとしている。令和4年度については、IT関連企業を中心に3社に対し実施し、Pythonを授業に取り入れていることへの評価や学生が興味を持つテーマを題材としてほしい等、貴重なご意見を賜った。</t>
  </si>
  <si>
    <t>数理・データサイエンス・ＡＩを「学ぶ楽しさ」「学ぶことの意義」を理解させること</t>
  </si>
  <si>
    <t>　本プログラムでは、数理・データサイエンス・AIを学習するために、高度に発展が進む情報社会を生きていくための力を身につける。これらを学ぶ楽しさ、意義を理解しているかを評価するために、学生から提出された課題から、積極的に取り組んでいるかどうかを確認している。加えて、学生には授業内で適宜アンケートに答えさせ、どのようなところに興味を持っているのか、楽しさを感じているのかなどを調査している。</t>
  </si>
  <si>
    <t>内容・水準を維持・向上しつつ、より「分かりやすい」授業とすること</t>
  </si>
  <si>
    <t>　学生に対して授業評価アンケートを実施しており、授業内で教員の説明が分かりやすかったか、授業資料が分かりやすかったかなどを詳しく確認している。教員や授業に対する自由記述コメントについても確認し、必要に応じて適宜改善を図っている。
　また、学生から提出された課題を基に、履修者の中でどれだけの人数が課題の要件を満たせているかを確認し、授業の難易度を確認している。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</si>
</sst>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font>
      <sz val="11"/>
      <color theme="1"/>
      <name val="Calibri"/>
      <scheme val="minor"/>
    </font>
    <font>
      <sz val="11"/>
      <color theme="1"/>
      <name val="MS PGothic"/>
      <family val="3"/>
      <charset val="128"/>
    </font>
    <font>
      <sz val="12"/>
      <color theme="1"/>
      <name val="MS PGothic"/>
      <family val="3"/>
      <charset val="128"/>
    </font>
    <font>
      <sz val="11"/>
      <name val="Calibri"/>
    </font>
    <font>
      <sz val="10"/>
      <color theme="1"/>
      <name val="MS PGothic"/>
      <family val="3"/>
      <charset val="128"/>
    </font>
    <font>
      <sz val="14"/>
      <color theme="1"/>
      <name val="MS PGothic"/>
      <family val="3"/>
      <charset val="128"/>
    </font>
    <font>
      <sz val="9"/>
      <color theme="1"/>
      <name val="MS PGothic"/>
      <family val="3"/>
      <charset val="128"/>
    </font>
    <font>
      <b/>
      <sz val="12"/>
      <color rgb="FFFF0000"/>
      <name val="MS PGothic"/>
      <family val="3"/>
      <charset val="128"/>
    </font>
    <font>
      <sz val="7"/>
      <color theme="1"/>
      <name val="MS PGothic"/>
      <family val="3"/>
      <charset val="128"/>
    </font>
    <font>
      <sz val="8"/>
      <color theme="1"/>
      <name val="MS PGothic"/>
      <family val="3"/>
      <charset val="128"/>
    </font>
    <font>
      <sz val="6"/>
      <color theme="1"/>
      <name val="ＭＳ Ｐゴシック"/>
      <family val="3"/>
      <charset val="128"/>
    </font>
    <font>
      <sz val="6"/>
      <name val="Calibri"/>
      <family val="3"/>
      <charset val="128"/>
      <scheme val="minor"/>
    </font>
  </fonts>
  <fills count="3">
    <fill>
      <patternFill patternType="none"/>
    </fill>
    <fill>
      <patternFill patternType="gray125"/>
    </fill>
    <fill>
      <patternFill patternType="solid">
        <fgColor rgb="FFF2F2F2"/>
        <bgColor rgb="FFF2F2F2"/>
      </patternFill>
    </fill>
  </fills>
  <borders count="7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thin">
        <color rgb="FF000000"/>
      </right>
      <top style="thin">
        <color rgb="FF000000"/>
      </top>
      <bottom style="hair">
        <color rgb="FF000000"/>
      </bottom>
      <diagonal/>
    </border>
    <border>
      <left style="thin">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hair">
        <color rgb="FF000000"/>
      </right>
      <top/>
      <bottom/>
      <diagonal/>
    </border>
    <border>
      <left style="hair">
        <color rgb="FF000000"/>
      </left>
      <right style="thin">
        <color rgb="FF000000"/>
      </right>
      <top style="hair">
        <color rgb="FF000000"/>
      </top>
      <bottom/>
      <diagonal/>
    </border>
    <border>
      <left/>
      <right/>
      <top style="hair">
        <color rgb="FF000000"/>
      </top>
      <bottom/>
      <diagonal/>
    </border>
    <border>
      <left/>
      <right style="thin">
        <color rgb="FF000000"/>
      </right>
      <top style="hair">
        <color rgb="FF000000"/>
      </top>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style="thin">
        <color rgb="FF000000"/>
      </right>
      <top/>
      <bottom style="thin">
        <color rgb="FF000000"/>
      </bottom>
      <diagonal/>
    </border>
    <border>
      <left style="hair">
        <color rgb="FF000000"/>
      </left>
      <right style="thin">
        <color rgb="FF000000"/>
      </right>
      <top style="hair">
        <color rgb="FF000000"/>
      </top>
      <bottom style="hair">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hair">
        <color rgb="FF000000"/>
      </top>
      <bottom/>
      <diagonal/>
    </border>
    <border>
      <left style="dotted">
        <color rgb="FF000000"/>
      </left>
      <right/>
      <top style="dotted">
        <color rgb="FF000000"/>
      </top>
      <bottom style="thin">
        <color rgb="FF000000"/>
      </bottom>
      <diagonal/>
    </border>
    <border>
      <left style="hair">
        <color rgb="FF000000"/>
      </left>
      <right style="thin">
        <color rgb="FF000000"/>
      </right>
      <top style="dotted">
        <color rgb="FF000000"/>
      </top>
      <bottom style="thin">
        <color rgb="FF000000"/>
      </bottom>
      <diagonal/>
    </border>
    <border>
      <left style="thin">
        <color rgb="FF000000"/>
      </left>
      <right style="dotted">
        <color rgb="FF000000"/>
      </right>
      <top style="hair">
        <color rgb="FF000000"/>
      </top>
      <bottom style="hair">
        <color rgb="FF000000"/>
      </bottom>
      <diagonal/>
    </border>
    <border>
      <left style="dotted">
        <color rgb="FF000000"/>
      </left>
      <right/>
      <top/>
      <bottom/>
      <diagonal/>
    </border>
    <border>
      <left style="hair">
        <color rgb="FF000000"/>
      </left>
      <right style="thin">
        <color rgb="FF000000"/>
      </right>
      <top/>
      <bottom/>
      <diagonal/>
    </border>
    <border>
      <left style="dotted">
        <color rgb="FF000000"/>
      </left>
      <right/>
      <top style="hair">
        <color rgb="FF000000"/>
      </top>
      <bottom style="hair">
        <color rgb="FF000000"/>
      </bottom>
      <diagonal/>
    </border>
    <border>
      <left style="thin">
        <color rgb="FF000000"/>
      </left>
      <right style="thin">
        <color rgb="FF000000"/>
      </right>
      <top/>
      <bottom style="hair">
        <color rgb="FF000000"/>
      </bottom>
      <diagonal/>
    </border>
    <border>
      <left style="thin">
        <color rgb="FF000000"/>
      </left>
      <right style="thin">
        <color rgb="FF000000"/>
      </right>
      <top style="hair">
        <color rgb="FF000000"/>
      </top>
      <bottom style="double">
        <color rgb="FF000000"/>
      </bottom>
      <diagonal/>
    </border>
    <border>
      <left style="dotted">
        <color rgb="FF000000"/>
      </left>
      <right/>
      <top/>
      <bottom style="double">
        <color rgb="FF000000"/>
      </bottom>
      <diagonal/>
    </border>
    <border>
      <left style="hair">
        <color rgb="FF000000"/>
      </left>
      <right style="thin">
        <color rgb="FF000000"/>
      </right>
      <top/>
      <bottom style="double">
        <color rgb="FF000000"/>
      </bottom>
      <diagonal/>
    </border>
    <border>
      <left style="thin">
        <color rgb="FF000000"/>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top style="double">
        <color rgb="FF000000"/>
      </top>
      <bottom style="thin">
        <color rgb="FF000000"/>
      </bottom>
      <diagonal/>
    </border>
    <border>
      <left style="dotted">
        <color rgb="FF000000"/>
      </left>
      <right style="hair">
        <color rgb="FF000000"/>
      </right>
      <top style="double">
        <color rgb="FF000000"/>
      </top>
      <bottom style="thin">
        <color rgb="FF000000"/>
      </bottom>
      <diagonal/>
    </border>
    <border>
      <left style="hair">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diagonal/>
    </border>
    <border>
      <left/>
      <right style="thin">
        <color rgb="FF000000"/>
      </right>
      <top/>
      <bottom/>
      <diagonal/>
    </border>
    <border>
      <left style="hair">
        <color rgb="FF000000"/>
      </left>
      <right/>
      <top style="hair">
        <color rgb="FF000000"/>
      </top>
      <bottom style="hair">
        <color rgb="FF000000"/>
      </bottom>
      <diagonal/>
    </border>
    <border>
      <left style="thin">
        <color rgb="FF000000"/>
      </left>
      <right/>
      <top/>
      <bottom style="thin">
        <color rgb="FF000000"/>
      </bottom>
      <diagonal/>
    </border>
    <border>
      <left style="hair">
        <color rgb="FF000000"/>
      </left>
      <right/>
      <top style="hair">
        <color rgb="FF000000"/>
      </top>
      <bottom style="thin">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right/>
      <top/>
      <bottom style="hair">
        <color rgb="FF000000"/>
      </bottom>
      <diagonal/>
    </border>
    <border>
      <left/>
      <right style="thin">
        <color rgb="FF000000"/>
      </right>
      <top/>
      <bottom style="hair">
        <color rgb="FF000000"/>
      </bottom>
      <diagonal/>
    </border>
  </borders>
  <cellStyleXfs count="1">
    <xf numFmtId="0" fontId="0" fillId="0" borderId="0"/>
  </cellStyleXfs>
  <cellXfs count="195">
    <xf numFmtId="0" fontId="0" fillId="0" borderId="0" xfId="0" applyFont="1" applyAlignment="1">
      <alignment vertical="center"/>
    </xf>
    <xf numFmtId="0" fontId="1" fillId="0" borderId="0" xfId="0" applyFont="1" applyAlignment="1">
      <alignment vertical="center"/>
    </xf>
    <xf numFmtId="0" fontId="2" fillId="0" borderId="0" xfId="0" applyFont="1" applyAlignment="1">
      <alignment vertical="center"/>
    </xf>
    <xf numFmtId="0" fontId="2" fillId="0" borderId="0" xfId="0" applyFont="1" applyAlignment="1">
      <alignment horizontal="right" vertical="center"/>
    </xf>
    <xf numFmtId="0" fontId="2" fillId="0" borderId="1" xfId="0" applyFont="1" applyBorder="1" applyAlignment="1">
      <alignment horizontal="center" vertical="center"/>
    </xf>
    <xf numFmtId="0" fontId="2" fillId="0" borderId="0" xfId="0" applyFont="1" applyAlignment="1">
      <alignment vertical="center" shrinkToFit="1"/>
    </xf>
    <xf numFmtId="0" fontId="5"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vertical="top" wrapText="1"/>
    </xf>
    <xf numFmtId="0" fontId="7" fillId="0" borderId="0" xfId="0" applyFont="1" applyAlignment="1">
      <alignment vertical="center"/>
    </xf>
    <xf numFmtId="0" fontId="9" fillId="0" borderId="9" xfId="0" applyFont="1" applyBorder="1" applyAlignment="1">
      <alignment horizontal="center" vertic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2" fillId="0" borderId="16" xfId="0" applyFont="1" applyBorder="1" applyAlignment="1">
      <alignment horizontal="left" vertical="center" shrinkToFit="1"/>
    </xf>
    <xf numFmtId="38" fontId="2" fillId="0" borderId="38" xfId="0" applyNumberFormat="1" applyFont="1" applyBorder="1" applyAlignment="1">
      <alignment vertical="center" shrinkToFit="1"/>
    </xf>
    <xf numFmtId="38" fontId="2" fillId="0" borderId="37" xfId="0" applyNumberFormat="1" applyFont="1" applyBorder="1" applyAlignment="1">
      <alignment vertical="center" shrinkToFit="1"/>
    </xf>
    <xf numFmtId="38" fontId="2" fillId="0" borderId="0" xfId="0" applyNumberFormat="1" applyFont="1" applyAlignment="1">
      <alignment vertical="center" shrinkToFit="1"/>
    </xf>
    <xf numFmtId="38" fontId="2" fillId="0" borderId="42" xfId="0" applyNumberFormat="1" applyFont="1" applyBorder="1" applyAlignment="1">
      <alignment vertical="center" shrinkToFit="1"/>
    </xf>
    <xf numFmtId="38" fontId="2" fillId="0" borderId="43" xfId="0" applyNumberFormat="1" applyFont="1" applyBorder="1" applyAlignment="1">
      <alignment vertical="center" shrinkToFit="1"/>
    </xf>
    <xf numFmtId="38" fontId="2" fillId="0" borderId="44" xfId="0" applyNumberFormat="1" applyFont="1" applyBorder="1" applyAlignment="1">
      <alignment vertical="center" shrinkToFit="1"/>
    </xf>
    <xf numFmtId="38" fontId="2" fillId="0" borderId="12"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20" xfId="0" applyFont="1" applyBorder="1" applyAlignment="1">
      <alignment horizontal="left" vertical="center" shrinkToFit="1"/>
    </xf>
    <xf numFmtId="38" fontId="2" fillId="0" borderId="20" xfId="0" applyNumberFormat="1" applyFont="1" applyBorder="1" applyAlignment="1">
      <alignment vertical="center" shrinkToFit="1"/>
    </xf>
    <xf numFmtId="38" fontId="2" fillId="0" borderId="18" xfId="0" applyNumberFormat="1" applyFont="1" applyBorder="1" applyAlignment="1">
      <alignment vertical="center" shrinkToFit="1"/>
    </xf>
    <xf numFmtId="38" fontId="2" fillId="0" borderId="45" xfId="0" applyNumberFormat="1" applyFont="1" applyBorder="1" applyAlignment="1">
      <alignment vertical="center" shrinkToFit="1"/>
    </xf>
    <xf numFmtId="38" fontId="2" fillId="0" borderId="36" xfId="0" applyNumberFormat="1" applyFont="1" applyBorder="1" applyAlignment="1">
      <alignment vertical="center" shrinkToFit="1"/>
    </xf>
    <xf numFmtId="9" fontId="2" fillId="0" borderId="46" xfId="0" applyNumberFormat="1" applyFont="1" applyBorder="1" applyAlignment="1">
      <alignment vertical="center" shrinkToFit="1"/>
    </xf>
    <xf numFmtId="9" fontId="2" fillId="0" borderId="20" xfId="0" applyNumberFormat="1" applyFont="1" applyBorder="1" applyAlignment="1">
      <alignment vertical="center" shrinkToFit="1"/>
    </xf>
    <xf numFmtId="38" fontId="2" fillId="0" borderId="17" xfId="0" applyNumberFormat="1" applyFont="1" applyBorder="1" applyAlignment="1">
      <alignment vertical="center" shrinkToFit="1"/>
    </xf>
    <xf numFmtId="38" fontId="2" fillId="0" borderId="19" xfId="0" applyNumberFormat="1" applyFont="1" applyBorder="1" applyAlignment="1">
      <alignment vertical="center" shrinkToFit="1"/>
    </xf>
    <xf numFmtId="0" fontId="2" fillId="0" borderId="47" xfId="0" applyFont="1" applyBorder="1" applyAlignment="1">
      <alignment horizontal="left" vertical="center" shrinkToFit="1"/>
    </xf>
    <xf numFmtId="38" fontId="2" fillId="0" borderId="5" xfId="0" applyNumberFormat="1" applyFont="1" applyBorder="1" applyAlignment="1">
      <alignment vertical="center" shrinkToFit="1"/>
    </xf>
    <xf numFmtId="38" fontId="2" fillId="0" borderId="48" xfId="0" applyNumberFormat="1" applyFont="1" applyBorder="1" applyAlignment="1">
      <alignment vertical="center" shrinkToFit="1"/>
    </xf>
    <xf numFmtId="38" fontId="2" fillId="0" borderId="49" xfId="0" applyNumberFormat="1" applyFont="1" applyBorder="1" applyAlignment="1">
      <alignment vertical="center" shrinkToFit="1"/>
    </xf>
    <xf numFmtId="9" fontId="2" fillId="0" borderId="5" xfId="0" applyNumberFormat="1" applyFont="1" applyBorder="1" applyAlignment="1">
      <alignment vertical="center" shrinkToFit="1"/>
    </xf>
    <xf numFmtId="0" fontId="2" fillId="0" borderId="50" xfId="0" applyFont="1" applyBorder="1" applyAlignment="1">
      <alignment horizontal="center" vertical="center" shrinkToFit="1"/>
    </xf>
    <xf numFmtId="38" fontId="2" fillId="0" borderId="50" xfId="0" applyNumberFormat="1" applyFont="1" applyBorder="1" applyAlignment="1">
      <alignment vertical="center" shrinkToFit="1"/>
    </xf>
    <xf numFmtId="38" fontId="2" fillId="0" borderId="51" xfId="0" applyNumberFormat="1" applyFont="1" applyBorder="1" applyAlignment="1">
      <alignment vertical="center" shrinkToFit="1"/>
    </xf>
    <xf numFmtId="38" fontId="2" fillId="0" borderId="52" xfId="0" applyNumberFormat="1" applyFont="1" applyBorder="1" applyAlignment="1">
      <alignment vertical="center" shrinkToFit="1"/>
    </xf>
    <xf numFmtId="38" fontId="2" fillId="0" borderId="53" xfId="0" applyNumberFormat="1" applyFont="1" applyBorder="1" applyAlignment="1">
      <alignment vertical="center" shrinkToFit="1"/>
    </xf>
    <xf numFmtId="38" fontId="2" fillId="0" borderId="54" xfId="0" applyNumberFormat="1" applyFont="1" applyBorder="1" applyAlignment="1">
      <alignment vertical="center" shrinkToFit="1"/>
    </xf>
    <xf numFmtId="9" fontId="2" fillId="0" borderId="55" xfId="0" applyNumberFormat="1" applyFont="1" applyBorder="1" applyAlignment="1">
      <alignment vertical="center" shrinkToFit="1"/>
    </xf>
    <xf numFmtId="0" fontId="6" fillId="0" borderId="0" xfId="0" applyFont="1" applyAlignment="1">
      <alignment vertical="center"/>
    </xf>
    <xf numFmtId="0" fontId="1" fillId="0" borderId="0" xfId="0" applyFont="1" applyAlignment="1">
      <alignment horizontal="left" vertical="center"/>
    </xf>
    <xf numFmtId="0" fontId="6" fillId="0" borderId="0" xfId="0" applyFont="1" applyAlignment="1">
      <alignment vertical="top" wrapText="1"/>
    </xf>
    <xf numFmtId="0" fontId="2" fillId="0" borderId="1" xfId="0" applyFont="1" applyBorder="1" applyAlignment="1">
      <alignment horizontal="center" vertical="center" shrinkToFit="1"/>
    </xf>
    <xf numFmtId="9" fontId="7" fillId="0" borderId="1" xfId="0" applyNumberFormat="1" applyFont="1" applyBorder="1" applyAlignment="1">
      <alignment horizontal="center" vertical="center" shrinkToFit="1"/>
    </xf>
    <xf numFmtId="9" fontId="2" fillId="0" borderId="0" xfId="0" applyNumberFormat="1" applyFont="1" applyAlignment="1">
      <alignment horizontal="center" vertical="center"/>
    </xf>
    <xf numFmtId="176" fontId="2" fillId="0" borderId="1" xfId="0" applyNumberFormat="1" applyFont="1" applyBorder="1" applyAlignment="1">
      <alignment horizontal="center" vertical="center" shrinkToFit="1"/>
    </xf>
    <xf numFmtId="0" fontId="6" fillId="0" borderId="0" xfId="0" applyFont="1" applyAlignment="1">
      <alignment vertical="top" shrinkToFit="1"/>
    </xf>
    <xf numFmtId="0" fontId="6" fillId="0" borderId="0" xfId="0" applyFont="1" applyAlignment="1">
      <alignment vertical="center" wrapText="1"/>
    </xf>
    <xf numFmtId="0" fontId="2" fillId="0" borderId="1" xfId="0" applyFont="1" applyBorder="1" applyAlignment="1">
      <alignment horizontal="left" vertical="center"/>
    </xf>
    <xf numFmtId="0" fontId="2" fillId="2" borderId="59" xfId="0" applyFont="1" applyFill="1" applyBorder="1" applyAlignment="1">
      <alignment vertical="center"/>
    </xf>
    <xf numFmtId="0" fontId="6" fillId="2" borderId="60" xfId="0" applyFont="1" applyFill="1" applyBorder="1" applyAlignment="1">
      <alignment vertical="top" wrapText="1"/>
    </xf>
    <xf numFmtId="0" fontId="6" fillId="2" borderId="61" xfId="0" applyFont="1" applyFill="1" applyBorder="1" applyAlignment="1">
      <alignment vertical="top" wrapText="1"/>
    </xf>
    <xf numFmtId="0" fontId="2" fillId="2" borderId="60" xfId="0" applyFont="1" applyFill="1" applyBorder="1" applyAlignment="1">
      <alignment vertical="center"/>
    </xf>
    <xf numFmtId="0" fontId="6" fillId="2" borderId="59" xfId="0" applyFont="1" applyFill="1" applyBorder="1" applyAlignment="1">
      <alignment vertical="top" wrapText="1"/>
    </xf>
    <xf numFmtId="0" fontId="6" fillId="2" borderId="63" xfId="0" applyFont="1" applyFill="1" applyBorder="1" applyAlignment="1">
      <alignment vertical="top" wrapText="1"/>
    </xf>
    <xf numFmtId="0" fontId="6" fillId="2" borderId="65" xfId="0" applyFont="1" applyFill="1" applyBorder="1" applyAlignment="1">
      <alignment vertical="top" wrapText="1"/>
    </xf>
    <xf numFmtId="0" fontId="6" fillId="2" borderId="66" xfId="0" applyFont="1" applyFill="1" applyBorder="1" applyAlignment="1">
      <alignment vertical="top" wrapText="1"/>
    </xf>
    <xf numFmtId="0" fontId="6" fillId="2" borderId="65" xfId="0" applyFont="1" applyFill="1" applyBorder="1" applyAlignment="1">
      <alignment vertical="top" shrinkToFit="1"/>
    </xf>
    <xf numFmtId="0" fontId="6" fillId="2" borderId="66" xfId="0" applyFont="1" applyFill="1" applyBorder="1" applyAlignment="1">
      <alignment vertical="top" shrinkToFit="1"/>
    </xf>
    <xf numFmtId="0" fontId="3" fillId="0" borderId="18" xfId="0" applyFont="1" applyBorder="1" applyAlignment="1">
      <alignment vertical="center"/>
    </xf>
    <xf numFmtId="0" fontId="3" fillId="0" borderId="19" xfId="0" applyFont="1" applyBorder="1" applyAlignment="1">
      <alignment vertical="center"/>
    </xf>
    <xf numFmtId="0" fontId="3" fillId="0" borderId="22" xfId="0" applyFont="1" applyBorder="1" applyAlignment="1">
      <alignment vertical="center"/>
    </xf>
    <xf numFmtId="0" fontId="3" fillId="0" borderId="23" xfId="0" applyFont="1" applyBorder="1" applyAlignment="1">
      <alignment vertical="center"/>
    </xf>
    <xf numFmtId="0" fontId="2" fillId="0" borderId="2" xfId="0" applyFont="1" applyBorder="1" applyAlignment="1">
      <alignment horizontal="center" vertical="center"/>
    </xf>
    <xf numFmtId="0" fontId="3" fillId="0" borderId="3" xfId="0" applyFont="1" applyBorder="1" applyAlignment="1">
      <alignment vertical="center"/>
    </xf>
    <xf numFmtId="0" fontId="3" fillId="0" borderId="4" xfId="0" applyFont="1" applyBorder="1" applyAlignment="1">
      <alignment vertical="center"/>
    </xf>
    <xf numFmtId="0" fontId="3" fillId="0" borderId="14" xfId="0" applyFont="1" applyBorder="1" applyAlignment="1">
      <alignment vertical="center"/>
    </xf>
    <xf numFmtId="0" fontId="3" fillId="0" borderId="15" xfId="0" applyFont="1" applyBorder="1" applyAlignment="1">
      <alignment vertical="center"/>
    </xf>
    <xf numFmtId="0" fontId="0" fillId="0" borderId="0" xfId="0" applyFont="1" applyAlignment="1">
      <alignment vertical="center"/>
    </xf>
    <xf numFmtId="0" fontId="5" fillId="0" borderId="0" xfId="0" applyFont="1" applyAlignment="1">
      <alignment horizontal="center" vertical="center"/>
    </xf>
    <xf numFmtId="0" fontId="3" fillId="0" borderId="7"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xf>
    <xf numFmtId="0" fontId="3" fillId="0" borderId="12" xfId="0" applyFont="1" applyBorder="1" applyAlignment="1">
      <alignment vertical="center"/>
    </xf>
    <xf numFmtId="0" fontId="3" fillId="0" borderId="5" xfId="0" applyFont="1" applyBorder="1" applyAlignment="1">
      <alignment vertical="center"/>
    </xf>
    <xf numFmtId="0" fontId="2" fillId="0" borderId="3" xfId="0" applyFont="1" applyBorder="1" applyAlignment="1">
      <alignment horizontal="center" vertical="center"/>
    </xf>
    <xf numFmtId="0" fontId="3" fillId="0" borderId="30" xfId="0" applyFont="1" applyBorder="1" applyAlignment="1">
      <alignment vertical="center"/>
    </xf>
    <xf numFmtId="0" fontId="2" fillId="0" borderId="13" xfId="0" applyFont="1" applyBorder="1" applyAlignment="1">
      <alignment horizontal="center" vertical="center"/>
    </xf>
    <xf numFmtId="0" fontId="1" fillId="0" borderId="39" xfId="0" applyFont="1" applyBorder="1" applyAlignment="1">
      <alignment horizontal="center" vertical="center"/>
    </xf>
    <xf numFmtId="0" fontId="2" fillId="0" borderId="2" xfId="0" applyFont="1" applyBorder="1" applyAlignment="1">
      <alignment horizontal="center" vertical="center" shrinkToFit="1"/>
    </xf>
    <xf numFmtId="0" fontId="2" fillId="0" borderId="37" xfId="0" applyFont="1" applyBorder="1" applyAlignment="1">
      <alignment horizontal="center" vertical="center"/>
    </xf>
    <xf numFmtId="0" fontId="3" fillId="0" borderId="38" xfId="0" applyFont="1" applyBorder="1" applyAlignment="1">
      <alignment vertical="center"/>
    </xf>
    <xf numFmtId="0" fontId="3" fillId="0" borderId="24" xfId="0" applyFont="1" applyBorder="1" applyAlignment="1">
      <alignment vertical="center"/>
    </xf>
    <xf numFmtId="0" fontId="4" fillId="0" borderId="37"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8" fillId="0" borderId="37" xfId="0" applyFont="1" applyBorder="1" applyAlignment="1">
      <alignment horizontal="center" vertical="center" wrapText="1"/>
    </xf>
    <xf numFmtId="0" fontId="4" fillId="0" borderId="8"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left" vertical="center"/>
    </xf>
    <xf numFmtId="9" fontId="7" fillId="0" borderId="2" xfId="0" applyNumberFormat="1" applyFont="1" applyBorder="1" applyAlignment="1">
      <alignment horizontal="center" vertical="center" shrinkToFit="1"/>
    </xf>
    <xf numFmtId="0" fontId="2" fillId="2" borderId="56" xfId="0" applyFont="1" applyFill="1" applyBorder="1" applyAlignment="1">
      <alignment horizontal="center" vertical="center" shrinkToFit="1"/>
    </xf>
    <xf numFmtId="0" fontId="3" fillId="0" borderId="57" xfId="0" applyFont="1" applyBorder="1" applyAlignment="1">
      <alignment vertical="center"/>
    </xf>
    <xf numFmtId="0" fontId="3" fillId="0" borderId="58" xfId="0" applyFont="1" applyBorder="1" applyAlignment="1">
      <alignment vertical="center"/>
    </xf>
    <xf numFmtId="0" fontId="2" fillId="0" borderId="6" xfId="0" applyFont="1" applyBorder="1" applyAlignment="1">
      <alignment horizontal="left" vertical="top" wrapText="1"/>
    </xf>
    <xf numFmtId="0" fontId="2" fillId="0" borderId="6" xfId="0" applyFont="1" applyBorder="1" applyAlignment="1">
      <alignment vertical="top" wrapText="1"/>
    </xf>
    <xf numFmtId="0" fontId="2" fillId="0" borderId="6" xfId="0" applyFont="1" applyBorder="1" applyAlignment="1">
      <alignment vertical="top" shrinkToFit="1"/>
    </xf>
    <xf numFmtId="0" fontId="2" fillId="0" borderId="0" xfId="0" applyFont="1" applyAlignment="1">
      <alignment vertical="center"/>
    </xf>
    <xf numFmtId="0" fontId="2" fillId="0" borderId="2" xfId="0" applyFont="1" applyBorder="1" applyAlignment="1">
      <alignment vertical="center" shrinkToFit="1"/>
    </xf>
    <xf numFmtId="0" fontId="2" fillId="0" borderId="62" xfId="0" applyFont="1" applyBorder="1" applyAlignment="1">
      <alignment vertical="center"/>
    </xf>
    <xf numFmtId="0" fontId="2" fillId="0" borderId="62" xfId="0" applyFont="1" applyBorder="1" applyAlignment="1">
      <alignment vertical="center" wrapText="1"/>
    </xf>
    <xf numFmtId="0" fontId="2" fillId="0" borderId="64" xfId="0" applyFont="1" applyBorder="1" applyAlignment="1">
      <alignment vertical="center" wrapText="1"/>
    </xf>
    <xf numFmtId="0" fontId="2" fillId="0" borderId="67" xfId="0" applyFont="1" applyBorder="1" applyAlignment="1">
      <alignment vertical="center" wrapText="1"/>
    </xf>
    <xf numFmtId="0" fontId="3" fillId="0" borderId="68" xfId="0" applyFont="1" applyBorder="1" applyAlignment="1">
      <alignment vertical="center"/>
    </xf>
    <xf numFmtId="0" fontId="3" fillId="0" borderId="69" xfId="0" applyFont="1" applyBorder="1" applyAlignment="1">
      <alignment vertical="center"/>
    </xf>
    <xf numFmtId="0" fontId="2" fillId="0" borderId="9" xfId="0" applyFont="1" applyBorder="1" applyAlignment="1">
      <alignment vertical="center" wrapText="1"/>
    </xf>
    <xf numFmtId="0" fontId="2" fillId="0" borderId="17" xfId="0" applyFont="1" applyBorder="1" applyAlignment="1">
      <alignment vertical="top" shrinkToFit="1"/>
    </xf>
    <xf numFmtId="0" fontId="2" fillId="0" borderId="21" xfId="0" applyFont="1" applyBorder="1" applyAlignment="1">
      <alignment vertical="top" shrinkToFit="1"/>
    </xf>
    <xf numFmtId="0" fontId="2" fillId="0" borderId="18" xfId="0" applyFont="1" applyBorder="1" applyAlignment="1">
      <alignment vertical="top" shrinkToFit="1"/>
    </xf>
    <xf numFmtId="0" fontId="2" fillId="0" borderId="22" xfId="0" applyFont="1" applyBorder="1" applyAlignment="1">
      <alignment vertical="top" shrinkToFit="1"/>
    </xf>
    <xf numFmtId="0" fontId="2" fillId="0" borderId="68" xfId="0" applyFont="1" applyBorder="1" applyAlignment="1">
      <alignment vertical="top" shrinkToFit="1"/>
    </xf>
    <xf numFmtId="0" fontId="2" fillId="0" borderId="10" xfId="0" applyFont="1" applyBorder="1" applyAlignment="1">
      <alignment vertical="top" shrinkToFit="1"/>
    </xf>
    <xf numFmtId="0" fontId="1" fillId="0" borderId="0" xfId="0" applyFont="1" applyFill="1" applyAlignment="1">
      <alignment vertical="center"/>
    </xf>
    <xf numFmtId="0" fontId="2" fillId="0" borderId="0" xfId="0" applyFont="1" applyFill="1" applyAlignment="1">
      <alignment vertical="center"/>
    </xf>
    <xf numFmtId="0" fontId="2" fillId="0" borderId="0" xfId="0" applyFont="1" applyFill="1" applyAlignment="1">
      <alignment horizontal="right" vertical="center"/>
    </xf>
    <xf numFmtId="0" fontId="0" fillId="0" borderId="0" xfId="0" applyFont="1" applyFill="1" applyAlignment="1">
      <alignment vertical="center"/>
    </xf>
    <xf numFmtId="0" fontId="0" fillId="0" borderId="0" xfId="0" applyFont="1" applyFill="1" applyAlignment="1">
      <alignment vertical="center"/>
    </xf>
    <xf numFmtId="0" fontId="2" fillId="0" borderId="1" xfId="0" applyFont="1" applyFill="1" applyBorder="1" applyAlignment="1">
      <alignment horizontal="center" vertical="center"/>
    </xf>
    <xf numFmtId="0" fontId="2" fillId="0" borderId="2" xfId="0" applyFont="1" applyFill="1" applyBorder="1" applyAlignment="1">
      <alignment horizontal="center" vertical="center"/>
    </xf>
    <xf numFmtId="0" fontId="3" fillId="0" borderId="3" xfId="0" applyFont="1" applyFill="1" applyBorder="1" applyAlignment="1">
      <alignment vertical="center"/>
    </xf>
    <xf numFmtId="0" fontId="3" fillId="0" borderId="4" xfId="0" applyFont="1" applyFill="1" applyBorder="1" applyAlignment="1">
      <alignment vertical="center"/>
    </xf>
    <xf numFmtId="0" fontId="2" fillId="0" borderId="0" xfId="0" applyFont="1" applyFill="1" applyAlignment="1">
      <alignment horizontal="right" vertical="center"/>
    </xf>
    <xf numFmtId="0" fontId="2" fillId="0" borderId="0" xfId="0" applyFont="1" applyFill="1" applyAlignment="1">
      <alignment vertical="center" shrinkToFit="1"/>
    </xf>
    <xf numFmtId="0" fontId="4" fillId="0" borderId="2" xfId="0" applyFont="1" applyFill="1" applyBorder="1" applyAlignment="1">
      <alignment horizontal="center" vertical="center"/>
    </xf>
    <xf numFmtId="0" fontId="2" fillId="0" borderId="0" xfId="0" applyFont="1" applyFill="1" applyAlignment="1">
      <alignment horizontal="left" vertical="center" shrinkToFit="1"/>
    </xf>
    <xf numFmtId="0" fontId="5" fillId="0" borderId="0" xfId="0" applyFont="1" applyFill="1" applyAlignment="1">
      <alignment horizontal="center" vertical="center"/>
    </xf>
    <xf numFmtId="0" fontId="2" fillId="0" borderId="0" xfId="0" applyFont="1" applyFill="1" applyAlignment="1">
      <alignment horizontal="center" vertical="center"/>
    </xf>
    <xf numFmtId="0" fontId="2" fillId="0" borderId="5" xfId="0" applyFont="1" applyFill="1" applyBorder="1" applyAlignment="1">
      <alignment horizontal="right" vertical="center"/>
    </xf>
    <xf numFmtId="0" fontId="1" fillId="0" borderId="2" xfId="0" applyFont="1" applyFill="1" applyBorder="1" applyAlignment="1">
      <alignment horizontal="center" vertical="center"/>
    </xf>
    <xf numFmtId="0" fontId="2" fillId="0" borderId="0" xfId="0" applyFont="1" applyFill="1" applyAlignment="1">
      <alignment horizontal="left" vertical="center"/>
    </xf>
    <xf numFmtId="0" fontId="2" fillId="0" borderId="6" xfId="0" applyFont="1" applyFill="1" applyBorder="1" applyAlignment="1">
      <alignment horizontal="left" vertical="center" wrapText="1"/>
    </xf>
    <xf numFmtId="0" fontId="3" fillId="0" borderId="7" xfId="0" applyFont="1" applyFill="1" applyBorder="1" applyAlignment="1">
      <alignment vertical="center"/>
    </xf>
    <xf numFmtId="0" fontId="3" fillId="0" borderId="8"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0" fontId="3" fillId="0" borderId="11" xfId="0" applyFont="1" applyFill="1" applyBorder="1" applyAlignment="1">
      <alignment vertical="center"/>
    </xf>
    <xf numFmtId="0" fontId="1" fillId="0" borderId="0" xfId="0" applyFont="1" applyFill="1" applyAlignment="1">
      <alignment horizontal="center" vertical="center"/>
    </xf>
    <xf numFmtId="0" fontId="2" fillId="0" borderId="6" xfId="0" applyFont="1" applyFill="1" applyBorder="1" applyAlignment="1">
      <alignment horizontal="left" vertical="top" shrinkToFit="1"/>
    </xf>
    <xf numFmtId="0" fontId="3" fillId="0" borderId="12" xfId="0" applyFont="1" applyFill="1" applyBorder="1" applyAlignment="1">
      <alignment vertical="center"/>
    </xf>
    <xf numFmtId="0" fontId="3" fillId="0" borderId="5" xfId="0" applyFont="1" applyFill="1" applyBorder="1" applyAlignment="1">
      <alignment vertical="center"/>
    </xf>
    <xf numFmtId="0" fontId="2" fillId="0" borderId="12" xfId="0" applyFont="1" applyFill="1" applyBorder="1" applyAlignment="1">
      <alignment vertical="center"/>
    </xf>
    <xf numFmtId="0" fontId="1" fillId="0" borderId="2" xfId="0" applyFont="1" applyFill="1" applyBorder="1" applyAlignment="1">
      <alignment horizontal="center" vertical="center" shrinkToFit="1"/>
    </xf>
    <xf numFmtId="0" fontId="2" fillId="0" borderId="0" xfId="0" applyFont="1" applyFill="1" applyAlignment="1">
      <alignment vertical="center" wrapText="1"/>
    </xf>
    <xf numFmtId="0" fontId="6" fillId="0" borderId="1" xfId="0" applyFont="1" applyFill="1" applyBorder="1" applyAlignment="1">
      <alignment horizontal="center" vertical="center" shrinkToFit="1"/>
    </xf>
    <xf numFmtId="0" fontId="6" fillId="0" borderId="4" xfId="0" applyFont="1" applyFill="1" applyBorder="1" applyAlignment="1">
      <alignment horizontal="center" vertical="center" shrinkToFit="1"/>
    </xf>
    <xf numFmtId="49" fontId="6" fillId="0" borderId="1" xfId="0" applyNumberFormat="1" applyFont="1" applyFill="1" applyBorder="1" applyAlignment="1">
      <alignment horizontal="center" vertical="center"/>
    </xf>
    <xf numFmtId="0" fontId="2" fillId="0" borderId="13" xfId="0" applyFont="1" applyFill="1" applyBorder="1" applyAlignment="1">
      <alignment vertical="center" shrinkToFit="1"/>
    </xf>
    <xf numFmtId="0" fontId="3" fillId="0" borderId="14" xfId="0" applyFont="1" applyFill="1" applyBorder="1" applyAlignment="1">
      <alignment vertical="center"/>
    </xf>
    <xf numFmtId="0" fontId="3" fillId="0" borderId="15" xfId="0" applyFont="1" applyFill="1" applyBorder="1" applyAlignment="1">
      <alignment vertical="center"/>
    </xf>
    <xf numFmtId="0" fontId="2" fillId="0" borderId="16" xfId="0" applyFont="1" applyFill="1" applyBorder="1" applyAlignment="1">
      <alignment horizontal="center" vertical="center" shrinkToFit="1"/>
    </xf>
    <xf numFmtId="0" fontId="2" fillId="0" borderId="17" xfId="0" applyFont="1" applyFill="1" applyBorder="1" applyAlignment="1">
      <alignment vertical="center" shrinkToFit="1"/>
    </xf>
    <xf numFmtId="0" fontId="3" fillId="0" borderId="18" xfId="0" applyFont="1" applyFill="1" applyBorder="1" applyAlignment="1">
      <alignment vertical="center"/>
    </xf>
    <xf numFmtId="0" fontId="3" fillId="0" borderId="19" xfId="0" applyFont="1" applyFill="1" applyBorder="1" applyAlignment="1">
      <alignment vertical="center"/>
    </xf>
    <xf numFmtId="0" fontId="2" fillId="0" borderId="20" xfId="0" applyFont="1" applyFill="1" applyBorder="1" applyAlignment="1">
      <alignment horizontal="center" vertical="center" shrinkToFit="1"/>
    </xf>
    <xf numFmtId="0" fontId="2" fillId="0" borderId="21" xfId="0" applyFont="1" applyFill="1" applyBorder="1" applyAlignment="1">
      <alignment vertical="center" shrinkToFit="1"/>
    </xf>
    <xf numFmtId="0" fontId="3" fillId="0" borderId="22" xfId="0" applyFont="1" applyFill="1" applyBorder="1" applyAlignment="1">
      <alignment vertical="center"/>
    </xf>
    <xf numFmtId="0" fontId="3" fillId="0" borderId="23" xfId="0" applyFont="1" applyFill="1" applyBorder="1" applyAlignment="1">
      <alignment vertical="center"/>
    </xf>
    <xf numFmtId="0" fontId="2" fillId="0" borderId="24" xfId="0" applyFont="1" applyFill="1" applyBorder="1" applyAlignment="1">
      <alignment horizontal="center" vertical="center" shrinkToFit="1"/>
    </xf>
    <xf numFmtId="0" fontId="2" fillId="0" borderId="25" xfId="0" applyFont="1" applyFill="1" applyBorder="1" applyAlignment="1">
      <alignment horizontal="center" vertical="center" shrinkToFit="1"/>
    </xf>
    <xf numFmtId="0" fontId="2" fillId="0" borderId="0" xfId="0" applyFont="1" applyFill="1" applyAlignment="1">
      <alignment vertical="top" wrapText="1"/>
    </xf>
    <xf numFmtId="0" fontId="2" fillId="0" borderId="6" xfId="0" applyFont="1" applyFill="1" applyBorder="1" applyAlignment="1">
      <alignment horizontal="center" vertical="center"/>
    </xf>
    <xf numFmtId="0" fontId="2" fillId="0" borderId="13" xfId="0" applyFont="1" applyFill="1" applyBorder="1" applyAlignment="1">
      <alignment horizontal="center" vertical="center" shrinkToFit="1"/>
    </xf>
    <xf numFmtId="0" fontId="2" fillId="0" borderId="17" xfId="0" applyFont="1" applyFill="1" applyBorder="1" applyAlignment="1">
      <alignment horizontal="center" vertical="center" shrinkToFit="1"/>
    </xf>
    <xf numFmtId="0" fontId="2" fillId="0" borderId="21" xfId="0" applyFont="1" applyFill="1" applyBorder="1" applyAlignment="1">
      <alignment horizontal="center" vertical="center" shrinkToFit="1"/>
    </xf>
    <xf numFmtId="0" fontId="2" fillId="0" borderId="0" xfId="0" applyFont="1" applyFill="1" applyAlignment="1">
      <alignment horizontal="center" vertical="center" shrinkToFit="1"/>
    </xf>
    <xf numFmtId="0" fontId="4" fillId="0" borderId="2" xfId="0" applyFont="1" applyFill="1" applyBorder="1" applyAlignment="1">
      <alignment horizontal="center" vertical="center" shrinkToFit="1"/>
    </xf>
    <xf numFmtId="0" fontId="2" fillId="0" borderId="3" xfId="0" applyFont="1" applyFill="1" applyBorder="1" applyAlignment="1">
      <alignment horizontal="center" vertical="center"/>
    </xf>
    <xf numFmtId="0" fontId="6" fillId="0" borderId="26" xfId="0" applyFont="1" applyFill="1" applyBorder="1" applyAlignment="1">
      <alignment vertical="center" wrapText="1"/>
    </xf>
    <xf numFmtId="49" fontId="6" fillId="0" borderId="27" xfId="0" applyNumberFormat="1" applyFont="1" applyFill="1" applyBorder="1" applyAlignment="1">
      <alignment horizontal="center" vertical="center"/>
    </xf>
    <xf numFmtId="0" fontId="2" fillId="0" borderId="7" xfId="0" applyFont="1" applyFill="1" applyBorder="1" applyAlignment="1">
      <alignment horizontal="left" vertical="center" wrapText="1"/>
    </xf>
    <xf numFmtId="0" fontId="3" fillId="0" borderId="28" xfId="0" applyFont="1" applyFill="1" applyBorder="1" applyAlignment="1">
      <alignment vertical="center"/>
    </xf>
    <xf numFmtId="49" fontId="6" fillId="0" borderId="29" xfId="0" applyNumberFormat="1" applyFont="1" applyFill="1" applyBorder="1" applyAlignment="1">
      <alignment horizontal="center" vertical="center"/>
    </xf>
    <xf numFmtId="0" fontId="2" fillId="0" borderId="30" xfId="0" applyFont="1" applyFill="1" applyBorder="1" applyAlignment="1">
      <alignment horizontal="left" vertical="center" wrapText="1"/>
    </xf>
    <xf numFmtId="0" fontId="3" fillId="0" borderId="30" xfId="0" applyFont="1" applyFill="1" applyBorder="1" applyAlignment="1">
      <alignment vertical="center"/>
    </xf>
    <xf numFmtId="0" fontId="3" fillId="0" borderId="31" xfId="0" applyFont="1" applyFill="1" applyBorder="1" applyAlignment="1">
      <alignment vertical="center"/>
    </xf>
    <xf numFmtId="49" fontId="6" fillId="0" borderId="32" xfId="0" applyNumberFormat="1" applyFont="1" applyFill="1" applyBorder="1" applyAlignment="1">
      <alignment horizontal="center" vertical="center"/>
    </xf>
    <xf numFmtId="0" fontId="2" fillId="0" borderId="14" xfId="0" applyFont="1" applyFill="1" applyBorder="1" applyAlignment="1">
      <alignment horizontal="left" vertical="center" wrapText="1"/>
    </xf>
    <xf numFmtId="0" fontId="3" fillId="0" borderId="33" xfId="0" applyFont="1" applyFill="1" applyBorder="1" applyAlignment="1">
      <alignment vertical="center"/>
    </xf>
    <xf numFmtId="49" fontId="6" fillId="0" borderId="34" xfId="0" applyNumberFormat="1" applyFont="1" applyFill="1" applyBorder="1" applyAlignment="1">
      <alignment horizontal="center" vertical="center"/>
    </xf>
    <xf numFmtId="0" fontId="2" fillId="0" borderId="22" xfId="0" applyFont="1" applyFill="1" applyBorder="1" applyAlignment="1">
      <alignment horizontal="left" vertical="center" wrapText="1"/>
    </xf>
    <xf numFmtId="49" fontId="6" fillId="0" borderId="35" xfId="0" applyNumberFormat="1" applyFont="1" applyFill="1" applyBorder="1" applyAlignment="1">
      <alignment horizontal="center" vertical="center"/>
    </xf>
    <xf numFmtId="0" fontId="2" fillId="0" borderId="10" xfId="0" applyFont="1" applyFill="1" applyBorder="1" applyAlignment="1">
      <alignment horizontal="left" vertical="center" wrapText="1"/>
    </xf>
    <xf numFmtId="0" fontId="2" fillId="0" borderId="14" xfId="0" applyFont="1" applyFill="1" applyBorder="1" applyAlignment="1">
      <alignment vertical="center" wrapText="1"/>
    </xf>
    <xf numFmtId="49" fontId="6" fillId="0" borderId="36" xfId="0" applyNumberFormat="1" applyFont="1" applyFill="1" applyBorder="1" applyAlignment="1">
      <alignment horizontal="center" vertical="center"/>
    </xf>
    <xf numFmtId="0" fontId="2" fillId="0" borderId="17" xfId="0" applyFont="1" applyFill="1" applyBorder="1" applyAlignment="1">
      <alignment vertical="center" wrapText="1"/>
    </xf>
    <xf numFmtId="0" fontId="2" fillId="0" borderId="10" xfId="0" applyFont="1" applyFill="1" applyBorder="1" applyAlignment="1">
      <alignment vertical="center" wrapText="1"/>
    </xf>
    <xf numFmtId="0" fontId="2" fillId="0" borderId="2" xfId="0" applyFont="1" applyFill="1" applyBorder="1" applyAlignment="1">
      <alignment vertical="center" wrapText="1"/>
    </xf>
  </cellXfs>
  <cellStyles count="1">
    <cellStyle name="標準" xfId="0" builtinId="0"/>
  </cellStyles>
  <dxfs count="2">
    <dxf>
      <fill>
        <patternFill patternType="none"/>
      </fill>
    </dxf>
    <dxf>
      <font>
        <color rgb="FFA5A5A5"/>
      </font>
      <fill>
        <patternFill patternType="solid">
          <fgColor rgb="FFA5A5A5"/>
          <bgColor rgb="FFA5A5A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BF8F"/>
    <pageSetUpPr fitToPage="1"/>
  </sheetPr>
  <dimension ref="A1:Z1000"/>
  <sheetViews>
    <sheetView tabSelected="1" topLeftCell="A64" workbookViewId="0">
      <selection activeCell="F78" sqref="F78:I78"/>
    </sheetView>
  </sheetViews>
  <sheetFormatPr defaultColWidth="14.42578125" defaultRowHeight="15" customHeight="1"/>
  <cols>
    <col min="1" max="1" width="2.140625" style="124" customWidth="1"/>
    <col min="2" max="2" width="14.42578125" style="124" customWidth="1"/>
    <col min="3" max="19" width="4.85546875" style="124" customWidth="1"/>
    <col min="20" max="20" width="7.85546875" style="124" customWidth="1"/>
    <col min="21" max="21" width="3.140625" style="124" customWidth="1"/>
    <col min="22" max="22" width="42.42578125" style="124" hidden="1" customWidth="1"/>
    <col min="23" max="26" width="7.85546875" style="124" customWidth="1"/>
    <col min="27" max="16384" width="14.42578125" style="124"/>
  </cols>
  <sheetData>
    <row r="1" spans="1:26" ht="18" customHeight="1">
      <c r="A1" s="120" t="s">
        <v>0</v>
      </c>
      <c r="B1" s="121"/>
      <c r="C1" s="121"/>
      <c r="D1" s="121"/>
      <c r="E1" s="121"/>
      <c r="F1" s="121"/>
      <c r="G1" s="121"/>
      <c r="H1" s="121"/>
      <c r="I1" s="121"/>
      <c r="J1" s="121"/>
      <c r="K1" s="121"/>
      <c r="L1" s="121"/>
      <c r="M1" s="121"/>
      <c r="N1" s="121"/>
      <c r="O1" s="121"/>
      <c r="P1" s="121"/>
      <c r="Q1" s="121"/>
      <c r="R1" s="122" t="s">
        <v>1</v>
      </c>
      <c r="S1" s="123"/>
      <c r="T1" s="120"/>
      <c r="U1" s="121"/>
      <c r="V1" s="121"/>
      <c r="W1" s="121"/>
      <c r="X1" s="121"/>
      <c r="Y1" s="121"/>
      <c r="Z1" s="121"/>
    </row>
    <row r="2" spans="1:26" ht="18.75" customHeight="1">
      <c r="A2" s="121"/>
      <c r="B2" s="125" t="s">
        <v>2</v>
      </c>
      <c r="C2" s="126" t="s">
        <v>3</v>
      </c>
      <c r="D2" s="127"/>
      <c r="E2" s="127"/>
      <c r="F2" s="127"/>
      <c r="G2" s="127"/>
      <c r="H2" s="127"/>
      <c r="I2" s="128"/>
      <c r="J2" s="129"/>
      <c r="K2" s="130"/>
      <c r="L2" s="130"/>
      <c r="M2" s="130"/>
      <c r="N2" s="130"/>
      <c r="O2" s="130"/>
      <c r="P2" s="130"/>
      <c r="Q2" s="130"/>
      <c r="R2" s="130"/>
      <c r="S2" s="130"/>
      <c r="T2" s="121"/>
      <c r="U2" s="121"/>
      <c r="V2" s="121"/>
      <c r="W2" s="121"/>
      <c r="X2" s="121"/>
      <c r="Y2" s="121"/>
      <c r="Z2" s="121"/>
    </row>
    <row r="3" spans="1:26" ht="18.75" customHeight="1">
      <c r="A3" s="121"/>
      <c r="B3" s="125" t="s">
        <v>4</v>
      </c>
      <c r="C3" s="131" t="s">
        <v>5</v>
      </c>
      <c r="D3" s="127"/>
      <c r="E3" s="127"/>
      <c r="F3" s="127"/>
      <c r="G3" s="127"/>
      <c r="H3" s="127"/>
      <c r="I3" s="128"/>
      <c r="J3" s="129"/>
      <c r="K3" s="130"/>
      <c r="L3" s="130"/>
      <c r="M3" s="130"/>
      <c r="N3" s="130"/>
      <c r="O3" s="130"/>
      <c r="P3" s="130"/>
      <c r="Q3" s="130"/>
      <c r="R3" s="130"/>
      <c r="S3" s="130"/>
      <c r="T3" s="121"/>
      <c r="U3" s="121"/>
      <c r="V3" s="121"/>
      <c r="W3" s="121"/>
      <c r="X3" s="121"/>
      <c r="Y3" s="121"/>
      <c r="Z3" s="121"/>
    </row>
    <row r="4" spans="1:26" ht="15" customHeight="1">
      <c r="A4" s="121"/>
      <c r="B4" s="121"/>
      <c r="C4" s="121"/>
      <c r="D4" s="121"/>
      <c r="E4" s="121"/>
      <c r="F4" s="121"/>
      <c r="G4" s="121"/>
      <c r="H4" s="121"/>
      <c r="I4" s="121"/>
      <c r="J4" s="121"/>
      <c r="K4" s="129"/>
      <c r="L4" s="132"/>
      <c r="M4" s="132"/>
      <c r="N4" s="132"/>
      <c r="O4" s="132"/>
      <c r="P4" s="132"/>
      <c r="Q4" s="132"/>
      <c r="R4" s="132"/>
      <c r="S4" s="132"/>
      <c r="T4" s="121"/>
      <c r="U4" s="121"/>
      <c r="V4" s="121"/>
      <c r="W4" s="121"/>
      <c r="X4" s="121"/>
      <c r="Y4" s="121"/>
      <c r="Z4" s="121"/>
    </row>
    <row r="5" spans="1:26" ht="18" customHeight="1">
      <c r="A5" s="133" t="s">
        <v>6</v>
      </c>
      <c r="B5" s="123"/>
      <c r="C5" s="123"/>
      <c r="D5" s="123"/>
      <c r="E5" s="123"/>
      <c r="F5" s="123"/>
      <c r="G5" s="123"/>
      <c r="H5" s="123"/>
      <c r="I5" s="123"/>
      <c r="J5" s="123"/>
      <c r="K5" s="123"/>
      <c r="L5" s="123"/>
      <c r="M5" s="123"/>
      <c r="N5" s="123"/>
      <c r="O5" s="123"/>
      <c r="P5" s="123"/>
      <c r="Q5" s="123"/>
      <c r="R5" s="123"/>
      <c r="S5" s="123"/>
      <c r="T5" s="121"/>
      <c r="U5" s="121"/>
      <c r="V5" s="121"/>
      <c r="W5" s="121"/>
      <c r="X5" s="121"/>
      <c r="Y5" s="121"/>
      <c r="Z5" s="121"/>
    </row>
    <row r="6" spans="1:26" ht="15" customHeight="1">
      <c r="A6" s="121"/>
      <c r="B6" s="134"/>
      <c r="C6" s="134"/>
      <c r="D6" s="134"/>
      <c r="E6" s="134"/>
      <c r="F6" s="134"/>
      <c r="G6" s="134"/>
      <c r="H6" s="134"/>
      <c r="I6" s="134"/>
      <c r="J6" s="134"/>
      <c r="K6" s="134"/>
      <c r="L6" s="134"/>
      <c r="M6" s="134"/>
      <c r="N6" s="134"/>
      <c r="O6" s="134"/>
      <c r="P6" s="134"/>
      <c r="Q6" s="134"/>
      <c r="R6" s="134"/>
      <c r="S6" s="134"/>
      <c r="T6" s="121"/>
      <c r="U6" s="121"/>
      <c r="V6" s="121"/>
      <c r="W6" s="121"/>
      <c r="X6" s="121"/>
      <c r="Y6" s="121"/>
      <c r="Z6" s="121"/>
    </row>
    <row r="7" spans="1:26" ht="18" customHeight="1">
      <c r="A7" s="121" t="s">
        <v>7</v>
      </c>
      <c r="B7" s="121"/>
      <c r="C7" s="134"/>
      <c r="D7" s="121"/>
      <c r="E7" s="121"/>
      <c r="F7" s="121"/>
      <c r="G7" s="121"/>
      <c r="H7" s="121"/>
      <c r="I7" s="121"/>
      <c r="J7" s="135" t="s">
        <v>8</v>
      </c>
      <c r="K7" s="136" t="s">
        <v>9</v>
      </c>
      <c r="L7" s="127"/>
      <c r="M7" s="127"/>
      <c r="N7" s="127"/>
      <c r="O7" s="127"/>
      <c r="P7" s="127"/>
      <c r="Q7" s="127"/>
      <c r="R7" s="127"/>
      <c r="S7" s="128"/>
      <c r="T7" s="121"/>
      <c r="U7" s="121"/>
      <c r="V7" s="121"/>
      <c r="W7" s="121"/>
      <c r="X7" s="121"/>
      <c r="Y7" s="121"/>
      <c r="Z7" s="121"/>
    </row>
    <row r="8" spans="1:26" ht="6" customHeight="1">
      <c r="A8" s="121"/>
      <c r="B8" s="134"/>
      <c r="C8" s="134"/>
      <c r="D8" s="134"/>
      <c r="E8" s="134"/>
      <c r="F8" s="134"/>
      <c r="G8" s="134"/>
      <c r="H8" s="134"/>
      <c r="I8" s="134"/>
      <c r="J8" s="134"/>
      <c r="K8" s="137"/>
      <c r="L8" s="134"/>
      <c r="M8" s="134"/>
      <c r="N8" s="134"/>
      <c r="O8" s="134"/>
      <c r="P8" s="134"/>
      <c r="Q8" s="134"/>
      <c r="R8" s="134"/>
      <c r="S8" s="134"/>
      <c r="T8" s="121"/>
      <c r="U8" s="121"/>
      <c r="V8" s="121"/>
      <c r="W8" s="121"/>
      <c r="X8" s="121"/>
      <c r="Y8" s="121"/>
      <c r="Z8" s="121"/>
    </row>
    <row r="9" spans="1:26" ht="18" customHeight="1">
      <c r="A9" s="121"/>
      <c r="B9" s="138" t="s">
        <v>10</v>
      </c>
      <c r="C9" s="139"/>
      <c r="D9" s="139"/>
      <c r="E9" s="139"/>
      <c r="F9" s="139"/>
      <c r="G9" s="139"/>
      <c r="H9" s="139"/>
      <c r="I9" s="139"/>
      <c r="J9" s="139"/>
      <c r="K9" s="139"/>
      <c r="L9" s="139"/>
      <c r="M9" s="139"/>
      <c r="N9" s="139"/>
      <c r="O9" s="139"/>
      <c r="P9" s="139"/>
      <c r="Q9" s="139"/>
      <c r="R9" s="139"/>
      <c r="S9" s="140"/>
      <c r="T9" s="121"/>
      <c r="U9" s="121"/>
      <c r="V9" s="121"/>
      <c r="W9" s="121"/>
      <c r="X9" s="121"/>
      <c r="Y9" s="121"/>
      <c r="Z9" s="121"/>
    </row>
    <row r="10" spans="1:26" ht="18" customHeight="1">
      <c r="A10" s="121"/>
      <c r="B10" s="141"/>
      <c r="C10" s="142"/>
      <c r="D10" s="142"/>
      <c r="E10" s="142"/>
      <c r="F10" s="142"/>
      <c r="G10" s="142"/>
      <c r="H10" s="142"/>
      <c r="I10" s="142"/>
      <c r="J10" s="142"/>
      <c r="K10" s="142"/>
      <c r="L10" s="142"/>
      <c r="M10" s="142"/>
      <c r="N10" s="142"/>
      <c r="O10" s="142"/>
      <c r="P10" s="142"/>
      <c r="Q10" s="142"/>
      <c r="R10" s="142"/>
      <c r="S10" s="143"/>
      <c r="T10" s="121"/>
      <c r="U10" s="121"/>
      <c r="V10" s="121"/>
      <c r="W10" s="121"/>
      <c r="X10" s="121"/>
      <c r="Y10" s="121"/>
      <c r="Z10" s="121"/>
    </row>
    <row r="11" spans="1:26" ht="6" customHeight="1">
      <c r="A11" s="121"/>
      <c r="B11" s="134"/>
      <c r="C11" s="134"/>
      <c r="D11" s="134"/>
      <c r="E11" s="134"/>
      <c r="F11" s="134"/>
      <c r="G11" s="134"/>
      <c r="H11" s="134"/>
      <c r="I11" s="134"/>
      <c r="J11" s="134"/>
      <c r="K11" s="137"/>
      <c r="L11" s="134"/>
      <c r="M11" s="134"/>
      <c r="N11" s="134"/>
      <c r="O11" s="134"/>
      <c r="P11" s="134"/>
      <c r="Q11" s="134"/>
      <c r="R11" s="134"/>
      <c r="S11" s="134"/>
      <c r="T11" s="121"/>
      <c r="U11" s="121"/>
      <c r="V11" s="121"/>
      <c r="W11" s="121"/>
      <c r="X11" s="121"/>
      <c r="Y11" s="121"/>
      <c r="Z11" s="121"/>
    </row>
    <row r="12" spans="1:26" ht="18" customHeight="1">
      <c r="A12" s="121" t="s">
        <v>11</v>
      </c>
      <c r="B12" s="134"/>
      <c r="C12" s="134"/>
      <c r="D12" s="129"/>
      <c r="E12" s="129"/>
      <c r="F12" s="129"/>
      <c r="G12" s="129"/>
      <c r="H12" s="129"/>
      <c r="I12" s="129"/>
      <c r="J12" s="129"/>
      <c r="K12" s="144"/>
      <c r="L12" s="144"/>
      <c r="M12" s="144"/>
      <c r="N12" s="144"/>
      <c r="O12" s="144"/>
      <c r="P12" s="144"/>
      <c r="Q12" s="144"/>
      <c r="R12" s="144"/>
      <c r="S12" s="144"/>
      <c r="T12" s="121"/>
      <c r="U12" s="121"/>
      <c r="V12" s="121"/>
      <c r="W12" s="121"/>
      <c r="X12" s="121"/>
      <c r="Y12" s="121"/>
      <c r="Z12" s="121"/>
    </row>
    <row r="13" spans="1:26" ht="18" customHeight="1">
      <c r="A13" s="121"/>
      <c r="B13" s="145" t="s">
        <v>12</v>
      </c>
      <c r="C13" s="139"/>
      <c r="D13" s="139"/>
      <c r="E13" s="139"/>
      <c r="F13" s="139"/>
      <c r="G13" s="139"/>
      <c r="H13" s="139"/>
      <c r="I13" s="139"/>
      <c r="J13" s="139"/>
      <c r="K13" s="139"/>
      <c r="L13" s="139"/>
      <c r="M13" s="139"/>
      <c r="N13" s="139"/>
      <c r="O13" s="139"/>
      <c r="P13" s="139"/>
      <c r="Q13" s="139"/>
      <c r="R13" s="139"/>
      <c r="S13" s="140"/>
      <c r="T13" s="121"/>
      <c r="U13" s="121"/>
      <c r="V13" s="121" t="s">
        <v>13</v>
      </c>
      <c r="W13" s="121"/>
      <c r="X13" s="121"/>
      <c r="Y13" s="121"/>
      <c r="Z13" s="121"/>
    </row>
    <row r="14" spans="1:26" ht="18" customHeight="1">
      <c r="A14" s="121"/>
      <c r="B14" s="146"/>
      <c r="C14" s="123"/>
      <c r="D14" s="123"/>
      <c r="E14" s="123"/>
      <c r="F14" s="123"/>
      <c r="G14" s="123"/>
      <c r="H14" s="123"/>
      <c r="I14" s="123"/>
      <c r="J14" s="123"/>
      <c r="K14" s="123"/>
      <c r="L14" s="123"/>
      <c r="M14" s="123"/>
      <c r="N14" s="123"/>
      <c r="O14" s="123"/>
      <c r="P14" s="123"/>
      <c r="Q14" s="123"/>
      <c r="R14" s="123"/>
      <c r="S14" s="147"/>
      <c r="T14" s="121"/>
      <c r="U14" s="121"/>
      <c r="V14" s="121" t="s">
        <v>14</v>
      </c>
      <c r="W14" s="121"/>
      <c r="X14" s="121"/>
      <c r="Y14" s="121"/>
      <c r="Z14" s="121"/>
    </row>
    <row r="15" spans="1:26" ht="18" customHeight="1">
      <c r="A15" s="121"/>
      <c r="B15" s="146"/>
      <c r="C15" s="123"/>
      <c r="D15" s="123"/>
      <c r="E15" s="123"/>
      <c r="F15" s="123"/>
      <c r="G15" s="123"/>
      <c r="H15" s="123"/>
      <c r="I15" s="123"/>
      <c r="J15" s="123"/>
      <c r="K15" s="123"/>
      <c r="L15" s="123"/>
      <c r="M15" s="123"/>
      <c r="N15" s="123"/>
      <c r="O15" s="123"/>
      <c r="P15" s="123"/>
      <c r="Q15" s="123"/>
      <c r="R15" s="123"/>
      <c r="S15" s="147"/>
      <c r="T15" s="121"/>
      <c r="U15" s="121"/>
      <c r="V15" s="121" t="s">
        <v>15</v>
      </c>
      <c r="W15" s="121"/>
      <c r="X15" s="121"/>
      <c r="Y15" s="121"/>
      <c r="Z15" s="121"/>
    </row>
    <row r="16" spans="1:26" ht="18" customHeight="1">
      <c r="A16" s="121"/>
      <c r="B16" s="146"/>
      <c r="C16" s="123"/>
      <c r="D16" s="123"/>
      <c r="E16" s="123"/>
      <c r="F16" s="123"/>
      <c r="G16" s="123"/>
      <c r="H16" s="123"/>
      <c r="I16" s="123"/>
      <c r="J16" s="123"/>
      <c r="K16" s="123"/>
      <c r="L16" s="123"/>
      <c r="M16" s="123"/>
      <c r="N16" s="123"/>
      <c r="O16" s="123"/>
      <c r="P16" s="123"/>
      <c r="Q16" s="123"/>
      <c r="R16" s="123"/>
      <c r="S16" s="147"/>
      <c r="T16" s="121"/>
      <c r="U16" s="121"/>
      <c r="V16" s="121" t="s">
        <v>16</v>
      </c>
      <c r="W16" s="121"/>
      <c r="X16" s="121"/>
      <c r="Y16" s="121"/>
      <c r="Z16" s="121"/>
    </row>
    <row r="17" spans="1:26" ht="18" customHeight="1">
      <c r="A17" s="121"/>
      <c r="B17" s="146"/>
      <c r="C17" s="123"/>
      <c r="D17" s="123"/>
      <c r="E17" s="123"/>
      <c r="F17" s="123"/>
      <c r="G17" s="123"/>
      <c r="H17" s="123"/>
      <c r="I17" s="123"/>
      <c r="J17" s="123"/>
      <c r="K17" s="123"/>
      <c r="L17" s="123"/>
      <c r="M17" s="123"/>
      <c r="N17" s="123"/>
      <c r="O17" s="123"/>
      <c r="P17" s="123"/>
      <c r="Q17" s="123"/>
      <c r="R17" s="123"/>
      <c r="S17" s="147"/>
      <c r="T17" s="121"/>
      <c r="U17" s="121"/>
      <c r="V17" s="121"/>
      <c r="W17" s="121"/>
      <c r="X17" s="121"/>
      <c r="Y17" s="121"/>
      <c r="Z17" s="121"/>
    </row>
    <row r="18" spans="1:26" ht="18" customHeight="1">
      <c r="A18" s="121"/>
      <c r="B18" s="141"/>
      <c r="C18" s="142"/>
      <c r="D18" s="142"/>
      <c r="E18" s="142"/>
      <c r="F18" s="142"/>
      <c r="G18" s="142"/>
      <c r="H18" s="142"/>
      <c r="I18" s="142"/>
      <c r="J18" s="142"/>
      <c r="K18" s="142"/>
      <c r="L18" s="142"/>
      <c r="M18" s="142"/>
      <c r="N18" s="142"/>
      <c r="O18" s="142"/>
      <c r="P18" s="142"/>
      <c r="Q18" s="142"/>
      <c r="R18" s="142"/>
      <c r="S18" s="143"/>
      <c r="T18" s="121"/>
      <c r="U18" s="121"/>
      <c r="V18" s="121"/>
      <c r="W18" s="121"/>
      <c r="X18" s="121"/>
      <c r="Y18" s="121"/>
      <c r="Z18" s="121"/>
    </row>
    <row r="19" spans="1:26" ht="7.5" customHeight="1">
      <c r="A19" s="121"/>
      <c r="B19" s="134"/>
      <c r="C19" s="134"/>
      <c r="D19" s="134"/>
      <c r="E19" s="134"/>
      <c r="F19" s="134"/>
      <c r="G19" s="134"/>
      <c r="H19" s="134"/>
      <c r="I19" s="134"/>
      <c r="J19" s="134"/>
      <c r="K19" s="134"/>
      <c r="L19" s="134"/>
      <c r="M19" s="134"/>
      <c r="N19" s="134"/>
      <c r="O19" s="134"/>
      <c r="P19" s="134"/>
      <c r="Q19" s="134"/>
      <c r="R19" s="134"/>
      <c r="S19" s="134"/>
      <c r="T19" s="121"/>
      <c r="U19" s="121"/>
      <c r="V19" s="121"/>
      <c r="W19" s="121"/>
      <c r="X19" s="121"/>
      <c r="Y19" s="121"/>
      <c r="Z19" s="121"/>
    </row>
    <row r="20" spans="1:26" ht="19.5" customHeight="1">
      <c r="A20" s="121"/>
      <c r="B20" s="121" t="s">
        <v>17</v>
      </c>
      <c r="C20" s="126">
        <v>4</v>
      </c>
      <c r="D20" s="128"/>
      <c r="E20" s="148" t="s">
        <v>18</v>
      </c>
      <c r="F20" s="121"/>
      <c r="G20" s="137"/>
      <c r="H20" s="134"/>
      <c r="I20" s="134"/>
      <c r="J20" s="129" t="s">
        <v>19</v>
      </c>
      <c r="K20" s="149" t="s">
        <v>16</v>
      </c>
      <c r="L20" s="127"/>
      <c r="M20" s="127"/>
      <c r="N20" s="127"/>
      <c r="O20" s="127"/>
      <c r="P20" s="127"/>
      <c r="Q20" s="127"/>
      <c r="R20" s="127"/>
      <c r="S20" s="128"/>
      <c r="T20" s="121"/>
      <c r="U20" s="121"/>
      <c r="V20" s="121"/>
      <c r="W20" s="121"/>
      <c r="X20" s="121"/>
      <c r="Y20" s="121"/>
      <c r="Z20" s="121"/>
    </row>
    <row r="21" spans="1:26" ht="7.5" customHeight="1">
      <c r="A21" s="121"/>
      <c r="B21" s="134"/>
      <c r="C21" s="134"/>
      <c r="D21" s="134"/>
      <c r="E21" s="134"/>
      <c r="F21" s="134"/>
      <c r="G21" s="134"/>
      <c r="H21" s="134"/>
      <c r="I21" s="134"/>
      <c r="J21" s="134"/>
      <c r="K21" s="134"/>
      <c r="L21" s="134"/>
      <c r="M21" s="134"/>
      <c r="N21" s="134"/>
      <c r="O21" s="134"/>
      <c r="P21" s="134"/>
      <c r="Q21" s="134"/>
      <c r="R21" s="134"/>
      <c r="S21" s="134"/>
      <c r="T21" s="121"/>
      <c r="U21" s="121"/>
      <c r="V21" s="121"/>
      <c r="W21" s="121"/>
      <c r="X21" s="121"/>
      <c r="Y21" s="121"/>
      <c r="Z21" s="121"/>
    </row>
    <row r="22" spans="1:26" ht="18" customHeight="1">
      <c r="A22" s="150" t="s">
        <v>20</v>
      </c>
      <c r="B22" s="123"/>
      <c r="C22" s="123"/>
      <c r="D22" s="123"/>
      <c r="E22" s="123"/>
      <c r="F22" s="123"/>
      <c r="G22" s="123"/>
      <c r="H22" s="123"/>
      <c r="I22" s="123"/>
      <c r="J22" s="123"/>
      <c r="K22" s="123"/>
      <c r="L22" s="123"/>
      <c r="M22" s="123"/>
      <c r="N22" s="123"/>
      <c r="O22" s="123"/>
      <c r="P22" s="123"/>
      <c r="Q22" s="123"/>
      <c r="R22" s="123"/>
      <c r="S22" s="123"/>
      <c r="T22" s="121"/>
      <c r="U22" s="121"/>
      <c r="V22" s="121"/>
      <c r="W22" s="121"/>
      <c r="X22" s="121"/>
      <c r="Y22" s="121"/>
      <c r="Z22" s="121"/>
    </row>
    <row r="23" spans="1:26" ht="18" customHeight="1">
      <c r="A23" s="123"/>
      <c r="B23" s="123"/>
      <c r="C23" s="123"/>
      <c r="D23" s="123"/>
      <c r="E23" s="123"/>
      <c r="F23" s="123"/>
      <c r="G23" s="123"/>
      <c r="H23" s="123"/>
      <c r="I23" s="123"/>
      <c r="J23" s="123"/>
      <c r="K23" s="123"/>
      <c r="L23" s="123"/>
      <c r="M23" s="123"/>
      <c r="N23" s="123"/>
      <c r="O23" s="123"/>
      <c r="P23" s="123"/>
      <c r="Q23" s="123"/>
      <c r="R23" s="123"/>
      <c r="S23" s="123"/>
      <c r="T23" s="121"/>
      <c r="U23" s="121"/>
      <c r="V23" s="121"/>
      <c r="W23" s="121"/>
      <c r="X23" s="121"/>
      <c r="Y23" s="121"/>
      <c r="Z23" s="121"/>
    </row>
    <row r="24" spans="1:26" ht="18" customHeight="1">
      <c r="A24" s="121"/>
      <c r="B24" s="126" t="s">
        <v>21</v>
      </c>
      <c r="C24" s="127"/>
      <c r="D24" s="127"/>
      <c r="E24" s="128"/>
      <c r="F24" s="151" t="s">
        <v>22</v>
      </c>
      <c r="G24" s="152" t="s">
        <v>23</v>
      </c>
      <c r="H24" s="153" t="s">
        <v>24</v>
      </c>
      <c r="I24" s="153" t="s">
        <v>25</v>
      </c>
      <c r="J24" s="126" t="s">
        <v>21</v>
      </c>
      <c r="K24" s="127"/>
      <c r="L24" s="127"/>
      <c r="M24" s="127"/>
      <c r="N24" s="127"/>
      <c r="O24" s="128"/>
      <c r="P24" s="151" t="s">
        <v>22</v>
      </c>
      <c r="Q24" s="152" t="s">
        <v>23</v>
      </c>
      <c r="R24" s="153" t="s">
        <v>24</v>
      </c>
      <c r="S24" s="153" t="s">
        <v>25</v>
      </c>
      <c r="T24" s="121"/>
      <c r="U24" s="121"/>
      <c r="V24" s="121"/>
      <c r="W24" s="121"/>
      <c r="X24" s="121"/>
      <c r="Y24" s="121"/>
      <c r="Z24" s="121"/>
    </row>
    <row r="25" spans="1:26" ht="18" customHeight="1">
      <c r="A25" s="121"/>
      <c r="B25" s="154" t="s">
        <v>26</v>
      </c>
      <c r="C25" s="155"/>
      <c r="D25" s="155"/>
      <c r="E25" s="156"/>
      <c r="F25" s="157">
        <v>2</v>
      </c>
      <c r="G25" s="157" t="s">
        <v>27</v>
      </c>
      <c r="H25" s="157" t="s">
        <v>27</v>
      </c>
      <c r="I25" s="157" t="s">
        <v>27</v>
      </c>
      <c r="J25" s="154"/>
      <c r="K25" s="155"/>
      <c r="L25" s="155"/>
      <c r="M25" s="155"/>
      <c r="N25" s="155"/>
      <c r="O25" s="156"/>
      <c r="P25" s="157"/>
      <c r="Q25" s="157"/>
      <c r="R25" s="157"/>
      <c r="S25" s="157"/>
      <c r="T25" s="121"/>
      <c r="U25" s="121"/>
      <c r="V25" s="121"/>
      <c r="W25" s="121"/>
      <c r="X25" s="121"/>
      <c r="Y25" s="121"/>
      <c r="Z25" s="121"/>
    </row>
    <row r="26" spans="1:26" ht="18" customHeight="1">
      <c r="A26" s="121"/>
      <c r="B26" s="158" t="s">
        <v>28</v>
      </c>
      <c r="C26" s="159"/>
      <c r="D26" s="159"/>
      <c r="E26" s="160"/>
      <c r="F26" s="161">
        <v>2</v>
      </c>
      <c r="G26" s="161" t="s">
        <v>27</v>
      </c>
      <c r="H26" s="161"/>
      <c r="I26" s="161" t="s">
        <v>27</v>
      </c>
      <c r="J26" s="158"/>
      <c r="K26" s="159"/>
      <c r="L26" s="159"/>
      <c r="M26" s="159"/>
      <c r="N26" s="159"/>
      <c r="O26" s="160"/>
      <c r="P26" s="161"/>
      <c r="Q26" s="161"/>
      <c r="R26" s="161"/>
      <c r="S26" s="161"/>
      <c r="T26" s="121"/>
      <c r="U26" s="121"/>
      <c r="V26" s="121"/>
      <c r="W26" s="121"/>
      <c r="X26" s="121"/>
      <c r="Y26" s="121"/>
      <c r="Z26" s="121"/>
    </row>
    <row r="27" spans="1:26" ht="18" customHeight="1">
      <c r="A27" s="121"/>
      <c r="B27" s="158"/>
      <c r="C27" s="159"/>
      <c r="D27" s="159"/>
      <c r="E27" s="160"/>
      <c r="F27" s="161"/>
      <c r="G27" s="161"/>
      <c r="H27" s="161"/>
      <c r="I27" s="161"/>
      <c r="J27" s="158"/>
      <c r="K27" s="159"/>
      <c r="L27" s="159"/>
      <c r="M27" s="159"/>
      <c r="N27" s="159"/>
      <c r="O27" s="160"/>
      <c r="P27" s="161"/>
      <c r="Q27" s="161"/>
      <c r="R27" s="161"/>
      <c r="S27" s="161"/>
      <c r="T27" s="121"/>
      <c r="U27" s="121"/>
      <c r="V27" s="121"/>
      <c r="W27" s="121"/>
      <c r="X27" s="121"/>
      <c r="Y27" s="121"/>
      <c r="Z27" s="121"/>
    </row>
    <row r="28" spans="1:26" ht="18" customHeight="1">
      <c r="A28" s="121"/>
      <c r="B28" s="158"/>
      <c r="C28" s="159"/>
      <c r="D28" s="159"/>
      <c r="E28" s="160"/>
      <c r="F28" s="161"/>
      <c r="G28" s="161"/>
      <c r="H28" s="161"/>
      <c r="I28" s="161"/>
      <c r="J28" s="158"/>
      <c r="K28" s="159"/>
      <c r="L28" s="159"/>
      <c r="M28" s="159"/>
      <c r="N28" s="159"/>
      <c r="O28" s="160"/>
      <c r="P28" s="161"/>
      <c r="Q28" s="161"/>
      <c r="R28" s="161"/>
      <c r="S28" s="161"/>
      <c r="T28" s="121"/>
      <c r="U28" s="121"/>
      <c r="V28" s="121"/>
      <c r="W28" s="121"/>
      <c r="X28" s="121"/>
      <c r="Y28" s="121"/>
      <c r="Z28" s="121"/>
    </row>
    <row r="29" spans="1:26" ht="18" customHeight="1">
      <c r="A29" s="121"/>
      <c r="B29" s="158"/>
      <c r="C29" s="159"/>
      <c r="D29" s="159"/>
      <c r="E29" s="160"/>
      <c r="F29" s="161"/>
      <c r="G29" s="161"/>
      <c r="H29" s="161"/>
      <c r="I29" s="161"/>
      <c r="J29" s="158"/>
      <c r="K29" s="159"/>
      <c r="L29" s="159"/>
      <c r="M29" s="159"/>
      <c r="N29" s="159"/>
      <c r="O29" s="160"/>
      <c r="P29" s="161"/>
      <c r="Q29" s="161"/>
      <c r="R29" s="161"/>
      <c r="S29" s="161"/>
      <c r="T29" s="121"/>
      <c r="U29" s="121"/>
      <c r="V29" s="121"/>
      <c r="W29" s="121"/>
      <c r="X29" s="121"/>
      <c r="Y29" s="121"/>
      <c r="Z29" s="121"/>
    </row>
    <row r="30" spans="1:26" ht="18" customHeight="1">
      <c r="A30" s="134"/>
      <c r="B30" s="158"/>
      <c r="C30" s="159"/>
      <c r="D30" s="159"/>
      <c r="E30" s="160"/>
      <c r="F30" s="161"/>
      <c r="G30" s="161"/>
      <c r="H30" s="161"/>
      <c r="I30" s="161"/>
      <c r="J30" s="158"/>
      <c r="K30" s="159"/>
      <c r="L30" s="159"/>
      <c r="M30" s="159"/>
      <c r="N30" s="159"/>
      <c r="O30" s="160"/>
      <c r="P30" s="161"/>
      <c r="Q30" s="161"/>
      <c r="R30" s="161"/>
      <c r="S30" s="161"/>
      <c r="T30" s="121"/>
      <c r="U30" s="121"/>
      <c r="V30" s="121"/>
      <c r="W30" s="121"/>
      <c r="X30" s="121"/>
      <c r="Y30" s="121"/>
      <c r="Z30" s="121"/>
    </row>
    <row r="31" spans="1:26" ht="18" customHeight="1">
      <c r="A31" s="134"/>
      <c r="B31" s="162"/>
      <c r="C31" s="163"/>
      <c r="D31" s="163"/>
      <c r="E31" s="164"/>
      <c r="F31" s="165"/>
      <c r="G31" s="165"/>
      <c r="H31" s="166"/>
      <c r="I31" s="166"/>
      <c r="J31" s="162"/>
      <c r="K31" s="163"/>
      <c r="L31" s="163"/>
      <c r="M31" s="163"/>
      <c r="N31" s="163"/>
      <c r="O31" s="164"/>
      <c r="P31" s="165"/>
      <c r="Q31" s="165"/>
      <c r="R31" s="166"/>
      <c r="S31" s="166"/>
      <c r="T31" s="121"/>
      <c r="U31" s="121"/>
      <c r="V31" s="121"/>
      <c r="W31" s="121"/>
      <c r="X31" s="121"/>
      <c r="Y31" s="121"/>
      <c r="Z31" s="121"/>
    </row>
    <row r="32" spans="1:26" ht="7.5" customHeight="1">
      <c r="A32" s="134"/>
      <c r="B32" s="130"/>
      <c r="C32" s="130"/>
      <c r="D32" s="134"/>
      <c r="E32" s="134"/>
      <c r="F32" s="134"/>
      <c r="G32" s="134"/>
      <c r="H32" s="130"/>
      <c r="I32" s="130"/>
      <c r="J32" s="130"/>
      <c r="K32" s="130"/>
      <c r="L32" s="130"/>
      <c r="M32" s="130"/>
      <c r="N32" s="130"/>
      <c r="O32" s="130"/>
      <c r="P32" s="130"/>
      <c r="Q32" s="130"/>
      <c r="R32" s="130"/>
      <c r="S32" s="134"/>
      <c r="T32" s="121"/>
      <c r="U32" s="121"/>
      <c r="V32" s="121"/>
      <c r="W32" s="121"/>
      <c r="X32" s="121"/>
      <c r="Y32" s="121"/>
      <c r="Z32" s="121"/>
    </row>
    <row r="33" spans="1:26" ht="18" customHeight="1">
      <c r="A33" s="150" t="s">
        <v>29</v>
      </c>
      <c r="B33" s="123"/>
      <c r="C33" s="123"/>
      <c r="D33" s="123"/>
      <c r="E33" s="123"/>
      <c r="F33" s="123"/>
      <c r="G33" s="123"/>
      <c r="H33" s="123"/>
      <c r="I33" s="123"/>
      <c r="J33" s="123"/>
      <c r="K33" s="123"/>
      <c r="L33" s="123"/>
      <c r="M33" s="123"/>
      <c r="N33" s="123"/>
      <c r="O33" s="123"/>
      <c r="P33" s="123"/>
      <c r="Q33" s="123"/>
      <c r="R33" s="123"/>
      <c r="S33" s="123"/>
      <c r="T33" s="121"/>
      <c r="U33" s="121"/>
      <c r="V33" s="121"/>
      <c r="W33" s="121"/>
      <c r="X33" s="121"/>
      <c r="Y33" s="121"/>
      <c r="Z33" s="121"/>
    </row>
    <row r="34" spans="1:26" ht="18" customHeight="1">
      <c r="A34" s="123"/>
      <c r="B34" s="123"/>
      <c r="C34" s="123"/>
      <c r="D34" s="123"/>
      <c r="E34" s="123"/>
      <c r="F34" s="123"/>
      <c r="G34" s="123"/>
      <c r="H34" s="123"/>
      <c r="I34" s="123"/>
      <c r="J34" s="123"/>
      <c r="K34" s="123"/>
      <c r="L34" s="123"/>
      <c r="M34" s="123"/>
      <c r="N34" s="123"/>
      <c r="O34" s="123"/>
      <c r="P34" s="123"/>
      <c r="Q34" s="123"/>
      <c r="R34" s="123"/>
      <c r="S34" s="123"/>
      <c r="T34" s="121"/>
      <c r="U34" s="121"/>
      <c r="V34" s="121"/>
      <c r="W34" s="121"/>
      <c r="X34" s="121"/>
      <c r="Y34" s="121"/>
      <c r="Z34" s="121"/>
    </row>
    <row r="35" spans="1:26" ht="18" customHeight="1">
      <c r="A35" s="121"/>
      <c r="B35" s="126" t="s">
        <v>21</v>
      </c>
      <c r="C35" s="127"/>
      <c r="D35" s="127"/>
      <c r="E35" s="128"/>
      <c r="F35" s="151" t="s">
        <v>22</v>
      </c>
      <c r="G35" s="152" t="s">
        <v>23</v>
      </c>
      <c r="H35" s="153" t="s">
        <v>30</v>
      </c>
      <c r="I35" s="153" t="s">
        <v>31</v>
      </c>
      <c r="J35" s="126" t="s">
        <v>21</v>
      </c>
      <c r="K35" s="127"/>
      <c r="L35" s="127"/>
      <c r="M35" s="127"/>
      <c r="N35" s="127"/>
      <c r="O35" s="128"/>
      <c r="P35" s="151" t="s">
        <v>22</v>
      </c>
      <c r="Q35" s="152" t="s">
        <v>23</v>
      </c>
      <c r="R35" s="153" t="s">
        <v>30</v>
      </c>
      <c r="S35" s="153" t="s">
        <v>31</v>
      </c>
      <c r="T35" s="121"/>
      <c r="U35" s="121"/>
      <c r="V35" s="121"/>
      <c r="W35" s="121"/>
      <c r="X35" s="121"/>
      <c r="Y35" s="121"/>
      <c r="Z35" s="121"/>
    </row>
    <row r="36" spans="1:26" ht="18" customHeight="1">
      <c r="A36" s="121"/>
      <c r="B36" s="154" t="s">
        <v>26</v>
      </c>
      <c r="C36" s="155"/>
      <c r="D36" s="155"/>
      <c r="E36" s="156"/>
      <c r="F36" s="157">
        <v>2</v>
      </c>
      <c r="G36" s="157" t="s">
        <v>27</v>
      </c>
      <c r="H36" s="157" t="s">
        <v>27</v>
      </c>
      <c r="I36" s="157"/>
      <c r="J36" s="154"/>
      <c r="K36" s="155"/>
      <c r="L36" s="155"/>
      <c r="M36" s="155"/>
      <c r="N36" s="155"/>
      <c r="O36" s="156"/>
      <c r="P36" s="157"/>
      <c r="Q36" s="157"/>
      <c r="R36" s="157"/>
      <c r="S36" s="157"/>
      <c r="T36" s="121"/>
      <c r="U36" s="121"/>
      <c r="V36" s="121"/>
      <c r="W36" s="121"/>
      <c r="X36" s="121"/>
      <c r="Y36" s="121"/>
      <c r="Z36" s="121"/>
    </row>
    <row r="37" spans="1:26" ht="18" customHeight="1">
      <c r="A37" s="121"/>
      <c r="B37" s="158" t="s">
        <v>28</v>
      </c>
      <c r="C37" s="159"/>
      <c r="D37" s="159"/>
      <c r="E37" s="160"/>
      <c r="F37" s="161">
        <v>2</v>
      </c>
      <c r="G37" s="161" t="s">
        <v>27</v>
      </c>
      <c r="H37" s="161"/>
      <c r="I37" s="161" t="s">
        <v>27</v>
      </c>
      <c r="J37" s="158"/>
      <c r="K37" s="159"/>
      <c r="L37" s="159"/>
      <c r="M37" s="159"/>
      <c r="N37" s="159"/>
      <c r="O37" s="160"/>
      <c r="P37" s="161"/>
      <c r="Q37" s="161"/>
      <c r="R37" s="161"/>
      <c r="S37" s="161"/>
      <c r="T37" s="121"/>
      <c r="U37" s="121"/>
      <c r="V37" s="121"/>
      <c r="W37" s="121"/>
      <c r="X37" s="121"/>
      <c r="Y37" s="121"/>
      <c r="Z37" s="121"/>
    </row>
    <row r="38" spans="1:26" ht="18" customHeight="1">
      <c r="A38" s="121"/>
      <c r="B38" s="158"/>
      <c r="C38" s="159"/>
      <c r="D38" s="159"/>
      <c r="E38" s="160"/>
      <c r="F38" s="161"/>
      <c r="G38" s="161"/>
      <c r="H38" s="161"/>
      <c r="I38" s="161"/>
      <c r="J38" s="158"/>
      <c r="K38" s="159"/>
      <c r="L38" s="159"/>
      <c r="M38" s="159"/>
      <c r="N38" s="159"/>
      <c r="O38" s="160"/>
      <c r="P38" s="161"/>
      <c r="Q38" s="161"/>
      <c r="R38" s="161"/>
      <c r="S38" s="161"/>
      <c r="T38" s="121"/>
      <c r="U38" s="121"/>
      <c r="V38" s="121"/>
      <c r="W38" s="121"/>
      <c r="X38" s="121"/>
      <c r="Y38" s="121"/>
      <c r="Z38" s="121"/>
    </row>
    <row r="39" spans="1:26" ht="18" customHeight="1">
      <c r="A39" s="121"/>
      <c r="B39" s="158"/>
      <c r="C39" s="159"/>
      <c r="D39" s="159"/>
      <c r="E39" s="160"/>
      <c r="F39" s="161"/>
      <c r="G39" s="161"/>
      <c r="H39" s="161"/>
      <c r="I39" s="161"/>
      <c r="J39" s="158"/>
      <c r="K39" s="159"/>
      <c r="L39" s="159"/>
      <c r="M39" s="159"/>
      <c r="N39" s="159"/>
      <c r="O39" s="160"/>
      <c r="P39" s="161"/>
      <c r="Q39" s="161"/>
      <c r="R39" s="161"/>
      <c r="S39" s="161"/>
      <c r="T39" s="121"/>
      <c r="U39" s="121"/>
      <c r="V39" s="121"/>
      <c r="W39" s="121"/>
      <c r="X39" s="121"/>
      <c r="Y39" s="121"/>
      <c r="Z39" s="121"/>
    </row>
    <row r="40" spans="1:26" ht="18" customHeight="1">
      <c r="A40" s="121"/>
      <c r="B40" s="158"/>
      <c r="C40" s="159"/>
      <c r="D40" s="159"/>
      <c r="E40" s="160"/>
      <c r="F40" s="161"/>
      <c r="G40" s="161"/>
      <c r="H40" s="161"/>
      <c r="I40" s="161"/>
      <c r="J40" s="158"/>
      <c r="K40" s="159"/>
      <c r="L40" s="159"/>
      <c r="M40" s="159"/>
      <c r="N40" s="159"/>
      <c r="O40" s="160"/>
      <c r="P40" s="161"/>
      <c r="Q40" s="161"/>
      <c r="R40" s="161"/>
      <c r="S40" s="161"/>
      <c r="T40" s="121"/>
      <c r="U40" s="121"/>
      <c r="V40" s="121"/>
      <c r="W40" s="121"/>
      <c r="X40" s="121"/>
      <c r="Y40" s="121"/>
      <c r="Z40" s="121"/>
    </row>
    <row r="41" spans="1:26" ht="18" customHeight="1">
      <c r="A41" s="121"/>
      <c r="B41" s="158"/>
      <c r="C41" s="159"/>
      <c r="D41" s="159"/>
      <c r="E41" s="160"/>
      <c r="F41" s="161"/>
      <c r="G41" s="161"/>
      <c r="H41" s="161"/>
      <c r="I41" s="161"/>
      <c r="J41" s="158"/>
      <c r="K41" s="159"/>
      <c r="L41" s="159"/>
      <c r="M41" s="159"/>
      <c r="N41" s="159"/>
      <c r="O41" s="160"/>
      <c r="P41" s="161"/>
      <c r="Q41" s="161"/>
      <c r="R41" s="161"/>
      <c r="S41" s="161"/>
      <c r="T41" s="121"/>
      <c r="U41" s="121"/>
      <c r="V41" s="121"/>
      <c r="W41" s="121"/>
      <c r="X41" s="121"/>
      <c r="Y41" s="121"/>
      <c r="Z41" s="121"/>
    </row>
    <row r="42" spans="1:26" ht="18" customHeight="1">
      <c r="A42" s="121"/>
      <c r="B42" s="162"/>
      <c r="C42" s="163"/>
      <c r="D42" s="163"/>
      <c r="E42" s="164"/>
      <c r="F42" s="165"/>
      <c r="G42" s="165"/>
      <c r="H42" s="166"/>
      <c r="I42" s="166"/>
      <c r="J42" s="162"/>
      <c r="K42" s="163"/>
      <c r="L42" s="163"/>
      <c r="M42" s="163"/>
      <c r="N42" s="163"/>
      <c r="O42" s="164"/>
      <c r="P42" s="165"/>
      <c r="Q42" s="165"/>
      <c r="R42" s="166"/>
      <c r="S42" s="166"/>
      <c r="T42" s="121"/>
      <c r="U42" s="121"/>
      <c r="V42" s="121"/>
      <c r="W42" s="121"/>
      <c r="X42" s="121"/>
      <c r="Y42" s="121"/>
      <c r="Z42" s="121"/>
    </row>
    <row r="43" spans="1:26" ht="7.5" customHeight="1">
      <c r="A43" s="134"/>
      <c r="B43" s="130"/>
      <c r="C43" s="130"/>
      <c r="D43" s="134"/>
      <c r="E43" s="134"/>
      <c r="F43" s="134"/>
      <c r="G43" s="134"/>
      <c r="H43" s="130"/>
      <c r="I43" s="130"/>
      <c r="J43" s="130"/>
      <c r="K43" s="130"/>
      <c r="L43" s="130"/>
      <c r="M43" s="130"/>
      <c r="N43" s="130"/>
      <c r="O43" s="130"/>
      <c r="P43" s="130"/>
      <c r="Q43" s="130"/>
      <c r="R43" s="130"/>
      <c r="S43" s="134"/>
      <c r="T43" s="121"/>
      <c r="U43" s="121"/>
      <c r="V43" s="121"/>
      <c r="W43" s="121"/>
      <c r="X43" s="121"/>
      <c r="Y43" s="121"/>
      <c r="Z43" s="121"/>
    </row>
    <row r="44" spans="1:26" ht="18" customHeight="1">
      <c r="A44" s="150" t="s">
        <v>32</v>
      </c>
      <c r="B44" s="123"/>
      <c r="C44" s="123"/>
      <c r="D44" s="123"/>
      <c r="E44" s="123"/>
      <c r="F44" s="123"/>
      <c r="G44" s="123"/>
      <c r="H44" s="123"/>
      <c r="I44" s="123"/>
      <c r="J44" s="123"/>
      <c r="K44" s="123"/>
      <c r="L44" s="123"/>
      <c r="M44" s="123"/>
      <c r="N44" s="123"/>
      <c r="O44" s="123"/>
      <c r="P44" s="123"/>
      <c r="Q44" s="123"/>
      <c r="R44" s="123"/>
      <c r="S44" s="123"/>
      <c r="T44" s="121"/>
      <c r="U44" s="121"/>
      <c r="V44" s="121"/>
      <c r="W44" s="121"/>
      <c r="X44" s="121"/>
      <c r="Y44" s="121"/>
      <c r="Z44" s="121"/>
    </row>
    <row r="45" spans="1:26" ht="18" customHeight="1">
      <c r="A45" s="123"/>
      <c r="B45" s="123"/>
      <c r="C45" s="123"/>
      <c r="D45" s="123"/>
      <c r="E45" s="123"/>
      <c r="F45" s="123"/>
      <c r="G45" s="123"/>
      <c r="H45" s="123"/>
      <c r="I45" s="123"/>
      <c r="J45" s="123"/>
      <c r="K45" s="123"/>
      <c r="L45" s="123"/>
      <c r="M45" s="123"/>
      <c r="N45" s="123"/>
      <c r="O45" s="123"/>
      <c r="P45" s="123"/>
      <c r="Q45" s="123"/>
      <c r="R45" s="123"/>
      <c r="S45" s="123"/>
      <c r="T45" s="121"/>
      <c r="U45" s="121"/>
      <c r="V45" s="121"/>
      <c r="W45" s="121"/>
      <c r="X45" s="121"/>
      <c r="Y45" s="121"/>
      <c r="Z45" s="121"/>
    </row>
    <row r="46" spans="1:26" ht="18" customHeight="1">
      <c r="A46" s="121"/>
      <c r="B46" s="126" t="s">
        <v>21</v>
      </c>
      <c r="C46" s="127"/>
      <c r="D46" s="127"/>
      <c r="E46" s="128"/>
      <c r="F46" s="151" t="s">
        <v>22</v>
      </c>
      <c r="G46" s="152" t="s">
        <v>23</v>
      </c>
      <c r="H46" s="153" t="s">
        <v>33</v>
      </c>
      <c r="I46" s="153" t="s">
        <v>34</v>
      </c>
      <c r="J46" s="126" t="s">
        <v>21</v>
      </c>
      <c r="K46" s="127"/>
      <c r="L46" s="127"/>
      <c r="M46" s="127"/>
      <c r="N46" s="127"/>
      <c r="O46" s="128"/>
      <c r="P46" s="151" t="s">
        <v>22</v>
      </c>
      <c r="Q46" s="152" t="s">
        <v>23</v>
      </c>
      <c r="R46" s="153" t="s">
        <v>33</v>
      </c>
      <c r="S46" s="153" t="s">
        <v>34</v>
      </c>
      <c r="T46" s="121"/>
      <c r="U46" s="121"/>
      <c r="V46" s="121"/>
      <c r="W46" s="121"/>
      <c r="X46" s="121"/>
      <c r="Y46" s="121"/>
      <c r="Z46" s="121"/>
    </row>
    <row r="47" spans="1:26" ht="18" customHeight="1">
      <c r="A47" s="134"/>
      <c r="B47" s="154" t="s">
        <v>26</v>
      </c>
      <c r="C47" s="155"/>
      <c r="D47" s="155"/>
      <c r="E47" s="156"/>
      <c r="F47" s="157">
        <v>2</v>
      </c>
      <c r="G47" s="157" t="s">
        <v>27</v>
      </c>
      <c r="H47" s="157" t="s">
        <v>27</v>
      </c>
      <c r="I47" s="157" t="s">
        <v>27</v>
      </c>
      <c r="J47" s="154"/>
      <c r="K47" s="155"/>
      <c r="L47" s="155"/>
      <c r="M47" s="155"/>
      <c r="N47" s="155"/>
      <c r="O47" s="156"/>
      <c r="P47" s="157"/>
      <c r="Q47" s="157"/>
      <c r="R47" s="157"/>
      <c r="S47" s="157"/>
      <c r="T47" s="121"/>
      <c r="U47" s="121"/>
      <c r="V47" s="121"/>
      <c r="W47" s="121"/>
      <c r="X47" s="121"/>
      <c r="Y47" s="121"/>
      <c r="Z47" s="121"/>
    </row>
    <row r="48" spans="1:26" ht="18" customHeight="1">
      <c r="A48" s="134"/>
      <c r="B48" s="158"/>
      <c r="C48" s="159"/>
      <c r="D48" s="159"/>
      <c r="E48" s="160"/>
      <c r="F48" s="161"/>
      <c r="G48" s="161"/>
      <c r="H48" s="161"/>
      <c r="I48" s="161"/>
      <c r="J48" s="158"/>
      <c r="K48" s="159"/>
      <c r="L48" s="159"/>
      <c r="M48" s="159"/>
      <c r="N48" s="159"/>
      <c r="O48" s="160"/>
      <c r="P48" s="161"/>
      <c r="Q48" s="161"/>
      <c r="R48" s="161"/>
      <c r="S48" s="161"/>
      <c r="T48" s="121"/>
      <c r="U48" s="121"/>
      <c r="V48" s="121"/>
      <c r="W48" s="121"/>
      <c r="X48" s="121"/>
      <c r="Y48" s="121"/>
      <c r="Z48" s="121"/>
    </row>
    <row r="49" spans="1:26" ht="18" customHeight="1">
      <c r="A49" s="134"/>
      <c r="B49" s="158"/>
      <c r="C49" s="159"/>
      <c r="D49" s="159"/>
      <c r="E49" s="160"/>
      <c r="F49" s="161"/>
      <c r="G49" s="161"/>
      <c r="H49" s="161"/>
      <c r="I49" s="161"/>
      <c r="J49" s="158"/>
      <c r="K49" s="159"/>
      <c r="L49" s="159"/>
      <c r="M49" s="159"/>
      <c r="N49" s="159"/>
      <c r="O49" s="160"/>
      <c r="P49" s="161"/>
      <c r="Q49" s="161"/>
      <c r="R49" s="161"/>
      <c r="S49" s="161"/>
      <c r="T49" s="121"/>
      <c r="U49" s="121"/>
      <c r="V49" s="121"/>
      <c r="W49" s="121"/>
      <c r="X49" s="121"/>
      <c r="Y49" s="121"/>
      <c r="Z49" s="121"/>
    </row>
    <row r="50" spans="1:26" ht="18" customHeight="1">
      <c r="A50" s="134"/>
      <c r="B50" s="158"/>
      <c r="C50" s="159"/>
      <c r="D50" s="159"/>
      <c r="E50" s="160"/>
      <c r="F50" s="161"/>
      <c r="G50" s="161"/>
      <c r="H50" s="161"/>
      <c r="I50" s="161"/>
      <c r="J50" s="158"/>
      <c r="K50" s="159"/>
      <c r="L50" s="159"/>
      <c r="M50" s="159"/>
      <c r="N50" s="159"/>
      <c r="O50" s="160"/>
      <c r="P50" s="161"/>
      <c r="Q50" s="161"/>
      <c r="R50" s="161"/>
      <c r="S50" s="161"/>
      <c r="T50" s="121"/>
      <c r="U50" s="121"/>
      <c r="V50" s="121"/>
      <c r="W50" s="121"/>
      <c r="X50" s="121"/>
      <c r="Y50" s="121"/>
      <c r="Z50" s="121"/>
    </row>
    <row r="51" spans="1:26" ht="18" customHeight="1">
      <c r="A51" s="134"/>
      <c r="B51" s="158"/>
      <c r="C51" s="159"/>
      <c r="D51" s="159"/>
      <c r="E51" s="160"/>
      <c r="F51" s="161"/>
      <c r="G51" s="161"/>
      <c r="H51" s="161"/>
      <c r="I51" s="161"/>
      <c r="J51" s="158"/>
      <c r="K51" s="159"/>
      <c r="L51" s="159"/>
      <c r="M51" s="159"/>
      <c r="N51" s="159"/>
      <c r="O51" s="160"/>
      <c r="P51" s="161"/>
      <c r="Q51" s="161"/>
      <c r="R51" s="161"/>
      <c r="S51" s="161"/>
      <c r="T51" s="121"/>
      <c r="U51" s="121"/>
      <c r="V51" s="121"/>
      <c r="W51" s="121"/>
      <c r="X51" s="121"/>
      <c r="Y51" s="121"/>
      <c r="Z51" s="121"/>
    </row>
    <row r="52" spans="1:26" ht="18" customHeight="1">
      <c r="A52" s="134"/>
      <c r="B52" s="158"/>
      <c r="C52" s="159"/>
      <c r="D52" s="159"/>
      <c r="E52" s="160"/>
      <c r="F52" s="161"/>
      <c r="G52" s="161"/>
      <c r="H52" s="161"/>
      <c r="I52" s="161"/>
      <c r="J52" s="158"/>
      <c r="K52" s="159"/>
      <c r="L52" s="159"/>
      <c r="M52" s="159"/>
      <c r="N52" s="159"/>
      <c r="O52" s="160"/>
      <c r="P52" s="161"/>
      <c r="Q52" s="161"/>
      <c r="R52" s="161"/>
      <c r="S52" s="161"/>
      <c r="T52" s="121"/>
      <c r="U52" s="121"/>
      <c r="V52" s="121"/>
      <c r="W52" s="121"/>
      <c r="X52" s="121"/>
      <c r="Y52" s="121"/>
      <c r="Z52" s="121"/>
    </row>
    <row r="53" spans="1:26" ht="18" customHeight="1">
      <c r="A53" s="134"/>
      <c r="B53" s="162"/>
      <c r="C53" s="163"/>
      <c r="D53" s="163"/>
      <c r="E53" s="164"/>
      <c r="F53" s="165"/>
      <c r="G53" s="165"/>
      <c r="H53" s="166"/>
      <c r="I53" s="166"/>
      <c r="J53" s="162"/>
      <c r="K53" s="163"/>
      <c r="L53" s="163"/>
      <c r="M53" s="163"/>
      <c r="N53" s="163"/>
      <c r="O53" s="164"/>
      <c r="P53" s="165"/>
      <c r="Q53" s="165"/>
      <c r="R53" s="166"/>
      <c r="S53" s="166"/>
      <c r="T53" s="121"/>
      <c r="U53" s="121"/>
      <c r="V53" s="121"/>
      <c r="W53" s="121"/>
      <c r="X53" s="121"/>
      <c r="Y53" s="121"/>
      <c r="Z53" s="121"/>
    </row>
    <row r="54" spans="1:26" ht="7.5" customHeight="1">
      <c r="A54" s="121"/>
      <c r="B54" s="167"/>
      <c r="C54" s="167"/>
      <c r="D54" s="167"/>
      <c r="E54" s="167"/>
      <c r="F54" s="167"/>
      <c r="G54" s="167"/>
      <c r="H54" s="167"/>
      <c r="I54" s="167"/>
      <c r="J54" s="167"/>
      <c r="K54" s="167"/>
      <c r="L54" s="167"/>
      <c r="M54" s="167"/>
      <c r="N54" s="167"/>
      <c r="O54" s="167"/>
      <c r="P54" s="167"/>
      <c r="Q54" s="167"/>
      <c r="R54" s="167"/>
      <c r="S54" s="121"/>
      <c r="T54" s="121"/>
      <c r="U54" s="121"/>
      <c r="V54" s="121"/>
      <c r="W54" s="121"/>
      <c r="X54" s="121"/>
      <c r="Y54" s="121"/>
      <c r="Z54" s="121"/>
    </row>
    <row r="55" spans="1:26" ht="18" customHeight="1">
      <c r="A55" s="150" t="s">
        <v>35</v>
      </c>
      <c r="B55" s="123"/>
      <c r="C55" s="123"/>
      <c r="D55" s="123"/>
      <c r="E55" s="123"/>
      <c r="F55" s="123"/>
      <c r="G55" s="123"/>
      <c r="H55" s="123"/>
      <c r="I55" s="123"/>
      <c r="J55" s="123"/>
      <c r="K55" s="123"/>
      <c r="L55" s="123"/>
      <c r="M55" s="123"/>
      <c r="N55" s="123"/>
      <c r="O55" s="123"/>
      <c r="P55" s="123"/>
      <c r="Q55" s="123"/>
      <c r="R55" s="123"/>
      <c r="S55" s="123"/>
      <c r="T55" s="121"/>
      <c r="U55" s="121"/>
      <c r="V55" s="121"/>
      <c r="W55" s="121"/>
      <c r="X55" s="121"/>
      <c r="Y55" s="121"/>
      <c r="Z55" s="121"/>
    </row>
    <row r="56" spans="1:26" ht="18" customHeight="1">
      <c r="A56" s="123"/>
      <c r="B56" s="123"/>
      <c r="C56" s="123"/>
      <c r="D56" s="123"/>
      <c r="E56" s="123"/>
      <c r="F56" s="123"/>
      <c r="G56" s="123"/>
      <c r="H56" s="123"/>
      <c r="I56" s="123"/>
      <c r="J56" s="123"/>
      <c r="K56" s="123"/>
      <c r="L56" s="123"/>
      <c r="M56" s="123"/>
      <c r="N56" s="123"/>
      <c r="O56" s="123"/>
      <c r="P56" s="123"/>
      <c r="Q56" s="123"/>
      <c r="R56" s="123"/>
      <c r="S56" s="123"/>
      <c r="T56" s="121"/>
      <c r="U56" s="121"/>
      <c r="V56" s="121"/>
      <c r="W56" s="121"/>
      <c r="X56" s="121"/>
      <c r="Y56" s="121"/>
      <c r="Z56" s="121"/>
    </row>
    <row r="57" spans="1:26" ht="18" customHeight="1">
      <c r="A57" s="121"/>
      <c r="B57" s="126" t="s">
        <v>21</v>
      </c>
      <c r="C57" s="127"/>
      <c r="D57" s="127"/>
      <c r="E57" s="128"/>
      <c r="F57" s="151" t="s">
        <v>22</v>
      </c>
      <c r="G57" s="152" t="s">
        <v>23</v>
      </c>
      <c r="H57" s="153" t="s">
        <v>36</v>
      </c>
      <c r="I57" s="153" t="s">
        <v>37</v>
      </c>
      <c r="J57" s="126" t="s">
        <v>21</v>
      </c>
      <c r="K57" s="127"/>
      <c r="L57" s="127"/>
      <c r="M57" s="127"/>
      <c r="N57" s="127"/>
      <c r="O57" s="128"/>
      <c r="P57" s="151" t="s">
        <v>22</v>
      </c>
      <c r="Q57" s="152" t="s">
        <v>23</v>
      </c>
      <c r="R57" s="153" t="s">
        <v>36</v>
      </c>
      <c r="S57" s="153" t="s">
        <v>37</v>
      </c>
      <c r="T57" s="121"/>
      <c r="U57" s="121"/>
      <c r="V57" s="121"/>
      <c r="W57" s="121"/>
      <c r="X57" s="121"/>
      <c r="Y57" s="121"/>
      <c r="Z57" s="121"/>
    </row>
    <row r="58" spans="1:26" ht="18" customHeight="1">
      <c r="A58" s="134"/>
      <c r="B58" s="154" t="s">
        <v>26</v>
      </c>
      <c r="C58" s="155"/>
      <c r="D58" s="155"/>
      <c r="E58" s="156"/>
      <c r="F58" s="157">
        <v>2</v>
      </c>
      <c r="G58" s="157" t="s">
        <v>27</v>
      </c>
      <c r="H58" s="157" t="s">
        <v>27</v>
      </c>
      <c r="I58" s="157" t="s">
        <v>27</v>
      </c>
      <c r="J58" s="154"/>
      <c r="K58" s="155"/>
      <c r="L58" s="155"/>
      <c r="M58" s="155"/>
      <c r="N58" s="155"/>
      <c r="O58" s="156"/>
      <c r="P58" s="157"/>
      <c r="Q58" s="157"/>
      <c r="R58" s="157"/>
      <c r="S58" s="157"/>
      <c r="T58" s="121"/>
      <c r="U58" s="121"/>
      <c r="V58" s="121"/>
      <c r="W58" s="121"/>
      <c r="X58" s="121"/>
      <c r="Y58" s="121"/>
      <c r="Z58" s="121"/>
    </row>
    <row r="59" spans="1:26" ht="18" customHeight="1">
      <c r="A59" s="134"/>
      <c r="B59" s="158" t="s">
        <v>28</v>
      </c>
      <c r="C59" s="159"/>
      <c r="D59" s="159"/>
      <c r="E59" s="160"/>
      <c r="F59" s="161">
        <v>2</v>
      </c>
      <c r="G59" s="161" t="s">
        <v>27</v>
      </c>
      <c r="H59" s="161"/>
      <c r="I59" s="161"/>
      <c r="J59" s="158"/>
      <c r="K59" s="159"/>
      <c r="L59" s="159"/>
      <c r="M59" s="159"/>
      <c r="N59" s="159"/>
      <c r="O59" s="160"/>
      <c r="P59" s="161"/>
      <c r="Q59" s="161"/>
      <c r="R59" s="161"/>
      <c r="S59" s="161"/>
      <c r="T59" s="121"/>
      <c r="U59" s="121"/>
      <c r="V59" s="121"/>
      <c r="W59" s="121"/>
      <c r="X59" s="121"/>
      <c r="Y59" s="121"/>
      <c r="Z59" s="121"/>
    </row>
    <row r="60" spans="1:26" ht="18" customHeight="1">
      <c r="A60" s="134"/>
      <c r="B60" s="158"/>
      <c r="C60" s="159"/>
      <c r="D60" s="159"/>
      <c r="E60" s="160"/>
      <c r="F60" s="161"/>
      <c r="G60" s="161"/>
      <c r="H60" s="161"/>
      <c r="I60" s="161"/>
      <c r="J60" s="158"/>
      <c r="K60" s="159"/>
      <c r="L60" s="159"/>
      <c r="M60" s="159"/>
      <c r="N60" s="159"/>
      <c r="O60" s="160"/>
      <c r="P60" s="161"/>
      <c r="Q60" s="161"/>
      <c r="R60" s="161"/>
      <c r="S60" s="161"/>
      <c r="T60" s="121"/>
      <c r="U60" s="121"/>
      <c r="V60" s="121"/>
      <c r="W60" s="121"/>
      <c r="X60" s="121"/>
      <c r="Y60" s="121"/>
      <c r="Z60" s="121"/>
    </row>
    <row r="61" spans="1:26" ht="18" customHeight="1">
      <c r="A61" s="134"/>
      <c r="B61" s="158"/>
      <c r="C61" s="159"/>
      <c r="D61" s="159"/>
      <c r="E61" s="160"/>
      <c r="F61" s="161"/>
      <c r="G61" s="161"/>
      <c r="H61" s="161"/>
      <c r="I61" s="161"/>
      <c r="J61" s="158"/>
      <c r="K61" s="159"/>
      <c r="L61" s="159"/>
      <c r="M61" s="159"/>
      <c r="N61" s="159"/>
      <c r="O61" s="160"/>
      <c r="P61" s="161"/>
      <c r="Q61" s="161"/>
      <c r="R61" s="161"/>
      <c r="S61" s="161"/>
      <c r="T61" s="121"/>
      <c r="U61" s="121"/>
      <c r="V61" s="121"/>
      <c r="W61" s="121"/>
      <c r="X61" s="121"/>
      <c r="Y61" s="121"/>
      <c r="Z61" s="121"/>
    </row>
    <row r="62" spans="1:26" ht="18" customHeight="1">
      <c r="A62" s="134"/>
      <c r="B62" s="158"/>
      <c r="C62" s="159"/>
      <c r="D62" s="159"/>
      <c r="E62" s="160"/>
      <c r="F62" s="161"/>
      <c r="G62" s="161"/>
      <c r="H62" s="161"/>
      <c r="I62" s="161"/>
      <c r="J62" s="158"/>
      <c r="K62" s="159"/>
      <c r="L62" s="159"/>
      <c r="M62" s="159"/>
      <c r="N62" s="159"/>
      <c r="O62" s="160"/>
      <c r="P62" s="161"/>
      <c r="Q62" s="161"/>
      <c r="R62" s="161"/>
      <c r="S62" s="161"/>
      <c r="T62" s="121"/>
      <c r="U62" s="121"/>
      <c r="V62" s="121"/>
      <c r="W62" s="121"/>
      <c r="X62" s="121"/>
      <c r="Y62" s="121"/>
      <c r="Z62" s="121"/>
    </row>
    <row r="63" spans="1:26" ht="18" customHeight="1">
      <c r="A63" s="134"/>
      <c r="B63" s="158"/>
      <c r="C63" s="159"/>
      <c r="D63" s="159"/>
      <c r="E63" s="160"/>
      <c r="F63" s="161"/>
      <c r="G63" s="161"/>
      <c r="H63" s="161"/>
      <c r="I63" s="161"/>
      <c r="J63" s="158"/>
      <c r="K63" s="159"/>
      <c r="L63" s="159"/>
      <c r="M63" s="159"/>
      <c r="N63" s="159"/>
      <c r="O63" s="160"/>
      <c r="P63" s="161"/>
      <c r="Q63" s="161"/>
      <c r="R63" s="161"/>
      <c r="S63" s="161"/>
      <c r="T63" s="121"/>
      <c r="U63" s="121"/>
      <c r="V63" s="121"/>
      <c r="W63" s="121"/>
      <c r="X63" s="121"/>
      <c r="Y63" s="121"/>
      <c r="Z63" s="121"/>
    </row>
    <row r="64" spans="1:26" ht="18" customHeight="1">
      <c r="A64" s="134"/>
      <c r="B64" s="162"/>
      <c r="C64" s="163"/>
      <c r="D64" s="163"/>
      <c r="E64" s="164"/>
      <c r="F64" s="165"/>
      <c r="G64" s="165"/>
      <c r="H64" s="166"/>
      <c r="I64" s="166"/>
      <c r="J64" s="162"/>
      <c r="K64" s="163"/>
      <c r="L64" s="163"/>
      <c r="M64" s="163"/>
      <c r="N64" s="163"/>
      <c r="O64" s="164"/>
      <c r="P64" s="165"/>
      <c r="Q64" s="165"/>
      <c r="R64" s="166"/>
      <c r="S64" s="166"/>
      <c r="T64" s="121"/>
      <c r="U64" s="121"/>
      <c r="V64" s="121"/>
      <c r="W64" s="121"/>
      <c r="X64" s="121"/>
      <c r="Y64" s="121"/>
      <c r="Z64" s="121"/>
    </row>
    <row r="65" spans="1:26" ht="7.5" customHeight="1">
      <c r="A65" s="121"/>
      <c r="B65" s="167"/>
      <c r="C65" s="167"/>
      <c r="D65" s="167"/>
      <c r="E65" s="167"/>
      <c r="F65" s="167"/>
      <c r="G65" s="167"/>
      <c r="H65" s="167"/>
      <c r="I65" s="167"/>
      <c r="J65" s="167"/>
      <c r="K65" s="167"/>
      <c r="L65" s="167"/>
      <c r="M65" s="167"/>
      <c r="N65" s="167"/>
      <c r="O65" s="167"/>
      <c r="P65" s="167"/>
      <c r="Q65" s="167"/>
      <c r="R65" s="167"/>
      <c r="S65" s="121"/>
      <c r="T65" s="121"/>
      <c r="U65" s="121"/>
      <c r="V65" s="121"/>
      <c r="W65" s="121"/>
      <c r="X65" s="121"/>
      <c r="Y65" s="121"/>
      <c r="Z65" s="121"/>
    </row>
    <row r="66" spans="1:26" ht="18" customHeight="1">
      <c r="A66" s="150" t="s">
        <v>38</v>
      </c>
      <c r="B66" s="123"/>
      <c r="C66" s="123"/>
      <c r="D66" s="123"/>
      <c r="E66" s="123"/>
      <c r="F66" s="123"/>
      <c r="G66" s="123"/>
      <c r="H66" s="123"/>
      <c r="I66" s="123"/>
      <c r="J66" s="123"/>
      <c r="K66" s="123"/>
      <c r="L66" s="123"/>
      <c r="M66" s="123"/>
      <c r="N66" s="123"/>
      <c r="O66" s="123"/>
      <c r="P66" s="123"/>
      <c r="Q66" s="123"/>
      <c r="R66" s="123"/>
      <c r="S66" s="123"/>
      <c r="T66" s="121"/>
      <c r="U66" s="121"/>
      <c r="V66" s="121"/>
      <c r="W66" s="121"/>
      <c r="X66" s="121"/>
      <c r="Y66" s="121"/>
      <c r="Z66" s="121"/>
    </row>
    <row r="67" spans="1:26" ht="18" customHeight="1">
      <c r="A67" s="123"/>
      <c r="B67" s="123"/>
      <c r="C67" s="123"/>
      <c r="D67" s="123"/>
      <c r="E67" s="123"/>
      <c r="F67" s="123"/>
      <c r="G67" s="123"/>
      <c r="H67" s="123"/>
      <c r="I67" s="123"/>
      <c r="J67" s="123"/>
      <c r="K67" s="123"/>
      <c r="L67" s="123"/>
      <c r="M67" s="123"/>
      <c r="N67" s="123"/>
      <c r="O67" s="123"/>
      <c r="P67" s="123"/>
      <c r="Q67" s="123"/>
      <c r="R67" s="123"/>
      <c r="S67" s="123"/>
      <c r="T67" s="121"/>
      <c r="U67" s="121"/>
      <c r="V67" s="121"/>
      <c r="W67" s="121"/>
      <c r="X67" s="121"/>
      <c r="Y67" s="121"/>
      <c r="Z67" s="121"/>
    </row>
    <row r="68" spans="1:26" ht="18" customHeight="1">
      <c r="A68" s="121"/>
      <c r="B68" s="126" t="s">
        <v>21</v>
      </c>
      <c r="C68" s="127"/>
      <c r="D68" s="127"/>
      <c r="E68" s="151" t="s">
        <v>22</v>
      </c>
      <c r="F68" s="152" t="s">
        <v>23</v>
      </c>
      <c r="G68" s="153" t="s">
        <v>39</v>
      </c>
      <c r="H68" s="153" t="s">
        <v>40</v>
      </c>
      <c r="I68" s="153" t="s">
        <v>41</v>
      </c>
      <c r="J68" s="126" t="s">
        <v>21</v>
      </c>
      <c r="K68" s="127"/>
      <c r="L68" s="127"/>
      <c r="M68" s="127"/>
      <c r="N68" s="128"/>
      <c r="O68" s="151" t="s">
        <v>22</v>
      </c>
      <c r="P68" s="152" t="s">
        <v>23</v>
      </c>
      <c r="Q68" s="153" t="s">
        <v>39</v>
      </c>
      <c r="R68" s="153" t="s">
        <v>40</v>
      </c>
      <c r="S68" s="153" t="s">
        <v>41</v>
      </c>
      <c r="T68" s="121"/>
      <c r="U68" s="121"/>
      <c r="V68" s="121"/>
      <c r="W68" s="121"/>
      <c r="X68" s="121"/>
      <c r="Y68" s="121"/>
      <c r="Z68" s="121"/>
    </row>
    <row r="69" spans="1:26" ht="18" customHeight="1">
      <c r="A69" s="134"/>
      <c r="B69" s="154" t="s">
        <v>26</v>
      </c>
      <c r="C69" s="155"/>
      <c r="D69" s="156"/>
      <c r="E69" s="157">
        <v>2</v>
      </c>
      <c r="F69" s="157" t="s">
        <v>27</v>
      </c>
      <c r="G69" s="157" t="s">
        <v>27</v>
      </c>
      <c r="H69" s="157" t="s">
        <v>27</v>
      </c>
      <c r="I69" s="157" t="s">
        <v>27</v>
      </c>
      <c r="J69" s="154"/>
      <c r="K69" s="155"/>
      <c r="L69" s="155"/>
      <c r="M69" s="155"/>
      <c r="N69" s="156"/>
      <c r="O69" s="157"/>
      <c r="P69" s="157"/>
      <c r="Q69" s="157"/>
      <c r="R69" s="157"/>
      <c r="S69" s="157"/>
      <c r="T69" s="121"/>
      <c r="U69" s="121"/>
      <c r="V69" s="121"/>
      <c r="W69" s="121"/>
      <c r="X69" s="121"/>
      <c r="Y69" s="121"/>
      <c r="Z69" s="121"/>
    </row>
    <row r="70" spans="1:26" ht="18" customHeight="1">
      <c r="A70" s="134"/>
      <c r="B70" s="158" t="s">
        <v>28</v>
      </c>
      <c r="C70" s="159"/>
      <c r="D70" s="160"/>
      <c r="E70" s="161">
        <v>2</v>
      </c>
      <c r="F70" s="161" t="s">
        <v>27</v>
      </c>
      <c r="G70" s="161"/>
      <c r="H70" s="161"/>
      <c r="I70" s="161" t="s">
        <v>27</v>
      </c>
      <c r="J70" s="158"/>
      <c r="K70" s="159"/>
      <c r="L70" s="159"/>
      <c r="M70" s="159"/>
      <c r="N70" s="160"/>
      <c r="O70" s="161"/>
      <c r="P70" s="161"/>
      <c r="Q70" s="161"/>
      <c r="R70" s="161"/>
      <c r="S70" s="161"/>
      <c r="T70" s="121"/>
      <c r="U70" s="121"/>
      <c r="V70" s="121"/>
      <c r="W70" s="121"/>
      <c r="X70" s="121"/>
      <c r="Y70" s="121"/>
      <c r="Z70" s="121"/>
    </row>
    <row r="71" spans="1:26" ht="18" customHeight="1">
      <c r="A71" s="134"/>
      <c r="B71" s="158"/>
      <c r="C71" s="159"/>
      <c r="D71" s="159"/>
      <c r="E71" s="161"/>
      <c r="F71" s="161"/>
      <c r="G71" s="161"/>
      <c r="H71" s="161"/>
      <c r="I71" s="161"/>
      <c r="J71" s="158"/>
      <c r="K71" s="159"/>
      <c r="L71" s="159"/>
      <c r="M71" s="159"/>
      <c r="N71" s="160"/>
      <c r="O71" s="161"/>
      <c r="P71" s="161"/>
      <c r="Q71" s="161"/>
      <c r="R71" s="161"/>
      <c r="S71" s="161"/>
      <c r="T71" s="121"/>
      <c r="U71" s="121"/>
      <c r="V71" s="121"/>
      <c r="W71" s="121"/>
      <c r="X71" s="121"/>
      <c r="Y71" s="121"/>
      <c r="Z71" s="121"/>
    </row>
    <row r="72" spans="1:26" ht="18" customHeight="1">
      <c r="A72" s="134"/>
      <c r="B72" s="158"/>
      <c r="C72" s="159"/>
      <c r="D72" s="159"/>
      <c r="E72" s="161"/>
      <c r="F72" s="161"/>
      <c r="G72" s="161"/>
      <c r="H72" s="161"/>
      <c r="I72" s="161"/>
      <c r="J72" s="158"/>
      <c r="K72" s="159"/>
      <c r="L72" s="159"/>
      <c r="M72" s="159"/>
      <c r="N72" s="160"/>
      <c r="O72" s="161"/>
      <c r="P72" s="161"/>
      <c r="Q72" s="161"/>
      <c r="R72" s="161"/>
      <c r="S72" s="161"/>
      <c r="T72" s="121"/>
      <c r="U72" s="121"/>
      <c r="V72" s="121"/>
      <c r="W72" s="121"/>
      <c r="X72" s="121"/>
      <c r="Y72" s="121"/>
      <c r="Z72" s="121"/>
    </row>
    <row r="73" spans="1:26" ht="18" customHeight="1">
      <c r="A73" s="134"/>
      <c r="B73" s="158"/>
      <c r="C73" s="159"/>
      <c r="D73" s="159"/>
      <c r="E73" s="161"/>
      <c r="F73" s="161"/>
      <c r="G73" s="161"/>
      <c r="H73" s="161"/>
      <c r="I73" s="161"/>
      <c r="J73" s="158"/>
      <c r="K73" s="159"/>
      <c r="L73" s="159"/>
      <c r="M73" s="159"/>
      <c r="N73" s="160"/>
      <c r="O73" s="161"/>
      <c r="P73" s="161"/>
      <c r="Q73" s="161"/>
      <c r="R73" s="161"/>
      <c r="S73" s="161"/>
      <c r="T73" s="121"/>
      <c r="U73" s="121"/>
      <c r="V73" s="121"/>
      <c r="W73" s="121"/>
      <c r="X73" s="121"/>
      <c r="Y73" s="121"/>
      <c r="Z73" s="121"/>
    </row>
    <row r="74" spans="1:26" ht="18" customHeight="1">
      <c r="A74" s="134"/>
      <c r="B74" s="158"/>
      <c r="C74" s="159"/>
      <c r="D74" s="159"/>
      <c r="E74" s="161"/>
      <c r="F74" s="161"/>
      <c r="G74" s="161"/>
      <c r="H74" s="161"/>
      <c r="I74" s="161"/>
      <c r="J74" s="158"/>
      <c r="K74" s="159"/>
      <c r="L74" s="159"/>
      <c r="M74" s="159"/>
      <c r="N74" s="160"/>
      <c r="O74" s="161"/>
      <c r="P74" s="161"/>
      <c r="Q74" s="161"/>
      <c r="R74" s="161"/>
      <c r="S74" s="161"/>
      <c r="T74" s="121"/>
      <c r="U74" s="121"/>
      <c r="V74" s="121"/>
      <c r="W74" s="121"/>
      <c r="X74" s="121"/>
      <c r="Y74" s="121"/>
      <c r="Z74" s="121"/>
    </row>
    <row r="75" spans="1:26" ht="18" customHeight="1">
      <c r="A75" s="134"/>
      <c r="B75" s="162"/>
      <c r="C75" s="163"/>
      <c r="D75" s="163"/>
      <c r="E75" s="165"/>
      <c r="F75" s="165"/>
      <c r="G75" s="166"/>
      <c r="H75" s="166"/>
      <c r="I75" s="166"/>
      <c r="J75" s="162"/>
      <c r="K75" s="163"/>
      <c r="L75" s="163"/>
      <c r="M75" s="163"/>
      <c r="N75" s="164"/>
      <c r="O75" s="165"/>
      <c r="P75" s="165"/>
      <c r="Q75" s="166"/>
      <c r="R75" s="166"/>
      <c r="S75" s="166"/>
      <c r="T75" s="121"/>
      <c r="U75" s="121"/>
      <c r="V75" s="121"/>
      <c r="W75" s="121"/>
      <c r="X75" s="121"/>
      <c r="Y75" s="121"/>
      <c r="Z75" s="121"/>
    </row>
    <row r="76" spans="1:26" ht="7.5" customHeight="1">
      <c r="A76" s="121"/>
      <c r="B76" s="167"/>
      <c r="C76" s="167"/>
      <c r="D76" s="167"/>
      <c r="E76" s="167"/>
      <c r="F76" s="167"/>
      <c r="G76" s="167"/>
      <c r="H76" s="167"/>
      <c r="I76" s="167"/>
      <c r="J76" s="167"/>
      <c r="K76" s="167"/>
      <c r="L76" s="167"/>
      <c r="M76" s="167"/>
      <c r="N76" s="167"/>
      <c r="O76" s="167"/>
      <c r="P76" s="167"/>
      <c r="Q76" s="167"/>
      <c r="R76" s="167"/>
      <c r="S76" s="121"/>
      <c r="T76" s="121"/>
      <c r="U76" s="121"/>
      <c r="V76" s="121"/>
      <c r="W76" s="121"/>
      <c r="X76" s="121"/>
      <c r="Y76" s="121"/>
      <c r="Z76" s="121"/>
    </row>
    <row r="77" spans="1:26" ht="18" customHeight="1">
      <c r="A77" s="121" t="s">
        <v>42</v>
      </c>
      <c r="B77" s="121"/>
      <c r="C77" s="121"/>
      <c r="D77" s="121"/>
      <c r="E77" s="121"/>
      <c r="F77" s="121"/>
      <c r="G77" s="121"/>
      <c r="H77" s="134"/>
      <c r="I77" s="134"/>
      <c r="J77" s="134"/>
      <c r="K77" s="134"/>
      <c r="L77" s="134"/>
      <c r="M77" s="134"/>
      <c r="N77" s="134"/>
      <c r="O77" s="134"/>
      <c r="P77" s="134"/>
      <c r="Q77" s="134"/>
      <c r="R77" s="134"/>
      <c r="S77" s="134"/>
      <c r="T77" s="121"/>
      <c r="U77" s="121"/>
      <c r="V77" s="121"/>
      <c r="W77" s="121"/>
      <c r="X77" s="121"/>
      <c r="Y77" s="121"/>
      <c r="Z77" s="121"/>
    </row>
    <row r="78" spans="1:26" ht="18" customHeight="1">
      <c r="A78" s="121"/>
      <c r="B78" s="126" t="s">
        <v>21</v>
      </c>
      <c r="C78" s="127"/>
      <c r="D78" s="127"/>
      <c r="E78" s="128"/>
      <c r="F78" s="126" t="s">
        <v>43</v>
      </c>
      <c r="G78" s="127"/>
      <c r="H78" s="127"/>
      <c r="I78" s="128"/>
      <c r="J78" s="168" t="s">
        <v>21</v>
      </c>
      <c r="K78" s="139"/>
      <c r="L78" s="139"/>
      <c r="M78" s="139"/>
      <c r="N78" s="139"/>
      <c r="O78" s="140"/>
      <c r="P78" s="126" t="s">
        <v>43</v>
      </c>
      <c r="Q78" s="127"/>
      <c r="R78" s="127"/>
      <c r="S78" s="128"/>
      <c r="T78" s="121"/>
      <c r="U78" s="121"/>
      <c r="V78" s="121"/>
      <c r="W78" s="121"/>
      <c r="X78" s="121"/>
      <c r="Y78" s="121"/>
      <c r="Z78" s="121"/>
    </row>
    <row r="79" spans="1:26" ht="18" customHeight="1">
      <c r="A79" s="134"/>
      <c r="B79" s="154" t="s">
        <v>26</v>
      </c>
      <c r="C79" s="155"/>
      <c r="D79" s="155"/>
      <c r="E79" s="156"/>
      <c r="F79" s="169" t="s">
        <v>44</v>
      </c>
      <c r="G79" s="155"/>
      <c r="H79" s="155"/>
      <c r="I79" s="156"/>
      <c r="J79" s="154"/>
      <c r="K79" s="155"/>
      <c r="L79" s="155"/>
      <c r="M79" s="155"/>
      <c r="N79" s="155"/>
      <c r="O79" s="156"/>
      <c r="P79" s="169"/>
      <c r="Q79" s="155"/>
      <c r="R79" s="155"/>
      <c r="S79" s="156"/>
      <c r="T79" s="121"/>
      <c r="U79" s="121"/>
      <c r="V79" s="121"/>
      <c r="W79" s="121"/>
      <c r="X79" s="121"/>
      <c r="Y79" s="121"/>
      <c r="Z79" s="121"/>
    </row>
    <row r="80" spans="1:26" ht="18" customHeight="1">
      <c r="A80" s="134"/>
      <c r="B80" s="158" t="s">
        <v>28</v>
      </c>
      <c r="C80" s="159"/>
      <c r="D80" s="159"/>
      <c r="E80" s="160"/>
      <c r="F80" s="170" t="s">
        <v>45</v>
      </c>
      <c r="G80" s="159"/>
      <c r="H80" s="159"/>
      <c r="I80" s="160"/>
      <c r="J80" s="158"/>
      <c r="K80" s="159"/>
      <c r="L80" s="159"/>
      <c r="M80" s="159"/>
      <c r="N80" s="159"/>
      <c r="O80" s="160"/>
      <c r="P80" s="170"/>
      <c r="Q80" s="159"/>
      <c r="R80" s="159"/>
      <c r="S80" s="160"/>
      <c r="T80" s="121"/>
      <c r="U80" s="121"/>
      <c r="V80" s="121"/>
      <c r="W80" s="121"/>
      <c r="X80" s="121"/>
      <c r="Y80" s="121"/>
      <c r="Z80" s="121"/>
    </row>
    <row r="81" spans="1:26" ht="18" customHeight="1">
      <c r="A81" s="134"/>
      <c r="B81" s="158" t="s">
        <v>28</v>
      </c>
      <c r="C81" s="159"/>
      <c r="D81" s="159"/>
      <c r="E81" s="160"/>
      <c r="F81" s="170" t="s">
        <v>46</v>
      </c>
      <c r="G81" s="159"/>
      <c r="H81" s="159"/>
      <c r="I81" s="160"/>
      <c r="J81" s="158"/>
      <c r="K81" s="159"/>
      <c r="L81" s="159"/>
      <c r="M81" s="159"/>
      <c r="N81" s="159"/>
      <c r="O81" s="160"/>
      <c r="P81" s="170"/>
      <c r="Q81" s="159"/>
      <c r="R81" s="159"/>
      <c r="S81" s="160"/>
      <c r="T81" s="121"/>
      <c r="U81" s="121"/>
      <c r="V81" s="121"/>
      <c r="W81" s="121"/>
      <c r="X81" s="121"/>
      <c r="Y81" s="121"/>
      <c r="Z81" s="121"/>
    </row>
    <row r="82" spans="1:26" ht="18" customHeight="1">
      <c r="A82" s="134"/>
      <c r="B82" s="158"/>
      <c r="C82" s="159"/>
      <c r="D82" s="159"/>
      <c r="E82" s="160"/>
      <c r="F82" s="170"/>
      <c r="G82" s="159"/>
      <c r="H82" s="159"/>
      <c r="I82" s="160"/>
      <c r="J82" s="158"/>
      <c r="K82" s="159"/>
      <c r="L82" s="159"/>
      <c r="M82" s="159"/>
      <c r="N82" s="159"/>
      <c r="O82" s="160"/>
      <c r="P82" s="170"/>
      <c r="Q82" s="159"/>
      <c r="R82" s="159"/>
      <c r="S82" s="160"/>
      <c r="T82" s="121"/>
      <c r="U82" s="121"/>
      <c r="V82" s="121"/>
      <c r="W82" s="121"/>
      <c r="X82" s="121"/>
      <c r="Y82" s="121"/>
      <c r="Z82" s="121"/>
    </row>
    <row r="83" spans="1:26" ht="18" customHeight="1">
      <c r="A83" s="134"/>
      <c r="B83" s="158"/>
      <c r="C83" s="159"/>
      <c r="D83" s="159"/>
      <c r="E83" s="160"/>
      <c r="F83" s="170"/>
      <c r="G83" s="159"/>
      <c r="H83" s="159"/>
      <c r="I83" s="160"/>
      <c r="J83" s="158"/>
      <c r="K83" s="159"/>
      <c r="L83" s="159"/>
      <c r="M83" s="159"/>
      <c r="N83" s="159"/>
      <c r="O83" s="160"/>
      <c r="P83" s="170"/>
      <c r="Q83" s="159"/>
      <c r="R83" s="159"/>
      <c r="S83" s="160"/>
      <c r="T83" s="121"/>
      <c r="U83" s="121"/>
      <c r="V83" s="121"/>
      <c r="W83" s="121"/>
      <c r="X83" s="121"/>
      <c r="Y83" s="121"/>
      <c r="Z83" s="121"/>
    </row>
    <row r="84" spans="1:26" ht="18" customHeight="1">
      <c r="A84" s="134"/>
      <c r="B84" s="158"/>
      <c r="C84" s="159"/>
      <c r="D84" s="159"/>
      <c r="E84" s="160"/>
      <c r="F84" s="170"/>
      <c r="G84" s="159"/>
      <c r="H84" s="159"/>
      <c r="I84" s="160"/>
      <c r="J84" s="158"/>
      <c r="K84" s="159"/>
      <c r="L84" s="159"/>
      <c r="M84" s="159"/>
      <c r="N84" s="159"/>
      <c r="O84" s="160"/>
      <c r="P84" s="170"/>
      <c r="Q84" s="159"/>
      <c r="R84" s="159"/>
      <c r="S84" s="160"/>
      <c r="T84" s="121"/>
      <c r="U84" s="121"/>
      <c r="V84" s="121"/>
      <c r="W84" s="121"/>
      <c r="X84" s="121"/>
      <c r="Y84" s="121"/>
      <c r="Z84" s="121"/>
    </row>
    <row r="85" spans="1:26" ht="18" customHeight="1">
      <c r="A85" s="134"/>
      <c r="B85" s="162"/>
      <c r="C85" s="163"/>
      <c r="D85" s="163"/>
      <c r="E85" s="164"/>
      <c r="F85" s="171"/>
      <c r="G85" s="163"/>
      <c r="H85" s="163"/>
      <c r="I85" s="164"/>
      <c r="J85" s="162"/>
      <c r="K85" s="163"/>
      <c r="L85" s="163"/>
      <c r="M85" s="163"/>
      <c r="N85" s="163"/>
      <c r="O85" s="164"/>
      <c r="P85" s="171"/>
      <c r="Q85" s="163"/>
      <c r="R85" s="163"/>
      <c r="S85" s="164"/>
      <c r="T85" s="121"/>
      <c r="U85" s="121"/>
      <c r="V85" s="121"/>
      <c r="W85" s="121"/>
      <c r="X85" s="121"/>
      <c r="Y85" s="121"/>
      <c r="Z85" s="121"/>
    </row>
    <row r="86" spans="1:26" ht="18" customHeight="1">
      <c r="A86" s="134"/>
      <c r="B86" s="130"/>
      <c r="C86" s="130"/>
      <c r="D86" s="130"/>
      <c r="E86" s="130"/>
      <c r="F86" s="172"/>
      <c r="G86" s="172"/>
      <c r="H86" s="172"/>
      <c r="I86" s="172"/>
      <c r="J86" s="130"/>
      <c r="K86" s="130"/>
      <c r="L86" s="130"/>
      <c r="M86" s="130"/>
      <c r="N86" s="130"/>
      <c r="O86" s="130"/>
      <c r="P86" s="172"/>
      <c r="Q86" s="172"/>
      <c r="R86" s="172"/>
      <c r="S86" s="172"/>
      <c r="T86" s="121"/>
      <c r="U86" s="121"/>
      <c r="V86" s="121"/>
      <c r="W86" s="121"/>
      <c r="X86" s="121"/>
      <c r="Y86" s="121"/>
      <c r="Z86" s="121"/>
    </row>
    <row r="87" spans="1:26" ht="18.75" customHeight="1">
      <c r="A87" s="121" t="s">
        <v>47</v>
      </c>
      <c r="B87" s="121"/>
      <c r="C87" s="121"/>
      <c r="D87" s="121"/>
      <c r="E87" s="121"/>
      <c r="F87" s="121"/>
      <c r="G87" s="121"/>
      <c r="H87" s="121"/>
      <c r="I87" s="121"/>
      <c r="J87" s="121"/>
      <c r="K87" s="121"/>
      <c r="L87" s="121"/>
      <c r="M87" s="121"/>
      <c r="N87" s="121"/>
      <c r="O87" s="121"/>
      <c r="P87" s="121"/>
      <c r="Q87" s="121"/>
      <c r="R87" s="121"/>
      <c r="S87" s="121"/>
      <c r="T87" s="121"/>
      <c r="U87" s="121"/>
      <c r="V87" s="121"/>
      <c r="W87" s="121"/>
      <c r="X87" s="121"/>
      <c r="Y87" s="121"/>
      <c r="Z87" s="121"/>
    </row>
    <row r="88" spans="1:26" ht="18.75" customHeight="1">
      <c r="A88" s="121"/>
      <c r="B88" s="173" t="s">
        <v>48</v>
      </c>
      <c r="C88" s="128"/>
      <c r="D88" s="174" t="s">
        <v>49</v>
      </c>
      <c r="E88" s="127"/>
      <c r="F88" s="127"/>
      <c r="G88" s="127"/>
      <c r="H88" s="127"/>
      <c r="I88" s="127"/>
      <c r="J88" s="127"/>
      <c r="K88" s="127"/>
      <c r="L88" s="127"/>
      <c r="M88" s="127"/>
      <c r="N88" s="127"/>
      <c r="O88" s="127"/>
      <c r="P88" s="127"/>
      <c r="Q88" s="127"/>
      <c r="R88" s="127"/>
      <c r="S88" s="128"/>
      <c r="T88" s="121"/>
      <c r="U88" s="121"/>
      <c r="V88" s="121"/>
      <c r="W88" s="121"/>
      <c r="X88" s="121"/>
      <c r="Y88" s="121"/>
      <c r="Z88" s="121"/>
    </row>
    <row r="89" spans="1:26" ht="97.5" customHeight="1">
      <c r="A89" s="121"/>
      <c r="B89" s="175" t="s">
        <v>50</v>
      </c>
      <c r="C89" s="176" t="s">
        <v>24</v>
      </c>
      <c r="D89" s="177" t="s">
        <v>51</v>
      </c>
      <c r="E89" s="139"/>
      <c r="F89" s="139"/>
      <c r="G89" s="139"/>
      <c r="H89" s="139"/>
      <c r="I89" s="139"/>
      <c r="J89" s="139"/>
      <c r="K89" s="139"/>
      <c r="L89" s="139"/>
      <c r="M89" s="139"/>
      <c r="N89" s="139"/>
      <c r="O89" s="139"/>
      <c r="P89" s="139"/>
      <c r="Q89" s="139"/>
      <c r="R89" s="139"/>
      <c r="S89" s="140"/>
      <c r="T89" s="121"/>
      <c r="U89" s="121"/>
      <c r="V89" s="121"/>
      <c r="W89" s="121"/>
      <c r="X89" s="121"/>
      <c r="Y89" s="121"/>
      <c r="Z89" s="121"/>
    </row>
    <row r="90" spans="1:26" ht="97.5" customHeight="1">
      <c r="A90" s="121"/>
      <c r="B90" s="178"/>
      <c r="C90" s="179" t="s">
        <v>25</v>
      </c>
      <c r="D90" s="180" t="s">
        <v>52</v>
      </c>
      <c r="E90" s="181"/>
      <c r="F90" s="181"/>
      <c r="G90" s="181"/>
      <c r="H90" s="181"/>
      <c r="I90" s="181"/>
      <c r="J90" s="181"/>
      <c r="K90" s="181"/>
      <c r="L90" s="181"/>
      <c r="M90" s="181"/>
      <c r="N90" s="181"/>
      <c r="O90" s="181"/>
      <c r="P90" s="181"/>
      <c r="Q90" s="181"/>
      <c r="R90" s="181"/>
      <c r="S90" s="182"/>
      <c r="T90" s="121"/>
      <c r="U90" s="121"/>
      <c r="V90" s="121"/>
      <c r="W90" s="121"/>
      <c r="X90" s="121"/>
      <c r="Y90" s="121"/>
      <c r="Z90" s="121"/>
    </row>
    <row r="91" spans="1:26" ht="97.5" customHeight="1">
      <c r="A91" s="121"/>
      <c r="B91" s="175" t="s">
        <v>53</v>
      </c>
      <c r="C91" s="183" t="s">
        <v>30</v>
      </c>
      <c r="D91" s="184" t="s">
        <v>54</v>
      </c>
      <c r="E91" s="155"/>
      <c r="F91" s="155"/>
      <c r="G91" s="155"/>
      <c r="H91" s="155"/>
      <c r="I91" s="155"/>
      <c r="J91" s="155"/>
      <c r="K91" s="155"/>
      <c r="L91" s="155"/>
      <c r="M91" s="155"/>
      <c r="N91" s="155"/>
      <c r="O91" s="155"/>
      <c r="P91" s="155"/>
      <c r="Q91" s="155"/>
      <c r="R91" s="155"/>
      <c r="S91" s="156"/>
      <c r="T91" s="121"/>
      <c r="U91" s="121"/>
      <c r="V91" s="121"/>
      <c r="W91" s="121"/>
      <c r="X91" s="121"/>
      <c r="Y91" s="121"/>
      <c r="Z91" s="121"/>
    </row>
    <row r="92" spans="1:26" ht="97.5" customHeight="1">
      <c r="A92" s="121"/>
      <c r="B92" s="185"/>
      <c r="C92" s="186" t="s">
        <v>31</v>
      </c>
      <c r="D92" s="187" t="s">
        <v>55</v>
      </c>
      <c r="E92" s="163"/>
      <c r="F92" s="163"/>
      <c r="G92" s="163"/>
      <c r="H92" s="163"/>
      <c r="I92" s="163"/>
      <c r="J92" s="163"/>
      <c r="K92" s="163"/>
      <c r="L92" s="163"/>
      <c r="M92" s="163"/>
      <c r="N92" s="163"/>
      <c r="O92" s="163"/>
      <c r="P92" s="163"/>
      <c r="Q92" s="163"/>
      <c r="R92" s="163"/>
      <c r="S92" s="164"/>
      <c r="T92" s="121"/>
      <c r="U92" s="121"/>
      <c r="V92" s="121"/>
      <c r="W92" s="121"/>
      <c r="X92" s="121"/>
      <c r="Y92" s="121"/>
      <c r="Z92" s="121"/>
    </row>
    <row r="93" spans="1:26" ht="97.5" customHeight="1">
      <c r="A93" s="121"/>
      <c r="B93" s="175" t="s">
        <v>56</v>
      </c>
      <c r="C93" s="183" t="s">
        <v>33</v>
      </c>
      <c r="D93" s="184" t="s">
        <v>57</v>
      </c>
      <c r="E93" s="155"/>
      <c r="F93" s="155"/>
      <c r="G93" s="155"/>
      <c r="H93" s="155"/>
      <c r="I93" s="155"/>
      <c r="J93" s="155"/>
      <c r="K93" s="155"/>
      <c r="L93" s="155"/>
      <c r="M93" s="155"/>
      <c r="N93" s="155"/>
      <c r="O93" s="155"/>
      <c r="P93" s="155"/>
      <c r="Q93" s="155"/>
      <c r="R93" s="155"/>
      <c r="S93" s="156"/>
      <c r="T93" s="121"/>
      <c r="U93" s="121"/>
      <c r="V93" s="121"/>
      <c r="W93" s="121"/>
      <c r="X93" s="121"/>
      <c r="Y93" s="121"/>
      <c r="Z93" s="121"/>
    </row>
    <row r="94" spans="1:26" ht="97.5" customHeight="1">
      <c r="A94" s="121"/>
      <c r="B94" s="185"/>
      <c r="C94" s="188" t="s">
        <v>34</v>
      </c>
      <c r="D94" s="189" t="s">
        <v>58</v>
      </c>
      <c r="E94" s="142"/>
      <c r="F94" s="142"/>
      <c r="G94" s="142"/>
      <c r="H94" s="142"/>
      <c r="I94" s="142"/>
      <c r="J94" s="142"/>
      <c r="K94" s="142"/>
      <c r="L94" s="142"/>
      <c r="M94" s="142"/>
      <c r="N94" s="142"/>
      <c r="O94" s="142"/>
      <c r="P94" s="142"/>
      <c r="Q94" s="142"/>
      <c r="R94" s="142"/>
      <c r="S94" s="143"/>
      <c r="T94" s="121"/>
      <c r="U94" s="121"/>
      <c r="V94" s="121"/>
      <c r="W94" s="121"/>
      <c r="X94" s="121"/>
      <c r="Y94" s="121"/>
      <c r="Z94" s="121"/>
    </row>
    <row r="95" spans="1:26" ht="97.5" customHeight="1">
      <c r="A95" s="121"/>
      <c r="B95" s="175" t="s">
        <v>59</v>
      </c>
      <c r="C95" s="176" t="s">
        <v>36</v>
      </c>
      <c r="D95" s="177" t="s">
        <v>60</v>
      </c>
      <c r="E95" s="139"/>
      <c r="F95" s="139"/>
      <c r="G95" s="139"/>
      <c r="H95" s="139"/>
      <c r="I95" s="139"/>
      <c r="J95" s="139"/>
      <c r="K95" s="139"/>
      <c r="L95" s="139"/>
      <c r="M95" s="139"/>
      <c r="N95" s="139"/>
      <c r="O95" s="139"/>
      <c r="P95" s="139"/>
      <c r="Q95" s="139"/>
      <c r="R95" s="139"/>
      <c r="S95" s="140"/>
      <c r="T95" s="121"/>
      <c r="U95" s="121"/>
      <c r="V95" s="121"/>
      <c r="W95" s="121"/>
      <c r="X95" s="121"/>
      <c r="Y95" s="121"/>
      <c r="Z95" s="121"/>
    </row>
    <row r="96" spans="1:26" ht="97.5" customHeight="1">
      <c r="A96" s="121"/>
      <c r="B96" s="185"/>
      <c r="C96" s="186" t="s">
        <v>37</v>
      </c>
      <c r="D96" s="187" t="s">
        <v>61</v>
      </c>
      <c r="E96" s="163"/>
      <c r="F96" s="163"/>
      <c r="G96" s="163"/>
      <c r="H96" s="163"/>
      <c r="I96" s="163"/>
      <c r="J96" s="163"/>
      <c r="K96" s="163"/>
      <c r="L96" s="163"/>
      <c r="M96" s="163"/>
      <c r="N96" s="163"/>
      <c r="O96" s="163"/>
      <c r="P96" s="163"/>
      <c r="Q96" s="163"/>
      <c r="R96" s="163"/>
      <c r="S96" s="164"/>
      <c r="T96" s="121"/>
      <c r="U96" s="121"/>
      <c r="V96" s="121"/>
      <c r="W96" s="121"/>
      <c r="X96" s="121"/>
      <c r="Y96" s="121"/>
      <c r="Z96" s="121"/>
    </row>
    <row r="97" spans="1:26" ht="97.5" customHeight="1">
      <c r="A97" s="121"/>
      <c r="B97" s="175" t="s">
        <v>62</v>
      </c>
      <c r="C97" s="183" t="s">
        <v>39</v>
      </c>
      <c r="D97" s="190" t="s">
        <v>63</v>
      </c>
      <c r="E97" s="155"/>
      <c r="F97" s="155"/>
      <c r="G97" s="155"/>
      <c r="H97" s="155"/>
      <c r="I97" s="155"/>
      <c r="J97" s="155"/>
      <c r="K97" s="155"/>
      <c r="L97" s="155"/>
      <c r="M97" s="155"/>
      <c r="N97" s="155"/>
      <c r="O97" s="155"/>
      <c r="P97" s="155"/>
      <c r="Q97" s="155"/>
      <c r="R97" s="155"/>
      <c r="S97" s="156"/>
      <c r="T97" s="121"/>
      <c r="U97" s="121"/>
      <c r="V97" s="121"/>
      <c r="W97" s="121"/>
      <c r="X97" s="121"/>
      <c r="Y97" s="121"/>
      <c r="Z97" s="121"/>
    </row>
    <row r="98" spans="1:26" ht="97.5" customHeight="1">
      <c r="A98" s="121"/>
      <c r="B98" s="178"/>
      <c r="C98" s="191" t="s">
        <v>40</v>
      </c>
      <c r="D98" s="192" t="s">
        <v>64</v>
      </c>
      <c r="E98" s="159"/>
      <c r="F98" s="159"/>
      <c r="G98" s="159"/>
      <c r="H98" s="159"/>
      <c r="I98" s="159"/>
      <c r="J98" s="159"/>
      <c r="K98" s="159"/>
      <c r="L98" s="159"/>
      <c r="M98" s="159"/>
      <c r="N98" s="159"/>
      <c r="O98" s="159"/>
      <c r="P98" s="159"/>
      <c r="Q98" s="159"/>
      <c r="R98" s="159"/>
      <c r="S98" s="160"/>
      <c r="T98" s="121"/>
      <c r="U98" s="121"/>
      <c r="V98" s="121"/>
      <c r="W98" s="121"/>
      <c r="X98" s="121"/>
      <c r="Y98" s="121"/>
      <c r="Z98" s="121"/>
    </row>
    <row r="99" spans="1:26" ht="97.5" customHeight="1">
      <c r="A99" s="121"/>
      <c r="B99" s="185"/>
      <c r="C99" s="188" t="s">
        <v>41</v>
      </c>
      <c r="D99" s="193" t="s">
        <v>65</v>
      </c>
      <c r="E99" s="142"/>
      <c r="F99" s="142"/>
      <c r="G99" s="142"/>
      <c r="H99" s="142"/>
      <c r="I99" s="142"/>
      <c r="J99" s="142"/>
      <c r="K99" s="142"/>
      <c r="L99" s="142"/>
      <c r="M99" s="142"/>
      <c r="N99" s="142"/>
      <c r="O99" s="142"/>
      <c r="P99" s="142"/>
      <c r="Q99" s="142"/>
      <c r="R99" s="142"/>
      <c r="S99" s="143"/>
      <c r="T99" s="121"/>
      <c r="U99" s="121"/>
      <c r="V99" s="121"/>
      <c r="W99" s="121"/>
      <c r="X99" s="121"/>
      <c r="Y99" s="121"/>
      <c r="Z99" s="121"/>
    </row>
    <row r="100" spans="1:26" ht="6" customHeight="1">
      <c r="A100" s="121"/>
      <c r="B100" s="121"/>
      <c r="C100" s="121"/>
      <c r="D100" s="121"/>
      <c r="E100" s="121"/>
      <c r="F100" s="121"/>
      <c r="G100" s="121"/>
      <c r="H100" s="121"/>
      <c r="I100" s="121"/>
      <c r="J100" s="121"/>
      <c r="K100" s="121"/>
      <c r="L100" s="121"/>
      <c r="M100" s="121"/>
      <c r="N100" s="121"/>
      <c r="O100" s="121"/>
      <c r="P100" s="121"/>
      <c r="Q100" s="121"/>
      <c r="R100" s="121"/>
      <c r="S100" s="121"/>
      <c r="T100" s="121"/>
      <c r="U100" s="121"/>
      <c r="V100" s="121"/>
      <c r="W100" s="121"/>
      <c r="X100" s="121"/>
      <c r="Y100" s="121"/>
      <c r="Z100" s="121"/>
    </row>
    <row r="101" spans="1:26" ht="18.75" customHeight="1">
      <c r="A101" s="121" t="s">
        <v>66</v>
      </c>
      <c r="B101" s="121"/>
      <c r="C101" s="121"/>
      <c r="D101" s="121"/>
      <c r="E101" s="121"/>
      <c r="F101" s="121"/>
      <c r="G101" s="121"/>
      <c r="H101" s="121"/>
      <c r="I101" s="121"/>
      <c r="J101" s="121"/>
      <c r="K101" s="121"/>
      <c r="L101" s="121"/>
      <c r="M101" s="121"/>
      <c r="N101" s="121"/>
      <c r="O101" s="121"/>
      <c r="P101" s="121"/>
      <c r="Q101" s="121"/>
      <c r="R101" s="121"/>
      <c r="S101" s="121"/>
      <c r="T101" s="121"/>
      <c r="U101" s="121"/>
      <c r="V101" s="121"/>
      <c r="W101" s="121"/>
      <c r="X101" s="121"/>
      <c r="Y101" s="121"/>
      <c r="Z101" s="121"/>
    </row>
    <row r="102" spans="1:26" ht="81.75" customHeight="1">
      <c r="A102" s="121"/>
      <c r="B102" s="194" t="s">
        <v>67</v>
      </c>
      <c r="C102" s="127"/>
      <c r="D102" s="127"/>
      <c r="E102" s="127"/>
      <c r="F102" s="127"/>
      <c r="G102" s="127"/>
      <c r="H102" s="127"/>
      <c r="I102" s="127"/>
      <c r="J102" s="127"/>
      <c r="K102" s="127"/>
      <c r="L102" s="127"/>
      <c r="M102" s="127"/>
      <c r="N102" s="127"/>
      <c r="O102" s="127"/>
      <c r="P102" s="127"/>
      <c r="Q102" s="127"/>
      <c r="R102" s="127"/>
      <c r="S102" s="128"/>
      <c r="T102" s="121"/>
      <c r="U102" s="121"/>
      <c r="V102" s="121"/>
      <c r="W102" s="121"/>
      <c r="X102" s="121"/>
      <c r="Y102" s="121"/>
      <c r="Z102" s="121"/>
    </row>
    <row r="103" spans="1:26" ht="18.75" customHeight="1">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row>
    <row r="104" spans="1:26" ht="18.75" customHeight="1">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row>
    <row r="105" spans="1:26" ht="18.75" customHeight="1">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row>
    <row r="106" spans="1:26" ht="18.75" customHeight="1">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row>
    <row r="107" spans="1:26" ht="18.75" customHeight="1">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row>
    <row r="108" spans="1:26" ht="18.75" customHeight="1">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row>
    <row r="109" spans="1:26" ht="18.75" customHeight="1">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row>
    <row r="110" spans="1:26" ht="18" customHeight="1">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row>
    <row r="111" spans="1:26" ht="18.75" customHeight="1">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row>
    <row r="112" spans="1:26" ht="18.75" customHeight="1">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row>
    <row r="113" spans="1:26" ht="18.75" customHeight="1">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row>
    <row r="114" spans="1:26" ht="18.75" customHeight="1">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row>
    <row r="115" spans="1:26" ht="18.75" customHeight="1">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row>
    <row r="116" spans="1:26" ht="18.75" customHeight="1">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row>
    <row r="117" spans="1:26" ht="18.75" customHeight="1">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row>
    <row r="118" spans="1:26" ht="18.75" customHeight="1">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row>
    <row r="119" spans="1:26" ht="18.75" customHeight="1">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row>
    <row r="120" spans="1:26" ht="18.75" customHeight="1">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row>
    <row r="121" spans="1:26" ht="18.75" customHeight="1">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row>
    <row r="122" spans="1:26" ht="18.75" customHeight="1">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row>
    <row r="123" spans="1:26" ht="18.75" customHeight="1">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row>
    <row r="124" spans="1:26" ht="18.75" customHeight="1">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row>
    <row r="125" spans="1:26" ht="18.75" customHeight="1">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row>
    <row r="126" spans="1:26" ht="18.75" customHeight="1">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row>
    <row r="127" spans="1:26" ht="18.75" customHeight="1">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row>
    <row r="128" spans="1:26" ht="18.75" customHeight="1">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row>
    <row r="129" spans="1:26" ht="18.75" customHeight="1">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row>
    <row r="130" spans="1:26" ht="18.75" customHeight="1">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row>
    <row r="131" spans="1:26" ht="18.75" customHeight="1">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row>
    <row r="132" spans="1:26" ht="18.75" customHeight="1">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row>
    <row r="133" spans="1:26" ht="18.75" customHeight="1">
      <c r="A133" s="121"/>
      <c r="B133" s="121"/>
      <c r="C133" s="121"/>
      <c r="D133" s="121"/>
      <c r="E133" s="121"/>
      <c r="F133" s="121"/>
      <c r="G133" s="121"/>
      <c r="H133" s="121"/>
      <c r="I133" s="121"/>
      <c r="J133" s="121"/>
      <c r="K133" s="121"/>
      <c r="L133" s="121"/>
      <c r="M133" s="121"/>
      <c r="N133" s="121"/>
      <c r="O133" s="121"/>
      <c r="P133" s="121"/>
      <c r="Q133" s="121"/>
      <c r="R133" s="121"/>
      <c r="S133" s="121"/>
      <c r="T133" s="121"/>
      <c r="U133" s="121"/>
      <c r="V133" s="121"/>
      <c r="W133" s="121"/>
      <c r="X133" s="121"/>
      <c r="Y133" s="121"/>
      <c r="Z133" s="121"/>
    </row>
    <row r="134" spans="1:26" ht="18.75" customHeight="1">
      <c r="A134" s="121"/>
      <c r="B134" s="121"/>
      <c r="C134" s="121"/>
      <c r="D134" s="121"/>
      <c r="E134" s="121"/>
      <c r="F134" s="121"/>
      <c r="G134" s="121"/>
      <c r="H134" s="121"/>
      <c r="I134" s="121"/>
      <c r="J134" s="121"/>
      <c r="K134" s="121"/>
      <c r="L134" s="121"/>
      <c r="M134" s="121"/>
      <c r="N134" s="121"/>
      <c r="O134" s="121"/>
      <c r="P134" s="121"/>
      <c r="Q134" s="121"/>
      <c r="R134" s="121"/>
      <c r="S134" s="121"/>
      <c r="T134" s="121"/>
      <c r="U134" s="121"/>
      <c r="V134" s="121"/>
      <c r="W134" s="121"/>
      <c r="X134" s="121"/>
      <c r="Y134" s="121"/>
      <c r="Z134" s="121"/>
    </row>
    <row r="135" spans="1:26" ht="18.75" customHeight="1">
      <c r="A135" s="121"/>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row>
    <row r="136" spans="1:26" ht="18.75" customHeight="1">
      <c r="A136" s="121"/>
      <c r="B136" s="121"/>
      <c r="C136" s="121"/>
      <c r="D136" s="121"/>
      <c r="E136" s="121"/>
      <c r="F136" s="121"/>
      <c r="G136" s="121"/>
      <c r="H136" s="121"/>
      <c r="I136" s="121"/>
      <c r="J136" s="121"/>
      <c r="K136" s="121"/>
      <c r="L136" s="121"/>
      <c r="M136" s="121"/>
      <c r="N136" s="121"/>
      <c r="O136" s="121"/>
      <c r="P136" s="121"/>
      <c r="Q136" s="121"/>
      <c r="R136" s="121"/>
      <c r="S136" s="121"/>
      <c r="T136" s="121"/>
      <c r="U136" s="121"/>
      <c r="V136" s="121"/>
      <c r="W136" s="121"/>
      <c r="X136" s="121"/>
      <c r="Y136" s="121"/>
      <c r="Z136" s="121"/>
    </row>
    <row r="137" spans="1:26" ht="18.75" customHeight="1">
      <c r="A137" s="121"/>
      <c r="B137" s="121"/>
      <c r="C137" s="121"/>
      <c r="D137" s="121"/>
      <c r="E137" s="121"/>
      <c r="F137" s="121"/>
      <c r="G137" s="121"/>
      <c r="H137" s="121"/>
      <c r="I137" s="121"/>
      <c r="J137" s="121"/>
      <c r="K137" s="121"/>
      <c r="L137" s="121"/>
      <c r="M137" s="121"/>
      <c r="N137" s="121"/>
      <c r="O137" s="121"/>
      <c r="P137" s="121"/>
      <c r="Q137" s="121"/>
      <c r="R137" s="121"/>
      <c r="S137" s="121"/>
      <c r="T137" s="121"/>
      <c r="U137" s="121"/>
      <c r="V137" s="121"/>
      <c r="W137" s="121"/>
      <c r="X137" s="121"/>
      <c r="Y137" s="121"/>
      <c r="Z137" s="121"/>
    </row>
    <row r="138" spans="1:26" ht="18.75" customHeight="1">
      <c r="A138" s="121"/>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row>
    <row r="139" spans="1:26" ht="18.75" customHeight="1">
      <c r="A139" s="121"/>
      <c r="B139" s="121"/>
      <c r="C139" s="121"/>
      <c r="D139" s="121"/>
      <c r="E139" s="121"/>
      <c r="F139" s="121"/>
      <c r="G139" s="121"/>
      <c r="H139" s="121"/>
      <c r="I139" s="121"/>
      <c r="J139" s="121"/>
      <c r="K139" s="121"/>
      <c r="L139" s="121"/>
      <c r="M139" s="121"/>
      <c r="N139" s="121"/>
      <c r="O139" s="121"/>
      <c r="P139" s="121"/>
      <c r="Q139" s="121"/>
      <c r="R139" s="121"/>
      <c r="S139" s="121"/>
      <c r="T139" s="121"/>
      <c r="U139" s="121"/>
      <c r="V139" s="121"/>
      <c r="W139" s="121"/>
      <c r="X139" s="121"/>
      <c r="Y139" s="121"/>
      <c r="Z139" s="121"/>
    </row>
    <row r="140" spans="1:26" ht="18.75" customHeight="1">
      <c r="A140" s="121"/>
      <c r="B140" s="121"/>
      <c r="C140" s="121"/>
      <c r="D140" s="121"/>
      <c r="E140" s="121"/>
      <c r="F140" s="121"/>
      <c r="G140" s="121"/>
      <c r="H140" s="121"/>
      <c r="I140" s="121"/>
      <c r="J140" s="121"/>
      <c r="K140" s="121"/>
      <c r="L140" s="121"/>
      <c r="M140" s="121"/>
      <c r="N140" s="121"/>
      <c r="O140" s="121"/>
      <c r="P140" s="121"/>
      <c r="Q140" s="121"/>
      <c r="R140" s="121"/>
      <c r="S140" s="121"/>
      <c r="T140" s="121"/>
      <c r="U140" s="121"/>
      <c r="V140" s="121"/>
      <c r="W140" s="121"/>
      <c r="X140" s="121"/>
      <c r="Y140" s="121"/>
      <c r="Z140" s="121"/>
    </row>
    <row r="141" spans="1:26" ht="18.75" customHeight="1">
      <c r="A141" s="121"/>
      <c r="B141" s="121"/>
      <c r="C141" s="121"/>
      <c r="D141" s="121"/>
      <c r="E141" s="121"/>
      <c r="F141" s="121"/>
      <c r="G141" s="121"/>
      <c r="H141" s="121"/>
      <c r="I141" s="121"/>
      <c r="J141" s="121"/>
      <c r="K141" s="121"/>
      <c r="L141" s="121"/>
      <c r="M141" s="121"/>
      <c r="N141" s="121"/>
      <c r="O141" s="121"/>
      <c r="P141" s="121"/>
      <c r="Q141" s="121"/>
      <c r="R141" s="121"/>
      <c r="S141" s="121"/>
      <c r="T141" s="121"/>
      <c r="U141" s="121"/>
      <c r="V141" s="121"/>
      <c r="W141" s="121"/>
      <c r="X141" s="121"/>
      <c r="Y141" s="121"/>
      <c r="Z141" s="121"/>
    </row>
    <row r="142" spans="1:26" ht="18.75" customHeight="1">
      <c r="A142" s="121"/>
      <c r="B142" s="121"/>
      <c r="C142" s="121"/>
      <c r="D142" s="121"/>
      <c r="E142" s="121"/>
      <c r="F142" s="121"/>
      <c r="G142" s="121"/>
      <c r="H142" s="121"/>
      <c r="I142" s="121"/>
      <c r="J142" s="121"/>
      <c r="K142" s="121"/>
      <c r="L142" s="121"/>
      <c r="M142" s="121"/>
      <c r="N142" s="121"/>
      <c r="O142" s="121"/>
      <c r="P142" s="121"/>
      <c r="Q142" s="121"/>
      <c r="R142" s="121"/>
      <c r="S142" s="121"/>
      <c r="T142" s="121"/>
      <c r="U142" s="121"/>
      <c r="V142" s="121"/>
      <c r="W142" s="121"/>
      <c r="X142" s="121"/>
      <c r="Y142" s="121"/>
      <c r="Z142" s="121"/>
    </row>
    <row r="143" spans="1:26" ht="18.75" customHeight="1">
      <c r="A143" s="121"/>
      <c r="B143" s="121"/>
      <c r="C143" s="121"/>
      <c r="D143" s="121"/>
      <c r="E143" s="121"/>
      <c r="F143" s="121"/>
      <c r="G143" s="121"/>
      <c r="H143" s="121"/>
      <c r="I143" s="121"/>
      <c r="J143" s="121"/>
      <c r="K143" s="121"/>
      <c r="L143" s="121"/>
      <c r="M143" s="121"/>
      <c r="N143" s="121"/>
      <c r="O143" s="121"/>
      <c r="P143" s="121"/>
      <c r="Q143" s="121"/>
      <c r="R143" s="121"/>
      <c r="S143" s="121"/>
      <c r="T143" s="121"/>
      <c r="U143" s="121"/>
      <c r="V143" s="121"/>
      <c r="W143" s="121"/>
      <c r="X143" s="121"/>
      <c r="Y143" s="121"/>
      <c r="Z143" s="121"/>
    </row>
    <row r="144" spans="1:26" ht="18.75" customHeight="1">
      <c r="A144" s="121"/>
      <c r="B144" s="121"/>
      <c r="C144" s="121"/>
      <c r="D144" s="121"/>
      <c r="E144" s="121"/>
      <c r="F144" s="121"/>
      <c r="G144" s="121"/>
      <c r="H144" s="121"/>
      <c r="I144" s="121"/>
      <c r="J144" s="121"/>
      <c r="K144" s="121"/>
      <c r="L144" s="121"/>
      <c r="M144" s="121"/>
      <c r="N144" s="121"/>
      <c r="O144" s="121"/>
      <c r="P144" s="121"/>
      <c r="Q144" s="121"/>
      <c r="R144" s="121"/>
      <c r="S144" s="121"/>
      <c r="T144" s="121"/>
      <c r="U144" s="121"/>
      <c r="V144" s="121"/>
      <c r="W144" s="121"/>
      <c r="X144" s="121"/>
      <c r="Y144" s="121"/>
      <c r="Z144" s="121"/>
    </row>
    <row r="145" spans="1:26" ht="18.75" customHeight="1">
      <c r="A145" s="121"/>
      <c r="B145" s="121"/>
      <c r="C145" s="121"/>
      <c r="D145" s="121"/>
      <c r="E145" s="121"/>
      <c r="F145" s="121"/>
      <c r="G145" s="121"/>
      <c r="H145" s="121"/>
      <c r="I145" s="121"/>
      <c r="J145" s="121"/>
      <c r="K145" s="121"/>
      <c r="L145" s="121"/>
      <c r="M145" s="121"/>
      <c r="N145" s="121"/>
      <c r="O145" s="121"/>
      <c r="P145" s="121"/>
      <c r="Q145" s="121"/>
      <c r="R145" s="121"/>
      <c r="S145" s="121"/>
      <c r="T145" s="121"/>
      <c r="U145" s="121"/>
      <c r="V145" s="121"/>
      <c r="W145" s="121"/>
      <c r="X145" s="121"/>
      <c r="Y145" s="121"/>
      <c r="Z145" s="121"/>
    </row>
    <row r="146" spans="1:26" ht="18.75" customHeight="1">
      <c r="A146" s="121"/>
      <c r="B146" s="121"/>
      <c r="C146" s="121"/>
      <c r="D146" s="121"/>
      <c r="E146" s="121"/>
      <c r="F146" s="121"/>
      <c r="G146" s="121"/>
      <c r="H146" s="121"/>
      <c r="I146" s="121"/>
      <c r="J146" s="121"/>
      <c r="K146" s="121"/>
      <c r="L146" s="121"/>
      <c r="M146" s="121"/>
      <c r="N146" s="121"/>
      <c r="O146" s="121"/>
      <c r="P146" s="121"/>
      <c r="Q146" s="121"/>
      <c r="R146" s="121"/>
      <c r="S146" s="121"/>
      <c r="T146" s="121"/>
      <c r="U146" s="121"/>
      <c r="V146" s="121"/>
      <c r="W146" s="121"/>
      <c r="X146" s="121"/>
      <c r="Y146" s="121"/>
      <c r="Z146" s="121"/>
    </row>
    <row r="147" spans="1:26" ht="18.75" customHeight="1">
      <c r="A147" s="121"/>
      <c r="B147" s="121"/>
      <c r="C147" s="121"/>
      <c r="D147" s="121"/>
      <c r="E147" s="121"/>
      <c r="F147" s="121"/>
      <c r="G147" s="121"/>
      <c r="H147" s="121"/>
      <c r="I147" s="121"/>
      <c r="J147" s="121"/>
      <c r="K147" s="121"/>
      <c r="L147" s="121"/>
      <c r="M147" s="121"/>
      <c r="N147" s="121"/>
      <c r="O147" s="121"/>
      <c r="P147" s="121"/>
      <c r="Q147" s="121"/>
      <c r="R147" s="121"/>
      <c r="S147" s="121"/>
      <c r="T147" s="121"/>
      <c r="U147" s="121"/>
      <c r="V147" s="121"/>
      <c r="W147" s="121"/>
      <c r="X147" s="121"/>
      <c r="Y147" s="121"/>
      <c r="Z147" s="121"/>
    </row>
    <row r="148" spans="1:26" ht="18.75" customHeight="1">
      <c r="A148" s="121"/>
      <c r="B148" s="121"/>
      <c r="C148" s="121"/>
      <c r="D148" s="121"/>
      <c r="E148" s="121"/>
      <c r="F148" s="121"/>
      <c r="G148" s="121"/>
      <c r="H148" s="121"/>
      <c r="I148" s="121"/>
      <c r="J148" s="121"/>
      <c r="K148" s="121"/>
      <c r="L148" s="121"/>
      <c r="M148" s="121"/>
      <c r="N148" s="121"/>
      <c r="O148" s="121"/>
      <c r="P148" s="121"/>
      <c r="Q148" s="121"/>
      <c r="R148" s="121"/>
      <c r="S148" s="121"/>
      <c r="T148" s="121"/>
      <c r="U148" s="121"/>
      <c r="V148" s="121"/>
      <c r="W148" s="121"/>
      <c r="X148" s="121"/>
      <c r="Y148" s="121"/>
      <c r="Z148" s="121"/>
    </row>
    <row r="149" spans="1:26" ht="18.75" customHeight="1">
      <c r="A149" s="121"/>
      <c r="B149" s="121"/>
      <c r="C149" s="121"/>
      <c r="D149" s="121"/>
      <c r="E149" s="121"/>
      <c r="F149" s="121"/>
      <c r="G149" s="121"/>
      <c r="H149" s="121"/>
      <c r="I149" s="121"/>
      <c r="J149" s="121"/>
      <c r="K149" s="121"/>
      <c r="L149" s="121"/>
      <c r="M149" s="121"/>
      <c r="N149" s="121"/>
      <c r="O149" s="121"/>
      <c r="P149" s="121"/>
      <c r="Q149" s="121"/>
      <c r="R149" s="121"/>
      <c r="S149" s="121"/>
      <c r="T149" s="121"/>
      <c r="U149" s="121"/>
      <c r="V149" s="121"/>
      <c r="W149" s="121"/>
      <c r="X149" s="121"/>
      <c r="Y149" s="121"/>
      <c r="Z149" s="121"/>
    </row>
    <row r="150" spans="1:26" ht="18.75" customHeight="1">
      <c r="A150" s="121"/>
      <c r="B150" s="121"/>
      <c r="C150" s="121"/>
      <c r="D150" s="121"/>
      <c r="E150" s="121"/>
      <c r="F150" s="121"/>
      <c r="G150" s="121"/>
      <c r="H150" s="121"/>
      <c r="I150" s="121"/>
      <c r="J150" s="121"/>
      <c r="K150" s="121"/>
      <c r="L150" s="121"/>
      <c r="M150" s="121"/>
      <c r="N150" s="121"/>
      <c r="O150" s="121"/>
      <c r="P150" s="121"/>
      <c r="Q150" s="121"/>
      <c r="R150" s="121"/>
      <c r="S150" s="121"/>
      <c r="T150" s="121"/>
      <c r="U150" s="121"/>
      <c r="V150" s="121"/>
      <c r="W150" s="121"/>
      <c r="X150" s="121"/>
      <c r="Y150" s="121"/>
      <c r="Z150" s="121"/>
    </row>
    <row r="151" spans="1:26" ht="18.75" customHeight="1">
      <c r="A151" s="121"/>
      <c r="B151" s="121"/>
      <c r="C151" s="121"/>
      <c r="D151" s="121"/>
      <c r="E151" s="121"/>
      <c r="F151" s="121"/>
      <c r="G151" s="121"/>
      <c r="H151" s="121"/>
      <c r="I151" s="121"/>
      <c r="J151" s="121"/>
      <c r="K151" s="121"/>
      <c r="L151" s="121"/>
      <c r="M151" s="121"/>
      <c r="N151" s="121"/>
      <c r="O151" s="121"/>
      <c r="P151" s="121"/>
      <c r="Q151" s="121"/>
      <c r="R151" s="121"/>
      <c r="S151" s="121"/>
      <c r="T151" s="121"/>
      <c r="U151" s="121"/>
      <c r="V151" s="121"/>
      <c r="W151" s="121"/>
      <c r="X151" s="121"/>
      <c r="Y151" s="121"/>
      <c r="Z151" s="121"/>
    </row>
    <row r="152" spans="1:26" ht="18.75" customHeight="1">
      <c r="A152" s="121"/>
      <c r="B152" s="121"/>
      <c r="C152" s="121"/>
      <c r="D152" s="121"/>
      <c r="E152" s="121"/>
      <c r="F152" s="121"/>
      <c r="G152" s="121"/>
      <c r="H152" s="121"/>
      <c r="I152" s="121"/>
      <c r="J152" s="121"/>
      <c r="K152" s="121"/>
      <c r="L152" s="121"/>
      <c r="M152" s="121"/>
      <c r="N152" s="121"/>
      <c r="O152" s="121"/>
      <c r="P152" s="121"/>
      <c r="Q152" s="121"/>
      <c r="R152" s="121"/>
      <c r="S152" s="121"/>
      <c r="T152" s="121"/>
      <c r="U152" s="121"/>
      <c r="V152" s="121"/>
      <c r="W152" s="121"/>
      <c r="X152" s="121"/>
      <c r="Y152" s="121"/>
      <c r="Z152" s="121"/>
    </row>
    <row r="153" spans="1:26" ht="18.75" customHeight="1">
      <c r="A153" s="121"/>
      <c r="B153" s="121"/>
      <c r="C153" s="121"/>
      <c r="D153" s="121"/>
      <c r="E153" s="121"/>
      <c r="F153" s="121"/>
      <c r="G153" s="121"/>
      <c r="H153" s="121"/>
      <c r="I153" s="121"/>
      <c r="J153" s="121"/>
      <c r="K153" s="121"/>
      <c r="L153" s="121"/>
      <c r="M153" s="121"/>
      <c r="N153" s="121"/>
      <c r="O153" s="121"/>
      <c r="P153" s="121"/>
      <c r="Q153" s="121"/>
      <c r="R153" s="121"/>
      <c r="S153" s="121"/>
      <c r="T153" s="121"/>
      <c r="U153" s="121"/>
      <c r="V153" s="121"/>
      <c r="W153" s="121"/>
      <c r="X153" s="121"/>
      <c r="Y153" s="121"/>
      <c r="Z153" s="121"/>
    </row>
    <row r="154" spans="1:26" ht="18.75" customHeight="1">
      <c r="A154" s="121"/>
      <c r="B154" s="121"/>
      <c r="C154" s="121"/>
      <c r="D154" s="121"/>
      <c r="E154" s="121"/>
      <c r="F154" s="121"/>
      <c r="G154" s="121"/>
      <c r="H154" s="121"/>
      <c r="I154" s="121"/>
      <c r="J154" s="121"/>
      <c r="K154" s="121"/>
      <c r="L154" s="121"/>
      <c r="M154" s="121"/>
      <c r="N154" s="121"/>
      <c r="O154" s="121"/>
      <c r="P154" s="121"/>
      <c r="Q154" s="121"/>
      <c r="R154" s="121"/>
      <c r="S154" s="121"/>
      <c r="T154" s="121"/>
      <c r="U154" s="121"/>
      <c r="V154" s="121"/>
      <c r="W154" s="121"/>
      <c r="X154" s="121"/>
      <c r="Y154" s="121"/>
      <c r="Z154" s="121"/>
    </row>
    <row r="155" spans="1:26" ht="18.75" customHeight="1">
      <c r="A155" s="121"/>
      <c r="B155" s="121"/>
      <c r="C155" s="121"/>
      <c r="D155" s="121"/>
      <c r="E155" s="121"/>
      <c r="F155" s="121"/>
      <c r="G155" s="121"/>
      <c r="H155" s="121"/>
      <c r="I155" s="121"/>
      <c r="J155" s="121"/>
      <c r="K155" s="121"/>
      <c r="L155" s="121"/>
      <c r="M155" s="121"/>
      <c r="N155" s="121"/>
      <c r="O155" s="121"/>
      <c r="P155" s="121"/>
      <c r="Q155" s="121"/>
      <c r="R155" s="121"/>
      <c r="S155" s="121"/>
      <c r="T155" s="121"/>
      <c r="U155" s="121"/>
      <c r="V155" s="121"/>
      <c r="W155" s="121"/>
      <c r="X155" s="121"/>
      <c r="Y155" s="121"/>
      <c r="Z155" s="121"/>
    </row>
    <row r="156" spans="1:26" ht="18.75" customHeight="1">
      <c r="A156" s="121"/>
      <c r="B156" s="121"/>
      <c r="C156" s="121"/>
      <c r="D156" s="121"/>
      <c r="E156" s="121"/>
      <c r="F156" s="121"/>
      <c r="G156" s="121"/>
      <c r="H156" s="121"/>
      <c r="I156" s="121"/>
      <c r="J156" s="121"/>
      <c r="K156" s="121"/>
      <c r="L156" s="121"/>
      <c r="M156" s="121"/>
      <c r="N156" s="121"/>
      <c r="O156" s="121"/>
      <c r="P156" s="121"/>
      <c r="Q156" s="121"/>
      <c r="R156" s="121"/>
      <c r="S156" s="121"/>
      <c r="T156" s="121"/>
      <c r="U156" s="121"/>
      <c r="V156" s="121"/>
      <c r="W156" s="121"/>
      <c r="X156" s="121"/>
      <c r="Y156" s="121"/>
      <c r="Z156" s="121"/>
    </row>
    <row r="157" spans="1:26" ht="18.75" customHeight="1">
      <c r="A157" s="121"/>
      <c r="B157" s="121"/>
      <c r="C157" s="121"/>
      <c r="D157" s="121"/>
      <c r="E157" s="121"/>
      <c r="F157" s="121"/>
      <c r="G157" s="121"/>
      <c r="H157" s="121"/>
      <c r="I157" s="121"/>
      <c r="J157" s="121"/>
      <c r="K157" s="121"/>
      <c r="L157" s="121"/>
      <c r="M157" s="121"/>
      <c r="N157" s="121"/>
      <c r="O157" s="121"/>
      <c r="P157" s="121"/>
      <c r="Q157" s="121"/>
      <c r="R157" s="121"/>
      <c r="S157" s="121"/>
      <c r="T157" s="121"/>
      <c r="U157" s="121"/>
      <c r="V157" s="121"/>
      <c r="W157" s="121"/>
      <c r="X157" s="121"/>
      <c r="Y157" s="121"/>
      <c r="Z157" s="121"/>
    </row>
    <row r="158" spans="1:26" ht="18.75" customHeight="1">
      <c r="A158" s="121"/>
      <c r="B158" s="121"/>
      <c r="C158" s="121"/>
      <c r="D158" s="121"/>
      <c r="E158" s="121"/>
      <c r="F158" s="121"/>
      <c r="G158" s="121"/>
      <c r="H158" s="121"/>
      <c r="I158" s="121"/>
      <c r="J158" s="121"/>
      <c r="K158" s="121"/>
      <c r="L158" s="121"/>
      <c r="M158" s="121"/>
      <c r="N158" s="121"/>
      <c r="O158" s="121"/>
      <c r="P158" s="121"/>
      <c r="Q158" s="121"/>
      <c r="R158" s="121"/>
      <c r="S158" s="121"/>
      <c r="T158" s="121"/>
      <c r="U158" s="121"/>
      <c r="V158" s="121"/>
      <c r="W158" s="121"/>
      <c r="X158" s="121"/>
      <c r="Y158" s="121"/>
      <c r="Z158" s="121"/>
    </row>
    <row r="159" spans="1:26" ht="18.75" customHeight="1">
      <c r="A159" s="121"/>
      <c r="B159" s="121"/>
      <c r="C159" s="121"/>
      <c r="D159" s="121"/>
      <c r="E159" s="121"/>
      <c r="F159" s="121"/>
      <c r="G159" s="121"/>
      <c r="H159" s="121"/>
      <c r="I159" s="121"/>
      <c r="J159" s="121"/>
      <c r="K159" s="121"/>
      <c r="L159" s="121"/>
      <c r="M159" s="121"/>
      <c r="N159" s="121"/>
      <c r="O159" s="121"/>
      <c r="P159" s="121"/>
      <c r="Q159" s="121"/>
      <c r="R159" s="121"/>
      <c r="S159" s="121"/>
      <c r="T159" s="121"/>
      <c r="U159" s="121"/>
      <c r="V159" s="121"/>
      <c r="W159" s="121"/>
      <c r="X159" s="121"/>
      <c r="Y159" s="121"/>
      <c r="Z159" s="121"/>
    </row>
    <row r="160" spans="1:26" ht="18.75" customHeight="1">
      <c r="A160" s="121"/>
      <c r="B160" s="121"/>
      <c r="C160" s="121"/>
      <c r="D160" s="121"/>
      <c r="E160" s="121"/>
      <c r="F160" s="121"/>
      <c r="G160" s="121"/>
      <c r="H160" s="121"/>
      <c r="I160" s="121"/>
      <c r="J160" s="121"/>
      <c r="K160" s="121"/>
      <c r="L160" s="121"/>
      <c r="M160" s="121"/>
      <c r="N160" s="121"/>
      <c r="O160" s="121"/>
      <c r="P160" s="121"/>
      <c r="Q160" s="121"/>
      <c r="R160" s="121"/>
      <c r="S160" s="121"/>
      <c r="T160" s="121"/>
      <c r="U160" s="121"/>
      <c r="V160" s="121"/>
      <c r="W160" s="121"/>
      <c r="X160" s="121"/>
      <c r="Y160" s="121"/>
      <c r="Z160" s="121"/>
    </row>
    <row r="161" spans="1:26" ht="18.75" customHeight="1">
      <c r="A161" s="121"/>
      <c r="B161" s="121"/>
      <c r="C161" s="121"/>
      <c r="D161" s="121"/>
      <c r="E161" s="121"/>
      <c r="F161" s="121"/>
      <c r="G161" s="121"/>
      <c r="H161" s="121"/>
      <c r="I161" s="121"/>
      <c r="J161" s="121"/>
      <c r="K161" s="121"/>
      <c r="L161" s="121"/>
      <c r="M161" s="121"/>
      <c r="N161" s="121"/>
      <c r="O161" s="121"/>
      <c r="P161" s="121"/>
      <c r="Q161" s="121"/>
      <c r="R161" s="121"/>
      <c r="S161" s="121"/>
      <c r="T161" s="121"/>
      <c r="U161" s="121"/>
      <c r="V161" s="121"/>
      <c r="W161" s="121"/>
      <c r="X161" s="121"/>
      <c r="Y161" s="121"/>
      <c r="Z161" s="121"/>
    </row>
    <row r="162" spans="1:26" ht="18.75" customHeight="1">
      <c r="A162" s="121"/>
      <c r="B162" s="121"/>
      <c r="C162" s="121"/>
      <c r="D162" s="121"/>
      <c r="E162" s="121"/>
      <c r="F162" s="121"/>
      <c r="G162" s="121"/>
      <c r="H162" s="121"/>
      <c r="I162" s="121"/>
      <c r="J162" s="121"/>
      <c r="K162" s="121"/>
      <c r="L162" s="121"/>
      <c r="M162" s="121"/>
      <c r="N162" s="121"/>
      <c r="O162" s="121"/>
      <c r="P162" s="121"/>
      <c r="Q162" s="121"/>
      <c r="R162" s="121"/>
      <c r="S162" s="121"/>
      <c r="T162" s="121"/>
      <c r="U162" s="121"/>
      <c r="V162" s="121"/>
      <c r="W162" s="121"/>
      <c r="X162" s="121"/>
      <c r="Y162" s="121"/>
      <c r="Z162" s="121"/>
    </row>
    <row r="163" spans="1:26" ht="18.75" customHeight="1">
      <c r="A163" s="121"/>
      <c r="B163" s="121"/>
      <c r="C163" s="121"/>
      <c r="D163" s="121"/>
      <c r="E163" s="121"/>
      <c r="F163" s="121"/>
      <c r="G163" s="121"/>
      <c r="H163" s="121"/>
      <c r="I163" s="121"/>
      <c r="J163" s="121"/>
      <c r="K163" s="121"/>
      <c r="L163" s="121"/>
      <c r="M163" s="121"/>
      <c r="N163" s="121"/>
      <c r="O163" s="121"/>
      <c r="P163" s="121"/>
      <c r="Q163" s="121"/>
      <c r="R163" s="121"/>
      <c r="S163" s="121"/>
      <c r="T163" s="121"/>
      <c r="U163" s="121"/>
      <c r="V163" s="121"/>
      <c r="W163" s="121"/>
      <c r="X163" s="121"/>
      <c r="Y163" s="121"/>
      <c r="Z163" s="121"/>
    </row>
    <row r="164" spans="1:26" ht="18.75" customHeight="1">
      <c r="A164" s="121"/>
      <c r="B164" s="121"/>
      <c r="C164" s="121"/>
      <c r="D164" s="121"/>
      <c r="E164" s="121"/>
      <c r="F164" s="121"/>
      <c r="G164" s="121"/>
      <c r="H164" s="121"/>
      <c r="I164" s="121"/>
      <c r="J164" s="121"/>
      <c r="K164" s="121"/>
      <c r="L164" s="121"/>
      <c r="M164" s="121"/>
      <c r="N164" s="121"/>
      <c r="O164" s="121"/>
      <c r="P164" s="121"/>
      <c r="Q164" s="121"/>
      <c r="R164" s="121"/>
      <c r="S164" s="121"/>
      <c r="T164" s="121"/>
      <c r="U164" s="121"/>
      <c r="V164" s="121"/>
      <c r="W164" s="121"/>
      <c r="X164" s="121"/>
      <c r="Y164" s="121"/>
      <c r="Z164" s="121"/>
    </row>
    <row r="165" spans="1:26" ht="18.75" customHeight="1">
      <c r="A165" s="121"/>
      <c r="B165" s="121"/>
      <c r="C165" s="121"/>
      <c r="D165" s="121"/>
      <c r="E165" s="121"/>
      <c r="F165" s="121"/>
      <c r="G165" s="121"/>
      <c r="H165" s="121"/>
      <c r="I165" s="121"/>
      <c r="J165" s="121"/>
      <c r="K165" s="121"/>
      <c r="L165" s="121"/>
      <c r="M165" s="121"/>
      <c r="N165" s="121"/>
      <c r="O165" s="121"/>
      <c r="P165" s="121"/>
      <c r="Q165" s="121"/>
      <c r="R165" s="121"/>
      <c r="S165" s="121"/>
      <c r="T165" s="121"/>
      <c r="U165" s="121"/>
      <c r="V165" s="121"/>
      <c r="W165" s="121"/>
      <c r="X165" s="121"/>
      <c r="Y165" s="121"/>
      <c r="Z165" s="121"/>
    </row>
    <row r="166" spans="1:26" ht="18.75" customHeight="1">
      <c r="A166" s="121"/>
      <c r="B166" s="121"/>
      <c r="C166" s="121"/>
      <c r="D166" s="121"/>
      <c r="E166" s="121"/>
      <c r="F166" s="121"/>
      <c r="G166" s="121"/>
      <c r="H166" s="121"/>
      <c r="I166" s="121"/>
      <c r="J166" s="121"/>
      <c r="K166" s="121"/>
      <c r="L166" s="121"/>
      <c r="M166" s="121"/>
      <c r="N166" s="121"/>
      <c r="O166" s="121"/>
      <c r="P166" s="121"/>
      <c r="Q166" s="121"/>
      <c r="R166" s="121"/>
      <c r="S166" s="121"/>
      <c r="T166" s="121"/>
      <c r="U166" s="121"/>
      <c r="V166" s="121"/>
      <c r="W166" s="121"/>
      <c r="X166" s="121"/>
      <c r="Y166" s="121"/>
      <c r="Z166" s="121"/>
    </row>
    <row r="167" spans="1:26" ht="18.75" customHeight="1">
      <c r="A167" s="121"/>
      <c r="B167" s="121"/>
      <c r="C167" s="121"/>
      <c r="D167" s="121"/>
      <c r="E167" s="121"/>
      <c r="F167" s="121"/>
      <c r="G167" s="121"/>
      <c r="H167" s="121"/>
      <c r="I167" s="121"/>
      <c r="J167" s="121"/>
      <c r="K167" s="121"/>
      <c r="L167" s="121"/>
      <c r="M167" s="121"/>
      <c r="N167" s="121"/>
      <c r="O167" s="121"/>
      <c r="P167" s="121"/>
      <c r="Q167" s="121"/>
      <c r="R167" s="121"/>
      <c r="S167" s="121"/>
      <c r="T167" s="121"/>
      <c r="U167" s="121"/>
      <c r="V167" s="121"/>
      <c r="W167" s="121"/>
      <c r="X167" s="121"/>
      <c r="Y167" s="121"/>
      <c r="Z167" s="121"/>
    </row>
    <row r="168" spans="1:26" ht="18.75" customHeight="1">
      <c r="A168" s="121"/>
      <c r="B168" s="121"/>
      <c r="C168" s="121"/>
      <c r="D168" s="121"/>
      <c r="E168" s="121"/>
      <c r="F168" s="121"/>
      <c r="G168" s="121"/>
      <c r="H168" s="121"/>
      <c r="I168" s="121"/>
      <c r="J168" s="121"/>
      <c r="K168" s="121"/>
      <c r="L168" s="121"/>
      <c r="M168" s="121"/>
      <c r="N168" s="121"/>
      <c r="O168" s="121"/>
      <c r="P168" s="121"/>
      <c r="Q168" s="121"/>
      <c r="R168" s="121"/>
      <c r="S168" s="121"/>
      <c r="T168" s="121"/>
      <c r="U168" s="121"/>
      <c r="V168" s="121"/>
      <c r="W168" s="121"/>
      <c r="X168" s="121"/>
      <c r="Y168" s="121"/>
      <c r="Z168" s="121"/>
    </row>
    <row r="169" spans="1:26" ht="18.75" customHeight="1">
      <c r="A169" s="121"/>
      <c r="B169" s="121"/>
      <c r="C169" s="121"/>
      <c r="D169" s="121"/>
      <c r="E169" s="121"/>
      <c r="F169" s="121"/>
      <c r="G169" s="121"/>
      <c r="H169" s="121"/>
      <c r="I169" s="121"/>
      <c r="J169" s="121"/>
      <c r="K169" s="121"/>
      <c r="L169" s="121"/>
      <c r="M169" s="121"/>
      <c r="N169" s="121"/>
      <c r="O169" s="121"/>
      <c r="P169" s="121"/>
      <c r="Q169" s="121"/>
      <c r="R169" s="121"/>
      <c r="S169" s="121"/>
      <c r="T169" s="121"/>
      <c r="U169" s="121"/>
      <c r="V169" s="121"/>
      <c r="W169" s="121"/>
      <c r="X169" s="121"/>
      <c r="Y169" s="121"/>
      <c r="Z169" s="121"/>
    </row>
    <row r="170" spans="1:26" ht="18.75" customHeight="1">
      <c r="A170" s="121"/>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row>
    <row r="171" spans="1:26" ht="18.75" customHeight="1">
      <c r="A171" s="121"/>
      <c r="B171" s="121"/>
      <c r="C171" s="121"/>
      <c r="D171" s="121"/>
      <c r="E171" s="121"/>
      <c r="F171" s="121"/>
      <c r="G171" s="121"/>
      <c r="H171" s="121"/>
      <c r="I171" s="121"/>
      <c r="J171" s="121"/>
      <c r="K171" s="121"/>
      <c r="L171" s="121"/>
      <c r="M171" s="121"/>
      <c r="N171" s="121"/>
      <c r="O171" s="121"/>
      <c r="P171" s="121"/>
      <c r="Q171" s="121"/>
      <c r="R171" s="121"/>
      <c r="S171" s="121"/>
      <c r="T171" s="121"/>
      <c r="U171" s="121"/>
      <c r="V171" s="121"/>
      <c r="W171" s="121"/>
      <c r="X171" s="121"/>
      <c r="Y171" s="121"/>
      <c r="Z171" s="121"/>
    </row>
    <row r="172" spans="1:26" ht="18.75" customHeight="1">
      <c r="A172" s="121"/>
      <c r="B172" s="121"/>
      <c r="C172" s="121"/>
      <c r="D172" s="121"/>
      <c r="E172" s="121"/>
      <c r="F172" s="121"/>
      <c r="G172" s="121"/>
      <c r="H172" s="121"/>
      <c r="I172" s="121"/>
      <c r="J172" s="121"/>
      <c r="K172" s="121"/>
      <c r="L172" s="121"/>
      <c r="M172" s="121"/>
      <c r="N172" s="121"/>
      <c r="O172" s="121"/>
      <c r="P172" s="121"/>
      <c r="Q172" s="121"/>
      <c r="R172" s="121"/>
      <c r="S172" s="121"/>
      <c r="T172" s="121"/>
      <c r="U172" s="121"/>
      <c r="V172" s="121"/>
      <c r="W172" s="121"/>
      <c r="X172" s="121"/>
      <c r="Y172" s="121"/>
      <c r="Z172" s="121"/>
    </row>
    <row r="173" spans="1:26" ht="18.75" customHeight="1">
      <c r="A173" s="121"/>
      <c r="B173" s="121"/>
      <c r="C173" s="121"/>
      <c r="D173" s="121"/>
      <c r="E173" s="121"/>
      <c r="F173" s="121"/>
      <c r="G173" s="121"/>
      <c r="H173" s="121"/>
      <c r="I173" s="121"/>
      <c r="J173" s="121"/>
      <c r="K173" s="121"/>
      <c r="L173" s="121"/>
      <c r="M173" s="121"/>
      <c r="N173" s="121"/>
      <c r="O173" s="121"/>
      <c r="P173" s="121"/>
      <c r="Q173" s="121"/>
      <c r="R173" s="121"/>
      <c r="S173" s="121"/>
      <c r="T173" s="121"/>
      <c r="U173" s="121"/>
      <c r="V173" s="121"/>
      <c r="W173" s="121"/>
      <c r="X173" s="121"/>
      <c r="Y173" s="121"/>
      <c r="Z173" s="121"/>
    </row>
    <row r="174" spans="1:26" ht="18.75" customHeight="1">
      <c r="A174" s="121"/>
      <c r="B174" s="121"/>
      <c r="C174" s="121"/>
      <c r="D174" s="121"/>
      <c r="E174" s="121"/>
      <c r="F174" s="121"/>
      <c r="G174" s="121"/>
      <c r="H174" s="121"/>
      <c r="I174" s="121"/>
      <c r="J174" s="121"/>
      <c r="K174" s="121"/>
      <c r="L174" s="121"/>
      <c r="M174" s="121"/>
      <c r="N174" s="121"/>
      <c r="O174" s="121"/>
      <c r="P174" s="121"/>
      <c r="Q174" s="121"/>
      <c r="R174" s="121"/>
      <c r="S174" s="121"/>
      <c r="T174" s="121"/>
      <c r="U174" s="121"/>
      <c r="V174" s="121"/>
      <c r="W174" s="121"/>
      <c r="X174" s="121"/>
      <c r="Y174" s="121"/>
      <c r="Z174" s="121"/>
    </row>
    <row r="175" spans="1:26" ht="18.75" customHeight="1">
      <c r="A175" s="121"/>
      <c r="B175" s="121"/>
      <c r="C175" s="121"/>
      <c r="D175" s="121"/>
      <c r="E175" s="121"/>
      <c r="F175" s="121"/>
      <c r="G175" s="121"/>
      <c r="H175" s="121"/>
      <c r="I175" s="121"/>
      <c r="J175" s="121"/>
      <c r="K175" s="121"/>
      <c r="L175" s="121"/>
      <c r="M175" s="121"/>
      <c r="N175" s="121"/>
      <c r="O175" s="121"/>
      <c r="P175" s="121"/>
      <c r="Q175" s="121"/>
      <c r="R175" s="121"/>
      <c r="S175" s="121"/>
      <c r="T175" s="121"/>
      <c r="U175" s="121"/>
      <c r="V175" s="121"/>
      <c r="W175" s="121"/>
      <c r="X175" s="121"/>
      <c r="Y175" s="121"/>
      <c r="Z175" s="121"/>
    </row>
    <row r="176" spans="1:26" ht="18.75" customHeight="1">
      <c r="A176" s="121"/>
      <c r="B176" s="121"/>
      <c r="C176" s="121"/>
      <c r="D176" s="121"/>
      <c r="E176" s="121"/>
      <c r="F176" s="121"/>
      <c r="G176" s="121"/>
      <c r="H176" s="121"/>
      <c r="I176" s="121"/>
      <c r="J176" s="121"/>
      <c r="K176" s="121"/>
      <c r="L176" s="121"/>
      <c r="M176" s="121"/>
      <c r="N176" s="121"/>
      <c r="O176" s="121"/>
      <c r="P176" s="121"/>
      <c r="Q176" s="121"/>
      <c r="R176" s="121"/>
      <c r="S176" s="121"/>
      <c r="T176" s="121"/>
      <c r="U176" s="121"/>
      <c r="V176" s="121"/>
      <c r="W176" s="121"/>
      <c r="X176" s="121"/>
      <c r="Y176" s="121"/>
      <c r="Z176" s="121"/>
    </row>
    <row r="177" spans="1:26" ht="18.75" customHeight="1">
      <c r="A177" s="121"/>
      <c r="B177" s="121"/>
      <c r="C177" s="121"/>
      <c r="D177" s="121"/>
      <c r="E177" s="121"/>
      <c r="F177" s="121"/>
      <c r="G177" s="121"/>
      <c r="H177" s="121"/>
      <c r="I177" s="121"/>
      <c r="J177" s="121"/>
      <c r="K177" s="121"/>
      <c r="L177" s="121"/>
      <c r="M177" s="121"/>
      <c r="N177" s="121"/>
      <c r="O177" s="121"/>
      <c r="P177" s="121"/>
      <c r="Q177" s="121"/>
      <c r="R177" s="121"/>
      <c r="S177" s="121"/>
      <c r="T177" s="121"/>
      <c r="U177" s="121"/>
      <c r="V177" s="121"/>
      <c r="W177" s="121"/>
      <c r="X177" s="121"/>
      <c r="Y177" s="121"/>
      <c r="Z177" s="121"/>
    </row>
    <row r="178" spans="1:26" ht="18.75" customHeight="1">
      <c r="A178" s="121"/>
      <c r="B178" s="121"/>
      <c r="C178" s="121"/>
      <c r="D178" s="121"/>
      <c r="E178" s="121"/>
      <c r="F178" s="121"/>
      <c r="G178" s="121"/>
      <c r="H178" s="121"/>
      <c r="I178" s="121"/>
      <c r="J178" s="121"/>
      <c r="K178" s="121"/>
      <c r="L178" s="121"/>
      <c r="M178" s="121"/>
      <c r="N178" s="121"/>
      <c r="O178" s="121"/>
      <c r="P178" s="121"/>
      <c r="Q178" s="121"/>
      <c r="R178" s="121"/>
      <c r="S178" s="121"/>
      <c r="T178" s="121"/>
      <c r="U178" s="121"/>
      <c r="V178" s="121"/>
      <c r="W178" s="121"/>
      <c r="X178" s="121"/>
      <c r="Y178" s="121"/>
      <c r="Z178" s="121"/>
    </row>
    <row r="179" spans="1:26" ht="18.75" customHeight="1">
      <c r="A179" s="121"/>
      <c r="B179" s="121"/>
      <c r="C179" s="121"/>
      <c r="D179" s="121"/>
      <c r="E179" s="121"/>
      <c r="F179" s="121"/>
      <c r="G179" s="121"/>
      <c r="H179" s="121"/>
      <c r="I179" s="121"/>
      <c r="J179" s="121"/>
      <c r="K179" s="121"/>
      <c r="L179" s="121"/>
      <c r="M179" s="121"/>
      <c r="N179" s="121"/>
      <c r="O179" s="121"/>
      <c r="P179" s="121"/>
      <c r="Q179" s="121"/>
      <c r="R179" s="121"/>
      <c r="S179" s="121"/>
      <c r="T179" s="121"/>
      <c r="U179" s="121"/>
      <c r="V179" s="121"/>
      <c r="W179" s="121"/>
      <c r="X179" s="121"/>
      <c r="Y179" s="121"/>
      <c r="Z179" s="121"/>
    </row>
    <row r="180" spans="1:26" ht="18.75" customHeight="1">
      <c r="A180" s="121"/>
      <c r="B180" s="121"/>
      <c r="C180" s="121"/>
      <c r="D180" s="121"/>
      <c r="E180" s="121"/>
      <c r="F180" s="121"/>
      <c r="G180" s="121"/>
      <c r="H180" s="121"/>
      <c r="I180" s="121"/>
      <c r="J180" s="121"/>
      <c r="K180" s="121"/>
      <c r="L180" s="121"/>
      <c r="M180" s="121"/>
      <c r="N180" s="121"/>
      <c r="O180" s="121"/>
      <c r="P180" s="121"/>
      <c r="Q180" s="121"/>
      <c r="R180" s="121"/>
      <c r="S180" s="121"/>
      <c r="T180" s="121"/>
      <c r="U180" s="121"/>
      <c r="V180" s="121"/>
      <c r="W180" s="121"/>
      <c r="X180" s="121"/>
      <c r="Y180" s="121"/>
      <c r="Z180" s="121"/>
    </row>
    <row r="181" spans="1:26" ht="18.75" customHeight="1">
      <c r="A181" s="121"/>
      <c r="B181" s="121"/>
      <c r="C181" s="121"/>
      <c r="D181" s="121"/>
      <c r="E181" s="121"/>
      <c r="F181" s="121"/>
      <c r="G181" s="121"/>
      <c r="H181" s="121"/>
      <c r="I181" s="121"/>
      <c r="J181" s="121"/>
      <c r="K181" s="121"/>
      <c r="L181" s="121"/>
      <c r="M181" s="121"/>
      <c r="N181" s="121"/>
      <c r="O181" s="121"/>
      <c r="P181" s="121"/>
      <c r="Q181" s="121"/>
      <c r="R181" s="121"/>
      <c r="S181" s="121"/>
      <c r="T181" s="121"/>
      <c r="U181" s="121"/>
      <c r="V181" s="121"/>
      <c r="W181" s="121"/>
      <c r="X181" s="121"/>
      <c r="Y181" s="121"/>
      <c r="Z181" s="121"/>
    </row>
    <row r="182" spans="1:26" ht="18.75" customHeight="1">
      <c r="A182" s="121"/>
      <c r="B182" s="121"/>
      <c r="C182" s="121"/>
      <c r="D182" s="121"/>
      <c r="E182" s="121"/>
      <c r="F182" s="121"/>
      <c r="G182" s="121"/>
      <c r="H182" s="121"/>
      <c r="I182" s="121"/>
      <c r="J182" s="121"/>
      <c r="K182" s="121"/>
      <c r="L182" s="121"/>
      <c r="M182" s="121"/>
      <c r="N182" s="121"/>
      <c r="O182" s="121"/>
      <c r="P182" s="121"/>
      <c r="Q182" s="121"/>
      <c r="R182" s="121"/>
      <c r="S182" s="121"/>
      <c r="T182" s="121"/>
      <c r="U182" s="121"/>
      <c r="V182" s="121"/>
      <c r="W182" s="121"/>
      <c r="X182" s="121"/>
      <c r="Y182" s="121"/>
      <c r="Z182" s="121"/>
    </row>
    <row r="183" spans="1:26" ht="18.75" customHeight="1">
      <c r="A183" s="121"/>
      <c r="B183" s="121"/>
      <c r="C183" s="121"/>
      <c r="D183" s="121"/>
      <c r="E183" s="121"/>
      <c r="F183" s="121"/>
      <c r="G183" s="121"/>
      <c r="H183" s="121"/>
      <c r="I183" s="121"/>
      <c r="J183" s="121"/>
      <c r="K183" s="121"/>
      <c r="L183" s="121"/>
      <c r="M183" s="121"/>
      <c r="N183" s="121"/>
      <c r="O183" s="121"/>
      <c r="P183" s="121"/>
      <c r="Q183" s="121"/>
      <c r="R183" s="121"/>
      <c r="S183" s="121"/>
      <c r="T183" s="121"/>
      <c r="U183" s="121"/>
      <c r="V183" s="121"/>
      <c r="W183" s="121"/>
      <c r="X183" s="121"/>
      <c r="Y183" s="121"/>
      <c r="Z183" s="121"/>
    </row>
    <row r="184" spans="1:26" ht="18.75" customHeight="1">
      <c r="A184" s="121"/>
      <c r="B184" s="121"/>
      <c r="C184" s="121"/>
      <c r="D184" s="121"/>
      <c r="E184" s="121"/>
      <c r="F184" s="121"/>
      <c r="G184" s="121"/>
      <c r="H184" s="121"/>
      <c r="I184" s="121"/>
      <c r="J184" s="121"/>
      <c r="K184" s="121"/>
      <c r="L184" s="121"/>
      <c r="M184" s="121"/>
      <c r="N184" s="121"/>
      <c r="O184" s="121"/>
      <c r="P184" s="121"/>
      <c r="Q184" s="121"/>
      <c r="R184" s="121"/>
      <c r="S184" s="121"/>
      <c r="T184" s="121"/>
      <c r="U184" s="121"/>
      <c r="V184" s="121"/>
      <c r="W184" s="121"/>
      <c r="X184" s="121"/>
      <c r="Y184" s="121"/>
      <c r="Z184" s="121"/>
    </row>
    <row r="185" spans="1:26" ht="18.75" customHeight="1">
      <c r="A185" s="121"/>
      <c r="B185" s="121"/>
      <c r="C185" s="121"/>
      <c r="D185" s="121"/>
      <c r="E185" s="121"/>
      <c r="F185" s="121"/>
      <c r="G185" s="121"/>
      <c r="H185" s="121"/>
      <c r="I185" s="121"/>
      <c r="J185" s="121"/>
      <c r="K185" s="121"/>
      <c r="L185" s="121"/>
      <c r="M185" s="121"/>
      <c r="N185" s="121"/>
      <c r="O185" s="121"/>
      <c r="P185" s="121"/>
      <c r="Q185" s="121"/>
      <c r="R185" s="121"/>
      <c r="S185" s="121"/>
      <c r="T185" s="121"/>
      <c r="U185" s="121"/>
      <c r="V185" s="121"/>
      <c r="W185" s="121"/>
      <c r="X185" s="121"/>
      <c r="Y185" s="121"/>
      <c r="Z185" s="121"/>
    </row>
    <row r="186" spans="1:26" ht="18.75" customHeight="1">
      <c r="A186" s="121"/>
      <c r="B186" s="121"/>
      <c r="C186" s="121"/>
      <c r="D186" s="121"/>
      <c r="E186" s="121"/>
      <c r="F186" s="121"/>
      <c r="G186" s="121"/>
      <c r="H186" s="121"/>
      <c r="I186" s="121"/>
      <c r="J186" s="121"/>
      <c r="K186" s="121"/>
      <c r="L186" s="121"/>
      <c r="M186" s="121"/>
      <c r="N186" s="121"/>
      <c r="O186" s="121"/>
      <c r="P186" s="121"/>
      <c r="Q186" s="121"/>
      <c r="R186" s="121"/>
      <c r="S186" s="121"/>
      <c r="T186" s="121"/>
      <c r="U186" s="121"/>
      <c r="V186" s="121"/>
      <c r="W186" s="121"/>
      <c r="X186" s="121"/>
      <c r="Y186" s="121"/>
      <c r="Z186" s="121"/>
    </row>
    <row r="187" spans="1:26" ht="18.75" customHeight="1">
      <c r="A187" s="121"/>
      <c r="B187" s="121"/>
      <c r="C187" s="121"/>
      <c r="D187" s="121"/>
      <c r="E187" s="121"/>
      <c r="F187" s="121"/>
      <c r="G187" s="121"/>
      <c r="H187" s="121"/>
      <c r="I187" s="121"/>
      <c r="J187" s="121"/>
      <c r="K187" s="121"/>
      <c r="L187" s="121"/>
      <c r="M187" s="121"/>
      <c r="N187" s="121"/>
      <c r="O187" s="121"/>
      <c r="P187" s="121"/>
      <c r="Q187" s="121"/>
      <c r="R187" s="121"/>
      <c r="S187" s="121"/>
      <c r="T187" s="121"/>
      <c r="U187" s="121"/>
      <c r="V187" s="121"/>
      <c r="W187" s="121"/>
      <c r="X187" s="121"/>
      <c r="Y187" s="121"/>
      <c r="Z187" s="121"/>
    </row>
    <row r="188" spans="1:26" ht="18.75" customHeight="1">
      <c r="A188" s="121"/>
      <c r="B188" s="121"/>
      <c r="C188" s="121"/>
      <c r="D188" s="121"/>
      <c r="E188" s="121"/>
      <c r="F188" s="121"/>
      <c r="G188" s="121"/>
      <c r="H188" s="121"/>
      <c r="I188" s="121"/>
      <c r="J188" s="121"/>
      <c r="K188" s="121"/>
      <c r="L188" s="121"/>
      <c r="M188" s="121"/>
      <c r="N188" s="121"/>
      <c r="O188" s="121"/>
      <c r="P188" s="121"/>
      <c r="Q188" s="121"/>
      <c r="R188" s="121"/>
      <c r="S188" s="121"/>
      <c r="T188" s="121"/>
      <c r="U188" s="121"/>
      <c r="V188" s="121"/>
      <c r="W188" s="121"/>
      <c r="X188" s="121"/>
      <c r="Y188" s="121"/>
      <c r="Z188" s="121"/>
    </row>
    <row r="189" spans="1:26" ht="18.75" customHeight="1">
      <c r="A189" s="121"/>
      <c r="B189" s="121"/>
      <c r="C189" s="121"/>
      <c r="D189" s="121"/>
      <c r="E189" s="121"/>
      <c r="F189" s="121"/>
      <c r="G189" s="121"/>
      <c r="H189" s="121"/>
      <c r="I189" s="121"/>
      <c r="J189" s="121"/>
      <c r="K189" s="121"/>
      <c r="L189" s="121"/>
      <c r="M189" s="121"/>
      <c r="N189" s="121"/>
      <c r="O189" s="121"/>
      <c r="P189" s="121"/>
      <c r="Q189" s="121"/>
      <c r="R189" s="121"/>
      <c r="S189" s="121"/>
      <c r="T189" s="121"/>
      <c r="U189" s="121"/>
      <c r="V189" s="121"/>
      <c r="W189" s="121"/>
      <c r="X189" s="121"/>
      <c r="Y189" s="121"/>
      <c r="Z189" s="121"/>
    </row>
    <row r="190" spans="1:26" ht="18.75" customHeight="1">
      <c r="A190" s="121"/>
      <c r="B190" s="121"/>
      <c r="C190" s="121"/>
      <c r="D190" s="121"/>
      <c r="E190" s="121"/>
      <c r="F190" s="121"/>
      <c r="G190" s="121"/>
      <c r="H190" s="121"/>
      <c r="I190" s="121"/>
      <c r="J190" s="121"/>
      <c r="K190" s="121"/>
      <c r="L190" s="121"/>
      <c r="M190" s="121"/>
      <c r="N190" s="121"/>
      <c r="O190" s="121"/>
      <c r="P190" s="121"/>
      <c r="Q190" s="121"/>
      <c r="R190" s="121"/>
      <c r="S190" s="121"/>
      <c r="T190" s="121"/>
      <c r="U190" s="121"/>
      <c r="V190" s="121"/>
      <c r="W190" s="121"/>
      <c r="X190" s="121"/>
      <c r="Y190" s="121"/>
      <c r="Z190" s="121"/>
    </row>
    <row r="191" spans="1:26" ht="18.75" customHeight="1">
      <c r="A191" s="121"/>
      <c r="B191" s="121"/>
      <c r="C191" s="121"/>
      <c r="D191" s="121"/>
      <c r="E191" s="121"/>
      <c r="F191" s="121"/>
      <c r="G191" s="121"/>
      <c r="H191" s="121"/>
      <c r="I191" s="121"/>
      <c r="J191" s="121"/>
      <c r="K191" s="121"/>
      <c r="L191" s="121"/>
      <c r="M191" s="121"/>
      <c r="N191" s="121"/>
      <c r="O191" s="121"/>
      <c r="P191" s="121"/>
      <c r="Q191" s="121"/>
      <c r="R191" s="121"/>
      <c r="S191" s="121"/>
      <c r="T191" s="121"/>
      <c r="U191" s="121"/>
      <c r="V191" s="121"/>
      <c r="W191" s="121"/>
      <c r="X191" s="121"/>
      <c r="Y191" s="121"/>
      <c r="Z191" s="121"/>
    </row>
    <row r="192" spans="1:26" ht="18.75" customHeight="1">
      <c r="A192" s="121"/>
      <c r="B192" s="121"/>
      <c r="C192" s="121"/>
      <c r="D192" s="121"/>
      <c r="E192" s="121"/>
      <c r="F192" s="121"/>
      <c r="G192" s="121"/>
      <c r="H192" s="121"/>
      <c r="I192" s="121"/>
      <c r="J192" s="121"/>
      <c r="K192" s="121"/>
      <c r="L192" s="121"/>
      <c r="M192" s="121"/>
      <c r="N192" s="121"/>
      <c r="O192" s="121"/>
      <c r="P192" s="121"/>
      <c r="Q192" s="121"/>
      <c r="R192" s="121"/>
      <c r="S192" s="121"/>
      <c r="T192" s="121"/>
      <c r="U192" s="121"/>
      <c r="V192" s="121"/>
      <c r="W192" s="121"/>
      <c r="X192" s="121"/>
      <c r="Y192" s="121"/>
      <c r="Z192" s="121"/>
    </row>
    <row r="193" spans="1:26" ht="18.75" customHeight="1">
      <c r="A193" s="121"/>
      <c r="B193" s="121"/>
      <c r="C193" s="121"/>
      <c r="D193" s="121"/>
      <c r="E193" s="121"/>
      <c r="F193" s="121"/>
      <c r="G193" s="121"/>
      <c r="H193" s="121"/>
      <c r="I193" s="121"/>
      <c r="J193" s="121"/>
      <c r="K193" s="121"/>
      <c r="L193" s="121"/>
      <c r="M193" s="121"/>
      <c r="N193" s="121"/>
      <c r="O193" s="121"/>
      <c r="P193" s="121"/>
      <c r="Q193" s="121"/>
      <c r="R193" s="121"/>
      <c r="S193" s="121"/>
      <c r="T193" s="121"/>
      <c r="U193" s="121"/>
      <c r="V193" s="121"/>
      <c r="W193" s="121"/>
      <c r="X193" s="121"/>
      <c r="Y193" s="121"/>
      <c r="Z193" s="121"/>
    </row>
    <row r="194" spans="1:26" ht="18.75" customHeight="1">
      <c r="A194" s="121"/>
      <c r="B194" s="121"/>
      <c r="C194" s="121"/>
      <c r="D194" s="121"/>
      <c r="E194" s="121"/>
      <c r="F194" s="121"/>
      <c r="G194" s="121"/>
      <c r="H194" s="121"/>
      <c r="I194" s="121"/>
      <c r="J194" s="121"/>
      <c r="K194" s="121"/>
      <c r="L194" s="121"/>
      <c r="M194" s="121"/>
      <c r="N194" s="121"/>
      <c r="O194" s="121"/>
      <c r="P194" s="121"/>
      <c r="Q194" s="121"/>
      <c r="R194" s="121"/>
      <c r="S194" s="121"/>
      <c r="T194" s="121"/>
      <c r="U194" s="121"/>
      <c r="V194" s="121"/>
      <c r="W194" s="121"/>
      <c r="X194" s="121"/>
      <c r="Y194" s="121"/>
      <c r="Z194" s="121"/>
    </row>
    <row r="195" spans="1:26" ht="18.75" customHeight="1">
      <c r="A195" s="121"/>
      <c r="B195" s="121"/>
      <c r="C195" s="121"/>
      <c r="D195" s="121"/>
      <c r="E195" s="121"/>
      <c r="F195" s="121"/>
      <c r="G195" s="121"/>
      <c r="H195" s="121"/>
      <c r="I195" s="121"/>
      <c r="J195" s="121"/>
      <c r="K195" s="121"/>
      <c r="L195" s="121"/>
      <c r="M195" s="121"/>
      <c r="N195" s="121"/>
      <c r="O195" s="121"/>
      <c r="P195" s="121"/>
      <c r="Q195" s="121"/>
      <c r="R195" s="121"/>
      <c r="S195" s="121"/>
      <c r="T195" s="121"/>
      <c r="U195" s="121"/>
      <c r="V195" s="121"/>
      <c r="W195" s="121"/>
      <c r="X195" s="121"/>
      <c r="Y195" s="121"/>
      <c r="Z195" s="121"/>
    </row>
    <row r="196" spans="1:26" ht="18.75" customHeight="1">
      <c r="A196" s="121"/>
      <c r="B196" s="121"/>
      <c r="C196" s="121"/>
      <c r="D196" s="121"/>
      <c r="E196" s="121"/>
      <c r="F196" s="121"/>
      <c r="G196" s="121"/>
      <c r="H196" s="121"/>
      <c r="I196" s="121"/>
      <c r="J196" s="121"/>
      <c r="K196" s="121"/>
      <c r="L196" s="121"/>
      <c r="M196" s="121"/>
      <c r="N196" s="121"/>
      <c r="O196" s="121"/>
      <c r="P196" s="121"/>
      <c r="Q196" s="121"/>
      <c r="R196" s="121"/>
      <c r="S196" s="121"/>
      <c r="T196" s="121"/>
      <c r="U196" s="121"/>
      <c r="V196" s="121"/>
      <c r="W196" s="121"/>
      <c r="X196" s="121"/>
      <c r="Y196" s="121"/>
      <c r="Z196" s="121"/>
    </row>
    <row r="197" spans="1:26" ht="18.75" customHeight="1">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121"/>
    </row>
    <row r="198" spans="1:26" ht="18.75" customHeight="1">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121"/>
    </row>
    <row r="199" spans="1:26" ht="18.75" customHeight="1">
      <c r="A199" s="121"/>
      <c r="B199" s="121"/>
      <c r="C199" s="121"/>
      <c r="D199" s="121"/>
      <c r="E199" s="121"/>
      <c r="F199" s="121"/>
      <c r="G199" s="121"/>
      <c r="H199" s="121"/>
      <c r="I199" s="121"/>
      <c r="J199" s="121"/>
      <c r="K199" s="121"/>
      <c r="L199" s="121"/>
      <c r="M199" s="121"/>
      <c r="N199" s="121"/>
      <c r="O199" s="121"/>
      <c r="P199" s="121"/>
      <c r="Q199" s="121"/>
      <c r="R199" s="121"/>
      <c r="S199" s="121"/>
      <c r="T199" s="121"/>
      <c r="U199" s="121"/>
      <c r="V199" s="121"/>
      <c r="W199" s="121"/>
      <c r="X199" s="121"/>
      <c r="Y199" s="121"/>
      <c r="Z199" s="121"/>
    </row>
    <row r="200" spans="1:26" ht="18.75" customHeight="1">
      <c r="A200" s="121"/>
      <c r="B200" s="121"/>
      <c r="C200" s="121"/>
      <c r="D200" s="121"/>
      <c r="E200" s="121"/>
      <c r="F200" s="121"/>
      <c r="G200" s="121"/>
      <c r="H200" s="121"/>
      <c r="I200" s="121"/>
      <c r="J200" s="121"/>
      <c r="K200" s="121"/>
      <c r="L200" s="121"/>
      <c r="M200" s="121"/>
      <c r="N200" s="121"/>
      <c r="O200" s="121"/>
      <c r="P200" s="121"/>
      <c r="Q200" s="121"/>
      <c r="R200" s="121"/>
      <c r="S200" s="121"/>
      <c r="T200" s="121"/>
      <c r="U200" s="121"/>
      <c r="V200" s="121"/>
      <c r="W200" s="121"/>
      <c r="X200" s="121"/>
      <c r="Y200" s="121"/>
      <c r="Z200" s="121"/>
    </row>
    <row r="201" spans="1:26" ht="18.75" customHeight="1">
      <c r="A201" s="121"/>
      <c r="B201" s="121"/>
      <c r="C201" s="121"/>
      <c r="D201" s="121"/>
      <c r="E201" s="121"/>
      <c r="F201" s="121"/>
      <c r="G201" s="121"/>
      <c r="H201" s="121"/>
      <c r="I201" s="121"/>
      <c r="J201" s="121"/>
      <c r="K201" s="121"/>
      <c r="L201" s="121"/>
      <c r="M201" s="121"/>
      <c r="N201" s="121"/>
      <c r="O201" s="121"/>
      <c r="P201" s="121"/>
      <c r="Q201" s="121"/>
      <c r="R201" s="121"/>
      <c r="S201" s="121"/>
      <c r="T201" s="121"/>
      <c r="U201" s="121"/>
      <c r="V201" s="121"/>
      <c r="W201" s="121"/>
      <c r="X201" s="121"/>
      <c r="Y201" s="121"/>
      <c r="Z201" s="121"/>
    </row>
    <row r="202" spans="1:26" ht="18.75" customHeight="1">
      <c r="A202" s="121"/>
      <c r="B202" s="121"/>
      <c r="C202" s="121"/>
      <c r="D202" s="121"/>
      <c r="E202" s="121"/>
      <c r="F202" s="121"/>
      <c r="G202" s="121"/>
      <c r="H202" s="121"/>
      <c r="I202" s="121"/>
      <c r="J202" s="121"/>
      <c r="K202" s="121"/>
      <c r="L202" s="121"/>
      <c r="M202" s="121"/>
      <c r="N202" s="121"/>
      <c r="O202" s="121"/>
      <c r="P202" s="121"/>
      <c r="Q202" s="121"/>
      <c r="R202" s="121"/>
      <c r="S202" s="121"/>
      <c r="T202" s="121"/>
      <c r="U202" s="121"/>
      <c r="V202" s="121"/>
      <c r="W202" s="121"/>
      <c r="X202" s="121"/>
      <c r="Y202" s="121"/>
      <c r="Z202" s="121"/>
    </row>
    <row r="203" spans="1:26" ht="18.75" customHeight="1">
      <c r="A203" s="121"/>
      <c r="B203" s="121"/>
      <c r="C203" s="121"/>
      <c r="D203" s="121"/>
      <c r="E203" s="121"/>
      <c r="F203" s="121"/>
      <c r="G203" s="121"/>
      <c r="H203" s="121"/>
      <c r="I203" s="121"/>
      <c r="J203" s="121"/>
      <c r="K203" s="121"/>
      <c r="L203" s="121"/>
      <c r="M203" s="121"/>
      <c r="N203" s="121"/>
      <c r="O203" s="121"/>
      <c r="P203" s="121"/>
      <c r="Q203" s="121"/>
      <c r="R203" s="121"/>
      <c r="S203" s="121"/>
      <c r="T203" s="121"/>
      <c r="U203" s="121"/>
      <c r="V203" s="121"/>
      <c r="W203" s="121"/>
      <c r="X203" s="121"/>
      <c r="Y203" s="121"/>
      <c r="Z203" s="121"/>
    </row>
    <row r="204" spans="1:26" ht="18.75" customHeight="1">
      <c r="A204" s="121"/>
      <c r="B204" s="121"/>
      <c r="C204" s="121"/>
      <c r="D204" s="121"/>
      <c r="E204" s="121"/>
      <c r="F204" s="121"/>
      <c r="G204" s="121"/>
      <c r="H204" s="121"/>
      <c r="I204" s="121"/>
      <c r="J204" s="121"/>
      <c r="K204" s="121"/>
      <c r="L204" s="121"/>
      <c r="M204" s="121"/>
      <c r="N204" s="121"/>
      <c r="O204" s="121"/>
      <c r="P204" s="121"/>
      <c r="Q204" s="121"/>
      <c r="R204" s="121"/>
      <c r="S204" s="121"/>
      <c r="T204" s="121"/>
      <c r="U204" s="121"/>
      <c r="V204" s="121"/>
      <c r="W204" s="121"/>
      <c r="X204" s="121"/>
      <c r="Y204" s="121"/>
      <c r="Z204" s="121"/>
    </row>
    <row r="205" spans="1:26" ht="18.75" customHeight="1">
      <c r="A205" s="121"/>
      <c r="B205" s="121"/>
      <c r="C205" s="121"/>
      <c r="D205" s="121"/>
      <c r="E205" s="121"/>
      <c r="F205" s="121"/>
      <c r="G205" s="121"/>
      <c r="H205" s="121"/>
      <c r="I205" s="121"/>
      <c r="J205" s="121"/>
      <c r="K205" s="121"/>
      <c r="L205" s="121"/>
      <c r="M205" s="121"/>
      <c r="N205" s="121"/>
      <c r="O205" s="121"/>
      <c r="P205" s="121"/>
      <c r="Q205" s="121"/>
      <c r="R205" s="121"/>
      <c r="S205" s="121"/>
      <c r="T205" s="121"/>
      <c r="U205" s="121"/>
      <c r="V205" s="121"/>
      <c r="W205" s="121"/>
      <c r="X205" s="121"/>
      <c r="Y205" s="121"/>
      <c r="Z205" s="121"/>
    </row>
    <row r="206" spans="1:26" ht="18.75" customHeight="1">
      <c r="A206" s="121"/>
      <c r="B206" s="121"/>
      <c r="C206" s="121"/>
      <c r="D206" s="121"/>
      <c r="E206" s="121"/>
      <c r="F206" s="121"/>
      <c r="G206" s="121"/>
      <c r="H206" s="121"/>
      <c r="I206" s="121"/>
      <c r="J206" s="121"/>
      <c r="K206" s="121"/>
      <c r="L206" s="121"/>
      <c r="M206" s="121"/>
      <c r="N206" s="121"/>
      <c r="O206" s="121"/>
      <c r="P206" s="121"/>
      <c r="Q206" s="121"/>
      <c r="R206" s="121"/>
      <c r="S206" s="121"/>
      <c r="T206" s="121"/>
      <c r="U206" s="121"/>
      <c r="V206" s="121"/>
      <c r="W206" s="121"/>
      <c r="X206" s="121"/>
      <c r="Y206" s="121"/>
      <c r="Z206" s="121"/>
    </row>
    <row r="207" spans="1:26" ht="18.75" customHeight="1">
      <c r="A207" s="121"/>
      <c r="B207" s="121"/>
      <c r="C207" s="121"/>
      <c r="D207" s="121"/>
      <c r="E207" s="121"/>
      <c r="F207" s="121"/>
      <c r="G207" s="121"/>
      <c r="H207" s="121"/>
      <c r="I207" s="121"/>
      <c r="J207" s="121"/>
      <c r="K207" s="121"/>
      <c r="L207" s="121"/>
      <c r="M207" s="121"/>
      <c r="N207" s="121"/>
      <c r="O207" s="121"/>
      <c r="P207" s="121"/>
      <c r="Q207" s="121"/>
      <c r="R207" s="121"/>
      <c r="S207" s="121"/>
      <c r="T207" s="121"/>
      <c r="U207" s="121"/>
      <c r="V207" s="121"/>
      <c r="W207" s="121"/>
      <c r="X207" s="121"/>
      <c r="Y207" s="121"/>
      <c r="Z207" s="121"/>
    </row>
    <row r="208" spans="1:26" ht="18.75" customHeight="1">
      <c r="A208" s="121"/>
      <c r="B208" s="121"/>
      <c r="C208" s="121"/>
      <c r="D208" s="121"/>
      <c r="E208" s="121"/>
      <c r="F208" s="121"/>
      <c r="G208" s="121"/>
      <c r="H208" s="121"/>
      <c r="I208" s="121"/>
      <c r="J208" s="121"/>
      <c r="K208" s="121"/>
      <c r="L208" s="121"/>
      <c r="M208" s="121"/>
      <c r="N208" s="121"/>
      <c r="O208" s="121"/>
      <c r="P208" s="121"/>
      <c r="Q208" s="121"/>
      <c r="R208" s="121"/>
      <c r="S208" s="121"/>
      <c r="T208" s="121"/>
      <c r="U208" s="121"/>
      <c r="V208" s="121"/>
      <c r="W208" s="121"/>
      <c r="X208" s="121"/>
      <c r="Y208" s="121"/>
      <c r="Z208" s="121"/>
    </row>
    <row r="209" spans="1:26" ht="18.75" customHeight="1">
      <c r="A209" s="121"/>
      <c r="B209" s="121"/>
      <c r="C209" s="121"/>
      <c r="D209" s="121"/>
      <c r="E209" s="121"/>
      <c r="F209" s="121"/>
      <c r="G209" s="121"/>
      <c r="H209" s="121"/>
      <c r="I209" s="121"/>
      <c r="J209" s="121"/>
      <c r="K209" s="121"/>
      <c r="L209" s="121"/>
      <c r="M209" s="121"/>
      <c r="N209" s="121"/>
      <c r="O209" s="121"/>
      <c r="P209" s="121"/>
      <c r="Q209" s="121"/>
      <c r="R209" s="121"/>
      <c r="S209" s="121"/>
      <c r="T209" s="121"/>
      <c r="U209" s="121"/>
      <c r="V209" s="121"/>
      <c r="W209" s="121"/>
      <c r="X209" s="121"/>
      <c r="Y209" s="121"/>
      <c r="Z209" s="121"/>
    </row>
    <row r="210" spans="1:26" ht="18.75" customHeight="1">
      <c r="A210" s="121"/>
      <c r="B210" s="121"/>
      <c r="C210" s="121"/>
      <c r="D210" s="121"/>
      <c r="E210" s="121"/>
      <c r="F210" s="121"/>
      <c r="G210" s="121"/>
      <c r="H210" s="121"/>
      <c r="I210" s="121"/>
      <c r="J210" s="121"/>
      <c r="K210" s="121"/>
      <c r="L210" s="121"/>
      <c r="M210" s="121"/>
      <c r="N210" s="121"/>
      <c r="O210" s="121"/>
      <c r="P210" s="121"/>
      <c r="Q210" s="121"/>
      <c r="R210" s="121"/>
      <c r="S210" s="121"/>
      <c r="T210" s="121"/>
      <c r="U210" s="121"/>
      <c r="V210" s="121"/>
      <c r="W210" s="121"/>
      <c r="X210" s="121"/>
      <c r="Y210" s="121"/>
      <c r="Z210" s="121"/>
    </row>
    <row r="211" spans="1:26" ht="18.75" customHeight="1">
      <c r="A211" s="121"/>
      <c r="B211" s="121"/>
      <c r="C211" s="121"/>
      <c r="D211" s="121"/>
      <c r="E211" s="121"/>
      <c r="F211" s="121"/>
      <c r="G211" s="121"/>
      <c r="H211" s="121"/>
      <c r="I211" s="121"/>
      <c r="J211" s="121"/>
      <c r="K211" s="121"/>
      <c r="L211" s="121"/>
      <c r="M211" s="121"/>
      <c r="N211" s="121"/>
      <c r="O211" s="121"/>
      <c r="P211" s="121"/>
      <c r="Q211" s="121"/>
      <c r="R211" s="121"/>
      <c r="S211" s="121"/>
      <c r="T211" s="121"/>
      <c r="U211" s="121"/>
      <c r="V211" s="121"/>
      <c r="W211" s="121"/>
      <c r="X211" s="121"/>
      <c r="Y211" s="121"/>
      <c r="Z211" s="121"/>
    </row>
    <row r="212" spans="1:26" ht="18.75" customHeight="1">
      <c r="A212" s="121"/>
      <c r="B212" s="121"/>
      <c r="C212" s="121"/>
      <c r="D212" s="121"/>
      <c r="E212" s="121"/>
      <c r="F212" s="121"/>
      <c r="G212" s="121"/>
      <c r="H212" s="121"/>
      <c r="I212" s="121"/>
      <c r="J212" s="121"/>
      <c r="K212" s="121"/>
      <c r="L212" s="121"/>
      <c r="M212" s="121"/>
      <c r="N212" s="121"/>
      <c r="O212" s="121"/>
      <c r="P212" s="121"/>
      <c r="Q212" s="121"/>
      <c r="R212" s="121"/>
      <c r="S212" s="121"/>
      <c r="T212" s="121"/>
      <c r="U212" s="121"/>
      <c r="V212" s="121"/>
      <c r="W212" s="121"/>
      <c r="X212" s="121"/>
      <c r="Y212" s="121"/>
      <c r="Z212" s="121"/>
    </row>
    <row r="213" spans="1:26" ht="18.75" customHeight="1">
      <c r="A213" s="121"/>
      <c r="B213" s="121"/>
      <c r="C213" s="121"/>
      <c r="D213" s="121"/>
      <c r="E213" s="121"/>
      <c r="F213" s="121"/>
      <c r="G213" s="121"/>
      <c r="H213" s="121"/>
      <c r="I213" s="121"/>
      <c r="J213" s="121"/>
      <c r="K213" s="121"/>
      <c r="L213" s="121"/>
      <c r="M213" s="121"/>
      <c r="N213" s="121"/>
      <c r="O213" s="121"/>
      <c r="P213" s="121"/>
      <c r="Q213" s="121"/>
      <c r="R213" s="121"/>
      <c r="S213" s="121"/>
      <c r="T213" s="121"/>
      <c r="U213" s="121"/>
      <c r="V213" s="121"/>
      <c r="W213" s="121"/>
      <c r="X213" s="121"/>
      <c r="Y213" s="121"/>
      <c r="Z213" s="121"/>
    </row>
    <row r="214" spans="1:26" ht="18.75" customHeight="1">
      <c r="A214" s="121"/>
      <c r="B214" s="121"/>
      <c r="C214" s="121"/>
      <c r="D214" s="121"/>
      <c r="E214" s="121"/>
      <c r="F214" s="121"/>
      <c r="G214" s="121"/>
      <c r="H214" s="121"/>
      <c r="I214" s="121"/>
      <c r="J214" s="121"/>
      <c r="K214" s="121"/>
      <c r="L214" s="121"/>
      <c r="M214" s="121"/>
      <c r="N214" s="121"/>
      <c r="O214" s="121"/>
      <c r="P214" s="121"/>
      <c r="Q214" s="121"/>
      <c r="R214" s="121"/>
      <c r="S214" s="121"/>
      <c r="T214" s="121"/>
      <c r="U214" s="121"/>
      <c r="V214" s="121"/>
      <c r="W214" s="121"/>
      <c r="X214" s="121"/>
      <c r="Y214" s="121"/>
      <c r="Z214" s="121"/>
    </row>
    <row r="215" spans="1:26" ht="18.75" customHeight="1">
      <c r="A215" s="121"/>
      <c r="B215" s="121"/>
      <c r="C215" s="121"/>
      <c r="D215" s="121"/>
      <c r="E215" s="121"/>
      <c r="F215" s="121"/>
      <c r="G215" s="121"/>
      <c r="H215" s="121"/>
      <c r="I215" s="121"/>
      <c r="J215" s="121"/>
      <c r="K215" s="121"/>
      <c r="L215" s="121"/>
      <c r="M215" s="121"/>
      <c r="N215" s="121"/>
      <c r="O215" s="121"/>
      <c r="P215" s="121"/>
      <c r="Q215" s="121"/>
      <c r="R215" s="121"/>
      <c r="S215" s="121"/>
      <c r="T215" s="121"/>
      <c r="U215" s="121"/>
      <c r="V215" s="121"/>
      <c r="W215" s="121"/>
      <c r="X215" s="121"/>
      <c r="Y215" s="121"/>
      <c r="Z215" s="121"/>
    </row>
    <row r="216" spans="1:26" ht="18.75" customHeight="1">
      <c r="A216" s="121"/>
      <c r="B216" s="121"/>
      <c r="C216" s="121"/>
      <c r="D216" s="121"/>
      <c r="E216" s="121"/>
      <c r="F216" s="121"/>
      <c r="G216" s="121"/>
      <c r="H216" s="121"/>
      <c r="I216" s="121"/>
      <c r="J216" s="121"/>
      <c r="K216" s="121"/>
      <c r="L216" s="121"/>
      <c r="M216" s="121"/>
      <c r="N216" s="121"/>
      <c r="O216" s="121"/>
      <c r="P216" s="121"/>
      <c r="Q216" s="121"/>
      <c r="R216" s="121"/>
      <c r="S216" s="121"/>
      <c r="T216" s="121"/>
      <c r="U216" s="121"/>
      <c r="V216" s="121"/>
      <c r="W216" s="121"/>
      <c r="X216" s="121"/>
      <c r="Y216" s="121"/>
      <c r="Z216" s="121"/>
    </row>
    <row r="217" spans="1:26" ht="18.75" customHeight="1">
      <c r="A217" s="121"/>
      <c r="B217" s="121"/>
      <c r="C217" s="121"/>
      <c r="D217" s="121"/>
      <c r="E217" s="121"/>
      <c r="F217" s="121"/>
      <c r="G217" s="121"/>
      <c r="H217" s="121"/>
      <c r="I217" s="121"/>
      <c r="J217" s="121"/>
      <c r="K217" s="121"/>
      <c r="L217" s="121"/>
      <c r="M217" s="121"/>
      <c r="N217" s="121"/>
      <c r="O217" s="121"/>
      <c r="P217" s="121"/>
      <c r="Q217" s="121"/>
      <c r="R217" s="121"/>
      <c r="S217" s="121"/>
      <c r="T217" s="121"/>
      <c r="U217" s="121"/>
      <c r="V217" s="121"/>
      <c r="W217" s="121"/>
      <c r="X217" s="121"/>
      <c r="Y217" s="121"/>
      <c r="Z217" s="121"/>
    </row>
    <row r="218" spans="1:26" ht="18.75" customHeight="1">
      <c r="A218" s="121"/>
      <c r="B218" s="121"/>
      <c r="C218" s="121"/>
      <c r="D218" s="121"/>
      <c r="E218" s="121"/>
      <c r="F218" s="121"/>
      <c r="G218" s="121"/>
      <c r="H218" s="121"/>
      <c r="I218" s="121"/>
      <c r="J218" s="121"/>
      <c r="K218" s="121"/>
      <c r="L218" s="121"/>
      <c r="M218" s="121"/>
      <c r="N218" s="121"/>
      <c r="O218" s="121"/>
      <c r="P218" s="121"/>
      <c r="Q218" s="121"/>
      <c r="R218" s="121"/>
      <c r="S218" s="121"/>
      <c r="T218" s="121"/>
      <c r="U218" s="121"/>
      <c r="V218" s="121"/>
      <c r="W218" s="121"/>
      <c r="X218" s="121"/>
      <c r="Y218" s="121"/>
      <c r="Z218" s="121"/>
    </row>
    <row r="219" spans="1:26" ht="18.75" customHeight="1">
      <c r="A219" s="121"/>
      <c r="B219" s="121"/>
      <c r="C219" s="121"/>
      <c r="D219" s="121"/>
      <c r="E219" s="121"/>
      <c r="F219" s="121"/>
      <c r="G219" s="121"/>
      <c r="H219" s="121"/>
      <c r="I219" s="121"/>
      <c r="J219" s="121"/>
      <c r="K219" s="121"/>
      <c r="L219" s="121"/>
      <c r="M219" s="121"/>
      <c r="N219" s="121"/>
      <c r="O219" s="121"/>
      <c r="P219" s="121"/>
      <c r="Q219" s="121"/>
      <c r="R219" s="121"/>
      <c r="S219" s="121"/>
      <c r="T219" s="121"/>
      <c r="U219" s="121"/>
      <c r="V219" s="121"/>
      <c r="W219" s="121"/>
      <c r="X219" s="121"/>
      <c r="Y219" s="121"/>
      <c r="Z219" s="121"/>
    </row>
    <row r="220" spans="1:26" ht="18.75" customHeight="1">
      <c r="A220" s="121"/>
      <c r="B220" s="121"/>
      <c r="C220" s="121"/>
      <c r="D220" s="121"/>
      <c r="E220" s="121"/>
      <c r="F220" s="121"/>
      <c r="G220" s="121"/>
      <c r="H220" s="121"/>
      <c r="I220" s="121"/>
      <c r="J220" s="121"/>
      <c r="K220" s="121"/>
      <c r="L220" s="121"/>
      <c r="M220" s="121"/>
      <c r="N220" s="121"/>
      <c r="O220" s="121"/>
      <c r="P220" s="121"/>
      <c r="Q220" s="121"/>
      <c r="R220" s="121"/>
      <c r="S220" s="121"/>
      <c r="T220" s="121"/>
      <c r="U220" s="121"/>
      <c r="V220" s="121"/>
      <c r="W220" s="121"/>
      <c r="X220" s="121"/>
      <c r="Y220" s="121"/>
      <c r="Z220" s="121"/>
    </row>
    <row r="221" spans="1:26" ht="18.75" customHeight="1">
      <c r="A221" s="121"/>
      <c r="B221" s="121"/>
      <c r="C221" s="121"/>
      <c r="D221" s="121"/>
      <c r="E221" s="121"/>
      <c r="F221" s="121"/>
      <c r="G221" s="121"/>
      <c r="H221" s="121"/>
      <c r="I221" s="121"/>
      <c r="J221" s="121"/>
      <c r="K221" s="121"/>
      <c r="L221" s="121"/>
      <c r="M221" s="121"/>
      <c r="N221" s="121"/>
      <c r="O221" s="121"/>
      <c r="P221" s="121"/>
      <c r="Q221" s="121"/>
      <c r="R221" s="121"/>
      <c r="S221" s="121"/>
      <c r="T221" s="121"/>
      <c r="U221" s="121"/>
      <c r="V221" s="121"/>
      <c r="W221" s="121"/>
      <c r="X221" s="121"/>
      <c r="Y221" s="121"/>
      <c r="Z221" s="121"/>
    </row>
    <row r="222" spans="1:26" ht="18.75" customHeight="1">
      <c r="A222" s="121"/>
      <c r="B222" s="121"/>
      <c r="C222" s="121"/>
      <c r="D222" s="121"/>
      <c r="E222" s="121"/>
      <c r="F222" s="121"/>
      <c r="G222" s="121"/>
      <c r="H222" s="121"/>
      <c r="I222" s="121"/>
      <c r="J222" s="121"/>
      <c r="K222" s="121"/>
      <c r="L222" s="121"/>
      <c r="M222" s="121"/>
      <c r="N222" s="121"/>
      <c r="O222" s="121"/>
      <c r="P222" s="121"/>
      <c r="Q222" s="121"/>
      <c r="R222" s="121"/>
      <c r="S222" s="121"/>
      <c r="T222" s="121"/>
      <c r="U222" s="121"/>
      <c r="V222" s="121"/>
      <c r="W222" s="121"/>
      <c r="X222" s="121"/>
      <c r="Y222" s="121"/>
      <c r="Z222" s="121"/>
    </row>
    <row r="223" spans="1:26" ht="18.75" customHeight="1">
      <c r="A223" s="121"/>
      <c r="B223" s="121"/>
      <c r="C223" s="121"/>
      <c r="D223" s="121"/>
      <c r="E223" s="121"/>
      <c r="F223" s="121"/>
      <c r="G223" s="121"/>
      <c r="H223" s="121"/>
      <c r="I223" s="121"/>
      <c r="J223" s="121"/>
      <c r="K223" s="121"/>
      <c r="L223" s="121"/>
      <c r="M223" s="121"/>
      <c r="N223" s="121"/>
      <c r="O223" s="121"/>
      <c r="P223" s="121"/>
      <c r="Q223" s="121"/>
      <c r="R223" s="121"/>
      <c r="S223" s="121"/>
      <c r="T223" s="121"/>
      <c r="U223" s="121"/>
      <c r="V223" s="121"/>
      <c r="W223" s="121"/>
      <c r="X223" s="121"/>
      <c r="Y223" s="121"/>
      <c r="Z223" s="121"/>
    </row>
    <row r="224" spans="1:26" ht="18.75" customHeight="1">
      <c r="A224" s="121"/>
      <c r="B224" s="121"/>
      <c r="C224" s="121"/>
      <c r="D224" s="121"/>
      <c r="E224" s="121"/>
      <c r="F224" s="121"/>
      <c r="G224" s="121"/>
      <c r="H224" s="121"/>
      <c r="I224" s="121"/>
      <c r="J224" s="121"/>
      <c r="K224" s="121"/>
      <c r="L224" s="121"/>
      <c r="M224" s="121"/>
      <c r="N224" s="121"/>
      <c r="O224" s="121"/>
      <c r="P224" s="121"/>
      <c r="Q224" s="121"/>
      <c r="R224" s="121"/>
      <c r="S224" s="121"/>
      <c r="T224" s="121"/>
      <c r="U224" s="121"/>
      <c r="V224" s="121"/>
      <c r="W224" s="121"/>
      <c r="X224" s="121"/>
      <c r="Y224" s="121"/>
      <c r="Z224" s="121"/>
    </row>
    <row r="225" spans="1:26" ht="18.75" customHeight="1">
      <c r="A225" s="121"/>
      <c r="B225" s="121"/>
      <c r="C225" s="121"/>
      <c r="D225" s="121"/>
      <c r="E225" s="121"/>
      <c r="F225" s="121"/>
      <c r="G225" s="121"/>
      <c r="H225" s="121"/>
      <c r="I225" s="121"/>
      <c r="J225" s="121"/>
      <c r="K225" s="121"/>
      <c r="L225" s="121"/>
      <c r="M225" s="121"/>
      <c r="N225" s="121"/>
      <c r="O225" s="121"/>
      <c r="P225" s="121"/>
      <c r="Q225" s="121"/>
      <c r="R225" s="121"/>
      <c r="S225" s="121"/>
      <c r="T225" s="121"/>
      <c r="U225" s="121"/>
      <c r="V225" s="121"/>
      <c r="W225" s="121"/>
      <c r="X225" s="121"/>
      <c r="Y225" s="121"/>
      <c r="Z225" s="121"/>
    </row>
    <row r="226" spans="1:26" ht="18.75" customHeight="1">
      <c r="A226" s="121"/>
      <c r="B226" s="121"/>
      <c r="C226" s="121"/>
      <c r="D226" s="121"/>
      <c r="E226" s="121"/>
      <c r="F226" s="121"/>
      <c r="G226" s="121"/>
      <c r="H226" s="121"/>
      <c r="I226" s="121"/>
      <c r="J226" s="121"/>
      <c r="K226" s="121"/>
      <c r="L226" s="121"/>
      <c r="M226" s="121"/>
      <c r="N226" s="121"/>
      <c r="O226" s="121"/>
      <c r="P226" s="121"/>
      <c r="Q226" s="121"/>
      <c r="R226" s="121"/>
      <c r="S226" s="121"/>
      <c r="T226" s="121"/>
      <c r="U226" s="121"/>
      <c r="V226" s="121"/>
      <c r="W226" s="121"/>
      <c r="X226" s="121"/>
      <c r="Y226" s="121"/>
      <c r="Z226" s="121"/>
    </row>
    <row r="227" spans="1:26" ht="18.75" customHeight="1">
      <c r="A227" s="121"/>
      <c r="B227" s="121"/>
      <c r="C227" s="121"/>
      <c r="D227" s="121"/>
      <c r="E227" s="121"/>
      <c r="F227" s="121"/>
      <c r="G227" s="121"/>
      <c r="H227" s="121"/>
      <c r="I227" s="121"/>
      <c r="J227" s="121"/>
      <c r="K227" s="121"/>
      <c r="L227" s="121"/>
      <c r="M227" s="121"/>
      <c r="N227" s="121"/>
      <c r="O227" s="121"/>
      <c r="P227" s="121"/>
      <c r="Q227" s="121"/>
      <c r="R227" s="121"/>
      <c r="S227" s="121"/>
      <c r="T227" s="121"/>
      <c r="U227" s="121"/>
      <c r="V227" s="121"/>
      <c r="W227" s="121"/>
      <c r="X227" s="121"/>
      <c r="Y227" s="121"/>
      <c r="Z227" s="121"/>
    </row>
    <row r="228" spans="1:26" ht="18.75" customHeight="1">
      <c r="A228" s="121"/>
      <c r="B228" s="121"/>
      <c r="C228" s="121"/>
      <c r="D228" s="121"/>
      <c r="E228" s="121"/>
      <c r="F228" s="121"/>
      <c r="G228" s="121"/>
      <c r="H228" s="121"/>
      <c r="I228" s="121"/>
      <c r="J228" s="121"/>
      <c r="K228" s="121"/>
      <c r="L228" s="121"/>
      <c r="M228" s="121"/>
      <c r="N228" s="121"/>
      <c r="O228" s="121"/>
      <c r="P228" s="121"/>
      <c r="Q228" s="121"/>
      <c r="R228" s="121"/>
      <c r="S228" s="121"/>
      <c r="T228" s="121"/>
      <c r="U228" s="121"/>
      <c r="V228" s="121"/>
      <c r="W228" s="121"/>
      <c r="X228" s="121"/>
      <c r="Y228" s="121"/>
      <c r="Z228" s="121"/>
    </row>
    <row r="229" spans="1:26" ht="18.75" customHeight="1">
      <c r="A229" s="121"/>
      <c r="B229" s="121"/>
      <c r="C229" s="121"/>
      <c r="D229" s="121"/>
      <c r="E229" s="121"/>
      <c r="F229" s="121"/>
      <c r="G229" s="121"/>
      <c r="H229" s="121"/>
      <c r="I229" s="121"/>
      <c r="J229" s="121"/>
      <c r="K229" s="121"/>
      <c r="L229" s="121"/>
      <c r="M229" s="121"/>
      <c r="N229" s="121"/>
      <c r="O229" s="121"/>
      <c r="P229" s="121"/>
      <c r="Q229" s="121"/>
      <c r="R229" s="121"/>
      <c r="S229" s="121"/>
      <c r="T229" s="121"/>
      <c r="U229" s="121"/>
      <c r="V229" s="121"/>
      <c r="W229" s="121"/>
      <c r="X229" s="121"/>
      <c r="Y229" s="121"/>
      <c r="Z229" s="121"/>
    </row>
    <row r="230" spans="1:26" ht="18.75" customHeight="1">
      <c r="A230" s="121"/>
      <c r="B230" s="121"/>
      <c r="C230" s="121"/>
      <c r="D230" s="121"/>
      <c r="E230" s="121"/>
      <c r="F230" s="121"/>
      <c r="G230" s="121"/>
      <c r="H230" s="121"/>
      <c r="I230" s="121"/>
      <c r="J230" s="121"/>
      <c r="K230" s="121"/>
      <c r="L230" s="121"/>
      <c r="M230" s="121"/>
      <c r="N230" s="121"/>
      <c r="O230" s="121"/>
      <c r="P230" s="121"/>
      <c r="Q230" s="121"/>
      <c r="R230" s="121"/>
      <c r="S230" s="121"/>
      <c r="T230" s="121"/>
      <c r="U230" s="121"/>
      <c r="V230" s="121"/>
      <c r="W230" s="121"/>
      <c r="X230" s="121"/>
      <c r="Y230" s="121"/>
      <c r="Z230" s="121"/>
    </row>
    <row r="231" spans="1:26" ht="18.75" customHeight="1">
      <c r="A231" s="121"/>
      <c r="B231" s="121"/>
      <c r="C231" s="121"/>
      <c r="D231" s="121"/>
      <c r="E231" s="121"/>
      <c r="F231" s="121"/>
      <c r="G231" s="121"/>
      <c r="H231" s="121"/>
      <c r="I231" s="121"/>
      <c r="J231" s="121"/>
      <c r="K231" s="121"/>
      <c r="L231" s="121"/>
      <c r="M231" s="121"/>
      <c r="N231" s="121"/>
      <c r="O231" s="121"/>
      <c r="P231" s="121"/>
      <c r="Q231" s="121"/>
      <c r="R231" s="121"/>
      <c r="S231" s="121"/>
      <c r="T231" s="121"/>
      <c r="U231" s="121"/>
      <c r="V231" s="121"/>
      <c r="W231" s="121"/>
      <c r="X231" s="121"/>
      <c r="Y231" s="121"/>
      <c r="Z231" s="121"/>
    </row>
    <row r="232" spans="1:26" ht="18.75" customHeight="1">
      <c r="A232" s="121"/>
      <c r="B232" s="121"/>
      <c r="C232" s="121"/>
      <c r="D232" s="121"/>
      <c r="E232" s="121"/>
      <c r="F232" s="121"/>
      <c r="G232" s="121"/>
      <c r="H232" s="121"/>
      <c r="I232" s="121"/>
      <c r="J232" s="121"/>
      <c r="K232" s="121"/>
      <c r="L232" s="121"/>
      <c r="M232" s="121"/>
      <c r="N232" s="121"/>
      <c r="O232" s="121"/>
      <c r="P232" s="121"/>
      <c r="Q232" s="121"/>
      <c r="R232" s="121"/>
      <c r="S232" s="121"/>
      <c r="T232" s="121"/>
      <c r="U232" s="121"/>
      <c r="V232" s="121"/>
      <c r="W232" s="121"/>
      <c r="X232" s="121"/>
      <c r="Y232" s="121"/>
      <c r="Z232" s="121"/>
    </row>
    <row r="233" spans="1:26" ht="18.75" customHeight="1">
      <c r="A233" s="121"/>
      <c r="B233" s="121"/>
      <c r="C233" s="121"/>
      <c r="D233" s="121"/>
      <c r="E233" s="121"/>
      <c r="F233" s="121"/>
      <c r="G233" s="121"/>
      <c r="H233" s="121"/>
      <c r="I233" s="121"/>
      <c r="J233" s="121"/>
      <c r="K233" s="121"/>
      <c r="L233" s="121"/>
      <c r="M233" s="121"/>
      <c r="N233" s="121"/>
      <c r="O233" s="121"/>
      <c r="P233" s="121"/>
      <c r="Q233" s="121"/>
      <c r="R233" s="121"/>
      <c r="S233" s="121"/>
      <c r="T233" s="121"/>
      <c r="U233" s="121"/>
      <c r="V233" s="121"/>
      <c r="W233" s="121"/>
      <c r="X233" s="121"/>
      <c r="Y233" s="121"/>
      <c r="Z233" s="121"/>
    </row>
    <row r="234" spans="1:26" ht="18.75" customHeight="1">
      <c r="A234" s="121"/>
      <c r="B234" s="121"/>
      <c r="C234" s="121"/>
      <c r="D234" s="121"/>
      <c r="E234" s="121"/>
      <c r="F234" s="121"/>
      <c r="G234" s="121"/>
      <c r="H234" s="121"/>
      <c r="I234" s="121"/>
      <c r="J234" s="121"/>
      <c r="K234" s="121"/>
      <c r="L234" s="121"/>
      <c r="M234" s="121"/>
      <c r="N234" s="121"/>
      <c r="O234" s="121"/>
      <c r="P234" s="121"/>
      <c r="Q234" s="121"/>
      <c r="R234" s="121"/>
      <c r="S234" s="121"/>
      <c r="T234" s="121"/>
      <c r="U234" s="121"/>
      <c r="V234" s="121"/>
      <c r="W234" s="121"/>
      <c r="X234" s="121"/>
      <c r="Y234" s="121"/>
      <c r="Z234" s="121"/>
    </row>
    <row r="235" spans="1:26" ht="18.75" customHeight="1">
      <c r="A235" s="121"/>
      <c r="B235" s="121"/>
      <c r="C235" s="121"/>
      <c r="D235" s="121"/>
      <c r="E235" s="121"/>
      <c r="F235" s="121"/>
      <c r="G235" s="121"/>
      <c r="H235" s="121"/>
      <c r="I235" s="121"/>
      <c r="J235" s="121"/>
      <c r="K235" s="121"/>
      <c r="L235" s="121"/>
      <c r="M235" s="121"/>
      <c r="N235" s="121"/>
      <c r="O235" s="121"/>
      <c r="P235" s="121"/>
      <c r="Q235" s="121"/>
      <c r="R235" s="121"/>
      <c r="S235" s="121"/>
      <c r="T235" s="121"/>
      <c r="U235" s="121"/>
      <c r="V235" s="121"/>
      <c r="W235" s="121"/>
      <c r="X235" s="121"/>
      <c r="Y235" s="121"/>
      <c r="Z235" s="121"/>
    </row>
    <row r="236" spans="1:26" ht="18.75" customHeight="1">
      <c r="A236" s="121"/>
      <c r="B236" s="121"/>
      <c r="C236" s="121"/>
      <c r="D236" s="121"/>
      <c r="E236" s="121"/>
      <c r="F236" s="121"/>
      <c r="G236" s="121"/>
      <c r="H236" s="121"/>
      <c r="I236" s="121"/>
      <c r="J236" s="121"/>
      <c r="K236" s="121"/>
      <c r="L236" s="121"/>
      <c r="M236" s="121"/>
      <c r="N236" s="121"/>
      <c r="O236" s="121"/>
      <c r="P236" s="121"/>
      <c r="Q236" s="121"/>
      <c r="R236" s="121"/>
      <c r="S236" s="121"/>
      <c r="T236" s="121"/>
      <c r="U236" s="121"/>
      <c r="V236" s="121"/>
      <c r="W236" s="121"/>
      <c r="X236" s="121"/>
      <c r="Y236" s="121"/>
      <c r="Z236" s="121"/>
    </row>
    <row r="237" spans="1:26" ht="18.75" customHeight="1">
      <c r="A237" s="121"/>
      <c r="B237" s="121"/>
      <c r="C237" s="121"/>
      <c r="D237" s="121"/>
      <c r="E237" s="121"/>
      <c r="F237" s="121"/>
      <c r="G237" s="121"/>
      <c r="H237" s="121"/>
      <c r="I237" s="121"/>
      <c r="J237" s="121"/>
      <c r="K237" s="121"/>
      <c r="L237" s="121"/>
      <c r="M237" s="121"/>
      <c r="N237" s="121"/>
      <c r="O237" s="121"/>
      <c r="P237" s="121"/>
      <c r="Q237" s="121"/>
      <c r="R237" s="121"/>
      <c r="S237" s="121"/>
      <c r="T237" s="121"/>
      <c r="U237" s="121"/>
      <c r="V237" s="121"/>
      <c r="W237" s="121"/>
      <c r="X237" s="121"/>
      <c r="Y237" s="121"/>
      <c r="Z237" s="121"/>
    </row>
    <row r="238" spans="1:26" ht="18.75" customHeight="1">
      <c r="A238" s="121"/>
      <c r="B238" s="121"/>
      <c r="C238" s="121"/>
      <c r="D238" s="121"/>
      <c r="E238" s="121"/>
      <c r="F238" s="121"/>
      <c r="G238" s="121"/>
      <c r="H238" s="121"/>
      <c r="I238" s="121"/>
      <c r="J238" s="121"/>
      <c r="K238" s="121"/>
      <c r="L238" s="121"/>
      <c r="M238" s="121"/>
      <c r="N238" s="121"/>
      <c r="O238" s="121"/>
      <c r="P238" s="121"/>
      <c r="Q238" s="121"/>
      <c r="R238" s="121"/>
      <c r="S238" s="121"/>
      <c r="T238" s="121"/>
      <c r="U238" s="121"/>
      <c r="V238" s="121"/>
      <c r="W238" s="121"/>
      <c r="X238" s="121"/>
      <c r="Y238" s="121"/>
      <c r="Z238" s="121"/>
    </row>
    <row r="239" spans="1:26" ht="18.75" customHeight="1">
      <c r="A239" s="121"/>
      <c r="B239" s="121"/>
      <c r="C239" s="121"/>
      <c r="D239" s="121"/>
      <c r="E239" s="121"/>
      <c r="F239" s="121"/>
      <c r="G239" s="121"/>
      <c r="H239" s="121"/>
      <c r="I239" s="121"/>
      <c r="J239" s="121"/>
      <c r="K239" s="121"/>
      <c r="L239" s="121"/>
      <c r="M239" s="121"/>
      <c r="N239" s="121"/>
      <c r="O239" s="121"/>
      <c r="P239" s="121"/>
      <c r="Q239" s="121"/>
      <c r="R239" s="121"/>
      <c r="S239" s="121"/>
      <c r="T239" s="121"/>
      <c r="U239" s="121"/>
      <c r="V239" s="121"/>
      <c r="W239" s="121"/>
      <c r="X239" s="121"/>
      <c r="Y239" s="121"/>
      <c r="Z239" s="121"/>
    </row>
    <row r="240" spans="1:26" ht="18.75" customHeight="1">
      <c r="A240" s="121"/>
      <c r="B240" s="121"/>
      <c r="C240" s="121"/>
      <c r="D240" s="121"/>
      <c r="E240" s="121"/>
      <c r="F240" s="121"/>
      <c r="G240" s="121"/>
      <c r="H240" s="121"/>
      <c r="I240" s="121"/>
      <c r="J240" s="121"/>
      <c r="K240" s="121"/>
      <c r="L240" s="121"/>
      <c r="M240" s="121"/>
      <c r="N240" s="121"/>
      <c r="O240" s="121"/>
      <c r="P240" s="121"/>
      <c r="Q240" s="121"/>
      <c r="R240" s="121"/>
      <c r="S240" s="121"/>
      <c r="T240" s="121"/>
      <c r="U240" s="121"/>
      <c r="V240" s="121"/>
      <c r="W240" s="121"/>
      <c r="X240" s="121"/>
      <c r="Y240" s="121"/>
      <c r="Z240" s="121"/>
    </row>
    <row r="241" spans="1:26" ht="18.75" customHeight="1">
      <c r="A241" s="121"/>
      <c r="B241" s="121"/>
      <c r="C241" s="121"/>
      <c r="D241" s="121"/>
      <c r="E241" s="121"/>
      <c r="F241" s="121"/>
      <c r="G241" s="121"/>
      <c r="H241" s="121"/>
      <c r="I241" s="121"/>
      <c r="J241" s="121"/>
      <c r="K241" s="121"/>
      <c r="L241" s="121"/>
      <c r="M241" s="121"/>
      <c r="N241" s="121"/>
      <c r="O241" s="121"/>
      <c r="P241" s="121"/>
      <c r="Q241" s="121"/>
      <c r="R241" s="121"/>
      <c r="S241" s="121"/>
      <c r="T241" s="121"/>
      <c r="U241" s="121"/>
      <c r="V241" s="121"/>
      <c r="W241" s="121"/>
      <c r="X241" s="121"/>
      <c r="Y241" s="121"/>
      <c r="Z241" s="121"/>
    </row>
    <row r="242" spans="1:26" ht="18.75" customHeight="1">
      <c r="A242" s="121"/>
      <c r="B242" s="121"/>
      <c r="C242" s="121"/>
      <c r="D242" s="121"/>
      <c r="E242" s="121"/>
      <c r="F242" s="121"/>
      <c r="G242" s="121"/>
      <c r="H242" s="121"/>
      <c r="I242" s="121"/>
      <c r="J242" s="121"/>
      <c r="K242" s="121"/>
      <c r="L242" s="121"/>
      <c r="M242" s="121"/>
      <c r="N242" s="121"/>
      <c r="O242" s="121"/>
      <c r="P242" s="121"/>
      <c r="Q242" s="121"/>
      <c r="R242" s="121"/>
      <c r="S242" s="121"/>
      <c r="T242" s="121"/>
      <c r="U242" s="121"/>
      <c r="V242" s="121"/>
      <c r="W242" s="121"/>
      <c r="X242" s="121"/>
      <c r="Y242" s="121"/>
      <c r="Z242" s="121"/>
    </row>
    <row r="243" spans="1:26" ht="18.75" customHeight="1">
      <c r="A243" s="121"/>
      <c r="B243" s="121"/>
      <c r="C243" s="121"/>
      <c r="D243" s="121"/>
      <c r="E243" s="121"/>
      <c r="F243" s="121"/>
      <c r="G243" s="121"/>
      <c r="H243" s="121"/>
      <c r="I243" s="121"/>
      <c r="J243" s="121"/>
      <c r="K243" s="121"/>
      <c r="L243" s="121"/>
      <c r="M243" s="121"/>
      <c r="N243" s="121"/>
      <c r="O243" s="121"/>
      <c r="P243" s="121"/>
      <c r="Q243" s="121"/>
      <c r="R243" s="121"/>
      <c r="S243" s="121"/>
      <c r="T243" s="121"/>
      <c r="U243" s="121"/>
      <c r="V243" s="121"/>
      <c r="W243" s="121"/>
      <c r="X243" s="121"/>
      <c r="Y243" s="121"/>
      <c r="Z243" s="121"/>
    </row>
    <row r="244" spans="1:26" ht="18.75" customHeight="1">
      <c r="A244" s="121"/>
      <c r="B244" s="121"/>
      <c r="C244" s="121"/>
      <c r="D244" s="121"/>
      <c r="E244" s="121"/>
      <c r="F244" s="121"/>
      <c r="G244" s="121"/>
      <c r="H244" s="121"/>
      <c r="I244" s="121"/>
      <c r="J244" s="121"/>
      <c r="K244" s="121"/>
      <c r="L244" s="121"/>
      <c r="M244" s="121"/>
      <c r="N244" s="121"/>
      <c r="O244" s="121"/>
      <c r="P244" s="121"/>
      <c r="Q244" s="121"/>
      <c r="R244" s="121"/>
      <c r="S244" s="121"/>
      <c r="T244" s="121"/>
      <c r="U244" s="121"/>
      <c r="V244" s="121"/>
      <c r="W244" s="121"/>
      <c r="X244" s="121"/>
      <c r="Y244" s="121"/>
      <c r="Z244" s="121"/>
    </row>
    <row r="245" spans="1:26" ht="18.75" customHeight="1">
      <c r="A245" s="121"/>
      <c r="B245" s="121"/>
      <c r="C245" s="121"/>
      <c r="D245" s="121"/>
      <c r="E245" s="121"/>
      <c r="F245" s="121"/>
      <c r="G245" s="121"/>
      <c r="H245" s="121"/>
      <c r="I245" s="121"/>
      <c r="J245" s="121"/>
      <c r="K245" s="121"/>
      <c r="L245" s="121"/>
      <c r="M245" s="121"/>
      <c r="N245" s="121"/>
      <c r="O245" s="121"/>
      <c r="P245" s="121"/>
      <c r="Q245" s="121"/>
      <c r="R245" s="121"/>
      <c r="S245" s="121"/>
      <c r="T245" s="121"/>
      <c r="U245" s="121"/>
      <c r="V245" s="121"/>
      <c r="W245" s="121"/>
      <c r="X245" s="121"/>
      <c r="Y245" s="121"/>
      <c r="Z245" s="121"/>
    </row>
    <row r="246" spans="1:26" ht="18.75" customHeight="1">
      <c r="A246" s="121"/>
      <c r="B246" s="121"/>
      <c r="C246" s="121"/>
      <c r="D246" s="121"/>
      <c r="E246" s="121"/>
      <c r="F246" s="121"/>
      <c r="G246" s="121"/>
      <c r="H246" s="121"/>
      <c r="I246" s="121"/>
      <c r="J246" s="121"/>
      <c r="K246" s="121"/>
      <c r="L246" s="121"/>
      <c r="M246" s="121"/>
      <c r="N246" s="121"/>
      <c r="O246" s="121"/>
      <c r="P246" s="121"/>
      <c r="Q246" s="121"/>
      <c r="R246" s="121"/>
      <c r="S246" s="121"/>
      <c r="T246" s="121"/>
      <c r="U246" s="121"/>
      <c r="V246" s="121"/>
      <c r="W246" s="121"/>
      <c r="X246" s="121"/>
      <c r="Y246" s="121"/>
      <c r="Z246" s="121"/>
    </row>
    <row r="247" spans="1:26" ht="18.75" customHeight="1">
      <c r="A247" s="121"/>
      <c r="B247" s="121"/>
      <c r="C247" s="121"/>
      <c r="D247" s="121"/>
      <c r="E247" s="121"/>
      <c r="F247" s="121"/>
      <c r="G247" s="121"/>
      <c r="H247" s="121"/>
      <c r="I247" s="121"/>
      <c r="J247" s="121"/>
      <c r="K247" s="121"/>
      <c r="L247" s="121"/>
      <c r="M247" s="121"/>
      <c r="N247" s="121"/>
      <c r="O247" s="121"/>
      <c r="P247" s="121"/>
      <c r="Q247" s="121"/>
      <c r="R247" s="121"/>
      <c r="S247" s="121"/>
      <c r="T247" s="121"/>
      <c r="U247" s="121"/>
      <c r="V247" s="121"/>
      <c r="W247" s="121"/>
      <c r="X247" s="121"/>
      <c r="Y247" s="121"/>
      <c r="Z247" s="121"/>
    </row>
    <row r="248" spans="1:26" ht="18.75" customHeight="1">
      <c r="A248" s="121"/>
      <c r="B248" s="121"/>
      <c r="C248" s="121"/>
      <c r="D248" s="121"/>
      <c r="E248" s="121"/>
      <c r="F248" s="121"/>
      <c r="G248" s="121"/>
      <c r="H248" s="121"/>
      <c r="I248" s="121"/>
      <c r="J248" s="121"/>
      <c r="K248" s="121"/>
      <c r="L248" s="121"/>
      <c r="M248" s="121"/>
      <c r="N248" s="121"/>
      <c r="O248" s="121"/>
      <c r="P248" s="121"/>
      <c r="Q248" s="121"/>
      <c r="R248" s="121"/>
      <c r="S248" s="121"/>
      <c r="T248" s="121"/>
      <c r="U248" s="121"/>
      <c r="V248" s="121"/>
      <c r="W248" s="121"/>
      <c r="X248" s="121"/>
      <c r="Y248" s="121"/>
      <c r="Z248" s="121"/>
    </row>
    <row r="249" spans="1:26" ht="18.75" customHeight="1">
      <c r="A249" s="121"/>
      <c r="B249" s="121"/>
      <c r="C249" s="121"/>
      <c r="D249" s="121"/>
      <c r="E249" s="121"/>
      <c r="F249" s="121"/>
      <c r="G249" s="121"/>
      <c r="H249" s="121"/>
      <c r="I249" s="121"/>
      <c r="J249" s="121"/>
      <c r="K249" s="121"/>
      <c r="L249" s="121"/>
      <c r="M249" s="121"/>
      <c r="N249" s="121"/>
      <c r="O249" s="121"/>
      <c r="P249" s="121"/>
      <c r="Q249" s="121"/>
      <c r="R249" s="121"/>
      <c r="S249" s="121"/>
      <c r="T249" s="121"/>
      <c r="U249" s="121"/>
      <c r="V249" s="121"/>
      <c r="W249" s="121"/>
      <c r="X249" s="121"/>
      <c r="Y249" s="121"/>
      <c r="Z249" s="121"/>
    </row>
    <row r="250" spans="1:26" ht="18.75" customHeight="1">
      <c r="A250" s="121"/>
      <c r="B250" s="121"/>
      <c r="C250" s="121"/>
      <c r="D250" s="121"/>
      <c r="E250" s="121"/>
      <c r="F250" s="121"/>
      <c r="G250" s="121"/>
      <c r="H250" s="121"/>
      <c r="I250" s="121"/>
      <c r="J250" s="121"/>
      <c r="K250" s="121"/>
      <c r="L250" s="121"/>
      <c r="M250" s="121"/>
      <c r="N250" s="121"/>
      <c r="O250" s="121"/>
      <c r="P250" s="121"/>
      <c r="Q250" s="121"/>
      <c r="R250" s="121"/>
      <c r="S250" s="121"/>
      <c r="T250" s="121"/>
      <c r="U250" s="121"/>
      <c r="V250" s="121"/>
      <c r="W250" s="121"/>
      <c r="X250" s="121"/>
      <c r="Y250" s="121"/>
      <c r="Z250" s="121"/>
    </row>
    <row r="251" spans="1:26" ht="18.75" customHeight="1">
      <c r="A251" s="121"/>
      <c r="B251" s="121"/>
      <c r="C251" s="121"/>
      <c r="D251" s="121"/>
      <c r="E251" s="121"/>
      <c r="F251" s="121"/>
      <c r="G251" s="121"/>
      <c r="H251" s="121"/>
      <c r="I251" s="121"/>
      <c r="J251" s="121"/>
      <c r="K251" s="121"/>
      <c r="L251" s="121"/>
      <c r="M251" s="121"/>
      <c r="N251" s="121"/>
      <c r="O251" s="121"/>
      <c r="P251" s="121"/>
      <c r="Q251" s="121"/>
      <c r="R251" s="121"/>
      <c r="S251" s="121"/>
      <c r="T251" s="121"/>
      <c r="U251" s="121"/>
      <c r="V251" s="121"/>
      <c r="W251" s="121"/>
      <c r="X251" s="121"/>
      <c r="Y251" s="121"/>
      <c r="Z251" s="121"/>
    </row>
    <row r="252" spans="1:26" ht="18.75" customHeight="1">
      <c r="A252" s="121"/>
      <c r="B252" s="121"/>
      <c r="C252" s="121"/>
      <c r="D252" s="121"/>
      <c r="E252" s="121"/>
      <c r="F252" s="121"/>
      <c r="G252" s="121"/>
      <c r="H252" s="121"/>
      <c r="I252" s="121"/>
      <c r="J252" s="121"/>
      <c r="K252" s="121"/>
      <c r="L252" s="121"/>
      <c r="M252" s="121"/>
      <c r="N252" s="121"/>
      <c r="O252" s="121"/>
      <c r="P252" s="121"/>
      <c r="Q252" s="121"/>
      <c r="R252" s="121"/>
      <c r="S252" s="121"/>
      <c r="T252" s="121"/>
      <c r="U252" s="121"/>
      <c r="V252" s="121"/>
      <c r="W252" s="121"/>
      <c r="X252" s="121"/>
      <c r="Y252" s="121"/>
      <c r="Z252" s="121"/>
    </row>
    <row r="253" spans="1:26" ht="18.75" customHeight="1">
      <c r="A253" s="121"/>
      <c r="B253" s="121"/>
      <c r="C253" s="121"/>
      <c r="D253" s="121"/>
      <c r="E253" s="121"/>
      <c r="F253" s="121"/>
      <c r="G253" s="121"/>
      <c r="H253" s="121"/>
      <c r="I253" s="121"/>
      <c r="J253" s="121"/>
      <c r="K253" s="121"/>
      <c r="L253" s="121"/>
      <c r="M253" s="121"/>
      <c r="N253" s="121"/>
      <c r="O253" s="121"/>
      <c r="P253" s="121"/>
      <c r="Q253" s="121"/>
      <c r="R253" s="121"/>
      <c r="S253" s="121"/>
      <c r="T253" s="121"/>
      <c r="U253" s="121"/>
      <c r="V253" s="121"/>
      <c r="W253" s="121"/>
      <c r="X253" s="121"/>
      <c r="Y253" s="121"/>
      <c r="Z253" s="121"/>
    </row>
    <row r="254" spans="1:26" ht="18.75" customHeight="1">
      <c r="A254" s="121"/>
      <c r="B254" s="121"/>
      <c r="C254" s="121"/>
      <c r="D254" s="121"/>
      <c r="E254" s="121"/>
      <c r="F254" s="121"/>
      <c r="G254" s="121"/>
      <c r="H254" s="121"/>
      <c r="I254" s="121"/>
      <c r="J254" s="121"/>
      <c r="K254" s="121"/>
      <c r="L254" s="121"/>
      <c r="M254" s="121"/>
      <c r="N254" s="121"/>
      <c r="O254" s="121"/>
      <c r="P254" s="121"/>
      <c r="Q254" s="121"/>
      <c r="R254" s="121"/>
      <c r="S254" s="121"/>
      <c r="T254" s="121"/>
      <c r="U254" s="121"/>
      <c r="V254" s="121"/>
      <c r="W254" s="121"/>
      <c r="X254" s="121"/>
      <c r="Y254" s="121"/>
      <c r="Z254" s="121"/>
    </row>
    <row r="255" spans="1:26" ht="18.75" customHeight="1">
      <c r="A255" s="121"/>
      <c r="B255" s="121"/>
      <c r="C255" s="121"/>
      <c r="D255" s="121"/>
      <c r="E255" s="121"/>
      <c r="F255" s="121"/>
      <c r="G255" s="121"/>
      <c r="H255" s="121"/>
      <c r="I255" s="121"/>
      <c r="J255" s="121"/>
      <c r="K255" s="121"/>
      <c r="L255" s="121"/>
      <c r="M255" s="121"/>
      <c r="N255" s="121"/>
      <c r="O255" s="121"/>
      <c r="P255" s="121"/>
      <c r="Q255" s="121"/>
      <c r="R255" s="121"/>
      <c r="S255" s="121"/>
      <c r="T255" s="121"/>
      <c r="U255" s="121"/>
      <c r="V255" s="121"/>
      <c r="W255" s="121"/>
      <c r="X255" s="121"/>
      <c r="Y255" s="121"/>
      <c r="Z255" s="121"/>
    </row>
    <row r="256" spans="1:26" ht="18.75" customHeight="1">
      <c r="A256" s="121"/>
      <c r="B256" s="121"/>
      <c r="C256" s="121"/>
      <c r="D256" s="121"/>
      <c r="E256" s="121"/>
      <c r="F256" s="121"/>
      <c r="G256" s="121"/>
      <c r="H256" s="121"/>
      <c r="I256" s="121"/>
      <c r="J256" s="121"/>
      <c r="K256" s="121"/>
      <c r="L256" s="121"/>
      <c r="M256" s="121"/>
      <c r="N256" s="121"/>
      <c r="O256" s="121"/>
      <c r="P256" s="121"/>
      <c r="Q256" s="121"/>
      <c r="R256" s="121"/>
      <c r="S256" s="121"/>
      <c r="T256" s="121"/>
      <c r="U256" s="121"/>
      <c r="V256" s="121"/>
      <c r="W256" s="121"/>
      <c r="X256" s="121"/>
      <c r="Y256" s="121"/>
      <c r="Z256" s="121"/>
    </row>
    <row r="257" spans="1:26" ht="18.75" customHeight="1">
      <c r="A257" s="121"/>
      <c r="B257" s="121"/>
      <c r="C257" s="121"/>
      <c r="D257" s="121"/>
      <c r="E257" s="121"/>
      <c r="F257" s="121"/>
      <c r="G257" s="121"/>
      <c r="H257" s="121"/>
      <c r="I257" s="121"/>
      <c r="J257" s="121"/>
      <c r="K257" s="121"/>
      <c r="L257" s="121"/>
      <c r="M257" s="121"/>
      <c r="N257" s="121"/>
      <c r="O257" s="121"/>
      <c r="P257" s="121"/>
      <c r="Q257" s="121"/>
      <c r="R257" s="121"/>
      <c r="S257" s="121"/>
      <c r="T257" s="121"/>
      <c r="U257" s="121"/>
      <c r="V257" s="121"/>
      <c r="W257" s="121"/>
      <c r="X257" s="121"/>
      <c r="Y257" s="121"/>
      <c r="Z257" s="121"/>
    </row>
    <row r="258" spans="1:26" ht="18.75" customHeight="1">
      <c r="A258" s="121"/>
      <c r="B258" s="121"/>
      <c r="C258" s="121"/>
      <c r="D258" s="121"/>
      <c r="E258" s="121"/>
      <c r="F258" s="121"/>
      <c r="G258" s="121"/>
      <c r="H258" s="121"/>
      <c r="I258" s="121"/>
      <c r="J258" s="121"/>
      <c r="K258" s="121"/>
      <c r="L258" s="121"/>
      <c r="M258" s="121"/>
      <c r="N258" s="121"/>
      <c r="O258" s="121"/>
      <c r="P258" s="121"/>
      <c r="Q258" s="121"/>
      <c r="R258" s="121"/>
      <c r="S258" s="121"/>
      <c r="T258" s="121"/>
      <c r="U258" s="121"/>
      <c r="V258" s="121"/>
      <c r="W258" s="121"/>
      <c r="X258" s="121"/>
      <c r="Y258" s="121"/>
      <c r="Z258" s="121"/>
    </row>
    <row r="259" spans="1:26" ht="18.75" customHeight="1">
      <c r="A259" s="121"/>
      <c r="B259" s="121"/>
      <c r="C259" s="121"/>
      <c r="D259" s="121"/>
      <c r="E259" s="121"/>
      <c r="F259" s="121"/>
      <c r="G259" s="121"/>
      <c r="H259" s="121"/>
      <c r="I259" s="121"/>
      <c r="J259" s="121"/>
      <c r="K259" s="121"/>
      <c r="L259" s="121"/>
      <c r="M259" s="121"/>
      <c r="N259" s="121"/>
      <c r="O259" s="121"/>
      <c r="P259" s="121"/>
      <c r="Q259" s="121"/>
      <c r="R259" s="121"/>
      <c r="S259" s="121"/>
      <c r="T259" s="121"/>
      <c r="U259" s="121"/>
      <c r="V259" s="121"/>
      <c r="W259" s="121"/>
      <c r="X259" s="121"/>
      <c r="Y259" s="121"/>
      <c r="Z259" s="121"/>
    </row>
    <row r="260" spans="1:26" ht="18.75" customHeight="1">
      <c r="A260" s="121"/>
      <c r="B260" s="121"/>
      <c r="C260" s="121"/>
      <c r="D260" s="121"/>
      <c r="E260" s="121"/>
      <c r="F260" s="121"/>
      <c r="G260" s="121"/>
      <c r="H260" s="121"/>
      <c r="I260" s="121"/>
      <c r="J260" s="121"/>
      <c r="K260" s="121"/>
      <c r="L260" s="121"/>
      <c r="M260" s="121"/>
      <c r="N260" s="121"/>
      <c r="O260" s="121"/>
      <c r="P260" s="121"/>
      <c r="Q260" s="121"/>
      <c r="R260" s="121"/>
      <c r="S260" s="121"/>
      <c r="T260" s="121"/>
      <c r="U260" s="121"/>
      <c r="V260" s="121"/>
      <c r="W260" s="121"/>
      <c r="X260" s="121"/>
      <c r="Y260" s="121"/>
      <c r="Z260" s="121"/>
    </row>
    <row r="261" spans="1:26" ht="18.75" customHeight="1">
      <c r="A261" s="121"/>
      <c r="B261" s="121"/>
      <c r="C261" s="121"/>
      <c r="D261" s="121"/>
      <c r="E261" s="121"/>
      <c r="F261" s="121"/>
      <c r="G261" s="121"/>
      <c r="H261" s="121"/>
      <c r="I261" s="121"/>
      <c r="J261" s="121"/>
      <c r="K261" s="121"/>
      <c r="L261" s="121"/>
      <c r="M261" s="121"/>
      <c r="N261" s="121"/>
      <c r="O261" s="121"/>
      <c r="P261" s="121"/>
      <c r="Q261" s="121"/>
      <c r="R261" s="121"/>
      <c r="S261" s="121"/>
      <c r="T261" s="121"/>
      <c r="U261" s="121"/>
      <c r="V261" s="121"/>
      <c r="W261" s="121"/>
      <c r="X261" s="121"/>
      <c r="Y261" s="121"/>
      <c r="Z261" s="121"/>
    </row>
    <row r="262" spans="1:26" ht="18.75" customHeight="1">
      <c r="A262" s="121"/>
      <c r="B262" s="121"/>
      <c r="C262" s="121"/>
      <c r="D262" s="121"/>
      <c r="E262" s="121"/>
      <c r="F262" s="121"/>
      <c r="G262" s="121"/>
      <c r="H262" s="121"/>
      <c r="I262" s="121"/>
      <c r="J262" s="121"/>
      <c r="K262" s="121"/>
      <c r="L262" s="121"/>
      <c r="M262" s="121"/>
      <c r="N262" s="121"/>
      <c r="O262" s="121"/>
      <c r="P262" s="121"/>
      <c r="Q262" s="121"/>
      <c r="R262" s="121"/>
      <c r="S262" s="121"/>
      <c r="T262" s="121"/>
      <c r="U262" s="121"/>
      <c r="V262" s="121"/>
      <c r="W262" s="121"/>
      <c r="X262" s="121"/>
      <c r="Y262" s="121"/>
      <c r="Z262" s="121"/>
    </row>
    <row r="263" spans="1:26" ht="18.75" customHeight="1">
      <c r="A263" s="121"/>
      <c r="B263" s="121"/>
      <c r="C263" s="121"/>
      <c r="D263" s="121"/>
      <c r="E263" s="121"/>
      <c r="F263" s="121"/>
      <c r="G263" s="121"/>
      <c r="H263" s="121"/>
      <c r="I263" s="121"/>
      <c r="J263" s="121"/>
      <c r="K263" s="121"/>
      <c r="L263" s="121"/>
      <c r="M263" s="121"/>
      <c r="N263" s="121"/>
      <c r="O263" s="121"/>
      <c r="P263" s="121"/>
      <c r="Q263" s="121"/>
      <c r="R263" s="121"/>
      <c r="S263" s="121"/>
      <c r="T263" s="121"/>
      <c r="U263" s="121"/>
      <c r="V263" s="121"/>
      <c r="W263" s="121"/>
      <c r="X263" s="121"/>
      <c r="Y263" s="121"/>
      <c r="Z263" s="121"/>
    </row>
    <row r="264" spans="1:26" ht="18.75" customHeight="1">
      <c r="A264" s="121"/>
      <c r="B264" s="121"/>
      <c r="C264" s="121"/>
      <c r="D264" s="121"/>
      <c r="E264" s="121"/>
      <c r="F264" s="121"/>
      <c r="G264" s="121"/>
      <c r="H264" s="121"/>
      <c r="I264" s="121"/>
      <c r="J264" s="121"/>
      <c r="K264" s="121"/>
      <c r="L264" s="121"/>
      <c r="M264" s="121"/>
      <c r="N264" s="121"/>
      <c r="O264" s="121"/>
      <c r="P264" s="121"/>
      <c r="Q264" s="121"/>
      <c r="R264" s="121"/>
      <c r="S264" s="121"/>
      <c r="T264" s="121"/>
      <c r="U264" s="121"/>
      <c r="V264" s="121"/>
      <c r="W264" s="121"/>
      <c r="X264" s="121"/>
      <c r="Y264" s="121"/>
      <c r="Z264" s="121"/>
    </row>
    <row r="265" spans="1:26" ht="18.75" customHeight="1">
      <c r="A265" s="121"/>
      <c r="B265" s="121"/>
      <c r="C265" s="121"/>
      <c r="D265" s="121"/>
      <c r="E265" s="121"/>
      <c r="F265" s="121"/>
      <c r="G265" s="121"/>
      <c r="H265" s="121"/>
      <c r="I265" s="121"/>
      <c r="J265" s="121"/>
      <c r="K265" s="121"/>
      <c r="L265" s="121"/>
      <c r="M265" s="121"/>
      <c r="N265" s="121"/>
      <c r="O265" s="121"/>
      <c r="P265" s="121"/>
      <c r="Q265" s="121"/>
      <c r="R265" s="121"/>
      <c r="S265" s="121"/>
      <c r="T265" s="121"/>
      <c r="U265" s="121"/>
      <c r="V265" s="121"/>
      <c r="W265" s="121"/>
      <c r="X265" s="121"/>
      <c r="Y265" s="121"/>
      <c r="Z265" s="121"/>
    </row>
    <row r="266" spans="1:26" ht="18.75" customHeight="1">
      <c r="A266" s="121"/>
      <c r="B266" s="121"/>
      <c r="C266" s="121"/>
      <c r="D266" s="121"/>
      <c r="E266" s="121"/>
      <c r="F266" s="121"/>
      <c r="G266" s="121"/>
      <c r="H266" s="121"/>
      <c r="I266" s="121"/>
      <c r="J266" s="121"/>
      <c r="K266" s="121"/>
      <c r="L266" s="121"/>
      <c r="M266" s="121"/>
      <c r="N266" s="121"/>
      <c r="O266" s="121"/>
      <c r="P266" s="121"/>
      <c r="Q266" s="121"/>
      <c r="R266" s="121"/>
      <c r="S266" s="121"/>
      <c r="T266" s="121"/>
      <c r="U266" s="121"/>
      <c r="V266" s="121"/>
      <c r="W266" s="121"/>
      <c r="X266" s="121"/>
      <c r="Y266" s="121"/>
      <c r="Z266" s="121"/>
    </row>
    <row r="267" spans="1:26" ht="18.75" customHeight="1">
      <c r="A267" s="121"/>
      <c r="B267" s="121"/>
      <c r="C267" s="121"/>
      <c r="D267" s="121"/>
      <c r="E267" s="121"/>
      <c r="F267" s="121"/>
      <c r="G267" s="121"/>
      <c r="H267" s="121"/>
      <c r="I267" s="121"/>
      <c r="J267" s="121"/>
      <c r="K267" s="121"/>
      <c r="L267" s="121"/>
      <c r="M267" s="121"/>
      <c r="N267" s="121"/>
      <c r="O267" s="121"/>
      <c r="P267" s="121"/>
      <c r="Q267" s="121"/>
      <c r="R267" s="121"/>
      <c r="S267" s="121"/>
      <c r="T267" s="121"/>
      <c r="U267" s="121"/>
      <c r="V267" s="121"/>
      <c r="W267" s="121"/>
      <c r="X267" s="121"/>
      <c r="Y267" s="121"/>
      <c r="Z267" s="121"/>
    </row>
    <row r="268" spans="1:26" ht="18.75" customHeight="1">
      <c r="A268" s="121"/>
      <c r="B268" s="121"/>
      <c r="C268" s="121"/>
      <c r="D268" s="121"/>
      <c r="E268" s="121"/>
      <c r="F268" s="121"/>
      <c r="G268" s="121"/>
      <c r="H268" s="121"/>
      <c r="I268" s="121"/>
      <c r="J268" s="121"/>
      <c r="K268" s="121"/>
      <c r="L268" s="121"/>
      <c r="M268" s="121"/>
      <c r="N268" s="121"/>
      <c r="O268" s="121"/>
      <c r="P268" s="121"/>
      <c r="Q268" s="121"/>
      <c r="R268" s="121"/>
      <c r="S268" s="121"/>
      <c r="T268" s="121"/>
      <c r="U268" s="121"/>
      <c r="V268" s="121"/>
      <c r="W268" s="121"/>
      <c r="X268" s="121"/>
      <c r="Y268" s="121"/>
      <c r="Z268" s="121"/>
    </row>
    <row r="269" spans="1:26" ht="18.75" customHeight="1">
      <c r="A269" s="121"/>
      <c r="B269" s="121"/>
      <c r="C269" s="121"/>
      <c r="D269" s="121"/>
      <c r="E269" s="121"/>
      <c r="F269" s="121"/>
      <c r="G269" s="121"/>
      <c r="H269" s="121"/>
      <c r="I269" s="121"/>
      <c r="J269" s="121"/>
      <c r="K269" s="121"/>
      <c r="L269" s="121"/>
      <c r="M269" s="121"/>
      <c r="N269" s="121"/>
      <c r="O269" s="121"/>
      <c r="P269" s="121"/>
      <c r="Q269" s="121"/>
      <c r="R269" s="121"/>
      <c r="S269" s="121"/>
      <c r="T269" s="121"/>
      <c r="U269" s="121"/>
      <c r="V269" s="121"/>
      <c r="W269" s="121"/>
      <c r="X269" s="121"/>
      <c r="Y269" s="121"/>
      <c r="Z269" s="121"/>
    </row>
    <row r="270" spans="1:26" ht="18.75" customHeight="1">
      <c r="A270" s="121"/>
      <c r="B270" s="121"/>
      <c r="C270" s="121"/>
      <c r="D270" s="121"/>
      <c r="E270" s="121"/>
      <c r="F270" s="121"/>
      <c r="G270" s="121"/>
      <c r="H270" s="121"/>
      <c r="I270" s="121"/>
      <c r="J270" s="121"/>
      <c r="K270" s="121"/>
      <c r="L270" s="121"/>
      <c r="M270" s="121"/>
      <c r="N270" s="121"/>
      <c r="O270" s="121"/>
      <c r="P270" s="121"/>
      <c r="Q270" s="121"/>
      <c r="R270" s="121"/>
      <c r="S270" s="121"/>
      <c r="T270" s="121"/>
      <c r="U270" s="121"/>
      <c r="V270" s="121"/>
      <c r="W270" s="121"/>
      <c r="X270" s="121"/>
      <c r="Y270" s="121"/>
      <c r="Z270" s="121"/>
    </row>
    <row r="271" spans="1:26" ht="18.75" customHeight="1">
      <c r="A271" s="121"/>
      <c r="B271" s="121"/>
      <c r="C271" s="121"/>
      <c r="D271" s="121"/>
      <c r="E271" s="121"/>
      <c r="F271" s="121"/>
      <c r="G271" s="121"/>
      <c r="H271" s="121"/>
      <c r="I271" s="121"/>
      <c r="J271" s="121"/>
      <c r="K271" s="121"/>
      <c r="L271" s="121"/>
      <c r="M271" s="121"/>
      <c r="N271" s="121"/>
      <c r="O271" s="121"/>
      <c r="P271" s="121"/>
      <c r="Q271" s="121"/>
      <c r="R271" s="121"/>
      <c r="S271" s="121"/>
      <c r="T271" s="121"/>
      <c r="U271" s="121"/>
      <c r="V271" s="121"/>
      <c r="W271" s="121"/>
      <c r="X271" s="121"/>
      <c r="Y271" s="121"/>
      <c r="Z271" s="121"/>
    </row>
    <row r="272" spans="1:26" ht="18.75" customHeight="1">
      <c r="A272" s="121"/>
      <c r="B272" s="121"/>
      <c r="C272" s="121"/>
      <c r="D272" s="121"/>
      <c r="E272" s="121"/>
      <c r="F272" s="121"/>
      <c r="G272" s="121"/>
      <c r="H272" s="121"/>
      <c r="I272" s="121"/>
      <c r="J272" s="121"/>
      <c r="K272" s="121"/>
      <c r="L272" s="121"/>
      <c r="M272" s="121"/>
      <c r="N272" s="121"/>
      <c r="O272" s="121"/>
      <c r="P272" s="121"/>
      <c r="Q272" s="121"/>
      <c r="R272" s="121"/>
      <c r="S272" s="121"/>
      <c r="T272" s="121"/>
      <c r="U272" s="121"/>
      <c r="V272" s="121"/>
      <c r="W272" s="121"/>
      <c r="X272" s="121"/>
      <c r="Y272" s="121"/>
      <c r="Z272" s="121"/>
    </row>
    <row r="273" spans="1:26" ht="18.75" customHeight="1">
      <c r="A273" s="121"/>
      <c r="B273" s="121"/>
      <c r="C273" s="121"/>
      <c r="D273" s="121"/>
      <c r="E273" s="121"/>
      <c r="F273" s="121"/>
      <c r="G273" s="121"/>
      <c r="H273" s="121"/>
      <c r="I273" s="121"/>
      <c r="J273" s="121"/>
      <c r="K273" s="121"/>
      <c r="L273" s="121"/>
      <c r="M273" s="121"/>
      <c r="N273" s="121"/>
      <c r="O273" s="121"/>
      <c r="P273" s="121"/>
      <c r="Q273" s="121"/>
      <c r="R273" s="121"/>
      <c r="S273" s="121"/>
      <c r="T273" s="121"/>
      <c r="U273" s="121"/>
      <c r="V273" s="121"/>
      <c r="W273" s="121"/>
      <c r="X273" s="121"/>
      <c r="Y273" s="121"/>
      <c r="Z273" s="121"/>
    </row>
    <row r="274" spans="1:26" ht="18.75" customHeight="1">
      <c r="A274" s="121"/>
      <c r="B274" s="121"/>
      <c r="C274" s="121"/>
      <c r="D274" s="121"/>
      <c r="E274" s="121"/>
      <c r="F274" s="121"/>
      <c r="G274" s="121"/>
      <c r="H274" s="121"/>
      <c r="I274" s="121"/>
      <c r="J274" s="121"/>
      <c r="K274" s="121"/>
      <c r="L274" s="121"/>
      <c r="M274" s="121"/>
      <c r="N274" s="121"/>
      <c r="O274" s="121"/>
      <c r="P274" s="121"/>
      <c r="Q274" s="121"/>
      <c r="R274" s="121"/>
      <c r="S274" s="121"/>
      <c r="T274" s="121"/>
      <c r="U274" s="121"/>
      <c r="V274" s="121"/>
      <c r="W274" s="121"/>
      <c r="X274" s="121"/>
      <c r="Y274" s="121"/>
      <c r="Z274" s="121"/>
    </row>
    <row r="275" spans="1:26" ht="18.75" customHeight="1">
      <c r="A275" s="121"/>
      <c r="B275" s="121"/>
      <c r="C275" s="121"/>
      <c r="D275" s="121"/>
      <c r="E275" s="121"/>
      <c r="F275" s="121"/>
      <c r="G275" s="121"/>
      <c r="H275" s="121"/>
      <c r="I275" s="121"/>
      <c r="J275" s="121"/>
      <c r="K275" s="121"/>
      <c r="L275" s="121"/>
      <c r="M275" s="121"/>
      <c r="N275" s="121"/>
      <c r="O275" s="121"/>
      <c r="P275" s="121"/>
      <c r="Q275" s="121"/>
      <c r="R275" s="121"/>
      <c r="S275" s="121"/>
      <c r="T275" s="121"/>
      <c r="U275" s="121"/>
      <c r="V275" s="121"/>
      <c r="W275" s="121"/>
      <c r="X275" s="121"/>
      <c r="Y275" s="121"/>
      <c r="Z275" s="121"/>
    </row>
    <row r="276" spans="1:26" ht="18.75" customHeight="1">
      <c r="A276" s="121"/>
      <c r="B276" s="121"/>
      <c r="C276" s="121"/>
      <c r="D276" s="121"/>
      <c r="E276" s="121"/>
      <c r="F276" s="121"/>
      <c r="G276" s="121"/>
      <c r="H276" s="121"/>
      <c r="I276" s="121"/>
      <c r="J276" s="121"/>
      <c r="K276" s="121"/>
      <c r="L276" s="121"/>
      <c r="M276" s="121"/>
      <c r="N276" s="121"/>
      <c r="O276" s="121"/>
      <c r="P276" s="121"/>
      <c r="Q276" s="121"/>
      <c r="R276" s="121"/>
      <c r="S276" s="121"/>
      <c r="T276" s="121"/>
      <c r="U276" s="121"/>
      <c r="V276" s="121"/>
      <c r="W276" s="121"/>
      <c r="X276" s="121"/>
      <c r="Y276" s="121"/>
      <c r="Z276" s="121"/>
    </row>
    <row r="277" spans="1:26" ht="18.75" customHeight="1">
      <c r="A277" s="121"/>
      <c r="B277" s="121"/>
      <c r="C277" s="121"/>
      <c r="D277" s="121"/>
      <c r="E277" s="121"/>
      <c r="F277" s="121"/>
      <c r="G277" s="121"/>
      <c r="H277" s="121"/>
      <c r="I277" s="121"/>
      <c r="J277" s="121"/>
      <c r="K277" s="121"/>
      <c r="L277" s="121"/>
      <c r="M277" s="121"/>
      <c r="N277" s="121"/>
      <c r="O277" s="121"/>
      <c r="P277" s="121"/>
      <c r="Q277" s="121"/>
      <c r="R277" s="121"/>
      <c r="S277" s="121"/>
      <c r="T277" s="121"/>
      <c r="U277" s="121"/>
      <c r="V277" s="121"/>
      <c r="W277" s="121"/>
      <c r="X277" s="121"/>
      <c r="Y277" s="121"/>
      <c r="Z277" s="121"/>
    </row>
    <row r="278" spans="1:26" ht="18.75" customHeight="1">
      <c r="A278" s="121"/>
      <c r="B278" s="121"/>
      <c r="C278" s="121"/>
      <c r="D278" s="121"/>
      <c r="E278" s="121"/>
      <c r="F278" s="121"/>
      <c r="G278" s="121"/>
      <c r="H278" s="121"/>
      <c r="I278" s="121"/>
      <c r="J278" s="121"/>
      <c r="K278" s="121"/>
      <c r="L278" s="121"/>
      <c r="M278" s="121"/>
      <c r="N278" s="121"/>
      <c r="O278" s="121"/>
      <c r="P278" s="121"/>
      <c r="Q278" s="121"/>
      <c r="R278" s="121"/>
      <c r="S278" s="121"/>
      <c r="T278" s="121"/>
      <c r="U278" s="121"/>
      <c r="V278" s="121"/>
      <c r="W278" s="121"/>
      <c r="X278" s="121"/>
      <c r="Y278" s="121"/>
      <c r="Z278" s="121"/>
    </row>
    <row r="279" spans="1:26" ht="18.75" customHeight="1">
      <c r="A279" s="121"/>
      <c r="B279" s="121"/>
      <c r="C279" s="121"/>
      <c r="D279" s="121"/>
      <c r="E279" s="121"/>
      <c r="F279" s="121"/>
      <c r="G279" s="121"/>
      <c r="H279" s="121"/>
      <c r="I279" s="121"/>
      <c r="J279" s="121"/>
      <c r="K279" s="121"/>
      <c r="L279" s="121"/>
      <c r="M279" s="121"/>
      <c r="N279" s="121"/>
      <c r="O279" s="121"/>
      <c r="P279" s="121"/>
      <c r="Q279" s="121"/>
      <c r="R279" s="121"/>
      <c r="S279" s="121"/>
      <c r="T279" s="121"/>
      <c r="U279" s="121"/>
      <c r="V279" s="121"/>
      <c r="W279" s="121"/>
      <c r="X279" s="121"/>
      <c r="Y279" s="121"/>
      <c r="Z279" s="121"/>
    </row>
    <row r="280" spans="1:26" ht="18.75" customHeight="1">
      <c r="A280" s="121"/>
      <c r="B280" s="121"/>
      <c r="C280" s="121"/>
      <c r="D280" s="121"/>
      <c r="E280" s="121"/>
      <c r="F280" s="121"/>
      <c r="G280" s="121"/>
      <c r="H280" s="121"/>
      <c r="I280" s="121"/>
      <c r="J280" s="121"/>
      <c r="K280" s="121"/>
      <c r="L280" s="121"/>
      <c r="M280" s="121"/>
      <c r="N280" s="121"/>
      <c r="O280" s="121"/>
      <c r="P280" s="121"/>
      <c r="Q280" s="121"/>
      <c r="R280" s="121"/>
      <c r="S280" s="121"/>
      <c r="T280" s="121"/>
      <c r="U280" s="121"/>
      <c r="V280" s="121"/>
      <c r="W280" s="121"/>
      <c r="X280" s="121"/>
      <c r="Y280" s="121"/>
      <c r="Z280" s="121"/>
    </row>
    <row r="281" spans="1:26" ht="18.75" customHeight="1">
      <c r="A281" s="121"/>
      <c r="B281" s="121"/>
      <c r="C281" s="121"/>
      <c r="D281" s="121"/>
      <c r="E281" s="121"/>
      <c r="F281" s="121"/>
      <c r="G281" s="121"/>
      <c r="H281" s="121"/>
      <c r="I281" s="121"/>
      <c r="J281" s="121"/>
      <c r="K281" s="121"/>
      <c r="L281" s="121"/>
      <c r="M281" s="121"/>
      <c r="N281" s="121"/>
      <c r="O281" s="121"/>
      <c r="P281" s="121"/>
      <c r="Q281" s="121"/>
      <c r="R281" s="121"/>
      <c r="S281" s="121"/>
      <c r="T281" s="121"/>
      <c r="U281" s="121"/>
      <c r="V281" s="121"/>
      <c r="W281" s="121"/>
      <c r="X281" s="121"/>
      <c r="Y281" s="121"/>
      <c r="Z281" s="121"/>
    </row>
    <row r="282" spans="1:26" ht="18.75" customHeight="1">
      <c r="A282" s="121"/>
      <c r="B282" s="121"/>
      <c r="C282" s="121"/>
      <c r="D282" s="121"/>
      <c r="E282" s="121"/>
      <c r="F282" s="121"/>
      <c r="G282" s="121"/>
      <c r="H282" s="121"/>
      <c r="I282" s="121"/>
      <c r="J282" s="121"/>
      <c r="K282" s="121"/>
      <c r="L282" s="121"/>
      <c r="M282" s="121"/>
      <c r="N282" s="121"/>
      <c r="O282" s="121"/>
      <c r="P282" s="121"/>
      <c r="Q282" s="121"/>
      <c r="R282" s="121"/>
      <c r="S282" s="121"/>
      <c r="T282" s="121"/>
      <c r="U282" s="121"/>
      <c r="V282" s="121"/>
      <c r="W282" s="121"/>
      <c r="X282" s="121"/>
      <c r="Y282" s="121"/>
      <c r="Z282" s="121"/>
    </row>
    <row r="283" spans="1:26" ht="18.75" customHeight="1">
      <c r="A283" s="121"/>
      <c r="B283" s="121"/>
      <c r="C283" s="121"/>
      <c r="D283" s="121"/>
      <c r="E283" s="121"/>
      <c r="F283" s="121"/>
      <c r="G283" s="121"/>
      <c r="H283" s="121"/>
      <c r="I283" s="121"/>
      <c r="J283" s="121"/>
      <c r="K283" s="121"/>
      <c r="L283" s="121"/>
      <c r="M283" s="121"/>
      <c r="N283" s="121"/>
      <c r="O283" s="121"/>
      <c r="P283" s="121"/>
      <c r="Q283" s="121"/>
      <c r="R283" s="121"/>
      <c r="S283" s="121"/>
      <c r="T283" s="121"/>
      <c r="U283" s="121"/>
      <c r="V283" s="121"/>
      <c r="W283" s="121"/>
      <c r="X283" s="121"/>
      <c r="Y283" s="121"/>
      <c r="Z283" s="121"/>
    </row>
    <row r="284" spans="1:26" ht="18.75" customHeight="1">
      <c r="A284" s="121"/>
      <c r="B284" s="121"/>
      <c r="C284" s="121"/>
      <c r="D284" s="121"/>
      <c r="E284" s="121"/>
      <c r="F284" s="121"/>
      <c r="G284" s="121"/>
      <c r="H284" s="121"/>
      <c r="I284" s="121"/>
      <c r="J284" s="121"/>
      <c r="K284" s="121"/>
      <c r="L284" s="121"/>
      <c r="M284" s="121"/>
      <c r="N284" s="121"/>
      <c r="O284" s="121"/>
      <c r="P284" s="121"/>
      <c r="Q284" s="121"/>
      <c r="R284" s="121"/>
      <c r="S284" s="121"/>
      <c r="T284" s="121"/>
      <c r="U284" s="121"/>
      <c r="V284" s="121"/>
      <c r="W284" s="121"/>
      <c r="X284" s="121"/>
      <c r="Y284" s="121"/>
      <c r="Z284" s="121"/>
    </row>
    <row r="285" spans="1:26" ht="18.75" customHeight="1">
      <c r="A285" s="121"/>
      <c r="B285" s="121"/>
      <c r="C285" s="121"/>
      <c r="D285" s="121"/>
      <c r="E285" s="121"/>
      <c r="F285" s="121"/>
      <c r="G285" s="121"/>
      <c r="H285" s="121"/>
      <c r="I285" s="121"/>
      <c r="J285" s="121"/>
      <c r="K285" s="121"/>
      <c r="L285" s="121"/>
      <c r="M285" s="121"/>
      <c r="N285" s="121"/>
      <c r="O285" s="121"/>
      <c r="P285" s="121"/>
      <c r="Q285" s="121"/>
      <c r="R285" s="121"/>
      <c r="S285" s="121"/>
      <c r="T285" s="121"/>
      <c r="U285" s="121"/>
      <c r="V285" s="121"/>
      <c r="W285" s="121"/>
      <c r="X285" s="121"/>
      <c r="Y285" s="121"/>
      <c r="Z285" s="121"/>
    </row>
    <row r="286" spans="1:26" ht="18.75" customHeight="1">
      <c r="A286" s="121"/>
      <c r="B286" s="121"/>
      <c r="C286" s="121"/>
      <c r="D286" s="121"/>
      <c r="E286" s="121"/>
      <c r="F286" s="121"/>
      <c r="G286" s="121"/>
      <c r="H286" s="121"/>
      <c r="I286" s="121"/>
      <c r="J286" s="121"/>
      <c r="K286" s="121"/>
      <c r="L286" s="121"/>
      <c r="M286" s="121"/>
      <c r="N286" s="121"/>
      <c r="O286" s="121"/>
      <c r="P286" s="121"/>
      <c r="Q286" s="121"/>
      <c r="R286" s="121"/>
      <c r="S286" s="121"/>
      <c r="T286" s="121"/>
      <c r="U286" s="121"/>
      <c r="V286" s="121"/>
      <c r="W286" s="121"/>
      <c r="X286" s="121"/>
      <c r="Y286" s="121"/>
      <c r="Z286" s="121"/>
    </row>
    <row r="287" spans="1:26" ht="18.75" customHeight="1">
      <c r="A287" s="121"/>
      <c r="B287" s="121"/>
      <c r="C287" s="121"/>
      <c r="D287" s="121"/>
      <c r="E287" s="121"/>
      <c r="F287" s="121"/>
      <c r="G287" s="121"/>
      <c r="H287" s="121"/>
      <c r="I287" s="121"/>
      <c r="J287" s="121"/>
      <c r="K287" s="121"/>
      <c r="L287" s="121"/>
      <c r="M287" s="121"/>
      <c r="N287" s="121"/>
      <c r="O287" s="121"/>
      <c r="P287" s="121"/>
      <c r="Q287" s="121"/>
      <c r="R287" s="121"/>
      <c r="S287" s="121"/>
      <c r="T287" s="121"/>
      <c r="U287" s="121"/>
      <c r="V287" s="121"/>
      <c r="W287" s="121"/>
      <c r="X287" s="121"/>
      <c r="Y287" s="121"/>
      <c r="Z287" s="121"/>
    </row>
    <row r="288" spans="1:26" ht="18.75" customHeight="1">
      <c r="A288" s="121"/>
      <c r="B288" s="121"/>
      <c r="C288" s="121"/>
      <c r="D288" s="121"/>
      <c r="E288" s="121"/>
      <c r="F288" s="121"/>
      <c r="G288" s="121"/>
      <c r="H288" s="121"/>
      <c r="I288" s="121"/>
      <c r="J288" s="121"/>
      <c r="K288" s="121"/>
      <c r="L288" s="121"/>
      <c r="M288" s="121"/>
      <c r="N288" s="121"/>
      <c r="O288" s="121"/>
      <c r="P288" s="121"/>
      <c r="Q288" s="121"/>
      <c r="R288" s="121"/>
      <c r="S288" s="121"/>
      <c r="T288" s="121"/>
      <c r="U288" s="121"/>
      <c r="V288" s="121"/>
      <c r="W288" s="121"/>
      <c r="X288" s="121"/>
      <c r="Y288" s="121"/>
      <c r="Z288" s="121"/>
    </row>
    <row r="289" spans="1:26" ht="18.75" customHeight="1">
      <c r="A289" s="121"/>
      <c r="B289" s="121"/>
      <c r="C289" s="121"/>
      <c r="D289" s="121"/>
      <c r="E289" s="121"/>
      <c r="F289" s="121"/>
      <c r="G289" s="121"/>
      <c r="H289" s="121"/>
      <c r="I289" s="121"/>
      <c r="J289" s="121"/>
      <c r="K289" s="121"/>
      <c r="L289" s="121"/>
      <c r="M289" s="121"/>
      <c r="N289" s="121"/>
      <c r="O289" s="121"/>
      <c r="P289" s="121"/>
      <c r="Q289" s="121"/>
      <c r="R289" s="121"/>
      <c r="S289" s="121"/>
      <c r="T289" s="121"/>
      <c r="U289" s="121"/>
      <c r="V289" s="121"/>
      <c r="W289" s="121"/>
      <c r="X289" s="121"/>
      <c r="Y289" s="121"/>
      <c r="Z289" s="121"/>
    </row>
    <row r="290" spans="1:26" ht="18.75" customHeight="1">
      <c r="A290" s="121"/>
      <c r="B290" s="121"/>
      <c r="C290" s="121"/>
      <c r="D290" s="121"/>
      <c r="E290" s="121"/>
      <c r="F290" s="121"/>
      <c r="G290" s="121"/>
      <c r="H290" s="121"/>
      <c r="I290" s="121"/>
      <c r="J290" s="121"/>
      <c r="K290" s="121"/>
      <c r="L290" s="121"/>
      <c r="M290" s="121"/>
      <c r="N290" s="121"/>
      <c r="O290" s="121"/>
      <c r="P290" s="121"/>
      <c r="Q290" s="121"/>
      <c r="R290" s="121"/>
      <c r="S290" s="121"/>
      <c r="T290" s="121"/>
      <c r="U290" s="121"/>
      <c r="V290" s="121"/>
      <c r="W290" s="121"/>
      <c r="X290" s="121"/>
      <c r="Y290" s="121"/>
      <c r="Z290" s="121"/>
    </row>
    <row r="291" spans="1:26" ht="18.75" customHeight="1">
      <c r="A291" s="121"/>
      <c r="B291" s="121"/>
      <c r="C291" s="121"/>
      <c r="D291" s="121"/>
      <c r="E291" s="121"/>
      <c r="F291" s="121"/>
      <c r="G291" s="121"/>
      <c r="H291" s="121"/>
      <c r="I291" s="121"/>
      <c r="J291" s="121"/>
      <c r="K291" s="121"/>
      <c r="L291" s="121"/>
      <c r="M291" s="121"/>
      <c r="N291" s="121"/>
      <c r="O291" s="121"/>
      <c r="P291" s="121"/>
      <c r="Q291" s="121"/>
      <c r="R291" s="121"/>
      <c r="S291" s="121"/>
      <c r="T291" s="121"/>
      <c r="U291" s="121"/>
      <c r="V291" s="121"/>
      <c r="W291" s="121"/>
      <c r="X291" s="121"/>
      <c r="Y291" s="121"/>
      <c r="Z291" s="121"/>
    </row>
    <row r="292" spans="1:26" ht="18.75" customHeight="1">
      <c r="A292" s="121"/>
      <c r="B292" s="121"/>
      <c r="C292" s="121"/>
      <c r="D292" s="121"/>
      <c r="E292" s="121"/>
      <c r="F292" s="121"/>
      <c r="G292" s="121"/>
      <c r="H292" s="121"/>
      <c r="I292" s="121"/>
      <c r="J292" s="121"/>
      <c r="K292" s="121"/>
      <c r="L292" s="121"/>
      <c r="M292" s="121"/>
      <c r="N292" s="121"/>
      <c r="O292" s="121"/>
      <c r="P292" s="121"/>
      <c r="Q292" s="121"/>
      <c r="R292" s="121"/>
      <c r="S292" s="121"/>
      <c r="T292" s="121"/>
      <c r="U292" s="121"/>
      <c r="V292" s="121"/>
      <c r="W292" s="121"/>
      <c r="X292" s="121"/>
      <c r="Y292" s="121"/>
      <c r="Z292" s="121"/>
    </row>
    <row r="293" spans="1:26" ht="18.75" customHeight="1">
      <c r="A293" s="121"/>
      <c r="B293" s="121"/>
      <c r="C293" s="121"/>
      <c r="D293" s="121"/>
      <c r="E293" s="121"/>
      <c r="F293" s="121"/>
      <c r="G293" s="121"/>
      <c r="H293" s="121"/>
      <c r="I293" s="121"/>
      <c r="J293" s="121"/>
      <c r="K293" s="121"/>
      <c r="L293" s="121"/>
      <c r="M293" s="121"/>
      <c r="N293" s="121"/>
      <c r="O293" s="121"/>
      <c r="P293" s="121"/>
      <c r="Q293" s="121"/>
      <c r="R293" s="121"/>
      <c r="S293" s="121"/>
      <c r="T293" s="121"/>
      <c r="U293" s="121"/>
      <c r="V293" s="121"/>
      <c r="W293" s="121"/>
      <c r="X293" s="121"/>
      <c r="Y293" s="121"/>
      <c r="Z293" s="121"/>
    </row>
    <row r="294" spans="1:26" ht="18.75" customHeight="1">
      <c r="A294" s="121"/>
      <c r="B294" s="121"/>
      <c r="C294" s="121"/>
      <c r="D294" s="121"/>
      <c r="E294" s="121"/>
      <c r="F294" s="121"/>
      <c r="G294" s="121"/>
      <c r="H294" s="121"/>
      <c r="I294" s="121"/>
      <c r="J294" s="121"/>
      <c r="K294" s="121"/>
      <c r="L294" s="121"/>
      <c r="M294" s="121"/>
      <c r="N294" s="121"/>
      <c r="O294" s="121"/>
      <c r="P294" s="121"/>
      <c r="Q294" s="121"/>
      <c r="R294" s="121"/>
      <c r="S294" s="121"/>
      <c r="T294" s="121"/>
      <c r="U294" s="121"/>
      <c r="V294" s="121"/>
      <c r="W294" s="121"/>
      <c r="X294" s="121"/>
      <c r="Y294" s="121"/>
      <c r="Z294" s="121"/>
    </row>
    <row r="295" spans="1:26" ht="18.75" customHeight="1">
      <c r="A295" s="121"/>
      <c r="B295" s="121"/>
      <c r="C295" s="121"/>
      <c r="D295" s="121"/>
      <c r="E295" s="121"/>
      <c r="F295" s="121"/>
      <c r="G295" s="121"/>
      <c r="H295" s="121"/>
      <c r="I295" s="121"/>
      <c r="J295" s="121"/>
      <c r="K295" s="121"/>
      <c r="L295" s="121"/>
      <c r="M295" s="121"/>
      <c r="N295" s="121"/>
      <c r="O295" s="121"/>
      <c r="P295" s="121"/>
      <c r="Q295" s="121"/>
      <c r="R295" s="121"/>
      <c r="S295" s="121"/>
      <c r="T295" s="121"/>
      <c r="U295" s="121"/>
      <c r="V295" s="121"/>
      <c r="W295" s="121"/>
      <c r="X295" s="121"/>
      <c r="Y295" s="121"/>
      <c r="Z295" s="121"/>
    </row>
    <row r="296" spans="1:26" ht="18.75" customHeight="1">
      <c r="A296" s="121"/>
      <c r="B296" s="121"/>
      <c r="C296" s="121"/>
      <c r="D296" s="121"/>
      <c r="E296" s="121"/>
      <c r="F296" s="121"/>
      <c r="G296" s="121"/>
      <c r="H296" s="121"/>
      <c r="I296" s="121"/>
      <c r="J296" s="121"/>
      <c r="K296" s="121"/>
      <c r="L296" s="121"/>
      <c r="M296" s="121"/>
      <c r="N296" s="121"/>
      <c r="O296" s="121"/>
      <c r="P296" s="121"/>
      <c r="Q296" s="121"/>
      <c r="R296" s="121"/>
      <c r="S296" s="121"/>
      <c r="T296" s="121"/>
      <c r="U296" s="121"/>
      <c r="V296" s="121"/>
      <c r="W296" s="121"/>
      <c r="X296" s="121"/>
      <c r="Y296" s="121"/>
      <c r="Z296" s="121"/>
    </row>
    <row r="297" spans="1:26" ht="18.75" customHeight="1">
      <c r="A297" s="121"/>
      <c r="B297" s="121"/>
      <c r="C297" s="121"/>
      <c r="D297" s="121"/>
      <c r="E297" s="121"/>
      <c r="F297" s="121"/>
      <c r="G297" s="121"/>
      <c r="H297" s="121"/>
      <c r="I297" s="121"/>
      <c r="J297" s="121"/>
      <c r="K297" s="121"/>
      <c r="L297" s="121"/>
      <c r="M297" s="121"/>
      <c r="N297" s="121"/>
      <c r="O297" s="121"/>
      <c r="P297" s="121"/>
      <c r="Q297" s="121"/>
      <c r="R297" s="121"/>
      <c r="S297" s="121"/>
      <c r="T297" s="121"/>
      <c r="U297" s="121"/>
      <c r="V297" s="121"/>
      <c r="W297" s="121"/>
      <c r="X297" s="121"/>
      <c r="Y297" s="121"/>
      <c r="Z297" s="121"/>
    </row>
    <row r="298" spans="1:26" ht="18.75" customHeight="1">
      <c r="A298" s="121"/>
      <c r="B298" s="121"/>
      <c r="C298" s="121"/>
      <c r="D298" s="121"/>
      <c r="E298" s="121"/>
      <c r="F298" s="121"/>
      <c r="G298" s="121"/>
      <c r="H298" s="121"/>
      <c r="I298" s="121"/>
      <c r="J298" s="121"/>
      <c r="K298" s="121"/>
      <c r="L298" s="121"/>
      <c r="M298" s="121"/>
      <c r="N298" s="121"/>
      <c r="O298" s="121"/>
      <c r="P298" s="121"/>
      <c r="Q298" s="121"/>
      <c r="R298" s="121"/>
      <c r="S298" s="121"/>
      <c r="T298" s="121"/>
      <c r="U298" s="121"/>
      <c r="V298" s="121"/>
      <c r="W298" s="121"/>
      <c r="X298" s="121"/>
      <c r="Y298" s="121"/>
      <c r="Z298" s="121"/>
    </row>
    <row r="299" spans="1:26" ht="18.75" customHeight="1">
      <c r="A299" s="121"/>
      <c r="B299" s="121"/>
      <c r="C299" s="121"/>
      <c r="D299" s="121"/>
      <c r="E299" s="121"/>
      <c r="F299" s="121"/>
      <c r="G299" s="121"/>
      <c r="H299" s="121"/>
      <c r="I299" s="121"/>
      <c r="J299" s="121"/>
      <c r="K299" s="121"/>
      <c r="L299" s="121"/>
      <c r="M299" s="121"/>
      <c r="N299" s="121"/>
      <c r="O299" s="121"/>
      <c r="P299" s="121"/>
      <c r="Q299" s="121"/>
      <c r="R299" s="121"/>
      <c r="S299" s="121"/>
      <c r="T299" s="121"/>
      <c r="U299" s="121"/>
      <c r="V299" s="121"/>
      <c r="W299" s="121"/>
      <c r="X299" s="121"/>
      <c r="Y299" s="121"/>
      <c r="Z299" s="121"/>
    </row>
    <row r="300" spans="1:26" ht="18.75" customHeight="1">
      <c r="A300" s="121"/>
      <c r="B300" s="121"/>
      <c r="C300" s="121"/>
      <c r="D300" s="121"/>
      <c r="E300" s="121"/>
      <c r="F300" s="121"/>
      <c r="G300" s="121"/>
      <c r="H300" s="121"/>
      <c r="I300" s="121"/>
      <c r="J300" s="121"/>
      <c r="K300" s="121"/>
      <c r="L300" s="121"/>
      <c r="M300" s="121"/>
      <c r="N300" s="121"/>
      <c r="O300" s="121"/>
      <c r="P300" s="121"/>
      <c r="Q300" s="121"/>
      <c r="R300" s="121"/>
      <c r="S300" s="121"/>
      <c r="T300" s="121"/>
      <c r="U300" s="121"/>
      <c r="V300" s="121"/>
      <c r="W300" s="121"/>
      <c r="X300" s="121"/>
      <c r="Y300" s="121"/>
      <c r="Z300" s="121"/>
    </row>
    <row r="301" spans="1:26" ht="18.75" customHeight="1">
      <c r="A301" s="121"/>
      <c r="B301" s="121"/>
      <c r="C301" s="121"/>
      <c r="D301" s="121"/>
      <c r="E301" s="121"/>
      <c r="F301" s="121"/>
      <c r="G301" s="121"/>
      <c r="H301" s="121"/>
      <c r="I301" s="121"/>
      <c r="J301" s="121"/>
      <c r="K301" s="121"/>
      <c r="L301" s="121"/>
      <c r="M301" s="121"/>
      <c r="N301" s="121"/>
      <c r="O301" s="121"/>
      <c r="P301" s="121"/>
      <c r="Q301" s="121"/>
      <c r="R301" s="121"/>
      <c r="S301" s="121"/>
      <c r="T301" s="121"/>
      <c r="U301" s="121"/>
      <c r="V301" s="121"/>
      <c r="W301" s="121"/>
      <c r="X301" s="121"/>
      <c r="Y301" s="121"/>
      <c r="Z301" s="121"/>
    </row>
    <row r="302" spans="1:26" ht="18.75" customHeight="1">
      <c r="A302" s="121"/>
      <c r="B302" s="121"/>
      <c r="C302" s="121"/>
      <c r="D302" s="121"/>
      <c r="E302" s="121"/>
      <c r="F302" s="121"/>
      <c r="G302" s="121"/>
      <c r="H302" s="121"/>
      <c r="I302" s="121"/>
      <c r="J302" s="121"/>
      <c r="K302" s="121"/>
      <c r="L302" s="121"/>
      <c r="M302" s="121"/>
      <c r="N302" s="121"/>
      <c r="O302" s="121"/>
      <c r="P302" s="121"/>
      <c r="Q302" s="121"/>
      <c r="R302" s="121"/>
      <c r="S302" s="121"/>
      <c r="T302" s="121"/>
      <c r="U302" s="121"/>
      <c r="V302" s="121"/>
      <c r="W302" s="121"/>
      <c r="X302" s="121"/>
      <c r="Y302" s="121"/>
      <c r="Z302" s="121"/>
    </row>
    <row r="303" spans="1:26" ht="15.75" customHeight="1">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spans="1:26" ht="15.75" customHeight="1">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spans="1:26" ht="15.75" customHeight="1">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spans="1:26" ht="15.75" customHeight="1">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spans="1:26" ht="15.75" customHeight="1">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spans="1:26" ht="15.75" customHeight="1">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spans="1:26" ht="15.75" customHeight="1">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spans="1:26" ht="15.75" customHeight="1">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spans="1:26" ht="15.75" customHeight="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spans="1:26" ht="15.75" customHeight="1">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spans="1:26" ht="15.75" customHeight="1">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spans="1:26" ht="15.75" customHeight="1">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spans="1:26" ht="15.75" customHeight="1">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spans="1:26" ht="15.75" customHeight="1">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spans="1:26" ht="15.75" customHeight="1">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spans="1:26" ht="15.75" customHeight="1">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spans="1:26" ht="15.75" customHeight="1">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spans="1:26" ht="15.75" customHeight="1">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spans="1:26" ht="15.75" customHeight="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spans="1:26" ht="15.75" customHeight="1">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spans="1:26" ht="15.75" customHeight="1">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spans="1:26" ht="15.75" customHeight="1">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spans="1:26" ht="15.75" customHeight="1">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spans="1:26" ht="15.75" customHeight="1">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spans="1:26" ht="15.75" customHeight="1">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spans="1:26" ht="15.75" customHeight="1">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spans="1:26" ht="15.75" customHeight="1">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spans="1:26" ht="15.75" customHeight="1">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spans="1:26" ht="15.75" customHeight="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spans="1:26" ht="15.75" customHeight="1">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spans="1:26" ht="15.75" customHeight="1">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spans="1:26" ht="15.75" customHeight="1">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spans="1:26" ht="15.75" customHeight="1">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spans="1:26" ht="15.75" customHeight="1">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spans="1:26" ht="15.75" customHeight="1">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spans="1:26" ht="15.75" customHeight="1">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spans="1:26" ht="15.75" customHeight="1">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spans="1:26" ht="15.75" customHeight="1">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spans="1:26" ht="15.75" customHeight="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spans="1:26" ht="15.75" customHeight="1">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spans="1:26" ht="15.75" customHeight="1">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spans="1:26" ht="15.75" customHeight="1">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spans="1:26" ht="15.75" customHeight="1">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spans="1:26" ht="15.75" customHeight="1">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spans="1:26" ht="15.75" customHeight="1">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spans="1:26" ht="15.75" customHeight="1">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spans="1:26" ht="15.75" customHeight="1">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spans="1:26" ht="15.75" customHeight="1">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spans="1:26" ht="15.75" customHeight="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spans="1:26" ht="15.75" customHeight="1">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spans="1:26" ht="15.75" customHeight="1">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spans="1:26" ht="15.75" customHeight="1">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spans="1:26" ht="15.75" customHeight="1">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spans="1:26" ht="15.75" customHeight="1">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spans="1:26" ht="15.75" customHeight="1">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spans="1:26" ht="15.75" customHeight="1">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spans="1:26" ht="15.75" customHeight="1">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spans="1:26" ht="15.75" customHeight="1">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spans="1:26" ht="15.75" customHeight="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spans="1:26" ht="15.75" customHeight="1">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spans="1:26" ht="15.75" customHeight="1">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spans="1:26" ht="15.75" customHeight="1">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spans="1:26" ht="15.75" customHeight="1">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spans="1:26" ht="15.75" customHeight="1">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spans="1:26" ht="15.75" customHeight="1">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spans="1:26" ht="15.75" customHeight="1">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spans="1:26" ht="15.75" customHeight="1">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spans="1:26" ht="15.75" customHeight="1">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spans="1:26" ht="15.75" customHeight="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spans="1:26" ht="15.75" customHeight="1">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spans="1:26" ht="15.75" customHeight="1">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spans="1:26" ht="15.75" customHeight="1">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spans="1:26" ht="15.75" customHeight="1">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spans="1:26" ht="15.75" customHeight="1">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spans="1:26" ht="15.75" customHeight="1">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spans="1:26" ht="15.75" customHeight="1">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spans="1:26" ht="15.75" customHeight="1">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spans="1:26" ht="15.75" customHeight="1">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spans="1:26" ht="15.75" customHeight="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spans="1:26" ht="15.75" customHeight="1">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spans="1:26" ht="15.75" customHeight="1">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spans="1:26" ht="15.75" customHeight="1">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spans="1:26" ht="15.75" customHeight="1">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spans="1:26" ht="15.75" customHeight="1">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spans="1:26" ht="15.75" customHeight="1">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spans="1:26" ht="15.75" customHeight="1">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spans="1:26" ht="15.75" customHeight="1">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spans="1:26" ht="15.75" customHeight="1">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spans="1:26" ht="15.75" customHeight="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spans="1:26" ht="15.75" customHeight="1">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spans="1:26" ht="15.75" customHeight="1">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spans="1:26" ht="15.75" customHeight="1">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spans="1:26" ht="15.75" customHeight="1">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spans="1:26" ht="15.75" customHeight="1">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spans="1:26" ht="15.75" customHeight="1">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spans="1:26" ht="15.75" customHeight="1">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spans="1:26" ht="15.75" customHeight="1">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spans="1:26" ht="15.75" customHeight="1">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spans="1:26" ht="15.75" customHeight="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spans="1:26" ht="15.75" customHeight="1">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spans="1:26" ht="15.75" customHeight="1">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spans="1:26" ht="15.75" customHeight="1">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spans="1:26" ht="15.75" customHeight="1">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spans="1:26" ht="15.75" customHeight="1">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spans="1:26" ht="15.75" customHeight="1">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spans="1:26" ht="15.75" customHeight="1">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spans="1:26" ht="15.75" customHeight="1">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spans="1:26" ht="15.75" customHeight="1">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spans="1:26" ht="15.75" customHeight="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spans="1:26" ht="15.75" customHeight="1">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spans="1:26" ht="15.75" customHeight="1">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spans="1:26" ht="15.75" customHeight="1">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spans="1:26" ht="15.75" customHeight="1">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spans="1:26" ht="15.75" customHeight="1">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spans="1:26" ht="15.75" customHeight="1">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spans="1:26" ht="15.75" customHeight="1">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spans="1:26" ht="15.75" customHeight="1">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spans="1:26" ht="15.75" customHeight="1">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spans="1:26" ht="15.75" customHeight="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spans="1:26" ht="15.75" customHeight="1">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spans="1:26" ht="15.75" customHeight="1">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spans="1:26" ht="15.75" customHeight="1">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spans="1:26" ht="15.75" customHeight="1">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spans="1:26" ht="15.75" customHeight="1">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spans="1:26" ht="15.75" customHeight="1">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spans="1:26" ht="15.75" customHeight="1">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spans="1:26" ht="15.75" customHeight="1">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spans="1:26" ht="15.75" customHeight="1">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spans="1:26" ht="15.75" customHeight="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spans="1:26" ht="15.75" customHeight="1">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spans="1:26" ht="15.75" customHeight="1">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spans="1:26" ht="15.75" customHeight="1">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spans="1:26" ht="15.75" customHeight="1">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spans="1:26" ht="15.75" customHeight="1">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spans="1:26" ht="15.75" customHeight="1">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spans="1:26" ht="15.75" customHeight="1">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spans="1:26" ht="15.75" customHeight="1">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spans="1:26" ht="15.75" customHeight="1">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spans="1:26" ht="15.75" customHeight="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spans="1:26" ht="15.75" customHeight="1">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spans="1:26" ht="15.75" customHeight="1">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spans="1:26" ht="15.75" customHeight="1">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spans="1:26" ht="15.75" customHeight="1">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spans="1:26" ht="15.75" customHeight="1">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spans="1:26" ht="15.75" customHeight="1">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spans="1:26" ht="15.75" customHeight="1">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spans="1:26" ht="15.75" customHeight="1">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spans="1:26" ht="15.75" customHeight="1">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spans="1:26" ht="15.75" customHeight="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spans="1:26" ht="15.75" customHeight="1">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spans="1:26" ht="15.75" customHeight="1">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spans="1:26" ht="15.75" customHeight="1">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spans="1:26" ht="15.75" customHeight="1">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spans="1:26" ht="15.75" customHeight="1">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spans="1:26" ht="15.75" customHeight="1">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spans="1:26" ht="15.75" customHeight="1">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spans="1:26" ht="15.75" customHeight="1">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spans="1:26" ht="15.75" customHeight="1">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spans="1:26" ht="15.75" customHeight="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spans="1:26" ht="15.75" customHeight="1">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spans="1:26" ht="15.75" customHeight="1">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spans="1:26" ht="15.75" customHeight="1">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spans="1:26" ht="15.75" customHeight="1">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spans="1:26" ht="15.75" customHeight="1">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spans="1:26" ht="15.75" customHeight="1">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spans="1:26" ht="15.75" customHeight="1">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spans="1:26" ht="15.75" customHeight="1">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spans="1:26" ht="15.75" customHeight="1">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spans="1:26" ht="15.75" customHeight="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spans="1:26" ht="15.75" customHeight="1">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spans="1:26" ht="15.75" customHeight="1">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spans="1:26" ht="15.75" customHeight="1">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spans="1:26" ht="15.75" customHeight="1">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spans="1:26" ht="15.75" customHeight="1">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spans="1:26" ht="15.75" customHeight="1">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spans="1:26" ht="15.75" customHeight="1">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spans="1:26" ht="15.75" customHeight="1">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spans="1:26" ht="15.75" customHeight="1">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spans="1:26" ht="15.75" customHeight="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spans="1:26" ht="15.75" customHeight="1">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spans="1:26" ht="15.75" customHeight="1">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spans="1:26" ht="15.75" customHeight="1">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spans="1:26" ht="15.75" customHeight="1">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spans="1:26" ht="15.75" customHeight="1">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spans="1:26" ht="15.75" customHeight="1">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spans="1:26" ht="15.75" customHeight="1">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spans="1:26" ht="15.75" customHeight="1">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spans="1:26" ht="15.75" customHeight="1">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spans="1:26" ht="15.75" customHeight="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spans="1:26" ht="15.75" customHeight="1">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spans="1:26" ht="15.75" customHeight="1">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spans="1:26" ht="15.75" customHeight="1">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spans="1:26" ht="15.75" customHeight="1">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spans="1:26" ht="15.75" customHeight="1">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spans="1:26" ht="15.75" customHeight="1">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spans="1:26" ht="15.75" customHeight="1">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spans="1:26" ht="15.75" customHeight="1">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spans="1:26" ht="15.75" customHeight="1">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spans="1:26" ht="15.75" customHeight="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spans="1:26" ht="15.75" customHeight="1">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spans="1:26" ht="15.75" customHeight="1">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spans="1:26" ht="15.75" customHeight="1">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spans="1:26" ht="15.75" customHeight="1">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spans="1:26" ht="15.75" customHeight="1">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spans="1:26" ht="15.75" customHeight="1">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spans="1:26" ht="15.75" customHeight="1">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spans="1:26" ht="15.75" customHeight="1">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spans="1:26" ht="15.75" customHeight="1">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spans="1:26" ht="15.75" customHeight="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spans="1:26" ht="15.75" customHeight="1">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spans="1:26" ht="15.75" customHeight="1">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spans="1:26" ht="15.75" customHeight="1">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spans="1:26" ht="15.75" customHeight="1">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spans="1:26" ht="15.75" customHeight="1">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spans="1:26" ht="15.75" customHeight="1">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spans="1:26" ht="15.75" customHeight="1">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spans="1:26" ht="15.75" customHeight="1">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spans="1:26" ht="15.75" customHeight="1">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spans="1:26" ht="15.75" customHeight="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spans="1:26" ht="15.75" customHeight="1">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spans="1:26" ht="15.75" customHeight="1">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spans="1:26" ht="15.75" customHeight="1">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spans="1:26" ht="15.75" customHeight="1">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spans="1:26" ht="15.75" customHeight="1">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spans="1:26" ht="15.75" customHeight="1">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spans="1:26" ht="15.75" customHeight="1">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spans="1:26" ht="15.75" customHeight="1">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spans="1:26" ht="15.75" customHeight="1">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spans="1:26" ht="15.75" customHeight="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spans="1:26" ht="15.75" customHeight="1">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spans="1:26" ht="15.75" customHeight="1">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spans="1:26" ht="15.75" customHeight="1">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spans="1:26" ht="15.75" customHeight="1">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spans="1:26" ht="15.75" customHeight="1">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spans="1:26" ht="15.75" customHeight="1">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spans="1:26" ht="15.75" customHeight="1">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spans="1:26" ht="15.75" customHeight="1">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spans="1:26" ht="15.75" customHeight="1">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spans="1:26" ht="15.75" customHeight="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spans="1:26" ht="15.75" customHeight="1">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spans="1:26" ht="15.75" customHeight="1">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spans="1:26" ht="15.75" customHeight="1">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spans="1:26" ht="15.75" customHeight="1">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spans="1:26" ht="15.75" customHeight="1">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spans="1:26" ht="15.75" customHeight="1">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spans="1:26" ht="15.75" customHeight="1">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spans="1:26" ht="15.75" customHeight="1">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spans="1:26" ht="15.75" customHeight="1">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spans="1:26" ht="15.75" customHeight="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spans="1:26" ht="15.75" customHeight="1">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spans="1:26" ht="15.75" customHeight="1">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spans="1:26" ht="15.75" customHeight="1">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spans="1:26" ht="15.75" customHeight="1">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spans="1:26" ht="15.75" customHeight="1">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spans="1:26" ht="15.75" customHeight="1">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spans="1:26" ht="15.75" customHeight="1">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spans="1:26" ht="15.75" customHeight="1">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spans="1:26" ht="15.75" customHeight="1">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spans="1:26" ht="15.75" customHeight="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spans="1:26" ht="15.75" customHeight="1">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spans="1:26" ht="15.75" customHeight="1">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spans="1:26" ht="15.75" customHeight="1">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spans="1:26" ht="15.75" customHeight="1">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spans="1:26" ht="15.75" customHeight="1">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spans="1:26" ht="15.75" customHeight="1">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spans="1:26" ht="15.75" customHeight="1">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spans="1:26" ht="15.75" customHeight="1">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spans="1:26" ht="15.75" customHeight="1">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spans="1:26" ht="15.75" customHeight="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spans="1:26" ht="15.75" customHeight="1">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spans="1:26" ht="15.75" customHeight="1">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spans="1:26" ht="15.75" customHeight="1">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spans="1:26" ht="15.75" customHeight="1">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spans="1:26" ht="15.75" customHeight="1">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spans="1:26" ht="15.75" customHeight="1">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spans="1:26" ht="15.75" customHeight="1">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spans="1:26" ht="15.75" customHeight="1">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spans="1:26" ht="15.75" customHeight="1">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spans="1:26" ht="15.75" customHeight="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spans="1:26" ht="15.75" customHeight="1">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spans="1:26" ht="15.75" customHeight="1">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spans="1:26" ht="15.75" customHeight="1">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spans="1:26" ht="15.75" customHeight="1">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spans="1:26" ht="15.75" customHeight="1">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spans="1:26" ht="15.75" customHeight="1">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spans="1:26" ht="15.75" customHeight="1">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spans="1:26" ht="15.75" customHeight="1">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spans="1:26" ht="15.75" customHeight="1">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spans="1:26" ht="15.75" customHeight="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spans="1:26" ht="15.75" customHeight="1">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spans="1:26" ht="15.75" customHeight="1">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spans="1:26" ht="15.75" customHeight="1">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spans="1:26" ht="15.75" customHeight="1">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spans="1:26" ht="15.75" customHeight="1">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spans="1:26" ht="15.75" customHeight="1">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spans="1:26" ht="15.75" customHeight="1">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spans="1:26" ht="15.75" customHeight="1">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spans="1:26" ht="15.75" customHeight="1">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spans="1:26" ht="15.75" customHeight="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spans="1:26" ht="15.75" customHeight="1">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spans="1:26" ht="15.75" customHeight="1">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spans="1:26" ht="15.75" customHeight="1">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spans="1:26" ht="15.75" customHeight="1">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spans="1:26" ht="15.75" customHeight="1">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spans="1:26" ht="15.75" customHeight="1">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spans="1:26" ht="15.75" customHeight="1">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spans="1:26" ht="15.75" customHeight="1">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spans="1:26" ht="15.75" customHeight="1">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spans="1:26" ht="15.75" customHeight="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spans="1:26" ht="15.75" customHeight="1">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spans="1:26" ht="15.75" customHeight="1">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spans="1:26" ht="15.75" customHeight="1">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spans="1:26" ht="15.75" customHeight="1">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spans="1:26" ht="15.75" customHeight="1">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spans="1:26" ht="15.75" customHeight="1">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spans="1:26" ht="15.75" customHeight="1">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spans="1:26" ht="15.75" customHeight="1">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spans="1:26" ht="15.75" customHeight="1">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spans="1:26" ht="15.75" customHeight="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spans="1:26" ht="15.75" customHeight="1">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spans="1:26" ht="15.75" customHeight="1">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spans="1:26" ht="15.75" customHeight="1">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spans="1:26" ht="15.75" customHeight="1">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spans="1:26" ht="15.75" customHeight="1">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spans="1:26" ht="15.75" customHeight="1">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spans="1:26" ht="15.75" customHeight="1">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spans="1:26" ht="15.75" customHeight="1">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spans="1:26" ht="15.75" customHeight="1">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spans="1:26" ht="15.75" customHeight="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spans="1:26" ht="15.75" customHeight="1">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spans="1:26" ht="15.75" customHeight="1">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spans="1:26" ht="15.75" customHeight="1">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spans="1:26" ht="15.75" customHeight="1">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spans="1:26" ht="15.75" customHeight="1">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spans="1:26" ht="15.75" customHeight="1">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spans="1:26" ht="15.75" customHeight="1">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spans="1:26" ht="15.75" customHeight="1">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spans="1:26" ht="15.75" customHeight="1">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spans="1:26" ht="15.75" customHeight="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spans="1:26" ht="15.75" customHeight="1">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spans="1:26" ht="15.75" customHeight="1">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spans="1:26" ht="15.75" customHeight="1">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spans="1:26" ht="15.75" customHeight="1">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spans="1:26" ht="15.75" customHeight="1">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spans="1:26" ht="15.75" customHeight="1">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spans="1:26" ht="15.75" customHeight="1">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spans="1:26" ht="15.75" customHeight="1">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spans="1:26" ht="15.75" customHeight="1">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spans="1:26" ht="15.75" customHeight="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spans="1:26" ht="15.75" customHeight="1">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spans="1:26" ht="15.75" customHeight="1">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spans="1:26" ht="15.75" customHeight="1">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spans="1:26" ht="15.75" customHeight="1">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spans="1:26" ht="15.75" customHeight="1">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spans="1:26" ht="15.75" customHeight="1">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spans="1:26" ht="15.75" customHeight="1">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spans="1:26" ht="15.75" customHeight="1">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spans="1:26" ht="15.75" customHeight="1">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spans="1:26" ht="15.75" customHeight="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spans="1:26" ht="15.75" customHeight="1">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spans="1:26" ht="15.75" customHeight="1">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spans="1:26" ht="15.75" customHeight="1">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spans="1:26" ht="15.75" customHeight="1">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spans="1:26" ht="15.75" customHeight="1">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spans="1:26" ht="15.75" customHeight="1">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spans="1:26" ht="15.75" customHeight="1">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spans="1:26" ht="15.75" customHeight="1">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spans="1:26" ht="15.75" customHeight="1">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spans="1:26" ht="15.75" customHeight="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spans="1:26" ht="15.75" customHeight="1">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spans="1:26" ht="15.75" customHeight="1">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spans="1:26" ht="15.75" customHeight="1">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spans="1:26" ht="15.75" customHeight="1">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spans="1:26" ht="15.75" customHeight="1">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spans="1:26" ht="15.75" customHeight="1">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spans="1:26" ht="15.75" customHeight="1">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spans="1:26" ht="15.75" customHeight="1">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spans="1:26" ht="15.75" customHeight="1">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spans="1:26" ht="15.75" customHeight="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spans="1:26" ht="15.75" customHeight="1">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spans="1:26" ht="15.75" customHeight="1">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spans="1:26" ht="15.75" customHeight="1">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spans="1:26" ht="15.75" customHeight="1">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spans="1:26" ht="15.75" customHeight="1">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spans="1:26" ht="15.75" customHeight="1">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spans="1:26" ht="15.75" customHeight="1">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spans="1:26" ht="15.75" customHeight="1">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spans="1:26" ht="15.75" customHeight="1">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spans="1:26" ht="15.75" customHeight="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spans="1:26" ht="15.75" customHeight="1">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spans="1:26" ht="15.75" customHeight="1">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spans="1:26" ht="15.75" customHeight="1">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spans="1:26" ht="15.75" customHeight="1">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spans="1:26" ht="15.75" customHeight="1">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spans="1:26" ht="15.75" customHeight="1">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spans="1:26" ht="15.75" customHeight="1">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spans="1:26" ht="15.75" customHeight="1">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spans="1:26" ht="15.75" customHeight="1">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spans="1:26" ht="15.75" customHeight="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spans="1:26" ht="15.75" customHeight="1">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spans="1:26" ht="15.75" customHeight="1">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spans="1:26" ht="15.75" customHeight="1">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spans="1:26" ht="15.75" customHeight="1">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spans="1:26" ht="15.75" customHeight="1">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spans="1:26" ht="15.75" customHeight="1">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spans="1:26" ht="15.75" customHeight="1">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spans="1:26" ht="15.75" customHeight="1">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spans="1:26" ht="15.75" customHeight="1">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spans="1:26" ht="15.75" customHeight="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spans="1:26" ht="15.75" customHeight="1">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spans="1:26" ht="15.75" customHeight="1">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spans="1:26" ht="15.75" customHeight="1">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spans="1:26" ht="15.75" customHeight="1">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spans="1:26" ht="15.75" customHeight="1">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spans="1:26" ht="15.75" customHeight="1">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spans="1:26" ht="15.75" customHeight="1">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spans="1:26" ht="15.75" customHeight="1">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spans="1:26" ht="15.75" customHeight="1">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spans="1:26" ht="15.75" customHeight="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spans="1:26" ht="15.75" customHeight="1">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spans="1:26" ht="15.75" customHeight="1">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spans="1:26" ht="15.75" customHeight="1">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spans="1:26" ht="15.75" customHeight="1">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spans="1:26" ht="15.75" customHeight="1">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spans="1:26" ht="15.75" customHeight="1">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spans="1:26" ht="15.75" customHeight="1">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spans="1:26" ht="15.75" customHeight="1">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spans="1:26" ht="15.75" customHeight="1">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spans="1:26" ht="15.75" customHeight="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spans="1:26" ht="15.75" customHeight="1">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spans="1:26" ht="15.75" customHeight="1">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spans="1:26" ht="15.75" customHeight="1">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spans="1:26" ht="15.75" customHeight="1">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spans="1:26" ht="15.75" customHeight="1">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spans="1:26" ht="15.75" customHeight="1">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spans="1:26" ht="15.75" customHeight="1">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spans="1:26" ht="15.75" customHeight="1">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spans="1:26" ht="15.75" customHeight="1">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spans="1:26" ht="15.75" customHeight="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spans="1:26" ht="15.75" customHeight="1">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spans="1:26" ht="15.75" customHeight="1">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spans="1:26" ht="15.75" customHeight="1">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spans="1:26" ht="15.75" customHeight="1">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spans="1:26" ht="15.75" customHeight="1">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spans="1:26" ht="15.75" customHeight="1">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spans="1:26" ht="15.75" customHeight="1">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spans="1:26" ht="15.75" customHeight="1">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spans="1:26" ht="15.75" customHeight="1">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spans="1:26" ht="15.75" customHeight="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spans="1:26" ht="15.75" customHeight="1">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spans="1:26" ht="15.75" customHeight="1">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spans="1:26" ht="15.75" customHeight="1">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spans="1:26" ht="15.75" customHeight="1">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spans="1:26" ht="15.75" customHeight="1">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spans="1:26" ht="15.75" customHeight="1">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spans="1:26" ht="15.75" customHeight="1">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spans="1:26" ht="15.75" customHeight="1">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spans="1:26" ht="15.75" customHeight="1">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spans="1:26" ht="15.75" customHeight="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spans="1:26" ht="15.75" customHeight="1">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spans="1:26" ht="15.75" customHeight="1">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spans="1:26" ht="15.75" customHeight="1">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spans="1:26" ht="15.75" customHeight="1">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spans="1:26" ht="15.75" customHeight="1">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spans="1:26" ht="15.75" customHeight="1">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spans="1:26" ht="15.75" customHeight="1">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spans="1:26" ht="15.75" customHeight="1">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spans="1:26" ht="15.75" customHeight="1">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spans="1:26" ht="15.75" customHeight="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spans="1:26" ht="15.75" customHeight="1">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spans="1:26" ht="15.75" customHeight="1">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spans="1:26" ht="15.75" customHeight="1">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spans="1:26" ht="15.75" customHeight="1">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spans="1:26" ht="15.75" customHeight="1">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spans="1:26" ht="15.75" customHeight="1">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spans="1:26" ht="15.75" customHeight="1">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spans="1:26" ht="15.75" customHeight="1">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spans="1:26" ht="15.75" customHeight="1">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spans="1:26" ht="15.75" customHeight="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spans="1:26" ht="15.75" customHeight="1">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spans="1:26" ht="15.75" customHeight="1">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spans="1:26" ht="15.75" customHeight="1">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spans="1:26" ht="15.75" customHeight="1">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spans="1:26" ht="15.75" customHeight="1">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spans="1:26" ht="15.75" customHeight="1">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spans="1:26" ht="15.75" customHeight="1">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spans="1:26" ht="15.75" customHeight="1">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spans="1:26" ht="15.75" customHeight="1">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spans="1:26" ht="15.75" customHeight="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spans="1:26" ht="15.75" customHeight="1">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spans="1:26" ht="15.75" customHeight="1">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spans="1:26" ht="15.75" customHeight="1">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spans="1:26" ht="15.75" customHeight="1">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spans="1:26" ht="15.75" customHeight="1">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spans="1:26" ht="15.75" customHeight="1">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spans="1:26" ht="15.75" customHeight="1">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spans="1:26" ht="15.75" customHeight="1">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spans="1:26" ht="15.75" customHeight="1">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spans="1:26" ht="15.75" customHeight="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spans="1:26" ht="15.75" customHeight="1">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spans="1:26" ht="15.75" customHeight="1">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spans="1:26" ht="15.75" customHeight="1">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spans="1:26" ht="15.75" customHeight="1">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spans="1:26" ht="15.75" customHeight="1">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spans="1:26" ht="15.75" customHeight="1">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spans="1:26" ht="15.75" customHeight="1">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spans="1:26" ht="15.75" customHeight="1">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spans="1:26" ht="15.75" customHeight="1">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spans="1:26" ht="15.75" customHeight="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spans="1:26" ht="15.75" customHeight="1">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spans="1:26" ht="15.75" customHeight="1">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spans="1:26" ht="15.75" customHeight="1">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spans="1:26" ht="15.75" customHeight="1">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spans="1:26" ht="15.75" customHeight="1">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spans="1:26" ht="15.75" customHeight="1">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spans="1:26" ht="15.75" customHeight="1">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spans="1:26" ht="15.75" customHeight="1">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spans="1:26" ht="15.75" customHeight="1">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spans="1:26" ht="15.75" customHeight="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spans="1:26" ht="15.75" customHeight="1">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spans="1:26" ht="15.75" customHeight="1">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spans="1:26" ht="15.75" customHeight="1">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spans="1:26" ht="15.75" customHeight="1">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spans="1:26" ht="15.75" customHeight="1">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spans="1:26" ht="15.75" customHeight="1">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spans="1:26" ht="15.75" customHeight="1">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spans="1:26" ht="15.75" customHeight="1">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spans="1:26" ht="15.75" customHeight="1">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spans="1:26" ht="15.75" customHeight="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spans="1:26" ht="15.75" customHeight="1">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spans="1:26" ht="15.75" customHeight="1">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spans="1:26" ht="15.75" customHeight="1">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spans="1:26" ht="15.75" customHeight="1">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spans="1:26" ht="15.75" customHeight="1">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spans="1:26" ht="15.75" customHeight="1">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spans="1:26" ht="15.75" customHeight="1">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spans="1:26" ht="15.75" customHeight="1">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spans="1:26" ht="15.75" customHeight="1">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spans="1:26" ht="15.75" customHeight="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spans="1:26" ht="15.75" customHeight="1">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spans="1:26" ht="15.75" customHeight="1">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spans="1:26" ht="15.75" customHeight="1">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spans="1:26" ht="15.75" customHeight="1">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spans="1:26" ht="15.75" customHeight="1">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spans="1:26" ht="15.75" customHeight="1">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spans="1:26" ht="15.75" customHeight="1">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spans="1:26" ht="15.75" customHeight="1">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spans="1:26" ht="15.75" customHeight="1">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spans="1:26" ht="15.75" customHeight="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spans="1:26" ht="15.75" customHeight="1">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spans="1:26" ht="15.75" customHeight="1">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spans="1:26" ht="15.75" customHeight="1">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spans="1:26" ht="15.75" customHeight="1">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spans="1:26" ht="15.75" customHeight="1">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spans="1:26" ht="15.75" customHeight="1">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spans="1:26" ht="15.75" customHeight="1">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spans="1:26" ht="15.75" customHeight="1">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spans="1:26" ht="15.75" customHeight="1">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spans="1:26" ht="15.75" customHeight="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spans="1:26" ht="15.75" customHeight="1">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spans="1:26" ht="15.75" customHeight="1">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spans="1:26" ht="15.75" customHeight="1">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spans="1:26" ht="15.75" customHeight="1">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spans="1:26" ht="15.75" customHeight="1">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spans="1:26" ht="15.75" customHeight="1">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spans="1:26" ht="15.75" customHeight="1">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spans="1:26" ht="15.75" customHeight="1">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spans="1:26" ht="15.75" customHeight="1">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spans="1:26" ht="15.75" customHeight="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spans="1:26" ht="15.75" customHeight="1">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spans="1:26" ht="15.75" customHeight="1">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spans="1:26" ht="15.75" customHeight="1">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spans="1:26" ht="15.75" customHeight="1">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spans="1:26" ht="15.75" customHeight="1">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spans="1:26" ht="15.75" customHeight="1">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spans="1:26" ht="15.75" customHeight="1">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spans="1:26" ht="15.75" customHeight="1">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spans="1:26" ht="15.75" customHeight="1">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spans="1:26" ht="15.75" customHeight="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spans="1:26" ht="15.75" customHeight="1">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spans="1:26" ht="15.75" customHeight="1">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spans="1:26" ht="15.75" customHeight="1">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spans="1:26" ht="15.75" customHeight="1">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spans="1:26" ht="15.75" customHeight="1">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spans="1:26" ht="15.75" customHeight="1">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spans="1:26" ht="15.75" customHeight="1">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spans="1:26" ht="15.75" customHeight="1">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spans="1:26" ht="15.75" customHeight="1">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spans="1:26" ht="15.75" customHeight="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spans="1:26" ht="15.75" customHeight="1">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spans="1:26" ht="15.75" customHeight="1">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spans="1:26" ht="15.75" customHeight="1">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spans="1:26" ht="15.75" customHeight="1">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spans="1:26" ht="15.75" customHeight="1">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spans="1:26" ht="15.75" customHeight="1">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spans="1:26" ht="15.75" customHeight="1">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spans="1:26" ht="15.75" customHeight="1">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spans="1:26" ht="15.75" customHeight="1">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spans="1:26" ht="15.75" customHeight="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spans="1:26" ht="15.75" customHeight="1">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spans="1:26" ht="15.75" customHeight="1">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spans="1:26" ht="15.75" customHeight="1">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spans="1:26" ht="15.75" customHeight="1">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spans="1:26" ht="15.75" customHeight="1">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spans="1:26" ht="15.75" customHeight="1">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spans="1:26" ht="15.75" customHeight="1">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spans="1:26" ht="15.75" customHeight="1">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spans="1:26" ht="15.75" customHeight="1">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spans="1:26" ht="15.75" customHeight="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spans="1:26" ht="15.75" customHeight="1">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spans="1:26" ht="15.75" customHeight="1">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spans="1:26" ht="15.75" customHeight="1">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spans="1:26" ht="15.75" customHeight="1">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spans="1:26" ht="15.75" customHeight="1">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spans="1:26" ht="15.75" customHeight="1">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spans="1:26" ht="15.75" customHeight="1">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spans="1:26" ht="15.75" customHeight="1">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spans="1:26" ht="15.75" customHeight="1">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spans="1:26" ht="15.75" customHeight="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spans="1:26" ht="15.75" customHeight="1">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spans="1:26" ht="15.75" customHeight="1">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spans="1:26" ht="15.75" customHeight="1">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spans="1:26" ht="15.75" customHeight="1">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spans="1:26" ht="15.75" customHeight="1">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spans="1:26" ht="15.75" customHeight="1">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spans="1:26" ht="15.75" customHeight="1">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spans="1:26" ht="15.75" customHeight="1">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spans="1:26" ht="15.75" customHeight="1">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spans="1:26" ht="15.75" customHeight="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spans="1:26" ht="15.75" customHeight="1">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spans="1:26" ht="15.75" customHeight="1">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spans="1:26" ht="15.75" customHeight="1">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spans="1:26" ht="15.75" customHeight="1">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spans="1:26" ht="15.75" customHeight="1">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spans="1:26" ht="15.75" customHeight="1">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spans="1:26" ht="15.75" customHeight="1">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spans="1:26" ht="15.75" customHeight="1">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spans="1:26" ht="15.75" customHeight="1">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spans="1:26" ht="15.75" customHeight="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spans="1:26" ht="15.75" customHeight="1">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spans="1:26" ht="15.75" customHeight="1">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spans="1:26" ht="15.75" customHeight="1">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spans="1:26" ht="15.75" customHeight="1">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spans="1:26" ht="15.75" customHeight="1">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spans="1:26" ht="15.75" customHeight="1">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spans="1:26" ht="15.75" customHeight="1">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spans="1:26" ht="15.75" customHeight="1">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spans="1:26" ht="15.75" customHeight="1">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spans="1:26" ht="15.75" customHeight="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spans="1:26" ht="15.75" customHeight="1">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spans="1:26" ht="15.75" customHeight="1">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spans="1:26" ht="15.75" customHeight="1">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spans="1:26" ht="15.75" customHeight="1">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spans="1:26" ht="15.75" customHeight="1">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spans="1:26" ht="15.75" customHeight="1">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spans="1:26" ht="15.75" customHeight="1">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spans="1:26" ht="15.75" customHeight="1">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spans="1:26" ht="15.75" customHeight="1">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spans="1:26" ht="15.75" customHeight="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spans="1:26" ht="15.75" customHeight="1">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spans="1:26" ht="15.75" customHeight="1">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spans="1:26" ht="15.75" customHeight="1">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row r="965" spans="1:26" ht="15.75" customHeight="1">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row>
    <row r="966" spans="1:26" ht="15.75" customHeight="1">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row>
    <row r="967" spans="1:26" ht="15.75" customHeight="1">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row>
    <row r="968" spans="1:26" ht="15.75" customHeight="1">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row>
    <row r="969" spans="1:26" ht="15.75" customHeight="1">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row>
    <row r="970" spans="1:26" ht="15.75" customHeight="1">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row>
    <row r="971" spans="1:26" ht="15.75" customHeight="1">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row>
    <row r="972" spans="1:26" ht="15.75" customHeight="1">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row>
    <row r="973" spans="1:26" ht="15.75" customHeight="1">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row>
    <row r="974" spans="1:26" ht="15.75" customHeight="1">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row>
    <row r="975" spans="1:26" ht="15.75" customHeight="1">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row>
    <row r="976" spans="1:26" ht="15.75" customHeight="1">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row>
    <row r="977" spans="1:26" ht="15.75" customHeight="1">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row>
    <row r="978" spans="1:26" ht="15.75" customHeight="1">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row>
    <row r="979" spans="1:26" ht="15.75" customHeight="1">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row>
    <row r="980" spans="1:26" ht="15.75" customHeight="1">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row>
    <row r="981" spans="1:26" ht="15.75" customHeight="1">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row>
    <row r="982" spans="1:26" ht="15.75" customHeight="1">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row>
    <row r="983" spans="1:26" ht="15.75" customHeight="1">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row>
    <row r="984" spans="1:26" ht="15.75" customHeight="1">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row>
    <row r="985" spans="1:26" ht="15.75" customHeight="1">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row>
    <row r="986" spans="1:26" ht="15.75" customHeight="1">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row>
    <row r="987" spans="1:26" ht="15.75" customHeight="1">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row>
    <row r="988" spans="1:26" ht="15.75" customHeight="1">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row>
    <row r="989" spans="1:26" ht="15.75" customHeight="1">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row>
    <row r="990" spans="1:26" ht="15.75" customHeight="1">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row>
    <row r="991" spans="1:26" ht="15.75" customHeight="1">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row>
    <row r="992" spans="1:26" ht="15.75" customHeight="1">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row>
    <row r="993" spans="1:26" ht="15.75" customHeight="1">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row>
    <row r="994" spans="1:26" ht="15.75" customHeight="1">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row>
    <row r="995" spans="1:26" ht="15.75" customHeight="1">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row>
    <row r="996" spans="1:26" ht="15.75" customHeight="1">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row>
    <row r="997" spans="1:26" ht="15.75" customHeight="1">
      <c r="A997" s="120"/>
      <c r="B997" s="120"/>
      <c r="C997" s="120"/>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row>
    <row r="998" spans="1:26" ht="15.75" customHeight="1">
      <c r="A998" s="120"/>
      <c r="B998" s="120"/>
      <c r="C998" s="120"/>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row>
    <row r="999" spans="1:26" ht="15.75" customHeight="1">
      <c r="A999" s="120"/>
      <c r="B999" s="120"/>
      <c r="C999" s="120"/>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row>
    <row r="1000" spans="1:26" ht="15.75" customHeight="1">
      <c r="A1000" s="120"/>
      <c r="B1000" s="120"/>
      <c r="C1000" s="120"/>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row>
  </sheetData>
  <mergeCells count="145">
    <mergeCell ref="P82:S82"/>
    <mergeCell ref="F83:I83"/>
    <mergeCell ref="J83:O83"/>
    <mergeCell ref="P83:S83"/>
    <mergeCell ref="J85:O85"/>
    <mergeCell ref="P85:S85"/>
    <mergeCell ref="B83:E83"/>
    <mergeCell ref="B84:E84"/>
    <mergeCell ref="F84:I84"/>
    <mergeCell ref="J84:O84"/>
    <mergeCell ref="P84:S84"/>
    <mergeCell ref="B85:E85"/>
    <mergeCell ref="F85:I85"/>
    <mergeCell ref="B102:S102"/>
    <mergeCell ref="B88:C88"/>
    <mergeCell ref="D88:S88"/>
    <mergeCell ref="B89:B90"/>
    <mergeCell ref="D89:S89"/>
    <mergeCell ref="D90:S90"/>
    <mergeCell ref="D91:S91"/>
    <mergeCell ref="D92:S92"/>
    <mergeCell ref="B71:D71"/>
    <mergeCell ref="J71:N71"/>
    <mergeCell ref="B72:D72"/>
    <mergeCell ref="J72:N72"/>
    <mergeCell ref="B73:D73"/>
    <mergeCell ref="J73:N73"/>
    <mergeCell ref="J74:N74"/>
    <mergeCell ref="J75:N75"/>
    <mergeCell ref="B74:D74"/>
    <mergeCell ref="B75:D75"/>
    <mergeCell ref="B78:E78"/>
    <mergeCell ref="F78:I78"/>
    <mergeCell ref="J78:O78"/>
    <mergeCell ref="P78:S78"/>
    <mergeCell ref="P79:S79"/>
    <mergeCell ref="J81:O81"/>
    <mergeCell ref="F79:I79"/>
    <mergeCell ref="J79:O79"/>
    <mergeCell ref="B91:B92"/>
    <mergeCell ref="B93:B94"/>
    <mergeCell ref="B95:B96"/>
    <mergeCell ref="B97:B99"/>
    <mergeCell ref="D93:S93"/>
    <mergeCell ref="D94:S94"/>
    <mergeCell ref="D95:S95"/>
    <mergeCell ref="D96:S96"/>
    <mergeCell ref="D97:S97"/>
    <mergeCell ref="D98:S98"/>
    <mergeCell ref="D99:S99"/>
    <mergeCell ref="P81:S81"/>
    <mergeCell ref="B79:E79"/>
    <mergeCell ref="B80:E80"/>
    <mergeCell ref="F80:I80"/>
    <mergeCell ref="J80:O80"/>
    <mergeCell ref="P80:S80"/>
    <mergeCell ref="B81:E81"/>
    <mergeCell ref="F81:I81"/>
    <mergeCell ref="B82:E82"/>
    <mergeCell ref="F82:I82"/>
    <mergeCell ref="J82:O82"/>
    <mergeCell ref="B35:E35"/>
    <mergeCell ref="B36:E36"/>
    <mergeCell ref="B37:E37"/>
    <mergeCell ref="B38:E38"/>
    <mergeCell ref="B39:E39"/>
    <mergeCell ref="J31:O31"/>
    <mergeCell ref="A33:S34"/>
    <mergeCell ref="J35:O35"/>
    <mergeCell ref="J36:O36"/>
    <mergeCell ref="J37:O37"/>
    <mergeCell ref="J38:O38"/>
    <mergeCell ref="J39:O39"/>
    <mergeCell ref="B27:E27"/>
    <mergeCell ref="J27:O27"/>
    <mergeCell ref="B28:E28"/>
    <mergeCell ref="J28:O28"/>
    <mergeCell ref="B29:E29"/>
    <mergeCell ref="J29:O29"/>
    <mergeCell ref="J30:O30"/>
    <mergeCell ref="B30:E30"/>
    <mergeCell ref="B31:E31"/>
    <mergeCell ref="R1:S1"/>
    <mergeCell ref="C2:I2"/>
    <mergeCell ref="C3:I3"/>
    <mergeCell ref="A5:S5"/>
    <mergeCell ref="K7:S7"/>
    <mergeCell ref="B9:S10"/>
    <mergeCell ref="B13:S18"/>
    <mergeCell ref="J25:O25"/>
    <mergeCell ref="J26:O26"/>
    <mergeCell ref="C20:D20"/>
    <mergeCell ref="K20:S20"/>
    <mergeCell ref="A22:S23"/>
    <mergeCell ref="B24:E24"/>
    <mergeCell ref="J24:O24"/>
    <mergeCell ref="B25:E25"/>
    <mergeCell ref="B26:E26"/>
    <mergeCell ref="J69:N69"/>
    <mergeCell ref="J70:N70"/>
    <mergeCell ref="B64:E64"/>
    <mergeCell ref="J64:O64"/>
    <mergeCell ref="A66:S67"/>
    <mergeCell ref="B68:D68"/>
    <mergeCell ref="J68:N68"/>
    <mergeCell ref="B69:D69"/>
    <mergeCell ref="B70:D70"/>
    <mergeCell ref="B58:E58"/>
    <mergeCell ref="J58:O58"/>
    <mergeCell ref="J59:O59"/>
    <mergeCell ref="J62:O62"/>
    <mergeCell ref="J63:O63"/>
    <mergeCell ref="B59:E59"/>
    <mergeCell ref="B60:E60"/>
    <mergeCell ref="J60:O60"/>
    <mergeCell ref="B61:E61"/>
    <mergeCell ref="J61:O61"/>
    <mergeCell ref="B62:E62"/>
    <mergeCell ref="B63:E63"/>
    <mergeCell ref="B51:E51"/>
    <mergeCell ref="J51:O51"/>
    <mergeCell ref="B52:E52"/>
    <mergeCell ref="J52:O52"/>
    <mergeCell ref="B53:E53"/>
    <mergeCell ref="J53:O53"/>
    <mergeCell ref="A55:S56"/>
    <mergeCell ref="B57:E57"/>
    <mergeCell ref="J57:O57"/>
    <mergeCell ref="B40:E40"/>
    <mergeCell ref="B41:E41"/>
    <mergeCell ref="B42:E42"/>
    <mergeCell ref="B46:E46"/>
    <mergeCell ref="B47:E47"/>
    <mergeCell ref="B48:E48"/>
    <mergeCell ref="B49:E49"/>
    <mergeCell ref="B50:E50"/>
    <mergeCell ref="J40:O40"/>
    <mergeCell ref="J41:O41"/>
    <mergeCell ref="J42:O42"/>
    <mergeCell ref="A44:S45"/>
    <mergeCell ref="J46:O46"/>
    <mergeCell ref="J47:O47"/>
    <mergeCell ref="J48:O48"/>
    <mergeCell ref="J49:O49"/>
    <mergeCell ref="J50:O50"/>
  </mergeCells>
  <phoneticPr fontId="11"/>
  <conditionalFormatting sqref="B9:S10">
    <cfRule type="expression" dxfId="1" priority="1">
      <formula>$K$7="学部・学科によって、修了要件は相違しない"</formula>
    </cfRule>
  </conditionalFormatting>
  <dataValidations count="5">
    <dataValidation type="list" allowBlank="1" showErrorMessage="1" sqref="G25:I31 Q25:S31 G36:I42 Q36:S42 G47:I53 Q47:S53 G58:I64 Q58:S64 F69:I75 P69:S75">
      <formula1>"○"</formula1>
    </dataValidation>
    <dataValidation type="list" allowBlank="1" showErrorMessage="1" sqref="D32:G32 S32 D43:G43 S43">
      <formula1>"全学開講,一部開講"</formula1>
    </dataValidation>
    <dataValidation type="list" allowBlank="1" showErrorMessage="1" sqref="F79:F85 P79:P85 F86:I86 P86:S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ErrorMessage="1" sqref="K20">
      <formula1>$V$14:$V$16</formula1>
    </dataValidation>
    <dataValidation type="list" allowBlank="1" showErrorMessage="1" sqref="K7 K12">
      <formula1>"学部・学科によって、修了要件は相違する,学部・学科によって、修了要件は相違しない"</formula1>
    </dataValidation>
  </dataValidations>
  <printOptions horizontalCentered="1"/>
  <pageMargins left="0.78740157480314965" right="0.78740157480314965" top="0.78740157480314965" bottom="0.19685039370078741" header="0" footer="0"/>
  <pageSetup paperSize="9" fitToHeight="0" orientation="portrait"/>
  <headerFooter>
    <oddHeader>&amp;C数理・データサイエンス・AI教育プログラム認定制度【リテラシーレベル】</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000"/>
  <sheetViews>
    <sheetView workbookViewId="0"/>
  </sheetViews>
  <sheetFormatPr defaultColWidth="14.42578125" defaultRowHeight="15" customHeight="1"/>
  <cols>
    <col min="1" max="1" width="2.7109375" customWidth="1"/>
    <col min="2" max="2" width="20.7109375" customWidth="1"/>
    <col min="3" max="5" width="6.140625" customWidth="1"/>
    <col min="6" max="42" width="4.85546875" customWidth="1"/>
    <col min="43" max="43" width="6.5703125" customWidth="1"/>
    <col min="44" max="45" width="9" customWidth="1"/>
  </cols>
  <sheetData>
    <row r="1" spans="1:45" ht="18" customHeight="1">
      <c r="A1" s="2"/>
      <c r="B1" s="2"/>
      <c r="C1" s="2"/>
      <c r="D1" s="2"/>
      <c r="E1" s="2"/>
      <c r="F1" s="2"/>
      <c r="G1" s="2"/>
      <c r="H1" s="2"/>
      <c r="I1" s="11"/>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t="s">
        <v>68</v>
      </c>
      <c r="AR1" s="2"/>
      <c r="AS1" s="2"/>
    </row>
    <row r="2" spans="1:45" ht="18" customHeight="1">
      <c r="A2" s="2"/>
      <c r="B2" s="2"/>
      <c r="C2" s="2"/>
      <c r="D2" s="2"/>
      <c r="E2" s="2"/>
      <c r="F2" s="2"/>
      <c r="G2" s="2"/>
      <c r="H2" s="2"/>
      <c r="I2" s="11"/>
      <c r="J2" s="2"/>
      <c r="K2" s="3"/>
      <c r="L2" s="2"/>
      <c r="M2" s="2"/>
      <c r="N2" s="2"/>
      <c r="O2" s="2"/>
      <c r="P2" s="2"/>
      <c r="Q2" s="3"/>
      <c r="R2" s="2"/>
      <c r="S2" s="2"/>
      <c r="T2" s="2"/>
      <c r="U2" s="2"/>
      <c r="V2" s="2"/>
      <c r="W2" s="3"/>
      <c r="X2" s="2"/>
      <c r="Y2" s="2"/>
      <c r="Z2" s="2"/>
      <c r="AA2" s="2"/>
      <c r="AB2" s="2"/>
      <c r="AC2" s="3"/>
      <c r="AD2" s="2"/>
      <c r="AE2" s="2"/>
      <c r="AF2" s="2"/>
      <c r="AG2" s="2"/>
      <c r="AH2" s="2"/>
      <c r="AI2" s="3"/>
      <c r="AJ2" s="2"/>
      <c r="AK2" s="2"/>
      <c r="AL2" s="3" t="s">
        <v>2</v>
      </c>
      <c r="AM2" s="69" t="s">
        <v>3</v>
      </c>
      <c r="AN2" s="70"/>
      <c r="AO2" s="70"/>
      <c r="AP2" s="70"/>
      <c r="AQ2" s="71"/>
      <c r="AR2" s="2"/>
      <c r="AS2" s="2"/>
    </row>
    <row r="3" spans="1:45" ht="18" customHeight="1">
      <c r="A3" s="75" t="s">
        <v>69</v>
      </c>
      <c r="B3" s="74"/>
      <c r="C3" s="74"/>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O3" s="74"/>
      <c r="AP3" s="74"/>
      <c r="AQ3" s="74"/>
      <c r="AR3" s="2"/>
      <c r="AS3" s="2"/>
    </row>
    <row r="4" spans="1:45" ht="7.5" customHeight="1">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2"/>
      <c r="AS4" s="2"/>
    </row>
    <row r="5" spans="1:45" ht="18" customHeight="1">
      <c r="A5" s="2" t="s">
        <v>70</v>
      </c>
      <c r="B5" s="2"/>
      <c r="C5" s="87" t="s">
        <v>71</v>
      </c>
      <c r="D5" s="71"/>
      <c r="E5" s="7" t="s">
        <v>72</v>
      </c>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5"/>
      <c r="AQ5" s="5"/>
      <c r="AR5" s="2"/>
      <c r="AS5" s="2"/>
    </row>
    <row r="6" spans="1:45" ht="6" customHeight="1">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2"/>
      <c r="AS6" s="2"/>
    </row>
    <row r="7" spans="1:45" ht="18" customHeight="1">
      <c r="A7" s="2" t="s">
        <v>73</v>
      </c>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2"/>
      <c r="AS7" s="2"/>
    </row>
    <row r="8" spans="1:45" ht="6" customHeight="1">
      <c r="A8" s="2"/>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2"/>
      <c r="AS8" s="2"/>
    </row>
    <row r="9" spans="1:45" ht="18" customHeight="1">
      <c r="A9" s="2"/>
      <c r="B9" s="88" t="s">
        <v>74</v>
      </c>
      <c r="C9" s="91" t="s">
        <v>75</v>
      </c>
      <c r="D9" s="92" t="s">
        <v>76</v>
      </c>
      <c r="E9" s="93" t="s">
        <v>77</v>
      </c>
      <c r="F9" s="85" t="s">
        <v>78</v>
      </c>
      <c r="G9" s="72"/>
      <c r="H9" s="72"/>
      <c r="I9" s="72"/>
      <c r="J9" s="72"/>
      <c r="K9" s="73"/>
      <c r="L9" s="85" t="s">
        <v>79</v>
      </c>
      <c r="M9" s="72"/>
      <c r="N9" s="72"/>
      <c r="O9" s="72"/>
      <c r="P9" s="72"/>
      <c r="Q9" s="73"/>
      <c r="R9" s="85" t="s">
        <v>80</v>
      </c>
      <c r="S9" s="72"/>
      <c r="T9" s="72"/>
      <c r="U9" s="72"/>
      <c r="V9" s="72"/>
      <c r="W9" s="73"/>
      <c r="X9" s="85" t="s">
        <v>81</v>
      </c>
      <c r="Y9" s="72"/>
      <c r="Z9" s="72"/>
      <c r="AA9" s="72"/>
      <c r="AB9" s="72"/>
      <c r="AC9" s="73"/>
      <c r="AD9" s="85" t="s">
        <v>82</v>
      </c>
      <c r="AE9" s="72"/>
      <c r="AF9" s="72"/>
      <c r="AG9" s="72"/>
      <c r="AH9" s="72"/>
      <c r="AI9" s="73"/>
      <c r="AJ9" s="85" t="s">
        <v>83</v>
      </c>
      <c r="AK9" s="72"/>
      <c r="AL9" s="72"/>
      <c r="AM9" s="72"/>
      <c r="AN9" s="72"/>
      <c r="AO9" s="73"/>
      <c r="AP9" s="94" t="s">
        <v>84</v>
      </c>
      <c r="AQ9" s="95" t="s">
        <v>85</v>
      </c>
      <c r="AR9" s="2"/>
      <c r="AS9" s="1"/>
    </row>
    <row r="10" spans="1:45" ht="16.5" customHeight="1">
      <c r="A10" s="2"/>
      <c r="B10" s="89"/>
      <c r="C10" s="89"/>
      <c r="D10" s="74"/>
      <c r="E10" s="81"/>
      <c r="F10" s="86" t="s">
        <v>86</v>
      </c>
      <c r="G10" s="84"/>
      <c r="H10" s="84"/>
      <c r="I10" s="86" t="s">
        <v>87</v>
      </c>
      <c r="J10" s="84"/>
      <c r="K10" s="84"/>
      <c r="L10" s="86" t="s">
        <v>86</v>
      </c>
      <c r="M10" s="84"/>
      <c r="N10" s="84"/>
      <c r="O10" s="86" t="s">
        <v>87</v>
      </c>
      <c r="P10" s="84"/>
      <c r="Q10" s="84"/>
      <c r="R10" s="86" t="s">
        <v>86</v>
      </c>
      <c r="S10" s="84"/>
      <c r="T10" s="84"/>
      <c r="U10" s="86" t="s">
        <v>87</v>
      </c>
      <c r="V10" s="84"/>
      <c r="W10" s="84"/>
      <c r="X10" s="86" t="s">
        <v>86</v>
      </c>
      <c r="Y10" s="84"/>
      <c r="Z10" s="84"/>
      <c r="AA10" s="86" t="s">
        <v>87</v>
      </c>
      <c r="AB10" s="84"/>
      <c r="AC10" s="84"/>
      <c r="AD10" s="86" t="s">
        <v>86</v>
      </c>
      <c r="AE10" s="84"/>
      <c r="AF10" s="84"/>
      <c r="AG10" s="86" t="s">
        <v>87</v>
      </c>
      <c r="AH10" s="84"/>
      <c r="AI10" s="84"/>
      <c r="AJ10" s="86" t="s">
        <v>86</v>
      </c>
      <c r="AK10" s="84"/>
      <c r="AL10" s="84"/>
      <c r="AM10" s="86" t="s">
        <v>87</v>
      </c>
      <c r="AN10" s="84"/>
      <c r="AO10" s="84"/>
      <c r="AP10" s="89"/>
      <c r="AQ10" s="82"/>
      <c r="AR10" s="2"/>
      <c r="AS10" s="1"/>
    </row>
    <row r="11" spans="1:45" ht="18" customHeight="1">
      <c r="A11" s="2"/>
      <c r="B11" s="90"/>
      <c r="C11" s="90"/>
      <c r="D11" s="79"/>
      <c r="E11" s="78"/>
      <c r="F11" s="12" t="s">
        <v>88</v>
      </c>
      <c r="G11" s="13" t="s">
        <v>89</v>
      </c>
      <c r="H11" s="14" t="s">
        <v>90</v>
      </c>
      <c r="I11" s="12" t="s">
        <v>88</v>
      </c>
      <c r="J11" s="13" t="s">
        <v>89</v>
      </c>
      <c r="K11" s="14" t="s">
        <v>90</v>
      </c>
      <c r="L11" s="12" t="s">
        <v>88</v>
      </c>
      <c r="M11" s="13" t="s">
        <v>89</v>
      </c>
      <c r="N11" s="14" t="s">
        <v>90</v>
      </c>
      <c r="O11" s="12" t="s">
        <v>88</v>
      </c>
      <c r="P11" s="13" t="s">
        <v>89</v>
      </c>
      <c r="Q11" s="14" t="s">
        <v>90</v>
      </c>
      <c r="R11" s="12" t="s">
        <v>88</v>
      </c>
      <c r="S11" s="13" t="s">
        <v>89</v>
      </c>
      <c r="T11" s="14" t="s">
        <v>90</v>
      </c>
      <c r="U11" s="12" t="s">
        <v>88</v>
      </c>
      <c r="V11" s="13" t="s">
        <v>89</v>
      </c>
      <c r="W11" s="14" t="s">
        <v>90</v>
      </c>
      <c r="X11" s="12" t="s">
        <v>88</v>
      </c>
      <c r="Y11" s="13" t="s">
        <v>89</v>
      </c>
      <c r="Z11" s="14" t="s">
        <v>90</v>
      </c>
      <c r="AA11" s="12" t="s">
        <v>88</v>
      </c>
      <c r="AB11" s="13" t="s">
        <v>89</v>
      </c>
      <c r="AC11" s="14" t="s">
        <v>90</v>
      </c>
      <c r="AD11" s="12" t="s">
        <v>88</v>
      </c>
      <c r="AE11" s="13" t="s">
        <v>89</v>
      </c>
      <c r="AF11" s="14" t="s">
        <v>90</v>
      </c>
      <c r="AG11" s="12" t="s">
        <v>88</v>
      </c>
      <c r="AH11" s="13" t="s">
        <v>89</v>
      </c>
      <c r="AI11" s="14" t="s">
        <v>90</v>
      </c>
      <c r="AJ11" s="12" t="s">
        <v>88</v>
      </c>
      <c r="AK11" s="13" t="s">
        <v>89</v>
      </c>
      <c r="AL11" s="14" t="s">
        <v>90</v>
      </c>
      <c r="AM11" s="12" t="s">
        <v>88</v>
      </c>
      <c r="AN11" s="13" t="s">
        <v>89</v>
      </c>
      <c r="AO11" s="14" t="s">
        <v>90</v>
      </c>
      <c r="AP11" s="90"/>
      <c r="AQ11" s="80"/>
      <c r="AR11" s="2"/>
      <c r="AS11" s="1"/>
    </row>
    <row r="12" spans="1:45" ht="18" customHeight="1">
      <c r="A12" s="5"/>
      <c r="B12" s="15" t="s">
        <v>91</v>
      </c>
      <c r="C12" s="16">
        <v>1755</v>
      </c>
      <c r="D12" s="17">
        <v>420</v>
      </c>
      <c r="E12" s="18">
        <v>1736</v>
      </c>
      <c r="F12" s="19">
        <f t="shared" ref="F12:F13" si="0">G12+H12</f>
        <v>42</v>
      </c>
      <c r="G12" s="20">
        <v>30</v>
      </c>
      <c r="H12" s="21">
        <v>12</v>
      </c>
      <c r="I12" s="19">
        <f t="shared" ref="I12:I31" si="1">J12+K12</f>
        <v>27</v>
      </c>
      <c r="J12" s="20">
        <v>20</v>
      </c>
      <c r="K12" s="21">
        <v>7</v>
      </c>
      <c r="L12" s="22">
        <f t="shared" ref="L12:L31" si="2">M12+N12</f>
        <v>0</v>
      </c>
      <c r="M12" s="20"/>
      <c r="N12" s="21"/>
      <c r="O12" s="22">
        <f t="shared" ref="O12:O31" si="3">P12+Q12</f>
        <v>0</v>
      </c>
      <c r="P12" s="20"/>
      <c r="Q12" s="21"/>
      <c r="R12" s="22">
        <f t="shared" ref="R12:R31" si="4">S12+T12</f>
        <v>0</v>
      </c>
      <c r="S12" s="20"/>
      <c r="T12" s="21"/>
      <c r="U12" s="22">
        <f t="shared" ref="U12:U31" si="5">V12+W12</f>
        <v>0</v>
      </c>
      <c r="V12" s="20"/>
      <c r="W12" s="21"/>
      <c r="X12" s="22">
        <f t="shared" ref="X12:X31" si="6">Y12+Z12</f>
        <v>0</v>
      </c>
      <c r="Y12" s="20"/>
      <c r="Z12" s="21"/>
      <c r="AA12" s="22">
        <f t="shared" ref="AA12:AA31" si="7">AB12+AC12</f>
        <v>0</v>
      </c>
      <c r="AB12" s="20"/>
      <c r="AC12" s="21"/>
      <c r="AD12" s="22">
        <f t="shared" ref="AD12:AD31" si="8">AE12+AF12</f>
        <v>0</v>
      </c>
      <c r="AE12" s="20"/>
      <c r="AF12" s="21"/>
      <c r="AG12" s="22">
        <f t="shared" ref="AG12:AG31" si="9">AH12+AI12</f>
        <v>0</v>
      </c>
      <c r="AH12" s="20"/>
      <c r="AI12" s="21"/>
      <c r="AJ12" s="22">
        <f t="shared" ref="AJ12:AJ31" si="10">AK12+AL12</f>
        <v>0</v>
      </c>
      <c r="AK12" s="20"/>
      <c r="AL12" s="21"/>
      <c r="AM12" s="22">
        <f t="shared" ref="AM12:AM31" si="11">AN12+AO12</f>
        <v>0</v>
      </c>
      <c r="AN12" s="20"/>
      <c r="AO12" s="21"/>
      <c r="AP12" s="18">
        <f t="shared" ref="AP12:AP31" si="12">F12+L12+R12+X12+AD12+AJ12</f>
        <v>42</v>
      </c>
      <c r="AQ12" s="23">
        <f t="shared" ref="AQ12:AQ32" si="13">AP12/E12</f>
        <v>2.4193548387096774E-2</v>
      </c>
      <c r="AR12" s="2"/>
      <c r="AS12" s="2"/>
    </row>
    <row r="13" spans="1:45" ht="18" customHeight="1">
      <c r="A13" s="5"/>
      <c r="B13" s="24" t="s">
        <v>92</v>
      </c>
      <c r="C13" s="25">
        <v>1065</v>
      </c>
      <c r="D13" s="25">
        <v>240</v>
      </c>
      <c r="E13" s="26">
        <v>994</v>
      </c>
      <c r="F13" s="19">
        <f t="shared" si="0"/>
        <v>4</v>
      </c>
      <c r="G13" s="27">
        <v>3</v>
      </c>
      <c r="H13" s="28">
        <v>1</v>
      </c>
      <c r="I13" s="19">
        <f t="shared" si="1"/>
        <v>3</v>
      </c>
      <c r="J13" s="27">
        <v>3</v>
      </c>
      <c r="K13" s="28">
        <v>0</v>
      </c>
      <c r="L13" s="19">
        <f t="shared" si="2"/>
        <v>0</v>
      </c>
      <c r="M13" s="27"/>
      <c r="N13" s="28"/>
      <c r="O13" s="19">
        <f t="shared" si="3"/>
        <v>0</v>
      </c>
      <c r="P13" s="27"/>
      <c r="Q13" s="28"/>
      <c r="R13" s="19">
        <f t="shared" si="4"/>
        <v>0</v>
      </c>
      <c r="S13" s="27"/>
      <c r="T13" s="28"/>
      <c r="U13" s="19">
        <f t="shared" si="5"/>
        <v>0</v>
      </c>
      <c r="V13" s="27"/>
      <c r="W13" s="28"/>
      <c r="X13" s="19">
        <f t="shared" si="6"/>
        <v>0</v>
      </c>
      <c r="Y13" s="27"/>
      <c r="Z13" s="28"/>
      <c r="AA13" s="19">
        <f t="shared" si="7"/>
        <v>0</v>
      </c>
      <c r="AB13" s="27"/>
      <c r="AC13" s="28"/>
      <c r="AD13" s="19">
        <f t="shared" si="8"/>
        <v>0</v>
      </c>
      <c r="AE13" s="27"/>
      <c r="AF13" s="28"/>
      <c r="AG13" s="19">
        <f t="shared" si="9"/>
        <v>0</v>
      </c>
      <c r="AH13" s="27"/>
      <c r="AI13" s="28"/>
      <c r="AJ13" s="19">
        <f t="shared" si="10"/>
        <v>0</v>
      </c>
      <c r="AK13" s="27"/>
      <c r="AL13" s="28"/>
      <c r="AM13" s="19">
        <f t="shared" si="11"/>
        <v>0</v>
      </c>
      <c r="AN13" s="27"/>
      <c r="AO13" s="28"/>
      <c r="AP13" s="26">
        <f t="shared" si="12"/>
        <v>4</v>
      </c>
      <c r="AQ13" s="29">
        <f t="shared" si="13"/>
        <v>4.0241448692152921E-3</v>
      </c>
      <c r="AR13" s="2"/>
      <c r="AS13" s="2"/>
    </row>
    <row r="14" spans="1:45" ht="18" customHeight="1">
      <c r="A14" s="5"/>
      <c r="B14" s="24" t="s">
        <v>93</v>
      </c>
      <c r="C14" s="25">
        <v>684</v>
      </c>
      <c r="D14" s="25">
        <v>160</v>
      </c>
      <c r="E14" s="26">
        <v>650</v>
      </c>
      <c r="F14" s="19">
        <v>98</v>
      </c>
      <c r="G14" s="27">
        <v>83</v>
      </c>
      <c r="H14" s="28">
        <v>18</v>
      </c>
      <c r="I14" s="19">
        <f t="shared" si="1"/>
        <v>67</v>
      </c>
      <c r="J14" s="27">
        <v>53</v>
      </c>
      <c r="K14" s="28">
        <v>14</v>
      </c>
      <c r="L14" s="19">
        <f t="shared" si="2"/>
        <v>0</v>
      </c>
      <c r="M14" s="27"/>
      <c r="N14" s="28"/>
      <c r="O14" s="19">
        <f t="shared" si="3"/>
        <v>0</v>
      </c>
      <c r="P14" s="27"/>
      <c r="Q14" s="28"/>
      <c r="R14" s="19">
        <f t="shared" si="4"/>
        <v>0</v>
      </c>
      <c r="S14" s="27"/>
      <c r="T14" s="28"/>
      <c r="U14" s="19">
        <f t="shared" si="5"/>
        <v>0</v>
      </c>
      <c r="V14" s="27"/>
      <c r="W14" s="28"/>
      <c r="X14" s="19">
        <f t="shared" si="6"/>
        <v>0</v>
      </c>
      <c r="Y14" s="27"/>
      <c r="Z14" s="28"/>
      <c r="AA14" s="19">
        <f t="shared" si="7"/>
        <v>0</v>
      </c>
      <c r="AB14" s="27"/>
      <c r="AC14" s="28"/>
      <c r="AD14" s="19">
        <f t="shared" si="8"/>
        <v>0</v>
      </c>
      <c r="AE14" s="27"/>
      <c r="AF14" s="28"/>
      <c r="AG14" s="19">
        <f t="shared" si="9"/>
        <v>0</v>
      </c>
      <c r="AH14" s="27"/>
      <c r="AI14" s="28"/>
      <c r="AJ14" s="19">
        <f t="shared" si="10"/>
        <v>0</v>
      </c>
      <c r="AK14" s="27"/>
      <c r="AL14" s="28"/>
      <c r="AM14" s="19">
        <f t="shared" si="11"/>
        <v>0</v>
      </c>
      <c r="AN14" s="27"/>
      <c r="AO14" s="28"/>
      <c r="AP14" s="26">
        <f t="shared" si="12"/>
        <v>98</v>
      </c>
      <c r="AQ14" s="30">
        <f t="shared" si="13"/>
        <v>0.15076923076923077</v>
      </c>
      <c r="AR14" s="2"/>
      <c r="AS14" s="2"/>
    </row>
    <row r="15" spans="1:45" ht="18" customHeight="1">
      <c r="A15" s="5"/>
      <c r="B15" s="24" t="s">
        <v>94</v>
      </c>
      <c r="C15" s="25">
        <v>337</v>
      </c>
      <c r="D15" s="25">
        <v>80</v>
      </c>
      <c r="E15" s="26">
        <v>320</v>
      </c>
      <c r="F15" s="19">
        <f t="shared" ref="F15:F31" si="14">G15+H15</f>
        <v>44</v>
      </c>
      <c r="G15" s="27">
        <v>0</v>
      </c>
      <c r="H15" s="28">
        <v>44</v>
      </c>
      <c r="I15" s="19">
        <f t="shared" si="1"/>
        <v>44</v>
      </c>
      <c r="J15" s="27">
        <v>0</v>
      </c>
      <c r="K15" s="28">
        <v>44</v>
      </c>
      <c r="L15" s="19">
        <f t="shared" si="2"/>
        <v>0</v>
      </c>
      <c r="M15" s="27"/>
      <c r="N15" s="28"/>
      <c r="O15" s="19">
        <f t="shared" si="3"/>
        <v>0</v>
      </c>
      <c r="P15" s="27"/>
      <c r="Q15" s="28"/>
      <c r="R15" s="19">
        <f t="shared" si="4"/>
        <v>0</v>
      </c>
      <c r="S15" s="27"/>
      <c r="T15" s="28"/>
      <c r="U15" s="19">
        <f t="shared" si="5"/>
        <v>0</v>
      </c>
      <c r="V15" s="27"/>
      <c r="W15" s="28"/>
      <c r="X15" s="19">
        <f t="shared" si="6"/>
        <v>0</v>
      </c>
      <c r="Y15" s="27"/>
      <c r="Z15" s="28"/>
      <c r="AA15" s="19">
        <f t="shared" si="7"/>
        <v>0</v>
      </c>
      <c r="AB15" s="27"/>
      <c r="AC15" s="28"/>
      <c r="AD15" s="19">
        <f t="shared" si="8"/>
        <v>0</v>
      </c>
      <c r="AE15" s="27"/>
      <c r="AF15" s="28"/>
      <c r="AG15" s="19">
        <f t="shared" si="9"/>
        <v>0</v>
      </c>
      <c r="AH15" s="27"/>
      <c r="AI15" s="28"/>
      <c r="AJ15" s="19">
        <f t="shared" si="10"/>
        <v>0</v>
      </c>
      <c r="AK15" s="27"/>
      <c r="AL15" s="28"/>
      <c r="AM15" s="19">
        <f t="shared" si="11"/>
        <v>0</v>
      </c>
      <c r="AN15" s="27"/>
      <c r="AO15" s="28"/>
      <c r="AP15" s="26">
        <f t="shared" si="12"/>
        <v>44</v>
      </c>
      <c r="AQ15" s="30">
        <f t="shared" si="13"/>
        <v>0.13750000000000001</v>
      </c>
      <c r="AR15" s="2"/>
      <c r="AS15" s="2"/>
    </row>
    <row r="16" spans="1:45" ht="18" customHeight="1">
      <c r="A16" s="5"/>
      <c r="B16" s="24"/>
      <c r="C16" s="25"/>
      <c r="D16" s="26"/>
      <c r="E16" s="31"/>
      <c r="F16" s="19">
        <f t="shared" si="14"/>
        <v>0</v>
      </c>
      <c r="G16" s="27"/>
      <c r="H16" s="28"/>
      <c r="I16" s="19">
        <f t="shared" si="1"/>
        <v>0</v>
      </c>
      <c r="J16" s="27"/>
      <c r="K16" s="28"/>
      <c r="L16" s="19">
        <f t="shared" si="2"/>
        <v>0</v>
      </c>
      <c r="M16" s="27"/>
      <c r="N16" s="28"/>
      <c r="O16" s="19">
        <f t="shared" si="3"/>
        <v>0</v>
      </c>
      <c r="P16" s="27"/>
      <c r="Q16" s="28"/>
      <c r="R16" s="19">
        <f t="shared" si="4"/>
        <v>0</v>
      </c>
      <c r="S16" s="27"/>
      <c r="T16" s="28"/>
      <c r="U16" s="19">
        <f t="shared" si="5"/>
        <v>0</v>
      </c>
      <c r="V16" s="27"/>
      <c r="W16" s="28"/>
      <c r="X16" s="19">
        <f t="shared" si="6"/>
        <v>0</v>
      </c>
      <c r="Y16" s="27"/>
      <c r="Z16" s="28"/>
      <c r="AA16" s="19">
        <f t="shared" si="7"/>
        <v>0</v>
      </c>
      <c r="AB16" s="27"/>
      <c r="AC16" s="28"/>
      <c r="AD16" s="19">
        <f t="shared" si="8"/>
        <v>0</v>
      </c>
      <c r="AE16" s="27"/>
      <c r="AF16" s="28"/>
      <c r="AG16" s="19">
        <f t="shared" si="9"/>
        <v>0</v>
      </c>
      <c r="AH16" s="27"/>
      <c r="AI16" s="28"/>
      <c r="AJ16" s="19">
        <f t="shared" si="10"/>
        <v>0</v>
      </c>
      <c r="AK16" s="27"/>
      <c r="AL16" s="28"/>
      <c r="AM16" s="19">
        <f t="shared" si="11"/>
        <v>0</v>
      </c>
      <c r="AN16" s="27"/>
      <c r="AO16" s="28"/>
      <c r="AP16" s="26">
        <f t="shared" si="12"/>
        <v>0</v>
      </c>
      <c r="AQ16" s="30" t="e">
        <f t="shared" si="13"/>
        <v>#DIV/0!</v>
      </c>
      <c r="AR16" s="2"/>
      <c r="AS16" s="2"/>
    </row>
    <row r="17" spans="1:45" ht="18" customHeight="1">
      <c r="A17" s="5"/>
      <c r="B17" s="24"/>
      <c r="C17" s="25"/>
      <c r="D17" s="26"/>
      <c r="E17" s="31"/>
      <c r="F17" s="19">
        <f t="shared" si="14"/>
        <v>0</v>
      </c>
      <c r="G17" s="27"/>
      <c r="H17" s="28"/>
      <c r="I17" s="19">
        <f t="shared" si="1"/>
        <v>0</v>
      </c>
      <c r="J17" s="27"/>
      <c r="K17" s="28"/>
      <c r="L17" s="19">
        <f t="shared" si="2"/>
        <v>0</v>
      </c>
      <c r="M17" s="27"/>
      <c r="N17" s="28"/>
      <c r="O17" s="19">
        <f t="shared" si="3"/>
        <v>0</v>
      </c>
      <c r="P17" s="27"/>
      <c r="Q17" s="28"/>
      <c r="R17" s="19">
        <f t="shared" si="4"/>
        <v>0</v>
      </c>
      <c r="S17" s="27"/>
      <c r="T17" s="28"/>
      <c r="U17" s="19">
        <f t="shared" si="5"/>
        <v>0</v>
      </c>
      <c r="V17" s="27"/>
      <c r="W17" s="28"/>
      <c r="X17" s="19">
        <f t="shared" si="6"/>
        <v>0</v>
      </c>
      <c r="Y17" s="27"/>
      <c r="Z17" s="28"/>
      <c r="AA17" s="19">
        <f t="shared" si="7"/>
        <v>0</v>
      </c>
      <c r="AB17" s="27"/>
      <c r="AC17" s="28"/>
      <c r="AD17" s="19">
        <f t="shared" si="8"/>
        <v>0</v>
      </c>
      <c r="AE17" s="27"/>
      <c r="AF17" s="28"/>
      <c r="AG17" s="19">
        <f t="shared" si="9"/>
        <v>0</v>
      </c>
      <c r="AH17" s="27"/>
      <c r="AI17" s="28"/>
      <c r="AJ17" s="19">
        <f t="shared" si="10"/>
        <v>0</v>
      </c>
      <c r="AK17" s="27"/>
      <c r="AL17" s="28"/>
      <c r="AM17" s="19">
        <f t="shared" si="11"/>
        <v>0</v>
      </c>
      <c r="AN17" s="27"/>
      <c r="AO17" s="28"/>
      <c r="AP17" s="26">
        <f t="shared" si="12"/>
        <v>0</v>
      </c>
      <c r="AQ17" s="30" t="e">
        <f t="shared" si="13"/>
        <v>#DIV/0!</v>
      </c>
      <c r="AR17" s="2"/>
      <c r="AS17" s="2"/>
    </row>
    <row r="18" spans="1:45" ht="18" customHeight="1">
      <c r="A18" s="5"/>
      <c r="B18" s="24"/>
      <c r="C18" s="25"/>
      <c r="D18" s="26"/>
      <c r="E18" s="31"/>
      <c r="F18" s="19">
        <f t="shared" si="14"/>
        <v>0</v>
      </c>
      <c r="G18" s="27"/>
      <c r="H18" s="28"/>
      <c r="I18" s="19">
        <f t="shared" si="1"/>
        <v>0</v>
      </c>
      <c r="J18" s="27"/>
      <c r="K18" s="28"/>
      <c r="L18" s="19">
        <f t="shared" si="2"/>
        <v>0</v>
      </c>
      <c r="M18" s="27"/>
      <c r="N18" s="28"/>
      <c r="O18" s="19">
        <f t="shared" si="3"/>
        <v>0</v>
      </c>
      <c r="P18" s="27"/>
      <c r="Q18" s="28"/>
      <c r="R18" s="19">
        <f t="shared" si="4"/>
        <v>0</v>
      </c>
      <c r="S18" s="27"/>
      <c r="T18" s="28"/>
      <c r="U18" s="19">
        <f t="shared" si="5"/>
        <v>0</v>
      </c>
      <c r="V18" s="27"/>
      <c r="W18" s="28"/>
      <c r="X18" s="19">
        <f t="shared" si="6"/>
        <v>0</v>
      </c>
      <c r="Y18" s="27"/>
      <c r="Z18" s="28"/>
      <c r="AA18" s="19">
        <f t="shared" si="7"/>
        <v>0</v>
      </c>
      <c r="AB18" s="27"/>
      <c r="AC18" s="28"/>
      <c r="AD18" s="19">
        <f t="shared" si="8"/>
        <v>0</v>
      </c>
      <c r="AE18" s="27"/>
      <c r="AF18" s="28"/>
      <c r="AG18" s="19">
        <f t="shared" si="9"/>
        <v>0</v>
      </c>
      <c r="AH18" s="27"/>
      <c r="AI18" s="28"/>
      <c r="AJ18" s="19">
        <f t="shared" si="10"/>
        <v>0</v>
      </c>
      <c r="AK18" s="27"/>
      <c r="AL18" s="28"/>
      <c r="AM18" s="19">
        <f t="shared" si="11"/>
        <v>0</v>
      </c>
      <c r="AN18" s="27"/>
      <c r="AO18" s="28"/>
      <c r="AP18" s="26">
        <f t="shared" si="12"/>
        <v>0</v>
      </c>
      <c r="AQ18" s="30" t="e">
        <f t="shared" si="13"/>
        <v>#DIV/0!</v>
      </c>
      <c r="AR18" s="2"/>
      <c r="AS18" s="2"/>
    </row>
    <row r="19" spans="1:45" ht="18" customHeight="1">
      <c r="A19" s="5"/>
      <c r="B19" s="24"/>
      <c r="C19" s="25"/>
      <c r="D19" s="26"/>
      <c r="E19" s="31"/>
      <c r="F19" s="19">
        <f t="shared" si="14"/>
        <v>0</v>
      </c>
      <c r="G19" s="27"/>
      <c r="H19" s="28"/>
      <c r="I19" s="19">
        <f t="shared" si="1"/>
        <v>0</v>
      </c>
      <c r="J19" s="27"/>
      <c r="K19" s="28"/>
      <c r="L19" s="19">
        <f t="shared" si="2"/>
        <v>0</v>
      </c>
      <c r="M19" s="27"/>
      <c r="N19" s="28"/>
      <c r="O19" s="19">
        <f t="shared" si="3"/>
        <v>0</v>
      </c>
      <c r="P19" s="27"/>
      <c r="Q19" s="28"/>
      <c r="R19" s="19">
        <f t="shared" si="4"/>
        <v>0</v>
      </c>
      <c r="S19" s="27"/>
      <c r="T19" s="28"/>
      <c r="U19" s="19">
        <f t="shared" si="5"/>
        <v>0</v>
      </c>
      <c r="V19" s="27"/>
      <c r="W19" s="28"/>
      <c r="X19" s="19">
        <f t="shared" si="6"/>
        <v>0</v>
      </c>
      <c r="Y19" s="27"/>
      <c r="Z19" s="28"/>
      <c r="AA19" s="19">
        <f t="shared" si="7"/>
        <v>0</v>
      </c>
      <c r="AB19" s="27"/>
      <c r="AC19" s="28"/>
      <c r="AD19" s="19">
        <f t="shared" si="8"/>
        <v>0</v>
      </c>
      <c r="AE19" s="27"/>
      <c r="AF19" s="28"/>
      <c r="AG19" s="19">
        <f t="shared" si="9"/>
        <v>0</v>
      </c>
      <c r="AH19" s="27"/>
      <c r="AI19" s="28"/>
      <c r="AJ19" s="19">
        <f t="shared" si="10"/>
        <v>0</v>
      </c>
      <c r="AK19" s="27"/>
      <c r="AL19" s="28"/>
      <c r="AM19" s="19">
        <f t="shared" si="11"/>
        <v>0</v>
      </c>
      <c r="AN19" s="27"/>
      <c r="AO19" s="28"/>
      <c r="AP19" s="26">
        <f t="shared" si="12"/>
        <v>0</v>
      </c>
      <c r="AQ19" s="30" t="e">
        <f t="shared" si="13"/>
        <v>#DIV/0!</v>
      </c>
      <c r="AR19" s="2"/>
      <c r="AS19" s="2"/>
    </row>
    <row r="20" spans="1:45" ht="18" customHeight="1">
      <c r="A20" s="5"/>
      <c r="B20" s="24"/>
      <c r="C20" s="25"/>
      <c r="D20" s="26"/>
      <c r="E20" s="31"/>
      <c r="F20" s="19">
        <f t="shared" si="14"/>
        <v>0</v>
      </c>
      <c r="G20" s="27"/>
      <c r="H20" s="28"/>
      <c r="I20" s="19">
        <f t="shared" si="1"/>
        <v>0</v>
      </c>
      <c r="J20" s="27"/>
      <c r="K20" s="28"/>
      <c r="L20" s="19">
        <f t="shared" si="2"/>
        <v>0</v>
      </c>
      <c r="M20" s="27"/>
      <c r="N20" s="28"/>
      <c r="O20" s="19">
        <f t="shared" si="3"/>
        <v>0</v>
      </c>
      <c r="P20" s="27"/>
      <c r="Q20" s="28"/>
      <c r="R20" s="19">
        <f t="shared" si="4"/>
        <v>0</v>
      </c>
      <c r="S20" s="27"/>
      <c r="T20" s="28"/>
      <c r="U20" s="19">
        <f t="shared" si="5"/>
        <v>0</v>
      </c>
      <c r="V20" s="27"/>
      <c r="W20" s="28"/>
      <c r="X20" s="19">
        <f t="shared" si="6"/>
        <v>0</v>
      </c>
      <c r="Y20" s="27"/>
      <c r="Z20" s="28"/>
      <c r="AA20" s="19">
        <f t="shared" si="7"/>
        <v>0</v>
      </c>
      <c r="AB20" s="27"/>
      <c r="AC20" s="28"/>
      <c r="AD20" s="19">
        <f t="shared" si="8"/>
        <v>0</v>
      </c>
      <c r="AE20" s="27"/>
      <c r="AF20" s="28"/>
      <c r="AG20" s="19">
        <f t="shared" si="9"/>
        <v>0</v>
      </c>
      <c r="AH20" s="27"/>
      <c r="AI20" s="28"/>
      <c r="AJ20" s="19">
        <f t="shared" si="10"/>
        <v>0</v>
      </c>
      <c r="AK20" s="27"/>
      <c r="AL20" s="28"/>
      <c r="AM20" s="19">
        <f t="shared" si="11"/>
        <v>0</v>
      </c>
      <c r="AN20" s="27"/>
      <c r="AO20" s="28"/>
      <c r="AP20" s="26">
        <f t="shared" si="12"/>
        <v>0</v>
      </c>
      <c r="AQ20" s="30" t="e">
        <f t="shared" si="13"/>
        <v>#DIV/0!</v>
      </c>
      <c r="AR20" s="2"/>
      <c r="AS20" s="2"/>
    </row>
    <row r="21" spans="1:45" ht="18" customHeight="1">
      <c r="A21" s="5"/>
      <c r="B21" s="24"/>
      <c r="C21" s="25"/>
      <c r="D21" s="26"/>
      <c r="E21" s="31"/>
      <c r="F21" s="19">
        <f t="shared" si="14"/>
        <v>0</v>
      </c>
      <c r="G21" s="27"/>
      <c r="H21" s="28"/>
      <c r="I21" s="19">
        <f t="shared" si="1"/>
        <v>0</v>
      </c>
      <c r="J21" s="27"/>
      <c r="K21" s="28"/>
      <c r="L21" s="19">
        <f t="shared" si="2"/>
        <v>0</v>
      </c>
      <c r="M21" s="27"/>
      <c r="N21" s="28"/>
      <c r="O21" s="19">
        <f t="shared" si="3"/>
        <v>0</v>
      </c>
      <c r="P21" s="27"/>
      <c r="Q21" s="28"/>
      <c r="R21" s="19">
        <f t="shared" si="4"/>
        <v>0</v>
      </c>
      <c r="S21" s="27"/>
      <c r="T21" s="28"/>
      <c r="U21" s="19">
        <f t="shared" si="5"/>
        <v>0</v>
      </c>
      <c r="V21" s="27"/>
      <c r="W21" s="28"/>
      <c r="X21" s="19">
        <f t="shared" si="6"/>
        <v>0</v>
      </c>
      <c r="Y21" s="27"/>
      <c r="Z21" s="28"/>
      <c r="AA21" s="19">
        <f t="shared" si="7"/>
        <v>0</v>
      </c>
      <c r="AB21" s="27"/>
      <c r="AC21" s="28"/>
      <c r="AD21" s="19">
        <f t="shared" si="8"/>
        <v>0</v>
      </c>
      <c r="AE21" s="27"/>
      <c r="AF21" s="28"/>
      <c r="AG21" s="19">
        <f t="shared" si="9"/>
        <v>0</v>
      </c>
      <c r="AH21" s="27"/>
      <c r="AI21" s="28"/>
      <c r="AJ21" s="19">
        <f t="shared" si="10"/>
        <v>0</v>
      </c>
      <c r="AK21" s="27"/>
      <c r="AL21" s="28"/>
      <c r="AM21" s="19">
        <f t="shared" si="11"/>
        <v>0</v>
      </c>
      <c r="AN21" s="27"/>
      <c r="AO21" s="28"/>
      <c r="AP21" s="26">
        <f t="shared" si="12"/>
        <v>0</v>
      </c>
      <c r="AQ21" s="30" t="e">
        <f t="shared" si="13"/>
        <v>#DIV/0!</v>
      </c>
      <c r="AR21" s="2"/>
      <c r="AS21" s="2"/>
    </row>
    <row r="22" spans="1:45" ht="18" customHeight="1">
      <c r="A22" s="5"/>
      <c r="B22" s="24"/>
      <c r="C22" s="25"/>
      <c r="D22" s="26"/>
      <c r="E22" s="31"/>
      <c r="F22" s="19">
        <f t="shared" si="14"/>
        <v>0</v>
      </c>
      <c r="G22" s="27"/>
      <c r="H22" s="28"/>
      <c r="I22" s="19">
        <f t="shared" si="1"/>
        <v>0</v>
      </c>
      <c r="J22" s="27"/>
      <c r="K22" s="28"/>
      <c r="L22" s="19">
        <f t="shared" si="2"/>
        <v>0</v>
      </c>
      <c r="M22" s="27"/>
      <c r="N22" s="28"/>
      <c r="O22" s="19">
        <f t="shared" si="3"/>
        <v>0</v>
      </c>
      <c r="P22" s="27"/>
      <c r="Q22" s="28"/>
      <c r="R22" s="19">
        <f t="shared" si="4"/>
        <v>0</v>
      </c>
      <c r="S22" s="27"/>
      <c r="T22" s="28"/>
      <c r="U22" s="19">
        <f t="shared" si="5"/>
        <v>0</v>
      </c>
      <c r="V22" s="27"/>
      <c r="W22" s="28"/>
      <c r="X22" s="19">
        <f t="shared" si="6"/>
        <v>0</v>
      </c>
      <c r="Y22" s="27"/>
      <c r="Z22" s="28"/>
      <c r="AA22" s="19">
        <f t="shared" si="7"/>
        <v>0</v>
      </c>
      <c r="AB22" s="27"/>
      <c r="AC22" s="28"/>
      <c r="AD22" s="19">
        <f t="shared" si="8"/>
        <v>0</v>
      </c>
      <c r="AE22" s="27"/>
      <c r="AF22" s="28"/>
      <c r="AG22" s="19">
        <f t="shared" si="9"/>
        <v>0</v>
      </c>
      <c r="AH22" s="27"/>
      <c r="AI22" s="28"/>
      <c r="AJ22" s="19">
        <f t="shared" si="10"/>
        <v>0</v>
      </c>
      <c r="AK22" s="27"/>
      <c r="AL22" s="28"/>
      <c r="AM22" s="19">
        <f t="shared" si="11"/>
        <v>0</v>
      </c>
      <c r="AN22" s="27"/>
      <c r="AO22" s="28"/>
      <c r="AP22" s="26">
        <f t="shared" si="12"/>
        <v>0</v>
      </c>
      <c r="AQ22" s="30" t="e">
        <f t="shared" si="13"/>
        <v>#DIV/0!</v>
      </c>
      <c r="AR22" s="2"/>
      <c r="AS22" s="2"/>
    </row>
    <row r="23" spans="1:45" ht="18" customHeight="1">
      <c r="A23" s="5"/>
      <c r="B23" s="24"/>
      <c r="C23" s="25"/>
      <c r="D23" s="26"/>
      <c r="E23" s="31"/>
      <c r="F23" s="19">
        <f t="shared" si="14"/>
        <v>0</v>
      </c>
      <c r="G23" s="27"/>
      <c r="H23" s="28"/>
      <c r="I23" s="19">
        <f t="shared" si="1"/>
        <v>0</v>
      </c>
      <c r="J23" s="27"/>
      <c r="K23" s="28"/>
      <c r="L23" s="19">
        <f t="shared" si="2"/>
        <v>0</v>
      </c>
      <c r="M23" s="27"/>
      <c r="N23" s="28"/>
      <c r="O23" s="19">
        <f t="shared" si="3"/>
        <v>0</v>
      </c>
      <c r="P23" s="27"/>
      <c r="Q23" s="28"/>
      <c r="R23" s="19">
        <f t="shared" si="4"/>
        <v>0</v>
      </c>
      <c r="S23" s="27"/>
      <c r="T23" s="28"/>
      <c r="U23" s="19">
        <f t="shared" si="5"/>
        <v>0</v>
      </c>
      <c r="V23" s="27"/>
      <c r="W23" s="28"/>
      <c r="X23" s="19">
        <f t="shared" si="6"/>
        <v>0</v>
      </c>
      <c r="Y23" s="27"/>
      <c r="Z23" s="28"/>
      <c r="AA23" s="19">
        <f t="shared" si="7"/>
        <v>0</v>
      </c>
      <c r="AB23" s="27"/>
      <c r="AC23" s="28"/>
      <c r="AD23" s="19">
        <f t="shared" si="8"/>
        <v>0</v>
      </c>
      <c r="AE23" s="27"/>
      <c r="AF23" s="28"/>
      <c r="AG23" s="19">
        <f t="shared" si="9"/>
        <v>0</v>
      </c>
      <c r="AH23" s="27"/>
      <c r="AI23" s="28"/>
      <c r="AJ23" s="19">
        <f t="shared" si="10"/>
        <v>0</v>
      </c>
      <c r="AK23" s="27"/>
      <c r="AL23" s="28"/>
      <c r="AM23" s="19">
        <f t="shared" si="11"/>
        <v>0</v>
      </c>
      <c r="AN23" s="27"/>
      <c r="AO23" s="28"/>
      <c r="AP23" s="26">
        <f t="shared" si="12"/>
        <v>0</v>
      </c>
      <c r="AQ23" s="30" t="e">
        <f t="shared" si="13"/>
        <v>#DIV/0!</v>
      </c>
      <c r="AR23" s="2"/>
      <c r="AS23" s="2"/>
    </row>
    <row r="24" spans="1:45" ht="18" customHeight="1">
      <c r="A24" s="5"/>
      <c r="B24" s="24"/>
      <c r="C24" s="25"/>
      <c r="D24" s="26"/>
      <c r="E24" s="31"/>
      <c r="F24" s="19">
        <f t="shared" si="14"/>
        <v>0</v>
      </c>
      <c r="G24" s="27"/>
      <c r="H24" s="28"/>
      <c r="I24" s="19">
        <f t="shared" si="1"/>
        <v>0</v>
      </c>
      <c r="J24" s="27"/>
      <c r="K24" s="28"/>
      <c r="L24" s="19">
        <f t="shared" si="2"/>
        <v>0</v>
      </c>
      <c r="M24" s="27"/>
      <c r="N24" s="28"/>
      <c r="O24" s="19">
        <f t="shared" si="3"/>
        <v>0</v>
      </c>
      <c r="P24" s="27"/>
      <c r="Q24" s="28"/>
      <c r="R24" s="19">
        <f t="shared" si="4"/>
        <v>0</v>
      </c>
      <c r="S24" s="27"/>
      <c r="T24" s="28"/>
      <c r="U24" s="19">
        <f t="shared" si="5"/>
        <v>0</v>
      </c>
      <c r="V24" s="27"/>
      <c r="W24" s="28"/>
      <c r="X24" s="19">
        <f t="shared" si="6"/>
        <v>0</v>
      </c>
      <c r="Y24" s="27"/>
      <c r="Z24" s="28"/>
      <c r="AA24" s="19">
        <f t="shared" si="7"/>
        <v>0</v>
      </c>
      <c r="AB24" s="27"/>
      <c r="AC24" s="28"/>
      <c r="AD24" s="19">
        <f t="shared" si="8"/>
        <v>0</v>
      </c>
      <c r="AE24" s="27"/>
      <c r="AF24" s="28"/>
      <c r="AG24" s="19">
        <f t="shared" si="9"/>
        <v>0</v>
      </c>
      <c r="AH24" s="27"/>
      <c r="AI24" s="28"/>
      <c r="AJ24" s="19">
        <f t="shared" si="10"/>
        <v>0</v>
      </c>
      <c r="AK24" s="27"/>
      <c r="AL24" s="28"/>
      <c r="AM24" s="19">
        <f t="shared" si="11"/>
        <v>0</v>
      </c>
      <c r="AN24" s="27"/>
      <c r="AO24" s="28"/>
      <c r="AP24" s="26">
        <f t="shared" si="12"/>
        <v>0</v>
      </c>
      <c r="AQ24" s="30" t="e">
        <f t="shared" si="13"/>
        <v>#DIV/0!</v>
      </c>
      <c r="AR24" s="2"/>
      <c r="AS24" s="2"/>
    </row>
    <row r="25" spans="1:45" ht="18" customHeight="1">
      <c r="A25" s="5"/>
      <c r="B25" s="24"/>
      <c r="C25" s="25"/>
      <c r="D25" s="26"/>
      <c r="E25" s="31"/>
      <c r="F25" s="19">
        <f t="shared" si="14"/>
        <v>0</v>
      </c>
      <c r="G25" s="27"/>
      <c r="H25" s="28"/>
      <c r="I25" s="19">
        <f t="shared" si="1"/>
        <v>0</v>
      </c>
      <c r="J25" s="27"/>
      <c r="K25" s="28"/>
      <c r="L25" s="19">
        <f t="shared" si="2"/>
        <v>0</v>
      </c>
      <c r="M25" s="27"/>
      <c r="N25" s="28"/>
      <c r="O25" s="19">
        <f t="shared" si="3"/>
        <v>0</v>
      </c>
      <c r="P25" s="27"/>
      <c r="Q25" s="28"/>
      <c r="R25" s="19">
        <f t="shared" si="4"/>
        <v>0</v>
      </c>
      <c r="S25" s="27"/>
      <c r="T25" s="28"/>
      <c r="U25" s="19">
        <f t="shared" si="5"/>
        <v>0</v>
      </c>
      <c r="V25" s="27"/>
      <c r="W25" s="28"/>
      <c r="X25" s="19">
        <f t="shared" si="6"/>
        <v>0</v>
      </c>
      <c r="Y25" s="27"/>
      <c r="Z25" s="28"/>
      <c r="AA25" s="19">
        <f t="shared" si="7"/>
        <v>0</v>
      </c>
      <c r="AB25" s="27"/>
      <c r="AC25" s="28"/>
      <c r="AD25" s="19">
        <f t="shared" si="8"/>
        <v>0</v>
      </c>
      <c r="AE25" s="27"/>
      <c r="AF25" s="28"/>
      <c r="AG25" s="19">
        <f t="shared" si="9"/>
        <v>0</v>
      </c>
      <c r="AH25" s="27"/>
      <c r="AI25" s="28"/>
      <c r="AJ25" s="19">
        <f t="shared" si="10"/>
        <v>0</v>
      </c>
      <c r="AK25" s="27"/>
      <c r="AL25" s="28"/>
      <c r="AM25" s="19">
        <f t="shared" si="11"/>
        <v>0</v>
      </c>
      <c r="AN25" s="27"/>
      <c r="AO25" s="28"/>
      <c r="AP25" s="26">
        <f t="shared" si="12"/>
        <v>0</v>
      </c>
      <c r="AQ25" s="30" t="e">
        <f t="shared" si="13"/>
        <v>#DIV/0!</v>
      </c>
      <c r="AR25" s="2"/>
      <c r="AS25" s="2"/>
    </row>
    <row r="26" spans="1:45" ht="18" customHeight="1">
      <c r="A26" s="5"/>
      <c r="B26" s="24"/>
      <c r="C26" s="25"/>
      <c r="D26" s="26"/>
      <c r="E26" s="31"/>
      <c r="F26" s="19">
        <f t="shared" si="14"/>
        <v>0</v>
      </c>
      <c r="G26" s="27"/>
      <c r="H26" s="28"/>
      <c r="I26" s="19">
        <f t="shared" si="1"/>
        <v>0</v>
      </c>
      <c r="J26" s="27"/>
      <c r="K26" s="28"/>
      <c r="L26" s="19">
        <f t="shared" si="2"/>
        <v>0</v>
      </c>
      <c r="M26" s="27"/>
      <c r="N26" s="28"/>
      <c r="O26" s="19">
        <f t="shared" si="3"/>
        <v>0</v>
      </c>
      <c r="P26" s="27"/>
      <c r="Q26" s="28"/>
      <c r="R26" s="19">
        <f t="shared" si="4"/>
        <v>0</v>
      </c>
      <c r="S26" s="27"/>
      <c r="T26" s="28"/>
      <c r="U26" s="19">
        <f t="shared" si="5"/>
        <v>0</v>
      </c>
      <c r="V26" s="27"/>
      <c r="W26" s="28"/>
      <c r="X26" s="19">
        <f t="shared" si="6"/>
        <v>0</v>
      </c>
      <c r="Y26" s="27"/>
      <c r="Z26" s="28"/>
      <c r="AA26" s="19">
        <f t="shared" si="7"/>
        <v>0</v>
      </c>
      <c r="AB26" s="27"/>
      <c r="AC26" s="28"/>
      <c r="AD26" s="19">
        <f t="shared" si="8"/>
        <v>0</v>
      </c>
      <c r="AE26" s="27"/>
      <c r="AF26" s="28"/>
      <c r="AG26" s="19">
        <f t="shared" si="9"/>
        <v>0</v>
      </c>
      <c r="AH26" s="27"/>
      <c r="AI26" s="28"/>
      <c r="AJ26" s="19">
        <f t="shared" si="10"/>
        <v>0</v>
      </c>
      <c r="AK26" s="27"/>
      <c r="AL26" s="28"/>
      <c r="AM26" s="19">
        <f t="shared" si="11"/>
        <v>0</v>
      </c>
      <c r="AN26" s="27"/>
      <c r="AO26" s="28"/>
      <c r="AP26" s="26">
        <f t="shared" si="12"/>
        <v>0</v>
      </c>
      <c r="AQ26" s="30" t="e">
        <f t="shared" si="13"/>
        <v>#DIV/0!</v>
      </c>
      <c r="AR26" s="2"/>
      <c r="AS26" s="2"/>
    </row>
    <row r="27" spans="1:45" ht="18" customHeight="1">
      <c r="A27" s="5"/>
      <c r="B27" s="24"/>
      <c r="C27" s="25"/>
      <c r="D27" s="26"/>
      <c r="E27" s="31"/>
      <c r="F27" s="19">
        <f t="shared" si="14"/>
        <v>0</v>
      </c>
      <c r="G27" s="27"/>
      <c r="H27" s="28"/>
      <c r="I27" s="19">
        <f t="shared" si="1"/>
        <v>0</v>
      </c>
      <c r="J27" s="27"/>
      <c r="K27" s="28"/>
      <c r="L27" s="19">
        <f t="shared" si="2"/>
        <v>0</v>
      </c>
      <c r="M27" s="27"/>
      <c r="N27" s="28"/>
      <c r="O27" s="19">
        <f t="shared" si="3"/>
        <v>0</v>
      </c>
      <c r="P27" s="27"/>
      <c r="Q27" s="28"/>
      <c r="R27" s="19">
        <f t="shared" si="4"/>
        <v>0</v>
      </c>
      <c r="S27" s="27"/>
      <c r="T27" s="28"/>
      <c r="U27" s="19">
        <f t="shared" si="5"/>
        <v>0</v>
      </c>
      <c r="V27" s="27"/>
      <c r="W27" s="28"/>
      <c r="X27" s="19">
        <f t="shared" si="6"/>
        <v>0</v>
      </c>
      <c r="Y27" s="27"/>
      <c r="Z27" s="28"/>
      <c r="AA27" s="19">
        <f t="shared" si="7"/>
        <v>0</v>
      </c>
      <c r="AB27" s="27"/>
      <c r="AC27" s="28"/>
      <c r="AD27" s="19">
        <f t="shared" si="8"/>
        <v>0</v>
      </c>
      <c r="AE27" s="27"/>
      <c r="AF27" s="28"/>
      <c r="AG27" s="19">
        <f t="shared" si="9"/>
        <v>0</v>
      </c>
      <c r="AH27" s="27"/>
      <c r="AI27" s="28"/>
      <c r="AJ27" s="19">
        <f t="shared" si="10"/>
        <v>0</v>
      </c>
      <c r="AK27" s="27"/>
      <c r="AL27" s="28"/>
      <c r="AM27" s="19">
        <f t="shared" si="11"/>
        <v>0</v>
      </c>
      <c r="AN27" s="27"/>
      <c r="AO27" s="28"/>
      <c r="AP27" s="26">
        <f t="shared" si="12"/>
        <v>0</v>
      </c>
      <c r="AQ27" s="30" t="e">
        <f t="shared" si="13"/>
        <v>#DIV/0!</v>
      </c>
      <c r="AR27" s="2"/>
      <c r="AS27" s="2"/>
    </row>
    <row r="28" spans="1:45" ht="18" customHeight="1">
      <c r="A28" s="5"/>
      <c r="B28" s="24"/>
      <c r="C28" s="25"/>
      <c r="D28" s="26"/>
      <c r="E28" s="31"/>
      <c r="F28" s="19">
        <f t="shared" si="14"/>
        <v>0</v>
      </c>
      <c r="G28" s="27"/>
      <c r="H28" s="28"/>
      <c r="I28" s="19">
        <f t="shared" si="1"/>
        <v>0</v>
      </c>
      <c r="J28" s="27"/>
      <c r="K28" s="28"/>
      <c r="L28" s="19">
        <f t="shared" si="2"/>
        <v>0</v>
      </c>
      <c r="M28" s="27"/>
      <c r="N28" s="28"/>
      <c r="O28" s="19">
        <f t="shared" si="3"/>
        <v>0</v>
      </c>
      <c r="P28" s="27"/>
      <c r="Q28" s="28"/>
      <c r="R28" s="19">
        <f t="shared" si="4"/>
        <v>0</v>
      </c>
      <c r="S28" s="27"/>
      <c r="T28" s="28"/>
      <c r="U28" s="19">
        <f t="shared" si="5"/>
        <v>0</v>
      </c>
      <c r="V28" s="27"/>
      <c r="W28" s="28"/>
      <c r="X28" s="19">
        <f t="shared" si="6"/>
        <v>0</v>
      </c>
      <c r="Y28" s="27"/>
      <c r="Z28" s="28"/>
      <c r="AA28" s="19">
        <f t="shared" si="7"/>
        <v>0</v>
      </c>
      <c r="AB28" s="27"/>
      <c r="AC28" s="28"/>
      <c r="AD28" s="19">
        <f t="shared" si="8"/>
        <v>0</v>
      </c>
      <c r="AE28" s="27"/>
      <c r="AF28" s="28"/>
      <c r="AG28" s="19">
        <f t="shared" si="9"/>
        <v>0</v>
      </c>
      <c r="AH28" s="27"/>
      <c r="AI28" s="28"/>
      <c r="AJ28" s="19">
        <f t="shared" si="10"/>
        <v>0</v>
      </c>
      <c r="AK28" s="27"/>
      <c r="AL28" s="28"/>
      <c r="AM28" s="19">
        <f t="shared" si="11"/>
        <v>0</v>
      </c>
      <c r="AN28" s="27"/>
      <c r="AO28" s="28"/>
      <c r="AP28" s="26">
        <f t="shared" si="12"/>
        <v>0</v>
      </c>
      <c r="AQ28" s="30" t="e">
        <f t="shared" si="13"/>
        <v>#DIV/0!</v>
      </c>
      <c r="AR28" s="2"/>
      <c r="AS28" s="2"/>
    </row>
    <row r="29" spans="1:45" ht="18" customHeight="1">
      <c r="A29" s="5"/>
      <c r="B29" s="24"/>
      <c r="C29" s="25"/>
      <c r="D29" s="32"/>
      <c r="E29" s="31"/>
      <c r="F29" s="19">
        <f t="shared" si="14"/>
        <v>0</v>
      </c>
      <c r="G29" s="27"/>
      <c r="H29" s="28"/>
      <c r="I29" s="19">
        <f t="shared" si="1"/>
        <v>0</v>
      </c>
      <c r="J29" s="27"/>
      <c r="K29" s="28"/>
      <c r="L29" s="19">
        <f t="shared" si="2"/>
        <v>0</v>
      </c>
      <c r="M29" s="27"/>
      <c r="N29" s="28"/>
      <c r="O29" s="19">
        <f t="shared" si="3"/>
        <v>0</v>
      </c>
      <c r="P29" s="27"/>
      <c r="Q29" s="28"/>
      <c r="R29" s="19">
        <f t="shared" si="4"/>
        <v>0</v>
      </c>
      <c r="S29" s="27"/>
      <c r="T29" s="28"/>
      <c r="U29" s="19">
        <f t="shared" si="5"/>
        <v>0</v>
      </c>
      <c r="V29" s="27"/>
      <c r="W29" s="28"/>
      <c r="X29" s="19">
        <f t="shared" si="6"/>
        <v>0</v>
      </c>
      <c r="Y29" s="27"/>
      <c r="Z29" s="28"/>
      <c r="AA29" s="19">
        <f t="shared" si="7"/>
        <v>0</v>
      </c>
      <c r="AB29" s="27"/>
      <c r="AC29" s="28"/>
      <c r="AD29" s="19">
        <f t="shared" si="8"/>
        <v>0</v>
      </c>
      <c r="AE29" s="27"/>
      <c r="AF29" s="28"/>
      <c r="AG29" s="19">
        <f t="shared" si="9"/>
        <v>0</v>
      </c>
      <c r="AH29" s="27"/>
      <c r="AI29" s="28"/>
      <c r="AJ29" s="19">
        <f t="shared" si="10"/>
        <v>0</v>
      </c>
      <c r="AK29" s="27"/>
      <c r="AL29" s="28"/>
      <c r="AM29" s="19">
        <f t="shared" si="11"/>
        <v>0</v>
      </c>
      <c r="AN29" s="27"/>
      <c r="AO29" s="28"/>
      <c r="AP29" s="32">
        <f t="shared" si="12"/>
        <v>0</v>
      </c>
      <c r="AQ29" s="30" t="e">
        <f t="shared" si="13"/>
        <v>#DIV/0!</v>
      </c>
      <c r="AR29" s="2"/>
      <c r="AS29" s="2"/>
    </row>
    <row r="30" spans="1:45" ht="18" customHeight="1">
      <c r="A30" s="5"/>
      <c r="B30" s="24"/>
      <c r="C30" s="25"/>
      <c r="D30" s="32"/>
      <c r="E30" s="31"/>
      <c r="F30" s="19">
        <f t="shared" si="14"/>
        <v>0</v>
      </c>
      <c r="G30" s="27"/>
      <c r="H30" s="28"/>
      <c r="I30" s="19">
        <f t="shared" si="1"/>
        <v>0</v>
      </c>
      <c r="J30" s="27"/>
      <c r="K30" s="28"/>
      <c r="L30" s="19">
        <f t="shared" si="2"/>
        <v>0</v>
      </c>
      <c r="M30" s="27"/>
      <c r="N30" s="28"/>
      <c r="O30" s="19">
        <f t="shared" si="3"/>
        <v>0</v>
      </c>
      <c r="P30" s="27"/>
      <c r="Q30" s="28"/>
      <c r="R30" s="19">
        <f t="shared" si="4"/>
        <v>0</v>
      </c>
      <c r="S30" s="27"/>
      <c r="T30" s="28"/>
      <c r="U30" s="19">
        <f t="shared" si="5"/>
        <v>0</v>
      </c>
      <c r="V30" s="27"/>
      <c r="W30" s="28"/>
      <c r="X30" s="19">
        <f t="shared" si="6"/>
        <v>0</v>
      </c>
      <c r="Y30" s="27"/>
      <c r="Z30" s="28"/>
      <c r="AA30" s="19">
        <f t="shared" si="7"/>
        <v>0</v>
      </c>
      <c r="AB30" s="27"/>
      <c r="AC30" s="28"/>
      <c r="AD30" s="19">
        <f t="shared" si="8"/>
        <v>0</v>
      </c>
      <c r="AE30" s="27"/>
      <c r="AF30" s="28"/>
      <c r="AG30" s="19">
        <f t="shared" si="9"/>
        <v>0</v>
      </c>
      <c r="AH30" s="27"/>
      <c r="AI30" s="28"/>
      <c r="AJ30" s="19">
        <f t="shared" si="10"/>
        <v>0</v>
      </c>
      <c r="AK30" s="27"/>
      <c r="AL30" s="28"/>
      <c r="AM30" s="19">
        <f t="shared" si="11"/>
        <v>0</v>
      </c>
      <c r="AN30" s="27"/>
      <c r="AO30" s="28"/>
      <c r="AP30" s="32">
        <f t="shared" si="12"/>
        <v>0</v>
      </c>
      <c r="AQ30" s="30" t="e">
        <f t="shared" si="13"/>
        <v>#DIV/0!</v>
      </c>
      <c r="AR30" s="2"/>
      <c r="AS30" s="2"/>
    </row>
    <row r="31" spans="1:45" ht="18" customHeight="1">
      <c r="A31" s="5"/>
      <c r="B31" s="33"/>
      <c r="C31" s="16"/>
      <c r="D31" s="34"/>
      <c r="E31" s="22"/>
      <c r="F31" s="22">
        <f t="shared" si="14"/>
        <v>0</v>
      </c>
      <c r="G31" s="35"/>
      <c r="H31" s="36"/>
      <c r="I31" s="22">
        <f t="shared" si="1"/>
        <v>0</v>
      </c>
      <c r="J31" s="35"/>
      <c r="K31" s="36"/>
      <c r="L31" s="22">
        <f t="shared" si="2"/>
        <v>0</v>
      </c>
      <c r="M31" s="35"/>
      <c r="N31" s="36"/>
      <c r="O31" s="22">
        <f t="shared" si="3"/>
        <v>0</v>
      </c>
      <c r="P31" s="35"/>
      <c r="Q31" s="36"/>
      <c r="R31" s="22">
        <f t="shared" si="4"/>
        <v>0</v>
      </c>
      <c r="S31" s="35"/>
      <c r="T31" s="36"/>
      <c r="U31" s="22">
        <f t="shared" si="5"/>
        <v>0</v>
      </c>
      <c r="V31" s="35"/>
      <c r="W31" s="36"/>
      <c r="X31" s="22">
        <f t="shared" si="6"/>
        <v>0</v>
      </c>
      <c r="Y31" s="35"/>
      <c r="Z31" s="36"/>
      <c r="AA31" s="22">
        <f t="shared" si="7"/>
        <v>0</v>
      </c>
      <c r="AB31" s="35"/>
      <c r="AC31" s="36"/>
      <c r="AD31" s="22">
        <f t="shared" si="8"/>
        <v>0</v>
      </c>
      <c r="AE31" s="35"/>
      <c r="AF31" s="36"/>
      <c r="AG31" s="22">
        <f t="shared" si="9"/>
        <v>0</v>
      </c>
      <c r="AH31" s="35"/>
      <c r="AI31" s="36"/>
      <c r="AJ31" s="22">
        <f t="shared" si="10"/>
        <v>0</v>
      </c>
      <c r="AK31" s="35"/>
      <c r="AL31" s="36"/>
      <c r="AM31" s="22">
        <f t="shared" si="11"/>
        <v>0</v>
      </c>
      <c r="AN31" s="35"/>
      <c r="AO31" s="36"/>
      <c r="AP31" s="34">
        <f t="shared" si="12"/>
        <v>0</v>
      </c>
      <c r="AQ31" s="37" t="e">
        <f t="shared" si="13"/>
        <v>#DIV/0!</v>
      </c>
      <c r="AR31" s="2"/>
      <c r="AS31" s="2"/>
    </row>
    <row r="32" spans="1:45" ht="18" customHeight="1">
      <c r="A32" s="2"/>
      <c r="B32" s="38" t="s">
        <v>95</v>
      </c>
      <c r="C32" s="39">
        <f t="shared" ref="C32:AP32" si="15">SUM(C12:C31)</f>
        <v>3841</v>
      </c>
      <c r="D32" s="40">
        <f t="shared" si="15"/>
        <v>900</v>
      </c>
      <c r="E32" s="41">
        <f t="shared" si="15"/>
        <v>3700</v>
      </c>
      <c r="F32" s="41">
        <f t="shared" si="15"/>
        <v>188</v>
      </c>
      <c r="G32" s="42">
        <f t="shared" si="15"/>
        <v>116</v>
      </c>
      <c r="H32" s="43">
        <f t="shared" si="15"/>
        <v>75</v>
      </c>
      <c r="I32" s="41">
        <f t="shared" si="15"/>
        <v>141</v>
      </c>
      <c r="J32" s="42">
        <f t="shared" si="15"/>
        <v>76</v>
      </c>
      <c r="K32" s="43">
        <f t="shared" si="15"/>
        <v>65</v>
      </c>
      <c r="L32" s="41">
        <f t="shared" si="15"/>
        <v>0</v>
      </c>
      <c r="M32" s="42">
        <f t="shared" si="15"/>
        <v>0</v>
      </c>
      <c r="N32" s="43">
        <f t="shared" si="15"/>
        <v>0</v>
      </c>
      <c r="O32" s="41">
        <f t="shared" si="15"/>
        <v>0</v>
      </c>
      <c r="P32" s="42">
        <f t="shared" si="15"/>
        <v>0</v>
      </c>
      <c r="Q32" s="43">
        <f t="shared" si="15"/>
        <v>0</v>
      </c>
      <c r="R32" s="41">
        <f t="shared" si="15"/>
        <v>0</v>
      </c>
      <c r="S32" s="42">
        <f t="shared" si="15"/>
        <v>0</v>
      </c>
      <c r="T32" s="43">
        <f t="shared" si="15"/>
        <v>0</v>
      </c>
      <c r="U32" s="41">
        <f t="shared" si="15"/>
        <v>0</v>
      </c>
      <c r="V32" s="42">
        <f t="shared" si="15"/>
        <v>0</v>
      </c>
      <c r="W32" s="43">
        <f t="shared" si="15"/>
        <v>0</v>
      </c>
      <c r="X32" s="41">
        <f t="shared" si="15"/>
        <v>0</v>
      </c>
      <c r="Y32" s="42">
        <f t="shared" si="15"/>
        <v>0</v>
      </c>
      <c r="Z32" s="43">
        <f t="shared" si="15"/>
        <v>0</v>
      </c>
      <c r="AA32" s="41">
        <f t="shared" si="15"/>
        <v>0</v>
      </c>
      <c r="AB32" s="42">
        <f t="shared" si="15"/>
        <v>0</v>
      </c>
      <c r="AC32" s="43">
        <f t="shared" si="15"/>
        <v>0</v>
      </c>
      <c r="AD32" s="41">
        <f t="shared" si="15"/>
        <v>0</v>
      </c>
      <c r="AE32" s="42">
        <f t="shared" si="15"/>
        <v>0</v>
      </c>
      <c r="AF32" s="43">
        <f t="shared" si="15"/>
        <v>0</v>
      </c>
      <c r="AG32" s="41">
        <f t="shared" si="15"/>
        <v>0</v>
      </c>
      <c r="AH32" s="42">
        <f t="shared" si="15"/>
        <v>0</v>
      </c>
      <c r="AI32" s="43">
        <f t="shared" si="15"/>
        <v>0</v>
      </c>
      <c r="AJ32" s="41">
        <f t="shared" si="15"/>
        <v>0</v>
      </c>
      <c r="AK32" s="42">
        <f t="shared" si="15"/>
        <v>0</v>
      </c>
      <c r="AL32" s="43">
        <f t="shared" si="15"/>
        <v>0</v>
      </c>
      <c r="AM32" s="41">
        <f t="shared" si="15"/>
        <v>0</v>
      </c>
      <c r="AN32" s="42">
        <f t="shared" si="15"/>
        <v>0</v>
      </c>
      <c r="AO32" s="43">
        <f t="shared" si="15"/>
        <v>0</v>
      </c>
      <c r="AP32" s="40">
        <f t="shared" si="15"/>
        <v>188</v>
      </c>
      <c r="AQ32" s="44">
        <f t="shared" si="13"/>
        <v>5.0810810810810812E-2</v>
      </c>
      <c r="AR32" s="2"/>
      <c r="AS32" s="2"/>
    </row>
    <row r="33" spans="1:45" ht="18.75"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row>
    <row r="34" spans="1:45" ht="18.75"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row>
    <row r="35" spans="1:45" ht="18.75"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row>
    <row r="36" spans="1:45" ht="18.75"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row>
    <row r="37" spans="1:45" ht="18.75"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row>
    <row r="38" spans="1:45" ht="18.75"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row>
    <row r="39" spans="1:45" ht="18.75"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row>
    <row r="40" spans="1:45" ht="18.75"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row>
    <row r="41" spans="1:45" ht="18.75"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row>
    <row r="42" spans="1:45" ht="18.75"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row>
    <row r="43" spans="1:45" ht="18.75"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row>
    <row r="44" spans="1:45" ht="18.75"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row>
    <row r="45" spans="1:45" ht="18.75"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row>
    <row r="46" spans="1:45" ht="18.75"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row>
    <row r="47" spans="1:45" ht="18.75"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row>
    <row r="48" spans="1:45" ht="18.75"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row>
    <row r="49" spans="1:45" ht="18.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row>
    <row r="50" spans="1:45" ht="18.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row>
    <row r="51" spans="1:45" ht="18.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row>
    <row r="52" spans="1:45" ht="18.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row>
    <row r="53" spans="1:45" ht="18.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row>
    <row r="54" spans="1:45" ht="18.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row>
    <row r="55" spans="1:45" ht="18.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row>
    <row r="56" spans="1:45" ht="18.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row>
    <row r="57" spans="1:45" ht="18.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row>
    <row r="58" spans="1:45" ht="18.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row>
    <row r="59" spans="1:45" ht="18.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row>
    <row r="60" spans="1:45" ht="18.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row>
    <row r="61" spans="1:45" ht="18.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row>
    <row r="62" spans="1:45" ht="18.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row>
    <row r="63" spans="1:45" ht="18.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row>
    <row r="64" spans="1:45" ht="18.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row>
    <row r="65" spans="1:45" ht="18.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row>
    <row r="66" spans="1:45" ht="18.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row>
    <row r="67" spans="1:45" ht="18.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row>
    <row r="68" spans="1:45" ht="18.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row>
    <row r="69" spans="1:45" ht="18.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row>
    <row r="70" spans="1:45" ht="18.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row>
    <row r="71" spans="1:45" ht="18.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row>
    <row r="72" spans="1:45" ht="18.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row>
    <row r="73" spans="1:45" ht="18.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row>
    <row r="74" spans="1:45" ht="18.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row>
    <row r="75" spans="1:45" ht="18.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row>
    <row r="76" spans="1:45" ht="18.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row>
    <row r="77" spans="1:45" ht="18.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row>
    <row r="78" spans="1:45" ht="18.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row>
    <row r="79" spans="1:45" ht="18.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row>
    <row r="80" spans="1:45" ht="18.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row>
    <row r="81" spans="1:45" ht="18.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row>
    <row r="82" spans="1:45" ht="18.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row>
    <row r="83" spans="1:45" ht="18.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row>
    <row r="84" spans="1:45" ht="18.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row>
    <row r="85" spans="1:45" ht="18.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row>
    <row r="86" spans="1:45" ht="18.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row>
    <row r="87" spans="1:45" ht="18.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row>
    <row r="88" spans="1:45" ht="18.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row>
    <row r="89" spans="1:45" ht="18.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row>
    <row r="90" spans="1:45" ht="18.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row>
    <row r="91" spans="1:45" ht="18.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row>
    <row r="92" spans="1:45" ht="18.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row>
    <row r="93" spans="1:45" ht="18.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row>
    <row r="94" spans="1:45" ht="18.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row>
    <row r="95" spans="1:45" ht="18.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row>
    <row r="96" spans="1:45" ht="18.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row>
    <row r="97" spans="1:45" ht="18.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row>
    <row r="98" spans="1:45" ht="18.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row>
    <row r="99" spans="1:45" ht="18.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row>
    <row r="100" spans="1:45" ht="18.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spans="1:45" ht="18.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row>
    <row r="102" spans="1:45" ht="18.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row>
    <row r="103" spans="1:45" ht="18.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spans="1:45" ht="18.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row>
    <row r="105" spans="1:45" ht="18.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row>
    <row r="106" spans="1:45" ht="18.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row>
    <row r="107" spans="1:45" ht="18.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row>
    <row r="108" spans="1:45" ht="18.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row>
    <row r="109" spans="1:45" ht="18.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row>
    <row r="110" spans="1:45" ht="18.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row>
    <row r="111" spans="1:45" ht="18.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row>
    <row r="112" spans="1:45" ht="18.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row>
    <row r="113" spans="1:45" ht="18.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row>
    <row r="114" spans="1:45" ht="18.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row>
    <row r="115" spans="1:45" ht="18.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row>
    <row r="116" spans="1:45" ht="18.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row>
    <row r="117" spans="1:45" ht="18.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row>
    <row r="118" spans="1:45" ht="18.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row>
    <row r="119" spans="1:45" ht="18.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row>
    <row r="120" spans="1:45" ht="18.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row>
    <row r="121" spans="1:45" ht="18.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row>
    <row r="122" spans="1:45" ht="18.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row>
    <row r="123" spans="1:45" ht="18.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row>
    <row r="124" spans="1:45" ht="18.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row>
    <row r="125" spans="1:45" ht="18.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row>
    <row r="126" spans="1:45" ht="18.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row>
    <row r="127" spans="1:45" ht="18.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row>
    <row r="128" spans="1:45" ht="18.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row>
    <row r="129" spans="1:45" ht="18.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row>
    <row r="130" spans="1:45" ht="18.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row>
    <row r="131" spans="1:45" ht="18.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row>
    <row r="132" spans="1:45" ht="18.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row>
    <row r="133" spans="1:45" ht="18.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row>
    <row r="134" spans="1:45" ht="18.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row>
    <row r="135" spans="1:45" ht="18.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row>
    <row r="136" spans="1:45" ht="18.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row>
    <row r="137" spans="1:45" ht="18.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row>
    <row r="138" spans="1:45" ht="18.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row>
    <row r="139" spans="1:45" ht="18.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row>
    <row r="140" spans="1:45" ht="18.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row>
    <row r="141" spans="1:45" ht="18.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row>
    <row r="142" spans="1:45" ht="18.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row>
    <row r="143" spans="1:45" ht="18.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row>
    <row r="144" spans="1:45" ht="18.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row>
    <row r="145" spans="1:45" ht="18.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row>
    <row r="146" spans="1:45" ht="18.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row>
    <row r="147" spans="1:45" ht="18.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row>
    <row r="148" spans="1:45" ht="18.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row>
    <row r="149" spans="1:45" ht="18.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row>
    <row r="150" spans="1:45" ht="18.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row>
    <row r="151" spans="1:45" ht="18.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row>
    <row r="152" spans="1:45" ht="18.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row>
    <row r="153" spans="1:45" ht="18.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row>
    <row r="154" spans="1:45" ht="18.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row>
    <row r="155" spans="1:45" ht="18.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row>
    <row r="156" spans="1:45" ht="18.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row>
    <row r="157" spans="1:45" ht="18.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row>
    <row r="158" spans="1:45" ht="18.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row>
    <row r="159" spans="1:45" ht="18.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row>
    <row r="160" spans="1:45" ht="18.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row>
    <row r="161" spans="1:45" ht="18.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row>
    <row r="162" spans="1:45" ht="18.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row>
    <row r="163" spans="1:45" ht="18.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row>
    <row r="164" spans="1:45" ht="18.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row>
    <row r="165" spans="1:45" ht="18.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row>
    <row r="166" spans="1:45" ht="18.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row>
    <row r="167" spans="1:45" ht="18.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row>
    <row r="168" spans="1:45" ht="18.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row>
    <row r="169" spans="1:45" ht="18.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row>
    <row r="170" spans="1:45" ht="18.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row>
    <row r="171" spans="1:45" ht="18.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row>
    <row r="172" spans="1:45" ht="18.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row>
    <row r="173" spans="1:45" ht="18.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row>
    <row r="174" spans="1:45" ht="18.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row>
    <row r="175" spans="1:45" ht="18.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row>
    <row r="176" spans="1:45" ht="18.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row>
    <row r="177" spans="1:45" ht="18.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spans="1:45" ht="18.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spans="1:45" ht="18.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spans="1:45" ht="18.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spans="1:45" ht="18.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spans="1:45" ht="18.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spans="1:45" ht="18.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spans="1:45" ht="18.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spans="1:45" ht="18.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row>
    <row r="186" spans="1:45" ht="18.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row>
    <row r="187" spans="1:45" ht="18.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row>
    <row r="188" spans="1:45" ht="18.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row>
    <row r="189" spans="1:45" ht="18.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row>
    <row r="190" spans="1:45" ht="18.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row>
    <row r="191" spans="1:45" ht="18.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row>
    <row r="192" spans="1:45" ht="18.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row>
    <row r="193" spans="1:45" ht="18.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row>
    <row r="194" spans="1:45" ht="18.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row>
    <row r="195" spans="1:45" ht="18.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row>
    <row r="196" spans="1:45" ht="18.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row>
    <row r="197" spans="1:45" ht="18.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row>
    <row r="198" spans="1:45" ht="18.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row>
    <row r="199" spans="1:45" ht="18.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row>
    <row r="200" spans="1:45" ht="18.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row>
    <row r="201" spans="1:45" ht="18.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row>
    <row r="202" spans="1:45" ht="18.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row>
    <row r="203" spans="1:45" ht="18.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row>
    <row r="204" spans="1:45" ht="18.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row>
    <row r="205" spans="1:45" ht="18.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row>
    <row r="206" spans="1:45" ht="18.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row>
    <row r="207" spans="1:45" ht="18.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row>
    <row r="208" spans="1:45" ht="18.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row>
    <row r="209" spans="1:45" ht="18.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row>
    <row r="210" spans="1:45" ht="18.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row>
    <row r="211" spans="1:45" ht="18.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row>
    <row r="212" spans="1:45" ht="18.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row>
    <row r="213" spans="1:45" ht="18.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row>
    <row r="214" spans="1:45" ht="18.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row>
    <row r="215" spans="1:45" ht="18.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row>
    <row r="216" spans="1:45" ht="18.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row>
    <row r="217" spans="1:45" ht="18.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row>
    <row r="218" spans="1:45" ht="18.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row>
    <row r="219" spans="1:45" ht="18.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row>
    <row r="220" spans="1:45" ht="18.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row>
    <row r="221" spans="1:45" ht="18.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row>
    <row r="222" spans="1:45" ht="18.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row>
    <row r="223" spans="1:45" ht="18.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row>
    <row r="224" spans="1:45" ht="18.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row>
    <row r="225" spans="1:45" ht="18.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row>
    <row r="226" spans="1:45" ht="18.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row>
    <row r="227" spans="1:45" ht="18.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row>
    <row r="228" spans="1:45" ht="18.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row>
    <row r="229" spans="1:45" ht="18.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row>
    <row r="230" spans="1:45" ht="18.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row>
    <row r="231" spans="1:45" ht="18.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row>
    <row r="232" spans="1:45" ht="18.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row>
    <row r="233" spans="1:45" ht="18.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row>
    <row r="234" spans="1:45" ht="18.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row>
    <row r="235" spans="1:45" ht="18.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row>
    <row r="236" spans="1:45" ht="18.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row>
    <row r="237" spans="1:45" ht="18.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row>
    <row r="238" spans="1:45" ht="18.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row>
    <row r="239" spans="1:45" ht="18.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row>
    <row r="240" spans="1:45" ht="18.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row>
    <row r="241" spans="1:45" ht="18.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row>
    <row r="242" spans="1:45" ht="18.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row>
    <row r="243" spans="1:45" ht="18.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row>
    <row r="244" spans="1:45" ht="18.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row>
    <row r="245" spans="1:45" ht="18.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row>
    <row r="246" spans="1:45" ht="18.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row>
    <row r="247" spans="1:45" ht="18.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row>
    <row r="248" spans="1:45" ht="18.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row>
    <row r="249" spans="1:45" ht="18.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row>
    <row r="250" spans="1:45" ht="18.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row>
    <row r="251" spans="1:45" ht="18.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row>
    <row r="252" spans="1:45" ht="18.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row>
    <row r="253" spans="1:45" ht="18.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row>
    <row r="254" spans="1:45" ht="18.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row>
    <row r="255" spans="1:45" ht="18.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row>
    <row r="256" spans="1:45" ht="18.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row>
    <row r="257" spans="1:45" ht="18.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row>
    <row r="258" spans="1:45" ht="18.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row>
    <row r="259" spans="1:45" ht="18.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row>
    <row r="260" spans="1:45" ht="18.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row>
    <row r="261" spans="1:45" ht="18.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row>
    <row r="262" spans="1:45" ht="18.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row>
    <row r="263" spans="1:45" ht="18.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row>
    <row r="264" spans="1:45" ht="18.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row>
    <row r="265" spans="1:45" ht="18.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row>
    <row r="266" spans="1:45" ht="18.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row>
    <row r="267" spans="1:45" ht="18.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row>
    <row r="268" spans="1:45" ht="18.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row>
    <row r="269" spans="1:45" ht="18.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row>
    <row r="270" spans="1:45" ht="18.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row>
    <row r="271" spans="1:45" ht="18.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row>
    <row r="272" spans="1:45" ht="18.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row>
    <row r="273" spans="1:45" ht="18.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row>
    <row r="274" spans="1:45" ht="18.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row>
    <row r="275" spans="1:45" ht="18.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row>
    <row r="276" spans="1:45" ht="18.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row>
    <row r="277" spans="1:45" ht="18.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row>
    <row r="278" spans="1:45" ht="18.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row>
    <row r="279" spans="1:45" ht="18.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row>
    <row r="280" spans="1:45" ht="18.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row>
    <row r="281" spans="1:45" ht="18.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row>
    <row r="282" spans="1:45" ht="18.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row>
    <row r="283" spans="1:45" ht="18.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row>
    <row r="284" spans="1:45" ht="18.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row>
    <row r="285" spans="1:45" ht="18.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row>
    <row r="286" spans="1:45" ht="18.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row>
    <row r="287" spans="1:45" ht="18.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row>
    <row r="288" spans="1:45" ht="18.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row>
    <row r="289" spans="1:45" ht="18.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row>
    <row r="290" spans="1:45" ht="18.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row>
    <row r="291" spans="1:45" ht="18.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row>
    <row r="292" spans="1:45" ht="18.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row>
    <row r="293" spans="1:45" ht="18.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row>
    <row r="294" spans="1:45" ht="18.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row>
    <row r="295" spans="1:45" ht="18.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row>
    <row r="296" spans="1:45" ht="18.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row>
    <row r="297" spans="1:45" ht="18.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row>
    <row r="298" spans="1:45" ht="18.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row>
    <row r="299" spans="1:45" ht="18.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row>
    <row r="300" spans="1:45" ht="18.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row>
    <row r="301" spans="1:45" ht="18.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row>
    <row r="302" spans="1:45" ht="18.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row>
    <row r="303" spans="1:45" ht="18.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row>
    <row r="304" spans="1:45" ht="18.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row>
    <row r="305" spans="1:45" ht="18.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row>
    <row r="306" spans="1:45" ht="18.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row>
    <row r="307" spans="1:45" ht="18.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row>
    <row r="308" spans="1:45" ht="18.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row>
    <row r="309" spans="1:45" ht="18.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row>
    <row r="310" spans="1:45" ht="18.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row>
    <row r="311" spans="1:45" ht="18.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row>
    <row r="312" spans="1:45" ht="18.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row>
    <row r="313" spans="1:45" ht="18.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row>
    <row r="314" spans="1:45" ht="18.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row>
    <row r="315" spans="1:45" ht="18.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row>
    <row r="316" spans="1:45" ht="18.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row>
    <row r="317" spans="1:45" ht="18.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row>
    <row r="318" spans="1:45" ht="18.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row>
    <row r="319" spans="1:45" ht="18.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row>
    <row r="320" spans="1:45" ht="18.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row>
    <row r="321" spans="1:45" ht="18.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row>
    <row r="322" spans="1:45" ht="18.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row>
    <row r="323" spans="1:45" ht="18.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row>
    <row r="324" spans="1:45" ht="18.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row>
    <row r="325" spans="1:45" ht="18.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row>
    <row r="326" spans="1:45" ht="18.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row>
    <row r="327" spans="1:45" ht="18.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row>
    <row r="328" spans="1:45" ht="18.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row>
    <row r="329" spans="1:45" ht="18.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row>
    <row r="330" spans="1:45" ht="18.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row>
    <row r="331" spans="1:45" ht="18.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row>
    <row r="332" spans="1:45" ht="18.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row>
    <row r="333" spans="1:45" ht="18.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row>
    <row r="334" spans="1:45" ht="18.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row>
    <row r="335" spans="1:45" ht="18.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row>
    <row r="336" spans="1:45" ht="18.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row>
    <row r="337" spans="1:45" ht="18.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row>
    <row r="338" spans="1:45" ht="18.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row>
    <row r="339" spans="1:45" ht="18.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row>
    <row r="340" spans="1:45" ht="18.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row>
    <row r="341" spans="1:45" ht="18.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row>
    <row r="342" spans="1:45" ht="18.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row>
    <row r="343" spans="1:45" ht="18.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row>
    <row r="344" spans="1:45" ht="18.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row>
    <row r="345" spans="1:45" ht="18.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row>
    <row r="346" spans="1:45" ht="18.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row>
    <row r="347" spans="1:45" ht="18.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row>
    <row r="348" spans="1:45" ht="18.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row>
    <row r="349" spans="1:45" ht="18.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row>
    <row r="350" spans="1:45" ht="18.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row>
    <row r="351" spans="1:45" ht="18.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row>
    <row r="352" spans="1:45" ht="18.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row>
    <row r="353" spans="1:45" ht="18.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row>
    <row r="354" spans="1:45" ht="18.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row>
    <row r="355" spans="1:45" ht="18.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row>
    <row r="356" spans="1:45" ht="18.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row>
    <row r="357" spans="1:45" ht="18.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row>
    <row r="358" spans="1:45" ht="18.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row>
    <row r="359" spans="1:45" ht="18.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row>
    <row r="360" spans="1:45" ht="18.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row>
    <row r="361" spans="1:45" ht="18.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row>
    <row r="362" spans="1:45" ht="18.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row>
    <row r="363" spans="1:45" ht="18.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row>
    <row r="364" spans="1:45" ht="18.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row>
    <row r="365" spans="1:45" ht="18.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row>
    <row r="366" spans="1:45" ht="18.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row>
    <row r="367" spans="1:45" ht="18.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row>
    <row r="368" spans="1:45" ht="18.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row>
    <row r="369" spans="1:45" ht="18.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row>
    <row r="370" spans="1:45" ht="18.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row>
    <row r="371" spans="1:45" ht="18.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row>
    <row r="372" spans="1:45" ht="18.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row>
    <row r="373" spans="1:45" ht="18.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row>
    <row r="374" spans="1:45" ht="18.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row>
    <row r="375" spans="1:45" ht="18.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row>
    <row r="376" spans="1:45" ht="18.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row>
    <row r="377" spans="1:45" ht="18.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row>
    <row r="378" spans="1:45" ht="18.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row>
    <row r="379" spans="1:45" ht="18.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row>
    <row r="380" spans="1:45" ht="18.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row>
    <row r="381" spans="1:45" ht="18.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row>
    <row r="382" spans="1:45" ht="18.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row>
    <row r="383" spans="1:45" ht="18.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row>
    <row r="384" spans="1:45" ht="18.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row>
    <row r="385" spans="1:45" ht="18.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row>
    <row r="386" spans="1:45" ht="18.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row>
    <row r="387" spans="1:45" ht="18.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row>
    <row r="388" spans="1:45" ht="18.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row>
    <row r="389" spans="1:45" ht="18.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row>
    <row r="390" spans="1:45" ht="18.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row>
    <row r="391" spans="1:45" ht="18.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row>
    <row r="392" spans="1:45" ht="18.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row>
    <row r="393" spans="1:45" ht="18.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row>
    <row r="394" spans="1:45" ht="18.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row>
    <row r="395" spans="1:45" ht="18.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row>
    <row r="396" spans="1:45" ht="18.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row>
    <row r="397" spans="1:45" ht="18.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row>
    <row r="398" spans="1:45" ht="18.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row>
    <row r="399" spans="1:45" ht="18.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row>
    <row r="400" spans="1:45" ht="18.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row>
    <row r="401" spans="1:45" ht="18.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row>
    <row r="402" spans="1:45" ht="18.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row>
    <row r="403" spans="1:45" ht="18.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row>
    <row r="404" spans="1:45" ht="18.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row>
    <row r="405" spans="1:45" ht="18.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row>
    <row r="406" spans="1:45" ht="18.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row>
    <row r="407" spans="1:45" ht="18.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row>
    <row r="408" spans="1:45" ht="18.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row>
    <row r="409" spans="1:45" ht="18.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row>
    <row r="410" spans="1:45" ht="18.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row>
    <row r="411" spans="1:45" ht="18.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row>
    <row r="412" spans="1:45" ht="18.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row>
    <row r="413" spans="1:45" ht="18.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row>
    <row r="414" spans="1:45" ht="18.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row>
    <row r="415" spans="1:45" ht="18.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row>
    <row r="416" spans="1:45" ht="18.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row>
    <row r="417" spans="1:45" ht="18.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row>
    <row r="418" spans="1:45" ht="18.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row>
    <row r="419" spans="1:45" ht="18.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row>
    <row r="420" spans="1:45" ht="18.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row>
    <row r="421" spans="1:45" ht="18.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row>
    <row r="422" spans="1:45" ht="18.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row>
    <row r="423" spans="1:45" ht="18.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row>
    <row r="424" spans="1:45" ht="18.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row>
    <row r="425" spans="1:45" ht="18.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row>
    <row r="426" spans="1:45" ht="18.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row>
    <row r="427" spans="1:45" ht="18.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row>
    <row r="428" spans="1:45" ht="18.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row>
    <row r="429" spans="1:45" ht="18.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row>
    <row r="430" spans="1:45" ht="18.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row>
    <row r="431" spans="1:45" ht="18.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row>
    <row r="432" spans="1:45" ht="18.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row>
    <row r="433" spans="1:45" ht="18.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row>
    <row r="434" spans="1:45" ht="18.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row>
    <row r="435" spans="1:45" ht="18.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row>
    <row r="436" spans="1:45" ht="18.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row>
    <row r="437" spans="1:45" ht="18.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row>
    <row r="438" spans="1:45" ht="18.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row>
    <row r="439" spans="1:45" ht="18.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row>
    <row r="440" spans="1:45" ht="18.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row>
    <row r="441" spans="1:45" ht="18.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row>
    <row r="442" spans="1:45" ht="18.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row>
    <row r="443" spans="1:45" ht="18.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row>
    <row r="444" spans="1:45" ht="18.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row>
    <row r="445" spans="1:45" ht="18.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row>
    <row r="446" spans="1:45" ht="18.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row>
    <row r="447" spans="1:45" ht="18.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row>
    <row r="448" spans="1:45" ht="18.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row>
    <row r="449" spans="1:45" ht="18.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row>
    <row r="450" spans="1:45" ht="18.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row>
    <row r="451" spans="1:45" ht="18.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row>
    <row r="452" spans="1:45" ht="18.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row>
    <row r="453" spans="1:45" ht="18.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row>
    <row r="454" spans="1:45" ht="18.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row>
    <row r="455" spans="1:45" ht="18.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row>
    <row r="456" spans="1:45" ht="18.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row>
    <row r="457" spans="1:45" ht="18.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row>
    <row r="458" spans="1:45" ht="18.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row>
    <row r="459" spans="1:45" ht="18.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row>
    <row r="460" spans="1:45" ht="18.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row>
    <row r="461" spans="1:45" ht="18.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row>
    <row r="462" spans="1:45" ht="18.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row>
    <row r="463" spans="1:45" ht="18.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row>
    <row r="464" spans="1:45" ht="18.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row>
    <row r="465" spans="1:45" ht="18.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row>
    <row r="466" spans="1:45" ht="18.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row>
    <row r="467" spans="1:45" ht="18.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row>
    <row r="468" spans="1:45" ht="18.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row>
    <row r="469" spans="1:45" ht="18.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row>
    <row r="470" spans="1:45" ht="18.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row>
    <row r="471" spans="1:45" ht="18.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row>
    <row r="472" spans="1:45" ht="18.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row>
    <row r="473" spans="1:45" ht="18.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row>
    <row r="474" spans="1:45" ht="18.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row>
    <row r="475" spans="1:45" ht="18.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row>
    <row r="476" spans="1:45" ht="18.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row>
    <row r="477" spans="1:45" ht="18.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row>
    <row r="478" spans="1:45" ht="18.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row>
    <row r="479" spans="1:45" ht="18.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row>
    <row r="480" spans="1:45" ht="18.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row>
    <row r="481" spans="1:45" ht="18.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row>
    <row r="482" spans="1:45" ht="18.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row>
    <row r="483" spans="1:45" ht="18.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row>
    <row r="484" spans="1:45" ht="18.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row>
    <row r="485" spans="1:45" ht="18.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row>
    <row r="486" spans="1:45" ht="18.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row>
    <row r="487" spans="1:45" ht="18.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row>
    <row r="488" spans="1:45" ht="18.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row>
    <row r="489" spans="1:45" ht="18.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row>
    <row r="490" spans="1:45" ht="18.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row>
    <row r="491" spans="1:45" ht="18.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row>
    <row r="492" spans="1:45" ht="18.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row>
    <row r="493" spans="1:45" ht="18.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row>
    <row r="494" spans="1:45" ht="18.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row>
    <row r="495" spans="1:45" ht="18.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row>
    <row r="496" spans="1:45" ht="18.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row>
    <row r="497" spans="1:45" ht="18.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row>
    <row r="498" spans="1:45" ht="18.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row>
    <row r="499" spans="1:45" ht="18.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row>
    <row r="500" spans="1:45" ht="18.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row>
    <row r="501" spans="1:45" ht="18.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row>
    <row r="502" spans="1:45" ht="18.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row>
    <row r="503" spans="1:45" ht="18.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row>
    <row r="504" spans="1:45" ht="18.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row>
    <row r="505" spans="1:45" ht="18.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row>
    <row r="506" spans="1:45" ht="18.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row>
    <row r="507" spans="1:45" ht="18.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row>
    <row r="508" spans="1:45" ht="18.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row>
    <row r="509" spans="1:45" ht="18.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row>
    <row r="510" spans="1:45" ht="18.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row>
    <row r="511" spans="1:45" ht="18.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row>
    <row r="512" spans="1:45" ht="18.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row>
    <row r="513" spans="1:45" ht="18.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row>
    <row r="514" spans="1:45" ht="18.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row>
    <row r="515" spans="1:45" ht="18.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row>
    <row r="516" spans="1:45" ht="18.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row>
    <row r="517" spans="1:45" ht="18.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row>
    <row r="518" spans="1:45" ht="18.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row>
    <row r="519" spans="1:45" ht="18.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row>
    <row r="520" spans="1:45" ht="18.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row>
    <row r="521" spans="1:45" ht="18.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row>
    <row r="522" spans="1:45" ht="18.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row>
    <row r="523" spans="1:45" ht="18.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row>
    <row r="524" spans="1:45" ht="18.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row>
    <row r="525" spans="1:45" ht="18.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row>
    <row r="526" spans="1:45" ht="18.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row>
    <row r="527" spans="1:45" ht="18.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row>
    <row r="528" spans="1:45" ht="18.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row>
    <row r="529" spans="1:45" ht="18.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row>
    <row r="530" spans="1:45" ht="18.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row>
    <row r="531" spans="1:45" ht="18.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row>
    <row r="532" spans="1:45" ht="18.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row>
    <row r="533" spans="1:45" ht="18.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row>
    <row r="534" spans="1:45" ht="18.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row>
    <row r="535" spans="1:45" ht="18.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row>
    <row r="536" spans="1:45" ht="18.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row>
    <row r="537" spans="1:45" ht="18.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row>
    <row r="538" spans="1:45" ht="18.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row>
    <row r="539" spans="1:45" ht="18.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row>
    <row r="540" spans="1:45" ht="18.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row>
    <row r="541" spans="1:45" ht="18.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row>
    <row r="542" spans="1:45" ht="18.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row>
    <row r="543" spans="1:45" ht="18.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row>
    <row r="544" spans="1:45" ht="18.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row>
    <row r="545" spans="1:45" ht="18.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row>
    <row r="546" spans="1:45" ht="18.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row>
    <row r="547" spans="1:45" ht="18.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row>
    <row r="548" spans="1:45" ht="18.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row>
    <row r="549" spans="1:45" ht="18.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row>
    <row r="550" spans="1:45" ht="18.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row>
    <row r="551" spans="1:45" ht="18.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row>
    <row r="552" spans="1:45" ht="18.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row>
    <row r="553" spans="1:45" ht="18.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row>
    <row r="554" spans="1:45" ht="18.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row>
    <row r="555" spans="1:45" ht="18.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row>
    <row r="556" spans="1:45" ht="18.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row>
    <row r="557" spans="1:45" ht="18.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row>
    <row r="558" spans="1:45" ht="18.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row>
    <row r="559" spans="1:45" ht="18.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row>
    <row r="560" spans="1:45" ht="18.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row>
    <row r="561" spans="1:45" ht="18.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row>
    <row r="562" spans="1:45" ht="18.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row>
    <row r="563" spans="1:45" ht="18.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row>
    <row r="564" spans="1:45" ht="18.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row>
    <row r="565" spans="1:45" ht="18.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row>
    <row r="566" spans="1:45" ht="18.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row>
    <row r="567" spans="1:45" ht="18.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row>
    <row r="568" spans="1:45" ht="18.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row>
    <row r="569" spans="1:45" ht="18.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row>
    <row r="570" spans="1:45" ht="18.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row>
    <row r="571" spans="1:45" ht="18.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row>
    <row r="572" spans="1:45" ht="18.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row>
    <row r="573" spans="1:45" ht="18.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row>
    <row r="574" spans="1:45" ht="18.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row>
    <row r="575" spans="1:45" ht="18.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row>
    <row r="576" spans="1:45" ht="18.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row>
    <row r="577" spans="1:45" ht="18.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row>
    <row r="578" spans="1:45" ht="18.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row>
    <row r="579" spans="1:45" ht="18.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row>
    <row r="580" spans="1:45" ht="18.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row>
    <row r="581" spans="1:45" ht="18.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row>
    <row r="582" spans="1:45" ht="18.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row>
    <row r="583" spans="1:45" ht="18.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row>
    <row r="584" spans="1:45" ht="18.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row>
    <row r="585" spans="1:45" ht="18.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row>
    <row r="586" spans="1:45" ht="18.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row>
    <row r="587" spans="1:45" ht="18.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row>
    <row r="588" spans="1:45" ht="18.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row>
    <row r="589" spans="1:45" ht="18.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row>
    <row r="590" spans="1:45" ht="18.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row>
    <row r="591" spans="1:45" ht="18.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row>
    <row r="592" spans="1:45" ht="18.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row>
    <row r="593" spans="1:45" ht="18.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row>
    <row r="594" spans="1:45" ht="18.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row>
    <row r="595" spans="1:45" ht="18.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row>
    <row r="596" spans="1:45" ht="18.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row>
    <row r="597" spans="1:45" ht="18.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row>
    <row r="598" spans="1:45" ht="18.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row>
    <row r="599" spans="1:45" ht="18.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row>
    <row r="600" spans="1:45" ht="18.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row>
    <row r="601" spans="1:45" ht="18.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row>
    <row r="602" spans="1:45" ht="18.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row>
    <row r="603" spans="1:45" ht="18.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row>
    <row r="604" spans="1:45" ht="18.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row>
    <row r="605" spans="1:45" ht="18.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row>
    <row r="606" spans="1:45" ht="18.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row>
    <row r="607" spans="1:45" ht="18.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row>
    <row r="608" spans="1:45" ht="18.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row>
    <row r="609" spans="1:45" ht="18.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row>
    <row r="610" spans="1:45" ht="18.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row>
    <row r="611" spans="1:45" ht="18.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row>
    <row r="612" spans="1:45" ht="18.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row>
    <row r="613" spans="1:45" ht="18.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row>
    <row r="614" spans="1:45" ht="18.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row>
    <row r="615" spans="1:45" ht="18.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row>
    <row r="616" spans="1:45" ht="18.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row>
    <row r="617" spans="1:45" ht="18.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row>
    <row r="618" spans="1:45" ht="18.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row>
    <row r="619" spans="1:45" ht="18.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row>
    <row r="620" spans="1:45" ht="18.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row>
    <row r="621" spans="1:45" ht="18.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row>
    <row r="622" spans="1:45" ht="18.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row>
    <row r="623" spans="1:45" ht="18.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row>
    <row r="624" spans="1:45" ht="18.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row>
    <row r="625" spans="1:45" ht="18.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row>
    <row r="626" spans="1:45" ht="18.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row>
    <row r="627" spans="1:45" ht="18.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row>
    <row r="628" spans="1:45" ht="18.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row>
    <row r="629" spans="1:45" ht="18.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row>
    <row r="630" spans="1:45" ht="18.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row>
    <row r="631" spans="1:45" ht="18.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row>
    <row r="632" spans="1:45" ht="18.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row>
    <row r="633" spans="1:45" ht="18.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row>
    <row r="634" spans="1:45" ht="18.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row>
    <row r="635" spans="1:45" ht="18.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row>
    <row r="636" spans="1:45" ht="18.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row>
    <row r="637" spans="1:45" ht="18.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row>
    <row r="638" spans="1:45" ht="18.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row>
    <row r="639" spans="1:45" ht="18.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row>
    <row r="640" spans="1:45" ht="18.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row>
    <row r="641" spans="1:45" ht="18.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row>
    <row r="642" spans="1:45" ht="18.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row>
    <row r="643" spans="1:45" ht="18.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row>
    <row r="644" spans="1:45" ht="18.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row>
    <row r="645" spans="1:45" ht="18.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row>
    <row r="646" spans="1:45" ht="18.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row>
    <row r="647" spans="1:45" ht="18.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row>
    <row r="648" spans="1:45" ht="18.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row>
    <row r="649" spans="1:45" ht="18.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row>
    <row r="650" spans="1:45" ht="18.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row>
    <row r="651" spans="1:45" ht="18.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row>
    <row r="652" spans="1:45" ht="18.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row>
    <row r="653" spans="1:45" ht="18.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row>
    <row r="654" spans="1:45" ht="18.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row>
    <row r="655" spans="1:45" ht="18.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row>
    <row r="656" spans="1:45" ht="18.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row>
    <row r="657" spans="1:45" ht="18.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row>
    <row r="658" spans="1:45" ht="18.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row>
    <row r="659" spans="1:45" ht="18.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row>
    <row r="660" spans="1:45" ht="18.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row>
    <row r="661" spans="1:45" ht="18.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row>
    <row r="662" spans="1:45" ht="18.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row>
    <row r="663" spans="1:45" ht="18.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row>
    <row r="664" spans="1:45" ht="18.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row>
    <row r="665" spans="1:45" ht="18.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row>
    <row r="666" spans="1:45" ht="18.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row>
    <row r="667" spans="1:45" ht="18.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row>
    <row r="668" spans="1:45" ht="18.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row>
    <row r="669" spans="1:45" ht="18.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row>
    <row r="670" spans="1:45" ht="18.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row>
    <row r="671" spans="1:45" ht="18.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row>
    <row r="672" spans="1:45" ht="18.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row>
    <row r="673" spans="1:45" ht="18.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row>
    <row r="674" spans="1:45" ht="18.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row>
    <row r="675" spans="1:45" ht="18.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row>
    <row r="676" spans="1:45" ht="18.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row>
    <row r="677" spans="1:45" ht="18.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row>
    <row r="678" spans="1:45" ht="18.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row>
    <row r="679" spans="1:45" ht="18.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row>
    <row r="680" spans="1:45" ht="18.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row>
    <row r="681" spans="1:45" ht="18.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row>
    <row r="682" spans="1:45" ht="18.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row>
    <row r="683" spans="1:45" ht="18.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row>
    <row r="684" spans="1:45" ht="18.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row>
    <row r="685" spans="1:45" ht="18.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row>
    <row r="686" spans="1:45" ht="18.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row>
    <row r="687" spans="1:45" ht="18.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row>
    <row r="688" spans="1:45" ht="18.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row>
    <row r="689" spans="1:45" ht="18.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row>
    <row r="690" spans="1:45" ht="18.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row>
    <row r="691" spans="1:45" ht="18.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row>
    <row r="692" spans="1:45" ht="18.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row>
    <row r="693" spans="1:45" ht="18.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row>
    <row r="694" spans="1:45" ht="18.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row>
    <row r="695" spans="1:45" ht="18.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row>
    <row r="696" spans="1:45" ht="18.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row>
    <row r="697" spans="1:45" ht="18.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row>
    <row r="698" spans="1:45" ht="18.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row>
    <row r="699" spans="1:45" ht="18.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row>
    <row r="700" spans="1:45" ht="18.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row>
    <row r="701" spans="1:45" ht="18.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row>
    <row r="702" spans="1:45" ht="18.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row>
    <row r="703" spans="1:45" ht="18.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row>
    <row r="704" spans="1:45" ht="18.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row>
    <row r="705" spans="1:45" ht="18.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row>
    <row r="706" spans="1:45" ht="18.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row>
    <row r="707" spans="1:45" ht="18.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row>
    <row r="708" spans="1:45" ht="18.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row>
    <row r="709" spans="1:45" ht="18.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row>
    <row r="710" spans="1:45" ht="18.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row>
    <row r="711" spans="1:45" ht="18.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row>
    <row r="712" spans="1:45" ht="18.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row>
    <row r="713" spans="1:45" ht="18.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row>
    <row r="714" spans="1:45" ht="18.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row>
    <row r="715" spans="1:45" ht="18.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row>
    <row r="716" spans="1:45" ht="18.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row>
    <row r="717" spans="1:45" ht="18.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row>
    <row r="718" spans="1:45" ht="18.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row>
    <row r="719" spans="1:45" ht="18.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row>
    <row r="720" spans="1:45" ht="18.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row>
    <row r="721" spans="1:45" ht="18.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row>
    <row r="722" spans="1:45" ht="18.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row>
    <row r="723" spans="1:45" ht="18.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row>
    <row r="724" spans="1:45" ht="18.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row>
    <row r="725" spans="1:45" ht="18.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row>
    <row r="726" spans="1:45" ht="18.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row>
    <row r="727" spans="1:45" ht="18.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row>
    <row r="728" spans="1:45" ht="18.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row>
    <row r="729" spans="1:45" ht="18.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row>
    <row r="730" spans="1:45" ht="18.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row>
    <row r="731" spans="1:45" ht="18.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row>
    <row r="732" spans="1:45" ht="18.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row>
    <row r="733" spans="1:45" ht="18.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row>
    <row r="734" spans="1:45" ht="18.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row>
    <row r="735" spans="1:45" ht="18.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row>
    <row r="736" spans="1:45" ht="18.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row>
    <row r="737" spans="1:45" ht="18.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row>
    <row r="738" spans="1:45" ht="18.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row>
    <row r="739" spans="1:45" ht="18.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row>
    <row r="740" spans="1:45" ht="18.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row>
    <row r="741" spans="1:45" ht="18.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row>
    <row r="742" spans="1:45" ht="18.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row>
    <row r="743" spans="1:45" ht="18.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row>
    <row r="744" spans="1:45" ht="18.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row>
    <row r="745" spans="1:45" ht="18.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row>
    <row r="746" spans="1:45" ht="18.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row>
    <row r="747" spans="1:45" ht="18.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row>
    <row r="748" spans="1:45" ht="18.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row>
    <row r="749" spans="1:45" ht="18.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row>
    <row r="750" spans="1:45" ht="18.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row>
    <row r="751" spans="1:45" ht="18.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row>
    <row r="752" spans="1:45" ht="18.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row>
    <row r="753" spans="1:45" ht="18.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row>
    <row r="754" spans="1:45" ht="18.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row>
    <row r="755" spans="1:45" ht="18.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row>
    <row r="756" spans="1:45" ht="18.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row>
    <row r="757" spans="1:45" ht="18.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row>
    <row r="758" spans="1:45" ht="18.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row>
    <row r="759" spans="1:45" ht="18.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row>
    <row r="760" spans="1:45" ht="18.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row>
    <row r="761" spans="1:45" ht="18.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row>
    <row r="762" spans="1:45" ht="18.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row>
    <row r="763" spans="1:45" ht="18.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row>
    <row r="764" spans="1:45" ht="18.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row>
    <row r="765" spans="1:45" ht="18.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row>
    <row r="766" spans="1:45" ht="18.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row>
    <row r="767" spans="1:45" ht="18.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row>
    <row r="768" spans="1:45" ht="18.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row>
    <row r="769" spans="1:45" ht="18.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row>
    <row r="770" spans="1:45" ht="18.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row>
    <row r="771" spans="1:45" ht="18.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row>
    <row r="772" spans="1:45" ht="18.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row>
    <row r="773" spans="1:45" ht="18.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row>
    <row r="774" spans="1:45" ht="18.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row>
    <row r="775" spans="1:45" ht="18.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row>
    <row r="776" spans="1:45" ht="18.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row>
    <row r="777" spans="1:45" ht="18.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row>
    <row r="778" spans="1:45" ht="18.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row>
    <row r="779" spans="1:45" ht="18.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row>
    <row r="780" spans="1:45" ht="18.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row>
    <row r="781" spans="1:45" ht="18.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row>
    <row r="782" spans="1:45" ht="18.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row>
    <row r="783" spans="1:45" ht="18.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row>
    <row r="784" spans="1:45" ht="18.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row>
    <row r="785" spans="1:45" ht="18.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row>
    <row r="786" spans="1:45" ht="18.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row>
    <row r="787" spans="1:45" ht="18.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row>
    <row r="788" spans="1:45" ht="18.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row>
    <row r="789" spans="1:45" ht="18.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row>
    <row r="790" spans="1:45" ht="18.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row>
    <row r="791" spans="1:45" ht="18.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row>
    <row r="792" spans="1:45" ht="18.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row>
    <row r="793" spans="1:45" ht="18.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row>
    <row r="794" spans="1:45" ht="18.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row>
    <row r="795" spans="1:45" ht="18.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row>
    <row r="796" spans="1:45" ht="18.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row>
    <row r="797" spans="1:45" ht="18.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row>
    <row r="798" spans="1:45" ht="18.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row>
    <row r="799" spans="1:45" ht="18.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row>
    <row r="800" spans="1:45" ht="18.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row>
    <row r="801" spans="1:45" ht="18.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row>
    <row r="802" spans="1:45" ht="18.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row>
    <row r="803" spans="1:45" ht="18.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row>
    <row r="804" spans="1:45" ht="18.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row>
    <row r="805" spans="1:45" ht="18.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row>
    <row r="806" spans="1:45" ht="18.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row>
    <row r="807" spans="1:45" ht="18.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row>
    <row r="808" spans="1:45" ht="18.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row>
    <row r="809" spans="1:45" ht="18.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row>
    <row r="810" spans="1:45" ht="18.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row>
    <row r="811" spans="1:45" ht="18.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row>
    <row r="812" spans="1:45" ht="18.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row>
    <row r="813" spans="1:45" ht="18.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row>
    <row r="814" spans="1:45" ht="18.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row>
    <row r="815" spans="1:45" ht="18.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row>
    <row r="816" spans="1:45" ht="18.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row>
    <row r="817" spans="1:45" ht="18.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row>
    <row r="818" spans="1:45" ht="18.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row>
    <row r="819" spans="1:45" ht="18.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row>
    <row r="820" spans="1:45" ht="18.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row>
    <row r="821" spans="1:45" ht="18.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row>
    <row r="822" spans="1:45" ht="18.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row>
    <row r="823" spans="1:45" ht="18.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row>
    <row r="824" spans="1:45" ht="18.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row>
    <row r="825" spans="1:45" ht="18.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row>
    <row r="826" spans="1:45" ht="18.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row>
    <row r="827" spans="1:45" ht="18.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row>
    <row r="828" spans="1:45" ht="18.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row>
    <row r="829" spans="1:45" ht="18.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row>
    <row r="830" spans="1:45" ht="18.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row>
    <row r="831" spans="1:45" ht="18.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row>
    <row r="832" spans="1:45" ht="18.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row>
    <row r="833" spans="1:45" ht="18.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row>
    <row r="834" spans="1:45" ht="18.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row>
    <row r="835" spans="1:45" ht="18.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row>
    <row r="836" spans="1:45" ht="18.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row>
    <row r="837" spans="1:45" ht="18.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row>
    <row r="838" spans="1:45" ht="18.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row>
    <row r="839" spans="1:45" ht="18.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row>
    <row r="840" spans="1:45" ht="18.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row>
    <row r="841" spans="1:45" ht="18.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row>
    <row r="842" spans="1:45" ht="18.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row>
    <row r="843" spans="1:45" ht="18.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row>
    <row r="844" spans="1:45" ht="18.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row>
    <row r="845" spans="1:45" ht="18.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row>
    <row r="846" spans="1:45" ht="18.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row>
    <row r="847" spans="1:45" ht="18.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row>
    <row r="848" spans="1:45" ht="18.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row>
    <row r="849" spans="1:45" ht="18.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row>
    <row r="850" spans="1:45" ht="18.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row>
    <row r="851" spans="1:45" ht="18.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row>
    <row r="852" spans="1:45" ht="18.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row>
    <row r="853" spans="1:45" ht="18.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row>
    <row r="854" spans="1:45" ht="18.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row>
    <row r="855" spans="1:45" ht="18.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row>
    <row r="856" spans="1:45" ht="18.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row>
    <row r="857" spans="1:45" ht="18.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row>
    <row r="858" spans="1:45" ht="18.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row>
    <row r="859" spans="1:45" ht="18.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row>
    <row r="860" spans="1:45" ht="18.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row>
    <row r="861" spans="1:45" ht="18.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row>
    <row r="862" spans="1:45" ht="18.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row>
    <row r="863" spans="1:45" ht="18.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row>
    <row r="864" spans="1:45" ht="18.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row>
    <row r="865" spans="1:45" ht="18.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row>
    <row r="866" spans="1:45" ht="18.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row>
    <row r="867" spans="1:45" ht="18.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row>
    <row r="868" spans="1:45" ht="18.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row>
    <row r="869" spans="1:45" ht="18.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row>
    <row r="870" spans="1:45" ht="18.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row>
    <row r="871" spans="1:45" ht="18.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row>
    <row r="872" spans="1:45" ht="18.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row>
    <row r="873" spans="1:45" ht="18.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row>
    <row r="874" spans="1:45" ht="18.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row>
    <row r="875" spans="1:45" ht="18.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row>
    <row r="876" spans="1:45" ht="18.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row>
    <row r="877" spans="1:45" ht="18.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row>
    <row r="878" spans="1:45" ht="18.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row>
    <row r="879" spans="1:45" ht="18.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row>
    <row r="880" spans="1:45" ht="18.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row>
    <row r="881" spans="1:45" ht="18.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row>
    <row r="882" spans="1:45" ht="18.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row>
    <row r="883" spans="1:45" ht="18.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row>
    <row r="884" spans="1:45" ht="18.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row>
    <row r="885" spans="1:45" ht="18.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row>
    <row r="886" spans="1:45" ht="18.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row>
    <row r="887" spans="1:45" ht="18.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row>
    <row r="888" spans="1:45" ht="18.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row>
    <row r="889" spans="1:45" ht="18.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row>
    <row r="890" spans="1:45" ht="18.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row>
    <row r="891" spans="1:45" ht="18.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row>
    <row r="892" spans="1:45" ht="18.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row>
    <row r="893" spans="1:45" ht="18.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row>
    <row r="894" spans="1:45" ht="18.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row>
    <row r="895" spans="1:45" ht="18.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row>
    <row r="896" spans="1:45" ht="18.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row>
    <row r="897" spans="1:45" ht="18.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row>
    <row r="898" spans="1:45" ht="18.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row>
    <row r="899" spans="1:45" ht="18.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row>
    <row r="900" spans="1:45" ht="18.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row>
    <row r="901" spans="1:45" ht="18.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row>
    <row r="902" spans="1:45" ht="18.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row>
    <row r="903" spans="1:45" ht="18.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row>
    <row r="904" spans="1:45" ht="18.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row>
    <row r="905" spans="1:45" ht="18.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row>
    <row r="906" spans="1:45" ht="18.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row>
    <row r="907" spans="1:45" ht="18.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row>
    <row r="908" spans="1:45" ht="18.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row>
    <row r="909" spans="1:45" ht="18.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row>
    <row r="910" spans="1:45" ht="18.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row>
    <row r="911" spans="1:45" ht="18.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row>
    <row r="912" spans="1:45" ht="18.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row>
    <row r="913" spans="1:45" ht="18.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row>
    <row r="914" spans="1:45" ht="18.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row>
    <row r="915" spans="1:45" ht="18.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row>
    <row r="916" spans="1:45" ht="18.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row>
    <row r="917" spans="1:45" ht="18.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row>
    <row r="918" spans="1:45" ht="18.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row>
    <row r="919" spans="1:45" ht="18.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row>
    <row r="920" spans="1:45" ht="18.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row>
    <row r="921" spans="1:45" ht="18.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row>
    <row r="922" spans="1:45" ht="18.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row>
    <row r="923" spans="1:45" ht="18.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row>
    <row r="924" spans="1:45" ht="18.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row>
    <row r="925" spans="1:45" ht="18.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row>
    <row r="926" spans="1:45" ht="18.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row>
    <row r="927" spans="1:45" ht="18.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row>
    <row r="928" spans="1:45" ht="18.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row>
    <row r="929" spans="1:45" ht="18.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row>
    <row r="930" spans="1:45" ht="18.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row>
    <row r="931" spans="1:45" ht="18.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row>
    <row r="932" spans="1:45" ht="18.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row>
    <row r="933" spans="1:45" ht="18.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row>
    <row r="934" spans="1:45" ht="18.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row>
    <row r="935" spans="1:45" ht="18.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row>
    <row r="936" spans="1:45" ht="18.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row>
    <row r="937" spans="1:45" ht="18.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row>
    <row r="938" spans="1:45" ht="18.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row>
    <row r="939" spans="1:45" ht="18.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row>
    <row r="940" spans="1:45" ht="18.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row>
    <row r="941" spans="1:45" ht="18.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row>
    <row r="942" spans="1:45" ht="18.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row>
    <row r="943" spans="1:45" ht="18.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row>
    <row r="944" spans="1:45" ht="18.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row>
    <row r="945" spans="1:45" ht="18.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row>
    <row r="946" spans="1:45" ht="18.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row>
    <row r="947" spans="1:45" ht="18.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row>
    <row r="948" spans="1:45" ht="18.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row>
    <row r="949" spans="1:45" ht="18.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row>
    <row r="950" spans="1:45" ht="18.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row>
    <row r="951" spans="1:45" ht="18.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row>
    <row r="952" spans="1:45" ht="18.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row>
    <row r="953" spans="1:45" ht="18.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row>
    <row r="954" spans="1:45" ht="18.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row>
    <row r="955" spans="1:45" ht="18.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row>
    <row r="956" spans="1:45" ht="18.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row>
    <row r="957" spans="1:45" ht="18.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row>
    <row r="958" spans="1:45" ht="18.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row>
    <row r="959" spans="1:45" ht="18.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row>
    <row r="960" spans="1:45" ht="18.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row>
    <row r="961" spans="1:45" ht="18.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row>
    <row r="962" spans="1:45" ht="18.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row>
    <row r="963" spans="1:45" ht="18.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row>
    <row r="964" spans="1:45" ht="18.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row>
    <row r="965" spans="1:45" ht="18.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row>
    <row r="966" spans="1:45" ht="18.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row>
    <row r="967" spans="1:45" ht="18.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row>
    <row r="968" spans="1:45" ht="18.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row>
    <row r="969" spans="1:45" ht="18.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row>
    <row r="970" spans="1:45" ht="18.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row>
    <row r="971" spans="1:45" ht="18.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row>
    <row r="972" spans="1:45" ht="18.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row>
    <row r="973" spans="1:45" ht="18.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row>
    <row r="974" spans="1:45" ht="18.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row>
    <row r="975" spans="1:45" ht="18.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row>
    <row r="976" spans="1:45" ht="18.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row>
    <row r="977" spans="1:45" ht="18.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row>
    <row r="978" spans="1:45" ht="18.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row>
    <row r="979" spans="1:45" ht="18.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row>
    <row r="980" spans="1:45" ht="18.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row>
    <row r="981" spans="1:45" ht="18.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row>
    <row r="982" spans="1:45" ht="18.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row>
    <row r="983" spans="1:45" ht="18.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row>
    <row r="984" spans="1:45" ht="18.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row>
    <row r="985" spans="1:45" ht="18.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row>
    <row r="986" spans="1:45" ht="18.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row>
    <row r="987" spans="1:45" ht="18.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row>
    <row r="988" spans="1:45" ht="18.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row>
    <row r="989" spans="1:45" ht="18.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row>
    <row r="990" spans="1:45" ht="18.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row>
    <row r="991" spans="1:45" ht="18.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row>
    <row r="992" spans="1:45" ht="18.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row>
    <row r="993" spans="1:45" ht="18.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row>
    <row r="994" spans="1:45" ht="18.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row>
    <row r="995" spans="1:45" ht="18.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row>
    <row r="996" spans="1:45" ht="18.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row>
    <row r="997" spans="1:45" ht="18.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row>
    <row r="998" spans="1:45" ht="18.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row>
    <row r="999" spans="1:45" ht="18.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row>
    <row r="1000" spans="1:45" ht="18.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row>
  </sheetData>
  <mergeCells count="27">
    <mergeCell ref="O10:Q10"/>
    <mergeCell ref="R10:T10"/>
    <mergeCell ref="U10:W10"/>
    <mergeCell ref="X10:Z10"/>
    <mergeCell ref="AA10:AC10"/>
    <mergeCell ref="AM2:AQ2"/>
    <mergeCell ref="A3:AQ3"/>
    <mergeCell ref="C5:D5"/>
    <mergeCell ref="B9:B11"/>
    <mergeCell ref="C9:C11"/>
    <mergeCell ref="D9:D11"/>
    <mergeCell ref="E9:E11"/>
    <mergeCell ref="F9:K9"/>
    <mergeCell ref="L9:Q9"/>
    <mergeCell ref="R9:W9"/>
    <mergeCell ref="X9:AC9"/>
    <mergeCell ref="AP9:AP11"/>
    <mergeCell ref="AQ9:AQ11"/>
    <mergeCell ref="F10:H10"/>
    <mergeCell ref="I10:K10"/>
    <mergeCell ref="L10:N10"/>
    <mergeCell ref="AD9:AI9"/>
    <mergeCell ref="AJ9:AO9"/>
    <mergeCell ref="AD10:AF10"/>
    <mergeCell ref="AG10:AI10"/>
    <mergeCell ref="AJ10:AL10"/>
    <mergeCell ref="AM10:AO10"/>
  </mergeCells>
  <phoneticPr fontId="11"/>
  <conditionalFormatting sqref="C5:D5">
    <cfRule type="cellIs" dxfId="0" priority="1" operator="equal">
      <formula>0</formula>
    </cfRule>
  </conditionalFormatting>
  <printOptions horizontalCentered="1"/>
  <pageMargins left="0.78740157480314965" right="0.78740157480314965" top="0.78740157480314965" bottom="0.59055118110236227" header="0" footer="0"/>
  <pageSetup paperSize="9" orientation="landscape"/>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defaultColWidth="14.42578125" defaultRowHeight="15" customHeight="1"/>
  <cols>
    <col min="1" max="1" width="2.7109375" customWidth="1"/>
    <col min="2" max="2" width="16.5703125" customWidth="1"/>
    <col min="3" max="3" width="8.85546875" customWidth="1"/>
    <col min="4" max="4" width="2.28515625" customWidth="1"/>
    <col min="5" max="5" width="16.5703125" customWidth="1"/>
    <col min="6" max="6" width="4.42578125" customWidth="1"/>
    <col min="7" max="7" width="9" customWidth="1"/>
    <col min="8" max="8" width="16.5703125" customWidth="1"/>
    <col min="9" max="9" width="12.140625" customWidth="1"/>
    <col min="10" max="26" width="11.42578125" customWidth="1"/>
  </cols>
  <sheetData>
    <row r="1" spans="1:26" ht="18.75" customHeight="1">
      <c r="A1" s="45" t="s">
        <v>96</v>
      </c>
      <c r="B1" s="2"/>
      <c r="C1" s="2"/>
      <c r="D1" s="2"/>
      <c r="E1" s="2"/>
      <c r="F1" s="2"/>
      <c r="G1" s="2"/>
      <c r="H1" s="2"/>
      <c r="I1" s="3" t="s">
        <v>97</v>
      </c>
      <c r="J1" s="2"/>
      <c r="K1" s="2"/>
      <c r="L1" s="2"/>
      <c r="M1" s="2"/>
      <c r="N1" s="2"/>
      <c r="O1" s="2"/>
      <c r="P1" s="2"/>
      <c r="Q1" s="2"/>
      <c r="R1" s="2"/>
      <c r="S1" s="2"/>
      <c r="T1" s="2"/>
      <c r="U1" s="2"/>
      <c r="V1" s="2"/>
      <c r="W1" s="2"/>
      <c r="X1" s="2"/>
      <c r="Y1" s="2"/>
      <c r="Z1" s="2"/>
    </row>
    <row r="2" spans="1:26" ht="18.75" customHeight="1">
      <c r="A2" s="45"/>
      <c r="B2" s="2"/>
      <c r="C2" s="2"/>
      <c r="D2" s="2"/>
      <c r="E2" s="2"/>
      <c r="F2" s="2"/>
      <c r="G2" s="3" t="s">
        <v>2</v>
      </c>
      <c r="H2" s="69" t="s">
        <v>3</v>
      </c>
      <c r="I2" s="71"/>
      <c r="J2" s="2"/>
      <c r="K2" s="2"/>
      <c r="L2" s="2"/>
      <c r="M2" s="2"/>
      <c r="N2" s="2"/>
      <c r="O2" s="2"/>
      <c r="P2" s="2"/>
      <c r="Q2" s="2"/>
      <c r="R2" s="2"/>
      <c r="S2" s="2"/>
      <c r="T2" s="2"/>
      <c r="U2" s="2"/>
      <c r="V2" s="2"/>
      <c r="W2" s="2"/>
      <c r="X2" s="2"/>
      <c r="Y2" s="2"/>
      <c r="Z2" s="2"/>
    </row>
    <row r="3" spans="1:26" ht="18.75" customHeight="1">
      <c r="A3" s="45"/>
      <c r="B3" s="2"/>
      <c r="C3" s="2"/>
      <c r="D3" s="2"/>
      <c r="E3" s="2"/>
      <c r="F3" s="2"/>
      <c r="G3" s="3"/>
      <c r="H3" s="8"/>
      <c r="I3" s="8"/>
      <c r="J3" s="2"/>
      <c r="K3" s="2"/>
      <c r="L3" s="2"/>
      <c r="M3" s="2"/>
      <c r="N3" s="2"/>
      <c r="O3" s="2"/>
      <c r="P3" s="2"/>
      <c r="Q3" s="2"/>
      <c r="R3" s="2"/>
      <c r="S3" s="2"/>
      <c r="T3" s="2"/>
      <c r="U3" s="2"/>
      <c r="V3" s="2"/>
      <c r="W3" s="2"/>
      <c r="X3" s="2"/>
      <c r="Y3" s="2"/>
      <c r="Z3" s="2"/>
    </row>
    <row r="4" spans="1:26" ht="18" customHeight="1">
      <c r="A4" s="75" t="s">
        <v>98</v>
      </c>
      <c r="B4" s="74"/>
      <c r="C4" s="74"/>
      <c r="D4" s="74"/>
      <c r="E4" s="74"/>
      <c r="F4" s="74"/>
      <c r="G4" s="74"/>
      <c r="H4" s="74"/>
      <c r="I4" s="74"/>
      <c r="J4" s="2"/>
      <c r="K4" s="2"/>
      <c r="L4" s="2"/>
      <c r="M4" s="2"/>
      <c r="N4" s="2"/>
      <c r="O4" s="2"/>
      <c r="P4" s="2"/>
      <c r="Q4" s="2"/>
      <c r="R4" s="2"/>
      <c r="S4" s="2"/>
      <c r="T4" s="2"/>
      <c r="U4" s="2"/>
      <c r="V4" s="2"/>
      <c r="W4" s="2"/>
      <c r="X4" s="2"/>
      <c r="Y4" s="2"/>
      <c r="Z4" s="2"/>
    </row>
    <row r="5" spans="1:26" ht="12.75" customHeight="1">
      <c r="A5" s="45"/>
      <c r="B5" s="7"/>
      <c r="C5" s="7"/>
      <c r="D5" s="7"/>
      <c r="E5" s="7"/>
      <c r="F5" s="7"/>
      <c r="G5" s="7"/>
      <c r="H5" s="7"/>
      <c r="I5" s="7"/>
      <c r="J5" s="2"/>
      <c r="K5" s="2"/>
      <c r="L5" s="2"/>
      <c r="M5" s="2"/>
      <c r="N5" s="2"/>
      <c r="O5" s="2"/>
      <c r="P5" s="2"/>
      <c r="Q5" s="2"/>
      <c r="R5" s="2"/>
      <c r="S5" s="2"/>
      <c r="T5" s="2"/>
      <c r="U5" s="2"/>
      <c r="V5" s="2"/>
      <c r="W5" s="2"/>
      <c r="X5" s="2"/>
      <c r="Y5" s="2"/>
      <c r="Z5" s="2"/>
    </row>
    <row r="6" spans="1:26" ht="18" customHeight="1">
      <c r="A6" s="2" t="s">
        <v>99</v>
      </c>
      <c r="B6" s="8" t="s">
        <v>100</v>
      </c>
      <c r="C6" s="96" t="s">
        <v>101</v>
      </c>
      <c r="D6" s="74"/>
      <c r="E6" s="4">
        <v>134</v>
      </c>
      <c r="F6" s="7" t="s">
        <v>102</v>
      </c>
      <c r="G6" s="7"/>
      <c r="H6" s="4">
        <v>256</v>
      </c>
      <c r="I6" s="8" t="s">
        <v>102</v>
      </c>
      <c r="J6" s="2"/>
      <c r="K6" s="2"/>
      <c r="L6" s="2"/>
      <c r="M6" s="2"/>
      <c r="N6" s="2"/>
      <c r="O6" s="2"/>
      <c r="P6" s="2"/>
      <c r="Q6" s="2"/>
      <c r="R6" s="2"/>
      <c r="S6" s="2"/>
      <c r="T6" s="2"/>
      <c r="U6" s="2"/>
      <c r="V6" s="2"/>
      <c r="W6" s="2"/>
      <c r="X6" s="2"/>
      <c r="Y6" s="2"/>
      <c r="Z6" s="2"/>
    </row>
    <row r="7" spans="1:26" ht="12" customHeight="1">
      <c r="A7" s="45"/>
      <c r="B7" s="2"/>
      <c r="C7" s="1"/>
      <c r="D7" s="1"/>
      <c r="E7" s="1"/>
      <c r="F7" s="1"/>
      <c r="G7" s="1"/>
      <c r="H7" s="1"/>
      <c r="I7" s="46"/>
      <c r="J7" s="2"/>
      <c r="K7" s="2"/>
      <c r="L7" s="2"/>
      <c r="M7" s="2"/>
      <c r="N7" s="2"/>
      <c r="O7" s="2"/>
      <c r="P7" s="2"/>
      <c r="Q7" s="2"/>
      <c r="R7" s="2"/>
      <c r="S7" s="2"/>
      <c r="T7" s="2"/>
      <c r="U7" s="2"/>
      <c r="V7" s="2"/>
      <c r="W7" s="2"/>
      <c r="X7" s="2"/>
      <c r="Y7" s="2"/>
      <c r="Z7" s="2"/>
    </row>
    <row r="8" spans="1:26" ht="18" customHeight="1">
      <c r="A8" s="2" t="s">
        <v>103</v>
      </c>
      <c r="B8" s="8" t="s">
        <v>104</v>
      </c>
      <c r="C8" s="2"/>
      <c r="D8" s="2"/>
      <c r="E8" s="7"/>
      <c r="F8" s="7"/>
      <c r="G8" s="7"/>
      <c r="H8" s="4">
        <v>2</v>
      </c>
      <c r="I8" s="8" t="s">
        <v>102</v>
      </c>
      <c r="J8" s="2"/>
      <c r="K8" s="2"/>
      <c r="L8" s="2"/>
      <c r="M8" s="2"/>
      <c r="N8" s="2"/>
      <c r="O8" s="2"/>
      <c r="P8" s="2"/>
      <c r="Q8" s="2"/>
      <c r="R8" s="2"/>
      <c r="S8" s="2"/>
      <c r="T8" s="2"/>
      <c r="U8" s="2"/>
      <c r="V8" s="2"/>
      <c r="W8" s="2"/>
      <c r="X8" s="2"/>
      <c r="Y8" s="2"/>
      <c r="Z8" s="2"/>
    </row>
    <row r="9" spans="1:26" ht="9" customHeight="1">
      <c r="A9" s="45"/>
      <c r="B9" s="7"/>
      <c r="C9" s="7"/>
      <c r="D9" s="7"/>
      <c r="E9" s="7"/>
      <c r="F9" s="7"/>
      <c r="G9" s="7"/>
      <c r="H9" s="7"/>
      <c r="I9" s="7"/>
      <c r="J9" s="2"/>
      <c r="K9" s="2"/>
      <c r="L9" s="2"/>
      <c r="M9" s="2"/>
      <c r="N9" s="2"/>
      <c r="O9" s="2"/>
      <c r="P9" s="2"/>
      <c r="Q9" s="2"/>
      <c r="R9" s="2"/>
      <c r="S9" s="2"/>
      <c r="T9" s="2"/>
      <c r="U9" s="2"/>
      <c r="V9" s="2"/>
      <c r="W9" s="2"/>
      <c r="X9" s="2"/>
      <c r="Y9" s="2"/>
      <c r="Z9" s="2"/>
    </row>
    <row r="10" spans="1:26" ht="18" customHeight="1">
      <c r="A10" s="2" t="s">
        <v>105</v>
      </c>
      <c r="B10" s="8" t="s">
        <v>106</v>
      </c>
      <c r="C10" s="7"/>
      <c r="D10" s="7"/>
      <c r="E10" s="7"/>
      <c r="F10" s="7"/>
      <c r="G10" s="7"/>
      <c r="H10" s="7"/>
      <c r="I10" s="7"/>
      <c r="J10" s="2"/>
      <c r="K10" s="2"/>
      <c r="L10" s="2"/>
      <c r="M10" s="2"/>
      <c r="N10" s="2"/>
      <c r="O10" s="2"/>
      <c r="P10" s="2"/>
      <c r="Q10" s="2"/>
      <c r="R10" s="2"/>
      <c r="S10" s="2"/>
      <c r="T10" s="2"/>
      <c r="U10" s="2"/>
      <c r="V10" s="2"/>
      <c r="W10" s="2"/>
      <c r="X10" s="2"/>
      <c r="Y10" s="2"/>
      <c r="Z10" s="2"/>
    </row>
    <row r="11" spans="1:26" ht="18" customHeight="1">
      <c r="A11" s="45"/>
      <c r="B11" s="3" t="s">
        <v>107</v>
      </c>
      <c r="C11" s="97" t="s">
        <v>108</v>
      </c>
      <c r="D11" s="70"/>
      <c r="E11" s="71"/>
      <c r="F11" s="46"/>
      <c r="G11" s="3" t="s">
        <v>109</v>
      </c>
      <c r="H11" s="97" t="s">
        <v>110</v>
      </c>
      <c r="I11" s="71"/>
      <c r="J11" s="2"/>
      <c r="K11" s="2"/>
      <c r="L11" s="2"/>
      <c r="M11" s="2"/>
      <c r="N11" s="2"/>
      <c r="O11" s="2"/>
      <c r="P11" s="2"/>
      <c r="Q11" s="2"/>
      <c r="R11" s="2"/>
      <c r="S11" s="2"/>
      <c r="T11" s="2"/>
      <c r="U11" s="2"/>
      <c r="V11" s="2"/>
      <c r="W11" s="2"/>
      <c r="X11" s="2"/>
      <c r="Y11" s="2"/>
      <c r="Z11" s="2"/>
    </row>
    <row r="12" spans="1:26" ht="9.75" customHeight="1">
      <c r="A12" s="45"/>
      <c r="B12" s="3"/>
      <c r="C12" s="8"/>
      <c r="D12" s="46"/>
      <c r="E12" s="46"/>
      <c r="F12" s="46"/>
      <c r="G12" s="3"/>
      <c r="H12" s="8"/>
      <c r="I12" s="46"/>
      <c r="J12" s="2"/>
      <c r="K12" s="2"/>
      <c r="L12" s="2"/>
      <c r="M12" s="2"/>
      <c r="N12" s="2"/>
      <c r="O12" s="2"/>
      <c r="P12" s="2"/>
      <c r="Q12" s="2"/>
      <c r="R12" s="2"/>
      <c r="S12" s="2"/>
      <c r="T12" s="2"/>
      <c r="U12" s="2"/>
      <c r="V12" s="2"/>
      <c r="W12" s="2"/>
      <c r="X12" s="2"/>
      <c r="Y12" s="2"/>
      <c r="Z12" s="2"/>
    </row>
    <row r="13" spans="1:26" ht="18" customHeight="1">
      <c r="A13" s="2" t="s">
        <v>111</v>
      </c>
      <c r="B13" s="8" t="s">
        <v>112</v>
      </c>
      <c r="C13" s="7"/>
      <c r="D13" s="7"/>
      <c r="E13" s="7"/>
      <c r="F13" s="7"/>
      <c r="G13" s="7"/>
      <c r="H13" s="7"/>
      <c r="I13" s="7"/>
      <c r="J13" s="2"/>
      <c r="K13" s="2"/>
      <c r="L13" s="2"/>
      <c r="M13" s="2"/>
      <c r="N13" s="2"/>
      <c r="O13" s="2"/>
      <c r="P13" s="2"/>
      <c r="Q13" s="2"/>
      <c r="R13" s="2"/>
      <c r="S13" s="2"/>
      <c r="T13" s="2"/>
      <c r="U13" s="2"/>
      <c r="V13" s="2"/>
      <c r="W13" s="2"/>
      <c r="X13" s="2"/>
      <c r="Y13" s="2"/>
      <c r="Z13" s="2"/>
    </row>
    <row r="14" spans="1:26" ht="18" customHeight="1">
      <c r="A14" s="45"/>
      <c r="B14" s="97" t="s">
        <v>113</v>
      </c>
      <c r="C14" s="70"/>
      <c r="D14" s="70"/>
      <c r="E14" s="70"/>
      <c r="F14" s="70"/>
      <c r="G14" s="70"/>
      <c r="H14" s="70"/>
      <c r="I14" s="71"/>
      <c r="J14" s="2"/>
      <c r="K14" s="2"/>
      <c r="L14" s="2"/>
      <c r="M14" s="2"/>
      <c r="N14" s="2"/>
      <c r="O14" s="2"/>
      <c r="P14" s="2"/>
      <c r="Q14" s="2"/>
      <c r="R14" s="2"/>
      <c r="S14" s="2"/>
      <c r="T14" s="2"/>
      <c r="U14" s="2"/>
      <c r="V14" s="2"/>
      <c r="W14" s="2"/>
      <c r="X14" s="2"/>
      <c r="Y14" s="2"/>
      <c r="Z14" s="2"/>
    </row>
    <row r="15" spans="1:26" ht="9" customHeight="1">
      <c r="A15" s="45"/>
      <c r="B15" s="7"/>
      <c r="C15" s="7"/>
      <c r="D15" s="7"/>
      <c r="E15" s="7"/>
      <c r="F15" s="7"/>
      <c r="G15" s="7"/>
      <c r="H15" s="7"/>
      <c r="I15" s="7"/>
      <c r="J15" s="2"/>
      <c r="K15" s="2"/>
      <c r="L15" s="2"/>
      <c r="M15" s="2"/>
      <c r="N15" s="2"/>
      <c r="O15" s="2"/>
      <c r="P15" s="2"/>
      <c r="Q15" s="2"/>
      <c r="R15" s="2"/>
      <c r="S15" s="2"/>
      <c r="T15" s="2"/>
      <c r="U15" s="2"/>
      <c r="V15" s="2"/>
      <c r="W15" s="2"/>
      <c r="X15" s="2"/>
      <c r="Y15" s="2"/>
      <c r="Z15" s="2"/>
    </row>
    <row r="16" spans="1:26" ht="18" customHeight="1">
      <c r="A16" s="45"/>
      <c r="B16" s="3" t="s">
        <v>107</v>
      </c>
      <c r="C16" s="97" t="s">
        <v>108</v>
      </c>
      <c r="D16" s="70"/>
      <c r="E16" s="71"/>
      <c r="F16" s="46"/>
      <c r="G16" s="3" t="s">
        <v>109</v>
      </c>
      <c r="H16" s="97" t="s">
        <v>114</v>
      </c>
      <c r="I16" s="71"/>
      <c r="J16" s="2"/>
      <c r="K16" s="2"/>
      <c r="L16" s="2"/>
      <c r="M16" s="2"/>
      <c r="N16" s="2"/>
      <c r="O16" s="2"/>
      <c r="P16" s="2"/>
      <c r="Q16" s="2"/>
      <c r="R16" s="2"/>
      <c r="S16" s="2"/>
      <c r="T16" s="2"/>
      <c r="U16" s="2"/>
      <c r="V16" s="2"/>
      <c r="W16" s="2"/>
      <c r="X16" s="2"/>
      <c r="Y16" s="2"/>
      <c r="Z16" s="2"/>
    </row>
    <row r="17" spans="1:26" ht="18" customHeight="1">
      <c r="A17" s="45"/>
      <c r="B17" s="7"/>
      <c r="C17" s="7"/>
      <c r="D17" s="7"/>
      <c r="E17" s="7"/>
      <c r="F17" s="7"/>
      <c r="G17" s="7"/>
      <c r="H17" s="7"/>
      <c r="I17" s="7"/>
      <c r="J17" s="2"/>
      <c r="K17" s="2"/>
      <c r="L17" s="2"/>
      <c r="M17" s="2"/>
      <c r="N17" s="2"/>
      <c r="O17" s="2"/>
      <c r="P17" s="2"/>
      <c r="Q17" s="2"/>
      <c r="R17" s="2"/>
      <c r="S17" s="2"/>
      <c r="T17" s="2"/>
      <c r="U17" s="2"/>
      <c r="V17" s="2"/>
      <c r="W17" s="2"/>
      <c r="X17" s="2"/>
      <c r="Y17" s="2"/>
      <c r="Z17" s="2"/>
    </row>
    <row r="18" spans="1:26" ht="18.75" customHeight="1">
      <c r="A18" s="2" t="s">
        <v>115</v>
      </c>
      <c r="B18" s="2" t="s">
        <v>116</v>
      </c>
      <c r="C18" s="2"/>
      <c r="D18" s="2"/>
      <c r="E18" s="2"/>
      <c r="F18" s="2"/>
      <c r="G18" s="2"/>
      <c r="H18" s="2"/>
      <c r="I18" s="7"/>
      <c r="J18" s="2"/>
      <c r="K18" s="2"/>
      <c r="L18" s="2"/>
      <c r="M18" s="2"/>
      <c r="N18" s="2"/>
      <c r="O18" s="2"/>
      <c r="P18" s="2"/>
      <c r="Q18" s="2"/>
      <c r="R18" s="2"/>
      <c r="S18" s="2"/>
      <c r="T18" s="2"/>
      <c r="U18" s="2"/>
      <c r="V18" s="2"/>
      <c r="W18" s="2"/>
      <c r="X18" s="2"/>
      <c r="Y18" s="2"/>
      <c r="Z18" s="2"/>
    </row>
    <row r="19" spans="1:26" ht="18.75" customHeight="1">
      <c r="A19" s="2"/>
      <c r="B19" s="106" t="s">
        <v>117</v>
      </c>
      <c r="C19" s="70"/>
      <c r="D19" s="70"/>
      <c r="E19" s="70"/>
      <c r="F19" s="70"/>
      <c r="G19" s="70"/>
      <c r="H19" s="70"/>
      <c r="I19" s="71"/>
      <c r="J19" s="2"/>
      <c r="K19" s="2"/>
      <c r="L19" s="2"/>
      <c r="M19" s="2"/>
      <c r="N19" s="2"/>
      <c r="O19" s="2"/>
      <c r="P19" s="2"/>
      <c r="Q19" s="2"/>
      <c r="R19" s="2"/>
      <c r="S19" s="2"/>
      <c r="T19" s="2"/>
      <c r="U19" s="2"/>
      <c r="V19" s="2"/>
      <c r="W19" s="2"/>
      <c r="X19" s="2"/>
      <c r="Y19" s="2"/>
      <c r="Z19" s="2"/>
    </row>
    <row r="20" spans="1:26" ht="7.5" customHeight="1">
      <c r="A20" s="45"/>
      <c r="B20" s="7"/>
      <c r="C20" s="7"/>
      <c r="D20" s="7"/>
      <c r="E20" s="7"/>
      <c r="F20" s="7"/>
      <c r="G20" s="7"/>
      <c r="H20" s="7"/>
      <c r="I20" s="7"/>
      <c r="J20" s="2"/>
      <c r="K20" s="2"/>
      <c r="L20" s="2"/>
      <c r="M20" s="2"/>
      <c r="N20" s="2"/>
      <c r="O20" s="2"/>
      <c r="P20" s="2"/>
      <c r="Q20" s="2"/>
      <c r="R20" s="2"/>
      <c r="S20" s="2"/>
      <c r="T20" s="2"/>
      <c r="U20" s="2"/>
      <c r="V20" s="2"/>
      <c r="W20" s="2"/>
      <c r="X20" s="2"/>
      <c r="Y20" s="2"/>
      <c r="Z20" s="2"/>
    </row>
    <row r="21" spans="1:26" ht="18.75" customHeight="1">
      <c r="A21" s="2" t="s">
        <v>118</v>
      </c>
      <c r="B21" s="2" t="s">
        <v>119</v>
      </c>
      <c r="C21" s="2"/>
      <c r="D21" s="2"/>
      <c r="E21" s="2"/>
      <c r="F21" s="2"/>
      <c r="G21" s="2"/>
      <c r="H21" s="2"/>
      <c r="I21" s="2"/>
      <c r="J21" s="2"/>
      <c r="K21" s="2"/>
      <c r="L21" s="2"/>
      <c r="M21" s="2"/>
      <c r="N21" s="2"/>
      <c r="O21" s="2"/>
      <c r="P21" s="2"/>
      <c r="Q21" s="2"/>
      <c r="R21" s="2"/>
      <c r="S21" s="2"/>
      <c r="T21" s="2"/>
      <c r="U21" s="2"/>
      <c r="V21" s="2"/>
      <c r="W21" s="2"/>
      <c r="X21" s="2"/>
      <c r="Y21" s="2"/>
      <c r="Z21" s="2"/>
    </row>
    <row r="22" spans="1:26" ht="18.75" customHeight="1">
      <c r="A22" s="10"/>
      <c r="B22" s="104" t="s">
        <v>120</v>
      </c>
      <c r="C22" s="76"/>
      <c r="D22" s="76"/>
      <c r="E22" s="76"/>
      <c r="F22" s="76"/>
      <c r="G22" s="76"/>
      <c r="H22" s="76"/>
      <c r="I22" s="77"/>
      <c r="J22" s="2"/>
      <c r="K22" s="2"/>
      <c r="L22" s="2"/>
      <c r="M22" s="2"/>
      <c r="N22" s="2"/>
      <c r="O22" s="2"/>
      <c r="P22" s="2"/>
      <c r="Q22" s="2"/>
      <c r="R22" s="2"/>
      <c r="S22" s="2"/>
      <c r="T22" s="2"/>
      <c r="U22" s="2"/>
      <c r="V22" s="2"/>
      <c r="W22" s="2"/>
      <c r="X22" s="2"/>
      <c r="Y22" s="2"/>
      <c r="Z22" s="2"/>
    </row>
    <row r="23" spans="1:26" ht="18.75" customHeight="1">
      <c r="A23" s="10"/>
      <c r="B23" s="81"/>
      <c r="C23" s="74"/>
      <c r="D23" s="74"/>
      <c r="E23" s="74"/>
      <c r="F23" s="74"/>
      <c r="G23" s="74"/>
      <c r="H23" s="74"/>
      <c r="I23" s="82"/>
      <c r="J23" s="2"/>
      <c r="K23" s="2"/>
      <c r="L23" s="2"/>
      <c r="M23" s="2"/>
      <c r="N23" s="2"/>
      <c r="O23" s="2"/>
      <c r="P23" s="2"/>
      <c r="Q23" s="2"/>
      <c r="R23" s="2"/>
      <c r="S23" s="2"/>
      <c r="T23" s="2"/>
      <c r="U23" s="2"/>
      <c r="V23" s="2"/>
      <c r="W23" s="2"/>
      <c r="X23" s="2"/>
      <c r="Y23" s="2"/>
      <c r="Z23" s="2"/>
    </row>
    <row r="24" spans="1:26" ht="18.75" customHeight="1">
      <c r="A24" s="10"/>
      <c r="B24" s="81"/>
      <c r="C24" s="74"/>
      <c r="D24" s="74"/>
      <c r="E24" s="74"/>
      <c r="F24" s="74"/>
      <c r="G24" s="74"/>
      <c r="H24" s="74"/>
      <c r="I24" s="82"/>
      <c r="J24" s="2"/>
      <c r="K24" s="2"/>
      <c r="L24" s="2"/>
      <c r="M24" s="2"/>
      <c r="N24" s="2"/>
      <c r="O24" s="2"/>
      <c r="P24" s="2"/>
      <c r="Q24" s="2"/>
      <c r="R24" s="2"/>
      <c r="S24" s="2"/>
      <c r="T24" s="2"/>
      <c r="U24" s="2"/>
      <c r="V24" s="2"/>
      <c r="W24" s="2"/>
      <c r="X24" s="2"/>
      <c r="Y24" s="2"/>
      <c r="Z24" s="2"/>
    </row>
    <row r="25" spans="1:26" ht="18.75" customHeight="1">
      <c r="A25" s="10"/>
      <c r="B25" s="81"/>
      <c r="C25" s="74"/>
      <c r="D25" s="74"/>
      <c r="E25" s="74"/>
      <c r="F25" s="74"/>
      <c r="G25" s="74"/>
      <c r="H25" s="74"/>
      <c r="I25" s="82"/>
      <c r="J25" s="2"/>
      <c r="K25" s="2"/>
      <c r="L25" s="2"/>
      <c r="M25" s="2"/>
      <c r="N25" s="2"/>
      <c r="O25" s="2"/>
      <c r="P25" s="2"/>
      <c r="Q25" s="2"/>
      <c r="R25" s="2"/>
      <c r="S25" s="2"/>
      <c r="T25" s="2"/>
      <c r="U25" s="2"/>
      <c r="V25" s="2"/>
      <c r="W25" s="2"/>
      <c r="X25" s="2"/>
      <c r="Y25" s="2"/>
      <c r="Z25" s="2"/>
    </row>
    <row r="26" spans="1:26" ht="18.75" customHeight="1">
      <c r="A26" s="10"/>
      <c r="B26" s="81"/>
      <c r="C26" s="74"/>
      <c r="D26" s="74"/>
      <c r="E26" s="74"/>
      <c r="F26" s="74"/>
      <c r="G26" s="74"/>
      <c r="H26" s="74"/>
      <c r="I26" s="82"/>
      <c r="J26" s="2"/>
      <c r="K26" s="2"/>
      <c r="L26" s="2"/>
      <c r="M26" s="2"/>
      <c r="N26" s="2"/>
      <c r="O26" s="2"/>
      <c r="P26" s="2"/>
      <c r="Q26" s="2"/>
      <c r="R26" s="2"/>
      <c r="S26" s="2"/>
      <c r="T26" s="2"/>
      <c r="U26" s="2"/>
      <c r="V26" s="2"/>
      <c r="W26" s="2"/>
      <c r="X26" s="2"/>
      <c r="Y26" s="2"/>
      <c r="Z26" s="2"/>
    </row>
    <row r="27" spans="1:26" ht="18.75" customHeight="1">
      <c r="A27" s="10"/>
      <c r="B27" s="81"/>
      <c r="C27" s="74"/>
      <c r="D27" s="74"/>
      <c r="E27" s="74"/>
      <c r="F27" s="74"/>
      <c r="G27" s="74"/>
      <c r="H27" s="74"/>
      <c r="I27" s="82"/>
      <c r="J27" s="2"/>
      <c r="K27" s="2"/>
      <c r="L27" s="2"/>
      <c r="M27" s="2"/>
      <c r="N27" s="2"/>
      <c r="O27" s="2"/>
      <c r="P27" s="2"/>
      <c r="Q27" s="2"/>
      <c r="R27" s="2"/>
      <c r="S27" s="2"/>
      <c r="T27" s="2"/>
      <c r="U27" s="2"/>
      <c r="V27" s="2"/>
      <c r="W27" s="2"/>
      <c r="X27" s="2"/>
      <c r="Y27" s="2"/>
      <c r="Z27" s="2"/>
    </row>
    <row r="28" spans="1:26" ht="18.75" customHeight="1">
      <c r="A28" s="10"/>
      <c r="B28" s="81"/>
      <c r="C28" s="74"/>
      <c r="D28" s="74"/>
      <c r="E28" s="74"/>
      <c r="F28" s="74"/>
      <c r="G28" s="74"/>
      <c r="H28" s="74"/>
      <c r="I28" s="82"/>
      <c r="J28" s="2"/>
      <c r="K28" s="2"/>
      <c r="L28" s="2"/>
      <c r="M28" s="2"/>
      <c r="N28" s="2"/>
      <c r="O28" s="2"/>
      <c r="P28" s="2"/>
      <c r="Q28" s="2"/>
      <c r="R28" s="2"/>
      <c r="S28" s="2"/>
      <c r="T28" s="2"/>
      <c r="U28" s="2"/>
      <c r="V28" s="2"/>
      <c r="W28" s="2"/>
      <c r="X28" s="2"/>
      <c r="Y28" s="2"/>
      <c r="Z28" s="2"/>
    </row>
    <row r="29" spans="1:26" ht="18.75" customHeight="1">
      <c r="A29" s="10"/>
      <c r="B29" s="81"/>
      <c r="C29" s="74"/>
      <c r="D29" s="74"/>
      <c r="E29" s="74"/>
      <c r="F29" s="74"/>
      <c r="G29" s="74"/>
      <c r="H29" s="74"/>
      <c r="I29" s="82"/>
      <c r="J29" s="2"/>
      <c r="K29" s="2"/>
      <c r="L29" s="2"/>
      <c r="M29" s="2"/>
      <c r="N29" s="2"/>
      <c r="O29" s="2"/>
      <c r="P29" s="2"/>
      <c r="Q29" s="2"/>
      <c r="R29" s="2"/>
      <c r="S29" s="2"/>
      <c r="T29" s="2"/>
      <c r="U29" s="2"/>
      <c r="V29" s="2"/>
      <c r="W29" s="2"/>
      <c r="X29" s="2"/>
      <c r="Y29" s="2"/>
      <c r="Z29" s="2"/>
    </row>
    <row r="30" spans="1:26" ht="18.75" customHeight="1">
      <c r="A30" s="10"/>
      <c r="B30" s="81"/>
      <c r="C30" s="74"/>
      <c r="D30" s="74"/>
      <c r="E30" s="74"/>
      <c r="F30" s="74"/>
      <c r="G30" s="74"/>
      <c r="H30" s="74"/>
      <c r="I30" s="82"/>
      <c r="J30" s="2"/>
      <c r="K30" s="2"/>
      <c r="L30" s="2"/>
      <c r="M30" s="2"/>
      <c r="N30" s="2"/>
      <c r="O30" s="2"/>
      <c r="P30" s="2"/>
      <c r="Q30" s="2"/>
      <c r="R30" s="2"/>
      <c r="S30" s="2"/>
      <c r="T30" s="2"/>
      <c r="U30" s="2"/>
      <c r="V30" s="2"/>
      <c r="W30" s="2"/>
      <c r="X30" s="2"/>
      <c r="Y30" s="2"/>
      <c r="Z30" s="2"/>
    </row>
    <row r="31" spans="1:26" ht="18.75" customHeight="1">
      <c r="A31" s="10"/>
      <c r="B31" s="81"/>
      <c r="C31" s="74"/>
      <c r="D31" s="74"/>
      <c r="E31" s="74"/>
      <c r="F31" s="74"/>
      <c r="G31" s="74"/>
      <c r="H31" s="74"/>
      <c r="I31" s="82"/>
      <c r="J31" s="2"/>
      <c r="K31" s="2"/>
      <c r="L31" s="2"/>
      <c r="M31" s="2"/>
      <c r="N31" s="2"/>
      <c r="O31" s="2"/>
      <c r="P31" s="2"/>
      <c r="Q31" s="2"/>
      <c r="R31" s="2"/>
      <c r="S31" s="2"/>
      <c r="T31" s="2"/>
      <c r="U31" s="2"/>
      <c r="V31" s="2"/>
      <c r="W31" s="2"/>
      <c r="X31" s="2"/>
      <c r="Y31" s="2"/>
      <c r="Z31" s="2"/>
    </row>
    <row r="32" spans="1:26" ht="18.75" customHeight="1">
      <c r="A32" s="10"/>
      <c r="B32" s="78"/>
      <c r="C32" s="79"/>
      <c r="D32" s="79"/>
      <c r="E32" s="79"/>
      <c r="F32" s="79"/>
      <c r="G32" s="79"/>
      <c r="H32" s="79"/>
      <c r="I32" s="80"/>
      <c r="J32" s="2"/>
      <c r="K32" s="2"/>
      <c r="L32" s="2"/>
      <c r="M32" s="2"/>
      <c r="N32" s="2"/>
      <c r="O32" s="2"/>
      <c r="P32" s="2"/>
      <c r="Q32" s="2"/>
      <c r="R32" s="2"/>
      <c r="S32" s="2"/>
      <c r="T32" s="2"/>
      <c r="U32" s="2"/>
      <c r="V32" s="2"/>
      <c r="W32" s="2"/>
      <c r="X32" s="2"/>
      <c r="Y32" s="2"/>
      <c r="Z32" s="2"/>
    </row>
    <row r="33" spans="1:26" ht="7.5" customHeight="1">
      <c r="A33" s="10"/>
      <c r="B33" s="10"/>
      <c r="C33" s="10"/>
      <c r="D33" s="10"/>
      <c r="E33" s="10"/>
      <c r="F33" s="10"/>
      <c r="G33" s="10"/>
      <c r="H33" s="10"/>
      <c r="I33" s="10"/>
      <c r="J33" s="2"/>
      <c r="K33" s="2"/>
      <c r="L33" s="2"/>
      <c r="M33" s="2"/>
      <c r="N33" s="2"/>
      <c r="O33" s="2"/>
      <c r="P33" s="2"/>
      <c r="Q33" s="2"/>
      <c r="R33" s="2"/>
      <c r="S33" s="2"/>
      <c r="T33" s="2"/>
      <c r="U33" s="2"/>
      <c r="V33" s="2"/>
      <c r="W33" s="2"/>
      <c r="X33" s="2"/>
      <c r="Y33" s="2"/>
      <c r="Z33" s="2"/>
    </row>
    <row r="34" spans="1:26" ht="18.75" customHeight="1">
      <c r="A34" s="9" t="s">
        <v>121</v>
      </c>
      <c r="B34" s="9" t="s">
        <v>122</v>
      </c>
      <c r="C34" s="8"/>
      <c r="D34" s="9"/>
      <c r="E34" s="9"/>
      <c r="F34" s="9"/>
      <c r="G34" s="9"/>
      <c r="H34" s="9"/>
      <c r="I34" s="9"/>
      <c r="J34" s="2"/>
      <c r="K34" s="2"/>
      <c r="L34" s="2"/>
      <c r="M34" s="2"/>
      <c r="N34" s="2"/>
      <c r="O34" s="2"/>
      <c r="P34" s="2"/>
      <c r="Q34" s="2"/>
      <c r="R34" s="2"/>
      <c r="S34" s="2"/>
      <c r="T34" s="2"/>
      <c r="U34" s="2"/>
      <c r="V34" s="2"/>
      <c r="W34" s="2"/>
      <c r="X34" s="2"/>
      <c r="Y34" s="2"/>
      <c r="Z34" s="2"/>
    </row>
    <row r="35" spans="1:26" ht="18.75" customHeight="1">
      <c r="A35" s="10"/>
      <c r="B35" s="104" t="s">
        <v>123</v>
      </c>
      <c r="C35" s="76"/>
      <c r="D35" s="76"/>
      <c r="E35" s="76"/>
      <c r="F35" s="76"/>
      <c r="G35" s="76"/>
      <c r="H35" s="76"/>
      <c r="I35" s="77"/>
      <c r="J35" s="2"/>
      <c r="K35" s="2"/>
      <c r="L35" s="2"/>
      <c r="M35" s="2"/>
      <c r="N35" s="2"/>
      <c r="O35" s="2"/>
      <c r="P35" s="2"/>
      <c r="Q35" s="2"/>
      <c r="R35" s="2"/>
      <c r="S35" s="2"/>
      <c r="T35" s="2"/>
      <c r="U35" s="2"/>
      <c r="V35" s="2"/>
      <c r="W35" s="2"/>
      <c r="X35" s="2"/>
      <c r="Y35" s="2"/>
      <c r="Z35" s="2"/>
    </row>
    <row r="36" spans="1:26" ht="18.75" customHeight="1">
      <c r="A36" s="10"/>
      <c r="B36" s="81"/>
      <c r="C36" s="74"/>
      <c r="D36" s="74"/>
      <c r="E36" s="74"/>
      <c r="F36" s="74"/>
      <c r="G36" s="74"/>
      <c r="H36" s="74"/>
      <c r="I36" s="82"/>
      <c r="J36" s="2"/>
      <c r="K36" s="2"/>
      <c r="L36" s="2"/>
      <c r="M36" s="2"/>
      <c r="N36" s="2"/>
      <c r="O36" s="2"/>
      <c r="P36" s="2"/>
      <c r="Q36" s="2"/>
      <c r="R36" s="2"/>
      <c r="S36" s="2"/>
      <c r="T36" s="2"/>
      <c r="U36" s="2"/>
      <c r="V36" s="2"/>
      <c r="W36" s="2"/>
      <c r="X36" s="2"/>
      <c r="Y36" s="2"/>
      <c r="Z36" s="2"/>
    </row>
    <row r="37" spans="1:26" ht="18.75" customHeight="1">
      <c r="A37" s="10"/>
      <c r="B37" s="81"/>
      <c r="C37" s="74"/>
      <c r="D37" s="74"/>
      <c r="E37" s="74"/>
      <c r="F37" s="74"/>
      <c r="G37" s="74"/>
      <c r="H37" s="74"/>
      <c r="I37" s="82"/>
      <c r="J37" s="2"/>
      <c r="K37" s="2"/>
      <c r="L37" s="2"/>
      <c r="M37" s="2"/>
      <c r="N37" s="2"/>
      <c r="O37" s="2"/>
      <c r="P37" s="2"/>
      <c r="Q37" s="2"/>
      <c r="R37" s="2"/>
      <c r="S37" s="2"/>
      <c r="T37" s="2"/>
      <c r="U37" s="2"/>
      <c r="V37" s="2"/>
      <c r="W37" s="2"/>
      <c r="X37" s="2"/>
      <c r="Y37" s="2"/>
      <c r="Z37" s="2"/>
    </row>
    <row r="38" spans="1:26" ht="18.75" customHeight="1">
      <c r="A38" s="10"/>
      <c r="B38" s="81"/>
      <c r="C38" s="74"/>
      <c r="D38" s="74"/>
      <c r="E38" s="74"/>
      <c r="F38" s="74"/>
      <c r="G38" s="74"/>
      <c r="H38" s="74"/>
      <c r="I38" s="82"/>
      <c r="J38" s="2"/>
      <c r="K38" s="2"/>
      <c r="L38" s="2"/>
      <c r="M38" s="2"/>
      <c r="N38" s="2"/>
      <c r="O38" s="2"/>
      <c r="P38" s="2"/>
      <c r="Q38" s="2"/>
      <c r="R38" s="2"/>
      <c r="S38" s="2"/>
      <c r="T38" s="2"/>
      <c r="U38" s="2"/>
      <c r="V38" s="2"/>
      <c r="W38" s="2"/>
      <c r="X38" s="2"/>
      <c r="Y38" s="2"/>
      <c r="Z38" s="2"/>
    </row>
    <row r="39" spans="1:26" ht="18.75" customHeight="1">
      <c r="A39" s="10"/>
      <c r="B39" s="81"/>
      <c r="C39" s="74"/>
      <c r="D39" s="74"/>
      <c r="E39" s="74"/>
      <c r="F39" s="74"/>
      <c r="G39" s="74"/>
      <c r="H39" s="74"/>
      <c r="I39" s="82"/>
      <c r="J39" s="2"/>
      <c r="K39" s="2"/>
      <c r="L39" s="2"/>
      <c r="M39" s="2"/>
      <c r="N39" s="2"/>
      <c r="O39" s="2"/>
      <c r="P39" s="2"/>
      <c r="Q39" s="2"/>
      <c r="R39" s="2"/>
      <c r="S39" s="2"/>
      <c r="T39" s="2"/>
      <c r="U39" s="2"/>
      <c r="V39" s="2"/>
      <c r="W39" s="2"/>
      <c r="X39" s="2"/>
      <c r="Y39" s="2"/>
      <c r="Z39" s="2"/>
    </row>
    <row r="40" spans="1:26" ht="18.75" customHeight="1">
      <c r="A40" s="10"/>
      <c r="B40" s="81"/>
      <c r="C40" s="74"/>
      <c r="D40" s="74"/>
      <c r="E40" s="74"/>
      <c r="F40" s="74"/>
      <c r="G40" s="74"/>
      <c r="H40" s="74"/>
      <c r="I40" s="82"/>
      <c r="J40" s="2"/>
      <c r="K40" s="2"/>
      <c r="L40" s="2"/>
      <c r="M40" s="2"/>
      <c r="N40" s="2"/>
      <c r="O40" s="2"/>
      <c r="P40" s="2"/>
      <c r="Q40" s="2"/>
      <c r="R40" s="2"/>
      <c r="S40" s="2"/>
      <c r="T40" s="2"/>
      <c r="U40" s="2"/>
      <c r="V40" s="2"/>
      <c r="W40" s="2"/>
      <c r="X40" s="2"/>
      <c r="Y40" s="2"/>
      <c r="Z40" s="2"/>
    </row>
    <row r="41" spans="1:26" ht="18.75" customHeight="1">
      <c r="A41" s="10"/>
      <c r="B41" s="81"/>
      <c r="C41" s="74"/>
      <c r="D41" s="74"/>
      <c r="E41" s="74"/>
      <c r="F41" s="74"/>
      <c r="G41" s="74"/>
      <c r="H41" s="74"/>
      <c r="I41" s="82"/>
      <c r="J41" s="2"/>
      <c r="K41" s="2"/>
      <c r="L41" s="2"/>
      <c r="M41" s="2"/>
      <c r="N41" s="2"/>
      <c r="O41" s="2"/>
      <c r="P41" s="2"/>
      <c r="Q41" s="2"/>
      <c r="R41" s="2"/>
      <c r="S41" s="2"/>
      <c r="T41" s="2"/>
      <c r="U41" s="2"/>
      <c r="V41" s="2"/>
      <c r="W41" s="2"/>
      <c r="X41" s="2"/>
      <c r="Y41" s="2"/>
      <c r="Z41" s="2"/>
    </row>
    <row r="42" spans="1:26" ht="18.75" customHeight="1">
      <c r="A42" s="10"/>
      <c r="B42" s="81"/>
      <c r="C42" s="74"/>
      <c r="D42" s="74"/>
      <c r="E42" s="74"/>
      <c r="F42" s="74"/>
      <c r="G42" s="74"/>
      <c r="H42" s="74"/>
      <c r="I42" s="82"/>
      <c r="J42" s="2"/>
      <c r="K42" s="2"/>
      <c r="L42" s="2"/>
      <c r="M42" s="2"/>
      <c r="N42" s="2"/>
      <c r="O42" s="2"/>
      <c r="P42" s="2"/>
      <c r="Q42" s="2"/>
      <c r="R42" s="2"/>
      <c r="S42" s="2"/>
      <c r="T42" s="2"/>
      <c r="U42" s="2"/>
      <c r="V42" s="2"/>
      <c r="W42" s="2"/>
      <c r="X42" s="2"/>
      <c r="Y42" s="2"/>
      <c r="Z42" s="2"/>
    </row>
    <row r="43" spans="1:26" ht="18.75" customHeight="1">
      <c r="A43" s="10"/>
      <c r="B43" s="81"/>
      <c r="C43" s="74"/>
      <c r="D43" s="74"/>
      <c r="E43" s="74"/>
      <c r="F43" s="74"/>
      <c r="G43" s="74"/>
      <c r="H43" s="74"/>
      <c r="I43" s="82"/>
      <c r="J43" s="2"/>
      <c r="K43" s="2"/>
      <c r="L43" s="2"/>
      <c r="M43" s="2"/>
      <c r="N43" s="2"/>
      <c r="O43" s="2"/>
      <c r="P43" s="2"/>
      <c r="Q43" s="2"/>
      <c r="R43" s="2"/>
      <c r="S43" s="2"/>
      <c r="T43" s="2"/>
      <c r="U43" s="2"/>
      <c r="V43" s="2"/>
      <c r="W43" s="2"/>
      <c r="X43" s="2"/>
      <c r="Y43" s="2"/>
      <c r="Z43" s="2"/>
    </row>
    <row r="44" spans="1:26" ht="18.75" customHeight="1">
      <c r="A44" s="10"/>
      <c r="B44" s="81"/>
      <c r="C44" s="74"/>
      <c r="D44" s="74"/>
      <c r="E44" s="74"/>
      <c r="F44" s="74"/>
      <c r="G44" s="74"/>
      <c r="H44" s="74"/>
      <c r="I44" s="82"/>
      <c r="J44" s="2"/>
      <c r="K44" s="2"/>
      <c r="L44" s="2"/>
      <c r="M44" s="2"/>
      <c r="N44" s="2"/>
      <c r="O44" s="2"/>
      <c r="P44" s="2"/>
      <c r="Q44" s="2"/>
      <c r="R44" s="2"/>
      <c r="S44" s="2"/>
      <c r="T44" s="2"/>
      <c r="U44" s="2"/>
      <c r="V44" s="2"/>
      <c r="W44" s="2"/>
      <c r="X44" s="2"/>
      <c r="Y44" s="2"/>
      <c r="Z44" s="2"/>
    </row>
    <row r="45" spans="1:26" ht="18.75" customHeight="1">
      <c r="A45" s="10"/>
      <c r="B45" s="81"/>
      <c r="C45" s="74"/>
      <c r="D45" s="74"/>
      <c r="E45" s="74"/>
      <c r="F45" s="74"/>
      <c r="G45" s="74"/>
      <c r="H45" s="74"/>
      <c r="I45" s="82"/>
      <c r="J45" s="2"/>
      <c r="K45" s="2"/>
      <c r="L45" s="2"/>
      <c r="M45" s="2"/>
      <c r="N45" s="2"/>
      <c r="O45" s="2"/>
      <c r="P45" s="2"/>
      <c r="Q45" s="2"/>
      <c r="R45" s="2"/>
      <c r="S45" s="2"/>
      <c r="T45" s="2"/>
      <c r="U45" s="2"/>
      <c r="V45" s="2"/>
      <c r="W45" s="2"/>
      <c r="X45" s="2"/>
      <c r="Y45" s="2"/>
      <c r="Z45" s="2"/>
    </row>
    <row r="46" spans="1:26" ht="18.75" customHeight="1">
      <c r="A46" s="10"/>
      <c r="B46" s="78"/>
      <c r="C46" s="79"/>
      <c r="D46" s="79"/>
      <c r="E46" s="79"/>
      <c r="F46" s="79"/>
      <c r="G46" s="79"/>
      <c r="H46" s="79"/>
      <c r="I46" s="80"/>
      <c r="J46" s="2"/>
      <c r="K46" s="2"/>
      <c r="L46" s="2"/>
      <c r="M46" s="2"/>
      <c r="N46" s="2"/>
      <c r="O46" s="2"/>
      <c r="P46" s="2"/>
      <c r="Q46" s="2"/>
      <c r="R46" s="2"/>
      <c r="S46" s="2"/>
      <c r="T46" s="2"/>
      <c r="U46" s="2"/>
      <c r="V46" s="2"/>
      <c r="W46" s="2"/>
      <c r="X46" s="2"/>
      <c r="Y46" s="2"/>
      <c r="Z46" s="2"/>
    </row>
    <row r="47" spans="1:26" ht="7.5" customHeight="1">
      <c r="A47" s="47"/>
      <c r="B47" s="47"/>
      <c r="C47" s="47"/>
      <c r="D47" s="47"/>
      <c r="E47" s="47"/>
      <c r="F47" s="47"/>
      <c r="G47" s="47"/>
      <c r="H47" s="47"/>
      <c r="I47" s="47"/>
      <c r="J47" s="2"/>
      <c r="K47" s="2"/>
      <c r="L47" s="2"/>
      <c r="M47" s="2"/>
      <c r="N47" s="2"/>
      <c r="O47" s="2"/>
      <c r="P47" s="2"/>
      <c r="Q47" s="2"/>
      <c r="R47" s="2"/>
      <c r="S47" s="2"/>
      <c r="T47" s="2"/>
      <c r="U47" s="2"/>
      <c r="V47" s="2"/>
      <c r="W47" s="2"/>
      <c r="X47" s="2"/>
      <c r="Y47" s="2"/>
      <c r="Z47" s="2"/>
    </row>
    <row r="48" spans="1:26" ht="18.75" customHeight="1">
      <c r="A48" s="2" t="s">
        <v>124</v>
      </c>
      <c r="B48" s="2" t="s">
        <v>125</v>
      </c>
      <c r="C48" s="2"/>
      <c r="D48" s="2"/>
      <c r="E48" s="2"/>
      <c r="F48" s="2"/>
      <c r="G48" s="2"/>
      <c r="H48" s="2"/>
      <c r="I48" s="2"/>
      <c r="J48" s="2"/>
      <c r="K48" s="2"/>
      <c r="L48" s="2"/>
      <c r="M48" s="2"/>
      <c r="N48" s="2"/>
      <c r="O48" s="2"/>
      <c r="P48" s="2"/>
      <c r="Q48" s="2"/>
      <c r="R48" s="2"/>
      <c r="S48" s="2"/>
      <c r="T48" s="2"/>
      <c r="U48" s="2"/>
      <c r="V48" s="2"/>
      <c r="W48" s="2"/>
      <c r="X48" s="2"/>
      <c r="Y48" s="2"/>
      <c r="Z48" s="2"/>
    </row>
    <row r="49" spans="1:26" ht="18.75" customHeight="1">
      <c r="A49" s="7"/>
      <c r="B49" s="48" t="s">
        <v>126</v>
      </c>
      <c r="C49" s="98">
        <f>'様式２ 履修者等数の実績'!AQ32</f>
        <v>5.0810810810810812E-2</v>
      </c>
      <c r="D49" s="71"/>
      <c r="E49" s="48" t="s">
        <v>127</v>
      </c>
      <c r="F49" s="98">
        <v>0.4</v>
      </c>
      <c r="G49" s="71"/>
      <c r="H49" s="48" t="s">
        <v>128</v>
      </c>
      <c r="I49" s="49">
        <v>0.6</v>
      </c>
      <c r="J49" s="2"/>
      <c r="K49" s="7"/>
      <c r="L49" s="7"/>
      <c r="M49" s="2"/>
      <c r="N49" s="50"/>
      <c r="O49" s="7"/>
      <c r="P49" s="7"/>
      <c r="Q49" s="7"/>
      <c r="R49" s="7"/>
      <c r="S49" s="7"/>
      <c r="T49" s="7"/>
      <c r="U49" s="7"/>
      <c r="V49" s="7"/>
      <c r="W49" s="7"/>
      <c r="X49" s="7"/>
      <c r="Y49" s="7"/>
      <c r="Z49" s="7"/>
    </row>
    <row r="50" spans="1:26" ht="18.75" customHeight="1">
      <c r="A50" s="7"/>
      <c r="B50" s="48" t="s">
        <v>129</v>
      </c>
      <c r="C50" s="98">
        <v>0.8</v>
      </c>
      <c r="D50" s="71"/>
      <c r="E50" s="48" t="s">
        <v>130</v>
      </c>
      <c r="F50" s="98">
        <v>1</v>
      </c>
      <c r="G50" s="71"/>
      <c r="H50" s="48" t="s">
        <v>131</v>
      </c>
      <c r="I50" s="51">
        <f>'様式２ 履修者等数の実績'!E32</f>
        <v>3700</v>
      </c>
      <c r="J50" s="2"/>
      <c r="K50" s="7"/>
      <c r="L50" s="7"/>
      <c r="M50" s="2"/>
      <c r="N50" s="50"/>
      <c r="O50" s="7"/>
      <c r="P50" s="7"/>
      <c r="Q50" s="7"/>
      <c r="R50" s="7"/>
      <c r="S50" s="7"/>
      <c r="T50" s="7"/>
      <c r="U50" s="7"/>
      <c r="V50" s="7"/>
      <c r="W50" s="7"/>
      <c r="X50" s="7"/>
      <c r="Y50" s="7"/>
      <c r="Z50" s="7"/>
    </row>
    <row r="51" spans="1:26" ht="18.75" customHeight="1">
      <c r="A51" s="2"/>
      <c r="B51" s="99" t="s">
        <v>132</v>
      </c>
      <c r="C51" s="100"/>
      <c r="D51" s="100"/>
      <c r="E51" s="100"/>
      <c r="F51" s="100"/>
      <c r="G51" s="100"/>
      <c r="H51" s="100"/>
      <c r="I51" s="101"/>
      <c r="J51" s="2"/>
      <c r="K51" s="2"/>
      <c r="L51" s="2"/>
      <c r="M51" s="2"/>
      <c r="N51" s="50"/>
      <c r="O51" s="7"/>
      <c r="P51" s="2"/>
      <c r="Q51" s="2"/>
      <c r="R51" s="2"/>
      <c r="S51" s="2"/>
      <c r="T51" s="2"/>
      <c r="U51" s="2"/>
      <c r="V51" s="2"/>
      <c r="W51" s="2"/>
      <c r="X51" s="2"/>
      <c r="Y51" s="2"/>
      <c r="Z51" s="2"/>
    </row>
    <row r="52" spans="1:26" ht="18.75" customHeight="1">
      <c r="A52" s="2"/>
      <c r="B52" s="102" t="s">
        <v>133</v>
      </c>
      <c r="C52" s="76"/>
      <c r="D52" s="76"/>
      <c r="E52" s="76"/>
      <c r="F52" s="76"/>
      <c r="G52" s="76"/>
      <c r="H52" s="76"/>
      <c r="I52" s="77"/>
      <c r="J52" s="2"/>
      <c r="K52" s="2"/>
      <c r="L52" s="2"/>
      <c r="M52" s="2"/>
      <c r="N52" s="50"/>
      <c r="O52" s="7"/>
      <c r="P52" s="2"/>
      <c r="Q52" s="2"/>
      <c r="R52" s="2"/>
      <c r="S52" s="2"/>
      <c r="T52" s="2"/>
      <c r="U52" s="2"/>
      <c r="V52" s="2"/>
      <c r="W52" s="2"/>
      <c r="X52" s="2"/>
      <c r="Y52" s="2"/>
      <c r="Z52" s="2"/>
    </row>
    <row r="53" spans="1:26" ht="18.75" customHeight="1">
      <c r="A53" s="2"/>
      <c r="B53" s="81"/>
      <c r="C53" s="74"/>
      <c r="D53" s="74"/>
      <c r="E53" s="74"/>
      <c r="F53" s="74"/>
      <c r="G53" s="74"/>
      <c r="H53" s="74"/>
      <c r="I53" s="82"/>
      <c r="J53" s="2"/>
      <c r="K53" s="2"/>
      <c r="L53" s="2"/>
      <c r="M53" s="2"/>
      <c r="N53" s="50"/>
      <c r="O53" s="7"/>
      <c r="P53" s="2"/>
      <c r="Q53" s="2"/>
      <c r="R53" s="2"/>
      <c r="S53" s="2"/>
      <c r="T53" s="2"/>
      <c r="U53" s="2"/>
      <c r="V53" s="2"/>
      <c r="W53" s="2"/>
      <c r="X53" s="2"/>
      <c r="Y53" s="2"/>
      <c r="Z53" s="2"/>
    </row>
    <row r="54" spans="1:26" ht="18.75" customHeight="1">
      <c r="A54" s="2"/>
      <c r="B54" s="81"/>
      <c r="C54" s="74"/>
      <c r="D54" s="74"/>
      <c r="E54" s="74"/>
      <c r="F54" s="74"/>
      <c r="G54" s="74"/>
      <c r="H54" s="74"/>
      <c r="I54" s="82"/>
      <c r="J54" s="2"/>
      <c r="K54" s="2"/>
      <c r="L54" s="2"/>
      <c r="M54" s="2"/>
      <c r="N54" s="2"/>
      <c r="O54" s="2"/>
      <c r="P54" s="2"/>
      <c r="Q54" s="2"/>
      <c r="R54" s="2"/>
      <c r="S54" s="2"/>
      <c r="T54" s="2"/>
      <c r="U54" s="2"/>
      <c r="V54" s="2"/>
      <c r="W54" s="2"/>
      <c r="X54" s="2"/>
      <c r="Y54" s="2"/>
      <c r="Z54" s="2"/>
    </row>
    <row r="55" spans="1:26" ht="18.75" customHeight="1">
      <c r="A55" s="2"/>
      <c r="B55" s="81"/>
      <c r="C55" s="74"/>
      <c r="D55" s="74"/>
      <c r="E55" s="74"/>
      <c r="F55" s="74"/>
      <c r="G55" s="74"/>
      <c r="H55" s="74"/>
      <c r="I55" s="82"/>
      <c r="J55" s="2"/>
      <c r="K55" s="2"/>
      <c r="L55" s="2"/>
      <c r="M55" s="2"/>
      <c r="N55" s="2"/>
      <c r="O55" s="2"/>
      <c r="P55" s="2"/>
      <c r="Q55" s="2"/>
      <c r="R55" s="2"/>
      <c r="S55" s="2"/>
      <c r="T55" s="2"/>
      <c r="U55" s="2"/>
      <c r="V55" s="2"/>
      <c r="W55" s="2"/>
      <c r="X55" s="2"/>
      <c r="Y55" s="2"/>
      <c r="Z55" s="2"/>
    </row>
    <row r="56" spans="1:26" ht="18.75" customHeight="1">
      <c r="A56" s="2"/>
      <c r="B56" s="81"/>
      <c r="C56" s="74"/>
      <c r="D56" s="74"/>
      <c r="E56" s="74"/>
      <c r="F56" s="74"/>
      <c r="G56" s="74"/>
      <c r="H56" s="74"/>
      <c r="I56" s="82"/>
      <c r="J56" s="2"/>
      <c r="K56" s="2"/>
      <c r="L56" s="2"/>
      <c r="M56" s="2"/>
      <c r="N56" s="2"/>
      <c r="O56" s="2"/>
      <c r="P56" s="2"/>
      <c r="Q56" s="2"/>
      <c r="R56" s="2"/>
      <c r="S56" s="2"/>
      <c r="T56" s="2"/>
      <c r="U56" s="2"/>
      <c r="V56" s="2"/>
      <c r="W56" s="2"/>
      <c r="X56" s="2"/>
      <c r="Y56" s="2"/>
      <c r="Z56" s="2"/>
    </row>
    <row r="57" spans="1:26" ht="18.75" customHeight="1">
      <c r="A57" s="2"/>
      <c r="B57" s="81"/>
      <c r="C57" s="74"/>
      <c r="D57" s="74"/>
      <c r="E57" s="74"/>
      <c r="F57" s="74"/>
      <c r="G57" s="74"/>
      <c r="H57" s="74"/>
      <c r="I57" s="82"/>
      <c r="J57" s="2"/>
      <c r="K57" s="2"/>
      <c r="L57" s="2"/>
      <c r="M57" s="2"/>
      <c r="N57" s="2"/>
      <c r="O57" s="2"/>
      <c r="P57" s="2"/>
      <c r="Q57" s="2"/>
      <c r="R57" s="2"/>
      <c r="S57" s="2"/>
      <c r="T57" s="2"/>
      <c r="U57" s="2"/>
      <c r="V57" s="2"/>
      <c r="W57" s="2"/>
      <c r="X57" s="2"/>
      <c r="Y57" s="2"/>
      <c r="Z57" s="2"/>
    </row>
    <row r="58" spans="1:26" ht="18.75" customHeight="1">
      <c r="A58" s="2"/>
      <c r="B58" s="81"/>
      <c r="C58" s="74"/>
      <c r="D58" s="74"/>
      <c r="E58" s="74"/>
      <c r="F58" s="74"/>
      <c r="G58" s="74"/>
      <c r="H58" s="74"/>
      <c r="I58" s="82"/>
      <c r="J58" s="2"/>
      <c r="K58" s="2"/>
      <c r="L58" s="2"/>
      <c r="M58" s="2"/>
      <c r="N58" s="2"/>
      <c r="O58" s="2"/>
      <c r="P58" s="2"/>
      <c r="Q58" s="2"/>
      <c r="R58" s="2"/>
      <c r="S58" s="2"/>
      <c r="T58" s="2"/>
      <c r="U58" s="2"/>
      <c r="V58" s="2"/>
      <c r="W58" s="2"/>
      <c r="X58" s="2"/>
      <c r="Y58" s="2"/>
      <c r="Z58" s="2"/>
    </row>
    <row r="59" spans="1:26" ht="18.75" customHeight="1">
      <c r="A59" s="2"/>
      <c r="B59" s="81"/>
      <c r="C59" s="74"/>
      <c r="D59" s="74"/>
      <c r="E59" s="74"/>
      <c r="F59" s="74"/>
      <c r="G59" s="74"/>
      <c r="H59" s="74"/>
      <c r="I59" s="82"/>
      <c r="J59" s="2"/>
      <c r="K59" s="2"/>
      <c r="L59" s="2"/>
      <c r="M59" s="2"/>
      <c r="N59" s="2"/>
      <c r="O59" s="2"/>
      <c r="P59" s="2"/>
      <c r="Q59" s="2"/>
      <c r="R59" s="2"/>
      <c r="S59" s="2"/>
      <c r="T59" s="2"/>
      <c r="U59" s="2"/>
      <c r="V59" s="2"/>
      <c r="W59" s="2"/>
      <c r="X59" s="2"/>
      <c r="Y59" s="2"/>
      <c r="Z59" s="2"/>
    </row>
    <row r="60" spans="1:26" ht="18.75" customHeight="1">
      <c r="A60" s="2"/>
      <c r="B60" s="81"/>
      <c r="C60" s="74"/>
      <c r="D60" s="74"/>
      <c r="E60" s="74"/>
      <c r="F60" s="74"/>
      <c r="G60" s="74"/>
      <c r="H60" s="74"/>
      <c r="I60" s="82"/>
      <c r="J60" s="2"/>
      <c r="K60" s="2"/>
      <c r="L60" s="2"/>
      <c r="M60" s="2"/>
      <c r="N60" s="2"/>
      <c r="O60" s="2"/>
      <c r="P60" s="2"/>
      <c r="Q60" s="2"/>
      <c r="R60" s="2"/>
      <c r="S60" s="2"/>
      <c r="T60" s="2"/>
      <c r="U60" s="2"/>
      <c r="V60" s="2"/>
      <c r="W60" s="2"/>
      <c r="X60" s="2"/>
      <c r="Y60" s="2"/>
      <c r="Z60" s="2"/>
    </row>
    <row r="61" spans="1:26" ht="18.75" customHeight="1">
      <c r="A61" s="2"/>
      <c r="B61" s="81"/>
      <c r="C61" s="74"/>
      <c r="D61" s="74"/>
      <c r="E61" s="74"/>
      <c r="F61" s="74"/>
      <c r="G61" s="74"/>
      <c r="H61" s="74"/>
      <c r="I61" s="82"/>
      <c r="J61" s="2"/>
      <c r="K61" s="2"/>
      <c r="L61" s="2"/>
      <c r="M61" s="2"/>
      <c r="N61" s="2"/>
      <c r="O61" s="2"/>
      <c r="P61" s="2"/>
      <c r="Q61" s="2"/>
      <c r="R61" s="2"/>
      <c r="S61" s="2"/>
      <c r="T61" s="2"/>
      <c r="U61" s="2"/>
      <c r="V61" s="2"/>
      <c r="W61" s="2"/>
      <c r="X61" s="2"/>
      <c r="Y61" s="2"/>
      <c r="Z61" s="2"/>
    </row>
    <row r="62" spans="1:26" ht="18.75" customHeight="1">
      <c r="A62" s="2"/>
      <c r="B62" s="81"/>
      <c r="C62" s="74"/>
      <c r="D62" s="74"/>
      <c r="E62" s="74"/>
      <c r="F62" s="74"/>
      <c r="G62" s="74"/>
      <c r="H62" s="74"/>
      <c r="I62" s="82"/>
      <c r="J62" s="2"/>
      <c r="K62" s="2"/>
      <c r="L62" s="2"/>
      <c r="M62" s="2"/>
      <c r="N62" s="2"/>
      <c r="O62" s="2"/>
      <c r="P62" s="2"/>
      <c r="Q62" s="2"/>
      <c r="R62" s="2"/>
      <c r="S62" s="2"/>
      <c r="T62" s="2"/>
      <c r="U62" s="2"/>
      <c r="V62" s="2"/>
      <c r="W62" s="2"/>
      <c r="X62" s="2"/>
      <c r="Y62" s="2"/>
      <c r="Z62" s="2"/>
    </row>
    <row r="63" spans="1:26" ht="18.75" customHeight="1">
      <c r="A63" s="2"/>
      <c r="B63" s="78"/>
      <c r="C63" s="79"/>
      <c r="D63" s="79"/>
      <c r="E63" s="79"/>
      <c r="F63" s="79"/>
      <c r="G63" s="79"/>
      <c r="H63" s="79"/>
      <c r="I63" s="80"/>
      <c r="J63" s="2"/>
      <c r="K63" s="2"/>
      <c r="L63" s="2"/>
      <c r="M63" s="2"/>
      <c r="N63" s="2"/>
      <c r="O63" s="2"/>
      <c r="P63" s="2"/>
      <c r="Q63" s="2"/>
      <c r="R63" s="2"/>
      <c r="S63" s="2"/>
      <c r="T63" s="2"/>
      <c r="U63" s="2"/>
      <c r="V63" s="2"/>
      <c r="W63" s="2"/>
      <c r="X63" s="2"/>
      <c r="Y63" s="2"/>
      <c r="Z63" s="2"/>
    </row>
    <row r="64" spans="1:26" ht="7.5" customHeight="1">
      <c r="A64" s="10"/>
      <c r="B64" s="10"/>
      <c r="C64" s="10"/>
      <c r="D64" s="10"/>
      <c r="E64" s="10"/>
      <c r="F64" s="10"/>
      <c r="G64" s="10"/>
      <c r="H64" s="10"/>
      <c r="I64" s="10"/>
      <c r="J64" s="2"/>
      <c r="K64" s="2"/>
      <c r="L64" s="2"/>
      <c r="M64" s="2"/>
      <c r="N64" s="2"/>
      <c r="O64" s="2"/>
      <c r="P64" s="2"/>
      <c r="Q64" s="2"/>
      <c r="R64" s="2"/>
      <c r="S64" s="2"/>
      <c r="T64" s="2"/>
      <c r="U64" s="2"/>
      <c r="V64" s="2"/>
      <c r="W64" s="2"/>
      <c r="X64" s="2"/>
      <c r="Y64" s="2"/>
      <c r="Z64" s="2"/>
    </row>
    <row r="65" spans="1:26" ht="18.75" customHeight="1">
      <c r="A65" s="9" t="s">
        <v>134</v>
      </c>
      <c r="B65" s="2" t="s">
        <v>135</v>
      </c>
      <c r="C65" s="2"/>
      <c r="D65" s="2"/>
      <c r="E65" s="2"/>
      <c r="F65" s="2"/>
      <c r="G65" s="2"/>
      <c r="H65" s="2"/>
      <c r="I65" s="9"/>
      <c r="J65" s="2"/>
      <c r="K65" s="2"/>
      <c r="L65" s="2"/>
      <c r="M65" s="2"/>
      <c r="N65" s="2"/>
      <c r="O65" s="2"/>
      <c r="P65" s="2"/>
      <c r="Q65" s="2"/>
      <c r="R65" s="2"/>
      <c r="S65" s="2"/>
      <c r="T65" s="2"/>
      <c r="U65" s="2"/>
      <c r="V65" s="2"/>
      <c r="W65" s="2"/>
      <c r="X65" s="2"/>
      <c r="Y65" s="2"/>
      <c r="Z65" s="2"/>
    </row>
    <row r="66" spans="1:26" ht="18.75" customHeight="1">
      <c r="A66" s="47"/>
      <c r="B66" s="103" t="s">
        <v>136</v>
      </c>
      <c r="C66" s="76"/>
      <c r="D66" s="76"/>
      <c r="E66" s="76"/>
      <c r="F66" s="76"/>
      <c r="G66" s="76"/>
      <c r="H66" s="76"/>
      <c r="I66" s="77"/>
      <c r="J66" s="2"/>
      <c r="K66" s="2"/>
      <c r="L66" s="2"/>
      <c r="M66" s="2"/>
      <c r="N66" s="2"/>
      <c r="O66" s="2"/>
      <c r="P66" s="2"/>
      <c r="Q66" s="2"/>
      <c r="R66" s="2"/>
      <c r="S66" s="2"/>
      <c r="T66" s="2"/>
      <c r="U66" s="2"/>
      <c r="V66" s="2"/>
      <c r="W66" s="2"/>
      <c r="X66" s="2"/>
      <c r="Y66" s="2"/>
      <c r="Z66" s="2"/>
    </row>
    <row r="67" spans="1:26" ht="18.75" customHeight="1">
      <c r="A67" s="47"/>
      <c r="B67" s="81"/>
      <c r="C67" s="74"/>
      <c r="D67" s="74"/>
      <c r="E67" s="74"/>
      <c r="F67" s="74"/>
      <c r="G67" s="74"/>
      <c r="H67" s="74"/>
      <c r="I67" s="82"/>
      <c r="J67" s="2"/>
      <c r="K67" s="2"/>
      <c r="L67" s="2"/>
      <c r="M67" s="2"/>
      <c r="N67" s="2"/>
      <c r="O67" s="2"/>
      <c r="P67" s="2"/>
      <c r="Q67" s="2"/>
      <c r="R67" s="2"/>
      <c r="S67" s="2"/>
      <c r="T67" s="2"/>
      <c r="U67" s="2"/>
      <c r="V67" s="2"/>
      <c r="W67" s="2"/>
      <c r="X67" s="2"/>
      <c r="Y67" s="2"/>
      <c r="Z67" s="2"/>
    </row>
    <row r="68" spans="1:26" ht="18.75" customHeight="1">
      <c r="A68" s="47"/>
      <c r="B68" s="81"/>
      <c r="C68" s="74"/>
      <c r="D68" s="74"/>
      <c r="E68" s="74"/>
      <c r="F68" s="74"/>
      <c r="G68" s="74"/>
      <c r="H68" s="74"/>
      <c r="I68" s="82"/>
      <c r="J68" s="2"/>
      <c r="K68" s="2"/>
      <c r="L68" s="2"/>
      <c r="M68" s="2"/>
      <c r="N68" s="2"/>
      <c r="O68" s="2"/>
      <c r="P68" s="2"/>
      <c r="Q68" s="2"/>
      <c r="R68" s="2"/>
      <c r="S68" s="2"/>
      <c r="T68" s="2"/>
      <c r="U68" s="2"/>
      <c r="V68" s="2"/>
      <c r="W68" s="2"/>
      <c r="X68" s="2"/>
      <c r="Y68" s="2"/>
      <c r="Z68" s="2"/>
    </row>
    <row r="69" spans="1:26" ht="18.75" customHeight="1">
      <c r="A69" s="47"/>
      <c r="B69" s="81"/>
      <c r="C69" s="74"/>
      <c r="D69" s="74"/>
      <c r="E69" s="74"/>
      <c r="F69" s="74"/>
      <c r="G69" s="74"/>
      <c r="H69" s="74"/>
      <c r="I69" s="82"/>
      <c r="J69" s="2"/>
      <c r="K69" s="2"/>
      <c r="L69" s="2"/>
      <c r="M69" s="2"/>
      <c r="N69" s="2"/>
      <c r="O69" s="2"/>
      <c r="P69" s="2"/>
      <c r="Q69" s="2"/>
      <c r="R69" s="2"/>
      <c r="S69" s="2"/>
      <c r="T69" s="2"/>
      <c r="U69" s="2"/>
      <c r="V69" s="2"/>
      <c r="W69" s="2"/>
      <c r="X69" s="2"/>
      <c r="Y69" s="2"/>
      <c r="Z69" s="2"/>
    </row>
    <row r="70" spans="1:26" ht="18.75" customHeight="1">
      <c r="A70" s="47"/>
      <c r="B70" s="81"/>
      <c r="C70" s="74"/>
      <c r="D70" s="74"/>
      <c r="E70" s="74"/>
      <c r="F70" s="74"/>
      <c r="G70" s="74"/>
      <c r="H70" s="74"/>
      <c r="I70" s="82"/>
      <c r="J70" s="2"/>
      <c r="K70" s="2"/>
      <c r="L70" s="2"/>
      <c r="M70" s="2"/>
      <c r="N70" s="2"/>
      <c r="O70" s="2"/>
      <c r="P70" s="2"/>
      <c r="Q70" s="2"/>
      <c r="R70" s="2"/>
      <c r="S70" s="2"/>
      <c r="T70" s="2"/>
      <c r="U70" s="2"/>
      <c r="V70" s="2"/>
      <c r="W70" s="2"/>
      <c r="X70" s="2"/>
      <c r="Y70" s="2"/>
      <c r="Z70" s="2"/>
    </row>
    <row r="71" spans="1:26" ht="18.75" customHeight="1">
      <c r="A71" s="47"/>
      <c r="B71" s="81"/>
      <c r="C71" s="74"/>
      <c r="D71" s="74"/>
      <c r="E71" s="74"/>
      <c r="F71" s="74"/>
      <c r="G71" s="74"/>
      <c r="H71" s="74"/>
      <c r="I71" s="82"/>
      <c r="J71" s="2"/>
      <c r="K71" s="2"/>
      <c r="L71" s="2"/>
      <c r="M71" s="2"/>
      <c r="N71" s="2"/>
      <c r="O71" s="2"/>
      <c r="P71" s="2"/>
      <c r="Q71" s="2"/>
      <c r="R71" s="2"/>
      <c r="S71" s="2"/>
      <c r="T71" s="2"/>
      <c r="U71" s="2"/>
      <c r="V71" s="2"/>
      <c r="W71" s="2"/>
      <c r="X71" s="2"/>
      <c r="Y71" s="2"/>
      <c r="Z71" s="2"/>
    </row>
    <row r="72" spans="1:26" ht="18.75" customHeight="1">
      <c r="A72" s="47"/>
      <c r="B72" s="81"/>
      <c r="C72" s="74"/>
      <c r="D72" s="74"/>
      <c r="E72" s="74"/>
      <c r="F72" s="74"/>
      <c r="G72" s="74"/>
      <c r="H72" s="74"/>
      <c r="I72" s="82"/>
      <c r="J72" s="2"/>
      <c r="K72" s="2"/>
      <c r="L72" s="2"/>
      <c r="M72" s="2"/>
      <c r="N72" s="2"/>
      <c r="O72" s="2"/>
      <c r="P72" s="2"/>
      <c r="Q72" s="2"/>
      <c r="R72" s="2"/>
      <c r="S72" s="2"/>
      <c r="T72" s="2"/>
      <c r="U72" s="2"/>
      <c r="V72" s="2"/>
      <c r="W72" s="2"/>
      <c r="X72" s="2"/>
      <c r="Y72" s="2"/>
      <c r="Z72" s="2"/>
    </row>
    <row r="73" spans="1:26" ht="18.75" customHeight="1">
      <c r="A73" s="47"/>
      <c r="B73" s="81"/>
      <c r="C73" s="74"/>
      <c r="D73" s="74"/>
      <c r="E73" s="74"/>
      <c r="F73" s="74"/>
      <c r="G73" s="74"/>
      <c r="H73" s="74"/>
      <c r="I73" s="82"/>
      <c r="J73" s="2"/>
      <c r="K73" s="2"/>
      <c r="L73" s="2"/>
      <c r="M73" s="2"/>
      <c r="N73" s="2"/>
      <c r="O73" s="2"/>
      <c r="P73" s="2"/>
      <c r="Q73" s="2"/>
      <c r="R73" s="2"/>
      <c r="S73" s="2"/>
      <c r="T73" s="2"/>
      <c r="U73" s="2"/>
      <c r="V73" s="2"/>
      <c r="W73" s="2"/>
      <c r="X73" s="2"/>
      <c r="Y73" s="2"/>
      <c r="Z73" s="2"/>
    </row>
    <row r="74" spans="1:26" ht="18.75" customHeight="1">
      <c r="A74" s="47"/>
      <c r="B74" s="81"/>
      <c r="C74" s="74"/>
      <c r="D74" s="74"/>
      <c r="E74" s="74"/>
      <c r="F74" s="74"/>
      <c r="G74" s="74"/>
      <c r="H74" s="74"/>
      <c r="I74" s="82"/>
      <c r="J74" s="2"/>
      <c r="K74" s="2"/>
      <c r="L74" s="2"/>
      <c r="M74" s="2"/>
      <c r="N74" s="2"/>
      <c r="O74" s="2"/>
      <c r="P74" s="2"/>
      <c r="Q74" s="2"/>
      <c r="R74" s="2"/>
      <c r="S74" s="2"/>
      <c r="T74" s="2"/>
      <c r="U74" s="2"/>
      <c r="V74" s="2"/>
      <c r="W74" s="2"/>
      <c r="X74" s="2"/>
      <c r="Y74" s="2"/>
      <c r="Z74" s="2"/>
    </row>
    <row r="75" spans="1:26" ht="18.75" customHeight="1">
      <c r="A75" s="47"/>
      <c r="B75" s="81"/>
      <c r="C75" s="74"/>
      <c r="D75" s="74"/>
      <c r="E75" s="74"/>
      <c r="F75" s="74"/>
      <c r="G75" s="74"/>
      <c r="H75" s="74"/>
      <c r="I75" s="82"/>
      <c r="J75" s="2"/>
      <c r="K75" s="2"/>
      <c r="L75" s="2"/>
      <c r="M75" s="2"/>
      <c r="N75" s="2"/>
      <c r="O75" s="2"/>
      <c r="P75" s="2"/>
      <c r="Q75" s="2"/>
      <c r="R75" s="2"/>
      <c r="S75" s="2"/>
      <c r="T75" s="2"/>
      <c r="U75" s="2"/>
      <c r="V75" s="2"/>
      <c r="W75" s="2"/>
      <c r="X75" s="2"/>
      <c r="Y75" s="2"/>
      <c r="Z75" s="2"/>
    </row>
    <row r="76" spans="1:26" ht="18.75" customHeight="1">
      <c r="A76" s="47"/>
      <c r="B76" s="81"/>
      <c r="C76" s="74"/>
      <c r="D76" s="74"/>
      <c r="E76" s="74"/>
      <c r="F76" s="74"/>
      <c r="G76" s="74"/>
      <c r="H76" s="74"/>
      <c r="I76" s="82"/>
      <c r="J76" s="2"/>
      <c r="K76" s="2"/>
      <c r="L76" s="2"/>
      <c r="M76" s="2"/>
      <c r="N76" s="2"/>
      <c r="O76" s="2"/>
      <c r="P76" s="2"/>
      <c r="Q76" s="2"/>
      <c r="R76" s="2"/>
      <c r="S76" s="2"/>
      <c r="T76" s="2"/>
      <c r="U76" s="2"/>
      <c r="V76" s="2"/>
      <c r="W76" s="2"/>
      <c r="X76" s="2"/>
      <c r="Y76" s="2"/>
      <c r="Z76" s="2"/>
    </row>
    <row r="77" spans="1:26" ht="18.75" customHeight="1">
      <c r="A77" s="47"/>
      <c r="B77" s="78"/>
      <c r="C77" s="79"/>
      <c r="D77" s="79"/>
      <c r="E77" s="79"/>
      <c r="F77" s="79"/>
      <c r="G77" s="79"/>
      <c r="H77" s="79"/>
      <c r="I77" s="80"/>
      <c r="J77" s="2"/>
      <c r="K77" s="2"/>
      <c r="L77" s="2"/>
      <c r="M77" s="2"/>
      <c r="N77" s="2"/>
      <c r="O77" s="2"/>
      <c r="P77" s="2"/>
      <c r="Q77" s="2"/>
      <c r="R77" s="2"/>
      <c r="S77" s="2"/>
      <c r="T77" s="2"/>
      <c r="U77" s="2"/>
      <c r="V77" s="2"/>
      <c r="W77" s="2"/>
      <c r="X77" s="2"/>
      <c r="Y77" s="2"/>
      <c r="Z77" s="2"/>
    </row>
    <row r="78" spans="1:26" ht="7.5" customHeight="1">
      <c r="A78" s="47"/>
      <c r="B78" s="47"/>
      <c r="C78" s="47"/>
      <c r="D78" s="47"/>
      <c r="E78" s="47"/>
      <c r="F78" s="47"/>
      <c r="G78" s="47"/>
      <c r="H78" s="47"/>
      <c r="I78" s="47"/>
      <c r="J78" s="2"/>
      <c r="K78" s="2"/>
      <c r="L78" s="2"/>
      <c r="M78" s="2"/>
      <c r="N78" s="2"/>
      <c r="O78" s="2"/>
      <c r="P78" s="2"/>
      <c r="Q78" s="2"/>
      <c r="R78" s="2"/>
      <c r="S78" s="2"/>
      <c r="T78" s="2"/>
      <c r="U78" s="2"/>
      <c r="V78" s="2"/>
      <c r="W78" s="2"/>
      <c r="X78" s="2"/>
      <c r="Y78" s="2"/>
      <c r="Z78" s="2"/>
    </row>
    <row r="79" spans="1:26" ht="18.75" customHeight="1">
      <c r="A79" s="2" t="s">
        <v>137</v>
      </c>
      <c r="B79" s="2" t="s">
        <v>138</v>
      </c>
      <c r="C79" s="2"/>
      <c r="D79" s="2"/>
      <c r="E79" s="2"/>
      <c r="F79" s="2"/>
      <c r="G79" s="2"/>
      <c r="H79" s="2"/>
      <c r="I79" s="2"/>
      <c r="J79" s="2"/>
      <c r="K79" s="2"/>
      <c r="L79" s="2"/>
      <c r="M79" s="2"/>
      <c r="N79" s="2"/>
      <c r="O79" s="2"/>
      <c r="P79" s="2"/>
      <c r="Q79" s="2"/>
      <c r="R79" s="2"/>
      <c r="S79" s="2"/>
      <c r="T79" s="2"/>
      <c r="U79" s="2"/>
      <c r="V79" s="2"/>
      <c r="W79" s="2"/>
      <c r="X79" s="2"/>
      <c r="Y79" s="2"/>
      <c r="Z79" s="2"/>
    </row>
    <row r="80" spans="1:26" ht="18.75" customHeight="1">
      <c r="A80" s="2"/>
      <c r="B80" s="103" t="s">
        <v>139</v>
      </c>
      <c r="C80" s="76"/>
      <c r="D80" s="76"/>
      <c r="E80" s="76"/>
      <c r="F80" s="76"/>
      <c r="G80" s="76"/>
      <c r="H80" s="76"/>
      <c r="I80" s="77"/>
      <c r="J80" s="2"/>
      <c r="K80" s="2"/>
      <c r="L80" s="2"/>
      <c r="M80" s="2"/>
      <c r="N80" s="2"/>
      <c r="O80" s="2"/>
      <c r="P80" s="2"/>
      <c r="Q80" s="2"/>
      <c r="R80" s="2"/>
      <c r="S80" s="2"/>
      <c r="T80" s="2"/>
      <c r="U80" s="2"/>
      <c r="V80" s="2"/>
      <c r="W80" s="2"/>
      <c r="X80" s="2"/>
      <c r="Y80" s="2"/>
      <c r="Z80" s="2"/>
    </row>
    <row r="81" spans="1:26" ht="18.75" customHeight="1">
      <c r="A81" s="2"/>
      <c r="B81" s="81"/>
      <c r="C81" s="74"/>
      <c r="D81" s="74"/>
      <c r="E81" s="74"/>
      <c r="F81" s="74"/>
      <c r="G81" s="74"/>
      <c r="H81" s="74"/>
      <c r="I81" s="82"/>
      <c r="J81" s="2"/>
      <c r="K81" s="2"/>
      <c r="L81" s="2"/>
      <c r="M81" s="2"/>
      <c r="N81" s="2"/>
      <c r="O81" s="2"/>
      <c r="P81" s="2"/>
      <c r="Q81" s="2"/>
      <c r="R81" s="2"/>
      <c r="S81" s="2"/>
      <c r="T81" s="2"/>
      <c r="U81" s="2"/>
      <c r="V81" s="2"/>
      <c r="W81" s="2"/>
      <c r="X81" s="2"/>
      <c r="Y81" s="2"/>
      <c r="Z81" s="2"/>
    </row>
    <row r="82" spans="1:26" ht="18.75" customHeight="1">
      <c r="A82" s="2"/>
      <c r="B82" s="81"/>
      <c r="C82" s="74"/>
      <c r="D82" s="74"/>
      <c r="E82" s="74"/>
      <c r="F82" s="74"/>
      <c r="G82" s="74"/>
      <c r="H82" s="74"/>
      <c r="I82" s="82"/>
      <c r="J82" s="2"/>
      <c r="K82" s="2"/>
      <c r="L82" s="2"/>
      <c r="M82" s="2"/>
      <c r="N82" s="2"/>
      <c r="O82" s="2"/>
      <c r="P82" s="2"/>
      <c r="Q82" s="2"/>
      <c r="R82" s="2"/>
      <c r="S82" s="2"/>
      <c r="T82" s="2"/>
      <c r="U82" s="2"/>
      <c r="V82" s="2"/>
      <c r="W82" s="2"/>
      <c r="X82" s="2"/>
      <c r="Y82" s="2"/>
      <c r="Z82" s="2"/>
    </row>
    <row r="83" spans="1:26" ht="18.75" customHeight="1">
      <c r="A83" s="2"/>
      <c r="B83" s="81"/>
      <c r="C83" s="74"/>
      <c r="D83" s="74"/>
      <c r="E83" s="74"/>
      <c r="F83" s="74"/>
      <c r="G83" s="74"/>
      <c r="H83" s="74"/>
      <c r="I83" s="82"/>
      <c r="J83" s="2"/>
      <c r="K83" s="2"/>
      <c r="L83" s="2"/>
      <c r="M83" s="2"/>
      <c r="N83" s="2"/>
      <c r="O83" s="2"/>
      <c r="P83" s="2"/>
      <c r="Q83" s="2"/>
      <c r="R83" s="2"/>
      <c r="S83" s="2"/>
      <c r="T83" s="2"/>
      <c r="U83" s="2"/>
      <c r="V83" s="2"/>
      <c r="W83" s="2"/>
      <c r="X83" s="2"/>
      <c r="Y83" s="2"/>
      <c r="Z83" s="2"/>
    </row>
    <row r="84" spans="1:26" ht="18.75" customHeight="1">
      <c r="A84" s="2"/>
      <c r="B84" s="81"/>
      <c r="C84" s="74"/>
      <c r="D84" s="74"/>
      <c r="E84" s="74"/>
      <c r="F84" s="74"/>
      <c r="G84" s="74"/>
      <c r="H84" s="74"/>
      <c r="I84" s="82"/>
      <c r="J84" s="2"/>
      <c r="K84" s="2"/>
      <c r="L84" s="2"/>
      <c r="M84" s="2"/>
      <c r="N84" s="2"/>
      <c r="O84" s="2"/>
      <c r="P84" s="2"/>
      <c r="Q84" s="2"/>
      <c r="R84" s="2"/>
      <c r="S84" s="2"/>
      <c r="T84" s="2"/>
      <c r="U84" s="2"/>
      <c r="V84" s="2"/>
      <c r="W84" s="2"/>
      <c r="X84" s="2"/>
      <c r="Y84" s="2"/>
      <c r="Z84" s="2"/>
    </row>
    <row r="85" spans="1:26" ht="18.75" customHeight="1">
      <c r="A85" s="2"/>
      <c r="B85" s="81"/>
      <c r="C85" s="74"/>
      <c r="D85" s="74"/>
      <c r="E85" s="74"/>
      <c r="F85" s="74"/>
      <c r="G85" s="74"/>
      <c r="H85" s="74"/>
      <c r="I85" s="82"/>
      <c r="J85" s="2"/>
      <c r="K85" s="2"/>
      <c r="L85" s="2"/>
      <c r="M85" s="2"/>
      <c r="N85" s="2"/>
      <c r="O85" s="2"/>
      <c r="P85" s="2"/>
      <c r="Q85" s="2"/>
      <c r="R85" s="2"/>
      <c r="S85" s="2"/>
      <c r="T85" s="2"/>
      <c r="U85" s="2"/>
      <c r="V85" s="2"/>
      <c r="W85" s="2"/>
      <c r="X85" s="2"/>
      <c r="Y85" s="2"/>
      <c r="Z85" s="2"/>
    </row>
    <row r="86" spans="1:26" ht="18.75" customHeight="1">
      <c r="A86" s="2"/>
      <c r="B86" s="81"/>
      <c r="C86" s="74"/>
      <c r="D86" s="74"/>
      <c r="E86" s="74"/>
      <c r="F86" s="74"/>
      <c r="G86" s="74"/>
      <c r="H86" s="74"/>
      <c r="I86" s="82"/>
      <c r="J86" s="2"/>
      <c r="K86" s="2"/>
      <c r="L86" s="2"/>
      <c r="M86" s="2"/>
      <c r="N86" s="2"/>
      <c r="O86" s="2"/>
      <c r="P86" s="2"/>
      <c r="Q86" s="2"/>
      <c r="R86" s="2"/>
      <c r="S86" s="2"/>
      <c r="T86" s="2"/>
      <c r="U86" s="2"/>
      <c r="V86" s="2"/>
      <c r="W86" s="2"/>
      <c r="X86" s="2"/>
      <c r="Y86" s="2"/>
      <c r="Z86" s="2"/>
    </row>
    <row r="87" spans="1:26" ht="18.75" customHeight="1">
      <c r="A87" s="2"/>
      <c r="B87" s="81"/>
      <c r="C87" s="74"/>
      <c r="D87" s="74"/>
      <c r="E87" s="74"/>
      <c r="F87" s="74"/>
      <c r="G87" s="74"/>
      <c r="H87" s="74"/>
      <c r="I87" s="82"/>
      <c r="J87" s="2"/>
      <c r="K87" s="2"/>
      <c r="L87" s="2"/>
      <c r="M87" s="2"/>
      <c r="N87" s="2"/>
      <c r="O87" s="2"/>
      <c r="P87" s="2"/>
      <c r="Q87" s="2"/>
      <c r="R87" s="2"/>
      <c r="S87" s="2"/>
      <c r="T87" s="2"/>
      <c r="U87" s="2"/>
      <c r="V87" s="2"/>
      <c r="W87" s="2"/>
      <c r="X87" s="2"/>
      <c r="Y87" s="2"/>
      <c r="Z87" s="2"/>
    </row>
    <row r="88" spans="1:26" ht="18.75" customHeight="1">
      <c r="A88" s="2"/>
      <c r="B88" s="81"/>
      <c r="C88" s="74"/>
      <c r="D88" s="74"/>
      <c r="E88" s="74"/>
      <c r="F88" s="74"/>
      <c r="G88" s="74"/>
      <c r="H88" s="74"/>
      <c r="I88" s="82"/>
      <c r="J88" s="2"/>
      <c r="K88" s="2"/>
      <c r="L88" s="2"/>
      <c r="M88" s="2"/>
      <c r="N88" s="2"/>
      <c r="O88" s="2"/>
      <c r="P88" s="2"/>
      <c r="Q88" s="2"/>
      <c r="R88" s="2"/>
      <c r="S88" s="2"/>
      <c r="T88" s="2"/>
      <c r="U88" s="2"/>
      <c r="V88" s="2"/>
      <c r="W88" s="2"/>
      <c r="X88" s="2"/>
      <c r="Y88" s="2"/>
      <c r="Z88" s="2"/>
    </row>
    <row r="89" spans="1:26" ht="18.75" customHeight="1">
      <c r="A89" s="2"/>
      <c r="B89" s="81"/>
      <c r="C89" s="74"/>
      <c r="D89" s="74"/>
      <c r="E89" s="74"/>
      <c r="F89" s="74"/>
      <c r="G89" s="74"/>
      <c r="H89" s="74"/>
      <c r="I89" s="82"/>
      <c r="J89" s="2"/>
      <c r="K89" s="2"/>
      <c r="L89" s="2"/>
      <c r="M89" s="2"/>
      <c r="N89" s="2"/>
      <c r="O89" s="2"/>
      <c r="P89" s="2"/>
      <c r="Q89" s="2"/>
      <c r="R89" s="2"/>
      <c r="S89" s="2"/>
      <c r="T89" s="2"/>
      <c r="U89" s="2"/>
      <c r="V89" s="2"/>
      <c r="W89" s="2"/>
      <c r="X89" s="2"/>
      <c r="Y89" s="2"/>
      <c r="Z89" s="2"/>
    </row>
    <row r="90" spans="1:26" ht="18.75" customHeight="1">
      <c r="A90" s="47"/>
      <c r="B90" s="81"/>
      <c r="C90" s="74"/>
      <c r="D90" s="74"/>
      <c r="E90" s="74"/>
      <c r="F90" s="74"/>
      <c r="G90" s="74"/>
      <c r="H90" s="74"/>
      <c r="I90" s="82"/>
      <c r="J90" s="2"/>
      <c r="K90" s="2"/>
      <c r="L90" s="2"/>
      <c r="M90" s="2"/>
      <c r="N90" s="2"/>
      <c r="O90" s="2"/>
      <c r="P90" s="2"/>
      <c r="Q90" s="2"/>
      <c r="R90" s="2"/>
      <c r="S90" s="2"/>
      <c r="T90" s="2"/>
      <c r="U90" s="2"/>
      <c r="V90" s="2"/>
      <c r="W90" s="2"/>
      <c r="X90" s="2"/>
      <c r="Y90" s="2"/>
      <c r="Z90" s="2"/>
    </row>
    <row r="91" spans="1:26" ht="18.75" customHeight="1">
      <c r="A91" s="47"/>
      <c r="B91" s="78"/>
      <c r="C91" s="79"/>
      <c r="D91" s="79"/>
      <c r="E91" s="79"/>
      <c r="F91" s="79"/>
      <c r="G91" s="79"/>
      <c r="H91" s="79"/>
      <c r="I91" s="80"/>
      <c r="J91" s="2"/>
      <c r="K91" s="2"/>
      <c r="L91" s="2"/>
      <c r="M91" s="2"/>
      <c r="N91" s="2"/>
      <c r="O91" s="2"/>
      <c r="P91" s="2"/>
      <c r="Q91" s="2"/>
      <c r="R91" s="2"/>
      <c r="S91" s="2"/>
      <c r="T91" s="2"/>
      <c r="U91" s="2"/>
      <c r="V91" s="2"/>
      <c r="W91" s="2"/>
      <c r="X91" s="2"/>
      <c r="Y91" s="2"/>
      <c r="Z91" s="2"/>
    </row>
    <row r="92" spans="1:26" ht="7.5" customHeight="1">
      <c r="A92" s="47"/>
      <c r="B92" s="47"/>
      <c r="C92" s="47"/>
      <c r="D92" s="47"/>
      <c r="E92" s="47"/>
      <c r="F92" s="47"/>
      <c r="G92" s="47"/>
      <c r="H92" s="47"/>
      <c r="I92" s="47"/>
      <c r="J92" s="2"/>
      <c r="K92" s="2"/>
      <c r="L92" s="2"/>
      <c r="M92" s="2"/>
      <c r="N92" s="2"/>
      <c r="O92" s="2"/>
      <c r="P92" s="2"/>
      <c r="Q92" s="2"/>
      <c r="R92" s="2"/>
      <c r="S92" s="2"/>
      <c r="T92" s="2"/>
      <c r="U92" s="2"/>
      <c r="V92" s="2"/>
      <c r="W92" s="2"/>
      <c r="X92" s="2"/>
      <c r="Y92" s="2"/>
      <c r="Z92" s="2"/>
    </row>
    <row r="93" spans="1:26" ht="18.75" customHeight="1">
      <c r="A93" s="2" t="s">
        <v>140</v>
      </c>
      <c r="B93" s="2" t="s">
        <v>141</v>
      </c>
      <c r="C93" s="2"/>
      <c r="D93" s="2"/>
      <c r="E93" s="2"/>
      <c r="F93" s="2"/>
      <c r="G93" s="2"/>
      <c r="H93" s="2"/>
      <c r="I93" s="2"/>
      <c r="J93" s="2"/>
      <c r="K93" s="2"/>
      <c r="L93" s="2"/>
      <c r="M93" s="2"/>
      <c r="N93" s="2"/>
      <c r="O93" s="2"/>
      <c r="P93" s="2"/>
      <c r="Q93" s="2"/>
      <c r="R93" s="2"/>
      <c r="S93" s="2"/>
      <c r="T93" s="2"/>
      <c r="U93" s="2"/>
      <c r="V93" s="2"/>
      <c r="W93" s="2"/>
      <c r="X93" s="2"/>
      <c r="Y93" s="2"/>
      <c r="Z93" s="2"/>
    </row>
    <row r="94" spans="1:26" ht="18.75" customHeight="1">
      <c r="A94" s="2"/>
      <c r="B94" s="104" t="s">
        <v>142</v>
      </c>
      <c r="C94" s="76"/>
      <c r="D94" s="76"/>
      <c r="E94" s="76"/>
      <c r="F94" s="76"/>
      <c r="G94" s="76"/>
      <c r="H94" s="76"/>
      <c r="I94" s="77"/>
      <c r="J94" s="2"/>
      <c r="K94" s="2"/>
      <c r="L94" s="2"/>
      <c r="M94" s="2"/>
      <c r="N94" s="2"/>
      <c r="O94" s="2"/>
      <c r="P94" s="2"/>
      <c r="Q94" s="2"/>
      <c r="R94" s="2"/>
      <c r="S94" s="2"/>
      <c r="T94" s="2"/>
      <c r="U94" s="2"/>
      <c r="V94" s="2"/>
      <c r="W94" s="2"/>
      <c r="X94" s="2"/>
      <c r="Y94" s="2"/>
      <c r="Z94" s="2"/>
    </row>
    <row r="95" spans="1:26" ht="18.75" customHeight="1">
      <c r="A95" s="2"/>
      <c r="B95" s="81"/>
      <c r="C95" s="74"/>
      <c r="D95" s="74"/>
      <c r="E95" s="74"/>
      <c r="F95" s="74"/>
      <c r="G95" s="74"/>
      <c r="H95" s="74"/>
      <c r="I95" s="82"/>
      <c r="J95" s="2"/>
      <c r="K95" s="2"/>
      <c r="L95" s="2"/>
      <c r="M95" s="2"/>
      <c r="N95" s="2"/>
      <c r="O95" s="2"/>
      <c r="P95" s="2"/>
      <c r="Q95" s="2"/>
      <c r="R95" s="2"/>
      <c r="S95" s="2"/>
      <c r="T95" s="2"/>
      <c r="U95" s="2"/>
      <c r="V95" s="2"/>
      <c r="W95" s="2"/>
      <c r="X95" s="2"/>
      <c r="Y95" s="2"/>
      <c r="Z95" s="2"/>
    </row>
    <row r="96" spans="1:26" ht="18.75" customHeight="1">
      <c r="A96" s="2"/>
      <c r="B96" s="81"/>
      <c r="C96" s="74"/>
      <c r="D96" s="74"/>
      <c r="E96" s="74"/>
      <c r="F96" s="74"/>
      <c r="G96" s="74"/>
      <c r="H96" s="74"/>
      <c r="I96" s="82"/>
      <c r="J96" s="2"/>
      <c r="K96" s="2"/>
      <c r="L96" s="2"/>
      <c r="M96" s="2"/>
      <c r="N96" s="2"/>
      <c r="O96" s="2"/>
      <c r="P96" s="2"/>
      <c r="Q96" s="2"/>
      <c r="R96" s="2"/>
      <c r="S96" s="2"/>
      <c r="T96" s="2"/>
      <c r="U96" s="2"/>
      <c r="V96" s="2"/>
      <c r="W96" s="2"/>
      <c r="X96" s="2"/>
      <c r="Y96" s="2"/>
      <c r="Z96" s="2"/>
    </row>
    <row r="97" spans="1:26" ht="18.75" customHeight="1">
      <c r="A97" s="2"/>
      <c r="B97" s="81"/>
      <c r="C97" s="74"/>
      <c r="D97" s="74"/>
      <c r="E97" s="74"/>
      <c r="F97" s="74"/>
      <c r="G97" s="74"/>
      <c r="H97" s="74"/>
      <c r="I97" s="82"/>
      <c r="J97" s="2"/>
      <c r="K97" s="2"/>
      <c r="L97" s="2"/>
      <c r="M97" s="2"/>
      <c r="N97" s="2"/>
      <c r="O97" s="2"/>
      <c r="P97" s="2"/>
      <c r="Q97" s="2"/>
      <c r="R97" s="2"/>
      <c r="S97" s="2"/>
      <c r="T97" s="2"/>
      <c r="U97" s="2"/>
      <c r="V97" s="2"/>
      <c r="W97" s="2"/>
      <c r="X97" s="2"/>
      <c r="Y97" s="2"/>
      <c r="Z97" s="2"/>
    </row>
    <row r="98" spans="1:26" ht="18.75" customHeight="1">
      <c r="A98" s="2"/>
      <c r="B98" s="81"/>
      <c r="C98" s="74"/>
      <c r="D98" s="74"/>
      <c r="E98" s="74"/>
      <c r="F98" s="74"/>
      <c r="G98" s="74"/>
      <c r="H98" s="74"/>
      <c r="I98" s="82"/>
      <c r="J98" s="2"/>
      <c r="K98" s="2"/>
      <c r="L98" s="2"/>
      <c r="M98" s="2"/>
      <c r="N98" s="2"/>
      <c r="O98" s="2"/>
      <c r="P98" s="2"/>
      <c r="Q98" s="2"/>
      <c r="R98" s="2"/>
      <c r="S98" s="2"/>
      <c r="T98" s="2"/>
      <c r="U98" s="2"/>
      <c r="V98" s="2"/>
      <c r="W98" s="2"/>
      <c r="X98" s="2"/>
      <c r="Y98" s="2"/>
      <c r="Z98" s="2"/>
    </row>
    <row r="99" spans="1:26" ht="18.75" customHeight="1">
      <c r="A99" s="2"/>
      <c r="B99" s="81"/>
      <c r="C99" s="74"/>
      <c r="D99" s="74"/>
      <c r="E99" s="74"/>
      <c r="F99" s="74"/>
      <c r="G99" s="74"/>
      <c r="H99" s="74"/>
      <c r="I99" s="82"/>
      <c r="J99" s="2"/>
      <c r="K99" s="2"/>
      <c r="L99" s="2"/>
      <c r="M99" s="2"/>
      <c r="N99" s="2"/>
      <c r="O99" s="2"/>
      <c r="P99" s="2"/>
      <c r="Q99" s="2"/>
      <c r="R99" s="2"/>
      <c r="S99" s="2"/>
      <c r="T99" s="2"/>
      <c r="U99" s="2"/>
      <c r="V99" s="2"/>
      <c r="W99" s="2"/>
      <c r="X99" s="2"/>
      <c r="Y99" s="2"/>
      <c r="Z99" s="2"/>
    </row>
    <row r="100" spans="1:26" ht="18.75" customHeight="1">
      <c r="A100" s="2"/>
      <c r="B100" s="81"/>
      <c r="C100" s="74"/>
      <c r="D100" s="74"/>
      <c r="E100" s="74"/>
      <c r="F100" s="74"/>
      <c r="G100" s="74"/>
      <c r="H100" s="74"/>
      <c r="I100" s="82"/>
      <c r="J100" s="2"/>
      <c r="K100" s="2"/>
      <c r="L100" s="2"/>
      <c r="M100" s="2"/>
      <c r="N100" s="2"/>
      <c r="O100" s="2"/>
      <c r="P100" s="2"/>
      <c r="Q100" s="2"/>
      <c r="R100" s="2"/>
      <c r="S100" s="2"/>
      <c r="T100" s="2"/>
      <c r="U100" s="2"/>
      <c r="V100" s="2"/>
      <c r="W100" s="2"/>
      <c r="X100" s="2"/>
      <c r="Y100" s="2"/>
      <c r="Z100" s="2"/>
    </row>
    <row r="101" spans="1:26" ht="18.75" customHeight="1">
      <c r="A101" s="2"/>
      <c r="B101" s="81"/>
      <c r="C101" s="74"/>
      <c r="D101" s="74"/>
      <c r="E101" s="74"/>
      <c r="F101" s="74"/>
      <c r="G101" s="74"/>
      <c r="H101" s="74"/>
      <c r="I101" s="82"/>
      <c r="J101" s="2"/>
      <c r="K101" s="2"/>
      <c r="L101" s="2"/>
      <c r="M101" s="2"/>
      <c r="N101" s="2"/>
      <c r="O101" s="2"/>
      <c r="P101" s="2"/>
      <c r="Q101" s="2"/>
      <c r="R101" s="2"/>
      <c r="S101" s="2"/>
      <c r="T101" s="2"/>
      <c r="U101" s="2"/>
      <c r="V101" s="2"/>
      <c r="W101" s="2"/>
      <c r="X101" s="2"/>
      <c r="Y101" s="2"/>
      <c r="Z101" s="2"/>
    </row>
    <row r="102" spans="1:26" ht="18.75" customHeight="1">
      <c r="A102" s="2"/>
      <c r="B102" s="81"/>
      <c r="C102" s="74"/>
      <c r="D102" s="74"/>
      <c r="E102" s="74"/>
      <c r="F102" s="74"/>
      <c r="G102" s="74"/>
      <c r="H102" s="74"/>
      <c r="I102" s="82"/>
      <c r="J102" s="2"/>
      <c r="K102" s="2"/>
      <c r="L102" s="2"/>
      <c r="M102" s="2"/>
      <c r="N102" s="2"/>
      <c r="O102" s="2"/>
      <c r="P102" s="2"/>
      <c r="Q102" s="2"/>
      <c r="R102" s="2"/>
      <c r="S102" s="2"/>
      <c r="T102" s="2"/>
      <c r="U102" s="2"/>
      <c r="V102" s="2"/>
      <c r="W102" s="2"/>
      <c r="X102" s="2"/>
      <c r="Y102" s="2"/>
      <c r="Z102" s="2"/>
    </row>
    <row r="103" spans="1:26" ht="18.75" customHeight="1">
      <c r="A103" s="2"/>
      <c r="B103" s="81"/>
      <c r="C103" s="74"/>
      <c r="D103" s="74"/>
      <c r="E103" s="74"/>
      <c r="F103" s="74"/>
      <c r="G103" s="74"/>
      <c r="H103" s="74"/>
      <c r="I103" s="82"/>
      <c r="J103" s="2"/>
      <c r="K103" s="2"/>
      <c r="L103" s="2"/>
      <c r="M103" s="2"/>
      <c r="N103" s="2"/>
      <c r="O103" s="2"/>
      <c r="P103" s="2"/>
      <c r="Q103" s="2"/>
      <c r="R103" s="2"/>
      <c r="S103" s="2"/>
      <c r="T103" s="2"/>
      <c r="U103" s="2"/>
      <c r="V103" s="2"/>
      <c r="W103" s="2"/>
      <c r="X103" s="2"/>
      <c r="Y103" s="2"/>
      <c r="Z103" s="2"/>
    </row>
    <row r="104" spans="1:26" ht="18.75" customHeight="1">
      <c r="A104" s="2"/>
      <c r="B104" s="81"/>
      <c r="C104" s="74"/>
      <c r="D104" s="74"/>
      <c r="E104" s="74"/>
      <c r="F104" s="74"/>
      <c r="G104" s="74"/>
      <c r="H104" s="74"/>
      <c r="I104" s="82"/>
      <c r="J104" s="2"/>
      <c r="K104" s="2"/>
      <c r="L104" s="2"/>
      <c r="M104" s="2"/>
      <c r="N104" s="2"/>
      <c r="O104" s="2"/>
      <c r="P104" s="2"/>
      <c r="Q104" s="2"/>
      <c r="R104" s="2"/>
      <c r="S104" s="2"/>
      <c r="T104" s="2"/>
      <c r="U104" s="2"/>
      <c r="V104" s="2"/>
      <c r="W104" s="2"/>
      <c r="X104" s="2"/>
      <c r="Y104" s="2"/>
      <c r="Z104" s="2"/>
    </row>
    <row r="105" spans="1:26" ht="18.75" customHeight="1">
      <c r="A105" s="47"/>
      <c r="B105" s="78"/>
      <c r="C105" s="79"/>
      <c r="D105" s="79"/>
      <c r="E105" s="79"/>
      <c r="F105" s="79"/>
      <c r="G105" s="79"/>
      <c r="H105" s="79"/>
      <c r="I105" s="80"/>
      <c r="J105" s="2"/>
      <c r="K105" s="2"/>
      <c r="L105" s="2"/>
      <c r="M105" s="2"/>
      <c r="N105" s="2"/>
      <c r="O105" s="2"/>
      <c r="P105" s="2"/>
      <c r="Q105" s="2"/>
      <c r="R105" s="2"/>
      <c r="S105" s="2"/>
      <c r="T105" s="2"/>
      <c r="U105" s="2"/>
      <c r="V105" s="2"/>
      <c r="W105" s="2"/>
      <c r="X105" s="2"/>
      <c r="Y105" s="2"/>
      <c r="Z105" s="2"/>
    </row>
    <row r="106" spans="1:26" ht="7.5" customHeight="1">
      <c r="A106" s="47"/>
      <c r="B106" s="47"/>
      <c r="C106" s="47"/>
      <c r="D106" s="47"/>
      <c r="E106" s="47"/>
      <c r="F106" s="47"/>
      <c r="G106" s="47"/>
      <c r="H106" s="47"/>
      <c r="I106" s="47"/>
      <c r="J106" s="2"/>
      <c r="K106" s="2"/>
      <c r="L106" s="2"/>
      <c r="M106" s="2"/>
      <c r="N106" s="2"/>
      <c r="O106" s="2"/>
      <c r="P106" s="2"/>
      <c r="Q106" s="2"/>
      <c r="R106" s="2"/>
      <c r="S106" s="2"/>
      <c r="T106" s="2"/>
      <c r="U106" s="2"/>
      <c r="V106" s="2"/>
      <c r="W106" s="2"/>
      <c r="X106" s="2"/>
      <c r="Y106" s="2"/>
      <c r="Z106" s="2"/>
    </row>
    <row r="107" spans="1:26" ht="18.75" customHeight="1">
      <c r="A107" s="2" t="s">
        <v>143</v>
      </c>
      <c r="B107" s="105" t="s">
        <v>144</v>
      </c>
      <c r="C107" s="74"/>
      <c r="D107" s="74"/>
      <c r="E107" s="74"/>
      <c r="F107" s="74"/>
      <c r="G107" s="74"/>
      <c r="H107" s="74"/>
      <c r="I107" s="74"/>
      <c r="J107" s="2"/>
      <c r="K107" s="2"/>
      <c r="L107" s="2"/>
      <c r="M107" s="2"/>
      <c r="N107" s="2"/>
      <c r="O107" s="2"/>
      <c r="P107" s="2"/>
      <c r="Q107" s="2"/>
      <c r="R107" s="2"/>
      <c r="S107" s="2"/>
      <c r="T107" s="2"/>
      <c r="U107" s="2"/>
      <c r="V107" s="2"/>
      <c r="W107" s="2"/>
      <c r="X107" s="2"/>
      <c r="Y107" s="2"/>
      <c r="Z107" s="2"/>
    </row>
    <row r="108" spans="1:26" ht="18.75" customHeight="1">
      <c r="A108" s="47"/>
      <c r="B108" s="104" t="s">
        <v>145</v>
      </c>
      <c r="C108" s="76"/>
      <c r="D108" s="76"/>
      <c r="E108" s="76"/>
      <c r="F108" s="76"/>
      <c r="G108" s="76"/>
      <c r="H108" s="76"/>
      <c r="I108" s="77"/>
      <c r="J108" s="2"/>
      <c r="K108" s="2"/>
      <c r="L108" s="2"/>
      <c r="M108" s="2"/>
      <c r="N108" s="2"/>
      <c r="O108" s="2"/>
      <c r="P108" s="2"/>
      <c r="Q108" s="2"/>
      <c r="R108" s="2"/>
      <c r="S108" s="2"/>
      <c r="T108" s="2"/>
      <c r="U108" s="2"/>
      <c r="V108" s="2"/>
      <c r="W108" s="2"/>
      <c r="X108" s="2"/>
      <c r="Y108" s="2"/>
      <c r="Z108" s="2"/>
    </row>
    <row r="109" spans="1:26" ht="18.75" customHeight="1">
      <c r="A109" s="47"/>
      <c r="B109" s="81"/>
      <c r="C109" s="74"/>
      <c r="D109" s="74"/>
      <c r="E109" s="74"/>
      <c r="F109" s="74"/>
      <c r="G109" s="74"/>
      <c r="H109" s="74"/>
      <c r="I109" s="82"/>
      <c r="J109" s="2"/>
      <c r="K109" s="2"/>
      <c r="L109" s="2"/>
      <c r="M109" s="2"/>
      <c r="N109" s="2"/>
      <c r="O109" s="2"/>
      <c r="P109" s="2"/>
      <c r="Q109" s="2"/>
      <c r="R109" s="2"/>
      <c r="S109" s="2"/>
      <c r="T109" s="2"/>
      <c r="U109" s="2"/>
      <c r="V109" s="2"/>
      <c r="W109" s="2"/>
      <c r="X109" s="2"/>
      <c r="Y109" s="2"/>
      <c r="Z109" s="2"/>
    </row>
    <row r="110" spans="1:26" ht="18.75" customHeight="1">
      <c r="A110" s="47"/>
      <c r="B110" s="81"/>
      <c r="C110" s="74"/>
      <c r="D110" s="74"/>
      <c r="E110" s="74"/>
      <c r="F110" s="74"/>
      <c r="G110" s="74"/>
      <c r="H110" s="74"/>
      <c r="I110" s="82"/>
      <c r="J110" s="2"/>
      <c r="K110" s="2"/>
      <c r="L110" s="2"/>
      <c r="M110" s="2"/>
      <c r="N110" s="2"/>
      <c r="O110" s="2"/>
      <c r="P110" s="2"/>
      <c r="Q110" s="2"/>
      <c r="R110" s="2"/>
      <c r="S110" s="2"/>
      <c r="T110" s="2"/>
      <c r="U110" s="2"/>
      <c r="V110" s="2"/>
      <c r="W110" s="2"/>
      <c r="X110" s="2"/>
      <c r="Y110" s="2"/>
      <c r="Z110" s="2"/>
    </row>
    <row r="111" spans="1:26" ht="18.75" customHeight="1">
      <c r="A111" s="47"/>
      <c r="B111" s="81"/>
      <c r="C111" s="74"/>
      <c r="D111" s="74"/>
      <c r="E111" s="74"/>
      <c r="F111" s="74"/>
      <c r="G111" s="74"/>
      <c r="H111" s="74"/>
      <c r="I111" s="82"/>
      <c r="J111" s="2"/>
      <c r="K111" s="2"/>
      <c r="L111" s="2"/>
      <c r="M111" s="2"/>
      <c r="N111" s="2"/>
      <c r="O111" s="2"/>
      <c r="P111" s="2"/>
      <c r="Q111" s="2"/>
      <c r="R111" s="2"/>
      <c r="S111" s="2"/>
      <c r="T111" s="2"/>
      <c r="U111" s="2"/>
      <c r="V111" s="2"/>
      <c r="W111" s="2"/>
      <c r="X111" s="2"/>
      <c r="Y111" s="2"/>
      <c r="Z111" s="2"/>
    </row>
    <row r="112" spans="1:26" ht="18.75" customHeight="1">
      <c r="A112" s="47"/>
      <c r="B112" s="81"/>
      <c r="C112" s="74"/>
      <c r="D112" s="74"/>
      <c r="E112" s="74"/>
      <c r="F112" s="74"/>
      <c r="G112" s="74"/>
      <c r="H112" s="74"/>
      <c r="I112" s="82"/>
      <c r="J112" s="2"/>
      <c r="K112" s="2"/>
      <c r="L112" s="2"/>
      <c r="M112" s="2"/>
      <c r="N112" s="2"/>
      <c r="O112" s="2"/>
      <c r="P112" s="2"/>
      <c r="Q112" s="2"/>
      <c r="R112" s="2"/>
      <c r="S112" s="2"/>
      <c r="T112" s="2"/>
      <c r="U112" s="2"/>
      <c r="V112" s="2"/>
      <c r="W112" s="2"/>
      <c r="X112" s="2"/>
      <c r="Y112" s="2"/>
      <c r="Z112" s="2"/>
    </row>
    <row r="113" spans="1:26" ht="18.75" customHeight="1">
      <c r="A113" s="47"/>
      <c r="B113" s="81"/>
      <c r="C113" s="74"/>
      <c r="D113" s="74"/>
      <c r="E113" s="74"/>
      <c r="F113" s="74"/>
      <c r="G113" s="74"/>
      <c r="H113" s="74"/>
      <c r="I113" s="82"/>
      <c r="J113" s="2"/>
      <c r="K113" s="2"/>
      <c r="L113" s="2"/>
      <c r="M113" s="2"/>
      <c r="N113" s="2"/>
      <c r="O113" s="2"/>
      <c r="P113" s="2"/>
      <c r="Q113" s="2"/>
      <c r="R113" s="2"/>
      <c r="S113" s="2"/>
      <c r="T113" s="2"/>
      <c r="U113" s="2"/>
      <c r="V113" s="2"/>
      <c r="W113" s="2"/>
      <c r="X113" s="2"/>
      <c r="Y113" s="2"/>
      <c r="Z113" s="2"/>
    </row>
    <row r="114" spans="1:26" ht="18.75" customHeight="1">
      <c r="A114" s="47"/>
      <c r="B114" s="81"/>
      <c r="C114" s="74"/>
      <c r="D114" s="74"/>
      <c r="E114" s="74"/>
      <c r="F114" s="74"/>
      <c r="G114" s="74"/>
      <c r="H114" s="74"/>
      <c r="I114" s="82"/>
      <c r="J114" s="2"/>
      <c r="K114" s="2"/>
      <c r="L114" s="2"/>
      <c r="M114" s="2"/>
      <c r="N114" s="2"/>
      <c r="O114" s="2"/>
      <c r="P114" s="2"/>
      <c r="Q114" s="2"/>
      <c r="R114" s="2"/>
      <c r="S114" s="2"/>
      <c r="T114" s="2"/>
      <c r="U114" s="2"/>
      <c r="V114" s="2"/>
      <c r="W114" s="2"/>
      <c r="X114" s="2"/>
      <c r="Y114" s="2"/>
      <c r="Z114" s="2"/>
    </row>
    <row r="115" spans="1:26" ht="18.75" customHeight="1">
      <c r="A115" s="47"/>
      <c r="B115" s="81"/>
      <c r="C115" s="74"/>
      <c r="D115" s="74"/>
      <c r="E115" s="74"/>
      <c r="F115" s="74"/>
      <c r="G115" s="74"/>
      <c r="H115" s="74"/>
      <c r="I115" s="82"/>
      <c r="J115" s="2"/>
      <c r="K115" s="2"/>
      <c r="L115" s="2"/>
      <c r="M115" s="2"/>
      <c r="N115" s="2"/>
      <c r="O115" s="2"/>
      <c r="P115" s="2"/>
      <c r="Q115" s="2"/>
      <c r="R115" s="2"/>
      <c r="S115" s="2"/>
      <c r="T115" s="2"/>
      <c r="U115" s="2"/>
      <c r="V115" s="2"/>
      <c r="W115" s="2"/>
      <c r="X115" s="2"/>
      <c r="Y115" s="2"/>
      <c r="Z115" s="2"/>
    </row>
    <row r="116" spans="1:26" ht="18.75" customHeight="1">
      <c r="A116" s="47"/>
      <c r="B116" s="81"/>
      <c r="C116" s="74"/>
      <c r="D116" s="74"/>
      <c r="E116" s="74"/>
      <c r="F116" s="74"/>
      <c r="G116" s="74"/>
      <c r="H116" s="74"/>
      <c r="I116" s="82"/>
      <c r="J116" s="2"/>
      <c r="K116" s="2"/>
      <c r="L116" s="2"/>
      <c r="M116" s="2"/>
      <c r="N116" s="2"/>
      <c r="O116" s="2"/>
      <c r="P116" s="2"/>
      <c r="Q116" s="2"/>
      <c r="R116" s="2"/>
      <c r="S116" s="2"/>
      <c r="T116" s="2"/>
      <c r="U116" s="2"/>
      <c r="V116" s="2"/>
      <c r="W116" s="2"/>
      <c r="X116" s="2"/>
      <c r="Y116" s="2"/>
      <c r="Z116" s="2"/>
    </row>
    <row r="117" spans="1:26" ht="18.75" customHeight="1">
      <c r="A117" s="47"/>
      <c r="B117" s="81"/>
      <c r="C117" s="74"/>
      <c r="D117" s="74"/>
      <c r="E117" s="74"/>
      <c r="F117" s="74"/>
      <c r="G117" s="74"/>
      <c r="H117" s="74"/>
      <c r="I117" s="82"/>
      <c r="J117" s="2"/>
      <c r="K117" s="2"/>
      <c r="L117" s="2"/>
      <c r="M117" s="2"/>
      <c r="N117" s="2"/>
      <c r="O117" s="2"/>
      <c r="P117" s="2"/>
      <c r="Q117" s="2"/>
      <c r="R117" s="2"/>
      <c r="S117" s="2"/>
      <c r="T117" s="2"/>
      <c r="U117" s="2"/>
      <c r="V117" s="2"/>
      <c r="W117" s="2"/>
      <c r="X117" s="2"/>
      <c r="Y117" s="2"/>
      <c r="Z117" s="2"/>
    </row>
    <row r="118" spans="1:26" ht="18.75" customHeight="1">
      <c r="A118" s="47"/>
      <c r="B118" s="81"/>
      <c r="C118" s="74"/>
      <c r="D118" s="74"/>
      <c r="E118" s="74"/>
      <c r="F118" s="74"/>
      <c r="G118" s="74"/>
      <c r="H118" s="74"/>
      <c r="I118" s="82"/>
      <c r="J118" s="2"/>
      <c r="K118" s="2"/>
      <c r="L118" s="2"/>
      <c r="M118" s="2"/>
      <c r="N118" s="2"/>
      <c r="O118" s="2"/>
      <c r="P118" s="2"/>
      <c r="Q118" s="2"/>
      <c r="R118" s="2"/>
      <c r="S118" s="2"/>
      <c r="T118" s="2"/>
      <c r="U118" s="2"/>
      <c r="V118" s="2"/>
      <c r="W118" s="2"/>
      <c r="X118" s="2"/>
      <c r="Y118" s="2"/>
      <c r="Z118" s="2"/>
    </row>
    <row r="119" spans="1:26" ht="18.75" customHeight="1">
      <c r="A119" s="47"/>
      <c r="B119" s="78"/>
      <c r="C119" s="79"/>
      <c r="D119" s="79"/>
      <c r="E119" s="79"/>
      <c r="F119" s="79"/>
      <c r="G119" s="79"/>
      <c r="H119" s="79"/>
      <c r="I119" s="80"/>
      <c r="J119" s="2"/>
      <c r="K119" s="2"/>
      <c r="L119" s="2"/>
      <c r="M119" s="2"/>
      <c r="N119" s="2"/>
      <c r="O119" s="2"/>
      <c r="P119" s="2"/>
      <c r="Q119" s="2"/>
      <c r="R119" s="2"/>
      <c r="S119" s="2"/>
      <c r="T119" s="2"/>
      <c r="U119" s="2"/>
      <c r="V119" s="2"/>
      <c r="W119" s="2"/>
      <c r="X119" s="2"/>
      <c r="Y119" s="2"/>
      <c r="Z119" s="2"/>
    </row>
    <row r="120" spans="1:26" ht="7.5" customHeight="1">
      <c r="A120" s="47"/>
      <c r="B120" s="52"/>
      <c r="C120" s="52"/>
      <c r="D120" s="52"/>
      <c r="E120" s="52"/>
      <c r="F120" s="52"/>
      <c r="G120" s="52"/>
      <c r="H120" s="52"/>
      <c r="I120" s="52"/>
      <c r="J120" s="2"/>
      <c r="K120" s="2"/>
      <c r="L120" s="2"/>
      <c r="M120" s="2"/>
      <c r="N120" s="2"/>
      <c r="O120" s="2"/>
      <c r="P120" s="2"/>
      <c r="Q120" s="2"/>
      <c r="R120" s="2"/>
      <c r="S120" s="2"/>
      <c r="T120" s="2"/>
      <c r="U120" s="2"/>
      <c r="V120" s="2"/>
      <c r="W120" s="2"/>
      <c r="X120" s="2"/>
      <c r="Y120" s="2"/>
      <c r="Z120" s="2"/>
    </row>
    <row r="121" spans="1:26" ht="18.75" customHeight="1">
      <c r="A121" s="47"/>
      <c r="B121" s="47"/>
      <c r="C121" s="47"/>
      <c r="D121" s="47"/>
      <c r="E121" s="47"/>
      <c r="F121" s="47"/>
      <c r="G121" s="47"/>
      <c r="H121" s="47"/>
      <c r="I121" s="47"/>
      <c r="J121" s="2"/>
      <c r="K121" s="2"/>
      <c r="L121" s="2"/>
      <c r="M121" s="2"/>
      <c r="N121" s="2"/>
      <c r="O121" s="2"/>
      <c r="P121" s="2"/>
      <c r="Q121" s="2"/>
      <c r="R121" s="2"/>
      <c r="S121" s="2"/>
      <c r="T121" s="2"/>
      <c r="U121" s="2"/>
      <c r="V121" s="2"/>
      <c r="W121" s="2"/>
      <c r="X121" s="2"/>
      <c r="Y121" s="2"/>
      <c r="Z121" s="2"/>
    </row>
    <row r="122" spans="1:26" ht="18.75" customHeight="1">
      <c r="A122" s="47"/>
      <c r="B122" s="47"/>
      <c r="C122" s="47"/>
      <c r="D122" s="47"/>
      <c r="E122" s="47"/>
      <c r="F122" s="47"/>
      <c r="G122" s="47"/>
      <c r="H122" s="47"/>
      <c r="I122" s="47"/>
      <c r="J122" s="2"/>
      <c r="K122" s="2"/>
      <c r="L122" s="2"/>
      <c r="M122" s="2"/>
      <c r="N122" s="2"/>
      <c r="O122" s="2"/>
      <c r="P122" s="2"/>
      <c r="Q122" s="2"/>
      <c r="R122" s="2"/>
      <c r="S122" s="2"/>
      <c r="T122" s="2"/>
      <c r="U122" s="2"/>
      <c r="V122" s="2"/>
      <c r="W122" s="2"/>
      <c r="X122" s="2"/>
      <c r="Y122" s="2"/>
      <c r="Z122" s="2"/>
    </row>
    <row r="123" spans="1:26" ht="18.75" customHeight="1">
      <c r="A123" s="47"/>
      <c r="B123" s="47"/>
      <c r="C123" s="47"/>
      <c r="D123" s="47"/>
      <c r="E123" s="47"/>
      <c r="F123" s="47"/>
      <c r="G123" s="47"/>
      <c r="H123" s="47"/>
      <c r="I123" s="47"/>
      <c r="J123" s="2"/>
      <c r="K123" s="2"/>
      <c r="L123" s="2"/>
      <c r="M123" s="2"/>
      <c r="N123" s="2"/>
      <c r="O123" s="2"/>
      <c r="P123" s="2"/>
      <c r="Q123" s="2"/>
      <c r="R123" s="2"/>
      <c r="S123" s="2"/>
      <c r="T123" s="2"/>
      <c r="U123" s="2"/>
      <c r="V123" s="2"/>
      <c r="W123" s="2"/>
      <c r="X123" s="2"/>
      <c r="Y123" s="2"/>
      <c r="Z123" s="2"/>
    </row>
    <row r="124" spans="1:26" ht="18.75" customHeight="1">
      <c r="A124" s="47"/>
      <c r="B124" s="47"/>
      <c r="C124" s="47"/>
      <c r="D124" s="47"/>
      <c r="E124" s="47"/>
      <c r="F124" s="47"/>
      <c r="G124" s="47"/>
      <c r="H124" s="47"/>
      <c r="I124" s="47"/>
      <c r="J124" s="2"/>
      <c r="K124" s="2"/>
      <c r="L124" s="2"/>
      <c r="M124" s="2"/>
      <c r="N124" s="2"/>
      <c r="O124" s="2"/>
      <c r="P124" s="2"/>
      <c r="Q124" s="2"/>
      <c r="R124" s="2"/>
      <c r="S124" s="2"/>
      <c r="T124" s="2"/>
      <c r="U124" s="2"/>
      <c r="V124" s="2"/>
      <c r="W124" s="2"/>
      <c r="X124" s="2"/>
      <c r="Y124" s="2"/>
      <c r="Z124" s="2"/>
    </row>
    <row r="125" spans="1:26" ht="18.75" customHeight="1">
      <c r="A125" s="47"/>
      <c r="B125" s="47"/>
      <c r="C125" s="47"/>
      <c r="D125" s="47"/>
      <c r="E125" s="47"/>
      <c r="F125" s="47"/>
      <c r="G125" s="47"/>
      <c r="H125" s="47"/>
      <c r="I125" s="47"/>
      <c r="J125" s="2"/>
      <c r="K125" s="2"/>
      <c r="L125" s="2"/>
      <c r="M125" s="2"/>
      <c r="N125" s="2"/>
      <c r="O125" s="2"/>
      <c r="P125" s="2"/>
      <c r="Q125" s="2"/>
      <c r="R125" s="2"/>
      <c r="S125" s="2"/>
      <c r="T125" s="2"/>
      <c r="U125" s="2"/>
      <c r="V125" s="2"/>
      <c r="W125" s="2"/>
      <c r="X125" s="2"/>
      <c r="Y125" s="2"/>
      <c r="Z125" s="2"/>
    </row>
    <row r="126" spans="1:26" ht="18.75" customHeight="1">
      <c r="A126" s="47"/>
      <c r="B126" s="47"/>
      <c r="C126" s="47"/>
      <c r="D126" s="47"/>
      <c r="E126" s="47"/>
      <c r="F126" s="47"/>
      <c r="G126" s="47"/>
      <c r="H126" s="47"/>
      <c r="I126" s="47"/>
      <c r="J126" s="2"/>
      <c r="K126" s="2"/>
      <c r="L126" s="2"/>
      <c r="M126" s="2"/>
      <c r="N126" s="2"/>
      <c r="O126" s="2"/>
      <c r="P126" s="2"/>
      <c r="Q126" s="2"/>
      <c r="R126" s="2"/>
      <c r="S126" s="2"/>
      <c r="T126" s="2"/>
      <c r="U126" s="2"/>
      <c r="V126" s="2"/>
      <c r="W126" s="2"/>
      <c r="X126" s="2"/>
      <c r="Y126" s="2"/>
      <c r="Z126" s="2"/>
    </row>
    <row r="127" spans="1:26" ht="18.75" customHeight="1">
      <c r="A127" s="47"/>
      <c r="B127" s="47"/>
      <c r="C127" s="47"/>
      <c r="D127" s="47"/>
      <c r="E127" s="47"/>
      <c r="F127" s="47"/>
      <c r="G127" s="47"/>
      <c r="H127" s="47"/>
      <c r="I127" s="47"/>
      <c r="J127" s="2"/>
      <c r="K127" s="2"/>
      <c r="L127" s="2"/>
      <c r="M127" s="2"/>
      <c r="N127" s="2"/>
      <c r="O127" s="2"/>
      <c r="P127" s="2"/>
      <c r="Q127" s="2"/>
      <c r="R127" s="2"/>
      <c r="S127" s="2"/>
      <c r="T127" s="2"/>
      <c r="U127" s="2"/>
      <c r="V127" s="2"/>
      <c r="W127" s="2"/>
      <c r="X127" s="2"/>
      <c r="Y127" s="2"/>
      <c r="Z127" s="2"/>
    </row>
    <row r="128" spans="1:26" ht="18.75" customHeight="1">
      <c r="A128" s="47"/>
      <c r="B128" s="47"/>
      <c r="C128" s="47"/>
      <c r="D128" s="47"/>
      <c r="E128" s="47"/>
      <c r="F128" s="47"/>
      <c r="G128" s="47"/>
      <c r="H128" s="47"/>
      <c r="I128" s="47"/>
      <c r="J128" s="2"/>
      <c r="K128" s="2"/>
      <c r="L128" s="2"/>
      <c r="M128" s="2"/>
      <c r="N128" s="2"/>
      <c r="O128" s="2"/>
      <c r="P128" s="2"/>
      <c r="Q128" s="2"/>
      <c r="R128" s="2"/>
      <c r="S128" s="2"/>
      <c r="T128" s="2"/>
      <c r="U128" s="2"/>
      <c r="V128" s="2"/>
      <c r="W128" s="2"/>
      <c r="X128" s="2"/>
      <c r="Y128" s="2"/>
      <c r="Z128" s="2"/>
    </row>
    <row r="129" spans="1:26" ht="18.75" customHeight="1">
      <c r="A129" s="47"/>
      <c r="B129" s="47"/>
      <c r="C129" s="47"/>
      <c r="D129" s="47"/>
      <c r="E129" s="47"/>
      <c r="F129" s="47"/>
      <c r="G129" s="47"/>
      <c r="H129" s="47"/>
      <c r="I129" s="47"/>
      <c r="J129" s="2"/>
      <c r="K129" s="2"/>
      <c r="L129" s="2"/>
      <c r="M129" s="2"/>
      <c r="N129" s="2"/>
      <c r="O129" s="2"/>
      <c r="P129" s="2"/>
      <c r="Q129" s="2"/>
      <c r="R129" s="2"/>
      <c r="S129" s="2"/>
      <c r="T129" s="2"/>
      <c r="U129" s="2"/>
      <c r="V129" s="2"/>
      <c r="W129" s="2"/>
      <c r="X129" s="2"/>
      <c r="Y129" s="2"/>
      <c r="Z129" s="2"/>
    </row>
    <row r="130" spans="1:26" ht="18.75" customHeight="1">
      <c r="A130" s="47"/>
      <c r="B130" s="47"/>
      <c r="C130" s="47"/>
      <c r="D130" s="47"/>
      <c r="E130" s="47"/>
      <c r="F130" s="47"/>
      <c r="G130" s="47"/>
      <c r="H130" s="47"/>
      <c r="I130" s="47"/>
      <c r="J130" s="2"/>
      <c r="K130" s="2"/>
      <c r="L130" s="2"/>
      <c r="M130" s="2"/>
      <c r="N130" s="2"/>
      <c r="O130" s="2"/>
      <c r="P130" s="2"/>
      <c r="Q130" s="2"/>
      <c r="R130" s="2"/>
      <c r="S130" s="2"/>
      <c r="T130" s="2"/>
      <c r="U130" s="2"/>
      <c r="V130" s="2"/>
      <c r="W130" s="2"/>
      <c r="X130" s="2"/>
      <c r="Y130" s="2"/>
      <c r="Z130" s="2"/>
    </row>
    <row r="131" spans="1:26" ht="18.75" customHeight="1">
      <c r="A131" s="47"/>
      <c r="B131" s="47"/>
      <c r="C131" s="47"/>
      <c r="D131" s="47"/>
      <c r="E131" s="47"/>
      <c r="F131" s="47"/>
      <c r="G131" s="47"/>
      <c r="H131" s="47"/>
      <c r="I131" s="47"/>
      <c r="J131" s="2"/>
      <c r="K131" s="2"/>
      <c r="L131" s="2"/>
      <c r="M131" s="2"/>
      <c r="N131" s="2"/>
      <c r="O131" s="2"/>
      <c r="P131" s="2"/>
      <c r="Q131" s="2"/>
      <c r="R131" s="2"/>
      <c r="S131" s="2"/>
      <c r="T131" s="2"/>
      <c r="U131" s="2"/>
      <c r="V131" s="2"/>
      <c r="W131" s="2"/>
      <c r="X131" s="2"/>
      <c r="Y131" s="2"/>
      <c r="Z131" s="2"/>
    </row>
    <row r="132" spans="1:26" ht="18.75" customHeight="1">
      <c r="A132" s="47"/>
      <c r="B132" s="47"/>
      <c r="C132" s="47"/>
      <c r="D132" s="47"/>
      <c r="E132" s="47"/>
      <c r="F132" s="47"/>
      <c r="G132" s="47"/>
      <c r="H132" s="47"/>
      <c r="I132" s="47"/>
      <c r="J132" s="2"/>
      <c r="K132" s="2"/>
      <c r="L132" s="2"/>
      <c r="M132" s="2"/>
      <c r="N132" s="2"/>
      <c r="O132" s="2"/>
      <c r="P132" s="2"/>
      <c r="Q132" s="2"/>
      <c r="R132" s="2"/>
      <c r="S132" s="2"/>
      <c r="T132" s="2"/>
      <c r="U132" s="2"/>
      <c r="V132" s="2"/>
      <c r="W132" s="2"/>
      <c r="X132" s="2"/>
      <c r="Y132" s="2"/>
      <c r="Z132" s="2"/>
    </row>
    <row r="133" spans="1:26" ht="18.75" customHeight="1">
      <c r="A133" s="47"/>
      <c r="B133" s="47"/>
      <c r="C133" s="47"/>
      <c r="D133" s="47"/>
      <c r="E133" s="47"/>
      <c r="F133" s="47"/>
      <c r="G133" s="47"/>
      <c r="H133" s="47"/>
      <c r="I133" s="47"/>
      <c r="J133" s="2"/>
      <c r="K133" s="2"/>
      <c r="L133" s="2"/>
      <c r="M133" s="2"/>
      <c r="N133" s="2"/>
      <c r="O133" s="2"/>
      <c r="P133" s="2"/>
      <c r="Q133" s="2"/>
      <c r="R133" s="2"/>
      <c r="S133" s="2"/>
      <c r="T133" s="2"/>
      <c r="U133" s="2"/>
      <c r="V133" s="2"/>
      <c r="W133" s="2"/>
      <c r="X133" s="2"/>
      <c r="Y133" s="2"/>
      <c r="Z133" s="2"/>
    </row>
    <row r="134" spans="1:26" ht="7.5" customHeight="1">
      <c r="A134" s="53"/>
      <c r="B134" s="53"/>
      <c r="C134" s="53"/>
      <c r="D134" s="53"/>
      <c r="E134" s="53"/>
      <c r="F134" s="53"/>
      <c r="G134" s="53"/>
      <c r="H134" s="53"/>
      <c r="I134" s="53"/>
      <c r="J134" s="2"/>
      <c r="K134" s="2"/>
      <c r="L134" s="2"/>
      <c r="M134" s="2"/>
      <c r="N134" s="2"/>
      <c r="O134" s="2"/>
      <c r="P134" s="2"/>
      <c r="Q134" s="2"/>
      <c r="R134" s="2"/>
      <c r="S134" s="2"/>
      <c r="T134" s="2"/>
      <c r="U134" s="2"/>
      <c r="V134" s="2"/>
      <c r="W134" s="2"/>
      <c r="X134" s="2"/>
      <c r="Y134" s="2"/>
      <c r="Z134" s="2"/>
    </row>
    <row r="135" spans="1:26" ht="18.75" customHeight="1">
      <c r="A135" s="45"/>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75" customHeight="1">
      <c r="A136" s="45"/>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75" customHeight="1">
      <c r="A137" s="45"/>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75" customHeight="1">
      <c r="A138" s="45"/>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75" customHeight="1">
      <c r="A139" s="45"/>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75" customHeight="1">
      <c r="A140" s="45"/>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75" customHeight="1">
      <c r="A141" s="45"/>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75" customHeight="1">
      <c r="A142" s="45"/>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75" customHeight="1">
      <c r="A143" s="45"/>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75" customHeight="1">
      <c r="A144" s="45"/>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75" customHeight="1">
      <c r="A145" s="45"/>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75" customHeight="1">
      <c r="A146" s="45"/>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75" customHeight="1">
      <c r="A147" s="45"/>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75" customHeight="1">
      <c r="A148" s="45"/>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75" customHeight="1">
      <c r="A149" s="45"/>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75" customHeight="1">
      <c r="A150" s="45"/>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75" customHeight="1">
      <c r="A151" s="45"/>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75" customHeight="1">
      <c r="A152" s="45"/>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75" customHeight="1">
      <c r="A153" s="45"/>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75" customHeight="1">
      <c r="A154" s="45"/>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75" customHeight="1">
      <c r="A155" s="45"/>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75" customHeight="1">
      <c r="A156" s="45"/>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75" customHeight="1">
      <c r="A157" s="45"/>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75" customHeight="1">
      <c r="A158" s="45"/>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75" customHeight="1">
      <c r="A159" s="45"/>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75" customHeight="1">
      <c r="A160" s="45"/>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75" customHeight="1">
      <c r="A161" s="45"/>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75" customHeight="1">
      <c r="A162" s="45"/>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75" customHeight="1">
      <c r="A163" s="45"/>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75" customHeight="1">
      <c r="A164" s="45"/>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75" customHeight="1">
      <c r="A165" s="45"/>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75" customHeight="1">
      <c r="A166" s="45"/>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75" customHeight="1">
      <c r="A167" s="45"/>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75" customHeight="1">
      <c r="A168" s="45"/>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75" customHeight="1">
      <c r="A169" s="45"/>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75" customHeight="1">
      <c r="A170" s="45"/>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75" customHeight="1">
      <c r="A171" s="45"/>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75" customHeight="1">
      <c r="A172" s="45"/>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75" customHeight="1">
      <c r="A173" s="45"/>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75" customHeight="1">
      <c r="A174" s="45"/>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75" customHeight="1">
      <c r="A175" s="45"/>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75" customHeight="1">
      <c r="A176" s="45"/>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75" customHeight="1">
      <c r="A177" s="45"/>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75" customHeight="1">
      <c r="A178" s="45"/>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75" customHeight="1">
      <c r="A179" s="45"/>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75" customHeight="1">
      <c r="A180" s="45"/>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75" customHeight="1">
      <c r="A181" s="45"/>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75" customHeight="1">
      <c r="A182" s="45"/>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75" customHeight="1">
      <c r="A183" s="45"/>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75" customHeight="1">
      <c r="A184" s="45"/>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75" customHeight="1">
      <c r="A185" s="45"/>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75" customHeight="1">
      <c r="A186" s="45"/>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75" customHeight="1">
      <c r="A187" s="45"/>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75" customHeight="1">
      <c r="A188" s="45"/>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75" customHeight="1">
      <c r="A189" s="45"/>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75" customHeight="1">
      <c r="A190" s="45"/>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75" customHeight="1">
      <c r="A191" s="45"/>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75" customHeight="1">
      <c r="A192" s="45"/>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75" customHeight="1">
      <c r="A193" s="45"/>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75" customHeight="1">
      <c r="A194" s="45"/>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75" customHeight="1">
      <c r="A195" s="45"/>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75" customHeight="1">
      <c r="A196" s="45"/>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75" customHeight="1">
      <c r="A197" s="45"/>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75" customHeight="1">
      <c r="A198" s="45"/>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75" customHeight="1">
      <c r="A199" s="45"/>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75" customHeight="1">
      <c r="A200" s="45"/>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75" customHeight="1">
      <c r="A201" s="45"/>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75" customHeight="1">
      <c r="A202" s="45"/>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75" customHeight="1">
      <c r="A203" s="45"/>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75" customHeight="1">
      <c r="A204" s="45"/>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75" customHeight="1">
      <c r="A205" s="45"/>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75" customHeight="1">
      <c r="A206" s="45"/>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75" customHeight="1">
      <c r="A207" s="45"/>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75" customHeight="1">
      <c r="A208" s="45"/>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75" customHeight="1">
      <c r="A209" s="45"/>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75" customHeight="1">
      <c r="A210" s="45"/>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75" customHeight="1">
      <c r="A211" s="45"/>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75" customHeight="1">
      <c r="A212" s="45"/>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75" customHeight="1">
      <c r="A213" s="45"/>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75" customHeight="1">
      <c r="A214" s="45"/>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75" customHeight="1">
      <c r="A215" s="45"/>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75" customHeight="1">
      <c r="A216" s="45"/>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75" customHeight="1">
      <c r="A217" s="45"/>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75" customHeight="1">
      <c r="A218" s="45"/>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75" customHeight="1">
      <c r="A219" s="45"/>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75" customHeight="1">
      <c r="A220" s="45"/>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8.75" customHeight="1">
      <c r="A221" s="45"/>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8.75" customHeight="1">
      <c r="A222" s="45"/>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8.75" customHeight="1">
      <c r="A223" s="45"/>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8.75" customHeight="1">
      <c r="A224" s="45"/>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8.75" customHeight="1">
      <c r="A225" s="45"/>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8.75" customHeight="1">
      <c r="A226" s="45"/>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8.75" customHeight="1">
      <c r="A227" s="45"/>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8.75" customHeight="1">
      <c r="A228" s="45"/>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8.75" customHeight="1">
      <c r="A229" s="45"/>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8.75" customHeight="1">
      <c r="A230" s="45"/>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8.75" customHeight="1">
      <c r="A231" s="45"/>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8.75" customHeight="1">
      <c r="A232" s="45"/>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8.75" customHeight="1">
      <c r="A233" s="45"/>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8.75" customHeight="1">
      <c r="A234" s="45"/>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8.75" customHeight="1">
      <c r="A235" s="45"/>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8.75" customHeight="1">
      <c r="A236" s="45"/>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8.75" customHeight="1">
      <c r="A237" s="45"/>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8.75" customHeight="1">
      <c r="A238" s="45"/>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8.75" customHeight="1">
      <c r="A239" s="45"/>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8.75" customHeight="1">
      <c r="A240" s="45"/>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8.75" customHeight="1">
      <c r="A241" s="45"/>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8.75" customHeight="1">
      <c r="A242" s="45"/>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8.75" customHeight="1">
      <c r="A243" s="45"/>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8.75" customHeight="1">
      <c r="A244" s="45"/>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8.75" customHeight="1">
      <c r="A245" s="45"/>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8.75" customHeight="1">
      <c r="A246" s="45"/>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8.75" customHeight="1">
      <c r="A247" s="45"/>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8.75" customHeight="1">
      <c r="A248" s="45"/>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8.75" customHeight="1">
      <c r="A249" s="45"/>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8.75" customHeight="1">
      <c r="A250" s="45"/>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8.75" customHeight="1">
      <c r="A251" s="45"/>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8.75" customHeight="1">
      <c r="A252" s="45"/>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8.75" customHeight="1">
      <c r="A253" s="45"/>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8.75" customHeight="1">
      <c r="A254" s="45"/>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8.75" customHeight="1">
      <c r="A255" s="45"/>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8.75" customHeight="1">
      <c r="A256" s="45"/>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8.75" customHeight="1">
      <c r="A257" s="45"/>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8.75" customHeight="1">
      <c r="A258" s="45"/>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8.75" customHeight="1">
      <c r="A259" s="45"/>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8.75" customHeight="1">
      <c r="A260" s="45"/>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8.75" customHeight="1">
      <c r="A261" s="45"/>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8.75" customHeight="1">
      <c r="A262" s="45"/>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8.75" customHeight="1">
      <c r="A263" s="45"/>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8.75" customHeight="1">
      <c r="A264" s="45"/>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8.75" customHeight="1">
      <c r="A265" s="45"/>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8.75" customHeight="1">
      <c r="A266" s="45"/>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8.75" customHeight="1">
      <c r="A267" s="45"/>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8.75" customHeight="1">
      <c r="A268" s="45"/>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8.75" customHeight="1">
      <c r="A269" s="45"/>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8.75" customHeight="1">
      <c r="A270" s="45"/>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8.75" customHeight="1">
      <c r="A271" s="45"/>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8.75" customHeight="1">
      <c r="A272" s="45"/>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8.75" customHeight="1">
      <c r="A273" s="45"/>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8.75" customHeight="1">
      <c r="A274" s="45"/>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8.75" customHeight="1">
      <c r="A275" s="45"/>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8.75" customHeight="1">
      <c r="A276" s="45"/>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8.75" customHeight="1">
      <c r="A277" s="45"/>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8.75" customHeight="1">
      <c r="A278" s="45"/>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8.75" customHeight="1">
      <c r="A279" s="45"/>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8.75" customHeight="1">
      <c r="A280" s="45"/>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8.75" customHeight="1">
      <c r="A281" s="45"/>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8.75" customHeight="1">
      <c r="A282" s="45"/>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8.75" customHeight="1">
      <c r="A283" s="45"/>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8.75" customHeight="1">
      <c r="A284" s="45"/>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8.75" customHeight="1">
      <c r="A285" s="45"/>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8.75" customHeight="1">
      <c r="A286" s="45"/>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8.75" customHeight="1">
      <c r="A287" s="45"/>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8.75" customHeight="1">
      <c r="A288" s="45"/>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8.75" customHeight="1">
      <c r="A289" s="45"/>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8.75" customHeight="1">
      <c r="A290" s="45"/>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8.75" customHeight="1">
      <c r="A291" s="45"/>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8.75" customHeight="1">
      <c r="A292" s="45"/>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8.75" customHeight="1">
      <c r="A293" s="45"/>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8.75" customHeight="1">
      <c r="A294" s="45"/>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8.75" customHeight="1">
      <c r="A295" s="45"/>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8.75" customHeight="1">
      <c r="A296" s="45"/>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8.75" customHeight="1">
      <c r="A297" s="45"/>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8.75" customHeight="1">
      <c r="A298" s="45"/>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8.75" customHeight="1">
      <c r="A299" s="45"/>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8.75" customHeight="1">
      <c r="A300" s="45"/>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8.75" customHeight="1">
      <c r="A301" s="45"/>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8.75" customHeight="1">
      <c r="A302" s="45"/>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8.75" customHeight="1">
      <c r="A303" s="45"/>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8.75" customHeight="1">
      <c r="A304" s="45"/>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8.75" customHeight="1">
      <c r="A305" s="45"/>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8.75" customHeight="1">
      <c r="A306" s="45"/>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8.75" customHeight="1">
      <c r="A307" s="45"/>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8.75" customHeight="1">
      <c r="A308" s="45"/>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8.75" customHeight="1">
      <c r="A309" s="45"/>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8.75" customHeight="1">
      <c r="A310" s="45"/>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8.75" customHeight="1">
      <c r="A311" s="45"/>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8.75" customHeight="1">
      <c r="A312" s="45"/>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8.75" customHeight="1">
      <c r="A313" s="45"/>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8.75" customHeight="1">
      <c r="A314" s="45"/>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8.75" customHeight="1">
      <c r="A315" s="45"/>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8.75" customHeight="1">
      <c r="A316" s="45"/>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8.75" customHeight="1">
      <c r="A317" s="45"/>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8.75" customHeight="1">
      <c r="A318" s="45"/>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8.75" customHeight="1">
      <c r="A319" s="45"/>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8.75" customHeight="1">
      <c r="A320" s="45"/>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8.75" customHeight="1">
      <c r="A321" s="45"/>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8.75" customHeight="1">
      <c r="A322" s="45"/>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8.75" customHeight="1">
      <c r="A323" s="45"/>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8.75" customHeight="1">
      <c r="A324" s="45"/>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8.75" customHeight="1">
      <c r="A325" s="45"/>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8.75" customHeight="1">
      <c r="A326" s="45"/>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8.75" customHeight="1">
      <c r="A327" s="45"/>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8.75" customHeight="1">
      <c r="A328" s="45"/>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8.75" customHeight="1">
      <c r="A329" s="45"/>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8.75" customHeight="1">
      <c r="A330" s="45"/>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8.75" customHeight="1">
      <c r="A331" s="45"/>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8.75" customHeight="1">
      <c r="A332" s="45"/>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8.75" customHeight="1">
      <c r="A333" s="45"/>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8.75" customHeight="1">
      <c r="A334" s="45"/>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8.75" customHeight="1">
      <c r="A335" s="45"/>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8.75" customHeight="1">
      <c r="A336" s="45"/>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8.75" customHeight="1">
      <c r="A337" s="45"/>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8.75" customHeight="1">
      <c r="A338" s="45"/>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8.75" customHeight="1">
      <c r="A339" s="45"/>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8.75" customHeight="1">
      <c r="A340" s="45"/>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8.75" customHeight="1">
      <c r="A341" s="45"/>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8.75" customHeight="1">
      <c r="A342" s="45"/>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8.75" customHeight="1">
      <c r="A343" s="45"/>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8.75" customHeight="1">
      <c r="A344" s="45"/>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8.75" customHeight="1">
      <c r="A345" s="45"/>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8.75" customHeight="1">
      <c r="A346" s="45"/>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8.75" customHeight="1">
      <c r="A347" s="45"/>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8.75" customHeight="1">
      <c r="A348" s="45"/>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8.75" customHeight="1">
      <c r="A349" s="45"/>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8.75" customHeight="1">
      <c r="A350" s="45"/>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8.75" customHeight="1">
      <c r="A351" s="45"/>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8.75" customHeight="1">
      <c r="A352" s="45"/>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8.75" customHeight="1">
      <c r="A353" s="45"/>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8.75" customHeight="1">
      <c r="A354" s="45"/>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8.75" customHeight="1">
      <c r="A355" s="45"/>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8.75" customHeight="1">
      <c r="A356" s="45"/>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8.75" customHeight="1">
      <c r="A357" s="45"/>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8.75" customHeight="1">
      <c r="A358" s="45"/>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8.75" customHeight="1">
      <c r="A359" s="45"/>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8.75" customHeight="1">
      <c r="A360" s="45"/>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8.75" customHeight="1">
      <c r="A361" s="45"/>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8.75" customHeight="1">
      <c r="A362" s="45"/>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8.75" customHeight="1">
      <c r="A363" s="45"/>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8.75" customHeight="1">
      <c r="A364" s="45"/>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8.75" customHeight="1">
      <c r="A365" s="45"/>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8.75" customHeight="1">
      <c r="A366" s="45"/>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8.75" customHeight="1">
      <c r="A367" s="45"/>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8.75" customHeight="1">
      <c r="A368" s="45"/>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8.75" customHeight="1">
      <c r="A369" s="45"/>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8.75" customHeight="1">
      <c r="A370" s="45"/>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8.75" customHeight="1">
      <c r="A371" s="45"/>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8.75" customHeight="1">
      <c r="A372" s="45"/>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8.75" customHeight="1">
      <c r="A373" s="45"/>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8.75" customHeight="1">
      <c r="A374" s="45"/>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8.75" customHeight="1">
      <c r="A375" s="45"/>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8.75" customHeight="1">
      <c r="A376" s="45"/>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8.75" customHeight="1">
      <c r="A377" s="45"/>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8.75" customHeight="1">
      <c r="A378" s="45"/>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8.75" customHeight="1">
      <c r="A379" s="45"/>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8.75" customHeight="1">
      <c r="A380" s="45"/>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8.75" customHeight="1">
      <c r="A381" s="45"/>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8.75" customHeight="1">
      <c r="A382" s="45"/>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8.75" customHeight="1">
      <c r="A383" s="45"/>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8.75" customHeight="1">
      <c r="A384" s="45"/>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8.75" customHeight="1">
      <c r="A385" s="45"/>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8.75" customHeight="1">
      <c r="A386" s="45"/>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8.75" customHeight="1">
      <c r="A387" s="45"/>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8.75" customHeight="1">
      <c r="A388" s="45"/>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8.75" customHeight="1">
      <c r="A389" s="45"/>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8.75" customHeight="1">
      <c r="A390" s="45"/>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8.75" customHeight="1">
      <c r="A391" s="45"/>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8.75" customHeight="1">
      <c r="A392" s="45"/>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8.75" customHeight="1">
      <c r="A393" s="45"/>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8.75" customHeight="1">
      <c r="A394" s="45"/>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8.75" customHeight="1">
      <c r="A395" s="45"/>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8.75" customHeight="1">
      <c r="A396" s="45"/>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8.75" customHeight="1">
      <c r="A397" s="45"/>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8.75" customHeight="1">
      <c r="A398" s="45"/>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8.75" customHeight="1">
      <c r="A399" s="45"/>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8.75" customHeight="1">
      <c r="A400" s="45"/>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8.75" customHeight="1">
      <c r="A401" s="45"/>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8.75" customHeight="1">
      <c r="A402" s="45"/>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8.75" customHeight="1">
      <c r="A403" s="45"/>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8.75" customHeight="1">
      <c r="A404" s="45"/>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8.75" customHeight="1">
      <c r="A405" s="45"/>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8.75" customHeight="1">
      <c r="A406" s="45"/>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8.75" customHeight="1">
      <c r="A407" s="45"/>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8.75" customHeight="1">
      <c r="A408" s="45"/>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8.75" customHeight="1">
      <c r="A409" s="45"/>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8.75" customHeight="1">
      <c r="A410" s="45"/>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8.75" customHeight="1">
      <c r="A411" s="45"/>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8.75" customHeight="1">
      <c r="A412" s="45"/>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8.75" customHeight="1">
      <c r="A413" s="45"/>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8.75" customHeight="1">
      <c r="A414" s="45"/>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8.75" customHeight="1">
      <c r="A415" s="45"/>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8.75" customHeight="1">
      <c r="A416" s="45"/>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8.75" customHeight="1">
      <c r="A417" s="45"/>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8.75" customHeight="1">
      <c r="A418" s="45"/>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8.75" customHeight="1">
      <c r="A419" s="45"/>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8.75" customHeight="1">
      <c r="A420" s="45"/>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8.75" customHeight="1">
      <c r="A421" s="45"/>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8.75" customHeight="1">
      <c r="A422" s="45"/>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8.75" customHeight="1">
      <c r="A423" s="45"/>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8.75" customHeight="1">
      <c r="A424" s="45"/>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8.75" customHeight="1">
      <c r="A425" s="45"/>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8.75" customHeight="1">
      <c r="A426" s="45"/>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8.75" customHeight="1">
      <c r="A427" s="45"/>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8.75" customHeight="1">
      <c r="A428" s="45"/>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8.75" customHeight="1">
      <c r="A429" s="45"/>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8.75" customHeight="1">
      <c r="A430" s="45"/>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8.75" customHeight="1">
      <c r="A431" s="45"/>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8.75" customHeight="1">
      <c r="A432" s="45"/>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8.75" customHeight="1">
      <c r="A433" s="45"/>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8.75" customHeight="1">
      <c r="A434" s="45"/>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8.75" customHeight="1">
      <c r="A435" s="45"/>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8.75" customHeight="1">
      <c r="A436" s="45"/>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8.75" customHeight="1">
      <c r="A437" s="45"/>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8.75" customHeight="1">
      <c r="A438" s="45"/>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8.75" customHeight="1">
      <c r="A439" s="45"/>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8.75" customHeight="1">
      <c r="A440" s="45"/>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8.75" customHeight="1">
      <c r="A441" s="45"/>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8.75" customHeight="1">
      <c r="A442" s="45"/>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8.75" customHeight="1">
      <c r="A443" s="45"/>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8.75" customHeight="1">
      <c r="A444" s="45"/>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8.75" customHeight="1">
      <c r="A445" s="45"/>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8.75" customHeight="1">
      <c r="A446" s="45"/>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8.75" customHeight="1">
      <c r="A447" s="45"/>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8.75" customHeight="1">
      <c r="A448" s="45"/>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8.75" customHeight="1">
      <c r="A449" s="45"/>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8.75" customHeight="1">
      <c r="A450" s="45"/>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8.75" customHeight="1">
      <c r="A451" s="45"/>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8.75" customHeight="1">
      <c r="A452" s="45"/>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8.75" customHeight="1">
      <c r="A453" s="45"/>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8.75" customHeight="1">
      <c r="A454" s="45"/>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8.75" customHeight="1">
      <c r="A455" s="45"/>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8.75" customHeight="1">
      <c r="A456" s="45"/>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8.75" customHeight="1">
      <c r="A457" s="45"/>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8.75" customHeight="1">
      <c r="A458" s="45"/>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8.75" customHeight="1">
      <c r="A459" s="45"/>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8.75" customHeight="1">
      <c r="A460" s="45"/>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8.75" customHeight="1">
      <c r="A461" s="45"/>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8.75" customHeight="1">
      <c r="A462" s="45"/>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8.75" customHeight="1">
      <c r="A463" s="45"/>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8.75" customHeight="1">
      <c r="A464" s="45"/>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8.75" customHeight="1">
      <c r="A465" s="45"/>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8.75" customHeight="1">
      <c r="A466" s="45"/>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8.75" customHeight="1">
      <c r="A467" s="45"/>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8.75" customHeight="1">
      <c r="A468" s="45"/>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8.75" customHeight="1">
      <c r="A469" s="45"/>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8.75" customHeight="1">
      <c r="A470" s="45"/>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8.75" customHeight="1">
      <c r="A471" s="45"/>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8.75" customHeight="1">
      <c r="A472" s="45"/>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8.75" customHeight="1">
      <c r="A473" s="45"/>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8.75" customHeight="1">
      <c r="A474" s="45"/>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8.75" customHeight="1">
      <c r="A475" s="45"/>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8.75" customHeight="1">
      <c r="A476" s="45"/>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8.75" customHeight="1">
      <c r="A477" s="45"/>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8.75" customHeight="1">
      <c r="A478" s="45"/>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8.75" customHeight="1">
      <c r="A479" s="45"/>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8.75" customHeight="1">
      <c r="A480" s="45"/>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8.75" customHeight="1">
      <c r="A481" s="45"/>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8.75" customHeight="1">
      <c r="A482" s="45"/>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8.75" customHeight="1">
      <c r="A483" s="45"/>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8.75" customHeight="1">
      <c r="A484" s="45"/>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8.75" customHeight="1">
      <c r="A485" s="45"/>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8.75" customHeight="1">
      <c r="A486" s="45"/>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8.75" customHeight="1">
      <c r="A487" s="45"/>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8.75" customHeight="1">
      <c r="A488" s="45"/>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8.75" customHeight="1">
      <c r="A489" s="45"/>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8.75" customHeight="1">
      <c r="A490" s="45"/>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8.75" customHeight="1">
      <c r="A491" s="45"/>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8.75" customHeight="1">
      <c r="A492" s="45"/>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8.75" customHeight="1">
      <c r="A493" s="45"/>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8.75" customHeight="1">
      <c r="A494" s="45"/>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8.75" customHeight="1">
      <c r="A495" s="45"/>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8.75" customHeight="1">
      <c r="A496" s="45"/>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8.75" customHeight="1">
      <c r="A497" s="45"/>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8.75" customHeight="1">
      <c r="A498" s="45"/>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8.75" customHeight="1">
      <c r="A499" s="45"/>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8.75" customHeight="1">
      <c r="A500" s="45"/>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8.75" customHeight="1">
      <c r="A501" s="45"/>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8.75" customHeight="1">
      <c r="A502" s="45"/>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8.75" customHeight="1">
      <c r="A503" s="45"/>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8.75" customHeight="1">
      <c r="A504" s="45"/>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8.75" customHeight="1">
      <c r="A505" s="45"/>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8.75" customHeight="1">
      <c r="A506" s="45"/>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8.75" customHeight="1">
      <c r="A507" s="45"/>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8.75" customHeight="1">
      <c r="A508" s="45"/>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8.75" customHeight="1">
      <c r="A509" s="45"/>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8.75" customHeight="1">
      <c r="A510" s="45"/>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8.75" customHeight="1">
      <c r="A511" s="45"/>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8.75" customHeight="1">
      <c r="A512" s="45"/>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8.75" customHeight="1">
      <c r="A513" s="45"/>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8.75" customHeight="1">
      <c r="A514" s="45"/>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8.75" customHeight="1">
      <c r="A515" s="45"/>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8.75" customHeight="1">
      <c r="A516" s="45"/>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8.75" customHeight="1">
      <c r="A517" s="45"/>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8.75" customHeight="1">
      <c r="A518" s="45"/>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8.75" customHeight="1">
      <c r="A519" s="45"/>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8.75" customHeight="1">
      <c r="A520" s="45"/>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8.75" customHeight="1">
      <c r="A521" s="45"/>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8.75" customHeight="1">
      <c r="A522" s="45"/>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8.75" customHeight="1">
      <c r="A523" s="45"/>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8.75" customHeight="1">
      <c r="A524" s="45"/>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8.75" customHeight="1">
      <c r="A525" s="45"/>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8.75" customHeight="1">
      <c r="A526" s="45"/>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8.75" customHeight="1">
      <c r="A527" s="45"/>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8.75" customHeight="1">
      <c r="A528" s="45"/>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8.75" customHeight="1">
      <c r="A529" s="45"/>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8.75" customHeight="1">
      <c r="A530" s="45"/>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8.75" customHeight="1">
      <c r="A531" s="45"/>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8.75" customHeight="1">
      <c r="A532" s="45"/>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8.75" customHeight="1">
      <c r="A533" s="45"/>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8.75" customHeight="1">
      <c r="A534" s="45"/>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8.75" customHeight="1">
      <c r="A535" s="45"/>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8.75" customHeight="1">
      <c r="A536" s="45"/>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8.75" customHeight="1">
      <c r="A537" s="45"/>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8.75" customHeight="1">
      <c r="A538" s="45"/>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8.75" customHeight="1">
      <c r="A539" s="45"/>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8.75" customHeight="1">
      <c r="A540" s="45"/>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8.75" customHeight="1">
      <c r="A541" s="45"/>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8.75" customHeight="1">
      <c r="A542" s="45"/>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8.75" customHeight="1">
      <c r="A543" s="45"/>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8.75" customHeight="1">
      <c r="A544" s="45"/>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8.75" customHeight="1">
      <c r="A545" s="45"/>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8.75" customHeight="1">
      <c r="A546" s="45"/>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8.75" customHeight="1">
      <c r="A547" s="45"/>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8.75" customHeight="1">
      <c r="A548" s="45"/>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8.75" customHeight="1">
      <c r="A549" s="45"/>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8.75" customHeight="1">
      <c r="A550" s="45"/>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8.75" customHeight="1">
      <c r="A551" s="45"/>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8.75" customHeight="1">
      <c r="A552" s="45"/>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8.75" customHeight="1">
      <c r="A553" s="45"/>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8.75" customHeight="1">
      <c r="A554" s="45"/>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8.75" customHeight="1">
      <c r="A555" s="45"/>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8.75" customHeight="1">
      <c r="A556" s="45"/>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8.75" customHeight="1">
      <c r="A557" s="45"/>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8.75" customHeight="1">
      <c r="A558" s="45"/>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8.75" customHeight="1">
      <c r="A559" s="45"/>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8.75" customHeight="1">
      <c r="A560" s="45"/>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8.75" customHeight="1">
      <c r="A561" s="45"/>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8.75" customHeight="1">
      <c r="A562" s="45"/>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8.75" customHeight="1">
      <c r="A563" s="45"/>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8.75" customHeight="1">
      <c r="A564" s="45"/>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8.75" customHeight="1">
      <c r="A565" s="45"/>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8.75" customHeight="1">
      <c r="A566" s="45"/>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8.75" customHeight="1">
      <c r="A567" s="45"/>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8.75" customHeight="1">
      <c r="A568" s="45"/>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8.75" customHeight="1">
      <c r="A569" s="45"/>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8.75" customHeight="1">
      <c r="A570" s="45"/>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8.75" customHeight="1">
      <c r="A571" s="45"/>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8.75" customHeight="1">
      <c r="A572" s="45"/>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8.75" customHeight="1">
      <c r="A573" s="45"/>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8.75" customHeight="1">
      <c r="A574" s="45"/>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8.75" customHeight="1">
      <c r="A575" s="45"/>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8.75" customHeight="1">
      <c r="A576" s="45"/>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8.75" customHeight="1">
      <c r="A577" s="45"/>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8.75" customHeight="1">
      <c r="A578" s="45"/>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8.75" customHeight="1">
      <c r="A579" s="45"/>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8.75" customHeight="1">
      <c r="A580" s="45"/>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8.75" customHeight="1">
      <c r="A581" s="45"/>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8.75" customHeight="1">
      <c r="A582" s="45"/>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8.75" customHeight="1">
      <c r="A583" s="45"/>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8.75" customHeight="1">
      <c r="A584" s="45"/>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8.75" customHeight="1">
      <c r="A585" s="45"/>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8.75" customHeight="1">
      <c r="A586" s="45"/>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8.75" customHeight="1">
      <c r="A587" s="45"/>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8.75" customHeight="1">
      <c r="A588" s="45"/>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8.75" customHeight="1">
      <c r="A589" s="45"/>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8.75" customHeight="1">
      <c r="A590" s="45"/>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8.75" customHeight="1">
      <c r="A591" s="45"/>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8.75" customHeight="1">
      <c r="A592" s="45"/>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8.75" customHeight="1">
      <c r="A593" s="45"/>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8.75" customHeight="1">
      <c r="A594" s="45"/>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8.75" customHeight="1">
      <c r="A595" s="45"/>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8.75" customHeight="1">
      <c r="A596" s="45"/>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8.75" customHeight="1">
      <c r="A597" s="45"/>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8.75" customHeight="1">
      <c r="A598" s="45"/>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8.75" customHeight="1">
      <c r="A599" s="45"/>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8.75" customHeight="1">
      <c r="A600" s="45"/>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8.75" customHeight="1">
      <c r="A601" s="45"/>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8.75" customHeight="1">
      <c r="A602" s="45"/>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8.75" customHeight="1">
      <c r="A603" s="45"/>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8.75" customHeight="1">
      <c r="A604" s="45"/>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8.75" customHeight="1">
      <c r="A605" s="45"/>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8.75" customHeight="1">
      <c r="A606" s="45"/>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8.75" customHeight="1">
      <c r="A607" s="45"/>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8.75" customHeight="1">
      <c r="A608" s="45"/>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8.75" customHeight="1">
      <c r="A609" s="45"/>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8.75" customHeight="1">
      <c r="A610" s="45"/>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8.75" customHeight="1">
      <c r="A611" s="45"/>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8.75" customHeight="1">
      <c r="A612" s="45"/>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8.75" customHeight="1">
      <c r="A613" s="45"/>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8.75" customHeight="1">
      <c r="A614" s="45"/>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8.75" customHeight="1">
      <c r="A615" s="45"/>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8.75" customHeight="1">
      <c r="A616" s="45"/>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8.75" customHeight="1">
      <c r="A617" s="45"/>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8.75" customHeight="1">
      <c r="A618" s="45"/>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8.75" customHeight="1">
      <c r="A619" s="45"/>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8.75" customHeight="1">
      <c r="A620" s="45"/>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8.75" customHeight="1">
      <c r="A621" s="45"/>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8.75" customHeight="1">
      <c r="A622" s="45"/>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8.75" customHeight="1">
      <c r="A623" s="45"/>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8.75" customHeight="1">
      <c r="A624" s="45"/>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8.75" customHeight="1">
      <c r="A625" s="45"/>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8.75" customHeight="1">
      <c r="A626" s="45"/>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8.75" customHeight="1">
      <c r="A627" s="45"/>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8.75" customHeight="1">
      <c r="A628" s="45"/>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8.75" customHeight="1">
      <c r="A629" s="45"/>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8.75" customHeight="1">
      <c r="A630" s="45"/>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8.75" customHeight="1">
      <c r="A631" s="45"/>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8.75" customHeight="1">
      <c r="A632" s="45"/>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8.75" customHeight="1">
      <c r="A633" s="45"/>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8.75" customHeight="1">
      <c r="A634" s="45"/>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8.75" customHeight="1">
      <c r="A635" s="45"/>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8.75" customHeight="1">
      <c r="A636" s="45"/>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8.75" customHeight="1">
      <c r="A637" s="45"/>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8.75" customHeight="1">
      <c r="A638" s="45"/>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8.75" customHeight="1">
      <c r="A639" s="45"/>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8.75" customHeight="1">
      <c r="A640" s="45"/>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8.75" customHeight="1">
      <c r="A641" s="45"/>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8.75" customHeight="1">
      <c r="A642" s="45"/>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8.75" customHeight="1">
      <c r="A643" s="45"/>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8.75" customHeight="1">
      <c r="A644" s="45"/>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8.75" customHeight="1">
      <c r="A645" s="45"/>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8.75" customHeight="1">
      <c r="A646" s="45"/>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8.75" customHeight="1">
      <c r="A647" s="45"/>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8.75" customHeight="1">
      <c r="A648" s="45"/>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8.75" customHeight="1">
      <c r="A649" s="45"/>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8.75" customHeight="1">
      <c r="A650" s="45"/>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8.75" customHeight="1">
      <c r="A651" s="45"/>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8.75" customHeight="1">
      <c r="A652" s="45"/>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8.75" customHeight="1">
      <c r="A653" s="45"/>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8.75" customHeight="1">
      <c r="A654" s="45"/>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8.75" customHeight="1">
      <c r="A655" s="45"/>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8.75" customHeight="1">
      <c r="A656" s="45"/>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8.75" customHeight="1">
      <c r="A657" s="45"/>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8.75" customHeight="1">
      <c r="A658" s="45"/>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8.75" customHeight="1">
      <c r="A659" s="45"/>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8.75" customHeight="1">
      <c r="A660" s="45"/>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8.75" customHeight="1">
      <c r="A661" s="45"/>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8.75" customHeight="1">
      <c r="A662" s="45"/>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8.75" customHeight="1">
      <c r="A663" s="45"/>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8.75" customHeight="1">
      <c r="A664" s="45"/>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8.75" customHeight="1">
      <c r="A665" s="45"/>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8.75" customHeight="1">
      <c r="A666" s="45"/>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8.75" customHeight="1">
      <c r="A667" s="45"/>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8.75" customHeight="1">
      <c r="A668" s="45"/>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8.75" customHeight="1">
      <c r="A669" s="45"/>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8.75" customHeight="1">
      <c r="A670" s="45"/>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8.75" customHeight="1">
      <c r="A671" s="45"/>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8.75" customHeight="1">
      <c r="A672" s="45"/>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8.75" customHeight="1">
      <c r="A673" s="45"/>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8.75" customHeight="1">
      <c r="A674" s="45"/>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8.75" customHeight="1">
      <c r="A675" s="45"/>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8.75" customHeight="1">
      <c r="A676" s="45"/>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8.75" customHeight="1">
      <c r="A677" s="45"/>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8.75" customHeight="1">
      <c r="A678" s="45"/>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8.75" customHeight="1">
      <c r="A679" s="45"/>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8.75" customHeight="1">
      <c r="A680" s="45"/>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8.75" customHeight="1">
      <c r="A681" s="45"/>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8.75" customHeight="1">
      <c r="A682" s="45"/>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8.75" customHeight="1">
      <c r="A683" s="45"/>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8.75" customHeight="1">
      <c r="A684" s="45"/>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8.75" customHeight="1">
      <c r="A685" s="45"/>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8.75" customHeight="1">
      <c r="A686" s="45"/>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8.75" customHeight="1">
      <c r="A687" s="45"/>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8.75" customHeight="1">
      <c r="A688" s="45"/>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8.75" customHeight="1">
      <c r="A689" s="45"/>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8.75" customHeight="1">
      <c r="A690" s="45"/>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8.75" customHeight="1">
      <c r="A691" s="45"/>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8.75" customHeight="1">
      <c r="A692" s="45"/>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8.75" customHeight="1">
      <c r="A693" s="45"/>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8.75" customHeight="1">
      <c r="A694" s="45"/>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8.75" customHeight="1">
      <c r="A695" s="45"/>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8.75" customHeight="1">
      <c r="A696" s="45"/>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8.75" customHeight="1">
      <c r="A697" s="45"/>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8.75" customHeight="1">
      <c r="A698" s="45"/>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8.75" customHeight="1">
      <c r="A699" s="45"/>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8.75" customHeight="1">
      <c r="A700" s="45"/>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8.75" customHeight="1">
      <c r="A701" s="45"/>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8.75" customHeight="1">
      <c r="A702" s="45"/>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8.75" customHeight="1">
      <c r="A703" s="45"/>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8.75" customHeight="1">
      <c r="A704" s="45"/>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8.75" customHeight="1">
      <c r="A705" s="45"/>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8.75" customHeight="1">
      <c r="A706" s="45"/>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8.75" customHeight="1">
      <c r="A707" s="45"/>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8.75" customHeight="1">
      <c r="A708" s="45"/>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8.75" customHeight="1">
      <c r="A709" s="45"/>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8.75" customHeight="1">
      <c r="A710" s="45"/>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8.75" customHeight="1">
      <c r="A711" s="45"/>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8.75" customHeight="1">
      <c r="A712" s="45"/>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8.75" customHeight="1">
      <c r="A713" s="45"/>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8.75" customHeight="1">
      <c r="A714" s="45"/>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8.75" customHeight="1">
      <c r="A715" s="45"/>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8.75" customHeight="1">
      <c r="A716" s="45"/>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8.75" customHeight="1">
      <c r="A717" s="45"/>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8.75" customHeight="1">
      <c r="A718" s="45"/>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8.75" customHeight="1">
      <c r="A719" s="45"/>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8.75" customHeight="1">
      <c r="A720" s="45"/>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8.75" customHeight="1">
      <c r="A721" s="45"/>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8.75" customHeight="1">
      <c r="A722" s="45"/>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8.75" customHeight="1">
      <c r="A723" s="45"/>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8.75" customHeight="1">
      <c r="A724" s="45"/>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8.75" customHeight="1">
      <c r="A725" s="45"/>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8.75" customHeight="1">
      <c r="A726" s="45"/>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8.75" customHeight="1">
      <c r="A727" s="45"/>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8.75" customHeight="1">
      <c r="A728" s="45"/>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8.75" customHeight="1">
      <c r="A729" s="45"/>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8.75" customHeight="1">
      <c r="A730" s="45"/>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8.75" customHeight="1">
      <c r="A731" s="45"/>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8.75" customHeight="1">
      <c r="A732" s="45"/>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8.75" customHeight="1">
      <c r="A733" s="45"/>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8.75" customHeight="1">
      <c r="A734" s="45"/>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8.75" customHeight="1">
      <c r="A735" s="45"/>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8.75" customHeight="1">
      <c r="A736" s="45"/>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8.75" customHeight="1">
      <c r="A737" s="45"/>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8.75" customHeight="1">
      <c r="A738" s="45"/>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8.75" customHeight="1">
      <c r="A739" s="45"/>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8.75" customHeight="1">
      <c r="A740" s="45"/>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8.75" customHeight="1">
      <c r="A741" s="45"/>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8.75" customHeight="1">
      <c r="A742" s="45"/>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8.75" customHeight="1">
      <c r="A743" s="45"/>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8.75" customHeight="1">
      <c r="A744" s="45"/>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8.75" customHeight="1">
      <c r="A745" s="45"/>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8.75" customHeight="1">
      <c r="A746" s="45"/>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8.75" customHeight="1">
      <c r="A747" s="45"/>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8.75" customHeight="1">
      <c r="A748" s="45"/>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8.75" customHeight="1">
      <c r="A749" s="45"/>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8.75" customHeight="1">
      <c r="A750" s="45"/>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8.75" customHeight="1">
      <c r="A751" s="45"/>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8.75" customHeight="1">
      <c r="A752" s="45"/>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8.75" customHeight="1">
      <c r="A753" s="45"/>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8.75" customHeight="1">
      <c r="A754" s="45"/>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8.75" customHeight="1">
      <c r="A755" s="45"/>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8.75" customHeight="1">
      <c r="A756" s="45"/>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8.75" customHeight="1">
      <c r="A757" s="45"/>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8.75" customHeight="1">
      <c r="A758" s="45"/>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8.75" customHeight="1">
      <c r="A759" s="45"/>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8.75" customHeight="1">
      <c r="A760" s="45"/>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8.75" customHeight="1">
      <c r="A761" s="45"/>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8.75" customHeight="1">
      <c r="A762" s="45"/>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8.75" customHeight="1">
      <c r="A763" s="45"/>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8.75" customHeight="1">
      <c r="A764" s="45"/>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8.75" customHeight="1">
      <c r="A765" s="45"/>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8.75" customHeight="1">
      <c r="A766" s="45"/>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8.75" customHeight="1">
      <c r="A767" s="45"/>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8.75" customHeight="1">
      <c r="A768" s="45"/>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8.75" customHeight="1">
      <c r="A769" s="45"/>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8.75" customHeight="1">
      <c r="A770" s="45"/>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8.75" customHeight="1">
      <c r="A771" s="45"/>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8.75" customHeight="1">
      <c r="A772" s="45"/>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8.75" customHeight="1">
      <c r="A773" s="45"/>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8.75" customHeight="1">
      <c r="A774" s="45"/>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8.75" customHeight="1">
      <c r="A775" s="45"/>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8.75" customHeight="1">
      <c r="A776" s="45"/>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8.75" customHeight="1">
      <c r="A777" s="45"/>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8.75" customHeight="1">
      <c r="A778" s="45"/>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8.75" customHeight="1">
      <c r="A779" s="45"/>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8.75" customHeight="1">
      <c r="A780" s="45"/>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8.75" customHeight="1">
      <c r="A781" s="45"/>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8.75" customHeight="1">
      <c r="A782" s="45"/>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8.75" customHeight="1">
      <c r="A783" s="45"/>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8.75" customHeight="1">
      <c r="A784" s="45"/>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8.75" customHeight="1">
      <c r="A785" s="45"/>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8.75" customHeight="1">
      <c r="A786" s="45"/>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8.75" customHeight="1">
      <c r="A787" s="45"/>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8.75" customHeight="1">
      <c r="A788" s="45"/>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8.75" customHeight="1">
      <c r="A789" s="45"/>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8.75" customHeight="1">
      <c r="A790" s="45"/>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8.75" customHeight="1">
      <c r="A791" s="45"/>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8.75" customHeight="1">
      <c r="A792" s="45"/>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8.75" customHeight="1">
      <c r="A793" s="45"/>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8.75" customHeight="1">
      <c r="A794" s="45"/>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8.75" customHeight="1">
      <c r="A795" s="45"/>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8.75" customHeight="1">
      <c r="A796" s="45"/>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8.75" customHeight="1">
      <c r="A797" s="45"/>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8.75" customHeight="1">
      <c r="A798" s="45"/>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8.75" customHeight="1">
      <c r="A799" s="45"/>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8.75" customHeight="1">
      <c r="A800" s="45"/>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8.75" customHeight="1">
      <c r="A801" s="45"/>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8.75" customHeight="1">
      <c r="A802" s="45"/>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8.75" customHeight="1">
      <c r="A803" s="45"/>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8.75" customHeight="1">
      <c r="A804" s="45"/>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8.75" customHeight="1">
      <c r="A805" s="45"/>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8.75" customHeight="1">
      <c r="A806" s="45"/>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8.75" customHeight="1">
      <c r="A807" s="45"/>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8.75" customHeight="1">
      <c r="A808" s="45"/>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8.75" customHeight="1">
      <c r="A809" s="45"/>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8.75" customHeight="1">
      <c r="A810" s="45"/>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8.75" customHeight="1">
      <c r="A811" s="45"/>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8.75" customHeight="1">
      <c r="A812" s="45"/>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8.75" customHeight="1">
      <c r="A813" s="45"/>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8.75" customHeight="1">
      <c r="A814" s="45"/>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8.75" customHeight="1">
      <c r="A815" s="45"/>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8.75" customHeight="1">
      <c r="A816" s="45"/>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8.75" customHeight="1">
      <c r="A817" s="45"/>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8.75" customHeight="1">
      <c r="A818" s="45"/>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8.75" customHeight="1">
      <c r="A819" s="45"/>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8.75" customHeight="1">
      <c r="A820" s="45"/>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8.75" customHeight="1">
      <c r="A821" s="45"/>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8.75" customHeight="1">
      <c r="A822" s="45"/>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8.75" customHeight="1">
      <c r="A823" s="45"/>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8.75" customHeight="1">
      <c r="A824" s="45"/>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8.75" customHeight="1">
      <c r="A825" s="45"/>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8.75" customHeight="1">
      <c r="A826" s="45"/>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8.75" customHeight="1">
      <c r="A827" s="45"/>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8.75" customHeight="1">
      <c r="A828" s="45"/>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8.75" customHeight="1">
      <c r="A829" s="45"/>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8.75" customHeight="1">
      <c r="A830" s="45"/>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8.75" customHeight="1">
      <c r="A831" s="45"/>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8.75" customHeight="1">
      <c r="A832" s="45"/>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8.75" customHeight="1">
      <c r="A833" s="45"/>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8.75" customHeight="1">
      <c r="A834" s="45"/>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8.75" customHeight="1">
      <c r="A835" s="45"/>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8.75" customHeight="1">
      <c r="A836" s="45"/>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8.75" customHeight="1">
      <c r="A837" s="45"/>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8.75" customHeight="1">
      <c r="A838" s="45"/>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8.75" customHeight="1">
      <c r="A839" s="45"/>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8.75" customHeight="1">
      <c r="A840" s="45"/>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8.75" customHeight="1">
      <c r="A841" s="45"/>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8.75" customHeight="1">
      <c r="A842" s="45"/>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8.75" customHeight="1">
      <c r="A843" s="45"/>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8.75" customHeight="1">
      <c r="A844" s="45"/>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8.75" customHeight="1">
      <c r="A845" s="45"/>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8.75" customHeight="1">
      <c r="A846" s="45"/>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8.75" customHeight="1">
      <c r="A847" s="45"/>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8.75" customHeight="1">
      <c r="A848" s="45"/>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8.75" customHeight="1">
      <c r="A849" s="45"/>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8.75" customHeight="1">
      <c r="A850" s="45"/>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8.75" customHeight="1">
      <c r="A851" s="45"/>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8.75" customHeight="1">
      <c r="A852" s="45"/>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8.75" customHeight="1">
      <c r="A853" s="45"/>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8.75" customHeight="1">
      <c r="A854" s="45"/>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8.75" customHeight="1">
      <c r="A855" s="45"/>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8.75" customHeight="1">
      <c r="A856" s="45"/>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8.75" customHeight="1">
      <c r="A857" s="45"/>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8.75" customHeight="1">
      <c r="A858" s="45"/>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8.75" customHeight="1">
      <c r="A859" s="45"/>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8.75" customHeight="1">
      <c r="A860" s="45"/>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8.75" customHeight="1">
      <c r="A861" s="45"/>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8.75" customHeight="1">
      <c r="A862" s="45"/>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8.75" customHeight="1">
      <c r="A863" s="45"/>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8.75" customHeight="1">
      <c r="A864" s="45"/>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8.75" customHeight="1">
      <c r="A865" s="45"/>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8.75" customHeight="1">
      <c r="A866" s="45"/>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8.75" customHeight="1">
      <c r="A867" s="45"/>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8.75" customHeight="1">
      <c r="A868" s="45"/>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8.75" customHeight="1">
      <c r="A869" s="45"/>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8.75" customHeight="1">
      <c r="A870" s="45"/>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8.75" customHeight="1">
      <c r="A871" s="45"/>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8.75" customHeight="1">
      <c r="A872" s="45"/>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8.75" customHeight="1">
      <c r="A873" s="45"/>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8.75" customHeight="1">
      <c r="A874" s="45"/>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8.75" customHeight="1">
      <c r="A875" s="45"/>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8.75" customHeight="1">
      <c r="A876" s="45"/>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8.75" customHeight="1">
      <c r="A877" s="45"/>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8.75" customHeight="1">
      <c r="A878" s="45"/>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8.75" customHeight="1">
      <c r="A879" s="45"/>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8.75" customHeight="1">
      <c r="A880" s="45"/>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8.75" customHeight="1">
      <c r="A881" s="45"/>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8.75" customHeight="1">
      <c r="A882" s="45"/>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8.75" customHeight="1">
      <c r="A883" s="45"/>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8.75" customHeight="1">
      <c r="A884" s="45"/>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8.75" customHeight="1">
      <c r="A885" s="45"/>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8.75" customHeight="1">
      <c r="A886" s="45"/>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8.75" customHeight="1">
      <c r="A887" s="45"/>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8.75" customHeight="1">
      <c r="A888" s="45"/>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8.75" customHeight="1">
      <c r="A889" s="45"/>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8.75" customHeight="1">
      <c r="A890" s="45"/>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8.75" customHeight="1">
      <c r="A891" s="45"/>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8.75" customHeight="1">
      <c r="A892" s="45"/>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8.75" customHeight="1">
      <c r="A893" s="45"/>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8.75" customHeight="1">
      <c r="A894" s="45"/>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8.75" customHeight="1">
      <c r="A895" s="45"/>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8.75" customHeight="1">
      <c r="A896" s="45"/>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8.75" customHeight="1">
      <c r="A897" s="45"/>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8.75" customHeight="1">
      <c r="A898" s="45"/>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8.75" customHeight="1">
      <c r="A899" s="45"/>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8.75" customHeight="1">
      <c r="A900" s="45"/>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8.75" customHeight="1">
      <c r="A901" s="45"/>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8.75" customHeight="1">
      <c r="A902" s="45"/>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8.75" customHeight="1">
      <c r="A903" s="45"/>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8.75" customHeight="1">
      <c r="A904" s="45"/>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8.75" customHeight="1">
      <c r="A905" s="45"/>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8.75" customHeight="1">
      <c r="A906" s="45"/>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8.75" customHeight="1">
      <c r="A907" s="45"/>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8.75" customHeight="1">
      <c r="A908" s="45"/>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8.75" customHeight="1">
      <c r="A909" s="45"/>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8.75" customHeight="1">
      <c r="A910" s="45"/>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8.75" customHeight="1">
      <c r="A911" s="45"/>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8.75" customHeight="1">
      <c r="A912" s="45"/>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8.75" customHeight="1">
      <c r="A913" s="45"/>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8.75" customHeight="1">
      <c r="A914" s="45"/>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8.75" customHeight="1">
      <c r="A915" s="45"/>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8.75" customHeight="1">
      <c r="A916" s="45"/>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8.75" customHeight="1">
      <c r="A917" s="45"/>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8.75" customHeight="1">
      <c r="A918" s="45"/>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8.75" customHeight="1">
      <c r="A919" s="45"/>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8.75" customHeight="1">
      <c r="A920" s="45"/>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8.75" customHeight="1">
      <c r="A921" s="45"/>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8.75" customHeight="1">
      <c r="A922" s="45"/>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8.75" customHeight="1">
      <c r="A923" s="45"/>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8.75" customHeight="1">
      <c r="A924" s="45"/>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8.75" customHeight="1">
      <c r="A925" s="45"/>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8.75" customHeight="1">
      <c r="A926" s="45"/>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8.75" customHeight="1">
      <c r="A927" s="45"/>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8.75" customHeight="1">
      <c r="A928" s="45"/>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8.75" customHeight="1">
      <c r="A929" s="45"/>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8.75" customHeight="1">
      <c r="A930" s="45"/>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8.75" customHeight="1">
      <c r="A931" s="45"/>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8.75" customHeight="1">
      <c r="A932" s="45"/>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8.75" customHeight="1">
      <c r="A933" s="45"/>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8.75" customHeight="1">
      <c r="A934" s="45"/>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8.75" customHeight="1">
      <c r="A935" s="45"/>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8.75" customHeight="1">
      <c r="A936" s="45"/>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8.75" customHeight="1">
      <c r="A937" s="45"/>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8.75" customHeight="1">
      <c r="A938" s="45"/>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8.75" customHeight="1">
      <c r="A939" s="45"/>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8.75" customHeight="1">
      <c r="A940" s="45"/>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8.75" customHeight="1">
      <c r="A941" s="45"/>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8.75" customHeight="1">
      <c r="A942" s="45"/>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8.75" customHeight="1">
      <c r="A943" s="45"/>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8.75" customHeight="1">
      <c r="A944" s="45"/>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8.75" customHeight="1">
      <c r="A945" s="45"/>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8.75" customHeight="1">
      <c r="A946" s="45"/>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8.75" customHeight="1">
      <c r="A947" s="45"/>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8.75" customHeight="1">
      <c r="A948" s="45"/>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8.75" customHeight="1">
      <c r="A949" s="45"/>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8.75" customHeight="1">
      <c r="A950" s="45"/>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8.75" customHeight="1">
      <c r="A951" s="45"/>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8.75" customHeight="1">
      <c r="A952" s="45"/>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8.75" customHeight="1">
      <c r="A953" s="45"/>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8.75" customHeight="1">
      <c r="A954" s="45"/>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8.75" customHeight="1">
      <c r="A955" s="45"/>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8.75" customHeight="1">
      <c r="A956" s="45"/>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8.75" customHeight="1">
      <c r="A957" s="45"/>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8.75" customHeight="1">
      <c r="A958" s="45"/>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8.75" customHeight="1">
      <c r="A959" s="45"/>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8.75" customHeight="1">
      <c r="A960" s="45"/>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8.75" customHeight="1">
      <c r="A961" s="45"/>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8.75" customHeight="1">
      <c r="A962" s="45"/>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8.75" customHeight="1">
      <c r="A963" s="45"/>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8.75" customHeight="1">
      <c r="A964" s="45"/>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8.75" customHeight="1">
      <c r="A965" s="45"/>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8.75" customHeight="1">
      <c r="A966" s="45"/>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8.75" customHeight="1">
      <c r="A967" s="45"/>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8.75" customHeight="1">
      <c r="A968" s="45"/>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8.75" customHeight="1">
      <c r="A969" s="45"/>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8.75" customHeight="1">
      <c r="A970" s="45"/>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8.75" customHeight="1">
      <c r="A971" s="45"/>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8.75" customHeight="1">
      <c r="A972" s="45"/>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8.75" customHeight="1">
      <c r="A973" s="45"/>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8.75" customHeight="1">
      <c r="A974" s="45"/>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8.75" customHeight="1">
      <c r="A975" s="45"/>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8.75" customHeight="1">
      <c r="A976" s="45"/>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8.75" customHeight="1">
      <c r="A977" s="45"/>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8.75" customHeight="1">
      <c r="A978" s="45"/>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8.75" customHeight="1">
      <c r="A979" s="45"/>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8.75" customHeight="1">
      <c r="A980" s="45"/>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8.75" customHeight="1">
      <c r="A981" s="45"/>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8.75" customHeight="1">
      <c r="A982" s="45"/>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8.75" customHeight="1">
      <c r="A983" s="45"/>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8.75" customHeight="1">
      <c r="A984" s="45"/>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8.75" customHeight="1">
      <c r="A985" s="45"/>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8.75" customHeight="1">
      <c r="A986" s="45"/>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8.75" customHeight="1">
      <c r="A987" s="45"/>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8.75" customHeight="1">
      <c r="A988" s="45"/>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8.75" customHeight="1">
      <c r="A989" s="45"/>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8.75" customHeight="1">
      <c r="A990" s="45"/>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8.75" customHeight="1">
      <c r="A991" s="45"/>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8.75" customHeight="1">
      <c r="A992" s="45"/>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8.75" customHeight="1">
      <c r="A993" s="45"/>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8.75" customHeight="1">
      <c r="A994" s="45"/>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8.75" customHeight="1">
      <c r="A995" s="45"/>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8.75" customHeight="1">
      <c r="A996" s="45"/>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8.75" customHeight="1">
      <c r="A997" s="45"/>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8.75" customHeight="1">
      <c r="A998" s="45"/>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8.75" customHeight="1">
      <c r="A999" s="45"/>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8.75" customHeight="1">
      <c r="A1000" s="45"/>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2">
    <mergeCell ref="B66:I77"/>
    <mergeCell ref="B80:I91"/>
    <mergeCell ref="B94:I105"/>
    <mergeCell ref="B107:I107"/>
    <mergeCell ref="B108:I119"/>
    <mergeCell ref="B14:I14"/>
    <mergeCell ref="H16:I16"/>
    <mergeCell ref="F50:G50"/>
    <mergeCell ref="B51:I51"/>
    <mergeCell ref="B52:I63"/>
    <mergeCell ref="C16:E16"/>
    <mergeCell ref="B19:I19"/>
    <mergeCell ref="B22:I32"/>
    <mergeCell ref="B35:I46"/>
    <mergeCell ref="C49:D49"/>
    <mergeCell ref="F49:G49"/>
    <mergeCell ref="C50:D50"/>
    <mergeCell ref="H2:I2"/>
    <mergeCell ref="A4:I4"/>
    <mergeCell ref="C6:D6"/>
    <mergeCell ref="C11:E11"/>
    <mergeCell ref="H11:I11"/>
  </mergeCells>
  <phoneticPr fontId="11"/>
  <printOptions horizontalCentered="1"/>
  <pageMargins left="0.59055118110236227" right="0.59055118110236227" top="0.78740157480314965" bottom="0.39370078740157483" header="0" footer="0"/>
  <pageSetup paperSize="9" fitToHeight="0" orientation="portrait"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defaultColWidth="14.42578125" defaultRowHeight="15" customHeight="1"/>
  <cols>
    <col min="1" max="3" width="2.7109375" customWidth="1"/>
    <col min="4" max="4" width="22.28515625" customWidth="1"/>
    <col min="5" max="5" width="30.7109375" customWidth="1"/>
    <col min="6" max="7" width="7.7109375" customWidth="1"/>
    <col min="8" max="9" width="30.7109375" customWidth="1"/>
    <col min="10" max="26" width="11.42578125" customWidth="1"/>
  </cols>
  <sheetData>
    <row r="1" spans="1:26" ht="18.75" customHeight="1">
      <c r="A1" s="2" t="s">
        <v>146</v>
      </c>
      <c r="B1" s="2"/>
      <c r="C1" s="2"/>
      <c r="D1" s="2"/>
      <c r="E1" s="2"/>
      <c r="F1" s="2"/>
      <c r="G1" s="2"/>
      <c r="H1" s="2"/>
      <c r="I1" s="3" t="s">
        <v>147</v>
      </c>
      <c r="J1" s="2"/>
      <c r="K1" s="2"/>
      <c r="L1" s="2"/>
      <c r="M1" s="2"/>
      <c r="N1" s="2"/>
      <c r="O1" s="2"/>
      <c r="P1" s="2"/>
      <c r="Q1" s="2"/>
      <c r="R1" s="2"/>
      <c r="S1" s="2"/>
      <c r="T1" s="2"/>
      <c r="U1" s="2"/>
      <c r="V1" s="2"/>
      <c r="W1" s="2"/>
      <c r="X1" s="2"/>
      <c r="Y1" s="2"/>
      <c r="Z1" s="2"/>
    </row>
    <row r="2" spans="1:26" ht="18.75" customHeight="1">
      <c r="A2" s="2"/>
      <c r="B2" s="2"/>
      <c r="C2" s="2"/>
      <c r="D2" s="2"/>
      <c r="E2" s="2"/>
      <c r="F2" s="2"/>
      <c r="G2" s="2"/>
      <c r="H2" s="3" t="s">
        <v>2</v>
      </c>
      <c r="I2" s="4" t="s">
        <v>3</v>
      </c>
      <c r="J2" s="2"/>
      <c r="K2" s="2"/>
      <c r="L2" s="2"/>
      <c r="M2" s="2"/>
      <c r="N2" s="2"/>
      <c r="O2" s="2"/>
      <c r="P2" s="2"/>
      <c r="Q2" s="2"/>
      <c r="R2" s="2"/>
      <c r="S2" s="2"/>
      <c r="T2" s="2"/>
      <c r="U2" s="2"/>
      <c r="V2" s="2"/>
      <c r="W2" s="2"/>
      <c r="X2" s="2"/>
      <c r="Y2" s="2"/>
      <c r="Z2" s="2"/>
    </row>
    <row r="3" spans="1:26" ht="18.75" customHeight="1">
      <c r="A3" s="75" t="s">
        <v>148</v>
      </c>
      <c r="B3" s="74"/>
      <c r="C3" s="74"/>
      <c r="D3" s="74"/>
      <c r="E3" s="74"/>
      <c r="F3" s="74"/>
      <c r="G3" s="74"/>
      <c r="H3" s="74"/>
      <c r="I3" s="74"/>
      <c r="J3" s="2"/>
      <c r="K3" s="2"/>
      <c r="L3" s="2"/>
      <c r="M3" s="2"/>
      <c r="N3" s="2"/>
      <c r="O3" s="2"/>
      <c r="P3" s="2"/>
      <c r="Q3" s="2"/>
      <c r="R3" s="2"/>
      <c r="S3" s="2"/>
      <c r="T3" s="2"/>
      <c r="U3" s="2"/>
      <c r="V3" s="2"/>
      <c r="W3" s="2"/>
      <c r="X3" s="2"/>
      <c r="Y3" s="2"/>
      <c r="Z3" s="2"/>
    </row>
    <row r="4" spans="1:26" ht="18.75" customHeight="1">
      <c r="A4" s="6"/>
      <c r="B4" s="6"/>
      <c r="C4" s="6"/>
      <c r="D4" s="6"/>
      <c r="E4" s="6"/>
      <c r="F4" s="6"/>
      <c r="G4" s="6"/>
      <c r="H4" s="6"/>
      <c r="I4" s="6"/>
      <c r="J4" s="2"/>
      <c r="K4" s="2"/>
      <c r="L4" s="2"/>
      <c r="M4" s="2"/>
      <c r="N4" s="2"/>
      <c r="O4" s="2"/>
      <c r="P4" s="2"/>
      <c r="Q4" s="2"/>
      <c r="R4" s="2"/>
      <c r="S4" s="2"/>
      <c r="T4" s="2"/>
      <c r="U4" s="2"/>
      <c r="V4" s="2"/>
      <c r="W4" s="2"/>
      <c r="X4" s="2"/>
      <c r="Y4" s="2"/>
      <c r="Z4" s="2"/>
    </row>
    <row r="5" spans="1:26" ht="18.75" customHeight="1">
      <c r="A5" s="2" t="s">
        <v>99</v>
      </c>
      <c r="B5" s="8" t="s">
        <v>149</v>
      </c>
      <c r="C5" s="6"/>
      <c r="D5" s="6"/>
      <c r="E5" s="6"/>
      <c r="F5" s="6"/>
      <c r="G5" s="6"/>
      <c r="H5" s="6"/>
      <c r="I5" s="6"/>
      <c r="J5" s="2"/>
      <c r="K5" s="2"/>
      <c r="L5" s="2"/>
      <c r="M5" s="2"/>
      <c r="N5" s="2"/>
      <c r="O5" s="2"/>
      <c r="P5" s="2"/>
      <c r="Q5" s="2"/>
      <c r="R5" s="2"/>
      <c r="S5" s="2"/>
      <c r="T5" s="2"/>
      <c r="U5" s="2"/>
      <c r="V5" s="2"/>
      <c r="W5" s="2"/>
      <c r="X5" s="2"/>
      <c r="Y5" s="2"/>
      <c r="Z5" s="2"/>
    </row>
    <row r="6" spans="1:26" ht="26.25" customHeight="1">
      <c r="A6" s="6"/>
      <c r="B6" s="97" t="s">
        <v>150</v>
      </c>
      <c r="C6" s="70"/>
      <c r="D6" s="70"/>
      <c r="E6" s="70"/>
      <c r="F6" s="70"/>
      <c r="G6" s="70"/>
      <c r="H6" s="71"/>
      <c r="I6" s="7"/>
      <c r="J6" s="2"/>
      <c r="K6" s="2"/>
      <c r="L6" s="2"/>
      <c r="M6" s="2"/>
      <c r="N6" s="2"/>
      <c r="O6" s="2"/>
      <c r="P6" s="2"/>
      <c r="Q6" s="2"/>
      <c r="R6" s="2"/>
      <c r="S6" s="2"/>
      <c r="T6" s="2"/>
      <c r="U6" s="2"/>
      <c r="V6" s="2"/>
      <c r="W6" s="2"/>
      <c r="X6" s="2"/>
      <c r="Y6" s="2"/>
      <c r="Z6" s="2"/>
    </row>
    <row r="7" spans="1:26" ht="9" customHeight="1">
      <c r="A7" s="6"/>
      <c r="B7" s="8"/>
      <c r="C7" s="8"/>
      <c r="D7" s="8"/>
      <c r="E7" s="8"/>
      <c r="F7" s="8"/>
      <c r="G7" s="8"/>
      <c r="H7" s="8"/>
      <c r="I7" s="7"/>
      <c r="J7" s="2"/>
      <c r="K7" s="2"/>
      <c r="L7" s="2"/>
      <c r="M7" s="2"/>
      <c r="N7" s="2"/>
      <c r="O7" s="2"/>
      <c r="P7" s="2"/>
      <c r="Q7" s="2"/>
      <c r="R7" s="2"/>
      <c r="S7" s="2"/>
      <c r="T7" s="2"/>
      <c r="U7" s="2"/>
      <c r="V7" s="2"/>
      <c r="W7" s="2"/>
      <c r="X7" s="2"/>
      <c r="Y7" s="2"/>
      <c r="Z7" s="2"/>
    </row>
    <row r="8" spans="1:26" ht="18.75" customHeight="1">
      <c r="A8" s="6"/>
      <c r="B8" s="7"/>
      <c r="C8" s="7"/>
      <c r="D8" s="3" t="s">
        <v>107</v>
      </c>
      <c r="E8" s="54" t="s">
        <v>108</v>
      </c>
      <c r="F8" s="7"/>
      <c r="G8" s="3" t="s">
        <v>109</v>
      </c>
      <c r="H8" s="54" t="s">
        <v>151</v>
      </c>
      <c r="I8" s="7"/>
      <c r="J8" s="2"/>
      <c r="K8" s="2"/>
      <c r="L8" s="2"/>
      <c r="M8" s="2"/>
      <c r="N8" s="2"/>
      <c r="O8" s="2"/>
      <c r="P8" s="2"/>
      <c r="Q8" s="2"/>
      <c r="R8" s="2"/>
      <c r="S8" s="2"/>
      <c r="T8" s="2"/>
      <c r="U8" s="2"/>
      <c r="V8" s="2"/>
      <c r="W8" s="2"/>
      <c r="X8" s="2"/>
      <c r="Y8" s="2"/>
      <c r="Z8" s="2"/>
    </row>
    <row r="9" spans="1:26" ht="7.5" customHeight="1">
      <c r="A9" s="6"/>
      <c r="B9" s="6"/>
      <c r="C9" s="6"/>
      <c r="D9" s="6"/>
      <c r="E9" s="6"/>
      <c r="F9" s="6"/>
      <c r="G9" s="6"/>
      <c r="H9" s="6"/>
      <c r="I9" s="6"/>
      <c r="J9" s="2"/>
      <c r="K9" s="2"/>
      <c r="L9" s="2"/>
      <c r="M9" s="2"/>
      <c r="N9" s="2"/>
      <c r="O9" s="2"/>
      <c r="P9" s="2"/>
      <c r="Q9" s="2"/>
      <c r="R9" s="2"/>
      <c r="S9" s="2"/>
      <c r="T9" s="2"/>
      <c r="U9" s="2"/>
      <c r="V9" s="2"/>
      <c r="W9" s="2"/>
      <c r="X9" s="2"/>
      <c r="Y9" s="2"/>
      <c r="Z9" s="2"/>
    </row>
    <row r="10" spans="1:26" ht="18.75" customHeight="1">
      <c r="A10" s="2" t="s">
        <v>103</v>
      </c>
      <c r="B10" s="2" t="s">
        <v>152</v>
      </c>
      <c r="C10" s="47"/>
      <c r="D10" s="47"/>
      <c r="E10" s="47"/>
      <c r="F10" s="47"/>
      <c r="G10" s="47"/>
      <c r="H10" s="47"/>
      <c r="I10" s="47"/>
      <c r="J10" s="2"/>
      <c r="K10" s="2"/>
      <c r="L10" s="2"/>
      <c r="M10" s="2"/>
      <c r="N10" s="2"/>
      <c r="O10" s="2"/>
      <c r="P10" s="2"/>
      <c r="Q10" s="2"/>
      <c r="R10" s="2"/>
      <c r="S10" s="2"/>
      <c r="T10" s="2"/>
      <c r="U10" s="2"/>
      <c r="V10" s="2"/>
      <c r="W10" s="2"/>
      <c r="X10" s="2"/>
      <c r="Y10" s="2"/>
      <c r="Z10" s="2"/>
    </row>
    <row r="11" spans="1:26" ht="18.75" customHeight="1">
      <c r="A11" s="2"/>
      <c r="B11" s="69" t="s">
        <v>153</v>
      </c>
      <c r="C11" s="70"/>
      <c r="D11" s="71"/>
      <c r="E11" s="83" t="s">
        <v>154</v>
      </c>
      <c r="F11" s="70"/>
      <c r="G11" s="70"/>
      <c r="H11" s="70"/>
      <c r="I11" s="71"/>
      <c r="J11" s="2"/>
      <c r="K11" s="2"/>
      <c r="L11" s="2"/>
      <c r="M11" s="2"/>
      <c r="N11" s="2"/>
      <c r="O11" s="2"/>
      <c r="P11" s="2"/>
      <c r="Q11" s="2"/>
      <c r="R11" s="2"/>
      <c r="S11" s="2"/>
      <c r="T11" s="2"/>
      <c r="U11" s="2"/>
      <c r="V11" s="2"/>
      <c r="W11" s="2"/>
      <c r="X11" s="2"/>
      <c r="Y11" s="2"/>
      <c r="Z11" s="2"/>
    </row>
    <row r="12" spans="1:26" ht="26.25" customHeight="1">
      <c r="A12" s="2"/>
      <c r="B12" s="55" t="s">
        <v>155</v>
      </c>
      <c r="C12" s="56"/>
      <c r="D12" s="57"/>
      <c r="E12" s="58"/>
      <c r="F12" s="58"/>
      <c r="G12" s="58"/>
      <c r="H12" s="58"/>
      <c r="I12" s="57"/>
      <c r="J12" s="2"/>
      <c r="K12" s="2"/>
      <c r="L12" s="2"/>
      <c r="M12" s="2"/>
      <c r="N12" s="2"/>
      <c r="O12" s="2"/>
      <c r="P12" s="2"/>
      <c r="Q12" s="2"/>
      <c r="R12" s="2"/>
      <c r="S12" s="2"/>
      <c r="T12" s="2"/>
      <c r="U12" s="2"/>
      <c r="V12" s="2"/>
      <c r="W12" s="2"/>
      <c r="X12" s="2"/>
      <c r="Y12" s="2"/>
      <c r="Z12" s="2"/>
    </row>
    <row r="13" spans="1:26" ht="210.75" customHeight="1">
      <c r="A13" s="2"/>
      <c r="B13" s="59"/>
      <c r="C13" s="108" t="s">
        <v>156</v>
      </c>
      <c r="D13" s="66"/>
      <c r="E13" s="114" t="s">
        <v>157</v>
      </c>
      <c r="F13" s="65"/>
      <c r="G13" s="65"/>
      <c r="H13" s="65"/>
      <c r="I13" s="66"/>
      <c r="J13" s="2"/>
      <c r="K13" s="2"/>
      <c r="L13" s="2"/>
      <c r="M13" s="2"/>
      <c r="N13" s="2"/>
      <c r="O13" s="2"/>
      <c r="P13" s="2"/>
      <c r="Q13" s="2"/>
      <c r="R13" s="2"/>
      <c r="S13" s="2"/>
      <c r="T13" s="2"/>
      <c r="U13" s="2"/>
      <c r="V13" s="2"/>
      <c r="W13" s="2"/>
      <c r="X13" s="2"/>
      <c r="Y13" s="2"/>
      <c r="Z13" s="2"/>
    </row>
    <row r="14" spans="1:26" ht="210.75" customHeight="1">
      <c r="A14" s="2"/>
      <c r="B14" s="59"/>
      <c r="C14" s="107" t="s">
        <v>158</v>
      </c>
      <c r="D14" s="66"/>
      <c r="E14" s="114" t="s">
        <v>159</v>
      </c>
      <c r="F14" s="65"/>
      <c r="G14" s="65"/>
      <c r="H14" s="65"/>
      <c r="I14" s="66"/>
      <c r="J14" s="2"/>
      <c r="K14" s="2"/>
      <c r="L14" s="2"/>
      <c r="M14" s="2"/>
      <c r="N14" s="2"/>
      <c r="O14" s="2"/>
      <c r="P14" s="2"/>
      <c r="Q14" s="2"/>
      <c r="R14" s="2"/>
      <c r="S14" s="2"/>
      <c r="T14" s="2"/>
      <c r="U14" s="2"/>
      <c r="V14" s="2"/>
      <c r="W14" s="2"/>
      <c r="X14" s="2"/>
      <c r="Y14" s="2"/>
      <c r="Z14" s="2"/>
    </row>
    <row r="15" spans="1:26" ht="210.75" customHeight="1">
      <c r="A15" s="2"/>
      <c r="B15" s="59"/>
      <c r="C15" s="108" t="s">
        <v>160</v>
      </c>
      <c r="D15" s="66"/>
      <c r="E15" s="114" t="s">
        <v>161</v>
      </c>
      <c r="F15" s="65"/>
      <c r="G15" s="65"/>
      <c r="H15" s="65"/>
      <c r="I15" s="66"/>
      <c r="J15" s="2"/>
      <c r="K15" s="2"/>
      <c r="L15" s="2"/>
      <c r="M15" s="2"/>
      <c r="N15" s="2"/>
      <c r="O15" s="2"/>
      <c r="P15" s="2"/>
      <c r="Q15" s="2"/>
      <c r="R15" s="2"/>
      <c r="S15" s="2"/>
      <c r="T15" s="2"/>
      <c r="U15" s="2"/>
      <c r="V15" s="2"/>
      <c r="W15" s="2"/>
      <c r="X15" s="2"/>
      <c r="Y15" s="2"/>
      <c r="Z15" s="2"/>
    </row>
    <row r="16" spans="1:26" ht="210.75" customHeight="1">
      <c r="A16" s="2"/>
      <c r="B16" s="59"/>
      <c r="C16" s="108" t="s">
        <v>162</v>
      </c>
      <c r="D16" s="66"/>
      <c r="E16" s="114" t="s">
        <v>163</v>
      </c>
      <c r="F16" s="65"/>
      <c r="G16" s="65"/>
      <c r="H16" s="65"/>
      <c r="I16" s="66"/>
      <c r="J16" s="2"/>
      <c r="K16" s="2"/>
      <c r="L16" s="2"/>
      <c r="M16" s="2"/>
      <c r="N16" s="2"/>
      <c r="O16" s="2"/>
      <c r="P16" s="2"/>
      <c r="Q16" s="2"/>
      <c r="R16" s="2"/>
      <c r="S16" s="2"/>
      <c r="T16" s="2"/>
      <c r="U16" s="2"/>
      <c r="V16" s="2"/>
      <c r="W16" s="2"/>
      <c r="X16" s="2"/>
      <c r="Y16" s="2"/>
      <c r="Z16" s="2"/>
    </row>
    <row r="17" spans="1:26" ht="210.75" customHeight="1">
      <c r="A17" s="2"/>
      <c r="B17" s="60"/>
      <c r="C17" s="109" t="s">
        <v>164</v>
      </c>
      <c r="D17" s="68"/>
      <c r="E17" s="115" t="s">
        <v>165</v>
      </c>
      <c r="F17" s="67"/>
      <c r="G17" s="67"/>
      <c r="H17" s="67"/>
      <c r="I17" s="68"/>
      <c r="J17" s="2"/>
      <c r="K17" s="2"/>
      <c r="L17" s="2"/>
      <c r="M17" s="2"/>
      <c r="N17" s="2"/>
      <c r="O17" s="2"/>
      <c r="P17" s="2"/>
      <c r="Q17" s="2"/>
      <c r="R17" s="2"/>
      <c r="S17" s="2"/>
      <c r="T17" s="2"/>
      <c r="U17" s="2"/>
      <c r="V17" s="2"/>
      <c r="W17" s="2"/>
      <c r="X17" s="2"/>
      <c r="Y17" s="2"/>
      <c r="Z17" s="2"/>
    </row>
    <row r="18" spans="1:26" ht="24" customHeight="1">
      <c r="A18" s="2"/>
      <c r="B18" s="55" t="s">
        <v>166</v>
      </c>
      <c r="C18" s="61"/>
      <c r="D18" s="62"/>
      <c r="E18" s="63"/>
      <c r="F18" s="63"/>
      <c r="G18" s="63"/>
      <c r="H18" s="63"/>
      <c r="I18" s="64"/>
      <c r="J18" s="2"/>
      <c r="K18" s="2"/>
      <c r="L18" s="2"/>
      <c r="M18" s="2"/>
      <c r="N18" s="2"/>
      <c r="O18" s="2"/>
      <c r="P18" s="2"/>
      <c r="Q18" s="2"/>
      <c r="R18" s="2"/>
      <c r="S18" s="2"/>
      <c r="T18" s="2"/>
      <c r="U18" s="2"/>
      <c r="V18" s="2"/>
      <c r="W18" s="2"/>
      <c r="X18" s="2"/>
      <c r="Y18" s="2"/>
      <c r="Z18" s="2"/>
    </row>
    <row r="19" spans="1:26" ht="218.25" customHeight="1">
      <c r="A19" s="2"/>
      <c r="B19" s="59"/>
      <c r="C19" s="108" t="s">
        <v>167</v>
      </c>
      <c r="D19" s="66"/>
      <c r="E19" s="116" t="s">
        <v>168</v>
      </c>
      <c r="F19" s="65"/>
      <c r="G19" s="65"/>
      <c r="H19" s="65"/>
      <c r="I19" s="66"/>
      <c r="J19" s="2"/>
      <c r="K19" s="2"/>
      <c r="L19" s="2"/>
      <c r="M19" s="2"/>
      <c r="N19" s="2"/>
      <c r="O19" s="2"/>
      <c r="P19" s="2"/>
      <c r="Q19" s="2"/>
      <c r="R19" s="2"/>
      <c r="S19" s="2"/>
      <c r="T19" s="2"/>
      <c r="U19" s="2"/>
      <c r="V19" s="2"/>
      <c r="W19" s="2"/>
      <c r="X19" s="2"/>
      <c r="Y19" s="2"/>
      <c r="Z19" s="2"/>
    </row>
    <row r="20" spans="1:26" ht="218.25" customHeight="1">
      <c r="A20" s="2"/>
      <c r="B20" s="60"/>
      <c r="C20" s="109" t="s">
        <v>169</v>
      </c>
      <c r="D20" s="68"/>
      <c r="E20" s="117" t="s">
        <v>170</v>
      </c>
      <c r="F20" s="67"/>
      <c r="G20" s="67"/>
      <c r="H20" s="67"/>
      <c r="I20" s="68"/>
      <c r="J20" s="2"/>
      <c r="K20" s="2"/>
      <c r="L20" s="2"/>
      <c r="M20" s="2"/>
      <c r="N20" s="2"/>
      <c r="O20" s="2"/>
      <c r="P20" s="2"/>
      <c r="Q20" s="2"/>
      <c r="R20" s="2"/>
      <c r="S20" s="2"/>
      <c r="T20" s="2"/>
      <c r="U20" s="2"/>
      <c r="V20" s="2"/>
      <c r="W20" s="2"/>
      <c r="X20" s="2"/>
      <c r="Y20" s="2"/>
      <c r="Z20" s="2"/>
    </row>
    <row r="21" spans="1:26" ht="218.25" customHeight="1">
      <c r="A21" s="2"/>
      <c r="B21" s="110" t="s">
        <v>171</v>
      </c>
      <c r="C21" s="111"/>
      <c r="D21" s="112"/>
      <c r="E21" s="118" t="s">
        <v>172</v>
      </c>
      <c r="F21" s="111"/>
      <c r="G21" s="111"/>
      <c r="H21" s="111"/>
      <c r="I21" s="112"/>
      <c r="J21" s="2"/>
      <c r="K21" s="2"/>
      <c r="L21" s="2"/>
      <c r="M21" s="2"/>
      <c r="N21" s="2"/>
      <c r="O21" s="2"/>
      <c r="P21" s="2"/>
      <c r="Q21" s="2"/>
      <c r="R21" s="2"/>
      <c r="S21" s="2"/>
      <c r="T21" s="2"/>
      <c r="U21" s="2"/>
      <c r="V21" s="2"/>
      <c r="W21" s="2"/>
      <c r="X21" s="2"/>
      <c r="Y21" s="2"/>
      <c r="Z21" s="2"/>
    </row>
    <row r="22" spans="1:26" ht="218.25" customHeight="1">
      <c r="A22" s="2"/>
      <c r="B22" s="113" t="s">
        <v>173</v>
      </c>
      <c r="C22" s="79"/>
      <c r="D22" s="80"/>
      <c r="E22" s="119" t="s">
        <v>174</v>
      </c>
      <c r="F22" s="79"/>
      <c r="G22" s="79"/>
      <c r="H22" s="79"/>
      <c r="I22" s="80"/>
      <c r="J22" s="2"/>
      <c r="K22" s="2"/>
      <c r="L22" s="2"/>
      <c r="M22" s="2"/>
      <c r="N22" s="2"/>
      <c r="O22" s="2"/>
      <c r="P22" s="2"/>
      <c r="Q22" s="2"/>
      <c r="R22" s="2"/>
      <c r="S22" s="2"/>
      <c r="T22" s="2"/>
      <c r="U22" s="2"/>
      <c r="V22" s="2"/>
      <c r="W22" s="2"/>
      <c r="X22" s="2"/>
      <c r="Y22" s="2"/>
      <c r="Z22" s="2"/>
    </row>
    <row r="23" spans="1:26" ht="22.5" customHeight="1">
      <c r="A23" s="2"/>
      <c r="B23" s="47"/>
      <c r="C23" s="47"/>
      <c r="D23" s="47"/>
      <c r="E23" s="47"/>
      <c r="F23" s="47"/>
      <c r="G23" s="47"/>
      <c r="H23" s="47"/>
      <c r="I23" s="47"/>
      <c r="J23" s="2"/>
      <c r="K23" s="2"/>
      <c r="L23" s="2"/>
      <c r="M23" s="2"/>
      <c r="N23" s="2"/>
      <c r="O23" s="2"/>
      <c r="P23" s="2"/>
      <c r="Q23" s="2"/>
      <c r="R23" s="2"/>
      <c r="S23" s="2"/>
      <c r="T23" s="2"/>
      <c r="U23" s="2"/>
      <c r="V23" s="2"/>
      <c r="W23" s="2"/>
      <c r="X23" s="2"/>
      <c r="Y23" s="2"/>
      <c r="Z23" s="2"/>
    </row>
    <row r="24" spans="1:26" ht="22.5" customHeight="1">
      <c r="A24" s="2"/>
      <c r="B24" s="47"/>
      <c r="C24" s="47"/>
      <c r="D24" s="47"/>
      <c r="E24" s="47"/>
      <c r="F24" s="47"/>
      <c r="G24" s="47"/>
      <c r="H24" s="47"/>
      <c r="I24" s="47"/>
      <c r="J24" s="2"/>
      <c r="K24" s="2"/>
      <c r="L24" s="2"/>
      <c r="M24" s="2"/>
      <c r="N24" s="2"/>
      <c r="O24" s="2"/>
      <c r="P24" s="2"/>
      <c r="Q24" s="2"/>
      <c r="R24" s="2"/>
      <c r="S24" s="2"/>
      <c r="T24" s="2"/>
      <c r="U24" s="2"/>
      <c r="V24" s="2"/>
      <c r="W24" s="2"/>
      <c r="X24" s="2"/>
      <c r="Y24" s="2"/>
      <c r="Z24" s="2"/>
    </row>
    <row r="25" spans="1:26" ht="22.5" customHeight="1">
      <c r="A25" s="2"/>
      <c r="B25" s="47"/>
      <c r="C25" s="47"/>
      <c r="D25" s="47"/>
      <c r="E25" s="47"/>
      <c r="F25" s="47"/>
      <c r="G25" s="47"/>
      <c r="H25" s="47"/>
      <c r="I25" s="47"/>
      <c r="J25" s="2"/>
      <c r="K25" s="2"/>
      <c r="L25" s="2"/>
      <c r="M25" s="2"/>
      <c r="N25" s="2"/>
      <c r="O25" s="2"/>
      <c r="P25" s="2"/>
      <c r="Q25" s="2"/>
      <c r="R25" s="2"/>
      <c r="S25" s="2"/>
      <c r="T25" s="2"/>
      <c r="U25" s="2"/>
      <c r="V25" s="2"/>
      <c r="W25" s="2"/>
      <c r="X25" s="2"/>
      <c r="Y25" s="2"/>
      <c r="Z25" s="2"/>
    </row>
    <row r="26" spans="1:26" ht="22.5" customHeight="1">
      <c r="A26" s="2"/>
      <c r="B26" s="47"/>
      <c r="C26" s="47"/>
      <c r="D26" s="47"/>
      <c r="E26" s="47"/>
      <c r="F26" s="47"/>
      <c r="G26" s="47"/>
      <c r="H26" s="47"/>
      <c r="I26" s="47"/>
      <c r="J26" s="2"/>
      <c r="K26" s="2"/>
      <c r="L26" s="2"/>
      <c r="M26" s="2"/>
      <c r="N26" s="2"/>
      <c r="O26" s="2"/>
      <c r="P26" s="2"/>
      <c r="Q26" s="2"/>
      <c r="R26" s="2"/>
      <c r="S26" s="2"/>
      <c r="T26" s="2"/>
      <c r="U26" s="2"/>
      <c r="V26" s="2"/>
      <c r="W26" s="2"/>
      <c r="X26" s="2"/>
      <c r="Y26" s="2"/>
      <c r="Z26" s="2"/>
    </row>
    <row r="27" spans="1:26" ht="22.5" customHeight="1">
      <c r="A27" s="2"/>
      <c r="B27" s="47"/>
      <c r="C27" s="47"/>
      <c r="D27" s="47"/>
      <c r="E27" s="47"/>
      <c r="F27" s="47"/>
      <c r="G27" s="47"/>
      <c r="H27" s="47"/>
      <c r="I27" s="47"/>
      <c r="J27" s="2"/>
      <c r="K27" s="2"/>
      <c r="L27" s="2"/>
      <c r="M27" s="2"/>
      <c r="N27" s="2"/>
      <c r="O27" s="2"/>
      <c r="P27" s="2"/>
      <c r="Q27" s="2"/>
      <c r="R27" s="2"/>
      <c r="S27" s="2"/>
      <c r="T27" s="2"/>
      <c r="U27" s="2"/>
      <c r="V27" s="2"/>
      <c r="W27" s="2"/>
      <c r="X27" s="2"/>
      <c r="Y27" s="2"/>
      <c r="Z27" s="2"/>
    </row>
    <row r="28" spans="1:26" ht="22.5" customHeight="1">
      <c r="A28" s="2"/>
      <c r="B28" s="10"/>
      <c r="C28" s="10"/>
      <c r="D28" s="10"/>
      <c r="E28" s="10"/>
      <c r="F28" s="10"/>
      <c r="G28" s="10"/>
      <c r="H28" s="10"/>
      <c r="I28" s="10"/>
      <c r="J28" s="2"/>
      <c r="K28" s="2"/>
      <c r="L28" s="2"/>
      <c r="M28" s="2"/>
      <c r="N28" s="2"/>
      <c r="O28" s="2"/>
      <c r="P28" s="2"/>
      <c r="Q28" s="2"/>
      <c r="R28" s="2"/>
      <c r="S28" s="2"/>
      <c r="T28" s="2"/>
      <c r="U28" s="2"/>
      <c r="V28" s="2"/>
      <c r="W28" s="2"/>
      <c r="X28" s="2"/>
      <c r="Y28" s="2"/>
      <c r="Z28" s="2"/>
    </row>
    <row r="29" spans="1:26" ht="22.5" customHeight="1">
      <c r="A29" s="2"/>
      <c r="B29" s="10"/>
      <c r="C29" s="10"/>
      <c r="D29" s="10"/>
      <c r="E29" s="10"/>
      <c r="F29" s="10"/>
      <c r="G29" s="10"/>
      <c r="H29" s="10"/>
      <c r="I29" s="10"/>
      <c r="J29" s="2"/>
      <c r="K29" s="2"/>
      <c r="L29" s="2"/>
      <c r="M29" s="2"/>
      <c r="N29" s="2"/>
      <c r="O29" s="2"/>
      <c r="P29" s="2"/>
      <c r="Q29" s="2"/>
      <c r="R29" s="2"/>
      <c r="S29" s="2"/>
      <c r="T29" s="2"/>
      <c r="U29" s="2"/>
      <c r="V29" s="2"/>
      <c r="W29" s="2"/>
      <c r="X29" s="2"/>
      <c r="Y29" s="2"/>
      <c r="Z29" s="2"/>
    </row>
    <row r="30" spans="1:26" ht="22.5" customHeight="1">
      <c r="A30" s="2"/>
      <c r="B30" s="10"/>
      <c r="C30" s="10"/>
      <c r="D30" s="10"/>
      <c r="E30" s="10"/>
      <c r="F30" s="10"/>
      <c r="G30" s="10"/>
      <c r="H30" s="10"/>
      <c r="I30" s="10"/>
      <c r="J30" s="2"/>
      <c r="K30" s="2"/>
      <c r="L30" s="2"/>
      <c r="M30" s="2"/>
      <c r="N30" s="2"/>
      <c r="O30" s="2"/>
      <c r="P30" s="2"/>
      <c r="Q30" s="2"/>
      <c r="R30" s="2"/>
      <c r="S30" s="2"/>
      <c r="T30" s="2"/>
      <c r="U30" s="2"/>
      <c r="V30" s="2"/>
      <c r="W30" s="2"/>
      <c r="X30" s="2"/>
      <c r="Y30" s="2"/>
      <c r="Z30" s="2"/>
    </row>
    <row r="31" spans="1:26" ht="22.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22.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22.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2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22.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22.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22.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22.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22.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22.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22.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22.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22.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22.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22.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22.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22.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22.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22.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22.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22.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22.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22.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22.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22.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22.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22.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22.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22.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22.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22.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22.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22.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22.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22.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22.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22.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22.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22.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22.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22.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22.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22.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22.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22.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22.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22.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22.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22.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22.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22.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22.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22.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22.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22.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22.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22.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22.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22.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22.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22.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22.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22.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22.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22.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22.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22.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22.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22.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22.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22.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22.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22.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22.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22.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22.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22.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22.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22.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22.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22.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22.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22.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22.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22.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22.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22.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22.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22.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22.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22.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22.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22.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22.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22.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22.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22.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22.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22.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22.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22.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22.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22.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22.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22.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22.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22.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2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22.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22.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22.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22.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22.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22.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22.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22.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22.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22.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22.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22.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22.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22.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22.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22.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22.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22.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22.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22.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22.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22.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22.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22.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22.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22.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22.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22.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22.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22.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22.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22.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22.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22.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22.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22.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22.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22.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22.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22.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22.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22.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22.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22.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22.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22.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22.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22.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22.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22.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22.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22.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22.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22.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22.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22.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22.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22.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22.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22.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22.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22.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22.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22.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22.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22.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22.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22.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22.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22.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22.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22.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22.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22.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22.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22.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22.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22.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22.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22.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22.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22.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22.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22.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22.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22.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22.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22.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22.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22.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22.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22.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22.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22.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22.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22.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22.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22.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22.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22.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22.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22.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22.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22.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22.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22.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22.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22.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22.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22.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22.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22.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22.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22.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22.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22.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22.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22.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22.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22.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22.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22.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22.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22.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22.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22.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22.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22.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22.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22.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22.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22.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22.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22.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22.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22.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22.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22.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22.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22.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22.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22.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22.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22.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22.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22.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22.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22.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22.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22.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22.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22.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22.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22.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22.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22.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22.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22.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22.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22.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22.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22.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22.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22.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22.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22.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22.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22.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22.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22.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22.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22.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22.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22.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22.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22.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22.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22.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22.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22.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22.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22.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22.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22.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22.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22.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22.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22.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22.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22.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22.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22.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22.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22.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22.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22.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22.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22.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22.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22.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22.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22.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22.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22.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22.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22.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22.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22.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22.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22.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22.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22.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22.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22.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22.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22.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22.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22.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22.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22.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22.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22.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22.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22.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22.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22.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22.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22.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22.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22.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22.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22.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22.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22.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22.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22.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22.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22.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22.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22.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22.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22.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22.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22.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22.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22.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22.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22.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22.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22.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22.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22.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22.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22.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22.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22.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22.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22.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22.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22.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22.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22.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22.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22.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22.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22.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22.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22.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22.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22.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22.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22.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22.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22.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22.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22.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22.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22.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22.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22.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22.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22.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22.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22.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22.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22.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22.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22.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22.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22.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22.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22.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22.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22.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22.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22.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22.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22.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22.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22.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22.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22.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22.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22.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22.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22.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22.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22.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22.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22.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22.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22.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22.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22.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22.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22.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22.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22.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22.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22.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22.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22.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22.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22.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22.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22.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22.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22.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22.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22.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22.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22.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22.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22.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22.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22.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22.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22.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22.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22.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22.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22.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22.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22.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22.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22.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22.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22.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22.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22.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22.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22.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22.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22.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22.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22.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22.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22.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22.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22.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22.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22.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22.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22.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22.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22.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22.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22.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22.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22.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22.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22.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22.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22.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22.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22.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22.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22.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22.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22.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22.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22.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22.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22.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22.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22.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22.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22.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22.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22.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22.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22.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22.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22.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22.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22.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22.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22.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22.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22.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22.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22.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22.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22.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22.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22.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22.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22.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22.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22.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22.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22.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22.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22.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22.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22.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22.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22.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22.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22.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22.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22.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22.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22.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22.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22.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22.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22.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22.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22.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22.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22.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22.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22.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22.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22.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22.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22.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22.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22.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22.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22.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22.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22.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22.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22.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22.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22.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22.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22.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22.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22.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22.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22.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22.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22.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22.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22.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22.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22.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22.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22.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22.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22.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22.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22.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22.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22.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22.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22.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22.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22.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22.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22.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22.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22.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22.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22.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22.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22.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22.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22.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22.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22.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22.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22.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22.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22.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22.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22.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22.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22.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22.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22.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22.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22.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22.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22.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22.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22.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22.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22.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22.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22.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22.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22.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22.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22.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22.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22.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22.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22.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22.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22.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22.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22.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22.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22.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22.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22.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22.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22.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22.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22.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22.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22.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22.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22.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22.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22.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22.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22.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22.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22.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22.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22.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22.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22.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22.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22.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22.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22.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22.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22.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22.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22.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22.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22.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22.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22.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22.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22.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22.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22.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22.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22.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22.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22.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22.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22.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22.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22.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22.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22.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22.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22.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22.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22.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22.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22.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22.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22.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22.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22.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22.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22.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22.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22.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22.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22.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22.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22.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22.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22.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22.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22.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22.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22.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22.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22.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22.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22.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22.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22.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22.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22.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22.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22.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22.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22.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22.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22.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22.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22.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22.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22.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22.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22.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22.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22.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22.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22.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22.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22.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22.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22.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22.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22.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22.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22.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22.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22.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22.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22.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22.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22.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22.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22.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22.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22.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22.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22.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22.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22.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22.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22.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22.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22.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22.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22.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22.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22.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22.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22.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22.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22.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22.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22.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22.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22.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22.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22.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22.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22.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22.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22.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22.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22.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22.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22.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22.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22.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22.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22.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22.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22.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22.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22.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22.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22.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22.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22.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22.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22.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22.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22.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22.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22.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22.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22.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22.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22.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22.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22.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22.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22.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22.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22.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22.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22.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22.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22.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22.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22.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22.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22.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22.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22.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22.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22.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22.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22.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22.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22.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22.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22.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22.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22.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22.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22.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22.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22.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22.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22.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22.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22.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22.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22.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22.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22.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22.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22.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22.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22.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22.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22.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22.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22.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22.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22.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22.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22.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22.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22.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22.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22.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22.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22.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22.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22.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22.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22.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22.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22.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22.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22.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22.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22.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22.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22.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22.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22.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22.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22.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22.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22.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22.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22.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22.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22.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22.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22.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22.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22.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22.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22.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22.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22.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22.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22.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22.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22.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22.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22.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22.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22.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22.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22.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22.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22.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22.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22.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22.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22.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22.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22.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22.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22.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22.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22.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22.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22.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22.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22.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22.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22.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22.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22.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22.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22.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22.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22.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22.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22.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22.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22.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22.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22.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22.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22.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22.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22.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22.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22.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22.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22.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22.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22.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22.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22.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22.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22.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22.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22.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22.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22.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22.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22.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22.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22.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22.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22.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22.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22.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22.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22.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22.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22.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22.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22.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22.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22.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22.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22.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22.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22.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22.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22.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22.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22.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22.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22.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22.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22.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22.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22.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22.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22.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22.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22.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22.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22.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2">
    <mergeCell ref="E14:I14"/>
    <mergeCell ref="A3:I3"/>
    <mergeCell ref="B6:H6"/>
    <mergeCell ref="B11:D11"/>
    <mergeCell ref="E11:I11"/>
    <mergeCell ref="C13:D13"/>
    <mergeCell ref="E13:I13"/>
    <mergeCell ref="C20:D20"/>
    <mergeCell ref="B21:D21"/>
    <mergeCell ref="B22:D22"/>
    <mergeCell ref="E15:I15"/>
    <mergeCell ref="E16:I16"/>
    <mergeCell ref="E17:I17"/>
    <mergeCell ref="E19:I19"/>
    <mergeCell ref="E20:I20"/>
    <mergeCell ref="E21:I21"/>
    <mergeCell ref="E22:I22"/>
    <mergeCell ref="C14:D14"/>
    <mergeCell ref="C15:D15"/>
    <mergeCell ref="C16:D16"/>
    <mergeCell ref="C17:D17"/>
    <mergeCell ref="C19:D19"/>
  </mergeCells>
  <phoneticPr fontId="11"/>
  <printOptions horizontalCentered="1"/>
  <pageMargins left="0.78740157480314965" right="0.78740157480314965" top="0.78740157480314965" bottom="0.59055118110236227" header="0" footer="0"/>
  <pageSetup paperSize="9" fitToHeight="0" orientation="portrait"/>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様式１　プログラムを構成する授業科目 </vt:lpstr>
      <vt:lpstr>様式２ 履修者等数の実績</vt:lpstr>
      <vt:lpstr>様式３ 教育の質・履修者数を向上させるための体制・計画</vt:lpstr>
      <vt:lpstr>様式４　自己点検・評価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笠原　祐幸</cp:lastModifiedBy>
  <dcterms:created xsi:type="dcterms:W3CDTF">2011-06-14T05:32:50Z</dcterms:created>
  <dcterms:modified xsi:type="dcterms:W3CDTF">2023-06-29T06:37:34Z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