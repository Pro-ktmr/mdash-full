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4"/>
  <workbookPr defaultThemeVersion="124226"/>
  <mc:AlternateContent xmlns:mc="http://schemas.openxmlformats.org/markup-compatibility/2006">
    <mc:Choice Requires="x15">
      <x15ac:absPath xmlns:x15ac="http://schemas.microsoft.com/office/spreadsheetml/2010/11/ac" url="\\10.1.2.2\ファイルサーバ\121【同朋大学（専用）】\13_教務専用\10_各種資格\数理・データサイエンス・ＡＩ\230720再提出フォルダ\01_同朋大学_リテラシー\"/>
    </mc:Choice>
  </mc:AlternateContent>
  <xr:revisionPtr revIDLastSave="0" documentId="13_ncr:1_{B8811E8C-0149-407F-A31B-FA53E9882DFE}" xr6:coauthVersionLast="36" xr6:coauthVersionMax="47" xr10:uidLastSave="{00000000-0000-0000-0000-000000000000}"/>
  <bookViews>
    <workbookView xWindow="996" yWindow="0" windowWidth="22044" windowHeight="9192"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49"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8" i="41" s="1"/>
</calcChain>
</file>

<file path=xl/sharedStrings.xml><?xml version="1.0" encoding="utf-8"?>
<sst xmlns="http://schemas.openxmlformats.org/spreadsheetml/2006/main" count="315" uniqueCount="175">
  <si>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</si>
  <si>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</si>
  <si>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</si>
  <si>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</si>
  <si>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</si>
  <si>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</si>
  <si>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</si>
  <si>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</si>
  <si>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</si>
  <si>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</si>
  <si>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</si>
  <si>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</si>
  <si>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</si>
  <si>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</si>
  <si>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</si>
  <si>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</si>
  <si>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</si>
  <si>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</si>
  <si>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</si>
  <si>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</si>
  <si>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</si>
  <si>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</si>
  <si>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</si>
  <si>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</si>
  <si>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</si>
  <si>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</si>
  <si>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</si>
  <si>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</si>
  <si>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</si>
  <si>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</si>
  <si>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</si>
  <si>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</si>
  <si>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</si>
  <si>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</si>
  <si>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</si>
  <si>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</si>
  <si>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</si>
  <si>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</si>
  <si>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</si>
  <si>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</si>
  <si>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</si>
  <si>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</si>
  <si>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</si>
  <si>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</si>
  <si>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</si>
  <si>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</si>
  <si>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</si>
  <si>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</si>
  <si>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</si>
  <si>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</si>
  <si>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</si>
  <si>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</si>
  <si>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</si>
  <si>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</si>
  <si>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</si>
  <si>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</si>
  <si>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</si>
  <si>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</si>
  <si>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</si>
  <si>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</si>
  <si>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</si>
  <si>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</si>
  <si>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</si>
  <si>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</si>
  <si>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</si>
  <si>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</si>
  <si>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</si>
  <si>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</si>
  <si>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</si>
  <si>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</si>
  <si>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</si>
  <si>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</si>
  <si>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</si>
  <si>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</si>
  <si>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</si>
  <si>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</si>
  <si>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</si>
  <si>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</si>
  <si>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</si>
  <si>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</si>
  <si>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</si>
  <si>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</si>
  <si>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</si>
  <si>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</si>
  <si>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</si>
  <si>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</si>
  <si>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</si>
  <si>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</si>
  <si>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</si>
  <si>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</si>
  <si>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</si>
  <si>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</si>
  <si>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</si>
  <si>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</si>
  <si>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</si>
  <si>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</si>
  <si>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</si>
  <si>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</si>
  <si>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</si>
  <si>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</si>
  <si>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</si>
  <si>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</si>
  <si>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</si>
  <si>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</si>
  <si>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</si>
  <si>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</si>
  <si>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</si>
  <si>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</si>
  <si>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</si>
  <si>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</si>
  <si>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</si>
  <si>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</si>
  <si>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</si>
  <si>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</si>
  <si>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</si>
  <si>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</si>
  <si>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</si>
  <si>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</si>
  <si>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</si>
  <si>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</si>
  <si>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</si>
  <si>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</si>
  <si>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</si>
  <si>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</si>
  <si>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</si>
  <si>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</si>
  <si>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</si>
  <si>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同朋大学</t>
    <rPh sb="0" eb="4">
      <t>ドウホウダイガク</t>
    </rPh>
    <phoneticPr fontId="1"/>
  </si>
  <si>
    <t>学部・学科によって、修了要件は相違しない</t>
  </si>
  <si>
    <t>文学部</t>
    <rPh sb="0" eb="3">
      <t>ブンガクブ</t>
    </rPh>
    <phoneticPr fontId="1"/>
  </si>
  <si>
    <t>社会福祉学部</t>
    <rPh sb="0" eb="6">
      <t>シャカイフクシガクブ</t>
    </rPh>
    <phoneticPr fontId="1"/>
  </si>
  <si>
    <t>令和4</t>
    <rPh sb="0" eb="2">
      <t>レイワ</t>
    </rPh>
    <phoneticPr fontId="1"/>
  </si>
  <si>
    <t>教学マネジメント委員会</t>
    <rPh sb="0" eb="2">
      <t>キョウガク</t>
    </rPh>
    <rPh sb="8" eb="11">
      <t>イインカイ</t>
    </rPh>
    <phoneticPr fontId="1"/>
  </si>
  <si>
    <t>松田　正久</t>
    <rPh sb="0" eb="2">
      <t>マツダ</t>
    </rPh>
    <rPh sb="3" eb="5">
      <t>マサヒサ</t>
    </rPh>
    <phoneticPr fontId="1"/>
  </si>
  <si>
    <t>学長</t>
    <rPh sb="0" eb="2">
      <t>ガクチョウ</t>
    </rPh>
    <phoneticPr fontId="1"/>
  </si>
  <si>
    <t>データサイエンス教育に関しての連携協力企業からの意見を踏まえると、特に文系学生に対しては、数理・データサイエンス・ＡＩに関しての技術や知識を期待されることは多くないため、現時点での技術や知識の習得を目指すのではなく、これらの概念を理解するとともに、これからの社会におけるこれらの役割について理解することを基本に据えることで、その活用能力の育成に重点を置くこととする。このことは、急速に変化変容していくであろうこれからの社会において、自分の意見を持ち、臆することなく提案を行っていける、そうした主体的に活躍できる人材の育成、自身の役割を自らが創出できる能力の育成へと繋がると考える。</t>
    <phoneticPr fontId="1"/>
  </si>
  <si>
    <t>数理・データサイエンス・AI教育プログラム</t>
    <rPh sb="0" eb="2">
      <t>スウリ</t>
    </rPh>
    <rPh sb="14" eb="16">
      <t>キョウイク</t>
    </rPh>
    <phoneticPr fontId="1"/>
  </si>
  <si>
    <t>○</t>
  </si>
  <si>
    <t>教学マネジメント委員会</t>
    <rPh sb="0" eb="2">
      <t>キョウガク</t>
    </rPh>
    <rPh sb="8" eb="11">
      <t>イインカイ</t>
    </rPh>
    <phoneticPr fontId="1"/>
  </si>
  <si>
    <t>石川　洋</t>
    <phoneticPr fontId="1"/>
  </si>
  <si>
    <t>社会福祉学部教授</t>
    <rPh sb="0" eb="2">
      <t>シャカイ</t>
    </rPh>
    <rPh sb="2" eb="4">
      <t>フクシ</t>
    </rPh>
    <rPh sb="4" eb="6">
      <t>ガクブ</t>
    </rPh>
    <rPh sb="6" eb="8">
      <t>キョウジュ</t>
    </rPh>
    <phoneticPr fontId="1"/>
  </si>
  <si>
    <t>同朋大学教学マネジメント委員会規程</t>
    <rPh sb="0" eb="4">
      <t>ドウホウダイガク</t>
    </rPh>
    <rPh sb="4" eb="6">
      <t>キョウガク</t>
    </rPh>
    <rPh sb="12" eb="15">
      <t>イインカイ</t>
    </rPh>
    <rPh sb="15" eb="17">
      <t>キテイ</t>
    </rPh>
    <phoneticPr fontId="1"/>
  </si>
  <si>
    <t>・ビッグデータ、IoT、AI、ロボット「数理・データサイエンス・AI入門」（１回目）
・データ量の増加、計算機の処理性能の向上、AIの非連続的進化「数理・データサイエンス・AI入門」（１回目）
・第4次産業革命、Society 5.0、データ駆動型社会「数理・データサイエンス・AI入門」（１回目）
・データを起点としたものの見方、人間の知的活動を起点としたものの見方「数理・データサイエンス・AI入門」（１回目）
・ビッグデータ，第４次産業革命，人間の知的活動とAI「情報社会B」（1回目）</t>
    <phoneticPr fontId="1"/>
  </si>
  <si>
    <t>・AI等を活用した新しいビジネスモデル(シェアリングエコノミー、商品のレコメンデーションなど)「数理・データサイエンス・AI入門」（6回目）
・AI最新技術の活用例（深層生成モデル、強化学習など）「数理・データサイエンス・AI入門」（6回目）</t>
    <phoneticPr fontId="1"/>
  </si>
  <si>
    <t>・調査データ、実験データ、人の行動ログデータ、機械の稼働ログデータなど「数理・データサイエンス・AI入門」（2・7回目）
・1次データ、2次データ、データのメタ化「数理・データサイエンス・AI入門」（2回目）
・構造化データ、非構造化データ（文章、画像/動画、音声/音楽など）「数理・データサイエンス・AI入門」（2回目）
・データのオープン化（オープンデータ）「数理・データサイエンス・AI入門」（2回目）
・世論調査とデータ「情報社会B」（2回目）</t>
    <phoneticPr fontId="1"/>
  </si>
  <si>
    <t>・データ・AI活用領域の広がり(生産、消費、文化活動など)「数理・データサイエンス・AI入門」（3回目）
・研究開発、調達、製造、物流、販売、マーケティング、サービスなど「数理・データサイエンス・AI入門」（3回目）
・世論調査とデータ「情報社会B」（2回目）
・心理学と統計「情報社会B」（5・6・7回目）
・AIについて「情報社会B」（8回目）
・国語学と情報社会「情報社会B」（14回目）</t>
    <phoneticPr fontId="1"/>
  </si>
  <si>
    <t>・非構造化データ処理：言語処理、画像/動画処理、音声/音楽処理など「数理・データサイエンス・AI入門」（4回目）
・特化型AIと汎用AI、今のAIで出来ることと出来ないこと、AIとビッグデータ「数理・データサイエンス・AI入門」（4回目）
・認識技術、ルールベース、自動化技術「数理・データサイエンス・AI入門」（4回目）</t>
    <phoneticPr fontId="1"/>
  </si>
  <si>
    <t>・データサイエンスのサイクル（課題抽出と定式化、データの取得・管理・加工）「数理・データサイエンス・AI入門」（5回目）
・流通、製造、金融、サービス、インフラ、公共、ヘルスケア等におけるデータ「数理・データサイエンス・AI入門」（5回目）
・AI利活用事例紹介「数理・データサイエンス・AI入門」（5回目）
・世論調査とデータ「情報社会B」（2回目）
・心理学と統計「情報社会B」（5回目）
・データを使ったグループディスカッション「情報社会B」（12回目）</t>
    <phoneticPr fontId="1"/>
  </si>
  <si>
    <t>・ELSI（Ethical, Legal and Social Issues）「数理・データサイエンス・AI入門」（15回目）
・個人情報保護、EU一般データ保護規則(GDPR)、忘れられる権利、オプトアウト「数理・データサイエンス・AI入門」（15回目）
・データ倫理：データのねつ造、改ざん、盗用、プライバシー保護「数理・データサイエンス・AI入門」（15回目）
・AI社会原則（公平性、説明責任、透明性、人間中心の判断）「数理・データサイエンス・AI入門」（15回目）
・データバイアス、アルゴリズムバイアス「数理・データサイエンス・AI入門」（15回目）
・文章や画像の利用と著作権「情報社会B」（10・11回目）</t>
    <phoneticPr fontId="1"/>
  </si>
  <si>
    <t>・情報セキュリティ：機密性、完全性、可用性「数理・データサイエンス・AI入門」（7回目）
・匿名加工情報、暗号化、パスワード、悪意ある情報搾取「数理・データサイエンス・AI入門」（7回目）
・情報漏洩等によるセキュリティ事故の事例紹介「数理・データサイエンス・AI入門」（7回目）</t>
    <phoneticPr fontId="1"/>
  </si>
  <si>
    <t>・データの種類（量的変数、質的変数）「数理・データサイエンス・AI入門」（8回目）
・クロス集計表「数理・データサイエンス・AI入門」（8回目）
・データの分布(ヒストグラム)「数理・データサイエンス・AI入門」（9回目）
・代表値（平均値、中央値、最頻値）「数理・データサイエンス・AI入門」（10回目）
・データのばらつき（分散、標準偏差、偏差値）「数理・データサイエンス・AI入門」（11回目）
・相関と因果（相関係数、相関関係）「数理・データサイエンス・AI入門」（12回目）
・グラフや表の見方「情報社会B」（3回目）
・グラフや表から言えることの文章化「情報社会B」（4回目）
・心理学と統計「情報社会B」（6回目）
・統計情報の正しい理解「情報社会B」（9回目）
・国語学と情報社会「情報社会B」（14回目）</t>
    <phoneticPr fontId="1"/>
  </si>
  <si>
    <t>・データ表現（棒グラフ、折線グラフ、散布図など）「数理・データサイエンス・AI入門」（9・14回目）
・データの図表表現（チャート化）「数理・データサイエンス・AI入門」（9・14回目）
・グラフや表から言えることの文章化「情報社会B」（4回目）
・データをまとめて報告「情報社会B」（13回目）</t>
    <rPh sb="145" eb="147">
      <t>カイメ</t>
    </rPh>
    <phoneticPr fontId="1"/>
  </si>
  <si>
    <t>・データの並び替え、ランキング「数理・データサイエンス・AI入門」（8・12・13回目）
・データの集計（和、平均）「数理・データサイエンス・AI入門」（10・11・12・13・14回目）
・心理学と統計「情報社会B」（7回目）
・データを使ったグループディスカッション「情報社会B」（12回目）
・データをまとめて報告「情報社会B」（13回目）
・国語学と情報社会「情報社会B」（14回目）</t>
    <phoneticPr fontId="1"/>
  </si>
  <si>
    <t>①松田　正久（学長）
②目黒　達哉（人間学研究科長、社会福祉学部教授）
③福田　琢（文学部長、教授）
④吉田　みゆき（社会福祉学部長、教授　）
⑤三川　智央（人文学科長、文学部准教授）
⑥汲田　千賀子（社会福祉学科長、社会福祉学部准教授）
⑦北島　信子（社会福祉学科長、社会福祉学部教授）　
⑧山脇　雅夫（入試センター長補佐、文学部教授）
⑨安藤　弥（学務部長、文学部教授）
⑩井上　薫（社会福祉学部教授）
⑪岩瀬　真寿美（社会福祉学部准教授）
⑫田畑　尚樹（事務部長）
⑬竹谷　慎吾（事務部課長）</t>
    <rPh sb="7" eb="9">
      <t>ガクチョウ</t>
    </rPh>
    <rPh sb="32" eb="34">
      <t>キョウジュ</t>
    </rPh>
    <rPh sb="47" eb="49">
      <t>キョウジュ</t>
    </rPh>
    <rPh sb="67" eb="69">
      <t>キョウジュ</t>
    </rPh>
    <rPh sb="85" eb="88">
      <t>ブンガクブ</t>
    </rPh>
    <rPh sb="88" eb="91">
      <t>ジュンキョウジュ</t>
    </rPh>
    <rPh sb="115" eb="116">
      <t>ジュン</t>
    </rPh>
    <rPh sb="239" eb="241">
      <t>シンゴ</t>
    </rPh>
    <phoneticPr fontId="1"/>
  </si>
  <si>
    <t>松田　正久</t>
    <rPh sb="0" eb="2">
      <t>マツダ</t>
    </rPh>
    <rPh sb="3" eb="5">
      <t>マサヒサ</t>
    </rPh>
    <phoneticPr fontId="1"/>
  </si>
  <si>
    <t>学長</t>
    <rPh sb="0" eb="2">
      <t>ガクチョウ</t>
    </rPh>
    <phoneticPr fontId="1"/>
  </si>
  <si>
    <t>全学的に実施している授業評価アンケートでは、後輩等他の学生への推奨度を問う項目は設定されていない。
今後、教学マネジメント委員会で本教育プログラムの科目を対象とした独自のアンケートの実施を行い、学生の内容の理解度の把握、後輩学生への推奨度等の調査を実施していくことを検討する。</t>
    <rPh sb="50" eb="52">
      <t>コンゴ</t>
    </rPh>
    <rPh sb="94" eb="95">
      <t>オコナ</t>
    </rPh>
    <rPh sb="124" eb="126">
      <t>ジッシ</t>
    </rPh>
    <phoneticPr fontId="1"/>
  </si>
  <si>
    <t>数理・データサイエンス・AI入門</t>
    <rPh sb="0" eb="2">
      <t>スウリ</t>
    </rPh>
    <rPh sb="14" eb="16">
      <t>ニュウモン</t>
    </rPh>
    <phoneticPr fontId="1"/>
  </si>
  <si>
    <t>数理・データサイエンス・AI入門</t>
    <phoneticPr fontId="1"/>
  </si>
  <si>
    <t>同朋大学教学マネジメント委員会は，本学の理念と目的を踏まえ、教育目標を達成するために教育課程を編成し、その実現のための教育指導の実践・結果・評価の有機的な展開に向け、内部組織を整備、運営することを目的としている。本委員会の主な審議事項は次の通りである。
(1) 本学の理念及び目的に関すること。
(2) 学位の授与方針（ディプロマポリシー）、教育課程編成方針（カリキュラムポリシー）、入学者受け入れ方針（アドミッションポリシー）の策定、及びこれらの総合的運用に関すること。
(3) 学生の修学指導及びキャリア教育の基本方針に関すること。
(4) 教育活動の基本方針に関すること。
(5) 教学マネジメント体制に関すること。
(6) その他、教学マネジメントにかかる重要事項に関すること。
本委員会が中心となり、文系学部向けの数理・データサイエンス・AI教育（リテラシーレベル）の導入・実施を目的とした準備を進め、令和２（2020）年度に「数理・データサイエンス・ＡＩ教育強化拠点コンソーシアム」に加盟した。令和４（2022）年度より、異なる専門性を持った各大学の教育資源の活用、大学間の連携の強化、学生の交流の促進を目的とし、同朋大学・名古屋音楽大学共同のプログラムを開始した。</t>
    <rPh sb="406" eb="408">
      <t>レイワ</t>
    </rPh>
    <rPh sb="453" eb="455">
      <t>レイワ</t>
    </rPh>
    <rPh sb="534" eb="536">
      <t>カイシ</t>
    </rPh>
    <phoneticPr fontId="1"/>
  </si>
  <si>
    <t>本学では、毎年度、全学生に対し履修に関するガイダンスを行うとともに、合わせて「学生生活・履修要項」を配付、卒業要件だけでなく、各種資格課程についての履修方法についても、周知を行ってきた。
令和４（2022）年度からの「数理・データサイエンス・AI教育プログラム」開始にあたり、本教育プログラムについても、「学生生活・履修要項」において、周知を行っている。
今後は、本教育プログラムの概要・特徴や修得できる能力・スキルについて学年別履修ガイダンスで説明する。さらに、本学の公式Webサイトにおいても本教育プログラムの概要を掲載し、学生が履修に関する情報を入手しやすい環境を提供する。
また、ガイダンスに合わせ、新入生に対しては、Microsoft Teams等を用いた授業についての受講方法について、別途時間を設け説明を行っている。今後、この機会も利用し、数理・データサイエンス・ＡＩ教育の重要性を伝えるとともに、受講への意識を高めていく。</t>
    <rPh sb="94" eb="96">
      <t>レイワ</t>
    </rPh>
    <rPh sb="131" eb="133">
      <t>カイシ</t>
    </rPh>
    <rPh sb="138" eb="141">
      <t>ホンキョウイク</t>
    </rPh>
    <rPh sb="178" eb="180">
      <t>コンゴ</t>
    </rPh>
    <phoneticPr fontId="1"/>
  </si>
  <si>
    <t>本学では、令和２（2020）年度より、全ての開講科目について、Microsoft Teamsに履修クラス毎の「チーム」を設定、オンライン、オンデマンドで行った授業について、授業時間外に資料等の確認、復習ができるようにしている。また、チームや個別のチャットにより、授業時間内外での学習指導や質問等の受け付けができるようになっている。
その他、対面においても、全ての専任教員に、週２回のオフィスアワーの設定を義務づけ、授業時間外の学生の質問等対応を行える体制を整えている。
今後、新たな学習システム導入を計画しており、特に「数理・データサイエンス・ＡＩ教育プログラム」において、ＬＭＳを用いた、授業教材等の公開、受講生に対して共有を行っていく。</t>
    <rPh sb="5" eb="7">
      <t>レイワ</t>
    </rPh>
    <rPh sb="187" eb="188">
      <t>シュウ</t>
    </rPh>
    <rPh sb="189" eb="190">
      <t>カイ</t>
    </rPh>
    <phoneticPr fontId="1"/>
  </si>
  <si>
    <t>全学的に実施している授業評価アンケートによると、以下の項目において高い評価（５点満点で４点）を得ていることが確認できた。
・この授業は新たな知識や技術の習得に役立っているか。
・この授業によってあなたはその科目領域に関する視野が広がっているか。
・あなたは、この授業に全体として満足しているか。</t>
    <rPh sb="39" eb="42">
      <t>テンマンテン</t>
    </rPh>
    <rPh sb="44" eb="45">
      <t>テン</t>
    </rPh>
    <rPh sb="54" eb="56">
      <t>カクニン</t>
    </rPh>
    <phoneticPr fontId="1"/>
  </si>
  <si>
    <t>令和４（2022）年度より、本教育プログラムを開始し、４年時生も受講したが、令和４（2022）年度卒業生で、本教育プログラムを修了した学生はいない。
今後、本教育プログラムを修了した学生の、卒業後の活躍状況、企業等の評価について、追跡調査する手段を、教学マネジメント委員会において、検討していきたい。</t>
    <rPh sb="9" eb="11">
      <t>ネンド</t>
    </rPh>
    <rPh sb="14" eb="17">
      <t>ホンキョウイク</t>
    </rPh>
    <rPh sb="23" eb="25">
      <t>カイシ</t>
    </rPh>
    <rPh sb="28" eb="31">
      <t>ネンジセイ</t>
    </rPh>
    <rPh sb="32" eb="34">
      <t>ジュコウ</t>
    </rPh>
    <rPh sb="47" eb="49">
      <t>ネンド</t>
    </rPh>
    <rPh sb="49" eb="52">
      <t>ソツギョウセイ</t>
    </rPh>
    <rPh sb="54" eb="57">
      <t>ホンキョウイク</t>
    </rPh>
    <rPh sb="63" eb="65">
      <t>シュウリョウ</t>
    </rPh>
    <rPh sb="67" eb="69">
      <t>ガクセイ</t>
    </rPh>
    <rPh sb="75" eb="77">
      <t>コンゴ</t>
    </rPh>
    <rPh sb="78" eb="81">
      <t>ホンキョウイク</t>
    </rPh>
    <rPh sb="87" eb="89">
      <t>シュウリョウ</t>
    </rPh>
    <rPh sb="91" eb="93">
      <t>ガクセイ</t>
    </rPh>
    <rPh sb="95" eb="98">
      <t>ソツギョウゴ</t>
    </rPh>
    <rPh sb="99" eb="103">
      <t>カツヤクジョウキョウ</t>
    </rPh>
    <rPh sb="104" eb="107">
      <t>キギョウトウ</t>
    </rPh>
    <rPh sb="108" eb="110">
      <t>ヒョウカ</t>
    </rPh>
    <rPh sb="115" eb="119">
      <t>ツイセキチョウサ</t>
    </rPh>
    <rPh sb="121" eb="123">
      <t>シュダン</t>
    </rPh>
    <rPh sb="125" eb="127">
      <t>キョウガク</t>
    </rPh>
    <rPh sb="133" eb="136">
      <t>イインカイ</t>
    </rPh>
    <rPh sb="141" eb="143">
      <t>ケントウ</t>
    </rPh>
    <phoneticPr fontId="1"/>
  </si>
  <si>
    <t>実際の課題を与え、自らの考えをまとめさせるとともにChatGPT等のオープンＡＩを用いた回答を参考にしながら、自らの思考とＡＩを活用した回答との違いから、比較検討してもらうことにより、ＡＩの重要性への気づきの経過とするなど、文系の学生の論理的思考を育てるために工夫した教材を構築する。また、データサイエンスへの応用として、学生アンケートを活用して、それをまとめていく課題を与え、そのプロセスの重要性と意義を学ばせたり、そのデータ相互の相関等について解析させるなど、一段と面白いデータ処理が可能なことに気づかせるなど工夫を行う。</t>
    <phoneticPr fontId="1"/>
  </si>
  <si>
    <t>DXリテラシーカリキュラムの構成として、情報とは・ＡＩ・IoT・データサイエンスの4つの柱で構成し、各回ごとの小テストでの確認と、それぞれの単元終了時で確認テストを実施するなどして、受講生の理解度を図りながら授業進めるなど、授業形式にも工夫をすると同時に、学生の理解度に合わせカリキュラム内容を常時見直すなど、わかりやすく身につく授業を心掛ける。何よりも文系学生もこれからの社会には、DXが欠かせないことを確認し、その理解度を助ける工夫を検討する仕組みを構築するために、教学マネジメント委員会内に情報DX部会を設置する。</t>
    <rPh sb="82" eb="84">
      <t>ジッシ</t>
    </rPh>
    <rPh sb="219" eb="221">
      <t>ケントウ</t>
    </rPh>
    <rPh sb="223" eb="225">
      <t>シク</t>
    </rPh>
    <rPh sb="227" eb="229">
      <t>コウチク</t>
    </rPh>
    <rPh sb="235" eb="237">
      <t>キョウガク</t>
    </rPh>
    <rPh sb="243" eb="246">
      <t>イインカイ</t>
    </rPh>
    <rPh sb="246" eb="247">
      <t>ナイ</t>
    </rPh>
    <rPh sb="248" eb="250">
      <t>ジョウホウ</t>
    </rPh>
    <rPh sb="252" eb="254">
      <t>ブカイ</t>
    </rPh>
    <rPh sb="255" eb="257">
      <t>セッチ</t>
    </rPh>
    <phoneticPr fontId="1"/>
  </si>
  <si>
    <t>・数理・データサイエンス・AIに関する知識・技能をもとに、データを適切に解読・利用するための基礎的な数理的思考を身に付けることができる。
・事例やグループディスカッションを通してデータの利活用について人間中心の適切な判断ができ、不安なく自らの意思でAI等の恩恵を享受し、説明し、活用できる。
情報端末やインターネットの存在が社会に及ぼす影響について考察し、インターネット上の様々な情報に対する倫理観の重要性について認識することができる。</t>
    <phoneticPr fontId="1"/>
  </si>
  <si>
    <t>本学では、毎年度、全学生に対し履修に関するガイダンスを行うとともに、合わせて「学生生活・履修要項」を配付、卒業要件だけでなく、各種資格課程についての履修方法についても、周知を行ってきた。
令和４（2022）年度からの「数理・データサイエンス・AI教育プログラム」開始にあたり、同プログラムについても、「学生生活・履修要項」において、周知を行っている。
しかしながら、令和４（2022）年度当該カリキュラムを受講した学生は38名（内、10名は４年生で、対象２科目全てを受講（プログラムを修了）することなく卒業）と、全学生の４％にとどまった。
今後、より多くの学生が履修できるよう、全体のガイダンスにおいてもプログラムについての周知を行っていく。
また、ガイダンスに合わせ、新入生に対しては、Microsoft Teams等を用いた授業についての受講方法について、別途時間を設け説明を行っている。今後、この機会も利用し、文系の学生にとって数理・データサイエンス・ＡＩ教育がなぜ重要なのかを伝えるとともに、受講への意識を高めていく。</t>
    <rPh sb="131" eb="133">
      <t>カイシ</t>
    </rPh>
    <rPh sb="192" eb="194">
      <t>ネンド</t>
    </rPh>
    <rPh sb="194" eb="196">
      <t>トウガイ</t>
    </rPh>
    <rPh sb="203" eb="205">
      <t>ジュコウ</t>
    </rPh>
    <rPh sb="207" eb="209">
      <t>ガクセイ</t>
    </rPh>
    <rPh sb="212" eb="213">
      <t>メイ</t>
    </rPh>
    <rPh sb="214" eb="215">
      <t>ウチ</t>
    </rPh>
    <rPh sb="218" eb="219">
      <t>メイ</t>
    </rPh>
    <rPh sb="230" eb="231">
      <t>スベ</t>
    </rPh>
    <rPh sb="242" eb="244">
      <t>シュウリョウ</t>
    </rPh>
    <rPh sb="256" eb="259">
      <t>ゼンガクセイ</t>
    </rPh>
    <rPh sb="408" eb="410">
      <t>ブンケイ</t>
    </rPh>
    <rPh sb="411" eb="413">
      <t>ガクセイ</t>
    </rPh>
    <rPh sb="436" eb="438">
      <t>ジュウヨウ</t>
    </rPh>
    <phoneticPr fontId="1"/>
  </si>
  <si>
    <t>本学では、学内で、学生がいつでもオンラインによる授業等の受講や、オンデマンド教材の確認ができるよう、図書館やＭＭ教室、成徳館１階にパソコンを設置し、学生に開放している他、パソコンの購入が困難な学生には、ノートＰＣ及びポケットWi-Fiの貸与をおこなっている。また、これらの機器等の利用について、サポートする機関として、図書・情報センターに専門職員を配置するほか、令和５（2023）年度より、新たに情報を専門とする専任教員を採用し、学生からの質問に対応できるよう、体制を整えている。</t>
    <rPh sb="83" eb="84">
      <t>ホカ</t>
    </rPh>
    <rPh sb="106" eb="107">
      <t>オヨ</t>
    </rPh>
    <rPh sb="181" eb="183">
      <t>レイワ</t>
    </rPh>
    <phoneticPr fontId="1"/>
  </si>
  <si>
    <t>プログラムを構成する本学で開講している教養共通科目「情報社会B」（2単位）、名古屋音楽大学で開講している教養教育科目「数理・データサイエンス・AI入門」（2単位）を併せて4単位修得すること。</t>
    <rPh sb="6" eb="8">
      <t>コウセイ</t>
    </rPh>
    <rPh sb="10" eb="12">
      <t>ホンガク</t>
    </rPh>
    <rPh sb="13" eb="15">
      <t>カイコウ</t>
    </rPh>
    <rPh sb="26" eb="30">
      <t>ジョウホウシャカイ</t>
    </rPh>
    <rPh sb="34" eb="36">
      <t>タンイ</t>
    </rPh>
    <rPh sb="38" eb="41">
      <t>ナゴヤ</t>
    </rPh>
    <rPh sb="41" eb="45">
      <t>オンガクダイガク</t>
    </rPh>
    <rPh sb="46" eb="48">
      <t>カイコウ</t>
    </rPh>
    <rPh sb="54" eb="56">
      <t>キョウイク</t>
    </rPh>
    <rPh sb="64" eb="65">
      <t>アワ</t>
    </rPh>
    <rPh sb="68" eb="70">
      <t>タンイ</t>
    </rPh>
    <rPh sb="70" eb="72">
      <t>シュウトク</t>
    </rPh>
    <phoneticPr fontId="1"/>
  </si>
  <si>
    <t>情報社会B</t>
    <rPh sb="0" eb="4">
      <t>ジョウホウシャカイ</t>
    </rPh>
    <phoneticPr fontId="1"/>
  </si>
  <si>
    <t>本学の「数理・データサイエンス・ＡＩ教育プログラム」は、同朋大学が開講している「情報社会B」と、名古屋音楽大が開講している「数理・データサイエンス・AI入門」の２科目で構成されている。この、２科目については、学部・学科に関係なく希望する学生全員が受講可能となるよう、それぞれ学部共通科目及び自由科目として、全学生が卒業単位として単位認定できる科目となっている。
また、令和５（2023）年度より、新たに情報を専門とする専任教員を採用し、今後、科目のクラス数を増やすことにより、より多くの学生が受講できる体制を整えていくほか、合わせて本教育プログラムの必修化の検討を行っていく。</t>
    <rPh sb="184" eb="186">
      <t>レイワ</t>
    </rPh>
    <rPh sb="266" eb="269">
      <t>ホンキョウイク</t>
    </rPh>
    <phoneticPr fontId="1"/>
  </si>
  <si>
    <t xml:space="preserve">「数理・データサイエンス・ＡＩ教育プログラム」を開始するにあたり、本学では、令和２（2020）年度より「数理・データサイエンス・ＡＩ教育強化拠点コンソーシアム」に加盟し、情報を収集、教学マネジメント委員会においてカリキュラムの検討を行ってきた。令和４（2022）年度のプログラム開設にあたっては、既存の学部共通科目である「情報社会B」（全学生が卒業単位として単位認定可）の授業内容の見直しを行い、また、不足する内容については、同一法人の名古屋音楽大学の開講科目「数理・データサイエンス・ＡＩ入門」を加える（全学生が自由科目として卒業単位認定可）ことにより、全学生を対象としたプログラムを開始した。
今後、履修者数・履修率の向上に向けた計画として、教学マネジメント委員会において、学部共通科目の見直しを計画しており、その中で、本学が開講する、「数理・データサイエンス・ＡＩ教育プログラム」の科目を必修化することについて、令和７（2025）年度をめどに検討を進めていく。
</t>
    <rPh sb="24" eb="26">
      <t>カイシ</t>
    </rPh>
    <rPh sb="68" eb="70">
      <t>キョウカ</t>
    </rPh>
    <rPh sb="88" eb="90">
      <t>シュウシュウ</t>
    </rPh>
    <rPh sb="161" eb="165">
      <t>ジョウホウシャカイ</t>
    </rPh>
    <rPh sb="213" eb="215">
      <t>ドウイツ</t>
    </rPh>
    <rPh sb="231" eb="233">
      <t>スウリ</t>
    </rPh>
    <rPh sb="245" eb="247">
      <t>ニュウモン</t>
    </rPh>
    <rPh sb="278" eb="281">
      <t>ゼンガクセイ</t>
    </rPh>
    <rPh sb="282" eb="284">
      <t>タイショウ</t>
    </rPh>
    <rPh sb="293" eb="295">
      <t>カイシ</t>
    </rPh>
    <rPh sb="362" eb="364">
      <t>ホンガク</t>
    </rPh>
    <rPh sb="365" eb="367">
      <t>カイコウ</t>
    </rPh>
    <rPh sb="394" eb="396">
      <t>カモク</t>
    </rPh>
    <phoneticPr fontId="1"/>
  </si>
  <si>
    <t>本学において、「数理・データサイエンス・ＡＩ教育プログラム」は、令和４（2022）年度より開設、既存の科目を本教育プログラムの対象科目としたことにより、令和４（2022）年度入学生だけでなく、２～４年生も履修する事のできるプログラムとした。
令和４（2022）年度在学生の内、４年生で、対象２科目を受講して卒業した学生はいなかった。
また、１～３年生で、対象２科目の内、１科目以上履修した学生は28名であった。しかし、いずれの学生も、受講した科目は本学開講の「情報社会B」のみであり、現状２科目受講した学生はいない。
今後、プログラム履修の意義を含め、学生への周知を強化していく必要がある。</t>
    <rPh sb="54" eb="57">
      <t>ホンキョウイク</t>
    </rPh>
    <rPh sb="153" eb="155">
      <t>ソツギョウ</t>
    </rPh>
    <rPh sb="190" eb="192">
      <t>リシュウ</t>
    </rPh>
    <rPh sb="267" eb="269">
      <t>リシュウ</t>
    </rPh>
    <phoneticPr fontId="1"/>
  </si>
  <si>
    <t>令和４（2022）年度より、「数理・データサイエンス・ＡＩ教育プログラム」を開講したが、初年度でカリキュラムを修了した学生はいなかった。
カリキュラムの内容については、本学開講の「情報社会B」と、名古屋音楽大学開講の「数理・データサイエンス・ＡＩ入門」の２科目で構成されているが、いずれも、本学の学問分野である文学関係、社会福祉関係には当てはまらない科目であり、履修者にとっては、所属学部の学問分野について、別の角度から考えるきっかけになる科目であると考えられる。
全学的に実施している授業評価アンケートの自由記述によると、「Excelによる統計処理が役に立った」「複数の教員から専門分野におけるデータ処理の様子がわかった」という意見が見られた。これによりビッグデータの種類やその扱い方についての理解が深まったと考えられる。
今後、履修者増のための、周知方法など、検討を行っていく必要がある。</t>
    <rPh sb="55" eb="57">
      <t>シュウリョウ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</si>
</sst>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11" fillId="0" borderId="0" xfId="0" applyFont="1">
      <alignment vertical="center"/>
    </xf>
    <xf numFmtId="0" fontId="12" fillId="0" borderId="0" xfId="0" applyFont="1">
      <alignment vertical="center"/>
    </xf>
    <xf numFmtId="0" fontId="11" fillId="0" borderId="1" xfId="0" applyFont="1" applyBorder="1" applyAlignment="1">
      <alignment horizontal="center" vertical="center"/>
    </xf>
    <xf numFmtId="0" fontId="11" fillId="0" borderId="0" xfId="0" applyFont="1" applyAlignment="1">
      <alignment horizontal="right" vertical="center"/>
    </xf>
    <xf numFmtId="0" fontId="11" fillId="0" borderId="0" xfId="0" applyFont="1" applyAlignment="1">
      <alignment vertical="center" shrinkToFit="1"/>
    </xf>
    <xf numFmtId="0" fontId="11" fillId="0" borderId="0" xfId="0" applyFont="1" applyAlignment="1">
      <alignment horizontal="left" vertical="center" shrinkToFit="1"/>
    </xf>
    <xf numFmtId="0" fontId="11" fillId="0" borderId="0" xfId="0" applyFont="1" applyAlignment="1">
      <alignment horizontal="center" vertical="center"/>
    </xf>
    <xf numFmtId="0" fontId="11" fillId="0" borderId="10" xfId="0" applyFont="1" applyBorder="1" applyAlignment="1">
      <alignment horizontal="right" vertical="center"/>
    </xf>
    <xf numFmtId="0" fontId="11" fillId="0" borderId="0" xfId="0" applyFont="1" applyAlignment="1">
      <alignment horizontal="left" vertical="center"/>
    </xf>
    <xf numFmtId="0" fontId="12" fillId="0" borderId="0" xfId="0" applyFont="1" applyAlignment="1">
      <alignment horizontal="center" vertical="center"/>
    </xf>
    <xf numFmtId="0" fontId="11" fillId="0" borderId="5" xfId="0" applyFont="1" applyBorder="1">
      <alignment vertical="center"/>
    </xf>
    <xf numFmtId="0" fontId="14" fillId="0" borderId="1" xfId="0" applyFont="1" applyBorder="1" applyAlignment="1">
      <alignment horizontal="center" vertical="center" shrinkToFit="1"/>
    </xf>
    <xf numFmtId="0" fontId="14" fillId="0" borderId="4" xfId="0" applyFont="1" applyBorder="1" applyAlignment="1">
      <alignment horizontal="center" vertical="center" shrinkToFit="1"/>
    </xf>
    <xf numFmtId="49" fontId="14" fillId="0" borderId="1" xfId="0" applyNumberFormat="1" applyFont="1" applyBorder="1" applyAlignment="1">
      <alignment horizontal="center" vertical="center"/>
    </xf>
    <xf numFmtId="0" fontId="11" fillId="0" borderId="14" xfId="0" applyFont="1" applyBorder="1" applyAlignment="1">
      <alignment horizontal="center" vertical="center" shrinkToFit="1"/>
    </xf>
    <xf numFmtId="0" fontId="11" fillId="0" borderId="23" xfId="0" applyFont="1" applyBorder="1" applyAlignment="1">
      <alignment horizontal="center" vertical="center" shrinkToFit="1"/>
    </xf>
    <xf numFmtId="0" fontId="11" fillId="0" borderId="13" xfId="0" applyFont="1" applyBorder="1" applyAlignment="1">
      <alignment horizontal="center" vertical="center" shrinkToFit="1"/>
    </xf>
    <xf numFmtId="0" fontId="11" fillId="0" borderId="40" xfId="0" applyFont="1" applyBorder="1" applyAlignment="1">
      <alignment horizontal="center" vertical="center" shrinkToFit="1"/>
    </xf>
    <xf numFmtId="0" fontId="11" fillId="0" borderId="0" xfId="0" applyFont="1" applyAlignment="1">
      <alignment vertical="top" wrapText="1"/>
    </xf>
    <xf numFmtId="0" fontId="11" fillId="0" borderId="0" xfId="0" applyFont="1" applyAlignment="1">
      <alignment horizontal="center" vertical="center" shrinkToFit="1"/>
    </xf>
    <xf numFmtId="49" fontId="14" fillId="0" borderId="48" xfId="0" applyNumberFormat="1" applyFont="1" applyBorder="1" applyAlignment="1">
      <alignment horizontal="center" vertical="center"/>
    </xf>
    <xf numFmtId="49" fontId="14" fillId="0" borderId="49" xfId="0" applyNumberFormat="1" applyFont="1" applyBorder="1" applyAlignment="1">
      <alignment horizontal="center" vertical="center"/>
    </xf>
    <xf numFmtId="49" fontId="14" fillId="0" borderId="44" xfId="0" applyNumberFormat="1" applyFont="1" applyBorder="1" applyAlignment="1">
      <alignment horizontal="center" vertical="center"/>
    </xf>
    <xf numFmtId="49" fontId="14" fillId="0" borderId="29" xfId="0" applyNumberFormat="1" applyFont="1" applyBorder="1" applyAlignment="1">
      <alignment horizontal="center" vertical="center"/>
    </xf>
    <xf numFmtId="49" fontId="14" fillId="0" borderId="47" xfId="0" applyNumberFormat="1" applyFont="1" applyBorder="1" applyAlignment="1">
      <alignment horizontal="center" vertical="center"/>
    </xf>
    <xf numFmtId="49" fontId="14" fillId="0" borderId="32" xfId="0" applyNumberFormat="1" applyFont="1" applyBorder="1" applyAlignment="1">
      <alignment horizontal="center" vertical="center"/>
    </xf>
    <xf numFmtId="0" fontId="11" fillId="0" borderId="34" xfId="0" applyFont="1" applyBorder="1" applyAlignment="1">
      <alignment vertical="center" shrinkToFit="1"/>
    </xf>
    <xf numFmtId="0" fontId="11" fillId="0" borderId="36" xfId="0" applyFont="1" applyBorder="1" applyAlignment="1">
      <alignment vertical="center" shrinkToFit="1"/>
    </xf>
    <xf numFmtId="0" fontId="11" fillId="0" borderId="35" xfId="0" applyFont="1" applyBorder="1" applyAlignment="1">
      <alignment vertical="center" shrinkToFit="1"/>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37" xfId="0" applyFont="1" applyBorder="1" applyAlignment="1">
      <alignment vertical="center" shrinkToFit="1"/>
    </xf>
    <xf numFmtId="0" fontId="11" fillId="0" borderId="38" xfId="0" applyFont="1" applyBorder="1" applyAlignment="1">
      <alignment vertical="center" shrinkToFit="1"/>
    </xf>
    <xf numFmtId="0" fontId="11" fillId="0" borderId="39" xfId="0" applyFont="1" applyBorder="1" applyAlignment="1">
      <alignment vertical="center" shrinkToFit="1"/>
    </xf>
    <xf numFmtId="0" fontId="11" fillId="0" borderId="0" xfId="0" applyFont="1" applyAlignment="1">
      <alignment vertical="center" wrapText="1"/>
    </xf>
    <xf numFmtId="0" fontId="14" fillId="0" borderId="45" xfId="0" applyFont="1" applyBorder="1" applyAlignment="1">
      <alignment vertical="center" wrapText="1"/>
    </xf>
    <xf numFmtId="0" fontId="14" fillId="0" borderId="31" xfId="0" applyFont="1" applyBorder="1" applyAlignment="1">
      <alignment vertical="center" wrapText="1"/>
    </xf>
    <xf numFmtId="0" fontId="14" fillId="0" borderId="46" xfId="0" applyFont="1" applyBorder="1" applyAlignment="1">
      <alignment vertical="center" wrapText="1"/>
    </xf>
    <xf numFmtId="0" fontId="14" fillId="0" borderId="36" xfId="0" applyFont="1" applyBorder="1" applyAlignment="1">
      <alignment vertical="center" wrapText="1" shrinkToFit="1"/>
    </xf>
    <xf numFmtId="0" fontId="14" fillId="0" borderId="36" xfId="0" applyFont="1" applyBorder="1" applyAlignment="1">
      <alignment vertical="center" shrinkToFit="1"/>
    </xf>
    <xf numFmtId="0" fontId="14" fillId="0" borderId="35" xfId="0" applyFont="1" applyBorder="1" applyAlignment="1">
      <alignment vertical="center" shrinkToFit="1"/>
    </xf>
    <xf numFmtId="0" fontId="14" fillId="0" borderId="6" xfId="0" applyFont="1" applyBorder="1" applyAlignment="1">
      <alignment vertical="center" wrapText="1" shrinkToFit="1"/>
    </xf>
    <xf numFmtId="0" fontId="14" fillId="0" borderId="6" xfId="0" applyFont="1" applyBorder="1" applyAlignment="1">
      <alignment vertical="center" shrinkToFit="1"/>
    </xf>
    <xf numFmtId="0" fontId="14" fillId="0" borderId="12" xfId="0" applyFont="1" applyBorder="1" applyAlignment="1">
      <alignment vertical="center" shrinkToFit="1"/>
    </xf>
    <xf numFmtId="0" fontId="14" fillId="0" borderId="8" xfId="0" applyFont="1" applyBorder="1" applyAlignment="1">
      <alignment horizontal="left" vertical="center" wrapText="1" shrinkToFit="1"/>
    </xf>
    <xf numFmtId="0" fontId="14" fillId="0" borderId="8" xfId="0" applyFont="1" applyBorder="1" applyAlignment="1">
      <alignment horizontal="left" vertical="center" shrinkToFit="1"/>
    </xf>
    <xf numFmtId="0" fontId="14" fillId="0" borderId="9" xfId="0" applyFont="1" applyBorder="1" applyAlignment="1">
      <alignment horizontal="left" vertical="center" shrinkToFit="1"/>
    </xf>
    <xf numFmtId="0" fontId="15" fillId="0" borderId="2" xfId="0" applyFont="1" applyBorder="1" applyAlignment="1">
      <alignment horizontal="center" vertical="center" shrinkToFit="1"/>
    </xf>
    <xf numFmtId="0" fontId="15" fillId="0" borderId="4" xfId="0" applyFont="1" applyBorder="1" applyAlignment="1">
      <alignment horizontal="center" vertical="center" shrinkToFit="1"/>
    </xf>
    <xf numFmtId="0" fontId="11" fillId="0" borderId="34" xfId="0" applyFont="1" applyBorder="1" applyAlignment="1">
      <alignment horizontal="center" vertical="center" shrinkToFit="1"/>
    </xf>
    <xf numFmtId="0" fontId="11" fillId="0" borderId="36" xfId="0" applyFont="1" applyBorder="1" applyAlignment="1">
      <alignment horizontal="center" vertical="center" shrinkToFit="1"/>
    </xf>
    <xf numFmtId="0" fontId="11" fillId="0" borderId="35"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2" fillId="0" borderId="2" xfId="0" applyFont="1" applyBorder="1" applyAlignment="1">
      <alignment vertical="center" wrapText="1" shrinkToFit="1"/>
    </xf>
    <xf numFmtId="0" fontId="12" fillId="0" borderId="3" xfId="0" applyFont="1" applyBorder="1" applyAlignment="1">
      <alignment vertical="center" wrapText="1" shrinkToFit="1"/>
    </xf>
    <xf numFmtId="0" fontId="12" fillId="0" borderId="4" xfId="0" applyFont="1" applyBorder="1" applyAlignment="1">
      <alignment vertical="center" wrapText="1" shrinkToFit="1"/>
    </xf>
    <xf numFmtId="0" fontId="11" fillId="0" borderId="37" xfId="0" applyFont="1" applyBorder="1" applyAlignment="1">
      <alignment horizontal="center" vertical="center" shrinkToFit="1"/>
    </xf>
    <xf numFmtId="0" fontId="11" fillId="0" borderId="38" xfId="0" applyFont="1" applyBorder="1" applyAlignment="1">
      <alignment horizontal="center" vertical="center" shrinkToFit="1"/>
    </xf>
    <xf numFmtId="0" fontId="11" fillId="0" borderId="39" xfId="0" applyFont="1" applyBorder="1" applyAlignment="1">
      <alignment horizontal="center" vertical="center" shrinkToFit="1"/>
    </xf>
    <xf numFmtId="0" fontId="14" fillId="0" borderId="22" xfId="0" applyFont="1" applyBorder="1" applyAlignment="1">
      <alignment horizontal="left" vertical="center" wrapText="1" shrinkToFit="1"/>
    </xf>
    <xf numFmtId="0" fontId="14" fillId="0" borderId="22" xfId="0" applyFont="1" applyBorder="1" applyAlignment="1">
      <alignment horizontal="left" vertical="center" shrinkToFit="1"/>
    </xf>
    <xf numFmtId="0" fontId="14" fillId="0" borderId="21" xfId="0" applyFont="1" applyBorder="1" applyAlignment="1">
      <alignment horizontal="left" vertical="center" shrinkToFit="1"/>
    </xf>
    <xf numFmtId="0" fontId="14" fillId="0" borderId="36" xfId="0" applyFont="1" applyBorder="1" applyAlignment="1">
      <alignment horizontal="left" vertical="center" wrapText="1" shrinkToFit="1"/>
    </xf>
    <xf numFmtId="0" fontId="14" fillId="0" borderId="36" xfId="0" applyFont="1" applyBorder="1" applyAlignment="1">
      <alignment horizontal="left" vertical="center" shrinkToFit="1"/>
    </xf>
    <xf numFmtId="0" fontId="14" fillId="0" borderId="35" xfId="0" applyFont="1" applyBorder="1" applyAlignment="1">
      <alignment horizontal="left" vertical="center" shrinkToFit="1"/>
    </xf>
    <xf numFmtId="0" fontId="14" fillId="0" borderId="6" xfId="0" applyFont="1" applyBorder="1" applyAlignment="1">
      <alignment horizontal="left" vertical="center" wrapText="1" shrinkToFit="1"/>
    </xf>
    <xf numFmtId="0" fontId="14" fillId="0" borderId="6" xfId="0" applyFont="1" applyBorder="1" applyAlignment="1">
      <alignment horizontal="left" vertical="center" shrinkToFit="1"/>
    </xf>
    <xf numFmtId="0" fontId="14" fillId="0" borderId="12" xfId="0" applyFont="1" applyBorder="1" applyAlignment="1">
      <alignment horizontal="left" vertical="center" shrinkToFit="1"/>
    </xf>
    <xf numFmtId="0" fontId="14" fillId="0" borderId="38" xfId="0" applyFont="1" applyBorder="1" applyAlignment="1">
      <alignment horizontal="left" vertical="center" wrapText="1" shrinkToFit="1"/>
    </xf>
    <xf numFmtId="0" fontId="14" fillId="0" borderId="38" xfId="0" applyFont="1" applyBorder="1" applyAlignment="1">
      <alignment horizontal="left" vertical="center" shrinkToFit="1"/>
    </xf>
    <xf numFmtId="0" fontId="14" fillId="0" borderId="39" xfId="0" applyFont="1" applyBorder="1" applyAlignment="1">
      <alignment horizontal="left" vertical="center" shrinkToFit="1"/>
    </xf>
    <xf numFmtId="0" fontId="14" fillId="0" borderId="19" xfId="0" applyFont="1" applyBorder="1" applyAlignment="1">
      <alignment vertical="center" wrapText="1" shrinkToFit="1"/>
    </xf>
    <xf numFmtId="0" fontId="14" fillId="0" borderId="20" xfId="0" applyFont="1" applyBorder="1" applyAlignment="1">
      <alignment vertical="center" shrinkToFit="1"/>
    </xf>
    <xf numFmtId="0" fontId="14" fillId="0" borderId="18" xfId="0" applyFont="1" applyBorder="1" applyAlignment="1">
      <alignment vertical="center" shrinkToFit="1"/>
    </xf>
    <xf numFmtId="0" fontId="11" fillId="0" borderId="0" xfId="0" applyFont="1" applyAlignment="1">
      <alignment horizontal="righ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3"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11" fillId="0" borderId="7" xfId="0" applyFont="1" applyBorder="1" applyAlignment="1">
      <alignment vertical="top" wrapText="1"/>
    </xf>
    <xf numFmtId="0" fontId="11" fillId="0" borderId="8" xfId="0" applyFont="1" applyBorder="1" applyAlignment="1">
      <alignment vertical="top" wrapText="1"/>
    </xf>
    <xf numFmtId="0" fontId="11" fillId="0" borderId="9" xfId="0" applyFont="1" applyBorder="1" applyAlignment="1">
      <alignment vertical="top" wrapText="1"/>
    </xf>
    <xf numFmtId="0" fontId="11" fillId="0" borderId="5" xfId="0" applyFont="1" applyBorder="1" applyAlignment="1">
      <alignment vertical="top" wrapText="1"/>
    </xf>
    <xf numFmtId="0" fontId="11" fillId="0" borderId="0" xfId="0" applyFont="1" applyAlignment="1">
      <alignment vertical="top" wrapText="1"/>
    </xf>
    <xf numFmtId="0" fontId="11" fillId="0" borderId="10" xfId="0" applyFont="1" applyBorder="1" applyAlignment="1">
      <alignment vertical="top" wrapText="1"/>
    </xf>
    <xf numFmtId="0" fontId="11" fillId="0" borderId="11" xfId="0" applyFont="1" applyBorder="1" applyAlignment="1">
      <alignment vertical="top" wrapText="1"/>
    </xf>
    <xf numFmtId="0" fontId="11" fillId="0" borderId="6" xfId="0" applyFont="1" applyBorder="1" applyAlignment="1">
      <alignment vertical="top" wrapText="1"/>
    </xf>
    <xf numFmtId="0" fontId="11" fillId="0" borderId="12" xfId="0" applyFont="1" applyBorder="1" applyAlignment="1">
      <alignment vertical="top" wrapText="1"/>
    </xf>
    <xf numFmtId="0" fontId="11" fillId="0" borderId="9" xfId="0" applyFont="1" applyBorder="1" applyAlignment="1">
      <alignment vertical="top"/>
    </xf>
    <xf numFmtId="0" fontId="11" fillId="0" borderId="5" xfId="0" applyFont="1" applyBorder="1" applyAlignment="1">
      <alignment vertical="top"/>
    </xf>
    <xf numFmtId="0" fontId="11" fillId="0" borderId="0" xfId="0" applyFont="1" applyAlignment="1">
      <alignment vertical="top"/>
    </xf>
    <xf numFmtId="0" fontId="11" fillId="0" borderId="10" xfId="0" applyFont="1" applyBorder="1" applyAlignment="1">
      <alignment vertical="top"/>
    </xf>
    <xf numFmtId="0" fontId="11" fillId="0" borderId="11" xfId="0" applyFont="1" applyBorder="1" applyAlignment="1">
      <alignment vertical="top"/>
    </xf>
    <xf numFmtId="0" fontId="11" fillId="0" borderId="6" xfId="0" applyFont="1" applyBorder="1" applyAlignment="1">
      <alignment vertical="top"/>
    </xf>
    <xf numFmtId="0" fontId="11"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11"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3"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11" fillId="0" borderId="37" xfId="0" applyFont="1" applyBorder="1" applyAlignment="1">
      <alignment vertical="top" wrapText="1" shrinkToFit="1"/>
    </xf>
    <xf numFmtId="0" fontId="11" fillId="0" borderId="38" xfId="0" applyFont="1" applyBorder="1" applyAlignment="1">
      <alignment vertical="top" wrapText="1" shrinkToFit="1"/>
    </xf>
    <xf numFmtId="0" fontId="11"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1" fillId="0" borderId="6" xfId="0" applyFont="1" applyBorder="1" applyAlignment="1">
      <alignment vertical="top" wrapText="1" shrinkToFi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election activeCell="C2" sqref="C2:I2"/>
    </sheetView>
  </sheetViews>
  <sheetFormatPr defaultColWidth="9" defaultRowHeight="18.75" customHeight="1" x14ac:dyDescent="0.2"/>
  <cols>
    <col min="1" max="1" width="2.44140625" style="64" customWidth="1"/>
    <col min="2" max="2" width="16.44140625" style="64" customWidth="1"/>
    <col min="3" max="19" width="5.6640625" style="64" customWidth="1"/>
    <col min="20" max="20" width="9" style="64"/>
    <col min="21" max="21" width="3.6640625" style="64" customWidth="1"/>
    <col min="22" max="22" width="48.6640625" style="64" hidden="1" customWidth="1"/>
    <col min="23" max="16384" width="9" style="64"/>
  </cols>
  <sheetData>
    <row r="1" spans="1:22" ht="18.600000000000001" customHeight="1" x14ac:dyDescent="0.2">
      <c r="R1" s="147" t="s">
        <v>12</v>
      </c>
      <c r="S1" s="147"/>
      <c r="T1" s="65" t="s">
        <v>110</v>
      </c>
    </row>
    <row r="2" spans="1:22" ht="18.75" customHeight="1" x14ac:dyDescent="0.2">
      <c r="B2" s="66" t="s">
        <v>109</v>
      </c>
      <c r="C2" s="96" t="s">
        <v>127</v>
      </c>
      <c r="D2" s="97"/>
      <c r="E2" s="97"/>
      <c r="F2" s="97"/>
      <c r="G2" s="97"/>
      <c r="H2" s="97"/>
      <c r="I2" s="98"/>
      <c r="J2" s="67"/>
      <c r="K2" s="68"/>
      <c r="L2" s="68"/>
      <c r="M2" s="68"/>
      <c r="N2" s="68"/>
      <c r="O2" s="68"/>
      <c r="P2" s="68"/>
      <c r="Q2" s="68"/>
      <c r="R2" s="68"/>
      <c r="S2" s="68"/>
    </row>
    <row r="3" spans="1:22" ht="18.75" customHeight="1" x14ac:dyDescent="0.2">
      <c r="B3" s="66" t="s">
        <v>103</v>
      </c>
      <c r="C3" s="96" t="s">
        <v>136</v>
      </c>
      <c r="D3" s="97"/>
      <c r="E3" s="97"/>
      <c r="F3" s="97"/>
      <c r="G3" s="97"/>
      <c r="H3" s="97"/>
      <c r="I3" s="98"/>
      <c r="J3" s="67"/>
      <c r="K3" s="68"/>
      <c r="L3" s="68"/>
      <c r="M3" s="68"/>
      <c r="N3" s="68"/>
      <c r="O3" s="68"/>
      <c r="P3" s="68"/>
      <c r="Q3" s="68"/>
      <c r="R3" s="68"/>
      <c r="S3" s="68"/>
    </row>
    <row r="4" spans="1:22" ht="15" customHeight="1" x14ac:dyDescent="0.2">
      <c r="K4" s="67"/>
      <c r="L4" s="69"/>
      <c r="M4" s="69"/>
      <c r="N4" s="69"/>
      <c r="O4" s="69"/>
      <c r="P4" s="69"/>
      <c r="Q4" s="69"/>
      <c r="R4" s="69"/>
      <c r="S4" s="69"/>
    </row>
    <row r="5" spans="1:22" ht="18" customHeight="1" x14ac:dyDescent="0.2">
      <c r="A5" s="151" t="s">
        <v>39</v>
      </c>
      <c r="B5" s="151"/>
      <c r="C5" s="151"/>
      <c r="D5" s="151"/>
      <c r="E5" s="151"/>
      <c r="F5" s="151"/>
      <c r="G5" s="151"/>
      <c r="H5" s="151"/>
      <c r="I5" s="151"/>
      <c r="J5" s="151"/>
      <c r="K5" s="151"/>
      <c r="L5" s="151"/>
      <c r="M5" s="151"/>
      <c r="N5" s="151"/>
      <c r="O5" s="151"/>
      <c r="P5" s="151"/>
      <c r="Q5" s="151"/>
      <c r="R5" s="151"/>
      <c r="S5" s="151"/>
    </row>
    <row r="6" spans="1:22" ht="15" customHeight="1" x14ac:dyDescent="0.2">
      <c r="B6" s="70"/>
      <c r="C6" s="70"/>
      <c r="D6" s="70"/>
      <c r="E6" s="70"/>
      <c r="F6" s="70"/>
      <c r="G6" s="70"/>
      <c r="H6" s="70"/>
      <c r="I6" s="70"/>
      <c r="J6" s="70"/>
      <c r="K6" s="70"/>
      <c r="L6" s="70"/>
      <c r="M6" s="70"/>
      <c r="N6" s="70"/>
      <c r="O6" s="70"/>
      <c r="P6" s="70"/>
      <c r="Q6" s="70"/>
      <c r="R6" s="70"/>
      <c r="S6" s="70"/>
    </row>
    <row r="7" spans="1:22" ht="18" customHeight="1" x14ac:dyDescent="0.2">
      <c r="A7" s="64" t="s">
        <v>125</v>
      </c>
      <c r="C7" s="70"/>
      <c r="J7" s="71" t="s">
        <v>108</v>
      </c>
      <c r="K7" s="161" t="s">
        <v>128</v>
      </c>
      <c r="L7" s="162"/>
      <c r="M7" s="162"/>
      <c r="N7" s="162"/>
      <c r="O7" s="162"/>
      <c r="P7" s="162"/>
      <c r="Q7" s="162"/>
      <c r="R7" s="162"/>
      <c r="S7" s="163"/>
    </row>
    <row r="8" spans="1:22" ht="6" customHeight="1" x14ac:dyDescent="0.2">
      <c r="B8" s="70"/>
      <c r="C8" s="70"/>
      <c r="D8" s="70"/>
      <c r="E8" s="70"/>
      <c r="F8" s="70"/>
      <c r="G8" s="70"/>
      <c r="H8" s="70"/>
      <c r="I8" s="70"/>
      <c r="J8" s="70"/>
      <c r="K8" s="72"/>
      <c r="L8" s="70"/>
      <c r="M8" s="70"/>
      <c r="N8" s="70"/>
      <c r="O8" s="70"/>
      <c r="P8" s="70"/>
      <c r="Q8" s="70"/>
      <c r="R8" s="70"/>
      <c r="S8" s="70"/>
    </row>
    <row r="9" spans="1:22" ht="18" customHeight="1" x14ac:dyDescent="0.2">
      <c r="B9" s="164"/>
      <c r="C9" s="165"/>
      <c r="D9" s="165"/>
      <c r="E9" s="165"/>
      <c r="F9" s="165"/>
      <c r="G9" s="165"/>
      <c r="H9" s="165"/>
      <c r="I9" s="165"/>
      <c r="J9" s="165"/>
      <c r="K9" s="165"/>
      <c r="L9" s="165"/>
      <c r="M9" s="165"/>
      <c r="N9" s="165"/>
      <c r="O9" s="165"/>
      <c r="P9" s="165"/>
      <c r="Q9" s="165"/>
      <c r="R9" s="165"/>
      <c r="S9" s="166"/>
    </row>
    <row r="10" spans="1:22" ht="18" customHeight="1" x14ac:dyDescent="0.2">
      <c r="B10" s="167"/>
      <c r="C10" s="168"/>
      <c r="D10" s="168"/>
      <c r="E10" s="168"/>
      <c r="F10" s="168"/>
      <c r="G10" s="168"/>
      <c r="H10" s="168"/>
      <c r="I10" s="168"/>
      <c r="J10" s="168"/>
      <c r="K10" s="168"/>
      <c r="L10" s="168"/>
      <c r="M10" s="168"/>
      <c r="N10" s="168"/>
      <c r="O10" s="168"/>
      <c r="P10" s="168"/>
      <c r="Q10" s="168"/>
      <c r="R10" s="168"/>
      <c r="S10" s="169"/>
    </row>
    <row r="11" spans="1:22" ht="6" customHeight="1" x14ac:dyDescent="0.2">
      <c r="B11" s="70"/>
      <c r="C11" s="70"/>
      <c r="D11" s="70"/>
      <c r="E11" s="70"/>
      <c r="F11" s="70"/>
      <c r="G11" s="70"/>
      <c r="H11" s="70"/>
      <c r="I11" s="70"/>
      <c r="J11" s="70"/>
      <c r="K11" s="72"/>
      <c r="L11" s="70"/>
      <c r="M11" s="70"/>
      <c r="N11" s="70"/>
      <c r="O11" s="70"/>
      <c r="P11" s="70"/>
      <c r="Q11" s="70"/>
      <c r="R11" s="70"/>
      <c r="S11" s="70"/>
    </row>
    <row r="12" spans="1:22" ht="18" customHeight="1" x14ac:dyDescent="0.2">
      <c r="A12" s="64" t="s">
        <v>112</v>
      </c>
      <c r="B12" s="70"/>
      <c r="C12" s="70"/>
      <c r="D12" s="67"/>
      <c r="E12" s="67"/>
      <c r="F12" s="67"/>
      <c r="G12" s="67"/>
      <c r="H12" s="67"/>
      <c r="I12" s="67"/>
      <c r="J12" s="67"/>
      <c r="K12" s="73"/>
      <c r="L12" s="73"/>
      <c r="M12" s="73"/>
      <c r="N12" s="73"/>
      <c r="O12" s="73"/>
      <c r="P12" s="73"/>
      <c r="Q12" s="73"/>
      <c r="R12" s="73"/>
      <c r="S12" s="73"/>
    </row>
    <row r="13" spans="1:22" ht="18" customHeight="1" x14ac:dyDescent="0.2">
      <c r="B13" s="152" t="s">
        <v>169</v>
      </c>
      <c r="C13" s="153"/>
      <c r="D13" s="153"/>
      <c r="E13" s="153"/>
      <c r="F13" s="153"/>
      <c r="G13" s="153"/>
      <c r="H13" s="153"/>
      <c r="I13" s="153"/>
      <c r="J13" s="153"/>
      <c r="K13" s="153"/>
      <c r="L13" s="153"/>
      <c r="M13" s="153"/>
      <c r="N13" s="153"/>
      <c r="O13" s="153"/>
      <c r="P13" s="153"/>
      <c r="Q13" s="153"/>
      <c r="R13" s="153"/>
      <c r="S13" s="154"/>
      <c r="V13" s="64" t="s">
        <v>104</v>
      </c>
    </row>
    <row r="14" spans="1:22" ht="18" customHeight="1" x14ac:dyDescent="0.2">
      <c r="B14" s="155"/>
      <c r="C14" s="156"/>
      <c r="D14" s="156"/>
      <c r="E14" s="156"/>
      <c r="F14" s="156"/>
      <c r="G14" s="156"/>
      <c r="H14" s="156"/>
      <c r="I14" s="156"/>
      <c r="J14" s="156"/>
      <c r="K14" s="156"/>
      <c r="L14" s="156"/>
      <c r="M14" s="156"/>
      <c r="N14" s="156"/>
      <c r="O14" s="156"/>
      <c r="P14" s="156"/>
      <c r="Q14" s="156"/>
      <c r="R14" s="156"/>
      <c r="S14" s="157"/>
      <c r="V14" s="64" t="s">
        <v>111</v>
      </c>
    </row>
    <row r="15" spans="1:22" ht="18" customHeight="1" x14ac:dyDescent="0.2">
      <c r="B15" s="155"/>
      <c r="C15" s="156"/>
      <c r="D15" s="156"/>
      <c r="E15" s="156"/>
      <c r="F15" s="156"/>
      <c r="G15" s="156"/>
      <c r="H15" s="156"/>
      <c r="I15" s="156"/>
      <c r="J15" s="156"/>
      <c r="K15" s="156"/>
      <c r="L15" s="156"/>
      <c r="M15" s="156"/>
      <c r="N15" s="156"/>
      <c r="O15" s="156"/>
      <c r="P15" s="156"/>
      <c r="Q15" s="156"/>
      <c r="R15" s="156"/>
      <c r="S15" s="157"/>
      <c r="V15" s="64" t="s">
        <v>124</v>
      </c>
    </row>
    <row r="16" spans="1:22" ht="18" customHeight="1" x14ac:dyDescent="0.2">
      <c r="B16" s="155"/>
      <c r="C16" s="156"/>
      <c r="D16" s="156"/>
      <c r="E16" s="156"/>
      <c r="F16" s="156"/>
      <c r="G16" s="156"/>
      <c r="H16" s="156"/>
      <c r="I16" s="156"/>
      <c r="J16" s="156"/>
      <c r="K16" s="156"/>
      <c r="L16" s="156"/>
      <c r="M16" s="156"/>
      <c r="N16" s="156"/>
      <c r="O16" s="156"/>
      <c r="P16" s="156"/>
      <c r="Q16" s="156"/>
      <c r="R16" s="156"/>
      <c r="S16" s="157"/>
      <c r="V16" s="64" t="s">
        <v>126</v>
      </c>
    </row>
    <row r="17" spans="1:19" ht="18" customHeight="1" x14ac:dyDescent="0.2">
      <c r="B17" s="155"/>
      <c r="C17" s="156"/>
      <c r="D17" s="156"/>
      <c r="E17" s="156"/>
      <c r="F17" s="156"/>
      <c r="G17" s="156"/>
      <c r="H17" s="156"/>
      <c r="I17" s="156"/>
      <c r="J17" s="156"/>
      <c r="K17" s="156"/>
      <c r="L17" s="156"/>
      <c r="M17" s="156"/>
      <c r="N17" s="156"/>
      <c r="O17" s="156"/>
      <c r="P17" s="156"/>
      <c r="Q17" s="156"/>
      <c r="R17" s="156"/>
      <c r="S17" s="157"/>
    </row>
    <row r="18" spans="1:19" ht="18" customHeight="1" x14ac:dyDescent="0.2">
      <c r="B18" s="158"/>
      <c r="C18" s="159"/>
      <c r="D18" s="159"/>
      <c r="E18" s="159"/>
      <c r="F18" s="159"/>
      <c r="G18" s="159"/>
      <c r="H18" s="159"/>
      <c r="I18" s="159"/>
      <c r="J18" s="159"/>
      <c r="K18" s="159"/>
      <c r="L18" s="159"/>
      <c r="M18" s="159"/>
      <c r="N18" s="159"/>
      <c r="O18" s="159"/>
      <c r="P18" s="159"/>
      <c r="Q18" s="159"/>
      <c r="R18" s="159"/>
      <c r="S18" s="160"/>
    </row>
    <row r="19" spans="1:19" ht="7.5" customHeight="1" x14ac:dyDescent="0.2">
      <c r="B19" s="70"/>
      <c r="C19" s="70"/>
      <c r="D19" s="70"/>
      <c r="E19" s="70"/>
      <c r="F19" s="70"/>
      <c r="G19" s="70"/>
      <c r="H19" s="70"/>
      <c r="I19" s="70"/>
      <c r="J19" s="70"/>
      <c r="K19" s="70"/>
      <c r="L19" s="70"/>
      <c r="M19" s="70"/>
      <c r="N19" s="70"/>
      <c r="O19" s="70"/>
      <c r="P19" s="70"/>
      <c r="Q19" s="70"/>
      <c r="R19" s="70"/>
      <c r="S19" s="70"/>
    </row>
    <row r="20" spans="1:19" ht="19.95" customHeight="1" x14ac:dyDescent="0.2">
      <c r="B20" s="64" t="s">
        <v>113</v>
      </c>
      <c r="C20" s="96">
        <v>4</v>
      </c>
      <c r="D20" s="98"/>
      <c r="E20" s="74" t="s">
        <v>96</v>
      </c>
      <c r="G20" s="72"/>
      <c r="H20" s="70"/>
      <c r="I20" s="70"/>
      <c r="J20" s="67" t="s">
        <v>122</v>
      </c>
      <c r="K20" s="148" t="s">
        <v>126</v>
      </c>
      <c r="L20" s="149"/>
      <c r="M20" s="149"/>
      <c r="N20" s="149"/>
      <c r="O20" s="149"/>
      <c r="P20" s="149"/>
      <c r="Q20" s="149"/>
      <c r="R20" s="149"/>
      <c r="S20" s="150"/>
    </row>
    <row r="21" spans="1:19" ht="7.5" customHeight="1" x14ac:dyDescent="0.2">
      <c r="B21" s="70"/>
      <c r="C21" s="70"/>
      <c r="D21" s="70"/>
      <c r="E21" s="70"/>
      <c r="F21" s="70"/>
      <c r="G21" s="70"/>
      <c r="H21" s="70"/>
      <c r="I21" s="70"/>
      <c r="J21" s="70"/>
      <c r="K21" s="70"/>
      <c r="L21" s="70"/>
      <c r="M21" s="70"/>
      <c r="N21" s="70"/>
      <c r="O21" s="70"/>
      <c r="P21" s="70"/>
      <c r="Q21" s="70"/>
      <c r="R21" s="70"/>
      <c r="S21" s="70"/>
    </row>
    <row r="22" spans="1:19" ht="18" customHeight="1" x14ac:dyDescent="0.2">
      <c r="A22" s="102" t="s">
        <v>114</v>
      </c>
      <c r="B22" s="102"/>
      <c r="C22" s="102"/>
      <c r="D22" s="102"/>
      <c r="E22" s="102"/>
      <c r="F22" s="102"/>
      <c r="G22" s="102"/>
      <c r="H22" s="102"/>
      <c r="I22" s="102"/>
      <c r="J22" s="102"/>
      <c r="K22" s="102"/>
      <c r="L22" s="102"/>
      <c r="M22" s="102"/>
      <c r="N22" s="102"/>
      <c r="O22" s="102"/>
      <c r="P22" s="102"/>
      <c r="Q22" s="102"/>
      <c r="R22" s="102"/>
      <c r="S22" s="102"/>
    </row>
    <row r="23" spans="1:19" ht="18" customHeight="1" x14ac:dyDescent="0.2">
      <c r="A23" s="102"/>
      <c r="B23" s="102"/>
      <c r="C23" s="102"/>
      <c r="D23" s="102"/>
      <c r="E23" s="102"/>
      <c r="F23" s="102"/>
      <c r="G23" s="102"/>
      <c r="H23" s="102"/>
      <c r="I23" s="102"/>
      <c r="J23" s="102"/>
      <c r="K23" s="102"/>
      <c r="L23" s="102"/>
      <c r="M23" s="102"/>
      <c r="N23" s="102"/>
      <c r="O23" s="102"/>
      <c r="P23" s="102"/>
      <c r="Q23" s="102"/>
      <c r="R23" s="102"/>
      <c r="S23" s="102"/>
    </row>
    <row r="24" spans="1:19" ht="18" customHeight="1" x14ac:dyDescent="0.2">
      <c r="B24" s="96" t="s">
        <v>54</v>
      </c>
      <c r="C24" s="97"/>
      <c r="D24" s="97"/>
      <c r="E24" s="98"/>
      <c r="F24" s="75" t="s">
        <v>81</v>
      </c>
      <c r="G24" s="76" t="s">
        <v>85</v>
      </c>
      <c r="H24" s="77" t="s">
        <v>57</v>
      </c>
      <c r="I24" s="77" t="s">
        <v>60</v>
      </c>
      <c r="J24" s="96" t="s">
        <v>54</v>
      </c>
      <c r="K24" s="97"/>
      <c r="L24" s="97"/>
      <c r="M24" s="97"/>
      <c r="N24" s="97"/>
      <c r="O24" s="98"/>
      <c r="P24" s="75" t="s">
        <v>81</v>
      </c>
      <c r="Q24" s="76" t="s">
        <v>85</v>
      </c>
      <c r="R24" s="77" t="s">
        <v>57</v>
      </c>
      <c r="S24" s="77" t="s">
        <v>60</v>
      </c>
    </row>
    <row r="25" spans="1:19" ht="18" customHeight="1" x14ac:dyDescent="0.2">
      <c r="B25" s="90" t="s">
        <v>170</v>
      </c>
      <c r="C25" s="91"/>
      <c r="D25" s="91"/>
      <c r="E25" s="92"/>
      <c r="F25" s="78">
        <v>2</v>
      </c>
      <c r="G25" s="78" t="s">
        <v>137</v>
      </c>
      <c r="H25" s="78" t="s">
        <v>137</v>
      </c>
      <c r="I25" s="78"/>
      <c r="J25" s="90"/>
      <c r="K25" s="91"/>
      <c r="L25" s="91"/>
      <c r="M25" s="91"/>
      <c r="N25" s="91"/>
      <c r="O25" s="92"/>
      <c r="P25" s="78"/>
      <c r="Q25" s="78"/>
      <c r="R25" s="78"/>
      <c r="S25" s="78"/>
    </row>
    <row r="26" spans="1:19" ht="18" customHeight="1" x14ac:dyDescent="0.2">
      <c r="B26" s="93" t="s">
        <v>157</v>
      </c>
      <c r="C26" s="94"/>
      <c r="D26" s="94"/>
      <c r="E26" s="95"/>
      <c r="F26" s="79">
        <v>2</v>
      </c>
      <c r="G26" s="79" t="s">
        <v>137</v>
      </c>
      <c r="H26" s="79" t="s">
        <v>137</v>
      </c>
      <c r="I26" s="79" t="s">
        <v>137</v>
      </c>
      <c r="J26" s="93"/>
      <c r="K26" s="94"/>
      <c r="L26" s="94"/>
      <c r="M26" s="94"/>
      <c r="N26" s="94"/>
      <c r="O26" s="95"/>
      <c r="P26" s="79"/>
      <c r="Q26" s="79"/>
      <c r="R26" s="79"/>
      <c r="S26" s="79"/>
    </row>
    <row r="27" spans="1:19" ht="18" customHeight="1" x14ac:dyDescent="0.2">
      <c r="B27" s="93"/>
      <c r="C27" s="94"/>
      <c r="D27" s="94"/>
      <c r="E27" s="95"/>
      <c r="F27" s="79"/>
      <c r="G27" s="79"/>
      <c r="H27" s="79"/>
      <c r="I27" s="79"/>
      <c r="J27" s="93"/>
      <c r="K27" s="94"/>
      <c r="L27" s="94"/>
      <c r="M27" s="94"/>
      <c r="N27" s="94"/>
      <c r="O27" s="95"/>
      <c r="P27" s="79"/>
      <c r="Q27" s="79"/>
      <c r="R27" s="79"/>
      <c r="S27" s="79"/>
    </row>
    <row r="28" spans="1:19" ht="18" customHeight="1" x14ac:dyDescent="0.2">
      <c r="B28" s="93"/>
      <c r="C28" s="94"/>
      <c r="D28" s="94"/>
      <c r="E28" s="95"/>
      <c r="F28" s="79"/>
      <c r="G28" s="79"/>
      <c r="H28" s="79"/>
      <c r="I28" s="79"/>
      <c r="J28" s="93"/>
      <c r="K28" s="94"/>
      <c r="L28" s="94"/>
      <c r="M28" s="94"/>
      <c r="N28" s="94"/>
      <c r="O28" s="95"/>
      <c r="P28" s="79"/>
      <c r="Q28" s="79"/>
      <c r="R28" s="79"/>
      <c r="S28" s="79"/>
    </row>
    <row r="29" spans="1:19" ht="18" customHeight="1" x14ac:dyDescent="0.2">
      <c r="B29" s="93"/>
      <c r="C29" s="94"/>
      <c r="D29" s="94"/>
      <c r="E29" s="95"/>
      <c r="F29" s="79"/>
      <c r="G29" s="79"/>
      <c r="H29" s="79"/>
      <c r="I29" s="79"/>
      <c r="J29" s="93"/>
      <c r="K29" s="94"/>
      <c r="L29" s="94"/>
      <c r="M29" s="94"/>
      <c r="N29" s="94"/>
      <c r="O29" s="95"/>
      <c r="P29" s="79"/>
      <c r="Q29" s="79"/>
      <c r="R29" s="79"/>
      <c r="S29" s="79"/>
    </row>
    <row r="30" spans="1:19" ht="18" customHeight="1" x14ac:dyDescent="0.2">
      <c r="A30" s="70"/>
      <c r="B30" s="93"/>
      <c r="C30" s="94"/>
      <c r="D30" s="94"/>
      <c r="E30" s="95"/>
      <c r="F30" s="79"/>
      <c r="G30" s="79"/>
      <c r="H30" s="79"/>
      <c r="I30" s="79"/>
      <c r="J30" s="93"/>
      <c r="K30" s="94"/>
      <c r="L30" s="94"/>
      <c r="M30" s="94"/>
      <c r="N30" s="94"/>
      <c r="O30" s="95"/>
      <c r="P30" s="79"/>
      <c r="Q30" s="79"/>
      <c r="R30" s="79"/>
      <c r="S30" s="79"/>
    </row>
    <row r="31" spans="1:19" ht="18" customHeight="1" x14ac:dyDescent="0.2">
      <c r="A31" s="70"/>
      <c r="B31" s="99"/>
      <c r="C31" s="100"/>
      <c r="D31" s="100"/>
      <c r="E31" s="101"/>
      <c r="F31" s="80"/>
      <c r="G31" s="80"/>
      <c r="H31" s="81"/>
      <c r="I31" s="81"/>
      <c r="J31" s="99"/>
      <c r="K31" s="100"/>
      <c r="L31" s="100"/>
      <c r="M31" s="100"/>
      <c r="N31" s="100"/>
      <c r="O31" s="101"/>
      <c r="P31" s="80"/>
      <c r="Q31" s="80"/>
      <c r="R31" s="81"/>
      <c r="S31" s="81"/>
    </row>
    <row r="32" spans="1:19" ht="7.5" customHeight="1" x14ac:dyDescent="0.2">
      <c r="A32" s="70"/>
      <c r="B32" s="68"/>
      <c r="C32" s="68"/>
      <c r="D32" s="70"/>
      <c r="E32" s="70"/>
      <c r="F32" s="70"/>
      <c r="G32" s="70"/>
      <c r="H32" s="68"/>
      <c r="I32" s="68"/>
      <c r="J32" s="68"/>
      <c r="K32" s="68"/>
      <c r="L32" s="68"/>
      <c r="M32" s="68"/>
      <c r="N32" s="68"/>
      <c r="O32" s="68"/>
      <c r="P32" s="68"/>
      <c r="Q32" s="68"/>
      <c r="R32" s="68"/>
      <c r="S32" s="70"/>
    </row>
    <row r="33" spans="1:19" ht="18" customHeight="1" x14ac:dyDescent="0.2">
      <c r="A33" s="102" t="s">
        <v>115</v>
      </c>
      <c r="B33" s="102"/>
      <c r="C33" s="102"/>
      <c r="D33" s="102"/>
      <c r="E33" s="102"/>
      <c r="F33" s="102"/>
      <c r="G33" s="102"/>
      <c r="H33" s="102"/>
      <c r="I33" s="102"/>
      <c r="J33" s="102"/>
      <c r="K33" s="102"/>
      <c r="L33" s="102"/>
      <c r="M33" s="102"/>
      <c r="N33" s="102"/>
      <c r="O33" s="102"/>
      <c r="P33" s="102"/>
      <c r="Q33" s="102"/>
      <c r="R33" s="102"/>
      <c r="S33" s="102"/>
    </row>
    <row r="34" spans="1:19" ht="18" customHeight="1" x14ac:dyDescent="0.2">
      <c r="A34" s="102"/>
      <c r="B34" s="102"/>
      <c r="C34" s="102"/>
      <c r="D34" s="102"/>
      <c r="E34" s="102"/>
      <c r="F34" s="102"/>
      <c r="G34" s="102"/>
      <c r="H34" s="102"/>
      <c r="I34" s="102"/>
      <c r="J34" s="102"/>
      <c r="K34" s="102"/>
      <c r="L34" s="102"/>
      <c r="M34" s="102"/>
      <c r="N34" s="102"/>
      <c r="O34" s="102"/>
      <c r="P34" s="102"/>
      <c r="Q34" s="102"/>
      <c r="R34" s="102"/>
      <c r="S34" s="102"/>
    </row>
    <row r="35" spans="1:19" ht="18" customHeight="1" x14ac:dyDescent="0.2">
      <c r="B35" s="96" t="s">
        <v>54</v>
      </c>
      <c r="C35" s="97"/>
      <c r="D35" s="97"/>
      <c r="E35" s="98"/>
      <c r="F35" s="75" t="s">
        <v>81</v>
      </c>
      <c r="G35" s="76" t="s">
        <v>85</v>
      </c>
      <c r="H35" s="77" t="s">
        <v>72</v>
      </c>
      <c r="I35" s="77" t="s">
        <v>73</v>
      </c>
      <c r="J35" s="96" t="s">
        <v>54</v>
      </c>
      <c r="K35" s="97"/>
      <c r="L35" s="97"/>
      <c r="M35" s="97"/>
      <c r="N35" s="97"/>
      <c r="O35" s="98"/>
      <c r="P35" s="75" t="s">
        <v>81</v>
      </c>
      <c r="Q35" s="76" t="s">
        <v>85</v>
      </c>
      <c r="R35" s="77" t="s">
        <v>72</v>
      </c>
      <c r="S35" s="77" t="s">
        <v>73</v>
      </c>
    </row>
    <row r="36" spans="1:19" ht="18" customHeight="1" x14ac:dyDescent="0.2">
      <c r="B36" s="90" t="s">
        <v>170</v>
      </c>
      <c r="C36" s="91"/>
      <c r="D36" s="91"/>
      <c r="E36" s="92"/>
      <c r="F36" s="78">
        <v>2</v>
      </c>
      <c r="G36" s="78" t="s">
        <v>137</v>
      </c>
      <c r="H36" s="78" t="s">
        <v>137</v>
      </c>
      <c r="I36" s="78" t="s">
        <v>137</v>
      </c>
      <c r="J36" s="90"/>
      <c r="K36" s="91"/>
      <c r="L36" s="91"/>
      <c r="M36" s="91"/>
      <c r="N36" s="91"/>
      <c r="O36" s="92"/>
      <c r="P36" s="78"/>
      <c r="Q36" s="78"/>
      <c r="R36" s="78"/>
      <c r="S36" s="78"/>
    </row>
    <row r="37" spans="1:19" ht="18" customHeight="1" x14ac:dyDescent="0.2">
      <c r="B37" s="93" t="s">
        <v>157</v>
      </c>
      <c r="C37" s="94"/>
      <c r="D37" s="94"/>
      <c r="E37" s="95"/>
      <c r="F37" s="79">
        <v>2</v>
      </c>
      <c r="G37" s="79" t="s">
        <v>137</v>
      </c>
      <c r="H37" s="79" t="s">
        <v>137</v>
      </c>
      <c r="I37" s="79" t="s">
        <v>137</v>
      </c>
      <c r="J37" s="93"/>
      <c r="K37" s="94"/>
      <c r="L37" s="94"/>
      <c r="M37" s="94"/>
      <c r="N37" s="94"/>
      <c r="O37" s="95"/>
      <c r="P37" s="79"/>
      <c r="Q37" s="79"/>
      <c r="R37" s="79"/>
      <c r="S37" s="79"/>
    </row>
    <row r="38" spans="1:19" ht="18" customHeight="1" x14ac:dyDescent="0.2">
      <c r="B38" s="93"/>
      <c r="C38" s="94"/>
      <c r="D38" s="94"/>
      <c r="E38" s="95"/>
      <c r="F38" s="79"/>
      <c r="G38" s="79"/>
      <c r="H38" s="79"/>
      <c r="I38" s="79"/>
      <c r="J38" s="93"/>
      <c r="K38" s="94"/>
      <c r="L38" s="94"/>
      <c r="M38" s="94"/>
      <c r="N38" s="94"/>
      <c r="O38" s="95"/>
      <c r="P38" s="79"/>
      <c r="Q38" s="79"/>
      <c r="R38" s="79"/>
      <c r="S38" s="79"/>
    </row>
    <row r="39" spans="1:19" ht="18" customHeight="1" x14ac:dyDescent="0.2">
      <c r="B39" s="93"/>
      <c r="C39" s="94"/>
      <c r="D39" s="94"/>
      <c r="E39" s="95"/>
      <c r="F39" s="79"/>
      <c r="G39" s="79"/>
      <c r="H39" s="79"/>
      <c r="I39" s="79"/>
      <c r="J39" s="93"/>
      <c r="K39" s="94"/>
      <c r="L39" s="94"/>
      <c r="M39" s="94"/>
      <c r="N39" s="94"/>
      <c r="O39" s="95"/>
      <c r="P39" s="79"/>
      <c r="Q39" s="79"/>
      <c r="R39" s="79"/>
      <c r="S39" s="79"/>
    </row>
    <row r="40" spans="1:19" ht="18" customHeight="1" x14ac:dyDescent="0.2">
      <c r="B40" s="93"/>
      <c r="C40" s="94"/>
      <c r="D40" s="94"/>
      <c r="E40" s="95"/>
      <c r="F40" s="79"/>
      <c r="G40" s="79"/>
      <c r="H40" s="79"/>
      <c r="I40" s="79"/>
      <c r="J40" s="93"/>
      <c r="K40" s="94"/>
      <c r="L40" s="94"/>
      <c r="M40" s="94"/>
      <c r="N40" s="94"/>
      <c r="O40" s="95"/>
      <c r="P40" s="79"/>
      <c r="Q40" s="79"/>
      <c r="R40" s="79"/>
      <c r="S40" s="79"/>
    </row>
    <row r="41" spans="1:19" ht="18" customHeight="1" x14ac:dyDescent="0.2">
      <c r="B41" s="93"/>
      <c r="C41" s="94"/>
      <c r="D41" s="94"/>
      <c r="E41" s="95"/>
      <c r="F41" s="79"/>
      <c r="G41" s="79"/>
      <c r="H41" s="79"/>
      <c r="I41" s="79"/>
      <c r="J41" s="93"/>
      <c r="K41" s="94"/>
      <c r="L41" s="94"/>
      <c r="M41" s="94"/>
      <c r="N41" s="94"/>
      <c r="O41" s="95"/>
      <c r="P41" s="79"/>
      <c r="Q41" s="79"/>
      <c r="R41" s="79"/>
      <c r="S41" s="79"/>
    </row>
    <row r="42" spans="1:19" ht="18" customHeight="1" x14ac:dyDescent="0.2">
      <c r="B42" s="99"/>
      <c r="C42" s="100"/>
      <c r="D42" s="100"/>
      <c r="E42" s="101"/>
      <c r="F42" s="80"/>
      <c r="G42" s="80"/>
      <c r="H42" s="81"/>
      <c r="I42" s="81"/>
      <c r="J42" s="99"/>
      <c r="K42" s="100"/>
      <c r="L42" s="100"/>
      <c r="M42" s="100"/>
      <c r="N42" s="100"/>
      <c r="O42" s="101"/>
      <c r="P42" s="80"/>
      <c r="Q42" s="80"/>
      <c r="R42" s="81"/>
      <c r="S42" s="81"/>
    </row>
    <row r="43" spans="1:19" ht="7.5" customHeight="1" x14ac:dyDescent="0.2">
      <c r="A43" s="70"/>
      <c r="B43" s="68"/>
      <c r="C43" s="68"/>
      <c r="D43" s="70"/>
      <c r="E43" s="70"/>
      <c r="F43" s="70"/>
      <c r="G43" s="70"/>
      <c r="H43" s="68"/>
      <c r="I43" s="68"/>
      <c r="J43" s="68"/>
      <c r="K43" s="68"/>
      <c r="L43" s="68"/>
      <c r="M43" s="68"/>
      <c r="N43" s="68"/>
      <c r="O43" s="68"/>
      <c r="P43" s="68"/>
      <c r="Q43" s="68"/>
      <c r="R43" s="68"/>
      <c r="S43" s="70"/>
    </row>
    <row r="44" spans="1:19" ht="18" customHeight="1" x14ac:dyDescent="0.2">
      <c r="A44" s="102" t="s">
        <v>116</v>
      </c>
      <c r="B44" s="102"/>
      <c r="C44" s="102"/>
      <c r="D44" s="102"/>
      <c r="E44" s="102"/>
      <c r="F44" s="102"/>
      <c r="G44" s="102"/>
      <c r="H44" s="102"/>
      <c r="I44" s="102"/>
      <c r="J44" s="102"/>
      <c r="K44" s="102"/>
      <c r="L44" s="102"/>
      <c r="M44" s="102"/>
      <c r="N44" s="102"/>
      <c r="O44" s="102"/>
      <c r="P44" s="102"/>
      <c r="Q44" s="102"/>
      <c r="R44" s="102"/>
      <c r="S44" s="102"/>
    </row>
    <row r="45" spans="1:19" ht="18" customHeight="1" x14ac:dyDescent="0.2">
      <c r="A45" s="102"/>
      <c r="B45" s="102"/>
      <c r="C45" s="102"/>
      <c r="D45" s="102"/>
      <c r="E45" s="102"/>
      <c r="F45" s="102"/>
      <c r="G45" s="102"/>
      <c r="H45" s="102"/>
      <c r="I45" s="102"/>
      <c r="J45" s="102"/>
      <c r="K45" s="102"/>
      <c r="L45" s="102"/>
      <c r="M45" s="102"/>
      <c r="N45" s="102"/>
      <c r="O45" s="102"/>
      <c r="P45" s="102"/>
      <c r="Q45" s="102"/>
      <c r="R45" s="102"/>
      <c r="S45" s="102"/>
    </row>
    <row r="46" spans="1:19" ht="18" customHeight="1" x14ac:dyDescent="0.2">
      <c r="B46" s="96" t="s">
        <v>54</v>
      </c>
      <c r="C46" s="97"/>
      <c r="D46" s="97"/>
      <c r="E46" s="98"/>
      <c r="F46" s="75" t="s">
        <v>81</v>
      </c>
      <c r="G46" s="76" t="s">
        <v>85</v>
      </c>
      <c r="H46" s="77" t="s">
        <v>74</v>
      </c>
      <c r="I46" s="77" t="s">
        <v>75</v>
      </c>
      <c r="J46" s="96" t="s">
        <v>54</v>
      </c>
      <c r="K46" s="97"/>
      <c r="L46" s="97"/>
      <c r="M46" s="97"/>
      <c r="N46" s="97"/>
      <c r="O46" s="98"/>
      <c r="P46" s="75" t="s">
        <v>81</v>
      </c>
      <c r="Q46" s="76" t="s">
        <v>85</v>
      </c>
      <c r="R46" s="77" t="s">
        <v>74</v>
      </c>
      <c r="S46" s="77" t="s">
        <v>75</v>
      </c>
    </row>
    <row r="47" spans="1:19" ht="18" customHeight="1" x14ac:dyDescent="0.2">
      <c r="A47" s="70"/>
      <c r="B47" s="90" t="s">
        <v>170</v>
      </c>
      <c r="C47" s="91"/>
      <c r="D47" s="91"/>
      <c r="E47" s="92"/>
      <c r="F47" s="78">
        <v>2</v>
      </c>
      <c r="G47" s="78" t="s">
        <v>137</v>
      </c>
      <c r="H47" s="78"/>
      <c r="I47" s="79" t="s">
        <v>137</v>
      </c>
      <c r="J47" s="90"/>
      <c r="K47" s="91"/>
      <c r="L47" s="91"/>
      <c r="M47" s="91"/>
      <c r="N47" s="91"/>
      <c r="O47" s="92"/>
      <c r="P47" s="78"/>
      <c r="Q47" s="78"/>
      <c r="R47" s="78"/>
      <c r="S47" s="78"/>
    </row>
    <row r="48" spans="1:19" ht="18" customHeight="1" x14ac:dyDescent="0.2">
      <c r="A48" s="70"/>
      <c r="B48" s="93" t="s">
        <v>157</v>
      </c>
      <c r="C48" s="94"/>
      <c r="D48" s="94"/>
      <c r="E48" s="95"/>
      <c r="F48" s="79">
        <v>2</v>
      </c>
      <c r="G48" s="79" t="s">
        <v>137</v>
      </c>
      <c r="H48" s="79" t="s">
        <v>137</v>
      </c>
      <c r="I48" s="79" t="s">
        <v>137</v>
      </c>
      <c r="J48" s="93"/>
      <c r="K48" s="94"/>
      <c r="L48" s="94"/>
      <c r="M48" s="94"/>
      <c r="N48" s="94"/>
      <c r="O48" s="95"/>
      <c r="P48" s="79"/>
      <c r="Q48" s="79"/>
      <c r="R48" s="79"/>
      <c r="S48" s="79"/>
    </row>
    <row r="49" spans="1:19" ht="18" customHeight="1" x14ac:dyDescent="0.2">
      <c r="A49" s="70"/>
      <c r="B49" s="93"/>
      <c r="C49" s="94"/>
      <c r="D49" s="94"/>
      <c r="E49" s="95"/>
      <c r="F49" s="79"/>
      <c r="G49" s="79"/>
      <c r="H49" s="79"/>
      <c r="I49" s="79"/>
      <c r="J49" s="93"/>
      <c r="K49" s="94"/>
      <c r="L49" s="94"/>
      <c r="M49" s="94"/>
      <c r="N49" s="94"/>
      <c r="O49" s="95"/>
      <c r="P49" s="79"/>
      <c r="Q49" s="79"/>
      <c r="R49" s="79"/>
      <c r="S49" s="79"/>
    </row>
    <row r="50" spans="1:19" ht="18" customHeight="1" x14ac:dyDescent="0.2">
      <c r="A50" s="70"/>
      <c r="B50" s="93"/>
      <c r="C50" s="94"/>
      <c r="D50" s="94"/>
      <c r="E50" s="95"/>
      <c r="F50" s="79"/>
      <c r="G50" s="79"/>
      <c r="H50" s="79"/>
      <c r="I50" s="79"/>
      <c r="J50" s="93"/>
      <c r="K50" s="94"/>
      <c r="L50" s="94"/>
      <c r="M50" s="94"/>
      <c r="N50" s="94"/>
      <c r="O50" s="95"/>
      <c r="P50" s="79"/>
      <c r="Q50" s="79"/>
      <c r="R50" s="79"/>
      <c r="S50" s="79"/>
    </row>
    <row r="51" spans="1:19" ht="18" customHeight="1" x14ac:dyDescent="0.2">
      <c r="A51" s="70"/>
      <c r="B51" s="93"/>
      <c r="C51" s="94"/>
      <c r="D51" s="94"/>
      <c r="E51" s="95"/>
      <c r="F51" s="79"/>
      <c r="G51" s="79"/>
      <c r="H51" s="79"/>
      <c r="I51" s="79"/>
      <c r="J51" s="93"/>
      <c r="K51" s="94"/>
      <c r="L51" s="94"/>
      <c r="M51" s="94"/>
      <c r="N51" s="94"/>
      <c r="O51" s="95"/>
      <c r="P51" s="79"/>
      <c r="Q51" s="79"/>
      <c r="R51" s="79"/>
      <c r="S51" s="79"/>
    </row>
    <row r="52" spans="1:19" ht="18" customHeight="1" x14ac:dyDescent="0.2">
      <c r="A52" s="70"/>
      <c r="B52" s="93"/>
      <c r="C52" s="94"/>
      <c r="D52" s="94"/>
      <c r="E52" s="95"/>
      <c r="F52" s="79"/>
      <c r="G52" s="79"/>
      <c r="H52" s="79"/>
      <c r="I52" s="79"/>
      <c r="J52" s="93"/>
      <c r="K52" s="94"/>
      <c r="L52" s="94"/>
      <c r="M52" s="94"/>
      <c r="N52" s="94"/>
      <c r="O52" s="95"/>
      <c r="P52" s="79"/>
      <c r="Q52" s="79"/>
      <c r="R52" s="79"/>
      <c r="S52" s="79"/>
    </row>
    <row r="53" spans="1:19" ht="18" customHeight="1" x14ac:dyDescent="0.2">
      <c r="A53" s="70"/>
      <c r="B53" s="99"/>
      <c r="C53" s="100"/>
      <c r="D53" s="100"/>
      <c r="E53" s="101"/>
      <c r="F53" s="80"/>
      <c r="G53" s="80"/>
      <c r="H53" s="81"/>
      <c r="I53" s="81"/>
      <c r="J53" s="99"/>
      <c r="K53" s="100"/>
      <c r="L53" s="100"/>
      <c r="M53" s="100"/>
      <c r="N53" s="100"/>
      <c r="O53" s="101"/>
      <c r="P53" s="80"/>
      <c r="Q53" s="80"/>
      <c r="R53" s="81"/>
      <c r="S53" s="81"/>
    </row>
    <row r="54" spans="1:19" ht="7.5" customHeight="1" x14ac:dyDescent="0.2">
      <c r="B54" s="82"/>
      <c r="C54" s="82"/>
      <c r="D54" s="82"/>
      <c r="E54" s="82"/>
      <c r="F54" s="82"/>
      <c r="G54" s="82"/>
      <c r="H54" s="82"/>
      <c r="I54" s="82"/>
      <c r="J54" s="82"/>
      <c r="K54" s="82"/>
      <c r="L54" s="82"/>
      <c r="M54" s="82"/>
      <c r="N54" s="82"/>
      <c r="O54" s="82"/>
      <c r="P54" s="82"/>
      <c r="Q54" s="82"/>
      <c r="R54" s="82"/>
    </row>
    <row r="55" spans="1:19" ht="18" customHeight="1" x14ac:dyDescent="0.2">
      <c r="A55" s="102" t="s">
        <v>117</v>
      </c>
      <c r="B55" s="102"/>
      <c r="C55" s="102"/>
      <c r="D55" s="102"/>
      <c r="E55" s="102"/>
      <c r="F55" s="102"/>
      <c r="G55" s="102"/>
      <c r="H55" s="102"/>
      <c r="I55" s="102"/>
      <c r="J55" s="102"/>
      <c r="K55" s="102"/>
      <c r="L55" s="102"/>
      <c r="M55" s="102"/>
      <c r="N55" s="102"/>
      <c r="O55" s="102"/>
      <c r="P55" s="102"/>
      <c r="Q55" s="102"/>
      <c r="R55" s="102"/>
      <c r="S55" s="102"/>
    </row>
    <row r="56" spans="1:19" ht="18" customHeight="1" x14ac:dyDescent="0.2">
      <c r="A56" s="102"/>
      <c r="B56" s="102"/>
      <c r="C56" s="102"/>
      <c r="D56" s="102"/>
      <c r="E56" s="102"/>
      <c r="F56" s="102"/>
      <c r="G56" s="102"/>
      <c r="H56" s="102"/>
      <c r="I56" s="102"/>
      <c r="J56" s="102"/>
      <c r="K56" s="102"/>
      <c r="L56" s="102"/>
      <c r="M56" s="102"/>
      <c r="N56" s="102"/>
      <c r="O56" s="102"/>
      <c r="P56" s="102"/>
      <c r="Q56" s="102"/>
      <c r="R56" s="102"/>
      <c r="S56" s="102"/>
    </row>
    <row r="57" spans="1:19" ht="18" customHeight="1" x14ac:dyDescent="0.2">
      <c r="B57" s="96" t="s">
        <v>54</v>
      </c>
      <c r="C57" s="97"/>
      <c r="D57" s="97"/>
      <c r="E57" s="98"/>
      <c r="F57" s="75" t="s">
        <v>81</v>
      </c>
      <c r="G57" s="76" t="s">
        <v>85</v>
      </c>
      <c r="H57" s="77" t="s">
        <v>59</v>
      </c>
      <c r="I57" s="77" t="s">
        <v>61</v>
      </c>
      <c r="J57" s="96" t="s">
        <v>54</v>
      </c>
      <c r="K57" s="97"/>
      <c r="L57" s="97"/>
      <c r="M57" s="97"/>
      <c r="N57" s="97"/>
      <c r="O57" s="98"/>
      <c r="P57" s="75" t="s">
        <v>81</v>
      </c>
      <c r="Q57" s="76" t="s">
        <v>85</v>
      </c>
      <c r="R57" s="77" t="s">
        <v>59</v>
      </c>
      <c r="S57" s="77" t="s">
        <v>61</v>
      </c>
    </row>
    <row r="58" spans="1:19" ht="18" customHeight="1" x14ac:dyDescent="0.2">
      <c r="A58" s="70"/>
      <c r="B58" s="90" t="s">
        <v>170</v>
      </c>
      <c r="C58" s="91"/>
      <c r="D58" s="91"/>
      <c r="E58" s="92"/>
      <c r="F58" s="78">
        <v>2</v>
      </c>
      <c r="G58" s="78" t="s">
        <v>137</v>
      </c>
      <c r="H58" s="78" t="s">
        <v>137</v>
      </c>
      <c r="I58" s="78"/>
      <c r="J58" s="90"/>
      <c r="K58" s="91"/>
      <c r="L58" s="91"/>
      <c r="M58" s="91"/>
      <c r="N58" s="91"/>
      <c r="O58" s="92"/>
      <c r="P58" s="78"/>
      <c r="Q58" s="78"/>
      <c r="R58" s="78"/>
      <c r="S58" s="78"/>
    </row>
    <row r="59" spans="1:19" ht="18" customHeight="1" x14ac:dyDescent="0.2">
      <c r="A59" s="70"/>
      <c r="B59" s="93" t="s">
        <v>157</v>
      </c>
      <c r="C59" s="94"/>
      <c r="D59" s="94"/>
      <c r="E59" s="95"/>
      <c r="F59" s="79">
        <v>2</v>
      </c>
      <c r="G59" s="79" t="s">
        <v>137</v>
      </c>
      <c r="H59" s="79" t="s">
        <v>137</v>
      </c>
      <c r="I59" s="79" t="s">
        <v>137</v>
      </c>
      <c r="J59" s="93"/>
      <c r="K59" s="94"/>
      <c r="L59" s="94"/>
      <c r="M59" s="94"/>
      <c r="N59" s="94"/>
      <c r="O59" s="95"/>
      <c r="P59" s="79"/>
      <c r="Q59" s="79"/>
      <c r="R59" s="79"/>
      <c r="S59" s="79"/>
    </row>
    <row r="60" spans="1:19" ht="18" customHeight="1" x14ac:dyDescent="0.2">
      <c r="A60" s="70"/>
      <c r="B60" s="93"/>
      <c r="C60" s="94"/>
      <c r="D60" s="94"/>
      <c r="E60" s="95"/>
      <c r="F60" s="79"/>
      <c r="G60" s="79"/>
      <c r="H60" s="79"/>
      <c r="I60" s="79"/>
      <c r="J60" s="93"/>
      <c r="K60" s="94"/>
      <c r="L60" s="94"/>
      <c r="M60" s="94"/>
      <c r="N60" s="94"/>
      <c r="O60" s="95"/>
      <c r="P60" s="79"/>
      <c r="Q60" s="79"/>
      <c r="R60" s="79"/>
      <c r="S60" s="79"/>
    </row>
    <row r="61" spans="1:19" ht="18" customHeight="1" x14ac:dyDescent="0.2">
      <c r="A61" s="70"/>
      <c r="B61" s="93"/>
      <c r="C61" s="94"/>
      <c r="D61" s="94"/>
      <c r="E61" s="95"/>
      <c r="F61" s="79"/>
      <c r="G61" s="79"/>
      <c r="H61" s="79"/>
      <c r="I61" s="79"/>
      <c r="J61" s="93"/>
      <c r="K61" s="94"/>
      <c r="L61" s="94"/>
      <c r="M61" s="94"/>
      <c r="N61" s="94"/>
      <c r="O61" s="95"/>
      <c r="P61" s="79"/>
      <c r="Q61" s="79"/>
      <c r="R61" s="79"/>
      <c r="S61" s="79"/>
    </row>
    <row r="62" spans="1:19" ht="18" customHeight="1" x14ac:dyDescent="0.2">
      <c r="A62" s="70"/>
      <c r="B62" s="93"/>
      <c r="C62" s="94"/>
      <c r="D62" s="94"/>
      <c r="E62" s="95"/>
      <c r="F62" s="79"/>
      <c r="G62" s="79"/>
      <c r="H62" s="79"/>
      <c r="I62" s="79"/>
      <c r="J62" s="93"/>
      <c r="K62" s="94"/>
      <c r="L62" s="94"/>
      <c r="M62" s="94"/>
      <c r="N62" s="94"/>
      <c r="O62" s="95"/>
      <c r="P62" s="79"/>
      <c r="Q62" s="79"/>
      <c r="R62" s="79"/>
      <c r="S62" s="79"/>
    </row>
    <row r="63" spans="1:19" ht="18" customHeight="1" x14ac:dyDescent="0.2">
      <c r="A63" s="70"/>
      <c r="B63" s="93"/>
      <c r="C63" s="94"/>
      <c r="D63" s="94"/>
      <c r="E63" s="95"/>
      <c r="F63" s="79"/>
      <c r="G63" s="79"/>
      <c r="H63" s="79"/>
      <c r="I63" s="79"/>
      <c r="J63" s="93"/>
      <c r="K63" s="94"/>
      <c r="L63" s="94"/>
      <c r="M63" s="94"/>
      <c r="N63" s="94"/>
      <c r="O63" s="95"/>
      <c r="P63" s="79"/>
      <c r="Q63" s="79"/>
      <c r="R63" s="79"/>
      <c r="S63" s="79"/>
    </row>
    <row r="64" spans="1:19" ht="18" customHeight="1" x14ac:dyDescent="0.2">
      <c r="A64" s="70"/>
      <c r="B64" s="99"/>
      <c r="C64" s="100"/>
      <c r="D64" s="100"/>
      <c r="E64" s="101"/>
      <c r="F64" s="80"/>
      <c r="G64" s="80"/>
      <c r="H64" s="81"/>
      <c r="I64" s="81"/>
      <c r="J64" s="99"/>
      <c r="K64" s="100"/>
      <c r="L64" s="100"/>
      <c r="M64" s="100"/>
      <c r="N64" s="100"/>
      <c r="O64" s="101"/>
      <c r="P64" s="80"/>
      <c r="Q64" s="80"/>
      <c r="R64" s="81"/>
      <c r="S64" s="81"/>
    </row>
    <row r="65" spans="1:19" ht="7.5" customHeight="1" x14ac:dyDescent="0.2">
      <c r="B65" s="82"/>
      <c r="C65" s="82"/>
      <c r="D65" s="82"/>
      <c r="E65" s="82"/>
      <c r="F65" s="82"/>
      <c r="G65" s="82"/>
      <c r="H65" s="82"/>
      <c r="I65" s="82"/>
      <c r="J65" s="82"/>
      <c r="K65" s="82"/>
      <c r="L65" s="82"/>
      <c r="M65" s="82"/>
      <c r="N65" s="82"/>
      <c r="O65" s="82"/>
      <c r="P65" s="82"/>
      <c r="Q65" s="82"/>
      <c r="R65" s="82"/>
    </row>
    <row r="66" spans="1:19" ht="18" customHeight="1" x14ac:dyDescent="0.2">
      <c r="A66" s="102" t="s">
        <v>118</v>
      </c>
      <c r="B66" s="102"/>
      <c r="C66" s="102"/>
      <c r="D66" s="102"/>
      <c r="E66" s="102"/>
      <c r="F66" s="102"/>
      <c r="G66" s="102"/>
      <c r="H66" s="102"/>
      <c r="I66" s="102"/>
      <c r="J66" s="102"/>
      <c r="K66" s="102"/>
      <c r="L66" s="102"/>
      <c r="M66" s="102"/>
      <c r="N66" s="102"/>
      <c r="O66" s="102"/>
      <c r="P66" s="102"/>
      <c r="Q66" s="102"/>
      <c r="R66" s="102"/>
      <c r="S66" s="102"/>
    </row>
    <row r="67" spans="1:19" ht="18" customHeight="1" x14ac:dyDescent="0.2">
      <c r="A67" s="102"/>
      <c r="B67" s="102"/>
      <c r="C67" s="102"/>
      <c r="D67" s="102"/>
      <c r="E67" s="102"/>
      <c r="F67" s="102"/>
      <c r="G67" s="102"/>
      <c r="H67" s="102"/>
      <c r="I67" s="102"/>
      <c r="J67" s="102"/>
      <c r="K67" s="102"/>
      <c r="L67" s="102"/>
      <c r="M67" s="102"/>
      <c r="N67" s="102"/>
      <c r="O67" s="102"/>
      <c r="P67" s="102"/>
      <c r="Q67" s="102"/>
      <c r="R67" s="102"/>
      <c r="S67" s="102"/>
    </row>
    <row r="68" spans="1:19" ht="18" customHeight="1" x14ac:dyDescent="0.2">
      <c r="B68" s="96" t="s">
        <v>54</v>
      </c>
      <c r="C68" s="97"/>
      <c r="D68" s="97"/>
      <c r="E68" s="75" t="s">
        <v>81</v>
      </c>
      <c r="F68" s="76" t="s">
        <v>85</v>
      </c>
      <c r="G68" s="77" t="s">
        <v>102</v>
      </c>
      <c r="H68" s="77" t="s">
        <v>76</v>
      </c>
      <c r="I68" s="77" t="s">
        <v>77</v>
      </c>
      <c r="J68" s="96" t="s">
        <v>54</v>
      </c>
      <c r="K68" s="97"/>
      <c r="L68" s="97"/>
      <c r="M68" s="97"/>
      <c r="N68" s="98"/>
      <c r="O68" s="75" t="s">
        <v>81</v>
      </c>
      <c r="P68" s="76" t="s">
        <v>85</v>
      </c>
      <c r="Q68" s="77" t="s">
        <v>102</v>
      </c>
      <c r="R68" s="77" t="s">
        <v>76</v>
      </c>
      <c r="S68" s="77" t="s">
        <v>77</v>
      </c>
    </row>
    <row r="69" spans="1:19" ht="18" customHeight="1" x14ac:dyDescent="0.2">
      <c r="A69" s="70"/>
      <c r="B69" s="90" t="s">
        <v>170</v>
      </c>
      <c r="C69" s="91"/>
      <c r="D69" s="92"/>
      <c r="E69" s="78">
        <v>2</v>
      </c>
      <c r="F69" s="78" t="s">
        <v>137</v>
      </c>
      <c r="G69" s="78" t="s">
        <v>137</v>
      </c>
      <c r="H69" s="78" t="s">
        <v>137</v>
      </c>
      <c r="I69" s="78" t="s">
        <v>137</v>
      </c>
      <c r="J69" s="90"/>
      <c r="K69" s="91"/>
      <c r="L69" s="91"/>
      <c r="M69" s="91"/>
      <c r="N69" s="92"/>
      <c r="O69" s="78"/>
      <c r="P69" s="78"/>
      <c r="Q69" s="78"/>
      <c r="R69" s="78"/>
      <c r="S69" s="78"/>
    </row>
    <row r="70" spans="1:19" ht="18" customHeight="1" x14ac:dyDescent="0.2">
      <c r="A70" s="70"/>
      <c r="B70" s="93" t="s">
        <v>158</v>
      </c>
      <c r="C70" s="94"/>
      <c r="D70" s="95"/>
      <c r="E70" s="79">
        <v>2</v>
      </c>
      <c r="F70" s="79" t="s">
        <v>137</v>
      </c>
      <c r="G70" s="79" t="s">
        <v>137</v>
      </c>
      <c r="H70" s="79" t="s">
        <v>137</v>
      </c>
      <c r="I70" s="79" t="s">
        <v>137</v>
      </c>
      <c r="J70" s="93"/>
      <c r="K70" s="94"/>
      <c r="L70" s="94"/>
      <c r="M70" s="94"/>
      <c r="N70" s="95"/>
      <c r="O70" s="79"/>
      <c r="P70" s="79"/>
      <c r="Q70" s="79"/>
      <c r="R70" s="79"/>
      <c r="S70" s="79"/>
    </row>
    <row r="71" spans="1:19" ht="18" customHeight="1" x14ac:dyDescent="0.2">
      <c r="A71" s="70"/>
      <c r="B71" s="93"/>
      <c r="C71" s="94"/>
      <c r="D71" s="94"/>
      <c r="E71" s="79"/>
      <c r="F71" s="79"/>
      <c r="G71" s="79"/>
      <c r="H71" s="79"/>
      <c r="I71" s="79"/>
      <c r="J71" s="93"/>
      <c r="K71" s="94"/>
      <c r="L71" s="94"/>
      <c r="M71" s="94"/>
      <c r="N71" s="95"/>
      <c r="O71" s="79"/>
      <c r="P71" s="79"/>
      <c r="Q71" s="79"/>
      <c r="R71" s="79"/>
      <c r="S71" s="79"/>
    </row>
    <row r="72" spans="1:19" ht="18" customHeight="1" x14ac:dyDescent="0.2">
      <c r="A72" s="70"/>
      <c r="B72" s="93"/>
      <c r="C72" s="94"/>
      <c r="D72" s="94"/>
      <c r="E72" s="79"/>
      <c r="F72" s="79"/>
      <c r="G72" s="79"/>
      <c r="H72" s="79"/>
      <c r="I72" s="79"/>
      <c r="J72" s="93"/>
      <c r="K72" s="94"/>
      <c r="L72" s="94"/>
      <c r="M72" s="94"/>
      <c r="N72" s="95"/>
      <c r="O72" s="79"/>
      <c r="P72" s="79"/>
      <c r="Q72" s="79"/>
      <c r="R72" s="79"/>
      <c r="S72" s="79"/>
    </row>
    <row r="73" spans="1:19" ht="18" customHeight="1" x14ac:dyDescent="0.2">
      <c r="A73" s="70"/>
      <c r="B73" s="93"/>
      <c r="C73" s="94"/>
      <c r="D73" s="94"/>
      <c r="E73" s="79"/>
      <c r="F73" s="79"/>
      <c r="G73" s="79"/>
      <c r="H73" s="79"/>
      <c r="I73" s="79"/>
      <c r="J73" s="93"/>
      <c r="K73" s="94"/>
      <c r="L73" s="94"/>
      <c r="M73" s="94"/>
      <c r="N73" s="95"/>
      <c r="O73" s="79"/>
      <c r="P73" s="79"/>
      <c r="Q73" s="79"/>
      <c r="R73" s="79"/>
      <c r="S73" s="79"/>
    </row>
    <row r="74" spans="1:19" ht="18" customHeight="1" x14ac:dyDescent="0.2">
      <c r="A74" s="70"/>
      <c r="B74" s="93"/>
      <c r="C74" s="94"/>
      <c r="D74" s="94"/>
      <c r="E74" s="79"/>
      <c r="F74" s="79"/>
      <c r="G74" s="79"/>
      <c r="H74" s="79"/>
      <c r="I74" s="79"/>
      <c r="J74" s="93"/>
      <c r="K74" s="94"/>
      <c r="L74" s="94"/>
      <c r="M74" s="94"/>
      <c r="N74" s="95"/>
      <c r="O74" s="79"/>
      <c r="P74" s="79"/>
      <c r="Q74" s="79"/>
      <c r="R74" s="79"/>
      <c r="S74" s="79"/>
    </row>
    <row r="75" spans="1:19" ht="18" customHeight="1" x14ac:dyDescent="0.2">
      <c r="A75" s="70"/>
      <c r="B75" s="99"/>
      <c r="C75" s="100"/>
      <c r="D75" s="100"/>
      <c r="E75" s="80"/>
      <c r="F75" s="80"/>
      <c r="G75" s="81"/>
      <c r="H75" s="81"/>
      <c r="I75" s="81"/>
      <c r="J75" s="99"/>
      <c r="K75" s="100"/>
      <c r="L75" s="100"/>
      <c r="M75" s="100"/>
      <c r="N75" s="101"/>
      <c r="O75" s="80"/>
      <c r="P75" s="80"/>
      <c r="Q75" s="81"/>
      <c r="R75" s="81"/>
      <c r="S75" s="81"/>
    </row>
    <row r="76" spans="1:19" ht="7.5" customHeight="1" x14ac:dyDescent="0.2">
      <c r="B76" s="82"/>
      <c r="C76" s="82"/>
      <c r="D76" s="82"/>
      <c r="E76" s="82"/>
      <c r="F76" s="82"/>
      <c r="G76" s="82"/>
      <c r="H76" s="82"/>
      <c r="I76" s="82"/>
      <c r="J76" s="82"/>
      <c r="K76" s="82"/>
      <c r="L76" s="82"/>
      <c r="M76" s="82"/>
      <c r="N76" s="82"/>
      <c r="O76" s="82"/>
      <c r="P76" s="82"/>
      <c r="Q76" s="82"/>
      <c r="R76" s="82"/>
    </row>
    <row r="77" spans="1:19" ht="18" customHeight="1" x14ac:dyDescent="0.2">
      <c r="A77" s="64" t="s">
        <v>119</v>
      </c>
      <c r="H77" s="70"/>
      <c r="I77" s="70"/>
      <c r="J77" s="70"/>
      <c r="K77" s="70"/>
      <c r="L77" s="70"/>
      <c r="M77" s="70"/>
      <c r="N77" s="70"/>
      <c r="O77" s="70"/>
      <c r="P77" s="70"/>
      <c r="Q77" s="70"/>
      <c r="R77" s="70"/>
      <c r="S77" s="70"/>
    </row>
    <row r="78" spans="1:19" ht="18" customHeight="1" x14ac:dyDescent="0.2">
      <c r="B78" s="96" t="s">
        <v>54</v>
      </c>
      <c r="C78" s="97"/>
      <c r="D78" s="97"/>
      <c r="E78" s="98"/>
      <c r="F78" s="96" t="s">
        <v>83</v>
      </c>
      <c r="G78" s="97"/>
      <c r="H78" s="97"/>
      <c r="I78" s="98"/>
      <c r="J78" s="123" t="s">
        <v>54</v>
      </c>
      <c r="K78" s="124"/>
      <c r="L78" s="124"/>
      <c r="M78" s="124"/>
      <c r="N78" s="124"/>
      <c r="O78" s="125"/>
      <c r="P78" s="96" t="s">
        <v>83</v>
      </c>
      <c r="Q78" s="97"/>
      <c r="R78" s="97"/>
      <c r="S78" s="98"/>
    </row>
    <row r="79" spans="1:19" ht="18" customHeight="1" x14ac:dyDescent="0.2">
      <c r="A79" s="70"/>
      <c r="B79" s="90"/>
      <c r="C79" s="91"/>
      <c r="D79" s="91"/>
      <c r="E79" s="92"/>
      <c r="F79" s="117"/>
      <c r="G79" s="118"/>
      <c r="H79" s="118"/>
      <c r="I79" s="119"/>
      <c r="J79" s="90"/>
      <c r="K79" s="91"/>
      <c r="L79" s="91"/>
      <c r="M79" s="91"/>
      <c r="N79" s="91"/>
      <c r="O79" s="92"/>
      <c r="P79" s="117"/>
      <c r="Q79" s="118"/>
      <c r="R79" s="118"/>
      <c r="S79" s="119"/>
    </row>
    <row r="80" spans="1:19" ht="18" customHeight="1" x14ac:dyDescent="0.2">
      <c r="A80" s="70"/>
      <c r="B80" s="93"/>
      <c r="C80" s="94"/>
      <c r="D80" s="94"/>
      <c r="E80" s="95"/>
      <c r="F80" s="120"/>
      <c r="G80" s="121"/>
      <c r="H80" s="121"/>
      <c r="I80" s="122"/>
      <c r="J80" s="93"/>
      <c r="K80" s="94"/>
      <c r="L80" s="94"/>
      <c r="M80" s="94"/>
      <c r="N80" s="94"/>
      <c r="O80" s="95"/>
      <c r="P80" s="120"/>
      <c r="Q80" s="121"/>
      <c r="R80" s="121"/>
      <c r="S80" s="122"/>
    </row>
    <row r="81" spans="1:19" ht="18" customHeight="1" x14ac:dyDescent="0.2">
      <c r="A81" s="70"/>
      <c r="B81" s="93"/>
      <c r="C81" s="94"/>
      <c r="D81" s="94"/>
      <c r="E81" s="95"/>
      <c r="F81" s="120"/>
      <c r="G81" s="121"/>
      <c r="H81" s="121"/>
      <c r="I81" s="122"/>
      <c r="J81" s="93"/>
      <c r="K81" s="94"/>
      <c r="L81" s="94"/>
      <c r="M81" s="94"/>
      <c r="N81" s="94"/>
      <c r="O81" s="95"/>
      <c r="P81" s="120"/>
      <c r="Q81" s="121"/>
      <c r="R81" s="121"/>
      <c r="S81" s="122"/>
    </row>
    <row r="82" spans="1:19" ht="18" customHeight="1" x14ac:dyDescent="0.2">
      <c r="A82" s="70"/>
      <c r="B82" s="93"/>
      <c r="C82" s="94"/>
      <c r="D82" s="94"/>
      <c r="E82" s="95"/>
      <c r="F82" s="120"/>
      <c r="G82" s="121"/>
      <c r="H82" s="121"/>
      <c r="I82" s="122"/>
      <c r="J82" s="93"/>
      <c r="K82" s="94"/>
      <c r="L82" s="94"/>
      <c r="M82" s="94"/>
      <c r="N82" s="94"/>
      <c r="O82" s="95"/>
      <c r="P82" s="120"/>
      <c r="Q82" s="121"/>
      <c r="R82" s="121"/>
      <c r="S82" s="122"/>
    </row>
    <row r="83" spans="1:19" ht="18" customHeight="1" x14ac:dyDescent="0.2">
      <c r="A83" s="70"/>
      <c r="B83" s="93"/>
      <c r="C83" s="94"/>
      <c r="D83" s="94"/>
      <c r="E83" s="95"/>
      <c r="F83" s="120"/>
      <c r="G83" s="121"/>
      <c r="H83" s="121"/>
      <c r="I83" s="122"/>
      <c r="J83" s="93"/>
      <c r="K83" s="94"/>
      <c r="L83" s="94"/>
      <c r="M83" s="94"/>
      <c r="N83" s="94"/>
      <c r="O83" s="95"/>
      <c r="P83" s="120"/>
      <c r="Q83" s="121"/>
      <c r="R83" s="121"/>
      <c r="S83" s="122"/>
    </row>
    <row r="84" spans="1:19" ht="18" customHeight="1" x14ac:dyDescent="0.2">
      <c r="A84" s="70"/>
      <c r="B84" s="93"/>
      <c r="C84" s="94"/>
      <c r="D84" s="94"/>
      <c r="E84" s="95"/>
      <c r="F84" s="120"/>
      <c r="G84" s="121"/>
      <c r="H84" s="121"/>
      <c r="I84" s="122"/>
      <c r="J84" s="93"/>
      <c r="K84" s="94"/>
      <c r="L84" s="94"/>
      <c r="M84" s="94"/>
      <c r="N84" s="94"/>
      <c r="O84" s="95"/>
      <c r="P84" s="120"/>
      <c r="Q84" s="121"/>
      <c r="R84" s="121"/>
      <c r="S84" s="122"/>
    </row>
    <row r="85" spans="1:19" ht="18" customHeight="1" x14ac:dyDescent="0.2">
      <c r="A85" s="70"/>
      <c r="B85" s="99"/>
      <c r="C85" s="100"/>
      <c r="D85" s="100"/>
      <c r="E85" s="101"/>
      <c r="F85" s="129"/>
      <c r="G85" s="130"/>
      <c r="H85" s="130"/>
      <c r="I85" s="131"/>
      <c r="J85" s="99"/>
      <c r="K85" s="100"/>
      <c r="L85" s="100"/>
      <c r="M85" s="100"/>
      <c r="N85" s="100"/>
      <c r="O85" s="101"/>
      <c r="P85" s="129"/>
      <c r="Q85" s="130"/>
      <c r="R85" s="130"/>
      <c r="S85" s="131"/>
    </row>
    <row r="86" spans="1:19" ht="18" customHeight="1" x14ac:dyDescent="0.2">
      <c r="A86" s="70"/>
      <c r="B86" s="68"/>
      <c r="C86" s="68"/>
      <c r="D86" s="68"/>
      <c r="E86" s="68"/>
      <c r="F86" s="83"/>
      <c r="G86" s="83"/>
      <c r="H86" s="83"/>
      <c r="I86" s="83"/>
      <c r="J86" s="68"/>
      <c r="K86" s="68"/>
      <c r="L86" s="68"/>
      <c r="M86" s="68"/>
      <c r="N86" s="68"/>
      <c r="O86" s="68"/>
      <c r="P86" s="83"/>
      <c r="Q86" s="83"/>
      <c r="R86" s="83"/>
      <c r="S86" s="83"/>
    </row>
    <row r="87" spans="1:19" ht="18.75" customHeight="1" x14ac:dyDescent="0.2">
      <c r="A87" s="64" t="s">
        <v>120</v>
      </c>
    </row>
    <row r="88" spans="1:19" ht="18.75" customHeight="1" x14ac:dyDescent="0.2">
      <c r="B88" s="115" t="s">
        <v>55</v>
      </c>
      <c r="C88" s="116"/>
      <c r="D88" s="97" t="s">
        <v>56</v>
      </c>
      <c r="E88" s="97"/>
      <c r="F88" s="97"/>
      <c r="G88" s="97"/>
      <c r="H88" s="97"/>
      <c r="I88" s="97"/>
      <c r="J88" s="97"/>
      <c r="K88" s="97"/>
      <c r="L88" s="97"/>
      <c r="M88" s="97"/>
      <c r="N88" s="97"/>
      <c r="O88" s="97"/>
      <c r="P88" s="97"/>
      <c r="Q88" s="97"/>
      <c r="R88" s="97"/>
      <c r="S88" s="98"/>
    </row>
    <row r="89" spans="1:19" ht="97.5" customHeight="1" x14ac:dyDescent="0.2">
      <c r="B89" s="103" t="s">
        <v>62</v>
      </c>
      <c r="C89" s="84" t="s">
        <v>57</v>
      </c>
      <c r="D89" s="112" t="s">
        <v>142</v>
      </c>
      <c r="E89" s="113"/>
      <c r="F89" s="113"/>
      <c r="G89" s="113"/>
      <c r="H89" s="113"/>
      <c r="I89" s="113"/>
      <c r="J89" s="113"/>
      <c r="K89" s="113"/>
      <c r="L89" s="113"/>
      <c r="M89" s="113"/>
      <c r="N89" s="113"/>
      <c r="O89" s="113"/>
      <c r="P89" s="113"/>
      <c r="Q89" s="113"/>
      <c r="R89" s="113"/>
      <c r="S89" s="114"/>
    </row>
    <row r="90" spans="1:19" ht="97.5" customHeight="1" x14ac:dyDescent="0.2">
      <c r="B90" s="104"/>
      <c r="C90" s="85" t="s">
        <v>78</v>
      </c>
      <c r="D90" s="132" t="s">
        <v>143</v>
      </c>
      <c r="E90" s="133"/>
      <c r="F90" s="133"/>
      <c r="G90" s="133"/>
      <c r="H90" s="133"/>
      <c r="I90" s="133"/>
      <c r="J90" s="133"/>
      <c r="K90" s="133"/>
      <c r="L90" s="133"/>
      <c r="M90" s="133"/>
      <c r="N90" s="133"/>
      <c r="O90" s="133"/>
      <c r="P90" s="133"/>
      <c r="Q90" s="133"/>
      <c r="R90" s="133"/>
      <c r="S90" s="134"/>
    </row>
    <row r="91" spans="1:19" ht="97.5" customHeight="1" x14ac:dyDescent="0.2">
      <c r="B91" s="103" t="s">
        <v>63</v>
      </c>
      <c r="C91" s="86" t="s">
        <v>72</v>
      </c>
      <c r="D91" s="135" t="s">
        <v>144</v>
      </c>
      <c r="E91" s="136"/>
      <c r="F91" s="136"/>
      <c r="G91" s="136"/>
      <c r="H91" s="136"/>
      <c r="I91" s="136"/>
      <c r="J91" s="136"/>
      <c r="K91" s="136"/>
      <c r="L91" s="136"/>
      <c r="M91" s="136"/>
      <c r="N91" s="136"/>
      <c r="O91" s="136"/>
      <c r="P91" s="136"/>
      <c r="Q91" s="136"/>
      <c r="R91" s="136"/>
      <c r="S91" s="137"/>
    </row>
    <row r="92" spans="1:19" ht="97.5" customHeight="1" x14ac:dyDescent="0.2">
      <c r="B92" s="105"/>
      <c r="C92" s="87" t="s">
        <v>73</v>
      </c>
      <c r="D92" s="141" t="s">
        <v>145</v>
      </c>
      <c r="E92" s="142"/>
      <c r="F92" s="142"/>
      <c r="G92" s="142"/>
      <c r="H92" s="142"/>
      <c r="I92" s="142"/>
      <c r="J92" s="142"/>
      <c r="K92" s="142"/>
      <c r="L92" s="142"/>
      <c r="M92" s="142"/>
      <c r="N92" s="142"/>
      <c r="O92" s="142"/>
      <c r="P92" s="142"/>
      <c r="Q92" s="142"/>
      <c r="R92" s="142"/>
      <c r="S92" s="143"/>
    </row>
    <row r="93" spans="1:19" ht="97.5" customHeight="1" x14ac:dyDescent="0.2">
      <c r="B93" s="103" t="s">
        <v>64</v>
      </c>
      <c r="C93" s="86" t="s">
        <v>74</v>
      </c>
      <c r="D93" s="135" t="s">
        <v>146</v>
      </c>
      <c r="E93" s="136"/>
      <c r="F93" s="136"/>
      <c r="G93" s="136"/>
      <c r="H93" s="136"/>
      <c r="I93" s="136"/>
      <c r="J93" s="136"/>
      <c r="K93" s="136"/>
      <c r="L93" s="136"/>
      <c r="M93" s="136"/>
      <c r="N93" s="136"/>
      <c r="O93" s="136"/>
      <c r="P93" s="136"/>
      <c r="Q93" s="136"/>
      <c r="R93" s="136"/>
      <c r="S93" s="137"/>
    </row>
    <row r="94" spans="1:19" ht="97.5" customHeight="1" x14ac:dyDescent="0.2">
      <c r="B94" s="105"/>
      <c r="C94" s="88" t="s">
        <v>75</v>
      </c>
      <c r="D94" s="138" t="s">
        <v>147</v>
      </c>
      <c r="E94" s="139"/>
      <c r="F94" s="139"/>
      <c r="G94" s="139"/>
      <c r="H94" s="139"/>
      <c r="I94" s="139"/>
      <c r="J94" s="139"/>
      <c r="K94" s="139"/>
      <c r="L94" s="139"/>
      <c r="M94" s="139"/>
      <c r="N94" s="139"/>
      <c r="O94" s="139"/>
      <c r="P94" s="139"/>
      <c r="Q94" s="139"/>
      <c r="R94" s="139"/>
      <c r="S94" s="140"/>
    </row>
    <row r="95" spans="1:19" ht="97.5" customHeight="1" x14ac:dyDescent="0.2">
      <c r="B95" s="103" t="s">
        <v>79</v>
      </c>
      <c r="C95" s="84" t="s">
        <v>59</v>
      </c>
      <c r="D95" s="112" t="s">
        <v>148</v>
      </c>
      <c r="E95" s="113"/>
      <c r="F95" s="113"/>
      <c r="G95" s="113"/>
      <c r="H95" s="113"/>
      <c r="I95" s="113"/>
      <c r="J95" s="113"/>
      <c r="K95" s="113"/>
      <c r="L95" s="113"/>
      <c r="M95" s="113"/>
      <c r="N95" s="113"/>
      <c r="O95" s="113"/>
      <c r="P95" s="113"/>
      <c r="Q95" s="113"/>
      <c r="R95" s="113"/>
      <c r="S95" s="114"/>
    </row>
    <row r="96" spans="1:19" ht="97.5" customHeight="1" x14ac:dyDescent="0.2">
      <c r="B96" s="105"/>
      <c r="C96" s="87" t="s">
        <v>61</v>
      </c>
      <c r="D96" s="141" t="s">
        <v>149</v>
      </c>
      <c r="E96" s="142"/>
      <c r="F96" s="142"/>
      <c r="G96" s="142"/>
      <c r="H96" s="142"/>
      <c r="I96" s="142"/>
      <c r="J96" s="142"/>
      <c r="K96" s="142"/>
      <c r="L96" s="142"/>
      <c r="M96" s="142"/>
      <c r="N96" s="142"/>
      <c r="O96" s="142"/>
      <c r="P96" s="142"/>
      <c r="Q96" s="142"/>
      <c r="R96" s="142"/>
      <c r="S96" s="143"/>
    </row>
    <row r="97" spans="1:19" ht="97.5" customHeight="1" x14ac:dyDescent="0.2">
      <c r="B97" s="103" t="s">
        <v>80</v>
      </c>
      <c r="C97" s="86" t="s">
        <v>58</v>
      </c>
      <c r="D97" s="106" t="s">
        <v>150</v>
      </c>
      <c r="E97" s="107"/>
      <c r="F97" s="107"/>
      <c r="G97" s="107"/>
      <c r="H97" s="107"/>
      <c r="I97" s="107"/>
      <c r="J97" s="107"/>
      <c r="K97" s="107"/>
      <c r="L97" s="107"/>
      <c r="M97" s="107"/>
      <c r="N97" s="107"/>
      <c r="O97" s="107"/>
      <c r="P97" s="107"/>
      <c r="Q97" s="107"/>
      <c r="R97" s="107"/>
      <c r="S97" s="108"/>
    </row>
    <row r="98" spans="1:19" ht="97.5" customHeight="1" x14ac:dyDescent="0.2">
      <c r="B98" s="104"/>
      <c r="C98" s="89" t="s">
        <v>76</v>
      </c>
      <c r="D98" s="144" t="s">
        <v>151</v>
      </c>
      <c r="E98" s="145"/>
      <c r="F98" s="145"/>
      <c r="G98" s="145"/>
      <c r="H98" s="145"/>
      <c r="I98" s="145"/>
      <c r="J98" s="145"/>
      <c r="K98" s="145"/>
      <c r="L98" s="145"/>
      <c r="M98" s="145"/>
      <c r="N98" s="145"/>
      <c r="O98" s="145"/>
      <c r="P98" s="145"/>
      <c r="Q98" s="145"/>
      <c r="R98" s="145"/>
      <c r="S98" s="146"/>
    </row>
    <row r="99" spans="1:19" ht="97.5" customHeight="1" x14ac:dyDescent="0.2">
      <c r="B99" s="105"/>
      <c r="C99" s="88" t="s">
        <v>77</v>
      </c>
      <c r="D99" s="109" t="s">
        <v>152</v>
      </c>
      <c r="E99" s="110"/>
      <c r="F99" s="110"/>
      <c r="G99" s="110"/>
      <c r="H99" s="110"/>
      <c r="I99" s="110"/>
      <c r="J99" s="110"/>
      <c r="K99" s="110"/>
      <c r="L99" s="110"/>
      <c r="M99" s="110"/>
      <c r="N99" s="110"/>
      <c r="O99" s="110"/>
      <c r="P99" s="110"/>
      <c r="Q99" s="110"/>
      <c r="R99" s="110"/>
      <c r="S99" s="111"/>
    </row>
    <row r="100" spans="1:19" ht="6" customHeight="1" x14ac:dyDescent="0.2"/>
    <row r="101" spans="1:19" ht="18.75" customHeight="1" x14ac:dyDescent="0.2">
      <c r="A101" s="64" t="s">
        <v>121</v>
      </c>
    </row>
    <row r="102" spans="1:19" ht="81.75" customHeight="1" x14ac:dyDescent="0.2">
      <c r="B102" s="126" t="s">
        <v>166</v>
      </c>
      <c r="C102" s="127"/>
      <c r="D102" s="127"/>
      <c r="E102" s="127"/>
      <c r="F102" s="127"/>
      <c r="G102" s="127"/>
      <c r="H102" s="127"/>
      <c r="I102" s="127"/>
      <c r="J102" s="127"/>
      <c r="K102" s="127"/>
      <c r="L102" s="127"/>
      <c r="M102" s="127"/>
      <c r="N102" s="127"/>
      <c r="O102" s="127"/>
      <c r="P102" s="127"/>
      <c r="Q102" s="127"/>
      <c r="R102" s="127"/>
      <c r="S102" s="128"/>
    </row>
    <row r="110" spans="1:19" ht="18" customHeight="1" x14ac:dyDescent="0.2"/>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36:I42 Q47:S53 G47:I53 Q58:S64 F69:I75 G58:I64"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C5" sqref="C5:D5"/>
    </sheetView>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107</v>
      </c>
    </row>
    <row r="2" spans="1:45" ht="18" customHeight="1" x14ac:dyDescent="0.2">
      <c r="K2" s="23"/>
      <c r="Q2" s="23"/>
      <c r="W2" s="23"/>
      <c r="AC2" s="23"/>
      <c r="AI2" s="23"/>
      <c r="AL2" s="23" t="s">
        <v>109</v>
      </c>
      <c r="AM2" s="173" t="str">
        <f>'様式１　プログラムを構成する授業科目'!C2</f>
        <v>同朋大学</v>
      </c>
      <c r="AN2" s="173"/>
      <c r="AO2" s="173"/>
      <c r="AP2" s="173"/>
      <c r="AQ2" s="173"/>
    </row>
    <row r="3" spans="1:45" ht="18" customHeight="1" x14ac:dyDescent="0.2">
      <c r="A3" s="174" t="s">
        <v>48</v>
      </c>
      <c r="B3" s="174"/>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c r="AP3" s="174"/>
      <c r="AQ3" s="174"/>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84</v>
      </c>
      <c r="C5" s="175" t="s">
        <v>131</v>
      </c>
      <c r="D5" s="176"/>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77" t="s">
        <v>45</v>
      </c>
      <c r="C9" s="192" t="s">
        <v>87</v>
      </c>
      <c r="D9" s="180" t="s">
        <v>47</v>
      </c>
      <c r="E9" s="183" t="s">
        <v>40</v>
      </c>
      <c r="F9" s="170" t="s">
        <v>86</v>
      </c>
      <c r="G9" s="170"/>
      <c r="H9" s="170"/>
      <c r="I9" s="170"/>
      <c r="J9" s="170"/>
      <c r="K9" s="170"/>
      <c r="L9" s="170" t="s">
        <v>49</v>
      </c>
      <c r="M9" s="170"/>
      <c r="N9" s="170"/>
      <c r="O9" s="170"/>
      <c r="P9" s="170"/>
      <c r="Q9" s="170"/>
      <c r="R9" s="170" t="s">
        <v>50</v>
      </c>
      <c r="S9" s="170"/>
      <c r="T9" s="170"/>
      <c r="U9" s="170"/>
      <c r="V9" s="170"/>
      <c r="W9" s="170"/>
      <c r="X9" s="170" t="s">
        <v>101</v>
      </c>
      <c r="Y9" s="170"/>
      <c r="Z9" s="170"/>
      <c r="AA9" s="170"/>
      <c r="AB9" s="170"/>
      <c r="AC9" s="170"/>
      <c r="AD9" s="170" t="s">
        <v>51</v>
      </c>
      <c r="AE9" s="170"/>
      <c r="AF9" s="170"/>
      <c r="AG9" s="170"/>
      <c r="AH9" s="170"/>
      <c r="AI9" s="170"/>
      <c r="AJ9" s="170" t="s">
        <v>52</v>
      </c>
      <c r="AK9" s="170"/>
      <c r="AL9" s="170"/>
      <c r="AM9" s="170"/>
      <c r="AN9" s="170"/>
      <c r="AO9" s="170"/>
      <c r="AP9" s="186" t="s">
        <v>35</v>
      </c>
      <c r="AQ9" s="189" t="s">
        <v>32</v>
      </c>
      <c r="AS9" s="2"/>
    </row>
    <row r="10" spans="1:45" ht="16.95" customHeight="1" x14ac:dyDescent="0.2">
      <c r="B10" s="178"/>
      <c r="C10" s="193"/>
      <c r="D10" s="181"/>
      <c r="E10" s="184"/>
      <c r="F10" s="171" t="s">
        <v>97</v>
      </c>
      <c r="G10" s="172"/>
      <c r="H10" s="172"/>
      <c r="I10" s="171" t="s">
        <v>29</v>
      </c>
      <c r="J10" s="172"/>
      <c r="K10" s="172"/>
      <c r="L10" s="171" t="s">
        <v>97</v>
      </c>
      <c r="M10" s="172"/>
      <c r="N10" s="172"/>
      <c r="O10" s="171" t="s">
        <v>29</v>
      </c>
      <c r="P10" s="172"/>
      <c r="Q10" s="172"/>
      <c r="R10" s="171" t="s">
        <v>97</v>
      </c>
      <c r="S10" s="172"/>
      <c r="T10" s="172"/>
      <c r="U10" s="171" t="s">
        <v>29</v>
      </c>
      <c r="V10" s="172"/>
      <c r="W10" s="172"/>
      <c r="X10" s="171" t="s">
        <v>97</v>
      </c>
      <c r="Y10" s="172"/>
      <c r="Z10" s="172"/>
      <c r="AA10" s="171" t="s">
        <v>29</v>
      </c>
      <c r="AB10" s="172"/>
      <c r="AC10" s="172"/>
      <c r="AD10" s="171" t="s">
        <v>97</v>
      </c>
      <c r="AE10" s="172"/>
      <c r="AF10" s="172"/>
      <c r="AG10" s="171" t="s">
        <v>29</v>
      </c>
      <c r="AH10" s="172"/>
      <c r="AI10" s="172"/>
      <c r="AJ10" s="171" t="s">
        <v>97</v>
      </c>
      <c r="AK10" s="172"/>
      <c r="AL10" s="172"/>
      <c r="AM10" s="171" t="s">
        <v>29</v>
      </c>
      <c r="AN10" s="172"/>
      <c r="AO10" s="172"/>
      <c r="AP10" s="187"/>
      <c r="AQ10" s="190"/>
      <c r="AS10" s="2"/>
    </row>
    <row r="11" spans="1:45" ht="18" customHeight="1" x14ac:dyDescent="0.2">
      <c r="B11" s="179"/>
      <c r="C11" s="194"/>
      <c r="D11" s="182"/>
      <c r="E11" s="185"/>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88"/>
      <c r="AQ11" s="191"/>
      <c r="AS11" s="2"/>
    </row>
    <row r="12" spans="1:45" ht="18" customHeight="1" x14ac:dyDescent="0.2">
      <c r="A12" s="6"/>
      <c r="B12" s="11" t="s">
        <v>129</v>
      </c>
      <c r="C12" s="44">
        <v>372</v>
      </c>
      <c r="D12" s="45">
        <v>80</v>
      </c>
      <c r="E12" s="46">
        <v>300</v>
      </c>
      <c r="F12" s="46">
        <f>G12+H12</f>
        <v>17</v>
      </c>
      <c r="G12" s="47">
        <v>13</v>
      </c>
      <c r="H12" s="48">
        <v>4</v>
      </c>
      <c r="I12" s="46">
        <f>J12+K12</f>
        <v>0</v>
      </c>
      <c r="J12" s="47">
        <v>0</v>
      </c>
      <c r="K12" s="48">
        <v>0</v>
      </c>
      <c r="L12" s="46">
        <f>M12+N12</f>
        <v>0</v>
      </c>
      <c r="M12" s="47"/>
      <c r="N12" s="48"/>
      <c r="O12" s="46">
        <f>P12+Q12</f>
        <v>0</v>
      </c>
      <c r="P12" s="47"/>
      <c r="Q12" s="48"/>
      <c r="R12" s="46">
        <f>S12+T12</f>
        <v>0</v>
      </c>
      <c r="S12" s="47"/>
      <c r="T12" s="48"/>
      <c r="U12" s="46">
        <f>V12+W12</f>
        <v>0</v>
      </c>
      <c r="V12" s="47"/>
      <c r="W12" s="48"/>
      <c r="X12" s="46">
        <f>Y12+Z12</f>
        <v>0</v>
      </c>
      <c r="Y12" s="47"/>
      <c r="Z12" s="48"/>
      <c r="AA12" s="46">
        <f>AB12+AC12</f>
        <v>0</v>
      </c>
      <c r="AB12" s="47"/>
      <c r="AC12" s="48"/>
      <c r="AD12" s="46">
        <f>AE12+AF12</f>
        <v>0</v>
      </c>
      <c r="AE12" s="47"/>
      <c r="AF12" s="48"/>
      <c r="AG12" s="46">
        <f>AH12+AI12</f>
        <v>0</v>
      </c>
      <c r="AH12" s="47"/>
      <c r="AI12" s="48"/>
      <c r="AJ12" s="46">
        <f>AK12+AL12</f>
        <v>0</v>
      </c>
      <c r="AK12" s="47"/>
      <c r="AL12" s="48"/>
      <c r="AM12" s="46">
        <f>AN12+AO12</f>
        <v>0</v>
      </c>
      <c r="AN12" s="47"/>
      <c r="AO12" s="48"/>
      <c r="AP12" s="45">
        <f>F12+L12+R12+X12+AD12+AJ12</f>
        <v>17</v>
      </c>
      <c r="AQ12" s="21">
        <f t="shared" ref="AQ12:AQ32" si="0">AP12/E12</f>
        <v>5.6666666666666664E-2</v>
      </c>
    </row>
    <row r="13" spans="1:45" ht="18" customHeight="1" x14ac:dyDescent="0.2">
      <c r="A13" s="6"/>
      <c r="B13" s="12" t="s">
        <v>130</v>
      </c>
      <c r="C13" s="49">
        <v>822</v>
      </c>
      <c r="D13" s="50">
        <v>180</v>
      </c>
      <c r="E13" s="51">
        <v>760</v>
      </c>
      <c r="F13" s="52">
        <f t="shared" ref="F13:F31" si="1">G13+H13</f>
        <v>11</v>
      </c>
      <c r="G13" s="53">
        <v>1</v>
      </c>
      <c r="H13" s="54">
        <v>10</v>
      </c>
      <c r="I13" s="52">
        <f t="shared" ref="I13:I31" si="2">J13+K13</f>
        <v>0</v>
      </c>
      <c r="J13" s="53">
        <v>0</v>
      </c>
      <c r="K13" s="54">
        <v>0</v>
      </c>
      <c r="L13" s="52">
        <f t="shared" ref="L13:L31" si="3">M13+N13</f>
        <v>0</v>
      </c>
      <c r="M13" s="53"/>
      <c r="N13" s="54"/>
      <c r="O13" s="52">
        <f t="shared" ref="O13:O31" si="4">P13+Q13</f>
        <v>0</v>
      </c>
      <c r="P13" s="53"/>
      <c r="Q13" s="54"/>
      <c r="R13" s="52">
        <f t="shared" ref="R13:R31" si="5">S13+T13</f>
        <v>0</v>
      </c>
      <c r="S13" s="53"/>
      <c r="T13" s="54"/>
      <c r="U13" s="52">
        <f t="shared" ref="U13:U31" si="6">V13+W13</f>
        <v>0</v>
      </c>
      <c r="V13" s="53"/>
      <c r="W13" s="54"/>
      <c r="X13" s="52">
        <f t="shared" ref="X13:X31" si="7">Y13+Z13</f>
        <v>0</v>
      </c>
      <c r="Y13" s="53"/>
      <c r="Z13" s="54"/>
      <c r="AA13" s="52">
        <f t="shared" ref="AA13:AA31" si="8">AB13+AC13</f>
        <v>0</v>
      </c>
      <c r="AB13" s="53"/>
      <c r="AC13" s="54"/>
      <c r="AD13" s="52">
        <f t="shared" ref="AD13:AD31" si="9">AE13+AF13</f>
        <v>0</v>
      </c>
      <c r="AE13" s="53"/>
      <c r="AF13" s="54"/>
      <c r="AG13" s="52">
        <f t="shared" ref="AG13:AG31" si="10">AH13+AI13</f>
        <v>0</v>
      </c>
      <c r="AH13" s="53"/>
      <c r="AI13" s="54"/>
      <c r="AJ13" s="52">
        <f t="shared" ref="AJ13:AJ31" si="11">AK13+AL13</f>
        <v>0</v>
      </c>
      <c r="AK13" s="53"/>
      <c r="AL13" s="54"/>
      <c r="AM13" s="52">
        <f t="shared" ref="AM13:AM31" si="12">AN13+AO13</f>
        <v>0</v>
      </c>
      <c r="AN13" s="53"/>
      <c r="AO13" s="54"/>
      <c r="AP13" s="50">
        <f t="shared" ref="AP13:AP31" si="13">F13+L13+R13+X13+AD13+AJ13</f>
        <v>11</v>
      </c>
      <c r="AQ13" s="20">
        <f t="shared" si="0"/>
        <v>1.4473684210526316E-2</v>
      </c>
    </row>
    <row r="14" spans="1:45" ht="18" customHeight="1" x14ac:dyDescent="0.2">
      <c r="A14" s="6"/>
      <c r="B14" s="12"/>
      <c r="C14" s="49"/>
      <c r="D14" s="50"/>
      <c r="E14" s="51"/>
      <c r="F14" s="52">
        <f t="shared" si="1"/>
        <v>0</v>
      </c>
      <c r="G14" s="53"/>
      <c r="H14" s="54"/>
      <c r="I14" s="52">
        <f t="shared" si="2"/>
        <v>0</v>
      </c>
      <c r="J14" s="53"/>
      <c r="K14" s="54"/>
      <c r="L14" s="52">
        <f t="shared" si="3"/>
        <v>0</v>
      </c>
      <c r="M14" s="53"/>
      <c r="N14" s="54"/>
      <c r="O14" s="52">
        <f t="shared" si="4"/>
        <v>0</v>
      </c>
      <c r="P14" s="53"/>
      <c r="Q14" s="54"/>
      <c r="R14" s="52">
        <f t="shared" si="5"/>
        <v>0</v>
      </c>
      <c r="S14" s="53"/>
      <c r="T14" s="54"/>
      <c r="U14" s="52">
        <f t="shared" si="6"/>
        <v>0</v>
      </c>
      <c r="V14" s="53"/>
      <c r="W14" s="54"/>
      <c r="X14" s="52">
        <f t="shared" si="7"/>
        <v>0</v>
      </c>
      <c r="Y14" s="53"/>
      <c r="Z14" s="54"/>
      <c r="AA14" s="52">
        <f t="shared" si="8"/>
        <v>0</v>
      </c>
      <c r="AB14" s="53"/>
      <c r="AC14" s="54"/>
      <c r="AD14" s="52">
        <f t="shared" si="9"/>
        <v>0</v>
      </c>
      <c r="AE14" s="53"/>
      <c r="AF14" s="54"/>
      <c r="AG14" s="52">
        <f t="shared" si="10"/>
        <v>0</v>
      </c>
      <c r="AH14" s="53"/>
      <c r="AI14" s="54"/>
      <c r="AJ14" s="52">
        <f t="shared" si="11"/>
        <v>0</v>
      </c>
      <c r="AK14" s="53"/>
      <c r="AL14" s="54"/>
      <c r="AM14" s="52">
        <f t="shared" si="12"/>
        <v>0</v>
      </c>
      <c r="AN14" s="53"/>
      <c r="AO14" s="54"/>
      <c r="AP14" s="50">
        <f t="shared" si="13"/>
        <v>0</v>
      </c>
      <c r="AQ14" s="8" t="e">
        <f t="shared" si="0"/>
        <v>#DIV/0!</v>
      </c>
    </row>
    <row r="15" spans="1:45" ht="18" customHeight="1" x14ac:dyDescent="0.2">
      <c r="A15" s="6"/>
      <c r="B15" s="12"/>
      <c r="C15" s="49"/>
      <c r="D15" s="50"/>
      <c r="E15" s="51"/>
      <c r="F15" s="52">
        <f t="shared" si="1"/>
        <v>0</v>
      </c>
      <c r="G15" s="53"/>
      <c r="H15" s="54"/>
      <c r="I15" s="52">
        <f t="shared" si="2"/>
        <v>0</v>
      </c>
      <c r="J15" s="53"/>
      <c r="K15" s="54"/>
      <c r="L15" s="52">
        <f t="shared" si="3"/>
        <v>0</v>
      </c>
      <c r="M15" s="53"/>
      <c r="N15" s="54"/>
      <c r="O15" s="52">
        <f t="shared" si="4"/>
        <v>0</v>
      </c>
      <c r="P15" s="53"/>
      <c r="Q15" s="54"/>
      <c r="R15" s="52">
        <f t="shared" si="5"/>
        <v>0</v>
      </c>
      <c r="S15" s="53"/>
      <c r="T15" s="54"/>
      <c r="U15" s="52">
        <f t="shared" si="6"/>
        <v>0</v>
      </c>
      <c r="V15" s="53"/>
      <c r="W15" s="54"/>
      <c r="X15" s="52">
        <f t="shared" si="7"/>
        <v>0</v>
      </c>
      <c r="Y15" s="53"/>
      <c r="Z15" s="54"/>
      <c r="AA15" s="52">
        <f t="shared" si="8"/>
        <v>0</v>
      </c>
      <c r="AB15" s="53"/>
      <c r="AC15" s="54"/>
      <c r="AD15" s="52">
        <f t="shared" si="9"/>
        <v>0</v>
      </c>
      <c r="AE15" s="53"/>
      <c r="AF15" s="54"/>
      <c r="AG15" s="52">
        <f t="shared" si="10"/>
        <v>0</v>
      </c>
      <c r="AH15" s="53"/>
      <c r="AI15" s="54"/>
      <c r="AJ15" s="52">
        <f t="shared" si="11"/>
        <v>0</v>
      </c>
      <c r="AK15" s="53"/>
      <c r="AL15" s="54"/>
      <c r="AM15" s="52">
        <f t="shared" si="12"/>
        <v>0</v>
      </c>
      <c r="AN15" s="53"/>
      <c r="AO15" s="54"/>
      <c r="AP15" s="50">
        <f t="shared" si="13"/>
        <v>0</v>
      </c>
      <c r="AQ15" s="8" t="e">
        <f t="shared" si="0"/>
        <v>#DIV/0!</v>
      </c>
    </row>
    <row r="16" spans="1:45" ht="18" customHeight="1" x14ac:dyDescent="0.2">
      <c r="A16" s="6"/>
      <c r="B16" s="12"/>
      <c r="C16" s="49"/>
      <c r="D16" s="50"/>
      <c r="E16" s="51"/>
      <c r="F16" s="52">
        <f t="shared" si="1"/>
        <v>0</v>
      </c>
      <c r="G16" s="53"/>
      <c r="H16" s="54"/>
      <c r="I16" s="52">
        <f t="shared" si="2"/>
        <v>0</v>
      </c>
      <c r="J16" s="53"/>
      <c r="K16" s="54"/>
      <c r="L16" s="52">
        <f t="shared" si="3"/>
        <v>0</v>
      </c>
      <c r="M16" s="53"/>
      <c r="N16" s="54"/>
      <c r="O16" s="52">
        <f t="shared" si="4"/>
        <v>0</v>
      </c>
      <c r="P16" s="53"/>
      <c r="Q16" s="54"/>
      <c r="R16" s="52">
        <f t="shared" si="5"/>
        <v>0</v>
      </c>
      <c r="S16" s="53"/>
      <c r="T16" s="54"/>
      <c r="U16" s="52">
        <f t="shared" si="6"/>
        <v>0</v>
      </c>
      <c r="V16" s="53"/>
      <c r="W16" s="54"/>
      <c r="X16" s="52">
        <f t="shared" si="7"/>
        <v>0</v>
      </c>
      <c r="Y16" s="53"/>
      <c r="Z16" s="54"/>
      <c r="AA16" s="52">
        <f t="shared" si="8"/>
        <v>0</v>
      </c>
      <c r="AB16" s="53"/>
      <c r="AC16" s="54"/>
      <c r="AD16" s="52">
        <f t="shared" si="9"/>
        <v>0</v>
      </c>
      <c r="AE16" s="53"/>
      <c r="AF16" s="54"/>
      <c r="AG16" s="52">
        <f t="shared" si="10"/>
        <v>0</v>
      </c>
      <c r="AH16" s="53"/>
      <c r="AI16" s="54"/>
      <c r="AJ16" s="52">
        <f t="shared" si="11"/>
        <v>0</v>
      </c>
      <c r="AK16" s="53"/>
      <c r="AL16" s="54"/>
      <c r="AM16" s="52">
        <f t="shared" si="12"/>
        <v>0</v>
      </c>
      <c r="AN16" s="53"/>
      <c r="AO16" s="54"/>
      <c r="AP16" s="50">
        <f t="shared" si="13"/>
        <v>0</v>
      </c>
      <c r="AQ16" s="8" t="e">
        <f t="shared" si="0"/>
        <v>#DIV/0!</v>
      </c>
    </row>
    <row r="17" spans="1:43" ht="18" customHeight="1" x14ac:dyDescent="0.2">
      <c r="A17" s="6"/>
      <c r="B17" s="12"/>
      <c r="C17" s="49"/>
      <c r="D17" s="50"/>
      <c r="E17" s="51"/>
      <c r="F17" s="52">
        <f t="shared" si="1"/>
        <v>0</v>
      </c>
      <c r="G17" s="53"/>
      <c r="H17" s="54"/>
      <c r="I17" s="52">
        <f t="shared" si="2"/>
        <v>0</v>
      </c>
      <c r="J17" s="53"/>
      <c r="K17" s="54"/>
      <c r="L17" s="52">
        <f t="shared" si="3"/>
        <v>0</v>
      </c>
      <c r="M17" s="53"/>
      <c r="N17" s="54"/>
      <c r="O17" s="52">
        <f t="shared" si="4"/>
        <v>0</v>
      </c>
      <c r="P17" s="53"/>
      <c r="Q17" s="54"/>
      <c r="R17" s="52">
        <f t="shared" si="5"/>
        <v>0</v>
      </c>
      <c r="S17" s="53"/>
      <c r="T17" s="54"/>
      <c r="U17" s="52">
        <f t="shared" si="6"/>
        <v>0</v>
      </c>
      <c r="V17" s="53"/>
      <c r="W17" s="54"/>
      <c r="X17" s="52">
        <f t="shared" si="7"/>
        <v>0</v>
      </c>
      <c r="Y17" s="53"/>
      <c r="Z17" s="54"/>
      <c r="AA17" s="52">
        <f t="shared" si="8"/>
        <v>0</v>
      </c>
      <c r="AB17" s="53"/>
      <c r="AC17" s="54"/>
      <c r="AD17" s="52">
        <f t="shared" si="9"/>
        <v>0</v>
      </c>
      <c r="AE17" s="53"/>
      <c r="AF17" s="54"/>
      <c r="AG17" s="52">
        <f t="shared" si="10"/>
        <v>0</v>
      </c>
      <c r="AH17" s="53"/>
      <c r="AI17" s="54"/>
      <c r="AJ17" s="52">
        <f t="shared" si="11"/>
        <v>0</v>
      </c>
      <c r="AK17" s="53"/>
      <c r="AL17" s="54"/>
      <c r="AM17" s="52">
        <f t="shared" si="12"/>
        <v>0</v>
      </c>
      <c r="AN17" s="53"/>
      <c r="AO17" s="54"/>
      <c r="AP17" s="50">
        <f t="shared" si="13"/>
        <v>0</v>
      </c>
      <c r="AQ17" s="8" t="e">
        <f t="shared" si="0"/>
        <v>#DIV/0!</v>
      </c>
    </row>
    <row r="18" spans="1:43" ht="18" customHeight="1" x14ac:dyDescent="0.2">
      <c r="A18" s="6"/>
      <c r="B18" s="12"/>
      <c r="C18" s="49"/>
      <c r="D18" s="50"/>
      <c r="E18" s="51"/>
      <c r="F18" s="52">
        <f t="shared" si="1"/>
        <v>0</v>
      </c>
      <c r="G18" s="53"/>
      <c r="H18" s="54"/>
      <c r="I18" s="52">
        <f t="shared" si="2"/>
        <v>0</v>
      </c>
      <c r="J18" s="53"/>
      <c r="K18" s="54"/>
      <c r="L18" s="52">
        <f t="shared" si="3"/>
        <v>0</v>
      </c>
      <c r="M18" s="53"/>
      <c r="N18" s="54"/>
      <c r="O18" s="52">
        <f t="shared" si="4"/>
        <v>0</v>
      </c>
      <c r="P18" s="53"/>
      <c r="Q18" s="54"/>
      <c r="R18" s="52">
        <f t="shared" si="5"/>
        <v>0</v>
      </c>
      <c r="S18" s="53"/>
      <c r="T18" s="54"/>
      <c r="U18" s="52">
        <f t="shared" si="6"/>
        <v>0</v>
      </c>
      <c r="V18" s="53"/>
      <c r="W18" s="54"/>
      <c r="X18" s="52">
        <f t="shared" si="7"/>
        <v>0</v>
      </c>
      <c r="Y18" s="53"/>
      <c r="Z18" s="54"/>
      <c r="AA18" s="52">
        <f t="shared" si="8"/>
        <v>0</v>
      </c>
      <c r="AB18" s="53"/>
      <c r="AC18" s="54"/>
      <c r="AD18" s="52">
        <f t="shared" si="9"/>
        <v>0</v>
      </c>
      <c r="AE18" s="53"/>
      <c r="AF18" s="54"/>
      <c r="AG18" s="52">
        <f t="shared" si="10"/>
        <v>0</v>
      </c>
      <c r="AH18" s="53"/>
      <c r="AI18" s="54"/>
      <c r="AJ18" s="52">
        <f t="shared" si="11"/>
        <v>0</v>
      </c>
      <c r="AK18" s="53"/>
      <c r="AL18" s="54"/>
      <c r="AM18" s="52">
        <f t="shared" si="12"/>
        <v>0</v>
      </c>
      <c r="AN18" s="53"/>
      <c r="AO18" s="54"/>
      <c r="AP18" s="50">
        <f t="shared" si="13"/>
        <v>0</v>
      </c>
      <c r="AQ18" s="8" t="e">
        <f t="shared" si="0"/>
        <v>#DIV/0!</v>
      </c>
    </row>
    <row r="19" spans="1:43" ht="18" customHeight="1" x14ac:dyDescent="0.2">
      <c r="A19" s="6"/>
      <c r="B19" s="12"/>
      <c r="C19" s="49"/>
      <c r="D19" s="50"/>
      <c r="E19" s="51"/>
      <c r="F19" s="52">
        <f t="shared" si="1"/>
        <v>0</v>
      </c>
      <c r="G19" s="53"/>
      <c r="H19" s="54"/>
      <c r="I19" s="52">
        <f t="shared" si="2"/>
        <v>0</v>
      </c>
      <c r="J19" s="53"/>
      <c r="K19" s="54"/>
      <c r="L19" s="52">
        <f t="shared" si="3"/>
        <v>0</v>
      </c>
      <c r="M19" s="53"/>
      <c r="N19" s="54"/>
      <c r="O19" s="52">
        <f t="shared" si="4"/>
        <v>0</v>
      </c>
      <c r="P19" s="53"/>
      <c r="Q19" s="54"/>
      <c r="R19" s="52">
        <f t="shared" si="5"/>
        <v>0</v>
      </c>
      <c r="S19" s="53"/>
      <c r="T19" s="54"/>
      <c r="U19" s="52">
        <f t="shared" si="6"/>
        <v>0</v>
      </c>
      <c r="V19" s="53"/>
      <c r="W19" s="54"/>
      <c r="X19" s="52">
        <f t="shared" si="7"/>
        <v>0</v>
      </c>
      <c r="Y19" s="53"/>
      <c r="Z19" s="54"/>
      <c r="AA19" s="52">
        <f t="shared" si="8"/>
        <v>0</v>
      </c>
      <c r="AB19" s="53"/>
      <c r="AC19" s="54"/>
      <c r="AD19" s="52">
        <f t="shared" si="9"/>
        <v>0</v>
      </c>
      <c r="AE19" s="53"/>
      <c r="AF19" s="54"/>
      <c r="AG19" s="52">
        <f t="shared" si="10"/>
        <v>0</v>
      </c>
      <c r="AH19" s="53"/>
      <c r="AI19" s="54"/>
      <c r="AJ19" s="52">
        <f t="shared" si="11"/>
        <v>0</v>
      </c>
      <c r="AK19" s="53"/>
      <c r="AL19" s="54"/>
      <c r="AM19" s="52">
        <f t="shared" si="12"/>
        <v>0</v>
      </c>
      <c r="AN19" s="53"/>
      <c r="AO19" s="54"/>
      <c r="AP19" s="50">
        <f t="shared" si="13"/>
        <v>0</v>
      </c>
      <c r="AQ19" s="8" t="e">
        <f t="shared" si="0"/>
        <v>#DIV/0!</v>
      </c>
    </row>
    <row r="20" spans="1:43" ht="18" customHeight="1" x14ac:dyDescent="0.2">
      <c r="A20" s="6"/>
      <c r="B20" s="12"/>
      <c r="C20" s="49"/>
      <c r="D20" s="50"/>
      <c r="E20" s="51"/>
      <c r="F20" s="52">
        <f t="shared" si="1"/>
        <v>0</v>
      </c>
      <c r="G20" s="53"/>
      <c r="H20" s="54"/>
      <c r="I20" s="52">
        <f t="shared" si="2"/>
        <v>0</v>
      </c>
      <c r="J20" s="53"/>
      <c r="K20" s="54"/>
      <c r="L20" s="52">
        <f t="shared" si="3"/>
        <v>0</v>
      </c>
      <c r="M20" s="53"/>
      <c r="N20" s="54"/>
      <c r="O20" s="52">
        <f t="shared" si="4"/>
        <v>0</v>
      </c>
      <c r="P20" s="53"/>
      <c r="Q20" s="54"/>
      <c r="R20" s="52">
        <f t="shared" si="5"/>
        <v>0</v>
      </c>
      <c r="S20" s="53"/>
      <c r="T20" s="54"/>
      <c r="U20" s="52">
        <f t="shared" si="6"/>
        <v>0</v>
      </c>
      <c r="V20" s="53"/>
      <c r="W20" s="54"/>
      <c r="X20" s="52">
        <f t="shared" si="7"/>
        <v>0</v>
      </c>
      <c r="Y20" s="53"/>
      <c r="Z20" s="54"/>
      <c r="AA20" s="52">
        <f t="shared" si="8"/>
        <v>0</v>
      </c>
      <c r="AB20" s="53"/>
      <c r="AC20" s="54"/>
      <c r="AD20" s="52">
        <f t="shared" si="9"/>
        <v>0</v>
      </c>
      <c r="AE20" s="53"/>
      <c r="AF20" s="54"/>
      <c r="AG20" s="52">
        <f t="shared" si="10"/>
        <v>0</v>
      </c>
      <c r="AH20" s="53"/>
      <c r="AI20" s="54"/>
      <c r="AJ20" s="52">
        <f t="shared" si="11"/>
        <v>0</v>
      </c>
      <c r="AK20" s="53"/>
      <c r="AL20" s="54"/>
      <c r="AM20" s="52">
        <f t="shared" si="12"/>
        <v>0</v>
      </c>
      <c r="AN20" s="53"/>
      <c r="AO20" s="54"/>
      <c r="AP20" s="50">
        <f t="shared" si="13"/>
        <v>0</v>
      </c>
      <c r="AQ20" s="8" t="e">
        <f t="shared" si="0"/>
        <v>#DIV/0!</v>
      </c>
    </row>
    <row r="21" spans="1:43" ht="18" customHeight="1" x14ac:dyDescent="0.2">
      <c r="A21" s="6"/>
      <c r="B21" s="12"/>
      <c r="C21" s="49"/>
      <c r="D21" s="50"/>
      <c r="E21" s="51"/>
      <c r="F21" s="52">
        <f t="shared" si="1"/>
        <v>0</v>
      </c>
      <c r="G21" s="53"/>
      <c r="H21" s="54"/>
      <c r="I21" s="52">
        <f t="shared" si="2"/>
        <v>0</v>
      </c>
      <c r="J21" s="53"/>
      <c r="K21" s="54"/>
      <c r="L21" s="52">
        <f t="shared" si="3"/>
        <v>0</v>
      </c>
      <c r="M21" s="53"/>
      <c r="N21" s="54"/>
      <c r="O21" s="52">
        <f t="shared" si="4"/>
        <v>0</v>
      </c>
      <c r="P21" s="53"/>
      <c r="Q21" s="54"/>
      <c r="R21" s="52">
        <f t="shared" si="5"/>
        <v>0</v>
      </c>
      <c r="S21" s="53"/>
      <c r="T21" s="54"/>
      <c r="U21" s="52">
        <f t="shared" si="6"/>
        <v>0</v>
      </c>
      <c r="V21" s="53"/>
      <c r="W21" s="54"/>
      <c r="X21" s="52">
        <f t="shared" si="7"/>
        <v>0</v>
      </c>
      <c r="Y21" s="53"/>
      <c r="Z21" s="54"/>
      <c r="AA21" s="52">
        <f t="shared" si="8"/>
        <v>0</v>
      </c>
      <c r="AB21" s="53"/>
      <c r="AC21" s="54"/>
      <c r="AD21" s="52">
        <f t="shared" si="9"/>
        <v>0</v>
      </c>
      <c r="AE21" s="53"/>
      <c r="AF21" s="54"/>
      <c r="AG21" s="52">
        <f t="shared" si="10"/>
        <v>0</v>
      </c>
      <c r="AH21" s="53"/>
      <c r="AI21" s="54"/>
      <c r="AJ21" s="52">
        <f t="shared" si="11"/>
        <v>0</v>
      </c>
      <c r="AK21" s="53"/>
      <c r="AL21" s="54"/>
      <c r="AM21" s="52">
        <f t="shared" si="12"/>
        <v>0</v>
      </c>
      <c r="AN21" s="53"/>
      <c r="AO21" s="54"/>
      <c r="AP21" s="50">
        <f t="shared" si="13"/>
        <v>0</v>
      </c>
      <c r="AQ21" s="8" t="e">
        <f t="shared" si="0"/>
        <v>#DIV/0!</v>
      </c>
    </row>
    <row r="22" spans="1:43" ht="18" customHeight="1" x14ac:dyDescent="0.2">
      <c r="A22" s="6"/>
      <c r="B22" s="12"/>
      <c r="C22" s="49"/>
      <c r="D22" s="50"/>
      <c r="E22" s="51"/>
      <c r="F22" s="52">
        <f t="shared" si="1"/>
        <v>0</v>
      </c>
      <c r="G22" s="53"/>
      <c r="H22" s="54"/>
      <c r="I22" s="52">
        <f t="shared" si="2"/>
        <v>0</v>
      </c>
      <c r="J22" s="53"/>
      <c r="K22" s="54"/>
      <c r="L22" s="52">
        <f t="shared" si="3"/>
        <v>0</v>
      </c>
      <c r="M22" s="53"/>
      <c r="N22" s="54"/>
      <c r="O22" s="52">
        <f t="shared" si="4"/>
        <v>0</v>
      </c>
      <c r="P22" s="53"/>
      <c r="Q22" s="54"/>
      <c r="R22" s="52">
        <f t="shared" si="5"/>
        <v>0</v>
      </c>
      <c r="S22" s="53"/>
      <c r="T22" s="54"/>
      <c r="U22" s="52">
        <f t="shared" si="6"/>
        <v>0</v>
      </c>
      <c r="V22" s="53"/>
      <c r="W22" s="54"/>
      <c r="X22" s="52">
        <f t="shared" si="7"/>
        <v>0</v>
      </c>
      <c r="Y22" s="53"/>
      <c r="Z22" s="54"/>
      <c r="AA22" s="52">
        <f t="shared" si="8"/>
        <v>0</v>
      </c>
      <c r="AB22" s="53"/>
      <c r="AC22" s="54"/>
      <c r="AD22" s="52">
        <f t="shared" si="9"/>
        <v>0</v>
      </c>
      <c r="AE22" s="53"/>
      <c r="AF22" s="54"/>
      <c r="AG22" s="52">
        <f t="shared" si="10"/>
        <v>0</v>
      </c>
      <c r="AH22" s="53"/>
      <c r="AI22" s="54"/>
      <c r="AJ22" s="52">
        <f t="shared" si="11"/>
        <v>0</v>
      </c>
      <c r="AK22" s="53"/>
      <c r="AL22" s="54"/>
      <c r="AM22" s="52">
        <f t="shared" si="12"/>
        <v>0</v>
      </c>
      <c r="AN22" s="53"/>
      <c r="AO22" s="54"/>
      <c r="AP22" s="50">
        <f t="shared" si="13"/>
        <v>0</v>
      </c>
      <c r="AQ22" s="8" t="e">
        <f t="shared" si="0"/>
        <v>#DIV/0!</v>
      </c>
    </row>
    <row r="23" spans="1:43" ht="18" customHeight="1" x14ac:dyDescent="0.2">
      <c r="A23" s="6"/>
      <c r="B23" s="12"/>
      <c r="C23" s="49"/>
      <c r="D23" s="50"/>
      <c r="E23" s="51"/>
      <c r="F23" s="52">
        <f t="shared" si="1"/>
        <v>0</v>
      </c>
      <c r="G23" s="53"/>
      <c r="H23" s="54"/>
      <c r="I23" s="52">
        <f t="shared" si="2"/>
        <v>0</v>
      </c>
      <c r="J23" s="53"/>
      <c r="K23" s="54"/>
      <c r="L23" s="52">
        <f t="shared" si="3"/>
        <v>0</v>
      </c>
      <c r="M23" s="53"/>
      <c r="N23" s="54"/>
      <c r="O23" s="52">
        <f t="shared" si="4"/>
        <v>0</v>
      </c>
      <c r="P23" s="53"/>
      <c r="Q23" s="54"/>
      <c r="R23" s="52">
        <f t="shared" si="5"/>
        <v>0</v>
      </c>
      <c r="S23" s="53"/>
      <c r="T23" s="54"/>
      <c r="U23" s="52">
        <f t="shared" si="6"/>
        <v>0</v>
      </c>
      <c r="V23" s="53"/>
      <c r="W23" s="54"/>
      <c r="X23" s="52">
        <f t="shared" si="7"/>
        <v>0</v>
      </c>
      <c r="Y23" s="53"/>
      <c r="Z23" s="54"/>
      <c r="AA23" s="52">
        <f t="shared" si="8"/>
        <v>0</v>
      </c>
      <c r="AB23" s="53"/>
      <c r="AC23" s="54"/>
      <c r="AD23" s="52">
        <f t="shared" si="9"/>
        <v>0</v>
      </c>
      <c r="AE23" s="53"/>
      <c r="AF23" s="54"/>
      <c r="AG23" s="52">
        <f t="shared" si="10"/>
        <v>0</v>
      </c>
      <c r="AH23" s="53"/>
      <c r="AI23" s="54"/>
      <c r="AJ23" s="52">
        <f t="shared" si="11"/>
        <v>0</v>
      </c>
      <c r="AK23" s="53"/>
      <c r="AL23" s="54"/>
      <c r="AM23" s="52">
        <f t="shared" si="12"/>
        <v>0</v>
      </c>
      <c r="AN23" s="53"/>
      <c r="AO23" s="54"/>
      <c r="AP23" s="50">
        <f t="shared" si="13"/>
        <v>0</v>
      </c>
      <c r="AQ23" s="8" t="e">
        <f t="shared" si="0"/>
        <v>#DIV/0!</v>
      </c>
    </row>
    <row r="24" spans="1:43" ht="18" customHeight="1" x14ac:dyDescent="0.2">
      <c r="A24" s="6"/>
      <c r="B24" s="12"/>
      <c r="C24" s="49"/>
      <c r="D24" s="50"/>
      <c r="E24" s="51"/>
      <c r="F24" s="52">
        <f t="shared" si="1"/>
        <v>0</v>
      </c>
      <c r="G24" s="53"/>
      <c r="H24" s="54"/>
      <c r="I24" s="52">
        <f t="shared" si="2"/>
        <v>0</v>
      </c>
      <c r="J24" s="53"/>
      <c r="K24" s="54"/>
      <c r="L24" s="52">
        <f t="shared" si="3"/>
        <v>0</v>
      </c>
      <c r="M24" s="53"/>
      <c r="N24" s="54"/>
      <c r="O24" s="52">
        <f t="shared" si="4"/>
        <v>0</v>
      </c>
      <c r="P24" s="53"/>
      <c r="Q24" s="54"/>
      <c r="R24" s="52">
        <f t="shared" si="5"/>
        <v>0</v>
      </c>
      <c r="S24" s="53"/>
      <c r="T24" s="54"/>
      <c r="U24" s="52">
        <f t="shared" si="6"/>
        <v>0</v>
      </c>
      <c r="V24" s="53"/>
      <c r="W24" s="54"/>
      <c r="X24" s="52">
        <f t="shared" si="7"/>
        <v>0</v>
      </c>
      <c r="Y24" s="53"/>
      <c r="Z24" s="54"/>
      <c r="AA24" s="52">
        <f t="shared" si="8"/>
        <v>0</v>
      </c>
      <c r="AB24" s="53"/>
      <c r="AC24" s="54"/>
      <c r="AD24" s="52">
        <f t="shared" si="9"/>
        <v>0</v>
      </c>
      <c r="AE24" s="53"/>
      <c r="AF24" s="54"/>
      <c r="AG24" s="52">
        <f t="shared" si="10"/>
        <v>0</v>
      </c>
      <c r="AH24" s="53"/>
      <c r="AI24" s="54"/>
      <c r="AJ24" s="52">
        <f t="shared" si="11"/>
        <v>0</v>
      </c>
      <c r="AK24" s="53"/>
      <c r="AL24" s="54"/>
      <c r="AM24" s="52">
        <f t="shared" si="12"/>
        <v>0</v>
      </c>
      <c r="AN24" s="53"/>
      <c r="AO24" s="54"/>
      <c r="AP24" s="50">
        <f t="shared" si="13"/>
        <v>0</v>
      </c>
      <c r="AQ24" s="8" t="e">
        <f t="shared" si="0"/>
        <v>#DIV/0!</v>
      </c>
    </row>
    <row r="25" spans="1:43" ht="18" customHeight="1" x14ac:dyDescent="0.2">
      <c r="A25" s="6"/>
      <c r="B25" s="12"/>
      <c r="C25" s="49"/>
      <c r="D25" s="50"/>
      <c r="E25" s="51"/>
      <c r="F25" s="52">
        <f t="shared" si="1"/>
        <v>0</v>
      </c>
      <c r="G25" s="53"/>
      <c r="H25" s="54"/>
      <c r="I25" s="52">
        <f t="shared" si="2"/>
        <v>0</v>
      </c>
      <c r="J25" s="53"/>
      <c r="K25" s="54"/>
      <c r="L25" s="52">
        <f t="shared" si="3"/>
        <v>0</v>
      </c>
      <c r="M25" s="53"/>
      <c r="N25" s="54"/>
      <c r="O25" s="52">
        <f t="shared" si="4"/>
        <v>0</v>
      </c>
      <c r="P25" s="53"/>
      <c r="Q25" s="54"/>
      <c r="R25" s="52">
        <f t="shared" si="5"/>
        <v>0</v>
      </c>
      <c r="S25" s="53"/>
      <c r="T25" s="54"/>
      <c r="U25" s="52">
        <f t="shared" si="6"/>
        <v>0</v>
      </c>
      <c r="V25" s="53"/>
      <c r="W25" s="54"/>
      <c r="X25" s="52">
        <f t="shared" si="7"/>
        <v>0</v>
      </c>
      <c r="Y25" s="53"/>
      <c r="Z25" s="54"/>
      <c r="AA25" s="52">
        <f t="shared" si="8"/>
        <v>0</v>
      </c>
      <c r="AB25" s="53"/>
      <c r="AC25" s="54"/>
      <c r="AD25" s="52">
        <f t="shared" si="9"/>
        <v>0</v>
      </c>
      <c r="AE25" s="53"/>
      <c r="AF25" s="54"/>
      <c r="AG25" s="52">
        <f t="shared" si="10"/>
        <v>0</v>
      </c>
      <c r="AH25" s="53"/>
      <c r="AI25" s="54"/>
      <c r="AJ25" s="52">
        <f t="shared" si="11"/>
        <v>0</v>
      </c>
      <c r="AK25" s="53"/>
      <c r="AL25" s="54"/>
      <c r="AM25" s="52">
        <f t="shared" si="12"/>
        <v>0</v>
      </c>
      <c r="AN25" s="53"/>
      <c r="AO25" s="54"/>
      <c r="AP25" s="50">
        <f t="shared" si="13"/>
        <v>0</v>
      </c>
      <c r="AQ25" s="8" t="e">
        <f t="shared" si="0"/>
        <v>#DIV/0!</v>
      </c>
    </row>
    <row r="26" spans="1:43" ht="18" customHeight="1" x14ac:dyDescent="0.2">
      <c r="A26" s="6"/>
      <c r="B26" s="12"/>
      <c r="C26" s="49"/>
      <c r="D26" s="50"/>
      <c r="E26" s="51"/>
      <c r="F26" s="52">
        <f t="shared" si="1"/>
        <v>0</v>
      </c>
      <c r="G26" s="53"/>
      <c r="H26" s="54"/>
      <c r="I26" s="52">
        <f t="shared" si="2"/>
        <v>0</v>
      </c>
      <c r="J26" s="53"/>
      <c r="K26" s="54"/>
      <c r="L26" s="52">
        <f t="shared" si="3"/>
        <v>0</v>
      </c>
      <c r="M26" s="53"/>
      <c r="N26" s="54"/>
      <c r="O26" s="52">
        <f t="shared" si="4"/>
        <v>0</v>
      </c>
      <c r="P26" s="53"/>
      <c r="Q26" s="54"/>
      <c r="R26" s="52">
        <f t="shared" si="5"/>
        <v>0</v>
      </c>
      <c r="S26" s="53"/>
      <c r="T26" s="54"/>
      <c r="U26" s="52">
        <f t="shared" si="6"/>
        <v>0</v>
      </c>
      <c r="V26" s="53"/>
      <c r="W26" s="54"/>
      <c r="X26" s="52">
        <f t="shared" si="7"/>
        <v>0</v>
      </c>
      <c r="Y26" s="53"/>
      <c r="Z26" s="54"/>
      <c r="AA26" s="52">
        <f t="shared" si="8"/>
        <v>0</v>
      </c>
      <c r="AB26" s="53"/>
      <c r="AC26" s="54"/>
      <c r="AD26" s="52">
        <f t="shared" si="9"/>
        <v>0</v>
      </c>
      <c r="AE26" s="53"/>
      <c r="AF26" s="54"/>
      <c r="AG26" s="52">
        <f t="shared" si="10"/>
        <v>0</v>
      </c>
      <c r="AH26" s="53"/>
      <c r="AI26" s="54"/>
      <c r="AJ26" s="52">
        <f t="shared" si="11"/>
        <v>0</v>
      </c>
      <c r="AK26" s="53"/>
      <c r="AL26" s="54"/>
      <c r="AM26" s="52">
        <f t="shared" si="12"/>
        <v>0</v>
      </c>
      <c r="AN26" s="53"/>
      <c r="AO26" s="54"/>
      <c r="AP26" s="50">
        <f t="shared" si="13"/>
        <v>0</v>
      </c>
      <c r="AQ26" s="8" t="e">
        <f t="shared" si="0"/>
        <v>#DIV/0!</v>
      </c>
    </row>
    <row r="27" spans="1:43" ht="18" customHeight="1" x14ac:dyDescent="0.2">
      <c r="A27" s="6"/>
      <c r="B27" s="12"/>
      <c r="C27" s="49"/>
      <c r="D27" s="50"/>
      <c r="E27" s="51"/>
      <c r="F27" s="52">
        <f t="shared" si="1"/>
        <v>0</v>
      </c>
      <c r="G27" s="53"/>
      <c r="H27" s="54"/>
      <c r="I27" s="52">
        <f t="shared" si="2"/>
        <v>0</v>
      </c>
      <c r="J27" s="53"/>
      <c r="K27" s="54"/>
      <c r="L27" s="52">
        <f t="shared" si="3"/>
        <v>0</v>
      </c>
      <c r="M27" s="53"/>
      <c r="N27" s="54"/>
      <c r="O27" s="52">
        <f t="shared" si="4"/>
        <v>0</v>
      </c>
      <c r="P27" s="53"/>
      <c r="Q27" s="54"/>
      <c r="R27" s="52">
        <f t="shared" si="5"/>
        <v>0</v>
      </c>
      <c r="S27" s="53"/>
      <c r="T27" s="54"/>
      <c r="U27" s="52">
        <f t="shared" si="6"/>
        <v>0</v>
      </c>
      <c r="V27" s="53"/>
      <c r="W27" s="54"/>
      <c r="X27" s="52">
        <f t="shared" si="7"/>
        <v>0</v>
      </c>
      <c r="Y27" s="53"/>
      <c r="Z27" s="54"/>
      <c r="AA27" s="52">
        <f t="shared" si="8"/>
        <v>0</v>
      </c>
      <c r="AB27" s="53"/>
      <c r="AC27" s="54"/>
      <c r="AD27" s="52">
        <f t="shared" si="9"/>
        <v>0</v>
      </c>
      <c r="AE27" s="53"/>
      <c r="AF27" s="54"/>
      <c r="AG27" s="52">
        <f t="shared" si="10"/>
        <v>0</v>
      </c>
      <c r="AH27" s="53"/>
      <c r="AI27" s="54"/>
      <c r="AJ27" s="52">
        <f t="shared" si="11"/>
        <v>0</v>
      </c>
      <c r="AK27" s="53"/>
      <c r="AL27" s="54"/>
      <c r="AM27" s="52">
        <f t="shared" si="12"/>
        <v>0</v>
      </c>
      <c r="AN27" s="53"/>
      <c r="AO27" s="54"/>
      <c r="AP27" s="50">
        <f t="shared" si="13"/>
        <v>0</v>
      </c>
      <c r="AQ27" s="8" t="e">
        <f t="shared" si="0"/>
        <v>#DIV/0!</v>
      </c>
    </row>
    <row r="28" spans="1:43" ht="18" customHeight="1" x14ac:dyDescent="0.2">
      <c r="A28" s="6"/>
      <c r="B28" s="12"/>
      <c r="C28" s="49"/>
      <c r="D28" s="50"/>
      <c r="E28" s="51"/>
      <c r="F28" s="52">
        <f t="shared" si="1"/>
        <v>0</v>
      </c>
      <c r="G28" s="53"/>
      <c r="H28" s="54"/>
      <c r="I28" s="52">
        <f t="shared" si="2"/>
        <v>0</v>
      </c>
      <c r="J28" s="53"/>
      <c r="K28" s="54"/>
      <c r="L28" s="52">
        <f t="shared" si="3"/>
        <v>0</v>
      </c>
      <c r="M28" s="53"/>
      <c r="N28" s="54"/>
      <c r="O28" s="52">
        <f t="shared" si="4"/>
        <v>0</v>
      </c>
      <c r="P28" s="53"/>
      <c r="Q28" s="54"/>
      <c r="R28" s="52">
        <f t="shared" si="5"/>
        <v>0</v>
      </c>
      <c r="S28" s="53"/>
      <c r="T28" s="54"/>
      <c r="U28" s="52">
        <f t="shared" si="6"/>
        <v>0</v>
      </c>
      <c r="V28" s="53"/>
      <c r="W28" s="54"/>
      <c r="X28" s="52">
        <f t="shared" si="7"/>
        <v>0</v>
      </c>
      <c r="Y28" s="53"/>
      <c r="Z28" s="54"/>
      <c r="AA28" s="52">
        <f t="shared" si="8"/>
        <v>0</v>
      </c>
      <c r="AB28" s="53"/>
      <c r="AC28" s="54"/>
      <c r="AD28" s="52">
        <f t="shared" si="9"/>
        <v>0</v>
      </c>
      <c r="AE28" s="53"/>
      <c r="AF28" s="54"/>
      <c r="AG28" s="52">
        <f t="shared" si="10"/>
        <v>0</v>
      </c>
      <c r="AH28" s="53"/>
      <c r="AI28" s="54"/>
      <c r="AJ28" s="52">
        <f t="shared" si="11"/>
        <v>0</v>
      </c>
      <c r="AK28" s="53"/>
      <c r="AL28" s="54"/>
      <c r="AM28" s="52">
        <f t="shared" si="12"/>
        <v>0</v>
      </c>
      <c r="AN28" s="53"/>
      <c r="AO28" s="54"/>
      <c r="AP28" s="50">
        <f t="shared" si="13"/>
        <v>0</v>
      </c>
      <c r="AQ28" s="8" t="e">
        <f t="shared" si="0"/>
        <v>#DIV/0!</v>
      </c>
    </row>
    <row r="29" spans="1:43" ht="18" customHeight="1" x14ac:dyDescent="0.2">
      <c r="A29" s="6"/>
      <c r="B29" s="12"/>
      <c r="C29" s="49"/>
      <c r="D29" s="55"/>
      <c r="E29" s="51"/>
      <c r="F29" s="52">
        <f t="shared" si="1"/>
        <v>0</v>
      </c>
      <c r="G29" s="53"/>
      <c r="H29" s="54"/>
      <c r="I29" s="52">
        <f t="shared" si="2"/>
        <v>0</v>
      </c>
      <c r="J29" s="53"/>
      <c r="K29" s="54"/>
      <c r="L29" s="52">
        <f t="shared" si="3"/>
        <v>0</v>
      </c>
      <c r="M29" s="53"/>
      <c r="N29" s="54"/>
      <c r="O29" s="52">
        <f t="shared" si="4"/>
        <v>0</v>
      </c>
      <c r="P29" s="53"/>
      <c r="Q29" s="54"/>
      <c r="R29" s="52">
        <f t="shared" si="5"/>
        <v>0</v>
      </c>
      <c r="S29" s="53"/>
      <c r="T29" s="54"/>
      <c r="U29" s="52">
        <f t="shared" si="6"/>
        <v>0</v>
      </c>
      <c r="V29" s="53"/>
      <c r="W29" s="54"/>
      <c r="X29" s="52">
        <f t="shared" si="7"/>
        <v>0</v>
      </c>
      <c r="Y29" s="53"/>
      <c r="Z29" s="54"/>
      <c r="AA29" s="52">
        <f t="shared" si="8"/>
        <v>0</v>
      </c>
      <c r="AB29" s="53"/>
      <c r="AC29" s="54"/>
      <c r="AD29" s="52">
        <f t="shared" si="9"/>
        <v>0</v>
      </c>
      <c r="AE29" s="53"/>
      <c r="AF29" s="54"/>
      <c r="AG29" s="52">
        <f t="shared" si="10"/>
        <v>0</v>
      </c>
      <c r="AH29" s="53"/>
      <c r="AI29" s="54"/>
      <c r="AJ29" s="52">
        <f t="shared" si="11"/>
        <v>0</v>
      </c>
      <c r="AK29" s="53"/>
      <c r="AL29" s="54"/>
      <c r="AM29" s="52">
        <f t="shared" si="12"/>
        <v>0</v>
      </c>
      <c r="AN29" s="53"/>
      <c r="AO29" s="54"/>
      <c r="AP29" s="55">
        <f t="shared" si="13"/>
        <v>0</v>
      </c>
      <c r="AQ29" s="8" t="e">
        <f t="shared" si="0"/>
        <v>#DIV/0!</v>
      </c>
    </row>
    <row r="30" spans="1:43" ht="18" customHeight="1" x14ac:dyDescent="0.2">
      <c r="A30" s="6"/>
      <c r="B30" s="12"/>
      <c r="C30" s="49"/>
      <c r="D30" s="55"/>
      <c r="E30" s="51"/>
      <c r="F30" s="52">
        <f t="shared" si="1"/>
        <v>0</v>
      </c>
      <c r="G30" s="53"/>
      <c r="H30" s="54"/>
      <c r="I30" s="52">
        <f t="shared" si="2"/>
        <v>0</v>
      </c>
      <c r="J30" s="53"/>
      <c r="K30" s="54"/>
      <c r="L30" s="52">
        <f t="shared" si="3"/>
        <v>0</v>
      </c>
      <c r="M30" s="53"/>
      <c r="N30" s="54"/>
      <c r="O30" s="52">
        <f t="shared" si="4"/>
        <v>0</v>
      </c>
      <c r="P30" s="53"/>
      <c r="Q30" s="54"/>
      <c r="R30" s="52">
        <f t="shared" si="5"/>
        <v>0</v>
      </c>
      <c r="S30" s="53"/>
      <c r="T30" s="54"/>
      <c r="U30" s="52">
        <f t="shared" si="6"/>
        <v>0</v>
      </c>
      <c r="V30" s="53"/>
      <c r="W30" s="54"/>
      <c r="X30" s="52">
        <f t="shared" si="7"/>
        <v>0</v>
      </c>
      <c r="Y30" s="53"/>
      <c r="Z30" s="54"/>
      <c r="AA30" s="52">
        <f t="shared" si="8"/>
        <v>0</v>
      </c>
      <c r="AB30" s="53"/>
      <c r="AC30" s="54"/>
      <c r="AD30" s="52">
        <f t="shared" si="9"/>
        <v>0</v>
      </c>
      <c r="AE30" s="53"/>
      <c r="AF30" s="54"/>
      <c r="AG30" s="52">
        <f t="shared" si="10"/>
        <v>0</v>
      </c>
      <c r="AH30" s="53"/>
      <c r="AI30" s="54"/>
      <c r="AJ30" s="52">
        <f t="shared" si="11"/>
        <v>0</v>
      </c>
      <c r="AK30" s="53"/>
      <c r="AL30" s="54"/>
      <c r="AM30" s="52">
        <f t="shared" si="12"/>
        <v>0</v>
      </c>
      <c r="AN30" s="53"/>
      <c r="AO30" s="54"/>
      <c r="AP30" s="55">
        <f t="shared" si="13"/>
        <v>0</v>
      </c>
      <c r="AQ30" s="8" t="e">
        <f t="shared" si="0"/>
        <v>#DIV/0!</v>
      </c>
    </row>
    <row r="31" spans="1:43" ht="18" customHeight="1" thickBot="1" x14ac:dyDescent="0.25">
      <c r="A31" s="6"/>
      <c r="B31" s="13"/>
      <c r="C31" s="44"/>
      <c r="D31" s="56"/>
      <c r="E31" s="46"/>
      <c r="F31" s="46">
        <f t="shared" si="1"/>
        <v>0</v>
      </c>
      <c r="G31" s="57"/>
      <c r="H31" s="58"/>
      <c r="I31" s="46">
        <f t="shared" si="2"/>
        <v>0</v>
      </c>
      <c r="J31" s="57"/>
      <c r="K31" s="58"/>
      <c r="L31" s="46">
        <f t="shared" si="3"/>
        <v>0</v>
      </c>
      <c r="M31" s="57"/>
      <c r="N31" s="58"/>
      <c r="O31" s="46">
        <f t="shared" si="4"/>
        <v>0</v>
      </c>
      <c r="P31" s="57"/>
      <c r="Q31" s="58"/>
      <c r="R31" s="46">
        <f t="shared" si="5"/>
        <v>0</v>
      </c>
      <c r="S31" s="57"/>
      <c r="T31" s="58"/>
      <c r="U31" s="46">
        <f t="shared" si="6"/>
        <v>0</v>
      </c>
      <c r="V31" s="57"/>
      <c r="W31" s="58"/>
      <c r="X31" s="46">
        <f t="shared" si="7"/>
        <v>0</v>
      </c>
      <c r="Y31" s="57"/>
      <c r="Z31" s="58"/>
      <c r="AA31" s="46">
        <f t="shared" si="8"/>
        <v>0</v>
      </c>
      <c r="AB31" s="57"/>
      <c r="AC31" s="58"/>
      <c r="AD31" s="46">
        <f t="shared" si="9"/>
        <v>0</v>
      </c>
      <c r="AE31" s="57"/>
      <c r="AF31" s="58"/>
      <c r="AG31" s="46">
        <f t="shared" si="10"/>
        <v>0</v>
      </c>
      <c r="AH31" s="57"/>
      <c r="AI31" s="58"/>
      <c r="AJ31" s="46">
        <f t="shared" si="11"/>
        <v>0</v>
      </c>
      <c r="AK31" s="57"/>
      <c r="AL31" s="58"/>
      <c r="AM31" s="46">
        <f t="shared" si="12"/>
        <v>0</v>
      </c>
      <c r="AN31" s="57"/>
      <c r="AO31" s="58"/>
      <c r="AP31" s="56">
        <f t="shared" si="13"/>
        <v>0</v>
      </c>
      <c r="AQ31" s="7" t="e">
        <f t="shared" si="0"/>
        <v>#DIV/0!</v>
      </c>
    </row>
    <row r="32" spans="1:43" ht="18" customHeight="1" thickTop="1" x14ac:dyDescent="0.2">
      <c r="B32" s="14" t="s">
        <v>33</v>
      </c>
      <c r="C32" s="59">
        <f t="shared" ref="C32" si="14">SUM(C12:C31)</f>
        <v>1194</v>
      </c>
      <c r="D32" s="60">
        <f t="shared" ref="D32:AP32" si="15">SUM(D12:D31)</f>
        <v>260</v>
      </c>
      <c r="E32" s="61">
        <f t="shared" si="15"/>
        <v>1060</v>
      </c>
      <c r="F32" s="61">
        <f t="shared" si="15"/>
        <v>28</v>
      </c>
      <c r="G32" s="62">
        <f t="shared" si="15"/>
        <v>14</v>
      </c>
      <c r="H32" s="63">
        <f t="shared" si="15"/>
        <v>14</v>
      </c>
      <c r="I32" s="61">
        <f t="shared" ref="I32:N32" si="16">SUM(I12:I31)</f>
        <v>0</v>
      </c>
      <c r="J32" s="62">
        <f t="shared" si="16"/>
        <v>0</v>
      </c>
      <c r="K32" s="63">
        <f t="shared" si="16"/>
        <v>0</v>
      </c>
      <c r="L32" s="61">
        <f t="shared" si="16"/>
        <v>0</v>
      </c>
      <c r="M32" s="62">
        <f t="shared" si="16"/>
        <v>0</v>
      </c>
      <c r="N32" s="63">
        <f t="shared" si="16"/>
        <v>0</v>
      </c>
      <c r="O32" s="61">
        <f t="shared" ref="O32:T32" si="17">SUM(O12:O31)</f>
        <v>0</v>
      </c>
      <c r="P32" s="62">
        <f t="shared" si="17"/>
        <v>0</v>
      </c>
      <c r="Q32" s="63">
        <f t="shared" si="17"/>
        <v>0</v>
      </c>
      <c r="R32" s="61">
        <f t="shared" si="17"/>
        <v>0</v>
      </c>
      <c r="S32" s="62">
        <f t="shared" si="17"/>
        <v>0</v>
      </c>
      <c r="T32" s="63">
        <f t="shared" si="17"/>
        <v>0</v>
      </c>
      <c r="U32" s="61">
        <f t="shared" ref="U32:AI32" si="18">SUM(U12:U31)</f>
        <v>0</v>
      </c>
      <c r="V32" s="62">
        <f t="shared" si="18"/>
        <v>0</v>
      </c>
      <c r="W32" s="63">
        <f t="shared" si="18"/>
        <v>0</v>
      </c>
      <c r="X32" s="61">
        <f t="shared" si="18"/>
        <v>0</v>
      </c>
      <c r="Y32" s="62">
        <f t="shared" si="18"/>
        <v>0</v>
      </c>
      <c r="Z32" s="63">
        <f t="shared" si="18"/>
        <v>0</v>
      </c>
      <c r="AA32" s="61">
        <f t="shared" si="18"/>
        <v>0</v>
      </c>
      <c r="AB32" s="62">
        <f t="shared" si="18"/>
        <v>0</v>
      </c>
      <c r="AC32" s="63">
        <f t="shared" si="18"/>
        <v>0</v>
      </c>
      <c r="AD32" s="61">
        <f t="shared" si="18"/>
        <v>0</v>
      </c>
      <c r="AE32" s="62">
        <f t="shared" si="18"/>
        <v>0</v>
      </c>
      <c r="AF32" s="63">
        <f t="shared" si="18"/>
        <v>0</v>
      </c>
      <c r="AG32" s="61">
        <f t="shared" si="18"/>
        <v>0</v>
      </c>
      <c r="AH32" s="62">
        <f t="shared" si="18"/>
        <v>0</v>
      </c>
      <c r="AI32" s="63">
        <f t="shared" si="18"/>
        <v>0</v>
      </c>
      <c r="AJ32" s="61">
        <f t="shared" ref="AJ32:AO32" si="19">SUM(AJ12:AJ31)</f>
        <v>0</v>
      </c>
      <c r="AK32" s="62">
        <f t="shared" si="19"/>
        <v>0</v>
      </c>
      <c r="AL32" s="63">
        <f t="shared" si="19"/>
        <v>0</v>
      </c>
      <c r="AM32" s="61">
        <f t="shared" si="19"/>
        <v>0</v>
      </c>
      <c r="AN32" s="62">
        <f t="shared" si="19"/>
        <v>0</v>
      </c>
      <c r="AO32" s="63">
        <f t="shared" si="19"/>
        <v>0</v>
      </c>
      <c r="AP32" s="60">
        <f t="shared" si="15"/>
        <v>28</v>
      </c>
      <c r="AQ32" s="9">
        <f t="shared" si="0"/>
        <v>2.6415094339622643E-2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3"/>
  <sheetViews>
    <sheetView showZeros="0" view="pageBreakPreview" zoomScale="130" zoomScaleNormal="100" zoomScaleSheetLayoutView="130" workbookViewId="0">
      <selection activeCell="H2" sqref="H2:I2"/>
    </sheetView>
  </sheetViews>
  <sheetFormatPr defaultColWidth="11.33203125" defaultRowHeight="18.75" customHeight="1" x14ac:dyDescent="0.2"/>
  <cols>
    <col min="1" max="1" width="2.77734375" style="25"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25" t="s">
        <v>65</v>
      </c>
      <c r="I1" s="23" t="s">
        <v>106</v>
      </c>
    </row>
    <row r="2" spans="1:9" ht="18.75" customHeight="1" x14ac:dyDescent="0.2">
      <c r="G2" s="23" t="s">
        <v>109</v>
      </c>
      <c r="H2" s="205" t="str">
        <f>'様式１　プログラムを構成する授業科目'!C2</f>
        <v>同朋大学</v>
      </c>
      <c r="I2" s="206"/>
    </row>
    <row r="3" spans="1:9" ht="18.75" customHeight="1" x14ac:dyDescent="0.2">
      <c r="G3" s="23"/>
      <c r="H3" s="10"/>
      <c r="I3" s="10"/>
    </row>
    <row r="4" spans="1:9" ht="18.600000000000001" customHeight="1" x14ac:dyDescent="0.2">
      <c r="A4" s="174" t="s">
        <v>36</v>
      </c>
      <c r="B4" s="174"/>
      <c r="C4" s="174"/>
      <c r="D4" s="174"/>
      <c r="E4" s="174"/>
      <c r="F4" s="174"/>
      <c r="G4" s="174"/>
      <c r="H4" s="174"/>
      <c r="I4" s="174"/>
    </row>
    <row r="5" spans="1:9" ht="13.2" customHeight="1" x14ac:dyDescent="0.2">
      <c r="B5" s="3"/>
      <c r="C5" s="3"/>
      <c r="D5" s="3"/>
      <c r="E5" s="3"/>
      <c r="F5" s="3"/>
      <c r="G5" s="3"/>
      <c r="H5" s="3"/>
      <c r="I5" s="3"/>
    </row>
    <row r="6" spans="1:9" ht="18" customHeight="1" x14ac:dyDescent="0.2">
      <c r="A6" s="1" t="s">
        <v>0</v>
      </c>
      <c r="B6" s="10" t="s">
        <v>91</v>
      </c>
      <c r="C6" s="229" t="s">
        <v>92</v>
      </c>
      <c r="D6" s="229"/>
      <c r="E6" s="22">
        <v>46</v>
      </c>
      <c r="F6" s="3" t="s">
        <v>1</v>
      </c>
      <c r="G6" s="3" t="s">
        <v>2</v>
      </c>
      <c r="H6" s="22">
        <v>111</v>
      </c>
      <c r="I6" s="10" t="s">
        <v>1</v>
      </c>
    </row>
    <row r="7" spans="1:9" ht="12" customHeight="1" x14ac:dyDescent="0.2">
      <c r="C7" s="2"/>
      <c r="D7" s="2"/>
      <c r="E7" s="2"/>
      <c r="F7" s="2"/>
      <c r="G7" s="2"/>
      <c r="H7" s="2"/>
      <c r="I7" s="26"/>
    </row>
    <row r="8" spans="1:9" ht="18" customHeight="1" x14ac:dyDescent="0.2">
      <c r="A8" s="1" t="s">
        <v>3</v>
      </c>
      <c r="B8" s="10" t="s">
        <v>93</v>
      </c>
      <c r="E8" s="3"/>
      <c r="F8" s="3"/>
      <c r="G8" s="3"/>
      <c r="H8" s="22">
        <v>6</v>
      </c>
      <c r="I8" s="10" t="s">
        <v>1</v>
      </c>
    </row>
    <row r="9" spans="1:9" ht="9" customHeight="1" x14ac:dyDescent="0.2">
      <c r="B9" s="3"/>
      <c r="C9" s="3"/>
      <c r="D9" s="3"/>
      <c r="E9" s="3"/>
      <c r="F9" s="3"/>
      <c r="G9" s="3"/>
      <c r="H9" s="3"/>
      <c r="I9" s="3"/>
    </row>
    <row r="10" spans="1:9" ht="18" customHeight="1" x14ac:dyDescent="0.2">
      <c r="A10" s="1" t="s">
        <v>4</v>
      </c>
      <c r="B10" s="10" t="s">
        <v>94</v>
      </c>
      <c r="C10" s="3"/>
      <c r="D10" s="3"/>
      <c r="E10" s="3"/>
      <c r="F10" s="3"/>
      <c r="G10" s="3"/>
      <c r="H10" s="3"/>
      <c r="I10" s="3"/>
    </row>
    <row r="11" spans="1:9" ht="18" customHeight="1" x14ac:dyDescent="0.2">
      <c r="B11" s="23" t="s">
        <v>43</v>
      </c>
      <c r="C11" s="224" t="s">
        <v>139</v>
      </c>
      <c r="D11" s="227"/>
      <c r="E11" s="228"/>
      <c r="F11" s="26"/>
      <c r="G11" s="23" t="s">
        <v>10</v>
      </c>
      <c r="H11" s="224" t="s">
        <v>140</v>
      </c>
      <c r="I11" s="228"/>
    </row>
    <row r="12" spans="1:9" ht="10.199999999999999" customHeight="1" x14ac:dyDescent="0.2">
      <c r="B12" s="23"/>
      <c r="C12" s="10"/>
      <c r="D12" s="26"/>
      <c r="E12" s="26"/>
      <c r="F12" s="26"/>
      <c r="G12" s="23"/>
      <c r="H12" s="10"/>
      <c r="I12" s="26"/>
    </row>
    <row r="13" spans="1:9" ht="18" customHeight="1" x14ac:dyDescent="0.2">
      <c r="A13" s="1" t="s">
        <v>7</v>
      </c>
      <c r="B13" s="10" t="s">
        <v>88</v>
      </c>
      <c r="C13" s="3"/>
      <c r="D13" s="3"/>
      <c r="E13" s="3"/>
      <c r="F13" s="3"/>
      <c r="G13" s="3"/>
      <c r="H13" s="3"/>
      <c r="I13" s="3"/>
    </row>
    <row r="14" spans="1:9" ht="18" customHeight="1" x14ac:dyDescent="0.2">
      <c r="B14" s="224" t="s">
        <v>132</v>
      </c>
      <c r="C14" s="225"/>
      <c r="D14" s="225"/>
      <c r="E14" s="225"/>
      <c r="F14" s="225"/>
      <c r="G14" s="225"/>
      <c r="H14" s="225"/>
      <c r="I14" s="226"/>
    </row>
    <row r="15" spans="1:9" ht="9" customHeight="1" x14ac:dyDescent="0.2">
      <c r="B15" s="3"/>
      <c r="C15" s="3"/>
      <c r="D15" s="3"/>
      <c r="E15" s="3"/>
      <c r="F15" s="3"/>
      <c r="G15" s="3"/>
      <c r="H15" s="3"/>
      <c r="I15" s="3"/>
    </row>
    <row r="16" spans="1:9" ht="18" customHeight="1" x14ac:dyDescent="0.2">
      <c r="B16" s="23" t="s">
        <v>43</v>
      </c>
      <c r="C16" s="224" t="s">
        <v>133</v>
      </c>
      <c r="D16" s="227"/>
      <c r="E16" s="228"/>
      <c r="F16" s="26"/>
      <c r="G16" s="23" t="s">
        <v>10</v>
      </c>
      <c r="H16" s="224" t="s">
        <v>134</v>
      </c>
      <c r="I16" s="228"/>
    </row>
    <row r="17" spans="1:9" ht="18" customHeight="1" x14ac:dyDescent="0.2">
      <c r="B17" s="3"/>
      <c r="C17" s="3"/>
      <c r="D17" s="3"/>
      <c r="E17" s="3"/>
      <c r="F17" s="3"/>
      <c r="G17" s="3"/>
      <c r="H17" s="3"/>
      <c r="I17" s="3"/>
    </row>
    <row r="18" spans="1:9" ht="18.75" customHeight="1" x14ac:dyDescent="0.2">
      <c r="A18" s="1" t="s">
        <v>5</v>
      </c>
      <c r="B18" s="1" t="s">
        <v>42</v>
      </c>
      <c r="I18" s="3"/>
    </row>
    <row r="19" spans="1:9" ht="18.75" customHeight="1" x14ac:dyDescent="0.2">
      <c r="A19" s="1"/>
      <c r="B19" s="207" t="s">
        <v>141</v>
      </c>
      <c r="C19" s="208"/>
      <c r="D19" s="208"/>
      <c r="E19" s="208"/>
      <c r="F19" s="208"/>
      <c r="G19" s="208"/>
      <c r="H19" s="208"/>
      <c r="I19" s="209"/>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5"/>
      <c r="B22" s="195" t="s">
        <v>159</v>
      </c>
      <c r="C22" s="196"/>
      <c r="D22" s="196"/>
      <c r="E22" s="196"/>
      <c r="F22" s="196"/>
      <c r="G22" s="196"/>
      <c r="H22" s="196"/>
      <c r="I22" s="197"/>
    </row>
    <row r="23" spans="1:9" ht="18.75" customHeight="1" x14ac:dyDescent="0.2">
      <c r="A23" s="15"/>
      <c r="B23" s="210"/>
      <c r="C23" s="211"/>
      <c r="D23" s="211"/>
      <c r="E23" s="211"/>
      <c r="F23" s="211"/>
      <c r="G23" s="211"/>
      <c r="H23" s="211"/>
      <c r="I23" s="200"/>
    </row>
    <row r="24" spans="1:9" ht="18.75" customHeight="1" x14ac:dyDescent="0.2">
      <c r="A24" s="15"/>
      <c r="B24" s="210"/>
      <c r="C24" s="211"/>
      <c r="D24" s="211"/>
      <c r="E24" s="211"/>
      <c r="F24" s="211"/>
      <c r="G24" s="211"/>
      <c r="H24" s="211"/>
      <c r="I24" s="200"/>
    </row>
    <row r="25" spans="1:9" ht="18.75" customHeight="1" x14ac:dyDescent="0.2">
      <c r="A25" s="15"/>
      <c r="B25" s="210"/>
      <c r="C25" s="211"/>
      <c r="D25" s="211"/>
      <c r="E25" s="211"/>
      <c r="F25" s="211"/>
      <c r="G25" s="211"/>
      <c r="H25" s="211"/>
      <c r="I25" s="200"/>
    </row>
    <row r="26" spans="1:9" ht="18.75" customHeight="1" x14ac:dyDescent="0.2">
      <c r="A26" s="15"/>
      <c r="B26" s="210"/>
      <c r="C26" s="211"/>
      <c r="D26" s="211"/>
      <c r="E26" s="211"/>
      <c r="F26" s="211"/>
      <c r="G26" s="211"/>
      <c r="H26" s="211"/>
      <c r="I26" s="200"/>
    </row>
    <row r="27" spans="1:9" ht="18.75" customHeight="1" x14ac:dyDescent="0.2">
      <c r="A27" s="15"/>
      <c r="B27" s="210"/>
      <c r="C27" s="211"/>
      <c r="D27" s="211"/>
      <c r="E27" s="211"/>
      <c r="F27" s="211"/>
      <c r="G27" s="211"/>
      <c r="H27" s="211"/>
      <c r="I27" s="200"/>
    </row>
    <row r="28" spans="1:9" ht="18.75" customHeight="1" x14ac:dyDescent="0.2">
      <c r="A28" s="15"/>
      <c r="B28" s="210"/>
      <c r="C28" s="211"/>
      <c r="D28" s="211"/>
      <c r="E28" s="211"/>
      <c r="F28" s="211"/>
      <c r="G28" s="211"/>
      <c r="H28" s="211"/>
      <c r="I28" s="200"/>
    </row>
    <row r="29" spans="1:9" ht="18.75" customHeight="1" x14ac:dyDescent="0.2">
      <c r="A29" s="15"/>
      <c r="B29" s="210"/>
      <c r="C29" s="211"/>
      <c r="D29" s="211"/>
      <c r="E29" s="211"/>
      <c r="F29" s="211"/>
      <c r="G29" s="211"/>
      <c r="H29" s="211"/>
      <c r="I29" s="200"/>
    </row>
    <row r="30" spans="1:9" ht="18.75" customHeight="1" x14ac:dyDescent="0.2">
      <c r="A30" s="15"/>
      <c r="B30" s="198"/>
      <c r="C30" s="199"/>
      <c r="D30" s="199"/>
      <c r="E30" s="199"/>
      <c r="F30" s="199"/>
      <c r="G30" s="199"/>
      <c r="H30" s="199"/>
      <c r="I30" s="200"/>
    </row>
    <row r="31" spans="1:9" ht="18.75" customHeight="1" x14ac:dyDescent="0.2">
      <c r="A31" s="15"/>
      <c r="B31" s="198"/>
      <c r="C31" s="199"/>
      <c r="D31" s="199"/>
      <c r="E31" s="199"/>
      <c r="F31" s="199"/>
      <c r="G31" s="199"/>
      <c r="H31" s="199"/>
      <c r="I31" s="200"/>
    </row>
    <row r="32" spans="1:9" ht="46.2" customHeight="1" x14ac:dyDescent="0.2">
      <c r="A32" s="15"/>
      <c r="B32" s="201"/>
      <c r="C32" s="202"/>
      <c r="D32" s="202"/>
      <c r="E32" s="202"/>
      <c r="F32" s="202"/>
      <c r="G32" s="202"/>
      <c r="H32" s="202"/>
      <c r="I32" s="203"/>
    </row>
    <row r="33" spans="1:14" ht="7.5" customHeight="1" x14ac:dyDescent="0.2">
      <c r="A33" s="15"/>
      <c r="B33" s="15"/>
      <c r="C33" s="15"/>
      <c r="D33" s="15"/>
      <c r="E33" s="15"/>
      <c r="F33" s="15"/>
      <c r="G33" s="15"/>
      <c r="H33" s="15"/>
      <c r="I33" s="15"/>
    </row>
    <row r="34" spans="1:14" ht="18.75" customHeight="1" x14ac:dyDescent="0.2">
      <c r="A34" s="16" t="s">
        <v>6</v>
      </c>
      <c r="B34" s="16" t="s">
        <v>9</v>
      </c>
      <c r="C34" s="10"/>
      <c r="D34" s="16"/>
      <c r="E34" s="16"/>
      <c r="F34" s="16"/>
      <c r="G34" s="16"/>
      <c r="H34" s="16"/>
      <c r="I34" s="16"/>
    </row>
    <row r="35" spans="1:14" ht="18.75" customHeight="1" x14ac:dyDescent="0.2">
      <c r="A35" s="15"/>
      <c r="B35" s="212" t="s">
        <v>153</v>
      </c>
      <c r="C35" s="213"/>
      <c r="D35" s="213"/>
      <c r="E35" s="213"/>
      <c r="F35" s="213"/>
      <c r="G35" s="213"/>
      <c r="H35" s="213"/>
      <c r="I35" s="214"/>
    </row>
    <row r="36" spans="1:14" ht="18.75" customHeight="1" x14ac:dyDescent="0.2">
      <c r="A36" s="15"/>
      <c r="B36" s="215"/>
      <c r="C36" s="216"/>
      <c r="D36" s="216"/>
      <c r="E36" s="216"/>
      <c r="F36" s="216"/>
      <c r="G36" s="216"/>
      <c r="H36" s="216"/>
      <c r="I36" s="217"/>
    </row>
    <row r="37" spans="1:14" ht="18.75" customHeight="1" x14ac:dyDescent="0.2">
      <c r="A37" s="15"/>
      <c r="B37" s="215"/>
      <c r="C37" s="216"/>
      <c r="D37" s="216"/>
      <c r="E37" s="216"/>
      <c r="F37" s="216"/>
      <c r="G37" s="216"/>
      <c r="H37" s="216"/>
      <c r="I37" s="217"/>
    </row>
    <row r="38" spans="1:14" ht="18.75" customHeight="1" x14ac:dyDescent="0.2">
      <c r="A38" s="15"/>
      <c r="B38" s="215"/>
      <c r="C38" s="216"/>
      <c r="D38" s="216"/>
      <c r="E38" s="216"/>
      <c r="F38" s="216"/>
      <c r="G38" s="216"/>
      <c r="H38" s="216"/>
      <c r="I38" s="217"/>
    </row>
    <row r="39" spans="1:14" ht="18.75" customHeight="1" x14ac:dyDescent="0.2">
      <c r="A39" s="15"/>
      <c r="B39" s="215"/>
      <c r="C39" s="216"/>
      <c r="D39" s="216"/>
      <c r="E39" s="216"/>
      <c r="F39" s="216"/>
      <c r="G39" s="216"/>
      <c r="H39" s="216"/>
      <c r="I39" s="217"/>
    </row>
    <row r="40" spans="1:14" ht="18.75" customHeight="1" x14ac:dyDescent="0.2">
      <c r="A40" s="15"/>
      <c r="B40" s="215"/>
      <c r="C40" s="216"/>
      <c r="D40" s="216"/>
      <c r="E40" s="216"/>
      <c r="F40" s="216"/>
      <c r="G40" s="216"/>
      <c r="H40" s="216"/>
      <c r="I40" s="217"/>
    </row>
    <row r="41" spans="1:14" ht="18.75" customHeight="1" x14ac:dyDescent="0.2">
      <c r="A41" s="15"/>
      <c r="B41" s="215"/>
      <c r="C41" s="216"/>
      <c r="D41" s="216"/>
      <c r="E41" s="216"/>
      <c r="F41" s="216"/>
      <c r="G41" s="216"/>
      <c r="H41" s="216"/>
      <c r="I41" s="217"/>
    </row>
    <row r="42" spans="1:14" ht="18.75" customHeight="1" x14ac:dyDescent="0.2">
      <c r="A42" s="15"/>
      <c r="B42" s="215"/>
      <c r="C42" s="216"/>
      <c r="D42" s="216"/>
      <c r="E42" s="216"/>
      <c r="F42" s="216"/>
      <c r="G42" s="216"/>
      <c r="H42" s="216"/>
      <c r="I42" s="217"/>
    </row>
    <row r="43" spans="1:14" ht="18.75" customHeight="1" x14ac:dyDescent="0.2">
      <c r="A43" s="15"/>
      <c r="B43" s="215"/>
      <c r="C43" s="216"/>
      <c r="D43" s="216"/>
      <c r="E43" s="216"/>
      <c r="F43" s="216"/>
      <c r="G43" s="216"/>
      <c r="H43" s="216"/>
      <c r="I43" s="217"/>
    </row>
    <row r="44" spans="1:14" ht="18.75" customHeight="1" x14ac:dyDescent="0.2">
      <c r="A44" s="15"/>
      <c r="B44" s="215"/>
      <c r="C44" s="216"/>
      <c r="D44" s="216"/>
      <c r="E44" s="216"/>
      <c r="F44" s="216"/>
      <c r="G44" s="216"/>
      <c r="H44" s="216"/>
      <c r="I44" s="217"/>
    </row>
    <row r="45" spans="1:14" ht="18.75" customHeight="1" x14ac:dyDescent="0.2">
      <c r="A45" s="15"/>
      <c r="B45" s="218"/>
      <c r="C45" s="219"/>
      <c r="D45" s="219"/>
      <c r="E45" s="219"/>
      <c r="F45" s="219"/>
      <c r="G45" s="219"/>
      <c r="H45" s="219"/>
      <c r="I45" s="220"/>
    </row>
    <row r="46" spans="1:14" ht="7.5" customHeight="1" x14ac:dyDescent="0.2">
      <c r="A46" s="4"/>
      <c r="B46" s="4"/>
      <c r="C46" s="4"/>
      <c r="D46" s="4"/>
      <c r="E46" s="4"/>
      <c r="F46" s="4"/>
      <c r="G46" s="4"/>
      <c r="H46" s="4"/>
      <c r="I46" s="4"/>
    </row>
    <row r="47" spans="1:14" ht="18.75" customHeight="1" x14ac:dyDescent="0.2">
      <c r="A47" s="1" t="s">
        <v>31</v>
      </c>
      <c r="B47" s="1" t="s">
        <v>123</v>
      </c>
    </row>
    <row r="48" spans="1:14" s="3" customFormat="1" ht="18.75" customHeight="1" x14ac:dyDescent="0.2">
      <c r="B48" s="27" t="s">
        <v>89</v>
      </c>
      <c r="C48" s="247">
        <f>'様式２ 履修者等数の実績'!AQ32</f>
        <v>2.6415094339622643E-2</v>
      </c>
      <c r="D48" s="247"/>
      <c r="E48" s="27" t="s">
        <v>66</v>
      </c>
      <c r="F48" s="247">
        <v>0.1</v>
      </c>
      <c r="G48" s="247"/>
      <c r="H48" s="27" t="s">
        <v>67</v>
      </c>
      <c r="I48" s="28">
        <v>0.15</v>
      </c>
      <c r="J48" s="1"/>
      <c r="M48" s="1"/>
      <c r="N48" s="29"/>
    </row>
    <row r="49" spans="1:15" s="3" customFormat="1" ht="18.75" customHeight="1" x14ac:dyDescent="0.2">
      <c r="B49" s="30" t="s">
        <v>68</v>
      </c>
      <c r="C49" s="230">
        <v>0.35</v>
      </c>
      <c r="D49" s="230"/>
      <c r="E49" s="30" t="s">
        <v>90</v>
      </c>
      <c r="F49" s="230">
        <v>0.6</v>
      </c>
      <c r="G49" s="230"/>
      <c r="H49" s="30" t="s">
        <v>69</v>
      </c>
      <c r="I49" s="31">
        <f>'様式２ 履修者等数の実績'!E32</f>
        <v>1060</v>
      </c>
      <c r="J49" s="1"/>
      <c r="M49" s="1"/>
      <c r="N49" s="29"/>
    </row>
    <row r="50" spans="1:15" ht="18.75" customHeight="1" x14ac:dyDescent="0.2">
      <c r="A50" s="1"/>
      <c r="B50" s="221" t="s">
        <v>70</v>
      </c>
      <c r="C50" s="222"/>
      <c r="D50" s="222"/>
      <c r="E50" s="222"/>
      <c r="F50" s="222"/>
      <c r="G50" s="222"/>
      <c r="H50" s="222"/>
      <c r="I50" s="223"/>
      <c r="N50" s="29"/>
      <c r="O50" s="3"/>
    </row>
    <row r="51" spans="1:15" ht="18.75" customHeight="1" x14ac:dyDescent="0.2">
      <c r="A51" s="1"/>
      <c r="B51" s="248" t="s">
        <v>172</v>
      </c>
      <c r="C51" s="249"/>
      <c r="D51" s="249"/>
      <c r="E51" s="249"/>
      <c r="F51" s="249"/>
      <c r="G51" s="249"/>
      <c r="H51" s="249"/>
      <c r="I51" s="250"/>
      <c r="N51" s="29"/>
      <c r="O51" s="3"/>
    </row>
    <row r="52" spans="1:15" ht="18.75" customHeight="1" x14ac:dyDescent="0.2">
      <c r="A52" s="1"/>
      <c r="B52" s="251"/>
      <c r="C52" s="252"/>
      <c r="D52" s="252"/>
      <c r="E52" s="252"/>
      <c r="F52" s="252"/>
      <c r="G52" s="252"/>
      <c r="H52" s="252"/>
      <c r="I52" s="253"/>
      <c r="N52" s="29"/>
      <c r="O52" s="3"/>
    </row>
    <row r="53" spans="1:15" ht="18.75" customHeight="1" x14ac:dyDescent="0.2">
      <c r="A53" s="1"/>
      <c r="B53" s="251"/>
      <c r="C53" s="252"/>
      <c r="D53" s="252"/>
      <c r="E53" s="252"/>
      <c r="F53" s="252"/>
      <c r="G53" s="252"/>
      <c r="H53" s="252"/>
      <c r="I53" s="253"/>
    </row>
    <row r="54" spans="1:15" ht="18.75" customHeight="1" x14ac:dyDescent="0.2">
      <c r="A54" s="1"/>
      <c r="B54" s="251"/>
      <c r="C54" s="252"/>
      <c r="D54" s="252"/>
      <c r="E54" s="252"/>
      <c r="F54" s="252"/>
      <c r="G54" s="252"/>
      <c r="H54" s="252"/>
      <c r="I54" s="253"/>
    </row>
    <row r="55" spans="1:15" ht="18.75" customHeight="1" x14ac:dyDescent="0.2">
      <c r="A55" s="1"/>
      <c r="B55" s="251"/>
      <c r="C55" s="252"/>
      <c r="D55" s="252"/>
      <c r="E55" s="252"/>
      <c r="F55" s="252"/>
      <c r="G55" s="252"/>
      <c r="H55" s="252"/>
      <c r="I55" s="253"/>
    </row>
    <row r="56" spans="1:15" ht="18.75" customHeight="1" x14ac:dyDescent="0.2">
      <c r="A56" s="1"/>
      <c r="B56" s="251"/>
      <c r="C56" s="252"/>
      <c r="D56" s="252"/>
      <c r="E56" s="252"/>
      <c r="F56" s="252"/>
      <c r="G56" s="252"/>
      <c r="H56" s="252"/>
      <c r="I56" s="253"/>
    </row>
    <row r="57" spans="1:15" ht="18.75" customHeight="1" x14ac:dyDescent="0.2">
      <c r="A57" s="1"/>
      <c r="B57" s="251"/>
      <c r="C57" s="252"/>
      <c r="D57" s="252"/>
      <c r="E57" s="252"/>
      <c r="F57" s="252"/>
      <c r="G57" s="252"/>
      <c r="H57" s="252"/>
      <c r="I57" s="253"/>
    </row>
    <row r="58" spans="1:15" ht="18.75" customHeight="1" x14ac:dyDescent="0.2">
      <c r="A58" s="1"/>
      <c r="B58" s="251"/>
      <c r="C58" s="252"/>
      <c r="D58" s="252"/>
      <c r="E58" s="252"/>
      <c r="F58" s="252"/>
      <c r="G58" s="252"/>
      <c r="H58" s="252"/>
      <c r="I58" s="253"/>
    </row>
    <row r="59" spans="1:15" ht="18.75" customHeight="1" x14ac:dyDescent="0.2">
      <c r="A59" s="1"/>
      <c r="B59" s="251"/>
      <c r="C59" s="252"/>
      <c r="D59" s="252"/>
      <c r="E59" s="252"/>
      <c r="F59" s="252"/>
      <c r="G59" s="252"/>
      <c r="H59" s="252"/>
      <c r="I59" s="253"/>
    </row>
    <row r="60" spans="1:15" ht="18.75" customHeight="1" x14ac:dyDescent="0.2">
      <c r="A60" s="1"/>
      <c r="B60" s="251"/>
      <c r="C60" s="252"/>
      <c r="D60" s="252"/>
      <c r="E60" s="252"/>
      <c r="F60" s="252"/>
      <c r="G60" s="252"/>
      <c r="H60" s="252"/>
      <c r="I60" s="253"/>
    </row>
    <row r="61" spans="1:15" ht="18.75" customHeight="1" x14ac:dyDescent="0.2">
      <c r="A61" s="1"/>
      <c r="B61" s="251"/>
      <c r="C61" s="252"/>
      <c r="D61" s="252"/>
      <c r="E61" s="252"/>
      <c r="F61" s="252"/>
      <c r="G61" s="252"/>
      <c r="H61" s="252"/>
      <c r="I61" s="253"/>
    </row>
    <row r="62" spans="1:15" ht="18.75" customHeight="1" x14ac:dyDescent="0.2">
      <c r="A62" s="1"/>
      <c r="B62" s="254"/>
      <c r="C62" s="255"/>
      <c r="D62" s="255"/>
      <c r="E62" s="255"/>
      <c r="F62" s="255"/>
      <c r="G62" s="255"/>
      <c r="H62" s="255"/>
      <c r="I62" s="256"/>
    </row>
    <row r="63" spans="1:15" ht="7.5" customHeight="1" x14ac:dyDescent="0.2">
      <c r="A63" s="15"/>
      <c r="B63" s="15"/>
      <c r="C63" s="15"/>
      <c r="D63" s="15"/>
      <c r="E63" s="15"/>
      <c r="F63" s="15"/>
      <c r="G63" s="15"/>
      <c r="H63" s="15"/>
      <c r="I63" s="15"/>
    </row>
    <row r="64" spans="1:15" ht="18.75" customHeight="1" x14ac:dyDescent="0.2">
      <c r="A64" s="16" t="s">
        <v>34</v>
      </c>
      <c r="B64" s="1" t="s">
        <v>37</v>
      </c>
      <c r="I64" s="16"/>
    </row>
    <row r="65" spans="1:9" ht="18.75" customHeight="1" x14ac:dyDescent="0.2">
      <c r="A65" s="4"/>
      <c r="B65" s="231" t="s">
        <v>171</v>
      </c>
      <c r="C65" s="232"/>
      <c r="D65" s="232"/>
      <c r="E65" s="232"/>
      <c r="F65" s="232"/>
      <c r="G65" s="232"/>
      <c r="H65" s="232"/>
      <c r="I65" s="233"/>
    </row>
    <row r="66" spans="1:9" ht="18.75" customHeight="1" x14ac:dyDescent="0.2">
      <c r="A66" s="4"/>
      <c r="B66" s="234"/>
      <c r="C66" s="235"/>
      <c r="D66" s="235"/>
      <c r="E66" s="235"/>
      <c r="F66" s="235"/>
      <c r="G66" s="235"/>
      <c r="H66" s="235"/>
      <c r="I66" s="236"/>
    </row>
    <row r="67" spans="1:9" ht="18.75" customHeight="1" x14ac:dyDescent="0.2">
      <c r="A67" s="4"/>
      <c r="B67" s="234"/>
      <c r="C67" s="235"/>
      <c r="D67" s="235"/>
      <c r="E67" s="235"/>
      <c r="F67" s="235"/>
      <c r="G67" s="235"/>
      <c r="H67" s="235"/>
      <c r="I67" s="236"/>
    </row>
    <row r="68" spans="1:9" ht="18.75" customHeight="1" x14ac:dyDescent="0.2">
      <c r="A68" s="4"/>
      <c r="B68" s="234"/>
      <c r="C68" s="235"/>
      <c r="D68" s="235"/>
      <c r="E68" s="235"/>
      <c r="F68" s="235"/>
      <c r="G68" s="235"/>
      <c r="H68" s="235"/>
      <c r="I68" s="236"/>
    </row>
    <row r="69" spans="1:9" ht="18.75" customHeight="1" x14ac:dyDescent="0.2">
      <c r="A69" s="4"/>
      <c r="B69" s="234"/>
      <c r="C69" s="235"/>
      <c r="D69" s="235"/>
      <c r="E69" s="235"/>
      <c r="F69" s="235"/>
      <c r="G69" s="235"/>
      <c r="H69" s="235"/>
      <c r="I69" s="236"/>
    </row>
    <row r="70" spans="1:9" ht="18.75" customHeight="1" x14ac:dyDescent="0.2">
      <c r="A70" s="4"/>
      <c r="B70" s="234"/>
      <c r="C70" s="235"/>
      <c r="D70" s="235"/>
      <c r="E70" s="235"/>
      <c r="F70" s="235"/>
      <c r="G70" s="235"/>
      <c r="H70" s="235"/>
      <c r="I70" s="236"/>
    </row>
    <row r="71" spans="1:9" ht="18.75" customHeight="1" x14ac:dyDescent="0.2">
      <c r="A71" s="4"/>
      <c r="B71" s="234"/>
      <c r="C71" s="235"/>
      <c r="D71" s="235"/>
      <c r="E71" s="235"/>
      <c r="F71" s="235"/>
      <c r="G71" s="235"/>
      <c r="H71" s="235"/>
      <c r="I71" s="236"/>
    </row>
    <row r="72" spans="1:9" ht="18.75" customHeight="1" x14ac:dyDescent="0.2">
      <c r="A72" s="4"/>
      <c r="B72" s="234"/>
      <c r="C72" s="235"/>
      <c r="D72" s="235"/>
      <c r="E72" s="235"/>
      <c r="F72" s="235"/>
      <c r="G72" s="235"/>
      <c r="H72" s="235"/>
      <c r="I72" s="236"/>
    </row>
    <row r="73" spans="1:9" ht="18.75" customHeight="1" x14ac:dyDescent="0.2">
      <c r="A73" s="4"/>
      <c r="B73" s="234"/>
      <c r="C73" s="235"/>
      <c r="D73" s="235"/>
      <c r="E73" s="235"/>
      <c r="F73" s="235"/>
      <c r="G73" s="235"/>
      <c r="H73" s="235"/>
      <c r="I73" s="236"/>
    </row>
    <row r="74" spans="1:9" ht="18.75" customHeight="1" x14ac:dyDescent="0.2">
      <c r="A74" s="4"/>
      <c r="B74" s="234"/>
      <c r="C74" s="235"/>
      <c r="D74" s="235"/>
      <c r="E74" s="235"/>
      <c r="F74" s="235"/>
      <c r="G74" s="235"/>
      <c r="H74" s="235"/>
      <c r="I74" s="236"/>
    </row>
    <row r="75" spans="1:9" ht="18.75" customHeight="1" x14ac:dyDescent="0.2">
      <c r="A75" s="4"/>
      <c r="B75" s="234"/>
      <c r="C75" s="235"/>
      <c r="D75" s="235"/>
      <c r="E75" s="235"/>
      <c r="F75" s="235"/>
      <c r="G75" s="235"/>
      <c r="H75" s="235"/>
      <c r="I75" s="236"/>
    </row>
    <row r="76" spans="1:9" ht="18.75" customHeight="1" x14ac:dyDescent="0.2">
      <c r="A76" s="4"/>
      <c r="B76" s="237"/>
      <c r="C76" s="238"/>
      <c r="D76" s="238"/>
      <c r="E76" s="238"/>
      <c r="F76" s="238"/>
      <c r="G76" s="238"/>
      <c r="H76" s="238"/>
      <c r="I76" s="239"/>
    </row>
    <row r="77" spans="1:9" ht="7.5" customHeight="1" x14ac:dyDescent="0.2">
      <c r="A77" s="4"/>
      <c r="B77" s="4"/>
      <c r="C77" s="4"/>
      <c r="D77" s="4"/>
      <c r="E77" s="4"/>
      <c r="F77" s="4"/>
      <c r="G77" s="4"/>
      <c r="H77" s="4"/>
      <c r="I77" s="4"/>
    </row>
    <row r="78" spans="1:9" ht="18.75" customHeight="1" x14ac:dyDescent="0.2">
      <c r="A78" s="1" t="s">
        <v>11</v>
      </c>
      <c r="B78" s="1" t="s">
        <v>41</v>
      </c>
    </row>
    <row r="79" spans="1:9" ht="18.75" customHeight="1" x14ac:dyDescent="0.2">
      <c r="A79" s="1"/>
      <c r="B79" s="231" t="s">
        <v>160</v>
      </c>
      <c r="C79" s="232"/>
      <c r="D79" s="232"/>
      <c r="E79" s="232"/>
      <c r="F79" s="232"/>
      <c r="G79" s="232"/>
      <c r="H79" s="232"/>
      <c r="I79" s="240"/>
    </row>
    <row r="80" spans="1:9" ht="18.75" customHeight="1" x14ac:dyDescent="0.2">
      <c r="A80" s="1"/>
      <c r="B80" s="241"/>
      <c r="C80" s="242"/>
      <c r="D80" s="242"/>
      <c r="E80" s="242"/>
      <c r="F80" s="242"/>
      <c r="G80" s="242"/>
      <c r="H80" s="242"/>
      <c r="I80" s="243"/>
    </row>
    <row r="81" spans="1:9" ht="18.75" customHeight="1" x14ac:dyDescent="0.2">
      <c r="A81" s="1"/>
      <c r="B81" s="241"/>
      <c r="C81" s="242"/>
      <c r="D81" s="242"/>
      <c r="E81" s="242"/>
      <c r="F81" s="242"/>
      <c r="G81" s="242"/>
      <c r="H81" s="242"/>
      <c r="I81" s="243"/>
    </row>
    <row r="82" spans="1:9" ht="18.75" customHeight="1" x14ac:dyDescent="0.2">
      <c r="A82" s="1"/>
      <c r="B82" s="241"/>
      <c r="C82" s="242"/>
      <c r="D82" s="242"/>
      <c r="E82" s="242"/>
      <c r="F82" s="242"/>
      <c r="G82" s="242"/>
      <c r="H82" s="242"/>
      <c r="I82" s="243"/>
    </row>
    <row r="83" spans="1:9" ht="18.75" customHeight="1" x14ac:dyDescent="0.2">
      <c r="A83" s="1"/>
      <c r="B83" s="241"/>
      <c r="C83" s="242"/>
      <c r="D83" s="242"/>
      <c r="E83" s="242"/>
      <c r="F83" s="242"/>
      <c r="G83" s="242"/>
      <c r="H83" s="242"/>
      <c r="I83" s="243"/>
    </row>
    <row r="84" spans="1:9" ht="18.75" customHeight="1" x14ac:dyDescent="0.2">
      <c r="A84" s="1"/>
      <c r="B84" s="241"/>
      <c r="C84" s="242"/>
      <c r="D84" s="242"/>
      <c r="E84" s="242"/>
      <c r="F84" s="242"/>
      <c r="G84" s="242"/>
      <c r="H84" s="242"/>
      <c r="I84" s="243"/>
    </row>
    <row r="85" spans="1:9" ht="18.75" customHeight="1" x14ac:dyDescent="0.2">
      <c r="A85" s="1"/>
      <c r="B85" s="241"/>
      <c r="C85" s="242"/>
      <c r="D85" s="242"/>
      <c r="E85" s="242"/>
      <c r="F85" s="242"/>
      <c r="G85" s="242"/>
      <c r="H85" s="242"/>
      <c r="I85" s="243"/>
    </row>
    <row r="86" spans="1:9" ht="18.75" customHeight="1" x14ac:dyDescent="0.2">
      <c r="A86" s="1"/>
      <c r="B86" s="241"/>
      <c r="C86" s="242"/>
      <c r="D86" s="242"/>
      <c r="E86" s="242"/>
      <c r="F86" s="242"/>
      <c r="G86" s="242"/>
      <c r="H86" s="242"/>
      <c r="I86" s="243"/>
    </row>
    <row r="87" spans="1:9" ht="18.75" customHeight="1" x14ac:dyDescent="0.2">
      <c r="A87" s="1"/>
      <c r="B87" s="241"/>
      <c r="C87" s="242"/>
      <c r="D87" s="242"/>
      <c r="E87" s="242"/>
      <c r="F87" s="242"/>
      <c r="G87" s="242"/>
      <c r="H87" s="242"/>
      <c r="I87" s="243"/>
    </row>
    <row r="88" spans="1:9" ht="18.75" customHeight="1" x14ac:dyDescent="0.2">
      <c r="A88" s="1"/>
      <c r="B88" s="241"/>
      <c r="C88" s="242"/>
      <c r="D88" s="242"/>
      <c r="E88" s="242"/>
      <c r="F88" s="242"/>
      <c r="G88" s="242"/>
      <c r="H88" s="242"/>
      <c r="I88" s="243"/>
    </row>
    <row r="89" spans="1:9" ht="18.75" customHeight="1" x14ac:dyDescent="0.2">
      <c r="A89" s="4"/>
      <c r="B89" s="241"/>
      <c r="C89" s="242"/>
      <c r="D89" s="242"/>
      <c r="E89" s="242"/>
      <c r="F89" s="242"/>
      <c r="G89" s="242"/>
      <c r="H89" s="242"/>
      <c r="I89" s="243"/>
    </row>
    <row r="90" spans="1:9" ht="18.75" customHeight="1" x14ac:dyDescent="0.2">
      <c r="A90" s="4"/>
      <c r="B90" s="244"/>
      <c r="C90" s="245"/>
      <c r="D90" s="245"/>
      <c r="E90" s="245"/>
      <c r="F90" s="245"/>
      <c r="G90" s="245"/>
      <c r="H90" s="245"/>
      <c r="I90" s="246"/>
    </row>
    <row r="91" spans="1:9" ht="7.5" customHeight="1" x14ac:dyDescent="0.2">
      <c r="A91" s="4"/>
      <c r="B91" s="4"/>
      <c r="C91" s="4"/>
      <c r="D91" s="4"/>
      <c r="E91" s="4"/>
      <c r="F91" s="4"/>
      <c r="G91" s="4"/>
      <c r="H91" s="4"/>
      <c r="I91" s="4"/>
    </row>
    <row r="92" spans="1:9" ht="18.75" customHeight="1" x14ac:dyDescent="0.2">
      <c r="A92" s="1" t="s">
        <v>44</v>
      </c>
      <c r="B92" s="1" t="s">
        <v>13</v>
      </c>
    </row>
    <row r="93" spans="1:9" ht="18.75" customHeight="1" x14ac:dyDescent="0.2">
      <c r="A93" s="1"/>
      <c r="B93" s="195" t="s">
        <v>168</v>
      </c>
      <c r="C93" s="196"/>
      <c r="D93" s="196"/>
      <c r="E93" s="196"/>
      <c r="F93" s="196"/>
      <c r="G93" s="196"/>
      <c r="H93" s="196"/>
      <c r="I93" s="197"/>
    </row>
    <row r="94" spans="1:9" ht="18.75" customHeight="1" x14ac:dyDescent="0.2">
      <c r="A94" s="1"/>
      <c r="B94" s="198"/>
      <c r="C94" s="199"/>
      <c r="D94" s="199"/>
      <c r="E94" s="199"/>
      <c r="F94" s="199"/>
      <c r="G94" s="199"/>
      <c r="H94" s="199"/>
      <c r="I94" s="200"/>
    </row>
    <row r="95" spans="1:9" ht="18.75" customHeight="1" x14ac:dyDescent="0.2">
      <c r="A95" s="1"/>
      <c r="B95" s="198"/>
      <c r="C95" s="199"/>
      <c r="D95" s="199"/>
      <c r="E95" s="199"/>
      <c r="F95" s="199"/>
      <c r="G95" s="199"/>
      <c r="H95" s="199"/>
      <c r="I95" s="200"/>
    </row>
    <row r="96" spans="1:9" ht="18.75" customHeight="1" x14ac:dyDescent="0.2">
      <c r="A96" s="1"/>
      <c r="B96" s="198"/>
      <c r="C96" s="199"/>
      <c r="D96" s="199"/>
      <c r="E96" s="199"/>
      <c r="F96" s="199"/>
      <c r="G96" s="199"/>
      <c r="H96" s="199"/>
      <c r="I96" s="200"/>
    </row>
    <row r="97" spans="1:9" ht="18.75" customHeight="1" x14ac:dyDescent="0.2">
      <c r="A97" s="1"/>
      <c r="B97" s="198"/>
      <c r="C97" s="199"/>
      <c r="D97" s="199"/>
      <c r="E97" s="199"/>
      <c r="F97" s="199"/>
      <c r="G97" s="199"/>
      <c r="H97" s="199"/>
      <c r="I97" s="200"/>
    </row>
    <row r="98" spans="1:9" ht="18.75" customHeight="1" x14ac:dyDescent="0.2">
      <c r="A98" s="1"/>
      <c r="B98" s="198"/>
      <c r="C98" s="199"/>
      <c r="D98" s="199"/>
      <c r="E98" s="199"/>
      <c r="F98" s="199"/>
      <c r="G98" s="199"/>
      <c r="H98" s="199"/>
      <c r="I98" s="200"/>
    </row>
    <row r="99" spans="1:9" ht="18.75" customHeight="1" x14ac:dyDescent="0.2">
      <c r="A99" s="1"/>
      <c r="B99" s="198"/>
      <c r="C99" s="199"/>
      <c r="D99" s="199"/>
      <c r="E99" s="199"/>
      <c r="F99" s="199"/>
      <c r="G99" s="199"/>
      <c r="H99" s="199"/>
      <c r="I99" s="200"/>
    </row>
    <row r="100" spans="1:9" ht="18.75" customHeight="1" x14ac:dyDescent="0.2">
      <c r="A100" s="1"/>
      <c r="B100" s="198"/>
      <c r="C100" s="199"/>
      <c r="D100" s="199"/>
      <c r="E100" s="199"/>
      <c r="F100" s="199"/>
      <c r="G100" s="199"/>
      <c r="H100" s="199"/>
      <c r="I100" s="200"/>
    </row>
    <row r="101" spans="1:9" ht="18.75" customHeight="1" x14ac:dyDescent="0.2">
      <c r="A101" s="1"/>
      <c r="B101" s="198"/>
      <c r="C101" s="199"/>
      <c r="D101" s="199"/>
      <c r="E101" s="199"/>
      <c r="F101" s="199"/>
      <c r="G101" s="199"/>
      <c r="H101" s="199"/>
      <c r="I101" s="200"/>
    </row>
    <row r="102" spans="1:9" ht="18.75" customHeight="1" x14ac:dyDescent="0.2">
      <c r="A102" s="1"/>
      <c r="B102" s="198"/>
      <c r="C102" s="199"/>
      <c r="D102" s="199"/>
      <c r="E102" s="199"/>
      <c r="F102" s="199"/>
      <c r="G102" s="199"/>
      <c r="H102" s="199"/>
      <c r="I102" s="200"/>
    </row>
    <row r="103" spans="1:9" ht="18.75" customHeight="1" x14ac:dyDescent="0.2">
      <c r="A103" s="1"/>
      <c r="B103" s="198"/>
      <c r="C103" s="199"/>
      <c r="D103" s="199"/>
      <c r="E103" s="199"/>
      <c r="F103" s="199"/>
      <c r="G103" s="199"/>
      <c r="H103" s="199"/>
      <c r="I103" s="200"/>
    </row>
    <row r="104" spans="1:9" ht="18.75" customHeight="1" x14ac:dyDescent="0.2">
      <c r="A104" s="4"/>
      <c r="B104" s="201"/>
      <c r="C104" s="202"/>
      <c r="D104" s="202"/>
      <c r="E104" s="202"/>
      <c r="F104" s="202"/>
      <c r="G104" s="202"/>
      <c r="H104" s="202"/>
      <c r="I104" s="203"/>
    </row>
    <row r="105" spans="1:9" ht="7.5" customHeight="1" x14ac:dyDescent="0.2">
      <c r="A105" s="4"/>
      <c r="B105" s="4"/>
      <c r="C105" s="4"/>
      <c r="D105" s="4"/>
      <c r="E105" s="4"/>
      <c r="F105" s="4"/>
      <c r="G105" s="4"/>
      <c r="H105" s="4"/>
      <c r="I105" s="4"/>
    </row>
    <row r="106" spans="1:9" ht="18.75" customHeight="1" x14ac:dyDescent="0.2">
      <c r="A106" s="1" t="s">
        <v>30</v>
      </c>
      <c r="B106" s="204" t="s">
        <v>46</v>
      </c>
      <c r="C106" s="204"/>
      <c r="D106" s="204"/>
      <c r="E106" s="204"/>
      <c r="F106" s="204"/>
      <c r="G106" s="204"/>
      <c r="H106" s="204"/>
      <c r="I106" s="204"/>
    </row>
    <row r="107" spans="1:9" ht="18.75" customHeight="1" x14ac:dyDescent="0.2">
      <c r="A107" s="4"/>
      <c r="B107" s="195" t="s">
        <v>161</v>
      </c>
      <c r="C107" s="196"/>
      <c r="D107" s="196"/>
      <c r="E107" s="196"/>
      <c r="F107" s="196"/>
      <c r="G107" s="196"/>
      <c r="H107" s="196"/>
      <c r="I107" s="197"/>
    </row>
    <row r="108" spans="1:9" ht="18.75" customHeight="1" x14ac:dyDescent="0.2">
      <c r="A108" s="4"/>
      <c r="B108" s="198"/>
      <c r="C108" s="199"/>
      <c r="D108" s="199"/>
      <c r="E108" s="199"/>
      <c r="F108" s="199"/>
      <c r="G108" s="199"/>
      <c r="H108" s="199"/>
      <c r="I108" s="200"/>
    </row>
    <row r="109" spans="1:9" ht="18.75" customHeight="1" x14ac:dyDescent="0.2">
      <c r="A109" s="4"/>
      <c r="B109" s="198"/>
      <c r="C109" s="199"/>
      <c r="D109" s="199"/>
      <c r="E109" s="199"/>
      <c r="F109" s="199"/>
      <c r="G109" s="199"/>
      <c r="H109" s="199"/>
      <c r="I109" s="200"/>
    </row>
    <row r="110" spans="1:9" ht="18.75" customHeight="1" x14ac:dyDescent="0.2">
      <c r="A110" s="4"/>
      <c r="B110" s="198"/>
      <c r="C110" s="199"/>
      <c r="D110" s="199"/>
      <c r="E110" s="199"/>
      <c r="F110" s="199"/>
      <c r="G110" s="199"/>
      <c r="H110" s="199"/>
      <c r="I110" s="200"/>
    </row>
    <row r="111" spans="1:9" ht="18.75" customHeight="1" x14ac:dyDescent="0.2">
      <c r="A111" s="4"/>
      <c r="B111" s="198"/>
      <c r="C111" s="199"/>
      <c r="D111" s="199"/>
      <c r="E111" s="199"/>
      <c r="F111" s="199"/>
      <c r="G111" s="199"/>
      <c r="H111" s="199"/>
      <c r="I111" s="200"/>
    </row>
    <row r="112" spans="1:9" ht="18.75" customHeight="1" x14ac:dyDescent="0.2">
      <c r="A112" s="4"/>
      <c r="B112" s="198"/>
      <c r="C112" s="199"/>
      <c r="D112" s="199"/>
      <c r="E112" s="199"/>
      <c r="F112" s="199"/>
      <c r="G112" s="199"/>
      <c r="H112" s="199"/>
      <c r="I112" s="200"/>
    </row>
    <row r="113" spans="1:9" ht="18.75" customHeight="1" x14ac:dyDescent="0.2">
      <c r="A113" s="4"/>
      <c r="B113" s="198"/>
      <c r="C113" s="199"/>
      <c r="D113" s="199"/>
      <c r="E113" s="199"/>
      <c r="F113" s="199"/>
      <c r="G113" s="199"/>
      <c r="H113" s="199"/>
      <c r="I113" s="200"/>
    </row>
    <row r="114" spans="1:9" ht="18.75" customHeight="1" x14ac:dyDescent="0.2">
      <c r="A114" s="4"/>
      <c r="B114" s="198"/>
      <c r="C114" s="199"/>
      <c r="D114" s="199"/>
      <c r="E114" s="199"/>
      <c r="F114" s="199"/>
      <c r="G114" s="199"/>
      <c r="H114" s="199"/>
      <c r="I114" s="200"/>
    </row>
    <row r="115" spans="1:9" ht="18.75" customHeight="1" x14ac:dyDescent="0.2">
      <c r="A115" s="4"/>
      <c r="B115" s="198"/>
      <c r="C115" s="199"/>
      <c r="D115" s="199"/>
      <c r="E115" s="199"/>
      <c r="F115" s="199"/>
      <c r="G115" s="199"/>
      <c r="H115" s="199"/>
      <c r="I115" s="200"/>
    </row>
    <row r="116" spans="1:9" ht="18.75" customHeight="1" x14ac:dyDescent="0.2">
      <c r="A116" s="4"/>
      <c r="B116" s="198"/>
      <c r="C116" s="199"/>
      <c r="D116" s="199"/>
      <c r="E116" s="199"/>
      <c r="F116" s="199"/>
      <c r="G116" s="199"/>
      <c r="H116" s="199"/>
      <c r="I116" s="200"/>
    </row>
    <row r="117" spans="1:9" ht="18.75" customHeight="1" x14ac:dyDescent="0.2">
      <c r="A117" s="4"/>
      <c r="B117" s="198"/>
      <c r="C117" s="199"/>
      <c r="D117" s="199"/>
      <c r="E117" s="199"/>
      <c r="F117" s="199"/>
      <c r="G117" s="199"/>
      <c r="H117" s="199"/>
      <c r="I117" s="200"/>
    </row>
    <row r="118" spans="1:9" ht="18.75" customHeight="1" x14ac:dyDescent="0.2">
      <c r="A118" s="4"/>
      <c r="B118" s="201"/>
      <c r="C118" s="202"/>
      <c r="D118" s="202"/>
      <c r="E118" s="202"/>
      <c r="F118" s="202"/>
      <c r="G118" s="202"/>
      <c r="H118" s="202"/>
      <c r="I118" s="203"/>
    </row>
    <row r="119" spans="1:9" ht="7.5" customHeight="1" x14ac:dyDescent="0.2">
      <c r="A119" s="4"/>
      <c r="B119" s="32"/>
      <c r="C119" s="32"/>
      <c r="D119" s="32"/>
      <c r="E119" s="32"/>
      <c r="F119" s="32"/>
      <c r="G119" s="32"/>
      <c r="H119" s="32"/>
      <c r="I119" s="32"/>
    </row>
    <row r="120" spans="1:9" ht="18.75" customHeight="1" x14ac:dyDescent="0.2">
      <c r="A120" s="4"/>
      <c r="B120" s="4"/>
      <c r="C120" s="4"/>
      <c r="D120" s="4"/>
      <c r="E120" s="4"/>
      <c r="F120" s="4"/>
      <c r="G120" s="4"/>
      <c r="H120" s="4"/>
      <c r="I120" s="4"/>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4.4" x14ac:dyDescent="0.2">
      <c r="A132" s="4"/>
      <c r="B132" s="4"/>
      <c r="C132" s="4"/>
      <c r="D132" s="4"/>
      <c r="E132" s="4"/>
      <c r="F132" s="4"/>
      <c r="G132" s="4"/>
      <c r="H132" s="4"/>
      <c r="I132" s="4"/>
    </row>
    <row r="133" spans="1:9" ht="7.5" customHeight="1" x14ac:dyDescent="0.2">
      <c r="A133" s="33"/>
      <c r="B133" s="33"/>
      <c r="C133" s="33"/>
      <c r="D133" s="33"/>
      <c r="E133" s="33"/>
      <c r="F133" s="33"/>
      <c r="G133" s="33"/>
      <c r="H133" s="33"/>
      <c r="I133" s="33"/>
    </row>
  </sheetData>
  <mergeCells count="22">
    <mergeCell ref="B65:I76"/>
    <mergeCell ref="B79:I90"/>
    <mergeCell ref="C48:D48"/>
    <mergeCell ref="C49:D49"/>
    <mergeCell ref="F48:G48"/>
    <mergeCell ref="B51:I62"/>
    <mergeCell ref="B93:I104"/>
    <mergeCell ref="B106:I106"/>
    <mergeCell ref="B107:I118"/>
    <mergeCell ref="H2:I2"/>
    <mergeCell ref="A4:I4"/>
    <mergeCell ref="B19:I19"/>
    <mergeCell ref="B22:I32"/>
    <mergeCell ref="B35:I45"/>
    <mergeCell ref="B50:I50"/>
    <mergeCell ref="B14:I14"/>
    <mergeCell ref="C16:E16"/>
    <mergeCell ref="H16:I16"/>
    <mergeCell ref="C11:E11"/>
    <mergeCell ref="H11:I11"/>
    <mergeCell ref="C6:D6"/>
    <mergeCell ref="F49:G49"/>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6" max="9" man="1"/>
    <brk id="91"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I2" sqref="I2"/>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71</v>
      </c>
      <c r="I1" s="23" t="s">
        <v>105</v>
      </c>
    </row>
    <row r="2" spans="1:9" ht="18.75" customHeight="1" x14ac:dyDescent="0.2">
      <c r="H2" s="23" t="s">
        <v>109</v>
      </c>
      <c r="I2" s="22" t="str">
        <f>'様式１　プログラムを構成する授業科目'!C2</f>
        <v>同朋大学</v>
      </c>
    </row>
    <row r="3" spans="1:9" ht="18.75" customHeight="1" x14ac:dyDescent="0.2">
      <c r="A3" s="174" t="s">
        <v>28</v>
      </c>
      <c r="B3" s="174"/>
      <c r="C3" s="174"/>
      <c r="D3" s="174"/>
      <c r="E3" s="174"/>
      <c r="F3" s="174"/>
      <c r="G3" s="174"/>
      <c r="H3" s="174"/>
      <c r="I3" s="174"/>
    </row>
    <row r="4" spans="1:9" ht="18.75" customHeight="1" x14ac:dyDescent="0.2">
      <c r="A4" s="5"/>
      <c r="B4" s="5"/>
      <c r="C4" s="5"/>
      <c r="D4" s="5"/>
      <c r="E4" s="5"/>
      <c r="F4" s="5"/>
      <c r="G4" s="5"/>
      <c r="H4" s="5"/>
      <c r="I4" s="5"/>
    </row>
    <row r="5" spans="1:9" ht="18.75" customHeight="1" x14ac:dyDescent="0.2">
      <c r="A5" s="1" t="s">
        <v>0</v>
      </c>
      <c r="B5" s="10" t="s">
        <v>95</v>
      </c>
      <c r="C5" s="5"/>
      <c r="D5" s="5"/>
      <c r="E5" s="5"/>
      <c r="F5" s="5"/>
      <c r="G5" s="5"/>
      <c r="H5" s="5"/>
      <c r="I5" s="5"/>
    </row>
    <row r="6" spans="1:9" ht="26.25" customHeight="1" x14ac:dyDescent="0.2">
      <c r="A6" s="5"/>
      <c r="B6" s="224" t="s">
        <v>138</v>
      </c>
      <c r="C6" s="265"/>
      <c r="D6" s="265"/>
      <c r="E6" s="265"/>
      <c r="F6" s="265"/>
      <c r="G6" s="265"/>
      <c r="H6" s="266"/>
      <c r="I6" s="3"/>
    </row>
    <row r="7" spans="1:9" ht="9" customHeight="1" x14ac:dyDescent="0.2">
      <c r="A7" s="5"/>
      <c r="B7" s="10"/>
      <c r="C7" s="10"/>
      <c r="D7" s="10"/>
      <c r="E7" s="10"/>
      <c r="F7" s="10"/>
      <c r="G7" s="10"/>
      <c r="H7" s="10"/>
      <c r="I7" s="3"/>
    </row>
    <row r="8" spans="1:9" ht="18.75" customHeight="1" x14ac:dyDescent="0.2">
      <c r="A8" s="5"/>
      <c r="B8" s="3"/>
      <c r="C8" s="3"/>
      <c r="D8" s="23" t="s">
        <v>43</v>
      </c>
      <c r="E8" s="24" t="s">
        <v>154</v>
      </c>
      <c r="F8" s="3"/>
      <c r="G8" s="23" t="s">
        <v>10</v>
      </c>
      <c r="H8" s="24" t="s">
        <v>155</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205" t="s">
        <v>24</v>
      </c>
      <c r="C11" s="262"/>
      <c r="D11" s="206"/>
      <c r="E11" s="262" t="s">
        <v>26</v>
      </c>
      <c r="F11" s="262"/>
      <c r="G11" s="262"/>
      <c r="H11" s="262"/>
      <c r="I11" s="206"/>
    </row>
    <row r="12" spans="1:9" ht="26.25" customHeight="1" x14ac:dyDescent="0.2">
      <c r="B12" s="34" t="s">
        <v>14</v>
      </c>
      <c r="C12" s="41"/>
      <c r="D12" s="35"/>
      <c r="E12" s="42"/>
      <c r="F12" s="42"/>
      <c r="G12" s="42"/>
      <c r="H12" s="42"/>
      <c r="I12" s="35"/>
    </row>
    <row r="13" spans="1:9" ht="210.75" customHeight="1" x14ac:dyDescent="0.2">
      <c r="B13" s="36"/>
      <c r="C13" s="263" t="s">
        <v>15</v>
      </c>
      <c r="D13" s="264"/>
      <c r="E13" s="259" t="s">
        <v>173</v>
      </c>
      <c r="F13" s="260"/>
      <c r="G13" s="260"/>
      <c r="H13" s="260"/>
      <c r="I13" s="261"/>
    </row>
    <row r="14" spans="1:9" ht="210.75" customHeight="1" x14ac:dyDescent="0.2">
      <c r="B14" s="36"/>
      <c r="C14" s="257" t="s">
        <v>16</v>
      </c>
      <c r="D14" s="258"/>
      <c r="E14" s="259" t="s">
        <v>174</v>
      </c>
      <c r="F14" s="260"/>
      <c r="G14" s="260"/>
      <c r="H14" s="260"/>
      <c r="I14" s="261"/>
    </row>
    <row r="15" spans="1:9" ht="210.75" customHeight="1" x14ac:dyDescent="0.2">
      <c r="B15" s="36"/>
      <c r="C15" s="263" t="s">
        <v>17</v>
      </c>
      <c r="D15" s="264"/>
      <c r="E15" s="259" t="s">
        <v>162</v>
      </c>
      <c r="F15" s="267"/>
      <c r="G15" s="267"/>
      <c r="H15" s="267"/>
      <c r="I15" s="268"/>
    </row>
    <row r="16" spans="1:9" ht="210.75" customHeight="1" x14ac:dyDescent="0.2">
      <c r="B16" s="36"/>
      <c r="C16" s="263" t="s">
        <v>18</v>
      </c>
      <c r="D16" s="264"/>
      <c r="E16" s="269" t="s">
        <v>156</v>
      </c>
      <c r="F16" s="267"/>
      <c r="G16" s="267"/>
      <c r="H16" s="267"/>
      <c r="I16" s="268"/>
    </row>
    <row r="17" spans="2:9" ht="210.75" customHeight="1" x14ac:dyDescent="0.2">
      <c r="B17" s="37"/>
      <c r="C17" s="270" t="s">
        <v>19</v>
      </c>
      <c r="D17" s="271"/>
      <c r="E17" s="272" t="s">
        <v>167</v>
      </c>
      <c r="F17" s="273"/>
      <c r="G17" s="273"/>
      <c r="H17" s="273"/>
      <c r="I17" s="274"/>
    </row>
    <row r="18" spans="2:9" ht="24" customHeight="1" x14ac:dyDescent="0.2">
      <c r="B18" s="34" t="s">
        <v>20</v>
      </c>
      <c r="C18" s="38"/>
      <c r="D18" s="39"/>
      <c r="E18" s="40"/>
      <c r="F18" s="40"/>
      <c r="G18" s="40"/>
      <c r="H18" s="40"/>
      <c r="I18" s="43"/>
    </row>
    <row r="19" spans="2:9" ht="218.25" customHeight="1" x14ac:dyDescent="0.2">
      <c r="B19" s="36"/>
      <c r="C19" s="263" t="s">
        <v>21</v>
      </c>
      <c r="D19" s="264"/>
      <c r="E19" s="260" t="s">
        <v>163</v>
      </c>
      <c r="F19" s="260"/>
      <c r="G19" s="260"/>
      <c r="H19" s="260"/>
      <c r="I19" s="261"/>
    </row>
    <row r="20" spans="2:9" ht="218.25" customHeight="1" x14ac:dyDescent="0.2">
      <c r="B20" s="37"/>
      <c r="C20" s="270" t="s">
        <v>22</v>
      </c>
      <c r="D20" s="271"/>
      <c r="E20" s="281" t="s">
        <v>135</v>
      </c>
      <c r="F20" s="281"/>
      <c r="G20" s="281"/>
      <c r="H20" s="281"/>
      <c r="I20" s="282"/>
    </row>
    <row r="21" spans="2:9" ht="218.25" customHeight="1" x14ac:dyDescent="0.2">
      <c r="B21" s="283" t="s">
        <v>23</v>
      </c>
      <c r="C21" s="284"/>
      <c r="D21" s="285"/>
      <c r="E21" s="286" t="s">
        <v>164</v>
      </c>
      <c r="F21" s="286"/>
      <c r="G21" s="286"/>
      <c r="H21" s="286"/>
      <c r="I21" s="287"/>
    </row>
    <row r="22" spans="2:9" ht="218.25" customHeight="1" x14ac:dyDescent="0.2">
      <c r="B22" s="275" t="s">
        <v>38</v>
      </c>
      <c r="C22" s="276"/>
      <c r="D22" s="277"/>
      <c r="E22" s="278" t="s">
        <v>165</v>
      </c>
      <c r="F22" s="279"/>
      <c r="G22" s="279"/>
      <c r="H22" s="279"/>
      <c r="I22" s="280"/>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5"/>
      <c r="C28" s="15"/>
      <c r="D28" s="15"/>
      <c r="E28" s="15"/>
      <c r="F28" s="15"/>
      <c r="G28" s="15"/>
      <c r="H28" s="15"/>
      <c r="I28" s="15"/>
    </row>
    <row r="29" spans="2:9" ht="22.5" customHeight="1" x14ac:dyDescent="0.2">
      <c r="B29" s="15"/>
      <c r="C29" s="15"/>
      <c r="D29" s="15"/>
      <c r="E29" s="15"/>
      <c r="F29" s="15"/>
      <c r="G29" s="15"/>
      <c r="H29" s="15"/>
      <c r="I29" s="15"/>
    </row>
    <row r="30" spans="2:9" ht="22.5" customHeight="1" x14ac:dyDescent="0.2">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原田　大輔</cp:lastModifiedBy>
  <cp:lastPrinted>2023-05-12T09:26:39Z</cp:lastPrinted>
  <dcterms:created xsi:type="dcterms:W3CDTF">2011-06-14T05:32:50Z</dcterms:created>
  <dcterms:modified xsi:type="dcterms:W3CDTF">2023-07-20T07:46:20Z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