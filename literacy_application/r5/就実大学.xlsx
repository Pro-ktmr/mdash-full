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24.数理データサイエンス\数理・データサイエンス・AI教育プロゴラム認定制度申請関係\新しいフォルダー\"/>
    </mc:Choice>
  </mc:AlternateContent>
  <bookViews>
    <workbookView xWindow="0" yWindow="0" windowWidth="19530" windowHeight="13095" tabRatio="885" activeTab="2"/>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2"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C49" i="41" s="1"/>
</calcChain>
</file>

<file path=xl/sharedStrings.xml><?xml version="1.0" encoding="utf-8"?>
<sst xmlns="http://schemas.openxmlformats.org/spreadsheetml/2006/main" count="302" uniqueCount="173">
  <si>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</si>
  <si>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</si>
  <si>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</si>
  <si>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</si>
  <si>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</si>
  <si>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</si>
  <si>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</si>
  <si>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</si>
  <si>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</si>
  <si>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</si>
  <si>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</si>
  <si>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</si>
  <si>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</si>
  <si>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</si>
  <si>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</si>
  <si>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</si>
  <si>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</si>
  <si>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</si>
  <si>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</si>
  <si>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</si>
  <si>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</si>
  <si>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</si>
  <si>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</si>
  <si>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</si>
  <si>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</si>
  <si>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</si>
  <si>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</si>
  <si>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</si>
  <si>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</si>
  <si>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</si>
  <si>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</si>
  <si>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</si>
  <si>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</si>
  <si>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</si>
  <si>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</si>
  <si>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</si>
  <si>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</si>
  <si>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</si>
  <si>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</si>
  <si>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</si>
  <si>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</si>
  <si>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</si>
  <si>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</si>
  <si>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</si>
  <si>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</si>
  <si>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</si>
  <si>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</si>
  <si>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</si>
  <si>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</si>
  <si>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</si>
  <si>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</si>
  <si>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</si>
  <si>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</si>
  <si>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</si>
  <si>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</si>
  <si>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</si>
  <si>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</si>
  <si>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</si>
  <si>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</si>
  <si>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</si>
  <si>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</si>
  <si>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</si>
  <si>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</si>
  <si>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</si>
  <si>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</si>
  <si>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</si>
  <si>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</si>
  <si>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</si>
  <si>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</si>
  <si>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</si>
  <si>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</si>
  <si>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</si>
  <si>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</si>
  <si>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</si>
  <si>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</si>
  <si>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</si>
  <si>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</si>
  <si>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</si>
  <si>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</si>
  <si>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</si>
  <si>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</si>
  <si>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</si>
  <si>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</si>
  <si>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</si>
  <si>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</si>
  <si>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</si>
  <si>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</si>
  <si>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</si>
  <si>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</si>
  <si>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</si>
  <si>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</si>
  <si>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</si>
  <si>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</si>
  <si>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</si>
  <si>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</si>
  <si>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</si>
  <si>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</si>
  <si>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</si>
  <si>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</si>
  <si>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</si>
  <si>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</si>
  <si>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</si>
  <si>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</si>
  <si>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</si>
  <si>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</si>
  <si>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</si>
  <si>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</si>
  <si>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</si>
  <si>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</si>
  <si>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</si>
  <si>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</si>
  <si>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</si>
  <si>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</si>
  <si>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</si>
  <si>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</si>
  <si>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</si>
  <si>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</si>
  <si>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</si>
  <si>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</si>
  <si>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</si>
  <si>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</si>
  <si>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</si>
  <si>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</si>
  <si>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</si>
  <si>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</si>
  <si>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</si>
  <si>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</si>
  <si>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</si>
  <si>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プログラムを構成する２つの必修科目「情報リテラシー」（1年次前期配当、1単位）と「数理・データサイエンス基礎」（1年次前期配当、1単位）をいずれも修得すること。</t>
    <phoneticPr fontId="1"/>
  </si>
  <si>
    <t>情報リテラシー</t>
    <rPh sb="0" eb="2">
      <t>ジョウホウ</t>
    </rPh>
    <phoneticPr fontId="1"/>
  </si>
  <si>
    <t>数理・データサイエンス基礎</t>
    <rPh sb="0" eb="2">
      <t>スウリ</t>
    </rPh>
    <rPh sb="11" eb="13">
      <t>キソ</t>
    </rPh>
    <phoneticPr fontId="1"/>
  </si>
  <si>
    <t>○</t>
  </si>
  <si>
    <t>中西裕</t>
    <rPh sb="0" eb="3">
      <t>ナカニシユタカ</t>
    </rPh>
    <phoneticPr fontId="1"/>
  </si>
  <si>
    <t>教育開発センター長</t>
    <rPh sb="0" eb="4">
      <t>キョウイクカイハツ</t>
    </rPh>
    <rPh sb="8" eb="9">
      <t>チョウ</t>
    </rPh>
    <phoneticPr fontId="1"/>
  </si>
  <si>
    <t>教育開発センターは，就実大学・就実大学大学院・就実短期大学における教育課程の編成や教育方法の向上・改善，教職員教育力の向上，学生学修力の向上，学生生活の支援及び国際交流の促進などの多様な観点から本学の教育力を点検・評価の上，教育の質の転換や保証を担保し，本学の教育力や学生の総合的な力を高めることを目的とする。</t>
    <phoneticPr fontId="1"/>
  </si>
  <si>
    <t>教育開発センター　センター長　中西裕
教育開発センター准教授　石黒太
教養教育運営委員会　委員長 見尾光庸</t>
    <phoneticPr fontId="1"/>
  </si>
  <si>
    <t xml:space="preserve">本プログラムを構成する科目は全学必修科目であり、全学生が履修する。
</t>
    <phoneticPr fontId="1"/>
  </si>
  <si>
    <t>本プログラムを構成する科目は全学必修科目であり、全学生が履修する。</t>
    <phoneticPr fontId="1"/>
  </si>
  <si>
    <t>本プログラムを構成する科目は全学必修科目であり、全学生が履修する。
履修指導やサポートについては、LMS上でいつでも相談が可能な体制となっており、教育開発センターの学修支援窓口で対面での相談・サポートも随時行っている。</t>
    <rPh sb="73" eb="77">
      <t>キョウイクカイハツ</t>
    </rPh>
    <rPh sb="82" eb="86">
      <t>ガクシュウシエン</t>
    </rPh>
    <rPh sb="86" eb="88">
      <t>マドクチ</t>
    </rPh>
    <phoneticPr fontId="1"/>
  </si>
  <si>
    <t>履修状況については、全学部において必修科目として位置付けられているため、特別な対応を必要としていない。修得状況については、両科目ともオンデマンド型の科目となっているため、教育開発センターにて講義動画の視聴状況及び課題の提出状況等を細かくチェックして必要な対応を行っている。動画の視聴状況については、LMSにて視聴時間等を正確に把握することが可能であり、十分な視聴時間を確保できていない学生に対してはメール等で指導を行っている。また、課題の提出状況や成績を通して理解度もチェックしており、視聴時間と課題の正答率の両方で基準を満たしていない学生をリストアップし、メール等を通して学生に注意喚起を行うなど必要な対応を行っている。これらの情報については担当者間でリアルタイムで共有する体制を整えている。</t>
    <phoneticPr fontId="1"/>
  </si>
  <si>
    <t>両科目とも、LMSにて毎回課題を提出することを義務付けており、その提出状況及び正答率を通して学生の理解度や学修成果を確認している。これらの課題の提出と正答率は、当該の回の出席の条件となっているため、担当者間でリアルタイムで共有している。プログラム終了時には、教育開発センター及び教養教育運営委員会分野別小委員会（情報分野）にて学修成果に関する情報を共有し、次年度の教育プログラムの評価・改善に活用する体制となっている。</t>
    <phoneticPr fontId="1"/>
  </si>
  <si>
    <t>必修科目であるため、履修率の向上に向けた計画を必要としていない。</t>
    <rPh sb="12" eb="13">
      <t>リツ</t>
    </rPh>
    <rPh sb="14" eb="16">
      <t>コウジョウ</t>
    </rPh>
    <rPh sb="17" eb="18">
      <t>ム</t>
    </rPh>
    <rPh sb="20" eb="22">
      <t>ケイカク</t>
    </rPh>
    <phoneticPr fontId="1"/>
  </si>
  <si>
    <t>令和４年度入学生より開始したプログラムであるため、令和8年度以降の卒業生調査等において修了者の進路・活躍状況・企業評価等の把握が可能となる予定である。</t>
    <rPh sb="0" eb="2">
      <t>レイワ</t>
    </rPh>
    <rPh sb="3" eb="5">
      <t>ネンド</t>
    </rPh>
    <rPh sb="5" eb="8">
      <t>ニュウガクセイ</t>
    </rPh>
    <rPh sb="10" eb="12">
      <t>カイシ</t>
    </rPh>
    <rPh sb="25" eb="27">
      <t>レイワ</t>
    </rPh>
    <rPh sb="28" eb="30">
      <t>ネンド</t>
    </rPh>
    <rPh sb="30" eb="32">
      <t>イコウ</t>
    </rPh>
    <rPh sb="33" eb="36">
      <t>ソツギョウセイ</t>
    </rPh>
    <rPh sb="36" eb="38">
      <t>チョウサ</t>
    </rPh>
    <rPh sb="38" eb="39">
      <t>トウ</t>
    </rPh>
    <rPh sb="43" eb="46">
      <t>シュウリョウシャ</t>
    </rPh>
    <rPh sb="47" eb="49">
      <t>シンロ</t>
    </rPh>
    <rPh sb="50" eb="54">
      <t>カツヤクジョウキョウ</t>
    </rPh>
    <rPh sb="55" eb="59">
      <t>キギョウヒョウカ</t>
    </rPh>
    <rPh sb="59" eb="60">
      <t>トウ</t>
    </rPh>
    <rPh sb="61" eb="63">
      <t>ハアク</t>
    </rPh>
    <rPh sb="64" eb="66">
      <t>カノウ</t>
    </rPh>
    <rPh sb="69" eb="71">
      <t>ヨテイ</t>
    </rPh>
    <phoneticPr fontId="1"/>
  </si>
  <si>
    <t>「数理・データサイエンス基礎」では、時事的な内容を取り入れたコンテンツを準備しており、「学ぶ楽しさ」「学ぶことの意義」を十分に理解し、積極的な学びを促すことが可能なものとなっていると言える。実際に、授業評価アンケート（「授業内容に興味や関心を持つことができ、理解できるものでしたか」）でも、9割以上の学生が「そう思う」「どちらかといえばそう思う」と答えている。自由記述回答でも、「新鮮で面白かった」「新たな知識を得ることができた」等の肯定的な意見が多く寄せられた。</t>
    <rPh sb="1" eb="3">
      <t>スウリ</t>
    </rPh>
    <rPh sb="12" eb="14">
      <t>キソ</t>
    </rPh>
    <rPh sb="18" eb="21">
      <t>ジジテキ</t>
    </rPh>
    <rPh sb="22" eb="24">
      <t>ナイヨウ</t>
    </rPh>
    <rPh sb="25" eb="26">
      <t>ト</t>
    </rPh>
    <rPh sb="27" eb="28">
      <t>イ</t>
    </rPh>
    <rPh sb="36" eb="38">
      <t>ジュンビ</t>
    </rPh>
    <rPh sb="44" eb="45">
      <t>マナ</t>
    </rPh>
    <rPh sb="46" eb="47">
      <t>タノ</t>
    </rPh>
    <rPh sb="51" eb="52">
      <t>マナ</t>
    </rPh>
    <rPh sb="56" eb="58">
      <t>イギ</t>
    </rPh>
    <rPh sb="60" eb="62">
      <t>ジュウブン</t>
    </rPh>
    <rPh sb="63" eb="65">
      <t>リカイ</t>
    </rPh>
    <rPh sb="67" eb="70">
      <t>セッキョクテキ</t>
    </rPh>
    <rPh sb="71" eb="72">
      <t>マナ</t>
    </rPh>
    <rPh sb="74" eb="75">
      <t>ウナガ</t>
    </rPh>
    <rPh sb="79" eb="81">
      <t>カノウ</t>
    </rPh>
    <rPh sb="91" eb="92">
      <t>イ</t>
    </rPh>
    <rPh sb="95" eb="97">
      <t>ジッサイ</t>
    </rPh>
    <rPh sb="99" eb="103">
      <t>ジュギョウヒョウカ</t>
    </rPh>
    <rPh sb="146" eb="147">
      <t>ワリ</t>
    </rPh>
    <rPh sb="147" eb="149">
      <t>イジョウ</t>
    </rPh>
    <rPh sb="150" eb="152">
      <t>ガクセイ</t>
    </rPh>
    <rPh sb="156" eb="157">
      <t>オモ</t>
    </rPh>
    <rPh sb="170" eb="171">
      <t>オモ</t>
    </rPh>
    <rPh sb="174" eb="175">
      <t>コタ</t>
    </rPh>
    <rPh sb="180" eb="184">
      <t>ジユウキジュツ</t>
    </rPh>
    <rPh sb="184" eb="186">
      <t>カイトウ</t>
    </rPh>
    <rPh sb="190" eb="192">
      <t>シンセン</t>
    </rPh>
    <rPh sb="193" eb="195">
      <t>オモシロ</t>
    </rPh>
    <rPh sb="200" eb="201">
      <t>アラ</t>
    </rPh>
    <rPh sb="203" eb="205">
      <t>チシキ</t>
    </rPh>
    <rPh sb="206" eb="207">
      <t>エ</t>
    </rPh>
    <rPh sb="215" eb="216">
      <t>ナド</t>
    </rPh>
    <rPh sb="224" eb="225">
      <t>オオ</t>
    </rPh>
    <rPh sb="226" eb="227">
      <t>ヨ</t>
    </rPh>
    <phoneticPr fontId="1"/>
  </si>
  <si>
    <t>授業評価アンケートでは、「あなたはシラバスに記載されたこの授業の学修到達目標に自分自身が十分に到達したと思いますか」についての調査を行っている。「情報リテラシー」「数理・データサイエンス基礎」ともに9割以上の学生が「そう思う」「どちらかといえばそう思う」と回答している。同様に「教材（印刷資料・板書・視聴覚資料・eラーニング・課題など）は、有効かつ適切だったと思いますか」、「授業の手法・進め方は、有効かつ適切だったと思いますか」という問いについても、それぞれ約95％の学生が「そう思う」「どちらかといえばそう思う」と回答している。現時点では十分に内容・水準を維持しつつ分かりやすい授業を提供することに成功していると言える。今後、さらにブラッシュアップを重ね、より分かりやすくかつ高度な内容を伴う授業としていくことができるように検討を進める。</t>
    <rPh sb="0" eb="4">
      <t>ジュギョウヒョウカ</t>
    </rPh>
    <rPh sb="63" eb="65">
      <t>チョウサ</t>
    </rPh>
    <rPh sb="66" eb="67">
      <t>オコナ</t>
    </rPh>
    <rPh sb="73" eb="75">
      <t>ジョウホウ</t>
    </rPh>
    <rPh sb="82" eb="84">
      <t>スウリ</t>
    </rPh>
    <rPh sb="93" eb="95">
      <t>キソ</t>
    </rPh>
    <rPh sb="100" eb="103">
      <t>ワリイジョウ</t>
    </rPh>
    <rPh sb="104" eb="106">
      <t>ガクセイ</t>
    </rPh>
    <rPh sb="110" eb="111">
      <t>オモ</t>
    </rPh>
    <rPh sb="124" eb="125">
      <t>オモ</t>
    </rPh>
    <rPh sb="128" eb="130">
      <t>カイトウ</t>
    </rPh>
    <rPh sb="135" eb="137">
      <t>ドウヨウ</t>
    </rPh>
    <rPh sb="218" eb="219">
      <t>トイ</t>
    </rPh>
    <rPh sb="230" eb="231">
      <t>ヤク</t>
    </rPh>
    <rPh sb="235" eb="237">
      <t>ガクセイ</t>
    </rPh>
    <rPh sb="241" eb="242">
      <t>オモ</t>
    </rPh>
    <rPh sb="255" eb="256">
      <t>オモ</t>
    </rPh>
    <rPh sb="259" eb="261">
      <t>カイトウ</t>
    </rPh>
    <rPh sb="266" eb="269">
      <t>ゲンジテン</t>
    </rPh>
    <rPh sb="271" eb="273">
      <t>ジュウブン</t>
    </rPh>
    <rPh sb="274" eb="276">
      <t>ナイヨウ</t>
    </rPh>
    <rPh sb="277" eb="279">
      <t>スイジュン</t>
    </rPh>
    <rPh sb="280" eb="282">
      <t>イジ</t>
    </rPh>
    <rPh sb="285" eb="286">
      <t>ワ</t>
    </rPh>
    <rPh sb="291" eb="293">
      <t>ジュギョウ</t>
    </rPh>
    <rPh sb="294" eb="296">
      <t>テイキョウ</t>
    </rPh>
    <rPh sb="301" eb="303">
      <t>セイコウ</t>
    </rPh>
    <rPh sb="308" eb="309">
      <t>イ</t>
    </rPh>
    <rPh sb="312" eb="314">
      <t>コンゴ</t>
    </rPh>
    <rPh sb="327" eb="328">
      <t>カサ</t>
    </rPh>
    <rPh sb="332" eb="333">
      <t>ワ</t>
    </rPh>
    <rPh sb="340" eb="342">
      <t>コウド</t>
    </rPh>
    <rPh sb="343" eb="345">
      <t>ナイヨウ</t>
    </rPh>
    <rPh sb="346" eb="347">
      <t>トモナ</t>
    </rPh>
    <rPh sb="348" eb="350">
      <t>ジュギョウ</t>
    </rPh>
    <rPh sb="364" eb="366">
      <t>ケントウ</t>
    </rPh>
    <rPh sb="367" eb="368">
      <t>スス</t>
    </rPh>
    <phoneticPr fontId="1"/>
  </si>
  <si>
    <t>就実大学</t>
    <rPh sb="0" eb="4">
      <t>シュウジツダイガク</t>
    </rPh>
    <phoneticPr fontId="1"/>
  </si>
  <si>
    <t>数理・データサイエンス・AIリテラシープログラム</t>
    <rPh sb="0" eb="2">
      <t>スウリ</t>
    </rPh>
    <phoneticPr fontId="1"/>
  </si>
  <si>
    <t>教育開発センター規程、就実大学・就実短期大学教養教育運営委員会規程、就実大学・就実短期大学教養教育分野別小委員会規程</t>
    <phoneticPr fontId="1"/>
  </si>
  <si>
    <t>見尾光庸</t>
    <rPh sb="0" eb="4">
      <t>ミオミツノブ</t>
    </rPh>
    <phoneticPr fontId="1"/>
  </si>
  <si>
    <t>教養教育担当副学長、教養教育運営委員会委員長</t>
    <rPh sb="0" eb="6">
      <t>キョウヨウキョウイクタントウ</t>
    </rPh>
    <rPh sb="6" eb="9">
      <t>フクガクチョウ</t>
    </rPh>
    <rPh sb="10" eb="19">
      <t>キョウヨウキョウイクウンエイイインカイ</t>
    </rPh>
    <rPh sb="19" eb="22">
      <t>イインチョウ</t>
    </rPh>
    <phoneticPr fontId="1"/>
  </si>
  <si>
    <t>・現在の社会において「数理/データサイエンス/AI」の活用領域が広がっていること、自らの生活と深く結びついているものであることを理解し、その価値を説明できるようになる。
・「数理/データサイエンス/AI」活用の可能性と限界を理解し、説明できるようになる。・データの特徴を読み解き、起きている事象の背景や意味合いを理解できるようになる。
・データの比較対象を正しく設定し、数字を比べることができるようになる。・適切な可視化手法を選択し、他者にデータを説明できるようになる。
・データ・AIを利活用する際に求められるモラルや倫理について理解する・データ駆動型社会における脅威（リスク）について理解する
・個人のデータを守るために留意すべき事項を理解する</t>
    <phoneticPr fontId="1"/>
  </si>
  <si>
    <t>本プログラムは2022年度より開始されているが、2022年度分の教育プログラムの点検・評価の際（2023年度実施）に、本学の「自己点検・評価・改善に関する外部評価委員会」にて、専門教育プログラムの点検・評価とあわせて本プログラムの点検・評価が行われることになっている。本学の外部評価委員会には、産業界から選出された委員が２名いるため、その段階で、産業界からの視点を含めた教育プログラム内容・手法等への意見が集約することができる。外部評価を含む自己点検・評価の結果は次年度以降のプログラムの改善に繋げられる仕組みが作られているため、今後、産業界からの視点を含めた教育プログラム内容・手法等への意見を反映した改善が随時行われていく予定である。</t>
    <rPh sb="0" eb="1">
      <t>ホン</t>
    </rPh>
    <rPh sb="11" eb="13">
      <t>ネンド</t>
    </rPh>
    <rPh sb="15" eb="17">
      <t>カイシ</t>
    </rPh>
    <rPh sb="28" eb="30">
      <t>ネンド</t>
    </rPh>
    <rPh sb="30" eb="31">
      <t>ブン</t>
    </rPh>
    <rPh sb="32" eb="34">
      <t>キョウイク</t>
    </rPh>
    <rPh sb="40" eb="42">
      <t>テンケン</t>
    </rPh>
    <rPh sb="43" eb="45">
      <t>ヒョウカ</t>
    </rPh>
    <rPh sb="46" eb="47">
      <t>サイ</t>
    </rPh>
    <rPh sb="52" eb="54">
      <t>ネンド</t>
    </rPh>
    <rPh sb="54" eb="56">
      <t>ジッシ</t>
    </rPh>
    <rPh sb="59" eb="61">
      <t>ホンガク</t>
    </rPh>
    <rPh sb="63" eb="67">
      <t>ジコテンケン</t>
    </rPh>
    <rPh sb="68" eb="70">
      <t>ヒョウカ</t>
    </rPh>
    <rPh sb="71" eb="73">
      <t>カイゼン</t>
    </rPh>
    <rPh sb="74" eb="75">
      <t>カン</t>
    </rPh>
    <rPh sb="77" eb="84">
      <t>ガイブヒョウカイインカイ</t>
    </rPh>
    <rPh sb="88" eb="92">
      <t>センモンキョウイク</t>
    </rPh>
    <rPh sb="98" eb="100">
      <t>テンケン</t>
    </rPh>
    <rPh sb="101" eb="103">
      <t>ヒョウカ</t>
    </rPh>
    <rPh sb="108" eb="109">
      <t>ホン</t>
    </rPh>
    <rPh sb="115" eb="117">
      <t>テンケン</t>
    </rPh>
    <rPh sb="118" eb="120">
      <t>ヒョウカ</t>
    </rPh>
    <rPh sb="121" eb="122">
      <t>オコナ</t>
    </rPh>
    <rPh sb="134" eb="136">
      <t>ホンガク</t>
    </rPh>
    <rPh sb="137" eb="144">
      <t>ガイブヒョウカイインカイ</t>
    </rPh>
    <rPh sb="147" eb="150">
      <t>サンギョウカイ</t>
    </rPh>
    <rPh sb="152" eb="154">
      <t>センシュツ</t>
    </rPh>
    <rPh sb="157" eb="159">
      <t>イイン</t>
    </rPh>
    <rPh sb="161" eb="162">
      <t>メイ</t>
    </rPh>
    <rPh sb="169" eb="171">
      <t>ダンカイ</t>
    </rPh>
    <rPh sb="173" eb="176">
      <t>サンギョウカイ</t>
    </rPh>
    <rPh sb="179" eb="181">
      <t>シテン</t>
    </rPh>
    <rPh sb="182" eb="183">
      <t>フク</t>
    </rPh>
    <rPh sb="185" eb="187">
      <t>キョウイク</t>
    </rPh>
    <rPh sb="192" eb="194">
      <t>ナイヨウ</t>
    </rPh>
    <rPh sb="195" eb="197">
      <t>シュホウ</t>
    </rPh>
    <rPh sb="197" eb="198">
      <t>トウ</t>
    </rPh>
    <rPh sb="200" eb="202">
      <t>イケン</t>
    </rPh>
    <rPh sb="203" eb="205">
      <t>シュウヤク</t>
    </rPh>
    <rPh sb="214" eb="218">
      <t>ガイブヒョウカ</t>
    </rPh>
    <rPh sb="219" eb="220">
      <t>フク</t>
    </rPh>
    <rPh sb="221" eb="225">
      <t>ジコテンケン</t>
    </rPh>
    <rPh sb="226" eb="228">
      <t>ヒョウカ</t>
    </rPh>
    <rPh sb="229" eb="231">
      <t>ケッカ</t>
    </rPh>
    <rPh sb="232" eb="235">
      <t>ジネンド</t>
    </rPh>
    <rPh sb="235" eb="237">
      <t>イコウ</t>
    </rPh>
    <rPh sb="244" eb="246">
      <t>カイゼン</t>
    </rPh>
    <rPh sb="247" eb="248">
      <t>ツナ</t>
    </rPh>
    <rPh sb="252" eb="254">
      <t>シク</t>
    </rPh>
    <rPh sb="256" eb="257">
      <t>ツク</t>
    </rPh>
    <rPh sb="265" eb="267">
      <t>コンゴ</t>
    </rPh>
    <rPh sb="268" eb="271">
      <t>サンギョウカイ</t>
    </rPh>
    <rPh sb="274" eb="276">
      <t>シテン</t>
    </rPh>
    <rPh sb="277" eb="278">
      <t>フク</t>
    </rPh>
    <rPh sb="280" eb="282">
      <t>キョウイク</t>
    </rPh>
    <rPh sb="287" eb="289">
      <t>ナイヨウ</t>
    </rPh>
    <rPh sb="290" eb="293">
      <t>シュホウトウ</t>
    </rPh>
    <rPh sb="295" eb="297">
      <t>イケン</t>
    </rPh>
    <rPh sb="298" eb="300">
      <t>ハンエイ</t>
    </rPh>
    <rPh sb="302" eb="304">
      <t>カイゼン</t>
    </rPh>
    <rPh sb="305" eb="307">
      <t>ズイジ</t>
    </rPh>
    <rPh sb="307" eb="308">
      <t>オコナ</t>
    </rPh>
    <rPh sb="313" eb="315">
      <t>ヨテイ</t>
    </rPh>
    <phoneticPr fontId="1"/>
  </si>
  <si>
    <t>データ・AIを活用することによって、どのような価値が生まれているかを知る（「数理・データサイエンス基礎」第4回）
・データサイエンスのサイクル（課題抽出と定式化、データの取得・管理・加工、探索的データ解析、データ解析と推論、結果の共有・伝達、課題解決に向けた提案）（「数理・データサイエンス基礎」3回目・4回目）
・流通、製造、金融、サービス、インフラ、公共、ヘルスケア等におけるデータ・AI利活用事例紹介「数理・データサイエンス基礎」（3回目・4回目）</t>
    <phoneticPr fontId="1"/>
  </si>
  <si>
    <t>データを守る上で知っておくべきこと.
・情報セキュリティ：機密性、完全性、可用性（「情報リテラシー」2回目・3回目・4回目）
・匿名加工情報、暗号化、パスワード、悪意ある情報搾取（「情報リテラシー」2回目・3回目・4回目）
・情報漏洩等によるセキュリティ事故の事例紹介（「情報リテラシー」2回目・3回目・4回目）</t>
    <rPh sb="55" eb="57">
      <t>カイメ</t>
    </rPh>
    <rPh sb="59" eb="61">
      <t>カイメ</t>
    </rPh>
    <phoneticPr fontId="1"/>
  </si>
  <si>
    <t>データ・AI利活用における最新動向（ビジネスモデル、テクノロジー）を知る
・AI等を活用した新しいビジネスモデル（犯罪予測、農作業の意思決定支援、ダイナミックプライシング、個人信用評価）（「数理・データサイエンス基礎」3回目・4回目）
・AI最新技術の活用例（敵対的生成ネットワーク、強化学習、転移学習）（「数理・データサイエンス基礎」4回目）</t>
    <phoneticPr fontId="1"/>
  </si>
  <si>
    <t xml:space="preserve">データ・AIによって、社会が大きく変化しつつあることを理解し、数理・データサイエンス・AIを学ぶことの意義を理解する
・ビッグデータ、IoT、AI、ロボット（「数理・データサイエンス基礎」1回目・3回目）
・データ量の増加、計算機の処理性能の向上、AIの非連続的進化（「数理・データサイエンス基礎」1回目・2回目、「情報リテラシー」2回目）
・第4次産業革命、Society 5.0、データ駆動型社会（「数理・データサイエンス基礎」1回目・2回目）
・複数技術を組み合わせたAIサービス（「数理・データサイエンス基礎」1回目・3回目）
・データを起点としたものの見方、人間の知的活動を起点としたものの見方（「数理・データサイエンス基礎」1回目・2回目）
</t>
    <rPh sb="11" eb="13">
      <t>シャカイ</t>
    </rPh>
    <rPh sb="14" eb="15">
      <t>オオ</t>
    </rPh>
    <rPh sb="17" eb="19">
      <t>ヘンカ</t>
    </rPh>
    <rPh sb="27" eb="29">
      <t>リカイ</t>
    </rPh>
    <rPh sb="95" eb="96">
      <t>カイ</t>
    </rPh>
    <rPh sb="96" eb="97">
      <t>メ</t>
    </rPh>
    <rPh sb="99" eb="101">
      <t>カイメ</t>
    </rPh>
    <rPh sb="150" eb="152">
      <t>カイメ</t>
    </rPh>
    <rPh sb="154" eb="155">
      <t>カイ</t>
    </rPh>
    <rPh sb="155" eb="156">
      <t>メ</t>
    </rPh>
    <rPh sb="158" eb="160">
      <t>ジョウホウ</t>
    </rPh>
    <rPh sb="167" eb="169">
      <t>カイメ</t>
    </rPh>
    <rPh sb="217" eb="218">
      <t>カイ</t>
    </rPh>
    <rPh sb="218" eb="219">
      <t>メ</t>
    </rPh>
    <rPh sb="221" eb="223">
      <t>カイメ</t>
    </rPh>
    <rPh sb="260" eb="262">
      <t>カイメ</t>
    </rPh>
    <rPh sb="264" eb="266">
      <t>カイメ</t>
    </rPh>
    <rPh sb="319" eb="320">
      <t>カイ</t>
    </rPh>
    <rPh sb="320" eb="321">
      <t>メ</t>
    </rPh>
    <rPh sb="323" eb="324">
      <t>カイ</t>
    </rPh>
    <rPh sb="324" eb="325">
      <t>メ</t>
    </rPh>
    <phoneticPr fontId="1"/>
  </si>
  <si>
    <t>さまざまな領域でデータ・AIが活用されていることを知る
・データ・AI活用領域の広がり(生産、消費、文化活動など)（「数理・データサイエンス基礎」1回目・3回目）
・研究開発、調達、製造、物流、販売、マーケティング、サービスなど（「数理・データサイエンス基礎」1回目・3回目・4回目）
・仮説検証、知識発見、原因究明、計画策定、判断支援、活動代替、新規生成など（「数理・データサイエンス基礎」1回目・3回目）</t>
    <rPh sb="139" eb="141">
      <t>カイメ</t>
    </rPh>
    <phoneticPr fontId="1"/>
  </si>
  <si>
    <t>データ・AIを活用するために使われている技術の概要を知る
・データ解析：予測、グルーピング、パターン発見、最適化、シミュレーション・データ同化など
・データ可視化：複合グラフ、2軸グラフ、多次元の可視化、関係性の可視化、地図上の可視化、挙動・軌跡の可視化、リアルタイム可視化など（「数理・データサイエンス基礎」3回目・4回目）
・非構造化データ処理：言語処理、画像/動画処理、音声/音楽処理など（「数理・データサイエンス基礎」3回目・4回目）
・特化型AIと汎用AI、今のAIで出来ることと出来ないこと、AIとビッグデータ（「数理・データサイエンス基礎」3回目）
・認識技術、ルールベース、自動化技術（「数理・データサイエンス基礎」3回目・4回目）</t>
    <rPh sb="278" eb="280">
      <t>カイメ</t>
    </rPh>
    <rPh sb="321" eb="323">
      <t>カイメ</t>
    </rPh>
    <phoneticPr fontId="1"/>
  </si>
  <si>
    <t>データを適切に説明する力を養う
・データ表現（棒グラフ、折線グラフ、散布図、ヒートマップ）（「数理・データサイエンス基礎」7回目）
・データの図表表現（チャート化）（「数理・データサイエンス基礎」7回目）
・データの比較（条件をそろえた比較、処理の前後での比較、A/Bテスト)（「数理・データサイエンス基礎」7回目）
・不適切なグラフ表現（チャートジャンク、不必要な視覚的要素）（「数理・データサイエンス基礎」6回目・7回目）
・優れた可視化事例の紹介（可視化することによって新たな気づきがあった事例など）（「数理・データサイエンス基礎」7回目）</t>
    <rPh sb="206" eb="208">
      <t>カイメ</t>
    </rPh>
    <phoneticPr fontId="1"/>
  </si>
  <si>
    <t>データを扱うための力を養う
・データの集計（和、平均））（「数理・データサイエンス基礎」5回目・8回目）
・データの並び替え、ランキング（「数理・データサイエンス基礎」5回目・8回目）
・データ解析ツール（スプレッドシート）（「数理・データサイエンス基礎」8回目）
・表形式のデータ（csv）（「数理・データサイエンス基礎」2回目・8回目）</t>
    <rPh sb="49" eb="51">
      <t>カイメ</t>
    </rPh>
    <phoneticPr fontId="1"/>
  </si>
  <si>
    <t>学習指導や質問等を受け付ける仕組みは十分に整えられている。LMSのメッセージ機能あるいはメール等を用いて学生はいつでも質問を行うことが可能である。学生に対しては、質問は可能な限り24時間以内に対応すると伝えており、実際に担当教員がほとんどすべての質問に対して24時間以内に対応を行った。また、プログラムの運営を担う教育開発センターは学修支援窓口を開設しており、学生は月曜日から金曜日までの9時～17時の間に学修相談や質問を行うことができる。特に水曜日の15時～17時の時間はプログラムの担当教員が窓口に常駐し、直接質問や相談に対応する体制が整えられている。</t>
    <phoneticPr fontId="1"/>
  </si>
  <si>
    <t>数理・データサイエンス基礎</t>
  </si>
  <si>
    <t>就実大学・就実短期大学では、全科目について授業評価アンケートを実施している。その中では理解度をはじめとする学修成果に関する情報を収集する質問項目がいくつか含まれている。具体的には、「この授業を受講したことで、授業内容に関する知識や技術などが向上したと思いますか」という問い（Q9）や、「授業内容は、最終的にシラバスに記載された学修到達目標に達するものになっていたと感じましたか」（Q10 ）、「あなたはシラバスに記載されたこの授業の学修到達目標に自分自身が十分に到達したと思いますか」（Q11）等である。「そう思う」「どちらかといえばそう思う」の肯定的な評価を行った学生は、Q9が94％（情報リテラシー）と95％（数理・データサイエンス基礎）、Q10が96％（情報リテラシー）と97％（数理・データサイエンス基礎）、Q11については95％（情報リテラシー）と93％（数理・データサイエンス基礎）であり、いずれの質問項目も非常に高い数値となっている。</t>
    <rPh sb="5" eb="11">
      <t>シュウジツタンキダイガク</t>
    </rPh>
    <phoneticPr fontId="1"/>
  </si>
  <si>
    <t>必修科目であるため、履修の推奨等についての特別な調査は必要としていない（授業評価アンケートでは、当該授業の総合評価について、両科目ともに96％の学生がポジティブに（良い、どちらかといえば良い）回答している）。ただし、学生のモチベーションを高めるために、今後もデータサイエンス教育の必要性・修得の必要性を積極的にアナウンスしていく予定である。</t>
    <rPh sb="21" eb="23">
      <t>トクベツ</t>
    </rPh>
    <phoneticPr fontId="1"/>
  </si>
  <si>
    <t>令和４</t>
    <rPh sb="0" eb="2">
      <t>レイワ</t>
    </rPh>
    <phoneticPr fontId="1"/>
  </si>
  <si>
    <t>人文科学部(表現文化・実践英語・総合歴史）</t>
    <rPh sb="0" eb="5">
      <t>ジンブンカガクブ</t>
    </rPh>
    <rPh sb="6" eb="10">
      <t>ヒョウゲンブンカ</t>
    </rPh>
    <rPh sb="11" eb="15">
      <t>ジッセンエイゴ</t>
    </rPh>
    <rPh sb="16" eb="20">
      <t>ソウゴウレキシ</t>
    </rPh>
    <phoneticPr fontId="1"/>
  </si>
  <si>
    <t>教育学部（初等教育・教育心理）</t>
    <rPh sb="0" eb="4">
      <t>キョウイクガクブ</t>
    </rPh>
    <rPh sb="5" eb="9">
      <t>ショトウキョウイク</t>
    </rPh>
    <rPh sb="10" eb="14">
      <t>キョウイクシンリ</t>
    </rPh>
    <phoneticPr fontId="1"/>
  </si>
  <si>
    <t>経営学部(経営)</t>
    <rPh sb="0" eb="4">
      <t>ケイエイガクブ</t>
    </rPh>
    <rPh sb="5" eb="7">
      <t>ケイエイ</t>
    </rPh>
    <phoneticPr fontId="1"/>
  </si>
  <si>
    <t>薬学部(薬）</t>
    <rPh sb="0" eb="3">
      <t>ヤクガクブ</t>
    </rPh>
    <rPh sb="4" eb="5">
      <t>ヤク</t>
    </rPh>
    <phoneticPr fontId="1"/>
  </si>
  <si>
    <r>
      <t xml:space="preserve">どんなデータが集められ、どう活用されているかを知る
・調査データ、実験データ、人の行動ログデータ、機械の稼働ログデータなど（「数理・データサイエンス基礎」2回目）
・1次データ、2次データ、データのメタ化（「数理・データサイエンス基礎」2回目）
・構造化データ、非構造化データ（文章、画像/動画、音声/音楽など）（「数理・データサイエンス基礎」2回目）
</t>
    </r>
    <r>
      <rPr>
        <sz val="10"/>
        <color theme="1"/>
        <rFont val="ＭＳ Ｐゴシック"/>
        <family val="3"/>
        <charset val="128"/>
        <scheme val="minor"/>
      </rPr>
      <t xml:space="preserve">・データのオープン化（オープンデータ）（「数理・データサイエンス基礎」2回目）
</t>
    </r>
    <rPh sb="78" eb="80">
      <t>カイメ</t>
    </rPh>
    <rPh sb="119" eb="121">
      <t>カイメ</t>
    </rPh>
    <rPh sb="173" eb="175">
      <t>カイメ</t>
    </rPh>
    <rPh sb="213" eb="215">
      <t>カイメ</t>
    </rPh>
    <phoneticPr fontId="1"/>
  </si>
  <si>
    <r>
      <t xml:space="preserve">データ・AIを利活用する上で知っておくべきこと
・ELSI（Ethical, Legal and Social Issues）（「情報リテラシー」2回目）
・個人情報保護、EU一般データ保護規則(GDPR)、忘れられる権利、オプトアウト（「情報リテラシー」3回目）
・データ倫理：データのねつ造、改ざん、盗用、プライバシー保護（「情報リテラシー」2回目）
</t>
    </r>
    <r>
      <rPr>
        <sz val="10"/>
        <color theme="1"/>
        <rFont val="ＭＳ Ｐゴシック"/>
        <family val="3"/>
        <charset val="128"/>
        <scheme val="minor"/>
      </rPr>
      <t>・データ・AI活用における負の事例紹介（「情報リテラシー」2回目）</t>
    </r>
    <phoneticPr fontId="1"/>
  </si>
  <si>
    <r>
      <t xml:space="preserve">データを適切に読み解く力を養う
・データの種類（量的変数、質的変数）（「数理・データサイエンス基礎」5回目）
・データの分布(ヒストグラム)と代表値（平均値、中央値、最頻値）（「数理・データサイエンス基礎」5回目）
・代表値の性質の違い（実社会では平均値＝最頻値でないことが多い）（「数理・データサイエンス基礎」5回目）
・データのばらつき（分散、標準偏差、偏差値）（「数理・データサイエンス基礎」5回目）
・観測データに含まれる誤差の扱い（「数理・データサイエンス基礎」5回目）
</t>
    </r>
    <r>
      <rPr>
        <sz val="10"/>
        <color theme="1"/>
        <rFont val="ＭＳ Ｐゴシック"/>
        <family val="3"/>
        <charset val="128"/>
        <scheme val="minor"/>
      </rPr>
      <t xml:space="preserve">・相関と因果（相関係数、擬似相関、交絡）（「数理・データサイエンス基礎」6回目）
・母集団と標本抽出（国勢調査、アンケート調査、全数調査、単純無作為抽出、層別抽出、多段抽出）（「数理・データサイエンス基礎」6回目）
</t>
    </r>
    <r>
      <rPr>
        <sz val="10"/>
        <color theme="1"/>
        <rFont val="ＭＳ Ｐゴシック"/>
        <family val="3"/>
        <charset val="128"/>
        <scheme val="minor"/>
      </rPr>
      <t>・統計情報の正しい理解（誇張表現に惑わされない）（「数理・データサイエンス基礎」6回目）</t>
    </r>
    <phoneticPr fontId="1"/>
  </si>
  <si>
    <t>教養教育運営委員会、教養教育分野別小委員会（情報分野）、教育開発センター</t>
    <rPh sb="0" eb="9">
      <t>キョウヨウキョウイクウンエイイインカイ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</si>
</sst>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9" fillId="0" borderId="1" xfId="0"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3" fillId="0" borderId="2" xfId="0" applyFont="1" applyBorder="1" applyAlignment="1">
      <alignment vertical="top" wrapText="1" shrinkToFit="1"/>
    </xf>
    <xf numFmtId="0" fontId="3" fillId="0" borderId="3" xfId="0" applyFont="1" applyBorder="1" applyAlignment="1">
      <alignment vertical="top" wrapText="1" shrinkToFit="1"/>
    </xf>
    <xf numFmtId="0" fontId="3" fillId="0" borderId="4" xfId="0" applyFont="1" applyBorder="1" applyAlignment="1">
      <alignment vertical="top"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2" xfId="0" applyFont="1" applyBorder="1" applyAlignment="1">
      <alignment horizontal="left" vertical="top" wrapText="1" shrinkToFit="1"/>
    </xf>
    <xf numFmtId="0" fontId="7" fillId="0" borderId="22" xfId="0" applyFont="1" applyBorder="1" applyAlignment="1">
      <alignment horizontal="left" vertical="top" shrinkToFit="1"/>
    </xf>
    <xf numFmtId="0" fontId="7" fillId="0" borderId="21" xfId="0" applyFont="1" applyBorder="1" applyAlignment="1">
      <alignment horizontal="left" vertical="top" shrinkToFit="1"/>
    </xf>
    <xf numFmtId="0" fontId="7" fillId="0" borderId="36" xfId="0" applyFont="1" applyBorder="1" applyAlignment="1">
      <alignment horizontal="left" vertical="top" wrapText="1" shrinkToFit="1"/>
    </xf>
    <xf numFmtId="0" fontId="7" fillId="0" borderId="36" xfId="0" applyFont="1" applyBorder="1" applyAlignment="1">
      <alignment horizontal="left" vertical="top" shrinkToFit="1"/>
    </xf>
    <xf numFmtId="0" fontId="7" fillId="0" borderId="35" xfId="0" applyFont="1" applyBorder="1" applyAlignment="1">
      <alignment horizontal="left" vertical="top" shrinkToFit="1"/>
    </xf>
    <xf numFmtId="0" fontId="7" fillId="0" borderId="6" xfId="0" applyFont="1" applyBorder="1" applyAlignment="1">
      <alignment horizontal="left" vertical="top" wrapText="1" shrinkToFit="1"/>
    </xf>
    <xf numFmtId="0" fontId="7" fillId="0" borderId="6" xfId="0" applyFont="1" applyBorder="1" applyAlignment="1">
      <alignment horizontal="left" vertical="top" shrinkToFit="1"/>
    </xf>
    <xf numFmtId="0" fontId="7" fillId="0" borderId="12" xfId="0" applyFont="1" applyBorder="1" applyAlignment="1">
      <alignment horizontal="left" vertical="top" shrinkToFit="1"/>
    </xf>
    <xf numFmtId="0" fontId="7" fillId="0" borderId="38" xfId="0" applyFont="1" applyBorder="1" applyAlignment="1">
      <alignment horizontal="left" vertical="top" wrapText="1" shrinkToFit="1"/>
    </xf>
    <xf numFmtId="0" fontId="7" fillId="0" borderId="38" xfId="0" applyFont="1" applyBorder="1" applyAlignment="1">
      <alignment horizontal="left" vertical="top" shrinkToFit="1"/>
    </xf>
    <xf numFmtId="0" fontId="7" fillId="0" borderId="39" xfId="0" applyFont="1" applyBorder="1" applyAlignment="1">
      <alignment horizontal="left" vertical="top" shrinkToFit="1"/>
    </xf>
    <xf numFmtId="0" fontId="5" fillId="0" borderId="36" xfId="0" applyFont="1" applyBorder="1" applyAlignment="1">
      <alignment horizontal="left" vertical="top" shrinkToFit="1"/>
    </xf>
    <xf numFmtId="0" fontId="5" fillId="0" borderId="35" xfId="0" applyFont="1" applyBorder="1" applyAlignment="1">
      <alignment horizontal="left" vertical="top" shrinkToFit="1"/>
    </xf>
    <xf numFmtId="0" fontId="7" fillId="0" borderId="19" xfId="0" applyFont="1" applyBorder="1" applyAlignment="1">
      <alignment vertical="top" wrapText="1" shrinkToFit="1"/>
    </xf>
    <xf numFmtId="0" fontId="7" fillId="0" borderId="20" xfId="0" applyFont="1" applyBorder="1" applyAlignment="1">
      <alignment vertical="top" shrinkToFit="1"/>
    </xf>
    <xf numFmtId="0" fontId="7" fillId="0" borderId="18" xfId="0" applyFont="1" applyBorder="1" applyAlignment="1">
      <alignment vertical="top"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7" fillId="0" borderId="36" xfId="0" applyFont="1" applyBorder="1" applyAlignment="1">
      <alignment vertical="top" wrapText="1" shrinkToFit="1"/>
    </xf>
    <xf numFmtId="0" fontId="7" fillId="0" borderId="36" xfId="0" applyFont="1" applyBorder="1" applyAlignment="1">
      <alignment vertical="top" shrinkToFit="1"/>
    </xf>
    <xf numFmtId="0" fontId="7" fillId="0" borderId="35" xfId="0" applyFont="1" applyBorder="1" applyAlignment="1">
      <alignment vertical="top" shrinkToFit="1"/>
    </xf>
    <xf numFmtId="0" fontId="7" fillId="0" borderId="6" xfId="0" applyFont="1" applyBorder="1" applyAlignment="1">
      <alignment vertical="top" wrapText="1"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7" fillId="0" borderId="8" xfId="0" applyFont="1" applyBorder="1" applyAlignment="1">
      <alignment horizontal="left" vertical="top" wrapText="1" shrinkToFit="1"/>
    </xf>
    <xf numFmtId="0" fontId="7" fillId="0" borderId="8" xfId="0" applyFont="1" applyBorder="1" applyAlignment="1">
      <alignment horizontal="left" vertical="top" shrinkToFit="1"/>
    </xf>
    <xf numFmtId="0" fontId="7" fillId="0" borderId="9" xfId="0" applyFont="1" applyBorder="1" applyAlignment="1">
      <alignment horizontal="left" vertical="top"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8" xfId="0" applyFont="1" applyBorder="1" applyAlignment="1">
      <alignment horizontal="left" vertical="top" wrapText="1"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2" xfId="0" applyNumberFormat="1" applyFont="1" applyBorder="1" applyAlignment="1">
      <alignment horizontal="center" vertical="center" shrinkToFit="1"/>
    </xf>
    <xf numFmtId="9" fontId="2" fillId="0" borderId="4"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3" fillId="0" borderId="2" xfId="0" applyFont="1" applyBorder="1" applyAlignment="1">
      <alignment vertical="center" wrapText="1"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D97" sqref="D97:S9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2" t="s">
        <v>12</v>
      </c>
      <c r="S1" s="102"/>
      <c r="T1" s="2" t="s">
        <v>110</v>
      </c>
    </row>
    <row r="2" spans="1:22" ht="18.75" customHeight="1" x14ac:dyDescent="0.15">
      <c r="B2" s="34" t="s">
        <v>109</v>
      </c>
      <c r="C2" s="95" t="s">
        <v>145</v>
      </c>
      <c r="D2" s="96"/>
      <c r="E2" s="96"/>
      <c r="F2" s="96"/>
      <c r="G2" s="96"/>
      <c r="H2" s="96"/>
      <c r="I2" s="97"/>
      <c r="J2" s="35"/>
      <c r="K2" s="6"/>
      <c r="L2" s="6"/>
      <c r="M2" s="6"/>
      <c r="N2" s="6"/>
      <c r="O2" s="6"/>
      <c r="P2" s="6"/>
      <c r="Q2" s="6"/>
      <c r="R2" s="6"/>
      <c r="S2" s="6"/>
    </row>
    <row r="3" spans="1:22" ht="18.75" customHeight="1" x14ac:dyDescent="0.15">
      <c r="B3" s="34" t="s">
        <v>103</v>
      </c>
      <c r="C3" s="106" t="s">
        <v>146</v>
      </c>
      <c r="D3" s="107"/>
      <c r="E3" s="107"/>
      <c r="F3" s="107"/>
      <c r="G3" s="107"/>
      <c r="H3" s="107"/>
      <c r="I3" s="108"/>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09" t="s">
        <v>39</v>
      </c>
      <c r="B5" s="109"/>
      <c r="C5" s="109"/>
      <c r="D5" s="109"/>
      <c r="E5" s="109"/>
      <c r="F5" s="109"/>
      <c r="G5" s="109"/>
      <c r="H5" s="109"/>
      <c r="I5" s="109"/>
      <c r="J5" s="109"/>
      <c r="K5" s="109"/>
      <c r="L5" s="109"/>
      <c r="M5" s="109"/>
      <c r="N5" s="109"/>
      <c r="O5" s="109"/>
      <c r="P5" s="109"/>
      <c r="Q5" s="109"/>
      <c r="R5" s="109"/>
      <c r="S5" s="10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06" t="s">
        <v>127</v>
      </c>
      <c r="L7" s="107"/>
      <c r="M7" s="107"/>
      <c r="N7" s="107"/>
      <c r="O7" s="107"/>
      <c r="P7" s="107"/>
      <c r="Q7" s="107"/>
      <c r="R7" s="107"/>
      <c r="S7" s="108"/>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3"/>
      <c r="C9" s="84"/>
      <c r="D9" s="84"/>
      <c r="E9" s="84"/>
      <c r="F9" s="84"/>
      <c r="G9" s="84"/>
      <c r="H9" s="84"/>
      <c r="I9" s="84"/>
      <c r="J9" s="84"/>
      <c r="K9" s="84"/>
      <c r="L9" s="84"/>
      <c r="M9" s="84"/>
      <c r="N9" s="84"/>
      <c r="O9" s="84"/>
      <c r="P9" s="84"/>
      <c r="Q9" s="84"/>
      <c r="R9" s="84"/>
      <c r="S9" s="85"/>
    </row>
    <row r="10" spans="1:22" ht="18" customHeight="1" x14ac:dyDescent="0.15">
      <c r="B10" s="86"/>
      <c r="C10" s="87"/>
      <c r="D10" s="87"/>
      <c r="E10" s="87"/>
      <c r="F10" s="87"/>
      <c r="G10" s="87"/>
      <c r="H10" s="87"/>
      <c r="I10" s="87"/>
      <c r="J10" s="87"/>
      <c r="K10" s="87"/>
      <c r="L10" s="87"/>
      <c r="M10" s="87"/>
      <c r="N10" s="87"/>
      <c r="O10" s="87"/>
      <c r="P10" s="87"/>
      <c r="Q10" s="87"/>
      <c r="R10" s="87"/>
      <c r="S10" s="8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10" t="s">
        <v>128</v>
      </c>
      <c r="C13" s="111"/>
      <c r="D13" s="111"/>
      <c r="E13" s="111"/>
      <c r="F13" s="111"/>
      <c r="G13" s="111"/>
      <c r="H13" s="111"/>
      <c r="I13" s="111"/>
      <c r="J13" s="111"/>
      <c r="K13" s="111"/>
      <c r="L13" s="111"/>
      <c r="M13" s="111"/>
      <c r="N13" s="111"/>
      <c r="O13" s="111"/>
      <c r="P13" s="111"/>
      <c r="Q13" s="111"/>
      <c r="R13" s="111"/>
      <c r="S13" s="112"/>
      <c r="V13" s="1" t="s">
        <v>104</v>
      </c>
    </row>
    <row r="14" spans="1:22" ht="18" customHeight="1" x14ac:dyDescent="0.15">
      <c r="B14" s="113"/>
      <c r="C14" s="114"/>
      <c r="D14" s="114"/>
      <c r="E14" s="114"/>
      <c r="F14" s="114"/>
      <c r="G14" s="114"/>
      <c r="H14" s="114"/>
      <c r="I14" s="114"/>
      <c r="J14" s="114"/>
      <c r="K14" s="114"/>
      <c r="L14" s="114"/>
      <c r="M14" s="114"/>
      <c r="N14" s="114"/>
      <c r="O14" s="114"/>
      <c r="P14" s="114"/>
      <c r="Q14" s="114"/>
      <c r="R14" s="114"/>
      <c r="S14" s="115"/>
      <c r="V14" s="1" t="s">
        <v>111</v>
      </c>
    </row>
    <row r="15" spans="1:22" ht="18" customHeight="1" x14ac:dyDescent="0.15">
      <c r="B15" s="113"/>
      <c r="C15" s="114"/>
      <c r="D15" s="114"/>
      <c r="E15" s="114"/>
      <c r="F15" s="114"/>
      <c r="G15" s="114"/>
      <c r="H15" s="114"/>
      <c r="I15" s="114"/>
      <c r="J15" s="114"/>
      <c r="K15" s="114"/>
      <c r="L15" s="114"/>
      <c r="M15" s="114"/>
      <c r="N15" s="114"/>
      <c r="O15" s="114"/>
      <c r="P15" s="114"/>
      <c r="Q15" s="114"/>
      <c r="R15" s="114"/>
      <c r="S15" s="115"/>
      <c r="V15" s="1" t="s">
        <v>124</v>
      </c>
    </row>
    <row r="16" spans="1:22" ht="18" customHeight="1" x14ac:dyDescent="0.15">
      <c r="B16" s="113"/>
      <c r="C16" s="114"/>
      <c r="D16" s="114"/>
      <c r="E16" s="114"/>
      <c r="F16" s="114"/>
      <c r="G16" s="114"/>
      <c r="H16" s="114"/>
      <c r="I16" s="114"/>
      <c r="J16" s="114"/>
      <c r="K16" s="114"/>
      <c r="L16" s="114"/>
      <c r="M16" s="114"/>
      <c r="N16" s="114"/>
      <c r="O16" s="114"/>
      <c r="P16" s="114"/>
      <c r="Q16" s="114"/>
      <c r="R16" s="114"/>
      <c r="S16" s="115"/>
      <c r="V16" s="1" t="s">
        <v>126</v>
      </c>
    </row>
    <row r="17" spans="1:19" ht="18" customHeight="1" x14ac:dyDescent="0.15">
      <c r="B17" s="113"/>
      <c r="C17" s="114"/>
      <c r="D17" s="114"/>
      <c r="E17" s="114"/>
      <c r="F17" s="114"/>
      <c r="G17" s="114"/>
      <c r="H17" s="114"/>
      <c r="I17" s="114"/>
      <c r="J17" s="114"/>
      <c r="K17" s="114"/>
      <c r="L17" s="114"/>
      <c r="M17" s="114"/>
      <c r="N17" s="114"/>
      <c r="O17" s="114"/>
      <c r="P17" s="114"/>
      <c r="Q17" s="114"/>
      <c r="R17" s="114"/>
      <c r="S17" s="115"/>
    </row>
    <row r="18" spans="1:19" ht="18" customHeight="1" x14ac:dyDescent="0.15">
      <c r="B18" s="116"/>
      <c r="C18" s="117"/>
      <c r="D18" s="117"/>
      <c r="E18" s="117"/>
      <c r="F18" s="117"/>
      <c r="G18" s="117"/>
      <c r="H18" s="117"/>
      <c r="I18" s="117"/>
      <c r="J18" s="117"/>
      <c r="K18" s="117"/>
      <c r="L18" s="117"/>
      <c r="M18" s="117"/>
      <c r="N18" s="117"/>
      <c r="O18" s="117"/>
      <c r="P18" s="117"/>
      <c r="Q18" s="117"/>
      <c r="R18" s="117"/>
      <c r="S18" s="118"/>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5">
        <v>2</v>
      </c>
      <c r="D20" s="97"/>
      <c r="E20" s="40" t="s">
        <v>96</v>
      </c>
      <c r="G20" s="10"/>
      <c r="H20" s="3"/>
      <c r="I20" s="3"/>
      <c r="J20" s="35" t="s">
        <v>122</v>
      </c>
      <c r="K20" s="103" t="s">
        <v>111</v>
      </c>
      <c r="L20" s="104"/>
      <c r="M20" s="104"/>
      <c r="N20" s="104"/>
      <c r="O20" s="104"/>
      <c r="P20" s="104"/>
      <c r="Q20" s="104"/>
      <c r="R20" s="104"/>
      <c r="S20" s="105"/>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8" t="s">
        <v>114</v>
      </c>
      <c r="B22" s="98"/>
      <c r="C22" s="98"/>
      <c r="D22" s="98"/>
      <c r="E22" s="98"/>
      <c r="F22" s="98"/>
      <c r="G22" s="98"/>
      <c r="H22" s="98"/>
      <c r="I22" s="98"/>
      <c r="J22" s="98"/>
      <c r="K22" s="98"/>
      <c r="L22" s="98"/>
      <c r="M22" s="98"/>
      <c r="N22" s="98"/>
      <c r="O22" s="98"/>
      <c r="P22" s="98"/>
      <c r="Q22" s="98"/>
      <c r="R22" s="98"/>
      <c r="S22" s="98"/>
    </row>
    <row r="23" spans="1:19" ht="18" customHeight="1" x14ac:dyDescent="0.15">
      <c r="A23" s="98"/>
      <c r="B23" s="98"/>
      <c r="C23" s="98"/>
      <c r="D23" s="98"/>
      <c r="E23" s="98"/>
      <c r="F23" s="98"/>
      <c r="G23" s="98"/>
      <c r="H23" s="98"/>
      <c r="I23" s="98"/>
      <c r="J23" s="98"/>
      <c r="K23" s="98"/>
      <c r="L23" s="98"/>
      <c r="M23" s="98"/>
      <c r="N23" s="98"/>
      <c r="O23" s="98"/>
      <c r="P23" s="98"/>
      <c r="Q23" s="98"/>
      <c r="R23" s="98"/>
      <c r="S23" s="98"/>
    </row>
    <row r="24" spans="1:19" ht="18" customHeight="1" x14ac:dyDescent="0.15">
      <c r="B24" s="95" t="s">
        <v>54</v>
      </c>
      <c r="C24" s="96"/>
      <c r="D24" s="96"/>
      <c r="E24" s="97"/>
      <c r="F24" s="61" t="s">
        <v>81</v>
      </c>
      <c r="G24" s="60" t="s">
        <v>85</v>
      </c>
      <c r="H24" s="22" t="s">
        <v>57</v>
      </c>
      <c r="I24" s="22" t="s">
        <v>60</v>
      </c>
      <c r="J24" s="95" t="s">
        <v>54</v>
      </c>
      <c r="K24" s="96"/>
      <c r="L24" s="96"/>
      <c r="M24" s="96"/>
      <c r="N24" s="96"/>
      <c r="O24" s="97"/>
      <c r="P24" s="61" t="s">
        <v>81</v>
      </c>
      <c r="Q24" s="60" t="s">
        <v>85</v>
      </c>
      <c r="R24" s="22" t="s">
        <v>57</v>
      </c>
      <c r="S24" s="22" t="s">
        <v>60</v>
      </c>
    </row>
    <row r="25" spans="1:19" ht="18" customHeight="1" x14ac:dyDescent="0.15">
      <c r="B25" s="99" t="s">
        <v>129</v>
      </c>
      <c r="C25" s="100"/>
      <c r="D25" s="100"/>
      <c r="E25" s="101"/>
      <c r="F25" s="23">
        <v>1</v>
      </c>
      <c r="G25" s="23" t="s">
        <v>131</v>
      </c>
      <c r="H25" s="23" t="s">
        <v>131</v>
      </c>
      <c r="I25" s="23"/>
      <c r="J25" s="99"/>
      <c r="K25" s="100"/>
      <c r="L25" s="100"/>
      <c r="M25" s="100"/>
      <c r="N25" s="100"/>
      <c r="O25" s="101"/>
      <c r="P25" s="23"/>
      <c r="Q25" s="23"/>
      <c r="R25" s="23"/>
      <c r="S25" s="23"/>
    </row>
    <row r="26" spans="1:19" ht="18" customHeight="1" x14ac:dyDescent="0.15">
      <c r="B26" s="89" t="s">
        <v>130</v>
      </c>
      <c r="C26" s="90"/>
      <c r="D26" s="90"/>
      <c r="E26" s="91"/>
      <c r="F26" s="24">
        <v>1</v>
      </c>
      <c r="G26" s="24" t="s">
        <v>131</v>
      </c>
      <c r="H26" s="24" t="s">
        <v>131</v>
      </c>
      <c r="I26" s="24" t="s">
        <v>131</v>
      </c>
      <c r="J26" s="89"/>
      <c r="K26" s="90"/>
      <c r="L26" s="90"/>
      <c r="M26" s="90"/>
      <c r="N26" s="90"/>
      <c r="O26" s="91"/>
      <c r="P26" s="24"/>
      <c r="Q26" s="24"/>
      <c r="R26" s="24"/>
      <c r="S26" s="24"/>
    </row>
    <row r="27" spans="1:19" ht="18" customHeight="1" x14ac:dyDescent="0.15">
      <c r="B27" s="89"/>
      <c r="C27" s="90"/>
      <c r="D27" s="90"/>
      <c r="E27" s="91"/>
      <c r="F27" s="24"/>
      <c r="G27" s="24"/>
      <c r="H27" s="24"/>
      <c r="I27" s="24"/>
      <c r="J27" s="89"/>
      <c r="K27" s="90"/>
      <c r="L27" s="90"/>
      <c r="M27" s="90"/>
      <c r="N27" s="90"/>
      <c r="O27" s="91"/>
      <c r="P27" s="24"/>
      <c r="Q27" s="24"/>
      <c r="R27" s="24"/>
      <c r="S27" s="24"/>
    </row>
    <row r="28" spans="1:19" ht="18" customHeight="1" x14ac:dyDescent="0.15">
      <c r="B28" s="89"/>
      <c r="C28" s="90"/>
      <c r="D28" s="90"/>
      <c r="E28" s="91"/>
      <c r="F28" s="24"/>
      <c r="G28" s="24"/>
      <c r="H28" s="24"/>
      <c r="I28" s="24"/>
      <c r="J28" s="89"/>
      <c r="K28" s="90"/>
      <c r="L28" s="90"/>
      <c r="M28" s="90"/>
      <c r="N28" s="90"/>
      <c r="O28" s="91"/>
      <c r="P28" s="24"/>
      <c r="Q28" s="24"/>
      <c r="R28" s="24"/>
      <c r="S28" s="24"/>
    </row>
    <row r="29" spans="1:19" ht="18" customHeight="1" x14ac:dyDescent="0.15">
      <c r="B29" s="89"/>
      <c r="C29" s="90"/>
      <c r="D29" s="90"/>
      <c r="E29" s="91"/>
      <c r="F29" s="24"/>
      <c r="G29" s="24"/>
      <c r="H29" s="24"/>
      <c r="I29" s="24"/>
      <c r="J29" s="89"/>
      <c r="K29" s="90"/>
      <c r="L29" s="90"/>
      <c r="M29" s="90"/>
      <c r="N29" s="90"/>
      <c r="O29" s="91"/>
      <c r="P29" s="24"/>
      <c r="Q29" s="24"/>
      <c r="R29" s="24"/>
      <c r="S29" s="24"/>
    </row>
    <row r="30" spans="1:19" ht="18" customHeight="1" x14ac:dyDescent="0.15">
      <c r="A30" s="3"/>
      <c r="B30" s="89"/>
      <c r="C30" s="90"/>
      <c r="D30" s="90"/>
      <c r="E30" s="91"/>
      <c r="F30" s="24"/>
      <c r="G30" s="24"/>
      <c r="H30" s="24"/>
      <c r="I30" s="24"/>
      <c r="J30" s="89"/>
      <c r="K30" s="90"/>
      <c r="L30" s="90"/>
      <c r="M30" s="90"/>
      <c r="N30" s="90"/>
      <c r="O30" s="91"/>
      <c r="P30" s="24"/>
      <c r="Q30" s="24"/>
      <c r="R30" s="24"/>
      <c r="S30" s="24"/>
    </row>
    <row r="31" spans="1:19" ht="18" customHeight="1" x14ac:dyDescent="0.15">
      <c r="A31" s="3"/>
      <c r="B31" s="92"/>
      <c r="C31" s="93"/>
      <c r="D31" s="93"/>
      <c r="E31" s="94"/>
      <c r="F31" s="25"/>
      <c r="G31" s="25"/>
      <c r="H31" s="26"/>
      <c r="I31" s="26"/>
      <c r="J31" s="92"/>
      <c r="K31" s="93"/>
      <c r="L31" s="93"/>
      <c r="M31" s="93"/>
      <c r="N31" s="93"/>
      <c r="O31" s="94"/>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8" t="s">
        <v>115</v>
      </c>
      <c r="B33" s="98"/>
      <c r="C33" s="98"/>
      <c r="D33" s="98"/>
      <c r="E33" s="98"/>
      <c r="F33" s="98"/>
      <c r="G33" s="98"/>
      <c r="H33" s="98"/>
      <c r="I33" s="98"/>
      <c r="J33" s="98"/>
      <c r="K33" s="98"/>
      <c r="L33" s="98"/>
      <c r="M33" s="98"/>
      <c r="N33" s="98"/>
      <c r="O33" s="98"/>
      <c r="P33" s="98"/>
      <c r="Q33" s="98"/>
      <c r="R33" s="98"/>
      <c r="S33" s="98"/>
    </row>
    <row r="34" spans="1:19" ht="18" customHeight="1" x14ac:dyDescent="0.15">
      <c r="A34" s="98"/>
      <c r="B34" s="98"/>
      <c r="C34" s="98"/>
      <c r="D34" s="98"/>
      <c r="E34" s="98"/>
      <c r="F34" s="98"/>
      <c r="G34" s="98"/>
      <c r="H34" s="98"/>
      <c r="I34" s="98"/>
      <c r="J34" s="98"/>
      <c r="K34" s="98"/>
      <c r="L34" s="98"/>
      <c r="M34" s="98"/>
      <c r="N34" s="98"/>
      <c r="O34" s="98"/>
      <c r="P34" s="98"/>
      <c r="Q34" s="98"/>
      <c r="R34" s="98"/>
      <c r="S34" s="98"/>
    </row>
    <row r="35" spans="1:19" ht="18" customHeight="1" x14ac:dyDescent="0.15">
      <c r="B35" s="95" t="s">
        <v>54</v>
      </c>
      <c r="C35" s="96"/>
      <c r="D35" s="96"/>
      <c r="E35" s="97"/>
      <c r="F35" s="61" t="s">
        <v>81</v>
      </c>
      <c r="G35" s="60" t="s">
        <v>85</v>
      </c>
      <c r="H35" s="22" t="s">
        <v>72</v>
      </c>
      <c r="I35" s="22" t="s">
        <v>73</v>
      </c>
      <c r="J35" s="95" t="s">
        <v>54</v>
      </c>
      <c r="K35" s="96"/>
      <c r="L35" s="96"/>
      <c r="M35" s="96"/>
      <c r="N35" s="96"/>
      <c r="O35" s="97"/>
      <c r="P35" s="61" t="s">
        <v>81</v>
      </c>
      <c r="Q35" s="60" t="s">
        <v>85</v>
      </c>
      <c r="R35" s="22" t="s">
        <v>72</v>
      </c>
      <c r="S35" s="22" t="s">
        <v>73</v>
      </c>
    </row>
    <row r="36" spans="1:19" ht="18" customHeight="1" x14ac:dyDescent="0.15">
      <c r="B36" s="99" t="s">
        <v>161</v>
      </c>
      <c r="C36" s="100"/>
      <c r="D36" s="100"/>
      <c r="E36" s="101"/>
      <c r="F36" s="23">
        <v>1</v>
      </c>
      <c r="G36" s="23" t="s">
        <v>131</v>
      </c>
      <c r="H36" s="23" t="s">
        <v>131</v>
      </c>
      <c r="I36" s="23" t="s">
        <v>131</v>
      </c>
      <c r="J36" s="99"/>
      <c r="K36" s="100"/>
      <c r="L36" s="100"/>
      <c r="M36" s="100"/>
      <c r="N36" s="100"/>
      <c r="O36" s="101"/>
      <c r="P36" s="23"/>
      <c r="Q36" s="23"/>
      <c r="R36" s="23"/>
      <c r="S36" s="23"/>
    </row>
    <row r="37" spans="1:19" ht="18" customHeight="1" x14ac:dyDescent="0.15">
      <c r="B37" s="89"/>
      <c r="C37" s="90"/>
      <c r="D37" s="90"/>
      <c r="E37" s="91"/>
      <c r="F37" s="24"/>
      <c r="G37" s="24"/>
      <c r="H37" s="24"/>
      <c r="I37" s="24"/>
      <c r="J37" s="89"/>
      <c r="K37" s="90"/>
      <c r="L37" s="90"/>
      <c r="M37" s="90"/>
      <c r="N37" s="90"/>
      <c r="O37" s="91"/>
      <c r="P37" s="24"/>
      <c r="Q37" s="24"/>
      <c r="R37" s="24"/>
      <c r="S37" s="24"/>
    </row>
    <row r="38" spans="1:19" ht="18" customHeight="1" x14ac:dyDescent="0.15">
      <c r="B38" s="89"/>
      <c r="C38" s="90"/>
      <c r="D38" s="90"/>
      <c r="E38" s="91"/>
      <c r="F38" s="24"/>
      <c r="G38" s="24"/>
      <c r="H38" s="24"/>
      <c r="I38" s="24"/>
      <c r="J38" s="89"/>
      <c r="K38" s="90"/>
      <c r="L38" s="90"/>
      <c r="M38" s="90"/>
      <c r="N38" s="90"/>
      <c r="O38" s="91"/>
      <c r="P38" s="24"/>
      <c r="Q38" s="24"/>
      <c r="R38" s="24"/>
      <c r="S38" s="24"/>
    </row>
    <row r="39" spans="1:19" ht="18" customHeight="1" x14ac:dyDescent="0.15">
      <c r="B39" s="89"/>
      <c r="C39" s="90"/>
      <c r="D39" s="90"/>
      <c r="E39" s="91"/>
      <c r="F39" s="24"/>
      <c r="G39" s="24"/>
      <c r="H39" s="24"/>
      <c r="I39" s="24"/>
      <c r="J39" s="89"/>
      <c r="K39" s="90"/>
      <c r="L39" s="90"/>
      <c r="M39" s="90"/>
      <c r="N39" s="90"/>
      <c r="O39" s="91"/>
      <c r="P39" s="24"/>
      <c r="Q39" s="24"/>
      <c r="R39" s="24"/>
      <c r="S39" s="24"/>
    </row>
    <row r="40" spans="1:19" ht="18" customHeight="1" x14ac:dyDescent="0.15">
      <c r="B40" s="89"/>
      <c r="C40" s="90"/>
      <c r="D40" s="90"/>
      <c r="E40" s="91"/>
      <c r="F40" s="24"/>
      <c r="G40" s="24"/>
      <c r="H40" s="24"/>
      <c r="I40" s="24"/>
      <c r="J40" s="89"/>
      <c r="K40" s="90"/>
      <c r="L40" s="90"/>
      <c r="M40" s="90"/>
      <c r="N40" s="90"/>
      <c r="O40" s="91"/>
      <c r="P40" s="24"/>
      <c r="Q40" s="24"/>
      <c r="R40" s="24"/>
      <c r="S40" s="24"/>
    </row>
    <row r="41" spans="1:19" ht="18" customHeight="1" x14ac:dyDescent="0.15">
      <c r="B41" s="89"/>
      <c r="C41" s="90"/>
      <c r="D41" s="90"/>
      <c r="E41" s="91"/>
      <c r="F41" s="24"/>
      <c r="G41" s="24"/>
      <c r="H41" s="24"/>
      <c r="I41" s="24"/>
      <c r="J41" s="89"/>
      <c r="K41" s="90"/>
      <c r="L41" s="90"/>
      <c r="M41" s="90"/>
      <c r="N41" s="90"/>
      <c r="O41" s="91"/>
      <c r="P41" s="24"/>
      <c r="Q41" s="24"/>
      <c r="R41" s="24"/>
      <c r="S41" s="24"/>
    </row>
    <row r="42" spans="1:19" ht="18" customHeight="1" x14ac:dyDescent="0.15">
      <c r="B42" s="92"/>
      <c r="C42" s="93"/>
      <c r="D42" s="93"/>
      <c r="E42" s="94"/>
      <c r="F42" s="25"/>
      <c r="G42" s="25"/>
      <c r="H42" s="26"/>
      <c r="I42" s="26"/>
      <c r="J42" s="92"/>
      <c r="K42" s="93"/>
      <c r="L42" s="93"/>
      <c r="M42" s="93"/>
      <c r="N42" s="93"/>
      <c r="O42" s="94"/>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8" t="s">
        <v>116</v>
      </c>
      <c r="B44" s="98"/>
      <c r="C44" s="98"/>
      <c r="D44" s="98"/>
      <c r="E44" s="98"/>
      <c r="F44" s="98"/>
      <c r="G44" s="98"/>
      <c r="H44" s="98"/>
      <c r="I44" s="98"/>
      <c r="J44" s="98"/>
      <c r="K44" s="98"/>
      <c r="L44" s="98"/>
      <c r="M44" s="98"/>
      <c r="N44" s="98"/>
      <c r="O44" s="98"/>
      <c r="P44" s="98"/>
      <c r="Q44" s="98"/>
      <c r="R44" s="98"/>
      <c r="S44" s="98"/>
    </row>
    <row r="45" spans="1:19" ht="18" customHeight="1" x14ac:dyDescent="0.15">
      <c r="A45" s="98"/>
      <c r="B45" s="98"/>
      <c r="C45" s="98"/>
      <c r="D45" s="98"/>
      <c r="E45" s="98"/>
      <c r="F45" s="98"/>
      <c r="G45" s="98"/>
      <c r="H45" s="98"/>
      <c r="I45" s="98"/>
      <c r="J45" s="98"/>
      <c r="K45" s="98"/>
      <c r="L45" s="98"/>
      <c r="M45" s="98"/>
      <c r="N45" s="98"/>
      <c r="O45" s="98"/>
      <c r="P45" s="98"/>
      <c r="Q45" s="98"/>
      <c r="R45" s="98"/>
      <c r="S45" s="98"/>
    </row>
    <row r="46" spans="1:19" ht="18" customHeight="1" x14ac:dyDescent="0.15">
      <c r="B46" s="95" t="s">
        <v>54</v>
      </c>
      <c r="C46" s="96"/>
      <c r="D46" s="96"/>
      <c r="E46" s="97"/>
      <c r="F46" s="61" t="s">
        <v>81</v>
      </c>
      <c r="G46" s="60" t="s">
        <v>85</v>
      </c>
      <c r="H46" s="22" t="s">
        <v>74</v>
      </c>
      <c r="I46" s="22" t="s">
        <v>75</v>
      </c>
      <c r="J46" s="95" t="s">
        <v>54</v>
      </c>
      <c r="K46" s="96"/>
      <c r="L46" s="96"/>
      <c r="M46" s="96"/>
      <c r="N46" s="96"/>
      <c r="O46" s="97"/>
      <c r="P46" s="61" t="s">
        <v>81</v>
      </c>
      <c r="Q46" s="60" t="s">
        <v>85</v>
      </c>
      <c r="R46" s="22" t="s">
        <v>74</v>
      </c>
      <c r="S46" s="22" t="s">
        <v>75</v>
      </c>
    </row>
    <row r="47" spans="1:19" ht="18" customHeight="1" x14ac:dyDescent="0.15">
      <c r="A47" s="3"/>
      <c r="B47" s="89" t="s">
        <v>130</v>
      </c>
      <c r="C47" s="90"/>
      <c r="D47" s="90"/>
      <c r="E47" s="91"/>
      <c r="F47" s="23">
        <v>1</v>
      </c>
      <c r="G47" s="23" t="s">
        <v>131</v>
      </c>
      <c r="H47" s="23" t="s">
        <v>131</v>
      </c>
      <c r="I47" s="23" t="s">
        <v>131</v>
      </c>
      <c r="J47" s="99"/>
      <c r="K47" s="100"/>
      <c r="L47" s="100"/>
      <c r="M47" s="100"/>
      <c r="N47" s="100"/>
      <c r="O47" s="101"/>
      <c r="P47" s="23"/>
      <c r="Q47" s="23"/>
      <c r="R47" s="23"/>
      <c r="S47" s="23"/>
    </row>
    <row r="48" spans="1:19" ht="18" customHeight="1" x14ac:dyDescent="0.15">
      <c r="A48" s="3"/>
      <c r="B48" s="89"/>
      <c r="C48" s="90"/>
      <c r="D48" s="90"/>
      <c r="E48" s="91"/>
      <c r="F48" s="24"/>
      <c r="G48" s="24"/>
      <c r="H48" s="24"/>
      <c r="I48" s="24"/>
      <c r="J48" s="89"/>
      <c r="K48" s="90"/>
      <c r="L48" s="90"/>
      <c r="M48" s="90"/>
      <c r="N48" s="90"/>
      <c r="O48" s="91"/>
      <c r="P48" s="24"/>
      <c r="Q48" s="24"/>
      <c r="R48" s="24"/>
      <c r="S48" s="24"/>
    </row>
    <row r="49" spans="1:19" ht="18" customHeight="1" x14ac:dyDescent="0.15">
      <c r="A49" s="3"/>
      <c r="B49" s="89"/>
      <c r="C49" s="90"/>
      <c r="D49" s="90"/>
      <c r="E49" s="91"/>
      <c r="F49" s="24"/>
      <c r="G49" s="24"/>
      <c r="H49" s="24"/>
      <c r="I49" s="24"/>
      <c r="J49" s="89"/>
      <c r="K49" s="90"/>
      <c r="L49" s="90"/>
      <c r="M49" s="90"/>
      <c r="N49" s="90"/>
      <c r="O49" s="91"/>
      <c r="P49" s="24"/>
      <c r="Q49" s="24"/>
      <c r="R49" s="24"/>
      <c r="S49" s="24"/>
    </row>
    <row r="50" spans="1:19" ht="18" customHeight="1" x14ac:dyDescent="0.15">
      <c r="A50" s="3"/>
      <c r="B50" s="89"/>
      <c r="C50" s="90"/>
      <c r="D50" s="90"/>
      <c r="E50" s="91"/>
      <c r="F50" s="24"/>
      <c r="G50" s="24"/>
      <c r="H50" s="24"/>
      <c r="I50" s="24"/>
      <c r="J50" s="89"/>
      <c r="K50" s="90"/>
      <c r="L50" s="90"/>
      <c r="M50" s="90"/>
      <c r="N50" s="90"/>
      <c r="O50" s="91"/>
      <c r="P50" s="24"/>
      <c r="Q50" s="24"/>
      <c r="R50" s="24"/>
      <c r="S50" s="24"/>
    </row>
    <row r="51" spans="1:19" ht="18" customHeight="1" x14ac:dyDescent="0.15">
      <c r="A51" s="3"/>
      <c r="B51" s="89"/>
      <c r="C51" s="90"/>
      <c r="D51" s="90"/>
      <c r="E51" s="91"/>
      <c r="F51" s="24"/>
      <c r="G51" s="24"/>
      <c r="H51" s="24"/>
      <c r="I51" s="24"/>
      <c r="J51" s="89"/>
      <c r="K51" s="90"/>
      <c r="L51" s="90"/>
      <c r="M51" s="90"/>
      <c r="N51" s="90"/>
      <c r="O51" s="91"/>
      <c r="P51" s="24"/>
      <c r="Q51" s="24"/>
      <c r="R51" s="24"/>
      <c r="S51" s="24"/>
    </row>
    <row r="52" spans="1:19" ht="18" customHeight="1" x14ac:dyDescent="0.15">
      <c r="A52" s="3"/>
      <c r="B52" s="89"/>
      <c r="C52" s="90"/>
      <c r="D52" s="90"/>
      <c r="E52" s="91"/>
      <c r="F52" s="24"/>
      <c r="G52" s="24"/>
      <c r="H52" s="24"/>
      <c r="I52" s="24"/>
      <c r="J52" s="89"/>
      <c r="K52" s="90"/>
      <c r="L52" s="90"/>
      <c r="M52" s="90"/>
      <c r="N52" s="90"/>
      <c r="O52" s="91"/>
      <c r="P52" s="24"/>
      <c r="Q52" s="24"/>
      <c r="R52" s="24"/>
      <c r="S52" s="24"/>
    </row>
    <row r="53" spans="1:19" ht="18" customHeight="1" x14ac:dyDescent="0.15">
      <c r="A53" s="3"/>
      <c r="B53" s="92"/>
      <c r="C53" s="93"/>
      <c r="D53" s="93"/>
      <c r="E53" s="94"/>
      <c r="F53" s="25"/>
      <c r="G53" s="25"/>
      <c r="H53" s="26"/>
      <c r="I53" s="26"/>
      <c r="J53" s="92"/>
      <c r="K53" s="93"/>
      <c r="L53" s="93"/>
      <c r="M53" s="93"/>
      <c r="N53" s="93"/>
      <c r="O53" s="94"/>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8" t="s">
        <v>117</v>
      </c>
      <c r="B55" s="98"/>
      <c r="C55" s="98"/>
      <c r="D55" s="98"/>
      <c r="E55" s="98"/>
      <c r="F55" s="98"/>
      <c r="G55" s="98"/>
      <c r="H55" s="98"/>
      <c r="I55" s="98"/>
      <c r="J55" s="98"/>
      <c r="K55" s="98"/>
      <c r="L55" s="98"/>
      <c r="M55" s="98"/>
      <c r="N55" s="98"/>
      <c r="O55" s="98"/>
      <c r="P55" s="98"/>
      <c r="Q55" s="98"/>
      <c r="R55" s="98"/>
      <c r="S55" s="98"/>
    </row>
    <row r="56" spans="1:19" ht="18" customHeight="1" x14ac:dyDescent="0.15">
      <c r="A56" s="98"/>
      <c r="B56" s="98"/>
      <c r="C56" s="98"/>
      <c r="D56" s="98"/>
      <c r="E56" s="98"/>
      <c r="F56" s="98"/>
      <c r="G56" s="98"/>
      <c r="H56" s="98"/>
      <c r="I56" s="98"/>
      <c r="J56" s="98"/>
      <c r="K56" s="98"/>
      <c r="L56" s="98"/>
      <c r="M56" s="98"/>
      <c r="N56" s="98"/>
      <c r="O56" s="98"/>
      <c r="P56" s="98"/>
      <c r="Q56" s="98"/>
      <c r="R56" s="98"/>
      <c r="S56" s="98"/>
    </row>
    <row r="57" spans="1:19" ht="18" customHeight="1" x14ac:dyDescent="0.15">
      <c r="B57" s="95" t="s">
        <v>54</v>
      </c>
      <c r="C57" s="96"/>
      <c r="D57" s="96"/>
      <c r="E57" s="97"/>
      <c r="F57" s="61" t="s">
        <v>81</v>
      </c>
      <c r="G57" s="60" t="s">
        <v>85</v>
      </c>
      <c r="H57" s="22" t="s">
        <v>59</v>
      </c>
      <c r="I57" s="22" t="s">
        <v>61</v>
      </c>
      <c r="J57" s="95" t="s">
        <v>54</v>
      </c>
      <c r="K57" s="96"/>
      <c r="L57" s="96"/>
      <c r="M57" s="96"/>
      <c r="N57" s="96"/>
      <c r="O57" s="97"/>
      <c r="P57" s="61" t="s">
        <v>81</v>
      </c>
      <c r="Q57" s="60" t="s">
        <v>85</v>
      </c>
      <c r="R57" s="22" t="s">
        <v>59</v>
      </c>
      <c r="S57" s="22" t="s">
        <v>61</v>
      </c>
    </row>
    <row r="58" spans="1:19" ht="18" customHeight="1" x14ac:dyDescent="0.15">
      <c r="A58" s="3"/>
      <c r="B58" s="99" t="s">
        <v>129</v>
      </c>
      <c r="C58" s="100"/>
      <c r="D58" s="100"/>
      <c r="E58" s="101"/>
      <c r="F58" s="23">
        <v>1</v>
      </c>
      <c r="G58" s="23" t="s">
        <v>131</v>
      </c>
      <c r="H58" s="23" t="s">
        <v>131</v>
      </c>
      <c r="I58" s="23" t="s">
        <v>131</v>
      </c>
      <c r="J58" s="99"/>
      <c r="K58" s="100"/>
      <c r="L58" s="100"/>
      <c r="M58" s="100"/>
      <c r="N58" s="100"/>
      <c r="O58" s="101"/>
      <c r="P58" s="23"/>
      <c r="Q58" s="23"/>
      <c r="R58" s="23"/>
      <c r="S58" s="23"/>
    </row>
    <row r="59" spans="1:19" ht="18" customHeight="1" x14ac:dyDescent="0.15">
      <c r="A59" s="3"/>
      <c r="B59" s="89"/>
      <c r="C59" s="90"/>
      <c r="D59" s="90"/>
      <c r="E59" s="91"/>
      <c r="F59" s="24"/>
      <c r="G59" s="24"/>
      <c r="H59" s="24"/>
      <c r="I59" s="24"/>
      <c r="J59" s="89"/>
      <c r="K59" s="90"/>
      <c r="L59" s="90"/>
      <c r="M59" s="90"/>
      <c r="N59" s="90"/>
      <c r="O59" s="91"/>
      <c r="P59" s="24"/>
      <c r="Q59" s="24"/>
      <c r="R59" s="24"/>
      <c r="S59" s="24"/>
    </row>
    <row r="60" spans="1:19" ht="18" customHeight="1" x14ac:dyDescent="0.15">
      <c r="A60" s="3"/>
      <c r="B60" s="89"/>
      <c r="C60" s="90"/>
      <c r="D60" s="90"/>
      <c r="E60" s="91"/>
      <c r="F60" s="24"/>
      <c r="G60" s="24"/>
      <c r="H60" s="24"/>
      <c r="I60" s="24"/>
      <c r="J60" s="89"/>
      <c r="K60" s="90"/>
      <c r="L60" s="90"/>
      <c r="M60" s="90"/>
      <c r="N60" s="90"/>
      <c r="O60" s="91"/>
      <c r="P60" s="24"/>
      <c r="Q60" s="24"/>
      <c r="R60" s="24"/>
      <c r="S60" s="24"/>
    </row>
    <row r="61" spans="1:19" ht="18" customHeight="1" x14ac:dyDescent="0.15">
      <c r="A61" s="3"/>
      <c r="B61" s="89"/>
      <c r="C61" s="90"/>
      <c r="D61" s="90"/>
      <c r="E61" s="91"/>
      <c r="F61" s="24"/>
      <c r="G61" s="24"/>
      <c r="H61" s="24"/>
      <c r="I61" s="24"/>
      <c r="J61" s="89"/>
      <c r="K61" s="90"/>
      <c r="L61" s="90"/>
      <c r="M61" s="90"/>
      <c r="N61" s="90"/>
      <c r="O61" s="91"/>
      <c r="P61" s="24"/>
      <c r="Q61" s="24"/>
      <c r="R61" s="24"/>
      <c r="S61" s="24"/>
    </row>
    <row r="62" spans="1:19" ht="18" customHeight="1" x14ac:dyDescent="0.15">
      <c r="A62" s="3"/>
      <c r="B62" s="89"/>
      <c r="C62" s="90"/>
      <c r="D62" s="90"/>
      <c r="E62" s="91"/>
      <c r="F62" s="24"/>
      <c r="G62" s="24"/>
      <c r="H62" s="24"/>
      <c r="I62" s="24"/>
      <c r="J62" s="89"/>
      <c r="K62" s="90"/>
      <c r="L62" s="90"/>
      <c r="M62" s="90"/>
      <c r="N62" s="90"/>
      <c r="O62" s="91"/>
      <c r="P62" s="24"/>
      <c r="Q62" s="24"/>
      <c r="R62" s="24"/>
      <c r="S62" s="24"/>
    </row>
    <row r="63" spans="1:19" ht="18" customHeight="1" x14ac:dyDescent="0.15">
      <c r="A63" s="3"/>
      <c r="B63" s="89"/>
      <c r="C63" s="90"/>
      <c r="D63" s="90"/>
      <c r="E63" s="91"/>
      <c r="F63" s="24"/>
      <c r="G63" s="24"/>
      <c r="H63" s="24"/>
      <c r="I63" s="24"/>
      <c r="J63" s="89"/>
      <c r="K63" s="90"/>
      <c r="L63" s="90"/>
      <c r="M63" s="90"/>
      <c r="N63" s="90"/>
      <c r="O63" s="91"/>
      <c r="P63" s="24"/>
      <c r="Q63" s="24"/>
      <c r="R63" s="24"/>
      <c r="S63" s="24"/>
    </row>
    <row r="64" spans="1:19" ht="18" customHeight="1" x14ac:dyDescent="0.15">
      <c r="A64" s="3"/>
      <c r="B64" s="92"/>
      <c r="C64" s="93"/>
      <c r="D64" s="93"/>
      <c r="E64" s="94"/>
      <c r="F64" s="25"/>
      <c r="G64" s="25"/>
      <c r="H64" s="26"/>
      <c r="I64" s="26"/>
      <c r="J64" s="92"/>
      <c r="K64" s="93"/>
      <c r="L64" s="93"/>
      <c r="M64" s="93"/>
      <c r="N64" s="93"/>
      <c r="O64" s="94"/>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8" t="s">
        <v>118</v>
      </c>
      <c r="B66" s="98"/>
      <c r="C66" s="98"/>
      <c r="D66" s="98"/>
      <c r="E66" s="98"/>
      <c r="F66" s="98"/>
      <c r="G66" s="98"/>
      <c r="H66" s="98"/>
      <c r="I66" s="98"/>
      <c r="J66" s="98"/>
      <c r="K66" s="98"/>
      <c r="L66" s="98"/>
      <c r="M66" s="98"/>
      <c r="N66" s="98"/>
      <c r="O66" s="98"/>
      <c r="P66" s="98"/>
      <c r="Q66" s="98"/>
      <c r="R66" s="98"/>
      <c r="S66" s="98"/>
    </row>
    <row r="67" spans="1:19" ht="18" customHeight="1" x14ac:dyDescent="0.15">
      <c r="A67" s="98"/>
      <c r="B67" s="98"/>
      <c r="C67" s="98"/>
      <c r="D67" s="98"/>
      <c r="E67" s="98"/>
      <c r="F67" s="98"/>
      <c r="G67" s="98"/>
      <c r="H67" s="98"/>
      <c r="I67" s="98"/>
      <c r="J67" s="98"/>
      <c r="K67" s="98"/>
      <c r="L67" s="98"/>
      <c r="M67" s="98"/>
      <c r="N67" s="98"/>
      <c r="O67" s="98"/>
      <c r="P67" s="98"/>
      <c r="Q67" s="98"/>
      <c r="R67" s="98"/>
      <c r="S67" s="98"/>
    </row>
    <row r="68" spans="1:19" ht="18" customHeight="1" x14ac:dyDescent="0.15">
      <c r="B68" s="95" t="s">
        <v>54</v>
      </c>
      <c r="C68" s="96"/>
      <c r="D68" s="96"/>
      <c r="E68" s="61" t="s">
        <v>81</v>
      </c>
      <c r="F68" s="60" t="s">
        <v>85</v>
      </c>
      <c r="G68" s="22" t="s">
        <v>102</v>
      </c>
      <c r="H68" s="22" t="s">
        <v>76</v>
      </c>
      <c r="I68" s="22" t="s">
        <v>77</v>
      </c>
      <c r="J68" s="95" t="s">
        <v>54</v>
      </c>
      <c r="K68" s="96"/>
      <c r="L68" s="96"/>
      <c r="M68" s="96"/>
      <c r="N68" s="97"/>
      <c r="O68" s="61" t="s">
        <v>81</v>
      </c>
      <c r="P68" s="60" t="s">
        <v>85</v>
      </c>
      <c r="Q68" s="22" t="s">
        <v>102</v>
      </c>
      <c r="R68" s="22" t="s">
        <v>76</v>
      </c>
      <c r="S68" s="22" t="s">
        <v>77</v>
      </c>
    </row>
    <row r="69" spans="1:19" ht="18" customHeight="1" x14ac:dyDescent="0.15">
      <c r="A69" s="3"/>
      <c r="B69" s="89" t="s">
        <v>130</v>
      </c>
      <c r="C69" s="90"/>
      <c r="D69" s="90"/>
      <c r="E69" s="24">
        <v>1</v>
      </c>
      <c r="F69" s="24" t="s">
        <v>131</v>
      </c>
      <c r="G69" s="24" t="s">
        <v>131</v>
      </c>
      <c r="H69" s="24" t="s">
        <v>131</v>
      </c>
      <c r="I69" s="24" t="s">
        <v>131</v>
      </c>
      <c r="J69" s="99"/>
      <c r="K69" s="100"/>
      <c r="L69" s="100"/>
      <c r="M69" s="100"/>
      <c r="N69" s="101"/>
      <c r="O69" s="23"/>
      <c r="P69" s="23"/>
      <c r="Q69" s="23"/>
      <c r="R69" s="23"/>
      <c r="S69" s="23"/>
    </row>
    <row r="70" spans="1:19" ht="18" customHeight="1" x14ac:dyDescent="0.15">
      <c r="A70" s="3"/>
      <c r="B70" s="89"/>
      <c r="C70" s="90"/>
      <c r="D70" s="90"/>
      <c r="E70" s="24"/>
      <c r="F70" s="24"/>
      <c r="G70" s="24"/>
      <c r="H70" s="24"/>
      <c r="I70" s="24"/>
      <c r="J70" s="89"/>
      <c r="K70" s="90"/>
      <c r="L70" s="90"/>
      <c r="M70" s="90"/>
      <c r="N70" s="91"/>
      <c r="O70" s="24"/>
      <c r="P70" s="24"/>
      <c r="Q70" s="24"/>
      <c r="R70" s="24"/>
      <c r="S70" s="24"/>
    </row>
    <row r="71" spans="1:19" ht="18" customHeight="1" x14ac:dyDescent="0.15">
      <c r="A71" s="3"/>
      <c r="B71" s="89"/>
      <c r="C71" s="90"/>
      <c r="D71" s="90"/>
      <c r="E71" s="24"/>
      <c r="F71" s="24"/>
      <c r="G71" s="24"/>
      <c r="H71" s="24"/>
      <c r="I71" s="24"/>
      <c r="J71" s="89"/>
      <c r="K71" s="90"/>
      <c r="L71" s="90"/>
      <c r="M71" s="90"/>
      <c r="N71" s="91"/>
      <c r="O71" s="24"/>
      <c r="P71" s="24"/>
      <c r="Q71" s="24"/>
      <c r="R71" s="24"/>
      <c r="S71" s="24"/>
    </row>
    <row r="72" spans="1:19" ht="18" customHeight="1" x14ac:dyDescent="0.15">
      <c r="A72" s="3"/>
      <c r="B72" s="89"/>
      <c r="C72" s="90"/>
      <c r="D72" s="90"/>
      <c r="E72" s="24"/>
      <c r="F72" s="24"/>
      <c r="G72" s="24"/>
      <c r="H72" s="24"/>
      <c r="I72" s="24"/>
      <c r="J72" s="89"/>
      <c r="K72" s="90"/>
      <c r="L72" s="90"/>
      <c r="M72" s="90"/>
      <c r="N72" s="91"/>
      <c r="O72" s="24"/>
      <c r="P72" s="24"/>
      <c r="Q72" s="24"/>
      <c r="R72" s="24"/>
      <c r="S72" s="24"/>
    </row>
    <row r="73" spans="1:19" ht="18" customHeight="1" x14ac:dyDescent="0.15">
      <c r="A73" s="3"/>
      <c r="B73" s="89"/>
      <c r="C73" s="90"/>
      <c r="D73" s="90"/>
      <c r="E73" s="24"/>
      <c r="F73" s="24"/>
      <c r="G73" s="24"/>
      <c r="H73" s="24"/>
      <c r="I73" s="24"/>
      <c r="J73" s="89"/>
      <c r="K73" s="90"/>
      <c r="L73" s="90"/>
      <c r="M73" s="90"/>
      <c r="N73" s="91"/>
      <c r="O73" s="24"/>
      <c r="P73" s="24"/>
      <c r="Q73" s="24"/>
      <c r="R73" s="24"/>
      <c r="S73" s="24"/>
    </row>
    <row r="74" spans="1:19" ht="18" customHeight="1" x14ac:dyDescent="0.15">
      <c r="A74" s="3"/>
      <c r="B74" s="89"/>
      <c r="C74" s="90"/>
      <c r="D74" s="90"/>
      <c r="E74" s="24"/>
      <c r="F74" s="24"/>
      <c r="G74" s="24"/>
      <c r="H74" s="24"/>
      <c r="I74" s="24"/>
      <c r="J74" s="89"/>
      <c r="K74" s="90"/>
      <c r="L74" s="90"/>
      <c r="M74" s="90"/>
      <c r="N74" s="91"/>
      <c r="O74" s="24"/>
      <c r="P74" s="24"/>
      <c r="Q74" s="24"/>
      <c r="R74" s="24"/>
      <c r="S74" s="24"/>
    </row>
    <row r="75" spans="1:19" ht="18" customHeight="1" x14ac:dyDescent="0.15">
      <c r="A75" s="3"/>
      <c r="B75" s="92"/>
      <c r="C75" s="93"/>
      <c r="D75" s="93"/>
      <c r="E75" s="25"/>
      <c r="F75" s="25"/>
      <c r="G75" s="26"/>
      <c r="H75" s="26"/>
      <c r="I75" s="26"/>
      <c r="J75" s="92"/>
      <c r="K75" s="93"/>
      <c r="L75" s="93"/>
      <c r="M75" s="93"/>
      <c r="N75" s="94"/>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5" t="s">
        <v>54</v>
      </c>
      <c r="C78" s="96"/>
      <c r="D78" s="96"/>
      <c r="E78" s="97"/>
      <c r="F78" s="95" t="s">
        <v>83</v>
      </c>
      <c r="G78" s="96"/>
      <c r="H78" s="96"/>
      <c r="I78" s="97"/>
      <c r="J78" s="145" t="s">
        <v>54</v>
      </c>
      <c r="K78" s="146"/>
      <c r="L78" s="146"/>
      <c r="M78" s="146"/>
      <c r="N78" s="146"/>
      <c r="O78" s="147"/>
      <c r="P78" s="95" t="s">
        <v>83</v>
      </c>
      <c r="Q78" s="96"/>
      <c r="R78" s="96"/>
      <c r="S78" s="97"/>
    </row>
    <row r="79" spans="1:19" ht="18" customHeight="1" x14ac:dyDescent="0.15">
      <c r="A79" s="3"/>
      <c r="B79" s="99"/>
      <c r="C79" s="100"/>
      <c r="D79" s="100"/>
      <c r="E79" s="101"/>
      <c r="F79" s="165"/>
      <c r="G79" s="166"/>
      <c r="H79" s="166"/>
      <c r="I79" s="167"/>
      <c r="J79" s="99"/>
      <c r="K79" s="100"/>
      <c r="L79" s="100"/>
      <c r="M79" s="100"/>
      <c r="N79" s="100"/>
      <c r="O79" s="101"/>
      <c r="P79" s="165"/>
      <c r="Q79" s="166"/>
      <c r="R79" s="166"/>
      <c r="S79" s="167"/>
    </row>
    <row r="80" spans="1:19" ht="18" customHeight="1" x14ac:dyDescent="0.15">
      <c r="A80" s="3"/>
      <c r="B80" s="89"/>
      <c r="C80" s="90"/>
      <c r="D80" s="90"/>
      <c r="E80" s="91"/>
      <c r="F80" s="125"/>
      <c r="G80" s="126"/>
      <c r="H80" s="126"/>
      <c r="I80" s="127"/>
      <c r="J80" s="89"/>
      <c r="K80" s="90"/>
      <c r="L80" s="90"/>
      <c r="M80" s="90"/>
      <c r="N80" s="90"/>
      <c r="O80" s="91"/>
      <c r="P80" s="125"/>
      <c r="Q80" s="126"/>
      <c r="R80" s="126"/>
      <c r="S80" s="127"/>
    </row>
    <row r="81" spans="1:19" ht="18" customHeight="1" x14ac:dyDescent="0.15">
      <c r="A81" s="3"/>
      <c r="B81" s="89"/>
      <c r="C81" s="90"/>
      <c r="D81" s="90"/>
      <c r="E81" s="91"/>
      <c r="F81" s="125"/>
      <c r="G81" s="126"/>
      <c r="H81" s="126"/>
      <c r="I81" s="127"/>
      <c r="J81" s="89"/>
      <c r="K81" s="90"/>
      <c r="L81" s="90"/>
      <c r="M81" s="90"/>
      <c r="N81" s="90"/>
      <c r="O81" s="91"/>
      <c r="P81" s="125"/>
      <c r="Q81" s="126"/>
      <c r="R81" s="126"/>
      <c r="S81" s="127"/>
    </row>
    <row r="82" spans="1:19" ht="18" customHeight="1" x14ac:dyDescent="0.15">
      <c r="A82" s="3"/>
      <c r="B82" s="89"/>
      <c r="C82" s="90"/>
      <c r="D82" s="90"/>
      <c r="E82" s="91"/>
      <c r="F82" s="125"/>
      <c r="G82" s="126"/>
      <c r="H82" s="126"/>
      <c r="I82" s="127"/>
      <c r="J82" s="89"/>
      <c r="K82" s="90"/>
      <c r="L82" s="90"/>
      <c r="M82" s="90"/>
      <c r="N82" s="90"/>
      <c r="O82" s="91"/>
      <c r="P82" s="125"/>
      <c r="Q82" s="126"/>
      <c r="R82" s="126"/>
      <c r="S82" s="127"/>
    </row>
    <row r="83" spans="1:19" ht="18" customHeight="1" x14ac:dyDescent="0.15">
      <c r="A83" s="3"/>
      <c r="B83" s="89"/>
      <c r="C83" s="90"/>
      <c r="D83" s="90"/>
      <c r="E83" s="91"/>
      <c r="F83" s="125"/>
      <c r="G83" s="126"/>
      <c r="H83" s="126"/>
      <c r="I83" s="127"/>
      <c r="J83" s="89"/>
      <c r="K83" s="90"/>
      <c r="L83" s="90"/>
      <c r="M83" s="90"/>
      <c r="N83" s="90"/>
      <c r="O83" s="91"/>
      <c r="P83" s="125"/>
      <c r="Q83" s="126"/>
      <c r="R83" s="126"/>
      <c r="S83" s="127"/>
    </row>
    <row r="84" spans="1:19" ht="18" customHeight="1" x14ac:dyDescent="0.15">
      <c r="A84" s="3"/>
      <c r="B84" s="89"/>
      <c r="C84" s="90"/>
      <c r="D84" s="90"/>
      <c r="E84" s="91"/>
      <c r="F84" s="125"/>
      <c r="G84" s="126"/>
      <c r="H84" s="126"/>
      <c r="I84" s="127"/>
      <c r="J84" s="89"/>
      <c r="K84" s="90"/>
      <c r="L84" s="90"/>
      <c r="M84" s="90"/>
      <c r="N84" s="90"/>
      <c r="O84" s="91"/>
      <c r="P84" s="125"/>
      <c r="Q84" s="126"/>
      <c r="R84" s="126"/>
      <c r="S84" s="127"/>
    </row>
    <row r="85" spans="1:19" ht="18" customHeight="1" x14ac:dyDescent="0.15">
      <c r="A85" s="3"/>
      <c r="B85" s="92"/>
      <c r="C85" s="93"/>
      <c r="D85" s="93"/>
      <c r="E85" s="94"/>
      <c r="F85" s="122"/>
      <c r="G85" s="123"/>
      <c r="H85" s="123"/>
      <c r="I85" s="124"/>
      <c r="J85" s="92"/>
      <c r="K85" s="93"/>
      <c r="L85" s="93"/>
      <c r="M85" s="93"/>
      <c r="N85" s="93"/>
      <c r="O85" s="94"/>
      <c r="P85" s="122"/>
      <c r="Q85" s="123"/>
      <c r="R85" s="123"/>
      <c r="S85" s="124"/>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60" t="s">
        <v>55</v>
      </c>
      <c r="C88" s="161"/>
      <c r="D88" s="96" t="s">
        <v>56</v>
      </c>
      <c r="E88" s="96"/>
      <c r="F88" s="96"/>
      <c r="G88" s="96"/>
      <c r="H88" s="96"/>
      <c r="I88" s="96"/>
      <c r="J88" s="96"/>
      <c r="K88" s="96"/>
      <c r="L88" s="96"/>
      <c r="M88" s="96"/>
      <c r="N88" s="96"/>
      <c r="O88" s="96"/>
      <c r="P88" s="96"/>
      <c r="Q88" s="96"/>
      <c r="R88" s="96"/>
      <c r="S88" s="97"/>
    </row>
    <row r="89" spans="1:19" ht="97.5" customHeight="1" x14ac:dyDescent="0.15">
      <c r="B89" s="148" t="s">
        <v>62</v>
      </c>
      <c r="C89" s="28" t="s">
        <v>57</v>
      </c>
      <c r="D89" s="162" t="s">
        <v>155</v>
      </c>
      <c r="E89" s="163"/>
      <c r="F89" s="163"/>
      <c r="G89" s="163"/>
      <c r="H89" s="163"/>
      <c r="I89" s="163"/>
      <c r="J89" s="163"/>
      <c r="K89" s="163"/>
      <c r="L89" s="163"/>
      <c r="M89" s="163"/>
      <c r="N89" s="163"/>
      <c r="O89" s="163"/>
      <c r="P89" s="163"/>
      <c r="Q89" s="163"/>
      <c r="R89" s="163"/>
      <c r="S89" s="164"/>
    </row>
    <row r="90" spans="1:19" ht="97.5" customHeight="1" x14ac:dyDescent="0.15">
      <c r="B90" s="150"/>
      <c r="C90" s="29" t="s">
        <v>78</v>
      </c>
      <c r="D90" s="128" t="s">
        <v>154</v>
      </c>
      <c r="E90" s="129"/>
      <c r="F90" s="129"/>
      <c r="G90" s="129"/>
      <c r="H90" s="129"/>
      <c r="I90" s="129"/>
      <c r="J90" s="129"/>
      <c r="K90" s="129"/>
      <c r="L90" s="129"/>
      <c r="M90" s="129"/>
      <c r="N90" s="129"/>
      <c r="O90" s="129"/>
      <c r="P90" s="129"/>
      <c r="Q90" s="129"/>
      <c r="R90" s="129"/>
      <c r="S90" s="130"/>
    </row>
    <row r="91" spans="1:19" ht="97.5" customHeight="1" x14ac:dyDescent="0.15">
      <c r="B91" s="148" t="s">
        <v>63</v>
      </c>
      <c r="C91" s="30" t="s">
        <v>72</v>
      </c>
      <c r="D91" s="131" t="s">
        <v>169</v>
      </c>
      <c r="E91" s="132"/>
      <c r="F91" s="132"/>
      <c r="G91" s="132"/>
      <c r="H91" s="132"/>
      <c r="I91" s="132"/>
      <c r="J91" s="132"/>
      <c r="K91" s="132"/>
      <c r="L91" s="132"/>
      <c r="M91" s="132"/>
      <c r="N91" s="132"/>
      <c r="O91" s="132"/>
      <c r="P91" s="132"/>
      <c r="Q91" s="132"/>
      <c r="R91" s="132"/>
      <c r="S91" s="133"/>
    </row>
    <row r="92" spans="1:19" ht="97.5" customHeight="1" x14ac:dyDescent="0.15">
      <c r="B92" s="149"/>
      <c r="C92" s="31" t="s">
        <v>73</v>
      </c>
      <c r="D92" s="137" t="s">
        <v>156</v>
      </c>
      <c r="E92" s="138"/>
      <c r="F92" s="138"/>
      <c r="G92" s="138"/>
      <c r="H92" s="138"/>
      <c r="I92" s="138"/>
      <c r="J92" s="138"/>
      <c r="K92" s="138"/>
      <c r="L92" s="138"/>
      <c r="M92" s="138"/>
      <c r="N92" s="138"/>
      <c r="O92" s="138"/>
      <c r="P92" s="138"/>
      <c r="Q92" s="138"/>
      <c r="R92" s="138"/>
      <c r="S92" s="139"/>
    </row>
    <row r="93" spans="1:19" ht="97.5" customHeight="1" x14ac:dyDescent="0.15">
      <c r="B93" s="148" t="s">
        <v>64</v>
      </c>
      <c r="C93" s="30" t="s">
        <v>74</v>
      </c>
      <c r="D93" s="131" t="s">
        <v>157</v>
      </c>
      <c r="E93" s="140"/>
      <c r="F93" s="140"/>
      <c r="G93" s="140"/>
      <c r="H93" s="140"/>
      <c r="I93" s="140"/>
      <c r="J93" s="140"/>
      <c r="K93" s="140"/>
      <c r="L93" s="140"/>
      <c r="M93" s="140"/>
      <c r="N93" s="140"/>
      <c r="O93" s="140"/>
      <c r="P93" s="140"/>
      <c r="Q93" s="140"/>
      <c r="R93" s="140"/>
      <c r="S93" s="141"/>
    </row>
    <row r="94" spans="1:19" ht="97.5" customHeight="1" x14ac:dyDescent="0.15">
      <c r="B94" s="149"/>
      <c r="C94" s="32" t="s">
        <v>75</v>
      </c>
      <c r="D94" s="134" t="s">
        <v>152</v>
      </c>
      <c r="E94" s="135"/>
      <c r="F94" s="135"/>
      <c r="G94" s="135"/>
      <c r="H94" s="135"/>
      <c r="I94" s="135"/>
      <c r="J94" s="135"/>
      <c r="K94" s="135"/>
      <c r="L94" s="135"/>
      <c r="M94" s="135"/>
      <c r="N94" s="135"/>
      <c r="O94" s="135"/>
      <c r="P94" s="135"/>
      <c r="Q94" s="135"/>
      <c r="R94" s="135"/>
      <c r="S94" s="136"/>
    </row>
    <row r="95" spans="1:19" ht="97.5" customHeight="1" x14ac:dyDescent="0.15">
      <c r="B95" s="148" t="s">
        <v>79</v>
      </c>
      <c r="C95" s="28" t="s">
        <v>59</v>
      </c>
      <c r="D95" s="157" t="s">
        <v>170</v>
      </c>
      <c r="E95" s="158"/>
      <c r="F95" s="158"/>
      <c r="G95" s="158"/>
      <c r="H95" s="158"/>
      <c r="I95" s="158"/>
      <c r="J95" s="158"/>
      <c r="K95" s="158"/>
      <c r="L95" s="158"/>
      <c r="M95" s="158"/>
      <c r="N95" s="158"/>
      <c r="O95" s="158"/>
      <c r="P95" s="158"/>
      <c r="Q95" s="158"/>
      <c r="R95" s="158"/>
      <c r="S95" s="159"/>
    </row>
    <row r="96" spans="1:19" ht="97.5" customHeight="1" x14ac:dyDescent="0.15">
      <c r="B96" s="149"/>
      <c r="C96" s="31" t="s">
        <v>61</v>
      </c>
      <c r="D96" s="137" t="s">
        <v>153</v>
      </c>
      <c r="E96" s="138"/>
      <c r="F96" s="138"/>
      <c r="G96" s="138"/>
      <c r="H96" s="138"/>
      <c r="I96" s="138"/>
      <c r="J96" s="138"/>
      <c r="K96" s="138"/>
      <c r="L96" s="138"/>
      <c r="M96" s="138"/>
      <c r="N96" s="138"/>
      <c r="O96" s="138"/>
      <c r="P96" s="138"/>
      <c r="Q96" s="138"/>
      <c r="R96" s="138"/>
      <c r="S96" s="139"/>
    </row>
    <row r="97" spans="1:19" ht="153" customHeight="1" x14ac:dyDescent="0.15">
      <c r="B97" s="148" t="s">
        <v>80</v>
      </c>
      <c r="C97" s="30" t="s">
        <v>58</v>
      </c>
      <c r="D97" s="151" t="s">
        <v>171</v>
      </c>
      <c r="E97" s="152"/>
      <c r="F97" s="152"/>
      <c r="G97" s="152"/>
      <c r="H97" s="152"/>
      <c r="I97" s="152"/>
      <c r="J97" s="152"/>
      <c r="K97" s="152"/>
      <c r="L97" s="152"/>
      <c r="M97" s="152"/>
      <c r="N97" s="152"/>
      <c r="O97" s="152"/>
      <c r="P97" s="152"/>
      <c r="Q97" s="152"/>
      <c r="R97" s="152"/>
      <c r="S97" s="153"/>
    </row>
    <row r="98" spans="1:19" ht="97.5" customHeight="1" x14ac:dyDescent="0.15">
      <c r="B98" s="150"/>
      <c r="C98" s="33" t="s">
        <v>76</v>
      </c>
      <c r="D98" s="142" t="s">
        <v>158</v>
      </c>
      <c r="E98" s="143"/>
      <c r="F98" s="143"/>
      <c r="G98" s="143"/>
      <c r="H98" s="143"/>
      <c r="I98" s="143"/>
      <c r="J98" s="143"/>
      <c r="K98" s="143"/>
      <c r="L98" s="143"/>
      <c r="M98" s="143"/>
      <c r="N98" s="143"/>
      <c r="O98" s="143"/>
      <c r="P98" s="143"/>
      <c r="Q98" s="143"/>
      <c r="R98" s="143"/>
      <c r="S98" s="144"/>
    </row>
    <row r="99" spans="1:19" ht="97.5" customHeight="1" x14ac:dyDescent="0.15">
      <c r="B99" s="149"/>
      <c r="C99" s="32" t="s">
        <v>77</v>
      </c>
      <c r="D99" s="154" t="s">
        <v>159</v>
      </c>
      <c r="E99" s="155"/>
      <c r="F99" s="155"/>
      <c r="G99" s="155"/>
      <c r="H99" s="155"/>
      <c r="I99" s="155"/>
      <c r="J99" s="155"/>
      <c r="K99" s="155"/>
      <c r="L99" s="155"/>
      <c r="M99" s="155"/>
      <c r="N99" s="155"/>
      <c r="O99" s="155"/>
      <c r="P99" s="155"/>
      <c r="Q99" s="155"/>
      <c r="R99" s="155"/>
      <c r="S99" s="156"/>
    </row>
    <row r="100" spans="1:19" ht="6" customHeight="1" x14ac:dyDescent="0.15"/>
    <row r="101" spans="1:19" ht="18.75" customHeight="1" x14ac:dyDescent="0.15">
      <c r="A101" s="1" t="s">
        <v>121</v>
      </c>
    </row>
    <row r="102" spans="1:19" ht="81.75" customHeight="1" x14ac:dyDescent="0.15">
      <c r="B102" s="119" t="s">
        <v>150</v>
      </c>
      <c r="C102" s="120"/>
      <c r="D102" s="120"/>
      <c r="E102" s="120"/>
      <c r="F102" s="120"/>
      <c r="G102" s="120"/>
      <c r="H102" s="120"/>
      <c r="I102" s="120"/>
      <c r="J102" s="120"/>
      <c r="K102" s="120"/>
      <c r="L102" s="120"/>
      <c r="M102" s="120"/>
      <c r="N102" s="120"/>
      <c r="O102" s="120"/>
      <c r="P102" s="120"/>
      <c r="Q102" s="120"/>
      <c r="R102" s="120"/>
      <c r="S102" s="121"/>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P69:S75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Y35" sqref="Y3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71" t="str">
        <f>'様式１　プログラムを構成する授業科目'!C2</f>
        <v>就実大学</v>
      </c>
      <c r="AN2" s="171"/>
      <c r="AO2" s="171"/>
      <c r="AP2" s="171"/>
      <c r="AQ2" s="171"/>
    </row>
    <row r="3" spans="1:45" ht="18" customHeight="1" x14ac:dyDescent="0.15">
      <c r="A3" s="109" t="s">
        <v>48</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2" t="s">
        <v>164</v>
      </c>
      <c r="D5" s="17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4" t="s">
        <v>45</v>
      </c>
      <c r="C9" s="189" t="s">
        <v>87</v>
      </c>
      <c r="D9" s="177" t="s">
        <v>47</v>
      </c>
      <c r="E9" s="180" t="s">
        <v>40</v>
      </c>
      <c r="F9" s="170" t="s">
        <v>86</v>
      </c>
      <c r="G9" s="170"/>
      <c r="H9" s="170"/>
      <c r="I9" s="170"/>
      <c r="J9" s="170"/>
      <c r="K9" s="170"/>
      <c r="L9" s="170" t="s">
        <v>49</v>
      </c>
      <c r="M9" s="170"/>
      <c r="N9" s="170"/>
      <c r="O9" s="170"/>
      <c r="P9" s="170"/>
      <c r="Q9" s="170"/>
      <c r="R9" s="170" t="s">
        <v>50</v>
      </c>
      <c r="S9" s="170"/>
      <c r="T9" s="170"/>
      <c r="U9" s="170"/>
      <c r="V9" s="170"/>
      <c r="W9" s="170"/>
      <c r="X9" s="170" t="s">
        <v>101</v>
      </c>
      <c r="Y9" s="170"/>
      <c r="Z9" s="170"/>
      <c r="AA9" s="170"/>
      <c r="AB9" s="170"/>
      <c r="AC9" s="170"/>
      <c r="AD9" s="170" t="s">
        <v>51</v>
      </c>
      <c r="AE9" s="170"/>
      <c r="AF9" s="170"/>
      <c r="AG9" s="170"/>
      <c r="AH9" s="170"/>
      <c r="AI9" s="170"/>
      <c r="AJ9" s="170" t="s">
        <v>52</v>
      </c>
      <c r="AK9" s="170"/>
      <c r="AL9" s="170"/>
      <c r="AM9" s="170"/>
      <c r="AN9" s="170"/>
      <c r="AO9" s="170"/>
      <c r="AP9" s="183" t="s">
        <v>35</v>
      </c>
      <c r="AQ9" s="186" t="s">
        <v>32</v>
      </c>
      <c r="AS9" s="2"/>
    </row>
    <row r="10" spans="1:45" ht="16.899999999999999" customHeight="1" x14ac:dyDescent="0.15">
      <c r="B10" s="175"/>
      <c r="C10" s="190"/>
      <c r="D10" s="178"/>
      <c r="E10" s="181"/>
      <c r="F10" s="168" t="s">
        <v>97</v>
      </c>
      <c r="G10" s="169"/>
      <c r="H10" s="169"/>
      <c r="I10" s="168" t="s">
        <v>29</v>
      </c>
      <c r="J10" s="169"/>
      <c r="K10" s="169"/>
      <c r="L10" s="168" t="s">
        <v>97</v>
      </c>
      <c r="M10" s="169"/>
      <c r="N10" s="169"/>
      <c r="O10" s="168" t="s">
        <v>29</v>
      </c>
      <c r="P10" s="169"/>
      <c r="Q10" s="169"/>
      <c r="R10" s="168" t="s">
        <v>97</v>
      </c>
      <c r="S10" s="169"/>
      <c r="T10" s="169"/>
      <c r="U10" s="168" t="s">
        <v>29</v>
      </c>
      <c r="V10" s="169"/>
      <c r="W10" s="169"/>
      <c r="X10" s="168" t="s">
        <v>97</v>
      </c>
      <c r="Y10" s="169"/>
      <c r="Z10" s="169"/>
      <c r="AA10" s="168" t="s">
        <v>29</v>
      </c>
      <c r="AB10" s="169"/>
      <c r="AC10" s="169"/>
      <c r="AD10" s="168" t="s">
        <v>97</v>
      </c>
      <c r="AE10" s="169"/>
      <c r="AF10" s="169"/>
      <c r="AG10" s="168" t="s">
        <v>29</v>
      </c>
      <c r="AH10" s="169"/>
      <c r="AI10" s="169"/>
      <c r="AJ10" s="168" t="s">
        <v>97</v>
      </c>
      <c r="AK10" s="169"/>
      <c r="AL10" s="169"/>
      <c r="AM10" s="168" t="s">
        <v>29</v>
      </c>
      <c r="AN10" s="169"/>
      <c r="AO10" s="169"/>
      <c r="AP10" s="184"/>
      <c r="AQ10" s="187"/>
      <c r="AS10" s="2"/>
    </row>
    <row r="11" spans="1:45" ht="18" customHeight="1" x14ac:dyDescent="0.15">
      <c r="B11" s="176"/>
      <c r="C11" s="191"/>
      <c r="D11" s="179"/>
      <c r="E11" s="18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5"/>
      <c r="AQ11" s="188"/>
      <c r="AS11" s="2"/>
    </row>
    <row r="12" spans="1:45" ht="18" customHeight="1" x14ac:dyDescent="0.15">
      <c r="A12" s="6"/>
      <c r="B12" s="11" t="s">
        <v>165</v>
      </c>
      <c r="C12" s="62">
        <v>966</v>
      </c>
      <c r="D12" s="63">
        <v>235</v>
      </c>
      <c r="E12" s="64">
        <v>930</v>
      </c>
      <c r="F12" s="64">
        <f>G12+H12</f>
        <v>279</v>
      </c>
      <c r="G12" s="65">
        <v>131</v>
      </c>
      <c r="H12" s="66">
        <v>148</v>
      </c>
      <c r="I12" s="64">
        <f>J12+K12</f>
        <v>264</v>
      </c>
      <c r="J12" s="65">
        <v>124</v>
      </c>
      <c r="K12" s="66">
        <v>140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279</v>
      </c>
      <c r="AQ12" s="21">
        <f t="shared" ref="AQ12:AQ31" si="0">AP12/E12</f>
        <v>0.3</v>
      </c>
    </row>
    <row r="13" spans="1:45" ht="18" customHeight="1" x14ac:dyDescent="0.15">
      <c r="A13" s="6"/>
      <c r="B13" s="12" t="s">
        <v>166</v>
      </c>
      <c r="C13" s="67">
        <v>598</v>
      </c>
      <c r="D13" s="68">
        <v>137</v>
      </c>
      <c r="E13" s="69">
        <v>556</v>
      </c>
      <c r="F13" s="70">
        <f t="shared" ref="F13:F31" si="1">G13+H13</f>
        <v>159</v>
      </c>
      <c r="G13" s="71">
        <v>24</v>
      </c>
      <c r="H13" s="72">
        <v>135</v>
      </c>
      <c r="I13" s="70">
        <f t="shared" ref="I13:I31" si="2">J13+K13</f>
        <v>158</v>
      </c>
      <c r="J13" s="71">
        <v>23</v>
      </c>
      <c r="K13" s="72">
        <v>135</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159</v>
      </c>
      <c r="AQ13" s="20">
        <f t="shared" si="0"/>
        <v>0.28597122302158273</v>
      </c>
    </row>
    <row r="14" spans="1:45" ht="18" customHeight="1" x14ac:dyDescent="0.15">
      <c r="A14" s="6"/>
      <c r="B14" s="12" t="s">
        <v>167</v>
      </c>
      <c r="C14" s="67">
        <v>387</v>
      </c>
      <c r="D14" s="68">
        <v>100</v>
      </c>
      <c r="E14" s="69">
        <v>380</v>
      </c>
      <c r="F14" s="70">
        <f t="shared" si="1"/>
        <v>111</v>
      </c>
      <c r="G14" s="71">
        <v>50</v>
      </c>
      <c r="H14" s="72">
        <v>61</v>
      </c>
      <c r="I14" s="70">
        <f t="shared" si="2"/>
        <v>107</v>
      </c>
      <c r="J14" s="71">
        <v>46</v>
      </c>
      <c r="K14" s="72">
        <v>61</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111</v>
      </c>
      <c r="AQ14" s="8">
        <f t="shared" si="0"/>
        <v>0.29210526315789476</v>
      </c>
    </row>
    <row r="15" spans="1:45" ht="18" customHeight="1" x14ac:dyDescent="0.15">
      <c r="A15" s="6"/>
      <c r="B15" s="12" t="s">
        <v>168</v>
      </c>
      <c r="C15" s="67">
        <v>511</v>
      </c>
      <c r="D15" s="68">
        <v>100</v>
      </c>
      <c r="E15" s="69">
        <v>660</v>
      </c>
      <c r="F15" s="70">
        <f t="shared" si="1"/>
        <v>98</v>
      </c>
      <c r="G15" s="71">
        <v>33</v>
      </c>
      <c r="H15" s="72">
        <v>65</v>
      </c>
      <c r="I15" s="70">
        <f t="shared" si="2"/>
        <v>96</v>
      </c>
      <c r="J15" s="71">
        <v>33</v>
      </c>
      <c r="K15" s="72">
        <v>63</v>
      </c>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98</v>
      </c>
      <c r="AQ15" s="8">
        <f t="shared" si="0"/>
        <v>0.1484848484848485</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2462</v>
      </c>
      <c r="D32" s="78">
        <f t="shared" ref="D32:AP32" si="15">SUM(D12:D31)</f>
        <v>572</v>
      </c>
      <c r="E32" s="79">
        <f t="shared" si="15"/>
        <v>2526</v>
      </c>
      <c r="F32" s="79">
        <f t="shared" si="15"/>
        <v>647</v>
      </c>
      <c r="G32" s="80">
        <f t="shared" si="15"/>
        <v>238</v>
      </c>
      <c r="H32" s="81">
        <f t="shared" si="15"/>
        <v>409</v>
      </c>
      <c r="I32" s="79">
        <f t="shared" ref="I32:N32" si="16">SUM(I12:I31)</f>
        <v>625</v>
      </c>
      <c r="J32" s="80">
        <f t="shared" si="16"/>
        <v>226</v>
      </c>
      <c r="K32" s="81">
        <f t="shared" si="16"/>
        <v>399</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647</v>
      </c>
      <c r="AQ32" s="9">
        <f>AP32/E32</f>
        <v>0.25613618368962787</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7" zoomScaleNormal="100" zoomScaleSheetLayoutView="100" workbookViewId="0">
      <selection activeCell="I50" sqref="I50"/>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5" t="str">
        <f>'様式１　プログラムを構成する授業科目'!C2</f>
        <v>就実大学</v>
      </c>
      <c r="I2" s="97"/>
    </row>
    <row r="3" spans="1:9" ht="18.75" customHeight="1" x14ac:dyDescent="0.15">
      <c r="G3" s="35"/>
      <c r="H3" s="10"/>
      <c r="I3" s="10"/>
    </row>
    <row r="4" spans="1:9" ht="18.600000000000001" customHeight="1" x14ac:dyDescent="0.15">
      <c r="A4" s="109" t="s">
        <v>36</v>
      </c>
      <c r="B4" s="109"/>
      <c r="C4" s="109"/>
      <c r="D4" s="109"/>
      <c r="E4" s="109"/>
      <c r="F4" s="109"/>
      <c r="G4" s="109"/>
      <c r="H4" s="109"/>
      <c r="I4" s="109"/>
    </row>
    <row r="5" spans="1:9" ht="13.15" customHeight="1" x14ac:dyDescent="0.15">
      <c r="B5" s="3"/>
      <c r="C5" s="3"/>
      <c r="D5" s="3"/>
      <c r="E5" s="3"/>
      <c r="F5" s="3"/>
      <c r="G5" s="3"/>
      <c r="H5" s="3"/>
      <c r="I5" s="3"/>
    </row>
    <row r="6" spans="1:9" ht="18" customHeight="1" x14ac:dyDescent="0.15">
      <c r="A6" s="1" t="s">
        <v>0</v>
      </c>
      <c r="B6" s="10" t="s">
        <v>91</v>
      </c>
      <c r="C6" s="243" t="s">
        <v>92</v>
      </c>
      <c r="D6" s="243"/>
      <c r="E6" s="34">
        <v>130</v>
      </c>
      <c r="F6" s="3" t="s">
        <v>1</v>
      </c>
      <c r="G6" s="3" t="s">
        <v>2</v>
      </c>
      <c r="H6" s="34">
        <v>164</v>
      </c>
      <c r="I6" s="10" t="s">
        <v>1</v>
      </c>
    </row>
    <row r="7" spans="1:9" ht="12" customHeight="1" x14ac:dyDescent="0.15">
      <c r="C7" s="2"/>
      <c r="D7" s="2"/>
      <c r="E7" s="2"/>
      <c r="F7" s="2"/>
      <c r="G7" s="2"/>
      <c r="H7" s="2"/>
      <c r="I7" s="42"/>
    </row>
    <row r="8" spans="1:9" ht="18" customHeight="1" x14ac:dyDescent="0.15">
      <c r="A8" s="1" t="s">
        <v>3</v>
      </c>
      <c r="B8" s="10" t="s">
        <v>93</v>
      </c>
      <c r="E8" s="3"/>
      <c r="F8" s="3"/>
      <c r="G8" s="3"/>
      <c r="H8" s="34">
        <v>3</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38" t="s">
        <v>132</v>
      </c>
      <c r="D11" s="241"/>
      <c r="E11" s="242"/>
      <c r="F11" s="42"/>
      <c r="G11" s="35" t="s">
        <v>10</v>
      </c>
      <c r="H11" s="238" t="s">
        <v>133</v>
      </c>
      <c r="I11" s="242"/>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38" t="s">
        <v>172</v>
      </c>
      <c r="C14" s="239"/>
      <c r="D14" s="239"/>
      <c r="E14" s="239"/>
      <c r="F14" s="239"/>
      <c r="G14" s="239"/>
      <c r="H14" s="239"/>
      <c r="I14" s="240"/>
    </row>
    <row r="15" spans="1:9" ht="9" customHeight="1" x14ac:dyDescent="0.15">
      <c r="B15" s="3"/>
      <c r="C15" s="3"/>
      <c r="D15" s="3"/>
      <c r="E15" s="3"/>
      <c r="F15" s="3"/>
      <c r="G15" s="3"/>
      <c r="H15" s="3"/>
      <c r="I15" s="3"/>
    </row>
    <row r="16" spans="1:9" ht="18" customHeight="1" x14ac:dyDescent="0.15">
      <c r="B16" s="35" t="s">
        <v>43</v>
      </c>
      <c r="C16" s="238" t="s">
        <v>132</v>
      </c>
      <c r="D16" s="241"/>
      <c r="E16" s="242"/>
      <c r="F16" s="42"/>
      <c r="G16" s="35" t="s">
        <v>10</v>
      </c>
      <c r="H16" s="238" t="s">
        <v>133</v>
      </c>
      <c r="I16" s="242"/>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30" t="s">
        <v>147</v>
      </c>
      <c r="C19" s="231"/>
      <c r="D19" s="231"/>
      <c r="E19" s="231"/>
      <c r="F19" s="231"/>
      <c r="G19" s="231"/>
      <c r="H19" s="231"/>
      <c r="I19" s="23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20" t="s">
        <v>134</v>
      </c>
      <c r="C22" s="221"/>
      <c r="D22" s="221"/>
      <c r="E22" s="221"/>
      <c r="F22" s="221"/>
      <c r="G22" s="221"/>
      <c r="H22" s="221"/>
      <c r="I22" s="222"/>
    </row>
    <row r="23" spans="1:9" ht="18.75" customHeight="1" x14ac:dyDescent="0.15">
      <c r="A23" s="15"/>
      <c r="B23" s="233"/>
      <c r="C23" s="234"/>
      <c r="D23" s="234"/>
      <c r="E23" s="234"/>
      <c r="F23" s="234"/>
      <c r="G23" s="234"/>
      <c r="H23" s="234"/>
      <c r="I23" s="225"/>
    </row>
    <row r="24" spans="1:9" ht="18.75" customHeight="1" x14ac:dyDescent="0.15">
      <c r="A24" s="15"/>
      <c r="B24" s="233"/>
      <c r="C24" s="234"/>
      <c r="D24" s="234"/>
      <c r="E24" s="234"/>
      <c r="F24" s="234"/>
      <c r="G24" s="234"/>
      <c r="H24" s="234"/>
      <c r="I24" s="225"/>
    </row>
    <row r="25" spans="1:9" ht="18.75" customHeight="1" x14ac:dyDescent="0.15">
      <c r="A25" s="15"/>
      <c r="B25" s="233"/>
      <c r="C25" s="234"/>
      <c r="D25" s="234"/>
      <c r="E25" s="234"/>
      <c r="F25" s="234"/>
      <c r="G25" s="234"/>
      <c r="H25" s="234"/>
      <c r="I25" s="225"/>
    </row>
    <row r="26" spans="1:9" ht="18.75" customHeight="1" x14ac:dyDescent="0.15">
      <c r="A26" s="15"/>
      <c r="B26" s="233"/>
      <c r="C26" s="234"/>
      <c r="D26" s="234"/>
      <c r="E26" s="234"/>
      <c r="F26" s="234"/>
      <c r="G26" s="234"/>
      <c r="H26" s="234"/>
      <c r="I26" s="225"/>
    </row>
    <row r="27" spans="1:9" ht="18.75" customHeight="1" x14ac:dyDescent="0.15">
      <c r="A27" s="15"/>
      <c r="B27" s="233"/>
      <c r="C27" s="234"/>
      <c r="D27" s="234"/>
      <c r="E27" s="234"/>
      <c r="F27" s="234"/>
      <c r="G27" s="234"/>
      <c r="H27" s="234"/>
      <c r="I27" s="225"/>
    </row>
    <row r="28" spans="1:9" ht="18.75" customHeight="1" x14ac:dyDescent="0.15">
      <c r="A28" s="15"/>
      <c r="B28" s="233"/>
      <c r="C28" s="234"/>
      <c r="D28" s="234"/>
      <c r="E28" s="234"/>
      <c r="F28" s="234"/>
      <c r="G28" s="234"/>
      <c r="H28" s="234"/>
      <c r="I28" s="225"/>
    </row>
    <row r="29" spans="1:9" ht="18.75" customHeight="1" x14ac:dyDescent="0.15">
      <c r="A29" s="15"/>
      <c r="B29" s="233"/>
      <c r="C29" s="234"/>
      <c r="D29" s="234"/>
      <c r="E29" s="234"/>
      <c r="F29" s="234"/>
      <c r="G29" s="234"/>
      <c r="H29" s="234"/>
      <c r="I29" s="225"/>
    </row>
    <row r="30" spans="1:9" ht="18.75" customHeight="1" x14ac:dyDescent="0.15">
      <c r="A30" s="15"/>
      <c r="B30" s="223"/>
      <c r="C30" s="224"/>
      <c r="D30" s="224"/>
      <c r="E30" s="224"/>
      <c r="F30" s="224"/>
      <c r="G30" s="224"/>
      <c r="H30" s="224"/>
      <c r="I30" s="225"/>
    </row>
    <row r="31" spans="1:9" ht="18.75" customHeight="1" x14ac:dyDescent="0.15">
      <c r="A31" s="15"/>
      <c r="B31" s="223"/>
      <c r="C31" s="224"/>
      <c r="D31" s="224"/>
      <c r="E31" s="224"/>
      <c r="F31" s="224"/>
      <c r="G31" s="224"/>
      <c r="H31" s="224"/>
      <c r="I31" s="225"/>
    </row>
    <row r="32" spans="1:9" ht="18.75" customHeight="1" x14ac:dyDescent="0.15">
      <c r="A32" s="15"/>
      <c r="B32" s="226"/>
      <c r="C32" s="227"/>
      <c r="D32" s="227"/>
      <c r="E32" s="227"/>
      <c r="F32" s="227"/>
      <c r="G32" s="227"/>
      <c r="H32" s="227"/>
      <c r="I32" s="228"/>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20" t="s">
        <v>135</v>
      </c>
      <c r="C35" s="221"/>
      <c r="D35" s="221"/>
      <c r="E35" s="221"/>
      <c r="F35" s="221"/>
      <c r="G35" s="221"/>
      <c r="H35" s="221"/>
      <c r="I35" s="222"/>
    </row>
    <row r="36" spans="1:9" ht="18.75" customHeight="1" x14ac:dyDescent="0.15">
      <c r="A36" s="15"/>
      <c r="B36" s="223"/>
      <c r="C36" s="224"/>
      <c r="D36" s="224"/>
      <c r="E36" s="224"/>
      <c r="F36" s="224"/>
      <c r="G36" s="224"/>
      <c r="H36" s="224"/>
      <c r="I36" s="225"/>
    </row>
    <row r="37" spans="1:9" ht="18.75" customHeight="1" x14ac:dyDescent="0.15">
      <c r="A37" s="15"/>
      <c r="B37" s="223"/>
      <c r="C37" s="224"/>
      <c r="D37" s="224"/>
      <c r="E37" s="224"/>
      <c r="F37" s="224"/>
      <c r="G37" s="224"/>
      <c r="H37" s="224"/>
      <c r="I37" s="225"/>
    </row>
    <row r="38" spans="1:9" ht="18.75" customHeight="1" x14ac:dyDescent="0.15">
      <c r="A38" s="15"/>
      <c r="B38" s="223"/>
      <c r="C38" s="224"/>
      <c r="D38" s="224"/>
      <c r="E38" s="224"/>
      <c r="F38" s="224"/>
      <c r="G38" s="224"/>
      <c r="H38" s="224"/>
      <c r="I38" s="225"/>
    </row>
    <row r="39" spans="1:9" ht="18.75" customHeight="1" x14ac:dyDescent="0.15">
      <c r="A39" s="15"/>
      <c r="B39" s="223"/>
      <c r="C39" s="224"/>
      <c r="D39" s="224"/>
      <c r="E39" s="224"/>
      <c r="F39" s="224"/>
      <c r="G39" s="224"/>
      <c r="H39" s="224"/>
      <c r="I39" s="225"/>
    </row>
    <row r="40" spans="1:9" ht="18.75" customHeight="1" x14ac:dyDescent="0.15">
      <c r="A40" s="15"/>
      <c r="B40" s="223"/>
      <c r="C40" s="224"/>
      <c r="D40" s="224"/>
      <c r="E40" s="224"/>
      <c r="F40" s="224"/>
      <c r="G40" s="224"/>
      <c r="H40" s="224"/>
      <c r="I40" s="225"/>
    </row>
    <row r="41" spans="1:9" ht="18.75" customHeight="1" x14ac:dyDescent="0.15">
      <c r="A41" s="15"/>
      <c r="B41" s="223"/>
      <c r="C41" s="224"/>
      <c r="D41" s="224"/>
      <c r="E41" s="224"/>
      <c r="F41" s="224"/>
      <c r="G41" s="224"/>
      <c r="H41" s="224"/>
      <c r="I41" s="225"/>
    </row>
    <row r="42" spans="1:9" ht="18.75" customHeight="1" x14ac:dyDescent="0.15">
      <c r="A42" s="15"/>
      <c r="B42" s="223"/>
      <c r="C42" s="224"/>
      <c r="D42" s="224"/>
      <c r="E42" s="224"/>
      <c r="F42" s="224"/>
      <c r="G42" s="224"/>
      <c r="H42" s="224"/>
      <c r="I42" s="225"/>
    </row>
    <row r="43" spans="1:9" ht="18.75" customHeight="1" x14ac:dyDescent="0.15">
      <c r="A43" s="15"/>
      <c r="B43" s="223"/>
      <c r="C43" s="224"/>
      <c r="D43" s="224"/>
      <c r="E43" s="224"/>
      <c r="F43" s="224"/>
      <c r="G43" s="224"/>
      <c r="H43" s="224"/>
      <c r="I43" s="225"/>
    </row>
    <row r="44" spans="1:9" ht="18.75" customHeight="1" x14ac:dyDescent="0.15">
      <c r="A44" s="15"/>
      <c r="B44" s="223"/>
      <c r="C44" s="224"/>
      <c r="D44" s="224"/>
      <c r="E44" s="224"/>
      <c r="F44" s="224"/>
      <c r="G44" s="224"/>
      <c r="H44" s="224"/>
      <c r="I44" s="225"/>
    </row>
    <row r="45" spans="1:9" ht="18.75" customHeight="1" x14ac:dyDescent="0.15">
      <c r="A45" s="15"/>
      <c r="B45" s="223"/>
      <c r="C45" s="224"/>
      <c r="D45" s="224"/>
      <c r="E45" s="224"/>
      <c r="F45" s="224"/>
      <c r="G45" s="224"/>
      <c r="H45" s="224"/>
      <c r="I45" s="225"/>
    </row>
    <row r="46" spans="1:9" ht="18.75" customHeight="1" x14ac:dyDescent="0.15">
      <c r="A46" s="15"/>
      <c r="B46" s="226"/>
      <c r="C46" s="227"/>
      <c r="D46" s="227"/>
      <c r="E46" s="227"/>
      <c r="F46" s="227"/>
      <c r="G46" s="227"/>
      <c r="H46" s="227"/>
      <c r="I46" s="228"/>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08">
        <f>'様式２ 履修者等数の実績'!AQ32</f>
        <v>0.25613618368962787</v>
      </c>
      <c r="D49" s="208"/>
      <c r="E49" s="43" t="s">
        <v>66</v>
      </c>
      <c r="F49" s="208">
        <v>0.54</v>
      </c>
      <c r="G49" s="208"/>
      <c r="H49" s="43" t="s">
        <v>67</v>
      </c>
      <c r="I49" s="44">
        <v>0.79</v>
      </c>
      <c r="J49" s="1"/>
      <c r="M49" s="1"/>
      <c r="N49" s="45"/>
    </row>
    <row r="50" spans="1:15" s="3" customFormat="1" ht="18.75" customHeight="1" x14ac:dyDescent="0.15">
      <c r="B50" s="46" t="s">
        <v>68</v>
      </c>
      <c r="C50" s="209">
        <v>1</v>
      </c>
      <c r="D50" s="210"/>
      <c r="E50" s="46" t="s">
        <v>90</v>
      </c>
      <c r="F50" s="244">
        <v>1</v>
      </c>
      <c r="G50" s="244"/>
      <c r="H50" s="46" t="s">
        <v>69</v>
      </c>
      <c r="I50" s="47">
        <f>'様式２ 履修者等数の実績'!E32</f>
        <v>2526</v>
      </c>
      <c r="J50" s="1"/>
      <c r="M50" s="1"/>
      <c r="N50" s="45"/>
    </row>
    <row r="51" spans="1:15" ht="18.75" customHeight="1" x14ac:dyDescent="0.15">
      <c r="A51" s="1"/>
      <c r="B51" s="235" t="s">
        <v>70</v>
      </c>
      <c r="C51" s="236"/>
      <c r="D51" s="236"/>
      <c r="E51" s="236"/>
      <c r="F51" s="236"/>
      <c r="G51" s="236"/>
      <c r="H51" s="236"/>
      <c r="I51" s="237"/>
      <c r="N51" s="45"/>
      <c r="O51" s="3"/>
    </row>
    <row r="52" spans="1:15" ht="18.75" customHeight="1" x14ac:dyDescent="0.15">
      <c r="A52" s="1"/>
      <c r="B52" s="211" t="s">
        <v>136</v>
      </c>
      <c r="C52" s="212"/>
      <c r="D52" s="212"/>
      <c r="E52" s="212"/>
      <c r="F52" s="212"/>
      <c r="G52" s="212"/>
      <c r="H52" s="212"/>
      <c r="I52" s="213"/>
      <c r="N52" s="45"/>
      <c r="O52" s="3"/>
    </row>
    <row r="53" spans="1:15" ht="18.75" customHeight="1" x14ac:dyDescent="0.15">
      <c r="A53" s="1"/>
      <c r="B53" s="214"/>
      <c r="C53" s="215"/>
      <c r="D53" s="215"/>
      <c r="E53" s="215"/>
      <c r="F53" s="215"/>
      <c r="G53" s="215"/>
      <c r="H53" s="215"/>
      <c r="I53" s="216"/>
      <c r="N53" s="45"/>
      <c r="O53" s="3"/>
    </row>
    <row r="54" spans="1:15" ht="18.75" customHeight="1" x14ac:dyDescent="0.15">
      <c r="A54" s="1"/>
      <c r="B54" s="214"/>
      <c r="C54" s="215"/>
      <c r="D54" s="215"/>
      <c r="E54" s="215"/>
      <c r="F54" s="215"/>
      <c r="G54" s="215"/>
      <c r="H54" s="215"/>
      <c r="I54" s="216"/>
    </row>
    <row r="55" spans="1:15" ht="18.75" customHeight="1" x14ac:dyDescent="0.15">
      <c r="A55" s="1"/>
      <c r="B55" s="214"/>
      <c r="C55" s="215"/>
      <c r="D55" s="215"/>
      <c r="E55" s="215"/>
      <c r="F55" s="215"/>
      <c r="G55" s="215"/>
      <c r="H55" s="215"/>
      <c r="I55" s="216"/>
    </row>
    <row r="56" spans="1:15" ht="18.75" customHeight="1" x14ac:dyDescent="0.15">
      <c r="A56" s="1"/>
      <c r="B56" s="214"/>
      <c r="C56" s="215"/>
      <c r="D56" s="215"/>
      <c r="E56" s="215"/>
      <c r="F56" s="215"/>
      <c r="G56" s="215"/>
      <c r="H56" s="215"/>
      <c r="I56" s="216"/>
    </row>
    <row r="57" spans="1:15" ht="18.75" customHeight="1" x14ac:dyDescent="0.15">
      <c r="A57" s="1"/>
      <c r="B57" s="214"/>
      <c r="C57" s="215"/>
      <c r="D57" s="215"/>
      <c r="E57" s="215"/>
      <c r="F57" s="215"/>
      <c r="G57" s="215"/>
      <c r="H57" s="215"/>
      <c r="I57" s="216"/>
    </row>
    <row r="58" spans="1:15" ht="18.75" customHeight="1" x14ac:dyDescent="0.15">
      <c r="A58" s="1"/>
      <c r="B58" s="214"/>
      <c r="C58" s="215"/>
      <c r="D58" s="215"/>
      <c r="E58" s="215"/>
      <c r="F58" s="215"/>
      <c r="G58" s="215"/>
      <c r="H58" s="215"/>
      <c r="I58" s="216"/>
    </row>
    <row r="59" spans="1:15" ht="18.75" customHeight="1" x14ac:dyDescent="0.15">
      <c r="A59" s="1"/>
      <c r="B59" s="214"/>
      <c r="C59" s="215"/>
      <c r="D59" s="215"/>
      <c r="E59" s="215"/>
      <c r="F59" s="215"/>
      <c r="G59" s="215"/>
      <c r="H59" s="215"/>
      <c r="I59" s="216"/>
    </row>
    <row r="60" spans="1:15" ht="18.75" customHeight="1" x14ac:dyDescent="0.15">
      <c r="A60" s="1"/>
      <c r="B60" s="214"/>
      <c r="C60" s="215"/>
      <c r="D60" s="215"/>
      <c r="E60" s="215"/>
      <c r="F60" s="215"/>
      <c r="G60" s="215"/>
      <c r="H60" s="215"/>
      <c r="I60" s="216"/>
    </row>
    <row r="61" spans="1:15" ht="18.75" customHeight="1" x14ac:dyDescent="0.15">
      <c r="A61" s="1"/>
      <c r="B61" s="214"/>
      <c r="C61" s="215"/>
      <c r="D61" s="215"/>
      <c r="E61" s="215"/>
      <c r="F61" s="215"/>
      <c r="G61" s="215"/>
      <c r="H61" s="215"/>
      <c r="I61" s="216"/>
    </row>
    <row r="62" spans="1:15" ht="18.75" customHeight="1" x14ac:dyDescent="0.15">
      <c r="A62" s="1"/>
      <c r="B62" s="214"/>
      <c r="C62" s="215"/>
      <c r="D62" s="215"/>
      <c r="E62" s="215"/>
      <c r="F62" s="215"/>
      <c r="G62" s="215"/>
      <c r="H62" s="215"/>
      <c r="I62" s="216"/>
    </row>
    <row r="63" spans="1:15" ht="18.75" customHeight="1" x14ac:dyDescent="0.15">
      <c r="A63" s="1"/>
      <c r="B63" s="217"/>
      <c r="C63" s="218"/>
      <c r="D63" s="218"/>
      <c r="E63" s="218"/>
      <c r="F63" s="218"/>
      <c r="G63" s="218"/>
      <c r="H63" s="218"/>
      <c r="I63" s="219"/>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92" t="s">
        <v>137</v>
      </c>
      <c r="C66" s="193"/>
      <c r="D66" s="193"/>
      <c r="E66" s="193"/>
      <c r="F66" s="193"/>
      <c r="G66" s="193"/>
      <c r="H66" s="193"/>
      <c r="I66" s="194"/>
    </row>
    <row r="67" spans="1:9" ht="18.75" customHeight="1" x14ac:dyDescent="0.15">
      <c r="A67" s="4"/>
      <c r="B67" s="195"/>
      <c r="C67" s="196"/>
      <c r="D67" s="196"/>
      <c r="E67" s="196"/>
      <c r="F67" s="196"/>
      <c r="G67" s="196"/>
      <c r="H67" s="196"/>
      <c r="I67" s="197"/>
    </row>
    <row r="68" spans="1:9" ht="18.75" customHeight="1" x14ac:dyDescent="0.15">
      <c r="A68" s="4"/>
      <c r="B68" s="195"/>
      <c r="C68" s="196"/>
      <c r="D68" s="196"/>
      <c r="E68" s="196"/>
      <c r="F68" s="196"/>
      <c r="G68" s="196"/>
      <c r="H68" s="196"/>
      <c r="I68" s="197"/>
    </row>
    <row r="69" spans="1:9" ht="18.75" customHeight="1" x14ac:dyDescent="0.15">
      <c r="A69" s="4"/>
      <c r="B69" s="195"/>
      <c r="C69" s="196"/>
      <c r="D69" s="196"/>
      <c r="E69" s="196"/>
      <c r="F69" s="196"/>
      <c r="G69" s="196"/>
      <c r="H69" s="196"/>
      <c r="I69" s="197"/>
    </row>
    <row r="70" spans="1:9" ht="18.75" customHeight="1" x14ac:dyDescent="0.15">
      <c r="A70" s="4"/>
      <c r="B70" s="195"/>
      <c r="C70" s="196"/>
      <c r="D70" s="196"/>
      <c r="E70" s="196"/>
      <c r="F70" s="196"/>
      <c r="G70" s="196"/>
      <c r="H70" s="196"/>
      <c r="I70" s="197"/>
    </row>
    <row r="71" spans="1:9" ht="18.75" customHeight="1" x14ac:dyDescent="0.15">
      <c r="A71" s="4"/>
      <c r="B71" s="195"/>
      <c r="C71" s="196"/>
      <c r="D71" s="196"/>
      <c r="E71" s="196"/>
      <c r="F71" s="196"/>
      <c r="G71" s="196"/>
      <c r="H71" s="196"/>
      <c r="I71" s="197"/>
    </row>
    <row r="72" spans="1:9" ht="18.75" customHeight="1" x14ac:dyDescent="0.15">
      <c r="A72" s="4"/>
      <c r="B72" s="195"/>
      <c r="C72" s="196"/>
      <c r="D72" s="196"/>
      <c r="E72" s="196"/>
      <c r="F72" s="196"/>
      <c r="G72" s="196"/>
      <c r="H72" s="196"/>
      <c r="I72" s="197"/>
    </row>
    <row r="73" spans="1:9" ht="18.75" customHeight="1" x14ac:dyDescent="0.15">
      <c r="A73" s="4"/>
      <c r="B73" s="195"/>
      <c r="C73" s="196"/>
      <c r="D73" s="196"/>
      <c r="E73" s="196"/>
      <c r="F73" s="196"/>
      <c r="G73" s="196"/>
      <c r="H73" s="196"/>
      <c r="I73" s="197"/>
    </row>
    <row r="74" spans="1:9" ht="18.75" customHeight="1" x14ac:dyDescent="0.15">
      <c r="A74" s="4"/>
      <c r="B74" s="195"/>
      <c r="C74" s="196"/>
      <c r="D74" s="196"/>
      <c r="E74" s="196"/>
      <c r="F74" s="196"/>
      <c r="G74" s="196"/>
      <c r="H74" s="196"/>
      <c r="I74" s="197"/>
    </row>
    <row r="75" spans="1:9" ht="18.75" customHeight="1" x14ac:dyDescent="0.15">
      <c r="A75" s="4"/>
      <c r="B75" s="195"/>
      <c r="C75" s="196"/>
      <c r="D75" s="196"/>
      <c r="E75" s="196"/>
      <c r="F75" s="196"/>
      <c r="G75" s="196"/>
      <c r="H75" s="196"/>
      <c r="I75" s="197"/>
    </row>
    <row r="76" spans="1:9" ht="18.75" customHeight="1" x14ac:dyDescent="0.15">
      <c r="A76" s="4"/>
      <c r="B76" s="195"/>
      <c r="C76" s="196"/>
      <c r="D76" s="196"/>
      <c r="E76" s="196"/>
      <c r="F76" s="196"/>
      <c r="G76" s="196"/>
      <c r="H76" s="196"/>
      <c r="I76" s="197"/>
    </row>
    <row r="77" spans="1:9" ht="18.75" customHeight="1" x14ac:dyDescent="0.15">
      <c r="A77" s="4"/>
      <c r="B77" s="198"/>
      <c r="C77" s="199"/>
      <c r="D77" s="199"/>
      <c r="E77" s="199"/>
      <c r="F77" s="199"/>
      <c r="G77" s="199"/>
      <c r="H77" s="199"/>
      <c r="I77" s="20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92" t="s">
        <v>137</v>
      </c>
      <c r="C80" s="193"/>
      <c r="D80" s="193"/>
      <c r="E80" s="193"/>
      <c r="F80" s="193"/>
      <c r="G80" s="193"/>
      <c r="H80" s="193"/>
      <c r="I80" s="201"/>
    </row>
    <row r="81" spans="1:9" ht="18.75" customHeight="1" x14ac:dyDescent="0.15">
      <c r="A81" s="1"/>
      <c r="B81" s="202"/>
      <c r="C81" s="203"/>
      <c r="D81" s="203"/>
      <c r="E81" s="203"/>
      <c r="F81" s="203"/>
      <c r="G81" s="203"/>
      <c r="H81" s="203"/>
      <c r="I81" s="204"/>
    </row>
    <row r="82" spans="1:9" ht="18.75" customHeight="1" x14ac:dyDescent="0.15">
      <c r="A82" s="1"/>
      <c r="B82" s="202"/>
      <c r="C82" s="203"/>
      <c r="D82" s="203"/>
      <c r="E82" s="203"/>
      <c r="F82" s="203"/>
      <c r="G82" s="203"/>
      <c r="H82" s="203"/>
      <c r="I82" s="204"/>
    </row>
    <row r="83" spans="1:9" ht="18.75" customHeight="1" x14ac:dyDescent="0.15">
      <c r="A83" s="1"/>
      <c r="B83" s="202"/>
      <c r="C83" s="203"/>
      <c r="D83" s="203"/>
      <c r="E83" s="203"/>
      <c r="F83" s="203"/>
      <c r="G83" s="203"/>
      <c r="H83" s="203"/>
      <c r="I83" s="204"/>
    </row>
    <row r="84" spans="1:9" ht="18.75" customHeight="1" x14ac:dyDescent="0.15">
      <c r="A84" s="1"/>
      <c r="B84" s="202"/>
      <c r="C84" s="203"/>
      <c r="D84" s="203"/>
      <c r="E84" s="203"/>
      <c r="F84" s="203"/>
      <c r="G84" s="203"/>
      <c r="H84" s="203"/>
      <c r="I84" s="204"/>
    </row>
    <row r="85" spans="1:9" ht="18.75" customHeight="1" x14ac:dyDescent="0.15">
      <c r="A85" s="1"/>
      <c r="B85" s="202"/>
      <c r="C85" s="203"/>
      <c r="D85" s="203"/>
      <c r="E85" s="203"/>
      <c r="F85" s="203"/>
      <c r="G85" s="203"/>
      <c r="H85" s="203"/>
      <c r="I85" s="204"/>
    </row>
    <row r="86" spans="1:9" ht="18.75" customHeight="1" x14ac:dyDescent="0.15">
      <c r="A86" s="1"/>
      <c r="B86" s="202"/>
      <c r="C86" s="203"/>
      <c r="D86" s="203"/>
      <c r="E86" s="203"/>
      <c r="F86" s="203"/>
      <c r="G86" s="203"/>
      <c r="H86" s="203"/>
      <c r="I86" s="204"/>
    </row>
    <row r="87" spans="1:9" ht="18.75" customHeight="1" x14ac:dyDescent="0.15">
      <c r="A87" s="1"/>
      <c r="B87" s="202"/>
      <c r="C87" s="203"/>
      <c r="D87" s="203"/>
      <c r="E87" s="203"/>
      <c r="F87" s="203"/>
      <c r="G87" s="203"/>
      <c r="H87" s="203"/>
      <c r="I87" s="204"/>
    </row>
    <row r="88" spans="1:9" ht="18.75" customHeight="1" x14ac:dyDescent="0.15">
      <c r="A88" s="1"/>
      <c r="B88" s="202"/>
      <c r="C88" s="203"/>
      <c r="D88" s="203"/>
      <c r="E88" s="203"/>
      <c r="F88" s="203"/>
      <c r="G88" s="203"/>
      <c r="H88" s="203"/>
      <c r="I88" s="204"/>
    </row>
    <row r="89" spans="1:9" ht="18.75" customHeight="1" x14ac:dyDescent="0.15">
      <c r="A89" s="1"/>
      <c r="B89" s="202"/>
      <c r="C89" s="203"/>
      <c r="D89" s="203"/>
      <c r="E89" s="203"/>
      <c r="F89" s="203"/>
      <c r="G89" s="203"/>
      <c r="H89" s="203"/>
      <c r="I89" s="204"/>
    </row>
    <row r="90" spans="1:9" ht="18.75" customHeight="1" x14ac:dyDescent="0.15">
      <c r="A90" s="4"/>
      <c r="B90" s="202"/>
      <c r="C90" s="203"/>
      <c r="D90" s="203"/>
      <c r="E90" s="203"/>
      <c r="F90" s="203"/>
      <c r="G90" s="203"/>
      <c r="H90" s="203"/>
      <c r="I90" s="204"/>
    </row>
    <row r="91" spans="1:9" ht="18.75" customHeight="1" x14ac:dyDescent="0.15">
      <c r="A91" s="4"/>
      <c r="B91" s="205"/>
      <c r="C91" s="206"/>
      <c r="D91" s="206"/>
      <c r="E91" s="206"/>
      <c r="F91" s="206"/>
      <c r="G91" s="206"/>
      <c r="H91" s="206"/>
      <c r="I91" s="207"/>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20" t="s">
        <v>138</v>
      </c>
      <c r="C94" s="221"/>
      <c r="D94" s="221"/>
      <c r="E94" s="221"/>
      <c r="F94" s="221"/>
      <c r="G94" s="221"/>
      <c r="H94" s="221"/>
      <c r="I94" s="222"/>
    </row>
    <row r="95" spans="1:9" ht="18.75" customHeight="1" x14ac:dyDescent="0.15">
      <c r="A95" s="1"/>
      <c r="B95" s="223"/>
      <c r="C95" s="224"/>
      <c r="D95" s="224"/>
      <c r="E95" s="224"/>
      <c r="F95" s="224"/>
      <c r="G95" s="224"/>
      <c r="H95" s="224"/>
      <c r="I95" s="225"/>
    </row>
    <row r="96" spans="1:9" ht="18.75" customHeight="1" x14ac:dyDescent="0.15">
      <c r="A96" s="1"/>
      <c r="B96" s="223"/>
      <c r="C96" s="224"/>
      <c r="D96" s="224"/>
      <c r="E96" s="224"/>
      <c r="F96" s="224"/>
      <c r="G96" s="224"/>
      <c r="H96" s="224"/>
      <c r="I96" s="225"/>
    </row>
    <row r="97" spans="1:9" ht="18.75" customHeight="1" x14ac:dyDescent="0.15">
      <c r="A97" s="1"/>
      <c r="B97" s="223"/>
      <c r="C97" s="224"/>
      <c r="D97" s="224"/>
      <c r="E97" s="224"/>
      <c r="F97" s="224"/>
      <c r="G97" s="224"/>
      <c r="H97" s="224"/>
      <c r="I97" s="225"/>
    </row>
    <row r="98" spans="1:9" ht="18.75" customHeight="1" x14ac:dyDescent="0.15">
      <c r="A98" s="1"/>
      <c r="B98" s="223"/>
      <c r="C98" s="224"/>
      <c r="D98" s="224"/>
      <c r="E98" s="224"/>
      <c r="F98" s="224"/>
      <c r="G98" s="224"/>
      <c r="H98" s="224"/>
      <c r="I98" s="225"/>
    </row>
    <row r="99" spans="1:9" ht="18.75" customHeight="1" x14ac:dyDescent="0.15">
      <c r="A99" s="1"/>
      <c r="B99" s="223"/>
      <c r="C99" s="224"/>
      <c r="D99" s="224"/>
      <c r="E99" s="224"/>
      <c r="F99" s="224"/>
      <c r="G99" s="224"/>
      <c r="H99" s="224"/>
      <c r="I99" s="225"/>
    </row>
    <row r="100" spans="1:9" ht="18.75" customHeight="1" x14ac:dyDescent="0.15">
      <c r="A100" s="1"/>
      <c r="B100" s="223"/>
      <c r="C100" s="224"/>
      <c r="D100" s="224"/>
      <c r="E100" s="224"/>
      <c r="F100" s="224"/>
      <c r="G100" s="224"/>
      <c r="H100" s="224"/>
      <c r="I100" s="225"/>
    </row>
    <row r="101" spans="1:9" ht="18.75" customHeight="1" x14ac:dyDescent="0.15">
      <c r="A101" s="1"/>
      <c r="B101" s="223"/>
      <c r="C101" s="224"/>
      <c r="D101" s="224"/>
      <c r="E101" s="224"/>
      <c r="F101" s="224"/>
      <c r="G101" s="224"/>
      <c r="H101" s="224"/>
      <c r="I101" s="225"/>
    </row>
    <row r="102" spans="1:9" ht="18.75" customHeight="1" x14ac:dyDescent="0.15">
      <c r="A102" s="1"/>
      <c r="B102" s="223"/>
      <c r="C102" s="224"/>
      <c r="D102" s="224"/>
      <c r="E102" s="224"/>
      <c r="F102" s="224"/>
      <c r="G102" s="224"/>
      <c r="H102" s="224"/>
      <c r="I102" s="225"/>
    </row>
    <row r="103" spans="1:9" ht="18.75" customHeight="1" x14ac:dyDescent="0.15">
      <c r="A103" s="1"/>
      <c r="B103" s="223"/>
      <c r="C103" s="224"/>
      <c r="D103" s="224"/>
      <c r="E103" s="224"/>
      <c r="F103" s="224"/>
      <c r="G103" s="224"/>
      <c r="H103" s="224"/>
      <c r="I103" s="225"/>
    </row>
    <row r="104" spans="1:9" ht="18.75" customHeight="1" x14ac:dyDescent="0.15">
      <c r="A104" s="1"/>
      <c r="B104" s="223"/>
      <c r="C104" s="224"/>
      <c r="D104" s="224"/>
      <c r="E104" s="224"/>
      <c r="F104" s="224"/>
      <c r="G104" s="224"/>
      <c r="H104" s="224"/>
      <c r="I104" s="225"/>
    </row>
    <row r="105" spans="1:9" ht="18.75" customHeight="1" x14ac:dyDescent="0.15">
      <c r="A105" s="4"/>
      <c r="B105" s="226"/>
      <c r="C105" s="227"/>
      <c r="D105" s="227"/>
      <c r="E105" s="227"/>
      <c r="F105" s="227"/>
      <c r="G105" s="227"/>
      <c r="H105" s="227"/>
      <c r="I105" s="228"/>
    </row>
    <row r="106" spans="1:9" ht="7.5" customHeight="1" x14ac:dyDescent="0.15">
      <c r="A106" s="4"/>
      <c r="B106" s="4"/>
      <c r="C106" s="4"/>
      <c r="D106" s="4"/>
      <c r="E106" s="4"/>
      <c r="F106" s="4"/>
      <c r="G106" s="4"/>
      <c r="H106" s="4"/>
      <c r="I106" s="4"/>
    </row>
    <row r="107" spans="1:9" ht="18.75" customHeight="1" x14ac:dyDescent="0.15">
      <c r="A107" s="1" t="s">
        <v>30</v>
      </c>
      <c r="B107" s="229" t="s">
        <v>46</v>
      </c>
      <c r="C107" s="229"/>
      <c r="D107" s="229"/>
      <c r="E107" s="229"/>
      <c r="F107" s="229"/>
      <c r="G107" s="229"/>
      <c r="H107" s="229"/>
      <c r="I107" s="229"/>
    </row>
    <row r="108" spans="1:9" ht="18.75" customHeight="1" x14ac:dyDescent="0.15">
      <c r="A108" s="4"/>
      <c r="B108" s="220" t="s">
        <v>160</v>
      </c>
      <c r="C108" s="221"/>
      <c r="D108" s="221"/>
      <c r="E108" s="221"/>
      <c r="F108" s="221"/>
      <c r="G108" s="221"/>
      <c r="H108" s="221"/>
      <c r="I108" s="222"/>
    </row>
    <row r="109" spans="1:9" ht="18.75" customHeight="1" x14ac:dyDescent="0.15">
      <c r="A109" s="4"/>
      <c r="B109" s="223"/>
      <c r="C109" s="224"/>
      <c r="D109" s="224"/>
      <c r="E109" s="224"/>
      <c r="F109" s="224"/>
      <c r="G109" s="224"/>
      <c r="H109" s="224"/>
      <c r="I109" s="225"/>
    </row>
    <row r="110" spans="1:9" ht="18.75" customHeight="1" x14ac:dyDescent="0.15">
      <c r="A110" s="4"/>
      <c r="B110" s="223"/>
      <c r="C110" s="224"/>
      <c r="D110" s="224"/>
      <c r="E110" s="224"/>
      <c r="F110" s="224"/>
      <c r="G110" s="224"/>
      <c r="H110" s="224"/>
      <c r="I110" s="225"/>
    </row>
    <row r="111" spans="1:9" ht="18.75" customHeight="1" x14ac:dyDescent="0.15">
      <c r="A111" s="4"/>
      <c r="B111" s="223"/>
      <c r="C111" s="224"/>
      <c r="D111" s="224"/>
      <c r="E111" s="224"/>
      <c r="F111" s="224"/>
      <c r="G111" s="224"/>
      <c r="H111" s="224"/>
      <c r="I111" s="225"/>
    </row>
    <row r="112" spans="1:9" ht="18.75" customHeight="1" x14ac:dyDescent="0.15">
      <c r="A112" s="4"/>
      <c r="B112" s="223"/>
      <c r="C112" s="224"/>
      <c r="D112" s="224"/>
      <c r="E112" s="224"/>
      <c r="F112" s="224"/>
      <c r="G112" s="224"/>
      <c r="H112" s="224"/>
      <c r="I112" s="225"/>
    </row>
    <row r="113" spans="1:9" ht="18.75" customHeight="1" x14ac:dyDescent="0.15">
      <c r="A113" s="4"/>
      <c r="B113" s="223"/>
      <c r="C113" s="224"/>
      <c r="D113" s="224"/>
      <c r="E113" s="224"/>
      <c r="F113" s="224"/>
      <c r="G113" s="224"/>
      <c r="H113" s="224"/>
      <c r="I113" s="225"/>
    </row>
    <row r="114" spans="1:9" ht="18.75" customHeight="1" x14ac:dyDescent="0.15">
      <c r="A114" s="4"/>
      <c r="B114" s="223"/>
      <c r="C114" s="224"/>
      <c r="D114" s="224"/>
      <c r="E114" s="224"/>
      <c r="F114" s="224"/>
      <c r="G114" s="224"/>
      <c r="H114" s="224"/>
      <c r="I114" s="225"/>
    </row>
    <row r="115" spans="1:9" ht="18.75" customHeight="1" x14ac:dyDescent="0.15">
      <c r="A115" s="4"/>
      <c r="B115" s="223"/>
      <c r="C115" s="224"/>
      <c r="D115" s="224"/>
      <c r="E115" s="224"/>
      <c r="F115" s="224"/>
      <c r="G115" s="224"/>
      <c r="H115" s="224"/>
      <c r="I115" s="225"/>
    </row>
    <row r="116" spans="1:9" ht="18.75" customHeight="1" x14ac:dyDescent="0.15">
      <c r="A116" s="4"/>
      <c r="B116" s="223"/>
      <c r="C116" s="224"/>
      <c r="D116" s="224"/>
      <c r="E116" s="224"/>
      <c r="F116" s="224"/>
      <c r="G116" s="224"/>
      <c r="H116" s="224"/>
      <c r="I116" s="225"/>
    </row>
    <row r="117" spans="1:9" ht="18.75" customHeight="1" x14ac:dyDescent="0.15">
      <c r="A117" s="4"/>
      <c r="B117" s="223"/>
      <c r="C117" s="224"/>
      <c r="D117" s="224"/>
      <c r="E117" s="224"/>
      <c r="F117" s="224"/>
      <c r="G117" s="224"/>
      <c r="H117" s="224"/>
      <c r="I117" s="225"/>
    </row>
    <row r="118" spans="1:9" ht="18.75" customHeight="1" x14ac:dyDescent="0.15">
      <c r="A118" s="4"/>
      <c r="B118" s="223"/>
      <c r="C118" s="224"/>
      <c r="D118" s="224"/>
      <c r="E118" s="224"/>
      <c r="F118" s="224"/>
      <c r="G118" s="224"/>
      <c r="H118" s="224"/>
      <c r="I118" s="225"/>
    </row>
    <row r="119" spans="1:9" ht="18.75" customHeight="1" x14ac:dyDescent="0.15">
      <c r="A119" s="4"/>
      <c r="B119" s="226"/>
      <c r="C119" s="227"/>
      <c r="D119" s="227"/>
      <c r="E119" s="227"/>
      <c r="F119" s="227"/>
      <c r="G119" s="227"/>
      <c r="H119" s="227"/>
      <c r="I119" s="228"/>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2"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就実大学</v>
      </c>
    </row>
    <row r="3" spans="1:9" ht="18.75" customHeight="1" x14ac:dyDescent="0.15">
      <c r="A3" s="109" t="s">
        <v>28</v>
      </c>
      <c r="B3" s="109"/>
      <c r="C3" s="109"/>
      <c r="D3" s="109"/>
      <c r="E3" s="109"/>
      <c r="F3" s="109"/>
      <c r="G3" s="109"/>
      <c r="H3" s="109"/>
      <c r="I3" s="109"/>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8" t="s">
        <v>172</v>
      </c>
      <c r="C6" s="239"/>
      <c r="D6" s="239"/>
      <c r="E6" s="239"/>
      <c r="F6" s="239"/>
      <c r="G6" s="239"/>
      <c r="H6" s="239"/>
      <c r="I6" s="240"/>
    </row>
    <row r="7" spans="1:9" ht="9" customHeight="1" x14ac:dyDescent="0.15">
      <c r="A7" s="5"/>
      <c r="B7" s="10"/>
      <c r="C7" s="10"/>
      <c r="D7" s="10"/>
      <c r="E7" s="10"/>
      <c r="F7" s="10"/>
      <c r="G7" s="10"/>
      <c r="H7" s="10"/>
      <c r="I7" s="3"/>
    </row>
    <row r="8" spans="1:9" ht="18.75" customHeight="1" x14ac:dyDescent="0.15">
      <c r="A8" s="5"/>
      <c r="B8" s="3"/>
      <c r="C8" s="3"/>
      <c r="D8" s="35" t="s">
        <v>43</v>
      </c>
      <c r="E8" s="36" t="s">
        <v>148</v>
      </c>
      <c r="F8" s="3"/>
      <c r="G8" s="35" t="s">
        <v>10</v>
      </c>
      <c r="H8" s="82" t="s">
        <v>149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5" t="s">
        <v>24</v>
      </c>
      <c r="C11" s="96"/>
      <c r="D11" s="97"/>
      <c r="E11" s="96" t="s">
        <v>26</v>
      </c>
      <c r="F11" s="96"/>
      <c r="G11" s="96"/>
      <c r="H11" s="96"/>
      <c r="I11" s="97"/>
    </row>
    <row r="12" spans="1:9" ht="26.25" customHeight="1" x14ac:dyDescent="0.15">
      <c r="B12" s="50" t="s">
        <v>14</v>
      </c>
      <c r="C12" s="57"/>
      <c r="D12" s="51"/>
      <c r="E12" s="58"/>
      <c r="F12" s="58"/>
      <c r="G12" s="58"/>
      <c r="H12" s="58"/>
      <c r="I12" s="51"/>
    </row>
    <row r="13" spans="1:9" ht="210.75" customHeight="1" x14ac:dyDescent="0.15">
      <c r="B13" s="52"/>
      <c r="C13" s="250" t="s">
        <v>15</v>
      </c>
      <c r="D13" s="251"/>
      <c r="E13" s="263" t="s">
        <v>139</v>
      </c>
      <c r="F13" s="252"/>
      <c r="G13" s="252"/>
      <c r="H13" s="252"/>
      <c r="I13" s="253"/>
    </row>
    <row r="14" spans="1:9" ht="210.75" customHeight="1" x14ac:dyDescent="0.15">
      <c r="B14" s="52"/>
      <c r="C14" s="265" t="s">
        <v>16</v>
      </c>
      <c r="D14" s="266"/>
      <c r="E14" s="263" t="s">
        <v>140</v>
      </c>
      <c r="F14" s="252"/>
      <c r="G14" s="252"/>
      <c r="H14" s="252"/>
      <c r="I14" s="253"/>
    </row>
    <row r="15" spans="1:9" ht="210.75" customHeight="1" x14ac:dyDescent="0.15">
      <c r="B15" s="52"/>
      <c r="C15" s="250" t="s">
        <v>17</v>
      </c>
      <c r="D15" s="251"/>
      <c r="E15" s="263" t="s">
        <v>162</v>
      </c>
      <c r="F15" s="252"/>
      <c r="G15" s="252"/>
      <c r="H15" s="252"/>
      <c r="I15" s="253"/>
    </row>
    <row r="16" spans="1:9" ht="210.75" customHeight="1" x14ac:dyDescent="0.15">
      <c r="B16" s="52"/>
      <c r="C16" s="250" t="s">
        <v>18</v>
      </c>
      <c r="D16" s="251"/>
      <c r="E16" s="263" t="s">
        <v>163</v>
      </c>
      <c r="F16" s="252"/>
      <c r="G16" s="252"/>
      <c r="H16" s="252"/>
      <c r="I16" s="253"/>
    </row>
    <row r="17" spans="2:9" ht="210.75" customHeight="1" x14ac:dyDescent="0.15">
      <c r="B17" s="53"/>
      <c r="C17" s="254" t="s">
        <v>19</v>
      </c>
      <c r="D17" s="255"/>
      <c r="E17" s="264" t="s">
        <v>141</v>
      </c>
      <c r="F17" s="256"/>
      <c r="G17" s="256"/>
      <c r="H17" s="256"/>
      <c r="I17" s="257"/>
    </row>
    <row r="18" spans="2:9" ht="24" customHeight="1" x14ac:dyDescent="0.15">
      <c r="B18" s="50" t="s">
        <v>20</v>
      </c>
      <c r="C18" s="54"/>
      <c r="D18" s="55"/>
      <c r="E18" s="56"/>
      <c r="F18" s="56"/>
      <c r="G18" s="56"/>
      <c r="H18" s="56"/>
      <c r="I18" s="59"/>
    </row>
    <row r="19" spans="2:9" ht="218.25" customHeight="1" x14ac:dyDescent="0.15">
      <c r="B19" s="52"/>
      <c r="C19" s="250" t="s">
        <v>21</v>
      </c>
      <c r="D19" s="251"/>
      <c r="E19" s="252" t="s">
        <v>142</v>
      </c>
      <c r="F19" s="252"/>
      <c r="G19" s="252"/>
      <c r="H19" s="252"/>
      <c r="I19" s="253"/>
    </row>
    <row r="20" spans="2:9" ht="218.25" customHeight="1" x14ac:dyDescent="0.15">
      <c r="B20" s="53"/>
      <c r="C20" s="254" t="s">
        <v>22</v>
      </c>
      <c r="D20" s="255"/>
      <c r="E20" s="256" t="s">
        <v>151</v>
      </c>
      <c r="F20" s="256"/>
      <c r="G20" s="256"/>
      <c r="H20" s="256"/>
      <c r="I20" s="257"/>
    </row>
    <row r="21" spans="2:9" ht="218.25" customHeight="1" x14ac:dyDescent="0.15">
      <c r="B21" s="258" t="s">
        <v>23</v>
      </c>
      <c r="C21" s="259"/>
      <c r="D21" s="260"/>
      <c r="E21" s="261" t="s">
        <v>143</v>
      </c>
      <c r="F21" s="261"/>
      <c r="G21" s="261"/>
      <c r="H21" s="261"/>
      <c r="I21" s="262"/>
    </row>
    <row r="22" spans="2:9" ht="218.25" customHeight="1" x14ac:dyDescent="0.15">
      <c r="B22" s="245" t="s">
        <v>38</v>
      </c>
      <c r="C22" s="246"/>
      <c r="D22" s="247"/>
      <c r="E22" s="248" t="s">
        <v>144</v>
      </c>
      <c r="F22" s="248"/>
      <c r="G22" s="248"/>
      <c r="H22" s="248"/>
      <c r="I22" s="24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I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福場 光代</cp:lastModifiedBy>
  <cp:lastPrinted>2023-07-14T04:34:53Z</cp:lastPrinted>
  <dcterms:created xsi:type="dcterms:W3CDTF">2011-06-14T05:32:50Z</dcterms:created>
  <dcterms:modified xsi:type="dcterms:W3CDTF">2023-07-17T23:03:10Z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