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NTSV_SSKT\kymwork\01_個人フォルダ\Takahashi\＜企画・提案＞\16_AI・データサイエンス教育\17_申請に関すること\★数理・データサイエンス・AI教育プログラム認定制度（リテラシーレベル）\提出\アップロード用\01_同志社女子大学_リテラシー\"/>
    </mc:Choice>
  </mc:AlternateContent>
  <xr:revisionPtr revIDLastSave="0" documentId="13_ncr:1_{D6C584C0-FD7E-421C-83EC-B9736F034751}" xr6:coauthVersionLast="36" xr6:coauthVersionMax="47" xr10:uidLastSave="{00000000-0000-0000-0000-000000000000}"/>
  <bookViews>
    <workbookView xWindow="0" yWindow="0" windowWidth="19008" windowHeight="896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16" i="40" l="1"/>
  <c r="AQ17"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5" i="40"/>
  <c r="AQ14" i="40"/>
  <c r="AQ13" i="40"/>
  <c r="AP32" i="40" l="1"/>
  <c r="AQ32" i="40" s="1"/>
  <c r="C49" i="41" s="1"/>
</calcChain>
</file>

<file path=xl/sharedStrings.xml><?xml version="1.0" encoding="utf-8"?>
<sst xmlns="http://schemas.openxmlformats.org/spreadsheetml/2006/main" count="308" uniqueCount="181">
  <si>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</si>
  <si>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</si>
  <si>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</si>
  <si>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</si>
  <si>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</si>
  <si>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</si>
  <si>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</si>
  <si>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</si>
  <si>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</si>
  <si>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</si>
  <si>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</si>
  <si>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</si>
  <si>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</si>
  <si>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</si>
  <si>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</si>
  <si>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</si>
  <si>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</si>
  <si>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</si>
  <si>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</si>
  <si>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</si>
  <si>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</si>
  <si>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</si>
  <si>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</si>
  <si>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</si>
  <si>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</si>
  <si>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</si>
  <si>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</si>
  <si>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</si>
  <si>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</si>
  <si>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</si>
  <si>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</si>
  <si>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</si>
  <si>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</si>
  <si>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</si>
  <si>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</si>
  <si>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</si>
  <si>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</si>
  <si>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</si>
  <si>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</si>
  <si>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</si>
  <si>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</si>
  <si>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</si>
  <si>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</si>
  <si>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</si>
  <si>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</si>
  <si>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</si>
  <si>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</si>
  <si>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</si>
  <si>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</si>
  <si>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</si>
  <si>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</si>
  <si>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</si>
  <si>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</si>
  <si>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</si>
  <si>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</si>
  <si>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</si>
  <si>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</si>
  <si>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</si>
  <si>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</si>
  <si>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</si>
  <si>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</si>
  <si>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</si>
  <si>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</si>
  <si>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</si>
  <si>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</si>
  <si>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</si>
  <si>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</si>
  <si>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</si>
  <si>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</si>
  <si>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</si>
  <si>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</si>
  <si>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</si>
  <si>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</si>
  <si>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</si>
  <si>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</si>
  <si>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</si>
  <si>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</si>
  <si>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</si>
  <si>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</si>
  <si>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</si>
  <si>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</si>
  <si>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</si>
  <si>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</si>
  <si>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</si>
  <si>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</si>
  <si>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</si>
  <si>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</si>
  <si>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</si>
  <si>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</si>
  <si>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</si>
  <si>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</si>
  <si>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</si>
  <si>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</si>
  <si>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</si>
  <si>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</si>
  <si>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</si>
  <si>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</si>
  <si>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</si>
  <si>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</si>
  <si>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</si>
  <si>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</si>
  <si>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</si>
  <si>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</si>
  <si>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</si>
  <si>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</si>
  <si>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</si>
  <si>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</si>
  <si>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</si>
  <si>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</si>
  <si>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</si>
  <si>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</si>
  <si>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</si>
  <si>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</si>
  <si>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</si>
  <si>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</si>
  <si>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</si>
  <si>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</si>
  <si>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</si>
  <si>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</si>
  <si>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</si>
  <si>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</si>
  <si>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</si>
  <si>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</si>
  <si>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</si>
  <si>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</si>
  <si>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</si>
  <si>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</si>
  <si>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同志社女子大学</t>
    <rPh sb="0" eb="3">
      <t>ドウシシャ</t>
    </rPh>
    <rPh sb="3" eb="7">
      <t>ジョシダイガク</t>
    </rPh>
    <phoneticPr fontId="1"/>
  </si>
  <si>
    <t>DWCLAデータサイエンス・AI教育プログラム</t>
    <phoneticPr fontId="1"/>
  </si>
  <si>
    <t>学部・学科によって、修了要件は相違しない</t>
  </si>
  <si>
    <t>データサイエンス基礎</t>
    <rPh sb="8" eb="10">
      <t>キソ</t>
    </rPh>
    <phoneticPr fontId="1"/>
  </si>
  <si>
    <t>○</t>
  </si>
  <si>
    <t xml:space="preserve">・データ・AI活用領域の広がり（生産、消費、文化活動）「データサイエンス基礎」（2回目）
</t>
    <rPh sb="7" eb="9">
      <t>カツヨウ</t>
    </rPh>
    <rPh sb="9" eb="11">
      <t>リョウイキ</t>
    </rPh>
    <rPh sb="12" eb="13">
      <t>ヒロ</t>
    </rPh>
    <rPh sb="16" eb="18">
      <t>セイサン</t>
    </rPh>
    <rPh sb="19" eb="21">
      <t>ショウヒ</t>
    </rPh>
    <rPh sb="22" eb="24">
      <t>ブンカ</t>
    </rPh>
    <rPh sb="24" eb="26">
      <t>カツドウ</t>
    </rPh>
    <rPh sb="36" eb="38">
      <t>キソ</t>
    </rPh>
    <rPh sb="41" eb="43">
      <t>カイメ</t>
    </rPh>
    <phoneticPr fontId="1"/>
  </si>
  <si>
    <t>・構造化データ、非構造化データ（文章、画像／動画、音声／音楽など）「データサイエンス基礎」（3回目）
・1次データ、2次データ「データサイエンス基礎」（7回目）
・データのオープン化（オープンデータ）「データサイエンス基礎」（7回目）</t>
    <rPh sb="90" eb="91">
      <t>カ</t>
    </rPh>
    <rPh sb="109" eb="111">
      <t>キソ</t>
    </rPh>
    <rPh sb="114" eb="115">
      <t>カイ</t>
    </rPh>
    <rPh sb="115" eb="116">
      <t>メ</t>
    </rPh>
    <phoneticPr fontId="1"/>
  </si>
  <si>
    <t>4‐7データハンドリング</t>
  </si>
  <si>
    <t>・データの集計（和、平均）「データサイエンス基礎」（5回目）
・データの並び替え、ランキング「データサイエンス基礎」（5回目）
・表形式のデータ（csv）「データサイエンス基礎」（9回目）（10回目）</t>
    <rPh sb="5" eb="7">
      <t>シュウケイ</t>
    </rPh>
    <rPh sb="8" eb="9">
      <t>ワ</t>
    </rPh>
    <rPh sb="10" eb="12">
      <t>ヘイキン</t>
    </rPh>
    <rPh sb="22" eb="24">
      <t>キソ</t>
    </rPh>
    <rPh sb="27" eb="29">
      <t>カイメ</t>
    </rPh>
    <rPh sb="36" eb="37">
      <t>ナラ</t>
    </rPh>
    <rPh sb="38" eb="39">
      <t>カ</t>
    </rPh>
    <rPh sb="55" eb="57">
      <t>キソ</t>
    </rPh>
    <rPh sb="60" eb="62">
      <t>カイメ</t>
    </rPh>
    <rPh sb="65" eb="68">
      <t>ヒョウケイシキ</t>
    </rPh>
    <rPh sb="86" eb="88">
      <t>キソ</t>
    </rPh>
    <rPh sb="91" eb="93">
      <t>カイメ</t>
    </rPh>
    <rPh sb="97" eb="99">
      <t>カイメ</t>
    </rPh>
    <phoneticPr fontId="1"/>
  </si>
  <si>
    <t>4‐8データ活用実践（教師あり学習）</t>
  </si>
  <si>
    <t>データサイエンス基礎（13回目）</t>
    <rPh sb="8" eb="10">
      <t>キソ</t>
    </rPh>
    <rPh sb="13" eb="15">
      <t>カイメ</t>
    </rPh>
    <phoneticPr fontId="1"/>
  </si>
  <si>
    <t>データサイエンス基礎（8回目）</t>
    <rPh sb="8" eb="10">
      <t>キソ</t>
    </rPh>
    <rPh sb="12" eb="14">
      <t>カイメ</t>
    </rPh>
    <phoneticPr fontId="1"/>
  </si>
  <si>
    <t>データサイエンス基礎（14回目）</t>
    <rPh sb="8" eb="10">
      <t>キソ</t>
    </rPh>
    <rPh sb="13" eb="15">
      <t>カイメ</t>
    </rPh>
    <phoneticPr fontId="1"/>
  </si>
  <si>
    <t>・社会とデータの関係を倫理的・制度的・技術的な側面から考えることを通して、データサイエンスの意義を理解することができる。
・データに基づく課題解決の基礎的な方法論を習得する。
・表計算ソフトウェアの利用・実習を通して、データの性質に応じて適切な分析手法を選択し、基礎的な集計と統計解析ができるようになる。</t>
    <phoneticPr fontId="1"/>
  </si>
  <si>
    <t>令和4</t>
    <rPh sb="0" eb="2">
      <t>レイワ</t>
    </rPh>
    <phoneticPr fontId="1"/>
  </si>
  <si>
    <t>学芸学部</t>
    <rPh sb="0" eb="2">
      <t>ガクゲイ</t>
    </rPh>
    <rPh sb="2" eb="4">
      <t>ガクブ</t>
    </rPh>
    <phoneticPr fontId="1"/>
  </si>
  <si>
    <t>現代社会学部</t>
    <rPh sb="0" eb="4">
      <t>ゲンダイシャカイ</t>
    </rPh>
    <rPh sb="4" eb="6">
      <t>ガクブ</t>
    </rPh>
    <phoneticPr fontId="1"/>
  </si>
  <si>
    <t>薬学部</t>
    <rPh sb="0" eb="3">
      <t>ヤクガクブ</t>
    </rPh>
    <phoneticPr fontId="1"/>
  </si>
  <si>
    <t>看護学部</t>
    <rPh sb="0" eb="2">
      <t>カンゴ</t>
    </rPh>
    <rPh sb="2" eb="4">
      <t>ガクブ</t>
    </rPh>
    <phoneticPr fontId="1"/>
  </si>
  <si>
    <t>表象文化学部</t>
    <rPh sb="0" eb="2">
      <t>ヒョウショウ</t>
    </rPh>
    <rPh sb="2" eb="4">
      <t>ブンカ</t>
    </rPh>
    <rPh sb="4" eb="6">
      <t>ガクブ</t>
    </rPh>
    <phoneticPr fontId="1"/>
  </si>
  <si>
    <t>生活科学部</t>
    <rPh sb="0" eb="2">
      <t>セイカツ</t>
    </rPh>
    <rPh sb="2" eb="5">
      <t>カガクブ</t>
    </rPh>
    <phoneticPr fontId="1"/>
  </si>
  <si>
    <t>真部　真里子</t>
    <rPh sb="0" eb="2">
      <t>マナベ</t>
    </rPh>
    <rPh sb="3" eb="4">
      <t>マコト</t>
    </rPh>
    <rPh sb="4" eb="6">
      <t>サトコ</t>
    </rPh>
    <phoneticPr fontId="1"/>
  </si>
  <si>
    <t>教務部長</t>
    <rPh sb="0" eb="4">
      <t>キョウムブチョウ</t>
    </rPh>
    <phoneticPr fontId="1"/>
  </si>
  <si>
    <t>教務部主任会</t>
    <rPh sb="0" eb="3">
      <t>キョウムブ</t>
    </rPh>
    <rPh sb="3" eb="6">
      <t>シュニンカイ</t>
    </rPh>
    <phoneticPr fontId="1"/>
  </si>
  <si>
    <t>教務部主任会申合せ</t>
    <phoneticPr fontId="1"/>
  </si>
  <si>
    <t>教務部主任会は本学の教育の充実及び発展を目的に、（１）教育制度に関すること、（２）カリキュラムに関すること、（３）教育設備、教育環境に関すること、（４）学修支援に関すること、（５）教育評価及び改善に関すること等を検討している。</t>
    <rPh sb="0" eb="3">
      <t>キョウムブ</t>
    </rPh>
    <rPh sb="3" eb="6">
      <t>シュニンカイ</t>
    </rPh>
    <rPh sb="7" eb="9">
      <t>ホンガク</t>
    </rPh>
    <rPh sb="10" eb="12">
      <t>キョウイク</t>
    </rPh>
    <rPh sb="13" eb="15">
      <t>ジュウジツ</t>
    </rPh>
    <rPh sb="15" eb="16">
      <t>オヨ</t>
    </rPh>
    <rPh sb="17" eb="19">
      <t>ハッテン</t>
    </rPh>
    <rPh sb="20" eb="22">
      <t>モクテキ</t>
    </rPh>
    <rPh sb="27" eb="29">
      <t>キョウイク</t>
    </rPh>
    <rPh sb="29" eb="31">
      <t>セイド</t>
    </rPh>
    <rPh sb="32" eb="33">
      <t>カン</t>
    </rPh>
    <rPh sb="48" eb="49">
      <t>カン</t>
    </rPh>
    <rPh sb="57" eb="59">
      <t>キョウイク</t>
    </rPh>
    <rPh sb="59" eb="61">
      <t>セツビ</t>
    </rPh>
    <rPh sb="62" eb="64">
      <t>キョウイク</t>
    </rPh>
    <rPh sb="64" eb="66">
      <t>カンキョウ</t>
    </rPh>
    <rPh sb="67" eb="68">
      <t>カン</t>
    </rPh>
    <rPh sb="76" eb="78">
      <t>ガクシュウ</t>
    </rPh>
    <rPh sb="78" eb="80">
      <t>シエン</t>
    </rPh>
    <rPh sb="81" eb="82">
      <t>カン</t>
    </rPh>
    <rPh sb="90" eb="94">
      <t>キョウイクヒョウカ</t>
    </rPh>
    <rPh sb="94" eb="95">
      <t>オヨ</t>
    </rPh>
    <rPh sb="96" eb="98">
      <t>カイゼン</t>
    </rPh>
    <rPh sb="99" eb="100">
      <t>カン</t>
    </rPh>
    <rPh sb="104" eb="105">
      <t>ナド</t>
    </rPh>
    <rPh sb="106" eb="108">
      <t>ケントウ</t>
    </rPh>
    <phoneticPr fontId="1"/>
  </si>
  <si>
    <t>教務部主任会</t>
    <rPh sb="0" eb="6">
      <t>キョウムブシュニンカイ</t>
    </rPh>
    <phoneticPr fontId="1"/>
  </si>
  <si>
    <t>真部　真里子</t>
    <rPh sb="0" eb="2">
      <t>マナベ</t>
    </rPh>
    <rPh sb="3" eb="4">
      <t>マコト</t>
    </rPh>
    <rPh sb="4" eb="5">
      <t>サト</t>
    </rPh>
    <rPh sb="5" eb="6">
      <t>コ</t>
    </rPh>
    <phoneticPr fontId="1"/>
  </si>
  <si>
    <t>　</t>
    <phoneticPr fontId="1"/>
  </si>
  <si>
    <t>・第4次産業革命、Sociey5.0「データサイエンス基礎」（1回目）（2回目）
・データを起点としたものの見方、人間の知的活動を起点としたものの見方「データサイエンス基礎」（1回目）
・ビッグデータ、IoT、AI、ロボット、データ量の増加「データサイエンス基礎」（2回目）
・人間の知的活動とAIの関係性「データサイエンス基礎」（3回目）</t>
    <rPh sb="1" eb="2">
      <t>ダイ</t>
    </rPh>
    <rPh sb="3" eb="4">
      <t>ジ</t>
    </rPh>
    <rPh sb="4" eb="6">
      <t>サンギョウ</t>
    </rPh>
    <rPh sb="6" eb="8">
      <t>カクメイ</t>
    </rPh>
    <rPh sb="27" eb="29">
      <t>キソ</t>
    </rPh>
    <rPh sb="32" eb="34">
      <t>カイメ</t>
    </rPh>
    <rPh sb="37" eb="39">
      <t>カイメ</t>
    </rPh>
    <rPh sb="46" eb="48">
      <t>キテン</t>
    </rPh>
    <rPh sb="54" eb="56">
      <t>ミカタ</t>
    </rPh>
    <rPh sb="57" eb="59">
      <t>ニンゲン</t>
    </rPh>
    <rPh sb="60" eb="64">
      <t>チテキカツドウ</t>
    </rPh>
    <rPh sb="65" eb="67">
      <t>キテン</t>
    </rPh>
    <rPh sb="73" eb="75">
      <t>ミカタ</t>
    </rPh>
    <rPh sb="84" eb="86">
      <t>キソ</t>
    </rPh>
    <rPh sb="89" eb="91">
      <t>カイメ</t>
    </rPh>
    <rPh sb="116" eb="117">
      <t>リョウ</t>
    </rPh>
    <rPh sb="118" eb="120">
      <t>ゾウカ</t>
    </rPh>
    <rPh sb="129" eb="131">
      <t>キソ</t>
    </rPh>
    <rPh sb="134" eb="136">
      <t>カイメ</t>
    </rPh>
    <rPh sb="139" eb="141">
      <t>ニンゲン</t>
    </rPh>
    <rPh sb="142" eb="144">
      <t>チテキ</t>
    </rPh>
    <rPh sb="144" eb="146">
      <t>カツドウ</t>
    </rPh>
    <rPh sb="150" eb="153">
      <t>カンケイセイ</t>
    </rPh>
    <rPh sb="162" eb="164">
      <t>キソ</t>
    </rPh>
    <rPh sb="167" eb="169">
      <t>カイメ</t>
    </rPh>
    <phoneticPr fontId="1"/>
  </si>
  <si>
    <t>・AIとビッグデータ「データサイエンス基礎」（2回目）
・データ解析：予測、パターン発見「データサイエンス基礎」（2回目）
・非構造化データ処理：言語処理、画像／動画処理、音声／音楽処理など「データサイエンス基礎」（2回目）
・特化型AIと汎用AI、今のAIで出来ること、出来ないこと「データサイエンス基礎」（3回目）
・ルールベース、自動化技術「データサイエンス基礎」（3回目）</t>
    <rPh sb="19" eb="21">
      <t>キソ</t>
    </rPh>
    <rPh sb="24" eb="26">
      <t>カイメ</t>
    </rPh>
    <rPh sb="32" eb="34">
      <t>カイセキ</t>
    </rPh>
    <rPh sb="35" eb="37">
      <t>ヨソク</t>
    </rPh>
    <rPh sb="42" eb="44">
      <t>ハッケン</t>
    </rPh>
    <rPh sb="58" eb="60">
      <t>カイメ</t>
    </rPh>
    <rPh sb="63" eb="64">
      <t>ヒ</t>
    </rPh>
    <rPh sb="64" eb="67">
      <t>コウゾウカ</t>
    </rPh>
    <rPh sb="70" eb="72">
      <t>ショリ</t>
    </rPh>
    <rPh sb="73" eb="75">
      <t>ゲンゴ</t>
    </rPh>
    <rPh sb="75" eb="77">
      <t>ショリ</t>
    </rPh>
    <rPh sb="78" eb="80">
      <t>ガゾウ</t>
    </rPh>
    <rPh sb="81" eb="83">
      <t>ドウガ</t>
    </rPh>
    <rPh sb="83" eb="85">
      <t>ショリ</t>
    </rPh>
    <rPh sb="86" eb="88">
      <t>オンセイ</t>
    </rPh>
    <rPh sb="89" eb="91">
      <t>オンガク</t>
    </rPh>
    <rPh sb="91" eb="93">
      <t>ショリ</t>
    </rPh>
    <rPh sb="109" eb="111">
      <t>カイメ</t>
    </rPh>
    <rPh sb="114" eb="117">
      <t>トッカガタ</t>
    </rPh>
    <rPh sb="120" eb="122">
      <t>ハンヨウ</t>
    </rPh>
    <rPh sb="125" eb="126">
      <t>イマ</t>
    </rPh>
    <rPh sb="130" eb="132">
      <t>デキ</t>
    </rPh>
    <rPh sb="136" eb="138">
      <t>デキ</t>
    </rPh>
    <rPh sb="151" eb="153">
      <t>キソ</t>
    </rPh>
    <rPh sb="156" eb="158">
      <t>カイメ</t>
    </rPh>
    <rPh sb="168" eb="171">
      <t>ジドウカ</t>
    </rPh>
    <rPh sb="171" eb="173">
      <t>ギジュツ</t>
    </rPh>
    <rPh sb="182" eb="184">
      <t>キソ</t>
    </rPh>
    <rPh sb="187" eb="189">
      <t>カイメ</t>
    </rPh>
    <phoneticPr fontId="1"/>
  </si>
  <si>
    <t>・流通、金融、サービス、インフラ、公共等におけるデータ・AI利活用事例「データサイエンス基礎」（2回目）</t>
    <rPh sb="1" eb="3">
      <t>リュウツウ</t>
    </rPh>
    <rPh sb="4" eb="6">
      <t>キンユウ</t>
    </rPh>
    <rPh sb="17" eb="19">
      <t>コウキョウ</t>
    </rPh>
    <rPh sb="19" eb="20">
      <t>ナド</t>
    </rPh>
    <rPh sb="30" eb="33">
      <t>リカツヨウ</t>
    </rPh>
    <rPh sb="33" eb="35">
      <t>ジレイ</t>
    </rPh>
    <rPh sb="44" eb="46">
      <t>キソ</t>
    </rPh>
    <rPh sb="49" eb="51">
      <t>カイメ</t>
    </rPh>
    <phoneticPr fontId="1"/>
  </si>
  <si>
    <t>・AI等を活用した新しいビジネスモデル（シェアリングエコノミー、商品のレコメンデーションなど）
「データサイエンス基礎」（1回目）（2回目）
・AI最新技術の活用例「データサイエンス基礎」（1回目）（2回目）</t>
    <rPh sb="32" eb="34">
      <t>ショウヒン</t>
    </rPh>
    <rPh sb="67" eb="69">
      <t>カイメ</t>
    </rPh>
    <phoneticPr fontId="1"/>
  </si>
  <si>
    <t>4‐7データハンドリング</t>
    <phoneticPr fontId="1"/>
  </si>
  <si>
    <t>・データ表現（棒グラフ、折れ線グラフ、散布図）「データサイエンス基礎」（6回目）（13回目）（15回目）
・データの図表表現（チャート化）「データサイエンス基礎」（15回目）
・不適切なグラフ表現（不必要な視覚的要素）「データサイエンス基礎」（6回目）</t>
    <rPh sb="4" eb="6">
      <t>ヒョウゲン</t>
    </rPh>
    <rPh sb="7" eb="8">
      <t>ボウ</t>
    </rPh>
    <rPh sb="12" eb="13">
      <t>オ</t>
    </rPh>
    <rPh sb="14" eb="15">
      <t>セン</t>
    </rPh>
    <rPh sb="19" eb="22">
      <t>サンプズ</t>
    </rPh>
    <rPh sb="32" eb="34">
      <t>キソ</t>
    </rPh>
    <rPh sb="37" eb="39">
      <t>カイメ</t>
    </rPh>
    <rPh sb="43" eb="45">
      <t>カイメ</t>
    </rPh>
    <rPh sb="58" eb="60">
      <t>ズヒョウ</t>
    </rPh>
    <rPh sb="60" eb="62">
      <t>ヒョウゲン</t>
    </rPh>
    <rPh sb="67" eb="68">
      <t>カ</t>
    </rPh>
    <rPh sb="78" eb="80">
      <t>キソ</t>
    </rPh>
    <rPh sb="84" eb="86">
      <t>カイメ</t>
    </rPh>
    <rPh sb="89" eb="92">
      <t>フテキセツ</t>
    </rPh>
    <rPh sb="96" eb="98">
      <t>ヒョウゲン</t>
    </rPh>
    <rPh sb="99" eb="102">
      <t>フヒツヨウ</t>
    </rPh>
    <rPh sb="103" eb="106">
      <t>シカクテキ</t>
    </rPh>
    <rPh sb="106" eb="108">
      <t>ヨウソ</t>
    </rPh>
    <rPh sb="118" eb="120">
      <t>キソ</t>
    </rPh>
    <rPh sb="123" eb="125">
      <t>カイメ</t>
    </rPh>
    <phoneticPr fontId="1"/>
  </si>
  <si>
    <t>教務部主任会は真部 真里子（教務部長）、牛渡　克之（音楽学科教務主任）、村木　美紀（メディア創造学科教務主任）、Maria L. Correa（国際教養学科教務主任）、記虎　優子（社会システム学科教務主任）、梅垣　明美（現代こども学科教務主任）、前川　京子（医療薬学科教務主任）、木村　洋子（看護学科教務主任）、﨑　ミチ・アン（英語英文学科教務主任）、中井　精一（日本語日本文学科教務主任）、齋藤　朱未（人間生活学科教務主任）、森　紀之（食物栄養科学科教務主任）、江守　聰（教務課長）、三角　典生（免許・資格課長）、髙橋　毅（教務係長）、計15名を委員として構成しており、事務局は教務部教務課が担当している。</t>
    <rPh sb="0" eb="3">
      <t>キョウムブ</t>
    </rPh>
    <rPh sb="3" eb="6">
      <t>シュニンカイ</t>
    </rPh>
    <rPh sb="7" eb="9">
      <t>マナベ</t>
    </rPh>
    <rPh sb="10" eb="11">
      <t>マコト</t>
    </rPh>
    <rPh sb="11" eb="12">
      <t>サト</t>
    </rPh>
    <rPh sb="12" eb="13">
      <t>コ</t>
    </rPh>
    <rPh sb="14" eb="16">
      <t>キョウム</t>
    </rPh>
    <rPh sb="16" eb="18">
      <t>ブチョウ</t>
    </rPh>
    <rPh sb="26" eb="28">
      <t>オンガク</t>
    </rPh>
    <rPh sb="28" eb="30">
      <t>ガッカ</t>
    </rPh>
    <rPh sb="30" eb="34">
      <t>キョウムシュニン</t>
    </rPh>
    <rPh sb="46" eb="48">
      <t>ソウゾウ</t>
    </rPh>
    <rPh sb="48" eb="50">
      <t>ガッカ</t>
    </rPh>
    <rPh sb="50" eb="52">
      <t>キョウム</t>
    </rPh>
    <rPh sb="52" eb="54">
      <t>シュニン</t>
    </rPh>
    <rPh sb="72" eb="74">
      <t>コクサイ</t>
    </rPh>
    <rPh sb="74" eb="76">
      <t>キョウヨウ</t>
    </rPh>
    <rPh sb="76" eb="78">
      <t>ガッカ</t>
    </rPh>
    <rPh sb="78" eb="82">
      <t>キョウムシュニン</t>
    </rPh>
    <rPh sb="90" eb="92">
      <t>シャカイ</t>
    </rPh>
    <rPh sb="96" eb="98">
      <t>ガッカ</t>
    </rPh>
    <rPh sb="98" eb="100">
      <t>キョウム</t>
    </rPh>
    <rPh sb="100" eb="102">
      <t>シュニン</t>
    </rPh>
    <rPh sb="110" eb="112">
      <t>ゲンダイ</t>
    </rPh>
    <rPh sb="115" eb="117">
      <t>ガッカ</t>
    </rPh>
    <rPh sb="117" eb="121">
      <t>キョウムシュニン</t>
    </rPh>
    <rPh sb="129" eb="131">
      <t>イリョウ</t>
    </rPh>
    <rPh sb="131" eb="132">
      <t>ヤク</t>
    </rPh>
    <rPh sb="132" eb="134">
      <t>ガッカ</t>
    </rPh>
    <rPh sb="134" eb="136">
      <t>キョウム</t>
    </rPh>
    <rPh sb="136" eb="138">
      <t>シュニン</t>
    </rPh>
    <rPh sb="146" eb="148">
      <t>カンゴ</t>
    </rPh>
    <rPh sb="148" eb="150">
      <t>ガッカ</t>
    </rPh>
    <rPh sb="150" eb="152">
      <t>キョウム</t>
    </rPh>
    <rPh sb="152" eb="154">
      <t>シュニン</t>
    </rPh>
    <rPh sb="164" eb="166">
      <t>エイゴ</t>
    </rPh>
    <rPh sb="166" eb="168">
      <t>エイブン</t>
    </rPh>
    <rPh sb="168" eb="170">
      <t>ガッカ</t>
    </rPh>
    <rPh sb="170" eb="172">
      <t>キョウム</t>
    </rPh>
    <rPh sb="172" eb="174">
      <t>シュニン</t>
    </rPh>
    <rPh sb="182" eb="184">
      <t>ニホン</t>
    </rPh>
    <rPh sb="184" eb="185">
      <t>ゴ</t>
    </rPh>
    <rPh sb="185" eb="187">
      <t>ニホン</t>
    </rPh>
    <rPh sb="187" eb="188">
      <t>ブン</t>
    </rPh>
    <rPh sb="188" eb="190">
      <t>ガッカ</t>
    </rPh>
    <rPh sb="190" eb="192">
      <t>キョウム</t>
    </rPh>
    <rPh sb="192" eb="194">
      <t>シュニン</t>
    </rPh>
    <rPh sb="202" eb="204">
      <t>ニンゲン</t>
    </rPh>
    <rPh sb="204" eb="206">
      <t>セイカツ</t>
    </rPh>
    <rPh sb="206" eb="208">
      <t>ガッカ</t>
    </rPh>
    <rPh sb="208" eb="210">
      <t>キョウム</t>
    </rPh>
    <rPh sb="210" eb="212">
      <t>シュニン</t>
    </rPh>
    <rPh sb="219" eb="221">
      <t>ショクモツ</t>
    </rPh>
    <rPh sb="221" eb="224">
      <t>エイヨウカ</t>
    </rPh>
    <rPh sb="224" eb="226">
      <t>ガッカ</t>
    </rPh>
    <rPh sb="226" eb="228">
      <t>キョウム</t>
    </rPh>
    <rPh sb="228" eb="230">
      <t>シュニン</t>
    </rPh>
    <rPh sb="237" eb="241">
      <t>キョウムカチョウ</t>
    </rPh>
    <rPh sb="249" eb="251">
      <t>メンキョ</t>
    </rPh>
    <rPh sb="252" eb="254">
      <t>シカク</t>
    </rPh>
    <rPh sb="254" eb="256">
      <t>カチョウ</t>
    </rPh>
    <rPh sb="263" eb="265">
      <t>キョウム</t>
    </rPh>
    <rPh sb="265" eb="267">
      <t>カカリチョウ</t>
    </rPh>
    <rPh sb="269" eb="270">
      <t>ケイ</t>
    </rPh>
    <rPh sb="272" eb="273">
      <t>メイ</t>
    </rPh>
    <rPh sb="274" eb="276">
      <t>イイン</t>
    </rPh>
    <rPh sb="279" eb="281">
      <t>コウセイ</t>
    </rPh>
    <rPh sb="286" eb="289">
      <t>ジムキョク</t>
    </rPh>
    <rPh sb="290" eb="293">
      <t>キョウムブ</t>
    </rPh>
    <rPh sb="293" eb="296">
      <t>キョウムカ</t>
    </rPh>
    <rPh sb="297" eb="299">
      <t>タントウ</t>
    </rPh>
    <phoneticPr fontId="1"/>
  </si>
  <si>
    <t>数理・データサイエンス・AI教育プログラム認定制度の趣旨を踏まえ、2022年度秋学期、共通学芸科目区分に選択科目として、「データサイエンス基礎」を開講した。文系理系を問わず全学部・全学科の1年次生1,520名を対象とし、1,098名の学生が受講（受講率72,2％）。最終的に1,021名が修了している。2023年度においても2022年度と同様の形態で開講を予定しており、4月の履修登録段階で1,230名が受講する予定となっている。</t>
    <rPh sb="172" eb="174">
      <t>ケイタイ</t>
    </rPh>
    <rPh sb="175" eb="177">
      <t>カイコウ</t>
    </rPh>
    <rPh sb="178" eb="180">
      <t>ヨテイ</t>
    </rPh>
    <rPh sb="186" eb="187">
      <t>ガツ</t>
    </rPh>
    <phoneticPr fontId="1"/>
  </si>
  <si>
    <t>本プログラムで開講する「データサイエンス基礎」は全学部・学科の1年次生を対象としており、「選択」科目であるが、できる限り優先的に受講するよう履修指導を行っている。その結果、社会システム学科（313名）98％、メディア創造学科（117名）91％、人間生活学科（86名）93％と受講率が90％を超える学科も多く、1年次生の約72％（1098名／1520名）の受講となっている。また、大学案内や本学Webサイトでも本プログラムを積極的に周知しており、特にWebサイトにおいては、科目の目的や内容とともに受講生の感想（コメント）も掲載しており、新入生の受講意欲の喚起につながっている。</t>
    <rPh sb="211" eb="214">
      <t>セッキョクテキ</t>
    </rPh>
    <rPh sb="215" eb="217">
      <t>シュウチ</t>
    </rPh>
    <rPh sb="222" eb="223">
      <t>トク</t>
    </rPh>
    <rPh sb="252" eb="254">
      <t>カンソウ</t>
    </rPh>
    <rPh sb="261" eb="263">
      <t>ケイサイ</t>
    </rPh>
    <rPh sb="268" eb="271">
      <t>シンニュウセイ</t>
    </rPh>
    <rPh sb="272" eb="276">
      <t>ジュコウイヨク</t>
    </rPh>
    <rPh sb="277" eb="279">
      <t>カンキ</t>
    </rPh>
    <phoneticPr fontId="1"/>
  </si>
  <si>
    <r>
      <t>2023年度「データサイエンス基礎」は「選択」科目での開講となる。各学科での履修指導および2022年度の履修結果（「（全科目共通）授業アンケート結果」「受講生の感</t>
    </r>
    <r>
      <rPr>
        <sz val="12"/>
        <rFont val="ＭＳ Ｐゴシック"/>
        <family val="3"/>
        <charset val="128"/>
        <scheme val="minor"/>
      </rPr>
      <t>想」）等を新入生に周知し、本プログラムが各学部・学科の専門分野の学びの基礎となることを理解してもらうことで、1年次生の履修率100％をめざしたいと考えている。また、2024年度以降はカリキュラム改正を行い、全学部・学科の科目区分に「データサイエンス・AI科目区分」を設け、卒業要件として選択必修2単位を設定し、「データサイエンス・AI基礎」および「データサイエンス・ICT活用基礎」の2科目を開講する予定である。上記の「基礎」科目群の2科目に加えて、「実践」科目群として「データサイエンスのためのAIプログラミング入門」「データサイエンスのための統計入門」「ことばのデータサイエンス」「実践から学ぶAI入門」の４つの選択科目の開講を予定をしている。さらには2024年度以降「DWCLAデータサイエンス・AIプログラム」を構築し、前述した「基礎」および「実践」科目群からそれぞれ1科目以上と本プログラムに係る科目（各学部学科の選定された科目等）をあわせて合計5科目10単位以上を修得した学生には、修了証を発行する予定である。</t>
    </r>
    <rPh sb="65" eb="67">
      <t>ジュギョウ</t>
    </rPh>
    <rPh sb="76" eb="79">
      <t>ジュコウセイ</t>
    </rPh>
    <rPh sb="80" eb="82">
      <t>カンソウ</t>
    </rPh>
    <rPh sb="86" eb="89">
      <t>シンニュウセイ</t>
    </rPh>
    <rPh sb="94" eb="95">
      <t>ホン</t>
    </rPh>
    <rPh sb="101" eb="102">
      <t>カク</t>
    </rPh>
    <rPh sb="102" eb="104">
      <t>ガクブ</t>
    </rPh>
    <rPh sb="105" eb="107">
      <t>ガッカ</t>
    </rPh>
    <rPh sb="136" eb="139">
      <t>ネンジセイ</t>
    </rPh>
    <rPh sb="154" eb="155">
      <t>カンガ</t>
    </rPh>
    <rPh sb="184" eb="187">
      <t>ゼンガクブ</t>
    </rPh>
    <rPh sb="188" eb="190">
      <t>ガッカ</t>
    </rPh>
    <rPh sb="191" eb="193">
      <t>カモク</t>
    </rPh>
    <rPh sb="193" eb="195">
      <t>クブン</t>
    </rPh>
    <rPh sb="229" eb="231">
      <t>タンイ</t>
    </rPh>
    <rPh sb="232" eb="234">
      <t>セッテイ</t>
    </rPh>
    <rPh sb="274" eb="276">
      <t>カモク</t>
    </rPh>
    <rPh sb="413" eb="415">
      <t>ネンド</t>
    </rPh>
    <rPh sb="415" eb="417">
      <t>イコウ</t>
    </rPh>
    <rPh sb="441" eb="443">
      <t>コウチク</t>
    </rPh>
    <rPh sb="445" eb="447">
      <t>ゼンジュツ</t>
    </rPh>
    <rPh sb="450" eb="452">
      <t>キソ</t>
    </rPh>
    <rPh sb="457" eb="459">
      <t>ジッセン</t>
    </rPh>
    <rPh sb="460" eb="463">
      <t>カモクグン</t>
    </rPh>
    <rPh sb="470" eb="472">
      <t>カモク</t>
    </rPh>
    <rPh sb="472" eb="474">
      <t>イジョウ</t>
    </rPh>
    <rPh sb="475" eb="476">
      <t>ホン</t>
    </rPh>
    <rPh sb="482" eb="483">
      <t>カカ</t>
    </rPh>
    <rPh sb="484" eb="486">
      <t>カモク</t>
    </rPh>
    <rPh sb="487" eb="490">
      <t>カクガクブ</t>
    </rPh>
    <rPh sb="490" eb="492">
      <t>ガッカ</t>
    </rPh>
    <rPh sb="493" eb="495">
      <t>センテイ</t>
    </rPh>
    <rPh sb="498" eb="500">
      <t>カモク</t>
    </rPh>
    <rPh sb="500" eb="501">
      <t>ナド</t>
    </rPh>
    <rPh sb="507" eb="509">
      <t>ゴウケイ</t>
    </rPh>
    <rPh sb="510" eb="512">
      <t>カモク</t>
    </rPh>
    <rPh sb="514" eb="516">
      <t>タンイ</t>
    </rPh>
    <rPh sb="516" eb="518">
      <t>イジョウ</t>
    </rPh>
    <rPh sb="519" eb="521">
      <t>シュウトク</t>
    </rPh>
    <rPh sb="523" eb="525">
      <t>ガクセイ</t>
    </rPh>
    <phoneticPr fontId="1"/>
  </si>
  <si>
    <t>2022年度より開講したプログラムであり、現在のところ2022年年度の新入生しか履修していないため、本プログラムの「データサイエンス基礎」を履修し、単位を修得して卒業した学生を輩出できていない。当該科目や今後、開講予定のデータサイエンス系科目の単位を修得して卒業した学生の進路調査や活躍状況、企業等の評価については、所管部署と連携を図りながら注視しつつ、学内でも共有していきたい。</t>
    <rPh sb="4" eb="6">
      <t>ネンド</t>
    </rPh>
    <rPh sb="8" eb="10">
      <t>カイコウ</t>
    </rPh>
    <rPh sb="21" eb="23">
      <t>ゲンザイ</t>
    </rPh>
    <rPh sb="32" eb="34">
      <t>ネンド</t>
    </rPh>
    <rPh sb="40" eb="42">
      <t>リシュウ</t>
    </rPh>
    <rPh sb="50" eb="51">
      <t>ホン</t>
    </rPh>
    <rPh sb="70" eb="72">
      <t>リシュウ</t>
    </rPh>
    <rPh sb="74" eb="76">
      <t>タンイ</t>
    </rPh>
    <rPh sb="77" eb="79">
      <t>シュウトク</t>
    </rPh>
    <rPh sb="81" eb="83">
      <t>ソツギョウ</t>
    </rPh>
    <rPh sb="85" eb="87">
      <t>ガクセイ</t>
    </rPh>
    <rPh sb="88" eb="90">
      <t>ハイシュツ</t>
    </rPh>
    <rPh sb="97" eb="99">
      <t>トウガイ</t>
    </rPh>
    <rPh sb="99" eb="101">
      <t>カモク</t>
    </rPh>
    <rPh sb="102" eb="104">
      <t>コンゴ</t>
    </rPh>
    <rPh sb="105" eb="107">
      <t>カイコウ</t>
    </rPh>
    <rPh sb="107" eb="109">
      <t>ヨテイ</t>
    </rPh>
    <rPh sb="118" eb="119">
      <t>ケイ</t>
    </rPh>
    <rPh sb="119" eb="121">
      <t>カモク</t>
    </rPh>
    <rPh sb="122" eb="124">
      <t>タンイ</t>
    </rPh>
    <rPh sb="125" eb="127">
      <t>シュウトク</t>
    </rPh>
    <rPh sb="129" eb="131">
      <t>ソツギョウ</t>
    </rPh>
    <rPh sb="133" eb="135">
      <t>ガクセイ</t>
    </rPh>
    <rPh sb="136" eb="138">
      <t>シンロ</t>
    </rPh>
    <rPh sb="138" eb="140">
      <t>チョウサ</t>
    </rPh>
    <rPh sb="141" eb="145">
      <t>カツヤクジョウキョウ</t>
    </rPh>
    <rPh sb="146" eb="148">
      <t>キギョウ</t>
    </rPh>
    <rPh sb="148" eb="149">
      <t>ナド</t>
    </rPh>
    <rPh sb="150" eb="152">
      <t>ヒョウカ</t>
    </rPh>
    <rPh sb="158" eb="160">
      <t>ショカン</t>
    </rPh>
    <rPh sb="160" eb="162">
      <t>ブショ</t>
    </rPh>
    <rPh sb="163" eb="165">
      <t>レンケイ</t>
    </rPh>
    <rPh sb="166" eb="167">
      <t>ハカ</t>
    </rPh>
    <rPh sb="171" eb="173">
      <t>チュウシ</t>
    </rPh>
    <rPh sb="177" eb="179">
      <t>ガクナイ</t>
    </rPh>
    <rPh sb="181" eb="183">
      <t>キョウユウ</t>
    </rPh>
    <phoneticPr fontId="1"/>
  </si>
  <si>
    <t>リテラシーレベルの修了要件はプログラムを構成する授業科目「データサイエンス基礎」（２単位）を修得することである。</t>
    <rPh sb="9" eb="11">
      <t>シュウリョウ</t>
    </rPh>
    <rPh sb="11" eb="13">
      <t>ヨウケン</t>
    </rPh>
    <rPh sb="20" eb="22">
      <t>コウセイ</t>
    </rPh>
    <rPh sb="24" eb="26">
      <t>ジュギョウ</t>
    </rPh>
    <rPh sb="26" eb="28">
      <t>カモク</t>
    </rPh>
    <rPh sb="37" eb="39">
      <t>キソ</t>
    </rPh>
    <rPh sb="42" eb="44">
      <t>タンイ</t>
    </rPh>
    <rPh sb="46" eb="48">
      <t>シュウトク</t>
    </rPh>
    <phoneticPr fontId="1"/>
  </si>
  <si>
    <t>・ELSI（Ethical, Legal and Social Issues)「データサイエンス基礎」（3回目）
・個人情報保護「データサイエンス基礎」（4回目）（8回目）（14回目）
・オプトアウト「データサイエンス基礎」（8回目）
・データ倫理：データの捏造、改ざん、盗用、プライバシー保護「データサイエンス基礎」（4回目）（14回目）
・データバイアス「データサイエンス基礎」（4回目）（14回目）
・データ・AI活用における負の事例紹介「データサイエンス基礎」（4回目）</t>
    <rPh sb="48" eb="50">
      <t>キソ</t>
    </rPh>
    <rPh sb="53" eb="55">
      <t>カイメ</t>
    </rPh>
    <rPh sb="58" eb="60">
      <t>コジン</t>
    </rPh>
    <rPh sb="60" eb="62">
      <t>ジョウホウ</t>
    </rPh>
    <rPh sb="62" eb="64">
      <t>ホゴ</t>
    </rPh>
    <rPh sb="73" eb="75">
      <t>キソ</t>
    </rPh>
    <rPh sb="78" eb="80">
      <t>カイメ</t>
    </rPh>
    <rPh sb="83" eb="85">
      <t>カイメ</t>
    </rPh>
    <rPh sb="89" eb="91">
      <t>カイメ</t>
    </rPh>
    <rPh sb="109" eb="111">
      <t>キソ</t>
    </rPh>
    <rPh sb="114" eb="116">
      <t>カイメ</t>
    </rPh>
    <rPh sb="122" eb="124">
      <t>リンリ</t>
    </rPh>
    <rPh sb="129" eb="131">
      <t>ネツゾウ</t>
    </rPh>
    <rPh sb="132" eb="133">
      <t>カイ</t>
    </rPh>
    <rPh sb="136" eb="138">
      <t>トウヨウ</t>
    </rPh>
    <rPh sb="145" eb="147">
      <t>ホゴ</t>
    </rPh>
    <rPh sb="156" eb="158">
      <t>キソ</t>
    </rPh>
    <rPh sb="161" eb="163">
      <t>カイメ</t>
    </rPh>
    <rPh sb="167" eb="169">
      <t>カイメ</t>
    </rPh>
    <rPh sb="210" eb="212">
      <t>カツヨウ</t>
    </rPh>
    <phoneticPr fontId="1"/>
  </si>
  <si>
    <t>・情報セキュリティ：気密性、完全性、可用性「データサイエンス基礎」（4回目）（14回目）
・匿名加工情報、暗号化、パスワード、悪意ある情報搾取「データサイエンス基礎」（4回目）（8回目）
・情報漏洩等によるセキュリティ事故の事例紹介「データサイエンス基礎」（4回目）</t>
    <rPh sb="1" eb="3">
      <t>ジョウホウ</t>
    </rPh>
    <rPh sb="10" eb="13">
      <t>キミツセイ</t>
    </rPh>
    <rPh sb="14" eb="16">
      <t>カンゼン</t>
    </rPh>
    <rPh sb="16" eb="17">
      <t>セイ</t>
    </rPh>
    <rPh sb="18" eb="19">
      <t>カ</t>
    </rPh>
    <rPh sb="19" eb="20">
      <t>ヨウ</t>
    </rPh>
    <rPh sb="20" eb="21">
      <t>セイ</t>
    </rPh>
    <rPh sb="30" eb="32">
      <t>キソ</t>
    </rPh>
    <rPh sb="35" eb="37">
      <t>カイメ</t>
    </rPh>
    <rPh sb="41" eb="43">
      <t>カイメ</t>
    </rPh>
    <rPh sb="95" eb="97">
      <t>ジョウホウ</t>
    </rPh>
    <rPh sb="97" eb="99">
      <t>ロウエイ</t>
    </rPh>
    <rPh sb="99" eb="100">
      <t>ナド</t>
    </rPh>
    <rPh sb="109" eb="111">
      <t>ジコ</t>
    </rPh>
    <rPh sb="112" eb="114">
      <t>ジレイ</t>
    </rPh>
    <rPh sb="114" eb="116">
      <t>ショウカイ</t>
    </rPh>
    <rPh sb="125" eb="127">
      <t>キソ</t>
    </rPh>
    <rPh sb="130" eb="132">
      <t>カイメ</t>
    </rPh>
    <phoneticPr fontId="1"/>
  </si>
  <si>
    <t>・データの種類（量的変数、質的変数）「データサイエンス基礎」（8回目）
・データの分布（ヒストグラム）と代表値（平均値、中央値、最頻値）「データサイエンス基礎」（9回目）（10回目）
・代表値の性質の違い（実社会では平均値＝最頻値でないことが多い）「データサイエンス基礎」（9回目）
・データのばらつき（分散、標準偏差、偏差値）「データサイエンス基礎」（10回目）
・相関と因果（相関係数、類似相関）「データサイエンス基礎」（12回目）（15回目）
・母集団と標本抽出（国勢調査、アンケート調査、全数調査、単純無作為抽出、多段抽出）「データサイエンス基礎」（8回目）
・相関係数行列、散布図行列「データサイエンス基礎」（12回目）
・クロス集計表「データサイエンス基礎」（11回目）（15回目）</t>
    <rPh sb="5" eb="7">
      <t>シュルイ</t>
    </rPh>
    <rPh sb="8" eb="10">
      <t>リョウテキ</t>
    </rPh>
    <rPh sb="10" eb="12">
      <t>ヘンスウ</t>
    </rPh>
    <rPh sb="13" eb="15">
      <t>シツテキ</t>
    </rPh>
    <rPh sb="15" eb="17">
      <t>ヘンスウ</t>
    </rPh>
    <rPh sb="27" eb="29">
      <t>キソ</t>
    </rPh>
    <rPh sb="32" eb="34">
      <t>カイメ</t>
    </rPh>
    <rPh sb="41" eb="43">
      <t>ブンプ</t>
    </rPh>
    <rPh sb="52" eb="54">
      <t>ダイヒョウ</t>
    </rPh>
    <rPh sb="54" eb="55">
      <t>アタイ</t>
    </rPh>
    <rPh sb="56" eb="59">
      <t>ヘイキンチ</t>
    </rPh>
    <rPh sb="60" eb="63">
      <t>チュウオウチ</t>
    </rPh>
    <rPh sb="64" eb="67">
      <t>サイヒンチ</t>
    </rPh>
    <rPh sb="77" eb="79">
      <t>キソ</t>
    </rPh>
    <rPh sb="82" eb="84">
      <t>カイメ</t>
    </rPh>
    <rPh sb="88" eb="90">
      <t>カイメ</t>
    </rPh>
    <rPh sb="152" eb="154">
      <t>ブンサン</t>
    </rPh>
    <rPh sb="155" eb="157">
      <t>ヒョウジュン</t>
    </rPh>
    <rPh sb="157" eb="159">
      <t>ヘンサ</t>
    </rPh>
    <rPh sb="160" eb="163">
      <t>ヘンサチ</t>
    </rPh>
    <rPh sb="173" eb="175">
      <t>キソ</t>
    </rPh>
    <rPh sb="179" eb="181">
      <t>カイメ</t>
    </rPh>
    <rPh sb="261" eb="262">
      <t>オオ</t>
    </rPh>
    <rPh sb="291" eb="293">
      <t>ソウカン</t>
    </rPh>
    <rPh sb="293" eb="295">
      <t>ケイスウ</t>
    </rPh>
    <rPh sb="295" eb="297">
      <t>ギョウレツ</t>
    </rPh>
    <rPh sb="298" eb="301">
      <t>サンプズ</t>
    </rPh>
    <rPh sb="301" eb="303">
      <t>ギョウレツ</t>
    </rPh>
    <rPh sb="312" eb="314">
      <t>キソ</t>
    </rPh>
    <rPh sb="323" eb="324">
      <t>カイ</t>
    </rPh>
    <rPh sb="324" eb="325">
      <t>メ</t>
    </rPh>
    <rPh sb="344" eb="346">
      <t>カイメ</t>
    </rPh>
    <phoneticPr fontId="1"/>
  </si>
  <si>
    <t>本学は京田辺、今出川の2キャンパス体制となっており、所属する学部・学科によって通学キャンパスが異なるが、本プログラムは全学部・学科の【共通学芸科目】区分内の科目として開講し、学部・学科の所在地に関係なく受講できるよう、遠隔授業（オンデマンド型）の授業形態で開講した。
本プログラムは、学部・学科を特定することなく、全ての学生が「データサイエンス・ＡＩ教育」への関心を高めるとともに、その内容を適切に理解し、学生ひとりひとりが専門とする領域において、「データサイエンス・ＡＩ」に関する知識・技術を活用するための「基礎的な能力」を育成することを目的としており、その目的等については、教務部主任会を通して各学部・学科と共有することとした。そのうえで、各学部・学科で行われる履修指導（履修前ガイダンス）にて告知を行うなど、より多くの新入生に受講してもらえるように組織的な履修指導を展開している。</t>
    <rPh sb="52" eb="53">
      <t>ホン</t>
    </rPh>
    <rPh sb="59" eb="62">
      <t>ゼンガクブ</t>
    </rPh>
    <rPh sb="63" eb="65">
      <t>ガッカ</t>
    </rPh>
    <rPh sb="67" eb="71">
      <t>キョウツウガクゲイ</t>
    </rPh>
    <rPh sb="71" eb="73">
      <t>カモク</t>
    </rPh>
    <rPh sb="74" eb="76">
      <t>クブン</t>
    </rPh>
    <rPh sb="76" eb="77">
      <t>ナイ</t>
    </rPh>
    <rPh sb="78" eb="80">
      <t>カモク</t>
    </rPh>
    <rPh sb="83" eb="85">
      <t>カイコウ</t>
    </rPh>
    <rPh sb="87" eb="89">
      <t>ガクブ</t>
    </rPh>
    <rPh sb="90" eb="92">
      <t>ガッカ</t>
    </rPh>
    <rPh sb="93" eb="96">
      <t>ショザイチ</t>
    </rPh>
    <rPh sb="97" eb="99">
      <t>カンケイ</t>
    </rPh>
    <rPh sb="101" eb="103">
      <t>ジュコウ</t>
    </rPh>
    <rPh sb="123" eb="125">
      <t>ジュギョウ</t>
    </rPh>
    <rPh sb="128" eb="130">
      <t>カイコウ</t>
    </rPh>
    <rPh sb="134" eb="135">
      <t>ホン</t>
    </rPh>
    <rPh sb="142" eb="144">
      <t>ガクブ</t>
    </rPh>
    <rPh sb="145" eb="147">
      <t>ガッカ</t>
    </rPh>
    <rPh sb="148" eb="150">
      <t>トクテイ</t>
    </rPh>
    <rPh sb="157" eb="158">
      <t>スベ</t>
    </rPh>
    <rPh sb="160" eb="162">
      <t>ガクセイ</t>
    </rPh>
    <rPh sb="175" eb="177">
      <t>キョウイク</t>
    </rPh>
    <rPh sb="180" eb="182">
      <t>カンシン</t>
    </rPh>
    <rPh sb="183" eb="184">
      <t>タカ</t>
    </rPh>
    <rPh sb="193" eb="195">
      <t>ナイヨウ</t>
    </rPh>
    <rPh sb="196" eb="198">
      <t>テキセツ</t>
    </rPh>
    <rPh sb="199" eb="201">
      <t>リカイ</t>
    </rPh>
    <rPh sb="203" eb="205">
      <t>ガクセイ</t>
    </rPh>
    <rPh sb="212" eb="214">
      <t>センモン</t>
    </rPh>
    <rPh sb="217" eb="219">
      <t>リョウイキ</t>
    </rPh>
    <rPh sb="238" eb="239">
      <t>カン</t>
    </rPh>
    <rPh sb="241" eb="243">
      <t>チシキ</t>
    </rPh>
    <rPh sb="244" eb="246">
      <t>ギジュツ</t>
    </rPh>
    <rPh sb="247" eb="249">
      <t>カツヨウ</t>
    </rPh>
    <rPh sb="255" eb="258">
      <t>キソテキ</t>
    </rPh>
    <rPh sb="259" eb="261">
      <t>ノウリョク</t>
    </rPh>
    <rPh sb="263" eb="265">
      <t>イクセイ</t>
    </rPh>
    <rPh sb="270" eb="272">
      <t>モクテキ</t>
    </rPh>
    <rPh sb="280" eb="282">
      <t>モクテキ</t>
    </rPh>
    <rPh sb="282" eb="283">
      <t>ナド</t>
    </rPh>
    <rPh sb="289" eb="295">
      <t>キョウムブシュニンカイ</t>
    </rPh>
    <rPh sb="296" eb="297">
      <t>トオ</t>
    </rPh>
    <rPh sb="299" eb="302">
      <t>カクガクブ</t>
    </rPh>
    <rPh sb="303" eb="305">
      <t>ガッカ</t>
    </rPh>
    <rPh sb="306" eb="308">
      <t>キョウユウ</t>
    </rPh>
    <rPh sb="322" eb="323">
      <t>カク</t>
    </rPh>
    <rPh sb="323" eb="325">
      <t>ガクブ</t>
    </rPh>
    <rPh sb="326" eb="328">
      <t>ガッカ</t>
    </rPh>
    <rPh sb="329" eb="330">
      <t>オコナ</t>
    </rPh>
    <rPh sb="333" eb="335">
      <t>リシュウ</t>
    </rPh>
    <rPh sb="335" eb="337">
      <t>シドウ</t>
    </rPh>
    <rPh sb="338" eb="341">
      <t>リシュウマエ</t>
    </rPh>
    <rPh sb="349" eb="351">
      <t>コクチ</t>
    </rPh>
    <rPh sb="352" eb="353">
      <t>オコナ</t>
    </rPh>
    <rPh sb="359" eb="360">
      <t>オオ</t>
    </rPh>
    <rPh sb="362" eb="365">
      <t>シンニュウセイ</t>
    </rPh>
    <rPh sb="366" eb="368">
      <t>ジュコウ</t>
    </rPh>
    <rPh sb="377" eb="380">
      <t>ソシキテキ</t>
    </rPh>
    <rPh sb="381" eb="385">
      <t>リシュウシドウ</t>
    </rPh>
    <rPh sb="386" eb="388">
      <t>テンカイ</t>
    </rPh>
    <phoneticPr fontId="1"/>
  </si>
  <si>
    <t>本プログラムは全学部・学科の1年次生を対象とした【共通学芸科目】区分「選択」科目として提供しており、2022年度は新入生の履修登録期間（4月）および秋学期の登録修正期間（9月）にあわせて履修を促すフライヤーを作成し、Web教務システムの機能を用いて、1年次生のみに個別にメールを配信するなど、積極的な告知を行った。また、本学Webサイト内の新入生特設サイトにおいて、文系理系を問わずAI・データサイエンスの知識・スキルを修得することの重要性を発信した。さらに各学科での新入生オリエンテーション期間に行われる履修登録期間において、積極的な履修指導を行うことで、多くの新入生が履修できるよう周知を行った。今後も新入生特設サイトで周知を行うなど、入学予定者への訴求を高めていきたい。</t>
    <rPh sb="43" eb="45">
      <t>テイキョウ</t>
    </rPh>
    <rPh sb="93" eb="95">
      <t>リシュウ</t>
    </rPh>
    <rPh sb="96" eb="97">
      <t>ウナガ</t>
    </rPh>
    <rPh sb="121" eb="122">
      <t>モチ</t>
    </rPh>
    <rPh sb="160" eb="162">
      <t>ホンガク</t>
    </rPh>
    <rPh sb="168" eb="169">
      <t>ナイ</t>
    </rPh>
    <rPh sb="170" eb="173">
      <t>シンニュウセイ</t>
    </rPh>
    <rPh sb="173" eb="175">
      <t>トクセツ</t>
    </rPh>
    <rPh sb="183" eb="185">
      <t>ブンケイ</t>
    </rPh>
    <rPh sb="185" eb="187">
      <t>リケイ</t>
    </rPh>
    <rPh sb="188" eb="189">
      <t>ト</t>
    </rPh>
    <rPh sb="203" eb="205">
      <t>チシキ</t>
    </rPh>
    <rPh sb="210" eb="212">
      <t>シュウトク</t>
    </rPh>
    <rPh sb="217" eb="220">
      <t>ジュウヨウセイ</t>
    </rPh>
    <rPh sb="221" eb="223">
      <t>ハッシン</t>
    </rPh>
    <rPh sb="273" eb="274">
      <t>オコナ</t>
    </rPh>
    <rPh sb="279" eb="280">
      <t>オオ</t>
    </rPh>
    <rPh sb="282" eb="285">
      <t>シンニュウセイ</t>
    </rPh>
    <rPh sb="286" eb="288">
      <t>リシュウ</t>
    </rPh>
    <rPh sb="293" eb="295">
      <t>シュウチ</t>
    </rPh>
    <rPh sb="296" eb="297">
      <t>オコナ</t>
    </rPh>
    <rPh sb="300" eb="302">
      <t>コンゴ</t>
    </rPh>
    <rPh sb="303" eb="306">
      <t>シンニュウセイ</t>
    </rPh>
    <rPh sb="306" eb="308">
      <t>トクセツ</t>
    </rPh>
    <rPh sb="312" eb="314">
      <t>シュウチ</t>
    </rPh>
    <rPh sb="315" eb="316">
      <t>オコナ</t>
    </rPh>
    <rPh sb="320" eb="325">
      <t>ニュウガクヨテイシャ</t>
    </rPh>
    <rPh sb="327" eb="329">
      <t>ソキュウ</t>
    </rPh>
    <rPh sb="330" eb="331">
      <t>タカ</t>
    </rPh>
    <phoneticPr fontId="1"/>
  </si>
  <si>
    <t xml:space="preserve">約1,100名の受講生を授業支援システム（manaba：本学愛称「マナビー」）上で15クラスに分け、各回の授業動画を月曜日に配信し、授業動画に対する質問を翌々日の水曜日まで受け付けることとした。15クラスの各担当教員は質問を受け付けた翌々日の金曜日までに回答することで、受講生の疑問を解消したうえで、課題に取り組ませることとした。また、「マナビー」上の「小テスト」機能を用いて、15クラスの各担当教員に直接、質問することも可能となってる。また、各担当教員から受講生に個別に連絡事項がある際には、「個別指導コレクション」機能を用いて、受講生に連絡をとるようにしている。
</t>
    <rPh sb="0" eb="1">
      <t>ヤク</t>
    </rPh>
    <rPh sb="6" eb="7">
      <t>メイ</t>
    </rPh>
    <rPh sb="12" eb="14">
      <t>ジュギョウ</t>
    </rPh>
    <rPh sb="14" eb="16">
      <t>シエン</t>
    </rPh>
    <rPh sb="28" eb="30">
      <t>ホンガク</t>
    </rPh>
    <rPh sb="30" eb="32">
      <t>アイショウ</t>
    </rPh>
    <rPh sb="39" eb="40">
      <t>ジョウ</t>
    </rPh>
    <rPh sb="47" eb="48">
      <t>ワ</t>
    </rPh>
    <rPh sb="50" eb="52">
      <t>カクカイ</t>
    </rPh>
    <rPh sb="53" eb="57">
      <t>ジュギョウドウガ</t>
    </rPh>
    <rPh sb="58" eb="61">
      <t>ゲツヨウビ</t>
    </rPh>
    <rPh sb="62" eb="64">
      <t>ハイシン</t>
    </rPh>
    <rPh sb="66" eb="70">
      <t>ジュギョウドウガ</t>
    </rPh>
    <rPh sb="71" eb="72">
      <t>タイ</t>
    </rPh>
    <rPh sb="74" eb="76">
      <t>シツモン</t>
    </rPh>
    <rPh sb="77" eb="80">
      <t>ヨクヨクジツ</t>
    </rPh>
    <rPh sb="81" eb="84">
      <t>スイヨウビ</t>
    </rPh>
    <rPh sb="86" eb="87">
      <t>ウ</t>
    </rPh>
    <rPh sb="88" eb="89">
      <t>ツ</t>
    </rPh>
    <rPh sb="109" eb="111">
      <t>シツモン</t>
    </rPh>
    <rPh sb="112" eb="113">
      <t>ウ</t>
    </rPh>
    <rPh sb="114" eb="115">
      <t>ツ</t>
    </rPh>
    <rPh sb="117" eb="120">
      <t>ヨクヨクジツ</t>
    </rPh>
    <rPh sb="121" eb="124">
      <t>キンヨウビ</t>
    </rPh>
    <rPh sb="127" eb="129">
      <t>カイトウ</t>
    </rPh>
    <rPh sb="135" eb="138">
      <t>ジュコウセイ</t>
    </rPh>
    <rPh sb="139" eb="141">
      <t>ギモン</t>
    </rPh>
    <rPh sb="142" eb="144">
      <t>カイショウ</t>
    </rPh>
    <rPh sb="150" eb="152">
      <t>カダイ</t>
    </rPh>
    <rPh sb="153" eb="154">
      <t>ト</t>
    </rPh>
    <rPh sb="155" eb="156">
      <t>ク</t>
    </rPh>
    <rPh sb="174" eb="175">
      <t>ジョウ</t>
    </rPh>
    <rPh sb="177" eb="178">
      <t>ショウ</t>
    </rPh>
    <rPh sb="182" eb="184">
      <t>キノウ</t>
    </rPh>
    <rPh sb="185" eb="186">
      <t>モチ</t>
    </rPh>
    <rPh sb="195" eb="196">
      <t>カク</t>
    </rPh>
    <rPh sb="201" eb="203">
      <t>チョクセツ</t>
    </rPh>
    <rPh sb="204" eb="206">
      <t>シツモン</t>
    </rPh>
    <rPh sb="211" eb="213">
      <t>カノウ</t>
    </rPh>
    <rPh sb="222" eb="225">
      <t>カクタントウ</t>
    </rPh>
    <rPh sb="225" eb="227">
      <t>キョウイン</t>
    </rPh>
    <rPh sb="229" eb="232">
      <t>ジュコウセイ</t>
    </rPh>
    <rPh sb="233" eb="235">
      <t>コベツ</t>
    </rPh>
    <rPh sb="236" eb="238">
      <t>レンラク</t>
    </rPh>
    <rPh sb="238" eb="240">
      <t>ジコウ</t>
    </rPh>
    <rPh sb="243" eb="244">
      <t>サイ</t>
    </rPh>
    <rPh sb="259" eb="261">
      <t>キノウ</t>
    </rPh>
    <rPh sb="262" eb="263">
      <t>モチ</t>
    </rPh>
    <rPh sb="266" eb="269">
      <t>ジュコウセイ</t>
    </rPh>
    <rPh sb="270" eb="272">
      <t>レンラク</t>
    </rPh>
    <phoneticPr fontId="1"/>
  </si>
  <si>
    <t>授業支援システム（manaba:本学愛称「マナビー」）を用いた遠隔授業（オンデマンド型）で授業を実施した。各授業回は、毎週月曜日に授業動画を公開し、水曜日までに受講生からの質問を受付、金曜日までにそれらの質問に対する回答を行ったうえで、各回の授業内容に関する課題が課され、学生は翌週月曜日までに課題を提出するというプロセスであった。出題される「課題」を各回の提出締切日までに提出することで授業の「出席」とみなし、課題を提出しなかった場合は「欠席」として取り扱っている。授業の前半（第1回目～第7回目）は、学生の50～60％が難易度について「ちょうどよい」と回答。課題の提出率は平均94％となっている。授業の後半（第8回目～第15回目）は難易度もあがり、課題の提出率は平均90％とやや低下した。授業の難易度は、特にクロス分析、検定の内容を扱った11回目、最終課題のあった15回目ではアンケート結果においても「難しい」の回答が多くなっている。課題の提出率もこの2回と最終課題準備にあたる14回目で低くなっており、難易度が高いため提出を断念した学生がいると考えられる。次年度以降、受講生が途中で修了を断念することがないよう、フォロー体制を強化していくことも今後の課題として挙げられる。</t>
    <rPh sb="481" eb="484">
      <t>ジネンド</t>
    </rPh>
    <rPh sb="484" eb="486">
      <t>イコウ</t>
    </rPh>
    <rPh sb="487" eb="490">
      <t>ジュコウセイ</t>
    </rPh>
    <rPh sb="491" eb="493">
      <t>トチュウ</t>
    </rPh>
    <rPh sb="494" eb="496">
      <t>シュウリョウ</t>
    </rPh>
    <rPh sb="497" eb="499">
      <t>ダンネン</t>
    </rPh>
    <rPh sb="513" eb="515">
      <t>タイセイ</t>
    </rPh>
    <rPh sb="516" eb="518">
      <t>キョウカ</t>
    </rPh>
    <rPh sb="525" eb="527">
      <t>コンゴ</t>
    </rPh>
    <rPh sb="528" eb="530">
      <t>カダイ</t>
    </rPh>
    <rPh sb="533" eb="534">
      <t>ア</t>
    </rPh>
    <phoneticPr fontId="1"/>
  </si>
  <si>
    <t>全15回の授業終了後に実施している授業独自のアンケート調査において、各回の授業内容の理解度や、Excelに関する知識とスキル、データサイエンスやAIへの関心度に関する学生の評価を収集した。その結果、授業動画の内容は「わかりやすかった」と評価され、繰り返し動画を視聴しつつ、授業内容を理解したうえで、課題に取り組む学生が多かったことが確認できる。学生のコメントも、「分析の基本となるExcelについて、最初は苦手意識があり不安であったが、繰り返し授業動画をみることで理解を深めることができた。」「遠隔（オンデマンド）授業だったので、効率的に学ぶことができた」「私たちの社会とデータの関係をさまざまな角度から考え、分析することを通して、データサイエンスの意義を理解することができた。」等、今後のデータサイエンス・AIに関する学びだけでなく、自分自身の専門分野にも活かそうとする姿勢がうかがえた。（全科目共通）授業アンケート（回答者数482名／履修者数1098名／回答率43,9％）の結果を見ても、「この授業は全体として満足できる内容でしたか」という問いに対して、89.2％の学生が「そう思う・ややそう思う」と回答。「あなたは到達目標を達成できたと思いますか」という問いに対しても、83.8％の学生が「そう思う・ややそう思う」と回答していることから、受講生の授業に対する満足度・理解度も高いことが確認できる。</t>
    <rPh sb="11" eb="13">
      <t>ジッシ</t>
    </rPh>
    <rPh sb="17" eb="19">
      <t>ジュギョウ</t>
    </rPh>
    <rPh sb="19" eb="21">
      <t>ドクジ</t>
    </rPh>
    <rPh sb="396" eb="399">
      <t>ゼンカモク</t>
    </rPh>
    <rPh sb="399" eb="401">
      <t>キョウツウ</t>
    </rPh>
    <phoneticPr fontId="1"/>
  </si>
  <si>
    <t>本プログラムは全学部・学科の1年次生を対象とした「選択」科目として設定しており、2022年度は「データサイエンス基礎」1科目を開講した。新入生の履修登録期間（4月）および秋学期の登録修正期間（9月）にあわせて履修を促すフライヤーを作成し、Web教務システムの機能を利用して、1年次生のみに個別にメールを配信するなど、積極的な告知を行った。また、各学科での新入生オリエンテーション期間において、積極的に履修指導を行った。2023年度に向けては、本学Webサイト内に特設サイトを構築し、受講生の感想を掲載するなど、新入生の受講意欲を喚起するとともに、2022年度同様に履修指導や履修を促すフライヤー等において告知を行っている。今後は、「DWCLAデータサイエンスプログラム」のプロモーション動画（3分程度）を作成し、学内外への広報を行っていきたいと考えている。2024年度以降については、新たなプログラム（DWCLA-ADa）として始動する予定をしており、2023年度までは「選択」科目として設定していたが2024年度からは「選択必修」科目として設定する予定である。対象を1年次生のみとしているので、履修者数・履修率については、全ての新入生に再履修者および未履修者を含めた1500名程度が履修できるよう学内での認知度を高め、学生が専攻する分野を問わず、基盤となる素養としてその位置づけを確立したい。</t>
    <rPh sb="0" eb="1">
      <t>ホン</t>
    </rPh>
    <rPh sb="7" eb="10">
      <t>ゼンガクブ</t>
    </rPh>
    <rPh sb="11" eb="13">
      <t>ガッカ</t>
    </rPh>
    <rPh sb="15" eb="18">
      <t>ネンジセイ</t>
    </rPh>
    <rPh sb="19" eb="21">
      <t>タイショウ</t>
    </rPh>
    <rPh sb="25" eb="27">
      <t>センタク</t>
    </rPh>
    <rPh sb="28" eb="30">
      <t>カモク</t>
    </rPh>
    <rPh sb="33" eb="35">
      <t>セッテイ</t>
    </rPh>
    <rPh sb="56" eb="58">
      <t>キソ</t>
    </rPh>
    <rPh sb="60" eb="62">
      <t>カモク</t>
    </rPh>
    <rPh sb="63" eb="65">
      <t>カイコウ</t>
    </rPh>
    <rPh sb="68" eb="71">
      <t>シンニュウセイ</t>
    </rPh>
    <rPh sb="72" eb="76">
      <t>リシュウトウロク</t>
    </rPh>
    <rPh sb="76" eb="78">
      <t>キカン</t>
    </rPh>
    <rPh sb="80" eb="81">
      <t>ガツ</t>
    </rPh>
    <rPh sb="85" eb="88">
      <t>アキガッキ</t>
    </rPh>
    <rPh sb="89" eb="91">
      <t>トウロク</t>
    </rPh>
    <rPh sb="91" eb="93">
      <t>シュウセイ</t>
    </rPh>
    <rPh sb="93" eb="95">
      <t>キカン</t>
    </rPh>
    <rPh sb="97" eb="98">
      <t>ガツ</t>
    </rPh>
    <rPh sb="104" eb="106">
      <t>リシュウ</t>
    </rPh>
    <rPh sb="107" eb="108">
      <t>ウナガ</t>
    </rPh>
    <rPh sb="115" eb="117">
      <t>サクセイ</t>
    </rPh>
    <rPh sb="122" eb="124">
      <t>キョウム</t>
    </rPh>
    <rPh sb="129" eb="131">
      <t>キノウ</t>
    </rPh>
    <rPh sb="132" eb="134">
      <t>リヨウ</t>
    </rPh>
    <rPh sb="138" eb="141">
      <t>ネンジセイ</t>
    </rPh>
    <rPh sb="144" eb="146">
      <t>コベツ</t>
    </rPh>
    <rPh sb="151" eb="153">
      <t>ハイシン</t>
    </rPh>
    <rPh sb="158" eb="161">
      <t>セッキョクテキ</t>
    </rPh>
    <rPh sb="162" eb="164">
      <t>コクチ</t>
    </rPh>
    <rPh sb="165" eb="166">
      <t>オコナ</t>
    </rPh>
    <rPh sb="172" eb="173">
      <t>カク</t>
    </rPh>
    <rPh sb="173" eb="175">
      <t>ガッカ</t>
    </rPh>
    <rPh sb="177" eb="180">
      <t>シンニュウセイ</t>
    </rPh>
    <rPh sb="189" eb="191">
      <t>キカン</t>
    </rPh>
    <rPh sb="196" eb="199">
      <t>セッキョクテキ</t>
    </rPh>
    <rPh sb="200" eb="202">
      <t>リシュウ</t>
    </rPh>
    <rPh sb="202" eb="204">
      <t>シドウ</t>
    </rPh>
    <rPh sb="205" eb="206">
      <t>オコナ</t>
    </rPh>
    <rPh sb="213" eb="215">
      <t>ネンド</t>
    </rPh>
    <rPh sb="216" eb="217">
      <t>ム</t>
    </rPh>
    <rPh sb="221" eb="223">
      <t>ホンガク</t>
    </rPh>
    <rPh sb="229" eb="230">
      <t>ナイ</t>
    </rPh>
    <rPh sb="231" eb="233">
      <t>トクセツ</t>
    </rPh>
    <rPh sb="237" eb="239">
      <t>コウチク</t>
    </rPh>
    <rPh sb="241" eb="244">
      <t>ジュコウセイ</t>
    </rPh>
    <rPh sb="245" eb="247">
      <t>カンソウ</t>
    </rPh>
    <rPh sb="248" eb="250">
      <t>ケイサイ</t>
    </rPh>
    <rPh sb="255" eb="258">
      <t>シンニュウセイ</t>
    </rPh>
    <rPh sb="259" eb="261">
      <t>ジュコウ</t>
    </rPh>
    <rPh sb="261" eb="263">
      <t>イヨク</t>
    </rPh>
    <rPh sb="264" eb="266">
      <t>カンキ</t>
    </rPh>
    <rPh sb="277" eb="279">
      <t>ネンド</t>
    </rPh>
    <rPh sb="279" eb="281">
      <t>ドウヨウ</t>
    </rPh>
    <rPh sb="282" eb="286">
      <t>リシュウシドウ</t>
    </rPh>
    <rPh sb="287" eb="289">
      <t>リシュウ</t>
    </rPh>
    <rPh sb="290" eb="291">
      <t>ウナガ</t>
    </rPh>
    <rPh sb="297" eb="298">
      <t>ナド</t>
    </rPh>
    <rPh sb="302" eb="304">
      <t>コクチ</t>
    </rPh>
    <rPh sb="305" eb="306">
      <t>オコナ</t>
    </rPh>
    <rPh sb="311" eb="313">
      <t>コンゴ</t>
    </rPh>
    <rPh sb="343" eb="345">
      <t>ドウガ</t>
    </rPh>
    <rPh sb="347" eb="350">
      <t>フンテイド</t>
    </rPh>
    <rPh sb="352" eb="354">
      <t>サクセイ</t>
    </rPh>
    <rPh sb="356" eb="358">
      <t>ガクナイ</t>
    </rPh>
    <rPh sb="358" eb="359">
      <t>ガイ</t>
    </rPh>
    <rPh sb="361" eb="363">
      <t>コウホウ</t>
    </rPh>
    <rPh sb="364" eb="365">
      <t>オコナ</t>
    </rPh>
    <rPh sb="372" eb="373">
      <t>カンガ</t>
    </rPh>
    <rPh sb="382" eb="384">
      <t>ネンド</t>
    </rPh>
    <rPh sb="384" eb="386">
      <t>イコウ</t>
    </rPh>
    <rPh sb="392" eb="393">
      <t>アラ</t>
    </rPh>
    <rPh sb="414" eb="416">
      <t>シドウ</t>
    </rPh>
    <rPh sb="418" eb="420">
      <t>ヨテイ</t>
    </rPh>
    <rPh sb="430" eb="431">
      <t>ネン</t>
    </rPh>
    <rPh sb="431" eb="432">
      <t>ド</t>
    </rPh>
    <rPh sb="436" eb="438">
      <t>センタク</t>
    </rPh>
    <rPh sb="439" eb="441">
      <t>カモク</t>
    </rPh>
    <rPh sb="444" eb="446">
      <t>セッテイ</t>
    </rPh>
    <rPh sb="455" eb="456">
      <t>ネン</t>
    </rPh>
    <rPh sb="456" eb="457">
      <t>ド</t>
    </rPh>
    <rPh sb="475" eb="477">
      <t>ヨテイ</t>
    </rPh>
    <rPh sb="512" eb="513">
      <t>スベ</t>
    </rPh>
    <rPh sb="549" eb="551">
      <t>ガクナイ</t>
    </rPh>
    <rPh sb="553" eb="556">
      <t>ニンチド</t>
    </rPh>
    <rPh sb="557" eb="558">
      <t>タカ</t>
    </rPh>
    <rPh sb="560" eb="562">
      <t>ガクセイ</t>
    </rPh>
    <rPh sb="563" eb="565">
      <t>センコウ</t>
    </rPh>
    <rPh sb="567" eb="569">
      <t>ブンヤ</t>
    </rPh>
    <rPh sb="570" eb="571">
      <t>ト</t>
    </rPh>
    <rPh sb="574" eb="576">
      <t>キバン</t>
    </rPh>
    <rPh sb="579" eb="581">
      <t>ソヨウ</t>
    </rPh>
    <rPh sb="586" eb="588">
      <t>イチ</t>
    </rPh>
    <rPh sb="591" eb="593">
      <t>カクリツ</t>
    </rPh>
    <phoneticPr fontId="1"/>
  </si>
  <si>
    <t>学期末に（全科目共通の）授業アンケートを実施し、受講生の評価結果を踏まえたうえで、今後に向けた振り返り等の授業改善の取り組みを継続的に行っている。また、授業の各回においても理解度を確認する独自アンケートを実施している。そのアンケートでは遠隔授業（オンデマンド型）の特性を生かし、受講生の各回の視聴回数についても確認するとともに、学生が感じる各回の授業の難易度についても把握し、次期の授業における「分かりやすさ」の検討に生かしたいと考えている。授業動画については、本学のデータサイエンス・AI分野に対して造詣の深い教員複数名に動画視聴の協力をお願いし、「次年度授業動画を修正する必要がある」もしくは、「今年度の受講生に対して訂正・修正の必要がある」等の要望を確認している。その結果、「今年度の受講生に対して訂正・修正の必要がある」とされた点については、授業支援システム（manaba:本学愛称「マナビー」）を用いて、追加・修正事項等を即時に受講生に伝えることで、授業動画の授業の水準を維持し、状況によっては授業動画を更新することで、内容の向上を図っている。また、次年度以降の授業については、例えばＣｈａｔ ＧＰＴのような最新のトピックを授業素材に取り入れるよう工夫し、学生にとって身近なテーマを取り扱うことで、より分かりやすい授業としたいと考えている。</t>
    <rPh sb="0" eb="3">
      <t>ガッキマツ</t>
    </rPh>
    <rPh sb="12" eb="14">
      <t>ジュギョウ</t>
    </rPh>
    <rPh sb="20" eb="22">
      <t>ジッシ</t>
    </rPh>
    <rPh sb="24" eb="27">
      <t>ジュコウセイ</t>
    </rPh>
    <rPh sb="28" eb="30">
      <t>ヒョウカ</t>
    </rPh>
    <rPh sb="30" eb="32">
      <t>ケッカ</t>
    </rPh>
    <rPh sb="33" eb="34">
      <t>フ</t>
    </rPh>
    <rPh sb="41" eb="43">
      <t>コンゴ</t>
    </rPh>
    <rPh sb="44" eb="45">
      <t>ム</t>
    </rPh>
    <rPh sb="47" eb="48">
      <t>フ</t>
    </rPh>
    <rPh sb="49" eb="50">
      <t>カエ</t>
    </rPh>
    <rPh sb="51" eb="52">
      <t>ナド</t>
    </rPh>
    <rPh sb="53" eb="55">
      <t>ジュギョウ</t>
    </rPh>
    <rPh sb="55" eb="57">
      <t>カイゼン</t>
    </rPh>
    <rPh sb="58" eb="59">
      <t>ト</t>
    </rPh>
    <rPh sb="60" eb="61">
      <t>ク</t>
    </rPh>
    <rPh sb="63" eb="66">
      <t>ケイゾクテキ</t>
    </rPh>
    <rPh sb="67" eb="68">
      <t>オコナ</t>
    </rPh>
    <rPh sb="76" eb="78">
      <t>ジュギョウ</t>
    </rPh>
    <rPh sb="79" eb="81">
      <t>カクカイ</t>
    </rPh>
    <rPh sb="86" eb="89">
      <t>リカイド</t>
    </rPh>
    <rPh sb="90" eb="92">
      <t>カクニン</t>
    </rPh>
    <rPh sb="94" eb="96">
      <t>ドクジ</t>
    </rPh>
    <rPh sb="102" eb="104">
      <t>ジッシ</t>
    </rPh>
    <rPh sb="118" eb="122">
      <t>エンカクジュギョウ</t>
    </rPh>
    <rPh sb="129" eb="130">
      <t>ガタ</t>
    </rPh>
    <rPh sb="132" eb="134">
      <t>トクセイ</t>
    </rPh>
    <rPh sb="135" eb="136">
      <t>イ</t>
    </rPh>
    <rPh sb="139" eb="142">
      <t>ジュコウセイ</t>
    </rPh>
    <rPh sb="143" eb="145">
      <t>カクカイ</t>
    </rPh>
    <rPh sb="146" eb="150">
      <t>シチョウカイスウ</t>
    </rPh>
    <rPh sb="155" eb="157">
      <t>カクニン</t>
    </rPh>
    <rPh sb="164" eb="166">
      <t>ガクセイ</t>
    </rPh>
    <rPh sb="167" eb="168">
      <t>カン</t>
    </rPh>
    <rPh sb="170" eb="172">
      <t>カクカイ</t>
    </rPh>
    <rPh sb="173" eb="175">
      <t>ジュギョウ</t>
    </rPh>
    <rPh sb="176" eb="179">
      <t>ナンイド</t>
    </rPh>
    <rPh sb="184" eb="186">
      <t>ハアク</t>
    </rPh>
    <rPh sb="188" eb="190">
      <t>ジキ</t>
    </rPh>
    <rPh sb="191" eb="193">
      <t>ジュギョウ</t>
    </rPh>
    <rPh sb="198" eb="199">
      <t>ワ</t>
    </rPh>
    <rPh sb="206" eb="208">
      <t>ケントウ</t>
    </rPh>
    <rPh sb="209" eb="210">
      <t>イ</t>
    </rPh>
    <rPh sb="215" eb="216">
      <t>カンガ</t>
    </rPh>
    <rPh sb="221" eb="223">
      <t>ジュギョウ</t>
    </rPh>
    <rPh sb="223" eb="225">
      <t>ドウガ</t>
    </rPh>
    <rPh sb="231" eb="233">
      <t>ホンガク</t>
    </rPh>
    <rPh sb="245" eb="247">
      <t>ブンヤ</t>
    </rPh>
    <rPh sb="248" eb="249">
      <t>タイ</t>
    </rPh>
    <rPh sb="251" eb="253">
      <t>ゾウケイ</t>
    </rPh>
    <rPh sb="254" eb="255">
      <t>フカ</t>
    </rPh>
    <rPh sb="256" eb="258">
      <t>キョウイン</t>
    </rPh>
    <rPh sb="258" eb="261">
      <t>フクスウメイ</t>
    </rPh>
    <rPh sb="262" eb="264">
      <t>ドウガ</t>
    </rPh>
    <rPh sb="267" eb="269">
      <t>キョウリョク</t>
    </rPh>
    <rPh sb="271" eb="272">
      <t>ネガ</t>
    </rPh>
    <rPh sb="276" eb="279">
      <t>ジネンド</t>
    </rPh>
    <rPh sb="279" eb="283">
      <t>ジュギョウドウガ</t>
    </rPh>
    <rPh sb="284" eb="286">
      <t>シュウセイ</t>
    </rPh>
    <rPh sb="288" eb="290">
      <t>ヒツヨウ</t>
    </rPh>
    <rPh sb="300" eb="303">
      <t>コンネンド</t>
    </rPh>
    <rPh sb="304" eb="307">
      <t>ジュコウセイ</t>
    </rPh>
    <rPh sb="308" eb="309">
      <t>タイ</t>
    </rPh>
    <rPh sb="311" eb="313">
      <t>テイセイ</t>
    </rPh>
    <rPh sb="314" eb="316">
      <t>シュウセイ</t>
    </rPh>
    <rPh sb="317" eb="319">
      <t>ヒツヨウ</t>
    </rPh>
    <rPh sb="323" eb="324">
      <t>ナド</t>
    </rPh>
    <rPh sb="325" eb="327">
      <t>ヨウボウ</t>
    </rPh>
    <rPh sb="328" eb="330">
      <t>カクニン</t>
    </rPh>
    <rPh sb="337" eb="339">
      <t>ケッカ</t>
    </rPh>
    <rPh sb="341" eb="344">
      <t>コンネンド</t>
    </rPh>
    <rPh sb="345" eb="348">
      <t>ジュコウセイ</t>
    </rPh>
    <rPh sb="349" eb="350">
      <t>タイ</t>
    </rPh>
    <rPh sb="352" eb="354">
      <t>テイセイ</t>
    </rPh>
    <rPh sb="355" eb="357">
      <t>シュウセイ</t>
    </rPh>
    <rPh sb="358" eb="360">
      <t>ヒツヨウ</t>
    </rPh>
    <rPh sb="368" eb="369">
      <t>テン</t>
    </rPh>
    <rPh sb="407" eb="409">
      <t>ツイカ</t>
    </rPh>
    <rPh sb="410" eb="412">
      <t>シュウセイ</t>
    </rPh>
    <rPh sb="412" eb="414">
      <t>ジコウ</t>
    </rPh>
    <rPh sb="414" eb="415">
      <t>ナド</t>
    </rPh>
    <rPh sb="416" eb="418">
      <t>ソクジ</t>
    </rPh>
    <rPh sb="419" eb="422">
      <t>ジュコウセイ</t>
    </rPh>
    <rPh sb="423" eb="424">
      <t>ツタ</t>
    </rPh>
    <rPh sb="430" eb="434">
      <t>ジュギョウドウガ</t>
    </rPh>
    <rPh sb="435" eb="437">
      <t>ジュギョウ</t>
    </rPh>
    <rPh sb="438" eb="440">
      <t>スイジュン</t>
    </rPh>
    <rPh sb="441" eb="443">
      <t>イジ</t>
    </rPh>
    <rPh sb="445" eb="447">
      <t>ジョウキョウ</t>
    </rPh>
    <rPh sb="452" eb="456">
      <t>ジュギョウドウガ</t>
    </rPh>
    <rPh sb="457" eb="459">
      <t>コウシン</t>
    </rPh>
    <rPh sb="465" eb="467">
      <t>ナイヨウ</t>
    </rPh>
    <rPh sb="468" eb="470">
      <t>コウジョウ</t>
    </rPh>
    <rPh sb="471" eb="472">
      <t>ハカ</t>
    </rPh>
    <rPh sb="480" eb="483">
      <t>ジネンド</t>
    </rPh>
    <rPh sb="483" eb="485">
      <t>イコウ</t>
    </rPh>
    <rPh sb="486" eb="488">
      <t>ジュギョウ</t>
    </rPh>
    <rPh sb="494" eb="495">
      <t>タト</t>
    </rPh>
    <rPh sb="509" eb="511">
      <t>サイシン</t>
    </rPh>
    <rPh sb="517" eb="521">
      <t>ジュギョウソザイ</t>
    </rPh>
    <rPh sb="522" eb="523">
      <t>ト</t>
    </rPh>
    <rPh sb="524" eb="525">
      <t>イ</t>
    </rPh>
    <rPh sb="529" eb="531">
      <t>クフウ</t>
    </rPh>
    <rPh sb="533" eb="535">
      <t>ガクセイ</t>
    </rPh>
    <rPh sb="539" eb="541">
      <t>ミジカ</t>
    </rPh>
    <rPh sb="546" eb="547">
      <t>ト</t>
    </rPh>
    <rPh sb="548" eb="549">
      <t>アツカ</t>
    </rPh>
    <rPh sb="556" eb="557">
      <t>ワ</t>
    </rPh>
    <rPh sb="562" eb="564">
      <t>ジュギョウ</t>
    </rPh>
    <rPh sb="569" eb="570">
      <t>カンガ</t>
    </rPh>
    <phoneticPr fontId="1"/>
  </si>
  <si>
    <t>2キャンパス（京田辺、今出川）体制の本学において、全ての学生に公平であり、かつスムーズな学修サポートを提供するには、授業支援システム（manaba：本学愛称「マナビー」）を用いた遠隔授業（オンデマンド型）の形態で実施することが必要であった。授業の運営においては約1,100名の受講生を「マナビー」上で15クラスに分割し、それぞれのクラスに担当教員を配置することで、速やかなフィードバックを可能とした。具体的には、毎週月曜日に授業動画を公開し、水曜日までに受講生からの質問を受け付け、15クラスの担当教員は金曜日までにそれらの質問に対する回答を行うこととした。受講生は疑問を解消したうえで、各回の課題（全受講生共通）に取り組み、翌週月曜日までにその課題を担当教員に提出するというプロセスとなっている。出題される「課題」の提出をもって授業の「出席」とみなし、課題を提出しなかった場合は「欠席」として取り扱っている。課題について、3回連続で提出がなかった場合は、「マナビー」の個別連絡機能を用いて、各担当教員が学生に直接呼びかけを行うなど、的確な授業運営およびサポート体制が機能していたと判断している。その結果、2022年度は受講生の93％が修了している。</t>
    <rPh sb="7" eb="10">
      <t>キョウタナベ</t>
    </rPh>
    <rPh sb="11" eb="14">
      <t>イマデガワ</t>
    </rPh>
    <rPh sb="15" eb="17">
      <t>タイセイ</t>
    </rPh>
    <rPh sb="18" eb="20">
      <t>ホンガク</t>
    </rPh>
    <rPh sb="25" eb="26">
      <t>スベ</t>
    </rPh>
    <rPh sb="28" eb="30">
      <t>ガクセイ</t>
    </rPh>
    <rPh sb="31" eb="33">
      <t>コウヘイ</t>
    </rPh>
    <rPh sb="44" eb="46">
      <t>ガクシュウ</t>
    </rPh>
    <rPh sb="51" eb="53">
      <t>テイキョウ</t>
    </rPh>
    <rPh sb="58" eb="60">
      <t>ジュギョウ</t>
    </rPh>
    <rPh sb="60" eb="62">
      <t>シエン</t>
    </rPh>
    <rPh sb="74" eb="76">
      <t>ホンガク</t>
    </rPh>
    <rPh sb="76" eb="78">
      <t>アイショウ</t>
    </rPh>
    <rPh sb="86" eb="87">
      <t>モチ</t>
    </rPh>
    <rPh sb="89" eb="93">
      <t>エンカクジュギョウ</t>
    </rPh>
    <rPh sb="100" eb="101">
      <t>ガタ</t>
    </rPh>
    <rPh sb="103" eb="105">
      <t>ケイタイ</t>
    </rPh>
    <rPh sb="106" eb="108">
      <t>ジッシ</t>
    </rPh>
    <rPh sb="113" eb="115">
      <t>ヒツヨウ</t>
    </rPh>
    <rPh sb="120" eb="122">
      <t>ジュギョウ</t>
    </rPh>
    <rPh sb="123" eb="125">
      <t>ウンエイ</t>
    </rPh>
    <rPh sb="130" eb="131">
      <t>ヤク</t>
    </rPh>
    <rPh sb="136" eb="137">
      <t>メイ</t>
    </rPh>
    <rPh sb="138" eb="141">
      <t>ジュコウセイ</t>
    </rPh>
    <rPh sb="148" eb="149">
      <t>ウエ</t>
    </rPh>
    <rPh sb="156" eb="158">
      <t>ブンカツ</t>
    </rPh>
    <rPh sb="182" eb="183">
      <t>スミ</t>
    </rPh>
    <rPh sb="194" eb="196">
      <t>カノウ</t>
    </rPh>
    <rPh sb="200" eb="203">
      <t>グタイテキ</t>
    </rPh>
    <rPh sb="236" eb="237">
      <t>ウ</t>
    </rPh>
    <rPh sb="238" eb="239">
      <t>ツ</t>
    </rPh>
    <rPh sb="271" eb="272">
      <t>オコナ</t>
    </rPh>
    <rPh sb="279" eb="282">
      <t>ジュコウセイ</t>
    </rPh>
    <rPh sb="283" eb="285">
      <t>ギモン</t>
    </rPh>
    <rPh sb="286" eb="288">
      <t>カイショウ</t>
    </rPh>
    <rPh sb="300" eb="304">
      <t>ゼンジュコウセイ</t>
    </rPh>
    <rPh sb="304" eb="306">
      <t>キョウツウ</t>
    </rPh>
    <rPh sb="308" eb="309">
      <t>ト</t>
    </rPh>
    <rPh sb="310" eb="311">
      <t>ク</t>
    </rPh>
    <rPh sb="313" eb="315">
      <t>ヨクシュウ</t>
    </rPh>
    <rPh sb="315" eb="318">
      <t>ゲツヨウビ</t>
    </rPh>
    <rPh sb="323" eb="325">
      <t>カダイ</t>
    </rPh>
    <rPh sb="326" eb="328">
      <t>タントウ</t>
    </rPh>
    <rPh sb="328" eb="330">
      <t>キョウイン</t>
    </rPh>
    <rPh sb="331" eb="333">
      <t>テイシュツ</t>
    </rPh>
    <rPh sb="349" eb="351">
      <t>シュツダイ</t>
    </rPh>
    <rPh sb="355" eb="357">
      <t>カダイ</t>
    </rPh>
    <rPh sb="359" eb="361">
      <t>テイシュツ</t>
    </rPh>
    <rPh sb="365" eb="367">
      <t>ジュギョウ</t>
    </rPh>
    <rPh sb="369" eb="371">
      <t>シュッセキ</t>
    </rPh>
    <rPh sb="377" eb="379">
      <t>カダイ</t>
    </rPh>
    <rPh sb="380" eb="382">
      <t>テイシュツ</t>
    </rPh>
    <rPh sb="387" eb="389">
      <t>バアイ</t>
    </rPh>
    <rPh sb="391" eb="393">
      <t>ケッセキ</t>
    </rPh>
    <rPh sb="397" eb="398">
      <t>ト</t>
    </rPh>
    <rPh sb="399" eb="400">
      <t>アツカ</t>
    </rPh>
    <rPh sb="405" eb="407">
      <t>カダイ</t>
    </rPh>
    <rPh sb="413" eb="414">
      <t>カイ</t>
    </rPh>
    <rPh sb="414" eb="416">
      <t>レンゾク</t>
    </rPh>
    <rPh sb="417" eb="419">
      <t>テイシュツ</t>
    </rPh>
    <rPh sb="424" eb="426">
      <t>バアイ</t>
    </rPh>
    <rPh sb="435" eb="437">
      <t>コベツ</t>
    </rPh>
    <rPh sb="437" eb="439">
      <t>レンラク</t>
    </rPh>
    <rPh sb="439" eb="441">
      <t>キノウ</t>
    </rPh>
    <rPh sb="442" eb="443">
      <t>モチ</t>
    </rPh>
    <rPh sb="446" eb="447">
      <t>カク</t>
    </rPh>
    <rPh sb="447" eb="449">
      <t>タントウ</t>
    </rPh>
    <rPh sb="449" eb="451">
      <t>キョウイン</t>
    </rPh>
    <rPh sb="452" eb="454">
      <t>ガクセイ</t>
    </rPh>
    <rPh sb="455" eb="457">
      <t>チョクセツ</t>
    </rPh>
    <rPh sb="457" eb="458">
      <t>ヨ</t>
    </rPh>
    <rPh sb="462" eb="463">
      <t>オコナ</t>
    </rPh>
    <rPh sb="467" eb="469">
      <t>テキカク</t>
    </rPh>
    <rPh sb="470" eb="472">
      <t>ジュギョウ</t>
    </rPh>
    <rPh sb="472" eb="474">
      <t>ウンエイ</t>
    </rPh>
    <rPh sb="481" eb="483">
      <t>タイセイ</t>
    </rPh>
    <rPh sb="484" eb="486">
      <t>キノウ</t>
    </rPh>
    <rPh sb="491" eb="493">
      <t>ハンダン</t>
    </rPh>
    <rPh sb="500" eb="502">
      <t>ケッカ</t>
    </rPh>
    <rPh sb="507" eb="509">
      <t>ネンド</t>
    </rPh>
    <rPh sb="510" eb="512">
      <t>ジュコウ</t>
    </rPh>
    <phoneticPr fontId="1"/>
  </si>
  <si>
    <t>本プログラムの「データサイエンス基礎」に関して、本学のネットワーク関連協力企業に対して、授業内容の視聴およびテキスト等を説明し、意見および感想を求めた。詳細は以下の通りである。
「データサイエンス基礎」について、社会におけるデータ・AI利活用の概論から留意点など幅広く、実社会の現状を踏まえ、わかりやすく解説されている。データのリテラシーなどは、一般的に使用されているExcelを用いて、統計の基礎を学生にとって身近なデータを扱うことで、より理解できる構成になっている。この「データサイエンス基礎」を履修することで、将来実務におけるデータ解析などの分野で役立つものと感じられる。
学習手法については、授業スケジュールに従ってではあるが、VODで動画を見ながら、手元のパソコンでExcelを実際に操作する。学習者のペースで、動画を繰り返し見ながら作業を進められるため、それぞれの履修者のレベルに応じた進捗で、学習効果も向上するものと感じられる。</t>
    <rPh sb="16" eb="18">
      <t>キソ</t>
    </rPh>
    <rPh sb="20" eb="21">
      <t>カン</t>
    </rPh>
    <rPh sb="24" eb="26">
      <t>ホンガク</t>
    </rPh>
    <rPh sb="33" eb="35">
      <t>カンレン</t>
    </rPh>
    <rPh sb="35" eb="37">
      <t>キョウリョク</t>
    </rPh>
    <rPh sb="37" eb="39">
      <t>キギョウ</t>
    </rPh>
    <rPh sb="40" eb="41">
      <t>タイ</t>
    </rPh>
    <rPh sb="44" eb="46">
      <t>ジュギョウ</t>
    </rPh>
    <rPh sb="46" eb="48">
      <t>ナイヨウ</t>
    </rPh>
    <rPh sb="49" eb="51">
      <t>シチョウ</t>
    </rPh>
    <rPh sb="58" eb="59">
      <t>ナド</t>
    </rPh>
    <rPh sb="60" eb="62">
      <t>セツメイ</t>
    </rPh>
    <rPh sb="64" eb="66">
      <t>イケン</t>
    </rPh>
    <rPh sb="69" eb="71">
      <t>カンソウ</t>
    </rPh>
    <rPh sb="72" eb="73">
      <t>モト</t>
    </rPh>
    <rPh sb="76" eb="78">
      <t>ショウサイ</t>
    </rPh>
    <rPh sb="79" eb="81">
      <t>イカ</t>
    </rPh>
    <rPh sb="82" eb="83">
      <t>トオ</t>
    </rPh>
    <phoneticPr fontId="1"/>
  </si>
  <si>
    <t>授業の初回、2回目、3回目で本プログラムの目的、目標、データサイエンスやAIについて学ぶ意義を解説している。また、遠隔授業（オンデマンド型）15回のうち、5回目、6回目は「コンピュータで扱う数値やデータに関する基礎知識」として、Ｅｘｃｅｌを学習する機会を設けた。さらに、Excelで躓いてしまうと、本プログラムに対する受講意欲が低下し、履修を断念する可能性も考えられるので、授業外学習講座として、遠隔授業（オンデマンド型）でExcelに関する基礎的な知識を身につける講座を開講した。シラバスではこの授業外学習講座での取り組み課題等についても全体の10％で評価すると明記している。授業時に利用するテーマについても、10回目「大学ランキングについて考えてみよう」、11回目「アイドルファンのジェンダー差について考えてみよう」、12回目「天気と売上の関係について考えてみよう」、13回目「スマートフォンの利用と生活時間について考えてみよう」など、学生の興味・関心が高く、生活に身近なテーマや実データを用いながら学ぶことのできる内容としている。また、8回目終了後、受講生に「ライフログ」アンケートを実施し、その「ライフログ」アンケート結果をもとに、14回の授業で修得した知識・スキルを駆使して、各自で仮説と分析を行い、表やグラフを用いて最終課題を提出することとしている。この「ライフログ」アンケートについても、実際の受講生のアンケート結果（有効回答数983件）を用いることになるので、受講生は小規模ではあるが、リアルな実データを用いての考察に取り組むことで、数理・データサイエンス・AIを身近な素材で学ぶ楽しさに気づいてもらいたいと考えている。
各授業回終了後に実施している独自アンケートにおいても、「今後もExcelを使いこなせるよう学んでいきたい」「データを扱うえでの基礎知識が身についた」等の前向きなコメントが多かったことからも充実した学びであることがうかがえる。
さらに学期末に実施した（全科目共通の）授業アンケート（履修者1098名中、482名が回答（43.9％））でも、「あなたはこの授業の分野または関連の学習分野の学習をさらに深めたいですか」との質問に対して、339名（70.4％）が「そう思う・ややそう思う」と回答していることからも、学ぶことの意義、基礎となる知識は身につけることができたと判断できる。</t>
    <rPh sb="3" eb="5">
      <t>ショカイ</t>
    </rPh>
    <rPh sb="7" eb="9">
      <t>カイメ</t>
    </rPh>
    <rPh sb="11" eb="13">
      <t>カイメ</t>
    </rPh>
    <rPh sb="14" eb="15">
      <t>ホン</t>
    </rPh>
    <rPh sb="21" eb="23">
      <t>モクテキ</t>
    </rPh>
    <rPh sb="24" eb="26">
      <t>モクヒョウ</t>
    </rPh>
    <rPh sb="42" eb="43">
      <t>マナ</t>
    </rPh>
    <rPh sb="44" eb="46">
      <t>イギ</t>
    </rPh>
    <rPh sb="47" eb="49">
      <t>カイセツ</t>
    </rPh>
    <rPh sb="57" eb="61">
      <t>エンカクジュギョウ</t>
    </rPh>
    <rPh sb="68" eb="69">
      <t>ガタ</t>
    </rPh>
    <rPh sb="72" eb="73">
      <t>カイ</t>
    </rPh>
    <rPh sb="78" eb="79">
      <t>カイ</t>
    </rPh>
    <rPh sb="79" eb="80">
      <t>メ</t>
    </rPh>
    <rPh sb="82" eb="83">
      <t>カイ</t>
    </rPh>
    <rPh sb="83" eb="84">
      <t>メ</t>
    </rPh>
    <rPh sb="93" eb="94">
      <t>アツカ</t>
    </rPh>
    <rPh sb="95" eb="97">
      <t>スウチ</t>
    </rPh>
    <rPh sb="102" eb="103">
      <t>カン</t>
    </rPh>
    <rPh sb="105" eb="107">
      <t>キソ</t>
    </rPh>
    <rPh sb="107" eb="109">
      <t>チシキ</t>
    </rPh>
    <rPh sb="120" eb="122">
      <t>ガクシュウ</t>
    </rPh>
    <rPh sb="124" eb="126">
      <t>キカイ</t>
    </rPh>
    <rPh sb="127" eb="128">
      <t>モウ</t>
    </rPh>
    <rPh sb="141" eb="142">
      <t>ツマヅ</t>
    </rPh>
    <rPh sb="149" eb="150">
      <t>ホン</t>
    </rPh>
    <rPh sb="156" eb="157">
      <t>タイ</t>
    </rPh>
    <rPh sb="159" eb="163">
      <t>ジュコウイヨク</t>
    </rPh>
    <rPh sb="164" eb="166">
      <t>テイカ</t>
    </rPh>
    <rPh sb="171" eb="173">
      <t>ダンネン</t>
    </rPh>
    <rPh sb="175" eb="178">
      <t>カノウセイ</t>
    </rPh>
    <rPh sb="179" eb="180">
      <t>カンガ</t>
    </rPh>
    <rPh sb="187" eb="189">
      <t>ジュギョウ</t>
    </rPh>
    <rPh sb="189" eb="190">
      <t>ガイ</t>
    </rPh>
    <rPh sb="190" eb="192">
      <t>ガクシュウ</t>
    </rPh>
    <rPh sb="192" eb="194">
      <t>コウザ</t>
    </rPh>
    <rPh sb="198" eb="202">
      <t>エンカクジュギョウ</t>
    </rPh>
    <rPh sb="209" eb="210">
      <t>ガタ</t>
    </rPh>
    <rPh sb="218" eb="219">
      <t>カン</t>
    </rPh>
    <rPh sb="221" eb="224">
      <t>キソテキ</t>
    </rPh>
    <rPh sb="225" eb="227">
      <t>チシキ</t>
    </rPh>
    <rPh sb="228" eb="229">
      <t>ミ</t>
    </rPh>
    <rPh sb="233" eb="235">
      <t>コウザ</t>
    </rPh>
    <rPh sb="236" eb="238">
      <t>カイコウ</t>
    </rPh>
    <rPh sb="249" eb="251">
      <t>ジュギョウ</t>
    </rPh>
    <rPh sb="251" eb="252">
      <t>ガイ</t>
    </rPh>
    <rPh sb="252" eb="256">
      <t>ガクシュウコウザ</t>
    </rPh>
    <rPh sb="258" eb="259">
      <t>ト</t>
    </rPh>
    <rPh sb="260" eb="261">
      <t>ク</t>
    </rPh>
    <rPh sb="262" eb="264">
      <t>カダイ</t>
    </rPh>
    <rPh sb="264" eb="265">
      <t>ナド</t>
    </rPh>
    <rPh sb="270" eb="272">
      <t>ゼンタイ</t>
    </rPh>
    <rPh sb="277" eb="279">
      <t>ヒョウカ</t>
    </rPh>
    <rPh sb="282" eb="284">
      <t>メイキ</t>
    </rPh>
    <rPh sb="289" eb="291">
      <t>ジュギョウ</t>
    </rPh>
    <rPh sb="291" eb="292">
      <t>ジ</t>
    </rPh>
    <rPh sb="293" eb="295">
      <t>リヨウ</t>
    </rPh>
    <rPh sb="308" eb="310">
      <t>カイメ</t>
    </rPh>
    <rPh sb="311" eb="313">
      <t>ダイガク</t>
    </rPh>
    <rPh sb="322" eb="323">
      <t>カンガ</t>
    </rPh>
    <rPh sb="332" eb="334">
      <t>カイメ</t>
    </rPh>
    <rPh sb="348" eb="349">
      <t>サ</t>
    </rPh>
    <rPh sb="353" eb="354">
      <t>カンガ</t>
    </rPh>
    <rPh sb="363" eb="365">
      <t>カイメ</t>
    </rPh>
    <rPh sb="366" eb="368">
      <t>テンキ</t>
    </rPh>
    <rPh sb="369" eb="371">
      <t>ウリアゲ</t>
    </rPh>
    <rPh sb="372" eb="374">
      <t>カンケイ</t>
    </rPh>
    <rPh sb="378" eb="379">
      <t>カンガ</t>
    </rPh>
    <rPh sb="388" eb="390">
      <t>カイメ</t>
    </rPh>
    <rPh sb="399" eb="401">
      <t>リヨウ</t>
    </rPh>
    <rPh sb="402" eb="404">
      <t>セイカツ</t>
    </rPh>
    <rPh sb="404" eb="406">
      <t>ジカン</t>
    </rPh>
    <rPh sb="410" eb="411">
      <t>カンガ</t>
    </rPh>
    <rPh sb="420" eb="422">
      <t>ガクセイ</t>
    </rPh>
    <rPh sb="423" eb="425">
      <t>キョウミ</t>
    </rPh>
    <rPh sb="426" eb="428">
      <t>カンシン</t>
    </rPh>
    <rPh sb="429" eb="430">
      <t>タカ</t>
    </rPh>
    <rPh sb="432" eb="434">
      <t>セイカツ</t>
    </rPh>
    <rPh sb="435" eb="437">
      <t>ミジカ</t>
    </rPh>
    <rPh sb="442" eb="443">
      <t>ジツ</t>
    </rPh>
    <rPh sb="447" eb="448">
      <t>モチ</t>
    </rPh>
    <rPh sb="452" eb="453">
      <t>マナ</t>
    </rPh>
    <rPh sb="460" eb="462">
      <t>ナイヨウ</t>
    </rPh>
    <rPh sb="543" eb="545">
      <t>カクジ</t>
    </rPh>
    <rPh sb="546" eb="548">
      <t>カセツ</t>
    </rPh>
    <rPh sb="549" eb="551">
      <t>ブンセキ</t>
    </rPh>
    <rPh sb="552" eb="553">
      <t>オコナ</t>
    </rPh>
    <rPh sb="555" eb="556">
      <t>ヒョウ</t>
    </rPh>
    <rPh sb="561" eb="562">
      <t>モチ</t>
    </rPh>
    <rPh sb="564" eb="566">
      <t>サイシュウ</t>
    </rPh>
    <rPh sb="566" eb="568">
      <t>カダイ</t>
    </rPh>
    <rPh sb="569" eb="571">
      <t>テイシュツ</t>
    </rPh>
    <rPh sb="601" eb="603">
      <t>ジッサイ</t>
    </rPh>
    <rPh sb="604" eb="607">
      <t>ジュコウセイ</t>
    </rPh>
    <rPh sb="613" eb="615">
      <t>ケッカ</t>
    </rPh>
    <rPh sb="616" eb="618">
      <t>ユウコウ</t>
    </rPh>
    <rPh sb="618" eb="620">
      <t>カイトウ</t>
    </rPh>
    <rPh sb="620" eb="621">
      <t>スウ</t>
    </rPh>
    <rPh sb="624" eb="625">
      <t>ケン</t>
    </rPh>
    <rPh sb="627" eb="628">
      <t>モチ</t>
    </rPh>
    <rPh sb="638" eb="641">
      <t>ジュコウセイ</t>
    </rPh>
    <rPh sb="642" eb="645">
      <t>ショウキボ</t>
    </rPh>
    <rPh sb="655" eb="656">
      <t>ジツ</t>
    </rPh>
    <rPh sb="660" eb="661">
      <t>モチ</t>
    </rPh>
    <rPh sb="664" eb="666">
      <t>コウサツ</t>
    </rPh>
    <rPh sb="667" eb="668">
      <t>ト</t>
    </rPh>
    <rPh sb="669" eb="670">
      <t>ク</t>
    </rPh>
    <rPh sb="675" eb="677">
      <t>スウリ</t>
    </rPh>
    <rPh sb="690" eb="692">
      <t>ミジカ</t>
    </rPh>
    <rPh sb="693" eb="695">
      <t>ソザイ</t>
    </rPh>
    <rPh sb="696" eb="697">
      <t>マナ</t>
    </rPh>
    <rPh sb="698" eb="699">
      <t>タノ</t>
    </rPh>
    <rPh sb="702" eb="703">
      <t>キ</t>
    </rPh>
    <rPh sb="712" eb="713">
      <t>カンガ</t>
    </rPh>
    <rPh sb="719" eb="723">
      <t>カクジュギョウカイ</t>
    </rPh>
    <rPh sb="723" eb="726">
      <t>シュウリョウゴ</t>
    </rPh>
    <rPh sb="727" eb="729">
      <t>ジッシ</t>
    </rPh>
    <rPh sb="733" eb="735">
      <t>ドクジ</t>
    </rPh>
    <rPh sb="747" eb="749">
      <t>コンゴ</t>
    </rPh>
    <rPh sb="755" eb="756">
      <t>ツカ</t>
    </rPh>
    <rPh sb="763" eb="764">
      <t>マナ</t>
    </rPh>
    <rPh sb="776" eb="777">
      <t>アツカ</t>
    </rPh>
    <rPh sb="781" eb="783">
      <t>キソ</t>
    </rPh>
    <rPh sb="783" eb="785">
      <t>チシキ</t>
    </rPh>
    <rPh sb="786" eb="787">
      <t>ミ</t>
    </rPh>
    <rPh sb="792" eb="793">
      <t>ナド</t>
    </rPh>
    <rPh sb="794" eb="796">
      <t>マエム</t>
    </rPh>
    <rPh sb="803" eb="804">
      <t>オオ</t>
    </rPh>
    <rPh sb="812" eb="814">
      <t>ジュウジツ</t>
    </rPh>
    <rPh sb="816" eb="817">
      <t>マナ</t>
    </rPh>
    <rPh sb="834" eb="837">
      <t>ガッキマツ</t>
    </rPh>
    <rPh sb="838" eb="840">
      <t>ジッシ</t>
    </rPh>
    <rPh sb="850" eb="852">
      <t>ジュギョウ</t>
    </rPh>
    <rPh sb="858" eb="861">
      <t>リシュウシャ</t>
    </rPh>
    <rPh sb="865" eb="866">
      <t>メイ</t>
    </rPh>
    <rPh sb="866" eb="867">
      <t>チュウ</t>
    </rPh>
    <rPh sb="871" eb="872">
      <t>メイ</t>
    </rPh>
    <rPh sb="873" eb="875">
      <t>カイトウ</t>
    </rPh>
    <rPh sb="893" eb="895">
      <t>ジュギョウ</t>
    </rPh>
    <rPh sb="896" eb="898">
      <t>ブンヤ</t>
    </rPh>
    <rPh sb="901" eb="903">
      <t>カンレン</t>
    </rPh>
    <rPh sb="904" eb="906">
      <t>ガクシュウ</t>
    </rPh>
    <rPh sb="906" eb="908">
      <t>ブンヤ</t>
    </rPh>
    <rPh sb="909" eb="911">
      <t>ガクシュウ</t>
    </rPh>
    <rPh sb="915" eb="916">
      <t>フカ</t>
    </rPh>
    <rPh sb="925" eb="927">
      <t>シツモン</t>
    </rPh>
    <rPh sb="928" eb="929">
      <t>タイ</t>
    </rPh>
    <rPh sb="935" eb="936">
      <t>メイ</t>
    </rPh>
    <rPh sb="947" eb="948">
      <t>オモ</t>
    </rPh>
    <rPh sb="954" eb="955">
      <t>オモ</t>
    </rPh>
    <rPh sb="958" eb="960">
      <t>カイトウ</t>
    </rPh>
    <rPh sb="970" eb="971">
      <t>マナ</t>
    </rPh>
    <rPh sb="975" eb="977">
      <t>イギ</t>
    </rPh>
    <rPh sb="978" eb="980">
      <t>キソ</t>
    </rPh>
    <rPh sb="983" eb="985">
      <t>チシキ</t>
    </rPh>
    <rPh sb="986" eb="987">
      <t>ミ</t>
    </rPh>
    <rPh sb="998" eb="1000">
      <t>ハンダン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</si>
</sst>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9" fontId="2" fillId="0" borderId="15"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12" fillId="0" borderId="35" xfId="0" applyFont="1" applyBorder="1" applyAlignment="1">
      <alignment vertical="center" wrapText="1" shrinkToFit="1"/>
    </xf>
    <xf numFmtId="0" fontId="12" fillId="0" borderId="34" xfId="0" applyFont="1" applyBorder="1" applyAlignment="1">
      <alignment vertical="center" wrapText="1"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1" fillId="0" borderId="33" xfId="0" applyFont="1" applyBorder="1" applyAlignment="1">
      <alignment vertical="center" shrinkToFit="1"/>
    </xf>
    <xf numFmtId="0" fontId="11" fillId="0" borderId="35" xfId="0" applyFont="1" applyBorder="1" applyAlignment="1">
      <alignment vertical="center" shrinkToFit="1"/>
    </xf>
    <xf numFmtId="0" fontId="11" fillId="0" borderId="34" xfId="0" applyFont="1" applyBorder="1" applyAlignment="1">
      <alignmen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11" fillId="0" borderId="3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5" xfId="0" applyFont="1" applyBorder="1" applyAlignment="1">
      <alignment horizontal="left" vertical="center" wrapText="1" shrinkToFit="1"/>
    </xf>
    <xf numFmtId="0" fontId="12" fillId="0" borderId="35" xfId="0" applyFont="1" applyBorder="1" applyAlignment="1">
      <alignment horizontal="left" vertical="center" shrinkToFit="1"/>
    </xf>
    <xf numFmtId="0" fontId="12" fillId="0" borderId="34" xfId="0" applyFont="1" applyBorder="1" applyAlignment="1">
      <alignment horizontal="left" vertical="center"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7" xfId="0" applyFont="1" applyBorder="1" applyAlignment="1">
      <alignment horizontal="left" vertical="center" wrapText="1" shrinkToFit="1"/>
    </xf>
    <xf numFmtId="0" fontId="12" fillId="0" borderId="37" xfId="0" applyFont="1" applyBorder="1" applyAlignment="1">
      <alignment horizontal="left" vertical="center" shrinkToFit="1"/>
    </xf>
    <xf numFmtId="0" fontId="12" fillId="0" borderId="38" xfId="0" applyFont="1" applyBorder="1" applyAlignment="1">
      <alignment horizontal="left"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5" fillId="0" borderId="9" xfId="0" applyFont="1" applyBorder="1" applyAlignment="1">
      <alignment vertical="top"/>
    </xf>
    <xf numFmtId="0" fontId="5" fillId="0" borderId="5" xfId="0" applyFont="1" applyBorder="1" applyAlignment="1">
      <alignment vertical="top"/>
    </xf>
    <xf numFmtId="0" fontId="5" fillId="0" borderId="0" xfId="0" applyFont="1" applyAlignment="1">
      <alignment vertical="top"/>
    </xf>
    <xf numFmtId="0" fontId="5" fillId="0" borderId="10" xfId="0" applyFont="1" applyBorder="1" applyAlignment="1">
      <alignment vertical="top"/>
    </xf>
    <xf numFmtId="0" fontId="5" fillId="0" borderId="11" xfId="0" applyFont="1" applyBorder="1" applyAlignment="1">
      <alignment vertical="top"/>
    </xf>
    <xf numFmtId="0" fontId="5" fillId="0" borderId="6" xfId="0" applyFont="1" applyBorder="1" applyAlignment="1">
      <alignment vertical="top"/>
    </xf>
    <xf numFmtId="0" fontId="5"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5" xfId="0" applyFont="1" applyBorder="1" applyAlignment="1">
      <alignment horizontal="left" vertical="top" wrapText="1"/>
    </xf>
    <xf numFmtId="0" fontId="5" fillId="0" borderId="0" xfId="0" applyFont="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X110"/>
  <sheetViews>
    <sheetView showZeros="0" tabSelected="1" view="pageBreakPreview" topLeftCell="A25" zoomScaleNormal="100" zoomScaleSheetLayoutView="100" workbookViewId="0">
      <selection activeCell="O3" sqref="O3"/>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48" t="s">
        <v>12</v>
      </c>
      <c r="S1" s="148"/>
      <c r="T1" s="2" t="s">
        <v>110</v>
      </c>
    </row>
    <row r="2" spans="1:22" ht="18.75" customHeight="1" x14ac:dyDescent="0.2">
      <c r="B2" s="31" t="s">
        <v>109</v>
      </c>
      <c r="C2" s="152" t="s">
        <v>127</v>
      </c>
      <c r="D2" s="153"/>
      <c r="E2" s="153"/>
      <c r="F2" s="153"/>
      <c r="G2" s="153"/>
      <c r="H2" s="153"/>
      <c r="I2" s="154"/>
      <c r="J2" s="32"/>
      <c r="K2" s="6"/>
      <c r="L2" s="6"/>
      <c r="M2" s="6"/>
      <c r="N2" s="6"/>
      <c r="O2" s="6"/>
      <c r="P2" s="6"/>
      <c r="Q2" s="6"/>
      <c r="R2" s="6"/>
      <c r="S2" s="6"/>
    </row>
    <row r="3" spans="1:22" ht="18.75" customHeight="1" x14ac:dyDescent="0.2">
      <c r="B3" s="31" t="s">
        <v>103</v>
      </c>
      <c r="C3" s="155" t="s">
        <v>128</v>
      </c>
      <c r="D3" s="156"/>
      <c r="E3" s="156"/>
      <c r="F3" s="156"/>
      <c r="G3" s="156"/>
      <c r="H3" s="156"/>
      <c r="I3" s="157"/>
      <c r="J3" s="32"/>
      <c r="K3" s="6"/>
      <c r="L3" s="6"/>
      <c r="M3" s="6"/>
      <c r="N3" s="6"/>
      <c r="O3" s="6"/>
      <c r="P3" s="6"/>
      <c r="Q3" s="6"/>
      <c r="R3" s="6"/>
      <c r="S3" s="6"/>
    </row>
    <row r="4" spans="1:22" ht="15" customHeight="1" x14ac:dyDescent="0.2">
      <c r="K4" s="32"/>
      <c r="L4" s="34"/>
      <c r="M4" s="34"/>
      <c r="N4" s="34"/>
      <c r="O4" s="34"/>
      <c r="P4" s="34"/>
      <c r="Q4" s="34"/>
      <c r="R4" s="34"/>
      <c r="S4" s="34"/>
    </row>
    <row r="5" spans="1:22" ht="18" customHeight="1" x14ac:dyDescent="0.2">
      <c r="A5" s="158" t="s">
        <v>39</v>
      </c>
      <c r="B5" s="158"/>
      <c r="C5" s="158"/>
      <c r="D5" s="158"/>
      <c r="E5" s="158"/>
      <c r="F5" s="158"/>
      <c r="G5" s="158"/>
      <c r="H5" s="158"/>
      <c r="I5" s="158"/>
      <c r="J5" s="158"/>
      <c r="K5" s="158"/>
      <c r="L5" s="158"/>
      <c r="M5" s="158"/>
      <c r="N5" s="158"/>
      <c r="O5" s="158"/>
      <c r="P5" s="158"/>
      <c r="Q5" s="158"/>
      <c r="R5" s="158"/>
      <c r="S5" s="158"/>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5" t="s">
        <v>108</v>
      </c>
      <c r="K7" s="168" t="s">
        <v>129</v>
      </c>
      <c r="L7" s="169"/>
      <c r="M7" s="169"/>
      <c r="N7" s="169"/>
      <c r="O7" s="169"/>
      <c r="P7" s="169"/>
      <c r="Q7" s="169"/>
      <c r="R7" s="169"/>
      <c r="S7" s="170"/>
    </row>
    <row r="8" spans="1:22" ht="6" customHeight="1" x14ac:dyDescent="0.2">
      <c r="B8" s="3"/>
      <c r="C8" s="3"/>
      <c r="D8" s="3"/>
      <c r="E8" s="3"/>
      <c r="F8" s="3"/>
      <c r="G8" s="3"/>
      <c r="H8" s="3"/>
      <c r="I8" s="3"/>
      <c r="J8" s="3"/>
      <c r="K8" s="9"/>
      <c r="L8" s="3"/>
      <c r="M8" s="3"/>
      <c r="N8" s="3"/>
      <c r="O8" s="3"/>
      <c r="P8" s="3"/>
      <c r="Q8" s="3"/>
      <c r="R8" s="3"/>
      <c r="S8" s="3"/>
    </row>
    <row r="9" spans="1:22" ht="18" customHeight="1" x14ac:dyDescent="0.2">
      <c r="B9" s="171"/>
      <c r="C9" s="172"/>
      <c r="D9" s="172"/>
      <c r="E9" s="172"/>
      <c r="F9" s="172"/>
      <c r="G9" s="172"/>
      <c r="H9" s="172"/>
      <c r="I9" s="172"/>
      <c r="J9" s="172"/>
      <c r="K9" s="172"/>
      <c r="L9" s="172"/>
      <c r="M9" s="172"/>
      <c r="N9" s="172"/>
      <c r="O9" s="172"/>
      <c r="P9" s="172"/>
      <c r="Q9" s="172"/>
      <c r="R9" s="172"/>
      <c r="S9" s="173"/>
    </row>
    <row r="10" spans="1:22" ht="18" customHeight="1" x14ac:dyDescent="0.2">
      <c r="B10" s="174"/>
      <c r="C10" s="175"/>
      <c r="D10" s="175"/>
      <c r="E10" s="175"/>
      <c r="F10" s="175"/>
      <c r="G10" s="175"/>
      <c r="H10" s="175"/>
      <c r="I10" s="175"/>
      <c r="J10" s="175"/>
      <c r="K10" s="175"/>
      <c r="L10" s="175"/>
      <c r="M10" s="175"/>
      <c r="N10" s="175"/>
      <c r="O10" s="175"/>
      <c r="P10" s="175"/>
      <c r="Q10" s="175"/>
      <c r="R10" s="175"/>
      <c r="S10" s="176"/>
    </row>
    <row r="11" spans="1:22" ht="6" customHeight="1" x14ac:dyDescent="0.2">
      <c r="B11" s="3"/>
      <c r="C11" s="3"/>
      <c r="D11" s="3"/>
      <c r="E11" s="3"/>
      <c r="F11" s="3"/>
      <c r="G11" s="3"/>
      <c r="H11" s="3"/>
      <c r="I11" s="3"/>
      <c r="J11" s="3"/>
      <c r="K11" s="9"/>
      <c r="L11" s="3"/>
      <c r="M11" s="3"/>
      <c r="N11" s="3"/>
      <c r="O11" s="3"/>
      <c r="P11" s="3"/>
      <c r="Q11" s="3"/>
      <c r="R11" s="3"/>
      <c r="S11" s="3"/>
    </row>
    <row r="12" spans="1:22" ht="18" customHeight="1" x14ac:dyDescent="0.2">
      <c r="A12" s="1" t="s">
        <v>112</v>
      </c>
      <c r="B12" s="3"/>
      <c r="C12" s="3"/>
      <c r="D12" s="32"/>
      <c r="E12" s="32"/>
      <c r="F12" s="32"/>
      <c r="G12" s="32"/>
      <c r="H12" s="32"/>
      <c r="I12" s="32"/>
      <c r="J12" s="32"/>
      <c r="K12" s="36"/>
      <c r="L12" s="36"/>
      <c r="M12" s="36"/>
      <c r="N12" s="36"/>
      <c r="O12" s="36"/>
      <c r="P12" s="36"/>
      <c r="Q12" s="36"/>
      <c r="R12" s="36"/>
      <c r="S12" s="36"/>
    </row>
    <row r="13" spans="1:22" ht="18" customHeight="1" x14ac:dyDescent="0.2">
      <c r="B13" s="159" t="s">
        <v>167</v>
      </c>
      <c r="C13" s="160"/>
      <c r="D13" s="160"/>
      <c r="E13" s="160"/>
      <c r="F13" s="160"/>
      <c r="G13" s="160"/>
      <c r="H13" s="160"/>
      <c r="I13" s="160"/>
      <c r="J13" s="160"/>
      <c r="K13" s="160"/>
      <c r="L13" s="160"/>
      <c r="M13" s="160"/>
      <c r="N13" s="160"/>
      <c r="O13" s="160"/>
      <c r="P13" s="160"/>
      <c r="Q13" s="160"/>
      <c r="R13" s="160"/>
      <c r="S13" s="161"/>
      <c r="V13" s="1" t="s">
        <v>104</v>
      </c>
    </row>
    <row r="14" spans="1:22" ht="18" customHeight="1" x14ac:dyDescent="0.2">
      <c r="B14" s="162"/>
      <c r="C14" s="163"/>
      <c r="D14" s="163"/>
      <c r="E14" s="163"/>
      <c r="F14" s="163"/>
      <c r="G14" s="163"/>
      <c r="H14" s="163"/>
      <c r="I14" s="163"/>
      <c r="J14" s="163"/>
      <c r="K14" s="163"/>
      <c r="L14" s="163"/>
      <c r="M14" s="163"/>
      <c r="N14" s="163"/>
      <c r="O14" s="163"/>
      <c r="P14" s="163"/>
      <c r="Q14" s="163"/>
      <c r="R14" s="163"/>
      <c r="S14" s="164"/>
      <c r="V14" s="1" t="s">
        <v>111</v>
      </c>
    </row>
    <row r="15" spans="1:22" ht="18" customHeight="1" x14ac:dyDescent="0.2">
      <c r="B15" s="162"/>
      <c r="C15" s="163"/>
      <c r="D15" s="163"/>
      <c r="E15" s="163"/>
      <c r="F15" s="163"/>
      <c r="G15" s="163"/>
      <c r="H15" s="163"/>
      <c r="I15" s="163"/>
      <c r="J15" s="163"/>
      <c r="K15" s="163"/>
      <c r="L15" s="163"/>
      <c r="M15" s="163"/>
      <c r="N15" s="163"/>
      <c r="O15" s="163"/>
      <c r="P15" s="163"/>
      <c r="Q15" s="163"/>
      <c r="R15" s="163"/>
      <c r="S15" s="164"/>
      <c r="V15" s="1" t="s">
        <v>124</v>
      </c>
    </row>
    <row r="16" spans="1:22" ht="18" customHeight="1" x14ac:dyDescent="0.2">
      <c r="B16" s="162"/>
      <c r="C16" s="163"/>
      <c r="D16" s="163"/>
      <c r="E16" s="163"/>
      <c r="F16" s="163"/>
      <c r="G16" s="163"/>
      <c r="H16" s="163"/>
      <c r="I16" s="163"/>
      <c r="J16" s="163"/>
      <c r="K16" s="163"/>
      <c r="L16" s="163"/>
      <c r="M16" s="163"/>
      <c r="N16" s="163"/>
      <c r="O16" s="163"/>
      <c r="P16" s="163"/>
      <c r="Q16" s="163"/>
      <c r="R16" s="163"/>
      <c r="S16" s="164"/>
      <c r="V16" s="1" t="s">
        <v>126</v>
      </c>
    </row>
    <row r="17" spans="1:19" ht="18" customHeight="1" x14ac:dyDescent="0.2">
      <c r="B17" s="162"/>
      <c r="C17" s="163"/>
      <c r="D17" s="163"/>
      <c r="E17" s="163"/>
      <c r="F17" s="163"/>
      <c r="G17" s="163"/>
      <c r="H17" s="163"/>
      <c r="I17" s="163"/>
      <c r="J17" s="163"/>
      <c r="K17" s="163"/>
      <c r="L17" s="163"/>
      <c r="M17" s="163"/>
      <c r="N17" s="163"/>
      <c r="O17" s="163"/>
      <c r="P17" s="163"/>
      <c r="Q17" s="163"/>
      <c r="R17" s="163"/>
      <c r="S17" s="164"/>
    </row>
    <row r="18" spans="1:19" ht="18" customHeight="1" x14ac:dyDescent="0.2">
      <c r="B18" s="165"/>
      <c r="C18" s="166"/>
      <c r="D18" s="166"/>
      <c r="E18" s="166"/>
      <c r="F18" s="166"/>
      <c r="G18" s="166"/>
      <c r="H18" s="166"/>
      <c r="I18" s="166"/>
      <c r="J18" s="166"/>
      <c r="K18" s="166"/>
      <c r="L18" s="166"/>
      <c r="M18" s="166"/>
      <c r="N18" s="166"/>
      <c r="O18" s="166"/>
      <c r="P18" s="166"/>
      <c r="Q18" s="166"/>
      <c r="R18" s="166"/>
      <c r="S18" s="167"/>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152">
        <v>2</v>
      </c>
      <c r="D20" s="154"/>
      <c r="E20" s="37" t="s">
        <v>96</v>
      </c>
      <c r="G20" s="9"/>
      <c r="H20" s="3"/>
      <c r="I20" s="3"/>
      <c r="J20" s="32" t="s">
        <v>122</v>
      </c>
      <c r="K20" s="149" t="s">
        <v>126</v>
      </c>
      <c r="L20" s="150"/>
      <c r="M20" s="150"/>
      <c r="N20" s="150"/>
      <c r="O20" s="150"/>
      <c r="P20" s="150"/>
      <c r="Q20" s="150"/>
      <c r="R20" s="150"/>
      <c r="S20" s="151"/>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3" t="s">
        <v>114</v>
      </c>
      <c r="B22" s="93"/>
      <c r="C22" s="93"/>
      <c r="D22" s="93"/>
      <c r="E22" s="93"/>
      <c r="F22" s="93"/>
      <c r="G22" s="93"/>
      <c r="H22" s="93"/>
      <c r="I22" s="93"/>
      <c r="J22" s="93"/>
      <c r="K22" s="93"/>
      <c r="L22" s="93"/>
      <c r="M22" s="93"/>
      <c r="N22" s="93"/>
      <c r="O22" s="93"/>
      <c r="P22" s="93"/>
      <c r="Q22" s="93"/>
      <c r="R22" s="93"/>
      <c r="S22" s="93"/>
    </row>
    <row r="23" spans="1:19" ht="18" customHeight="1" x14ac:dyDescent="0.2">
      <c r="A23" s="93"/>
      <c r="B23" s="93"/>
      <c r="C23" s="93"/>
      <c r="D23" s="93"/>
      <c r="E23" s="93"/>
      <c r="F23" s="93"/>
      <c r="G23" s="93"/>
      <c r="H23" s="93"/>
      <c r="I23" s="93"/>
      <c r="J23" s="93"/>
      <c r="K23" s="93"/>
      <c r="L23" s="93"/>
      <c r="M23" s="93"/>
      <c r="N23" s="93"/>
      <c r="O23" s="93"/>
      <c r="P23" s="93"/>
      <c r="Q23" s="93"/>
      <c r="R23" s="93"/>
      <c r="S23" s="93"/>
    </row>
    <row r="24" spans="1:19" ht="18" customHeight="1" x14ac:dyDescent="0.2">
      <c r="B24" s="87" t="s">
        <v>54</v>
      </c>
      <c r="C24" s="88"/>
      <c r="D24" s="88"/>
      <c r="E24" s="89"/>
      <c r="F24" s="58" t="s">
        <v>81</v>
      </c>
      <c r="G24" s="57" t="s">
        <v>85</v>
      </c>
      <c r="H24" s="19" t="s">
        <v>57</v>
      </c>
      <c r="I24" s="19" t="s">
        <v>60</v>
      </c>
      <c r="J24" s="87" t="s">
        <v>54</v>
      </c>
      <c r="K24" s="88"/>
      <c r="L24" s="88"/>
      <c r="M24" s="88"/>
      <c r="N24" s="88"/>
      <c r="O24" s="89"/>
      <c r="P24" s="58" t="s">
        <v>81</v>
      </c>
      <c r="Q24" s="57" t="s">
        <v>85</v>
      </c>
      <c r="R24" s="19" t="s">
        <v>57</v>
      </c>
      <c r="S24" s="19" t="s">
        <v>60</v>
      </c>
    </row>
    <row r="25" spans="1:19" ht="18" customHeight="1" x14ac:dyDescent="0.2">
      <c r="B25" s="81" t="s">
        <v>130</v>
      </c>
      <c r="C25" s="82"/>
      <c r="D25" s="82"/>
      <c r="E25" s="83"/>
      <c r="F25" s="20">
        <v>2</v>
      </c>
      <c r="G25" s="20" t="s">
        <v>131</v>
      </c>
      <c r="H25" s="20" t="s">
        <v>131</v>
      </c>
      <c r="I25" s="20" t="s">
        <v>131</v>
      </c>
      <c r="J25" s="81"/>
      <c r="K25" s="82"/>
      <c r="L25" s="82"/>
      <c r="M25" s="82"/>
      <c r="N25" s="82"/>
      <c r="O25" s="83"/>
      <c r="P25" s="20"/>
      <c r="Q25" s="20"/>
      <c r="R25" s="20"/>
      <c r="S25" s="20"/>
    </row>
    <row r="26" spans="1:19" ht="18" customHeight="1" x14ac:dyDescent="0.2">
      <c r="B26" s="84"/>
      <c r="C26" s="85"/>
      <c r="D26" s="85"/>
      <c r="E26" s="86"/>
      <c r="F26" s="21"/>
      <c r="G26" s="21"/>
      <c r="H26" s="21"/>
      <c r="I26" s="21"/>
      <c r="J26" s="84"/>
      <c r="K26" s="85"/>
      <c r="L26" s="85"/>
      <c r="M26" s="85"/>
      <c r="N26" s="85"/>
      <c r="O26" s="86"/>
      <c r="P26" s="21"/>
      <c r="Q26" s="21"/>
      <c r="R26" s="21"/>
      <c r="S26" s="21"/>
    </row>
    <row r="27" spans="1:19" ht="18" customHeight="1" x14ac:dyDescent="0.2">
      <c r="B27" s="84"/>
      <c r="C27" s="85"/>
      <c r="D27" s="85"/>
      <c r="E27" s="86"/>
      <c r="F27" s="21"/>
      <c r="G27" s="21"/>
      <c r="H27" s="21"/>
      <c r="I27" s="21"/>
      <c r="J27" s="84"/>
      <c r="K27" s="85"/>
      <c r="L27" s="85"/>
      <c r="M27" s="85"/>
      <c r="N27" s="85"/>
      <c r="O27" s="86"/>
      <c r="P27" s="21"/>
      <c r="Q27" s="21"/>
      <c r="R27" s="21"/>
      <c r="S27" s="21"/>
    </row>
    <row r="28" spans="1:19" ht="18" customHeight="1" x14ac:dyDescent="0.2">
      <c r="B28" s="84"/>
      <c r="C28" s="85"/>
      <c r="D28" s="85"/>
      <c r="E28" s="86"/>
      <c r="F28" s="21"/>
      <c r="G28" s="21"/>
      <c r="H28" s="21"/>
      <c r="I28" s="21"/>
      <c r="J28" s="84"/>
      <c r="K28" s="85"/>
      <c r="L28" s="85"/>
      <c r="M28" s="85"/>
      <c r="N28" s="85"/>
      <c r="O28" s="86"/>
      <c r="P28" s="21"/>
      <c r="Q28" s="21"/>
      <c r="R28" s="21"/>
      <c r="S28" s="21"/>
    </row>
    <row r="29" spans="1:19" ht="18" customHeight="1" x14ac:dyDescent="0.2">
      <c r="B29" s="84"/>
      <c r="C29" s="85"/>
      <c r="D29" s="85"/>
      <c r="E29" s="86"/>
      <c r="F29" s="21"/>
      <c r="G29" s="21"/>
      <c r="H29" s="21"/>
      <c r="I29" s="21"/>
      <c r="J29" s="84"/>
      <c r="K29" s="85"/>
      <c r="L29" s="85"/>
      <c r="M29" s="85"/>
      <c r="N29" s="85"/>
      <c r="O29" s="86"/>
      <c r="P29" s="21"/>
      <c r="Q29" s="21"/>
      <c r="R29" s="21"/>
      <c r="S29" s="21"/>
    </row>
    <row r="30" spans="1:19" ht="18" customHeight="1" x14ac:dyDescent="0.2">
      <c r="A30" s="3"/>
      <c r="B30" s="84"/>
      <c r="C30" s="85"/>
      <c r="D30" s="85"/>
      <c r="E30" s="86"/>
      <c r="F30" s="21"/>
      <c r="G30" s="21"/>
      <c r="H30" s="21"/>
      <c r="I30" s="21"/>
      <c r="J30" s="84"/>
      <c r="K30" s="85"/>
      <c r="L30" s="85"/>
      <c r="M30" s="85"/>
      <c r="N30" s="85"/>
      <c r="O30" s="86"/>
      <c r="P30" s="21"/>
      <c r="Q30" s="21"/>
      <c r="R30" s="21"/>
      <c r="S30" s="21"/>
    </row>
    <row r="31" spans="1:19" ht="18" customHeight="1" x14ac:dyDescent="0.2">
      <c r="A31" s="3"/>
      <c r="B31" s="90"/>
      <c r="C31" s="91"/>
      <c r="D31" s="91"/>
      <c r="E31" s="92"/>
      <c r="F31" s="22"/>
      <c r="G31" s="22"/>
      <c r="H31" s="23"/>
      <c r="I31" s="23"/>
      <c r="J31" s="90"/>
      <c r="K31" s="91"/>
      <c r="L31" s="91"/>
      <c r="M31" s="91"/>
      <c r="N31" s="91"/>
      <c r="O31" s="92"/>
      <c r="P31" s="22"/>
      <c r="Q31" s="22"/>
      <c r="R31" s="23"/>
      <c r="S31" s="23"/>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3" t="s">
        <v>115</v>
      </c>
      <c r="B33" s="93"/>
      <c r="C33" s="93"/>
      <c r="D33" s="93"/>
      <c r="E33" s="93"/>
      <c r="F33" s="93"/>
      <c r="G33" s="93"/>
      <c r="H33" s="93"/>
      <c r="I33" s="93"/>
      <c r="J33" s="93"/>
      <c r="K33" s="93"/>
      <c r="L33" s="93"/>
      <c r="M33" s="93"/>
      <c r="N33" s="93"/>
      <c r="O33" s="93"/>
      <c r="P33" s="93"/>
      <c r="Q33" s="93"/>
      <c r="R33" s="93"/>
      <c r="S33" s="93"/>
    </row>
    <row r="34" spans="1:19" ht="18" customHeight="1" x14ac:dyDescent="0.2">
      <c r="A34" s="93"/>
      <c r="B34" s="93"/>
      <c r="C34" s="93"/>
      <c r="D34" s="93"/>
      <c r="E34" s="93"/>
      <c r="F34" s="93"/>
      <c r="G34" s="93"/>
      <c r="H34" s="93"/>
      <c r="I34" s="93"/>
      <c r="J34" s="93"/>
      <c r="K34" s="93"/>
      <c r="L34" s="93"/>
      <c r="M34" s="93"/>
      <c r="N34" s="93"/>
      <c r="O34" s="93"/>
      <c r="P34" s="93"/>
      <c r="Q34" s="93"/>
      <c r="R34" s="93"/>
      <c r="S34" s="93"/>
    </row>
    <row r="35" spans="1:19" ht="18" customHeight="1" x14ac:dyDescent="0.2">
      <c r="B35" s="87" t="s">
        <v>54</v>
      </c>
      <c r="C35" s="88"/>
      <c r="D35" s="88"/>
      <c r="E35" s="89"/>
      <c r="F35" s="58" t="s">
        <v>81</v>
      </c>
      <c r="G35" s="57" t="s">
        <v>85</v>
      </c>
      <c r="H35" s="19" t="s">
        <v>72</v>
      </c>
      <c r="I35" s="19" t="s">
        <v>73</v>
      </c>
      <c r="J35" s="87" t="s">
        <v>54</v>
      </c>
      <c r="K35" s="88"/>
      <c r="L35" s="88"/>
      <c r="M35" s="88"/>
      <c r="N35" s="88"/>
      <c r="O35" s="89"/>
      <c r="P35" s="58" t="s">
        <v>81</v>
      </c>
      <c r="Q35" s="57" t="s">
        <v>85</v>
      </c>
      <c r="R35" s="19" t="s">
        <v>72</v>
      </c>
      <c r="S35" s="19" t="s">
        <v>73</v>
      </c>
    </row>
    <row r="36" spans="1:19" ht="18" customHeight="1" x14ac:dyDescent="0.2">
      <c r="B36" s="81" t="s">
        <v>130</v>
      </c>
      <c r="C36" s="82"/>
      <c r="D36" s="82"/>
      <c r="E36" s="83"/>
      <c r="F36" s="20">
        <v>2</v>
      </c>
      <c r="G36" s="20" t="s">
        <v>131</v>
      </c>
      <c r="H36" s="20" t="s">
        <v>131</v>
      </c>
      <c r="I36" s="20" t="s">
        <v>131</v>
      </c>
      <c r="J36" s="81"/>
      <c r="K36" s="82"/>
      <c r="L36" s="82"/>
      <c r="M36" s="82"/>
      <c r="N36" s="82"/>
      <c r="O36" s="83"/>
      <c r="P36" s="20"/>
      <c r="Q36" s="20"/>
      <c r="R36" s="20"/>
      <c r="S36" s="20"/>
    </row>
    <row r="37" spans="1:19" ht="18" customHeight="1" x14ac:dyDescent="0.2">
      <c r="B37" s="84"/>
      <c r="C37" s="85"/>
      <c r="D37" s="85"/>
      <c r="E37" s="86"/>
      <c r="F37" s="21"/>
      <c r="G37" s="21"/>
      <c r="H37" s="21"/>
      <c r="I37" s="21"/>
      <c r="J37" s="84"/>
      <c r="K37" s="85"/>
      <c r="L37" s="85"/>
      <c r="M37" s="85"/>
      <c r="N37" s="85"/>
      <c r="O37" s="86"/>
      <c r="P37" s="21"/>
      <c r="Q37" s="21"/>
      <c r="R37" s="21"/>
      <c r="S37" s="21"/>
    </row>
    <row r="38" spans="1:19" ht="18" customHeight="1" x14ac:dyDescent="0.2">
      <c r="B38" s="84"/>
      <c r="C38" s="85"/>
      <c r="D38" s="85"/>
      <c r="E38" s="86"/>
      <c r="F38" s="21"/>
      <c r="G38" s="21"/>
      <c r="H38" s="21"/>
      <c r="I38" s="21"/>
      <c r="J38" s="84"/>
      <c r="K38" s="85"/>
      <c r="L38" s="85"/>
      <c r="M38" s="85"/>
      <c r="N38" s="85"/>
      <c r="O38" s="86"/>
      <c r="P38" s="21"/>
      <c r="Q38" s="21"/>
      <c r="R38" s="21"/>
      <c r="S38" s="21"/>
    </row>
    <row r="39" spans="1:19" ht="18" customHeight="1" x14ac:dyDescent="0.2">
      <c r="B39" s="84"/>
      <c r="C39" s="85"/>
      <c r="D39" s="85"/>
      <c r="E39" s="86"/>
      <c r="F39" s="21"/>
      <c r="G39" s="21"/>
      <c r="H39" s="21"/>
      <c r="I39" s="21"/>
      <c r="J39" s="84"/>
      <c r="K39" s="85"/>
      <c r="L39" s="85"/>
      <c r="M39" s="85"/>
      <c r="N39" s="85"/>
      <c r="O39" s="86"/>
      <c r="P39" s="21"/>
      <c r="Q39" s="21"/>
      <c r="R39" s="21"/>
      <c r="S39" s="21"/>
    </row>
    <row r="40" spans="1:19" ht="18" customHeight="1" x14ac:dyDescent="0.2">
      <c r="B40" s="84"/>
      <c r="C40" s="85"/>
      <c r="D40" s="85"/>
      <c r="E40" s="86"/>
      <c r="F40" s="21"/>
      <c r="G40" s="21"/>
      <c r="H40" s="21"/>
      <c r="I40" s="21"/>
      <c r="J40" s="84"/>
      <c r="K40" s="85"/>
      <c r="L40" s="85"/>
      <c r="M40" s="85"/>
      <c r="N40" s="85"/>
      <c r="O40" s="86"/>
      <c r="P40" s="21"/>
      <c r="Q40" s="21"/>
      <c r="R40" s="21"/>
      <c r="S40" s="21"/>
    </row>
    <row r="41" spans="1:19" ht="18" customHeight="1" x14ac:dyDescent="0.2">
      <c r="B41" s="84"/>
      <c r="C41" s="85"/>
      <c r="D41" s="85"/>
      <c r="E41" s="86"/>
      <c r="F41" s="21"/>
      <c r="G41" s="21"/>
      <c r="H41" s="21"/>
      <c r="I41" s="21"/>
      <c r="J41" s="84"/>
      <c r="K41" s="85"/>
      <c r="L41" s="85"/>
      <c r="M41" s="85"/>
      <c r="N41" s="85"/>
      <c r="O41" s="86"/>
      <c r="P41" s="21"/>
      <c r="Q41" s="21"/>
      <c r="R41" s="21"/>
      <c r="S41" s="21"/>
    </row>
    <row r="42" spans="1:19" ht="18" customHeight="1" x14ac:dyDescent="0.2">
      <c r="B42" s="90"/>
      <c r="C42" s="91"/>
      <c r="D42" s="91"/>
      <c r="E42" s="92"/>
      <c r="F42" s="22"/>
      <c r="G42" s="22"/>
      <c r="H42" s="23"/>
      <c r="I42" s="23"/>
      <c r="J42" s="90"/>
      <c r="K42" s="91"/>
      <c r="L42" s="91"/>
      <c r="M42" s="91"/>
      <c r="N42" s="91"/>
      <c r="O42" s="92"/>
      <c r="P42" s="22"/>
      <c r="Q42" s="22"/>
      <c r="R42" s="23"/>
      <c r="S42" s="23"/>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3" t="s">
        <v>116</v>
      </c>
      <c r="B44" s="93"/>
      <c r="C44" s="93"/>
      <c r="D44" s="93"/>
      <c r="E44" s="93"/>
      <c r="F44" s="93"/>
      <c r="G44" s="93"/>
      <c r="H44" s="93"/>
      <c r="I44" s="93"/>
      <c r="J44" s="93"/>
      <c r="K44" s="93"/>
      <c r="L44" s="93"/>
      <c r="M44" s="93"/>
      <c r="N44" s="93"/>
      <c r="O44" s="93"/>
      <c r="P44" s="93"/>
      <c r="Q44" s="93"/>
      <c r="R44" s="93"/>
      <c r="S44" s="93"/>
    </row>
    <row r="45" spans="1:19" ht="18" customHeight="1" x14ac:dyDescent="0.2">
      <c r="A45" s="93"/>
      <c r="B45" s="93"/>
      <c r="C45" s="93"/>
      <c r="D45" s="93"/>
      <c r="E45" s="93"/>
      <c r="F45" s="93"/>
      <c r="G45" s="93"/>
      <c r="H45" s="93"/>
      <c r="I45" s="93"/>
      <c r="J45" s="93"/>
      <c r="K45" s="93"/>
      <c r="L45" s="93"/>
      <c r="M45" s="93"/>
      <c r="N45" s="93"/>
      <c r="O45" s="93"/>
      <c r="P45" s="93"/>
      <c r="Q45" s="93"/>
      <c r="R45" s="93"/>
      <c r="S45" s="93"/>
    </row>
    <row r="46" spans="1:19" ht="18" customHeight="1" x14ac:dyDescent="0.2">
      <c r="B46" s="87" t="s">
        <v>54</v>
      </c>
      <c r="C46" s="88"/>
      <c r="D46" s="88"/>
      <c r="E46" s="89"/>
      <c r="F46" s="58" t="s">
        <v>81</v>
      </c>
      <c r="G46" s="57" t="s">
        <v>85</v>
      </c>
      <c r="H46" s="19" t="s">
        <v>74</v>
      </c>
      <c r="I46" s="19" t="s">
        <v>75</v>
      </c>
      <c r="J46" s="87" t="s">
        <v>54</v>
      </c>
      <c r="K46" s="88"/>
      <c r="L46" s="88"/>
      <c r="M46" s="88"/>
      <c r="N46" s="88"/>
      <c r="O46" s="89"/>
      <c r="P46" s="58" t="s">
        <v>81</v>
      </c>
      <c r="Q46" s="57" t="s">
        <v>85</v>
      </c>
      <c r="R46" s="19" t="s">
        <v>74</v>
      </c>
      <c r="S46" s="19" t="s">
        <v>75</v>
      </c>
    </row>
    <row r="47" spans="1:19" ht="18" customHeight="1" x14ac:dyDescent="0.2">
      <c r="A47" s="3"/>
      <c r="B47" s="81" t="s">
        <v>130</v>
      </c>
      <c r="C47" s="82"/>
      <c r="D47" s="82"/>
      <c r="E47" s="83"/>
      <c r="F47" s="20">
        <v>2</v>
      </c>
      <c r="G47" s="20" t="s">
        <v>131</v>
      </c>
      <c r="H47" s="20" t="s">
        <v>131</v>
      </c>
      <c r="I47" s="20" t="s">
        <v>131</v>
      </c>
      <c r="J47" s="81"/>
      <c r="K47" s="82"/>
      <c r="L47" s="82"/>
      <c r="M47" s="82"/>
      <c r="N47" s="82"/>
      <c r="O47" s="83"/>
      <c r="P47" s="20"/>
      <c r="Q47" s="20"/>
      <c r="R47" s="20"/>
      <c r="S47" s="20"/>
    </row>
    <row r="48" spans="1:19" ht="18" customHeight="1" x14ac:dyDescent="0.2">
      <c r="A48" s="3"/>
      <c r="B48" s="84"/>
      <c r="C48" s="85"/>
      <c r="D48" s="85"/>
      <c r="E48" s="86"/>
      <c r="F48" s="21"/>
      <c r="G48" s="21"/>
      <c r="H48" s="21"/>
      <c r="I48" s="21"/>
      <c r="J48" s="84"/>
      <c r="K48" s="85"/>
      <c r="L48" s="85"/>
      <c r="M48" s="85"/>
      <c r="N48" s="85"/>
      <c r="O48" s="86"/>
      <c r="P48" s="21"/>
      <c r="Q48" s="21"/>
      <c r="R48" s="21"/>
      <c r="S48" s="21"/>
    </row>
    <row r="49" spans="1:19" ht="18" customHeight="1" x14ac:dyDescent="0.2">
      <c r="A49" s="3"/>
      <c r="B49" s="84"/>
      <c r="C49" s="85"/>
      <c r="D49" s="85"/>
      <c r="E49" s="86"/>
      <c r="F49" s="21"/>
      <c r="G49" s="21"/>
      <c r="H49" s="21"/>
      <c r="I49" s="21"/>
      <c r="J49" s="84"/>
      <c r="K49" s="85"/>
      <c r="L49" s="85"/>
      <c r="M49" s="85"/>
      <c r="N49" s="85"/>
      <c r="O49" s="86"/>
      <c r="P49" s="21"/>
      <c r="Q49" s="21"/>
      <c r="R49" s="21"/>
      <c r="S49" s="21"/>
    </row>
    <row r="50" spans="1:19" ht="18" customHeight="1" x14ac:dyDescent="0.2">
      <c r="A50" s="3"/>
      <c r="B50" s="84"/>
      <c r="C50" s="85"/>
      <c r="D50" s="85"/>
      <c r="E50" s="86"/>
      <c r="F50" s="21"/>
      <c r="G50" s="21"/>
      <c r="H50" s="21"/>
      <c r="I50" s="21"/>
      <c r="J50" s="84"/>
      <c r="K50" s="85"/>
      <c r="L50" s="85"/>
      <c r="M50" s="85"/>
      <c r="N50" s="85"/>
      <c r="O50" s="86"/>
      <c r="P50" s="21"/>
      <c r="Q50" s="21"/>
      <c r="R50" s="21"/>
      <c r="S50" s="21"/>
    </row>
    <row r="51" spans="1:19" ht="18" customHeight="1" x14ac:dyDescent="0.2">
      <c r="A51" s="3"/>
      <c r="B51" s="84"/>
      <c r="C51" s="85"/>
      <c r="D51" s="85"/>
      <c r="E51" s="86"/>
      <c r="F51" s="21"/>
      <c r="G51" s="21"/>
      <c r="H51" s="21"/>
      <c r="I51" s="21"/>
      <c r="J51" s="84"/>
      <c r="K51" s="85"/>
      <c r="L51" s="85"/>
      <c r="M51" s="85"/>
      <c r="N51" s="85"/>
      <c r="O51" s="86"/>
      <c r="P51" s="21"/>
      <c r="Q51" s="21"/>
      <c r="R51" s="21"/>
      <c r="S51" s="21"/>
    </row>
    <row r="52" spans="1:19" ht="18" customHeight="1" x14ac:dyDescent="0.2">
      <c r="A52" s="3"/>
      <c r="B52" s="84"/>
      <c r="C52" s="85"/>
      <c r="D52" s="85"/>
      <c r="E52" s="86"/>
      <c r="F52" s="21"/>
      <c r="G52" s="21"/>
      <c r="H52" s="21"/>
      <c r="I52" s="21"/>
      <c r="J52" s="84"/>
      <c r="K52" s="85"/>
      <c r="L52" s="85"/>
      <c r="M52" s="85"/>
      <c r="N52" s="85"/>
      <c r="O52" s="86"/>
      <c r="P52" s="21"/>
      <c r="Q52" s="21"/>
      <c r="R52" s="21"/>
      <c r="S52" s="21"/>
    </row>
    <row r="53" spans="1:19" ht="18" customHeight="1" x14ac:dyDescent="0.2">
      <c r="A53" s="3"/>
      <c r="B53" s="90"/>
      <c r="C53" s="91"/>
      <c r="D53" s="91"/>
      <c r="E53" s="92"/>
      <c r="F53" s="22"/>
      <c r="G53" s="22"/>
      <c r="H53" s="23"/>
      <c r="I53" s="23"/>
      <c r="J53" s="90"/>
      <c r="K53" s="91"/>
      <c r="L53" s="91"/>
      <c r="M53" s="91"/>
      <c r="N53" s="91"/>
      <c r="O53" s="92"/>
      <c r="P53" s="22"/>
      <c r="Q53" s="22"/>
      <c r="R53" s="23"/>
      <c r="S53" s="23"/>
    </row>
    <row r="54" spans="1:19" ht="7.5" customHeight="1" x14ac:dyDescent="0.2">
      <c r="B54" s="14"/>
      <c r="C54" s="14"/>
      <c r="D54" s="14"/>
      <c r="E54" s="14"/>
      <c r="F54" s="14"/>
      <c r="G54" s="14"/>
      <c r="H54" s="14"/>
      <c r="I54" s="14"/>
      <c r="J54" s="14"/>
      <c r="K54" s="14"/>
      <c r="L54" s="14"/>
      <c r="M54" s="14"/>
      <c r="N54" s="14"/>
      <c r="O54" s="14"/>
      <c r="P54" s="14"/>
      <c r="Q54" s="14"/>
      <c r="R54" s="14"/>
    </row>
    <row r="55" spans="1:19" ht="18" customHeight="1" x14ac:dyDescent="0.2">
      <c r="A55" s="93" t="s">
        <v>117</v>
      </c>
      <c r="B55" s="93"/>
      <c r="C55" s="93"/>
      <c r="D55" s="93"/>
      <c r="E55" s="93"/>
      <c r="F55" s="93"/>
      <c r="G55" s="93"/>
      <c r="H55" s="93"/>
      <c r="I55" s="93"/>
      <c r="J55" s="93"/>
      <c r="K55" s="93"/>
      <c r="L55" s="93"/>
      <c r="M55" s="93"/>
      <c r="N55" s="93"/>
      <c r="O55" s="93"/>
      <c r="P55" s="93"/>
      <c r="Q55" s="93"/>
      <c r="R55" s="93"/>
      <c r="S55" s="93"/>
    </row>
    <row r="56" spans="1:19" ht="18" customHeight="1" x14ac:dyDescent="0.2">
      <c r="A56" s="93"/>
      <c r="B56" s="93"/>
      <c r="C56" s="93"/>
      <c r="D56" s="93"/>
      <c r="E56" s="93"/>
      <c r="F56" s="93"/>
      <c r="G56" s="93"/>
      <c r="H56" s="93"/>
      <c r="I56" s="93"/>
      <c r="J56" s="93"/>
      <c r="K56" s="93"/>
      <c r="L56" s="93"/>
      <c r="M56" s="93"/>
      <c r="N56" s="93"/>
      <c r="O56" s="93"/>
      <c r="P56" s="93"/>
      <c r="Q56" s="93"/>
      <c r="R56" s="93"/>
      <c r="S56" s="93"/>
    </row>
    <row r="57" spans="1:19" ht="18" customHeight="1" x14ac:dyDescent="0.2">
      <c r="B57" s="87" t="s">
        <v>54</v>
      </c>
      <c r="C57" s="88"/>
      <c r="D57" s="88"/>
      <c r="E57" s="89"/>
      <c r="F57" s="58" t="s">
        <v>81</v>
      </c>
      <c r="G57" s="57" t="s">
        <v>85</v>
      </c>
      <c r="H57" s="19" t="s">
        <v>59</v>
      </c>
      <c r="I57" s="19" t="s">
        <v>61</v>
      </c>
      <c r="J57" s="87" t="s">
        <v>54</v>
      </c>
      <c r="K57" s="88"/>
      <c r="L57" s="88"/>
      <c r="M57" s="88"/>
      <c r="N57" s="88"/>
      <c r="O57" s="89"/>
      <c r="P57" s="58" t="s">
        <v>81</v>
      </c>
      <c r="Q57" s="57" t="s">
        <v>85</v>
      </c>
      <c r="R57" s="19" t="s">
        <v>59</v>
      </c>
      <c r="S57" s="19" t="s">
        <v>61</v>
      </c>
    </row>
    <row r="58" spans="1:19" ht="18" customHeight="1" x14ac:dyDescent="0.2">
      <c r="A58" s="3"/>
      <c r="B58" s="81" t="s">
        <v>130</v>
      </c>
      <c r="C58" s="82"/>
      <c r="D58" s="82"/>
      <c r="E58" s="83"/>
      <c r="F58" s="20">
        <v>2</v>
      </c>
      <c r="G58" s="20" t="s">
        <v>131</v>
      </c>
      <c r="H58" s="20" t="s">
        <v>131</v>
      </c>
      <c r="I58" s="20" t="s">
        <v>131</v>
      </c>
      <c r="J58" s="81"/>
      <c r="K58" s="82"/>
      <c r="L58" s="82"/>
      <c r="M58" s="82"/>
      <c r="N58" s="82"/>
      <c r="O58" s="83"/>
      <c r="P58" s="20"/>
      <c r="Q58" s="20"/>
      <c r="R58" s="20"/>
      <c r="S58" s="20"/>
    </row>
    <row r="59" spans="1:19" ht="18" customHeight="1" x14ac:dyDescent="0.2">
      <c r="A59" s="3"/>
      <c r="B59" s="84"/>
      <c r="C59" s="85"/>
      <c r="D59" s="85"/>
      <c r="E59" s="86"/>
      <c r="F59" s="21"/>
      <c r="G59" s="21"/>
      <c r="H59" s="21"/>
      <c r="I59" s="21"/>
      <c r="J59" s="84"/>
      <c r="K59" s="85"/>
      <c r="L59" s="85"/>
      <c r="M59" s="85"/>
      <c r="N59" s="85"/>
      <c r="O59" s="86"/>
      <c r="P59" s="21"/>
      <c r="Q59" s="21"/>
      <c r="R59" s="21"/>
      <c r="S59" s="21"/>
    </row>
    <row r="60" spans="1:19" ht="18" customHeight="1" x14ac:dyDescent="0.2">
      <c r="A60" s="3"/>
      <c r="B60" s="84"/>
      <c r="C60" s="85"/>
      <c r="D60" s="85"/>
      <c r="E60" s="86"/>
      <c r="F60" s="21"/>
      <c r="G60" s="21"/>
      <c r="H60" s="21"/>
      <c r="I60" s="21"/>
      <c r="J60" s="84"/>
      <c r="K60" s="85"/>
      <c r="L60" s="85"/>
      <c r="M60" s="85"/>
      <c r="N60" s="85"/>
      <c r="O60" s="86"/>
      <c r="P60" s="21"/>
      <c r="Q60" s="21"/>
      <c r="R60" s="21"/>
      <c r="S60" s="21"/>
    </row>
    <row r="61" spans="1:19" ht="18" customHeight="1" x14ac:dyDescent="0.2">
      <c r="A61" s="3"/>
      <c r="B61" s="84"/>
      <c r="C61" s="85"/>
      <c r="D61" s="85"/>
      <c r="E61" s="86"/>
      <c r="F61" s="21"/>
      <c r="G61" s="21"/>
      <c r="H61" s="21"/>
      <c r="I61" s="21"/>
      <c r="J61" s="84"/>
      <c r="K61" s="85"/>
      <c r="L61" s="85"/>
      <c r="M61" s="85"/>
      <c r="N61" s="85"/>
      <c r="O61" s="86"/>
      <c r="P61" s="21"/>
      <c r="Q61" s="21"/>
      <c r="R61" s="21"/>
      <c r="S61" s="21"/>
    </row>
    <row r="62" spans="1:19" ht="18" customHeight="1" x14ac:dyDescent="0.2">
      <c r="A62" s="3"/>
      <c r="B62" s="84"/>
      <c r="C62" s="85"/>
      <c r="D62" s="85"/>
      <c r="E62" s="86"/>
      <c r="F62" s="21"/>
      <c r="G62" s="21"/>
      <c r="H62" s="21"/>
      <c r="I62" s="21"/>
      <c r="J62" s="84"/>
      <c r="K62" s="85"/>
      <c r="L62" s="85"/>
      <c r="M62" s="85"/>
      <c r="N62" s="85"/>
      <c r="O62" s="86"/>
      <c r="P62" s="21"/>
      <c r="Q62" s="21"/>
      <c r="R62" s="21"/>
      <c r="S62" s="21"/>
    </row>
    <row r="63" spans="1:19" ht="18" customHeight="1" x14ac:dyDescent="0.2">
      <c r="A63" s="3"/>
      <c r="B63" s="84"/>
      <c r="C63" s="85"/>
      <c r="D63" s="85"/>
      <c r="E63" s="86"/>
      <c r="F63" s="21"/>
      <c r="G63" s="21"/>
      <c r="H63" s="21"/>
      <c r="I63" s="21"/>
      <c r="J63" s="84"/>
      <c r="K63" s="85"/>
      <c r="L63" s="85"/>
      <c r="M63" s="85"/>
      <c r="N63" s="85"/>
      <c r="O63" s="86"/>
      <c r="P63" s="21"/>
      <c r="Q63" s="21"/>
      <c r="R63" s="21"/>
      <c r="S63" s="21"/>
    </row>
    <row r="64" spans="1:19" ht="18" customHeight="1" x14ac:dyDescent="0.2">
      <c r="A64" s="3"/>
      <c r="B64" s="90"/>
      <c r="C64" s="91"/>
      <c r="D64" s="91"/>
      <c r="E64" s="92"/>
      <c r="F64" s="22"/>
      <c r="G64" s="22"/>
      <c r="H64" s="23"/>
      <c r="I64" s="23"/>
      <c r="J64" s="90"/>
      <c r="K64" s="91"/>
      <c r="L64" s="91"/>
      <c r="M64" s="91"/>
      <c r="N64" s="91"/>
      <c r="O64" s="92"/>
      <c r="P64" s="22"/>
      <c r="Q64" s="22"/>
      <c r="R64" s="23"/>
      <c r="S64" s="23"/>
    </row>
    <row r="65" spans="1:24" ht="7.5" customHeight="1" x14ac:dyDescent="0.2">
      <c r="B65" s="14"/>
      <c r="C65" s="14"/>
      <c r="D65" s="14"/>
      <c r="E65" s="14"/>
      <c r="F65" s="14"/>
      <c r="G65" s="14"/>
      <c r="H65" s="14"/>
      <c r="I65" s="14"/>
      <c r="J65" s="14"/>
      <c r="K65" s="14"/>
      <c r="L65" s="14"/>
      <c r="M65" s="14"/>
      <c r="N65" s="14"/>
      <c r="O65" s="14"/>
      <c r="P65" s="14"/>
      <c r="Q65" s="14"/>
      <c r="R65" s="14"/>
    </row>
    <row r="66" spans="1:24" ht="18" customHeight="1" x14ac:dyDescent="0.2">
      <c r="A66" s="93" t="s">
        <v>118</v>
      </c>
      <c r="B66" s="93"/>
      <c r="C66" s="93"/>
      <c r="D66" s="93"/>
      <c r="E66" s="93"/>
      <c r="F66" s="93"/>
      <c r="G66" s="93"/>
      <c r="H66" s="93"/>
      <c r="I66" s="93"/>
      <c r="J66" s="93"/>
      <c r="K66" s="93"/>
      <c r="L66" s="93"/>
      <c r="M66" s="93"/>
      <c r="N66" s="93"/>
      <c r="O66" s="93"/>
      <c r="P66" s="93"/>
      <c r="Q66" s="93"/>
      <c r="R66" s="93"/>
      <c r="S66" s="93"/>
    </row>
    <row r="67" spans="1:24" ht="18" customHeight="1" x14ac:dyDescent="0.2">
      <c r="A67" s="93"/>
      <c r="B67" s="93"/>
      <c r="C67" s="93"/>
      <c r="D67" s="93"/>
      <c r="E67" s="93"/>
      <c r="F67" s="93"/>
      <c r="G67" s="93"/>
      <c r="H67" s="93"/>
      <c r="I67" s="93"/>
      <c r="J67" s="93"/>
      <c r="K67" s="93"/>
      <c r="L67" s="93"/>
      <c r="M67" s="93"/>
      <c r="N67" s="93"/>
      <c r="O67" s="93"/>
      <c r="P67" s="93"/>
      <c r="Q67" s="93"/>
      <c r="R67" s="93"/>
      <c r="S67" s="93"/>
    </row>
    <row r="68" spans="1:24" ht="18" customHeight="1" x14ac:dyDescent="0.2">
      <c r="B68" s="87" t="s">
        <v>54</v>
      </c>
      <c r="C68" s="88"/>
      <c r="D68" s="88"/>
      <c r="E68" s="58" t="s">
        <v>81</v>
      </c>
      <c r="F68" s="57" t="s">
        <v>85</v>
      </c>
      <c r="G68" s="19" t="s">
        <v>102</v>
      </c>
      <c r="H68" s="19" t="s">
        <v>76</v>
      </c>
      <c r="I68" s="19" t="s">
        <v>77</v>
      </c>
      <c r="J68" s="87" t="s">
        <v>54</v>
      </c>
      <c r="K68" s="88"/>
      <c r="L68" s="88"/>
      <c r="M68" s="88"/>
      <c r="N68" s="89"/>
      <c r="O68" s="58" t="s">
        <v>81</v>
      </c>
      <c r="P68" s="57" t="s">
        <v>85</v>
      </c>
      <c r="Q68" s="19" t="s">
        <v>102</v>
      </c>
      <c r="R68" s="19" t="s">
        <v>76</v>
      </c>
      <c r="S68" s="19" t="s">
        <v>77</v>
      </c>
    </row>
    <row r="69" spans="1:24" ht="18" customHeight="1" x14ac:dyDescent="0.2">
      <c r="A69" s="3"/>
      <c r="B69" s="81" t="s">
        <v>130</v>
      </c>
      <c r="C69" s="82"/>
      <c r="D69" s="82"/>
      <c r="E69" s="20">
        <v>2</v>
      </c>
      <c r="F69" s="20" t="s">
        <v>131</v>
      </c>
      <c r="G69" s="20" t="s">
        <v>131</v>
      </c>
      <c r="H69" s="20" t="s">
        <v>131</v>
      </c>
      <c r="I69" s="20" t="s">
        <v>131</v>
      </c>
      <c r="J69" s="81"/>
      <c r="K69" s="82"/>
      <c r="L69" s="82"/>
      <c r="M69" s="82"/>
      <c r="N69" s="83"/>
      <c r="O69" s="20"/>
      <c r="P69" s="20"/>
      <c r="Q69" s="20"/>
      <c r="R69" s="20"/>
      <c r="S69" s="20"/>
    </row>
    <row r="70" spans="1:24" ht="18" customHeight="1" x14ac:dyDescent="0.2">
      <c r="A70" s="3"/>
      <c r="B70" s="84"/>
      <c r="C70" s="85"/>
      <c r="D70" s="85"/>
      <c r="E70" s="21"/>
      <c r="F70" s="21"/>
      <c r="G70" s="21"/>
      <c r="H70" s="21"/>
      <c r="I70" s="21"/>
      <c r="J70" s="84"/>
      <c r="K70" s="85"/>
      <c r="L70" s="85"/>
      <c r="M70" s="85"/>
      <c r="N70" s="86"/>
      <c r="O70" s="21"/>
      <c r="P70" s="21"/>
      <c r="Q70" s="21"/>
      <c r="R70" s="21"/>
      <c r="S70" s="21"/>
    </row>
    <row r="71" spans="1:24" ht="18" customHeight="1" x14ac:dyDescent="0.2">
      <c r="A71" s="3"/>
      <c r="B71" s="84"/>
      <c r="C71" s="85"/>
      <c r="D71" s="85"/>
      <c r="E71" s="21"/>
      <c r="F71" s="21"/>
      <c r="G71" s="21"/>
      <c r="H71" s="21"/>
      <c r="I71" s="21"/>
      <c r="J71" s="84"/>
      <c r="K71" s="85"/>
      <c r="L71" s="85"/>
      <c r="M71" s="85"/>
      <c r="N71" s="86"/>
      <c r="O71" s="21"/>
      <c r="P71" s="21"/>
      <c r="Q71" s="21"/>
      <c r="R71" s="21"/>
      <c r="S71" s="21"/>
    </row>
    <row r="72" spans="1:24" ht="18" customHeight="1" x14ac:dyDescent="0.2">
      <c r="A72" s="3"/>
      <c r="B72" s="84"/>
      <c r="C72" s="85"/>
      <c r="D72" s="85"/>
      <c r="E72" s="21"/>
      <c r="F72" s="21"/>
      <c r="G72" s="21"/>
      <c r="H72" s="21"/>
      <c r="I72" s="21"/>
      <c r="J72" s="84"/>
      <c r="K72" s="85"/>
      <c r="L72" s="85"/>
      <c r="M72" s="85"/>
      <c r="N72" s="86"/>
      <c r="O72" s="21"/>
      <c r="P72" s="21"/>
      <c r="Q72" s="21"/>
      <c r="R72" s="21"/>
      <c r="S72" s="21"/>
    </row>
    <row r="73" spans="1:24" ht="18" customHeight="1" x14ac:dyDescent="0.2">
      <c r="A73" s="3"/>
      <c r="B73" s="84"/>
      <c r="C73" s="85"/>
      <c r="D73" s="85"/>
      <c r="E73" s="21"/>
      <c r="F73" s="21"/>
      <c r="G73" s="21"/>
      <c r="H73" s="21"/>
      <c r="I73" s="21"/>
      <c r="J73" s="84"/>
      <c r="K73" s="85"/>
      <c r="L73" s="85"/>
      <c r="M73" s="85"/>
      <c r="N73" s="86"/>
      <c r="O73" s="21"/>
      <c r="P73" s="21"/>
      <c r="Q73" s="21"/>
      <c r="R73" s="21"/>
      <c r="S73" s="21"/>
    </row>
    <row r="74" spans="1:24" ht="18" customHeight="1" x14ac:dyDescent="0.2">
      <c r="A74" s="3"/>
      <c r="B74" s="84"/>
      <c r="C74" s="85"/>
      <c r="D74" s="85"/>
      <c r="E74" s="21"/>
      <c r="F74" s="21"/>
      <c r="G74" s="21"/>
      <c r="H74" s="21"/>
      <c r="I74" s="21"/>
      <c r="J74" s="84"/>
      <c r="K74" s="85"/>
      <c r="L74" s="85"/>
      <c r="M74" s="85"/>
      <c r="N74" s="86"/>
      <c r="O74" s="21"/>
      <c r="P74" s="21"/>
      <c r="Q74" s="21"/>
      <c r="R74" s="21"/>
      <c r="S74" s="21"/>
    </row>
    <row r="75" spans="1:24" ht="18" customHeight="1" x14ac:dyDescent="0.2">
      <c r="A75" s="3"/>
      <c r="B75" s="90"/>
      <c r="C75" s="91"/>
      <c r="D75" s="91"/>
      <c r="E75" s="22"/>
      <c r="F75" s="22"/>
      <c r="G75" s="23"/>
      <c r="H75" s="23"/>
      <c r="I75" s="23"/>
      <c r="J75" s="90"/>
      <c r="K75" s="91"/>
      <c r="L75" s="91"/>
      <c r="M75" s="91"/>
      <c r="N75" s="92"/>
      <c r="O75" s="22"/>
      <c r="P75" s="22"/>
      <c r="Q75" s="23"/>
      <c r="R75" s="23"/>
      <c r="S75" s="23"/>
    </row>
    <row r="76" spans="1:24" ht="7.5" customHeight="1" x14ac:dyDescent="0.2">
      <c r="B76" s="14"/>
      <c r="C76" s="14"/>
      <c r="D76" s="14"/>
      <c r="E76" s="14"/>
      <c r="F76" s="14"/>
      <c r="G76" s="14"/>
      <c r="H76" s="14"/>
      <c r="I76" s="14"/>
      <c r="J76" s="14"/>
      <c r="K76" s="14"/>
      <c r="L76" s="14"/>
      <c r="M76" s="14"/>
      <c r="N76" s="14"/>
      <c r="O76" s="14"/>
      <c r="P76" s="14"/>
      <c r="Q76" s="14"/>
      <c r="R76" s="14"/>
    </row>
    <row r="77" spans="1:24" ht="18" customHeight="1" x14ac:dyDescent="0.2">
      <c r="A77" s="1" t="s">
        <v>119</v>
      </c>
      <c r="H77" s="3"/>
      <c r="I77" s="3"/>
      <c r="J77" s="3"/>
      <c r="K77" s="3"/>
      <c r="L77" s="3"/>
      <c r="M77" s="3"/>
      <c r="N77" s="3"/>
      <c r="O77" s="3"/>
      <c r="P77" s="3"/>
      <c r="Q77" s="3"/>
      <c r="R77" s="3"/>
      <c r="S77" s="3"/>
    </row>
    <row r="78" spans="1:24" ht="18" customHeight="1" x14ac:dyDescent="0.2">
      <c r="B78" s="87" t="s">
        <v>54</v>
      </c>
      <c r="C78" s="88"/>
      <c r="D78" s="88"/>
      <c r="E78" s="89"/>
      <c r="F78" s="87" t="s">
        <v>83</v>
      </c>
      <c r="G78" s="88"/>
      <c r="H78" s="88"/>
      <c r="I78" s="89"/>
      <c r="J78" s="125" t="s">
        <v>54</v>
      </c>
      <c r="K78" s="126"/>
      <c r="L78" s="126"/>
      <c r="M78" s="126"/>
      <c r="N78" s="126"/>
      <c r="O78" s="127"/>
      <c r="P78" s="87" t="s">
        <v>83</v>
      </c>
      <c r="Q78" s="88"/>
      <c r="R78" s="88"/>
      <c r="S78" s="89"/>
    </row>
    <row r="79" spans="1:24" ht="18" customHeight="1" x14ac:dyDescent="0.2">
      <c r="A79" s="3"/>
      <c r="B79" s="107" t="s">
        <v>138</v>
      </c>
      <c r="C79" s="108"/>
      <c r="D79" s="108"/>
      <c r="E79" s="109"/>
      <c r="F79" s="113" t="s">
        <v>160</v>
      </c>
      <c r="G79" s="114"/>
      <c r="H79" s="114"/>
      <c r="I79" s="115"/>
      <c r="J79" s="107"/>
      <c r="K79" s="108"/>
      <c r="L79" s="108"/>
      <c r="M79" s="108"/>
      <c r="N79" s="108"/>
      <c r="O79" s="109"/>
      <c r="P79" s="110"/>
      <c r="Q79" s="111"/>
      <c r="R79" s="111"/>
      <c r="S79" s="112"/>
      <c r="X79" s="1" t="s">
        <v>155</v>
      </c>
    </row>
    <row r="80" spans="1:24" ht="18" customHeight="1" x14ac:dyDescent="0.2">
      <c r="A80" s="3"/>
      <c r="B80" s="119" t="s">
        <v>137</v>
      </c>
      <c r="C80" s="120"/>
      <c r="D80" s="120"/>
      <c r="E80" s="121"/>
      <c r="F80" s="122" t="s">
        <v>136</v>
      </c>
      <c r="G80" s="123"/>
      <c r="H80" s="123"/>
      <c r="I80" s="124"/>
      <c r="J80" s="119"/>
      <c r="K80" s="120"/>
      <c r="L80" s="120"/>
      <c r="M80" s="120"/>
      <c r="N80" s="120"/>
      <c r="O80" s="121"/>
      <c r="P80" s="116"/>
      <c r="Q80" s="117"/>
      <c r="R80" s="117"/>
      <c r="S80" s="118"/>
    </row>
    <row r="81" spans="1:19" ht="18" customHeight="1" x14ac:dyDescent="0.2">
      <c r="A81" s="3"/>
      <c r="B81" s="119" t="s">
        <v>139</v>
      </c>
      <c r="C81" s="120"/>
      <c r="D81" s="120"/>
      <c r="E81" s="121"/>
      <c r="F81" s="122" t="s">
        <v>134</v>
      </c>
      <c r="G81" s="123"/>
      <c r="H81" s="123"/>
      <c r="I81" s="124"/>
      <c r="J81" s="119"/>
      <c r="K81" s="120"/>
      <c r="L81" s="120"/>
      <c r="M81" s="120"/>
      <c r="N81" s="120"/>
      <c r="O81" s="121"/>
      <c r="P81" s="116"/>
      <c r="Q81" s="117"/>
      <c r="R81" s="117"/>
      <c r="S81" s="118"/>
    </row>
    <row r="82" spans="1:19" ht="18" customHeight="1" x14ac:dyDescent="0.2">
      <c r="A82" s="3"/>
      <c r="B82" s="119"/>
      <c r="C82" s="120"/>
      <c r="D82" s="120"/>
      <c r="E82" s="121"/>
      <c r="F82" s="122"/>
      <c r="G82" s="123"/>
      <c r="H82" s="123"/>
      <c r="I82" s="124"/>
      <c r="J82" s="119"/>
      <c r="K82" s="120"/>
      <c r="L82" s="120"/>
      <c r="M82" s="120"/>
      <c r="N82" s="120"/>
      <c r="O82" s="121"/>
      <c r="P82" s="116"/>
      <c r="Q82" s="117"/>
      <c r="R82" s="117"/>
      <c r="S82" s="118"/>
    </row>
    <row r="83" spans="1:19" ht="18" customHeight="1" x14ac:dyDescent="0.2">
      <c r="A83" s="3"/>
      <c r="B83" s="84"/>
      <c r="C83" s="85"/>
      <c r="D83" s="85"/>
      <c r="E83" s="86"/>
      <c r="F83" s="116"/>
      <c r="G83" s="117"/>
      <c r="H83" s="117"/>
      <c r="I83" s="118"/>
      <c r="J83" s="84"/>
      <c r="K83" s="85"/>
      <c r="L83" s="85"/>
      <c r="M83" s="85"/>
      <c r="N83" s="85"/>
      <c r="O83" s="86"/>
      <c r="P83" s="116"/>
      <c r="Q83" s="117"/>
      <c r="R83" s="117"/>
      <c r="S83" s="118"/>
    </row>
    <row r="84" spans="1:19" ht="18" customHeight="1" x14ac:dyDescent="0.2">
      <c r="A84" s="3"/>
      <c r="B84" s="84"/>
      <c r="C84" s="85"/>
      <c r="D84" s="85"/>
      <c r="E84" s="86"/>
      <c r="F84" s="116"/>
      <c r="G84" s="117"/>
      <c r="H84" s="117"/>
      <c r="I84" s="118"/>
      <c r="J84" s="84"/>
      <c r="K84" s="85"/>
      <c r="L84" s="85"/>
      <c r="M84" s="85"/>
      <c r="N84" s="85"/>
      <c r="O84" s="86"/>
      <c r="P84" s="116"/>
      <c r="Q84" s="117"/>
      <c r="R84" s="117"/>
      <c r="S84" s="118"/>
    </row>
    <row r="85" spans="1:19" ht="18" customHeight="1" x14ac:dyDescent="0.2">
      <c r="A85" s="3"/>
      <c r="B85" s="90"/>
      <c r="C85" s="91"/>
      <c r="D85" s="91"/>
      <c r="E85" s="92"/>
      <c r="F85" s="131"/>
      <c r="G85" s="132"/>
      <c r="H85" s="132"/>
      <c r="I85" s="133"/>
      <c r="J85" s="90"/>
      <c r="K85" s="91"/>
      <c r="L85" s="91"/>
      <c r="M85" s="91"/>
      <c r="N85" s="91"/>
      <c r="O85" s="92"/>
      <c r="P85" s="131"/>
      <c r="Q85" s="132"/>
      <c r="R85" s="132"/>
      <c r="S85" s="133"/>
    </row>
    <row r="86" spans="1:19" ht="18" customHeight="1" x14ac:dyDescent="0.2">
      <c r="A86" s="3"/>
      <c r="B86" s="6"/>
      <c r="C86" s="6"/>
      <c r="D86" s="6"/>
      <c r="E86" s="6"/>
      <c r="F86" s="24"/>
      <c r="G86" s="24"/>
      <c r="H86" s="24"/>
      <c r="I86" s="24"/>
      <c r="J86" s="6"/>
      <c r="K86" s="6"/>
      <c r="L86" s="6"/>
      <c r="M86" s="6"/>
      <c r="N86" s="6"/>
      <c r="O86" s="6"/>
      <c r="P86" s="24"/>
      <c r="Q86" s="24"/>
      <c r="R86" s="24"/>
      <c r="S86" s="24"/>
    </row>
    <row r="87" spans="1:19" ht="18.75" customHeight="1" x14ac:dyDescent="0.2">
      <c r="A87" s="1" t="s">
        <v>120</v>
      </c>
    </row>
    <row r="88" spans="1:19" ht="18.75" customHeight="1" x14ac:dyDescent="0.2">
      <c r="B88" s="105" t="s">
        <v>55</v>
      </c>
      <c r="C88" s="106"/>
      <c r="D88" s="88" t="s">
        <v>56</v>
      </c>
      <c r="E88" s="88"/>
      <c r="F88" s="88"/>
      <c r="G88" s="88"/>
      <c r="H88" s="88"/>
      <c r="I88" s="88"/>
      <c r="J88" s="88"/>
      <c r="K88" s="88"/>
      <c r="L88" s="88"/>
      <c r="M88" s="88"/>
      <c r="N88" s="88"/>
      <c r="O88" s="88"/>
      <c r="P88" s="88"/>
      <c r="Q88" s="88"/>
      <c r="R88" s="88"/>
      <c r="S88" s="89"/>
    </row>
    <row r="89" spans="1:19" ht="97.5" customHeight="1" x14ac:dyDescent="0.2">
      <c r="B89" s="94" t="s">
        <v>62</v>
      </c>
      <c r="C89" s="25" t="s">
        <v>57</v>
      </c>
      <c r="D89" s="102" t="s">
        <v>156</v>
      </c>
      <c r="E89" s="103"/>
      <c r="F89" s="103"/>
      <c r="G89" s="103"/>
      <c r="H89" s="103"/>
      <c r="I89" s="103"/>
      <c r="J89" s="103"/>
      <c r="K89" s="103"/>
      <c r="L89" s="103"/>
      <c r="M89" s="103"/>
      <c r="N89" s="103"/>
      <c r="O89" s="103"/>
      <c r="P89" s="103"/>
      <c r="Q89" s="103"/>
      <c r="R89" s="103"/>
      <c r="S89" s="104"/>
    </row>
    <row r="90" spans="1:19" ht="97.5" customHeight="1" x14ac:dyDescent="0.2">
      <c r="B90" s="95"/>
      <c r="C90" s="26" t="s">
        <v>78</v>
      </c>
      <c r="D90" s="134" t="s">
        <v>159</v>
      </c>
      <c r="E90" s="135"/>
      <c r="F90" s="135"/>
      <c r="G90" s="135"/>
      <c r="H90" s="135"/>
      <c r="I90" s="135"/>
      <c r="J90" s="135"/>
      <c r="K90" s="135"/>
      <c r="L90" s="135"/>
      <c r="M90" s="135"/>
      <c r="N90" s="135"/>
      <c r="O90" s="135"/>
      <c r="P90" s="135"/>
      <c r="Q90" s="135"/>
      <c r="R90" s="135"/>
      <c r="S90" s="136"/>
    </row>
    <row r="91" spans="1:19" ht="97.5" customHeight="1" x14ac:dyDescent="0.2">
      <c r="B91" s="94" t="s">
        <v>63</v>
      </c>
      <c r="C91" s="27" t="s">
        <v>72</v>
      </c>
      <c r="D91" s="137" t="s">
        <v>133</v>
      </c>
      <c r="E91" s="138"/>
      <c r="F91" s="138"/>
      <c r="G91" s="138"/>
      <c r="H91" s="138"/>
      <c r="I91" s="138"/>
      <c r="J91" s="138"/>
      <c r="K91" s="138"/>
      <c r="L91" s="138"/>
      <c r="M91" s="138"/>
      <c r="N91" s="138"/>
      <c r="O91" s="138"/>
      <c r="P91" s="138"/>
      <c r="Q91" s="138"/>
      <c r="R91" s="138"/>
      <c r="S91" s="139"/>
    </row>
    <row r="92" spans="1:19" ht="97.5" customHeight="1" x14ac:dyDescent="0.2">
      <c r="B92" s="96"/>
      <c r="C92" s="28" t="s">
        <v>73</v>
      </c>
      <c r="D92" s="142" t="s">
        <v>132</v>
      </c>
      <c r="E92" s="143"/>
      <c r="F92" s="143"/>
      <c r="G92" s="143"/>
      <c r="H92" s="143"/>
      <c r="I92" s="143"/>
      <c r="J92" s="143"/>
      <c r="K92" s="143"/>
      <c r="L92" s="143"/>
      <c r="M92" s="143"/>
      <c r="N92" s="143"/>
      <c r="O92" s="143"/>
      <c r="P92" s="143"/>
      <c r="Q92" s="143"/>
      <c r="R92" s="143"/>
      <c r="S92" s="144"/>
    </row>
    <row r="93" spans="1:19" ht="97.5" customHeight="1" x14ac:dyDescent="0.2">
      <c r="B93" s="94" t="s">
        <v>64</v>
      </c>
      <c r="C93" s="27" t="s">
        <v>74</v>
      </c>
      <c r="D93" s="137" t="s">
        <v>157</v>
      </c>
      <c r="E93" s="138"/>
      <c r="F93" s="138"/>
      <c r="G93" s="138"/>
      <c r="H93" s="138"/>
      <c r="I93" s="138"/>
      <c r="J93" s="138"/>
      <c r="K93" s="138"/>
      <c r="L93" s="138"/>
      <c r="M93" s="138"/>
      <c r="N93" s="138"/>
      <c r="O93" s="138"/>
      <c r="P93" s="138"/>
      <c r="Q93" s="138"/>
      <c r="R93" s="138"/>
      <c r="S93" s="139"/>
    </row>
    <row r="94" spans="1:19" ht="97.5" customHeight="1" x14ac:dyDescent="0.2">
      <c r="B94" s="96"/>
      <c r="C94" s="29" t="s">
        <v>75</v>
      </c>
      <c r="D94" s="140" t="s">
        <v>158</v>
      </c>
      <c r="E94" s="140"/>
      <c r="F94" s="140"/>
      <c r="G94" s="140"/>
      <c r="H94" s="140"/>
      <c r="I94" s="140"/>
      <c r="J94" s="140"/>
      <c r="K94" s="140"/>
      <c r="L94" s="140"/>
      <c r="M94" s="140"/>
      <c r="N94" s="140"/>
      <c r="O94" s="140"/>
      <c r="P94" s="140"/>
      <c r="Q94" s="140"/>
      <c r="R94" s="140"/>
      <c r="S94" s="141"/>
    </row>
    <row r="95" spans="1:19" ht="97.5" customHeight="1" x14ac:dyDescent="0.2">
      <c r="B95" s="94" t="s">
        <v>79</v>
      </c>
      <c r="C95" s="25" t="s">
        <v>59</v>
      </c>
      <c r="D95" s="102" t="s">
        <v>168</v>
      </c>
      <c r="E95" s="103"/>
      <c r="F95" s="103"/>
      <c r="G95" s="103"/>
      <c r="H95" s="103"/>
      <c r="I95" s="103"/>
      <c r="J95" s="103"/>
      <c r="K95" s="103"/>
      <c r="L95" s="103"/>
      <c r="M95" s="103"/>
      <c r="N95" s="103"/>
      <c r="O95" s="103"/>
      <c r="P95" s="103"/>
      <c r="Q95" s="103"/>
      <c r="R95" s="103"/>
      <c r="S95" s="104"/>
    </row>
    <row r="96" spans="1:19" ht="97.5" customHeight="1" x14ac:dyDescent="0.2">
      <c r="B96" s="96"/>
      <c r="C96" s="28" t="s">
        <v>61</v>
      </c>
      <c r="D96" s="142" t="s">
        <v>169</v>
      </c>
      <c r="E96" s="143"/>
      <c r="F96" s="143"/>
      <c r="G96" s="143"/>
      <c r="H96" s="143"/>
      <c r="I96" s="143"/>
      <c r="J96" s="143"/>
      <c r="K96" s="143"/>
      <c r="L96" s="143"/>
      <c r="M96" s="143"/>
      <c r="N96" s="143"/>
      <c r="O96" s="143"/>
      <c r="P96" s="143"/>
      <c r="Q96" s="143"/>
      <c r="R96" s="143"/>
      <c r="S96" s="144"/>
    </row>
    <row r="97" spans="1:19" ht="150.75" customHeight="1" x14ac:dyDescent="0.2">
      <c r="B97" s="94" t="s">
        <v>80</v>
      </c>
      <c r="C97" s="27" t="s">
        <v>58</v>
      </c>
      <c r="D97" s="97" t="s">
        <v>170</v>
      </c>
      <c r="E97" s="97"/>
      <c r="F97" s="97"/>
      <c r="G97" s="97"/>
      <c r="H97" s="97"/>
      <c r="I97" s="97"/>
      <c r="J97" s="97"/>
      <c r="K97" s="97"/>
      <c r="L97" s="97"/>
      <c r="M97" s="97"/>
      <c r="N97" s="97"/>
      <c r="O97" s="97"/>
      <c r="P97" s="97"/>
      <c r="Q97" s="97"/>
      <c r="R97" s="97"/>
      <c r="S97" s="98"/>
    </row>
    <row r="98" spans="1:19" ht="97.5" customHeight="1" x14ac:dyDescent="0.2">
      <c r="B98" s="95"/>
      <c r="C98" s="30" t="s">
        <v>76</v>
      </c>
      <c r="D98" s="145" t="s">
        <v>161</v>
      </c>
      <c r="E98" s="146"/>
      <c r="F98" s="146"/>
      <c r="G98" s="146"/>
      <c r="H98" s="146"/>
      <c r="I98" s="146"/>
      <c r="J98" s="146"/>
      <c r="K98" s="146"/>
      <c r="L98" s="146"/>
      <c r="M98" s="146"/>
      <c r="N98" s="146"/>
      <c r="O98" s="146"/>
      <c r="P98" s="146"/>
      <c r="Q98" s="146"/>
      <c r="R98" s="146"/>
      <c r="S98" s="147"/>
    </row>
    <row r="99" spans="1:19" ht="97.5" customHeight="1" x14ac:dyDescent="0.2">
      <c r="B99" s="96"/>
      <c r="C99" s="29" t="s">
        <v>77</v>
      </c>
      <c r="D99" s="99" t="s">
        <v>135</v>
      </c>
      <c r="E99" s="100"/>
      <c r="F99" s="100"/>
      <c r="G99" s="100"/>
      <c r="H99" s="100"/>
      <c r="I99" s="100"/>
      <c r="J99" s="100"/>
      <c r="K99" s="100"/>
      <c r="L99" s="100"/>
      <c r="M99" s="100"/>
      <c r="N99" s="100"/>
      <c r="O99" s="100"/>
      <c r="P99" s="100"/>
      <c r="Q99" s="100"/>
      <c r="R99" s="100"/>
      <c r="S99" s="101"/>
    </row>
    <row r="100" spans="1:19" ht="6" customHeight="1" x14ac:dyDescent="0.2"/>
    <row r="101" spans="1:19" ht="18.75" customHeight="1" x14ac:dyDescent="0.2">
      <c r="A101" s="1" t="s">
        <v>121</v>
      </c>
    </row>
    <row r="102" spans="1:19" ht="81.75" customHeight="1" x14ac:dyDescent="0.2">
      <c r="B102" s="128" t="s">
        <v>140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4" sqref="C4"/>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2"/>
      <c r="Q2" s="32"/>
      <c r="W2" s="32"/>
      <c r="AC2" s="32"/>
      <c r="AI2" s="32"/>
      <c r="AL2" s="32" t="s">
        <v>109</v>
      </c>
      <c r="AM2" s="180" t="str">
        <f>'様式１　プログラムを構成する授業科目'!C2</f>
        <v>同志社女子大学</v>
      </c>
      <c r="AN2" s="180"/>
      <c r="AO2" s="180"/>
      <c r="AP2" s="180"/>
      <c r="AQ2" s="180"/>
    </row>
    <row r="3" spans="1:45" ht="18" customHeight="1" x14ac:dyDescent="0.2">
      <c r="A3" s="158" t="s">
        <v>48</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81" t="s">
        <v>141</v>
      </c>
      <c r="D5" s="18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83" t="s">
        <v>45</v>
      </c>
      <c r="C9" s="198" t="s">
        <v>87</v>
      </c>
      <c r="D9" s="186" t="s">
        <v>47</v>
      </c>
      <c r="E9" s="189" t="s">
        <v>40</v>
      </c>
      <c r="F9" s="177" t="s">
        <v>86</v>
      </c>
      <c r="G9" s="177"/>
      <c r="H9" s="177"/>
      <c r="I9" s="177"/>
      <c r="J9" s="177"/>
      <c r="K9" s="177"/>
      <c r="L9" s="177" t="s">
        <v>49</v>
      </c>
      <c r="M9" s="177"/>
      <c r="N9" s="177"/>
      <c r="O9" s="177"/>
      <c r="P9" s="177"/>
      <c r="Q9" s="177"/>
      <c r="R9" s="177" t="s">
        <v>50</v>
      </c>
      <c r="S9" s="177"/>
      <c r="T9" s="177"/>
      <c r="U9" s="177"/>
      <c r="V9" s="177"/>
      <c r="W9" s="177"/>
      <c r="X9" s="177" t="s">
        <v>101</v>
      </c>
      <c r="Y9" s="177"/>
      <c r="Z9" s="177"/>
      <c r="AA9" s="177"/>
      <c r="AB9" s="177"/>
      <c r="AC9" s="177"/>
      <c r="AD9" s="177" t="s">
        <v>51</v>
      </c>
      <c r="AE9" s="177"/>
      <c r="AF9" s="177"/>
      <c r="AG9" s="177"/>
      <c r="AH9" s="177"/>
      <c r="AI9" s="177"/>
      <c r="AJ9" s="177" t="s">
        <v>52</v>
      </c>
      <c r="AK9" s="177"/>
      <c r="AL9" s="177"/>
      <c r="AM9" s="177"/>
      <c r="AN9" s="177"/>
      <c r="AO9" s="177"/>
      <c r="AP9" s="192" t="s">
        <v>35</v>
      </c>
      <c r="AQ9" s="195" t="s">
        <v>32</v>
      </c>
      <c r="AS9" s="2"/>
    </row>
    <row r="10" spans="1:45" ht="16.95" customHeight="1" x14ac:dyDescent="0.2">
      <c r="B10" s="184"/>
      <c r="C10" s="199"/>
      <c r="D10" s="187"/>
      <c r="E10" s="190"/>
      <c r="F10" s="178" t="s">
        <v>97</v>
      </c>
      <c r="G10" s="179"/>
      <c r="H10" s="179"/>
      <c r="I10" s="178" t="s">
        <v>29</v>
      </c>
      <c r="J10" s="179"/>
      <c r="K10" s="179"/>
      <c r="L10" s="178" t="s">
        <v>97</v>
      </c>
      <c r="M10" s="179"/>
      <c r="N10" s="179"/>
      <c r="O10" s="178" t="s">
        <v>29</v>
      </c>
      <c r="P10" s="179"/>
      <c r="Q10" s="179"/>
      <c r="R10" s="178" t="s">
        <v>97</v>
      </c>
      <c r="S10" s="179"/>
      <c r="T10" s="179"/>
      <c r="U10" s="178" t="s">
        <v>29</v>
      </c>
      <c r="V10" s="179"/>
      <c r="W10" s="179"/>
      <c r="X10" s="178" t="s">
        <v>97</v>
      </c>
      <c r="Y10" s="179"/>
      <c r="Z10" s="179"/>
      <c r="AA10" s="178" t="s">
        <v>29</v>
      </c>
      <c r="AB10" s="179"/>
      <c r="AC10" s="179"/>
      <c r="AD10" s="178" t="s">
        <v>97</v>
      </c>
      <c r="AE10" s="179"/>
      <c r="AF10" s="179"/>
      <c r="AG10" s="178" t="s">
        <v>29</v>
      </c>
      <c r="AH10" s="179"/>
      <c r="AI10" s="179"/>
      <c r="AJ10" s="178" t="s">
        <v>97</v>
      </c>
      <c r="AK10" s="179"/>
      <c r="AL10" s="179"/>
      <c r="AM10" s="178" t="s">
        <v>29</v>
      </c>
      <c r="AN10" s="179"/>
      <c r="AO10" s="179"/>
      <c r="AP10" s="193"/>
      <c r="AQ10" s="196"/>
      <c r="AS10" s="2"/>
    </row>
    <row r="11" spans="1:45" ht="18" customHeight="1" x14ac:dyDescent="0.2">
      <c r="B11" s="185"/>
      <c r="C11" s="200"/>
      <c r="D11" s="188"/>
      <c r="E11" s="191"/>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94"/>
      <c r="AQ11" s="197"/>
      <c r="AS11" s="2"/>
    </row>
    <row r="12" spans="1:45" ht="18" customHeight="1" x14ac:dyDescent="0.2">
      <c r="A12" s="6"/>
      <c r="B12" s="10" t="s">
        <v>142</v>
      </c>
      <c r="C12" s="59">
        <v>1303</v>
      </c>
      <c r="D12" s="60">
        <v>325</v>
      </c>
      <c r="E12" s="61">
        <v>1290</v>
      </c>
      <c r="F12" s="61">
        <f>G12+H12</f>
        <v>208</v>
      </c>
      <c r="G12" s="62"/>
      <c r="H12" s="63">
        <v>208</v>
      </c>
      <c r="I12" s="61">
        <f>J12+K12</f>
        <v>182</v>
      </c>
      <c r="J12" s="62"/>
      <c r="K12" s="63">
        <v>182</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208</v>
      </c>
      <c r="AQ12" s="79">
        <f t="shared" ref="AQ12:AQ32" si="0">AP12/E12</f>
        <v>0.16124031007751938</v>
      </c>
    </row>
    <row r="13" spans="1:45" ht="18" customHeight="1" x14ac:dyDescent="0.2">
      <c r="A13" s="6"/>
      <c r="B13" s="11" t="s">
        <v>143</v>
      </c>
      <c r="C13" s="64">
        <v>1617</v>
      </c>
      <c r="D13" s="65">
        <v>410</v>
      </c>
      <c r="E13" s="66">
        <v>1630</v>
      </c>
      <c r="F13" s="67">
        <f t="shared" ref="F13:F31" si="1">G13+H13</f>
        <v>328</v>
      </c>
      <c r="G13" s="68"/>
      <c r="H13" s="69">
        <v>328</v>
      </c>
      <c r="I13" s="67">
        <f t="shared" ref="I13:I31" si="2">J13+K13</f>
        <v>310</v>
      </c>
      <c r="J13" s="68"/>
      <c r="K13" s="69">
        <v>310</v>
      </c>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328</v>
      </c>
      <c r="AQ13" s="8">
        <f t="shared" si="0"/>
        <v>0.20122699386503068</v>
      </c>
    </row>
    <row r="14" spans="1:45" ht="18" customHeight="1" x14ac:dyDescent="0.2">
      <c r="A14" s="6"/>
      <c r="B14" s="11" t="s">
        <v>144</v>
      </c>
      <c r="C14" s="64">
        <v>762</v>
      </c>
      <c r="D14" s="65">
        <v>125</v>
      </c>
      <c r="E14" s="66">
        <v>735</v>
      </c>
      <c r="F14" s="67">
        <f t="shared" si="1"/>
        <v>113</v>
      </c>
      <c r="G14" s="68"/>
      <c r="H14" s="69">
        <v>113</v>
      </c>
      <c r="I14" s="67">
        <f t="shared" si="2"/>
        <v>108</v>
      </c>
      <c r="J14" s="68"/>
      <c r="K14" s="69">
        <v>108</v>
      </c>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113</v>
      </c>
      <c r="AQ14" s="8">
        <f t="shared" si="0"/>
        <v>0.15374149659863945</v>
      </c>
    </row>
    <row r="15" spans="1:45" ht="18" customHeight="1" x14ac:dyDescent="0.2">
      <c r="A15" s="6"/>
      <c r="B15" s="11" t="s">
        <v>145</v>
      </c>
      <c r="C15" s="64">
        <v>369</v>
      </c>
      <c r="D15" s="65">
        <v>90</v>
      </c>
      <c r="E15" s="66">
        <v>350</v>
      </c>
      <c r="F15" s="67">
        <f t="shared" si="1"/>
        <v>36</v>
      </c>
      <c r="G15" s="68"/>
      <c r="H15" s="69">
        <v>36</v>
      </c>
      <c r="I15" s="67">
        <f t="shared" si="2"/>
        <v>33</v>
      </c>
      <c r="J15" s="68"/>
      <c r="K15" s="69">
        <v>33</v>
      </c>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36</v>
      </c>
      <c r="AQ15" s="8">
        <f t="shared" si="0"/>
        <v>0.10285714285714286</v>
      </c>
    </row>
    <row r="16" spans="1:45" ht="18" customHeight="1" x14ac:dyDescent="0.2">
      <c r="A16" s="6"/>
      <c r="B16" s="11" t="s">
        <v>146</v>
      </c>
      <c r="C16" s="64">
        <v>1095</v>
      </c>
      <c r="D16" s="65">
        <v>270</v>
      </c>
      <c r="E16" s="66">
        <v>1075</v>
      </c>
      <c r="F16" s="67">
        <f t="shared" si="1"/>
        <v>197</v>
      </c>
      <c r="G16" s="68"/>
      <c r="H16" s="69">
        <v>197</v>
      </c>
      <c r="I16" s="67">
        <f t="shared" si="2"/>
        <v>177</v>
      </c>
      <c r="J16" s="68"/>
      <c r="K16" s="69">
        <v>177</v>
      </c>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197</v>
      </c>
      <c r="AQ16" s="8">
        <f>AP16/E16</f>
        <v>0.18325581395348836</v>
      </c>
    </row>
    <row r="17" spans="1:43" ht="18" customHeight="1" x14ac:dyDescent="0.2">
      <c r="A17" s="6"/>
      <c r="B17" s="11" t="s">
        <v>147</v>
      </c>
      <c r="C17" s="64">
        <v>974</v>
      </c>
      <c r="D17" s="65">
        <v>230</v>
      </c>
      <c r="E17" s="66">
        <v>905</v>
      </c>
      <c r="F17" s="67">
        <f t="shared" si="1"/>
        <v>216</v>
      </c>
      <c r="G17" s="68"/>
      <c r="H17" s="69">
        <v>216</v>
      </c>
      <c r="I17" s="67">
        <f t="shared" si="2"/>
        <v>211</v>
      </c>
      <c r="J17" s="68"/>
      <c r="K17" s="69">
        <v>211</v>
      </c>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216</v>
      </c>
      <c r="AQ17" s="8">
        <f>AP17/E17</f>
        <v>0.23867403314917127</v>
      </c>
    </row>
    <row r="18" spans="1:43" ht="18" customHeight="1" x14ac:dyDescent="0.2">
      <c r="A18" s="6"/>
      <c r="B18" s="11"/>
      <c r="C18" s="64"/>
      <c r="D18" s="65"/>
      <c r="E18" s="66"/>
      <c r="F18" s="67">
        <f t="shared" si="1"/>
        <v>0</v>
      </c>
      <c r="G18" s="68"/>
      <c r="H18" s="69"/>
      <c r="I18" s="67">
        <f t="shared" si="2"/>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 t="e">
        <f t="shared" si="0"/>
        <v>#DIV/0!</v>
      </c>
    </row>
    <row r="19" spans="1:43" ht="18" customHeight="1" x14ac:dyDescent="0.2">
      <c r="A19" s="6"/>
      <c r="B19" s="11"/>
      <c r="C19" s="64"/>
      <c r="D19" s="65"/>
      <c r="E19" s="66"/>
      <c r="F19" s="67">
        <f t="shared" si="1"/>
        <v>0</v>
      </c>
      <c r="G19" s="68"/>
      <c r="H19" s="69"/>
      <c r="I19" s="67">
        <f t="shared" si="2"/>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 t="e">
        <f t="shared" si="0"/>
        <v>#DIV/0!</v>
      </c>
    </row>
    <row r="20" spans="1:43" ht="18" customHeight="1" x14ac:dyDescent="0.2">
      <c r="A20" s="6"/>
      <c r="B20" s="11"/>
      <c r="C20" s="64"/>
      <c r="D20" s="65"/>
      <c r="E20" s="66"/>
      <c r="F20" s="67">
        <f t="shared" si="1"/>
        <v>0</v>
      </c>
      <c r="G20" s="68"/>
      <c r="H20" s="69"/>
      <c r="I20" s="67">
        <f t="shared" si="2"/>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 t="e">
        <f t="shared" si="0"/>
        <v>#DIV/0!</v>
      </c>
    </row>
    <row r="21" spans="1:43" ht="18" customHeight="1" x14ac:dyDescent="0.2">
      <c r="A21" s="6"/>
      <c r="B21" s="11"/>
      <c r="C21" s="64"/>
      <c r="D21" s="65"/>
      <c r="E21" s="66"/>
      <c r="F21" s="67">
        <f t="shared" si="1"/>
        <v>0</v>
      </c>
      <c r="G21" s="68"/>
      <c r="H21" s="69"/>
      <c r="I21" s="67">
        <f t="shared" si="2"/>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 t="e">
        <f t="shared" si="0"/>
        <v>#DIV/0!</v>
      </c>
    </row>
    <row r="22" spans="1:43" ht="18" customHeight="1" x14ac:dyDescent="0.2">
      <c r="A22" s="6"/>
      <c r="B22" s="11"/>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0"/>
        <v>#DIV/0!</v>
      </c>
    </row>
    <row r="23" spans="1:43" ht="18" customHeight="1" x14ac:dyDescent="0.2">
      <c r="A23" s="6"/>
      <c r="B23" s="11"/>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0"/>
        <v>#DIV/0!</v>
      </c>
    </row>
    <row r="24" spans="1:43" ht="18" customHeight="1" x14ac:dyDescent="0.2">
      <c r="A24" s="6"/>
      <c r="B24" s="11"/>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0"/>
        <v>#DIV/0!</v>
      </c>
    </row>
    <row r="25" spans="1:43" ht="18" customHeight="1" x14ac:dyDescent="0.2">
      <c r="A25" s="6"/>
      <c r="B25" s="11"/>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0"/>
        <v>#DIV/0!</v>
      </c>
    </row>
    <row r="26" spans="1:43" ht="18" customHeight="1" x14ac:dyDescent="0.2">
      <c r="A26" s="6"/>
      <c r="B26" s="11"/>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0"/>
        <v>#DIV/0!</v>
      </c>
    </row>
    <row r="27" spans="1:43" ht="18" customHeight="1" x14ac:dyDescent="0.2">
      <c r="A27" s="6"/>
      <c r="B27" s="11"/>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0"/>
        <v>#DIV/0!</v>
      </c>
    </row>
    <row r="28" spans="1:43" ht="18" customHeight="1" x14ac:dyDescent="0.2">
      <c r="A28" s="6"/>
      <c r="B28" s="11"/>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0"/>
        <v>#DIV/0!</v>
      </c>
    </row>
    <row r="29" spans="1:43" ht="18" customHeight="1" x14ac:dyDescent="0.2">
      <c r="A29" s="6"/>
      <c r="B29" s="11"/>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0"/>
        <v>#DIV/0!</v>
      </c>
    </row>
    <row r="30" spans="1:43" ht="18" customHeight="1" x14ac:dyDescent="0.2">
      <c r="A30" s="6"/>
      <c r="B30" s="11"/>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0"/>
        <v>#DIV/0!</v>
      </c>
    </row>
    <row r="31" spans="1:43" ht="18" customHeight="1" thickBot="1" x14ac:dyDescent="0.25">
      <c r="A31" s="6"/>
      <c r="B31" s="12"/>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0"/>
        <v>#DIV/0!</v>
      </c>
    </row>
    <row r="32" spans="1:43" ht="18" customHeight="1" thickTop="1" x14ac:dyDescent="0.2">
      <c r="B32" s="13" t="s">
        <v>33</v>
      </c>
      <c r="C32" s="74">
        <f t="shared" ref="C32" si="14">SUM(C12:C31)</f>
        <v>6120</v>
      </c>
      <c r="D32" s="75">
        <f t="shared" ref="D32:AP32" si="15">SUM(D12:D31)</f>
        <v>1450</v>
      </c>
      <c r="E32" s="76">
        <f t="shared" si="15"/>
        <v>5985</v>
      </c>
      <c r="F32" s="76">
        <f t="shared" si="15"/>
        <v>1098</v>
      </c>
      <c r="G32" s="77">
        <f t="shared" si="15"/>
        <v>0</v>
      </c>
      <c r="H32" s="78">
        <f t="shared" si="15"/>
        <v>1098</v>
      </c>
      <c r="I32" s="76">
        <f t="shared" ref="I32:N32" si="16">SUM(I12:I31)</f>
        <v>1021</v>
      </c>
      <c r="J32" s="77">
        <f t="shared" si="16"/>
        <v>0</v>
      </c>
      <c r="K32" s="78">
        <f t="shared" si="16"/>
        <v>1021</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1098</v>
      </c>
      <c r="AQ32" s="80">
        <f t="shared" si="0"/>
        <v>0.18345864661654135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0" zoomScaleNormal="100" zoomScaleSheetLayoutView="100" workbookViewId="0">
      <selection activeCell="B52" sqref="B52:I63"/>
    </sheetView>
  </sheetViews>
  <sheetFormatPr defaultColWidth="11.33203125" defaultRowHeight="18.75" customHeight="1" x14ac:dyDescent="0.2"/>
  <cols>
    <col min="1" max="1" width="2.77734375" style="38"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8" t="s">
        <v>65</v>
      </c>
      <c r="I1" s="32" t="s">
        <v>106</v>
      </c>
    </row>
    <row r="2" spans="1:9" ht="18.75" customHeight="1" x14ac:dyDescent="0.2">
      <c r="G2" s="32" t="s">
        <v>109</v>
      </c>
      <c r="H2" s="87" t="str">
        <f>'様式１　プログラムを構成する授業科目'!C2</f>
        <v>同志社女子大学</v>
      </c>
      <c r="I2" s="89"/>
    </row>
    <row r="3" spans="1:9" ht="18.75" customHeight="1" x14ac:dyDescent="0.2">
      <c r="G3" s="32"/>
      <c r="H3" s="9"/>
      <c r="I3" s="9"/>
    </row>
    <row r="4" spans="1:9" ht="18.600000000000001" customHeight="1" x14ac:dyDescent="0.2">
      <c r="A4" s="158" t="s">
        <v>36</v>
      </c>
      <c r="B4" s="158"/>
      <c r="C4" s="158"/>
      <c r="D4" s="158"/>
      <c r="E4" s="158"/>
      <c r="F4" s="158"/>
      <c r="G4" s="158"/>
      <c r="H4" s="158"/>
      <c r="I4" s="158"/>
    </row>
    <row r="5" spans="1:9" ht="13.2" customHeight="1" x14ac:dyDescent="0.2">
      <c r="B5" s="3"/>
      <c r="C5" s="3"/>
      <c r="D5" s="3"/>
      <c r="E5" s="3"/>
      <c r="F5" s="3"/>
      <c r="G5" s="3"/>
      <c r="H5" s="3"/>
      <c r="I5" s="3"/>
    </row>
    <row r="6" spans="1:9" ht="18" customHeight="1" x14ac:dyDescent="0.2">
      <c r="A6" s="1" t="s">
        <v>0</v>
      </c>
      <c r="B6" s="9" t="s">
        <v>91</v>
      </c>
      <c r="C6" s="224" t="s">
        <v>92</v>
      </c>
      <c r="D6" s="224"/>
      <c r="E6" s="31">
        <v>202</v>
      </c>
      <c r="F6" s="3" t="s">
        <v>1</v>
      </c>
      <c r="G6" s="3" t="s">
        <v>2</v>
      </c>
      <c r="H6" s="31">
        <v>715</v>
      </c>
      <c r="I6" s="9" t="s">
        <v>1</v>
      </c>
    </row>
    <row r="7" spans="1:9" ht="12" customHeight="1" x14ac:dyDescent="0.2">
      <c r="C7" s="2"/>
      <c r="D7" s="2"/>
      <c r="E7" s="2"/>
      <c r="F7" s="2"/>
      <c r="G7" s="2"/>
      <c r="H7" s="2"/>
      <c r="I7" s="39"/>
    </row>
    <row r="8" spans="1:9" ht="18" customHeight="1" x14ac:dyDescent="0.2">
      <c r="A8" s="1" t="s">
        <v>3</v>
      </c>
      <c r="B8" s="9" t="s">
        <v>93</v>
      </c>
      <c r="E8" s="3"/>
      <c r="F8" s="3"/>
      <c r="G8" s="3"/>
      <c r="H8" s="31">
        <v>3</v>
      </c>
      <c r="I8" s="9" t="s">
        <v>1</v>
      </c>
    </row>
    <row r="9" spans="1:9" ht="9" customHeight="1" x14ac:dyDescent="0.2">
      <c r="B9" s="3"/>
      <c r="C9" s="3"/>
      <c r="D9" s="3"/>
      <c r="E9" s="3"/>
      <c r="F9" s="3"/>
      <c r="G9" s="3"/>
      <c r="H9" s="3"/>
      <c r="I9" s="3"/>
    </row>
    <row r="10" spans="1:9" ht="18" customHeight="1" x14ac:dyDescent="0.2">
      <c r="A10" s="1" t="s">
        <v>4</v>
      </c>
      <c r="B10" s="9" t="s">
        <v>94</v>
      </c>
      <c r="C10" s="3"/>
      <c r="D10" s="3"/>
      <c r="E10" s="3"/>
      <c r="F10" s="3"/>
      <c r="G10" s="3"/>
      <c r="H10" s="3"/>
      <c r="I10" s="3"/>
    </row>
    <row r="11" spans="1:9" ht="18" customHeight="1" x14ac:dyDescent="0.2">
      <c r="B11" s="32" t="s">
        <v>43</v>
      </c>
      <c r="C11" s="219" t="s">
        <v>148</v>
      </c>
      <c r="D11" s="222"/>
      <c r="E11" s="223"/>
      <c r="F11" s="39"/>
      <c r="G11" s="32" t="s">
        <v>10</v>
      </c>
      <c r="H11" s="219" t="s">
        <v>149</v>
      </c>
      <c r="I11" s="223"/>
    </row>
    <row r="12" spans="1:9" ht="10.199999999999999" customHeight="1" x14ac:dyDescent="0.2">
      <c r="B12" s="32"/>
      <c r="C12" s="9"/>
      <c r="D12" s="39"/>
      <c r="E12" s="39"/>
      <c r="F12" s="39"/>
      <c r="G12" s="32"/>
      <c r="H12" s="9"/>
      <c r="I12" s="39"/>
    </row>
    <row r="13" spans="1:9" ht="18" customHeight="1" x14ac:dyDescent="0.2">
      <c r="A13" s="1" t="s">
        <v>7</v>
      </c>
      <c r="B13" s="9" t="s">
        <v>88</v>
      </c>
      <c r="C13" s="3"/>
      <c r="D13" s="3"/>
      <c r="E13" s="3"/>
      <c r="F13" s="3"/>
      <c r="G13" s="3"/>
      <c r="H13" s="3"/>
      <c r="I13" s="3"/>
    </row>
    <row r="14" spans="1:9" ht="18" customHeight="1" x14ac:dyDescent="0.2">
      <c r="B14" s="219" t="s">
        <v>150</v>
      </c>
      <c r="C14" s="220"/>
      <c r="D14" s="220"/>
      <c r="E14" s="220"/>
      <c r="F14" s="220"/>
      <c r="G14" s="220"/>
      <c r="H14" s="220"/>
      <c r="I14" s="221"/>
    </row>
    <row r="15" spans="1:9" ht="9" customHeight="1" x14ac:dyDescent="0.2">
      <c r="B15" s="3"/>
      <c r="C15" s="3"/>
      <c r="D15" s="3"/>
      <c r="E15" s="3"/>
      <c r="F15" s="3"/>
      <c r="G15" s="3"/>
      <c r="H15" s="3"/>
      <c r="I15" s="3"/>
    </row>
    <row r="16" spans="1:9" ht="18" customHeight="1" x14ac:dyDescent="0.2">
      <c r="B16" s="32" t="s">
        <v>43</v>
      </c>
      <c r="C16" s="219" t="s">
        <v>148</v>
      </c>
      <c r="D16" s="222"/>
      <c r="E16" s="223"/>
      <c r="F16" s="39"/>
      <c r="G16" s="32" t="s">
        <v>10</v>
      </c>
      <c r="H16" s="219" t="s">
        <v>149</v>
      </c>
      <c r="I16" s="223"/>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11" t="s">
        <v>151</v>
      </c>
      <c r="C19" s="212"/>
      <c r="D19" s="212"/>
      <c r="E19" s="212"/>
      <c r="F19" s="212"/>
      <c r="G19" s="212"/>
      <c r="H19" s="212"/>
      <c r="I19" s="213"/>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01" t="s">
        <v>152</v>
      </c>
      <c r="C22" s="202"/>
      <c r="D22" s="202"/>
      <c r="E22" s="202"/>
      <c r="F22" s="202"/>
      <c r="G22" s="202"/>
      <c r="H22" s="202"/>
      <c r="I22" s="203"/>
    </row>
    <row r="23" spans="1:9" ht="18.75" customHeight="1" x14ac:dyDescent="0.2">
      <c r="A23" s="14"/>
      <c r="B23" s="214"/>
      <c r="C23" s="215"/>
      <c r="D23" s="215"/>
      <c r="E23" s="215"/>
      <c r="F23" s="215"/>
      <c r="G23" s="215"/>
      <c r="H23" s="215"/>
      <c r="I23" s="206"/>
    </row>
    <row r="24" spans="1:9" ht="18.75" customHeight="1" x14ac:dyDescent="0.2">
      <c r="A24" s="14"/>
      <c r="B24" s="214"/>
      <c r="C24" s="215"/>
      <c r="D24" s="215"/>
      <c r="E24" s="215"/>
      <c r="F24" s="215"/>
      <c r="G24" s="215"/>
      <c r="H24" s="215"/>
      <c r="I24" s="206"/>
    </row>
    <row r="25" spans="1:9" ht="18.75" customHeight="1" x14ac:dyDescent="0.2">
      <c r="A25" s="14"/>
      <c r="B25" s="214"/>
      <c r="C25" s="215"/>
      <c r="D25" s="215"/>
      <c r="E25" s="215"/>
      <c r="F25" s="215"/>
      <c r="G25" s="215"/>
      <c r="H25" s="215"/>
      <c r="I25" s="206"/>
    </row>
    <row r="26" spans="1:9" ht="18.75" customHeight="1" x14ac:dyDescent="0.2">
      <c r="A26" s="14"/>
      <c r="B26" s="214"/>
      <c r="C26" s="215"/>
      <c r="D26" s="215"/>
      <c r="E26" s="215"/>
      <c r="F26" s="215"/>
      <c r="G26" s="215"/>
      <c r="H26" s="215"/>
      <c r="I26" s="206"/>
    </row>
    <row r="27" spans="1:9" ht="18.75" customHeight="1" x14ac:dyDescent="0.2">
      <c r="A27" s="14"/>
      <c r="B27" s="214"/>
      <c r="C27" s="215"/>
      <c r="D27" s="215"/>
      <c r="E27" s="215"/>
      <c r="F27" s="215"/>
      <c r="G27" s="215"/>
      <c r="H27" s="215"/>
      <c r="I27" s="206"/>
    </row>
    <row r="28" spans="1:9" ht="18.75" customHeight="1" x14ac:dyDescent="0.2">
      <c r="A28" s="14"/>
      <c r="B28" s="214"/>
      <c r="C28" s="215"/>
      <c r="D28" s="215"/>
      <c r="E28" s="215"/>
      <c r="F28" s="215"/>
      <c r="G28" s="215"/>
      <c r="H28" s="215"/>
      <c r="I28" s="206"/>
    </row>
    <row r="29" spans="1:9" ht="18.75" customHeight="1" x14ac:dyDescent="0.2">
      <c r="A29" s="14"/>
      <c r="B29" s="214"/>
      <c r="C29" s="215"/>
      <c r="D29" s="215"/>
      <c r="E29" s="215"/>
      <c r="F29" s="215"/>
      <c r="G29" s="215"/>
      <c r="H29" s="215"/>
      <c r="I29" s="206"/>
    </row>
    <row r="30" spans="1:9" ht="18.75" customHeight="1" x14ac:dyDescent="0.2">
      <c r="A30" s="14"/>
      <c r="B30" s="204"/>
      <c r="C30" s="205"/>
      <c r="D30" s="205"/>
      <c r="E30" s="205"/>
      <c r="F30" s="205"/>
      <c r="G30" s="205"/>
      <c r="H30" s="205"/>
      <c r="I30" s="206"/>
    </row>
    <row r="31" spans="1:9" ht="18.75" customHeight="1" x14ac:dyDescent="0.2">
      <c r="A31" s="14"/>
      <c r="B31" s="204"/>
      <c r="C31" s="205"/>
      <c r="D31" s="205"/>
      <c r="E31" s="205"/>
      <c r="F31" s="205"/>
      <c r="G31" s="205"/>
      <c r="H31" s="205"/>
      <c r="I31" s="206"/>
    </row>
    <row r="32" spans="1:9" ht="18.75" customHeight="1" x14ac:dyDescent="0.2">
      <c r="A32" s="14"/>
      <c r="B32" s="207"/>
      <c r="C32" s="208"/>
      <c r="D32" s="208"/>
      <c r="E32" s="208"/>
      <c r="F32" s="208"/>
      <c r="G32" s="208"/>
      <c r="H32" s="208"/>
      <c r="I32" s="209"/>
    </row>
    <row r="33" spans="1:9" ht="7.5" customHeight="1" x14ac:dyDescent="0.2">
      <c r="A33" s="14"/>
      <c r="B33" s="14"/>
      <c r="C33" s="14"/>
      <c r="D33" s="14"/>
      <c r="E33" s="14"/>
      <c r="F33" s="14"/>
      <c r="G33" s="14"/>
      <c r="H33" s="14"/>
      <c r="I33" s="14"/>
    </row>
    <row r="34" spans="1:9" ht="18.75" customHeight="1" x14ac:dyDescent="0.2">
      <c r="A34" s="15" t="s">
        <v>6</v>
      </c>
      <c r="B34" s="15" t="s">
        <v>9</v>
      </c>
      <c r="C34" s="9"/>
      <c r="D34" s="15"/>
      <c r="E34" s="15"/>
      <c r="F34" s="15"/>
      <c r="G34" s="15"/>
      <c r="H34" s="15"/>
      <c r="I34" s="15"/>
    </row>
    <row r="35" spans="1:9" ht="18.75" customHeight="1" x14ac:dyDescent="0.2">
      <c r="A35" s="14"/>
      <c r="B35" s="201" t="s">
        <v>162</v>
      </c>
      <c r="C35" s="202"/>
      <c r="D35" s="202"/>
      <c r="E35" s="202"/>
      <c r="F35" s="202"/>
      <c r="G35" s="202"/>
      <c r="H35" s="202"/>
      <c r="I35" s="203"/>
    </row>
    <row r="36" spans="1:9" ht="18.75" customHeight="1" x14ac:dyDescent="0.2">
      <c r="A36" s="14"/>
      <c r="B36" s="204"/>
      <c r="C36" s="205"/>
      <c r="D36" s="205"/>
      <c r="E36" s="205"/>
      <c r="F36" s="205"/>
      <c r="G36" s="205"/>
      <c r="H36" s="205"/>
      <c r="I36" s="206"/>
    </row>
    <row r="37" spans="1:9" ht="18.75" customHeight="1" x14ac:dyDescent="0.2">
      <c r="A37" s="14"/>
      <c r="B37" s="204"/>
      <c r="C37" s="205"/>
      <c r="D37" s="205"/>
      <c r="E37" s="205"/>
      <c r="F37" s="205"/>
      <c r="G37" s="205"/>
      <c r="H37" s="205"/>
      <c r="I37" s="206"/>
    </row>
    <row r="38" spans="1:9" ht="18.75" customHeight="1" x14ac:dyDescent="0.2">
      <c r="A38" s="14"/>
      <c r="B38" s="204"/>
      <c r="C38" s="205"/>
      <c r="D38" s="205"/>
      <c r="E38" s="205"/>
      <c r="F38" s="205"/>
      <c r="G38" s="205"/>
      <c r="H38" s="205"/>
      <c r="I38" s="206"/>
    </row>
    <row r="39" spans="1:9" ht="18.75" customHeight="1" x14ac:dyDescent="0.2">
      <c r="A39" s="14"/>
      <c r="B39" s="204"/>
      <c r="C39" s="205"/>
      <c r="D39" s="205"/>
      <c r="E39" s="205"/>
      <c r="F39" s="205"/>
      <c r="G39" s="205"/>
      <c r="H39" s="205"/>
      <c r="I39" s="206"/>
    </row>
    <row r="40" spans="1:9" ht="18.75" customHeight="1" x14ac:dyDescent="0.2">
      <c r="A40" s="14"/>
      <c r="B40" s="204"/>
      <c r="C40" s="205"/>
      <c r="D40" s="205"/>
      <c r="E40" s="205"/>
      <c r="F40" s="205"/>
      <c r="G40" s="205"/>
      <c r="H40" s="205"/>
      <c r="I40" s="206"/>
    </row>
    <row r="41" spans="1:9" ht="18.75" customHeight="1" x14ac:dyDescent="0.2">
      <c r="A41" s="14"/>
      <c r="B41" s="204"/>
      <c r="C41" s="205"/>
      <c r="D41" s="205"/>
      <c r="E41" s="205"/>
      <c r="F41" s="205"/>
      <c r="G41" s="205"/>
      <c r="H41" s="205"/>
      <c r="I41" s="206"/>
    </row>
    <row r="42" spans="1:9" ht="18.75" customHeight="1" x14ac:dyDescent="0.2">
      <c r="A42" s="14"/>
      <c r="B42" s="204"/>
      <c r="C42" s="205"/>
      <c r="D42" s="205"/>
      <c r="E42" s="205"/>
      <c r="F42" s="205"/>
      <c r="G42" s="205"/>
      <c r="H42" s="205"/>
      <c r="I42" s="206"/>
    </row>
    <row r="43" spans="1:9" ht="18.75" customHeight="1" x14ac:dyDescent="0.2">
      <c r="A43" s="14"/>
      <c r="B43" s="204"/>
      <c r="C43" s="205"/>
      <c r="D43" s="205"/>
      <c r="E43" s="205"/>
      <c r="F43" s="205"/>
      <c r="G43" s="205"/>
      <c r="H43" s="205"/>
      <c r="I43" s="206"/>
    </row>
    <row r="44" spans="1:9" ht="18.75" customHeight="1" x14ac:dyDescent="0.2">
      <c r="A44" s="14"/>
      <c r="B44" s="204"/>
      <c r="C44" s="205"/>
      <c r="D44" s="205"/>
      <c r="E44" s="205"/>
      <c r="F44" s="205"/>
      <c r="G44" s="205"/>
      <c r="H44" s="205"/>
      <c r="I44" s="206"/>
    </row>
    <row r="45" spans="1:9" ht="18.75" customHeight="1" x14ac:dyDescent="0.2">
      <c r="A45" s="14"/>
      <c r="B45" s="204"/>
      <c r="C45" s="205"/>
      <c r="D45" s="205"/>
      <c r="E45" s="205"/>
      <c r="F45" s="205"/>
      <c r="G45" s="205"/>
      <c r="H45" s="205"/>
      <c r="I45" s="206"/>
    </row>
    <row r="46" spans="1:9" ht="18.75" customHeight="1" x14ac:dyDescent="0.2">
      <c r="A46" s="14"/>
      <c r="B46" s="207"/>
      <c r="C46" s="208"/>
      <c r="D46" s="208"/>
      <c r="E46" s="208"/>
      <c r="F46" s="208"/>
      <c r="G46" s="208"/>
      <c r="H46" s="208"/>
      <c r="I46" s="209"/>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0" t="s">
        <v>89</v>
      </c>
      <c r="C49" s="242">
        <f>'様式２ 履修者等数の実績'!AQ32</f>
        <v>0.18345864661654135</v>
      </c>
      <c r="D49" s="242"/>
      <c r="E49" s="40" t="s">
        <v>66</v>
      </c>
      <c r="F49" s="242">
        <v>0.38</v>
      </c>
      <c r="G49" s="242"/>
      <c r="H49" s="40" t="s">
        <v>67</v>
      </c>
      <c r="I49" s="41">
        <v>0.56000000000000005</v>
      </c>
      <c r="J49" s="1"/>
      <c r="M49" s="1"/>
      <c r="N49" s="42"/>
    </row>
    <row r="50" spans="1:15" s="3" customFormat="1" ht="18.75" customHeight="1" x14ac:dyDescent="0.2">
      <c r="B50" s="43" t="s">
        <v>68</v>
      </c>
      <c r="C50" s="225">
        <v>0.73</v>
      </c>
      <c r="D50" s="225"/>
      <c r="E50" s="43" t="s">
        <v>90</v>
      </c>
      <c r="F50" s="225">
        <v>0.91</v>
      </c>
      <c r="G50" s="225"/>
      <c r="H50" s="43" t="s">
        <v>69</v>
      </c>
      <c r="I50" s="44">
        <f>'様式２ 履修者等数の実績'!E32</f>
        <v>5985</v>
      </c>
      <c r="J50" s="1"/>
      <c r="M50" s="1"/>
      <c r="N50" s="42"/>
    </row>
    <row r="51" spans="1:15" ht="18.75" customHeight="1" x14ac:dyDescent="0.2">
      <c r="A51" s="1"/>
      <c r="B51" s="216" t="s">
        <v>70</v>
      </c>
      <c r="C51" s="217"/>
      <c r="D51" s="217"/>
      <c r="E51" s="217"/>
      <c r="F51" s="217"/>
      <c r="G51" s="217"/>
      <c r="H51" s="217"/>
      <c r="I51" s="218"/>
      <c r="N51" s="42"/>
      <c r="O51" s="3"/>
    </row>
    <row r="52" spans="1:15" ht="18.75" customHeight="1" x14ac:dyDescent="0.2">
      <c r="A52" s="1"/>
      <c r="B52" s="243" t="s">
        <v>176</v>
      </c>
      <c r="C52" s="244"/>
      <c r="D52" s="244"/>
      <c r="E52" s="244"/>
      <c r="F52" s="244"/>
      <c r="G52" s="244"/>
      <c r="H52" s="244"/>
      <c r="I52" s="245"/>
      <c r="N52" s="42"/>
      <c r="O52" s="3"/>
    </row>
    <row r="53" spans="1:15" ht="18.75" customHeight="1" x14ac:dyDescent="0.2">
      <c r="A53" s="1"/>
      <c r="B53" s="246"/>
      <c r="C53" s="247"/>
      <c r="D53" s="247"/>
      <c r="E53" s="247"/>
      <c r="F53" s="247"/>
      <c r="G53" s="247"/>
      <c r="H53" s="247"/>
      <c r="I53" s="248"/>
      <c r="N53" s="42"/>
      <c r="O53" s="3"/>
    </row>
    <row r="54" spans="1:15" ht="18.75" customHeight="1" x14ac:dyDescent="0.2">
      <c r="A54" s="1"/>
      <c r="B54" s="246"/>
      <c r="C54" s="247"/>
      <c r="D54" s="247"/>
      <c r="E54" s="247"/>
      <c r="F54" s="247"/>
      <c r="G54" s="247"/>
      <c r="H54" s="247"/>
      <c r="I54" s="248"/>
    </row>
    <row r="55" spans="1:15" ht="18.75" customHeight="1" x14ac:dyDescent="0.2">
      <c r="A55" s="1"/>
      <c r="B55" s="246"/>
      <c r="C55" s="247"/>
      <c r="D55" s="247"/>
      <c r="E55" s="247"/>
      <c r="F55" s="247"/>
      <c r="G55" s="247"/>
      <c r="H55" s="247"/>
      <c r="I55" s="248"/>
    </row>
    <row r="56" spans="1:15" ht="18.75" customHeight="1" x14ac:dyDescent="0.2">
      <c r="A56" s="1"/>
      <c r="B56" s="246"/>
      <c r="C56" s="247"/>
      <c r="D56" s="247"/>
      <c r="E56" s="247"/>
      <c r="F56" s="247"/>
      <c r="G56" s="247"/>
      <c r="H56" s="247"/>
      <c r="I56" s="248"/>
    </row>
    <row r="57" spans="1:15" ht="18.75" customHeight="1" x14ac:dyDescent="0.2">
      <c r="A57" s="1"/>
      <c r="B57" s="246"/>
      <c r="C57" s="247"/>
      <c r="D57" s="247"/>
      <c r="E57" s="247"/>
      <c r="F57" s="247"/>
      <c r="G57" s="247"/>
      <c r="H57" s="247"/>
      <c r="I57" s="248"/>
    </row>
    <row r="58" spans="1:15" ht="18.75" customHeight="1" x14ac:dyDescent="0.2">
      <c r="A58" s="1"/>
      <c r="B58" s="246"/>
      <c r="C58" s="247"/>
      <c r="D58" s="247"/>
      <c r="E58" s="247"/>
      <c r="F58" s="247"/>
      <c r="G58" s="247"/>
      <c r="H58" s="247"/>
      <c r="I58" s="248"/>
    </row>
    <row r="59" spans="1:15" ht="18.75" customHeight="1" x14ac:dyDescent="0.2">
      <c r="A59" s="1"/>
      <c r="B59" s="246"/>
      <c r="C59" s="247"/>
      <c r="D59" s="247"/>
      <c r="E59" s="247"/>
      <c r="F59" s="247"/>
      <c r="G59" s="247"/>
      <c r="H59" s="247"/>
      <c r="I59" s="248"/>
    </row>
    <row r="60" spans="1:15" ht="18.75" customHeight="1" x14ac:dyDescent="0.2">
      <c r="A60" s="1"/>
      <c r="B60" s="246"/>
      <c r="C60" s="247"/>
      <c r="D60" s="247"/>
      <c r="E60" s="247"/>
      <c r="F60" s="247"/>
      <c r="G60" s="247"/>
      <c r="H60" s="247"/>
      <c r="I60" s="248"/>
    </row>
    <row r="61" spans="1:15" ht="18.75" customHeight="1" x14ac:dyDescent="0.2">
      <c r="A61" s="1"/>
      <c r="B61" s="246"/>
      <c r="C61" s="247"/>
      <c r="D61" s="247"/>
      <c r="E61" s="247"/>
      <c r="F61" s="247"/>
      <c r="G61" s="247"/>
      <c r="H61" s="247"/>
      <c r="I61" s="248"/>
    </row>
    <row r="62" spans="1:15" ht="18.75" customHeight="1" x14ac:dyDescent="0.2">
      <c r="A62" s="1"/>
      <c r="B62" s="246"/>
      <c r="C62" s="247"/>
      <c r="D62" s="247"/>
      <c r="E62" s="247"/>
      <c r="F62" s="247"/>
      <c r="G62" s="247"/>
      <c r="H62" s="247"/>
      <c r="I62" s="248"/>
    </row>
    <row r="63" spans="1:15" ht="18.75" customHeight="1" x14ac:dyDescent="0.2">
      <c r="A63" s="1"/>
      <c r="B63" s="249"/>
      <c r="C63" s="250"/>
      <c r="D63" s="250"/>
      <c r="E63" s="250"/>
      <c r="F63" s="250"/>
      <c r="G63" s="250"/>
      <c r="H63" s="250"/>
      <c r="I63" s="251"/>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26" t="s">
        <v>171</v>
      </c>
      <c r="C66" s="227"/>
      <c r="D66" s="227"/>
      <c r="E66" s="227"/>
      <c r="F66" s="227"/>
      <c r="G66" s="227"/>
      <c r="H66" s="227"/>
      <c r="I66" s="228"/>
    </row>
    <row r="67" spans="1:9" ht="18.75" customHeight="1" x14ac:dyDescent="0.2">
      <c r="A67" s="4"/>
      <c r="B67" s="229"/>
      <c r="C67" s="230"/>
      <c r="D67" s="230"/>
      <c r="E67" s="230"/>
      <c r="F67" s="230"/>
      <c r="G67" s="230"/>
      <c r="H67" s="230"/>
      <c r="I67" s="231"/>
    </row>
    <row r="68" spans="1:9" ht="18.75" customHeight="1" x14ac:dyDescent="0.2">
      <c r="A68" s="4"/>
      <c r="B68" s="229"/>
      <c r="C68" s="230"/>
      <c r="D68" s="230"/>
      <c r="E68" s="230"/>
      <c r="F68" s="230"/>
      <c r="G68" s="230"/>
      <c r="H68" s="230"/>
      <c r="I68" s="231"/>
    </row>
    <row r="69" spans="1:9" ht="18.75" customHeight="1" x14ac:dyDescent="0.2">
      <c r="A69" s="4"/>
      <c r="B69" s="229"/>
      <c r="C69" s="230"/>
      <c r="D69" s="230"/>
      <c r="E69" s="230"/>
      <c r="F69" s="230"/>
      <c r="G69" s="230"/>
      <c r="H69" s="230"/>
      <c r="I69" s="231"/>
    </row>
    <row r="70" spans="1:9" ht="18.75" customHeight="1" x14ac:dyDescent="0.2">
      <c r="A70" s="4"/>
      <c r="B70" s="229"/>
      <c r="C70" s="230"/>
      <c r="D70" s="230"/>
      <c r="E70" s="230"/>
      <c r="F70" s="230"/>
      <c r="G70" s="230"/>
      <c r="H70" s="230"/>
      <c r="I70" s="231"/>
    </row>
    <row r="71" spans="1:9" ht="18.75" customHeight="1" x14ac:dyDescent="0.2">
      <c r="A71" s="4"/>
      <c r="B71" s="229"/>
      <c r="C71" s="230"/>
      <c r="D71" s="230"/>
      <c r="E71" s="230"/>
      <c r="F71" s="230"/>
      <c r="G71" s="230"/>
      <c r="H71" s="230"/>
      <c r="I71" s="231"/>
    </row>
    <row r="72" spans="1:9" ht="18.75" customHeight="1" x14ac:dyDescent="0.2">
      <c r="A72" s="4"/>
      <c r="B72" s="229"/>
      <c r="C72" s="230"/>
      <c r="D72" s="230"/>
      <c r="E72" s="230"/>
      <c r="F72" s="230"/>
      <c r="G72" s="230"/>
      <c r="H72" s="230"/>
      <c r="I72" s="231"/>
    </row>
    <row r="73" spans="1:9" ht="18.75" customHeight="1" x14ac:dyDescent="0.2">
      <c r="A73" s="4"/>
      <c r="B73" s="229"/>
      <c r="C73" s="230"/>
      <c r="D73" s="230"/>
      <c r="E73" s="230"/>
      <c r="F73" s="230"/>
      <c r="G73" s="230"/>
      <c r="H73" s="230"/>
      <c r="I73" s="231"/>
    </row>
    <row r="74" spans="1:9" ht="18.75" customHeight="1" x14ac:dyDescent="0.2">
      <c r="A74" s="4"/>
      <c r="B74" s="229"/>
      <c r="C74" s="230"/>
      <c r="D74" s="230"/>
      <c r="E74" s="230"/>
      <c r="F74" s="230"/>
      <c r="G74" s="230"/>
      <c r="H74" s="230"/>
      <c r="I74" s="231"/>
    </row>
    <row r="75" spans="1:9" ht="18.75" customHeight="1" x14ac:dyDescent="0.2">
      <c r="A75" s="4"/>
      <c r="B75" s="229"/>
      <c r="C75" s="230"/>
      <c r="D75" s="230"/>
      <c r="E75" s="230"/>
      <c r="F75" s="230"/>
      <c r="G75" s="230"/>
      <c r="H75" s="230"/>
      <c r="I75" s="231"/>
    </row>
    <row r="76" spans="1:9" ht="18.75" customHeight="1" x14ac:dyDescent="0.2">
      <c r="A76" s="4"/>
      <c r="B76" s="229"/>
      <c r="C76" s="230"/>
      <c r="D76" s="230"/>
      <c r="E76" s="230"/>
      <c r="F76" s="230"/>
      <c r="G76" s="230"/>
      <c r="H76" s="230"/>
      <c r="I76" s="231"/>
    </row>
    <row r="77" spans="1:9" ht="18.75" customHeight="1" x14ac:dyDescent="0.2">
      <c r="A77" s="4"/>
      <c r="B77" s="232"/>
      <c r="C77" s="233"/>
      <c r="D77" s="233"/>
      <c r="E77" s="233"/>
      <c r="F77" s="233"/>
      <c r="G77" s="233"/>
      <c r="H77" s="233"/>
      <c r="I77" s="234"/>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26" t="s">
        <v>172</v>
      </c>
      <c r="C80" s="227"/>
      <c r="D80" s="227"/>
      <c r="E80" s="227"/>
      <c r="F80" s="227"/>
      <c r="G80" s="227"/>
      <c r="H80" s="227"/>
      <c r="I80" s="235"/>
    </row>
    <row r="81" spans="1:9" ht="18.75" customHeight="1" x14ac:dyDescent="0.2">
      <c r="A81" s="1"/>
      <c r="B81" s="236"/>
      <c r="C81" s="237"/>
      <c r="D81" s="237"/>
      <c r="E81" s="237"/>
      <c r="F81" s="237"/>
      <c r="G81" s="237"/>
      <c r="H81" s="237"/>
      <c r="I81" s="238"/>
    </row>
    <row r="82" spans="1:9" ht="18.75" customHeight="1" x14ac:dyDescent="0.2">
      <c r="A82" s="1"/>
      <c r="B82" s="236"/>
      <c r="C82" s="237"/>
      <c r="D82" s="237"/>
      <c r="E82" s="237"/>
      <c r="F82" s="237"/>
      <c r="G82" s="237"/>
      <c r="H82" s="237"/>
      <c r="I82" s="238"/>
    </row>
    <row r="83" spans="1:9" ht="18.75" customHeight="1" x14ac:dyDescent="0.2">
      <c r="A83" s="1"/>
      <c r="B83" s="236"/>
      <c r="C83" s="237"/>
      <c r="D83" s="237"/>
      <c r="E83" s="237"/>
      <c r="F83" s="237"/>
      <c r="G83" s="237"/>
      <c r="H83" s="237"/>
      <c r="I83" s="238"/>
    </row>
    <row r="84" spans="1:9" ht="18.75" customHeight="1" x14ac:dyDescent="0.2">
      <c r="A84" s="1"/>
      <c r="B84" s="236"/>
      <c r="C84" s="237"/>
      <c r="D84" s="237"/>
      <c r="E84" s="237"/>
      <c r="F84" s="237"/>
      <c r="G84" s="237"/>
      <c r="H84" s="237"/>
      <c r="I84" s="238"/>
    </row>
    <row r="85" spans="1:9" ht="18.75" customHeight="1" x14ac:dyDescent="0.2">
      <c r="A85" s="1"/>
      <c r="B85" s="236"/>
      <c r="C85" s="237"/>
      <c r="D85" s="237"/>
      <c r="E85" s="237"/>
      <c r="F85" s="237"/>
      <c r="G85" s="237"/>
      <c r="H85" s="237"/>
      <c r="I85" s="238"/>
    </row>
    <row r="86" spans="1:9" ht="18.75" customHeight="1" x14ac:dyDescent="0.2">
      <c r="A86" s="1"/>
      <c r="B86" s="236"/>
      <c r="C86" s="237"/>
      <c r="D86" s="237"/>
      <c r="E86" s="237"/>
      <c r="F86" s="237"/>
      <c r="G86" s="237"/>
      <c r="H86" s="237"/>
      <c r="I86" s="238"/>
    </row>
    <row r="87" spans="1:9" ht="18.75" customHeight="1" x14ac:dyDescent="0.2">
      <c r="A87" s="1"/>
      <c r="B87" s="236"/>
      <c r="C87" s="237"/>
      <c r="D87" s="237"/>
      <c r="E87" s="237"/>
      <c r="F87" s="237"/>
      <c r="G87" s="237"/>
      <c r="H87" s="237"/>
      <c r="I87" s="238"/>
    </row>
    <row r="88" spans="1:9" ht="18.75" customHeight="1" x14ac:dyDescent="0.2">
      <c r="A88" s="1"/>
      <c r="B88" s="236"/>
      <c r="C88" s="237"/>
      <c r="D88" s="237"/>
      <c r="E88" s="237"/>
      <c r="F88" s="237"/>
      <c r="G88" s="237"/>
      <c r="H88" s="237"/>
      <c r="I88" s="238"/>
    </row>
    <row r="89" spans="1:9" ht="18.75" customHeight="1" x14ac:dyDescent="0.2">
      <c r="A89" s="1"/>
      <c r="B89" s="236"/>
      <c r="C89" s="237"/>
      <c r="D89" s="237"/>
      <c r="E89" s="237"/>
      <c r="F89" s="237"/>
      <c r="G89" s="237"/>
      <c r="H89" s="237"/>
      <c r="I89" s="238"/>
    </row>
    <row r="90" spans="1:9" ht="18.75" customHeight="1" x14ac:dyDescent="0.2">
      <c r="A90" s="4"/>
      <c r="B90" s="236"/>
      <c r="C90" s="237"/>
      <c r="D90" s="237"/>
      <c r="E90" s="237"/>
      <c r="F90" s="237"/>
      <c r="G90" s="237"/>
      <c r="H90" s="237"/>
      <c r="I90" s="238"/>
    </row>
    <row r="91" spans="1:9" ht="18.75" customHeight="1" x14ac:dyDescent="0.2">
      <c r="A91" s="4"/>
      <c r="B91" s="239"/>
      <c r="C91" s="240"/>
      <c r="D91" s="240"/>
      <c r="E91" s="240"/>
      <c r="F91" s="240"/>
      <c r="G91" s="240"/>
      <c r="H91" s="240"/>
      <c r="I91" s="241"/>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01" t="s">
        <v>178</v>
      </c>
      <c r="C94" s="202"/>
      <c r="D94" s="202"/>
      <c r="E94" s="202"/>
      <c r="F94" s="202"/>
      <c r="G94" s="202"/>
      <c r="H94" s="202"/>
      <c r="I94" s="203"/>
    </row>
    <row r="95" spans="1:9" ht="18.75" customHeight="1" x14ac:dyDescent="0.2">
      <c r="A95" s="1"/>
      <c r="B95" s="204"/>
      <c r="C95" s="205"/>
      <c r="D95" s="205"/>
      <c r="E95" s="205"/>
      <c r="F95" s="205"/>
      <c r="G95" s="205"/>
      <c r="H95" s="205"/>
      <c r="I95" s="206"/>
    </row>
    <row r="96" spans="1:9" ht="18.75" customHeight="1" x14ac:dyDescent="0.2">
      <c r="A96" s="1"/>
      <c r="B96" s="204"/>
      <c r="C96" s="205"/>
      <c r="D96" s="205"/>
      <c r="E96" s="205"/>
      <c r="F96" s="205"/>
      <c r="G96" s="205"/>
      <c r="H96" s="205"/>
      <c r="I96" s="206"/>
    </row>
    <row r="97" spans="1:9" ht="18.75" customHeight="1" x14ac:dyDescent="0.2">
      <c r="A97" s="1"/>
      <c r="B97" s="204"/>
      <c r="C97" s="205"/>
      <c r="D97" s="205"/>
      <c r="E97" s="205"/>
      <c r="F97" s="205"/>
      <c r="G97" s="205"/>
      <c r="H97" s="205"/>
      <c r="I97" s="206"/>
    </row>
    <row r="98" spans="1:9" ht="18.75" customHeight="1" x14ac:dyDescent="0.2">
      <c r="A98" s="1"/>
      <c r="B98" s="204"/>
      <c r="C98" s="205"/>
      <c r="D98" s="205"/>
      <c r="E98" s="205"/>
      <c r="F98" s="205"/>
      <c r="G98" s="205"/>
      <c r="H98" s="205"/>
      <c r="I98" s="206"/>
    </row>
    <row r="99" spans="1:9" ht="18.75" customHeight="1" x14ac:dyDescent="0.2">
      <c r="A99" s="1"/>
      <c r="B99" s="204"/>
      <c r="C99" s="205"/>
      <c r="D99" s="205"/>
      <c r="E99" s="205"/>
      <c r="F99" s="205"/>
      <c r="G99" s="205"/>
      <c r="H99" s="205"/>
      <c r="I99" s="206"/>
    </row>
    <row r="100" spans="1:9" ht="18.75" customHeight="1" x14ac:dyDescent="0.2">
      <c r="A100" s="1"/>
      <c r="B100" s="204"/>
      <c r="C100" s="205"/>
      <c r="D100" s="205"/>
      <c r="E100" s="205"/>
      <c r="F100" s="205"/>
      <c r="G100" s="205"/>
      <c r="H100" s="205"/>
      <c r="I100" s="206"/>
    </row>
    <row r="101" spans="1:9" ht="18.75" customHeight="1" x14ac:dyDescent="0.2">
      <c r="A101" s="1"/>
      <c r="B101" s="204"/>
      <c r="C101" s="205"/>
      <c r="D101" s="205"/>
      <c r="E101" s="205"/>
      <c r="F101" s="205"/>
      <c r="G101" s="205"/>
      <c r="H101" s="205"/>
      <c r="I101" s="206"/>
    </row>
    <row r="102" spans="1:9" ht="18.75" customHeight="1" x14ac:dyDescent="0.2">
      <c r="A102" s="1"/>
      <c r="B102" s="204"/>
      <c r="C102" s="205"/>
      <c r="D102" s="205"/>
      <c r="E102" s="205"/>
      <c r="F102" s="205"/>
      <c r="G102" s="205"/>
      <c r="H102" s="205"/>
      <c r="I102" s="206"/>
    </row>
    <row r="103" spans="1:9" ht="18.75" customHeight="1" x14ac:dyDescent="0.2">
      <c r="A103" s="1"/>
      <c r="B103" s="204"/>
      <c r="C103" s="205"/>
      <c r="D103" s="205"/>
      <c r="E103" s="205"/>
      <c r="F103" s="205"/>
      <c r="G103" s="205"/>
      <c r="H103" s="205"/>
      <c r="I103" s="206"/>
    </row>
    <row r="104" spans="1:9" ht="18.75" customHeight="1" x14ac:dyDescent="0.2">
      <c r="A104" s="1"/>
      <c r="B104" s="204"/>
      <c r="C104" s="205"/>
      <c r="D104" s="205"/>
      <c r="E104" s="205"/>
      <c r="F104" s="205"/>
      <c r="G104" s="205"/>
      <c r="H104" s="205"/>
      <c r="I104" s="206"/>
    </row>
    <row r="105" spans="1:9" ht="18.75" customHeight="1" x14ac:dyDescent="0.2">
      <c r="A105" s="4"/>
      <c r="B105" s="207"/>
      <c r="C105" s="208"/>
      <c r="D105" s="208"/>
      <c r="E105" s="208"/>
      <c r="F105" s="208"/>
      <c r="G105" s="208"/>
      <c r="H105" s="208"/>
      <c r="I105" s="209"/>
    </row>
    <row r="106" spans="1:9" ht="7.5" customHeight="1" x14ac:dyDescent="0.2">
      <c r="A106" s="4"/>
      <c r="B106" s="4"/>
      <c r="C106" s="4"/>
      <c r="D106" s="4"/>
      <c r="E106" s="4"/>
      <c r="F106" s="4"/>
      <c r="G106" s="4"/>
      <c r="H106" s="4"/>
      <c r="I106" s="4"/>
    </row>
    <row r="107" spans="1:9" ht="18.75" customHeight="1" x14ac:dyDescent="0.2">
      <c r="A107" s="1" t="s">
        <v>30</v>
      </c>
      <c r="B107" s="210" t="s">
        <v>46</v>
      </c>
      <c r="C107" s="210"/>
      <c r="D107" s="210"/>
      <c r="E107" s="210"/>
      <c r="F107" s="210"/>
      <c r="G107" s="210"/>
      <c r="H107" s="210"/>
      <c r="I107" s="210"/>
    </row>
    <row r="108" spans="1:9" ht="18.75" customHeight="1" x14ac:dyDescent="0.2">
      <c r="A108" s="4"/>
      <c r="B108" s="201" t="s">
        <v>173</v>
      </c>
      <c r="C108" s="202"/>
      <c r="D108" s="202"/>
      <c r="E108" s="202"/>
      <c r="F108" s="202"/>
      <c r="G108" s="202"/>
      <c r="H108" s="202"/>
      <c r="I108" s="203"/>
    </row>
    <row r="109" spans="1:9" ht="18.75" customHeight="1" x14ac:dyDescent="0.2">
      <c r="A109" s="4"/>
      <c r="B109" s="204"/>
      <c r="C109" s="205"/>
      <c r="D109" s="205"/>
      <c r="E109" s="205"/>
      <c r="F109" s="205"/>
      <c r="G109" s="205"/>
      <c r="H109" s="205"/>
      <c r="I109" s="206"/>
    </row>
    <row r="110" spans="1:9" ht="18.75" customHeight="1" x14ac:dyDescent="0.2">
      <c r="A110" s="4"/>
      <c r="B110" s="204"/>
      <c r="C110" s="205"/>
      <c r="D110" s="205"/>
      <c r="E110" s="205"/>
      <c r="F110" s="205"/>
      <c r="G110" s="205"/>
      <c r="H110" s="205"/>
      <c r="I110" s="206"/>
    </row>
    <row r="111" spans="1:9" ht="18.75" customHeight="1" x14ac:dyDescent="0.2">
      <c r="A111" s="4"/>
      <c r="B111" s="204"/>
      <c r="C111" s="205"/>
      <c r="D111" s="205"/>
      <c r="E111" s="205"/>
      <c r="F111" s="205"/>
      <c r="G111" s="205"/>
      <c r="H111" s="205"/>
      <c r="I111" s="206"/>
    </row>
    <row r="112" spans="1:9" ht="18.75" customHeight="1" x14ac:dyDescent="0.2">
      <c r="A112" s="4"/>
      <c r="B112" s="204"/>
      <c r="C112" s="205"/>
      <c r="D112" s="205"/>
      <c r="E112" s="205"/>
      <c r="F112" s="205"/>
      <c r="G112" s="205"/>
      <c r="H112" s="205"/>
      <c r="I112" s="206"/>
    </row>
    <row r="113" spans="1:9" ht="18.75" customHeight="1" x14ac:dyDescent="0.2">
      <c r="A113" s="4"/>
      <c r="B113" s="204"/>
      <c r="C113" s="205"/>
      <c r="D113" s="205"/>
      <c r="E113" s="205"/>
      <c r="F113" s="205"/>
      <c r="G113" s="205"/>
      <c r="H113" s="205"/>
      <c r="I113" s="206"/>
    </row>
    <row r="114" spans="1:9" ht="18.75" customHeight="1" x14ac:dyDescent="0.2">
      <c r="A114" s="4"/>
      <c r="B114" s="204"/>
      <c r="C114" s="205"/>
      <c r="D114" s="205"/>
      <c r="E114" s="205"/>
      <c r="F114" s="205"/>
      <c r="G114" s="205"/>
      <c r="H114" s="205"/>
      <c r="I114" s="206"/>
    </row>
    <row r="115" spans="1:9" ht="18.75" customHeight="1" x14ac:dyDescent="0.2">
      <c r="A115" s="4"/>
      <c r="B115" s="204"/>
      <c r="C115" s="205"/>
      <c r="D115" s="205"/>
      <c r="E115" s="205"/>
      <c r="F115" s="205"/>
      <c r="G115" s="205"/>
      <c r="H115" s="205"/>
      <c r="I115" s="206"/>
    </row>
    <row r="116" spans="1:9" ht="18.75" customHeight="1" x14ac:dyDescent="0.2">
      <c r="A116" s="4"/>
      <c r="B116" s="204"/>
      <c r="C116" s="205"/>
      <c r="D116" s="205"/>
      <c r="E116" s="205"/>
      <c r="F116" s="205"/>
      <c r="G116" s="205"/>
      <c r="H116" s="205"/>
      <c r="I116" s="206"/>
    </row>
    <row r="117" spans="1:9" ht="18.75" customHeight="1" x14ac:dyDescent="0.2">
      <c r="A117" s="4"/>
      <c r="B117" s="204"/>
      <c r="C117" s="205"/>
      <c r="D117" s="205"/>
      <c r="E117" s="205"/>
      <c r="F117" s="205"/>
      <c r="G117" s="205"/>
      <c r="H117" s="205"/>
      <c r="I117" s="206"/>
    </row>
    <row r="118" spans="1:9" ht="18.75" customHeight="1" x14ac:dyDescent="0.2">
      <c r="A118" s="4"/>
      <c r="B118" s="204"/>
      <c r="C118" s="205"/>
      <c r="D118" s="205"/>
      <c r="E118" s="205"/>
      <c r="F118" s="205"/>
      <c r="G118" s="205"/>
      <c r="H118" s="205"/>
      <c r="I118" s="206"/>
    </row>
    <row r="119" spans="1:9" ht="18.75" customHeight="1" x14ac:dyDescent="0.2">
      <c r="A119" s="4"/>
      <c r="B119" s="207"/>
      <c r="C119" s="208"/>
      <c r="D119" s="208"/>
      <c r="E119" s="208"/>
      <c r="F119" s="208"/>
      <c r="G119" s="208"/>
      <c r="H119" s="208"/>
      <c r="I119" s="209"/>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M21" sqref="M2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2" t="s">
        <v>105</v>
      </c>
    </row>
    <row r="2" spans="1:9" ht="18.75" customHeight="1" x14ac:dyDescent="0.2">
      <c r="H2" s="32" t="s">
        <v>109</v>
      </c>
      <c r="I2" s="31" t="str">
        <f>'様式１　プログラムを構成する授業科目'!C2</f>
        <v>同志社女子大学</v>
      </c>
    </row>
    <row r="3" spans="1:9" ht="18.75" customHeight="1" x14ac:dyDescent="0.2">
      <c r="A3" s="158" t="s">
        <v>28</v>
      </c>
      <c r="B3" s="158"/>
      <c r="C3" s="158"/>
      <c r="D3" s="158"/>
      <c r="E3" s="158"/>
      <c r="F3" s="158"/>
      <c r="G3" s="158"/>
      <c r="H3" s="158"/>
      <c r="I3" s="158"/>
    </row>
    <row r="4" spans="1:9" ht="18.75" customHeight="1" x14ac:dyDescent="0.2">
      <c r="A4" s="5"/>
      <c r="B4" s="5"/>
      <c r="C4" s="5"/>
      <c r="D4" s="5"/>
      <c r="E4" s="5"/>
      <c r="F4" s="5"/>
      <c r="G4" s="5"/>
      <c r="H4" s="5"/>
      <c r="I4" s="5"/>
    </row>
    <row r="5" spans="1:9" ht="18.75" customHeight="1" x14ac:dyDescent="0.2">
      <c r="A5" s="1" t="s">
        <v>0</v>
      </c>
      <c r="B5" s="9" t="s">
        <v>95</v>
      </c>
      <c r="C5" s="5"/>
      <c r="D5" s="5"/>
      <c r="E5" s="5"/>
      <c r="F5" s="5"/>
      <c r="G5" s="5"/>
      <c r="H5" s="5"/>
      <c r="I5" s="5"/>
    </row>
    <row r="6" spans="1:9" ht="26.25" customHeight="1" x14ac:dyDescent="0.2">
      <c r="A6" s="5"/>
      <c r="B6" s="219" t="s">
        <v>153</v>
      </c>
      <c r="C6" s="259"/>
      <c r="D6" s="259"/>
      <c r="E6" s="259"/>
      <c r="F6" s="259"/>
      <c r="G6" s="259"/>
      <c r="H6" s="260"/>
      <c r="I6" s="3"/>
    </row>
    <row r="7" spans="1:9" ht="9" customHeight="1" x14ac:dyDescent="0.2">
      <c r="A7" s="5"/>
      <c r="B7" s="9"/>
      <c r="C7" s="9"/>
      <c r="D7" s="9"/>
      <c r="E7" s="9"/>
      <c r="F7" s="9"/>
      <c r="G7" s="9"/>
      <c r="H7" s="9"/>
      <c r="I7" s="3"/>
    </row>
    <row r="8" spans="1:9" ht="18.75" customHeight="1" x14ac:dyDescent="0.2">
      <c r="A8" s="5"/>
      <c r="B8" s="3"/>
      <c r="C8" s="3"/>
      <c r="D8" s="32" t="s">
        <v>43</v>
      </c>
      <c r="E8" s="33" t="s">
        <v>154</v>
      </c>
      <c r="F8" s="3"/>
      <c r="G8" s="32" t="s">
        <v>10</v>
      </c>
      <c r="H8" s="33" t="s">
        <v>149</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87" t="s">
        <v>24</v>
      </c>
      <c r="C11" s="88"/>
      <c r="D11" s="89"/>
      <c r="E11" s="88" t="s">
        <v>26</v>
      </c>
      <c r="F11" s="88"/>
      <c r="G11" s="88"/>
      <c r="H11" s="88"/>
      <c r="I11" s="89"/>
    </row>
    <row r="12" spans="1:9" ht="26.25" customHeight="1" x14ac:dyDescent="0.2">
      <c r="B12" s="47" t="s">
        <v>14</v>
      </c>
      <c r="C12" s="54"/>
      <c r="D12" s="48"/>
      <c r="E12" s="55"/>
      <c r="F12" s="55"/>
      <c r="G12" s="55"/>
      <c r="H12" s="55"/>
      <c r="I12" s="48"/>
    </row>
    <row r="13" spans="1:9" ht="210.75" customHeight="1" x14ac:dyDescent="0.2">
      <c r="B13" s="49"/>
      <c r="C13" s="257" t="s">
        <v>15</v>
      </c>
      <c r="D13" s="258"/>
      <c r="E13" s="254" t="s">
        <v>163</v>
      </c>
      <c r="F13" s="255"/>
      <c r="G13" s="255"/>
      <c r="H13" s="255"/>
      <c r="I13" s="256"/>
    </row>
    <row r="14" spans="1:9" ht="210.75" customHeight="1" x14ac:dyDescent="0.2">
      <c r="B14" s="49"/>
      <c r="C14" s="252" t="s">
        <v>16</v>
      </c>
      <c r="D14" s="253"/>
      <c r="E14" s="254" t="s">
        <v>174</v>
      </c>
      <c r="F14" s="255"/>
      <c r="G14" s="255"/>
      <c r="H14" s="255"/>
      <c r="I14" s="256"/>
    </row>
    <row r="15" spans="1:9" ht="210.75" customHeight="1" x14ac:dyDescent="0.2">
      <c r="B15" s="49"/>
      <c r="C15" s="257" t="s">
        <v>17</v>
      </c>
      <c r="D15" s="258"/>
      <c r="E15" s="254" t="s">
        <v>175</v>
      </c>
      <c r="F15" s="255"/>
      <c r="G15" s="255"/>
      <c r="H15" s="255"/>
      <c r="I15" s="256"/>
    </row>
    <row r="16" spans="1:9" ht="210.75" customHeight="1" x14ac:dyDescent="0.2">
      <c r="B16" s="49"/>
      <c r="C16" s="257" t="s">
        <v>18</v>
      </c>
      <c r="D16" s="258"/>
      <c r="E16" s="254" t="s">
        <v>164</v>
      </c>
      <c r="F16" s="255"/>
      <c r="G16" s="255"/>
      <c r="H16" s="255"/>
      <c r="I16" s="256"/>
    </row>
    <row r="17" spans="2:9" ht="210.75" customHeight="1" x14ac:dyDescent="0.2">
      <c r="B17" s="50"/>
      <c r="C17" s="261" t="s">
        <v>19</v>
      </c>
      <c r="D17" s="262"/>
      <c r="E17" s="263" t="s">
        <v>165</v>
      </c>
      <c r="F17" s="264"/>
      <c r="G17" s="264"/>
      <c r="H17" s="264"/>
      <c r="I17" s="265"/>
    </row>
    <row r="18" spans="2:9" ht="24" customHeight="1" x14ac:dyDescent="0.2">
      <c r="B18" s="47" t="s">
        <v>20</v>
      </c>
      <c r="C18" s="51"/>
      <c r="D18" s="52"/>
      <c r="E18" s="53"/>
      <c r="F18" s="53"/>
      <c r="G18" s="53"/>
      <c r="H18" s="53"/>
      <c r="I18" s="56"/>
    </row>
    <row r="19" spans="2:9" ht="218.25" customHeight="1" x14ac:dyDescent="0.2">
      <c r="B19" s="49"/>
      <c r="C19" s="257" t="s">
        <v>21</v>
      </c>
      <c r="D19" s="258"/>
      <c r="E19" s="255" t="s">
        <v>166</v>
      </c>
      <c r="F19" s="255"/>
      <c r="G19" s="255"/>
      <c r="H19" s="255"/>
      <c r="I19" s="256"/>
    </row>
    <row r="20" spans="2:9" ht="181.5" customHeight="1" x14ac:dyDescent="0.2">
      <c r="B20" s="50"/>
      <c r="C20" s="261" t="s">
        <v>22</v>
      </c>
      <c r="D20" s="262"/>
      <c r="E20" s="264" t="s">
        <v>179</v>
      </c>
      <c r="F20" s="264"/>
      <c r="G20" s="264"/>
      <c r="H20" s="264"/>
      <c r="I20" s="265"/>
    </row>
    <row r="21" spans="2:9" ht="315.75" customHeight="1" x14ac:dyDescent="0.2">
      <c r="B21" s="271" t="s">
        <v>23</v>
      </c>
      <c r="C21" s="272"/>
      <c r="D21" s="273"/>
      <c r="E21" s="274" t="s">
        <v>180</v>
      </c>
      <c r="F21" s="274"/>
      <c r="G21" s="274"/>
      <c r="H21" s="274"/>
      <c r="I21" s="275"/>
    </row>
    <row r="22" spans="2:9" ht="218.25" customHeight="1" x14ac:dyDescent="0.2">
      <c r="B22" s="266" t="s">
        <v>38</v>
      </c>
      <c r="C22" s="267"/>
      <c r="D22" s="268"/>
      <c r="E22" s="269" t="s">
        <v>177</v>
      </c>
      <c r="F22" s="269"/>
      <c r="G22" s="269"/>
      <c r="H22" s="269"/>
      <c r="I22" s="27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RISYU10</cp:lastModifiedBy>
  <cp:lastPrinted>2023-05-11T03:33:00Z</cp:lastPrinted>
  <dcterms:created xsi:type="dcterms:W3CDTF">2011-06-14T05:32:50Z</dcterms:created>
  <dcterms:modified xsi:type="dcterms:W3CDTF">2023-06-28T05:44:24Z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