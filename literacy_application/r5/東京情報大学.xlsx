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afsvrpdc\gakukyo$\kyo\34数理・データサイエンス・AI教育プログラム\11リテラシー申請\2023申請書類\22_提出後の修正\"/>
    </mc:Choice>
  </mc:AlternateContent>
  <xr:revisionPtr revIDLastSave="0" documentId="13_ncr:1_{EAF2714C-BAE5-48DE-8F64-9BFF690C634F}" xr6:coauthVersionLast="36" xr6:coauthVersionMax="47" xr10:uidLastSave="{00000000-0000-0000-0000-000000000000}"/>
  <bookViews>
    <workbookView xWindow="0" yWindow="0" windowWidth="21315" windowHeight="11700" tabRatio="885" xr2:uid="{00000000-000D-0000-FFFF-FFFF00000000}"/>
  </bookViews>
  <sheets>
    <sheet name="様式１-１　プログラムを構成する授業科目" sheetId="44" r:id="rId1"/>
    <sheet name="様式１-２　プログラムを構成する授業科目 " sheetId="45"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プログラムを構成する授業科目'!$V$14:$V$16</definedName>
    <definedName name="_xlnm._FilterDatabase" localSheetId="1" hidden="1">'様式１-２　プログラムを構成する授業科目 '!$V$14:$V$16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 '!$A$1:$S$102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workbook>
</file>

<file path=xl/calcChain.xml><?xml version="1.0" encoding="utf-8"?>
<calcChain xmlns="http://schemas.openxmlformats.org/spreadsheetml/2006/main">
  <c r="I2" i="42" l="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<sst xmlns="http://schemas.openxmlformats.org/spreadsheetml/2006/main" count="442" uniqueCount="194">
  <si>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</si>
  <si>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</si>
  <si>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</si>
  <si>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</si>
  <si>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</si>
  <si>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</si>
  <si>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</si>
  <si>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</si>
  <si>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</si>
  <si>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</si>
  <si>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</si>
  <si>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</si>
  <si>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</si>
  <si>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</si>
  <si>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</si>
  <si>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</si>
  <si>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</si>
  <si>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</si>
  <si>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</si>
  <si>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</si>
  <si>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</si>
  <si>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</si>
  <si>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</si>
  <si>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</si>
  <si>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</si>
  <si>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</si>
  <si>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</si>
  <si>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</si>
  <si>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</si>
  <si>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</si>
  <si>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</si>
  <si>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</si>
  <si>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</si>
  <si>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</si>
  <si>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</si>
  <si>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</si>
  <si>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</si>
  <si>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</si>
  <si>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</si>
  <si>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</si>
  <si>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</si>
  <si>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</si>
  <si>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</si>
  <si>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</si>
  <si>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</si>
  <si>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</si>
  <si>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</si>
  <si>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</si>
  <si>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</si>
  <si>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</si>
  <si>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</si>
  <si>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</si>
  <si>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</si>
  <si>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</si>
  <si>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</si>
  <si>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</si>
  <si>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</si>
  <si>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</si>
  <si>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</si>
  <si>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</si>
  <si>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</si>
  <si>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</si>
  <si>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</si>
  <si>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</si>
  <si>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</si>
  <si>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</si>
  <si>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</si>
  <si>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</si>
  <si>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</si>
  <si>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</si>
  <si>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</si>
  <si>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</si>
  <si>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</si>
  <si>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</si>
  <si>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</si>
  <si>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</si>
  <si>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</si>
  <si>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</si>
  <si>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</si>
  <si>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</si>
  <si>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</si>
  <si>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</si>
  <si>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</si>
  <si>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</si>
  <si>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</si>
  <si>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</si>
  <si>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</si>
  <si>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</si>
  <si>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</si>
  <si>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</si>
  <si>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</si>
  <si>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</si>
  <si>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</si>
  <si>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</si>
  <si>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</si>
  <si>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</si>
  <si>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</si>
  <si>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</si>
  <si>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</si>
  <si>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</si>
  <si>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</si>
  <si>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</si>
  <si>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</si>
  <si>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</si>
  <si>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</si>
  <si>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</si>
  <si>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</si>
  <si>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</si>
  <si>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</si>
  <si>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</si>
  <si>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</si>
  <si>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</si>
  <si>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</si>
  <si>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</si>
  <si>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</si>
  <si>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</si>
  <si>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</si>
  <si>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</si>
  <si>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</si>
  <si>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</si>
  <si>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</si>
  <si>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</si>
  <si>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</si>
  <si>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</si>
  <si>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</si>
  <si>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</si>
  <si>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</si>
  <si>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総合情報学部</t>
    <rPh sb="0" eb="2">
      <t>ソウゴウ</t>
    </rPh>
    <rPh sb="2" eb="4">
      <t>ジョウホウ</t>
    </rPh>
    <rPh sb="4" eb="6">
      <t>ガクブ</t>
    </rPh>
    <phoneticPr fontId="1"/>
  </si>
  <si>
    <t>看護学部</t>
    <rPh sb="0" eb="4">
      <t>カンゴガクブ</t>
    </rPh>
    <phoneticPr fontId="1"/>
  </si>
  <si>
    <t>令和４</t>
    <rPh sb="0" eb="2">
      <t>レイワ</t>
    </rPh>
    <phoneticPr fontId="1"/>
  </si>
  <si>
    <t>総合情報学部</t>
    <rPh sb="0" eb="4">
      <t>ソウゴウジョウホウ</t>
    </rPh>
    <rPh sb="4" eb="6">
      <t>ガクブ</t>
    </rPh>
    <phoneticPr fontId="1"/>
  </si>
  <si>
    <t>永井　保夫</t>
    <phoneticPr fontId="1"/>
  </si>
  <si>
    <t>数理・データサイエンス・AI教育推進委員長</t>
    <phoneticPr fontId="1"/>
  </si>
  <si>
    <t>数理・データサイエンス・AI教育推進委員会</t>
    <phoneticPr fontId="1"/>
  </si>
  <si>
    <t>数理・データサイエンス・ＡＩ教育推進委員会運営要領</t>
    <phoneticPr fontId="1"/>
  </si>
  <si>
    <t>次の審議事項について、円滑に運営することを目的とする。
（1）数理・データサイエンス・AI教育プログラムの運営に関する事項
（2）数理・データサイエンス・AI教育プログラム認定制度の申請に関する事項
（3）その他，前各号に関連する事項</t>
    <rPh sb="0" eb="1">
      <t>ツギ</t>
    </rPh>
    <rPh sb="2" eb="6">
      <t>シンギジコウ</t>
    </rPh>
    <rPh sb="11" eb="13">
      <t>エンカツ</t>
    </rPh>
    <rPh sb="14" eb="16">
      <t>ウンエイ</t>
    </rPh>
    <rPh sb="21" eb="23">
      <t>モクテキ</t>
    </rPh>
    <phoneticPr fontId="1"/>
  </si>
  <si>
    <t>上記⑧で説明しているように、総合情報学部は、プログラムを構成する３つの授業科目を令和5年度から必修化することで、全員が履修することになる。</t>
    <rPh sb="0" eb="2">
      <t>ジョウキ</t>
    </rPh>
    <rPh sb="4" eb="6">
      <t>セツメイ</t>
    </rPh>
    <rPh sb="14" eb="16">
      <t>ソウゴウ</t>
    </rPh>
    <rPh sb="16" eb="18">
      <t>ジョウホウ</t>
    </rPh>
    <rPh sb="18" eb="20">
      <t>ガクブ</t>
    </rPh>
    <rPh sb="28" eb="30">
      <t>コウセイ</t>
    </rPh>
    <rPh sb="35" eb="37">
      <t>ジュギョウ</t>
    </rPh>
    <rPh sb="37" eb="39">
      <t>カモク</t>
    </rPh>
    <rPh sb="40" eb="42">
      <t>レイワ</t>
    </rPh>
    <rPh sb="43" eb="45">
      <t>ネンド</t>
    </rPh>
    <rPh sb="47" eb="50">
      <t>ヒッシュウカ</t>
    </rPh>
    <rPh sb="56" eb="58">
      <t>ゼンイン</t>
    </rPh>
    <rPh sb="59" eb="61">
      <t>リシュウ</t>
    </rPh>
    <phoneticPr fontId="1"/>
  </si>
  <si>
    <t>上記⑧で説明しているように、総合情報学部は、プログラムを構成する３つの授業科目を令和5年度から必修化することで、全員が履修することになる。</t>
    <phoneticPr fontId="1"/>
  </si>
  <si>
    <t>富田　瑞樹</t>
    <rPh sb="0" eb="2">
      <t>トミタ</t>
    </rPh>
    <rPh sb="3" eb="5">
      <t>ミズキ</t>
    </rPh>
    <phoneticPr fontId="1"/>
  </si>
  <si>
    <t>教務委員長</t>
    <rPh sb="0" eb="2">
      <t>キョウム</t>
    </rPh>
    <rPh sb="2" eb="5">
      <t>イインチョウ</t>
    </rPh>
    <phoneticPr fontId="1"/>
  </si>
  <si>
    <t>運営委員会</t>
    <rPh sb="0" eb="2">
      <t>ウンエイ</t>
    </rPh>
    <rPh sb="2" eb="5">
      <t>イインカイ</t>
    </rPh>
    <phoneticPr fontId="1"/>
  </si>
  <si>
    <t>布広　永示</t>
    <rPh sb="0" eb="2">
      <t>ヌノヒロ</t>
    </rPh>
    <rPh sb="3" eb="5">
      <t>エイシメス</t>
    </rPh>
    <phoneticPr fontId="1"/>
  </si>
  <si>
    <t>学長</t>
    <rPh sb="0" eb="2">
      <t>ガクチョウ</t>
    </rPh>
    <phoneticPr fontId="1"/>
  </si>
  <si>
    <t xml:space="preserve">当該プログラムの履修学生に対して、意欲、興味、関心、理解度等を把握する独自アンケートを実施し、数理・データサイエンス・ＡＩ教育推進委員会において分析し、当該プログラムの評価・改善に活用している。
その中の「授業の内容は理解できましたか？」という設問に対し、各学部の回答は次のとおりであり、概ねプログラム全体の内容の理解度は高いと思われる。
【総合情報学部】
「①とてもそう思う」「②そう思う」と回答した学生は、73%であった。「③どちらともいえない」を含めると93%であった。
【看護学部】
「①とてもそう思う」「②そう思う」と回答した学生は、56%であった。「③どちらともいえない」を含めると89%であった。
</t>
    <rPh sb="0" eb="2">
      <t>トウガイ</t>
    </rPh>
    <rPh sb="8" eb="10">
      <t>リシュウ</t>
    </rPh>
    <rPh sb="10" eb="12">
      <t>ガクセイ</t>
    </rPh>
    <rPh sb="13" eb="14">
      <t>タイ</t>
    </rPh>
    <rPh sb="17" eb="19">
      <t>イヨク</t>
    </rPh>
    <rPh sb="20" eb="22">
      <t>キョウミ</t>
    </rPh>
    <rPh sb="23" eb="25">
      <t>カンシン</t>
    </rPh>
    <rPh sb="26" eb="29">
      <t>リカイド</t>
    </rPh>
    <rPh sb="29" eb="30">
      <t>トウ</t>
    </rPh>
    <rPh sb="31" eb="33">
      <t>ハアク</t>
    </rPh>
    <rPh sb="43" eb="45">
      <t>ジッシ</t>
    </rPh>
    <rPh sb="72" eb="74">
      <t>ブンセキ</t>
    </rPh>
    <rPh sb="100" eb="101">
      <t>ナカ</t>
    </rPh>
    <rPh sb="144" eb="145">
      <t>オオム</t>
    </rPh>
    <rPh sb="151" eb="153">
      <t>ゼンタイ</t>
    </rPh>
    <rPh sb="154" eb="156">
      <t>ナイヨウ</t>
    </rPh>
    <rPh sb="157" eb="160">
      <t>リカイド</t>
    </rPh>
    <rPh sb="161" eb="162">
      <t>タカ</t>
    </rPh>
    <rPh sb="164" eb="165">
      <t>オモ</t>
    </rPh>
    <rPh sb="227" eb="228">
      <t>フク</t>
    </rPh>
    <phoneticPr fontId="1"/>
  </si>
  <si>
    <t xml:space="preserve">FD委員会において実施している授業アンケートの集計結果のうち「学生の授業の取り組みについて（知識、技術の修得度）」の項目を分析することによって、各授業科目の授業内容の理解度を把握できるようにしている。その結果を、FD委員会、数理・データーサイエンス・AI教育推進委員会と連携し、当該プログラムの評価・改善に活用している。各学部の回答は次のとおりであり、概ね各授業科目の内容の理解度は高いと思われる。
【総合情報学部】
当該プログラムに該当する３科目の授業アンケートの「知識、技術の修得度」の平均値は「4.23」であり、3科目とも4ポイント台であったので、授業科目個別にもても理解度は高いと考えられる。
但し、「統計学」の合格率は、82％であるため、合格率を上げるよう改善が必要である。
【看護学部】
当該プログラムに該当する３科目の授業アンケートの「知識、技術の修得度」の平均値は、4.01であり、高いポイントではあるが、「情報社会とAI」については、3ポイント台であったため、理解度を上げるよう改善が必要である。
</t>
    <rPh sb="178" eb="179">
      <t>カク</t>
    </rPh>
    <rPh sb="179" eb="181">
      <t>ジュギョウ</t>
    </rPh>
    <rPh sb="181" eb="183">
      <t>カモク</t>
    </rPh>
    <rPh sb="210" eb="212">
      <t>トウガイ</t>
    </rPh>
    <rPh sb="261" eb="263">
      <t>カモク</t>
    </rPh>
    <rPh sb="270" eb="271">
      <t>ダイ</t>
    </rPh>
    <rPh sb="278" eb="280">
      <t>ジュギョウ</t>
    </rPh>
    <rPh sb="280" eb="282">
      <t>カモク</t>
    </rPh>
    <rPh sb="282" eb="284">
      <t>コベツ</t>
    </rPh>
    <rPh sb="288" eb="291">
      <t>リカイド</t>
    </rPh>
    <rPh sb="292" eb="293">
      <t>タカ</t>
    </rPh>
    <rPh sb="295" eb="296">
      <t>カンガ</t>
    </rPh>
    <rPh sb="302" eb="303">
      <t>タダ</t>
    </rPh>
    <rPh sb="306" eb="309">
      <t>トウケイガク</t>
    </rPh>
    <rPh sb="352" eb="354">
      <t>トウガイ</t>
    </rPh>
    <rPh sb="401" eb="402">
      <t>タカ</t>
    </rPh>
    <rPh sb="414" eb="416">
      <t>ジョウホウ</t>
    </rPh>
    <rPh sb="416" eb="418">
      <t>シャカイ</t>
    </rPh>
    <rPh sb="433" eb="434">
      <t>ダイ</t>
    </rPh>
    <rPh sb="441" eb="444">
      <t>リカイド</t>
    </rPh>
    <rPh sb="445" eb="446">
      <t>ア</t>
    </rPh>
    <rPh sb="450" eb="452">
      <t>カイゼン</t>
    </rPh>
    <rPh sb="453" eb="455">
      <t>ヒツヨウ</t>
    </rPh>
    <phoneticPr fontId="1"/>
  </si>
  <si>
    <t>【総合情報学部】
現在選択科目としている「統計学」を必修科目に改正し、令和5年度入学生から適用する。この対応により、当該プログラムを構成する3科目全てが必修科目となり、全学生が履修することになる。
【看護学部】
当該プログラムを構成する3つの授業科目は全て必修科目であるため、学部学生全員が履修している。</t>
    <rPh sb="9" eb="11">
      <t>ゲンザイ</t>
    </rPh>
    <rPh sb="11" eb="13">
      <t>センタク</t>
    </rPh>
    <rPh sb="13" eb="15">
      <t>カモク</t>
    </rPh>
    <rPh sb="21" eb="24">
      <t>トウケイガク</t>
    </rPh>
    <rPh sb="26" eb="28">
      <t>ヒッシュウ</t>
    </rPh>
    <rPh sb="28" eb="30">
      <t>カモク</t>
    </rPh>
    <rPh sb="31" eb="33">
      <t>カイセイ</t>
    </rPh>
    <rPh sb="35" eb="37">
      <t>レイワ</t>
    </rPh>
    <rPh sb="38" eb="40">
      <t>ネンド</t>
    </rPh>
    <rPh sb="40" eb="42">
      <t>ニュウガク</t>
    </rPh>
    <rPh sb="42" eb="43">
      <t>セイ</t>
    </rPh>
    <rPh sb="45" eb="47">
      <t>テキヨウ</t>
    </rPh>
    <rPh sb="52" eb="54">
      <t>タイオウ</t>
    </rPh>
    <rPh sb="58" eb="60">
      <t>トウガイ</t>
    </rPh>
    <rPh sb="66" eb="68">
      <t>コウセイ</t>
    </rPh>
    <rPh sb="71" eb="73">
      <t>カモク</t>
    </rPh>
    <rPh sb="73" eb="74">
      <t>スベ</t>
    </rPh>
    <rPh sb="76" eb="78">
      <t>ヒッシュウ</t>
    </rPh>
    <rPh sb="78" eb="80">
      <t>カモク</t>
    </rPh>
    <rPh sb="84" eb="85">
      <t>ゼン</t>
    </rPh>
    <rPh sb="85" eb="87">
      <t>ガクセイ</t>
    </rPh>
    <rPh sb="88" eb="90">
      <t>リシュウ</t>
    </rPh>
    <rPh sb="107" eb="109">
      <t>トウガイ</t>
    </rPh>
    <rPh sb="115" eb="117">
      <t>コウセイ</t>
    </rPh>
    <rPh sb="122" eb="124">
      <t>ジュギョウ</t>
    </rPh>
    <rPh sb="124" eb="126">
      <t>カモク</t>
    </rPh>
    <rPh sb="127" eb="128">
      <t>スベ</t>
    </rPh>
    <rPh sb="129" eb="131">
      <t>ヒッシュウ</t>
    </rPh>
    <rPh sb="131" eb="133">
      <t>カモク</t>
    </rPh>
    <rPh sb="139" eb="141">
      <t>ガクブ</t>
    </rPh>
    <rPh sb="141" eb="143">
      <t>ガクセイ</t>
    </rPh>
    <rPh sb="143" eb="145">
      <t>ゼンイン</t>
    </rPh>
    <rPh sb="146" eb="148">
      <t>リシュウ</t>
    </rPh>
    <phoneticPr fontId="1"/>
  </si>
  <si>
    <t>履修については、上記⑧のとおり、必修化を図っている。また履修者の多くが修得できるように、演習科目には、TAを配置し個別指導を行えるにしている。その他のサポートとしては、下記⑫で説明している授業支援システム(LMS)や質問受付体制を整備し、授業時間外に学習できるようにしている。</t>
    <rPh sb="0" eb="2">
      <t>リシュウ</t>
    </rPh>
    <rPh sb="8" eb="10">
      <t>ジョウキ</t>
    </rPh>
    <rPh sb="16" eb="19">
      <t>ヒッシュウカ</t>
    </rPh>
    <rPh sb="20" eb="21">
      <t>ハカ</t>
    </rPh>
    <rPh sb="28" eb="31">
      <t>リシュウシャ</t>
    </rPh>
    <rPh sb="32" eb="33">
      <t>オオ</t>
    </rPh>
    <rPh sb="35" eb="37">
      <t>シュウトク</t>
    </rPh>
    <rPh sb="44" eb="46">
      <t>エンシュウ</t>
    </rPh>
    <rPh sb="46" eb="48">
      <t>カモク</t>
    </rPh>
    <rPh sb="54" eb="56">
      <t>ハイチ</t>
    </rPh>
    <rPh sb="57" eb="59">
      <t>コベツ</t>
    </rPh>
    <rPh sb="59" eb="61">
      <t>シドウ</t>
    </rPh>
    <rPh sb="62" eb="63">
      <t>オコナ</t>
    </rPh>
    <rPh sb="73" eb="74">
      <t>タ</t>
    </rPh>
    <rPh sb="84" eb="86">
      <t>カキ</t>
    </rPh>
    <rPh sb="88" eb="90">
      <t>セツメイ</t>
    </rPh>
    <rPh sb="108" eb="110">
      <t>シツモン</t>
    </rPh>
    <rPh sb="110" eb="112">
      <t>ウケツケ</t>
    </rPh>
    <rPh sb="112" eb="114">
      <t>タイセイ</t>
    </rPh>
    <rPh sb="115" eb="117">
      <t>セイビ</t>
    </rPh>
    <rPh sb="119" eb="121">
      <t>ジュギョウ</t>
    </rPh>
    <rPh sb="121" eb="124">
      <t>ジカンガイ</t>
    </rPh>
    <rPh sb="125" eb="127">
      <t>ガクシュウ</t>
    </rPh>
    <phoneticPr fontId="1"/>
  </si>
  <si>
    <t>本プログラムを構成する３つの授業科目を必修化するため、後輩等他の学生への推奨度は確認してはいないが、学生が回答した独自アンケートに対する意見を点検評価の根拠資料として公表している。</t>
    <rPh sb="19" eb="22">
      <t>ヒッシュウカ</t>
    </rPh>
    <rPh sb="57" eb="59">
      <t>ドクジ</t>
    </rPh>
    <rPh sb="68" eb="70">
      <t>イケン</t>
    </rPh>
    <rPh sb="71" eb="73">
      <t>テンケン</t>
    </rPh>
    <rPh sb="73" eb="75">
      <t>ヒョウカ</t>
    </rPh>
    <rPh sb="76" eb="78">
      <t>コンキョ</t>
    </rPh>
    <rPh sb="78" eb="80">
      <t>シリョウ</t>
    </rPh>
    <phoneticPr fontId="1"/>
  </si>
  <si>
    <t>当該プログラムを構成する科目「情報社会とAI」においては、モデルカリキュラムリテラシーレベルの導入部分（社会におけるデータ・AI利活用）に準じた内容を展開し、時事やトレンドなど社会での実例をもとにAI等がどのような活用をされているかを中心に興味・関心を促す講義内容としている。また、「統計学」では、データリテラシー（データを読む、データを説明する）、「情報リテラシー演習」では、データリテラシー（データを扱う）を具体的な実例を取り上げ講義している。講義を終えて実施した当該プログラム独自アンケートの中の「AI・データサイエンスに対する興味・関心が高まりましたか？」という設問に対し、各学部の回答は次のとおりであった。
【総合情報学部】
「①とてもそう思う」「②そう思う」と回答した学生は、74%であった。「③どちらともいえない」を含めると92%であった。
【看護学部】
「①とてもそう思う」「②そう思う」と回答した学生は、58%であった。「③どちらともいえない」を含めると86%であった。</t>
    <rPh sb="0" eb="2">
      <t>トウガイ</t>
    </rPh>
    <rPh sb="8" eb="10">
      <t>コウセイ</t>
    </rPh>
    <rPh sb="12" eb="14">
      <t>カモク</t>
    </rPh>
    <rPh sb="15" eb="17">
      <t>ジョウホウ</t>
    </rPh>
    <rPh sb="17" eb="19">
      <t>シャカイ</t>
    </rPh>
    <rPh sb="52" eb="54">
      <t>シャカイ</t>
    </rPh>
    <rPh sb="64" eb="67">
      <t>リカツヨウ</t>
    </rPh>
    <rPh sb="120" eb="122">
      <t>キョウミ</t>
    </rPh>
    <rPh sb="123" eb="125">
      <t>カンシン</t>
    </rPh>
    <rPh sb="162" eb="163">
      <t>ヨ</t>
    </rPh>
    <rPh sb="169" eb="171">
      <t>セツメイ</t>
    </rPh>
    <rPh sb="202" eb="203">
      <t>アツカ</t>
    </rPh>
    <rPh sb="206" eb="209">
      <t>グタイテキ</t>
    </rPh>
    <rPh sb="210" eb="212">
      <t>ジツレイ</t>
    </rPh>
    <rPh sb="213" eb="214">
      <t>ト</t>
    </rPh>
    <rPh sb="215" eb="216">
      <t>ア</t>
    </rPh>
    <rPh sb="217" eb="219">
      <t>コウギ</t>
    </rPh>
    <rPh sb="224" eb="226">
      <t>コウギ</t>
    </rPh>
    <rPh sb="227" eb="228">
      <t>オ</t>
    </rPh>
    <rPh sb="230" eb="232">
      <t>ジッシ</t>
    </rPh>
    <rPh sb="234" eb="236">
      <t>トウガイ</t>
    </rPh>
    <rPh sb="241" eb="243">
      <t>ドクジ</t>
    </rPh>
    <rPh sb="288" eb="289">
      <t>タイ</t>
    </rPh>
    <phoneticPr fontId="1"/>
  </si>
  <si>
    <t>当該プログラム全体の理解度、及び各授業科目の理解度については、アンケートの結果をみると高いポイントではあったが、理解できていない（不合格となった）学生もいることが窺えるため、学生の「分かりやすさ」の観点から講義の内容・実施方法の見直しを検討している。</t>
    <rPh sb="0" eb="2">
      <t>トウガイ</t>
    </rPh>
    <rPh sb="7" eb="9">
      <t>ゼンタイ</t>
    </rPh>
    <rPh sb="10" eb="13">
      <t>リカイド</t>
    </rPh>
    <rPh sb="14" eb="15">
      <t>オヨ</t>
    </rPh>
    <rPh sb="16" eb="17">
      <t>カク</t>
    </rPh>
    <rPh sb="17" eb="19">
      <t>ジュギョウ</t>
    </rPh>
    <rPh sb="19" eb="21">
      <t>カモク</t>
    </rPh>
    <rPh sb="22" eb="25">
      <t>リカイド</t>
    </rPh>
    <rPh sb="37" eb="39">
      <t>ケッカ</t>
    </rPh>
    <rPh sb="43" eb="44">
      <t>タカ</t>
    </rPh>
    <rPh sb="56" eb="58">
      <t>リカイ</t>
    </rPh>
    <rPh sb="65" eb="68">
      <t>フゴウカク</t>
    </rPh>
    <rPh sb="73" eb="75">
      <t>ガクセイ</t>
    </rPh>
    <rPh sb="81" eb="82">
      <t>ウカガ</t>
    </rPh>
    <phoneticPr fontId="1"/>
  </si>
  <si>
    <t>東京情報大学</t>
    <rPh sb="0" eb="2">
      <t>トウキョウ</t>
    </rPh>
    <rPh sb="2" eb="6">
      <t>ジョウホウダイガク</t>
    </rPh>
    <phoneticPr fontId="1"/>
  </si>
  <si>
    <t>プログラムを構成する情報モラルとセキュリティ、情報リテラシー演習、統計学の3科目をすべて履修し、合計6単位を取得すること。</t>
    <rPh sb="6" eb="8">
      <t>コウセイ</t>
    </rPh>
    <rPh sb="10" eb="12">
      <t>ジョウホウ</t>
    </rPh>
    <rPh sb="23" eb="25">
      <t>ジョウホウ</t>
    </rPh>
    <rPh sb="30" eb="32">
      <t>エンシュウ</t>
    </rPh>
    <rPh sb="33" eb="36">
      <t>トウケイガク</t>
    </rPh>
    <rPh sb="38" eb="40">
      <t>カモク</t>
    </rPh>
    <rPh sb="44" eb="46">
      <t>リシュウ</t>
    </rPh>
    <rPh sb="48" eb="50">
      <t>ゴウケイ</t>
    </rPh>
    <rPh sb="51" eb="53">
      <t>タンイ</t>
    </rPh>
    <rPh sb="54" eb="56">
      <t>シュトク</t>
    </rPh>
    <phoneticPr fontId="1"/>
  </si>
  <si>
    <t>情報モラルとセキュリティ</t>
    <rPh sb="0" eb="2">
      <t>ジョウホウ</t>
    </rPh>
    <phoneticPr fontId="1"/>
  </si>
  <si>
    <t>○</t>
  </si>
  <si>
    <t>情報モラルとセキュリティ</t>
    <phoneticPr fontId="1"/>
  </si>
  <si>
    <t>統計学</t>
    <rPh sb="0" eb="3">
      <t>トウケイガク</t>
    </rPh>
    <phoneticPr fontId="1"/>
  </si>
  <si>
    <t>情報リテラシー演習</t>
    <rPh sb="0" eb="2">
      <t>ジョウホウ</t>
    </rPh>
    <rPh sb="7" eb="9">
      <t>エンシュウ</t>
    </rPh>
    <phoneticPr fontId="1"/>
  </si>
  <si>
    <t>看護学部</t>
    <rPh sb="0" eb="2">
      <t>カンゴ</t>
    </rPh>
    <rPh sb="2" eb="4">
      <t>ガクブ</t>
    </rPh>
    <phoneticPr fontId="1"/>
  </si>
  <si>
    <t>プログラムを構成する情報社会とAI、情報リテラシー演習、統計学の3科目をすべて履修し、合計6単位を取得すること。</t>
    <rPh sb="6" eb="8">
      <t>コウセイ</t>
    </rPh>
    <rPh sb="10" eb="12">
      <t>ジョウホウ</t>
    </rPh>
    <rPh sb="12" eb="14">
      <t>シャカイ</t>
    </rPh>
    <rPh sb="18" eb="20">
      <t>ジョウホウ</t>
    </rPh>
    <rPh sb="25" eb="27">
      <t>エンシュウ</t>
    </rPh>
    <rPh sb="28" eb="31">
      <t>トウケイガク</t>
    </rPh>
    <rPh sb="33" eb="35">
      <t>カモク</t>
    </rPh>
    <rPh sb="39" eb="41">
      <t>リシュウ</t>
    </rPh>
    <rPh sb="43" eb="45">
      <t>ゴウケイ</t>
    </rPh>
    <rPh sb="46" eb="48">
      <t>タンイ</t>
    </rPh>
    <rPh sb="49" eb="51">
      <t>シュトク</t>
    </rPh>
    <phoneticPr fontId="1"/>
  </si>
  <si>
    <t>情報社会とAI</t>
    <rPh sb="0" eb="2">
      <t>ジョウホウ</t>
    </rPh>
    <rPh sb="2" eb="4">
      <t>シャカイ</t>
    </rPh>
    <phoneticPr fontId="1"/>
  </si>
  <si>
    <t>情報社会とAI</t>
    <rPh sb="2" eb="4">
      <t>シャカイ</t>
    </rPh>
    <phoneticPr fontId="1"/>
  </si>
  <si>
    <t>東京情報大学</t>
  </si>
  <si>
    <t>数理・データサイエンス・AI教育プログラム（リテラシーレベル）</t>
    <rPh sb="0" eb="2">
      <t>スウリ</t>
    </rPh>
    <rPh sb="14" eb="16">
      <t>キョウイク</t>
    </rPh>
    <phoneticPr fontId="1"/>
  </si>
  <si>
    <t>様式１－２</t>
    <rPh sb="0" eb="2">
      <t>ヨウシキ</t>
    </rPh>
    <phoneticPr fontId="1"/>
  </si>
  <si>
    <t>様式１－１</t>
    <rPh sb="0" eb="2">
      <t>ヨウシキ</t>
    </rPh>
    <phoneticPr fontId="1"/>
  </si>
  <si>
    <t>教材配布や課題の提示及び提出をさせるために、授業支援システム(LMS)であるWebclassを導入し、授業担当教員に利用するよう推奨している。また、講義を録画した場合は、MicrosoftのTeamsに動画を保存し、オンデマンドで復習できるようにしている。
質問については、シラバスに、授業時の質問方法、授業時間外の質問方法という項目を設けて、質問を受け付ける方法を提示している。質問を受け付ける方法としては、前述したWebclassのメッセージ機能や電子メール等で行っている。また、各教員がオフィスアワーの時間を設定し、教員研究室（非常勤講師は、待機室）において、対面での質問を受け付ける体制も整備している。</t>
    <rPh sb="47" eb="49">
      <t>ドウニュウ</t>
    </rPh>
    <rPh sb="51" eb="53">
      <t>ジュギョウ</t>
    </rPh>
    <rPh sb="53" eb="55">
      <t>タントウ</t>
    </rPh>
    <rPh sb="55" eb="57">
      <t>キョウイン</t>
    </rPh>
    <rPh sb="58" eb="60">
      <t>リヨウ</t>
    </rPh>
    <rPh sb="64" eb="66">
      <t>スイショウ</t>
    </rPh>
    <rPh sb="74" eb="76">
      <t>コウギ</t>
    </rPh>
    <rPh sb="77" eb="79">
      <t>ロクガ</t>
    </rPh>
    <rPh sb="81" eb="83">
      <t>バアイ</t>
    </rPh>
    <rPh sb="101" eb="103">
      <t>ドウガ</t>
    </rPh>
    <rPh sb="104" eb="106">
      <t>ホゾン</t>
    </rPh>
    <rPh sb="115" eb="117">
      <t>フクシュウ</t>
    </rPh>
    <rPh sb="129" eb="131">
      <t>シツモン</t>
    </rPh>
    <rPh sb="165" eb="167">
      <t>コウモク</t>
    </rPh>
    <rPh sb="168" eb="169">
      <t>モウ</t>
    </rPh>
    <rPh sb="172" eb="174">
      <t>シツモン</t>
    </rPh>
    <rPh sb="175" eb="176">
      <t>ウ</t>
    </rPh>
    <rPh sb="177" eb="178">
      <t>ツ</t>
    </rPh>
    <rPh sb="180" eb="182">
      <t>ホウホウ</t>
    </rPh>
    <rPh sb="183" eb="185">
      <t>テイジ</t>
    </rPh>
    <rPh sb="190" eb="192">
      <t>シツモン</t>
    </rPh>
    <rPh sb="193" eb="194">
      <t>ウ</t>
    </rPh>
    <rPh sb="195" eb="196">
      <t>ツ</t>
    </rPh>
    <rPh sb="198" eb="200">
      <t>ホウホウ</t>
    </rPh>
    <rPh sb="205" eb="207">
      <t>ゼンジュツ</t>
    </rPh>
    <rPh sb="223" eb="225">
      <t>キノウ</t>
    </rPh>
    <rPh sb="226" eb="228">
      <t>デンシ</t>
    </rPh>
    <rPh sb="231" eb="232">
      <t>トウ</t>
    </rPh>
    <rPh sb="233" eb="234">
      <t>オコナ</t>
    </rPh>
    <rPh sb="242" eb="243">
      <t>カク</t>
    </rPh>
    <rPh sb="243" eb="245">
      <t>キョウイン</t>
    </rPh>
    <rPh sb="254" eb="256">
      <t>ジカン</t>
    </rPh>
    <rPh sb="257" eb="259">
      <t>セッテイ</t>
    </rPh>
    <rPh sb="261" eb="263">
      <t>キョウイン</t>
    </rPh>
    <rPh sb="263" eb="266">
      <t>ケンキュウシツ</t>
    </rPh>
    <rPh sb="267" eb="270">
      <t>ヒジョウキン</t>
    </rPh>
    <rPh sb="270" eb="272">
      <t>コウシ</t>
    </rPh>
    <rPh sb="274" eb="277">
      <t>タイキシツ</t>
    </rPh>
    <rPh sb="283" eb="285">
      <t>タイメン</t>
    </rPh>
    <rPh sb="287" eb="289">
      <t>シツモン</t>
    </rPh>
    <rPh sb="290" eb="291">
      <t>ウ</t>
    </rPh>
    <rPh sb="292" eb="293">
      <t>ツ</t>
    </rPh>
    <rPh sb="295" eb="297">
      <t>タイセイ</t>
    </rPh>
    <rPh sb="298" eb="300">
      <t>セイビ</t>
    </rPh>
    <phoneticPr fontId="1"/>
  </si>
  <si>
    <t>数理・データサイエンス・ＡＩ教育推進委員会において、当該プログラムの履修・修得状況の分析を実施しており、今年度の状況は以下のとおりである。また、学内授業支援システム(LMS)の活用により、受講者毎の講義演習進捗状況や課題への回答状況を把握できるようにしている。
【総合情報学部】
当該プログラムに該当する３つの科目のうち、2科目（情報モラルとセキュリティ、情報リテラシー演習）は必修、１科目（統計学）は選択としてカリキュラム配当されている。必修科目は100%の履修率であり、選択科目の統計学は71%であったため、当該プログラムの履修率は71%となる。このうち、3科目全てを合格した（当該プログラムを合格した）学生の割合は81%であり、全学生では59%であった。「統計学」の合格率が82%であったため、このことにより当該プログラムの合格率が低くなっていると考えられる。
選択科目である「統計学」の履修率は71%であるが、昨年度は51%であったため、入学時のガイダンスで当該プログラムの説明をしたことによる効果がみられたと思われる。
【看護学部】
当該プログラムに該当する３つの科目全てが必修科目であるため、当該プログラムの履修率は100%である。このうち、3科目全てを合格した学生の割合は94%であった。</t>
    <rPh sb="26" eb="28">
      <t>トウガイ</t>
    </rPh>
    <rPh sb="37" eb="39">
      <t>シュウトク</t>
    </rPh>
    <rPh sb="134" eb="136">
      <t>ソウゴウ</t>
    </rPh>
    <rPh sb="136" eb="138">
      <t>ジョウホウ</t>
    </rPh>
    <rPh sb="138" eb="140">
      <t>ガクブ</t>
    </rPh>
    <rPh sb="142" eb="144">
      <t>トウガイ</t>
    </rPh>
    <rPh sb="150" eb="152">
      <t>ガイトウ</t>
    </rPh>
    <rPh sb="157" eb="159">
      <t>カモク</t>
    </rPh>
    <rPh sb="164" eb="166">
      <t>カモク</t>
    </rPh>
    <rPh sb="167" eb="169">
      <t>ジョウホウ</t>
    </rPh>
    <rPh sb="180" eb="182">
      <t>ジョウホウ</t>
    </rPh>
    <rPh sb="187" eb="189">
      <t>エンシュウ</t>
    </rPh>
    <rPh sb="191" eb="193">
      <t>ヒッシュウ</t>
    </rPh>
    <rPh sb="195" eb="197">
      <t>カモク</t>
    </rPh>
    <rPh sb="198" eb="201">
      <t>トウケイガク</t>
    </rPh>
    <rPh sb="203" eb="205">
      <t>センタク</t>
    </rPh>
    <rPh sb="214" eb="216">
      <t>ハイトウ</t>
    </rPh>
    <rPh sb="222" eb="224">
      <t>ヒッシュウ</t>
    </rPh>
    <rPh sb="224" eb="226">
      <t>カモク</t>
    </rPh>
    <rPh sb="232" eb="234">
      <t>リシュウ</t>
    </rPh>
    <rPh sb="234" eb="235">
      <t>リツ</t>
    </rPh>
    <rPh sb="239" eb="241">
      <t>センタク</t>
    </rPh>
    <rPh sb="241" eb="243">
      <t>カモク</t>
    </rPh>
    <rPh sb="244" eb="247">
      <t>トウケイガク</t>
    </rPh>
    <rPh sb="258" eb="260">
      <t>トウガイ</t>
    </rPh>
    <rPh sb="266" eb="268">
      <t>リシュウ</t>
    </rPh>
    <rPh sb="268" eb="269">
      <t>リツ</t>
    </rPh>
    <rPh sb="283" eb="285">
      <t>カモク</t>
    </rPh>
    <rPh sb="285" eb="286">
      <t>スベ</t>
    </rPh>
    <rPh sb="288" eb="290">
      <t>ゴウカク</t>
    </rPh>
    <rPh sb="293" eb="295">
      <t>トウガイ</t>
    </rPh>
    <rPh sb="301" eb="303">
      <t>ゴウカク</t>
    </rPh>
    <rPh sb="306" eb="308">
      <t>ガクセイ</t>
    </rPh>
    <rPh sb="309" eb="311">
      <t>ワリアイ</t>
    </rPh>
    <rPh sb="319" eb="320">
      <t>ゼン</t>
    </rPh>
    <rPh sb="320" eb="322">
      <t>ガクセイ</t>
    </rPh>
    <rPh sb="359" eb="361">
      <t>トウガイ</t>
    </rPh>
    <rPh sb="367" eb="370">
      <t>ゴウカクリツ</t>
    </rPh>
    <rPh sb="371" eb="372">
      <t>ヒク</t>
    </rPh>
    <rPh sb="379" eb="380">
      <t>カンガ</t>
    </rPh>
    <rPh sb="386" eb="390">
      <t>センタクカモク</t>
    </rPh>
    <rPh sb="394" eb="397">
      <t>トウケイガク</t>
    </rPh>
    <rPh sb="399" eb="401">
      <t>リシュウ</t>
    </rPh>
    <rPh sb="401" eb="402">
      <t>リツ</t>
    </rPh>
    <rPh sb="411" eb="414">
      <t>サクネンド</t>
    </rPh>
    <rPh sb="425" eb="428">
      <t>ニュウガクジ</t>
    </rPh>
    <rPh sb="435" eb="437">
      <t>トウガイ</t>
    </rPh>
    <rPh sb="443" eb="445">
      <t>セツメイ</t>
    </rPh>
    <rPh sb="453" eb="455">
      <t>コウカ</t>
    </rPh>
    <rPh sb="461" eb="462">
      <t>オモ</t>
    </rPh>
    <rPh sb="469" eb="471">
      <t>カンゴ</t>
    </rPh>
    <rPh sb="471" eb="473">
      <t>ガクブ</t>
    </rPh>
    <rPh sb="475" eb="477">
      <t>トウガイ</t>
    </rPh>
    <rPh sb="492" eb="493">
      <t>スベ</t>
    </rPh>
    <rPh sb="495" eb="497">
      <t>ヒッシュウ</t>
    </rPh>
    <rPh sb="497" eb="499">
      <t>カモク</t>
    </rPh>
    <rPh sb="505" eb="507">
      <t>トウガイ</t>
    </rPh>
    <rPh sb="513" eb="515">
      <t>リシュウ</t>
    </rPh>
    <rPh sb="515" eb="516">
      <t>リツ</t>
    </rPh>
    <rPh sb="531" eb="533">
      <t>カモク</t>
    </rPh>
    <rPh sb="533" eb="534">
      <t>スベ</t>
    </rPh>
    <rPh sb="536" eb="538">
      <t>ゴウカク</t>
    </rPh>
    <rPh sb="540" eb="542">
      <t>ガクセイ</t>
    </rPh>
    <rPh sb="543" eb="544">
      <t>ワリ</t>
    </rPh>
    <rPh sb="544" eb="545">
      <t>ア</t>
    </rPh>
    <phoneticPr fontId="1"/>
  </si>
  <si>
    <t>・情報を適切に収集，分析及び活用することができる。
・今日の情報社会の基礎的教養であるデータ処理、ＡＩについて基礎的な事柄を理解できる。
・情報社会における倫理規範やマナーを理解できる。
・統計学の基礎知識が習得できる。
・統計的手法を用いてデータを解析する技術が習得できる。</t>
    <phoneticPr fontId="1"/>
  </si>
  <si>
    <t>・ビッグデータ、IoT、AI、ロボット： 「情報モラルとセキュリティ」（2回目）
・データ量の増加、計算機の処理性能の向上、AIの非連続的進化： 「情報モラルとセキュリティ」（2回目）
・第4次産業革命、Society 5.0、データ駆動型社会 ：「情報モラルとセキュリティ」（2回目）
・複数技術を組み合わせたAIサービス ：「情報モラルとセキュリティ」（2回目）
・人間の知的活動とAIの関係性 ：「情報モラルとセキュリティ」（2回目）
・データを起点としたものの見方、人間の知的活動を起点としたものの見方： 「情報モラルとセキュリティ」（1回目）</t>
    <phoneticPr fontId="1"/>
  </si>
  <si>
    <t xml:space="preserve">・調査データ、実験データ、人の行動ログデータ、機械の稼働ログデータなど ：「情報モラルとセキュリティ」（3回目）
・1次データ、2次データ、データのメタ化 ：「情報モラルとセキュリティ」（3回目）
・構造化データ、非構造化データ（文章、画像/動画、音声/音楽など）： 「情報モラルとセキュリティ」（3回目）
・データ作成（ビッグデータとアノテーション）： 「情報モラルとセキュリティ」（3回目）
・データのオープン化（オープンデータ）： 「情報モラルとセキュリティ」（3回目）
</t>
    <phoneticPr fontId="1"/>
  </si>
  <si>
    <t>・データ・AI活用領域の広がり(生産、消費、文化活動など) ：「情報モラルとセキュリティ」（4回目）
・研究開発、調達、製造、物流、販売、マーケティング、サービスなど ：「情報モラルとセキュリティ」（4回目）
・仮説検証、知識発見、原因究明、計画策定、判断支援、活動代替、新規生成など ：「情報モラルとセキュリティ」（4回目）</t>
    <phoneticPr fontId="1"/>
  </si>
  <si>
    <t>・データ解析：予測、グルーピング、パターン発見、最適化、シミュレーション・データ同化など ：「情報モラルとセキュリティ」（5回目）
・データ可視化：複合グラフ、2軸グラフ、多次元の可視化、関係性の可視化、地図上の可視化、
挙動・軌跡の可視化、リアルタイム可視化など ：「情報モラルとセキュリティ」（6回目）
・非構造化データ処理：言語処理、画像/動画処理、音声/音楽処理など ：「情報モラルとセキュリティ」（7回目）
・特化型AIと汎用AI、今のAIで出来ることと出来ないこと、AIとビッグデータ ：「情報モラルとセキュリティ」（6回目）
・認識技術、ルールベース、自動化技術 ：「情報モラルとセキュリティ」（6回目）</t>
    <phoneticPr fontId="1"/>
  </si>
  <si>
    <t>・データサイエンスのサイクル（課題抽出と定式化、データの取得・管理・加工、
探索的データ解析、データ解析と推論、結果の共有・伝達、課題解決に向けた提案）：「情報モラルとセキュリティ」（7回目）
・流通、製造、金融、サービス、インフラ、公共、ヘルスケア等におけるデータ・AI利活用事例紹介 ：「情報モラルとセキュリティ」（7回目）</t>
    <phoneticPr fontId="1"/>
  </si>
  <si>
    <t>・データ表現（棒グラフ、折線グラフ、散布図、ヒートマップ）：「統計学」（8回目）「情報リテラシー演習」（12回目）
・データの図表表現（チャート化）：「情報リテラシー演習」（11回目）
・データの比較（条件をそろえた比較、処理の前後での比較、A/Bテスト)：「統計学」（5回目）「情報リテラシー演習」（19回目）
・不適切なグラフ表現（チャートジャンク、不必要な視覚的要素）：「情報リテラシー演習」（20回目）
・優れた可視化事例の紹介（可視化することによって新たな気づきがあった事例など）： 「情報リテラシー演習」（17回目）</t>
    <phoneticPr fontId="1"/>
  </si>
  <si>
    <t>・AI等を活用した新しいビジネスモデル(シェアリングエコノミー、商品のレコメンデーションなど) ：「情報モラルとセキュリティ」（8回目）
・AI最新技術の活用例（深層生成モデル、敵対的生成ネットワーク、強化学習、転移学習など）：「情報モラルとセキュリティ」（8回目）</t>
    <phoneticPr fontId="1"/>
  </si>
  <si>
    <t>・ELSI（Ethical, Legal and Social Issues）：「情報モラルとセキュリティ」（9回目）
・個人情報保護、EU一般データ保護規則(GDPR)、忘れられる権利、オプトアウト： 「情報モラルとセキュリティ」（9回目）
・データ倫理：データのねつ造、改ざん、盗用、プライバシー保護 ：「情報モラルとセキュリティ」（9回目）
・AI社会原則（公平性、説明責任、透明性、人間中心の判断）：「情報モラルとセキュリティ」（9回目）
・データバイアス、アルゴリズムバイアス ：「情報モラルとセキュリティ」（9回目）
・AIサービスの責任論：「情報モラルとセキュリティ」（9回目）
・データ・AI活用における負の事例紹介 ：「情報モラルとセキュリティ」（9回目）</t>
    <phoneticPr fontId="1"/>
  </si>
  <si>
    <t>・データ表現（棒グラフ、折線グラフ、散布図、ヒートマップ）：「統計学」（8回目）「情報リテラシー演習」（12回目）
・データの図表表現（チャート化）：「情報リテラシー演習」（11回目）
・データの比較（条件をそろえた比較、処理の前後での比較、A/Bテスト) ：「統計学」（5回目）「情報リテラシー演習」（19回目）
・不適切なグラフ表現（チャートジャンク、不必要な視覚的要素）：「情報リテラシー演習」（20回目）
・優れた可視化事例の紹介（可視化することによって新たな気づきがあった事例など）： 「情報リテラシー演習」（17回目）</t>
    <phoneticPr fontId="1"/>
  </si>
  <si>
    <t>・データの集計（和、平均）：「情報リテラシー演習」（11回目）
・データの並び替え、ランキング ：「情報リテラシー演習」（13, 14回目）
・データ解析ツール（スプレッドシート）  ：「情報リテラシー演習」（19回目）
・表形式のデータ（csv) ：「情報リテラシー演習」（12, 18回目）</t>
    <rPh sb="15" eb="17">
      <t>ジョウホウ</t>
    </rPh>
    <rPh sb="22" eb="24">
      <t>エンシュウ</t>
    </rPh>
    <rPh sb="28" eb="30">
      <t>カイメ</t>
    </rPh>
    <phoneticPr fontId="1"/>
  </si>
  <si>
    <t xml:space="preserve">・データの種類（量的変数、質的変数）：「統計学」（2回目）
・データの分布(ヒストグラム)と代表値（平均値、中央値、最頻値）：「統計学」（1, 3, 4回目）
・代表値の性質の違い（実社会では平均値＝最頻値でないことが多い）：「統計学」（1回目）
・データのばらつき（分散、標準偏差、偏差値）： 「統計学」（2回目）
・相関と因果（相関係数、擬似相関、交絡）：「統計学」（8,v 9回目）
・母集団と標本抽出（国勢調査、アンケート調査、全数調査、単純無作為抽出、層別抽出、多段抽出）：「統計学」（1, 11回目）
・クロス集計表、分割表、相関係数行列、散布図行列 ：「統計学」（9回目）
</t>
    <rPh sb="20" eb="23">
      <t>トウケイガク</t>
    </rPh>
    <rPh sb="26" eb="28">
      <t>カイメ</t>
    </rPh>
    <phoneticPr fontId="1"/>
  </si>
  <si>
    <t>・情報セキュリティ：機密性、完全性、可用性 ：「情報モラルとセキュリティ」（10, 12回目）
・匿名加工情報、暗号化、パスワード、悪意ある情報搾取 ：「情報モラルとセキュリティ」（10回目）
・情報漏洩等によるセキュリティ事故の事例紹介： 「情報モラルとセキュリティ」（11, 12回目）</t>
    <phoneticPr fontId="1"/>
  </si>
  <si>
    <t xml:space="preserve">・データの種類（量的変数、質的変数）：「統計学」（2回目）
・データの分布(ヒストグラム)と代表値（平均値、中央値、最頻値）：「統計学」（1, 3, 4回目）
・代表値の性質の違い（実社会では平均値＝最頻値でないことが多い）：「統計学」（1回目）
・データのばらつき（分散、標準偏差、偏差値）： 「統計学」（2回目）
・相関と因果（相関係数、擬似相関、交絡）「統計学」：（8, 9回目）
・母集団と標本抽出（国勢調査、アンケート調査、全数調査、単純無作為抽出、層別抽出、多段抽出）：「統計学」（1, 11回目）
・クロス集計表、分割表、相関係数行列、散布図行列 ：「統計学」（9回目）
</t>
    <rPh sb="20" eb="23">
      <t>トウケイガク</t>
    </rPh>
    <rPh sb="26" eb="28">
      <t>カイメ</t>
    </rPh>
    <phoneticPr fontId="1"/>
  </si>
  <si>
    <t>・データの集計（和、平均）：「情報リテラシー演習」（11回目）
・データの並び替え、ランキング：「情報リテラシー演習」（13, 14回目）
・データ解析ツール（スプレッドシート）： 「情報リテラシー演習」（19回目）
・表形式のデータ（csv)  ：「情報リテラシー演習」（18回目）</t>
    <rPh sb="15" eb="17">
      <t>ジョウホウ</t>
    </rPh>
    <rPh sb="22" eb="24">
      <t>エンシュウ</t>
    </rPh>
    <rPh sb="28" eb="30">
      <t>カイメ</t>
    </rPh>
    <phoneticPr fontId="1"/>
  </si>
  <si>
    <t>・ビッグデータ、IoT、AI、ロボット：「情報社会とAI」（2回目）
・データ量の増加、計算機の処理性能の向上、AIの非連続的進化：「情報社会とAI」（2回目）
・第4次産業革命、Society 5.0、データ駆動型社会：「情報社会とAI」（2回目）
・複数技術を組み合わせたAIサービス：「情報社会とAI」（2回目）
・人間の知的活動とAIの関係性 ：「情報社会とAI」（2回目）
・データを起点としたものの見方、人間の知的活動を起点としたものの見方：「情報社会とAI」（1回目）</t>
    <phoneticPr fontId="1"/>
  </si>
  <si>
    <t>・AI等を活用した新しいビジネスモデル(シェアリングエコノミー、商品のレコメンデーションなど)：「情報社会とAI」（8回目）
・AI最新技術の活用例（深層生成モデル、敵対的生成ネットワーク、強化学習、転移学習など）：「情報社会とAI」（8回目）</t>
    <phoneticPr fontId="1"/>
  </si>
  <si>
    <t>・データ・AI活用領域の広がり(生産、消費、文化活動など)：「情報社会とAI」（4回目）
・研究開発、調達、製造、物流、販売、マーケティング、サービスなど：「情報社会とAI」（4回目）
・仮説検証、知識発見、原因究明、計画策定、判断支援、活動代替、新規生成など：「情報社会とAI」（4回目）</t>
    <phoneticPr fontId="1"/>
  </si>
  <si>
    <t>・データ解析：予測、グルーピング、パターン発見、最適化、シミュレーション・データ同化など：「情報社会とAI」（5回目）
・データ可視化：複合グラフ、2軸グラフ、多次元の可視化、関係性の可視化、地図上の可視化、
挙動・軌跡の可視化、リアルタイム可視化など：「情報社会とAI」（6回目）
・非構造化データ処理：言語処理、画像/動画処理、音声/音楽処理など ：「情報社会とAI」（7回目）
・特化型AIと汎用AI、今のAIで出来ることと出来ないこと、AIとビッグデータ：「情報社会とAI」（6回目）
・認識技術、ルールベース、自動化技術：「情報社会とAI」（6回目）</t>
    <phoneticPr fontId="1"/>
  </si>
  <si>
    <t>・データサイエンスのサイクル（課題抽出と定式化、データの取得・管理・加工、
探索的データ解析、データ解析と推論、結果の共有・伝達、課題解決に向けた提案）：「情報社会とAI」（7回目）
・流通、製造、金融、サービス、インフラ、公共、ヘルスケア等におけるデータ・AI利活用事例紹介 ：情報社会とAI」（7回目）</t>
    <phoneticPr fontId="1"/>
  </si>
  <si>
    <t>・ELSI（Ethical, Legal and Social Issues）：「情報社会とAI」（9回目）
・個人情報保護、EU一般データ保護規則(GDPR)、忘れられる権利、オプトアウト ：「情報社会とAI」（9回目）
・データ倫理：データのねつ造、改ざん、盗用、プライバシー保護 ：「情報社会とAI」（9回目）
・AI社会原則（公平性、説明責任、透明性、人間中心の判断）：「情報社会とAI」（9回目）
・データバイアス、アルゴリズムバイアス ：「情報社会とAI」（9回目）
・AIサービスの責任論：「情報社会とAI」（9回目）
・データ・AI活用における負の事例紹介: 「情報社会とAI」（9回目）</t>
    <phoneticPr fontId="1"/>
  </si>
  <si>
    <t>・情報セキュリティ：機密性、完全性、可用性 ：「情報社会とAI」（10, 12回目）
・匿名加工情報、暗号化、パスワード、悪意ある情報搾取：「情報社会とAI」（10回目）
・情報漏洩等によるセキュリティ事故の事例紹介：「情報社会とAI」（11, 12回目）</t>
    <phoneticPr fontId="1"/>
  </si>
  <si>
    <t>・調査データ、実験データ、人の行動ログデータ、機械の稼働ログデータなど ：「情報社会とAI」（3回目）
・1次データ、2次データ、データのメタ化：「情報社会とAI」（3回目）
・構造化データ、非構造化データ（文章、画像/動画、音声/音楽など）： 「情報社会とAI」（3回目）
・データ作成（ビッグデータとアノテーション）：「情報社会とAI」（3回目）
・データのオープン化（オープンデータ）：「情報社会とAI」（3回目）</t>
    <phoneticPr fontId="1"/>
  </si>
  <si>
    <t>総合情報学部の本プログラグラムを構成する３つの授業科目の中で「統計学」が選択であるため、令和4年度の履修率は71％であった。この履修率を向上させるために、教育課程を改正し、令和5年度から「統計学」を必修化している。この対応により、令和5年度の入学生からは全員が当該プログラムを履修することになる。
また、看護学部については、３つの授業科目全てが必修科目であるため、全員が履修している。</t>
    <rPh sb="0" eb="2">
      <t>ソウゴウ</t>
    </rPh>
    <rPh sb="2" eb="6">
      <t>ジョウホウガクブ</t>
    </rPh>
    <rPh sb="7" eb="8">
      <t>ホン</t>
    </rPh>
    <rPh sb="16" eb="18">
      <t>コウセイ</t>
    </rPh>
    <rPh sb="23" eb="25">
      <t>ジュギョウ</t>
    </rPh>
    <rPh sb="25" eb="27">
      <t>カモク</t>
    </rPh>
    <rPh sb="28" eb="29">
      <t>ナカ</t>
    </rPh>
    <rPh sb="31" eb="34">
      <t>トウケイガク</t>
    </rPh>
    <rPh sb="36" eb="38">
      <t>センタク</t>
    </rPh>
    <rPh sb="44" eb="46">
      <t>レイワ</t>
    </rPh>
    <rPh sb="47" eb="49">
      <t>ネンド</t>
    </rPh>
    <rPh sb="50" eb="53">
      <t>リシュウリツ</t>
    </rPh>
    <rPh sb="68" eb="70">
      <t>コウジョウ</t>
    </rPh>
    <rPh sb="77" eb="79">
      <t>キョウイク</t>
    </rPh>
    <rPh sb="79" eb="81">
      <t>カテイ</t>
    </rPh>
    <rPh sb="82" eb="84">
      <t>カイセイ</t>
    </rPh>
    <rPh sb="86" eb="88">
      <t>レイワ</t>
    </rPh>
    <rPh sb="89" eb="91">
      <t>ネンド</t>
    </rPh>
    <rPh sb="94" eb="97">
      <t>トウケイガク</t>
    </rPh>
    <rPh sb="99" eb="102">
      <t>ヒッシュウカ</t>
    </rPh>
    <rPh sb="109" eb="111">
      <t>タイオウ</t>
    </rPh>
    <rPh sb="115" eb="117">
      <t>レイワ</t>
    </rPh>
    <rPh sb="118" eb="120">
      <t>ネンド</t>
    </rPh>
    <rPh sb="121" eb="124">
      <t>ニュウガクセイ</t>
    </rPh>
    <rPh sb="127" eb="129">
      <t>ゼンイン</t>
    </rPh>
    <rPh sb="130" eb="132">
      <t>トウガイ</t>
    </rPh>
    <rPh sb="138" eb="140">
      <t>リシュウ</t>
    </rPh>
    <rPh sb="152" eb="154">
      <t>カンゴ</t>
    </rPh>
    <rPh sb="154" eb="156">
      <t>ガクブ</t>
    </rPh>
    <rPh sb="165" eb="167">
      <t>ジュギョウ</t>
    </rPh>
    <rPh sb="167" eb="169">
      <t>カモク</t>
    </rPh>
    <rPh sb="169" eb="170">
      <t>スベ</t>
    </rPh>
    <rPh sb="172" eb="174">
      <t>ヒッシュウ</t>
    </rPh>
    <rPh sb="174" eb="176">
      <t>カモク</t>
    </rPh>
    <rPh sb="182" eb="184">
      <t>ゼンイン</t>
    </rPh>
    <phoneticPr fontId="1"/>
  </si>
  <si>
    <t>数理・データサイエンス・ＡＩ教育推進委員会の構成員は、次のとおり。
（1）委員長
　　永井　保夫（総合情報学科　教授）
（2）各学科から複数名
　　井関　文一（総合情報学科　教授）
　　佐野　夏樹（総合情報学科　教授）
　　鈴木　英男（総合情報学科　教授）
　　富田　瑞樹（総合情報学科　教授）
　　花田　真樹（総合情報学科　教授）
　　マッキン ケネスジェームス（総合情報学科　教授）
　　市川　香織（看護学科　教授）
　　樋口　大輔（総合情報学科　准教授）
　　早稲田　篤志（総合情報学科　助教）
　　児玉　悠希（看護学科　助教）
（3）事務局次長または学生教務課長
　　六﨑　光浩（事務局次長）</t>
    <rPh sb="22" eb="24">
      <t>コウセイ</t>
    </rPh>
    <rPh sb="24" eb="25">
      <t>イン</t>
    </rPh>
    <rPh sb="27" eb="28">
      <t>ツギ</t>
    </rPh>
    <rPh sb="43" eb="45">
      <t>ナガイ</t>
    </rPh>
    <rPh sb="46" eb="48">
      <t>ヤスオ</t>
    </rPh>
    <rPh sb="49" eb="51">
      <t>ソウゴウ</t>
    </rPh>
    <rPh sb="51" eb="53">
      <t>ジョウホウ</t>
    </rPh>
    <rPh sb="53" eb="55">
      <t>ガッカ</t>
    </rPh>
    <rPh sb="56" eb="58">
      <t>キョウジュ</t>
    </rPh>
    <rPh sb="202" eb="204">
      <t>カンゴ</t>
    </rPh>
    <rPh sb="233" eb="236">
      <t>ワセダ</t>
    </rPh>
    <rPh sb="237" eb="239">
      <t>アツシ</t>
    </rPh>
    <rPh sb="240" eb="242">
      <t>ソウゴウ</t>
    </rPh>
    <rPh sb="242" eb="244">
      <t>ジョウホウ</t>
    </rPh>
    <rPh sb="244" eb="246">
      <t>ガッカ</t>
    </rPh>
    <rPh sb="247" eb="249">
      <t>ジョキョウ</t>
    </rPh>
    <rPh sb="259" eb="261">
      <t>カンゴ</t>
    </rPh>
    <rPh sb="261" eb="263">
      <t>ガッカ</t>
    </rPh>
    <phoneticPr fontId="1"/>
  </si>
  <si>
    <t>当該プログラムが開設されたのが、令和4年度であり、まだ卒業生は社会に出ていない状況である。そのため、まだ、本項目については評価できないが、今後、卒業時には可能な範囲で進路等の評価は実施する予定である。民間企業に対して企業調査を実施、当該プログラムを修了した卒業生における採用状況や企業評価を把握する仕組みを設けていく予定である。なお、今年度は、本学に求人のある企業及び病院に協力をいただき、当該プログラムを修了した学生が就職することについての期待度を調査した結果、高い評価を得られている。</t>
    <phoneticPr fontId="1"/>
  </si>
  <si>
    <t xml:space="preserve">数理・データサイエンス・AI教育推進委員会が中心となって、当該プログラム修了者の卒業後の調査を実施し、その後の進路や活動状況について調査していく予定である。また、当該プログラム修了者の就職先へのヒアリングを通して、当該プログラムへの企業の評価を把握する仕組みを整備していく予定である。なお、今年度は、本学に求人のある企業及び病院に協力をいただき、当該プログラムについてアンケート調査を行い、概ね高い評価を得られてい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</si>
</sst>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0" xfId="0" applyFont="1" applyAlignment="1">
      <alignment horizontal="right"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22" xfId="0" applyFont="1" applyBorder="1" applyAlignment="1">
      <alignment horizontal="left" vertical="top" wrapText="1" shrinkToFit="1"/>
    </xf>
    <xf numFmtId="0" fontId="2" fillId="0" borderId="22" xfId="0" applyFont="1" applyBorder="1" applyAlignment="1">
      <alignment horizontal="left" vertical="top" shrinkToFit="1"/>
    </xf>
    <xf numFmtId="0" fontId="2" fillId="0" borderId="21" xfId="0" applyFont="1" applyBorder="1" applyAlignment="1">
      <alignment horizontal="left" vertical="top" shrinkToFit="1"/>
    </xf>
    <xf numFmtId="0" fontId="3" fillId="0" borderId="46" xfId="0" applyFont="1" applyBorder="1" applyAlignment="1">
      <alignment vertical="center" wrapText="1"/>
    </xf>
    <xf numFmtId="0" fontId="2" fillId="0" borderId="36" xfId="0" applyFont="1" applyBorder="1" applyAlignment="1">
      <alignment horizontal="left" vertical="top" wrapText="1" shrinkToFit="1"/>
    </xf>
    <xf numFmtId="0" fontId="2" fillId="0" borderId="36" xfId="0" applyFont="1" applyBorder="1" applyAlignment="1">
      <alignment horizontal="left" vertical="top" shrinkToFit="1"/>
    </xf>
    <xf numFmtId="0" fontId="2" fillId="0" borderId="35" xfId="0" applyFont="1" applyBorder="1" applyAlignment="1">
      <alignment horizontal="left" vertical="top" shrinkToFit="1"/>
    </xf>
    <xf numFmtId="0" fontId="2" fillId="0" borderId="38" xfId="0" applyFont="1" applyBorder="1" applyAlignment="1">
      <alignment horizontal="left" vertical="top" wrapText="1" shrinkToFit="1"/>
    </xf>
    <xf numFmtId="0" fontId="2" fillId="0" borderId="38" xfId="0" applyFont="1" applyBorder="1" applyAlignment="1">
      <alignment horizontal="left" vertical="top" shrinkToFit="1"/>
    </xf>
    <xf numFmtId="0" fontId="2" fillId="0" borderId="39" xfId="0" applyFont="1" applyBorder="1" applyAlignment="1">
      <alignment horizontal="left" vertical="top"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left" vertical="top" wrapText="1" shrinkToFit="1"/>
    </xf>
    <xf numFmtId="0" fontId="2" fillId="0" borderId="20" xfId="0" applyFont="1" applyBorder="1" applyAlignment="1">
      <alignment horizontal="left" vertical="top" shrinkToFit="1"/>
    </xf>
    <xf numFmtId="0" fontId="2" fillId="0" borderId="18"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9A0C-6AA0-4E3E-9393-C7DDC4A97BB4}">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23.125" style="1" customWidth="1"/>
    <col min="3" max="3" width="13.875" style="1" customWidth="1"/>
    <col min="4" max="4" width="8.5" style="1" customWidth="1"/>
    <col min="5" max="5" width="8" style="1" customWidth="1"/>
    <col min="6" max="9" width="6.625" style="1" customWidth="1"/>
    <col min="10" max="14" width="3.625" style="1" customWidth="1"/>
    <col min="15" max="15" width="3.875" style="1" customWidth="1"/>
    <col min="16" max="19" width="4.5" style="1" customWidth="1"/>
    <col min="20" max="20" width="9" style="1"/>
    <col min="21" max="21" width="3.625" style="1" customWidth="1"/>
    <col min="22" max="22" width="48.625" style="1" hidden="1" customWidth="1"/>
    <col min="23" max="16384" width="9" style="1"/>
  </cols>
  <sheetData>
    <row r="1" spans="1:22" ht="18.600000000000001" customHeight="1" x14ac:dyDescent="0.15">
      <c r="Q1" s="81" t="s">
        <v>164</v>
      </c>
      <c r="R1" s="81"/>
      <c r="S1" s="81"/>
      <c r="T1" s="2" t="s">
        <v>109</v>
      </c>
    </row>
    <row r="2" spans="1:22" ht="18.75" customHeight="1" x14ac:dyDescent="0.15">
      <c r="B2" s="32" t="s">
        <v>108</v>
      </c>
      <c r="C2" s="91" t="s">
        <v>150</v>
      </c>
      <c r="D2" s="97"/>
      <c r="E2" s="97"/>
      <c r="F2" s="97"/>
      <c r="G2" s="97"/>
      <c r="H2" s="97"/>
      <c r="I2" s="92"/>
      <c r="J2" s="33"/>
      <c r="K2" s="6"/>
      <c r="L2" s="6"/>
      <c r="M2" s="6"/>
      <c r="N2" s="6"/>
      <c r="O2" s="6"/>
      <c r="P2" s="6"/>
      <c r="Q2" s="6"/>
      <c r="R2" s="6"/>
      <c r="S2" s="6"/>
    </row>
    <row r="3" spans="1:22" ht="18.75" customHeight="1" x14ac:dyDescent="0.15">
      <c r="B3" s="32" t="s">
        <v>102</v>
      </c>
      <c r="C3" s="91" t="s">
        <v>162</v>
      </c>
      <c r="D3" s="97"/>
      <c r="E3" s="97"/>
      <c r="F3" s="97"/>
      <c r="G3" s="97"/>
      <c r="H3" s="97"/>
      <c r="I3" s="92"/>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98" t="s">
        <v>38</v>
      </c>
      <c r="B5" s="98"/>
      <c r="C5" s="98"/>
      <c r="D5" s="98"/>
      <c r="E5" s="98"/>
      <c r="F5" s="98"/>
      <c r="G5" s="98"/>
      <c r="H5" s="98"/>
      <c r="I5" s="98"/>
      <c r="J5" s="98"/>
      <c r="K5" s="98"/>
      <c r="L5" s="98"/>
      <c r="M5" s="98"/>
      <c r="N5" s="98"/>
      <c r="O5" s="98"/>
      <c r="P5" s="98"/>
      <c r="Q5" s="98"/>
      <c r="R5" s="98"/>
      <c r="S5" s="9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99" t="s">
        <v>126</v>
      </c>
      <c r="L7" s="100"/>
      <c r="M7" s="100"/>
      <c r="N7" s="100"/>
      <c r="O7" s="100"/>
      <c r="P7" s="100"/>
      <c r="Q7" s="100"/>
      <c r="R7" s="100"/>
      <c r="S7" s="10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02" t="s">
        <v>127</v>
      </c>
      <c r="C9" s="103"/>
      <c r="D9" s="103"/>
      <c r="E9" s="103"/>
      <c r="F9" s="103"/>
      <c r="G9" s="103"/>
      <c r="H9" s="103"/>
      <c r="I9" s="103"/>
      <c r="J9" s="103"/>
      <c r="K9" s="103"/>
      <c r="L9" s="103"/>
      <c r="M9" s="103"/>
      <c r="N9" s="103"/>
      <c r="O9" s="103"/>
      <c r="P9" s="103"/>
      <c r="Q9" s="103"/>
      <c r="R9" s="103"/>
      <c r="S9" s="104"/>
    </row>
    <row r="10" spans="1:22" ht="18" customHeight="1" x14ac:dyDescent="0.15">
      <c r="B10" s="105"/>
      <c r="C10" s="106"/>
      <c r="D10" s="106"/>
      <c r="E10" s="106"/>
      <c r="F10" s="106"/>
      <c r="G10" s="106"/>
      <c r="H10" s="106"/>
      <c r="I10" s="106"/>
      <c r="J10" s="106"/>
      <c r="K10" s="106"/>
      <c r="L10" s="106"/>
      <c r="M10" s="106"/>
      <c r="N10" s="106"/>
      <c r="O10" s="106"/>
      <c r="P10" s="106"/>
      <c r="Q10" s="106"/>
      <c r="R10" s="106"/>
      <c r="S10" s="10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82" t="s">
        <v>151</v>
      </c>
      <c r="C13" s="83"/>
      <c r="D13" s="83"/>
      <c r="E13" s="83"/>
      <c r="F13" s="83"/>
      <c r="G13" s="83"/>
      <c r="H13" s="83"/>
      <c r="I13" s="83"/>
      <c r="J13" s="83"/>
      <c r="K13" s="83"/>
      <c r="L13" s="83"/>
      <c r="M13" s="83"/>
      <c r="N13" s="83"/>
      <c r="O13" s="83"/>
      <c r="P13" s="83"/>
      <c r="Q13" s="83"/>
      <c r="R13" s="83"/>
      <c r="S13" s="84"/>
      <c r="V13" s="1" t="s">
        <v>103</v>
      </c>
    </row>
    <row r="14" spans="1:22" ht="18" customHeight="1" x14ac:dyDescent="0.15">
      <c r="B14" s="85"/>
      <c r="C14" s="86"/>
      <c r="D14" s="86"/>
      <c r="E14" s="86"/>
      <c r="F14" s="86"/>
      <c r="G14" s="86"/>
      <c r="H14" s="86"/>
      <c r="I14" s="86"/>
      <c r="J14" s="86"/>
      <c r="K14" s="86"/>
      <c r="L14" s="86"/>
      <c r="M14" s="86"/>
      <c r="N14" s="86"/>
      <c r="O14" s="86"/>
      <c r="P14" s="86"/>
      <c r="Q14" s="86"/>
      <c r="R14" s="86"/>
      <c r="S14" s="87"/>
      <c r="V14" s="1" t="s">
        <v>110</v>
      </c>
    </row>
    <row r="15" spans="1:22" ht="18" customHeight="1" x14ac:dyDescent="0.15">
      <c r="B15" s="85"/>
      <c r="C15" s="86"/>
      <c r="D15" s="86"/>
      <c r="E15" s="86"/>
      <c r="F15" s="86"/>
      <c r="G15" s="86"/>
      <c r="H15" s="86"/>
      <c r="I15" s="86"/>
      <c r="J15" s="86"/>
      <c r="K15" s="86"/>
      <c r="L15" s="86"/>
      <c r="M15" s="86"/>
      <c r="N15" s="86"/>
      <c r="O15" s="86"/>
      <c r="P15" s="86"/>
      <c r="Q15" s="86"/>
      <c r="R15" s="86"/>
      <c r="S15" s="87"/>
      <c r="V15" s="1" t="s">
        <v>123</v>
      </c>
    </row>
    <row r="16" spans="1:22" ht="18" customHeight="1" x14ac:dyDescent="0.15">
      <c r="B16" s="85"/>
      <c r="C16" s="86"/>
      <c r="D16" s="86"/>
      <c r="E16" s="86"/>
      <c r="F16" s="86"/>
      <c r="G16" s="86"/>
      <c r="H16" s="86"/>
      <c r="I16" s="86"/>
      <c r="J16" s="86"/>
      <c r="K16" s="86"/>
      <c r="L16" s="86"/>
      <c r="M16" s="86"/>
      <c r="N16" s="86"/>
      <c r="O16" s="86"/>
      <c r="P16" s="86"/>
      <c r="Q16" s="86"/>
      <c r="R16" s="86"/>
      <c r="S16" s="87"/>
      <c r="V16" s="1" t="s">
        <v>125</v>
      </c>
    </row>
    <row r="17" spans="1:19" ht="18" customHeight="1" x14ac:dyDescent="0.15">
      <c r="B17" s="85"/>
      <c r="C17" s="86"/>
      <c r="D17" s="86"/>
      <c r="E17" s="86"/>
      <c r="F17" s="86"/>
      <c r="G17" s="86"/>
      <c r="H17" s="86"/>
      <c r="I17" s="86"/>
      <c r="J17" s="86"/>
      <c r="K17" s="86"/>
      <c r="L17" s="86"/>
      <c r="M17" s="86"/>
      <c r="N17" s="86"/>
      <c r="O17" s="86"/>
      <c r="P17" s="86"/>
      <c r="Q17" s="86"/>
      <c r="R17" s="86"/>
      <c r="S17" s="87"/>
    </row>
    <row r="18" spans="1:19" ht="18" customHeight="1" x14ac:dyDescent="0.15">
      <c r="B18" s="88"/>
      <c r="C18" s="89"/>
      <c r="D18" s="89"/>
      <c r="E18" s="89"/>
      <c r="F18" s="89"/>
      <c r="G18" s="89"/>
      <c r="H18" s="89"/>
      <c r="I18" s="89"/>
      <c r="J18" s="89"/>
      <c r="K18" s="89"/>
      <c r="L18" s="89"/>
      <c r="M18" s="89"/>
      <c r="N18" s="89"/>
      <c r="O18" s="89"/>
      <c r="P18" s="89"/>
      <c r="Q18" s="89"/>
      <c r="R18" s="89"/>
      <c r="S18" s="90"/>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112</v>
      </c>
      <c r="C20" s="91">
        <v>6</v>
      </c>
      <c r="D20" s="92"/>
      <c r="E20" s="38" t="s">
        <v>95</v>
      </c>
      <c r="G20" s="10"/>
      <c r="H20" s="3"/>
      <c r="I20" s="3"/>
      <c r="J20" s="33" t="s">
        <v>121</v>
      </c>
      <c r="K20" s="93" t="s">
        <v>123</v>
      </c>
      <c r="L20" s="94"/>
      <c r="M20" s="94"/>
      <c r="N20" s="94"/>
      <c r="O20" s="94"/>
      <c r="P20" s="94"/>
      <c r="Q20" s="94"/>
      <c r="R20" s="94"/>
      <c r="S20" s="95"/>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113</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1" t="s">
        <v>53</v>
      </c>
      <c r="C24" s="97"/>
      <c r="D24" s="97"/>
      <c r="E24" s="92"/>
      <c r="F24" s="59" t="s">
        <v>80</v>
      </c>
      <c r="G24" s="58" t="s">
        <v>84</v>
      </c>
      <c r="H24" s="20" t="s">
        <v>56</v>
      </c>
      <c r="I24" s="20" t="s">
        <v>59</v>
      </c>
      <c r="J24" s="91" t="s">
        <v>53</v>
      </c>
      <c r="K24" s="97"/>
      <c r="L24" s="97"/>
      <c r="M24" s="97"/>
      <c r="N24" s="97"/>
      <c r="O24" s="92"/>
      <c r="P24" s="59" t="s">
        <v>80</v>
      </c>
      <c r="Q24" s="58" t="s">
        <v>84</v>
      </c>
      <c r="R24" s="20" t="s">
        <v>56</v>
      </c>
      <c r="S24" s="20" t="s">
        <v>59</v>
      </c>
    </row>
    <row r="25" spans="1:19" ht="18" customHeight="1" x14ac:dyDescent="0.15">
      <c r="B25" s="111" t="s">
        <v>152</v>
      </c>
      <c r="C25" s="112"/>
      <c r="D25" s="112"/>
      <c r="E25" s="113"/>
      <c r="F25" s="21">
        <v>2</v>
      </c>
      <c r="G25" s="21" t="s">
        <v>153</v>
      </c>
      <c r="H25" s="21" t="s">
        <v>153</v>
      </c>
      <c r="I25" s="21" t="s">
        <v>153</v>
      </c>
      <c r="J25" s="111"/>
      <c r="K25" s="112"/>
      <c r="L25" s="112"/>
      <c r="M25" s="112"/>
      <c r="N25" s="112"/>
      <c r="O25" s="113"/>
      <c r="P25" s="21"/>
      <c r="Q25" s="21"/>
      <c r="R25" s="21"/>
      <c r="S25" s="21"/>
    </row>
    <row r="26" spans="1:19" ht="18" customHeight="1" x14ac:dyDescent="0.15">
      <c r="B26" s="108"/>
      <c r="C26" s="109"/>
      <c r="D26" s="109"/>
      <c r="E26" s="110"/>
      <c r="F26" s="22"/>
      <c r="G26" s="22"/>
      <c r="H26" s="22"/>
      <c r="I26" s="22"/>
      <c r="J26" s="108"/>
      <c r="K26" s="109"/>
      <c r="L26" s="109"/>
      <c r="M26" s="109"/>
      <c r="N26" s="109"/>
      <c r="O26" s="110"/>
      <c r="P26" s="22"/>
      <c r="Q26" s="22"/>
      <c r="R26" s="22"/>
      <c r="S26" s="22"/>
    </row>
    <row r="27" spans="1:19" ht="18" customHeight="1" x14ac:dyDescent="0.15">
      <c r="B27" s="108"/>
      <c r="C27" s="109"/>
      <c r="D27" s="109"/>
      <c r="E27" s="110"/>
      <c r="F27" s="22"/>
      <c r="G27" s="22"/>
      <c r="H27" s="22"/>
      <c r="I27" s="22"/>
      <c r="J27" s="108"/>
      <c r="K27" s="109"/>
      <c r="L27" s="109"/>
      <c r="M27" s="109"/>
      <c r="N27" s="109"/>
      <c r="O27" s="110"/>
      <c r="P27" s="22"/>
      <c r="Q27" s="22"/>
      <c r="R27" s="22"/>
      <c r="S27" s="22"/>
    </row>
    <row r="28" spans="1:19" ht="18" customHeight="1" x14ac:dyDescent="0.15">
      <c r="B28" s="108"/>
      <c r="C28" s="109"/>
      <c r="D28" s="109"/>
      <c r="E28" s="110"/>
      <c r="F28" s="22"/>
      <c r="G28" s="22"/>
      <c r="H28" s="22"/>
      <c r="I28" s="22"/>
      <c r="J28" s="108"/>
      <c r="K28" s="109"/>
      <c r="L28" s="109"/>
      <c r="M28" s="109"/>
      <c r="N28" s="109"/>
      <c r="O28" s="110"/>
      <c r="P28" s="22"/>
      <c r="Q28" s="22"/>
      <c r="R28" s="22"/>
      <c r="S28" s="22"/>
    </row>
    <row r="29" spans="1:19" ht="18" customHeight="1" x14ac:dyDescent="0.15">
      <c r="B29" s="108"/>
      <c r="C29" s="109"/>
      <c r="D29" s="109"/>
      <c r="E29" s="110"/>
      <c r="F29" s="22"/>
      <c r="G29" s="22"/>
      <c r="H29" s="22"/>
      <c r="I29" s="22"/>
      <c r="J29" s="108"/>
      <c r="K29" s="109"/>
      <c r="L29" s="109"/>
      <c r="M29" s="109"/>
      <c r="N29" s="109"/>
      <c r="O29" s="110"/>
      <c r="P29" s="22"/>
      <c r="Q29" s="22"/>
      <c r="R29" s="22"/>
      <c r="S29" s="22"/>
    </row>
    <row r="30" spans="1:19" ht="18" customHeight="1" x14ac:dyDescent="0.15">
      <c r="A30" s="3"/>
      <c r="B30" s="108"/>
      <c r="C30" s="109"/>
      <c r="D30" s="109"/>
      <c r="E30" s="110"/>
      <c r="F30" s="22"/>
      <c r="G30" s="22"/>
      <c r="H30" s="22"/>
      <c r="I30" s="22"/>
      <c r="J30" s="108"/>
      <c r="K30" s="109"/>
      <c r="L30" s="109"/>
      <c r="M30" s="109"/>
      <c r="N30" s="109"/>
      <c r="O30" s="110"/>
      <c r="P30" s="22"/>
      <c r="Q30" s="22"/>
      <c r="R30" s="22"/>
      <c r="S30" s="22"/>
    </row>
    <row r="31" spans="1:19" ht="18" customHeight="1" x14ac:dyDescent="0.15">
      <c r="A31" s="3"/>
      <c r="B31" s="114"/>
      <c r="C31" s="115"/>
      <c r="D31" s="115"/>
      <c r="E31" s="116"/>
      <c r="F31" s="23"/>
      <c r="G31" s="23"/>
      <c r="H31" s="24"/>
      <c r="I31" s="24"/>
      <c r="J31" s="114"/>
      <c r="K31" s="115"/>
      <c r="L31" s="115"/>
      <c r="M31" s="115"/>
      <c r="N31" s="115"/>
      <c r="O31" s="116"/>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114</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1" t="s">
        <v>53</v>
      </c>
      <c r="C35" s="97"/>
      <c r="D35" s="97"/>
      <c r="E35" s="92"/>
      <c r="F35" s="59" t="s">
        <v>80</v>
      </c>
      <c r="G35" s="58" t="s">
        <v>84</v>
      </c>
      <c r="H35" s="20" t="s">
        <v>71</v>
      </c>
      <c r="I35" s="20" t="s">
        <v>72</v>
      </c>
      <c r="J35" s="91" t="s">
        <v>53</v>
      </c>
      <c r="K35" s="97"/>
      <c r="L35" s="97"/>
      <c r="M35" s="97"/>
      <c r="N35" s="97"/>
      <c r="O35" s="92"/>
      <c r="P35" s="59" t="s">
        <v>80</v>
      </c>
      <c r="Q35" s="58" t="s">
        <v>84</v>
      </c>
      <c r="R35" s="20" t="s">
        <v>71</v>
      </c>
      <c r="S35" s="20" t="s">
        <v>72</v>
      </c>
    </row>
    <row r="36" spans="1:19" ht="18" customHeight="1" x14ac:dyDescent="0.15">
      <c r="B36" s="111" t="s">
        <v>154</v>
      </c>
      <c r="C36" s="112"/>
      <c r="D36" s="112"/>
      <c r="E36" s="113"/>
      <c r="F36" s="21">
        <v>2</v>
      </c>
      <c r="G36" s="21" t="s">
        <v>153</v>
      </c>
      <c r="H36" s="21" t="s">
        <v>153</v>
      </c>
      <c r="I36" s="21" t="s">
        <v>153</v>
      </c>
      <c r="J36" s="111"/>
      <c r="K36" s="112"/>
      <c r="L36" s="112"/>
      <c r="M36" s="112"/>
      <c r="N36" s="112"/>
      <c r="O36" s="113"/>
      <c r="P36" s="21"/>
      <c r="Q36" s="21"/>
      <c r="R36" s="21"/>
      <c r="S36" s="21"/>
    </row>
    <row r="37" spans="1:19" ht="18" customHeight="1" x14ac:dyDescent="0.15">
      <c r="B37" s="108"/>
      <c r="C37" s="109"/>
      <c r="D37" s="109"/>
      <c r="E37" s="110"/>
      <c r="F37" s="22"/>
      <c r="G37" s="22"/>
      <c r="H37" s="22"/>
      <c r="I37" s="22"/>
      <c r="J37" s="108"/>
      <c r="K37" s="109"/>
      <c r="L37" s="109"/>
      <c r="M37" s="109"/>
      <c r="N37" s="109"/>
      <c r="O37" s="110"/>
      <c r="P37" s="22"/>
      <c r="Q37" s="22"/>
      <c r="R37" s="22"/>
      <c r="S37" s="22"/>
    </row>
    <row r="38" spans="1:19" ht="18" customHeight="1" x14ac:dyDescent="0.15">
      <c r="B38" s="108"/>
      <c r="C38" s="109"/>
      <c r="D38" s="109"/>
      <c r="E38" s="110"/>
      <c r="F38" s="22"/>
      <c r="G38" s="22"/>
      <c r="H38" s="22"/>
      <c r="I38" s="22"/>
      <c r="J38" s="108"/>
      <c r="K38" s="109"/>
      <c r="L38" s="109"/>
      <c r="M38" s="109"/>
      <c r="N38" s="109"/>
      <c r="O38" s="110"/>
      <c r="P38" s="22"/>
      <c r="Q38" s="22"/>
      <c r="R38" s="22"/>
      <c r="S38" s="22"/>
    </row>
    <row r="39" spans="1:19" ht="18" customHeight="1" x14ac:dyDescent="0.15">
      <c r="B39" s="108"/>
      <c r="C39" s="109"/>
      <c r="D39" s="109"/>
      <c r="E39" s="110"/>
      <c r="F39" s="22"/>
      <c r="G39" s="22"/>
      <c r="H39" s="22"/>
      <c r="I39" s="22"/>
      <c r="J39" s="108"/>
      <c r="K39" s="109"/>
      <c r="L39" s="109"/>
      <c r="M39" s="109"/>
      <c r="N39" s="109"/>
      <c r="O39" s="110"/>
      <c r="P39" s="22"/>
      <c r="Q39" s="22"/>
      <c r="R39" s="22"/>
      <c r="S39" s="22"/>
    </row>
    <row r="40" spans="1:19" ht="18" customHeight="1" x14ac:dyDescent="0.15">
      <c r="B40" s="108"/>
      <c r="C40" s="109"/>
      <c r="D40" s="109"/>
      <c r="E40" s="110"/>
      <c r="F40" s="22"/>
      <c r="G40" s="22"/>
      <c r="H40" s="22"/>
      <c r="I40" s="22"/>
      <c r="J40" s="108"/>
      <c r="K40" s="109"/>
      <c r="L40" s="109"/>
      <c r="M40" s="109"/>
      <c r="N40" s="109"/>
      <c r="O40" s="110"/>
      <c r="P40" s="22"/>
      <c r="Q40" s="22"/>
      <c r="R40" s="22"/>
      <c r="S40" s="22"/>
    </row>
    <row r="41" spans="1:19" ht="18" customHeight="1" x14ac:dyDescent="0.15">
      <c r="B41" s="108"/>
      <c r="C41" s="109"/>
      <c r="D41" s="109"/>
      <c r="E41" s="110"/>
      <c r="F41" s="22"/>
      <c r="G41" s="22"/>
      <c r="H41" s="22"/>
      <c r="I41" s="22"/>
      <c r="J41" s="108"/>
      <c r="K41" s="109"/>
      <c r="L41" s="109"/>
      <c r="M41" s="109"/>
      <c r="N41" s="109"/>
      <c r="O41" s="110"/>
      <c r="P41" s="22"/>
      <c r="Q41" s="22"/>
      <c r="R41" s="22"/>
      <c r="S41" s="22"/>
    </row>
    <row r="42" spans="1:19" ht="18" customHeight="1" x14ac:dyDescent="0.15">
      <c r="B42" s="114"/>
      <c r="C42" s="115"/>
      <c r="D42" s="115"/>
      <c r="E42" s="116"/>
      <c r="F42" s="23"/>
      <c r="G42" s="23"/>
      <c r="H42" s="24"/>
      <c r="I42" s="24"/>
      <c r="J42" s="114"/>
      <c r="K42" s="115"/>
      <c r="L42" s="115"/>
      <c r="M42" s="115"/>
      <c r="N42" s="115"/>
      <c r="O42" s="116"/>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115</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1" t="s">
        <v>53</v>
      </c>
      <c r="C46" s="97"/>
      <c r="D46" s="97"/>
      <c r="E46" s="92"/>
      <c r="F46" s="59" t="s">
        <v>80</v>
      </c>
      <c r="G46" s="58" t="s">
        <v>84</v>
      </c>
      <c r="H46" s="20" t="s">
        <v>73</v>
      </c>
      <c r="I46" s="20" t="s">
        <v>74</v>
      </c>
      <c r="J46" s="91" t="s">
        <v>53</v>
      </c>
      <c r="K46" s="97"/>
      <c r="L46" s="97"/>
      <c r="M46" s="97"/>
      <c r="N46" s="97"/>
      <c r="O46" s="92"/>
      <c r="P46" s="59" t="s">
        <v>80</v>
      </c>
      <c r="Q46" s="58" t="s">
        <v>84</v>
      </c>
      <c r="R46" s="20" t="s">
        <v>73</v>
      </c>
      <c r="S46" s="20" t="s">
        <v>74</v>
      </c>
    </row>
    <row r="47" spans="1:19" ht="18" customHeight="1" x14ac:dyDescent="0.15">
      <c r="A47" s="3"/>
      <c r="B47" s="111" t="s">
        <v>154</v>
      </c>
      <c r="C47" s="112"/>
      <c r="D47" s="112"/>
      <c r="E47" s="113"/>
      <c r="F47" s="21">
        <v>2</v>
      </c>
      <c r="G47" s="21" t="s">
        <v>153</v>
      </c>
      <c r="H47" s="21" t="s">
        <v>153</v>
      </c>
      <c r="I47" s="21" t="s">
        <v>153</v>
      </c>
      <c r="J47" s="111"/>
      <c r="K47" s="112"/>
      <c r="L47" s="112"/>
      <c r="M47" s="112"/>
      <c r="N47" s="112"/>
      <c r="O47" s="113"/>
      <c r="P47" s="21"/>
      <c r="Q47" s="21"/>
      <c r="R47" s="21"/>
      <c r="S47" s="21"/>
    </row>
    <row r="48" spans="1:19" ht="18" customHeight="1" x14ac:dyDescent="0.15">
      <c r="A48" s="3"/>
      <c r="B48" s="108"/>
      <c r="C48" s="109"/>
      <c r="D48" s="109"/>
      <c r="E48" s="110"/>
      <c r="F48" s="22"/>
      <c r="G48" s="22"/>
      <c r="H48" s="22"/>
      <c r="I48" s="22"/>
      <c r="J48" s="108"/>
      <c r="K48" s="109"/>
      <c r="L48" s="109"/>
      <c r="M48" s="109"/>
      <c r="N48" s="109"/>
      <c r="O48" s="110"/>
      <c r="P48" s="22"/>
      <c r="Q48" s="22"/>
      <c r="R48" s="22"/>
      <c r="S48" s="22"/>
    </row>
    <row r="49" spans="1:19" ht="18" customHeight="1" x14ac:dyDescent="0.15">
      <c r="A49" s="3"/>
      <c r="B49" s="108"/>
      <c r="C49" s="109"/>
      <c r="D49" s="109"/>
      <c r="E49" s="110"/>
      <c r="F49" s="22"/>
      <c r="G49" s="22"/>
      <c r="H49" s="22"/>
      <c r="I49" s="22"/>
      <c r="J49" s="108"/>
      <c r="K49" s="109"/>
      <c r="L49" s="109"/>
      <c r="M49" s="109"/>
      <c r="N49" s="109"/>
      <c r="O49" s="110"/>
      <c r="P49" s="22"/>
      <c r="Q49" s="22"/>
      <c r="R49" s="22"/>
      <c r="S49" s="22"/>
    </row>
    <row r="50" spans="1:19" ht="18" customHeight="1" x14ac:dyDescent="0.15">
      <c r="A50" s="3"/>
      <c r="B50" s="108"/>
      <c r="C50" s="109"/>
      <c r="D50" s="109"/>
      <c r="E50" s="110"/>
      <c r="F50" s="22"/>
      <c r="G50" s="22"/>
      <c r="H50" s="22"/>
      <c r="I50" s="22"/>
      <c r="J50" s="108"/>
      <c r="K50" s="109"/>
      <c r="L50" s="109"/>
      <c r="M50" s="109"/>
      <c r="N50" s="109"/>
      <c r="O50" s="110"/>
      <c r="P50" s="22"/>
      <c r="Q50" s="22"/>
      <c r="R50" s="22"/>
      <c r="S50" s="22"/>
    </row>
    <row r="51" spans="1:19" ht="18" customHeight="1" x14ac:dyDescent="0.15">
      <c r="A51" s="3"/>
      <c r="B51" s="108"/>
      <c r="C51" s="109"/>
      <c r="D51" s="109"/>
      <c r="E51" s="110"/>
      <c r="F51" s="22"/>
      <c r="G51" s="22"/>
      <c r="H51" s="22"/>
      <c r="I51" s="22"/>
      <c r="J51" s="108"/>
      <c r="K51" s="109"/>
      <c r="L51" s="109"/>
      <c r="M51" s="109"/>
      <c r="N51" s="109"/>
      <c r="O51" s="110"/>
      <c r="P51" s="22"/>
      <c r="Q51" s="22"/>
      <c r="R51" s="22"/>
      <c r="S51" s="22"/>
    </row>
    <row r="52" spans="1:19" ht="18" customHeight="1" x14ac:dyDescent="0.15">
      <c r="A52" s="3"/>
      <c r="B52" s="108"/>
      <c r="C52" s="109"/>
      <c r="D52" s="109"/>
      <c r="E52" s="110"/>
      <c r="F52" s="22"/>
      <c r="G52" s="22"/>
      <c r="H52" s="22"/>
      <c r="I52" s="22"/>
      <c r="J52" s="108"/>
      <c r="K52" s="109"/>
      <c r="L52" s="109"/>
      <c r="M52" s="109"/>
      <c r="N52" s="109"/>
      <c r="O52" s="110"/>
      <c r="P52" s="22"/>
      <c r="Q52" s="22"/>
      <c r="R52" s="22"/>
      <c r="S52" s="22"/>
    </row>
    <row r="53" spans="1:19" ht="18" customHeight="1" x14ac:dyDescent="0.15">
      <c r="A53" s="3"/>
      <c r="B53" s="114"/>
      <c r="C53" s="115"/>
      <c r="D53" s="115"/>
      <c r="E53" s="116"/>
      <c r="F53" s="23"/>
      <c r="G53" s="23"/>
      <c r="H53" s="24"/>
      <c r="I53" s="24"/>
      <c r="J53" s="114"/>
      <c r="K53" s="115"/>
      <c r="L53" s="115"/>
      <c r="M53" s="115"/>
      <c r="N53" s="115"/>
      <c r="O53" s="116"/>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116</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1" t="s">
        <v>53</v>
      </c>
      <c r="C57" s="97"/>
      <c r="D57" s="97"/>
      <c r="E57" s="92"/>
      <c r="F57" s="59" t="s">
        <v>80</v>
      </c>
      <c r="G57" s="58" t="s">
        <v>84</v>
      </c>
      <c r="H57" s="20" t="s">
        <v>58</v>
      </c>
      <c r="I57" s="20" t="s">
        <v>60</v>
      </c>
      <c r="J57" s="91" t="s">
        <v>53</v>
      </c>
      <c r="K57" s="97"/>
      <c r="L57" s="97"/>
      <c r="M57" s="97"/>
      <c r="N57" s="97"/>
      <c r="O57" s="92"/>
      <c r="P57" s="59" t="s">
        <v>80</v>
      </c>
      <c r="Q57" s="58" t="s">
        <v>84</v>
      </c>
      <c r="R57" s="20" t="s">
        <v>58</v>
      </c>
      <c r="S57" s="20" t="s">
        <v>60</v>
      </c>
    </row>
    <row r="58" spans="1:19" ht="18" customHeight="1" x14ac:dyDescent="0.15">
      <c r="A58" s="3"/>
      <c r="B58" s="111" t="s">
        <v>154</v>
      </c>
      <c r="C58" s="112"/>
      <c r="D58" s="112"/>
      <c r="E58" s="113"/>
      <c r="F58" s="21">
        <v>2</v>
      </c>
      <c r="G58" s="21" t="s">
        <v>153</v>
      </c>
      <c r="H58" s="21" t="s">
        <v>153</v>
      </c>
      <c r="I58" s="21" t="s">
        <v>153</v>
      </c>
      <c r="J58" s="111"/>
      <c r="K58" s="112"/>
      <c r="L58" s="112"/>
      <c r="M58" s="112"/>
      <c r="N58" s="112"/>
      <c r="O58" s="113"/>
      <c r="P58" s="21"/>
      <c r="Q58" s="21"/>
      <c r="R58" s="21"/>
      <c r="S58" s="21"/>
    </row>
    <row r="59" spans="1:19" ht="18" customHeight="1" x14ac:dyDescent="0.15">
      <c r="A59" s="3"/>
      <c r="B59" s="108"/>
      <c r="C59" s="109"/>
      <c r="D59" s="109"/>
      <c r="E59" s="110"/>
      <c r="F59" s="22"/>
      <c r="G59" s="22"/>
      <c r="H59" s="22"/>
      <c r="I59" s="22"/>
      <c r="J59" s="108"/>
      <c r="K59" s="109"/>
      <c r="L59" s="109"/>
      <c r="M59" s="109"/>
      <c r="N59" s="109"/>
      <c r="O59" s="110"/>
      <c r="P59" s="22"/>
      <c r="Q59" s="22"/>
      <c r="R59" s="22"/>
      <c r="S59" s="22"/>
    </row>
    <row r="60" spans="1:19" ht="18" customHeight="1" x14ac:dyDescent="0.15">
      <c r="A60" s="3"/>
      <c r="B60" s="108"/>
      <c r="C60" s="109"/>
      <c r="D60" s="109"/>
      <c r="E60" s="110"/>
      <c r="F60" s="22"/>
      <c r="G60" s="22"/>
      <c r="H60" s="22"/>
      <c r="I60" s="22"/>
      <c r="J60" s="108"/>
      <c r="K60" s="109"/>
      <c r="L60" s="109"/>
      <c r="M60" s="109"/>
      <c r="N60" s="109"/>
      <c r="O60" s="110"/>
      <c r="P60" s="22"/>
      <c r="Q60" s="22"/>
      <c r="R60" s="22"/>
      <c r="S60" s="22"/>
    </row>
    <row r="61" spans="1:19" ht="18" customHeight="1" x14ac:dyDescent="0.15">
      <c r="A61" s="3"/>
      <c r="B61" s="108"/>
      <c r="C61" s="109"/>
      <c r="D61" s="109"/>
      <c r="E61" s="110"/>
      <c r="F61" s="22"/>
      <c r="G61" s="22"/>
      <c r="H61" s="22"/>
      <c r="I61" s="22"/>
      <c r="J61" s="108"/>
      <c r="K61" s="109"/>
      <c r="L61" s="109"/>
      <c r="M61" s="109"/>
      <c r="N61" s="109"/>
      <c r="O61" s="110"/>
      <c r="P61" s="22"/>
      <c r="Q61" s="22"/>
      <c r="R61" s="22"/>
      <c r="S61" s="22"/>
    </row>
    <row r="62" spans="1:19" ht="18" customHeight="1" x14ac:dyDescent="0.15">
      <c r="A62" s="3"/>
      <c r="B62" s="108"/>
      <c r="C62" s="109"/>
      <c r="D62" s="109"/>
      <c r="E62" s="110"/>
      <c r="F62" s="22"/>
      <c r="G62" s="22"/>
      <c r="H62" s="22"/>
      <c r="I62" s="22"/>
      <c r="J62" s="108"/>
      <c r="K62" s="109"/>
      <c r="L62" s="109"/>
      <c r="M62" s="109"/>
      <c r="N62" s="109"/>
      <c r="O62" s="110"/>
      <c r="P62" s="22"/>
      <c r="Q62" s="22"/>
      <c r="R62" s="22"/>
      <c r="S62" s="22"/>
    </row>
    <row r="63" spans="1:19" ht="18" customHeight="1" x14ac:dyDescent="0.15">
      <c r="A63" s="3"/>
      <c r="B63" s="108"/>
      <c r="C63" s="109"/>
      <c r="D63" s="109"/>
      <c r="E63" s="110"/>
      <c r="F63" s="22"/>
      <c r="G63" s="22"/>
      <c r="H63" s="22"/>
      <c r="I63" s="22"/>
      <c r="J63" s="108"/>
      <c r="K63" s="109"/>
      <c r="L63" s="109"/>
      <c r="M63" s="109"/>
      <c r="N63" s="109"/>
      <c r="O63" s="110"/>
      <c r="P63" s="22"/>
      <c r="Q63" s="22"/>
      <c r="R63" s="22"/>
      <c r="S63" s="22"/>
    </row>
    <row r="64" spans="1:19" ht="18" customHeight="1" x14ac:dyDescent="0.15">
      <c r="A64" s="3"/>
      <c r="B64" s="114"/>
      <c r="C64" s="115"/>
      <c r="D64" s="115"/>
      <c r="E64" s="116"/>
      <c r="F64" s="23"/>
      <c r="G64" s="23"/>
      <c r="H64" s="24"/>
      <c r="I64" s="24"/>
      <c r="J64" s="114"/>
      <c r="K64" s="115"/>
      <c r="L64" s="115"/>
      <c r="M64" s="115"/>
      <c r="N64" s="115"/>
      <c r="O64" s="116"/>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117</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1" t="s">
        <v>53</v>
      </c>
      <c r="C68" s="97"/>
      <c r="D68" s="97"/>
      <c r="E68" s="59" t="s">
        <v>80</v>
      </c>
      <c r="F68" s="58" t="s">
        <v>84</v>
      </c>
      <c r="G68" s="20" t="s">
        <v>101</v>
      </c>
      <c r="H68" s="20" t="s">
        <v>75</v>
      </c>
      <c r="I68" s="20" t="s">
        <v>76</v>
      </c>
      <c r="J68" s="91" t="s">
        <v>53</v>
      </c>
      <c r="K68" s="97"/>
      <c r="L68" s="97"/>
      <c r="M68" s="97"/>
      <c r="N68" s="92"/>
      <c r="O68" s="59" t="s">
        <v>80</v>
      </c>
      <c r="P68" s="58" t="s">
        <v>84</v>
      </c>
      <c r="Q68" s="20" t="s">
        <v>101</v>
      </c>
      <c r="R68" s="20" t="s">
        <v>75</v>
      </c>
      <c r="S68" s="20" t="s">
        <v>76</v>
      </c>
    </row>
    <row r="69" spans="1:19" ht="18" customHeight="1" x14ac:dyDescent="0.15">
      <c r="A69" s="3"/>
      <c r="B69" s="111" t="s">
        <v>155</v>
      </c>
      <c r="C69" s="112"/>
      <c r="D69" s="112"/>
      <c r="E69" s="21">
        <v>2</v>
      </c>
      <c r="F69" s="21" t="s">
        <v>153</v>
      </c>
      <c r="G69" s="21" t="s">
        <v>153</v>
      </c>
      <c r="H69" s="21" t="s">
        <v>153</v>
      </c>
      <c r="I69" s="21"/>
      <c r="J69" s="111"/>
      <c r="K69" s="112"/>
      <c r="L69" s="112"/>
      <c r="M69" s="112"/>
      <c r="N69" s="113"/>
      <c r="O69" s="21"/>
      <c r="P69" s="21"/>
      <c r="Q69" s="21"/>
      <c r="R69" s="21"/>
      <c r="S69" s="21"/>
    </row>
    <row r="70" spans="1:19" ht="18" customHeight="1" x14ac:dyDescent="0.15">
      <c r="A70" s="3"/>
      <c r="B70" s="108" t="s">
        <v>156</v>
      </c>
      <c r="C70" s="109"/>
      <c r="D70" s="109"/>
      <c r="E70" s="22">
        <v>2</v>
      </c>
      <c r="F70" s="22" t="s">
        <v>153</v>
      </c>
      <c r="G70" s="22"/>
      <c r="H70" s="22" t="s">
        <v>153</v>
      </c>
      <c r="I70" s="22" t="s">
        <v>153</v>
      </c>
      <c r="J70" s="108"/>
      <c r="K70" s="109"/>
      <c r="L70" s="109"/>
      <c r="M70" s="109"/>
      <c r="N70" s="110"/>
      <c r="O70" s="22"/>
      <c r="P70" s="22"/>
      <c r="Q70" s="22"/>
      <c r="R70" s="22"/>
      <c r="S70" s="22"/>
    </row>
    <row r="71" spans="1:19" ht="18" customHeight="1" x14ac:dyDescent="0.15">
      <c r="A71" s="3"/>
      <c r="B71" s="108"/>
      <c r="C71" s="109"/>
      <c r="D71" s="109"/>
      <c r="E71" s="22"/>
      <c r="F71" s="22"/>
      <c r="G71" s="22"/>
      <c r="H71" s="22"/>
      <c r="I71" s="22"/>
      <c r="J71" s="108"/>
      <c r="K71" s="109"/>
      <c r="L71" s="109"/>
      <c r="M71" s="109"/>
      <c r="N71" s="110"/>
      <c r="O71" s="22"/>
      <c r="P71" s="22"/>
      <c r="Q71" s="22"/>
      <c r="R71" s="22"/>
      <c r="S71" s="22"/>
    </row>
    <row r="72" spans="1:19" ht="18" customHeight="1" x14ac:dyDescent="0.15">
      <c r="A72" s="3"/>
      <c r="B72" s="108"/>
      <c r="C72" s="109"/>
      <c r="D72" s="109"/>
      <c r="E72" s="22"/>
      <c r="F72" s="22"/>
      <c r="G72" s="22"/>
      <c r="H72" s="22"/>
      <c r="I72" s="22"/>
      <c r="J72" s="108"/>
      <c r="K72" s="109"/>
      <c r="L72" s="109"/>
      <c r="M72" s="109"/>
      <c r="N72" s="110"/>
      <c r="O72" s="22"/>
      <c r="P72" s="22"/>
      <c r="Q72" s="22"/>
      <c r="R72" s="22"/>
      <c r="S72" s="22"/>
    </row>
    <row r="73" spans="1:19" ht="18" customHeight="1" x14ac:dyDescent="0.15">
      <c r="A73" s="3"/>
      <c r="B73" s="108"/>
      <c r="C73" s="109"/>
      <c r="D73" s="109"/>
      <c r="E73" s="22"/>
      <c r="F73" s="22"/>
      <c r="G73" s="22"/>
      <c r="H73" s="22"/>
      <c r="I73" s="22"/>
      <c r="J73" s="108"/>
      <c r="K73" s="109"/>
      <c r="L73" s="109"/>
      <c r="M73" s="109"/>
      <c r="N73" s="110"/>
      <c r="O73" s="22"/>
      <c r="P73" s="22"/>
      <c r="Q73" s="22"/>
      <c r="R73" s="22"/>
      <c r="S73" s="22"/>
    </row>
    <row r="74" spans="1:19" ht="18" customHeight="1" x14ac:dyDescent="0.15">
      <c r="A74" s="3"/>
      <c r="B74" s="108"/>
      <c r="C74" s="109"/>
      <c r="D74" s="109"/>
      <c r="E74" s="22"/>
      <c r="F74" s="22"/>
      <c r="G74" s="22"/>
      <c r="H74" s="22"/>
      <c r="I74" s="22"/>
      <c r="J74" s="108"/>
      <c r="K74" s="109"/>
      <c r="L74" s="109"/>
      <c r="M74" s="109"/>
      <c r="N74" s="110"/>
      <c r="O74" s="22"/>
      <c r="P74" s="22"/>
      <c r="Q74" s="22"/>
      <c r="R74" s="22"/>
      <c r="S74" s="22"/>
    </row>
    <row r="75" spans="1:19" ht="18" customHeight="1" x14ac:dyDescent="0.15">
      <c r="A75" s="3"/>
      <c r="B75" s="114"/>
      <c r="C75" s="115"/>
      <c r="D75" s="115"/>
      <c r="E75" s="23"/>
      <c r="F75" s="23"/>
      <c r="G75" s="24"/>
      <c r="H75" s="24"/>
      <c r="I75" s="24"/>
      <c r="J75" s="114"/>
      <c r="K75" s="115"/>
      <c r="L75" s="115"/>
      <c r="M75" s="115"/>
      <c r="N75" s="116"/>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1" t="s">
        <v>53</v>
      </c>
      <c r="C78" s="97"/>
      <c r="D78" s="97"/>
      <c r="E78" s="92"/>
      <c r="F78" s="91" t="s">
        <v>82</v>
      </c>
      <c r="G78" s="97"/>
      <c r="H78" s="97"/>
      <c r="I78" s="92"/>
      <c r="J78" s="117" t="s">
        <v>53</v>
      </c>
      <c r="K78" s="118"/>
      <c r="L78" s="118"/>
      <c r="M78" s="118"/>
      <c r="N78" s="118"/>
      <c r="O78" s="119"/>
      <c r="P78" s="91" t="s">
        <v>82</v>
      </c>
      <c r="Q78" s="97"/>
      <c r="R78" s="97"/>
      <c r="S78" s="92"/>
    </row>
    <row r="79" spans="1:19" ht="18" customHeight="1" x14ac:dyDescent="0.15">
      <c r="A79" s="3"/>
      <c r="B79" s="111"/>
      <c r="C79" s="112"/>
      <c r="D79" s="112"/>
      <c r="E79" s="113"/>
      <c r="F79" s="120"/>
      <c r="G79" s="121"/>
      <c r="H79" s="121"/>
      <c r="I79" s="122"/>
      <c r="J79" s="111"/>
      <c r="K79" s="112"/>
      <c r="L79" s="112"/>
      <c r="M79" s="112"/>
      <c r="N79" s="112"/>
      <c r="O79" s="113"/>
      <c r="P79" s="120"/>
      <c r="Q79" s="121"/>
      <c r="R79" s="121"/>
      <c r="S79" s="122"/>
    </row>
    <row r="80" spans="1:19" ht="18" customHeight="1" x14ac:dyDescent="0.15">
      <c r="A80" s="3"/>
      <c r="B80" s="108"/>
      <c r="C80" s="109"/>
      <c r="D80" s="109"/>
      <c r="E80" s="110"/>
      <c r="F80" s="123"/>
      <c r="G80" s="124"/>
      <c r="H80" s="124"/>
      <c r="I80" s="125"/>
      <c r="J80" s="108"/>
      <c r="K80" s="109"/>
      <c r="L80" s="109"/>
      <c r="M80" s="109"/>
      <c r="N80" s="109"/>
      <c r="O80" s="110"/>
      <c r="P80" s="123"/>
      <c r="Q80" s="124"/>
      <c r="R80" s="124"/>
      <c r="S80" s="125"/>
    </row>
    <row r="81" spans="1:19" ht="18" customHeight="1" x14ac:dyDescent="0.15">
      <c r="A81" s="3"/>
      <c r="B81" s="108"/>
      <c r="C81" s="109"/>
      <c r="D81" s="109"/>
      <c r="E81" s="110"/>
      <c r="F81" s="123"/>
      <c r="G81" s="124"/>
      <c r="H81" s="124"/>
      <c r="I81" s="125"/>
      <c r="J81" s="108"/>
      <c r="K81" s="109"/>
      <c r="L81" s="109"/>
      <c r="M81" s="109"/>
      <c r="N81" s="109"/>
      <c r="O81" s="110"/>
      <c r="P81" s="123"/>
      <c r="Q81" s="124"/>
      <c r="R81" s="124"/>
      <c r="S81" s="125"/>
    </row>
    <row r="82" spans="1:19" ht="18" customHeight="1" x14ac:dyDescent="0.15">
      <c r="A82" s="3"/>
      <c r="B82" s="108"/>
      <c r="C82" s="109"/>
      <c r="D82" s="109"/>
      <c r="E82" s="110"/>
      <c r="F82" s="123"/>
      <c r="G82" s="124"/>
      <c r="H82" s="124"/>
      <c r="I82" s="125"/>
      <c r="J82" s="108"/>
      <c r="K82" s="109"/>
      <c r="L82" s="109"/>
      <c r="M82" s="109"/>
      <c r="N82" s="109"/>
      <c r="O82" s="110"/>
      <c r="P82" s="123"/>
      <c r="Q82" s="124"/>
      <c r="R82" s="124"/>
      <c r="S82" s="125"/>
    </row>
    <row r="83" spans="1:19" ht="18" customHeight="1" x14ac:dyDescent="0.15">
      <c r="A83" s="3"/>
      <c r="B83" s="108"/>
      <c r="C83" s="109"/>
      <c r="D83" s="109"/>
      <c r="E83" s="110"/>
      <c r="F83" s="123"/>
      <c r="G83" s="124"/>
      <c r="H83" s="124"/>
      <c r="I83" s="125"/>
      <c r="J83" s="108"/>
      <c r="K83" s="109"/>
      <c r="L83" s="109"/>
      <c r="M83" s="109"/>
      <c r="N83" s="109"/>
      <c r="O83" s="110"/>
      <c r="P83" s="123"/>
      <c r="Q83" s="124"/>
      <c r="R83" s="124"/>
      <c r="S83" s="125"/>
    </row>
    <row r="84" spans="1:19" ht="18" customHeight="1" x14ac:dyDescent="0.15">
      <c r="A84" s="3"/>
      <c r="B84" s="108"/>
      <c r="C84" s="109"/>
      <c r="D84" s="109"/>
      <c r="E84" s="110"/>
      <c r="F84" s="123"/>
      <c r="G84" s="124"/>
      <c r="H84" s="124"/>
      <c r="I84" s="125"/>
      <c r="J84" s="108"/>
      <c r="K84" s="109"/>
      <c r="L84" s="109"/>
      <c r="M84" s="109"/>
      <c r="N84" s="109"/>
      <c r="O84" s="110"/>
      <c r="P84" s="123"/>
      <c r="Q84" s="124"/>
      <c r="R84" s="124"/>
      <c r="S84" s="125"/>
    </row>
    <row r="85" spans="1:19" ht="18" customHeight="1" x14ac:dyDescent="0.15">
      <c r="A85" s="3"/>
      <c r="B85" s="114"/>
      <c r="C85" s="115"/>
      <c r="D85" s="115"/>
      <c r="E85" s="116"/>
      <c r="F85" s="140"/>
      <c r="G85" s="141"/>
      <c r="H85" s="141"/>
      <c r="I85" s="142"/>
      <c r="J85" s="114"/>
      <c r="K85" s="115"/>
      <c r="L85" s="115"/>
      <c r="M85" s="115"/>
      <c r="N85" s="115"/>
      <c r="O85" s="116"/>
      <c r="P85" s="140"/>
      <c r="Q85" s="141"/>
      <c r="R85" s="141"/>
      <c r="S85" s="142"/>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26" t="s">
        <v>54</v>
      </c>
      <c r="C88" s="127"/>
      <c r="D88" s="97" t="s">
        <v>55</v>
      </c>
      <c r="E88" s="97"/>
      <c r="F88" s="97"/>
      <c r="G88" s="97"/>
      <c r="H88" s="97"/>
      <c r="I88" s="97"/>
      <c r="J88" s="97"/>
      <c r="K88" s="97"/>
      <c r="L88" s="97"/>
      <c r="M88" s="97"/>
      <c r="N88" s="97"/>
      <c r="O88" s="97"/>
      <c r="P88" s="97"/>
      <c r="Q88" s="97"/>
      <c r="R88" s="97"/>
      <c r="S88" s="92"/>
    </row>
    <row r="89" spans="1:19" ht="147" customHeight="1" x14ac:dyDescent="0.15">
      <c r="B89" s="128" t="s">
        <v>61</v>
      </c>
      <c r="C89" s="26" t="s">
        <v>56</v>
      </c>
      <c r="D89" s="83" t="s">
        <v>168</v>
      </c>
      <c r="E89" s="83"/>
      <c r="F89" s="83"/>
      <c r="G89" s="83"/>
      <c r="H89" s="83"/>
      <c r="I89" s="83"/>
      <c r="J89" s="83"/>
      <c r="K89" s="83"/>
      <c r="L89" s="83"/>
      <c r="M89" s="83"/>
      <c r="N89" s="83"/>
      <c r="O89" s="83"/>
      <c r="P89" s="83"/>
      <c r="Q89" s="83"/>
      <c r="R89" s="83"/>
      <c r="S89" s="84"/>
    </row>
    <row r="90" spans="1:19" ht="82.5" customHeight="1" x14ac:dyDescent="0.15">
      <c r="B90" s="129"/>
      <c r="C90" s="27" t="s">
        <v>77</v>
      </c>
      <c r="D90" s="130" t="s">
        <v>174</v>
      </c>
      <c r="E90" s="131"/>
      <c r="F90" s="131"/>
      <c r="G90" s="131"/>
      <c r="H90" s="131"/>
      <c r="I90" s="131"/>
      <c r="J90" s="131"/>
      <c r="K90" s="131"/>
      <c r="L90" s="131"/>
      <c r="M90" s="131"/>
      <c r="N90" s="131"/>
      <c r="O90" s="131"/>
      <c r="P90" s="131"/>
      <c r="Q90" s="131"/>
      <c r="R90" s="131"/>
      <c r="S90" s="132"/>
    </row>
    <row r="91" spans="1:19" ht="128.25" customHeight="1" x14ac:dyDescent="0.15">
      <c r="B91" s="128" t="s">
        <v>62</v>
      </c>
      <c r="C91" s="28" t="s">
        <v>71</v>
      </c>
      <c r="D91" s="134" t="s">
        <v>169</v>
      </c>
      <c r="E91" s="135"/>
      <c r="F91" s="135"/>
      <c r="G91" s="135"/>
      <c r="H91" s="135"/>
      <c r="I91" s="135"/>
      <c r="J91" s="135"/>
      <c r="K91" s="135"/>
      <c r="L91" s="135"/>
      <c r="M91" s="135"/>
      <c r="N91" s="135"/>
      <c r="O91" s="135"/>
      <c r="P91" s="135"/>
      <c r="Q91" s="135"/>
      <c r="R91" s="135"/>
      <c r="S91" s="136"/>
    </row>
    <row r="92" spans="1:19" ht="96.75" customHeight="1" x14ac:dyDescent="0.15">
      <c r="B92" s="133"/>
      <c r="C92" s="29" t="s">
        <v>72</v>
      </c>
      <c r="D92" s="137" t="s">
        <v>170</v>
      </c>
      <c r="E92" s="138"/>
      <c r="F92" s="138"/>
      <c r="G92" s="138"/>
      <c r="H92" s="138"/>
      <c r="I92" s="138"/>
      <c r="J92" s="138"/>
      <c r="K92" s="138"/>
      <c r="L92" s="138"/>
      <c r="M92" s="138"/>
      <c r="N92" s="138"/>
      <c r="O92" s="138"/>
      <c r="P92" s="138"/>
      <c r="Q92" s="138"/>
      <c r="R92" s="138"/>
      <c r="S92" s="139"/>
    </row>
    <row r="93" spans="1:19" ht="162.75" customHeight="1" x14ac:dyDescent="0.15">
      <c r="B93" s="128" t="s">
        <v>63</v>
      </c>
      <c r="C93" s="28" t="s">
        <v>73</v>
      </c>
      <c r="D93" s="134" t="s">
        <v>171</v>
      </c>
      <c r="E93" s="135"/>
      <c r="F93" s="135"/>
      <c r="G93" s="135"/>
      <c r="H93" s="135"/>
      <c r="I93" s="135"/>
      <c r="J93" s="135"/>
      <c r="K93" s="135"/>
      <c r="L93" s="135"/>
      <c r="M93" s="135"/>
      <c r="N93" s="135"/>
      <c r="O93" s="135"/>
      <c r="P93" s="135"/>
      <c r="Q93" s="135"/>
      <c r="R93" s="135"/>
      <c r="S93" s="136"/>
    </row>
    <row r="94" spans="1:19" ht="97.5" customHeight="1" x14ac:dyDescent="0.15">
      <c r="B94" s="133"/>
      <c r="C94" s="30" t="s">
        <v>74</v>
      </c>
      <c r="D94" s="89" t="s">
        <v>172</v>
      </c>
      <c r="E94" s="146"/>
      <c r="F94" s="146"/>
      <c r="G94" s="146"/>
      <c r="H94" s="146"/>
      <c r="I94" s="146"/>
      <c r="J94" s="146"/>
      <c r="K94" s="146"/>
      <c r="L94" s="146"/>
      <c r="M94" s="146"/>
      <c r="N94" s="146"/>
      <c r="O94" s="146"/>
      <c r="P94" s="146"/>
      <c r="Q94" s="146"/>
      <c r="R94" s="146"/>
      <c r="S94" s="147"/>
    </row>
    <row r="95" spans="1:19" ht="156.75" customHeight="1" x14ac:dyDescent="0.15">
      <c r="B95" s="128" t="s">
        <v>78</v>
      </c>
      <c r="C95" s="26" t="s">
        <v>58</v>
      </c>
      <c r="D95" s="83" t="s">
        <v>175</v>
      </c>
      <c r="E95" s="151"/>
      <c r="F95" s="151"/>
      <c r="G95" s="151"/>
      <c r="H95" s="151"/>
      <c r="I95" s="151"/>
      <c r="J95" s="151"/>
      <c r="K95" s="151"/>
      <c r="L95" s="151"/>
      <c r="M95" s="151"/>
      <c r="N95" s="151"/>
      <c r="O95" s="151"/>
      <c r="P95" s="151"/>
      <c r="Q95" s="151"/>
      <c r="R95" s="151"/>
      <c r="S95" s="152"/>
    </row>
    <row r="96" spans="1:19" ht="84" customHeight="1" x14ac:dyDescent="0.15">
      <c r="B96" s="133"/>
      <c r="C96" s="29" t="s">
        <v>60</v>
      </c>
      <c r="D96" s="137" t="s">
        <v>179</v>
      </c>
      <c r="E96" s="138"/>
      <c r="F96" s="138"/>
      <c r="G96" s="138"/>
      <c r="H96" s="138"/>
      <c r="I96" s="138"/>
      <c r="J96" s="138"/>
      <c r="K96" s="138"/>
      <c r="L96" s="138"/>
      <c r="M96" s="138"/>
      <c r="N96" s="138"/>
      <c r="O96" s="138"/>
      <c r="P96" s="138"/>
      <c r="Q96" s="138"/>
      <c r="R96" s="138"/>
      <c r="S96" s="139"/>
    </row>
    <row r="97" spans="1:19" ht="138" customHeight="1" x14ac:dyDescent="0.15">
      <c r="B97" s="128" t="s">
        <v>79</v>
      </c>
      <c r="C97" s="28" t="s">
        <v>57</v>
      </c>
      <c r="D97" s="134" t="s">
        <v>178</v>
      </c>
      <c r="E97" s="135"/>
      <c r="F97" s="135"/>
      <c r="G97" s="135"/>
      <c r="H97" s="135"/>
      <c r="I97" s="135"/>
      <c r="J97" s="135"/>
      <c r="K97" s="135"/>
      <c r="L97" s="135"/>
      <c r="M97" s="135"/>
      <c r="N97" s="135"/>
      <c r="O97" s="135"/>
      <c r="P97" s="135"/>
      <c r="Q97" s="135"/>
      <c r="R97" s="135"/>
      <c r="S97" s="136"/>
    </row>
    <row r="98" spans="1:19" ht="144" customHeight="1" x14ac:dyDescent="0.15">
      <c r="B98" s="129"/>
      <c r="C98" s="31" t="s">
        <v>75</v>
      </c>
      <c r="D98" s="143" t="s">
        <v>176</v>
      </c>
      <c r="E98" s="144"/>
      <c r="F98" s="144"/>
      <c r="G98" s="144"/>
      <c r="H98" s="144"/>
      <c r="I98" s="144"/>
      <c r="J98" s="144"/>
      <c r="K98" s="144"/>
      <c r="L98" s="144"/>
      <c r="M98" s="144"/>
      <c r="N98" s="144"/>
      <c r="O98" s="144"/>
      <c r="P98" s="144"/>
      <c r="Q98" s="144"/>
      <c r="R98" s="144"/>
      <c r="S98" s="145"/>
    </row>
    <row r="99" spans="1:19" ht="75" customHeight="1" x14ac:dyDescent="0.15">
      <c r="B99" s="133"/>
      <c r="C99" s="30" t="s">
        <v>76</v>
      </c>
      <c r="D99" s="89" t="s">
        <v>177</v>
      </c>
      <c r="E99" s="146"/>
      <c r="F99" s="146"/>
      <c r="G99" s="146"/>
      <c r="H99" s="146"/>
      <c r="I99" s="146"/>
      <c r="J99" s="146"/>
      <c r="K99" s="146"/>
      <c r="L99" s="146"/>
      <c r="M99" s="146"/>
      <c r="N99" s="146"/>
      <c r="O99" s="146"/>
      <c r="P99" s="146"/>
      <c r="Q99" s="146"/>
      <c r="R99" s="146"/>
      <c r="S99" s="147"/>
    </row>
    <row r="100" spans="1:19" ht="6" customHeight="1" x14ac:dyDescent="0.15"/>
    <row r="101" spans="1:19" ht="18.75" customHeight="1" x14ac:dyDescent="0.15">
      <c r="A101" s="1" t="s">
        <v>120</v>
      </c>
    </row>
    <row r="102" spans="1:19" ht="81.75" customHeight="1" x14ac:dyDescent="0.15">
      <c r="B102" s="148" t="s">
        <v>167</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Q1:S1"/>
    <mergeCell ref="B13:S18"/>
    <mergeCell ref="C20:D20"/>
    <mergeCell ref="K20:S20"/>
    <mergeCell ref="A22:S23"/>
    <mergeCell ref="B24:E24"/>
    <mergeCell ref="J24:O24"/>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C3D75095-FBA2-4C85-A6B8-14F2A8E0488E}">
      <formula1>$V$14:$V$16</formula1>
    </dataValidation>
    <dataValidation type="list" allowBlank="1" showInputMessage="1" showErrorMessage="1" sqref="F79:F86 P79:P86 G79:I80 G83:I86 Q83:S86 Q79:S80" xr:uid="{7BE661D6-A855-4911-A029-9CEFDC56243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CAC123AB-237E-4016-978B-33C9A3790295}">
      <formula1>"学部・学科によって、修了要件は相違する,学部・学科によって、修了要件は相違しない"</formula1>
    </dataValidation>
    <dataValidation type="list" allowBlank="1" showInputMessage="1" showErrorMessage="1" sqref="S32 S43 D32:G32 D43:G43" xr:uid="{EA9C7C4F-8A0F-44CE-83BE-91A87CEB68CB}">
      <formula1>"全学開講,一部開講"</formula1>
    </dataValidation>
    <dataValidation type="list" allowBlank="1" showInputMessage="1" showErrorMessage="1" sqref="G25:I31 Q25:S31 G36:I42 Q36:S42 G47:I53 Q47:S53 G58:I64 Q58:S64 F69:I75 P69:S75" xr:uid="{6D3E0326-3775-4F97-A56B-4FBF8546B258}">
      <formula1>"○"</formula1>
    </dataValidation>
  </dataValidations>
  <printOptions horizontalCentered="1"/>
  <pageMargins left="0.78740157480314965" right="0.78740157480314965" top="0.78740157480314965" bottom="0.19685039370078741" header="0.31496062992125984" footer="0.19685039370078741"/>
  <pageSetup paperSize="9" scale="71"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C61A-B77A-416B-BEC0-09402B2387D1}">
  <sheetPr>
    <pageSetUpPr fitToPage="1"/>
  </sheetPr>
  <dimension ref="A1:V110"/>
  <sheetViews>
    <sheetView showZeros="0" view="pageBreakPreview" zoomScaleNormal="100" zoomScaleSheetLayoutView="100" workbookViewId="0">
      <selection activeCell="T3" sqref="T3"/>
    </sheetView>
  </sheetViews>
  <sheetFormatPr defaultColWidth="9" defaultRowHeight="18.75" customHeight="1" x14ac:dyDescent="0.15"/>
  <cols>
    <col min="1" max="1" width="2.5" style="1" customWidth="1"/>
    <col min="2" max="2" width="23" style="1" customWidth="1"/>
    <col min="3" max="3" width="14" style="1" customWidth="1"/>
    <col min="4" max="4" width="8.5" style="1" customWidth="1"/>
    <col min="5" max="5" width="8" style="1" customWidth="1"/>
    <col min="6" max="9" width="6.625" style="1" customWidth="1"/>
    <col min="10" max="14" width="3.625" style="1" customWidth="1"/>
    <col min="15" max="15" width="3.75" style="1" customWidth="1"/>
    <col min="16" max="19" width="4.5" style="1" customWidth="1"/>
    <col min="20" max="20" width="9" style="1"/>
    <col min="21" max="21" width="3.625" style="1" customWidth="1"/>
    <col min="22" max="22" width="48.625" style="1" hidden="1" customWidth="1"/>
    <col min="23" max="16384" width="9" style="1"/>
  </cols>
  <sheetData>
    <row r="1" spans="1:22" ht="18.600000000000001" customHeight="1" x14ac:dyDescent="0.15">
      <c r="Q1" s="81" t="s">
        <v>163</v>
      </c>
      <c r="R1" s="81"/>
      <c r="S1" s="81"/>
      <c r="T1" s="2" t="s">
        <v>109</v>
      </c>
    </row>
    <row r="2" spans="1:22" ht="18.75" customHeight="1" x14ac:dyDescent="0.15">
      <c r="B2" s="32" t="s">
        <v>108</v>
      </c>
      <c r="C2" s="91" t="s">
        <v>150</v>
      </c>
      <c r="D2" s="97"/>
      <c r="E2" s="97"/>
      <c r="F2" s="97"/>
      <c r="G2" s="97"/>
      <c r="H2" s="97"/>
      <c r="I2" s="92"/>
      <c r="J2" s="33"/>
      <c r="K2" s="6"/>
      <c r="L2" s="6"/>
      <c r="M2" s="6"/>
      <c r="N2" s="6"/>
      <c r="O2" s="6"/>
      <c r="P2" s="6"/>
      <c r="Q2" s="6"/>
      <c r="R2" s="6"/>
      <c r="S2" s="6"/>
    </row>
    <row r="3" spans="1:22" ht="18.75" customHeight="1" x14ac:dyDescent="0.15">
      <c r="B3" s="32" t="s">
        <v>102</v>
      </c>
      <c r="C3" s="91" t="s">
        <v>162</v>
      </c>
      <c r="D3" s="97"/>
      <c r="E3" s="97"/>
      <c r="F3" s="97"/>
      <c r="G3" s="97"/>
      <c r="H3" s="97"/>
      <c r="I3" s="92"/>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98" t="s">
        <v>38</v>
      </c>
      <c r="B5" s="98"/>
      <c r="C5" s="98"/>
      <c r="D5" s="98"/>
      <c r="E5" s="98"/>
      <c r="F5" s="98"/>
      <c r="G5" s="98"/>
      <c r="H5" s="98"/>
      <c r="I5" s="98"/>
      <c r="J5" s="98"/>
      <c r="K5" s="98"/>
      <c r="L5" s="98"/>
      <c r="M5" s="98"/>
      <c r="N5" s="98"/>
      <c r="O5" s="98"/>
      <c r="P5" s="98"/>
      <c r="Q5" s="98"/>
      <c r="R5" s="98"/>
      <c r="S5" s="9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107</v>
      </c>
      <c r="K7" s="99" t="s">
        <v>126</v>
      </c>
      <c r="L7" s="100"/>
      <c r="M7" s="100"/>
      <c r="N7" s="100"/>
      <c r="O7" s="100"/>
      <c r="P7" s="100"/>
      <c r="Q7" s="100"/>
      <c r="R7" s="100"/>
      <c r="S7" s="10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02" t="s">
        <v>157</v>
      </c>
      <c r="C9" s="103"/>
      <c r="D9" s="103"/>
      <c r="E9" s="103"/>
      <c r="F9" s="103"/>
      <c r="G9" s="103"/>
      <c r="H9" s="103"/>
      <c r="I9" s="103"/>
      <c r="J9" s="103"/>
      <c r="K9" s="103"/>
      <c r="L9" s="103"/>
      <c r="M9" s="103"/>
      <c r="N9" s="103"/>
      <c r="O9" s="103"/>
      <c r="P9" s="103"/>
      <c r="Q9" s="103"/>
      <c r="R9" s="103"/>
      <c r="S9" s="104"/>
    </row>
    <row r="10" spans="1:22" ht="18" customHeight="1" x14ac:dyDescent="0.15">
      <c r="B10" s="105"/>
      <c r="C10" s="106"/>
      <c r="D10" s="106"/>
      <c r="E10" s="106"/>
      <c r="F10" s="106"/>
      <c r="G10" s="106"/>
      <c r="H10" s="106"/>
      <c r="I10" s="106"/>
      <c r="J10" s="106"/>
      <c r="K10" s="106"/>
      <c r="L10" s="106"/>
      <c r="M10" s="106"/>
      <c r="N10" s="106"/>
      <c r="O10" s="106"/>
      <c r="P10" s="106"/>
      <c r="Q10" s="106"/>
      <c r="R10" s="106"/>
      <c r="S10" s="10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3"/>
      <c r="E12" s="33"/>
      <c r="F12" s="33"/>
      <c r="G12" s="33"/>
      <c r="H12" s="33"/>
      <c r="I12" s="33"/>
      <c r="J12" s="33"/>
      <c r="K12" s="37"/>
      <c r="L12" s="37"/>
      <c r="M12" s="37"/>
      <c r="N12" s="37"/>
      <c r="O12" s="37"/>
      <c r="P12" s="37"/>
      <c r="Q12" s="37"/>
      <c r="R12" s="37"/>
      <c r="S12" s="37"/>
    </row>
    <row r="13" spans="1:22" ht="18" customHeight="1" x14ac:dyDescent="0.15">
      <c r="B13" s="82" t="s">
        <v>158</v>
      </c>
      <c r="C13" s="83"/>
      <c r="D13" s="83"/>
      <c r="E13" s="83"/>
      <c r="F13" s="83"/>
      <c r="G13" s="83"/>
      <c r="H13" s="83"/>
      <c r="I13" s="83"/>
      <c r="J13" s="83"/>
      <c r="K13" s="83"/>
      <c r="L13" s="83"/>
      <c r="M13" s="83"/>
      <c r="N13" s="83"/>
      <c r="O13" s="83"/>
      <c r="P13" s="83"/>
      <c r="Q13" s="83"/>
      <c r="R13" s="83"/>
      <c r="S13" s="84"/>
      <c r="V13" s="1" t="s">
        <v>103</v>
      </c>
    </row>
    <row r="14" spans="1:22" ht="18" customHeight="1" x14ac:dyDescent="0.15">
      <c r="B14" s="85"/>
      <c r="C14" s="86"/>
      <c r="D14" s="86"/>
      <c r="E14" s="86"/>
      <c r="F14" s="86"/>
      <c r="G14" s="86"/>
      <c r="H14" s="86"/>
      <c r="I14" s="86"/>
      <c r="J14" s="86"/>
      <c r="K14" s="86"/>
      <c r="L14" s="86"/>
      <c r="M14" s="86"/>
      <c r="N14" s="86"/>
      <c r="O14" s="86"/>
      <c r="P14" s="86"/>
      <c r="Q14" s="86"/>
      <c r="R14" s="86"/>
      <c r="S14" s="87"/>
      <c r="V14" s="1" t="s">
        <v>110</v>
      </c>
    </row>
    <row r="15" spans="1:22" ht="18" customHeight="1" x14ac:dyDescent="0.15">
      <c r="B15" s="85"/>
      <c r="C15" s="86"/>
      <c r="D15" s="86"/>
      <c r="E15" s="86"/>
      <c r="F15" s="86"/>
      <c r="G15" s="86"/>
      <c r="H15" s="86"/>
      <c r="I15" s="86"/>
      <c r="J15" s="86"/>
      <c r="K15" s="86"/>
      <c r="L15" s="86"/>
      <c r="M15" s="86"/>
      <c r="N15" s="86"/>
      <c r="O15" s="86"/>
      <c r="P15" s="86"/>
      <c r="Q15" s="86"/>
      <c r="R15" s="86"/>
      <c r="S15" s="87"/>
      <c r="V15" s="1" t="s">
        <v>123</v>
      </c>
    </row>
    <row r="16" spans="1:22" ht="18" customHeight="1" x14ac:dyDescent="0.15">
      <c r="B16" s="85"/>
      <c r="C16" s="86"/>
      <c r="D16" s="86"/>
      <c r="E16" s="86"/>
      <c r="F16" s="86"/>
      <c r="G16" s="86"/>
      <c r="H16" s="86"/>
      <c r="I16" s="86"/>
      <c r="J16" s="86"/>
      <c r="K16" s="86"/>
      <c r="L16" s="86"/>
      <c r="M16" s="86"/>
      <c r="N16" s="86"/>
      <c r="O16" s="86"/>
      <c r="P16" s="86"/>
      <c r="Q16" s="86"/>
      <c r="R16" s="86"/>
      <c r="S16" s="87"/>
      <c r="V16" s="1" t="s">
        <v>125</v>
      </c>
    </row>
    <row r="17" spans="1:19" ht="18" customHeight="1" x14ac:dyDescent="0.15">
      <c r="B17" s="85"/>
      <c r="C17" s="86"/>
      <c r="D17" s="86"/>
      <c r="E17" s="86"/>
      <c r="F17" s="86"/>
      <c r="G17" s="86"/>
      <c r="H17" s="86"/>
      <c r="I17" s="86"/>
      <c r="J17" s="86"/>
      <c r="K17" s="86"/>
      <c r="L17" s="86"/>
      <c r="M17" s="86"/>
      <c r="N17" s="86"/>
      <c r="O17" s="86"/>
      <c r="P17" s="86"/>
      <c r="Q17" s="86"/>
      <c r="R17" s="86"/>
      <c r="S17" s="87"/>
    </row>
    <row r="18" spans="1:19" ht="18" customHeight="1" x14ac:dyDescent="0.15">
      <c r="B18" s="88"/>
      <c r="C18" s="89"/>
      <c r="D18" s="89"/>
      <c r="E18" s="89"/>
      <c r="F18" s="89"/>
      <c r="G18" s="89"/>
      <c r="H18" s="89"/>
      <c r="I18" s="89"/>
      <c r="J18" s="89"/>
      <c r="K18" s="89"/>
      <c r="L18" s="89"/>
      <c r="M18" s="89"/>
      <c r="N18" s="89"/>
      <c r="O18" s="89"/>
      <c r="P18" s="89"/>
      <c r="Q18" s="89"/>
      <c r="R18" s="89"/>
      <c r="S18" s="90"/>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112</v>
      </c>
      <c r="C20" s="91">
        <v>6</v>
      </c>
      <c r="D20" s="92"/>
      <c r="E20" s="38" t="s">
        <v>95</v>
      </c>
      <c r="G20" s="10"/>
      <c r="H20" s="3"/>
      <c r="I20" s="3"/>
      <c r="J20" s="33" t="s">
        <v>121</v>
      </c>
      <c r="K20" s="93" t="s">
        <v>123</v>
      </c>
      <c r="L20" s="94"/>
      <c r="M20" s="94"/>
      <c r="N20" s="94"/>
      <c r="O20" s="94"/>
      <c r="P20" s="94"/>
      <c r="Q20" s="94"/>
      <c r="R20" s="94"/>
      <c r="S20" s="95"/>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113</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1" t="s">
        <v>53</v>
      </c>
      <c r="C24" s="97"/>
      <c r="D24" s="97"/>
      <c r="E24" s="92"/>
      <c r="F24" s="59" t="s">
        <v>80</v>
      </c>
      <c r="G24" s="58" t="s">
        <v>84</v>
      </c>
      <c r="H24" s="20" t="s">
        <v>56</v>
      </c>
      <c r="I24" s="20" t="s">
        <v>59</v>
      </c>
      <c r="J24" s="91" t="s">
        <v>53</v>
      </c>
      <c r="K24" s="97"/>
      <c r="L24" s="97"/>
      <c r="M24" s="97"/>
      <c r="N24" s="97"/>
      <c r="O24" s="92"/>
      <c r="P24" s="59" t="s">
        <v>80</v>
      </c>
      <c r="Q24" s="58" t="s">
        <v>84</v>
      </c>
      <c r="R24" s="20" t="s">
        <v>56</v>
      </c>
      <c r="S24" s="20" t="s">
        <v>59</v>
      </c>
    </row>
    <row r="25" spans="1:19" ht="18" customHeight="1" x14ac:dyDescent="0.15">
      <c r="B25" s="111" t="s">
        <v>159</v>
      </c>
      <c r="C25" s="112"/>
      <c r="D25" s="112"/>
      <c r="E25" s="113"/>
      <c r="F25" s="21">
        <v>2</v>
      </c>
      <c r="G25" s="21" t="s">
        <v>153</v>
      </c>
      <c r="H25" s="21" t="s">
        <v>153</v>
      </c>
      <c r="I25" s="21" t="s">
        <v>153</v>
      </c>
      <c r="J25" s="111"/>
      <c r="K25" s="112"/>
      <c r="L25" s="112"/>
      <c r="M25" s="112"/>
      <c r="N25" s="112"/>
      <c r="O25" s="113"/>
      <c r="P25" s="21"/>
      <c r="Q25" s="21"/>
      <c r="R25" s="21"/>
      <c r="S25" s="21"/>
    </row>
    <row r="26" spans="1:19" ht="18" customHeight="1" x14ac:dyDescent="0.15">
      <c r="B26" s="108"/>
      <c r="C26" s="109"/>
      <c r="D26" s="109"/>
      <c r="E26" s="110"/>
      <c r="F26" s="22"/>
      <c r="G26" s="22"/>
      <c r="H26" s="22"/>
      <c r="I26" s="22"/>
      <c r="J26" s="108"/>
      <c r="K26" s="109"/>
      <c r="L26" s="109"/>
      <c r="M26" s="109"/>
      <c r="N26" s="109"/>
      <c r="O26" s="110"/>
      <c r="P26" s="22"/>
      <c r="Q26" s="22"/>
      <c r="R26" s="22"/>
      <c r="S26" s="22"/>
    </row>
    <row r="27" spans="1:19" ht="18" customHeight="1" x14ac:dyDescent="0.15">
      <c r="B27" s="108"/>
      <c r="C27" s="109"/>
      <c r="D27" s="109"/>
      <c r="E27" s="110"/>
      <c r="F27" s="22"/>
      <c r="G27" s="22"/>
      <c r="H27" s="22"/>
      <c r="I27" s="22"/>
      <c r="J27" s="108"/>
      <c r="K27" s="109"/>
      <c r="L27" s="109"/>
      <c r="M27" s="109"/>
      <c r="N27" s="109"/>
      <c r="O27" s="110"/>
      <c r="P27" s="22"/>
      <c r="Q27" s="22"/>
      <c r="R27" s="22"/>
      <c r="S27" s="22"/>
    </row>
    <row r="28" spans="1:19" ht="18" customHeight="1" x14ac:dyDescent="0.15">
      <c r="B28" s="108"/>
      <c r="C28" s="109"/>
      <c r="D28" s="109"/>
      <c r="E28" s="110"/>
      <c r="F28" s="22"/>
      <c r="G28" s="22"/>
      <c r="H28" s="22"/>
      <c r="I28" s="22"/>
      <c r="J28" s="108"/>
      <c r="K28" s="109"/>
      <c r="L28" s="109"/>
      <c r="M28" s="109"/>
      <c r="N28" s="109"/>
      <c r="O28" s="110"/>
      <c r="P28" s="22"/>
      <c r="Q28" s="22"/>
      <c r="R28" s="22"/>
      <c r="S28" s="22"/>
    </row>
    <row r="29" spans="1:19" ht="18" customHeight="1" x14ac:dyDescent="0.15">
      <c r="B29" s="108"/>
      <c r="C29" s="109"/>
      <c r="D29" s="109"/>
      <c r="E29" s="110"/>
      <c r="F29" s="22"/>
      <c r="G29" s="22"/>
      <c r="H29" s="22"/>
      <c r="I29" s="22"/>
      <c r="J29" s="108"/>
      <c r="K29" s="109"/>
      <c r="L29" s="109"/>
      <c r="M29" s="109"/>
      <c r="N29" s="109"/>
      <c r="O29" s="110"/>
      <c r="P29" s="22"/>
      <c r="Q29" s="22"/>
      <c r="R29" s="22"/>
      <c r="S29" s="22"/>
    </row>
    <row r="30" spans="1:19" ht="18" customHeight="1" x14ac:dyDescent="0.15">
      <c r="A30" s="3"/>
      <c r="B30" s="108"/>
      <c r="C30" s="109"/>
      <c r="D30" s="109"/>
      <c r="E30" s="110"/>
      <c r="F30" s="22"/>
      <c r="G30" s="22"/>
      <c r="H30" s="22"/>
      <c r="I30" s="22"/>
      <c r="J30" s="108"/>
      <c r="K30" s="109"/>
      <c r="L30" s="109"/>
      <c r="M30" s="109"/>
      <c r="N30" s="109"/>
      <c r="O30" s="110"/>
      <c r="P30" s="22"/>
      <c r="Q30" s="22"/>
      <c r="R30" s="22"/>
      <c r="S30" s="22"/>
    </row>
    <row r="31" spans="1:19" ht="18" customHeight="1" x14ac:dyDescent="0.15">
      <c r="A31" s="3"/>
      <c r="B31" s="114"/>
      <c r="C31" s="115"/>
      <c r="D31" s="115"/>
      <c r="E31" s="116"/>
      <c r="F31" s="23"/>
      <c r="G31" s="23"/>
      <c r="H31" s="24"/>
      <c r="I31" s="24"/>
      <c r="J31" s="114"/>
      <c r="K31" s="115"/>
      <c r="L31" s="115"/>
      <c r="M31" s="115"/>
      <c r="N31" s="115"/>
      <c r="O31" s="116"/>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114</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1" t="s">
        <v>53</v>
      </c>
      <c r="C35" s="97"/>
      <c r="D35" s="97"/>
      <c r="E35" s="92"/>
      <c r="F35" s="59" t="s">
        <v>80</v>
      </c>
      <c r="G35" s="58" t="s">
        <v>84</v>
      </c>
      <c r="H35" s="20" t="s">
        <v>71</v>
      </c>
      <c r="I35" s="20" t="s">
        <v>72</v>
      </c>
      <c r="J35" s="91" t="s">
        <v>53</v>
      </c>
      <c r="K35" s="97"/>
      <c r="L35" s="97"/>
      <c r="M35" s="97"/>
      <c r="N35" s="97"/>
      <c r="O35" s="92"/>
      <c r="P35" s="59" t="s">
        <v>80</v>
      </c>
      <c r="Q35" s="58" t="s">
        <v>84</v>
      </c>
      <c r="R35" s="20" t="s">
        <v>71</v>
      </c>
      <c r="S35" s="20" t="s">
        <v>72</v>
      </c>
    </row>
    <row r="36" spans="1:19" ht="18" customHeight="1" x14ac:dyDescent="0.15">
      <c r="B36" s="111" t="s">
        <v>159</v>
      </c>
      <c r="C36" s="112"/>
      <c r="D36" s="112"/>
      <c r="E36" s="113"/>
      <c r="F36" s="21">
        <v>2</v>
      </c>
      <c r="G36" s="21" t="s">
        <v>153</v>
      </c>
      <c r="H36" s="21" t="s">
        <v>153</v>
      </c>
      <c r="I36" s="21" t="s">
        <v>153</v>
      </c>
      <c r="J36" s="111"/>
      <c r="K36" s="112"/>
      <c r="L36" s="112"/>
      <c r="M36" s="112"/>
      <c r="N36" s="112"/>
      <c r="O36" s="113"/>
      <c r="P36" s="21"/>
      <c r="Q36" s="21"/>
      <c r="R36" s="21"/>
      <c r="S36" s="21"/>
    </row>
    <row r="37" spans="1:19" ht="18" customHeight="1" x14ac:dyDescent="0.15">
      <c r="B37" s="108"/>
      <c r="C37" s="109"/>
      <c r="D37" s="109"/>
      <c r="E37" s="110"/>
      <c r="F37" s="22"/>
      <c r="G37" s="22"/>
      <c r="H37" s="22"/>
      <c r="I37" s="22"/>
      <c r="J37" s="108"/>
      <c r="K37" s="109"/>
      <c r="L37" s="109"/>
      <c r="M37" s="109"/>
      <c r="N37" s="109"/>
      <c r="O37" s="110"/>
      <c r="P37" s="22"/>
      <c r="Q37" s="22"/>
      <c r="R37" s="22"/>
      <c r="S37" s="22"/>
    </row>
    <row r="38" spans="1:19" ht="18" customHeight="1" x14ac:dyDescent="0.15">
      <c r="B38" s="108"/>
      <c r="C38" s="109"/>
      <c r="D38" s="109"/>
      <c r="E38" s="110"/>
      <c r="F38" s="22"/>
      <c r="G38" s="22"/>
      <c r="H38" s="22"/>
      <c r="I38" s="22"/>
      <c r="J38" s="108"/>
      <c r="K38" s="109"/>
      <c r="L38" s="109"/>
      <c r="M38" s="109"/>
      <c r="N38" s="109"/>
      <c r="O38" s="110"/>
      <c r="P38" s="22"/>
      <c r="Q38" s="22"/>
      <c r="R38" s="22"/>
      <c r="S38" s="22"/>
    </row>
    <row r="39" spans="1:19" ht="18" customHeight="1" x14ac:dyDescent="0.15">
      <c r="B39" s="108"/>
      <c r="C39" s="109"/>
      <c r="D39" s="109"/>
      <c r="E39" s="110"/>
      <c r="F39" s="22"/>
      <c r="G39" s="22"/>
      <c r="H39" s="22"/>
      <c r="I39" s="22"/>
      <c r="J39" s="108"/>
      <c r="K39" s="109"/>
      <c r="L39" s="109"/>
      <c r="M39" s="109"/>
      <c r="N39" s="109"/>
      <c r="O39" s="110"/>
      <c r="P39" s="22"/>
      <c r="Q39" s="22"/>
      <c r="R39" s="22"/>
      <c r="S39" s="22"/>
    </row>
    <row r="40" spans="1:19" ht="18" customHeight="1" x14ac:dyDescent="0.15">
      <c r="B40" s="108"/>
      <c r="C40" s="109"/>
      <c r="D40" s="109"/>
      <c r="E40" s="110"/>
      <c r="F40" s="22"/>
      <c r="G40" s="22"/>
      <c r="H40" s="22"/>
      <c r="I40" s="22"/>
      <c r="J40" s="108"/>
      <c r="K40" s="109"/>
      <c r="L40" s="109"/>
      <c r="M40" s="109"/>
      <c r="N40" s="109"/>
      <c r="O40" s="110"/>
      <c r="P40" s="22"/>
      <c r="Q40" s="22"/>
      <c r="R40" s="22"/>
      <c r="S40" s="22"/>
    </row>
    <row r="41" spans="1:19" ht="18" customHeight="1" x14ac:dyDescent="0.15">
      <c r="B41" s="108"/>
      <c r="C41" s="109"/>
      <c r="D41" s="109"/>
      <c r="E41" s="110"/>
      <c r="F41" s="22"/>
      <c r="G41" s="22"/>
      <c r="H41" s="22"/>
      <c r="I41" s="22"/>
      <c r="J41" s="108"/>
      <c r="K41" s="109"/>
      <c r="L41" s="109"/>
      <c r="M41" s="109"/>
      <c r="N41" s="109"/>
      <c r="O41" s="110"/>
      <c r="P41" s="22"/>
      <c r="Q41" s="22"/>
      <c r="R41" s="22"/>
      <c r="S41" s="22"/>
    </row>
    <row r="42" spans="1:19" ht="18" customHeight="1" x14ac:dyDescent="0.15">
      <c r="B42" s="114"/>
      <c r="C42" s="115"/>
      <c r="D42" s="115"/>
      <c r="E42" s="116"/>
      <c r="F42" s="23"/>
      <c r="G42" s="23"/>
      <c r="H42" s="24"/>
      <c r="I42" s="24"/>
      <c r="J42" s="114"/>
      <c r="K42" s="115"/>
      <c r="L42" s="115"/>
      <c r="M42" s="115"/>
      <c r="N42" s="115"/>
      <c r="O42" s="116"/>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115</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1" t="s">
        <v>53</v>
      </c>
      <c r="C46" s="97"/>
      <c r="D46" s="97"/>
      <c r="E46" s="92"/>
      <c r="F46" s="59" t="s">
        <v>80</v>
      </c>
      <c r="G46" s="58" t="s">
        <v>84</v>
      </c>
      <c r="H46" s="20" t="s">
        <v>73</v>
      </c>
      <c r="I46" s="20" t="s">
        <v>74</v>
      </c>
      <c r="J46" s="91" t="s">
        <v>53</v>
      </c>
      <c r="K46" s="97"/>
      <c r="L46" s="97"/>
      <c r="M46" s="97"/>
      <c r="N46" s="97"/>
      <c r="O46" s="92"/>
      <c r="P46" s="59" t="s">
        <v>80</v>
      </c>
      <c r="Q46" s="58" t="s">
        <v>84</v>
      </c>
      <c r="R46" s="20" t="s">
        <v>73</v>
      </c>
      <c r="S46" s="20" t="s">
        <v>74</v>
      </c>
    </row>
    <row r="47" spans="1:19" ht="18" customHeight="1" x14ac:dyDescent="0.15">
      <c r="A47" s="3"/>
      <c r="B47" s="111" t="s">
        <v>159</v>
      </c>
      <c r="C47" s="112"/>
      <c r="D47" s="112"/>
      <c r="E47" s="113"/>
      <c r="F47" s="21">
        <v>2</v>
      </c>
      <c r="G47" s="21" t="s">
        <v>153</v>
      </c>
      <c r="H47" s="21" t="s">
        <v>153</v>
      </c>
      <c r="I47" s="21" t="s">
        <v>153</v>
      </c>
      <c r="J47" s="111"/>
      <c r="K47" s="112"/>
      <c r="L47" s="112"/>
      <c r="M47" s="112"/>
      <c r="N47" s="112"/>
      <c r="O47" s="113"/>
      <c r="P47" s="21"/>
      <c r="Q47" s="21"/>
      <c r="R47" s="21"/>
      <c r="S47" s="21"/>
    </row>
    <row r="48" spans="1:19" ht="18" customHeight="1" x14ac:dyDescent="0.15">
      <c r="A48" s="3"/>
      <c r="B48" s="108"/>
      <c r="C48" s="109"/>
      <c r="D48" s="109"/>
      <c r="E48" s="110"/>
      <c r="F48" s="22"/>
      <c r="G48" s="22"/>
      <c r="H48" s="22"/>
      <c r="I48" s="22"/>
      <c r="J48" s="108"/>
      <c r="K48" s="109"/>
      <c r="L48" s="109"/>
      <c r="M48" s="109"/>
      <c r="N48" s="109"/>
      <c r="O48" s="110"/>
      <c r="P48" s="22"/>
      <c r="Q48" s="22"/>
      <c r="R48" s="22"/>
      <c r="S48" s="22"/>
    </row>
    <row r="49" spans="1:19" ht="18" customHeight="1" x14ac:dyDescent="0.15">
      <c r="A49" s="3"/>
      <c r="B49" s="108"/>
      <c r="C49" s="109"/>
      <c r="D49" s="109"/>
      <c r="E49" s="110"/>
      <c r="F49" s="22"/>
      <c r="G49" s="22"/>
      <c r="H49" s="22"/>
      <c r="I49" s="22"/>
      <c r="J49" s="108"/>
      <c r="K49" s="109"/>
      <c r="L49" s="109"/>
      <c r="M49" s="109"/>
      <c r="N49" s="109"/>
      <c r="O49" s="110"/>
      <c r="P49" s="22"/>
      <c r="Q49" s="22"/>
      <c r="R49" s="22"/>
      <c r="S49" s="22"/>
    </row>
    <row r="50" spans="1:19" ht="18" customHeight="1" x14ac:dyDescent="0.15">
      <c r="A50" s="3"/>
      <c r="B50" s="108"/>
      <c r="C50" s="109"/>
      <c r="D50" s="109"/>
      <c r="E50" s="110"/>
      <c r="F50" s="22"/>
      <c r="G50" s="22"/>
      <c r="H50" s="22"/>
      <c r="I50" s="22"/>
      <c r="J50" s="108"/>
      <c r="K50" s="109"/>
      <c r="L50" s="109"/>
      <c r="M50" s="109"/>
      <c r="N50" s="109"/>
      <c r="O50" s="110"/>
      <c r="P50" s="22"/>
      <c r="Q50" s="22"/>
      <c r="R50" s="22"/>
      <c r="S50" s="22"/>
    </row>
    <row r="51" spans="1:19" ht="18" customHeight="1" x14ac:dyDescent="0.15">
      <c r="A51" s="3"/>
      <c r="B51" s="108"/>
      <c r="C51" s="109"/>
      <c r="D51" s="109"/>
      <c r="E51" s="110"/>
      <c r="F51" s="22"/>
      <c r="G51" s="22"/>
      <c r="H51" s="22"/>
      <c r="I51" s="22"/>
      <c r="J51" s="108"/>
      <c r="K51" s="109"/>
      <c r="L51" s="109"/>
      <c r="M51" s="109"/>
      <c r="N51" s="109"/>
      <c r="O51" s="110"/>
      <c r="P51" s="22"/>
      <c r="Q51" s="22"/>
      <c r="R51" s="22"/>
      <c r="S51" s="22"/>
    </row>
    <row r="52" spans="1:19" ht="18" customHeight="1" x14ac:dyDescent="0.15">
      <c r="A52" s="3"/>
      <c r="B52" s="108"/>
      <c r="C52" s="109"/>
      <c r="D52" s="109"/>
      <c r="E52" s="110"/>
      <c r="F52" s="22"/>
      <c r="G52" s="22"/>
      <c r="H52" s="22"/>
      <c r="I52" s="22"/>
      <c r="J52" s="108"/>
      <c r="K52" s="109"/>
      <c r="L52" s="109"/>
      <c r="M52" s="109"/>
      <c r="N52" s="109"/>
      <c r="O52" s="110"/>
      <c r="P52" s="22"/>
      <c r="Q52" s="22"/>
      <c r="R52" s="22"/>
      <c r="S52" s="22"/>
    </row>
    <row r="53" spans="1:19" ht="18" customHeight="1" x14ac:dyDescent="0.15">
      <c r="A53" s="3"/>
      <c r="B53" s="114"/>
      <c r="C53" s="115"/>
      <c r="D53" s="115"/>
      <c r="E53" s="116"/>
      <c r="F53" s="23"/>
      <c r="G53" s="23"/>
      <c r="H53" s="24"/>
      <c r="I53" s="24"/>
      <c r="J53" s="114"/>
      <c r="K53" s="115"/>
      <c r="L53" s="115"/>
      <c r="M53" s="115"/>
      <c r="N53" s="115"/>
      <c r="O53" s="116"/>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116</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1" t="s">
        <v>53</v>
      </c>
      <c r="C57" s="97"/>
      <c r="D57" s="97"/>
      <c r="E57" s="92"/>
      <c r="F57" s="59" t="s">
        <v>80</v>
      </c>
      <c r="G57" s="58" t="s">
        <v>84</v>
      </c>
      <c r="H57" s="20" t="s">
        <v>58</v>
      </c>
      <c r="I57" s="20" t="s">
        <v>60</v>
      </c>
      <c r="J57" s="91" t="s">
        <v>53</v>
      </c>
      <c r="K57" s="97"/>
      <c r="L57" s="97"/>
      <c r="M57" s="97"/>
      <c r="N57" s="97"/>
      <c r="O57" s="92"/>
      <c r="P57" s="59" t="s">
        <v>80</v>
      </c>
      <c r="Q57" s="58" t="s">
        <v>84</v>
      </c>
      <c r="R57" s="20" t="s">
        <v>58</v>
      </c>
      <c r="S57" s="20" t="s">
        <v>60</v>
      </c>
    </row>
    <row r="58" spans="1:19" ht="18" customHeight="1" x14ac:dyDescent="0.15">
      <c r="A58" s="3"/>
      <c r="B58" s="111" t="s">
        <v>160</v>
      </c>
      <c r="C58" s="112"/>
      <c r="D58" s="112"/>
      <c r="E58" s="113"/>
      <c r="F58" s="21">
        <v>2</v>
      </c>
      <c r="G58" s="21" t="s">
        <v>153</v>
      </c>
      <c r="H58" s="21" t="s">
        <v>153</v>
      </c>
      <c r="I58" s="21" t="s">
        <v>153</v>
      </c>
      <c r="J58" s="111"/>
      <c r="K58" s="112"/>
      <c r="L58" s="112"/>
      <c r="M58" s="112"/>
      <c r="N58" s="112"/>
      <c r="O58" s="113"/>
      <c r="P58" s="21"/>
      <c r="Q58" s="21"/>
      <c r="R58" s="21"/>
      <c r="S58" s="21"/>
    </row>
    <row r="59" spans="1:19" ht="18" customHeight="1" x14ac:dyDescent="0.15">
      <c r="A59" s="3"/>
      <c r="B59" s="108"/>
      <c r="C59" s="109"/>
      <c r="D59" s="109"/>
      <c r="E59" s="110"/>
      <c r="F59" s="22"/>
      <c r="G59" s="22"/>
      <c r="H59" s="22"/>
      <c r="I59" s="22"/>
      <c r="J59" s="108"/>
      <c r="K59" s="109"/>
      <c r="L59" s="109"/>
      <c r="M59" s="109"/>
      <c r="N59" s="109"/>
      <c r="O59" s="110"/>
      <c r="P59" s="22"/>
      <c r="Q59" s="22"/>
      <c r="R59" s="22"/>
      <c r="S59" s="22"/>
    </row>
    <row r="60" spans="1:19" ht="18" customHeight="1" x14ac:dyDescent="0.15">
      <c r="A60" s="3"/>
      <c r="B60" s="108"/>
      <c r="C60" s="109"/>
      <c r="D60" s="109"/>
      <c r="E60" s="110"/>
      <c r="F60" s="22"/>
      <c r="G60" s="22"/>
      <c r="H60" s="22"/>
      <c r="I60" s="22"/>
      <c r="J60" s="108"/>
      <c r="K60" s="109"/>
      <c r="L60" s="109"/>
      <c r="M60" s="109"/>
      <c r="N60" s="109"/>
      <c r="O60" s="110"/>
      <c r="P60" s="22"/>
      <c r="Q60" s="22"/>
      <c r="R60" s="22"/>
      <c r="S60" s="22"/>
    </row>
    <row r="61" spans="1:19" ht="18" customHeight="1" x14ac:dyDescent="0.15">
      <c r="A61" s="3"/>
      <c r="B61" s="108"/>
      <c r="C61" s="109"/>
      <c r="D61" s="109"/>
      <c r="E61" s="110"/>
      <c r="F61" s="22"/>
      <c r="G61" s="22"/>
      <c r="H61" s="22"/>
      <c r="I61" s="22"/>
      <c r="J61" s="108"/>
      <c r="K61" s="109"/>
      <c r="L61" s="109"/>
      <c r="M61" s="109"/>
      <c r="N61" s="109"/>
      <c r="O61" s="110"/>
      <c r="P61" s="22"/>
      <c r="Q61" s="22"/>
      <c r="R61" s="22"/>
      <c r="S61" s="22"/>
    </row>
    <row r="62" spans="1:19" ht="18" customHeight="1" x14ac:dyDescent="0.15">
      <c r="A62" s="3"/>
      <c r="B62" s="108"/>
      <c r="C62" s="109"/>
      <c r="D62" s="109"/>
      <c r="E62" s="110"/>
      <c r="F62" s="22"/>
      <c r="G62" s="22"/>
      <c r="H62" s="22"/>
      <c r="I62" s="22"/>
      <c r="J62" s="108"/>
      <c r="K62" s="109"/>
      <c r="L62" s="109"/>
      <c r="M62" s="109"/>
      <c r="N62" s="109"/>
      <c r="O62" s="110"/>
      <c r="P62" s="22"/>
      <c r="Q62" s="22"/>
      <c r="R62" s="22"/>
      <c r="S62" s="22"/>
    </row>
    <row r="63" spans="1:19" ht="18" customHeight="1" x14ac:dyDescent="0.15">
      <c r="A63" s="3"/>
      <c r="B63" s="108"/>
      <c r="C63" s="109"/>
      <c r="D63" s="109"/>
      <c r="E63" s="110"/>
      <c r="F63" s="22"/>
      <c r="G63" s="22"/>
      <c r="H63" s="22"/>
      <c r="I63" s="22"/>
      <c r="J63" s="108"/>
      <c r="K63" s="109"/>
      <c r="L63" s="109"/>
      <c r="M63" s="109"/>
      <c r="N63" s="109"/>
      <c r="O63" s="110"/>
      <c r="P63" s="22"/>
      <c r="Q63" s="22"/>
      <c r="R63" s="22"/>
      <c r="S63" s="22"/>
    </row>
    <row r="64" spans="1:19" ht="18" customHeight="1" x14ac:dyDescent="0.15">
      <c r="A64" s="3"/>
      <c r="B64" s="114"/>
      <c r="C64" s="115"/>
      <c r="D64" s="115"/>
      <c r="E64" s="116"/>
      <c r="F64" s="23"/>
      <c r="G64" s="23"/>
      <c r="H64" s="24"/>
      <c r="I64" s="24"/>
      <c r="J64" s="114"/>
      <c r="K64" s="115"/>
      <c r="L64" s="115"/>
      <c r="M64" s="115"/>
      <c r="N64" s="115"/>
      <c r="O64" s="116"/>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117</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1" t="s">
        <v>53</v>
      </c>
      <c r="C68" s="97"/>
      <c r="D68" s="97"/>
      <c r="E68" s="59" t="s">
        <v>80</v>
      </c>
      <c r="F68" s="58" t="s">
        <v>84</v>
      </c>
      <c r="G68" s="20" t="s">
        <v>101</v>
      </c>
      <c r="H68" s="20" t="s">
        <v>75</v>
      </c>
      <c r="I68" s="20" t="s">
        <v>76</v>
      </c>
      <c r="J68" s="91" t="s">
        <v>53</v>
      </c>
      <c r="K68" s="97"/>
      <c r="L68" s="97"/>
      <c r="M68" s="97"/>
      <c r="N68" s="92"/>
      <c r="O68" s="59" t="s">
        <v>80</v>
      </c>
      <c r="P68" s="58" t="s">
        <v>84</v>
      </c>
      <c r="Q68" s="20" t="s">
        <v>101</v>
      </c>
      <c r="R68" s="20" t="s">
        <v>75</v>
      </c>
      <c r="S68" s="20" t="s">
        <v>76</v>
      </c>
    </row>
    <row r="69" spans="1:19" ht="18" customHeight="1" x14ac:dyDescent="0.15">
      <c r="A69" s="3"/>
      <c r="B69" s="111" t="s">
        <v>155</v>
      </c>
      <c r="C69" s="112"/>
      <c r="D69" s="112"/>
      <c r="E69" s="21">
        <v>2</v>
      </c>
      <c r="F69" s="21" t="s">
        <v>153</v>
      </c>
      <c r="G69" s="21" t="s">
        <v>153</v>
      </c>
      <c r="H69" s="21" t="s">
        <v>153</v>
      </c>
      <c r="I69" s="21"/>
      <c r="J69" s="111"/>
      <c r="K69" s="112"/>
      <c r="L69" s="112"/>
      <c r="M69" s="112"/>
      <c r="N69" s="113"/>
      <c r="O69" s="21"/>
      <c r="P69" s="21"/>
      <c r="Q69" s="21"/>
      <c r="R69" s="21"/>
      <c r="S69" s="21"/>
    </row>
    <row r="70" spans="1:19" ht="18" customHeight="1" x14ac:dyDescent="0.15">
      <c r="A70" s="3"/>
      <c r="B70" s="108" t="s">
        <v>156</v>
      </c>
      <c r="C70" s="109"/>
      <c r="D70" s="109"/>
      <c r="E70" s="22">
        <v>2</v>
      </c>
      <c r="F70" s="22" t="s">
        <v>153</v>
      </c>
      <c r="G70" s="22"/>
      <c r="H70" s="22" t="s">
        <v>153</v>
      </c>
      <c r="I70" s="22" t="s">
        <v>153</v>
      </c>
      <c r="J70" s="108"/>
      <c r="K70" s="109"/>
      <c r="L70" s="109"/>
      <c r="M70" s="109"/>
      <c r="N70" s="110"/>
      <c r="O70" s="22"/>
      <c r="P70" s="22"/>
      <c r="Q70" s="22"/>
      <c r="R70" s="22"/>
      <c r="S70" s="22"/>
    </row>
    <row r="71" spans="1:19" ht="18" customHeight="1" x14ac:dyDescent="0.15">
      <c r="A71" s="3"/>
      <c r="B71" s="108"/>
      <c r="C71" s="109"/>
      <c r="D71" s="109"/>
      <c r="E71" s="22"/>
      <c r="F71" s="22"/>
      <c r="G71" s="22"/>
      <c r="H71" s="22"/>
      <c r="I71" s="22"/>
      <c r="J71" s="108"/>
      <c r="K71" s="109"/>
      <c r="L71" s="109"/>
      <c r="M71" s="109"/>
      <c r="N71" s="110"/>
      <c r="O71" s="22"/>
      <c r="P71" s="22"/>
      <c r="Q71" s="22"/>
      <c r="R71" s="22"/>
      <c r="S71" s="22"/>
    </row>
    <row r="72" spans="1:19" ht="18" customHeight="1" x14ac:dyDescent="0.15">
      <c r="A72" s="3"/>
      <c r="B72" s="108"/>
      <c r="C72" s="109"/>
      <c r="D72" s="109"/>
      <c r="E72" s="22"/>
      <c r="F72" s="22"/>
      <c r="G72" s="22"/>
      <c r="H72" s="22"/>
      <c r="I72" s="22"/>
      <c r="J72" s="108"/>
      <c r="K72" s="109"/>
      <c r="L72" s="109"/>
      <c r="M72" s="109"/>
      <c r="N72" s="110"/>
      <c r="O72" s="22"/>
      <c r="P72" s="22"/>
      <c r="Q72" s="22"/>
      <c r="R72" s="22"/>
      <c r="S72" s="22"/>
    </row>
    <row r="73" spans="1:19" ht="18" customHeight="1" x14ac:dyDescent="0.15">
      <c r="A73" s="3"/>
      <c r="B73" s="108"/>
      <c r="C73" s="109"/>
      <c r="D73" s="109"/>
      <c r="E73" s="22"/>
      <c r="F73" s="22"/>
      <c r="G73" s="22"/>
      <c r="H73" s="22"/>
      <c r="I73" s="22"/>
      <c r="J73" s="108"/>
      <c r="K73" s="109"/>
      <c r="L73" s="109"/>
      <c r="M73" s="109"/>
      <c r="N73" s="110"/>
      <c r="O73" s="22"/>
      <c r="P73" s="22"/>
      <c r="Q73" s="22"/>
      <c r="R73" s="22"/>
      <c r="S73" s="22"/>
    </row>
    <row r="74" spans="1:19" ht="18" customHeight="1" x14ac:dyDescent="0.15">
      <c r="A74" s="3"/>
      <c r="B74" s="108"/>
      <c r="C74" s="109"/>
      <c r="D74" s="109"/>
      <c r="E74" s="22"/>
      <c r="F74" s="22"/>
      <c r="G74" s="22"/>
      <c r="H74" s="22"/>
      <c r="I74" s="22"/>
      <c r="J74" s="108"/>
      <c r="K74" s="109"/>
      <c r="L74" s="109"/>
      <c r="M74" s="109"/>
      <c r="N74" s="110"/>
      <c r="O74" s="22"/>
      <c r="P74" s="22"/>
      <c r="Q74" s="22"/>
      <c r="R74" s="22"/>
      <c r="S74" s="22"/>
    </row>
    <row r="75" spans="1:19" ht="18" customHeight="1" x14ac:dyDescent="0.15">
      <c r="A75" s="3"/>
      <c r="B75" s="114"/>
      <c r="C75" s="115"/>
      <c r="D75" s="115"/>
      <c r="E75" s="23"/>
      <c r="F75" s="23"/>
      <c r="G75" s="24"/>
      <c r="H75" s="24"/>
      <c r="I75" s="24"/>
      <c r="J75" s="114"/>
      <c r="K75" s="115"/>
      <c r="L75" s="115"/>
      <c r="M75" s="115"/>
      <c r="N75" s="116"/>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1" t="s">
        <v>53</v>
      </c>
      <c r="C78" s="97"/>
      <c r="D78" s="97"/>
      <c r="E78" s="92"/>
      <c r="F78" s="91" t="s">
        <v>82</v>
      </c>
      <c r="G78" s="97"/>
      <c r="H78" s="97"/>
      <c r="I78" s="92"/>
      <c r="J78" s="117" t="s">
        <v>53</v>
      </c>
      <c r="K78" s="118"/>
      <c r="L78" s="118"/>
      <c r="M78" s="118"/>
      <c r="N78" s="118"/>
      <c r="O78" s="119"/>
      <c r="P78" s="91" t="s">
        <v>82</v>
      </c>
      <c r="Q78" s="97"/>
      <c r="R78" s="97"/>
      <c r="S78" s="92"/>
    </row>
    <row r="79" spans="1:19" ht="18" customHeight="1" x14ac:dyDescent="0.15">
      <c r="A79" s="3"/>
      <c r="B79" s="111"/>
      <c r="C79" s="112"/>
      <c r="D79" s="112"/>
      <c r="E79" s="113"/>
      <c r="F79" s="120"/>
      <c r="G79" s="121"/>
      <c r="H79" s="121"/>
      <c r="I79" s="122"/>
      <c r="J79" s="111"/>
      <c r="K79" s="112"/>
      <c r="L79" s="112"/>
      <c r="M79" s="112"/>
      <c r="N79" s="112"/>
      <c r="O79" s="113"/>
      <c r="P79" s="120"/>
      <c r="Q79" s="121"/>
      <c r="R79" s="121"/>
      <c r="S79" s="122"/>
    </row>
    <row r="80" spans="1:19" ht="18" customHeight="1" x14ac:dyDescent="0.15">
      <c r="A80" s="3"/>
      <c r="B80" s="108"/>
      <c r="C80" s="109"/>
      <c r="D80" s="109"/>
      <c r="E80" s="110"/>
      <c r="F80" s="123"/>
      <c r="G80" s="124"/>
      <c r="H80" s="124"/>
      <c r="I80" s="125"/>
      <c r="J80" s="108"/>
      <c r="K80" s="109"/>
      <c r="L80" s="109"/>
      <c r="M80" s="109"/>
      <c r="N80" s="109"/>
      <c r="O80" s="110"/>
      <c r="P80" s="123"/>
      <c r="Q80" s="124"/>
      <c r="R80" s="124"/>
      <c r="S80" s="125"/>
    </row>
    <row r="81" spans="1:19" ht="18" customHeight="1" x14ac:dyDescent="0.15">
      <c r="A81" s="3"/>
      <c r="B81" s="108"/>
      <c r="C81" s="109"/>
      <c r="D81" s="109"/>
      <c r="E81" s="110"/>
      <c r="F81" s="123"/>
      <c r="G81" s="124"/>
      <c r="H81" s="124"/>
      <c r="I81" s="125"/>
      <c r="J81" s="108"/>
      <c r="K81" s="109"/>
      <c r="L81" s="109"/>
      <c r="M81" s="109"/>
      <c r="N81" s="109"/>
      <c r="O81" s="110"/>
      <c r="P81" s="123"/>
      <c r="Q81" s="124"/>
      <c r="R81" s="124"/>
      <c r="S81" s="125"/>
    </row>
    <row r="82" spans="1:19" ht="18" customHeight="1" x14ac:dyDescent="0.15">
      <c r="A82" s="3"/>
      <c r="B82" s="108"/>
      <c r="C82" s="109"/>
      <c r="D82" s="109"/>
      <c r="E82" s="110"/>
      <c r="F82" s="123"/>
      <c r="G82" s="124"/>
      <c r="H82" s="124"/>
      <c r="I82" s="125"/>
      <c r="J82" s="108"/>
      <c r="K82" s="109"/>
      <c r="L82" s="109"/>
      <c r="M82" s="109"/>
      <c r="N82" s="109"/>
      <c r="O82" s="110"/>
      <c r="P82" s="123"/>
      <c r="Q82" s="124"/>
      <c r="R82" s="124"/>
      <c r="S82" s="125"/>
    </row>
    <row r="83" spans="1:19" ht="18" customHeight="1" x14ac:dyDescent="0.15">
      <c r="A83" s="3"/>
      <c r="B83" s="108"/>
      <c r="C83" s="109"/>
      <c r="D83" s="109"/>
      <c r="E83" s="110"/>
      <c r="F83" s="123"/>
      <c r="G83" s="124"/>
      <c r="H83" s="124"/>
      <c r="I83" s="125"/>
      <c r="J83" s="108"/>
      <c r="K83" s="109"/>
      <c r="L83" s="109"/>
      <c r="M83" s="109"/>
      <c r="N83" s="109"/>
      <c r="O83" s="110"/>
      <c r="P83" s="123"/>
      <c r="Q83" s="124"/>
      <c r="R83" s="124"/>
      <c r="S83" s="125"/>
    </row>
    <row r="84" spans="1:19" ht="18" customHeight="1" x14ac:dyDescent="0.15">
      <c r="A84" s="3"/>
      <c r="B84" s="108"/>
      <c r="C84" s="109"/>
      <c r="D84" s="109"/>
      <c r="E84" s="110"/>
      <c r="F84" s="123"/>
      <c r="G84" s="124"/>
      <c r="H84" s="124"/>
      <c r="I84" s="125"/>
      <c r="J84" s="108"/>
      <c r="K84" s="109"/>
      <c r="L84" s="109"/>
      <c r="M84" s="109"/>
      <c r="N84" s="109"/>
      <c r="O84" s="110"/>
      <c r="P84" s="123"/>
      <c r="Q84" s="124"/>
      <c r="R84" s="124"/>
      <c r="S84" s="125"/>
    </row>
    <row r="85" spans="1:19" ht="18" customHeight="1" x14ac:dyDescent="0.15">
      <c r="A85" s="3"/>
      <c r="B85" s="114"/>
      <c r="C85" s="115"/>
      <c r="D85" s="115"/>
      <c r="E85" s="116"/>
      <c r="F85" s="140"/>
      <c r="G85" s="141"/>
      <c r="H85" s="141"/>
      <c r="I85" s="142"/>
      <c r="J85" s="114"/>
      <c r="K85" s="115"/>
      <c r="L85" s="115"/>
      <c r="M85" s="115"/>
      <c r="N85" s="115"/>
      <c r="O85" s="116"/>
      <c r="P85" s="140"/>
      <c r="Q85" s="141"/>
      <c r="R85" s="141"/>
      <c r="S85" s="142"/>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119</v>
      </c>
    </row>
    <row r="88" spans="1:19" ht="18.75" customHeight="1" x14ac:dyDescent="0.15">
      <c r="B88" s="126" t="s">
        <v>54</v>
      </c>
      <c r="C88" s="127"/>
      <c r="D88" s="97" t="s">
        <v>55</v>
      </c>
      <c r="E88" s="97"/>
      <c r="F88" s="97"/>
      <c r="G88" s="97"/>
      <c r="H88" s="97"/>
      <c r="I88" s="97"/>
      <c r="J88" s="97"/>
      <c r="K88" s="97"/>
      <c r="L88" s="97"/>
      <c r="M88" s="97"/>
      <c r="N88" s="97"/>
      <c r="O88" s="97"/>
      <c r="P88" s="97"/>
      <c r="Q88" s="97"/>
      <c r="R88" s="97"/>
      <c r="S88" s="92"/>
    </row>
    <row r="89" spans="1:19" ht="124.5" customHeight="1" x14ac:dyDescent="0.15">
      <c r="B89" s="128" t="s">
        <v>61</v>
      </c>
      <c r="C89" s="26" t="s">
        <v>56</v>
      </c>
      <c r="D89" s="83" t="s">
        <v>182</v>
      </c>
      <c r="E89" s="83"/>
      <c r="F89" s="83"/>
      <c r="G89" s="83"/>
      <c r="H89" s="83"/>
      <c r="I89" s="83"/>
      <c r="J89" s="83"/>
      <c r="K89" s="83"/>
      <c r="L89" s="83"/>
      <c r="M89" s="83"/>
      <c r="N89" s="83"/>
      <c r="O89" s="83"/>
      <c r="P89" s="83"/>
      <c r="Q89" s="83"/>
      <c r="R89" s="83"/>
      <c r="S89" s="84"/>
    </row>
    <row r="90" spans="1:19" ht="78.75" customHeight="1" x14ac:dyDescent="0.15">
      <c r="B90" s="129"/>
      <c r="C90" s="27" t="s">
        <v>77</v>
      </c>
      <c r="D90" s="130" t="s">
        <v>183</v>
      </c>
      <c r="E90" s="131"/>
      <c r="F90" s="131"/>
      <c r="G90" s="131"/>
      <c r="H90" s="131"/>
      <c r="I90" s="131"/>
      <c r="J90" s="131"/>
      <c r="K90" s="131"/>
      <c r="L90" s="131"/>
      <c r="M90" s="131"/>
      <c r="N90" s="131"/>
      <c r="O90" s="131"/>
      <c r="P90" s="131"/>
      <c r="Q90" s="131"/>
      <c r="R90" s="131"/>
      <c r="S90" s="132"/>
    </row>
    <row r="91" spans="1:19" ht="110.1" customHeight="1" x14ac:dyDescent="0.15">
      <c r="B91" s="128" t="s">
        <v>62</v>
      </c>
      <c r="C91" s="28" t="s">
        <v>71</v>
      </c>
      <c r="D91" s="134" t="s">
        <v>189</v>
      </c>
      <c r="E91" s="135"/>
      <c r="F91" s="135"/>
      <c r="G91" s="135"/>
      <c r="H91" s="135"/>
      <c r="I91" s="135"/>
      <c r="J91" s="135"/>
      <c r="K91" s="135"/>
      <c r="L91" s="135"/>
      <c r="M91" s="135"/>
      <c r="N91" s="135"/>
      <c r="O91" s="135"/>
      <c r="P91" s="135"/>
      <c r="Q91" s="135"/>
      <c r="R91" s="135"/>
      <c r="S91" s="136"/>
    </row>
    <row r="92" spans="1:19" ht="88.5" customHeight="1" x14ac:dyDescent="0.15">
      <c r="B92" s="133"/>
      <c r="C92" s="29" t="s">
        <v>72</v>
      </c>
      <c r="D92" s="137" t="s">
        <v>184</v>
      </c>
      <c r="E92" s="138"/>
      <c r="F92" s="138"/>
      <c r="G92" s="138"/>
      <c r="H92" s="138"/>
      <c r="I92" s="138"/>
      <c r="J92" s="138"/>
      <c r="K92" s="138"/>
      <c r="L92" s="138"/>
      <c r="M92" s="138"/>
      <c r="N92" s="138"/>
      <c r="O92" s="138"/>
      <c r="P92" s="138"/>
      <c r="Q92" s="138"/>
      <c r="R92" s="138"/>
      <c r="S92" s="139"/>
    </row>
    <row r="93" spans="1:19" ht="156" customHeight="1" x14ac:dyDescent="0.15">
      <c r="B93" s="128" t="s">
        <v>63</v>
      </c>
      <c r="C93" s="28" t="s">
        <v>73</v>
      </c>
      <c r="D93" s="134" t="s">
        <v>185</v>
      </c>
      <c r="E93" s="135"/>
      <c r="F93" s="135"/>
      <c r="G93" s="135"/>
      <c r="H93" s="135"/>
      <c r="I93" s="135"/>
      <c r="J93" s="135"/>
      <c r="K93" s="135"/>
      <c r="L93" s="135"/>
      <c r="M93" s="135"/>
      <c r="N93" s="135"/>
      <c r="O93" s="135"/>
      <c r="P93" s="135"/>
      <c r="Q93" s="135"/>
      <c r="R93" s="135"/>
      <c r="S93" s="136"/>
    </row>
    <row r="94" spans="1:19" ht="99.75" customHeight="1" x14ac:dyDescent="0.15">
      <c r="B94" s="133"/>
      <c r="C94" s="30" t="s">
        <v>74</v>
      </c>
      <c r="D94" s="89" t="s">
        <v>186</v>
      </c>
      <c r="E94" s="146"/>
      <c r="F94" s="146"/>
      <c r="G94" s="146"/>
      <c r="H94" s="146"/>
      <c r="I94" s="146"/>
      <c r="J94" s="146"/>
      <c r="K94" s="146"/>
      <c r="L94" s="146"/>
      <c r="M94" s="146"/>
      <c r="N94" s="146"/>
      <c r="O94" s="146"/>
      <c r="P94" s="146"/>
      <c r="Q94" s="146"/>
      <c r="R94" s="146"/>
      <c r="S94" s="147"/>
    </row>
    <row r="95" spans="1:19" ht="144" customHeight="1" x14ac:dyDescent="0.15">
      <c r="B95" s="128" t="s">
        <v>78</v>
      </c>
      <c r="C95" s="26" t="s">
        <v>58</v>
      </c>
      <c r="D95" s="83" t="s">
        <v>187</v>
      </c>
      <c r="E95" s="151"/>
      <c r="F95" s="151"/>
      <c r="G95" s="151"/>
      <c r="H95" s="151"/>
      <c r="I95" s="151"/>
      <c r="J95" s="151"/>
      <c r="K95" s="151"/>
      <c r="L95" s="151"/>
      <c r="M95" s="151"/>
      <c r="N95" s="151"/>
      <c r="O95" s="151"/>
      <c r="P95" s="151"/>
      <c r="Q95" s="151"/>
      <c r="R95" s="151"/>
      <c r="S95" s="152"/>
    </row>
    <row r="96" spans="1:19" ht="72" customHeight="1" x14ac:dyDescent="0.15">
      <c r="B96" s="133"/>
      <c r="C96" s="29" t="s">
        <v>60</v>
      </c>
      <c r="D96" s="137" t="s">
        <v>188</v>
      </c>
      <c r="E96" s="138"/>
      <c r="F96" s="138"/>
      <c r="G96" s="138"/>
      <c r="H96" s="138"/>
      <c r="I96" s="138"/>
      <c r="J96" s="138"/>
      <c r="K96" s="138"/>
      <c r="L96" s="138"/>
      <c r="M96" s="138"/>
      <c r="N96" s="138"/>
      <c r="O96" s="138"/>
      <c r="P96" s="138"/>
      <c r="Q96" s="138"/>
      <c r="R96" s="138"/>
      <c r="S96" s="139"/>
    </row>
    <row r="97" spans="1:19" ht="150.75" customHeight="1" x14ac:dyDescent="0.15">
      <c r="B97" s="128" t="s">
        <v>79</v>
      </c>
      <c r="C97" s="28" t="s">
        <v>57</v>
      </c>
      <c r="D97" s="134" t="s">
        <v>180</v>
      </c>
      <c r="E97" s="135"/>
      <c r="F97" s="135"/>
      <c r="G97" s="135"/>
      <c r="H97" s="135"/>
      <c r="I97" s="135"/>
      <c r="J97" s="135"/>
      <c r="K97" s="135"/>
      <c r="L97" s="135"/>
      <c r="M97" s="135"/>
      <c r="N97" s="135"/>
      <c r="O97" s="135"/>
      <c r="P97" s="135"/>
      <c r="Q97" s="135"/>
      <c r="R97" s="135"/>
      <c r="S97" s="136"/>
    </row>
    <row r="98" spans="1:19" ht="145.5" customHeight="1" x14ac:dyDescent="0.15">
      <c r="B98" s="129"/>
      <c r="C98" s="31" t="s">
        <v>75</v>
      </c>
      <c r="D98" s="143" t="s">
        <v>173</v>
      </c>
      <c r="E98" s="144"/>
      <c r="F98" s="144"/>
      <c r="G98" s="144"/>
      <c r="H98" s="144"/>
      <c r="I98" s="144"/>
      <c r="J98" s="144"/>
      <c r="K98" s="144"/>
      <c r="L98" s="144"/>
      <c r="M98" s="144"/>
      <c r="N98" s="144"/>
      <c r="O98" s="144"/>
      <c r="P98" s="144"/>
      <c r="Q98" s="144"/>
      <c r="R98" s="144"/>
      <c r="S98" s="145"/>
    </row>
    <row r="99" spans="1:19" ht="85.5" customHeight="1" x14ac:dyDescent="0.15">
      <c r="B99" s="133"/>
      <c r="C99" s="30" t="s">
        <v>76</v>
      </c>
      <c r="D99" s="89" t="s">
        <v>181</v>
      </c>
      <c r="E99" s="146"/>
      <c r="F99" s="146"/>
      <c r="G99" s="146"/>
      <c r="H99" s="146"/>
      <c r="I99" s="146"/>
      <c r="J99" s="146"/>
      <c r="K99" s="146"/>
      <c r="L99" s="146"/>
      <c r="M99" s="146"/>
      <c r="N99" s="146"/>
      <c r="O99" s="146"/>
      <c r="P99" s="146"/>
      <c r="Q99" s="146"/>
      <c r="R99" s="146"/>
      <c r="S99" s="147"/>
    </row>
    <row r="100" spans="1:19" ht="6" customHeight="1" x14ac:dyDescent="0.15"/>
    <row r="101" spans="1:19" ht="18.75" customHeight="1" x14ac:dyDescent="0.15">
      <c r="A101" s="1" t="s">
        <v>120</v>
      </c>
    </row>
    <row r="102" spans="1:19" ht="81.75" customHeight="1" x14ac:dyDescent="0.15">
      <c r="B102" s="148" t="s">
        <v>167</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Q1:S1"/>
    <mergeCell ref="B13:S18"/>
    <mergeCell ref="C20:D20"/>
    <mergeCell ref="K20:S20"/>
    <mergeCell ref="A22:S23"/>
    <mergeCell ref="B24:E24"/>
    <mergeCell ref="J24:O24"/>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F465203E-01A4-4B0B-96B5-977CDFD3DFD7}">
      <formula1>"○"</formula1>
    </dataValidation>
    <dataValidation type="list" allowBlank="1" showInputMessage="1" showErrorMessage="1" sqref="S32 S43 D32:G32 D43:G43" xr:uid="{AB1503F2-1F7D-4D86-9593-735E26CBE3C0}">
      <formula1>"全学開講,一部開講"</formula1>
    </dataValidation>
    <dataValidation type="list" allowBlank="1" showInputMessage="1" showErrorMessage="1" sqref="K7 K12" xr:uid="{E490715F-CC57-485E-AC9B-08459C312D44}">
      <formula1>"学部・学科によって、修了要件は相違する,学部・学科によって、修了要件は相違しない"</formula1>
    </dataValidation>
    <dataValidation type="list" allowBlank="1" showInputMessage="1" showErrorMessage="1" sqref="F79:F86 P79:P86 G79:I80 G83:I86 Q83:S86 Q79:S80" xr:uid="{E69821D0-B478-4566-9CCF-F77B89D480B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3398D8DC-06AE-4379-B42E-4DC7D37BEEC9}">
      <formula1>$V$14:$V$16</formula1>
    </dataValidation>
  </dataValidations>
  <printOptions horizontalCentered="1"/>
  <pageMargins left="0.78740157480314965" right="0.78740157480314965" top="0.78740157480314965" bottom="0.19685039370078741" header="0.31496062992125984" footer="0.19685039370078741"/>
  <pageSetup paperSize="9" scale="71"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89" zoomScaleNormal="100" zoomScaleSheetLayoutView="89" workbookViewId="0">
      <selection activeCell="AQ32" sqref="AQ3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3"/>
      <c r="Q2" s="33"/>
      <c r="W2" s="33"/>
      <c r="AC2" s="33"/>
      <c r="AI2" s="33"/>
      <c r="AL2" s="33" t="s">
        <v>108</v>
      </c>
      <c r="AM2" s="156" t="s">
        <v>161</v>
      </c>
      <c r="AN2" s="156"/>
      <c r="AO2" s="156"/>
      <c r="AP2" s="156"/>
      <c r="AQ2" s="156"/>
    </row>
    <row r="3" spans="1:45" ht="18" customHeight="1" x14ac:dyDescent="0.15">
      <c r="A3" s="98" t="s">
        <v>47</v>
      </c>
      <c r="B3" s="98"/>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57" t="s">
        <v>129</v>
      </c>
      <c r="D5" s="15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9" t="s">
        <v>44</v>
      </c>
      <c r="C9" s="174" t="s">
        <v>86</v>
      </c>
      <c r="D9" s="162" t="s">
        <v>46</v>
      </c>
      <c r="E9" s="165" t="s">
        <v>39</v>
      </c>
      <c r="F9" s="155" t="s">
        <v>85</v>
      </c>
      <c r="G9" s="155"/>
      <c r="H9" s="155"/>
      <c r="I9" s="155"/>
      <c r="J9" s="155"/>
      <c r="K9" s="155"/>
      <c r="L9" s="155" t="s">
        <v>48</v>
      </c>
      <c r="M9" s="155"/>
      <c r="N9" s="155"/>
      <c r="O9" s="155"/>
      <c r="P9" s="155"/>
      <c r="Q9" s="155"/>
      <c r="R9" s="155" t="s">
        <v>49</v>
      </c>
      <c r="S9" s="155"/>
      <c r="T9" s="155"/>
      <c r="U9" s="155"/>
      <c r="V9" s="155"/>
      <c r="W9" s="155"/>
      <c r="X9" s="155" t="s">
        <v>100</v>
      </c>
      <c r="Y9" s="155"/>
      <c r="Z9" s="155"/>
      <c r="AA9" s="155"/>
      <c r="AB9" s="155"/>
      <c r="AC9" s="155"/>
      <c r="AD9" s="155" t="s">
        <v>50</v>
      </c>
      <c r="AE9" s="155"/>
      <c r="AF9" s="155"/>
      <c r="AG9" s="155"/>
      <c r="AH9" s="155"/>
      <c r="AI9" s="155"/>
      <c r="AJ9" s="155" t="s">
        <v>51</v>
      </c>
      <c r="AK9" s="155"/>
      <c r="AL9" s="155"/>
      <c r="AM9" s="155"/>
      <c r="AN9" s="155"/>
      <c r="AO9" s="155"/>
      <c r="AP9" s="168" t="s">
        <v>34</v>
      </c>
      <c r="AQ9" s="171" t="s">
        <v>31</v>
      </c>
      <c r="AS9" s="2"/>
    </row>
    <row r="10" spans="1:45" ht="16.899999999999999" customHeight="1" x14ac:dyDescent="0.15">
      <c r="B10" s="160"/>
      <c r="C10" s="175"/>
      <c r="D10" s="163"/>
      <c r="E10" s="166"/>
      <c r="F10" s="153" t="s">
        <v>96</v>
      </c>
      <c r="G10" s="154"/>
      <c r="H10" s="154"/>
      <c r="I10" s="153" t="s">
        <v>28</v>
      </c>
      <c r="J10" s="154"/>
      <c r="K10" s="154"/>
      <c r="L10" s="153" t="s">
        <v>96</v>
      </c>
      <c r="M10" s="154"/>
      <c r="N10" s="154"/>
      <c r="O10" s="153" t="s">
        <v>28</v>
      </c>
      <c r="P10" s="154"/>
      <c r="Q10" s="154"/>
      <c r="R10" s="153" t="s">
        <v>96</v>
      </c>
      <c r="S10" s="154"/>
      <c r="T10" s="154"/>
      <c r="U10" s="153" t="s">
        <v>28</v>
      </c>
      <c r="V10" s="154"/>
      <c r="W10" s="154"/>
      <c r="X10" s="153" t="s">
        <v>96</v>
      </c>
      <c r="Y10" s="154"/>
      <c r="Z10" s="154"/>
      <c r="AA10" s="153" t="s">
        <v>28</v>
      </c>
      <c r="AB10" s="154"/>
      <c r="AC10" s="154"/>
      <c r="AD10" s="153" t="s">
        <v>96</v>
      </c>
      <c r="AE10" s="154"/>
      <c r="AF10" s="154"/>
      <c r="AG10" s="153" t="s">
        <v>28</v>
      </c>
      <c r="AH10" s="154"/>
      <c r="AI10" s="154"/>
      <c r="AJ10" s="153" t="s">
        <v>96</v>
      </c>
      <c r="AK10" s="154"/>
      <c r="AL10" s="154"/>
      <c r="AM10" s="153" t="s">
        <v>28</v>
      </c>
      <c r="AN10" s="154"/>
      <c r="AO10" s="154"/>
      <c r="AP10" s="169"/>
      <c r="AQ10" s="172"/>
      <c r="AS10" s="2"/>
    </row>
    <row r="11" spans="1:45" ht="18" customHeight="1" x14ac:dyDescent="0.15">
      <c r="B11" s="161"/>
      <c r="C11" s="176"/>
      <c r="D11" s="164"/>
      <c r="E11" s="167"/>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70"/>
      <c r="AQ11" s="173"/>
      <c r="AS11" s="2"/>
    </row>
    <row r="12" spans="1:45" ht="18" customHeight="1" x14ac:dyDescent="0.15">
      <c r="A12" s="6"/>
      <c r="B12" s="11" t="s">
        <v>130</v>
      </c>
      <c r="C12" s="60">
        <v>1843</v>
      </c>
      <c r="D12" s="61">
        <v>400</v>
      </c>
      <c r="E12" s="62">
        <v>1620</v>
      </c>
      <c r="F12" s="62">
        <f>G12+H12</f>
        <v>338</v>
      </c>
      <c r="G12" s="63">
        <v>302</v>
      </c>
      <c r="H12" s="64">
        <v>36</v>
      </c>
      <c r="I12" s="62">
        <f>J12+K12</f>
        <v>275</v>
      </c>
      <c r="J12" s="63">
        <v>242</v>
      </c>
      <c r="K12" s="64">
        <v>33</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338</v>
      </c>
      <c r="AQ12" s="80">
        <f t="shared" ref="AQ12:AQ32" si="0">AP12/E12</f>
        <v>0.20864197530864198</v>
      </c>
    </row>
    <row r="13" spans="1:45" ht="18" customHeight="1" x14ac:dyDescent="0.15">
      <c r="A13" s="6"/>
      <c r="B13" s="12" t="s">
        <v>128</v>
      </c>
      <c r="C13" s="65">
        <v>323</v>
      </c>
      <c r="D13" s="66">
        <v>100</v>
      </c>
      <c r="E13" s="67">
        <v>400</v>
      </c>
      <c r="F13" s="68">
        <f t="shared" ref="F13:F31" si="1">G13+H13</f>
        <v>67</v>
      </c>
      <c r="G13" s="69">
        <v>9</v>
      </c>
      <c r="H13" s="70">
        <v>58</v>
      </c>
      <c r="I13" s="68">
        <f t="shared" ref="I13:I31" si="2">J13+K13</f>
        <v>63</v>
      </c>
      <c r="J13" s="69">
        <v>9</v>
      </c>
      <c r="K13" s="70">
        <v>54</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67</v>
      </c>
      <c r="AQ13" s="8">
        <f t="shared" si="0"/>
        <v>0.16750000000000001</v>
      </c>
    </row>
    <row r="14" spans="1:45" ht="18" customHeight="1" x14ac:dyDescent="0.15">
      <c r="A14" s="6"/>
      <c r="B14" s="12"/>
      <c r="C14" s="65"/>
      <c r="D14" s="66"/>
      <c r="E14" s="67"/>
      <c r="F14" s="68">
        <f t="shared" si="1"/>
        <v>0</v>
      </c>
      <c r="G14" s="69"/>
      <c r="H14" s="70"/>
      <c r="I14" s="68">
        <f t="shared" si="2"/>
        <v>0</v>
      </c>
      <c r="J14" s="69"/>
      <c r="K14" s="70"/>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0</v>
      </c>
      <c r="AQ14" s="8" t="e">
        <f t="shared" si="0"/>
        <v>#DIV/0!</v>
      </c>
    </row>
    <row r="15" spans="1:45" ht="18" customHeight="1" x14ac:dyDescent="0.15">
      <c r="A15" s="6"/>
      <c r="B15" s="12"/>
      <c r="C15" s="65"/>
      <c r="D15" s="66"/>
      <c r="E15" s="67"/>
      <c r="F15" s="68">
        <f t="shared" si="1"/>
        <v>0</v>
      </c>
      <c r="G15" s="69"/>
      <c r="H15" s="70"/>
      <c r="I15" s="68">
        <f t="shared" si="2"/>
        <v>0</v>
      </c>
      <c r="J15" s="69"/>
      <c r="K15" s="70"/>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0</v>
      </c>
      <c r="AQ15" s="8" t="e">
        <f t="shared" si="0"/>
        <v>#DIV/0!</v>
      </c>
    </row>
    <row r="16" spans="1:45" ht="18" customHeight="1" x14ac:dyDescent="0.15">
      <c r="A16" s="6"/>
      <c r="B16" s="12"/>
      <c r="C16" s="65"/>
      <c r="D16" s="66"/>
      <c r="E16" s="67"/>
      <c r="F16" s="68">
        <f t="shared" si="1"/>
        <v>0</v>
      </c>
      <c r="G16" s="69"/>
      <c r="H16" s="70"/>
      <c r="I16" s="68">
        <f t="shared" si="2"/>
        <v>0</v>
      </c>
      <c r="J16" s="69"/>
      <c r="K16" s="70"/>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0</v>
      </c>
      <c r="AQ16" s="8" t="e">
        <f t="shared" si="0"/>
        <v>#DIV/0!</v>
      </c>
    </row>
    <row r="17" spans="1:43" ht="18" customHeight="1" x14ac:dyDescent="0.15">
      <c r="A17" s="6"/>
      <c r="B17" s="12"/>
      <c r="C17" s="65"/>
      <c r="D17" s="66"/>
      <c r="E17" s="67"/>
      <c r="F17" s="68">
        <f t="shared" si="1"/>
        <v>0</v>
      </c>
      <c r="G17" s="69"/>
      <c r="H17" s="70"/>
      <c r="I17" s="68">
        <f t="shared" si="2"/>
        <v>0</v>
      </c>
      <c r="J17" s="69"/>
      <c r="K17" s="70"/>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0</v>
      </c>
      <c r="AQ17" s="8" t="e">
        <f t="shared" si="0"/>
        <v>#DIV/0!</v>
      </c>
    </row>
    <row r="18" spans="1:43" ht="18" customHeight="1" x14ac:dyDescent="0.15">
      <c r="A18" s="6"/>
      <c r="B18" s="12"/>
      <c r="C18" s="65"/>
      <c r="D18" s="66"/>
      <c r="E18" s="67"/>
      <c r="F18" s="68">
        <f t="shared" si="1"/>
        <v>0</v>
      </c>
      <c r="G18" s="69"/>
      <c r="H18" s="70"/>
      <c r="I18" s="68">
        <f t="shared" si="2"/>
        <v>0</v>
      </c>
      <c r="J18" s="69"/>
      <c r="K18" s="70"/>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0</v>
      </c>
      <c r="AQ18" s="8" t="e">
        <f t="shared" si="0"/>
        <v>#DIV/0!</v>
      </c>
    </row>
    <row r="19" spans="1:43" ht="18" customHeight="1" x14ac:dyDescent="0.15">
      <c r="A19" s="6"/>
      <c r="B19" s="12"/>
      <c r="C19" s="65"/>
      <c r="D19" s="66"/>
      <c r="E19" s="67"/>
      <c r="F19" s="68">
        <f t="shared" si="1"/>
        <v>0</v>
      </c>
      <c r="G19" s="69"/>
      <c r="H19" s="70"/>
      <c r="I19" s="68">
        <f t="shared" si="2"/>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0</v>
      </c>
      <c r="AQ19" s="8" t="e">
        <f t="shared" si="0"/>
        <v>#DIV/0!</v>
      </c>
    </row>
    <row r="20" spans="1:43" ht="18" customHeight="1" x14ac:dyDescent="0.15">
      <c r="A20" s="6"/>
      <c r="B20" s="12"/>
      <c r="C20" s="65"/>
      <c r="D20" s="66"/>
      <c r="E20" s="67"/>
      <c r="F20" s="68">
        <f t="shared" si="1"/>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t="e">
        <f t="shared" si="0"/>
        <v>#DIV/0!</v>
      </c>
    </row>
    <row r="21" spans="1:43" ht="18" customHeight="1" x14ac:dyDescent="0.15">
      <c r="A21" s="6"/>
      <c r="B21" s="12"/>
      <c r="C21" s="65"/>
      <c r="D21" s="66"/>
      <c r="E21" s="67"/>
      <c r="F21" s="68">
        <f t="shared" si="1"/>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t="e">
        <f t="shared" si="0"/>
        <v>#DIV/0!</v>
      </c>
    </row>
    <row r="22" spans="1:43" ht="18" customHeight="1" x14ac:dyDescent="0.15">
      <c r="A22" s="6"/>
      <c r="B22" s="12"/>
      <c r="C22" s="65"/>
      <c r="D22" s="66"/>
      <c r="E22" s="67"/>
      <c r="F22" s="68">
        <f t="shared" si="1"/>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t="e">
        <f t="shared" si="0"/>
        <v>#DIV/0!</v>
      </c>
    </row>
    <row r="23" spans="1:43" ht="18" customHeight="1" x14ac:dyDescent="0.15">
      <c r="A23" s="6"/>
      <c r="B23" s="12"/>
      <c r="C23" s="65"/>
      <c r="D23" s="66"/>
      <c r="E23" s="67"/>
      <c r="F23" s="68">
        <f t="shared" si="1"/>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t="e">
        <f t="shared" si="0"/>
        <v>#DIV/0!</v>
      </c>
    </row>
    <row r="24" spans="1:43" ht="18" customHeight="1" x14ac:dyDescent="0.15">
      <c r="A24" s="6"/>
      <c r="B24" s="12"/>
      <c r="C24" s="65"/>
      <c r="D24" s="66"/>
      <c r="E24" s="67"/>
      <c r="F24" s="68">
        <f t="shared" si="1"/>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t="e">
        <f t="shared" si="0"/>
        <v>#DIV/0!</v>
      </c>
    </row>
    <row r="25" spans="1:43" ht="18" customHeight="1" x14ac:dyDescent="0.15">
      <c r="A25" s="6"/>
      <c r="B25" s="12"/>
      <c r="C25" s="65"/>
      <c r="D25" s="66"/>
      <c r="E25" s="67"/>
      <c r="F25" s="68">
        <f t="shared" si="1"/>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0"/>
        <v>#DIV/0!</v>
      </c>
    </row>
    <row r="26" spans="1:43" ht="18" customHeight="1" x14ac:dyDescent="0.15">
      <c r="A26" s="6"/>
      <c r="B26" s="12"/>
      <c r="C26" s="65"/>
      <c r="D26" s="66"/>
      <c r="E26" s="67"/>
      <c r="F26" s="68">
        <f t="shared" si="1"/>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0"/>
        <v>#DIV/0!</v>
      </c>
    </row>
    <row r="27" spans="1:43" ht="18" customHeight="1" x14ac:dyDescent="0.15">
      <c r="A27" s="6"/>
      <c r="B27" s="12"/>
      <c r="C27" s="65"/>
      <c r="D27" s="66"/>
      <c r="E27" s="67"/>
      <c r="F27" s="68">
        <f t="shared" si="1"/>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0"/>
        <v>#DIV/0!</v>
      </c>
    </row>
    <row r="28" spans="1:43" ht="18" customHeight="1" x14ac:dyDescent="0.15">
      <c r="A28" s="6"/>
      <c r="B28" s="12"/>
      <c r="C28" s="65"/>
      <c r="D28" s="66"/>
      <c r="E28" s="67"/>
      <c r="F28" s="68">
        <f t="shared" si="1"/>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0"/>
        <v>#DIV/0!</v>
      </c>
    </row>
    <row r="29" spans="1:43" ht="18" customHeight="1" x14ac:dyDescent="0.15">
      <c r="A29" s="6"/>
      <c r="B29" s="12"/>
      <c r="C29" s="65"/>
      <c r="D29" s="71"/>
      <c r="E29" s="67"/>
      <c r="F29" s="68">
        <f t="shared" si="1"/>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0"/>
        <v>#DIV/0!</v>
      </c>
    </row>
    <row r="30" spans="1:43" ht="18" customHeight="1" x14ac:dyDescent="0.15">
      <c r="A30" s="6"/>
      <c r="B30" s="12"/>
      <c r="C30" s="65"/>
      <c r="D30" s="71"/>
      <c r="E30" s="67"/>
      <c r="F30" s="68">
        <f t="shared" si="1"/>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0"/>
        <v>#DIV/0!</v>
      </c>
    </row>
    <row r="31" spans="1:43" ht="18" customHeight="1" thickBot="1" x14ac:dyDescent="0.2">
      <c r="A31" s="6"/>
      <c r="B31" s="13"/>
      <c r="C31" s="60"/>
      <c r="D31" s="72"/>
      <c r="E31" s="62"/>
      <c r="F31" s="62">
        <f t="shared" si="1"/>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0"/>
        <v>#DIV/0!</v>
      </c>
    </row>
    <row r="32" spans="1:43" ht="18" customHeight="1" thickTop="1" x14ac:dyDescent="0.15">
      <c r="B32" s="14" t="s">
        <v>32</v>
      </c>
      <c r="C32" s="75">
        <f t="shared" ref="C32" si="14">SUM(C12:C31)</f>
        <v>2166</v>
      </c>
      <c r="D32" s="76">
        <f t="shared" ref="D32:AP32" si="15">SUM(D12:D31)</f>
        <v>500</v>
      </c>
      <c r="E32" s="77">
        <f t="shared" si="15"/>
        <v>2020</v>
      </c>
      <c r="F32" s="77">
        <f t="shared" si="15"/>
        <v>405</v>
      </c>
      <c r="G32" s="78">
        <f t="shared" si="15"/>
        <v>311</v>
      </c>
      <c r="H32" s="79">
        <f t="shared" si="15"/>
        <v>94</v>
      </c>
      <c r="I32" s="77">
        <f t="shared" ref="I32:N32" si="16">SUM(I12:I31)</f>
        <v>338</v>
      </c>
      <c r="J32" s="78">
        <f t="shared" si="16"/>
        <v>251</v>
      </c>
      <c r="K32" s="79">
        <f t="shared" si="16"/>
        <v>87</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405</v>
      </c>
      <c r="AQ32" s="9">
        <f t="shared" si="0"/>
        <v>0.20049504950495051</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12" zoomScaleNormal="100" zoomScaleSheetLayoutView="112" workbookViewId="0">
      <selection activeCell="L58" sqref="L58"/>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8.125" style="1" customWidth="1"/>
    <col min="9" max="9" width="21.875" style="1" customWidth="1"/>
    <col min="10" max="16384" width="11.375" style="1"/>
  </cols>
  <sheetData>
    <row r="1" spans="1:9" ht="18.75" customHeight="1" x14ac:dyDescent="0.15">
      <c r="A1" s="39" t="s">
        <v>64</v>
      </c>
      <c r="I1" s="33" t="s">
        <v>105</v>
      </c>
    </row>
    <row r="2" spans="1:9" ht="18.75" customHeight="1" x14ac:dyDescent="0.15">
      <c r="G2" s="33" t="s">
        <v>108</v>
      </c>
      <c r="H2" s="91" t="s">
        <v>161</v>
      </c>
      <c r="I2" s="92"/>
    </row>
    <row r="3" spans="1:9" ht="18.75" customHeight="1" x14ac:dyDescent="0.15">
      <c r="G3" s="33"/>
      <c r="H3" s="10"/>
      <c r="I3" s="10"/>
    </row>
    <row r="4" spans="1:9" ht="18.600000000000001" customHeight="1" x14ac:dyDescent="0.15">
      <c r="A4" s="98" t="s">
        <v>35</v>
      </c>
      <c r="B4" s="98"/>
      <c r="C4" s="98"/>
      <c r="D4" s="98"/>
      <c r="E4" s="98"/>
      <c r="F4" s="98"/>
      <c r="G4" s="98"/>
      <c r="H4" s="98"/>
      <c r="I4" s="98"/>
    </row>
    <row r="5" spans="1:9" ht="13.15" customHeight="1" x14ac:dyDescent="0.15">
      <c r="B5" s="3"/>
      <c r="C5" s="3"/>
      <c r="D5" s="3"/>
      <c r="E5" s="3"/>
      <c r="F5" s="3"/>
      <c r="G5" s="3"/>
      <c r="H5" s="3"/>
      <c r="I5" s="3"/>
    </row>
    <row r="6" spans="1:9" ht="18" customHeight="1" x14ac:dyDescent="0.15">
      <c r="A6" s="1" t="s">
        <v>0</v>
      </c>
      <c r="B6" s="10" t="s">
        <v>90</v>
      </c>
      <c r="C6" s="227" t="s">
        <v>91</v>
      </c>
      <c r="D6" s="227"/>
      <c r="E6" s="32">
        <v>65</v>
      </c>
      <c r="F6" s="3" t="s">
        <v>1</v>
      </c>
      <c r="G6" s="3" t="s">
        <v>2</v>
      </c>
      <c r="H6" s="32">
        <v>112</v>
      </c>
      <c r="I6" s="10" t="s">
        <v>1</v>
      </c>
    </row>
    <row r="7" spans="1:9" ht="12" customHeight="1" x14ac:dyDescent="0.15">
      <c r="C7" s="2"/>
      <c r="D7" s="2"/>
      <c r="E7" s="2"/>
      <c r="F7" s="2"/>
      <c r="G7" s="2"/>
      <c r="H7" s="2"/>
      <c r="I7" s="40"/>
    </row>
    <row r="8" spans="1:9" ht="18" customHeight="1" x14ac:dyDescent="0.15">
      <c r="A8" s="1" t="s">
        <v>3</v>
      </c>
      <c r="B8" s="10" t="s">
        <v>92</v>
      </c>
      <c r="E8" s="3"/>
      <c r="F8" s="3"/>
      <c r="G8" s="3"/>
      <c r="H8" s="32">
        <v>17</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3" t="s">
        <v>42</v>
      </c>
      <c r="C11" s="222" t="s">
        <v>138</v>
      </c>
      <c r="D11" s="225"/>
      <c r="E11" s="226"/>
      <c r="F11" s="40"/>
      <c r="G11" s="33" t="s">
        <v>10</v>
      </c>
      <c r="H11" s="222" t="s">
        <v>139</v>
      </c>
      <c r="I11" s="226"/>
    </row>
    <row r="12" spans="1:9" ht="10.15" customHeight="1" x14ac:dyDescent="0.15">
      <c r="B12" s="33"/>
      <c r="C12" s="10"/>
      <c r="D12" s="40"/>
      <c r="E12" s="40"/>
      <c r="F12" s="40"/>
      <c r="G12" s="33"/>
      <c r="H12" s="10"/>
      <c r="I12" s="40"/>
    </row>
    <row r="13" spans="1:9" ht="18" customHeight="1" x14ac:dyDescent="0.15">
      <c r="A13" s="1" t="s">
        <v>7</v>
      </c>
      <c r="B13" s="10" t="s">
        <v>87</v>
      </c>
      <c r="C13" s="3"/>
      <c r="D13" s="3"/>
      <c r="E13" s="3"/>
      <c r="F13" s="3"/>
      <c r="G13" s="3"/>
      <c r="H13" s="3"/>
      <c r="I13" s="3"/>
    </row>
    <row r="14" spans="1:9" ht="18" customHeight="1" x14ac:dyDescent="0.15">
      <c r="B14" s="222" t="s">
        <v>133</v>
      </c>
      <c r="C14" s="223"/>
      <c r="D14" s="223"/>
      <c r="E14" s="223"/>
      <c r="F14" s="223"/>
      <c r="G14" s="223"/>
      <c r="H14" s="223"/>
      <c r="I14" s="224"/>
    </row>
    <row r="15" spans="1:9" ht="9" customHeight="1" x14ac:dyDescent="0.15">
      <c r="B15" s="3"/>
      <c r="C15" s="3"/>
      <c r="D15" s="3"/>
      <c r="E15" s="3"/>
      <c r="F15" s="3"/>
      <c r="G15" s="3"/>
      <c r="H15" s="3"/>
      <c r="I15" s="3"/>
    </row>
    <row r="16" spans="1:9" ht="18" customHeight="1" x14ac:dyDescent="0.15">
      <c r="B16" s="33" t="s">
        <v>42</v>
      </c>
      <c r="C16" s="222" t="s">
        <v>131</v>
      </c>
      <c r="D16" s="225"/>
      <c r="E16" s="226"/>
      <c r="F16" s="40"/>
      <c r="G16" s="33" t="s">
        <v>10</v>
      </c>
      <c r="H16" s="222" t="s">
        <v>132</v>
      </c>
      <c r="I16" s="226"/>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4" t="s">
        <v>134</v>
      </c>
      <c r="C19" s="215"/>
      <c r="D19" s="215"/>
      <c r="E19" s="215"/>
      <c r="F19" s="215"/>
      <c r="G19" s="215"/>
      <c r="H19" s="215"/>
      <c r="I19" s="216"/>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04" t="s">
        <v>135</v>
      </c>
      <c r="C22" s="205"/>
      <c r="D22" s="205"/>
      <c r="E22" s="205"/>
      <c r="F22" s="205"/>
      <c r="G22" s="205"/>
      <c r="H22" s="205"/>
      <c r="I22" s="206"/>
    </row>
    <row r="23" spans="1:9" ht="18.75" customHeight="1" x14ac:dyDescent="0.15">
      <c r="A23" s="15"/>
      <c r="B23" s="217"/>
      <c r="C23" s="218"/>
      <c r="D23" s="218"/>
      <c r="E23" s="218"/>
      <c r="F23" s="218"/>
      <c r="G23" s="218"/>
      <c r="H23" s="218"/>
      <c r="I23" s="209"/>
    </row>
    <row r="24" spans="1:9" ht="18.75" customHeight="1" x14ac:dyDescent="0.15">
      <c r="A24" s="15"/>
      <c r="B24" s="217"/>
      <c r="C24" s="218"/>
      <c r="D24" s="218"/>
      <c r="E24" s="218"/>
      <c r="F24" s="218"/>
      <c r="G24" s="218"/>
      <c r="H24" s="218"/>
      <c r="I24" s="209"/>
    </row>
    <row r="25" spans="1:9" ht="18.75" customHeight="1" x14ac:dyDescent="0.15">
      <c r="A25" s="15"/>
      <c r="B25" s="217"/>
      <c r="C25" s="218"/>
      <c r="D25" s="218"/>
      <c r="E25" s="218"/>
      <c r="F25" s="218"/>
      <c r="G25" s="218"/>
      <c r="H25" s="218"/>
      <c r="I25" s="209"/>
    </row>
    <row r="26" spans="1:9" ht="18.75" customHeight="1" x14ac:dyDescent="0.15">
      <c r="A26" s="15"/>
      <c r="B26" s="217"/>
      <c r="C26" s="218"/>
      <c r="D26" s="218"/>
      <c r="E26" s="218"/>
      <c r="F26" s="218"/>
      <c r="G26" s="218"/>
      <c r="H26" s="218"/>
      <c r="I26" s="209"/>
    </row>
    <row r="27" spans="1:9" ht="18.75" customHeight="1" x14ac:dyDescent="0.15">
      <c r="A27" s="15"/>
      <c r="B27" s="217"/>
      <c r="C27" s="218"/>
      <c r="D27" s="218"/>
      <c r="E27" s="218"/>
      <c r="F27" s="218"/>
      <c r="G27" s="218"/>
      <c r="H27" s="218"/>
      <c r="I27" s="209"/>
    </row>
    <row r="28" spans="1:9" ht="18.75" customHeight="1" x14ac:dyDescent="0.15">
      <c r="A28" s="15"/>
      <c r="B28" s="217"/>
      <c r="C28" s="218"/>
      <c r="D28" s="218"/>
      <c r="E28" s="218"/>
      <c r="F28" s="218"/>
      <c r="G28" s="218"/>
      <c r="H28" s="218"/>
      <c r="I28" s="209"/>
    </row>
    <row r="29" spans="1:9" ht="18.75" customHeight="1" x14ac:dyDescent="0.15">
      <c r="A29" s="15"/>
      <c r="B29" s="217"/>
      <c r="C29" s="218"/>
      <c r="D29" s="218"/>
      <c r="E29" s="218"/>
      <c r="F29" s="218"/>
      <c r="G29" s="218"/>
      <c r="H29" s="218"/>
      <c r="I29" s="209"/>
    </row>
    <row r="30" spans="1:9" ht="18.75" customHeight="1" x14ac:dyDescent="0.15">
      <c r="A30" s="15"/>
      <c r="B30" s="207"/>
      <c r="C30" s="208"/>
      <c r="D30" s="208"/>
      <c r="E30" s="208"/>
      <c r="F30" s="208"/>
      <c r="G30" s="208"/>
      <c r="H30" s="208"/>
      <c r="I30" s="209"/>
    </row>
    <row r="31" spans="1:9" ht="18.75" customHeight="1" x14ac:dyDescent="0.15">
      <c r="A31" s="15"/>
      <c r="B31" s="207"/>
      <c r="C31" s="208"/>
      <c r="D31" s="208"/>
      <c r="E31" s="208"/>
      <c r="F31" s="208"/>
      <c r="G31" s="208"/>
      <c r="H31" s="208"/>
      <c r="I31" s="209"/>
    </row>
    <row r="32" spans="1:9" ht="9" customHeight="1" x14ac:dyDescent="0.15">
      <c r="A32" s="15"/>
      <c r="B32" s="210"/>
      <c r="C32" s="211"/>
      <c r="D32" s="211"/>
      <c r="E32" s="211"/>
      <c r="F32" s="211"/>
      <c r="G32" s="211"/>
      <c r="H32" s="211"/>
      <c r="I32" s="21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4" t="s">
        <v>191</v>
      </c>
      <c r="C35" s="205"/>
      <c r="D35" s="205"/>
      <c r="E35" s="205"/>
      <c r="F35" s="205"/>
      <c r="G35" s="205"/>
      <c r="H35" s="205"/>
      <c r="I35" s="206"/>
    </row>
    <row r="36" spans="1:9" ht="18.75" customHeight="1" x14ac:dyDescent="0.15">
      <c r="A36" s="15"/>
      <c r="B36" s="207"/>
      <c r="C36" s="208"/>
      <c r="D36" s="208"/>
      <c r="E36" s="208"/>
      <c r="F36" s="208"/>
      <c r="G36" s="208"/>
      <c r="H36" s="208"/>
      <c r="I36" s="209"/>
    </row>
    <row r="37" spans="1:9" ht="18.75" customHeight="1" x14ac:dyDescent="0.15">
      <c r="A37" s="15"/>
      <c r="B37" s="207"/>
      <c r="C37" s="208"/>
      <c r="D37" s="208"/>
      <c r="E37" s="208"/>
      <c r="F37" s="208"/>
      <c r="G37" s="208"/>
      <c r="H37" s="208"/>
      <c r="I37" s="209"/>
    </row>
    <row r="38" spans="1:9" ht="18.75" customHeight="1" x14ac:dyDescent="0.15">
      <c r="A38" s="15"/>
      <c r="B38" s="207"/>
      <c r="C38" s="208"/>
      <c r="D38" s="208"/>
      <c r="E38" s="208"/>
      <c r="F38" s="208"/>
      <c r="G38" s="208"/>
      <c r="H38" s="208"/>
      <c r="I38" s="209"/>
    </row>
    <row r="39" spans="1:9" ht="18.75" customHeight="1" x14ac:dyDescent="0.15">
      <c r="A39" s="15"/>
      <c r="B39" s="207"/>
      <c r="C39" s="208"/>
      <c r="D39" s="208"/>
      <c r="E39" s="208"/>
      <c r="F39" s="208"/>
      <c r="G39" s="208"/>
      <c r="H39" s="208"/>
      <c r="I39" s="209"/>
    </row>
    <row r="40" spans="1:9" ht="18.75" customHeight="1" x14ac:dyDescent="0.15">
      <c r="A40" s="15"/>
      <c r="B40" s="207"/>
      <c r="C40" s="208"/>
      <c r="D40" s="208"/>
      <c r="E40" s="208"/>
      <c r="F40" s="208"/>
      <c r="G40" s="208"/>
      <c r="H40" s="208"/>
      <c r="I40" s="209"/>
    </row>
    <row r="41" spans="1:9" ht="18.75" customHeight="1" x14ac:dyDescent="0.15">
      <c r="A41" s="15"/>
      <c r="B41" s="207"/>
      <c r="C41" s="208"/>
      <c r="D41" s="208"/>
      <c r="E41" s="208"/>
      <c r="F41" s="208"/>
      <c r="G41" s="208"/>
      <c r="H41" s="208"/>
      <c r="I41" s="209"/>
    </row>
    <row r="42" spans="1:9" ht="18.75" customHeight="1" x14ac:dyDescent="0.15">
      <c r="A42" s="15"/>
      <c r="B42" s="207"/>
      <c r="C42" s="208"/>
      <c r="D42" s="208"/>
      <c r="E42" s="208"/>
      <c r="F42" s="208"/>
      <c r="G42" s="208"/>
      <c r="H42" s="208"/>
      <c r="I42" s="209"/>
    </row>
    <row r="43" spans="1:9" ht="18.75" customHeight="1" x14ac:dyDescent="0.15">
      <c r="A43" s="15"/>
      <c r="B43" s="207"/>
      <c r="C43" s="208"/>
      <c r="D43" s="208"/>
      <c r="E43" s="208"/>
      <c r="F43" s="208"/>
      <c r="G43" s="208"/>
      <c r="H43" s="208"/>
      <c r="I43" s="209"/>
    </row>
    <row r="44" spans="1:9" ht="18.75" customHeight="1" x14ac:dyDescent="0.15">
      <c r="A44" s="15"/>
      <c r="B44" s="207"/>
      <c r="C44" s="208"/>
      <c r="D44" s="208"/>
      <c r="E44" s="208"/>
      <c r="F44" s="208"/>
      <c r="G44" s="208"/>
      <c r="H44" s="208"/>
      <c r="I44" s="209"/>
    </row>
    <row r="45" spans="1:9" ht="18.75" customHeight="1" x14ac:dyDescent="0.15">
      <c r="A45" s="15"/>
      <c r="B45" s="207"/>
      <c r="C45" s="208"/>
      <c r="D45" s="208"/>
      <c r="E45" s="208"/>
      <c r="F45" s="208"/>
      <c r="G45" s="208"/>
      <c r="H45" s="208"/>
      <c r="I45" s="209"/>
    </row>
    <row r="46" spans="1:9" ht="36" customHeight="1" x14ac:dyDescent="0.15">
      <c r="A46" s="15"/>
      <c r="B46" s="210"/>
      <c r="C46" s="211"/>
      <c r="D46" s="211"/>
      <c r="E46" s="211"/>
      <c r="F46" s="211"/>
      <c r="G46" s="211"/>
      <c r="H46" s="211"/>
      <c r="I46" s="212"/>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1" t="s">
        <v>88</v>
      </c>
      <c r="C49" s="193">
        <f>'様式２ 履修者等数の実績'!AQ32</f>
        <v>0.20049504950495051</v>
      </c>
      <c r="D49" s="193"/>
      <c r="E49" s="41" t="s">
        <v>65</v>
      </c>
      <c r="F49" s="193">
        <v>0.47</v>
      </c>
      <c r="G49" s="193"/>
      <c r="H49" s="41" t="s">
        <v>66</v>
      </c>
      <c r="I49" s="42">
        <v>0.72</v>
      </c>
      <c r="J49" s="1"/>
      <c r="M49" s="1"/>
      <c r="N49" s="43"/>
    </row>
    <row r="50" spans="1:15" s="3" customFormat="1" ht="18.75" customHeight="1" x14ac:dyDescent="0.15">
      <c r="B50" s="44" t="s">
        <v>67</v>
      </c>
      <c r="C50" s="194">
        <v>0.96</v>
      </c>
      <c r="D50" s="194"/>
      <c r="E50" s="44" t="s">
        <v>89</v>
      </c>
      <c r="F50" s="194">
        <v>1</v>
      </c>
      <c r="G50" s="194"/>
      <c r="H50" s="44" t="s">
        <v>68</v>
      </c>
      <c r="I50" s="45">
        <f>'様式２ 履修者等数の実績'!E32</f>
        <v>2020</v>
      </c>
      <c r="J50" s="1"/>
      <c r="M50" s="1"/>
      <c r="N50" s="43"/>
    </row>
    <row r="51" spans="1:15" ht="18.75" customHeight="1" x14ac:dyDescent="0.15">
      <c r="A51" s="1"/>
      <c r="B51" s="219" t="s">
        <v>69</v>
      </c>
      <c r="C51" s="220"/>
      <c r="D51" s="220"/>
      <c r="E51" s="220"/>
      <c r="F51" s="220"/>
      <c r="G51" s="220"/>
      <c r="H51" s="220"/>
      <c r="I51" s="221"/>
      <c r="N51" s="43"/>
      <c r="O51" s="3"/>
    </row>
    <row r="52" spans="1:15" ht="18.75" customHeight="1" x14ac:dyDescent="0.15">
      <c r="A52" s="1"/>
      <c r="B52" s="195" t="s">
        <v>190</v>
      </c>
      <c r="C52" s="196"/>
      <c r="D52" s="196"/>
      <c r="E52" s="196"/>
      <c r="F52" s="196"/>
      <c r="G52" s="196"/>
      <c r="H52" s="196"/>
      <c r="I52" s="197"/>
      <c r="N52" s="43"/>
      <c r="O52" s="3"/>
    </row>
    <row r="53" spans="1:15" ht="18.75" customHeight="1" x14ac:dyDescent="0.15">
      <c r="A53" s="1"/>
      <c r="B53" s="198"/>
      <c r="C53" s="199"/>
      <c r="D53" s="199"/>
      <c r="E53" s="199"/>
      <c r="F53" s="199"/>
      <c r="G53" s="199"/>
      <c r="H53" s="199"/>
      <c r="I53" s="200"/>
      <c r="N53" s="43"/>
      <c r="O53" s="3"/>
    </row>
    <row r="54" spans="1:15" ht="18.75" customHeight="1" x14ac:dyDescent="0.15">
      <c r="A54" s="1"/>
      <c r="B54" s="198"/>
      <c r="C54" s="199"/>
      <c r="D54" s="199"/>
      <c r="E54" s="199"/>
      <c r="F54" s="199"/>
      <c r="G54" s="199"/>
      <c r="H54" s="199"/>
      <c r="I54" s="200"/>
    </row>
    <row r="55" spans="1:15" ht="18.75" customHeight="1" x14ac:dyDescent="0.15">
      <c r="A55" s="1"/>
      <c r="B55" s="198"/>
      <c r="C55" s="199"/>
      <c r="D55" s="199"/>
      <c r="E55" s="199"/>
      <c r="F55" s="199"/>
      <c r="G55" s="199"/>
      <c r="H55" s="199"/>
      <c r="I55" s="200"/>
    </row>
    <row r="56" spans="1:15" ht="18.75" customHeight="1" x14ac:dyDescent="0.15">
      <c r="A56" s="1"/>
      <c r="B56" s="198"/>
      <c r="C56" s="199"/>
      <c r="D56" s="199"/>
      <c r="E56" s="199"/>
      <c r="F56" s="199"/>
      <c r="G56" s="199"/>
      <c r="H56" s="199"/>
      <c r="I56" s="200"/>
    </row>
    <row r="57" spans="1:15" ht="18.75" customHeight="1" x14ac:dyDescent="0.15">
      <c r="A57" s="1"/>
      <c r="B57" s="198"/>
      <c r="C57" s="199"/>
      <c r="D57" s="199"/>
      <c r="E57" s="199"/>
      <c r="F57" s="199"/>
      <c r="G57" s="199"/>
      <c r="H57" s="199"/>
      <c r="I57" s="200"/>
    </row>
    <row r="58" spans="1:15" ht="18.75" customHeight="1" x14ac:dyDescent="0.15">
      <c r="A58" s="1"/>
      <c r="B58" s="198"/>
      <c r="C58" s="199"/>
      <c r="D58" s="199"/>
      <c r="E58" s="199"/>
      <c r="F58" s="199"/>
      <c r="G58" s="199"/>
      <c r="H58" s="199"/>
      <c r="I58" s="200"/>
    </row>
    <row r="59" spans="1:15" ht="18.75" customHeight="1" x14ac:dyDescent="0.15">
      <c r="A59" s="1"/>
      <c r="B59" s="198"/>
      <c r="C59" s="199"/>
      <c r="D59" s="199"/>
      <c r="E59" s="199"/>
      <c r="F59" s="199"/>
      <c r="G59" s="199"/>
      <c r="H59" s="199"/>
      <c r="I59" s="200"/>
    </row>
    <row r="60" spans="1:15" ht="18.75" customHeight="1" x14ac:dyDescent="0.15">
      <c r="A60" s="1"/>
      <c r="B60" s="198"/>
      <c r="C60" s="199"/>
      <c r="D60" s="199"/>
      <c r="E60" s="199"/>
      <c r="F60" s="199"/>
      <c r="G60" s="199"/>
      <c r="H60" s="199"/>
      <c r="I60" s="200"/>
    </row>
    <row r="61" spans="1:15" ht="18.75" customHeight="1" x14ac:dyDescent="0.15">
      <c r="A61" s="1"/>
      <c r="B61" s="198"/>
      <c r="C61" s="199"/>
      <c r="D61" s="199"/>
      <c r="E61" s="199"/>
      <c r="F61" s="199"/>
      <c r="G61" s="199"/>
      <c r="H61" s="199"/>
      <c r="I61" s="200"/>
    </row>
    <row r="62" spans="1:15" ht="18.75" customHeight="1" x14ac:dyDescent="0.15">
      <c r="A62" s="1"/>
      <c r="B62" s="198"/>
      <c r="C62" s="199"/>
      <c r="D62" s="199"/>
      <c r="E62" s="199"/>
      <c r="F62" s="199"/>
      <c r="G62" s="199"/>
      <c r="H62" s="199"/>
      <c r="I62" s="200"/>
    </row>
    <row r="63" spans="1:15" ht="18.75" customHeight="1" x14ac:dyDescent="0.15">
      <c r="A63" s="1"/>
      <c r="B63" s="201"/>
      <c r="C63" s="202"/>
      <c r="D63" s="202"/>
      <c r="E63" s="202"/>
      <c r="F63" s="202"/>
      <c r="G63" s="202"/>
      <c r="H63" s="202"/>
      <c r="I63" s="203"/>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177" t="s">
        <v>136</v>
      </c>
      <c r="C66" s="178"/>
      <c r="D66" s="178"/>
      <c r="E66" s="178"/>
      <c r="F66" s="178"/>
      <c r="G66" s="178"/>
      <c r="H66" s="178"/>
      <c r="I66" s="179"/>
    </row>
    <row r="67" spans="1:9" ht="18.75" customHeight="1" x14ac:dyDescent="0.15">
      <c r="A67" s="4"/>
      <c r="B67" s="180"/>
      <c r="C67" s="181"/>
      <c r="D67" s="181"/>
      <c r="E67" s="181"/>
      <c r="F67" s="181"/>
      <c r="G67" s="181"/>
      <c r="H67" s="181"/>
      <c r="I67" s="182"/>
    </row>
    <row r="68" spans="1:9" ht="18.75" customHeight="1" x14ac:dyDescent="0.15">
      <c r="A68" s="4"/>
      <c r="B68" s="180"/>
      <c r="C68" s="181"/>
      <c r="D68" s="181"/>
      <c r="E68" s="181"/>
      <c r="F68" s="181"/>
      <c r="G68" s="181"/>
      <c r="H68" s="181"/>
      <c r="I68" s="182"/>
    </row>
    <row r="69" spans="1:9" ht="18.75" customHeight="1" x14ac:dyDescent="0.15">
      <c r="A69" s="4"/>
      <c r="B69" s="180"/>
      <c r="C69" s="181"/>
      <c r="D69" s="181"/>
      <c r="E69" s="181"/>
      <c r="F69" s="181"/>
      <c r="G69" s="181"/>
      <c r="H69" s="181"/>
      <c r="I69" s="182"/>
    </row>
    <row r="70" spans="1:9" ht="18.75" customHeight="1" x14ac:dyDescent="0.15">
      <c r="A70" s="4"/>
      <c r="B70" s="180"/>
      <c r="C70" s="181"/>
      <c r="D70" s="181"/>
      <c r="E70" s="181"/>
      <c r="F70" s="181"/>
      <c r="G70" s="181"/>
      <c r="H70" s="181"/>
      <c r="I70" s="182"/>
    </row>
    <row r="71" spans="1:9" ht="18.75" customHeight="1" x14ac:dyDescent="0.15">
      <c r="A71" s="4"/>
      <c r="B71" s="180"/>
      <c r="C71" s="181"/>
      <c r="D71" s="181"/>
      <c r="E71" s="181"/>
      <c r="F71" s="181"/>
      <c r="G71" s="181"/>
      <c r="H71" s="181"/>
      <c r="I71" s="182"/>
    </row>
    <row r="72" spans="1:9" ht="18.75" customHeight="1" x14ac:dyDescent="0.15">
      <c r="A72" s="4"/>
      <c r="B72" s="180"/>
      <c r="C72" s="181"/>
      <c r="D72" s="181"/>
      <c r="E72" s="181"/>
      <c r="F72" s="181"/>
      <c r="G72" s="181"/>
      <c r="H72" s="181"/>
      <c r="I72" s="182"/>
    </row>
    <row r="73" spans="1:9" ht="18.75" customHeight="1" x14ac:dyDescent="0.15">
      <c r="A73" s="4"/>
      <c r="B73" s="180"/>
      <c r="C73" s="181"/>
      <c r="D73" s="181"/>
      <c r="E73" s="181"/>
      <c r="F73" s="181"/>
      <c r="G73" s="181"/>
      <c r="H73" s="181"/>
      <c r="I73" s="182"/>
    </row>
    <row r="74" spans="1:9" ht="18.75" customHeight="1" x14ac:dyDescent="0.15">
      <c r="A74" s="4"/>
      <c r="B74" s="180"/>
      <c r="C74" s="181"/>
      <c r="D74" s="181"/>
      <c r="E74" s="181"/>
      <c r="F74" s="181"/>
      <c r="G74" s="181"/>
      <c r="H74" s="181"/>
      <c r="I74" s="182"/>
    </row>
    <row r="75" spans="1:9" ht="18.75" customHeight="1" x14ac:dyDescent="0.15">
      <c r="A75" s="4"/>
      <c r="B75" s="180"/>
      <c r="C75" s="181"/>
      <c r="D75" s="181"/>
      <c r="E75" s="181"/>
      <c r="F75" s="181"/>
      <c r="G75" s="181"/>
      <c r="H75" s="181"/>
      <c r="I75" s="182"/>
    </row>
    <row r="76" spans="1:9" ht="18.75" customHeight="1" x14ac:dyDescent="0.15">
      <c r="A76" s="4"/>
      <c r="B76" s="180"/>
      <c r="C76" s="181"/>
      <c r="D76" s="181"/>
      <c r="E76" s="181"/>
      <c r="F76" s="181"/>
      <c r="G76" s="181"/>
      <c r="H76" s="181"/>
      <c r="I76" s="182"/>
    </row>
    <row r="77" spans="1:9" ht="18.75" customHeight="1" x14ac:dyDescent="0.15">
      <c r="A77" s="4"/>
      <c r="B77" s="183"/>
      <c r="C77" s="184"/>
      <c r="D77" s="184"/>
      <c r="E77" s="184"/>
      <c r="F77" s="184"/>
      <c r="G77" s="184"/>
      <c r="H77" s="184"/>
      <c r="I77" s="185"/>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77" t="s">
        <v>137</v>
      </c>
      <c r="C80" s="178"/>
      <c r="D80" s="178"/>
      <c r="E80" s="178"/>
      <c r="F80" s="178"/>
      <c r="G80" s="178"/>
      <c r="H80" s="178"/>
      <c r="I80" s="186"/>
    </row>
    <row r="81" spans="1:9" ht="18.75" customHeight="1" x14ac:dyDescent="0.15">
      <c r="A81" s="1"/>
      <c r="B81" s="187"/>
      <c r="C81" s="188"/>
      <c r="D81" s="188"/>
      <c r="E81" s="188"/>
      <c r="F81" s="188"/>
      <c r="G81" s="188"/>
      <c r="H81" s="188"/>
      <c r="I81" s="189"/>
    </row>
    <row r="82" spans="1:9" ht="18.75" customHeight="1" x14ac:dyDescent="0.15">
      <c r="A82" s="1"/>
      <c r="B82" s="187"/>
      <c r="C82" s="188"/>
      <c r="D82" s="188"/>
      <c r="E82" s="188"/>
      <c r="F82" s="188"/>
      <c r="G82" s="188"/>
      <c r="H82" s="188"/>
      <c r="I82" s="189"/>
    </row>
    <row r="83" spans="1:9" ht="18.75" customHeight="1" x14ac:dyDescent="0.15">
      <c r="A83" s="1"/>
      <c r="B83" s="187"/>
      <c r="C83" s="188"/>
      <c r="D83" s="188"/>
      <c r="E83" s="188"/>
      <c r="F83" s="188"/>
      <c r="G83" s="188"/>
      <c r="H83" s="188"/>
      <c r="I83" s="189"/>
    </row>
    <row r="84" spans="1:9" ht="18.75" customHeight="1" x14ac:dyDescent="0.15">
      <c r="A84" s="1"/>
      <c r="B84" s="187"/>
      <c r="C84" s="188"/>
      <c r="D84" s="188"/>
      <c r="E84" s="188"/>
      <c r="F84" s="188"/>
      <c r="G84" s="188"/>
      <c r="H84" s="188"/>
      <c r="I84" s="189"/>
    </row>
    <row r="85" spans="1:9" ht="18.75" customHeight="1" x14ac:dyDescent="0.15">
      <c r="A85" s="1"/>
      <c r="B85" s="187"/>
      <c r="C85" s="188"/>
      <c r="D85" s="188"/>
      <c r="E85" s="188"/>
      <c r="F85" s="188"/>
      <c r="G85" s="188"/>
      <c r="H85" s="188"/>
      <c r="I85" s="189"/>
    </row>
    <row r="86" spans="1:9" ht="18.75" customHeight="1" x14ac:dyDescent="0.15">
      <c r="A86" s="1"/>
      <c r="B86" s="187"/>
      <c r="C86" s="188"/>
      <c r="D86" s="188"/>
      <c r="E86" s="188"/>
      <c r="F86" s="188"/>
      <c r="G86" s="188"/>
      <c r="H86" s="188"/>
      <c r="I86" s="189"/>
    </row>
    <row r="87" spans="1:9" ht="18.75" customHeight="1" x14ac:dyDescent="0.15">
      <c r="A87" s="1"/>
      <c r="B87" s="187"/>
      <c r="C87" s="188"/>
      <c r="D87" s="188"/>
      <c r="E87" s="188"/>
      <c r="F87" s="188"/>
      <c r="G87" s="188"/>
      <c r="H87" s="188"/>
      <c r="I87" s="189"/>
    </row>
    <row r="88" spans="1:9" ht="18.75" customHeight="1" x14ac:dyDescent="0.15">
      <c r="A88" s="1"/>
      <c r="B88" s="187"/>
      <c r="C88" s="188"/>
      <c r="D88" s="188"/>
      <c r="E88" s="188"/>
      <c r="F88" s="188"/>
      <c r="G88" s="188"/>
      <c r="H88" s="188"/>
      <c r="I88" s="189"/>
    </row>
    <row r="89" spans="1:9" ht="18.75" customHeight="1" x14ac:dyDescent="0.15">
      <c r="A89" s="1"/>
      <c r="B89" s="187"/>
      <c r="C89" s="188"/>
      <c r="D89" s="188"/>
      <c r="E89" s="188"/>
      <c r="F89" s="188"/>
      <c r="G89" s="188"/>
      <c r="H89" s="188"/>
      <c r="I89" s="189"/>
    </row>
    <row r="90" spans="1:9" ht="18.75" customHeight="1" x14ac:dyDescent="0.15">
      <c r="A90" s="4"/>
      <c r="B90" s="187"/>
      <c r="C90" s="188"/>
      <c r="D90" s="188"/>
      <c r="E90" s="188"/>
      <c r="F90" s="188"/>
      <c r="G90" s="188"/>
      <c r="H90" s="188"/>
      <c r="I90" s="189"/>
    </row>
    <row r="91" spans="1:9" ht="18.75" customHeight="1" x14ac:dyDescent="0.15">
      <c r="A91" s="4"/>
      <c r="B91" s="190"/>
      <c r="C91" s="191"/>
      <c r="D91" s="191"/>
      <c r="E91" s="191"/>
      <c r="F91" s="191"/>
      <c r="G91" s="191"/>
      <c r="H91" s="191"/>
      <c r="I91" s="192"/>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04" t="s">
        <v>146</v>
      </c>
      <c r="C94" s="205"/>
      <c r="D94" s="205"/>
      <c r="E94" s="205"/>
      <c r="F94" s="205"/>
      <c r="G94" s="205"/>
      <c r="H94" s="205"/>
      <c r="I94" s="206"/>
    </row>
    <row r="95" spans="1:9" ht="18.75" customHeight="1" x14ac:dyDescent="0.15">
      <c r="A95" s="1"/>
      <c r="B95" s="207"/>
      <c r="C95" s="208"/>
      <c r="D95" s="208"/>
      <c r="E95" s="208"/>
      <c r="F95" s="208"/>
      <c r="G95" s="208"/>
      <c r="H95" s="208"/>
      <c r="I95" s="209"/>
    </row>
    <row r="96" spans="1:9" ht="18.75" customHeight="1" x14ac:dyDescent="0.15">
      <c r="A96" s="1"/>
      <c r="B96" s="207"/>
      <c r="C96" s="208"/>
      <c r="D96" s="208"/>
      <c r="E96" s="208"/>
      <c r="F96" s="208"/>
      <c r="G96" s="208"/>
      <c r="H96" s="208"/>
      <c r="I96" s="209"/>
    </row>
    <row r="97" spans="1:9" ht="18.75" customHeight="1" x14ac:dyDescent="0.15">
      <c r="A97" s="1"/>
      <c r="B97" s="207"/>
      <c r="C97" s="208"/>
      <c r="D97" s="208"/>
      <c r="E97" s="208"/>
      <c r="F97" s="208"/>
      <c r="G97" s="208"/>
      <c r="H97" s="208"/>
      <c r="I97" s="209"/>
    </row>
    <row r="98" spans="1:9" ht="18.75" customHeight="1" x14ac:dyDescent="0.15">
      <c r="A98" s="1"/>
      <c r="B98" s="207"/>
      <c r="C98" s="208"/>
      <c r="D98" s="208"/>
      <c r="E98" s="208"/>
      <c r="F98" s="208"/>
      <c r="G98" s="208"/>
      <c r="H98" s="208"/>
      <c r="I98" s="209"/>
    </row>
    <row r="99" spans="1:9" ht="18.75" customHeight="1" x14ac:dyDescent="0.15">
      <c r="A99" s="1"/>
      <c r="B99" s="207"/>
      <c r="C99" s="208"/>
      <c r="D99" s="208"/>
      <c r="E99" s="208"/>
      <c r="F99" s="208"/>
      <c r="G99" s="208"/>
      <c r="H99" s="208"/>
      <c r="I99" s="209"/>
    </row>
    <row r="100" spans="1:9" ht="18.75" customHeight="1" x14ac:dyDescent="0.15">
      <c r="A100" s="1"/>
      <c r="B100" s="207"/>
      <c r="C100" s="208"/>
      <c r="D100" s="208"/>
      <c r="E100" s="208"/>
      <c r="F100" s="208"/>
      <c r="G100" s="208"/>
      <c r="H100" s="208"/>
      <c r="I100" s="209"/>
    </row>
    <row r="101" spans="1:9" ht="18.75" customHeight="1" x14ac:dyDescent="0.15">
      <c r="A101" s="1"/>
      <c r="B101" s="207"/>
      <c r="C101" s="208"/>
      <c r="D101" s="208"/>
      <c r="E101" s="208"/>
      <c r="F101" s="208"/>
      <c r="G101" s="208"/>
      <c r="H101" s="208"/>
      <c r="I101" s="209"/>
    </row>
    <row r="102" spans="1:9" ht="18.75" customHeight="1" x14ac:dyDescent="0.15">
      <c r="A102" s="1"/>
      <c r="B102" s="207"/>
      <c r="C102" s="208"/>
      <c r="D102" s="208"/>
      <c r="E102" s="208"/>
      <c r="F102" s="208"/>
      <c r="G102" s="208"/>
      <c r="H102" s="208"/>
      <c r="I102" s="209"/>
    </row>
    <row r="103" spans="1:9" ht="18.75" customHeight="1" x14ac:dyDescent="0.15">
      <c r="A103" s="1"/>
      <c r="B103" s="207"/>
      <c r="C103" s="208"/>
      <c r="D103" s="208"/>
      <c r="E103" s="208"/>
      <c r="F103" s="208"/>
      <c r="G103" s="208"/>
      <c r="H103" s="208"/>
      <c r="I103" s="209"/>
    </row>
    <row r="104" spans="1:9" ht="18.75" customHeight="1" x14ac:dyDescent="0.15">
      <c r="A104" s="1"/>
      <c r="B104" s="207"/>
      <c r="C104" s="208"/>
      <c r="D104" s="208"/>
      <c r="E104" s="208"/>
      <c r="F104" s="208"/>
      <c r="G104" s="208"/>
      <c r="H104" s="208"/>
      <c r="I104" s="209"/>
    </row>
    <row r="105" spans="1:9" ht="18.75" customHeight="1" x14ac:dyDescent="0.15">
      <c r="A105" s="4"/>
      <c r="B105" s="210"/>
      <c r="C105" s="211"/>
      <c r="D105" s="211"/>
      <c r="E105" s="211"/>
      <c r="F105" s="211"/>
      <c r="G105" s="211"/>
      <c r="H105" s="211"/>
      <c r="I105" s="212"/>
    </row>
    <row r="106" spans="1:9" ht="7.5" customHeight="1" x14ac:dyDescent="0.15">
      <c r="A106" s="4"/>
      <c r="B106" s="4"/>
      <c r="C106" s="4"/>
      <c r="D106" s="4"/>
      <c r="E106" s="4"/>
      <c r="F106" s="4"/>
      <c r="G106" s="4"/>
      <c r="H106" s="4"/>
      <c r="I106" s="4"/>
    </row>
    <row r="107" spans="1:9" ht="18.75" customHeight="1" x14ac:dyDescent="0.15">
      <c r="A107" s="1" t="s">
        <v>29</v>
      </c>
      <c r="B107" s="213" t="s">
        <v>45</v>
      </c>
      <c r="C107" s="213"/>
      <c r="D107" s="213"/>
      <c r="E107" s="213"/>
      <c r="F107" s="213"/>
      <c r="G107" s="213"/>
      <c r="H107" s="213"/>
      <c r="I107" s="213"/>
    </row>
    <row r="108" spans="1:9" ht="18.75" customHeight="1" x14ac:dyDescent="0.15">
      <c r="A108" s="4"/>
      <c r="B108" s="204" t="s">
        <v>165</v>
      </c>
      <c r="C108" s="205"/>
      <c r="D108" s="205"/>
      <c r="E108" s="205"/>
      <c r="F108" s="205"/>
      <c r="G108" s="205"/>
      <c r="H108" s="205"/>
      <c r="I108" s="206"/>
    </row>
    <row r="109" spans="1:9" ht="18.75" customHeight="1" x14ac:dyDescent="0.15">
      <c r="A109" s="4"/>
      <c r="B109" s="207"/>
      <c r="C109" s="208"/>
      <c r="D109" s="208"/>
      <c r="E109" s="208"/>
      <c r="F109" s="208"/>
      <c r="G109" s="208"/>
      <c r="H109" s="208"/>
      <c r="I109" s="209"/>
    </row>
    <row r="110" spans="1:9" ht="18.75" customHeight="1" x14ac:dyDescent="0.15">
      <c r="A110" s="4"/>
      <c r="B110" s="207"/>
      <c r="C110" s="208"/>
      <c r="D110" s="208"/>
      <c r="E110" s="208"/>
      <c r="F110" s="208"/>
      <c r="G110" s="208"/>
      <c r="H110" s="208"/>
      <c r="I110" s="209"/>
    </row>
    <row r="111" spans="1:9" ht="18.75" customHeight="1" x14ac:dyDescent="0.15">
      <c r="A111" s="4"/>
      <c r="B111" s="207"/>
      <c r="C111" s="208"/>
      <c r="D111" s="208"/>
      <c r="E111" s="208"/>
      <c r="F111" s="208"/>
      <c r="G111" s="208"/>
      <c r="H111" s="208"/>
      <c r="I111" s="209"/>
    </row>
    <row r="112" spans="1:9" ht="18.75" customHeight="1" x14ac:dyDescent="0.15">
      <c r="A112" s="4"/>
      <c r="B112" s="207"/>
      <c r="C112" s="208"/>
      <c r="D112" s="208"/>
      <c r="E112" s="208"/>
      <c r="F112" s="208"/>
      <c r="G112" s="208"/>
      <c r="H112" s="208"/>
      <c r="I112" s="209"/>
    </row>
    <row r="113" spans="1:9" ht="18.75" customHeight="1" x14ac:dyDescent="0.15">
      <c r="A113" s="4"/>
      <c r="B113" s="207"/>
      <c r="C113" s="208"/>
      <c r="D113" s="208"/>
      <c r="E113" s="208"/>
      <c r="F113" s="208"/>
      <c r="G113" s="208"/>
      <c r="H113" s="208"/>
      <c r="I113" s="209"/>
    </row>
    <row r="114" spans="1:9" ht="18.75" customHeight="1" x14ac:dyDescent="0.15">
      <c r="A114" s="4"/>
      <c r="B114" s="207"/>
      <c r="C114" s="208"/>
      <c r="D114" s="208"/>
      <c r="E114" s="208"/>
      <c r="F114" s="208"/>
      <c r="G114" s="208"/>
      <c r="H114" s="208"/>
      <c r="I114" s="209"/>
    </row>
    <row r="115" spans="1:9" ht="18.75" customHeight="1" x14ac:dyDescent="0.15">
      <c r="A115" s="4"/>
      <c r="B115" s="207"/>
      <c r="C115" s="208"/>
      <c r="D115" s="208"/>
      <c r="E115" s="208"/>
      <c r="F115" s="208"/>
      <c r="G115" s="208"/>
      <c r="H115" s="208"/>
      <c r="I115" s="209"/>
    </row>
    <row r="116" spans="1:9" ht="18.75" customHeight="1" x14ac:dyDescent="0.15">
      <c r="A116" s="4"/>
      <c r="B116" s="207"/>
      <c r="C116" s="208"/>
      <c r="D116" s="208"/>
      <c r="E116" s="208"/>
      <c r="F116" s="208"/>
      <c r="G116" s="208"/>
      <c r="H116" s="208"/>
      <c r="I116" s="209"/>
    </row>
    <row r="117" spans="1:9" ht="18.75" customHeight="1" x14ac:dyDescent="0.15">
      <c r="A117" s="4"/>
      <c r="B117" s="207"/>
      <c r="C117" s="208"/>
      <c r="D117" s="208"/>
      <c r="E117" s="208"/>
      <c r="F117" s="208"/>
      <c r="G117" s="208"/>
      <c r="H117" s="208"/>
      <c r="I117" s="209"/>
    </row>
    <row r="118" spans="1:9" ht="18.75" customHeight="1" x14ac:dyDescent="0.15">
      <c r="A118" s="4"/>
      <c r="B118" s="207"/>
      <c r="C118" s="208"/>
      <c r="D118" s="208"/>
      <c r="E118" s="208"/>
      <c r="F118" s="208"/>
      <c r="G118" s="208"/>
      <c r="H118" s="208"/>
      <c r="I118" s="209"/>
    </row>
    <row r="119" spans="1:9" ht="18.75" customHeight="1" x14ac:dyDescent="0.15">
      <c r="A119" s="4"/>
      <c r="B119" s="210"/>
      <c r="C119" s="211"/>
      <c r="D119" s="211"/>
      <c r="E119" s="211"/>
      <c r="F119" s="211"/>
      <c r="G119" s="211"/>
      <c r="H119" s="211"/>
      <c r="I119" s="212"/>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1"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6" zoomScale="73" zoomScaleNormal="100" zoomScaleSheetLayoutView="73"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3" t="s">
        <v>104</v>
      </c>
    </row>
    <row r="2" spans="1:9" ht="18.75" customHeight="1" x14ac:dyDescent="0.15">
      <c r="H2" s="33" t="s">
        <v>108</v>
      </c>
      <c r="I2" s="32" t="str">
        <f>'様式１-１　プログラムを構成する授業科目'!C2</f>
        <v>東京情報大学</v>
      </c>
    </row>
    <row r="3" spans="1:9" ht="18.75" customHeight="1" x14ac:dyDescent="0.15">
      <c r="A3" s="98" t="s">
        <v>27</v>
      </c>
      <c r="B3" s="98"/>
      <c r="C3" s="98"/>
      <c r="D3" s="98"/>
      <c r="E3" s="98"/>
      <c r="F3" s="98"/>
      <c r="G3" s="98"/>
      <c r="H3" s="98"/>
      <c r="I3" s="98"/>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22" t="s">
        <v>140</v>
      </c>
      <c r="C6" s="250"/>
      <c r="D6" s="250"/>
      <c r="E6" s="250"/>
      <c r="F6" s="250"/>
      <c r="G6" s="250"/>
      <c r="H6" s="251"/>
      <c r="I6" s="3"/>
    </row>
    <row r="7" spans="1:9" ht="9" customHeight="1" x14ac:dyDescent="0.15">
      <c r="A7" s="5"/>
      <c r="B7" s="10"/>
      <c r="C7" s="10"/>
      <c r="D7" s="10"/>
      <c r="E7" s="10"/>
      <c r="F7" s="10"/>
      <c r="G7" s="10"/>
      <c r="H7" s="10"/>
      <c r="I7" s="3"/>
    </row>
    <row r="8" spans="1:9" ht="18.75" customHeight="1" x14ac:dyDescent="0.15">
      <c r="A8" s="5"/>
      <c r="B8" s="3"/>
      <c r="C8" s="3"/>
      <c r="D8" s="33" t="s">
        <v>42</v>
      </c>
      <c r="E8" s="34" t="s">
        <v>141</v>
      </c>
      <c r="F8" s="3"/>
      <c r="G8" s="33" t="s">
        <v>10</v>
      </c>
      <c r="H8" s="34" t="s">
        <v>142</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1" t="s">
        <v>23</v>
      </c>
      <c r="C11" s="97"/>
      <c r="D11" s="92"/>
      <c r="E11" s="97" t="s">
        <v>25</v>
      </c>
      <c r="F11" s="97"/>
      <c r="G11" s="97"/>
      <c r="H11" s="97"/>
      <c r="I11" s="92"/>
    </row>
    <row r="12" spans="1:9" ht="26.25" customHeight="1" x14ac:dyDescent="0.15">
      <c r="B12" s="48" t="s">
        <v>13</v>
      </c>
      <c r="C12" s="55"/>
      <c r="D12" s="49"/>
      <c r="E12" s="56"/>
      <c r="F12" s="56"/>
      <c r="G12" s="56"/>
      <c r="H12" s="56"/>
      <c r="I12" s="49"/>
    </row>
    <row r="13" spans="1:9" ht="271.5" customHeight="1" x14ac:dyDescent="0.15">
      <c r="B13" s="50"/>
      <c r="C13" s="233" t="s">
        <v>14</v>
      </c>
      <c r="D13" s="234"/>
      <c r="E13" s="246" t="s">
        <v>166</v>
      </c>
      <c r="F13" s="235"/>
      <c r="G13" s="235"/>
      <c r="H13" s="235"/>
      <c r="I13" s="236"/>
    </row>
    <row r="14" spans="1:9" ht="175.5" customHeight="1" x14ac:dyDescent="0.15">
      <c r="B14" s="50"/>
      <c r="C14" s="248" t="s">
        <v>15</v>
      </c>
      <c r="D14" s="249"/>
      <c r="E14" s="246" t="s">
        <v>143</v>
      </c>
      <c r="F14" s="235"/>
      <c r="G14" s="235"/>
      <c r="H14" s="235"/>
      <c r="I14" s="236"/>
    </row>
    <row r="15" spans="1:9" ht="210.75" customHeight="1" x14ac:dyDescent="0.15">
      <c r="B15" s="50"/>
      <c r="C15" s="233" t="s">
        <v>16</v>
      </c>
      <c r="D15" s="234"/>
      <c r="E15" s="246" t="s">
        <v>144</v>
      </c>
      <c r="F15" s="235"/>
      <c r="G15" s="235"/>
      <c r="H15" s="235"/>
      <c r="I15" s="236"/>
    </row>
    <row r="16" spans="1:9" ht="143.25" customHeight="1" x14ac:dyDescent="0.15">
      <c r="B16" s="50"/>
      <c r="C16" s="233" t="s">
        <v>17</v>
      </c>
      <c r="D16" s="234"/>
      <c r="E16" s="246" t="s">
        <v>147</v>
      </c>
      <c r="F16" s="235"/>
      <c r="G16" s="235"/>
      <c r="H16" s="235"/>
      <c r="I16" s="236"/>
    </row>
    <row r="17" spans="2:9" ht="182.25" customHeight="1" x14ac:dyDescent="0.15">
      <c r="B17" s="51"/>
      <c r="C17" s="237" t="s">
        <v>18</v>
      </c>
      <c r="D17" s="238"/>
      <c r="E17" s="247" t="s">
        <v>145</v>
      </c>
      <c r="F17" s="239"/>
      <c r="G17" s="239"/>
      <c r="H17" s="239"/>
      <c r="I17" s="240"/>
    </row>
    <row r="18" spans="2:9" ht="24" customHeight="1" x14ac:dyDescent="0.15">
      <c r="B18" s="48" t="s">
        <v>19</v>
      </c>
      <c r="C18" s="52"/>
      <c r="D18" s="53"/>
      <c r="E18" s="54"/>
      <c r="F18" s="54"/>
      <c r="G18" s="54"/>
      <c r="H18" s="54"/>
      <c r="I18" s="57"/>
    </row>
    <row r="19" spans="2:9" ht="218.25" customHeight="1" x14ac:dyDescent="0.15">
      <c r="B19" s="50"/>
      <c r="C19" s="233" t="s">
        <v>20</v>
      </c>
      <c r="D19" s="234"/>
      <c r="E19" s="235" t="s">
        <v>192</v>
      </c>
      <c r="F19" s="235"/>
      <c r="G19" s="235"/>
      <c r="H19" s="235"/>
      <c r="I19" s="236"/>
    </row>
    <row r="20" spans="2:9" ht="218.25" customHeight="1" x14ac:dyDescent="0.15">
      <c r="B20" s="51"/>
      <c r="C20" s="237" t="s">
        <v>21</v>
      </c>
      <c r="D20" s="238"/>
      <c r="E20" s="239" t="s">
        <v>193</v>
      </c>
      <c r="F20" s="239"/>
      <c r="G20" s="239"/>
      <c r="H20" s="239"/>
      <c r="I20" s="240"/>
    </row>
    <row r="21" spans="2:9" ht="218.25" customHeight="1" x14ac:dyDescent="0.15">
      <c r="B21" s="241" t="s">
        <v>22</v>
      </c>
      <c r="C21" s="242"/>
      <c r="D21" s="243"/>
      <c r="E21" s="244" t="s">
        <v>148</v>
      </c>
      <c r="F21" s="244"/>
      <c r="G21" s="244"/>
      <c r="H21" s="244"/>
      <c r="I21" s="245"/>
    </row>
    <row r="22" spans="2:9" ht="218.25" customHeight="1" x14ac:dyDescent="0.15">
      <c r="B22" s="228" t="s">
        <v>37</v>
      </c>
      <c r="C22" s="229"/>
      <c r="D22" s="230"/>
      <c r="E22" s="231" t="s">
        <v>149</v>
      </c>
      <c r="F22" s="231"/>
      <c r="G22" s="231"/>
      <c r="H22" s="231"/>
      <c r="I22" s="23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 </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tuisadmin</cp:lastModifiedBy>
  <cp:lastPrinted>2023-04-27T08:56:45Z</cp:lastPrinted>
  <dcterms:created xsi:type="dcterms:W3CDTF">2011-06-14T05:32:50Z</dcterms:created>
  <dcterms:modified xsi:type="dcterms:W3CDTF">2023-06-26T04:46:22Z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