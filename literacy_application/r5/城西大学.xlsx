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D:\ドキュメント\数理センター\認定制度\申請\"/>
    </mc:Choice>
  </mc:AlternateContent>
  <xr:revisionPtr revIDLastSave="0" documentId="13_ncr:1_{153DA302-BE29-49FF-AA20-3416A6B946B1}" xr6:coauthVersionLast="47" xr6:coauthVersionMax="47" xr10:uidLastSave="{00000000-0000-0000-0000-000000000000}"/>
  <bookViews>
    <workbookView xWindow="5028" yWindow="3468" windowWidth="19248" windowHeight="14328"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プログラムを構成する授業科目'!#REF!</definedName>
    <definedName name="_xlnm._FilterDatabase" localSheetId="1" hidden="1">'様式２ 履修者等数の実績'!#REF!</definedName>
    <definedName name="_xlnm.Print_Area" localSheetId="0">'様式１　プログラムを構成する授業科目'!$A$1:$S$101</definedName>
    <definedName name="_xlnm.Print_Area" localSheetId="1">'様式２ 履修者等数の実績'!$A$1:$AQ$32</definedName>
    <definedName name="_xlnm.Print_Area" localSheetId="2">'様式３ 教育の質・履修者数を向上させるための体制・計画'!$A$1:$I$116</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40" l="1"/>
  <c r="O13" i="40"/>
  <c r="I16" i="40"/>
  <c r="I15" i="40"/>
  <c r="F16" i="40"/>
  <c r="F15" i="40"/>
  <c r="F12" i="40"/>
  <c r="F13" i="40"/>
  <c r="I2" i="42"/>
  <c r="H2" i="4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7" i="40"/>
  <c r="O16" i="40"/>
  <c r="L16" i="40"/>
  <c r="O15" i="40"/>
  <c r="L15" i="40"/>
  <c r="O14" i="40"/>
  <c r="L14" i="40"/>
  <c r="L13" i="40"/>
  <c r="O12" i="40"/>
  <c r="L12" i="40"/>
  <c r="O32" i="40" l="1"/>
  <c r="AA32" i="40"/>
  <c r="AJ32" i="40"/>
  <c r="AM32" i="40"/>
  <c r="AG32" i="40"/>
  <c r="AD32" i="40"/>
  <c r="X32" i="40"/>
  <c r="R32" i="40"/>
  <c r="U32" i="40"/>
  <c r="L32" i="40"/>
  <c r="K32" i="40" l="1"/>
  <c r="J32" i="40"/>
  <c r="I31" i="40"/>
  <c r="I30" i="40"/>
  <c r="I29" i="40"/>
  <c r="I28" i="40"/>
  <c r="I27" i="40"/>
  <c r="I26" i="40"/>
  <c r="I25" i="40"/>
  <c r="I24" i="40"/>
  <c r="I22" i="40"/>
  <c r="I21" i="40"/>
  <c r="I20" i="40"/>
  <c r="I14" i="40"/>
  <c r="I13" i="40"/>
  <c r="I12" i="40"/>
  <c r="G32" i="40"/>
  <c r="H32" i="40"/>
  <c r="AP13" i="40"/>
  <c r="AP14" i="40"/>
  <c r="AP15" i="40"/>
  <c r="AP16" i="40"/>
  <c r="AP17" i="40"/>
  <c r="AP18" i="40"/>
  <c r="AP19" i="40"/>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46"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5" i="41" s="1"/>
</calcChain>
</file>

<file path=xl/sharedStrings.xml><?xml version="1.0" encoding="utf-8"?>
<sst xmlns="http://schemas.openxmlformats.org/spreadsheetml/2006/main" count="329" uniqueCount="173">
  <si>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</si>
  <si>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</si>
  <si>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</si>
  <si>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城西大学</t>
    <rPh sb="0" eb="2">
      <t>ジョウサイ</t>
    </rPh>
    <rPh sb="2" eb="4">
      <t>ダイガク</t>
    </rPh>
    <phoneticPr fontId="1"/>
  </si>
  <si>
    <t>プログラム名</t>
    <rPh sb="5" eb="6">
      <t>メイ</t>
    </rPh>
    <phoneticPr fontId="1"/>
  </si>
  <si>
    <t>データサイエンス入門</t>
    <rPh sb="8" eb="10">
      <t>ニュウモン</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</si>
  <si>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</si>
  <si>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</si>
  <si>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</si>
  <si>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</si>
  <si>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</si>
  <si>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「データサイエンス入門」または「ＡＩと経済」の2単位を習得すること。</t>
    <rPh sb="9" eb="11">
      <t>ニュウモン</t>
    </rPh>
    <rPh sb="24" eb="26">
      <t>タンイ</t>
    </rPh>
    <rPh sb="27" eb="29">
      <t>シュウトク</t>
    </rPh>
    <phoneticPr fontId="1"/>
  </si>
  <si>
    <t>【プルダウンリスト】</t>
    <phoneticPr fontId="1"/>
  </si>
  <si>
    <t>必要最低単位数</t>
    <phoneticPr fontId="1"/>
  </si>
  <si>
    <t>単位</t>
    <rPh sb="0" eb="2">
      <t>タンイ</t>
    </rPh>
    <phoneticPr fontId="1"/>
  </si>
  <si>
    <t>履修必須の有無</t>
    <rPh sb="0" eb="2">
      <t>リシュウ</t>
    </rPh>
    <rPh sb="2" eb="4">
      <t>ヒッス</t>
    </rPh>
    <rPh sb="5" eb="7">
      <t>ウム</t>
    </rPh>
    <phoneticPr fontId="1"/>
  </si>
  <si>
    <t>令和８年度以降に履修必須とする計画、又は未定</t>
    <rPh sb="18" eb="19">
      <t>マタ</t>
    </rPh>
    <rPh sb="20" eb="22">
      <t>ミテイ</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</si>
  <si>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</si>
  <si>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</si>
  <si>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</si>
  <si>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</si>
  <si>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</si>
  <si>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</si>
  <si>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t>
  </si>
  <si>
    <t>ＡＩと経済</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</si>
  <si>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</si>
  <si>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</si>
  <si>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</si>
  <si>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</si>
  <si>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</si>
  <si>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</si>
  <si>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</si>
  <si>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</si>
  <si>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</si>
  <si>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</si>
  <si>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</si>
  <si>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</si>
  <si>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</si>
  <si>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ＡＩと経済</t>
  </si>
  <si>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</si>
  <si>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</si>
  <si>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</si>
  <si>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</si>
  <si>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</si>
  <si>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</si>
  <si>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</si>
  <si>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</si>
  <si>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</si>
  <si>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</si>
  <si>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</si>
  <si>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</si>
  <si>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</si>
  <si>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</si>
  <si>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プログラムの履修者数等の実績について</t>
    <phoneticPr fontId="1"/>
  </si>
  <si>
    <t>①プログラム開設年度</t>
    <rPh sb="6" eb="8">
      <t>カイセツ</t>
    </rPh>
    <rPh sb="8" eb="10">
      <t>ネンド</t>
    </rPh>
    <phoneticPr fontId="1"/>
  </si>
  <si>
    <t>令和3</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</si>
  <si>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</si>
  <si>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</si>
  <si>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</si>
  <si>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</si>
  <si>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</si>
  <si>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</si>
  <si>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</si>
  <si>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</si>
  <si>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</si>
  <si>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</si>
  <si>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</si>
  <si>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</si>
  <si>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</si>
  <si>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</si>
  <si>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</si>
  <si>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</si>
  <si>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</si>
  <si>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</si>
  <si>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</si>
  <si>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経済学部</t>
    <rPh sb="0" eb="2">
      <t>ケイザイ</t>
    </rPh>
    <rPh sb="2" eb="4">
      <t>ガクブ</t>
    </rPh>
    <phoneticPr fontId="1"/>
  </si>
  <si>
    <t>現代政策学部</t>
    <rPh sb="0" eb="2">
      <t>ゲンダイ</t>
    </rPh>
    <rPh sb="2" eb="4">
      <t>セイサク</t>
    </rPh>
    <rPh sb="4" eb="6">
      <t>ガクブ</t>
    </rPh>
    <phoneticPr fontId="1"/>
  </si>
  <si>
    <t>経営学部</t>
    <rPh sb="0" eb="2">
      <t>ケイエイ</t>
    </rPh>
    <rPh sb="2" eb="4">
      <t>ガクブ</t>
    </rPh>
    <phoneticPr fontId="1"/>
  </si>
  <si>
    <t>理学部</t>
    <rPh sb="0" eb="3">
      <t>リガクブ</t>
    </rPh>
    <phoneticPr fontId="1"/>
  </si>
  <si>
    <t>薬学部</t>
    <rPh sb="0" eb="3">
      <t>ヤクガクブ</t>
    </rPh>
    <phoneticPr fontId="1"/>
  </si>
  <si>
    <t xml:space="preserve"> </t>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</si>
  <si>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</si>
  <si>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</si>
  <si>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</si>
  <si>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</si>
  <si>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</si>
  <si>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</si>
  <si>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</si>
  <si>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</si>
  <si>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</si>
  <si>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</si>
  <si>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</si>
  <si>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</si>
  <si>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</si>
  <si>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</si>
  <si>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大島利雄</t>
    <rPh sb="0" eb="2">
      <t>オオシマ</t>
    </rPh>
    <rPh sb="2" eb="4">
      <t>トシオ</t>
    </rPh>
    <phoneticPr fontId="1"/>
  </si>
  <si>
    <t>（役職名）</t>
    <rPh sb="1" eb="4">
      <t>ヤクショクメイ</t>
    </rPh>
    <phoneticPr fontId="1"/>
  </si>
  <si>
    <t>④</t>
    <phoneticPr fontId="1"/>
  </si>
  <si>
    <t>プログラムを改善・進化させるための体制（委員会・組織等）</t>
    <phoneticPr fontId="1"/>
  </si>
  <si>
    <t>数理・データサイエンスセンター連絡委員会</t>
    <rPh sb="0" eb="2">
      <t>スウリ</t>
    </rPh>
    <rPh sb="15" eb="17">
      <t>レンラク</t>
    </rPh>
    <rPh sb="17" eb="20">
      <t>イインカイ</t>
    </rPh>
    <phoneticPr fontId="1"/>
  </si>
  <si>
    <t>数理・データサイエンスセンター所長</t>
    <rPh sb="0" eb="2">
      <t>スウリ</t>
    </rPh>
    <rPh sb="15" eb="17">
      <t>ショチョウ</t>
    </rPh>
    <phoneticPr fontId="1"/>
  </si>
  <si>
    <t>⑤</t>
    <phoneticPr fontId="1"/>
  </si>
  <si>
    <t>プログラムを改善・進化させるための体制を定める規則名称</t>
    <phoneticPr fontId="1"/>
  </si>
  <si>
    <t>数理・データサイエンスセンター連絡委員会規程</t>
    <rPh sb="0" eb="2">
      <t>スウリ</t>
    </rPh>
    <rPh sb="15" eb="17">
      <t>レンラク</t>
    </rPh>
    <rPh sb="17" eb="20">
      <t>イインカイ</t>
    </rPh>
    <rPh sb="20" eb="22">
      <t>キテイ</t>
    </rPh>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</si>
  <si>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</si>
  <si>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</si>
  <si>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</si>
  <si>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</si>
  <si>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</si>
  <si>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</si>
  <si>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</si>
  <si>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</si>
  <si>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</si>
  <si>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</si>
  <si>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</si>
  <si>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</si>
  <si>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</si>
  <si>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</si>
  <si>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</si>
  <si>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</si>
  <si>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</si>
  <si>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</si>
  <si>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</si>
  <si>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</si>
  <si>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</si>
  <si>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</si>
  <si>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</si>
  <si>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</si>
  <si>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</si>
  <si>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</si>
  <si>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</si>
  <si>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</si>
  <si>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</si>
  <si>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</si>
  <si>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</si>
  <si>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</si>
  <si>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</si>
  <si>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</si>
  <si>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</si>
  <si>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</si>
  <si>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</si>
  <si>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</si>
  <si>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</si>
  <si>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毎回の課題に取り組むことで、能動的にデータサイエンスの実態に触れることができ、学ぶ楽しさや学ぶことの意義を実感させることが実現できていると評価する。さらに最終発表会においてはグループ学習による課題解決を体験させており、数理・データサイエンス・AIを学ぶことの意義が十分に伝わっていると考える。今後もこの形の取り組みを続けていく。</t>
    <rPh sb="0" eb="2">
      <t>ジッタイニフレルコトガ</t>
    </rPh>
    <phoneticPr fontId="1"/>
  </si>
  <si>
    <t>4‐8データ活用実践（教師あり学習）</t>
  </si>
  <si>
    <t>　受講者に自発的・能動的な学習を求める講義スタイルを貫いたため、単位修得者に対する学習成果はきわめて高かったと考えられるが、そのスタイルになじめない受講者からはわかりにくいという反応もあった。講義資料を共有しつつ、受講者の適性に合わせた複数クラスを開設することで、内容・水準は維持しつつ、より多くの受講者に伝わるようなプログラムを実現していく。</t>
    <phoneticPr fontId="1"/>
  </si>
  <si>
    <t xml:space="preserve">　本プログラムは令和3年度の入学者から設置されたもので、まだ修了者は卒業していない。卒業者が出たあと、就職先の調査、就職先へのアンケート調査などを予定している。
</t>
    <rPh sb="0" eb="1">
      <t>ホンプログラムハ</t>
    </rPh>
    <phoneticPr fontId="1"/>
  </si>
  <si>
    <t>　令和５年度には、全学に開講している「データサイエンス入門」を担当する新任教員を新たに２名採用する。 受講学生は講義を担当する３名の教員を自由に選べるようにし、内容は同じだが講義スタイルの異なる形で開講する。令和５年度の結果を評価・分析し、令和６年度以降の講義スタイルに生かす。
　新入生への宣伝が履修者数の増加に大きく寄与することが分かったので、令和６年度以降は特にそれを充実させる。また、学内の様々な学科の他、企業など外部からの講師を招いての講演を開催し、学生の関心を高める。
　いくつかのレベルのデータサイエンス教育プログラムを修了した学部卒業生が現れる令和７年度以降は、データサイエンス教育プログラムの重要性について実体験を踏まえて学生に紹介する。</t>
    <rPh sb="9" eb="11">
      <t>ゼンガク</t>
    </rPh>
    <rPh sb="12" eb="14">
      <t>カイコウ</t>
    </rPh>
    <rPh sb="27" eb="29">
      <t>ニュウモン</t>
    </rPh>
    <rPh sb="31" eb="33">
      <t>タントウ</t>
    </rPh>
    <rPh sb="35" eb="37">
      <t>シンニン</t>
    </rPh>
    <rPh sb="37" eb="39">
      <t>キョウイン</t>
    </rPh>
    <rPh sb="40" eb="41">
      <t>アラ</t>
    </rPh>
    <rPh sb="44" eb="45">
      <t>メイ</t>
    </rPh>
    <rPh sb="45" eb="47">
      <t>サイヨウ</t>
    </rPh>
    <rPh sb="51" eb="53">
      <t>ジュコウ</t>
    </rPh>
    <rPh sb="53" eb="55">
      <t>ガクセイ</t>
    </rPh>
    <rPh sb="56" eb="58">
      <t>コウギ</t>
    </rPh>
    <rPh sb="59" eb="61">
      <t>タントウ</t>
    </rPh>
    <rPh sb="64" eb="65">
      <t>メイ</t>
    </rPh>
    <rPh sb="66" eb="68">
      <t>キョウイン</t>
    </rPh>
    <rPh sb="69" eb="71">
      <t>ジユウ</t>
    </rPh>
    <rPh sb="72" eb="73">
      <t>エラ</t>
    </rPh>
    <rPh sb="80" eb="82">
      <t>ナイヨウ</t>
    </rPh>
    <rPh sb="83" eb="84">
      <t>オナ</t>
    </rPh>
    <rPh sb="87" eb="89">
      <t>コウギ</t>
    </rPh>
    <rPh sb="94" eb="95">
      <t>コト</t>
    </rPh>
    <rPh sb="97" eb="98">
      <t>カタチ</t>
    </rPh>
    <rPh sb="99" eb="101">
      <t>カイコウ</t>
    </rPh>
    <rPh sb="110" eb="112">
      <t>ケッカ</t>
    </rPh>
    <rPh sb="113" eb="115">
      <t>ヒョウカ</t>
    </rPh>
    <rPh sb="116" eb="118">
      <t>ブンセキ</t>
    </rPh>
    <rPh sb="123" eb="125">
      <t>ネンド</t>
    </rPh>
    <rPh sb="125" eb="127">
      <t>イコウ</t>
    </rPh>
    <rPh sb="128" eb="130">
      <t>コウギ</t>
    </rPh>
    <rPh sb="135" eb="136">
      <t>イ</t>
    </rPh>
    <rPh sb="142" eb="145">
      <t>シンニュウセイ</t>
    </rPh>
    <rPh sb="147" eb="149">
      <t>センデン</t>
    </rPh>
    <rPh sb="150" eb="152">
      <t>リシュウ</t>
    </rPh>
    <rPh sb="152" eb="153">
      <t>シャ</t>
    </rPh>
    <rPh sb="153" eb="154">
      <t>スウ</t>
    </rPh>
    <rPh sb="155" eb="157">
      <t>ゾウカ</t>
    </rPh>
    <rPh sb="158" eb="159">
      <t>オオ</t>
    </rPh>
    <rPh sb="161" eb="163">
      <t>キヨ</t>
    </rPh>
    <rPh sb="168" eb="169">
      <t>ワ</t>
    </rPh>
    <rPh sb="175" eb="177">
      <t>レイワ</t>
    </rPh>
    <rPh sb="197" eb="199">
      <t>ガクナイ</t>
    </rPh>
    <rPh sb="208" eb="210">
      <t>キギョウ</t>
    </rPh>
    <rPh sb="212" eb="214">
      <t>ガイブ</t>
    </rPh>
    <rPh sb="217" eb="219">
      <t>コウシ</t>
    </rPh>
    <rPh sb="220" eb="221">
      <t>マネ</t>
    </rPh>
    <rPh sb="224" eb="226">
      <t>コウエン</t>
    </rPh>
    <rPh sb="227" eb="229">
      <t>カイサイ</t>
    </rPh>
    <rPh sb="231" eb="233">
      <t>ガクセイ</t>
    </rPh>
    <rPh sb="234" eb="236">
      <t>カンシン</t>
    </rPh>
    <rPh sb="237" eb="238">
      <t>タカ</t>
    </rPh>
    <rPh sb="261" eb="263">
      <t>キョウイク</t>
    </rPh>
    <rPh sb="275" eb="278">
      <t>ソツギョウセイ</t>
    </rPh>
    <rPh sb="279" eb="280">
      <t>アラワ</t>
    </rPh>
    <rPh sb="287" eb="289">
      <t>イコウ</t>
    </rPh>
    <rPh sb="299" eb="301">
      <t>キョウイク</t>
    </rPh>
    <rPh sb="307" eb="310">
      <t>ジュウヨウセイ</t>
    </rPh>
    <rPh sb="314" eb="317">
      <t>ジツタイケン</t>
    </rPh>
    <rPh sb="318" eb="319">
      <t>フ</t>
    </rPh>
    <rPh sb="322" eb="324">
      <t>ガクセイ</t>
    </rPh>
    <rPh sb="325" eb="327">
      <t>ショウカイ</t>
    </rPh>
    <phoneticPr fontId="1"/>
  </si>
  <si>
    <t xml:space="preserve">オープンデータ，集合知，様々な分野における実データ活用事例（「データサイエンス入門」第2-3回，第5-8回）
知識発見，原因究明，計画策定，判断支援，仮説検証（「AIと経済」第5-6回，第9回）															</t>
    <phoneticPr fontId="1"/>
  </si>
  <si>
    <t>3つの技術革新，IoT，第4次産業革命，Society 5.0，データサイエンスの必要性（「データサイエンス入門」第1回）
第4次産業革命，Society 5.0，データ駆動型社会，人間の知的活動とAIの関係性，AIを活用した新しいビジネス/サービスを知る，データサイエンスの必要性（「AIと経済」第1-2回，第9回）</t>
    <phoneticPr fontId="1"/>
  </si>
  <si>
    <t>深層学習，敵対的サンプル，GAN，Deepfake，生成型AI，ELSI（「データサイエンス入門」第9-11回）
AI等を活用した新しいビジネスモデル（シェアリングエコノミー，商品のレコメンデーションなど），AI最新技術の活用例（「データサイエンス入門」第2回，第4回，第9回）</t>
    <phoneticPr fontId="1"/>
  </si>
  <si>
    <t>画像・音声・テキストなどデータの仕組み，収集手段ごとのデータの種類（「データサイエンス入門」第2回）
画像・音声・テキストなどデータの仕組み，収集手段ごとのデータの種類，データのオープン化（「AIと経済」第9-10回）</t>
    <phoneticPr fontId="1"/>
  </si>
  <si>
    <t>教師あり/なし学習，ルールベースAI，古典的機械学習＆深層学習（「データサイエンス入門」第9-10回）
特化型AIと汎用AI，今のAIで出来ることと出来ないこと，教師あり/なし学習，ルールベース，AIとビッグデータ（「AIと経済」第2-3回，第9回）</t>
    <phoneticPr fontId="1"/>
  </si>
  <si>
    <t>メタ認知とPPDAC，DataStaRtなどの活用事例，CRISP-DMとビジネス活用（「データサイエンス入門」第3回）
経済・経営・社会における実データ活用事例，データサイエンスのサイクル（「AIと経済」第3-6回，第9回）</t>
    <phoneticPr fontId="1"/>
  </si>
  <si>
    <t>データの代表値や分散などの記述統計，相関分析，各グラフで可視化（「データサイエンス入門」第5回）
データの代表値や分散などの記述統計，相関分析，各グラフで可視化（「AIと経済」第11-12回）</t>
    <phoneticPr fontId="1"/>
  </si>
  <si>
    <t>RESAS活用によるアクティブ・ラーニング＆ディスカッション（「データサイエンス入門」第6回)
データ表現，データの図表表現（「AIと経済」第11-12回</t>
    <phoneticPr fontId="1"/>
  </si>
  <si>
    <t>反転学習によるMicrosoft Excelの使い方（「データサイエンス入門」第4回）
Microsoft Excelでデータ集計＆分析＆可視化（「データサイエンス入門」第5回，第7-8回）
Microsoft Excelの使い方，Microsoft Excelでデータ集計＆分析＆可視化（「AIと経済」第13回）</t>
    <phoneticPr fontId="1"/>
  </si>
  <si>
    <t xml:space="preserve">  データサイエンスの基礎的素養およびこれから社会で生きて行く為の能力の修得。より具体的に、情報・コンピュータ・セキュリティ・ネット・AIなどのリテラシー、自分で考える力が挙げられる。さらに、それらの取得によって以下の成果を得る事ができる。
1. テレビ、新聞、雑誌、SNSなどで見かけるデータを正しく分析し、データを提示した人の持つ主張を客観的に判断できるようになる。
2. 現代社会における様々なデータの取り扱いや留意事項について、活用する側される側の両方の立場から意見できるようになる。
3. 社会に浸透しつつあるAIの出来る事/苦手な事を理解し、あくまで人間を中心に据えるAI社会で自分の役割を見つける事ができる。 																	</t>
    <phoneticPr fontId="1"/>
  </si>
  <si>
    <t>個人情報保護法，GDPR，ELSI（「データサイエンス入門」第11回）
悪意ある情報搾取，情報漏洩等によるセキュリティ事故の事例紹介（「AIと経済」第8回）</t>
    <phoneticPr fontId="1"/>
  </si>
  <si>
    <t>数理・データサイエンスセンター所長</t>
    <rPh sb="0" eb="2">
      <t>スウリ</t>
    </rPh>
    <rPh sb="15" eb="17">
      <t>ショチョウ</t>
    </rPh>
    <phoneticPr fontId="1"/>
  </si>
  <si>
    <t>数理・データサイエンスセンターの教育・研究目的の達成のための計画・評価などの審議を実質的に行う。
全学科から１名以上の構成員が選出されている。
数理・データサイエンスセンターは、城西大学における数理・データサイエンスの教育、研究並びにデータサイエンスに関連する共同研究を行い、数理・データサイエンスに関連する教育研究の進展に資することを目的とし令和3年4月に設立された。</t>
    <rPh sb="0" eb="2">
      <t>スウリ</t>
    </rPh>
    <rPh sb="16" eb="18">
      <t>キョウイク</t>
    </rPh>
    <rPh sb="19" eb="21">
      <t>ケンキュウ</t>
    </rPh>
    <rPh sb="21" eb="23">
      <t>モクテキ</t>
    </rPh>
    <rPh sb="24" eb="26">
      <t>タッセイ</t>
    </rPh>
    <rPh sb="30" eb="32">
      <t>ケイカク</t>
    </rPh>
    <rPh sb="33" eb="35">
      <t>ヒョウカ</t>
    </rPh>
    <rPh sb="38" eb="40">
      <t>シンギ</t>
    </rPh>
    <rPh sb="41" eb="44">
      <t>ジッシツテキ</t>
    </rPh>
    <rPh sb="45" eb="46">
      <t>オコナ</t>
    </rPh>
    <rPh sb="49" eb="51">
      <t>ゼンガク</t>
    </rPh>
    <rPh sb="51" eb="52">
      <t>カ</t>
    </rPh>
    <rPh sb="55" eb="56">
      <t>メイ</t>
    </rPh>
    <rPh sb="56" eb="58">
      <t>イジョウ</t>
    </rPh>
    <rPh sb="59" eb="62">
      <t>コウセイイン</t>
    </rPh>
    <rPh sb="63" eb="65">
      <t>センシュツ</t>
    </rPh>
    <rPh sb="73" eb="75">
      <t>スウリ</t>
    </rPh>
    <rPh sb="90" eb="92">
      <t>ジョウサイ</t>
    </rPh>
    <rPh sb="92" eb="94">
      <t>ダイガク</t>
    </rPh>
    <rPh sb="176" eb="177">
      <t>ネン</t>
    </rPh>
    <rPh sb="178" eb="179">
      <t>ガツ</t>
    </rPh>
    <rPh sb="180" eb="182">
      <t>セツリツ</t>
    </rPh>
    <phoneticPr fontId="1"/>
  </si>
  <si>
    <t>　講義担当者は、企業での学生のインターンシップなどに参加し、教育プログラムの改善への参考にしている。
　今後、産業界に勤めている方を講師に招いた講義を開講し、講演者との意見交換を行う予定である。</t>
    <rPh sb="1" eb="3">
      <t>コウギ</t>
    </rPh>
    <rPh sb="3" eb="6">
      <t>タントウシャ</t>
    </rPh>
    <rPh sb="8" eb="10">
      <t>キギョウ</t>
    </rPh>
    <rPh sb="12" eb="14">
      <t>ガクセイ</t>
    </rPh>
    <rPh sb="26" eb="28">
      <t>サンカ</t>
    </rPh>
    <rPh sb="30" eb="32">
      <t>キョウイク</t>
    </rPh>
    <rPh sb="38" eb="40">
      <t>カイゼン</t>
    </rPh>
    <rPh sb="42" eb="44">
      <t>サンコウ</t>
    </rPh>
    <rPh sb="53" eb="55">
      <t>コンゴ</t>
    </rPh>
    <rPh sb="56" eb="59">
      <t>サンギョウカイ</t>
    </rPh>
    <rPh sb="60" eb="61">
      <t>ツト</t>
    </rPh>
    <rPh sb="65" eb="66">
      <t>カタ</t>
    </rPh>
    <rPh sb="67" eb="69">
      <t>コウシ</t>
    </rPh>
    <rPh sb="70" eb="71">
      <t>マネ</t>
    </rPh>
    <rPh sb="73" eb="75">
      <t>コウギ</t>
    </rPh>
    <rPh sb="76" eb="78">
      <t>カイコウ</t>
    </rPh>
    <rPh sb="80" eb="82">
      <t>コウエン</t>
    </rPh>
    <rPh sb="82" eb="83">
      <t>シャ</t>
    </rPh>
    <rPh sb="85" eb="87">
      <t>イケン</t>
    </rPh>
    <rPh sb="87" eb="89">
      <t>コウカン</t>
    </rPh>
    <rPh sb="90" eb="91">
      <t>オコナ</t>
    </rPh>
    <rPh sb="92" eb="94">
      <t>ヨテイ</t>
    </rPh>
    <phoneticPr fontId="1"/>
  </si>
  <si>
    <t xml:space="preserve">　「データサイエンス入門」は、同じ内容を前期・後期共に坂戸キャンパスで週4コマ、紀尾井町キャンパスで週1コマ、あわせて１年に10コマ開講し、学生は学部・学科に関係なく希望するコマが受講できる。さらに、経済学部生は後期に開講される「AIと経済」の受講でもよい。
　学生それぞれの事情に応じて希望するコマを選択できる仕組みは，受講生に行った令和4年度期末アンケートの結果では学生の67%が「ちょうどよい空きコマに本講義が設定されていた」と回答し，27%が「10コマのいくつかは他科目と重複していたが気にならないレベルだった」と回答している。
　令和4年度は、受講者が急増して学生が一つの教室に入らないコマが生じたが、2教室をオンラインでつないで同時中継することにより対応した。
</t>
    <rPh sb="10" eb="12">
      <t>ニュウモン</t>
    </rPh>
    <rPh sb="15" eb="16">
      <t>オナ</t>
    </rPh>
    <rPh sb="17" eb="19">
      <t>ナイヨウ</t>
    </rPh>
    <rPh sb="20" eb="22">
      <t>ゼンキ</t>
    </rPh>
    <rPh sb="23" eb="25">
      <t>コウキ</t>
    </rPh>
    <rPh sb="25" eb="26">
      <t>トモ</t>
    </rPh>
    <rPh sb="27" eb="29">
      <t>サカド</t>
    </rPh>
    <rPh sb="35" eb="36">
      <t>シュウ</t>
    </rPh>
    <rPh sb="40" eb="44">
      <t>キオイチョウ</t>
    </rPh>
    <rPh sb="50" eb="51">
      <t>シュウ</t>
    </rPh>
    <rPh sb="60" eb="61">
      <t>ネン</t>
    </rPh>
    <rPh sb="66" eb="68">
      <t>カイコウ</t>
    </rPh>
    <rPh sb="70" eb="72">
      <t>ガクセイ</t>
    </rPh>
    <rPh sb="73" eb="75">
      <t>ガクブ</t>
    </rPh>
    <rPh sb="76" eb="78">
      <t>ガッカ</t>
    </rPh>
    <rPh sb="79" eb="81">
      <t>カンケイ</t>
    </rPh>
    <rPh sb="83" eb="85">
      <t>キボウ</t>
    </rPh>
    <rPh sb="90" eb="92">
      <t>ジュコウ</t>
    </rPh>
    <rPh sb="100" eb="102">
      <t>ケイザイ</t>
    </rPh>
    <rPh sb="102" eb="104">
      <t>ガクブ</t>
    </rPh>
    <rPh sb="104" eb="105">
      <t>セイ</t>
    </rPh>
    <rPh sb="106" eb="108">
      <t>コウキ</t>
    </rPh>
    <rPh sb="109" eb="111">
      <t>カイコウ</t>
    </rPh>
    <rPh sb="118" eb="120">
      <t>ケイザイ</t>
    </rPh>
    <rPh sb="122" eb="124">
      <t>ジュコウ</t>
    </rPh>
    <rPh sb="169" eb="170">
      <t>レイ</t>
    </rPh>
    <rPh sb="170" eb="171">
      <t>ワ</t>
    </rPh>
    <rPh sb="272" eb="273">
      <t>レイ</t>
    </rPh>
    <rPh sb="273" eb="274">
      <t>ワ</t>
    </rPh>
    <rPh sb="275" eb="277">
      <t>ネンド</t>
    </rPh>
    <rPh sb="279" eb="282">
      <t>ジュコウシャ</t>
    </rPh>
    <rPh sb="283" eb="284">
      <t>キュウ</t>
    </rPh>
    <rPh sb="284" eb="285">
      <t>フ</t>
    </rPh>
    <rPh sb="287" eb="289">
      <t>ガクセイ</t>
    </rPh>
    <rPh sb="290" eb="291">
      <t>ヒト</t>
    </rPh>
    <rPh sb="293" eb="295">
      <t>キョウシツ</t>
    </rPh>
    <rPh sb="296" eb="297">
      <t>ハイ</t>
    </rPh>
    <rPh sb="303" eb="304">
      <t>ショウ</t>
    </rPh>
    <rPh sb="309" eb="311">
      <t>キョウシツ</t>
    </rPh>
    <rPh sb="322" eb="324">
      <t>ドウジ</t>
    </rPh>
    <rPh sb="324" eb="326">
      <t>チュウケイ</t>
    </rPh>
    <rPh sb="333" eb="335">
      <t>タイオウ</t>
    </rPh>
    <phoneticPr fontId="1"/>
  </si>
  <si>
    <t>　プログラム履修者は令和3年度は197名、令和4年度は760名であった。令和4年度入学者数に比し、令和4年度履修者数は44%、単位修得者数は505名（29%）であった。履修者における単位取得者の割合は71.5%である。プログラムの履修・習得状況など、詳しくは数理・データサイエンスセンターの活動報告書で公開されている。
  新入生ガイダンス時における周知を行った結果、履修者は前年度の4倍弱となった。新入生への周知方法を工夫することで履修者数を増やせることがわかったので、効果的な周知について継続的に取り組んでいく。
　令和3年度の全履修者197名のうち経済学部学生対象の「AIと経済」の履修者は82名、令和4年度は760名中36名であった。「AIと経済」は後期開講で、令和4年度から全学部学生対象の「データサイエンス入門」が前期にも開講されるようになったことが大きな原因と思われる。
　履修者における単位修得者の割合は必ずしも高くない。これは学習に意欲的に取り組むことを求め学習成果を高めた結果であるため、直ちに改善を要するものとは考えていないが、今後は学習意欲を高める工夫に取り組んでいく。</t>
    <rPh sb="10" eb="12">
      <t>レイワ</t>
    </rPh>
    <rPh sb="13" eb="15">
      <t>ネンド</t>
    </rPh>
    <rPh sb="19" eb="20">
      <t>メイ</t>
    </rPh>
    <rPh sb="21" eb="23">
      <t>レイワ</t>
    </rPh>
    <rPh sb="24" eb="26">
      <t>ネンド</t>
    </rPh>
    <rPh sb="30" eb="31">
      <t>メイ</t>
    </rPh>
    <rPh sb="36" eb="38">
      <t>レイワ</t>
    </rPh>
    <rPh sb="44" eb="45">
      <t>スウ</t>
    </rPh>
    <rPh sb="46" eb="47">
      <t>ヒ</t>
    </rPh>
    <rPh sb="49" eb="51">
      <t>レイワ</t>
    </rPh>
    <rPh sb="52" eb="54">
      <t>ネンド</t>
    </rPh>
    <rPh sb="195" eb="196">
      <t>ジャク</t>
    </rPh>
    <rPh sb="262" eb="264">
      <t>レイワ</t>
    </rPh>
    <rPh sb="304" eb="306">
      <t>レイワ</t>
    </rPh>
    <rPh sb="337" eb="339">
      <t>レイワ</t>
    </rPh>
    <phoneticPr fontId="1"/>
  </si>
  <si>
    <t xml:space="preserve">　令和4年度の期末アンケート（回答者105人）によると「授業のレベルが高すぎた」について「強くそう思う」16人、「そう思う」45人、「興味深い内容だった」について「強くそう思う」47人、「そう思う」47人、「内容がよく理解できた」について「強くそう思う」16人、「そう思う」54人、「意欲的に取り組めて勉強の仕方を学べた」について「強くそう思う」22人、「そう思う」48人であった。データサイエンス入門は講義のレベルが高く、学生に予習・復習を強く要求し、課題も毎週しっかり出るが、回答者の67%が勉強の仕方を学べたと答えた点は初年次向けの講義において重要な意味を持つと考える。さらに初回講義の課題での各学生へ「この講義に何を望むのか・あなた自身はこの講義を通じてどうなりたいのか」という質問の期末アンケートでの達成状況は「十分達成した」8人、「ほぼ達成した」81人、「未達成」15人であった。
　自由記述では「予習復習の指示が的確で理解度がとても高くなったと思います。課題もしっかりあるのでそこで授業でやった事を復習できたので良かったです（経済学部2年）」や「内容がとても面白かった。勉強になる事がほとんどだし、自分の学びたい事に関連する事をよく学べた。興味を持った内容について自分で深く調べたりする時間もあってとても有意義だった（経営学部2年）」などの一方で「課題の難易度が高かった様に感じます。高校時点で数学ＩAしかやってない生徒の視点で考えると、解けない問題があったのが困りました（経営学部1年）」や「自分がまだ理解できていないというものあるが、数学の部分が少々理解し難かった。もう少し詳しく説明してほしいと感じた（薬学部2年）」などの意見もあった。	</t>
    <rPh sb="1" eb="3">
      <t>レイワ</t>
    </rPh>
    <phoneticPr fontId="1"/>
  </si>
  <si>
    <r>
      <t>　単位の修得に当たっては、毎回の課題への取り組みを厳格に評価し、また全員参加の最終発表会における取り組みを評価した。そのため単位修得者については高い学修成果が達成されたものと判断できる。学修の最後のまとめとして、「データサイエンス入門」では</t>
    </r>
    <r>
      <rPr>
        <sz val="12"/>
        <rFont val="ＭＳ Ｐゴシック"/>
        <family val="3"/>
        <charset val="128"/>
        <scheme val="minor"/>
      </rPr>
      <t>学部混成の（「ＡＩと経済」では経済に関連したトッピックを選んで）5人程度の小グループに分け、グールプ毎に、</t>
    </r>
    <r>
      <rPr>
        <sz val="12"/>
        <color theme="1"/>
        <rFont val="ＭＳ Ｐゴシック"/>
        <family val="3"/>
        <charset val="128"/>
        <scheme val="minor"/>
      </rPr>
      <t>与えられた課題に対してどのようなデータを取るかを考え、実際にデータを収集し、それを解析して発表するというプロセスを実行させたことで、生きたデータサイエンス教育が実現できたと考える。「データサイエンス入門」の</t>
    </r>
    <r>
      <rPr>
        <sz val="12"/>
        <rFont val="ＭＳ Ｐゴシック"/>
        <family val="3"/>
        <charset val="128"/>
        <scheme val="minor"/>
      </rPr>
      <t>最終発表会は、全学にオンラインで公開し、聴講者の質問も受ける形で行われた。</t>
    </r>
    <r>
      <rPr>
        <sz val="12"/>
        <color theme="1"/>
        <rFont val="ＭＳ Ｐゴシック"/>
        <family val="3"/>
        <charset val="128"/>
        <scheme val="minor"/>
      </rPr>
      <t>これらの取り組みを継続させていく。</t>
    </r>
    <rPh sb="0" eb="2">
      <t>タンイノシュウトクニアタッテハ</t>
    </rPh>
    <rPh sb="74" eb="76">
      <t>ガクシュウ</t>
    </rPh>
    <rPh sb="96" eb="98">
      <t>サイゴ</t>
    </rPh>
    <rPh sb="115" eb="117">
      <t>ニュウモン</t>
    </rPh>
    <rPh sb="120" eb="122">
      <t>ガクブ</t>
    </rPh>
    <rPh sb="122" eb="124">
      <t>コンセイ</t>
    </rPh>
    <rPh sb="130" eb="132">
      <t>ケイザイ</t>
    </rPh>
    <rPh sb="148" eb="149">
      <t>エラ</t>
    </rPh>
    <rPh sb="153" eb="156">
      <t>ニンテイド</t>
    </rPh>
    <rPh sb="157" eb="158">
      <t>ショウ</t>
    </rPh>
    <rPh sb="163" eb="164">
      <t>ワ</t>
    </rPh>
    <rPh sb="170" eb="171">
      <t>ゴト</t>
    </rPh>
    <rPh sb="272" eb="274">
      <t>ニュウモン</t>
    </rPh>
    <rPh sb="276" eb="278">
      <t>サイシュウ</t>
    </rPh>
    <rPh sb="278" eb="281">
      <t>ハッピョウカイ</t>
    </rPh>
    <rPh sb="283" eb="285">
      <t>ゼンガク</t>
    </rPh>
    <rPh sb="292" eb="294">
      <t>コウカイ</t>
    </rPh>
    <rPh sb="296" eb="299">
      <t>チョウコウシャ</t>
    </rPh>
    <rPh sb="300" eb="302">
      <t>シツモン</t>
    </rPh>
    <rPh sb="303" eb="304">
      <t>ウ</t>
    </rPh>
    <rPh sb="306" eb="307">
      <t>カタチ</t>
    </rPh>
    <rPh sb="308" eb="309">
      <t>オコナ</t>
    </rPh>
    <phoneticPr fontId="1"/>
  </si>
  <si>
    <t>　履修者数の向上のため、直接的には新入生ガイダンス時における周知を強化することに取り組んでいく。
　最終発表会の充実、講義資料の更新、TAの活用などでプログラムの魅力を高め、先輩から後輩へ履修を勧めるような流れを生み出すことも間接的な取り組みとなる。
　受講者に対するきめ細かい指導を実現するため、専任教員を増やし、複数クラスを同時開講する。専任教員増と複数クラスの開講については、令和5年度に達成されることになる。</t>
    <rPh sb="0" eb="2">
      <t>コウジョウノタメニハ</t>
    </rPh>
    <rPh sb="166" eb="168">
      <t>ドウジ</t>
    </rPh>
    <rPh sb="168" eb="170">
      <t>カイコウ</t>
    </rPh>
    <rPh sb="185" eb="187">
      <t>カイコウ</t>
    </rPh>
    <phoneticPr fontId="1"/>
  </si>
  <si>
    <t>　令和4年度の期末アンケートでは学生に10点満点を「データサイエンス入門」と「それ以外の講義の平均」について採点してもらった結果、「データサイエンス入門」は平均6.47点、「それ以外の講義の平均」は平均6.74点であった。学生のうち9-10点をつけた者を推奨者、7-8点をつけた者を中立者、0-7点をつけた者を批判者とするeNPS指標では「データサイエンス入門」は-30.48%、「それ以外の講義の平均」では-37.14%であった．本学では授業に6点をつける学生が大多数の中で「データサイエンス入門」については高得点をつける推奨者が比較的多かった事が伺える。
　さらに「データサイエンス入門」と「それ以外の講義の平均」との差に関しては、「データサイエンス入門」の方を高く評価した学生は全体の31%、同じ点をつけた学生は27%、「データサイエンス入門」の方を低く評価した学生は全体の42%であり、講義の評価が2極化している事が伺える。また、初回の講義で履修動機に関するアンケートをとっており、令和4年度前期では「先輩に勧められた」が2名(0.3%)、令和4年度後期には「友達に勧められた」40名（16.5%）であった。 令和5年度以降はより進んだ講義が始まり，「先輩に勧められた」が増えることが予想され、本学ではコロナ禍もあり学年を超えた上下の関係性が少ない中で、学生間の推奨に関して一定の成果はあったと評価できる。</t>
    <rPh sb="1" eb="3">
      <t>レイワ</t>
    </rPh>
    <rPh sb="446" eb="448">
      <t>レイワ</t>
    </rPh>
    <rPh sb="475" eb="477">
      <t>レイワ</t>
    </rPh>
    <rPh sb="510" eb="512">
      <t>レイワ</t>
    </rPh>
    <rPh sb="513" eb="515">
      <t>ネンド</t>
    </rPh>
    <rPh sb="515" eb="517">
      <t>イコウ</t>
    </rPh>
    <rPh sb="520" eb="521">
      <t>スス</t>
    </rPh>
    <rPh sb="523" eb="525">
      <t>コウギ</t>
    </rPh>
    <rPh sb="526" eb="527">
      <t>ハジ</t>
    </rPh>
    <rPh sb="541" eb="542">
      <t>フ</t>
    </rPh>
    <rPh sb="547" eb="549">
      <t>ヨソウ</t>
    </rPh>
    <phoneticPr fontId="1"/>
  </si>
  <si>
    <t>数理・データサイエンスセンター 所長　大島利雄
数理・データサイエンスセンター 副所長（経済学部　教授）　竹村敏彦
数理・データサイエンスセンター 助教　杉谷宜紀
経済学部 助教　　　　　　　 　宮下春樹
現代政策学部 准教授　　　　木原匡
現代政策学部 准教授　　　　柳澤智美
経営学部 教授　　　　　 　　　杉本理
経営学部 准教授　　　　　　　田部渓哉 
理学部数学科 教授　　　　　 土屋高宏
理学部数学科 准教授　　　　池田暁志
理学部数学科 准教授　　　　中村あかね
理学部化学科 准教授　　　　八木創 
薬学部薬学科 助教　　　　　 吉田暁
薬学部薬科学科 准教授　　 藤堂浩明
薬学部医療栄養学科 教授　内田博之</t>
    <rPh sb="44" eb="46">
      <t>ケイザイ</t>
    </rPh>
    <rPh sb="46" eb="48">
      <t>ガクブ</t>
    </rPh>
    <rPh sb="49" eb="51">
      <t>キョウジュ</t>
    </rPh>
    <rPh sb="165" eb="166">
      <t>ジュン</t>
    </rPh>
    <rPh sb="166" eb="168">
      <t>キョウジュ</t>
    </rPh>
    <rPh sb="247" eb="248">
      <t>ジュン</t>
    </rPh>
    <phoneticPr fontId="1"/>
  </si>
  <si>
    <t>　新入生に対する各学科毎のガイダンスでデータサイエンス入門の講義を紹介し、宣伝パンフレットを配布している。さらに令和4年度は3分の宣伝ビデオも作成し各ガイダンスで上映してもらった結果、大幅な履修者の増加に繋がり、新入生の3割程度が履修登録した。
　本プログラムと有機的に連携する各学科における科目と合わせての単位修得によって修了認定されるベーシックコースや、さらに令和5年度から開講される「機械学習とＡＩ」、「データサイエンスと数理統計」、「社会科学におけるデータサイエンス」などの科目の修得とを合わせて修了認定される上位のアドバンストコースを設定して複数のレベルの認定証を発行するなど、多くの学生が興味をもつような城西大独自の教育プログラムを提供して、学生のデータサイエンス教育への関心を高めるよう努めている。</t>
    <rPh sb="1" eb="4">
      <t>シンニュウセイ</t>
    </rPh>
    <rPh sb="5" eb="6">
      <t>タイ</t>
    </rPh>
    <rPh sb="8" eb="9">
      <t>カク</t>
    </rPh>
    <rPh sb="9" eb="11">
      <t>ガッカ</t>
    </rPh>
    <rPh sb="11" eb="12">
      <t>ゴト</t>
    </rPh>
    <rPh sb="27" eb="29">
      <t>ニュウモン</t>
    </rPh>
    <rPh sb="30" eb="32">
      <t>コウギ</t>
    </rPh>
    <rPh sb="33" eb="35">
      <t>ショウカイ</t>
    </rPh>
    <rPh sb="37" eb="39">
      <t>センデン</t>
    </rPh>
    <rPh sb="46" eb="48">
      <t>ハイフ</t>
    </rPh>
    <rPh sb="56" eb="57">
      <t>レイ</t>
    </rPh>
    <rPh sb="57" eb="58">
      <t>ワ</t>
    </rPh>
    <rPh sb="125" eb="126">
      <t>ホン</t>
    </rPh>
    <rPh sb="132" eb="135">
      <t>ユウキテキ</t>
    </rPh>
    <rPh sb="136" eb="138">
      <t>レンケイ</t>
    </rPh>
    <rPh sb="140" eb="143">
      <t>カクガッカ</t>
    </rPh>
    <rPh sb="147" eb="149">
      <t>カモク</t>
    </rPh>
    <rPh sb="150" eb="151">
      <t>ア</t>
    </rPh>
    <rPh sb="155" eb="157">
      <t>タンイ</t>
    </rPh>
    <rPh sb="157" eb="159">
      <t>シュウトク</t>
    </rPh>
    <rPh sb="163" eb="165">
      <t>シュウリョウ</t>
    </rPh>
    <rPh sb="165" eb="167">
      <t>ニンテイ</t>
    </rPh>
    <rPh sb="183" eb="184">
      <t>レイ</t>
    </rPh>
    <rPh sb="184" eb="185">
      <t>ワ</t>
    </rPh>
    <rPh sb="186" eb="188">
      <t>ネンド</t>
    </rPh>
    <rPh sb="190" eb="192">
      <t>カイコウ</t>
    </rPh>
    <rPh sb="242" eb="244">
      <t>カモク</t>
    </rPh>
    <rPh sb="245" eb="247">
      <t>シュウトク</t>
    </rPh>
    <rPh sb="249" eb="250">
      <t>ア</t>
    </rPh>
    <rPh sb="253" eb="255">
      <t>シュウリョウ</t>
    </rPh>
    <rPh sb="255" eb="257">
      <t>ニンテイ</t>
    </rPh>
    <rPh sb="260" eb="262">
      <t>ジョウイ</t>
    </rPh>
    <rPh sb="273" eb="275">
      <t>セッテイ</t>
    </rPh>
    <rPh sb="277" eb="279">
      <t>フクスウ</t>
    </rPh>
    <rPh sb="284" eb="287">
      <t>ニンテイショウ</t>
    </rPh>
    <rPh sb="288" eb="290">
      <t>ハッコウ</t>
    </rPh>
    <rPh sb="295" eb="296">
      <t>オオ</t>
    </rPh>
    <rPh sb="298" eb="300">
      <t>ガクセイ</t>
    </rPh>
    <rPh sb="301" eb="303">
      <t>キョウミ</t>
    </rPh>
    <rPh sb="309" eb="312">
      <t>ジョウサイダイ</t>
    </rPh>
    <rPh sb="312" eb="314">
      <t>ドクジ</t>
    </rPh>
    <rPh sb="315" eb="317">
      <t>キョウイク</t>
    </rPh>
    <rPh sb="323" eb="325">
      <t>テイキョウ</t>
    </rPh>
    <rPh sb="328" eb="330">
      <t>ガクセイ</t>
    </rPh>
    <rPh sb="339" eb="341">
      <t>キョウイク</t>
    </rPh>
    <rPh sb="343" eb="345">
      <t>カンシン</t>
    </rPh>
    <rPh sb="346" eb="347">
      <t>タカ</t>
    </rPh>
    <rPh sb="351" eb="352">
      <t>ツト</t>
    </rPh>
    <phoneticPr fontId="1"/>
  </si>
  <si>
    <t>　多くのコマを開講し、学部に依らず受講希望者は全て受け入れているが、令和5年度は2名の新任教員を採用して4名の教員によってプログラムの講義が開講されることになる。令和5年度以降は必要に応じて同じコマを複数の教員が分担して同時開講することによって、学生の希望に合った、対面を基本とするきめ細かな講義体制を取る予定である。
　令和4年度は、過去の「データサイエンス入門」の講義に意欲的に受講していた学生約20名をTAとして採用し、グループワークで各グループのファシリテーターとして学生のサポートにあたってもらった。また、令和3年度後期に開講したばかりで1年生だけでなく上級生も講義を履修する状況の中で、Excel演習などの大学初年度レベルの基本的な内容に関しては、上級生が下級生を積極的にサポートする仕組みを作った。
　Excel演習やRESASなどの講義の受講はスマホでは困難でパソコンが必要とみなせるが、城西大学では、新入生にパソコン購入のための購入資金援助を行うと共にパソコンの貸し出しを行っている。</t>
    <rPh sb="1" eb="2">
      <t>オオ</t>
    </rPh>
    <rPh sb="7" eb="9">
      <t>カイコウ</t>
    </rPh>
    <rPh sb="11" eb="13">
      <t>ガクブ</t>
    </rPh>
    <rPh sb="14" eb="15">
      <t>ヨ</t>
    </rPh>
    <rPh sb="34" eb="35">
      <t>レイ</t>
    </rPh>
    <rPh sb="35" eb="36">
      <t>ワ</t>
    </rPh>
    <rPh sb="53" eb="54">
      <t>メイ</t>
    </rPh>
    <rPh sb="55" eb="57">
      <t>キョウイン</t>
    </rPh>
    <rPh sb="67" eb="69">
      <t>コウギ</t>
    </rPh>
    <rPh sb="70" eb="72">
      <t>カイコウ</t>
    </rPh>
    <rPh sb="81" eb="82">
      <t>レイ</t>
    </rPh>
    <rPh sb="82" eb="83">
      <t>ワ</t>
    </rPh>
    <rPh sb="123" eb="125">
      <t>ガクセイ</t>
    </rPh>
    <rPh sb="126" eb="128">
      <t>キボウ</t>
    </rPh>
    <rPh sb="129" eb="130">
      <t>ア</t>
    </rPh>
    <rPh sb="259" eb="260">
      <t>レイ</t>
    </rPh>
    <rPh sb="260" eb="261">
      <t>ワ</t>
    </rPh>
    <rPh sb="387" eb="389">
      <t>コンナン</t>
    </rPh>
    <rPh sb="425" eb="427">
      <t>コウニュウ</t>
    </rPh>
    <phoneticPr fontId="1"/>
  </si>
  <si>
    <t>　初回のガイダンスで大学設置基準における1単位の考え方を説明し、単位認定には授業時間外学習が必須である事を説明し、反転授業を取り入れた回など予習・復習を前提とした講義を展開している。さらに「データサイエンス入門」では講義スライドや講義の録画ビデオを学内向けに公開しており、学生はインターネットに接続できればいつでも予習・復習できる。
　城西大学はOffice365と法人契約しており、誰でもteamsやformsを活用できる環境である。講義の感想をformsで毎週書いてもらう様にしていて、授業最初の15分程度を学生から出された講義に関する感想や意見へ回答する時間に当てている。また、講義の運営はteamsを使っている為、学生はチャット機能を通じていつでも教員に質問する事ができる。</t>
    <phoneticPr fontId="1"/>
  </si>
  <si>
    <t>データサイエンスでのバイアス，AIの責任は誰が負うか，著作権法，Deepfake（「データサイエンス入門」第11回）
データ倫理，AIサービスの責任論（「AIと経済」第7-8回）</t>
    <rPh sb="23" eb="24">
      <t>フ</t>
    </rPh>
    <rPh sb="27" eb="31">
      <t>チョサクケンホウ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</si>
</sst>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vertical="top" wrapText="1"/>
    </xf>
    <xf numFmtId="0" fontId="7" fillId="0" borderId="1" xfId="0" applyFont="1" applyBorder="1" applyAlignment="1">
      <alignment horizontal="left" vertical="center"/>
    </xf>
    <xf numFmtId="0" fontId="11" fillId="0" borderId="0" xfId="0" applyFont="1" applyAlignment="1">
      <alignment horizontal="center" vertical="center"/>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0" xfId="0" applyFont="1">
      <alignment vertical="center"/>
    </xf>
    <xf numFmtId="9" fontId="11" fillId="0" borderId="0" xfId="1" applyFont="1" applyAlignment="1">
      <alignment horizontal="center" vertical="center"/>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12" fillId="2" borderId="11" xfId="0" applyFont="1" applyFill="1" applyBorder="1" applyAlignment="1">
      <alignment vertical="top"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1" fillId="0" borderId="1" xfId="0" applyNumberFormat="1"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11" fillId="2" borderId="5"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59" xfId="0" applyFont="1" applyBorder="1" applyAlignment="1">
      <alignment vertical="center" wrapText="1"/>
    </xf>
    <xf numFmtId="0" fontId="11" fillId="0" borderId="39" xfId="0" applyFont="1" applyBorder="1" applyAlignment="1">
      <alignment vertical="center" wrapTex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2" xfId="0" applyFont="1" applyBorder="1" applyAlignment="1">
      <alignment vertical="top" wrapText="1" shrinkToFit="1"/>
    </xf>
    <xf numFmtId="0" fontId="2" fillId="0" borderId="19"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06"/>
  <sheetViews>
    <sheetView showZeros="0" tabSelected="1" view="pageBreakPreview" topLeftCell="A88" zoomScaleNormal="100" zoomScaleSheetLayoutView="100" workbookViewId="0">
      <selection activeCell="W91" sqref="W91"/>
    </sheetView>
  </sheetViews>
  <sheetFormatPr defaultColWidth="9" defaultRowHeight="18.75" customHeight="1" x14ac:dyDescent="0.2"/>
  <cols>
    <col min="1" max="1" width="2.33203125" style="1" customWidth="1"/>
    <col min="2" max="2" width="16.332031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5" t="s">
        <v>0</v>
      </c>
      <c r="S1" s="105"/>
      <c r="T1" s="2" t="s">
        <v>1</v>
      </c>
    </row>
    <row r="2" spans="1:22" ht="18.75" customHeight="1" x14ac:dyDescent="0.2">
      <c r="B2" s="75" t="s">
        <v>2</v>
      </c>
      <c r="C2" s="98" t="s">
        <v>3</v>
      </c>
      <c r="D2" s="99"/>
      <c r="E2" s="99"/>
      <c r="F2" s="99"/>
      <c r="G2" s="99"/>
      <c r="H2" s="99"/>
      <c r="I2" s="100"/>
      <c r="J2" s="73"/>
      <c r="K2" s="5"/>
      <c r="L2" s="5"/>
      <c r="M2" s="5"/>
      <c r="N2" s="5"/>
      <c r="O2" s="5"/>
      <c r="P2" s="5"/>
      <c r="Q2" s="5"/>
      <c r="R2" s="5"/>
      <c r="S2" s="5"/>
    </row>
    <row r="3" spans="1:22" ht="18.75" customHeight="1" x14ac:dyDescent="0.2">
      <c r="B3" s="75" t="s">
        <v>4</v>
      </c>
      <c r="C3" s="98" t="s">
        <v>5</v>
      </c>
      <c r="D3" s="99"/>
      <c r="E3" s="99"/>
      <c r="F3" s="99"/>
      <c r="G3" s="99"/>
      <c r="H3" s="99"/>
      <c r="I3" s="100"/>
      <c r="J3" s="73"/>
      <c r="K3" s="5"/>
      <c r="L3" s="5"/>
      <c r="M3" s="5"/>
      <c r="N3" s="5"/>
      <c r="O3" s="5"/>
      <c r="P3" s="5"/>
      <c r="Q3" s="5"/>
      <c r="R3" s="5"/>
      <c r="S3" s="5"/>
    </row>
    <row r="4" spans="1:22" ht="15" customHeight="1" x14ac:dyDescent="0.2">
      <c r="K4" s="73"/>
      <c r="L4" s="32"/>
      <c r="M4" s="32"/>
      <c r="N4" s="32"/>
      <c r="O4" s="32"/>
      <c r="P4" s="32"/>
      <c r="Q4" s="32"/>
      <c r="R4" s="32"/>
      <c r="S4" s="32"/>
    </row>
    <row r="5" spans="1:22" ht="18" customHeight="1" x14ac:dyDescent="0.2">
      <c r="A5" s="109" t="s">
        <v>6</v>
      </c>
      <c r="B5" s="109"/>
      <c r="C5" s="109"/>
      <c r="D5" s="109"/>
      <c r="E5" s="109"/>
      <c r="F5" s="109"/>
      <c r="G5" s="109"/>
      <c r="H5" s="109"/>
      <c r="I5" s="109"/>
      <c r="J5" s="109"/>
      <c r="K5" s="109"/>
      <c r="L5" s="109"/>
      <c r="M5" s="109"/>
      <c r="N5" s="109"/>
      <c r="O5" s="109"/>
      <c r="P5" s="109"/>
      <c r="Q5" s="109"/>
      <c r="R5" s="109"/>
      <c r="S5" s="10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7</v>
      </c>
      <c r="C7" s="3"/>
      <c r="J7" s="33" t="s">
        <v>8</v>
      </c>
      <c r="K7" s="116" t="s">
        <v>9</v>
      </c>
      <c r="L7" s="117"/>
      <c r="M7" s="117"/>
      <c r="N7" s="117"/>
      <c r="O7" s="117"/>
      <c r="P7" s="117"/>
      <c r="Q7" s="117"/>
      <c r="R7" s="117"/>
      <c r="S7" s="118"/>
    </row>
    <row r="8" spans="1:22" ht="15.6" customHeight="1" x14ac:dyDescent="0.2">
      <c r="B8" s="3"/>
      <c r="C8" s="3"/>
      <c r="D8" s="3"/>
      <c r="E8" s="3"/>
      <c r="F8" s="3"/>
      <c r="G8" s="3"/>
      <c r="H8" s="3"/>
      <c r="I8" s="3"/>
      <c r="J8" s="3"/>
      <c r="K8" s="9"/>
      <c r="L8" s="3"/>
      <c r="M8" s="3"/>
      <c r="N8" s="3"/>
      <c r="O8" s="3"/>
      <c r="P8" s="3"/>
      <c r="Q8" s="3"/>
      <c r="R8" s="3"/>
      <c r="S8" s="3"/>
    </row>
    <row r="9" spans="1:22" ht="15" hidden="1" customHeight="1" x14ac:dyDescent="0.2">
      <c r="B9" s="86"/>
      <c r="C9" s="87"/>
      <c r="D9" s="87"/>
      <c r="E9" s="87"/>
      <c r="F9" s="87"/>
      <c r="G9" s="87"/>
      <c r="H9" s="87"/>
      <c r="I9" s="87"/>
      <c r="J9" s="87"/>
      <c r="K9" s="87"/>
      <c r="L9" s="87"/>
      <c r="M9" s="87"/>
      <c r="N9" s="87"/>
      <c r="O9" s="87"/>
      <c r="P9" s="87"/>
      <c r="Q9" s="87"/>
      <c r="R9" s="87"/>
      <c r="S9" s="88"/>
    </row>
    <row r="10" spans="1:22" ht="0.6" hidden="1" customHeight="1" x14ac:dyDescent="0.2">
      <c r="B10" s="89"/>
      <c r="C10" s="90"/>
      <c r="D10" s="90"/>
      <c r="E10" s="90"/>
      <c r="F10" s="90"/>
      <c r="G10" s="90"/>
      <c r="H10" s="90"/>
      <c r="I10" s="90"/>
      <c r="J10" s="90"/>
      <c r="K10" s="90"/>
      <c r="L10" s="90"/>
      <c r="M10" s="90"/>
      <c r="N10" s="90"/>
      <c r="O10" s="90"/>
      <c r="P10" s="90"/>
      <c r="Q10" s="90"/>
      <c r="R10" s="90"/>
      <c r="S10" s="91"/>
    </row>
    <row r="11" spans="1:22" ht="16.2" customHeight="1" x14ac:dyDescent="0.2">
      <c r="A11" s="1" t="s">
        <v>10</v>
      </c>
      <c r="B11" s="3"/>
      <c r="C11" s="3"/>
      <c r="D11" s="3"/>
      <c r="E11" s="3"/>
      <c r="F11" s="3"/>
      <c r="G11" s="3"/>
      <c r="H11" s="3"/>
      <c r="I11" s="3"/>
      <c r="J11" s="3"/>
      <c r="K11" s="9"/>
      <c r="L11" s="3"/>
      <c r="M11" s="3"/>
      <c r="N11" s="3"/>
      <c r="O11" s="3"/>
      <c r="P11" s="3"/>
      <c r="Q11" s="3"/>
      <c r="R11" s="3"/>
      <c r="S11" s="3"/>
    </row>
    <row r="12" spans="1:22" ht="18" customHeight="1" x14ac:dyDescent="0.2">
      <c r="B12" s="3"/>
      <c r="C12" s="3"/>
      <c r="D12" s="73"/>
      <c r="E12" s="73"/>
      <c r="F12" s="73"/>
      <c r="G12" s="73"/>
      <c r="H12" s="73"/>
      <c r="I12" s="73"/>
      <c r="J12" s="73"/>
      <c r="K12" s="34"/>
      <c r="L12" s="34"/>
      <c r="M12" s="34"/>
      <c r="N12" s="34"/>
      <c r="O12" s="34"/>
      <c r="P12" s="34"/>
      <c r="Q12" s="34"/>
      <c r="R12" s="34"/>
      <c r="S12" s="34"/>
    </row>
    <row r="13" spans="1:22" ht="18" customHeight="1" x14ac:dyDescent="0.2">
      <c r="B13" s="110" t="s">
        <v>11</v>
      </c>
      <c r="C13" s="111"/>
      <c r="D13" s="111"/>
      <c r="E13" s="111"/>
      <c r="F13" s="111"/>
      <c r="G13" s="111"/>
      <c r="H13" s="111"/>
      <c r="I13" s="111"/>
      <c r="J13" s="111"/>
      <c r="K13" s="111"/>
      <c r="L13" s="111"/>
      <c r="M13" s="111"/>
      <c r="N13" s="111"/>
      <c r="O13" s="111"/>
      <c r="P13" s="111"/>
      <c r="Q13" s="111"/>
      <c r="R13" s="111"/>
      <c r="S13" s="112"/>
      <c r="V13" s="1" t="s">
        <v>12</v>
      </c>
    </row>
    <row r="14" spans="1:22" ht="10.95" customHeight="1" x14ac:dyDescent="0.2">
      <c r="B14" s="113"/>
      <c r="C14" s="114"/>
      <c r="D14" s="114"/>
      <c r="E14" s="114"/>
      <c r="F14" s="114"/>
      <c r="G14" s="114"/>
      <c r="H14" s="114"/>
      <c r="I14" s="114"/>
      <c r="J14" s="114"/>
      <c r="K14" s="114"/>
      <c r="L14" s="114"/>
      <c r="M14" s="114"/>
      <c r="N14" s="114"/>
      <c r="O14" s="114"/>
      <c r="P14" s="114"/>
      <c r="Q14" s="114"/>
      <c r="R14" s="114"/>
      <c r="S14" s="115"/>
    </row>
    <row r="15" spans="1:22" ht="7.5" customHeight="1" x14ac:dyDescent="0.2">
      <c r="B15" s="3"/>
      <c r="C15" s="3"/>
      <c r="D15" s="3"/>
      <c r="E15" s="3"/>
      <c r="F15" s="3"/>
      <c r="G15" s="3"/>
      <c r="H15" s="3"/>
      <c r="I15" s="3"/>
      <c r="J15" s="3"/>
      <c r="K15" s="3"/>
      <c r="L15" s="3"/>
      <c r="M15" s="3"/>
      <c r="N15" s="3"/>
      <c r="O15" s="3"/>
      <c r="P15" s="3"/>
      <c r="Q15" s="3"/>
      <c r="R15" s="3"/>
      <c r="S15" s="3"/>
    </row>
    <row r="16" spans="1:22" ht="19.95" customHeight="1" x14ac:dyDescent="0.2">
      <c r="B16" s="1" t="s">
        <v>13</v>
      </c>
      <c r="C16" s="98">
        <v>2</v>
      </c>
      <c r="D16" s="100"/>
      <c r="E16" s="35" t="s">
        <v>14</v>
      </c>
      <c r="G16" s="9"/>
      <c r="H16" s="3"/>
      <c r="I16" s="3"/>
      <c r="J16" s="73" t="s">
        <v>15</v>
      </c>
      <c r="K16" s="106" t="s">
        <v>16</v>
      </c>
      <c r="L16" s="107"/>
      <c r="M16" s="107"/>
      <c r="N16" s="107"/>
      <c r="O16" s="107"/>
      <c r="P16" s="107"/>
      <c r="Q16" s="107"/>
      <c r="R16" s="107"/>
      <c r="S16" s="108"/>
    </row>
    <row r="17" spans="1:19" ht="7.5" customHeight="1" x14ac:dyDescent="0.2">
      <c r="B17" s="3"/>
      <c r="C17" s="3"/>
      <c r="D17" s="3"/>
      <c r="E17" s="3"/>
      <c r="F17" s="3"/>
      <c r="G17" s="3"/>
      <c r="H17" s="3"/>
      <c r="I17" s="3"/>
      <c r="J17" s="3"/>
      <c r="K17" s="3"/>
      <c r="L17" s="3"/>
      <c r="M17" s="3"/>
      <c r="N17" s="3"/>
      <c r="O17" s="3"/>
      <c r="P17" s="3"/>
      <c r="Q17" s="3"/>
      <c r="R17" s="3"/>
      <c r="S17" s="3"/>
    </row>
    <row r="18" spans="1:19" ht="18" customHeight="1" x14ac:dyDescent="0.2">
      <c r="A18" s="101" t="s">
        <v>17</v>
      </c>
      <c r="B18" s="101"/>
      <c r="C18" s="101"/>
      <c r="D18" s="101"/>
      <c r="E18" s="101"/>
      <c r="F18" s="101"/>
      <c r="G18" s="101"/>
      <c r="H18" s="101"/>
      <c r="I18" s="101"/>
      <c r="J18" s="101"/>
      <c r="K18" s="101"/>
      <c r="L18" s="101"/>
      <c r="M18" s="101"/>
      <c r="N18" s="101"/>
      <c r="O18" s="101"/>
      <c r="P18" s="101"/>
      <c r="Q18" s="101"/>
      <c r="R18" s="101"/>
      <c r="S18" s="101"/>
    </row>
    <row r="19" spans="1:19" ht="18" customHeight="1" x14ac:dyDescent="0.2">
      <c r="A19" s="101"/>
      <c r="B19" s="101"/>
      <c r="C19" s="101"/>
      <c r="D19" s="101"/>
      <c r="E19" s="101"/>
      <c r="F19" s="101"/>
      <c r="G19" s="101"/>
      <c r="H19" s="101"/>
      <c r="I19" s="101"/>
      <c r="J19" s="101"/>
      <c r="K19" s="101"/>
      <c r="L19" s="101"/>
      <c r="M19" s="101"/>
      <c r="N19" s="101"/>
      <c r="O19" s="101"/>
      <c r="P19" s="101"/>
      <c r="Q19" s="101"/>
      <c r="R19" s="101"/>
      <c r="S19" s="101"/>
    </row>
    <row r="20" spans="1:19" ht="18" customHeight="1" x14ac:dyDescent="0.2">
      <c r="B20" s="98" t="s">
        <v>18</v>
      </c>
      <c r="C20" s="99"/>
      <c r="D20" s="99"/>
      <c r="E20" s="100"/>
      <c r="F20" s="51" t="s">
        <v>19</v>
      </c>
      <c r="G20" s="50" t="s">
        <v>20</v>
      </c>
      <c r="H20" s="19" t="s">
        <v>21</v>
      </c>
      <c r="I20" s="19" t="s">
        <v>22</v>
      </c>
      <c r="J20" s="98" t="s">
        <v>18</v>
      </c>
      <c r="K20" s="99"/>
      <c r="L20" s="99"/>
      <c r="M20" s="99"/>
      <c r="N20" s="99"/>
      <c r="O20" s="100"/>
      <c r="P20" s="51" t="s">
        <v>19</v>
      </c>
      <c r="Q20" s="50" t="s">
        <v>20</v>
      </c>
      <c r="R20" s="19" t="s">
        <v>21</v>
      </c>
      <c r="S20" s="19" t="s">
        <v>22</v>
      </c>
    </row>
    <row r="21" spans="1:19" ht="18" customHeight="1" x14ac:dyDescent="0.2">
      <c r="B21" s="102" t="s">
        <v>5</v>
      </c>
      <c r="C21" s="103"/>
      <c r="D21" s="103"/>
      <c r="E21" s="104"/>
      <c r="F21" s="20">
        <v>2</v>
      </c>
      <c r="G21" s="20"/>
      <c r="H21" s="20" t="s">
        <v>23</v>
      </c>
      <c r="I21" s="20" t="s">
        <v>23</v>
      </c>
      <c r="J21" s="102"/>
      <c r="K21" s="103"/>
      <c r="L21" s="103"/>
      <c r="M21" s="103"/>
      <c r="N21" s="103"/>
      <c r="O21" s="104"/>
      <c r="P21" s="20"/>
      <c r="Q21" s="20"/>
      <c r="R21" s="20"/>
      <c r="S21" s="20"/>
    </row>
    <row r="22" spans="1:19" ht="18" customHeight="1" x14ac:dyDescent="0.2">
      <c r="B22" s="92" t="s">
        <v>24</v>
      </c>
      <c r="C22" s="93"/>
      <c r="D22" s="93"/>
      <c r="E22" s="94"/>
      <c r="F22" s="21">
        <v>2</v>
      </c>
      <c r="G22" s="21"/>
      <c r="H22" s="21" t="s">
        <v>23</v>
      </c>
      <c r="I22" s="21" t="s">
        <v>23</v>
      </c>
      <c r="J22" s="92"/>
      <c r="K22" s="93"/>
      <c r="L22" s="93"/>
      <c r="M22" s="93"/>
      <c r="N22" s="93"/>
      <c r="O22" s="94"/>
      <c r="P22" s="21"/>
      <c r="Q22" s="21"/>
      <c r="R22" s="21"/>
      <c r="S22" s="21"/>
    </row>
    <row r="23" spans="1:19" ht="18" customHeight="1" x14ac:dyDescent="0.2">
      <c r="B23" s="92"/>
      <c r="C23" s="93"/>
      <c r="D23" s="93"/>
      <c r="E23" s="94"/>
      <c r="F23" s="21"/>
      <c r="G23" s="21"/>
      <c r="H23" s="21"/>
      <c r="I23" s="21"/>
      <c r="J23" s="92"/>
      <c r="K23" s="93"/>
      <c r="L23" s="93"/>
      <c r="M23" s="93"/>
      <c r="N23" s="93"/>
      <c r="O23" s="94"/>
      <c r="P23" s="21"/>
      <c r="Q23" s="21"/>
      <c r="R23" s="21"/>
      <c r="S23" s="21"/>
    </row>
    <row r="24" spans="1:19" ht="18" customHeight="1" x14ac:dyDescent="0.2">
      <c r="B24" s="92"/>
      <c r="C24" s="93"/>
      <c r="D24" s="93"/>
      <c r="E24" s="94"/>
      <c r="F24" s="21"/>
      <c r="G24" s="21"/>
      <c r="H24" s="21"/>
      <c r="I24" s="21"/>
      <c r="J24" s="92"/>
      <c r="K24" s="93"/>
      <c r="L24" s="93"/>
      <c r="M24" s="93"/>
      <c r="N24" s="93"/>
      <c r="O24" s="94"/>
      <c r="P24" s="21"/>
      <c r="Q24" s="21"/>
      <c r="R24" s="21"/>
      <c r="S24" s="21"/>
    </row>
    <row r="25" spans="1:19" ht="18" customHeight="1" x14ac:dyDescent="0.2">
      <c r="B25" s="92"/>
      <c r="C25" s="93"/>
      <c r="D25" s="93"/>
      <c r="E25" s="94"/>
      <c r="F25" s="21"/>
      <c r="G25" s="21"/>
      <c r="H25" s="21"/>
      <c r="I25" s="21"/>
      <c r="J25" s="92"/>
      <c r="K25" s="93"/>
      <c r="L25" s="93"/>
      <c r="M25" s="93"/>
      <c r="N25" s="93"/>
      <c r="O25" s="94"/>
      <c r="P25" s="21"/>
      <c r="Q25" s="21"/>
      <c r="R25" s="21"/>
      <c r="S25" s="21"/>
    </row>
    <row r="26" spans="1:19" ht="18" customHeight="1" x14ac:dyDescent="0.2">
      <c r="A26" s="3"/>
      <c r="B26" s="92"/>
      <c r="C26" s="93"/>
      <c r="D26" s="93"/>
      <c r="E26" s="94"/>
      <c r="F26" s="21"/>
      <c r="G26" s="21"/>
      <c r="H26" s="21"/>
      <c r="I26" s="21"/>
      <c r="J26" s="92"/>
      <c r="K26" s="93"/>
      <c r="L26" s="93"/>
      <c r="M26" s="93"/>
      <c r="N26" s="93"/>
      <c r="O26" s="94"/>
      <c r="P26" s="21"/>
      <c r="Q26" s="21"/>
      <c r="R26" s="21"/>
      <c r="S26" s="21"/>
    </row>
    <row r="27" spans="1:19" ht="18" customHeight="1" x14ac:dyDescent="0.2">
      <c r="A27" s="3"/>
      <c r="B27" s="95"/>
      <c r="C27" s="96"/>
      <c r="D27" s="96"/>
      <c r="E27" s="97"/>
      <c r="F27" s="22"/>
      <c r="G27" s="22"/>
      <c r="H27" s="23"/>
      <c r="I27" s="23"/>
      <c r="J27" s="95"/>
      <c r="K27" s="96"/>
      <c r="L27" s="96"/>
      <c r="M27" s="96"/>
      <c r="N27" s="96"/>
      <c r="O27" s="97"/>
      <c r="P27" s="22"/>
      <c r="Q27" s="22"/>
      <c r="R27" s="23"/>
      <c r="S27" s="23"/>
    </row>
    <row r="28" spans="1:19" ht="7.5" customHeight="1" x14ac:dyDescent="0.2">
      <c r="A28" s="3"/>
      <c r="B28" s="5"/>
      <c r="C28" s="5"/>
      <c r="D28" s="3"/>
      <c r="E28" s="3"/>
      <c r="F28" s="3"/>
      <c r="G28" s="3"/>
      <c r="H28" s="5"/>
      <c r="I28" s="5"/>
      <c r="J28" s="5"/>
      <c r="K28" s="5"/>
      <c r="L28" s="5"/>
      <c r="M28" s="5"/>
      <c r="N28" s="5"/>
      <c r="O28" s="5"/>
      <c r="P28" s="5"/>
      <c r="Q28" s="5"/>
      <c r="R28" s="5"/>
      <c r="S28" s="3"/>
    </row>
    <row r="29" spans="1:19" ht="18" customHeight="1" x14ac:dyDescent="0.2">
      <c r="A29" s="101" t="s">
        <v>25</v>
      </c>
      <c r="B29" s="101"/>
      <c r="C29" s="101"/>
      <c r="D29" s="101"/>
      <c r="E29" s="101"/>
      <c r="F29" s="101"/>
      <c r="G29" s="101"/>
      <c r="H29" s="101"/>
      <c r="I29" s="101"/>
      <c r="J29" s="101"/>
      <c r="K29" s="101"/>
      <c r="L29" s="101"/>
      <c r="M29" s="101"/>
      <c r="N29" s="101"/>
      <c r="O29" s="101"/>
      <c r="P29" s="101"/>
      <c r="Q29" s="101"/>
      <c r="R29" s="101"/>
      <c r="S29" s="101"/>
    </row>
    <row r="30" spans="1:19" ht="18" customHeight="1" x14ac:dyDescent="0.2">
      <c r="A30" s="101"/>
      <c r="B30" s="101"/>
      <c r="C30" s="101"/>
      <c r="D30" s="101"/>
      <c r="E30" s="101"/>
      <c r="F30" s="101"/>
      <c r="G30" s="101"/>
      <c r="H30" s="101"/>
      <c r="I30" s="101"/>
      <c r="J30" s="101"/>
      <c r="K30" s="101"/>
      <c r="L30" s="101"/>
      <c r="M30" s="101"/>
      <c r="N30" s="101"/>
      <c r="O30" s="101"/>
      <c r="P30" s="101"/>
      <c r="Q30" s="101"/>
      <c r="R30" s="101"/>
      <c r="S30" s="101"/>
    </row>
    <row r="31" spans="1:19" ht="18" customHeight="1" x14ac:dyDescent="0.2">
      <c r="B31" s="98" t="s">
        <v>18</v>
      </c>
      <c r="C31" s="99"/>
      <c r="D31" s="99"/>
      <c r="E31" s="100"/>
      <c r="F31" s="51" t="s">
        <v>19</v>
      </c>
      <c r="G31" s="50" t="s">
        <v>20</v>
      </c>
      <c r="H31" s="19" t="s">
        <v>26</v>
      </c>
      <c r="I31" s="19" t="s">
        <v>27</v>
      </c>
      <c r="J31" s="98" t="s">
        <v>18</v>
      </c>
      <c r="K31" s="99"/>
      <c r="L31" s="99"/>
      <c r="M31" s="99"/>
      <c r="N31" s="99"/>
      <c r="O31" s="100"/>
      <c r="P31" s="51" t="s">
        <v>19</v>
      </c>
      <c r="Q31" s="50" t="s">
        <v>20</v>
      </c>
      <c r="R31" s="19" t="s">
        <v>26</v>
      </c>
      <c r="S31" s="19" t="s">
        <v>27</v>
      </c>
    </row>
    <row r="32" spans="1:19" ht="18" customHeight="1" x14ac:dyDescent="0.2">
      <c r="B32" s="102" t="s">
        <v>5</v>
      </c>
      <c r="C32" s="103"/>
      <c r="D32" s="103"/>
      <c r="E32" s="104"/>
      <c r="F32" s="20">
        <v>2</v>
      </c>
      <c r="G32" s="20"/>
      <c r="H32" s="20" t="s">
        <v>23</v>
      </c>
      <c r="I32" s="20" t="s">
        <v>23</v>
      </c>
      <c r="J32" s="102"/>
      <c r="K32" s="103"/>
      <c r="L32" s="103"/>
      <c r="M32" s="103"/>
      <c r="N32" s="103"/>
      <c r="O32" s="104"/>
      <c r="P32" s="20"/>
      <c r="Q32" s="20"/>
      <c r="R32" s="20"/>
      <c r="S32" s="20"/>
    </row>
    <row r="33" spans="1:19" ht="18" customHeight="1" x14ac:dyDescent="0.2">
      <c r="B33" s="92" t="s">
        <v>24</v>
      </c>
      <c r="C33" s="93"/>
      <c r="D33" s="93"/>
      <c r="E33" s="94"/>
      <c r="F33" s="21">
        <v>2</v>
      </c>
      <c r="G33" s="21"/>
      <c r="H33" s="21" t="s">
        <v>23</v>
      </c>
      <c r="I33" s="21" t="s">
        <v>23</v>
      </c>
      <c r="J33" s="92"/>
      <c r="K33" s="93"/>
      <c r="L33" s="93"/>
      <c r="M33" s="93"/>
      <c r="N33" s="93"/>
      <c r="O33" s="94"/>
      <c r="P33" s="21"/>
      <c r="Q33" s="21"/>
      <c r="R33" s="21"/>
      <c r="S33" s="21"/>
    </row>
    <row r="34" spans="1:19" ht="18" customHeight="1" x14ac:dyDescent="0.2">
      <c r="B34" s="92"/>
      <c r="C34" s="93"/>
      <c r="D34" s="93"/>
      <c r="E34" s="94"/>
      <c r="F34" s="21"/>
      <c r="G34" s="21"/>
      <c r="H34" s="21"/>
      <c r="I34" s="21"/>
      <c r="J34" s="92"/>
      <c r="K34" s="93"/>
      <c r="L34" s="93"/>
      <c r="M34" s="93"/>
      <c r="N34" s="93"/>
      <c r="O34" s="94"/>
      <c r="P34" s="21"/>
      <c r="Q34" s="21"/>
      <c r="R34" s="21"/>
      <c r="S34" s="21"/>
    </row>
    <row r="35" spans="1:19" ht="18" customHeight="1" x14ac:dyDescent="0.2">
      <c r="B35" s="92"/>
      <c r="C35" s="93"/>
      <c r="D35" s="93"/>
      <c r="E35" s="94"/>
      <c r="F35" s="21"/>
      <c r="G35" s="21"/>
      <c r="H35" s="21"/>
      <c r="I35" s="21"/>
      <c r="J35" s="92"/>
      <c r="K35" s="93"/>
      <c r="L35" s="93"/>
      <c r="M35" s="93"/>
      <c r="N35" s="93"/>
      <c r="O35" s="94"/>
      <c r="P35" s="21"/>
      <c r="Q35" s="21"/>
      <c r="R35" s="21"/>
      <c r="S35" s="21"/>
    </row>
    <row r="36" spans="1:19" ht="18" customHeight="1" x14ac:dyDescent="0.2">
      <c r="B36" s="92"/>
      <c r="C36" s="93"/>
      <c r="D36" s="93"/>
      <c r="E36" s="94"/>
      <c r="F36" s="21"/>
      <c r="G36" s="21"/>
      <c r="H36" s="21"/>
      <c r="I36" s="21"/>
      <c r="J36" s="92"/>
      <c r="K36" s="93"/>
      <c r="L36" s="93"/>
      <c r="M36" s="93"/>
      <c r="N36" s="93"/>
      <c r="O36" s="94"/>
      <c r="P36" s="21"/>
      <c r="Q36" s="21"/>
      <c r="R36" s="21"/>
      <c r="S36" s="21"/>
    </row>
    <row r="37" spans="1:19" ht="18" customHeight="1" x14ac:dyDescent="0.2">
      <c r="B37" s="92"/>
      <c r="C37" s="93"/>
      <c r="D37" s="93"/>
      <c r="E37" s="94"/>
      <c r="F37" s="21"/>
      <c r="G37" s="21"/>
      <c r="H37" s="21"/>
      <c r="I37" s="21"/>
      <c r="J37" s="92"/>
      <c r="K37" s="93"/>
      <c r="L37" s="93"/>
      <c r="M37" s="93"/>
      <c r="N37" s="93"/>
      <c r="O37" s="94"/>
      <c r="P37" s="21"/>
      <c r="Q37" s="21"/>
      <c r="R37" s="21"/>
      <c r="S37" s="21"/>
    </row>
    <row r="38" spans="1:19" ht="18" customHeight="1" x14ac:dyDescent="0.2">
      <c r="B38" s="95"/>
      <c r="C38" s="96"/>
      <c r="D38" s="96"/>
      <c r="E38" s="97"/>
      <c r="F38" s="22"/>
      <c r="G38" s="22"/>
      <c r="H38" s="23"/>
      <c r="I38" s="23"/>
      <c r="J38" s="95"/>
      <c r="K38" s="96"/>
      <c r="L38" s="96"/>
      <c r="M38" s="96"/>
      <c r="N38" s="96"/>
      <c r="O38" s="97"/>
      <c r="P38" s="22"/>
      <c r="Q38" s="22"/>
      <c r="R38" s="23"/>
      <c r="S38" s="23"/>
    </row>
    <row r="39" spans="1:19" ht="7.5" customHeight="1" x14ac:dyDescent="0.2">
      <c r="A39" s="3"/>
      <c r="B39" s="5"/>
      <c r="C39" s="5"/>
      <c r="D39" s="3"/>
      <c r="E39" s="3"/>
      <c r="F39" s="3"/>
      <c r="G39" s="3"/>
      <c r="H39" s="5"/>
      <c r="I39" s="5"/>
      <c r="J39" s="5"/>
      <c r="K39" s="5"/>
      <c r="L39" s="5"/>
      <c r="M39" s="5"/>
      <c r="N39" s="5"/>
      <c r="O39" s="5"/>
      <c r="P39" s="5"/>
      <c r="Q39" s="5"/>
      <c r="R39" s="5"/>
      <c r="S39" s="3"/>
    </row>
    <row r="40" spans="1:19" ht="18" customHeight="1" x14ac:dyDescent="0.2">
      <c r="A40" s="101" t="s">
        <v>28</v>
      </c>
      <c r="B40" s="101"/>
      <c r="C40" s="101"/>
      <c r="D40" s="101"/>
      <c r="E40" s="101"/>
      <c r="F40" s="101"/>
      <c r="G40" s="101"/>
      <c r="H40" s="101"/>
      <c r="I40" s="101"/>
      <c r="J40" s="101"/>
      <c r="K40" s="101"/>
      <c r="L40" s="101"/>
      <c r="M40" s="101"/>
      <c r="N40" s="101"/>
      <c r="O40" s="101"/>
      <c r="P40" s="101"/>
      <c r="Q40" s="101"/>
      <c r="R40" s="101"/>
      <c r="S40" s="101"/>
    </row>
    <row r="41" spans="1:19" ht="18" customHeight="1" x14ac:dyDescent="0.2">
      <c r="A41" s="101"/>
      <c r="B41" s="101"/>
      <c r="C41" s="101"/>
      <c r="D41" s="101"/>
      <c r="E41" s="101"/>
      <c r="F41" s="101"/>
      <c r="G41" s="101"/>
      <c r="H41" s="101"/>
      <c r="I41" s="101"/>
      <c r="J41" s="101"/>
      <c r="K41" s="101"/>
      <c r="L41" s="101"/>
      <c r="M41" s="101"/>
      <c r="N41" s="101"/>
      <c r="O41" s="101"/>
      <c r="P41" s="101"/>
      <c r="Q41" s="101"/>
      <c r="R41" s="101"/>
      <c r="S41" s="101"/>
    </row>
    <row r="42" spans="1:19" ht="18" customHeight="1" x14ac:dyDescent="0.2">
      <c r="B42" s="98" t="s">
        <v>18</v>
      </c>
      <c r="C42" s="99"/>
      <c r="D42" s="99"/>
      <c r="E42" s="100"/>
      <c r="F42" s="51" t="s">
        <v>19</v>
      </c>
      <c r="G42" s="50" t="s">
        <v>20</v>
      </c>
      <c r="H42" s="19" t="s">
        <v>29</v>
      </c>
      <c r="I42" s="19" t="s">
        <v>30</v>
      </c>
      <c r="J42" s="98" t="s">
        <v>18</v>
      </c>
      <c r="K42" s="99"/>
      <c r="L42" s="99"/>
      <c r="M42" s="99"/>
      <c r="N42" s="99"/>
      <c r="O42" s="100"/>
      <c r="P42" s="51" t="s">
        <v>19</v>
      </c>
      <c r="Q42" s="50" t="s">
        <v>20</v>
      </c>
      <c r="R42" s="19" t="s">
        <v>29</v>
      </c>
      <c r="S42" s="19" t="s">
        <v>30</v>
      </c>
    </row>
    <row r="43" spans="1:19" ht="18" customHeight="1" x14ac:dyDescent="0.2">
      <c r="A43" s="3"/>
      <c r="B43" s="102" t="s">
        <v>5</v>
      </c>
      <c r="C43" s="103"/>
      <c r="D43" s="103"/>
      <c r="E43" s="104"/>
      <c r="F43" s="20">
        <v>2</v>
      </c>
      <c r="G43" s="20"/>
      <c r="H43" s="20" t="s">
        <v>23</v>
      </c>
      <c r="I43" s="20" t="s">
        <v>23</v>
      </c>
      <c r="J43" s="102"/>
      <c r="K43" s="103"/>
      <c r="L43" s="103"/>
      <c r="M43" s="103"/>
      <c r="N43" s="103"/>
      <c r="O43" s="104"/>
      <c r="P43" s="20"/>
      <c r="Q43" s="20"/>
      <c r="R43" s="20"/>
      <c r="S43" s="20"/>
    </row>
    <row r="44" spans="1:19" ht="18" customHeight="1" x14ac:dyDescent="0.2">
      <c r="A44" s="3"/>
      <c r="B44" s="92" t="s">
        <v>24</v>
      </c>
      <c r="C44" s="93"/>
      <c r="D44" s="93"/>
      <c r="E44" s="94"/>
      <c r="F44" s="21">
        <v>2</v>
      </c>
      <c r="G44" s="21"/>
      <c r="H44" s="21" t="s">
        <v>23</v>
      </c>
      <c r="I44" s="21" t="s">
        <v>23</v>
      </c>
      <c r="J44" s="92"/>
      <c r="K44" s="93"/>
      <c r="L44" s="93"/>
      <c r="M44" s="93"/>
      <c r="N44" s="93"/>
      <c r="O44" s="94"/>
      <c r="P44" s="21"/>
      <c r="Q44" s="21"/>
      <c r="R44" s="21"/>
      <c r="S44" s="21"/>
    </row>
    <row r="45" spans="1:19" ht="18" customHeight="1" x14ac:dyDescent="0.2">
      <c r="A45" s="3"/>
      <c r="B45" s="92"/>
      <c r="C45" s="93"/>
      <c r="D45" s="93"/>
      <c r="E45" s="94"/>
      <c r="F45" s="21"/>
      <c r="G45" s="21"/>
      <c r="H45" s="21"/>
      <c r="I45" s="21"/>
      <c r="J45" s="92"/>
      <c r="K45" s="93"/>
      <c r="L45" s="93"/>
      <c r="M45" s="93"/>
      <c r="N45" s="93"/>
      <c r="O45" s="94"/>
      <c r="P45" s="21"/>
      <c r="Q45" s="21"/>
      <c r="R45" s="21"/>
      <c r="S45" s="21"/>
    </row>
    <row r="46" spans="1:19" ht="18" customHeight="1" x14ac:dyDescent="0.2">
      <c r="A46" s="3"/>
      <c r="B46" s="92"/>
      <c r="C46" s="93"/>
      <c r="D46" s="93"/>
      <c r="E46" s="94"/>
      <c r="F46" s="21"/>
      <c r="G46" s="21"/>
      <c r="H46" s="21"/>
      <c r="I46" s="21"/>
      <c r="J46" s="92"/>
      <c r="K46" s="93"/>
      <c r="L46" s="93"/>
      <c r="M46" s="93"/>
      <c r="N46" s="93"/>
      <c r="O46" s="94"/>
      <c r="P46" s="21"/>
      <c r="Q46" s="21"/>
      <c r="R46" s="21"/>
      <c r="S46" s="21"/>
    </row>
    <row r="47" spans="1:19" ht="18" customHeight="1" x14ac:dyDescent="0.2">
      <c r="A47" s="3"/>
      <c r="B47" s="92"/>
      <c r="C47" s="93"/>
      <c r="D47" s="93"/>
      <c r="E47" s="94"/>
      <c r="F47" s="21"/>
      <c r="G47" s="21"/>
      <c r="H47" s="21"/>
      <c r="I47" s="21"/>
      <c r="J47" s="92"/>
      <c r="K47" s="93"/>
      <c r="L47" s="93"/>
      <c r="M47" s="93"/>
      <c r="N47" s="93"/>
      <c r="O47" s="94"/>
      <c r="P47" s="21"/>
      <c r="Q47" s="21"/>
      <c r="R47" s="21"/>
      <c r="S47" s="21"/>
    </row>
    <row r="48" spans="1:19" ht="18" customHeight="1" x14ac:dyDescent="0.2">
      <c r="A48" s="3"/>
      <c r="B48" s="92"/>
      <c r="C48" s="93"/>
      <c r="D48" s="93"/>
      <c r="E48" s="94"/>
      <c r="F48" s="21"/>
      <c r="G48" s="21"/>
      <c r="H48" s="21"/>
      <c r="I48" s="21"/>
      <c r="J48" s="92"/>
      <c r="K48" s="93"/>
      <c r="L48" s="93"/>
      <c r="M48" s="93"/>
      <c r="N48" s="93"/>
      <c r="O48" s="94"/>
      <c r="P48" s="21"/>
      <c r="Q48" s="21"/>
      <c r="R48" s="21"/>
      <c r="S48" s="21"/>
    </row>
    <row r="49" spans="1:19" ht="18" customHeight="1" x14ac:dyDescent="0.2">
      <c r="A49" s="3"/>
      <c r="B49" s="95"/>
      <c r="C49" s="96"/>
      <c r="D49" s="96"/>
      <c r="E49" s="97"/>
      <c r="F49" s="22"/>
      <c r="G49" s="22"/>
      <c r="H49" s="23"/>
      <c r="I49" s="23"/>
      <c r="J49" s="95"/>
      <c r="K49" s="96"/>
      <c r="L49" s="96"/>
      <c r="M49" s="96"/>
      <c r="N49" s="96"/>
      <c r="O49" s="97"/>
      <c r="P49" s="22"/>
      <c r="Q49" s="22"/>
      <c r="R49" s="23"/>
      <c r="S49" s="23"/>
    </row>
    <row r="50" spans="1:19" ht="7.5" customHeight="1" x14ac:dyDescent="0.2">
      <c r="B50" s="76"/>
      <c r="C50" s="76"/>
      <c r="D50" s="76"/>
      <c r="E50" s="76"/>
      <c r="F50" s="76"/>
      <c r="G50" s="76"/>
      <c r="H50" s="76"/>
      <c r="I50" s="76"/>
      <c r="J50" s="76"/>
      <c r="K50" s="76"/>
      <c r="L50" s="76"/>
      <c r="M50" s="76"/>
      <c r="N50" s="76"/>
      <c r="O50" s="76"/>
      <c r="P50" s="76"/>
      <c r="Q50" s="76"/>
      <c r="R50" s="76"/>
    </row>
    <row r="51" spans="1:19" ht="18" customHeight="1" x14ac:dyDescent="0.2">
      <c r="A51" s="101" t="s">
        <v>31</v>
      </c>
      <c r="B51" s="101"/>
      <c r="C51" s="101"/>
      <c r="D51" s="101"/>
      <c r="E51" s="101"/>
      <c r="F51" s="101"/>
      <c r="G51" s="101"/>
      <c r="H51" s="101"/>
      <c r="I51" s="101"/>
      <c r="J51" s="101"/>
      <c r="K51" s="101"/>
      <c r="L51" s="101"/>
      <c r="M51" s="101"/>
      <c r="N51" s="101"/>
      <c r="O51" s="101"/>
      <c r="P51" s="101"/>
      <c r="Q51" s="101"/>
      <c r="R51" s="101"/>
      <c r="S51" s="101"/>
    </row>
    <row r="52" spans="1:19" ht="18" customHeight="1" x14ac:dyDescent="0.2">
      <c r="A52" s="101"/>
      <c r="B52" s="101"/>
      <c r="C52" s="101"/>
      <c r="D52" s="101"/>
      <c r="E52" s="101"/>
      <c r="F52" s="101"/>
      <c r="G52" s="101"/>
      <c r="H52" s="101"/>
      <c r="I52" s="101"/>
      <c r="J52" s="101"/>
      <c r="K52" s="101"/>
      <c r="L52" s="101"/>
      <c r="M52" s="101"/>
      <c r="N52" s="101"/>
      <c r="O52" s="101"/>
      <c r="P52" s="101"/>
      <c r="Q52" s="101"/>
      <c r="R52" s="101"/>
      <c r="S52" s="101"/>
    </row>
    <row r="53" spans="1:19" ht="18" customHeight="1" x14ac:dyDescent="0.2">
      <c r="B53" s="98" t="s">
        <v>18</v>
      </c>
      <c r="C53" s="99"/>
      <c r="D53" s="99"/>
      <c r="E53" s="100"/>
      <c r="F53" s="51" t="s">
        <v>19</v>
      </c>
      <c r="G53" s="50" t="s">
        <v>20</v>
      </c>
      <c r="H53" s="19" t="s">
        <v>32</v>
      </c>
      <c r="I53" s="19" t="s">
        <v>33</v>
      </c>
      <c r="J53" s="98" t="s">
        <v>18</v>
      </c>
      <c r="K53" s="99"/>
      <c r="L53" s="99"/>
      <c r="M53" s="99"/>
      <c r="N53" s="99"/>
      <c r="O53" s="100"/>
      <c r="P53" s="51" t="s">
        <v>19</v>
      </c>
      <c r="Q53" s="50" t="s">
        <v>20</v>
      </c>
      <c r="R53" s="19" t="s">
        <v>32</v>
      </c>
      <c r="S53" s="19" t="s">
        <v>33</v>
      </c>
    </row>
    <row r="54" spans="1:19" ht="18" customHeight="1" x14ac:dyDescent="0.2">
      <c r="A54" s="3"/>
      <c r="B54" s="102" t="s">
        <v>5</v>
      </c>
      <c r="C54" s="103"/>
      <c r="D54" s="103"/>
      <c r="E54" s="104"/>
      <c r="F54" s="20">
        <v>2</v>
      </c>
      <c r="G54" s="20"/>
      <c r="H54" s="20" t="s">
        <v>23</v>
      </c>
      <c r="I54" s="20" t="s">
        <v>23</v>
      </c>
      <c r="J54" s="102"/>
      <c r="K54" s="103"/>
      <c r="L54" s="103"/>
      <c r="M54" s="103"/>
      <c r="N54" s="103"/>
      <c r="O54" s="104"/>
      <c r="P54" s="20"/>
      <c r="Q54" s="20"/>
      <c r="R54" s="20"/>
      <c r="S54" s="20"/>
    </row>
    <row r="55" spans="1:19" ht="18" customHeight="1" x14ac:dyDescent="0.2">
      <c r="A55" s="3"/>
      <c r="B55" s="92" t="s">
        <v>24</v>
      </c>
      <c r="C55" s="93"/>
      <c r="D55" s="93"/>
      <c r="E55" s="94"/>
      <c r="F55" s="21">
        <v>2</v>
      </c>
      <c r="G55" s="21"/>
      <c r="H55" s="21" t="s">
        <v>23</v>
      </c>
      <c r="I55" s="21" t="s">
        <v>23</v>
      </c>
      <c r="J55" s="92"/>
      <c r="K55" s="93"/>
      <c r="L55" s="93"/>
      <c r="M55" s="93"/>
      <c r="N55" s="93"/>
      <c r="O55" s="94"/>
      <c r="P55" s="21"/>
      <c r="Q55" s="21"/>
      <c r="R55" s="21"/>
      <c r="S55" s="21"/>
    </row>
    <row r="56" spans="1:19" ht="18" customHeight="1" x14ac:dyDescent="0.2">
      <c r="A56" s="3"/>
      <c r="B56" s="92"/>
      <c r="C56" s="93"/>
      <c r="D56" s="93"/>
      <c r="E56" s="94"/>
      <c r="F56" s="21"/>
      <c r="G56" s="21"/>
      <c r="H56" s="21"/>
      <c r="I56" s="21"/>
      <c r="J56" s="92"/>
      <c r="K56" s="93"/>
      <c r="L56" s="93"/>
      <c r="M56" s="93"/>
      <c r="N56" s="93"/>
      <c r="O56" s="94"/>
      <c r="P56" s="21"/>
      <c r="Q56" s="21"/>
      <c r="R56" s="21"/>
      <c r="S56" s="21"/>
    </row>
    <row r="57" spans="1:19" ht="18" customHeight="1" x14ac:dyDescent="0.2">
      <c r="A57" s="3"/>
      <c r="B57" s="92"/>
      <c r="C57" s="93"/>
      <c r="D57" s="93"/>
      <c r="E57" s="94"/>
      <c r="F57" s="21"/>
      <c r="G57" s="21"/>
      <c r="H57" s="21"/>
      <c r="I57" s="21"/>
      <c r="J57" s="92"/>
      <c r="K57" s="93"/>
      <c r="L57" s="93"/>
      <c r="M57" s="93"/>
      <c r="N57" s="93"/>
      <c r="O57" s="94"/>
      <c r="P57" s="21"/>
      <c r="Q57" s="21"/>
      <c r="R57" s="21"/>
      <c r="S57" s="21"/>
    </row>
    <row r="58" spans="1:19" ht="18" customHeight="1" x14ac:dyDescent="0.2">
      <c r="A58" s="3"/>
      <c r="B58" s="92"/>
      <c r="C58" s="93"/>
      <c r="D58" s="93"/>
      <c r="E58" s="94"/>
      <c r="F58" s="21"/>
      <c r="G58" s="21"/>
      <c r="H58" s="21"/>
      <c r="I58" s="21"/>
      <c r="J58" s="92"/>
      <c r="K58" s="93"/>
      <c r="L58" s="93"/>
      <c r="M58" s="93"/>
      <c r="N58" s="93"/>
      <c r="O58" s="94"/>
      <c r="P58" s="21"/>
      <c r="Q58" s="21"/>
      <c r="R58" s="21"/>
      <c r="S58" s="21"/>
    </row>
    <row r="59" spans="1:19" ht="18" customHeight="1" x14ac:dyDescent="0.2">
      <c r="A59" s="3"/>
      <c r="B59" s="92"/>
      <c r="C59" s="93"/>
      <c r="D59" s="93"/>
      <c r="E59" s="94"/>
      <c r="F59" s="21"/>
      <c r="G59" s="21"/>
      <c r="H59" s="21"/>
      <c r="I59" s="21"/>
      <c r="J59" s="92"/>
      <c r="K59" s="93"/>
      <c r="L59" s="93"/>
      <c r="M59" s="93"/>
      <c r="N59" s="93"/>
      <c r="O59" s="94"/>
      <c r="P59" s="21"/>
      <c r="Q59" s="21"/>
      <c r="R59" s="21"/>
      <c r="S59" s="21"/>
    </row>
    <row r="60" spans="1:19" ht="18" customHeight="1" x14ac:dyDescent="0.2">
      <c r="A60" s="3"/>
      <c r="B60" s="95"/>
      <c r="C60" s="96"/>
      <c r="D60" s="96"/>
      <c r="E60" s="97"/>
      <c r="F60" s="22"/>
      <c r="G60" s="22"/>
      <c r="H60" s="23"/>
      <c r="I60" s="23"/>
      <c r="J60" s="95"/>
      <c r="K60" s="96"/>
      <c r="L60" s="96"/>
      <c r="M60" s="96"/>
      <c r="N60" s="96"/>
      <c r="O60" s="97"/>
      <c r="P60" s="22"/>
      <c r="Q60" s="22"/>
      <c r="R60" s="23"/>
      <c r="S60" s="23"/>
    </row>
    <row r="61" spans="1:19" ht="7.5" customHeight="1" x14ac:dyDescent="0.2">
      <c r="B61" s="76"/>
      <c r="C61" s="76"/>
      <c r="D61" s="76"/>
      <c r="E61" s="76"/>
      <c r="F61" s="76"/>
      <c r="G61" s="76"/>
      <c r="H61" s="76"/>
      <c r="I61" s="76"/>
      <c r="J61" s="76"/>
      <c r="K61" s="76"/>
      <c r="L61" s="76"/>
      <c r="M61" s="76"/>
      <c r="N61" s="76"/>
      <c r="O61" s="76"/>
      <c r="P61" s="76"/>
      <c r="Q61" s="76"/>
      <c r="R61" s="76"/>
    </row>
    <row r="62" spans="1:19" ht="18" customHeight="1" x14ac:dyDescent="0.2">
      <c r="A62" s="101" t="s">
        <v>34</v>
      </c>
      <c r="B62" s="101"/>
      <c r="C62" s="101"/>
      <c r="D62" s="101"/>
      <c r="E62" s="101"/>
      <c r="F62" s="101"/>
      <c r="G62" s="101"/>
      <c r="H62" s="101"/>
      <c r="I62" s="101"/>
      <c r="J62" s="101"/>
      <c r="K62" s="101"/>
      <c r="L62" s="101"/>
      <c r="M62" s="101"/>
      <c r="N62" s="101"/>
      <c r="O62" s="101"/>
      <c r="P62" s="101"/>
      <c r="Q62" s="101"/>
      <c r="R62" s="101"/>
      <c r="S62" s="101"/>
    </row>
    <row r="63" spans="1:19" ht="18" customHeight="1" x14ac:dyDescent="0.2">
      <c r="A63" s="101"/>
      <c r="B63" s="101"/>
      <c r="C63" s="101"/>
      <c r="D63" s="101"/>
      <c r="E63" s="101"/>
      <c r="F63" s="101"/>
      <c r="G63" s="101"/>
      <c r="H63" s="101"/>
      <c r="I63" s="101"/>
      <c r="J63" s="101"/>
      <c r="K63" s="101"/>
      <c r="L63" s="101"/>
      <c r="M63" s="101"/>
      <c r="N63" s="101"/>
      <c r="O63" s="101"/>
      <c r="P63" s="101"/>
      <c r="Q63" s="101"/>
      <c r="R63" s="101"/>
      <c r="S63" s="101"/>
    </row>
    <row r="64" spans="1:19" ht="18" customHeight="1" x14ac:dyDescent="0.2">
      <c r="B64" s="98" t="s">
        <v>18</v>
      </c>
      <c r="C64" s="99"/>
      <c r="D64" s="99"/>
      <c r="E64" s="51" t="s">
        <v>19</v>
      </c>
      <c r="F64" s="50" t="s">
        <v>20</v>
      </c>
      <c r="G64" s="19" t="s">
        <v>35</v>
      </c>
      <c r="H64" s="19" t="s">
        <v>36</v>
      </c>
      <c r="I64" s="19" t="s">
        <v>37</v>
      </c>
      <c r="J64" s="98" t="s">
        <v>18</v>
      </c>
      <c r="K64" s="99"/>
      <c r="L64" s="99"/>
      <c r="M64" s="99"/>
      <c r="N64" s="100"/>
      <c r="O64" s="51" t="s">
        <v>19</v>
      </c>
      <c r="P64" s="50" t="s">
        <v>20</v>
      </c>
      <c r="Q64" s="19" t="s">
        <v>35</v>
      </c>
      <c r="R64" s="19" t="s">
        <v>36</v>
      </c>
      <c r="S64" s="19" t="s">
        <v>37</v>
      </c>
    </row>
    <row r="65" spans="1:19" ht="18" customHeight="1" x14ac:dyDescent="0.2">
      <c r="A65" s="3"/>
      <c r="B65" s="102" t="s">
        <v>5</v>
      </c>
      <c r="C65" s="103"/>
      <c r="D65" s="103"/>
      <c r="E65" s="20">
        <v>2</v>
      </c>
      <c r="F65" s="20"/>
      <c r="G65" s="20" t="s">
        <v>23</v>
      </c>
      <c r="H65" s="20" t="s">
        <v>23</v>
      </c>
      <c r="I65" s="20" t="s">
        <v>23</v>
      </c>
      <c r="J65" s="102"/>
      <c r="K65" s="103"/>
      <c r="L65" s="103"/>
      <c r="M65" s="103"/>
      <c r="N65" s="104"/>
      <c r="O65" s="20"/>
      <c r="P65" s="20"/>
      <c r="Q65" s="20"/>
      <c r="R65" s="20"/>
      <c r="S65" s="20"/>
    </row>
    <row r="66" spans="1:19" ht="18" customHeight="1" x14ac:dyDescent="0.2">
      <c r="A66" s="3"/>
      <c r="B66" s="92" t="s">
        <v>38</v>
      </c>
      <c r="C66" s="93"/>
      <c r="D66" s="93"/>
      <c r="E66" s="21">
        <v>2</v>
      </c>
      <c r="F66" s="21"/>
      <c r="G66" s="21" t="s">
        <v>23</v>
      </c>
      <c r="H66" s="21" t="s">
        <v>23</v>
      </c>
      <c r="I66" s="21" t="s">
        <v>23</v>
      </c>
      <c r="J66" s="92"/>
      <c r="K66" s="93"/>
      <c r="L66" s="93"/>
      <c r="M66" s="93"/>
      <c r="N66" s="94"/>
      <c r="O66" s="21"/>
      <c r="P66" s="21"/>
      <c r="Q66" s="21"/>
      <c r="R66" s="21"/>
      <c r="S66" s="21"/>
    </row>
    <row r="67" spans="1:19" ht="18" customHeight="1" x14ac:dyDescent="0.2">
      <c r="A67" s="3"/>
      <c r="B67" s="92"/>
      <c r="C67" s="93"/>
      <c r="D67" s="93"/>
      <c r="E67" s="21"/>
      <c r="F67" s="21"/>
      <c r="G67" s="21"/>
      <c r="H67" s="21"/>
      <c r="I67" s="21"/>
      <c r="J67" s="92"/>
      <c r="K67" s="93"/>
      <c r="L67" s="93"/>
      <c r="M67" s="93"/>
      <c r="N67" s="94"/>
      <c r="O67" s="21"/>
      <c r="P67" s="21"/>
      <c r="Q67" s="21"/>
      <c r="R67" s="21"/>
      <c r="S67" s="21"/>
    </row>
    <row r="68" spans="1:19" ht="18" customHeight="1" x14ac:dyDescent="0.2">
      <c r="A68" s="3"/>
      <c r="B68" s="92"/>
      <c r="C68" s="93"/>
      <c r="D68" s="93"/>
      <c r="E68" s="21"/>
      <c r="F68" s="21"/>
      <c r="G68" s="21"/>
      <c r="H68" s="21"/>
      <c r="I68" s="21"/>
      <c r="J68" s="92"/>
      <c r="K68" s="93"/>
      <c r="L68" s="93"/>
      <c r="M68" s="93"/>
      <c r="N68" s="94"/>
      <c r="O68" s="21"/>
      <c r="P68" s="21"/>
      <c r="Q68" s="21"/>
      <c r="R68" s="21"/>
      <c r="S68" s="21"/>
    </row>
    <row r="69" spans="1:19" ht="18" customHeight="1" x14ac:dyDescent="0.2">
      <c r="A69" s="3"/>
      <c r="B69" s="92"/>
      <c r="C69" s="93"/>
      <c r="D69" s="93"/>
      <c r="E69" s="21"/>
      <c r="F69" s="21"/>
      <c r="G69" s="21"/>
      <c r="H69" s="21"/>
      <c r="I69" s="21"/>
      <c r="J69" s="92"/>
      <c r="K69" s="93"/>
      <c r="L69" s="93"/>
      <c r="M69" s="93"/>
      <c r="N69" s="94"/>
      <c r="O69" s="21"/>
      <c r="P69" s="21"/>
      <c r="Q69" s="21"/>
      <c r="R69" s="21"/>
      <c r="S69" s="21"/>
    </row>
    <row r="70" spans="1:19" ht="18" customHeight="1" x14ac:dyDescent="0.2">
      <c r="A70" s="3"/>
      <c r="B70" s="92"/>
      <c r="C70" s="93"/>
      <c r="D70" s="93"/>
      <c r="E70" s="21"/>
      <c r="F70" s="21"/>
      <c r="G70" s="21"/>
      <c r="H70" s="21"/>
      <c r="I70" s="21"/>
      <c r="J70" s="92"/>
      <c r="K70" s="93"/>
      <c r="L70" s="93"/>
      <c r="M70" s="93"/>
      <c r="N70" s="94"/>
      <c r="O70" s="21"/>
      <c r="P70" s="21"/>
      <c r="Q70" s="21"/>
      <c r="R70" s="21"/>
      <c r="S70" s="21"/>
    </row>
    <row r="71" spans="1:19" ht="18" customHeight="1" x14ac:dyDescent="0.2">
      <c r="A71" s="3"/>
      <c r="B71" s="95"/>
      <c r="C71" s="96"/>
      <c r="D71" s="96"/>
      <c r="E71" s="22"/>
      <c r="F71" s="22"/>
      <c r="G71" s="23"/>
      <c r="H71" s="23"/>
      <c r="I71" s="23"/>
      <c r="J71" s="95"/>
      <c r="K71" s="96"/>
      <c r="L71" s="96"/>
      <c r="M71" s="96"/>
      <c r="N71" s="97"/>
      <c r="O71" s="22"/>
      <c r="P71" s="22"/>
      <c r="Q71" s="23"/>
      <c r="R71" s="23"/>
      <c r="S71" s="23"/>
    </row>
    <row r="72" spans="1:19" ht="7.5" customHeight="1" x14ac:dyDescent="0.2">
      <c r="B72" s="76"/>
      <c r="C72" s="76"/>
      <c r="D72" s="76"/>
      <c r="E72" s="76"/>
      <c r="F72" s="76"/>
      <c r="G72" s="76"/>
      <c r="H72" s="76"/>
      <c r="I72" s="76"/>
      <c r="J72" s="76"/>
      <c r="K72" s="76"/>
      <c r="L72" s="76"/>
      <c r="M72" s="76"/>
      <c r="N72" s="76"/>
      <c r="O72" s="76"/>
      <c r="P72" s="76"/>
      <c r="Q72" s="76"/>
      <c r="R72" s="76"/>
    </row>
    <row r="73" spans="1:19" ht="18" customHeight="1" x14ac:dyDescent="0.2">
      <c r="A73" s="1" t="s">
        <v>39</v>
      </c>
      <c r="H73" s="3"/>
      <c r="I73" s="3"/>
      <c r="J73" s="3"/>
      <c r="K73" s="3"/>
      <c r="L73" s="3"/>
      <c r="M73" s="3"/>
      <c r="N73" s="3"/>
      <c r="O73" s="3"/>
      <c r="P73" s="3"/>
      <c r="Q73" s="3"/>
      <c r="R73" s="3"/>
      <c r="S73" s="3"/>
    </row>
    <row r="74" spans="1:19" ht="18" customHeight="1" x14ac:dyDescent="0.2">
      <c r="B74" s="98" t="s">
        <v>18</v>
      </c>
      <c r="C74" s="99"/>
      <c r="D74" s="99"/>
      <c r="E74" s="100"/>
      <c r="F74" s="98" t="s">
        <v>40</v>
      </c>
      <c r="G74" s="99"/>
      <c r="H74" s="99"/>
      <c r="I74" s="100"/>
      <c r="J74" s="141" t="s">
        <v>18</v>
      </c>
      <c r="K74" s="142"/>
      <c r="L74" s="142"/>
      <c r="M74" s="142"/>
      <c r="N74" s="142"/>
      <c r="O74" s="143"/>
      <c r="P74" s="98" t="s">
        <v>40</v>
      </c>
      <c r="Q74" s="99"/>
      <c r="R74" s="99"/>
      <c r="S74" s="100"/>
    </row>
    <row r="75" spans="1:19" ht="18" customHeight="1" x14ac:dyDescent="0.2">
      <c r="A75" s="3"/>
      <c r="B75" s="102" t="s">
        <v>5</v>
      </c>
      <c r="C75" s="103"/>
      <c r="D75" s="103"/>
      <c r="E75" s="104"/>
      <c r="F75" s="156" t="s">
        <v>144</v>
      </c>
      <c r="G75" s="157"/>
      <c r="H75" s="157"/>
      <c r="I75" s="158"/>
      <c r="J75" s="102"/>
      <c r="K75" s="103"/>
      <c r="L75" s="103"/>
      <c r="M75" s="103"/>
      <c r="N75" s="103"/>
      <c r="O75" s="104"/>
      <c r="P75" s="156"/>
      <c r="Q75" s="157"/>
      <c r="R75" s="157"/>
      <c r="S75" s="158"/>
    </row>
    <row r="76" spans="1:19" ht="18" customHeight="1" x14ac:dyDescent="0.2">
      <c r="A76" s="3"/>
      <c r="B76" s="92" t="s">
        <v>38</v>
      </c>
      <c r="C76" s="93"/>
      <c r="D76" s="93"/>
      <c r="E76" s="94"/>
      <c r="F76" s="125" t="s">
        <v>144</v>
      </c>
      <c r="G76" s="126"/>
      <c r="H76" s="126"/>
      <c r="I76" s="127"/>
      <c r="J76" s="92"/>
      <c r="K76" s="93"/>
      <c r="L76" s="93"/>
      <c r="M76" s="93"/>
      <c r="N76" s="93"/>
      <c r="O76" s="94"/>
      <c r="P76" s="125"/>
      <c r="Q76" s="126"/>
      <c r="R76" s="126"/>
      <c r="S76" s="127"/>
    </row>
    <row r="77" spans="1:19" ht="18" customHeight="1" x14ac:dyDescent="0.2">
      <c r="A77" s="3"/>
      <c r="B77" s="92"/>
      <c r="C77" s="93"/>
      <c r="D77" s="93"/>
      <c r="E77" s="94"/>
      <c r="F77" s="125"/>
      <c r="G77" s="126"/>
      <c r="H77" s="126"/>
      <c r="I77" s="127"/>
      <c r="J77" s="92"/>
      <c r="K77" s="93"/>
      <c r="L77" s="93"/>
      <c r="M77" s="93"/>
      <c r="N77" s="93"/>
      <c r="O77" s="94"/>
      <c r="P77" s="125"/>
      <c r="Q77" s="126"/>
      <c r="R77" s="126"/>
      <c r="S77" s="127"/>
    </row>
    <row r="78" spans="1:19" ht="18" customHeight="1" x14ac:dyDescent="0.2">
      <c r="A78" s="3"/>
      <c r="B78" s="92"/>
      <c r="C78" s="93"/>
      <c r="D78" s="93"/>
      <c r="E78" s="94"/>
      <c r="F78" s="125"/>
      <c r="G78" s="126"/>
      <c r="H78" s="126"/>
      <c r="I78" s="127"/>
      <c r="J78" s="92"/>
      <c r="K78" s="93"/>
      <c r="L78" s="93"/>
      <c r="M78" s="93"/>
      <c r="N78" s="93"/>
      <c r="O78" s="94"/>
      <c r="P78" s="125"/>
      <c r="Q78" s="126"/>
      <c r="R78" s="126"/>
      <c r="S78" s="127"/>
    </row>
    <row r="79" spans="1:19" ht="18" customHeight="1" x14ac:dyDescent="0.2">
      <c r="A79" s="3"/>
      <c r="B79" s="92"/>
      <c r="C79" s="93"/>
      <c r="D79" s="93"/>
      <c r="E79" s="94"/>
      <c r="F79" s="125"/>
      <c r="G79" s="126"/>
      <c r="H79" s="126"/>
      <c r="I79" s="127"/>
      <c r="J79" s="92"/>
      <c r="K79" s="93"/>
      <c r="L79" s="93"/>
      <c r="M79" s="93"/>
      <c r="N79" s="93"/>
      <c r="O79" s="94"/>
      <c r="P79" s="125"/>
      <c r="Q79" s="126"/>
      <c r="R79" s="126"/>
      <c r="S79" s="127"/>
    </row>
    <row r="80" spans="1:19" ht="18" customHeight="1" x14ac:dyDescent="0.2">
      <c r="A80" s="3"/>
      <c r="B80" s="92"/>
      <c r="C80" s="93"/>
      <c r="D80" s="93"/>
      <c r="E80" s="94"/>
      <c r="F80" s="125"/>
      <c r="G80" s="126"/>
      <c r="H80" s="126"/>
      <c r="I80" s="127"/>
      <c r="J80" s="92"/>
      <c r="K80" s="93"/>
      <c r="L80" s="93"/>
      <c r="M80" s="93"/>
      <c r="N80" s="93"/>
      <c r="O80" s="94"/>
      <c r="P80" s="125"/>
      <c r="Q80" s="126"/>
      <c r="R80" s="126"/>
      <c r="S80" s="127"/>
    </row>
    <row r="81" spans="1:19" ht="18" customHeight="1" x14ac:dyDescent="0.2">
      <c r="A81" s="3"/>
      <c r="B81" s="95"/>
      <c r="C81" s="96"/>
      <c r="D81" s="96"/>
      <c r="E81" s="97"/>
      <c r="F81" s="122"/>
      <c r="G81" s="123"/>
      <c r="H81" s="123"/>
      <c r="I81" s="124"/>
      <c r="J81" s="95"/>
      <c r="K81" s="96"/>
      <c r="L81" s="96"/>
      <c r="M81" s="96"/>
      <c r="N81" s="96"/>
      <c r="O81" s="97"/>
      <c r="P81" s="122"/>
      <c r="Q81" s="123"/>
      <c r="R81" s="123"/>
      <c r="S81" s="124"/>
    </row>
    <row r="82" spans="1:19" ht="18" customHeight="1" x14ac:dyDescent="0.2">
      <c r="A82" s="3"/>
      <c r="B82" s="5"/>
      <c r="C82" s="5"/>
      <c r="D82" s="5"/>
      <c r="E82" s="5"/>
      <c r="F82" s="24"/>
      <c r="G82" s="24"/>
      <c r="H82" s="24"/>
      <c r="I82" s="24"/>
      <c r="J82" s="5"/>
      <c r="K82" s="5"/>
      <c r="L82" s="5"/>
      <c r="M82" s="5"/>
      <c r="N82" s="5"/>
      <c r="O82" s="5"/>
      <c r="P82" s="24"/>
      <c r="Q82" s="24"/>
      <c r="R82" s="24"/>
      <c r="S82" s="24"/>
    </row>
    <row r="83" spans="1:19" ht="18.75" customHeight="1" x14ac:dyDescent="0.2">
      <c r="A83" s="1" t="s">
        <v>41</v>
      </c>
    </row>
    <row r="84" spans="1:19" ht="18.75" customHeight="1" x14ac:dyDescent="0.2">
      <c r="B84" s="154" t="s">
        <v>42</v>
      </c>
      <c r="C84" s="155"/>
      <c r="D84" s="99" t="s">
        <v>43</v>
      </c>
      <c r="E84" s="99"/>
      <c r="F84" s="99"/>
      <c r="G84" s="99"/>
      <c r="H84" s="99"/>
      <c r="I84" s="99"/>
      <c r="J84" s="99"/>
      <c r="K84" s="99"/>
      <c r="L84" s="99"/>
      <c r="M84" s="99"/>
      <c r="N84" s="99"/>
      <c r="O84" s="99"/>
      <c r="P84" s="99"/>
      <c r="Q84" s="99"/>
      <c r="R84" s="99"/>
      <c r="S84" s="100"/>
    </row>
    <row r="85" spans="1:19" ht="94.5" customHeight="1" x14ac:dyDescent="0.2">
      <c r="B85" s="144" t="s">
        <v>44</v>
      </c>
      <c r="C85" s="25" t="s">
        <v>21</v>
      </c>
      <c r="D85" s="151" t="s">
        <v>149</v>
      </c>
      <c r="E85" s="152"/>
      <c r="F85" s="152"/>
      <c r="G85" s="152"/>
      <c r="H85" s="152"/>
      <c r="I85" s="152"/>
      <c r="J85" s="152"/>
      <c r="K85" s="152"/>
      <c r="L85" s="152"/>
      <c r="M85" s="152"/>
      <c r="N85" s="152"/>
      <c r="O85" s="152"/>
      <c r="P85" s="152"/>
      <c r="Q85" s="152"/>
      <c r="R85" s="152"/>
      <c r="S85" s="153"/>
    </row>
    <row r="86" spans="1:19" ht="90.75" customHeight="1" x14ac:dyDescent="0.2">
      <c r="B86" s="146"/>
      <c r="C86" s="26" t="s">
        <v>45</v>
      </c>
      <c r="D86" s="128" t="s">
        <v>150</v>
      </c>
      <c r="E86" s="129"/>
      <c r="F86" s="129"/>
      <c r="G86" s="129"/>
      <c r="H86" s="129"/>
      <c r="I86" s="129"/>
      <c r="J86" s="129"/>
      <c r="K86" s="129"/>
      <c r="L86" s="129"/>
      <c r="M86" s="129"/>
      <c r="N86" s="129"/>
      <c r="O86" s="129"/>
      <c r="P86" s="129"/>
      <c r="Q86" s="129"/>
      <c r="R86" s="129"/>
      <c r="S86" s="130"/>
    </row>
    <row r="87" spans="1:19" ht="92.25" customHeight="1" x14ac:dyDescent="0.2">
      <c r="B87" s="144" t="s">
        <v>46</v>
      </c>
      <c r="C87" s="27" t="s">
        <v>26</v>
      </c>
      <c r="D87" s="131" t="s">
        <v>151</v>
      </c>
      <c r="E87" s="132"/>
      <c r="F87" s="132"/>
      <c r="G87" s="132"/>
      <c r="H87" s="132"/>
      <c r="I87" s="132"/>
      <c r="J87" s="132"/>
      <c r="K87" s="132"/>
      <c r="L87" s="132"/>
      <c r="M87" s="132"/>
      <c r="N87" s="132"/>
      <c r="O87" s="132"/>
      <c r="P87" s="132"/>
      <c r="Q87" s="132"/>
      <c r="R87" s="132"/>
      <c r="S87" s="133"/>
    </row>
    <row r="88" spans="1:19" ht="83.25" customHeight="1" x14ac:dyDescent="0.2">
      <c r="B88" s="145"/>
      <c r="C88" s="28" t="s">
        <v>27</v>
      </c>
      <c r="D88" s="137" t="s">
        <v>148</v>
      </c>
      <c r="E88" s="138"/>
      <c r="F88" s="138"/>
      <c r="G88" s="138"/>
      <c r="H88" s="138"/>
      <c r="I88" s="138"/>
      <c r="J88" s="138"/>
      <c r="K88" s="138"/>
      <c r="L88" s="138"/>
      <c r="M88" s="138"/>
      <c r="N88" s="138"/>
      <c r="O88" s="138"/>
      <c r="P88" s="138"/>
      <c r="Q88" s="138"/>
      <c r="R88" s="138"/>
      <c r="S88" s="139"/>
    </row>
    <row r="89" spans="1:19" ht="90" customHeight="1" x14ac:dyDescent="0.2">
      <c r="B89" s="144" t="s">
        <v>47</v>
      </c>
      <c r="C89" s="27" t="s">
        <v>29</v>
      </c>
      <c r="D89" s="131" t="s">
        <v>152</v>
      </c>
      <c r="E89" s="132"/>
      <c r="F89" s="132"/>
      <c r="G89" s="132"/>
      <c r="H89" s="132"/>
      <c r="I89" s="132"/>
      <c r="J89" s="132"/>
      <c r="K89" s="132"/>
      <c r="L89" s="132"/>
      <c r="M89" s="132"/>
      <c r="N89" s="132"/>
      <c r="O89" s="132"/>
      <c r="P89" s="132"/>
      <c r="Q89" s="132"/>
      <c r="R89" s="132"/>
      <c r="S89" s="133"/>
    </row>
    <row r="90" spans="1:19" ht="93" customHeight="1" x14ac:dyDescent="0.2">
      <c r="B90" s="145"/>
      <c r="C90" s="29" t="s">
        <v>30</v>
      </c>
      <c r="D90" s="134" t="s">
        <v>153</v>
      </c>
      <c r="E90" s="135"/>
      <c r="F90" s="135"/>
      <c r="G90" s="135"/>
      <c r="H90" s="135"/>
      <c r="I90" s="135"/>
      <c r="J90" s="135"/>
      <c r="K90" s="135"/>
      <c r="L90" s="135"/>
      <c r="M90" s="135"/>
      <c r="N90" s="135"/>
      <c r="O90" s="135"/>
      <c r="P90" s="135"/>
      <c r="Q90" s="135"/>
      <c r="R90" s="135"/>
      <c r="S90" s="136"/>
    </row>
    <row r="91" spans="1:19" ht="93.75" customHeight="1" x14ac:dyDescent="0.2">
      <c r="B91" s="144" t="s">
        <v>48</v>
      </c>
      <c r="C91" s="25" t="s">
        <v>32</v>
      </c>
      <c r="D91" s="151" t="s">
        <v>172</v>
      </c>
      <c r="E91" s="152"/>
      <c r="F91" s="152"/>
      <c r="G91" s="152"/>
      <c r="H91" s="152"/>
      <c r="I91" s="152"/>
      <c r="J91" s="152"/>
      <c r="K91" s="152"/>
      <c r="L91" s="152"/>
      <c r="M91" s="152"/>
      <c r="N91" s="152"/>
      <c r="O91" s="152"/>
      <c r="P91" s="152"/>
      <c r="Q91" s="152"/>
      <c r="R91" s="152"/>
      <c r="S91" s="153"/>
    </row>
    <row r="92" spans="1:19" ht="91.5" customHeight="1" x14ac:dyDescent="0.2">
      <c r="B92" s="145"/>
      <c r="C92" s="28" t="s">
        <v>33</v>
      </c>
      <c r="D92" s="137" t="s">
        <v>158</v>
      </c>
      <c r="E92" s="138"/>
      <c r="F92" s="138"/>
      <c r="G92" s="138"/>
      <c r="H92" s="138"/>
      <c r="I92" s="138"/>
      <c r="J92" s="138"/>
      <c r="K92" s="138"/>
      <c r="L92" s="138"/>
      <c r="M92" s="138"/>
      <c r="N92" s="138"/>
      <c r="O92" s="138"/>
      <c r="P92" s="138"/>
      <c r="Q92" s="138"/>
      <c r="R92" s="138"/>
      <c r="S92" s="139"/>
    </row>
    <row r="93" spans="1:19" ht="92.25" customHeight="1" x14ac:dyDescent="0.2">
      <c r="B93" s="144" t="s">
        <v>49</v>
      </c>
      <c r="C93" s="27" t="s">
        <v>50</v>
      </c>
      <c r="D93" s="147" t="s">
        <v>154</v>
      </c>
      <c r="E93" s="103"/>
      <c r="F93" s="103"/>
      <c r="G93" s="103"/>
      <c r="H93" s="103"/>
      <c r="I93" s="103"/>
      <c r="J93" s="103"/>
      <c r="K93" s="103"/>
      <c r="L93" s="103"/>
      <c r="M93" s="103"/>
      <c r="N93" s="103"/>
      <c r="O93" s="103"/>
      <c r="P93" s="103"/>
      <c r="Q93" s="103"/>
      <c r="R93" s="103"/>
      <c r="S93" s="104"/>
    </row>
    <row r="94" spans="1:19" ht="88.5" customHeight="1" x14ac:dyDescent="0.2">
      <c r="B94" s="146"/>
      <c r="C94" s="30" t="s">
        <v>36</v>
      </c>
      <c r="D94" s="140" t="s">
        <v>155</v>
      </c>
      <c r="E94" s="93"/>
      <c r="F94" s="93"/>
      <c r="G94" s="93"/>
      <c r="H94" s="93"/>
      <c r="I94" s="93"/>
      <c r="J94" s="93"/>
      <c r="K94" s="93"/>
      <c r="L94" s="93"/>
      <c r="M94" s="93"/>
      <c r="N94" s="93"/>
      <c r="O94" s="93"/>
      <c r="P94" s="93"/>
      <c r="Q94" s="93"/>
      <c r="R94" s="93"/>
      <c r="S94" s="94"/>
    </row>
    <row r="95" spans="1:19" ht="87.75" customHeight="1" x14ac:dyDescent="0.2">
      <c r="B95" s="145"/>
      <c r="C95" s="29" t="s">
        <v>37</v>
      </c>
      <c r="D95" s="148" t="s">
        <v>156</v>
      </c>
      <c r="E95" s="149"/>
      <c r="F95" s="149"/>
      <c r="G95" s="149"/>
      <c r="H95" s="149"/>
      <c r="I95" s="149"/>
      <c r="J95" s="149"/>
      <c r="K95" s="149"/>
      <c r="L95" s="149"/>
      <c r="M95" s="149"/>
      <c r="N95" s="149"/>
      <c r="O95" s="149"/>
      <c r="P95" s="149"/>
      <c r="Q95" s="149"/>
      <c r="R95" s="149"/>
      <c r="S95" s="150"/>
    </row>
    <row r="96" spans="1:19" ht="6" customHeight="1" x14ac:dyDescent="0.2"/>
    <row r="97" spans="1:19" ht="18.75" customHeight="1" x14ac:dyDescent="0.2">
      <c r="A97" s="1" t="s">
        <v>51</v>
      </c>
    </row>
    <row r="98" spans="1:19" ht="145.5" customHeight="1" x14ac:dyDescent="0.2">
      <c r="B98" s="119" t="s">
        <v>157</v>
      </c>
      <c r="C98" s="120"/>
      <c r="D98" s="120"/>
      <c r="E98" s="120"/>
      <c r="F98" s="120"/>
      <c r="G98" s="120"/>
      <c r="H98" s="120"/>
      <c r="I98" s="120"/>
      <c r="J98" s="120"/>
      <c r="K98" s="120"/>
      <c r="L98" s="120"/>
      <c r="M98" s="120"/>
      <c r="N98" s="120"/>
      <c r="O98" s="120"/>
      <c r="P98" s="120"/>
      <c r="Q98" s="120"/>
      <c r="R98" s="120"/>
      <c r="S98" s="121"/>
    </row>
    <row r="106" spans="1:19" ht="18" customHeight="1" x14ac:dyDescent="0.2"/>
  </sheetData>
  <mergeCells count="145">
    <mergeCell ref="J32:O32"/>
    <mergeCell ref="J33:O33"/>
    <mergeCell ref="J34:O34"/>
    <mergeCell ref="J53:O53"/>
    <mergeCell ref="J54:O54"/>
    <mergeCell ref="B67:D67"/>
    <mergeCell ref="B68:D68"/>
    <mergeCell ref="B34:E34"/>
    <mergeCell ref="B35:E35"/>
    <mergeCell ref="B36:E36"/>
    <mergeCell ref="B37:E37"/>
    <mergeCell ref="B38:E38"/>
    <mergeCell ref="J43:O43"/>
    <mergeCell ref="J44:O44"/>
    <mergeCell ref="J45:O45"/>
    <mergeCell ref="J46:O46"/>
    <mergeCell ref="J47:O47"/>
    <mergeCell ref="J48:O48"/>
    <mergeCell ref="J35:O35"/>
    <mergeCell ref="J36:O36"/>
    <mergeCell ref="J37:O37"/>
    <mergeCell ref="J38:O38"/>
    <mergeCell ref="A40:S41"/>
    <mergeCell ref="A62:S63"/>
    <mergeCell ref="B93:B95"/>
    <mergeCell ref="D93:S93"/>
    <mergeCell ref="D95:S95"/>
    <mergeCell ref="B91:B92"/>
    <mergeCell ref="D91:S91"/>
    <mergeCell ref="J69:N69"/>
    <mergeCell ref="J70:N70"/>
    <mergeCell ref="B45:E45"/>
    <mergeCell ref="A51:S52"/>
    <mergeCell ref="J71:N71"/>
    <mergeCell ref="J81:O81"/>
    <mergeCell ref="B84:C84"/>
    <mergeCell ref="D84:S84"/>
    <mergeCell ref="D85:S85"/>
    <mergeCell ref="J75:O75"/>
    <mergeCell ref="P75:S75"/>
    <mergeCell ref="P74:S74"/>
    <mergeCell ref="B75:E75"/>
    <mergeCell ref="J55:O55"/>
    <mergeCell ref="B74:E74"/>
    <mergeCell ref="F75:I75"/>
    <mergeCell ref="P77:S77"/>
    <mergeCell ref="P78:S78"/>
    <mergeCell ref="B87:B88"/>
    <mergeCell ref="B89:B90"/>
    <mergeCell ref="B85:B86"/>
    <mergeCell ref="J65:N65"/>
    <mergeCell ref="J66:N66"/>
    <mergeCell ref="J67:N67"/>
    <mergeCell ref="B78:E78"/>
    <mergeCell ref="F77:I77"/>
    <mergeCell ref="F78:I78"/>
    <mergeCell ref="J77:O77"/>
    <mergeCell ref="J78:O78"/>
    <mergeCell ref="B69:D69"/>
    <mergeCell ref="B70:D70"/>
    <mergeCell ref="B71:D71"/>
    <mergeCell ref="J68:N68"/>
    <mergeCell ref="B56:E56"/>
    <mergeCell ref="B57:E57"/>
    <mergeCell ref="B58:E58"/>
    <mergeCell ref="B59:E59"/>
    <mergeCell ref="B60:E60"/>
    <mergeCell ref="J42:O42"/>
    <mergeCell ref="F74:I74"/>
    <mergeCell ref="J74:O74"/>
    <mergeCell ref="B65:D65"/>
    <mergeCell ref="B66:D66"/>
    <mergeCell ref="J49:O49"/>
    <mergeCell ref="B98:S98"/>
    <mergeCell ref="P81:S81"/>
    <mergeCell ref="B76:E76"/>
    <mergeCell ref="F76:I76"/>
    <mergeCell ref="J76:O76"/>
    <mergeCell ref="P76:S76"/>
    <mergeCell ref="B79:E79"/>
    <mergeCell ref="F79:I79"/>
    <mergeCell ref="J79:O79"/>
    <mergeCell ref="P79:S79"/>
    <mergeCell ref="B77:E77"/>
    <mergeCell ref="D86:S86"/>
    <mergeCell ref="D87:S87"/>
    <mergeCell ref="D90:S90"/>
    <mergeCell ref="D88:S88"/>
    <mergeCell ref="D89:S89"/>
    <mergeCell ref="B80:E80"/>
    <mergeCell ref="F80:I80"/>
    <mergeCell ref="J80:O80"/>
    <mergeCell ref="P80:S80"/>
    <mergeCell ref="B81:E81"/>
    <mergeCell ref="D92:S92"/>
    <mergeCell ref="F81:I81"/>
    <mergeCell ref="D94:S94"/>
    <mergeCell ref="R1:S1"/>
    <mergeCell ref="B20:E20"/>
    <mergeCell ref="B21:E21"/>
    <mergeCell ref="B22:E22"/>
    <mergeCell ref="B23:E23"/>
    <mergeCell ref="B24:E24"/>
    <mergeCell ref="B25:E25"/>
    <mergeCell ref="B26:E26"/>
    <mergeCell ref="B27:E27"/>
    <mergeCell ref="J20:O20"/>
    <mergeCell ref="J21:O21"/>
    <mergeCell ref="J22:O22"/>
    <mergeCell ref="J23:O23"/>
    <mergeCell ref="J24:O24"/>
    <mergeCell ref="J25:O25"/>
    <mergeCell ref="J26:O26"/>
    <mergeCell ref="J27:O27"/>
    <mergeCell ref="K16:S16"/>
    <mergeCell ref="C2:I2"/>
    <mergeCell ref="C3:I3"/>
    <mergeCell ref="A5:S5"/>
    <mergeCell ref="B13:S14"/>
    <mergeCell ref="A18:S19"/>
    <mergeCell ref="K7:S7"/>
    <mergeCell ref="B9:S10"/>
    <mergeCell ref="J56:O56"/>
    <mergeCell ref="J57:O57"/>
    <mergeCell ref="J58:O58"/>
    <mergeCell ref="J59:O59"/>
    <mergeCell ref="J60:O60"/>
    <mergeCell ref="B64:D64"/>
    <mergeCell ref="J64:N64"/>
    <mergeCell ref="B46:E46"/>
    <mergeCell ref="B47:E47"/>
    <mergeCell ref="B48:E48"/>
    <mergeCell ref="B49:E49"/>
    <mergeCell ref="A29:S30"/>
    <mergeCell ref="C16:D16"/>
    <mergeCell ref="B31:E31"/>
    <mergeCell ref="B32:E32"/>
    <mergeCell ref="B33:E33"/>
    <mergeCell ref="B53:E53"/>
    <mergeCell ref="B54:E54"/>
    <mergeCell ref="B55:E55"/>
    <mergeCell ref="B42:E42"/>
    <mergeCell ref="B43:E43"/>
    <mergeCell ref="B44:E44"/>
    <mergeCell ref="J31:O31"/>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1:I27 Q21:S27 G32:I38 Q32:S38 G43:I49 Q43:S49 G54:I60 Q54:S60 F65:I71 P65:S71" xr:uid="{4C0986EB-3601-4249-85F7-B678A400A117}">
      <formula1>"○"</formula1>
    </dataValidation>
    <dataValidation type="list" allowBlank="1" showInputMessage="1" showErrorMessage="1" sqref="S28 S39 D28:G28 D39:G39"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5:F82 P75:P82 G75:I76 G79:I82 Q79:S82 Q75:S7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16:S16" xr:uid="{8D0781BD-BB46-47E4-B306-E5D299761C76}">
      <formula1>#REF!</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1" max="18" man="1"/>
    <brk id="90"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106" zoomScaleNormal="100" zoomScaleSheetLayoutView="106" workbookViewId="0">
      <selection activeCell="N40" sqref="N40"/>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52</v>
      </c>
    </row>
    <row r="2" spans="1:45" ht="18" customHeight="1" x14ac:dyDescent="0.2">
      <c r="K2" s="73"/>
      <c r="Q2" s="73"/>
      <c r="W2" s="73"/>
      <c r="AC2" s="73"/>
      <c r="AI2" s="73"/>
      <c r="AL2" s="73" t="s">
        <v>2</v>
      </c>
      <c r="AM2" s="162" t="s">
        <v>3</v>
      </c>
      <c r="AN2" s="162"/>
      <c r="AO2" s="162"/>
      <c r="AP2" s="162"/>
      <c r="AQ2" s="162"/>
    </row>
    <row r="3" spans="1:45" ht="18" customHeight="1" x14ac:dyDescent="0.2">
      <c r="A3" s="109" t="s">
        <v>53</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54</v>
      </c>
      <c r="C5" s="163" t="s">
        <v>55</v>
      </c>
      <c r="D5" s="164"/>
      <c r="E5" s="3" t="s">
        <v>56</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57</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5" t="s">
        <v>58</v>
      </c>
      <c r="C9" s="180" t="s">
        <v>59</v>
      </c>
      <c r="D9" s="168" t="s">
        <v>60</v>
      </c>
      <c r="E9" s="171" t="s">
        <v>61</v>
      </c>
      <c r="F9" s="161" t="s">
        <v>62</v>
      </c>
      <c r="G9" s="161"/>
      <c r="H9" s="161"/>
      <c r="I9" s="161"/>
      <c r="J9" s="161"/>
      <c r="K9" s="161"/>
      <c r="L9" s="161" t="s">
        <v>63</v>
      </c>
      <c r="M9" s="161"/>
      <c r="N9" s="161"/>
      <c r="O9" s="161"/>
      <c r="P9" s="161"/>
      <c r="Q9" s="161"/>
      <c r="R9" s="161" t="s">
        <v>64</v>
      </c>
      <c r="S9" s="161"/>
      <c r="T9" s="161"/>
      <c r="U9" s="161"/>
      <c r="V9" s="161"/>
      <c r="W9" s="161"/>
      <c r="X9" s="161" t="s">
        <v>65</v>
      </c>
      <c r="Y9" s="161"/>
      <c r="Z9" s="161"/>
      <c r="AA9" s="161"/>
      <c r="AB9" s="161"/>
      <c r="AC9" s="161"/>
      <c r="AD9" s="161" t="s">
        <v>66</v>
      </c>
      <c r="AE9" s="161"/>
      <c r="AF9" s="161"/>
      <c r="AG9" s="161"/>
      <c r="AH9" s="161"/>
      <c r="AI9" s="161"/>
      <c r="AJ9" s="161" t="s">
        <v>67</v>
      </c>
      <c r="AK9" s="161"/>
      <c r="AL9" s="161"/>
      <c r="AM9" s="161"/>
      <c r="AN9" s="161"/>
      <c r="AO9" s="161"/>
      <c r="AP9" s="174" t="s">
        <v>68</v>
      </c>
      <c r="AQ9" s="177" t="s">
        <v>69</v>
      </c>
      <c r="AS9" s="2"/>
    </row>
    <row r="10" spans="1:45" ht="16.95" customHeight="1" x14ac:dyDescent="0.2">
      <c r="B10" s="166"/>
      <c r="C10" s="181"/>
      <c r="D10" s="169"/>
      <c r="E10" s="172"/>
      <c r="F10" s="159" t="s">
        <v>70</v>
      </c>
      <c r="G10" s="160"/>
      <c r="H10" s="160"/>
      <c r="I10" s="159" t="s">
        <v>71</v>
      </c>
      <c r="J10" s="160"/>
      <c r="K10" s="160"/>
      <c r="L10" s="159" t="s">
        <v>70</v>
      </c>
      <c r="M10" s="160"/>
      <c r="N10" s="160"/>
      <c r="O10" s="159" t="s">
        <v>71</v>
      </c>
      <c r="P10" s="160"/>
      <c r="Q10" s="160"/>
      <c r="R10" s="159" t="s">
        <v>70</v>
      </c>
      <c r="S10" s="160"/>
      <c r="T10" s="160"/>
      <c r="U10" s="159" t="s">
        <v>71</v>
      </c>
      <c r="V10" s="160"/>
      <c r="W10" s="160"/>
      <c r="X10" s="159" t="s">
        <v>70</v>
      </c>
      <c r="Y10" s="160"/>
      <c r="Z10" s="160"/>
      <c r="AA10" s="159" t="s">
        <v>71</v>
      </c>
      <c r="AB10" s="160"/>
      <c r="AC10" s="160"/>
      <c r="AD10" s="159" t="s">
        <v>70</v>
      </c>
      <c r="AE10" s="160"/>
      <c r="AF10" s="160"/>
      <c r="AG10" s="159" t="s">
        <v>71</v>
      </c>
      <c r="AH10" s="160"/>
      <c r="AI10" s="160"/>
      <c r="AJ10" s="159" t="s">
        <v>70</v>
      </c>
      <c r="AK10" s="160"/>
      <c r="AL10" s="160"/>
      <c r="AM10" s="159" t="s">
        <v>71</v>
      </c>
      <c r="AN10" s="160"/>
      <c r="AO10" s="160"/>
      <c r="AP10" s="175"/>
      <c r="AQ10" s="178"/>
      <c r="AS10" s="2"/>
    </row>
    <row r="11" spans="1:45" ht="18" customHeight="1" x14ac:dyDescent="0.2">
      <c r="B11" s="167"/>
      <c r="C11" s="182"/>
      <c r="D11" s="170"/>
      <c r="E11" s="173"/>
      <c r="F11" s="14" t="s">
        <v>72</v>
      </c>
      <c r="G11" s="15" t="s">
        <v>73</v>
      </c>
      <c r="H11" s="16" t="s">
        <v>74</v>
      </c>
      <c r="I11" s="14" t="s">
        <v>72</v>
      </c>
      <c r="J11" s="15" t="s">
        <v>73</v>
      </c>
      <c r="K11" s="16" t="s">
        <v>74</v>
      </c>
      <c r="L11" s="14" t="s">
        <v>72</v>
      </c>
      <c r="M11" s="15" t="s">
        <v>73</v>
      </c>
      <c r="N11" s="16" t="s">
        <v>74</v>
      </c>
      <c r="O11" s="14" t="s">
        <v>72</v>
      </c>
      <c r="P11" s="15" t="s">
        <v>73</v>
      </c>
      <c r="Q11" s="16" t="s">
        <v>74</v>
      </c>
      <c r="R11" s="14" t="s">
        <v>72</v>
      </c>
      <c r="S11" s="15" t="s">
        <v>73</v>
      </c>
      <c r="T11" s="16" t="s">
        <v>74</v>
      </c>
      <c r="U11" s="14" t="s">
        <v>72</v>
      </c>
      <c r="V11" s="15" t="s">
        <v>73</v>
      </c>
      <c r="W11" s="16" t="s">
        <v>74</v>
      </c>
      <c r="X11" s="14" t="s">
        <v>72</v>
      </c>
      <c r="Y11" s="15" t="s">
        <v>73</v>
      </c>
      <c r="Z11" s="16" t="s">
        <v>74</v>
      </c>
      <c r="AA11" s="14" t="s">
        <v>72</v>
      </c>
      <c r="AB11" s="15" t="s">
        <v>73</v>
      </c>
      <c r="AC11" s="16" t="s">
        <v>74</v>
      </c>
      <c r="AD11" s="14" t="s">
        <v>72</v>
      </c>
      <c r="AE11" s="15" t="s">
        <v>73</v>
      </c>
      <c r="AF11" s="16" t="s">
        <v>74</v>
      </c>
      <c r="AG11" s="14" t="s">
        <v>72</v>
      </c>
      <c r="AH11" s="15" t="s">
        <v>73</v>
      </c>
      <c r="AI11" s="16" t="s">
        <v>74</v>
      </c>
      <c r="AJ11" s="14" t="s">
        <v>72</v>
      </c>
      <c r="AK11" s="15" t="s">
        <v>73</v>
      </c>
      <c r="AL11" s="16" t="s">
        <v>74</v>
      </c>
      <c r="AM11" s="14" t="s">
        <v>72</v>
      </c>
      <c r="AN11" s="15" t="s">
        <v>73</v>
      </c>
      <c r="AO11" s="16" t="s">
        <v>74</v>
      </c>
      <c r="AP11" s="176"/>
      <c r="AQ11" s="179"/>
      <c r="AS11" s="2"/>
    </row>
    <row r="12" spans="1:45" ht="18" customHeight="1" x14ac:dyDescent="0.2">
      <c r="A12" s="5"/>
      <c r="B12" s="10" t="s">
        <v>75</v>
      </c>
      <c r="C12" s="52">
        <v>1307</v>
      </c>
      <c r="D12" s="53">
        <v>300</v>
      </c>
      <c r="E12" s="54">
        <v>1200</v>
      </c>
      <c r="F12" s="54">
        <f>G12+H12</f>
        <v>152</v>
      </c>
      <c r="G12" s="55">
        <v>142</v>
      </c>
      <c r="H12" s="56">
        <v>10</v>
      </c>
      <c r="I12" s="54">
        <f>J12+K12</f>
        <v>93</v>
      </c>
      <c r="J12" s="55">
        <v>85</v>
      </c>
      <c r="K12" s="56">
        <v>8</v>
      </c>
      <c r="L12" s="54">
        <f>M12+N12</f>
        <v>85</v>
      </c>
      <c r="M12" s="55">
        <v>78</v>
      </c>
      <c r="N12" s="56">
        <v>7</v>
      </c>
      <c r="O12" s="54">
        <f>P12+Q12</f>
        <v>74</v>
      </c>
      <c r="P12" s="55">
        <v>68</v>
      </c>
      <c r="Q12" s="56">
        <v>6</v>
      </c>
      <c r="R12" s="54">
        <f>S12+T12</f>
        <v>0</v>
      </c>
      <c r="S12" s="55"/>
      <c r="T12" s="56"/>
      <c r="U12" s="54">
        <f>V12+W12</f>
        <v>0</v>
      </c>
      <c r="V12" s="55"/>
      <c r="W12" s="56"/>
      <c r="X12" s="54">
        <f>Y12+Z12</f>
        <v>0</v>
      </c>
      <c r="Y12" s="55"/>
      <c r="Z12" s="56"/>
      <c r="AA12" s="54">
        <f>AB12+AC12</f>
        <v>0</v>
      </c>
      <c r="AB12" s="55"/>
      <c r="AC12" s="56"/>
      <c r="AD12" s="54">
        <f>AE12+AF12</f>
        <v>0</v>
      </c>
      <c r="AE12" s="55"/>
      <c r="AF12" s="56"/>
      <c r="AG12" s="54">
        <f>AH12+AI12</f>
        <v>0</v>
      </c>
      <c r="AH12" s="55"/>
      <c r="AI12" s="56"/>
      <c r="AJ12" s="54">
        <f>AK12+AL12</f>
        <v>0</v>
      </c>
      <c r="AK12" s="55"/>
      <c r="AL12" s="56"/>
      <c r="AM12" s="54">
        <f>AN12+AO12</f>
        <v>0</v>
      </c>
      <c r="AN12" s="55"/>
      <c r="AO12" s="56"/>
      <c r="AP12" s="53">
        <f>F12+L12+R12+X12+AD12+AJ12</f>
        <v>237</v>
      </c>
      <c r="AQ12" s="18">
        <f t="shared" ref="AQ12:AQ32" si="0">AP12/E12</f>
        <v>0.19750000000000001</v>
      </c>
    </row>
    <row r="13" spans="1:45" ht="18" customHeight="1" x14ac:dyDescent="0.2">
      <c r="A13" s="5"/>
      <c r="B13" s="11" t="s">
        <v>76</v>
      </c>
      <c r="C13" s="57">
        <v>1057</v>
      </c>
      <c r="D13" s="58">
        <v>250</v>
      </c>
      <c r="E13" s="59">
        <v>1000</v>
      </c>
      <c r="F13" s="60">
        <f t="shared" ref="F13:F31" si="1">G13+H13</f>
        <v>133</v>
      </c>
      <c r="G13" s="61">
        <v>117</v>
      </c>
      <c r="H13" s="62">
        <v>16</v>
      </c>
      <c r="I13" s="60">
        <f t="shared" ref="I13:I31" si="2">J13+K13</f>
        <v>83</v>
      </c>
      <c r="J13" s="61">
        <v>68</v>
      </c>
      <c r="K13" s="62">
        <v>15</v>
      </c>
      <c r="L13" s="60">
        <f t="shared" ref="L13:L31" si="3">M13+N13</f>
        <v>14</v>
      </c>
      <c r="M13" s="61">
        <v>12</v>
      </c>
      <c r="N13" s="62">
        <v>2</v>
      </c>
      <c r="O13" s="60">
        <f t="shared" ref="O13:O31" si="4">P13+Q13</f>
        <v>9</v>
      </c>
      <c r="P13" s="61">
        <v>7</v>
      </c>
      <c r="Q13" s="62">
        <v>2</v>
      </c>
      <c r="R13" s="60">
        <f t="shared" ref="R13:R31" si="5">S13+T13</f>
        <v>0</v>
      </c>
      <c r="S13" s="61"/>
      <c r="T13" s="62"/>
      <c r="U13" s="60">
        <f t="shared" ref="U13:U31" si="6">V13+W13</f>
        <v>0</v>
      </c>
      <c r="V13" s="61"/>
      <c r="W13" s="62"/>
      <c r="X13" s="60">
        <f t="shared" ref="X13:X31" si="7">Y13+Z13</f>
        <v>0</v>
      </c>
      <c r="Y13" s="61"/>
      <c r="Z13" s="62"/>
      <c r="AA13" s="60">
        <f t="shared" ref="AA13:AA31" si="8">AB13+AC13</f>
        <v>0</v>
      </c>
      <c r="AB13" s="61"/>
      <c r="AC13" s="62"/>
      <c r="AD13" s="60">
        <f t="shared" ref="AD13:AD31" si="9">AE13+AF13</f>
        <v>0</v>
      </c>
      <c r="AE13" s="61"/>
      <c r="AF13" s="62"/>
      <c r="AG13" s="60">
        <f t="shared" ref="AG13:AG31" si="10">AH13+AI13</f>
        <v>0</v>
      </c>
      <c r="AH13" s="61"/>
      <c r="AI13" s="62"/>
      <c r="AJ13" s="60">
        <f t="shared" ref="AJ13:AJ31" si="11">AK13+AL13</f>
        <v>0</v>
      </c>
      <c r="AK13" s="61"/>
      <c r="AL13" s="62"/>
      <c r="AM13" s="60">
        <f t="shared" ref="AM13:AM31" si="12">AN13+AO13</f>
        <v>0</v>
      </c>
      <c r="AN13" s="61"/>
      <c r="AO13" s="62"/>
      <c r="AP13" s="58">
        <f t="shared" ref="AP13:AP31" si="13">F13+L13+R13+X13+AD13+AJ13</f>
        <v>147</v>
      </c>
      <c r="AQ13" s="17">
        <f t="shared" si="0"/>
        <v>0.14699999999999999</v>
      </c>
    </row>
    <row r="14" spans="1:45" ht="18" customHeight="1" x14ac:dyDescent="0.2">
      <c r="A14" s="5"/>
      <c r="B14" s="11" t="s">
        <v>77</v>
      </c>
      <c r="C14" s="57">
        <v>2070</v>
      </c>
      <c r="D14" s="58">
        <v>500</v>
      </c>
      <c r="E14" s="59">
        <v>2000</v>
      </c>
      <c r="F14" s="60">
        <f t="shared" si="1"/>
        <v>169</v>
      </c>
      <c r="G14" s="61">
        <v>149</v>
      </c>
      <c r="H14" s="62">
        <v>20</v>
      </c>
      <c r="I14" s="60">
        <f t="shared" si="2"/>
        <v>85</v>
      </c>
      <c r="J14" s="61">
        <v>69</v>
      </c>
      <c r="K14" s="62">
        <v>16</v>
      </c>
      <c r="L14" s="60">
        <f t="shared" si="3"/>
        <v>16</v>
      </c>
      <c r="M14" s="61">
        <v>14</v>
      </c>
      <c r="N14" s="62">
        <v>2</v>
      </c>
      <c r="O14" s="60">
        <f t="shared" si="4"/>
        <v>14</v>
      </c>
      <c r="P14" s="61">
        <v>13</v>
      </c>
      <c r="Q14" s="62">
        <v>1</v>
      </c>
      <c r="R14" s="60">
        <f t="shared" si="5"/>
        <v>0</v>
      </c>
      <c r="S14" s="61"/>
      <c r="T14" s="62"/>
      <c r="U14" s="60">
        <f t="shared" si="6"/>
        <v>0</v>
      </c>
      <c r="V14" s="61"/>
      <c r="W14" s="62"/>
      <c r="X14" s="60">
        <f t="shared" si="7"/>
        <v>0</v>
      </c>
      <c r="Y14" s="61"/>
      <c r="Z14" s="62"/>
      <c r="AA14" s="60">
        <f t="shared" si="8"/>
        <v>0</v>
      </c>
      <c r="AB14" s="61"/>
      <c r="AC14" s="62"/>
      <c r="AD14" s="60">
        <f t="shared" si="9"/>
        <v>0</v>
      </c>
      <c r="AE14" s="61"/>
      <c r="AF14" s="62"/>
      <c r="AG14" s="60">
        <f t="shared" si="10"/>
        <v>0</v>
      </c>
      <c r="AH14" s="61"/>
      <c r="AI14" s="62"/>
      <c r="AJ14" s="60">
        <f t="shared" si="11"/>
        <v>0</v>
      </c>
      <c r="AK14" s="61"/>
      <c r="AL14" s="62"/>
      <c r="AM14" s="60">
        <f t="shared" si="12"/>
        <v>0</v>
      </c>
      <c r="AN14" s="61"/>
      <c r="AO14" s="62"/>
      <c r="AP14" s="58">
        <f t="shared" si="13"/>
        <v>185</v>
      </c>
      <c r="AQ14" s="7">
        <f t="shared" si="0"/>
        <v>9.2499999999999999E-2</v>
      </c>
    </row>
    <row r="15" spans="1:45" ht="18" customHeight="1" x14ac:dyDescent="0.2">
      <c r="A15" s="5"/>
      <c r="B15" s="11" t="s">
        <v>78</v>
      </c>
      <c r="C15" s="57">
        <v>853</v>
      </c>
      <c r="D15" s="58">
        <v>210</v>
      </c>
      <c r="E15" s="59">
        <v>840</v>
      </c>
      <c r="F15" s="60">
        <f>G15+H15</f>
        <v>155</v>
      </c>
      <c r="G15" s="61">
        <v>126</v>
      </c>
      <c r="H15" s="62">
        <v>29</v>
      </c>
      <c r="I15" s="60">
        <f>J15+K15</f>
        <v>127</v>
      </c>
      <c r="J15" s="61">
        <v>100</v>
      </c>
      <c r="K15" s="62">
        <v>27</v>
      </c>
      <c r="L15" s="60">
        <f t="shared" si="3"/>
        <v>29</v>
      </c>
      <c r="M15" s="61">
        <v>22</v>
      </c>
      <c r="N15" s="62">
        <v>7</v>
      </c>
      <c r="O15" s="60">
        <f t="shared" si="4"/>
        <v>21</v>
      </c>
      <c r="P15" s="61">
        <v>14</v>
      </c>
      <c r="Q15" s="62">
        <v>7</v>
      </c>
      <c r="R15" s="60">
        <f t="shared" si="5"/>
        <v>0</v>
      </c>
      <c r="S15" s="61"/>
      <c r="T15" s="62"/>
      <c r="U15" s="60">
        <f t="shared" si="6"/>
        <v>0</v>
      </c>
      <c r="V15" s="61"/>
      <c r="W15" s="62"/>
      <c r="X15" s="60">
        <f t="shared" si="7"/>
        <v>0</v>
      </c>
      <c r="Y15" s="61"/>
      <c r="Z15" s="62"/>
      <c r="AA15" s="60">
        <f t="shared" si="8"/>
        <v>0</v>
      </c>
      <c r="AB15" s="61"/>
      <c r="AC15" s="62"/>
      <c r="AD15" s="60">
        <f t="shared" si="9"/>
        <v>0</v>
      </c>
      <c r="AE15" s="61"/>
      <c r="AF15" s="62"/>
      <c r="AG15" s="60">
        <f t="shared" si="10"/>
        <v>0</v>
      </c>
      <c r="AH15" s="61"/>
      <c r="AI15" s="62"/>
      <c r="AJ15" s="60">
        <f t="shared" si="11"/>
        <v>0</v>
      </c>
      <c r="AK15" s="61"/>
      <c r="AL15" s="62"/>
      <c r="AM15" s="60">
        <f t="shared" si="12"/>
        <v>0</v>
      </c>
      <c r="AN15" s="61"/>
      <c r="AO15" s="62"/>
      <c r="AP15" s="58">
        <f t="shared" si="13"/>
        <v>184</v>
      </c>
      <c r="AQ15" s="7">
        <f t="shared" si="0"/>
        <v>0.21904761904761905</v>
      </c>
    </row>
    <row r="16" spans="1:45" ht="18" customHeight="1" x14ac:dyDescent="0.2">
      <c r="A16" s="5"/>
      <c r="B16" s="11" t="s">
        <v>79</v>
      </c>
      <c r="C16" s="57">
        <v>1852</v>
      </c>
      <c r="D16" s="58">
        <v>400</v>
      </c>
      <c r="E16" s="59">
        <v>2100</v>
      </c>
      <c r="F16" s="60">
        <f>G16+H16</f>
        <v>151</v>
      </c>
      <c r="G16" s="61">
        <v>67</v>
      </c>
      <c r="H16" s="62">
        <v>84</v>
      </c>
      <c r="I16" s="60">
        <f>J16+K16</f>
        <v>117</v>
      </c>
      <c r="J16" s="61">
        <v>55</v>
      </c>
      <c r="K16" s="62">
        <v>62</v>
      </c>
      <c r="L16" s="60">
        <f t="shared" si="3"/>
        <v>53</v>
      </c>
      <c r="M16" s="61">
        <v>21</v>
      </c>
      <c r="N16" s="62">
        <v>32</v>
      </c>
      <c r="O16" s="60">
        <f t="shared" si="4"/>
        <v>47</v>
      </c>
      <c r="P16" s="61">
        <v>17</v>
      </c>
      <c r="Q16" s="62">
        <v>30</v>
      </c>
      <c r="R16" s="60">
        <f t="shared" si="5"/>
        <v>0</v>
      </c>
      <c r="S16" s="61"/>
      <c r="T16" s="62"/>
      <c r="U16" s="60">
        <f t="shared" si="6"/>
        <v>0</v>
      </c>
      <c r="V16" s="61"/>
      <c r="W16" s="62"/>
      <c r="X16" s="60">
        <f t="shared" si="7"/>
        <v>0</v>
      </c>
      <c r="Y16" s="61"/>
      <c r="Z16" s="62"/>
      <c r="AA16" s="60">
        <f t="shared" si="8"/>
        <v>0</v>
      </c>
      <c r="AB16" s="61"/>
      <c r="AC16" s="62"/>
      <c r="AD16" s="60">
        <f t="shared" si="9"/>
        <v>0</v>
      </c>
      <c r="AE16" s="61"/>
      <c r="AF16" s="62"/>
      <c r="AG16" s="60">
        <f t="shared" si="10"/>
        <v>0</v>
      </c>
      <c r="AH16" s="61"/>
      <c r="AI16" s="62"/>
      <c r="AJ16" s="60">
        <f t="shared" si="11"/>
        <v>0</v>
      </c>
      <c r="AK16" s="61"/>
      <c r="AL16" s="62"/>
      <c r="AM16" s="60">
        <f t="shared" si="12"/>
        <v>0</v>
      </c>
      <c r="AN16" s="61"/>
      <c r="AO16" s="62"/>
      <c r="AP16" s="58">
        <f t="shared" si="13"/>
        <v>204</v>
      </c>
      <c r="AQ16" s="7">
        <f t="shared" si="0"/>
        <v>9.7142857142857142E-2</v>
      </c>
    </row>
    <row r="17" spans="1:43" ht="18" customHeight="1" x14ac:dyDescent="0.2">
      <c r="A17" s="5"/>
      <c r="B17" s="11" t="s">
        <v>80</v>
      </c>
      <c r="C17" s="57"/>
      <c r="D17" s="58"/>
      <c r="E17" s="59"/>
      <c r="F17" s="60">
        <v>0</v>
      </c>
      <c r="G17" s="61" t="s">
        <v>80</v>
      </c>
      <c r="H17" s="62" t="s">
        <v>80</v>
      </c>
      <c r="I17" s="60">
        <v>0</v>
      </c>
      <c r="J17" s="61" t="s">
        <v>80</v>
      </c>
      <c r="K17" s="62" t="s">
        <v>80</v>
      </c>
      <c r="L17" s="60">
        <f t="shared" si="3"/>
        <v>0</v>
      </c>
      <c r="M17" s="61"/>
      <c r="N17" s="62"/>
      <c r="O17" s="60">
        <v>0</v>
      </c>
      <c r="P17" s="61"/>
      <c r="Q17" s="62"/>
      <c r="R17" s="60">
        <f t="shared" si="5"/>
        <v>0</v>
      </c>
      <c r="S17" s="61"/>
      <c r="T17" s="62"/>
      <c r="U17" s="60">
        <f t="shared" si="6"/>
        <v>0</v>
      </c>
      <c r="V17" s="61"/>
      <c r="W17" s="62"/>
      <c r="X17" s="60">
        <f t="shared" si="7"/>
        <v>0</v>
      </c>
      <c r="Y17" s="61"/>
      <c r="Z17" s="62"/>
      <c r="AA17" s="60">
        <f t="shared" si="8"/>
        <v>0</v>
      </c>
      <c r="AB17" s="61"/>
      <c r="AC17" s="62"/>
      <c r="AD17" s="60">
        <f t="shared" si="9"/>
        <v>0</v>
      </c>
      <c r="AE17" s="61"/>
      <c r="AF17" s="62"/>
      <c r="AG17" s="60">
        <f t="shared" si="10"/>
        <v>0</v>
      </c>
      <c r="AH17" s="61"/>
      <c r="AI17" s="62"/>
      <c r="AJ17" s="60">
        <f t="shared" si="11"/>
        <v>0</v>
      </c>
      <c r="AK17" s="61"/>
      <c r="AL17" s="62"/>
      <c r="AM17" s="60">
        <f t="shared" si="12"/>
        <v>0</v>
      </c>
      <c r="AN17" s="61"/>
      <c r="AO17" s="62"/>
      <c r="AP17" s="58">
        <f t="shared" si="13"/>
        <v>0</v>
      </c>
      <c r="AQ17" s="7" t="e">
        <f t="shared" si="0"/>
        <v>#DIV/0!</v>
      </c>
    </row>
    <row r="18" spans="1:43" ht="18" customHeight="1" x14ac:dyDescent="0.2">
      <c r="A18" s="5"/>
      <c r="B18" s="11" t="s">
        <v>80</v>
      </c>
      <c r="C18" s="57"/>
      <c r="D18" s="58"/>
      <c r="E18" s="59"/>
      <c r="F18" s="60">
        <v>0</v>
      </c>
      <c r="G18" s="61" t="s">
        <v>80</v>
      </c>
      <c r="H18" s="62" t="s">
        <v>80</v>
      </c>
      <c r="I18" s="60">
        <v>0</v>
      </c>
      <c r="J18" s="61" t="s">
        <v>80</v>
      </c>
      <c r="K18" s="62" t="s">
        <v>80</v>
      </c>
      <c r="L18" s="60">
        <v>0</v>
      </c>
      <c r="M18" s="61"/>
      <c r="N18" s="62" t="s">
        <v>80</v>
      </c>
      <c r="O18" s="60">
        <f t="shared" si="4"/>
        <v>0</v>
      </c>
      <c r="P18" s="61"/>
      <c r="Q18" s="62"/>
      <c r="R18" s="60">
        <f t="shared" si="5"/>
        <v>0</v>
      </c>
      <c r="S18" s="61"/>
      <c r="T18" s="62"/>
      <c r="U18" s="60">
        <f t="shared" si="6"/>
        <v>0</v>
      </c>
      <c r="V18" s="61"/>
      <c r="W18" s="62"/>
      <c r="X18" s="60">
        <f t="shared" si="7"/>
        <v>0</v>
      </c>
      <c r="Y18" s="61"/>
      <c r="Z18" s="62"/>
      <c r="AA18" s="60">
        <f t="shared" si="8"/>
        <v>0</v>
      </c>
      <c r="AB18" s="61"/>
      <c r="AC18" s="62"/>
      <c r="AD18" s="60">
        <f t="shared" si="9"/>
        <v>0</v>
      </c>
      <c r="AE18" s="61"/>
      <c r="AF18" s="62"/>
      <c r="AG18" s="60">
        <f t="shared" si="10"/>
        <v>0</v>
      </c>
      <c r="AH18" s="61"/>
      <c r="AI18" s="62"/>
      <c r="AJ18" s="60">
        <f t="shared" si="11"/>
        <v>0</v>
      </c>
      <c r="AK18" s="61"/>
      <c r="AL18" s="62"/>
      <c r="AM18" s="60">
        <f t="shared" si="12"/>
        <v>0</v>
      </c>
      <c r="AN18" s="61"/>
      <c r="AO18" s="62"/>
      <c r="AP18" s="58">
        <f t="shared" si="13"/>
        <v>0</v>
      </c>
      <c r="AQ18" s="7" t="e">
        <f t="shared" si="0"/>
        <v>#DIV/0!</v>
      </c>
    </row>
    <row r="19" spans="1:43" ht="18" customHeight="1" x14ac:dyDescent="0.2">
      <c r="A19" s="5"/>
      <c r="B19" s="11" t="s">
        <v>80</v>
      </c>
      <c r="C19" s="57"/>
      <c r="D19" s="58"/>
      <c r="E19" s="59"/>
      <c r="F19" s="60">
        <v>0</v>
      </c>
      <c r="G19" s="61" t="s">
        <v>80</v>
      </c>
      <c r="H19" s="62" t="s">
        <v>80</v>
      </c>
      <c r="I19" s="60">
        <v>0</v>
      </c>
      <c r="J19" s="61" t="s">
        <v>80</v>
      </c>
      <c r="K19" s="62" t="s">
        <v>80</v>
      </c>
      <c r="L19" s="60">
        <f t="shared" si="3"/>
        <v>0</v>
      </c>
      <c r="M19" s="61"/>
      <c r="N19" s="62"/>
      <c r="O19" s="60">
        <f t="shared" si="4"/>
        <v>0</v>
      </c>
      <c r="P19" s="61"/>
      <c r="Q19" s="62"/>
      <c r="R19" s="60">
        <f t="shared" si="5"/>
        <v>0</v>
      </c>
      <c r="S19" s="61"/>
      <c r="T19" s="62"/>
      <c r="U19" s="60">
        <f t="shared" si="6"/>
        <v>0</v>
      </c>
      <c r="V19" s="61"/>
      <c r="W19" s="62"/>
      <c r="X19" s="60">
        <f t="shared" si="7"/>
        <v>0</v>
      </c>
      <c r="Y19" s="61"/>
      <c r="Z19" s="62"/>
      <c r="AA19" s="60">
        <f t="shared" si="8"/>
        <v>0</v>
      </c>
      <c r="AB19" s="61"/>
      <c r="AC19" s="62"/>
      <c r="AD19" s="60">
        <f t="shared" si="9"/>
        <v>0</v>
      </c>
      <c r="AE19" s="61"/>
      <c r="AF19" s="62"/>
      <c r="AG19" s="60">
        <f t="shared" si="10"/>
        <v>0</v>
      </c>
      <c r="AH19" s="61"/>
      <c r="AI19" s="62"/>
      <c r="AJ19" s="60">
        <f t="shared" si="11"/>
        <v>0</v>
      </c>
      <c r="AK19" s="61"/>
      <c r="AL19" s="62"/>
      <c r="AM19" s="60">
        <f t="shared" si="12"/>
        <v>0</v>
      </c>
      <c r="AN19" s="61"/>
      <c r="AO19" s="62"/>
      <c r="AP19" s="58">
        <f t="shared" si="13"/>
        <v>0</v>
      </c>
      <c r="AQ19" s="7" t="e">
        <f t="shared" si="0"/>
        <v>#DIV/0!</v>
      </c>
    </row>
    <row r="20" spans="1:43" ht="18" customHeight="1" x14ac:dyDescent="0.2">
      <c r="A20" s="5"/>
      <c r="B20" s="11"/>
      <c r="C20" s="57"/>
      <c r="D20" s="58"/>
      <c r="E20" s="59"/>
      <c r="F20" s="60">
        <f t="shared" si="1"/>
        <v>0</v>
      </c>
      <c r="G20" s="61"/>
      <c r="H20" s="62"/>
      <c r="I20" s="60">
        <f t="shared" si="2"/>
        <v>0</v>
      </c>
      <c r="J20" s="61"/>
      <c r="K20" s="62"/>
      <c r="L20" s="60">
        <f t="shared" si="3"/>
        <v>0</v>
      </c>
      <c r="M20" s="61"/>
      <c r="N20" s="62"/>
      <c r="O20" s="60">
        <f t="shared" si="4"/>
        <v>0</v>
      </c>
      <c r="P20" s="61"/>
      <c r="Q20" s="62"/>
      <c r="R20" s="60">
        <f t="shared" si="5"/>
        <v>0</v>
      </c>
      <c r="S20" s="61"/>
      <c r="T20" s="62"/>
      <c r="U20" s="60">
        <f t="shared" si="6"/>
        <v>0</v>
      </c>
      <c r="V20" s="61"/>
      <c r="W20" s="62"/>
      <c r="X20" s="60">
        <f t="shared" si="7"/>
        <v>0</v>
      </c>
      <c r="Y20" s="61"/>
      <c r="Z20" s="62"/>
      <c r="AA20" s="60">
        <f t="shared" si="8"/>
        <v>0</v>
      </c>
      <c r="AB20" s="61"/>
      <c r="AC20" s="62"/>
      <c r="AD20" s="60">
        <f t="shared" si="9"/>
        <v>0</v>
      </c>
      <c r="AE20" s="61"/>
      <c r="AF20" s="62"/>
      <c r="AG20" s="60">
        <f t="shared" si="10"/>
        <v>0</v>
      </c>
      <c r="AH20" s="61"/>
      <c r="AI20" s="62"/>
      <c r="AJ20" s="60">
        <f t="shared" si="11"/>
        <v>0</v>
      </c>
      <c r="AK20" s="61"/>
      <c r="AL20" s="62"/>
      <c r="AM20" s="60">
        <f t="shared" si="12"/>
        <v>0</v>
      </c>
      <c r="AN20" s="61"/>
      <c r="AO20" s="62"/>
      <c r="AP20" s="58">
        <f t="shared" si="13"/>
        <v>0</v>
      </c>
      <c r="AQ20" s="7" t="e">
        <f t="shared" si="0"/>
        <v>#DIV/0!</v>
      </c>
    </row>
    <row r="21" spans="1:43" ht="18" customHeight="1" x14ac:dyDescent="0.2">
      <c r="A21" s="5"/>
      <c r="B21" s="11"/>
      <c r="C21" s="57"/>
      <c r="D21" s="58"/>
      <c r="E21" s="59"/>
      <c r="F21" s="60">
        <f t="shared" si="1"/>
        <v>0</v>
      </c>
      <c r="G21" s="61"/>
      <c r="H21" s="62"/>
      <c r="I21" s="60">
        <f t="shared" si="2"/>
        <v>0</v>
      </c>
      <c r="J21" s="61"/>
      <c r="K21" s="62"/>
      <c r="L21" s="60">
        <f t="shared" si="3"/>
        <v>0</v>
      </c>
      <c r="M21" s="61"/>
      <c r="N21" s="62"/>
      <c r="O21" s="60">
        <f t="shared" si="4"/>
        <v>0</v>
      </c>
      <c r="P21" s="61"/>
      <c r="Q21" s="62"/>
      <c r="R21" s="60">
        <f t="shared" si="5"/>
        <v>0</v>
      </c>
      <c r="S21" s="61"/>
      <c r="T21" s="62"/>
      <c r="U21" s="60">
        <f t="shared" si="6"/>
        <v>0</v>
      </c>
      <c r="V21" s="61"/>
      <c r="W21" s="62"/>
      <c r="X21" s="60">
        <f t="shared" si="7"/>
        <v>0</v>
      </c>
      <c r="Y21" s="61"/>
      <c r="Z21" s="62"/>
      <c r="AA21" s="60">
        <f t="shared" si="8"/>
        <v>0</v>
      </c>
      <c r="AB21" s="61"/>
      <c r="AC21" s="62"/>
      <c r="AD21" s="60">
        <f t="shared" si="9"/>
        <v>0</v>
      </c>
      <c r="AE21" s="61"/>
      <c r="AF21" s="62"/>
      <c r="AG21" s="60">
        <f t="shared" si="10"/>
        <v>0</v>
      </c>
      <c r="AH21" s="61"/>
      <c r="AI21" s="62"/>
      <c r="AJ21" s="60">
        <f t="shared" si="11"/>
        <v>0</v>
      </c>
      <c r="AK21" s="61"/>
      <c r="AL21" s="62"/>
      <c r="AM21" s="60">
        <f t="shared" si="12"/>
        <v>0</v>
      </c>
      <c r="AN21" s="61"/>
      <c r="AO21" s="62"/>
      <c r="AP21" s="58">
        <f t="shared" si="13"/>
        <v>0</v>
      </c>
      <c r="AQ21" s="7" t="e">
        <f t="shared" si="0"/>
        <v>#DIV/0!</v>
      </c>
    </row>
    <row r="22" spans="1:43" ht="18" customHeight="1" x14ac:dyDescent="0.2">
      <c r="A22" s="5"/>
      <c r="B22" s="11"/>
      <c r="C22" s="57"/>
      <c r="D22" s="58"/>
      <c r="E22" s="59"/>
      <c r="F22" s="60">
        <f t="shared" si="1"/>
        <v>0</v>
      </c>
      <c r="G22" s="61"/>
      <c r="H22" s="62"/>
      <c r="I22" s="60">
        <f t="shared" si="2"/>
        <v>0</v>
      </c>
      <c r="J22" s="61"/>
      <c r="K22" s="62"/>
      <c r="L22" s="60">
        <f t="shared" si="3"/>
        <v>0</v>
      </c>
      <c r="M22" s="61"/>
      <c r="N22" s="62"/>
      <c r="O22" s="60">
        <f t="shared" si="4"/>
        <v>0</v>
      </c>
      <c r="P22" s="61"/>
      <c r="Q22" s="62"/>
      <c r="R22" s="60">
        <f t="shared" si="5"/>
        <v>0</v>
      </c>
      <c r="S22" s="61"/>
      <c r="T22" s="62"/>
      <c r="U22" s="60">
        <f t="shared" si="6"/>
        <v>0</v>
      </c>
      <c r="V22" s="61"/>
      <c r="W22" s="62"/>
      <c r="X22" s="60">
        <f t="shared" si="7"/>
        <v>0</v>
      </c>
      <c r="Y22" s="61"/>
      <c r="Z22" s="62"/>
      <c r="AA22" s="60">
        <f t="shared" si="8"/>
        <v>0</v>
      </c>
      <c r="AB22" s="61"/>
      <c r="AC22" s="62"/>
      <c r="AD22" s="60">
        <f t="shared" si="9"/>
        <v>0</v>
      </c>
      <c r="AE22" s="61"/>
      <c r="AF22" s="62"/>
      <c r="AG22" s="60">
        <f t="shared" si="10"/>
        <v>0</v>
      </c>
      <c r="AH22" s="61"/>
      <c r="AI22" s="62"/>
      <c r="AJ22" s="60">
        <f t="shared" si="11"/>
        <v>0</v>
      </c>
      <c r="AK22" s="61"/>
      <c r="AL22" s="62"/>
      <c r="AM22" s="60">
        <f t="shared" si="12"/>
        <v>0</v>
      </c>
      <c r="AN22" s="61"/>
      <c r="AO22" s="62"/>
      <c r="AP22" s="58">
        <f t="shared" si="13"/>
        <v>0</v>
      </c>
      <c r="AQ22" s="7" t="e">
        <f t="shared" si="0"/>
        <v>#DIV/0!</v>
      </c>
    </row>
    <row r="23" spans="1:43" ht="18" customHeight="1" x14ac:dyDescent="0.2">
      <c r="A23" s="5"/>
      <c r="B23" s="11"/>
      <c r="C23" s="57"/>
      <c r="D23" s="58"/>
      <c r="E23" s="59"/>
      <c r="F23" s="60">
        <f t="shared" si="1"/>
        <v>0</v>
      </c>
      <c r="G23" s="61"/>
      <c r="H23" s="62"/>
      <c r="I23" s="60">
        <v>0</v>
      </c>
      <c r="J23" s="61"/>
      <c r="K23" s="62"/>
      <c r="L23" s="60">
        <f t="shared" si="3"/>
        <v>0</v>
      </c>
      <c r="M23" s="61"/>
      <c r="N23" s="62"/>
      <c r="O23" s="60">
        <f t="shared" si="4"/>
        <v>0</v>
      </c>
      <c r="P23" s="61"/>
      <c r="Q23" s="62"/>
      <c r="R23" s="60">
        <f t="shared" si="5"/>
        <v>0</v>
      </c>
      <c r="S23" s="61"/>
      <c r="T23" s="62"/>
      <c r="U23" s="60">
        <f t="shared" si="6"/>
        <v>0</v>
      </c>
      <c r="V23" s="61"/>
      <c r="W23" s="62"/>
      <c r="X23" s="60">
        <f t="shared" si="7"/>
        <v>0</v>
      </c>
      <c r="Y23" s="61"/>
      <c r="Z23" s="62"/>
      <c r="AA23" s="60">
        <f t="shared" si="8"/>
        <v>0</v>
      </c>
      <c r="AB23" s="61"/>
      <c r="AC23" s="62"/>
      <c r="AD23" s="60">
        <f t="shared" si="9"/>
        <v>0</v>
      </c>
      <c r="AE23" s="61"/>
      <c r="AF23" s="62"/>
      <c r="AG23" s="60">
        <f t="shared" si="10"/>
        <v>0</v>
      </c>
      <c r="AH23" s="61"/>
      <c r="AI23" s="62"/>
      <c r="AJ23" s="60">
        <f t="shared" si="11"/>
        <v>0</v>
      </c>
      <c r="AK23" s="61"/>
      <c r="AL23" s="62"/>
      <c r="AM23" s="60">
        <f t="shared" si="12"/>
        <v>0</v>
      </c>
      <c r="AN23" s="61"/>
      <c r="AO23" s="62"/>
      <c r="AP23" s="58">
        <f t="shared" si="13"/>
        <v>0</v>
      </c>
      <c r="AQ23" s="7" t="e">
        <f t="shared" si="0"/>
        <v>#DIV/0!</v>
      </c>
    </row>
    <row r="24" spans="1:43" ht="18" customHeight="1" x14ac:dyDescent="0.2">
      <c r="A24" s="5"/>
      <c r="B24" s="11"/>
      <c r="C24" s="57"/>
      <c r="D24" s="58"/>
      <c r="E24" s="59"/>
      <c r="F24" s="60">
        <f t="shared" si="1"/>
        <v>0</v>
      </c>
      <c r="G24" s="61"/>
      <c r="H24" s="62"/>
      <c r="I24" s="60">
        <f t="shared" si="2"/>
        <v>0</v>
      </c>
      <c r="J24" s="61"/>
      <c r="K24" s="62"/>
      <c r="L24" s="60">
        <f t="shared" si="3"/>
        <v>0</v>
      </c>
      <c r="M24" s="61"/>
      <c r="N24" s="62"/>
      <c r="O24" s="60">
        <f t="shared" si="4"/>
        <v>0</v>
      </c>
      <c r="P24" s="61"/>
      <c r="Q24" s="62"/>
      <c r="R24" s="60">
        <f t="shared" si="5"/>
        <v>0</v>
      </c>
      <c r="S24" s="61"/>
      <c r="T24" s="62"/>
      <c r="U24" s="60">
        <f t="shared" si="6"/>
        <v>0</v>
      </c>
      <c r="V24" s="61"/>
      <c r="W24" s="62"/>
      <c r="X24" s="60">
        <f t="shared" si="7"/>
        <v>0</v>
      </c>
      <c r="Y24" s="61"/>
      <c r="Z24" s="62"/>
      <c r="AA24" s="60">
        <f t="shared" si="8"/>
        <v>0</v>
      </c>
      <c r="AB24" s="61"/>
      <c r="AC24" s="62"/>
      <c r="AD24" s="60">
        <f t="shared" si="9"/>
        <v>0</v>
      </c>
      <c r="AE24" s="61"/>
      <c r="AF24" s="62"/>
      <c r="AG24" s="60">
        <f t="shared" si="10"/>
        <v>0</v>
      </c>
      <c r="AH24" s="61"/>
      <c r="AI24" s="62"/>
      <c r="AJ24" s="60">
        <f t="shared" si="11"/>
        <v>0</v>
      </c>
      <c r="AK24" s="61"/>
      <c r="AL24" s="62"/>
      <c r="AM24" s="60">
        <f t="shared" si="12"/>
        <v>0</v>
      </c>
      <c r="AN24" s="61"/>
      <c r="AO24" s="62"/>
      <c r="AP24" s="58">
        <f t="shared" si="13"/>
        <v>0</v>
      </c>
      <c r="AQ24" s="7" t="e">
        <f t="shared" si="0"/>
        <v>#DIV/0!</v>
      </c>
    </row>
    <row r="25" spans="1:43" ht="18" customHeight="1" x14ac:dyDescent="0.2">
      <c r="A25" s="5"/>
      <c r="B25" s="11"/>
      <c r="C25" s="57"/>
      <c r="D25" s="58"/>
      <c r="E25" s="59"/>
      <c r="F25" s="60">
        <f t="shared" si="1"/>
        <v>0</v>
      </c>
      <c r="G25" s="61"/>
      <c r="H25" s="62"/>
      <c r="I25" s="60">
        <f t="shared" si="2"/>
        <v>0</v>
      </c>
      <c r="J25" s="61"/>
      <c r="K25" s="62"/>
      <c r="L25" s="60">
        <f t="shared" si="3"/>
        <v>0</v>
      </c>
      <c r="M25" s="61"/>
      <c r="N25" s="62"/>
      <c r="O25" s="60">
        <f t="shared" si="4"/>
        <v>0</v>
      </c>
      <c r="P25" s="61"/>
      <c r="Q25" s="62"/>
      <c r="R25" s="60">
        <f t="shared" si="5"/>
        <v>0</v>
      </c>
      <c r="S25" s="61"/>
      <c r="T25" s="62"/>
      <c r="U25" s="60">
        <f t="shared" si="6"/>
        <v>0</v>
      </c>
      <c r="V25" s="61"/>
      <c r="W25" s="62"/>
      <c r="X25" s="60">
        <f t="shared" si="7"/>
        <v>0</v>
      </c>
      <c r="Y25" s="61"/>
      <c r="Z25" s="62"/>
      <c r="AA25" s="60">
        <f t="shared" si="8"/>
        <v>0</v>
      </c>
      <c r="AB25" s="61"/>
      <c r="AC25" s="62"/>
      <c r="AD25" s="60">
        <f t="shared" si="9"/>
        <v>0</v>
      </c>
      <c r="AE25" s="61"/>
      <c r="AF25" s="62"/>
      <c r="AG25" s="60">
        <f t="shared" si="10"/>
        <v>0</v>
      </c>
      <c r="AH25" s="61"/>
      <c r="AI25" s="62"/>
      <c r="AJ25" s="60">
        <f t="shared" si="11"/>
        <v>0</v>
      </c>
      <c r="AK25" s="61"/>
      <c r="AL25" s="62"/>
      <c r="AM25" s="60">
        <f t="shared" si="12"/>
        <v>0</v>
      </c>
      <c r="AN25" s="61"/>
      <c r="AO25" s="62"/>
      <c r="AP25" s="58">
        <f t="shared" si="13"/>
        <v>0</v>
      </c>
      <c r="AQ25" s="7" t="e">
        <f t="shared" si="0"/>
        <v>#DIV/0!</v>
      </c>
    </row>
    <row r="26" spans="1:43" ht="18" customHeight="1" x14ac:dyDescent="0.2">
      <c r="A26" s="5"/>
      <c r="B26" s="11"/>
      <c r="C26" s="57"/>
      <c r="D26" s="58"/>
      <c r="E26" s="59"/>
      <c r="F26" s="60">
        <f t="shared" si="1"/>
        <v>0</v>
      </c>
      <c r="G26" s="61"/>
      <c r="H26" s="62"/>
      <c r="I26" s="60">
        <f t="shared" si="2"/>
        <v>0</v>
      </c>
      <c r="J26" s="61"/>
      <c r="K26" s="62"/>
      <c r="L26" s="60">
        <f t="shared" si="3"/>
        <v>0</v>
      </c>
      <c r="M26" s="61"/>
      <c r="N26" s="62"/>
      <c r="O26" s="60">
        <f t="shared" si="4"/>
        <v>0</v>
      </c>
      <c r="P26" s="61"/>
      <c r="Q26" s="62"/>
      <c r="R26" s="60">
        <f t="shared" si="5"/>
        <v>0</v>
      </c>
      <c r="S26" s="61"/>
      <c r="T26" s="62"/>
      <c r="U26" s="60">
        <f t="shared" si="6"/>
        <v>0</v>
      </c>
      <c r="V26" s="61"/>
      <c r="W26" s="62"/>
      <c r="X26" s="60">
        <f t="shared" si="7"/>
        <v>0</v>
      </c>
      <c r="Y26" s="61"/>
      <c r="Z26" s="62"/>
      <c r="AA26" s="60">
        <f t="shared" si="8"/>
        <v>0</v>
      </c>
      <c r="AB26" s="61"/>
      <c r="AC26" s="62"/>
      <c r="AD26" s="60">
        <f t="shared" si="9"/>
        <v>0</v>
      </c>
      <c r="AE26" s="61"/>
      <c r="AF26" s="62"/>
      <c r="AG26" s="60">
        <f t="shared" si="10"/>
        <v>0</v>
      </c>
      <c r="AH26" s="61"/>
      <c r="AI26" s="62"/>
      <c r="AJ26" s="60">
        <f t="shared" si="11"/>
        <v>0</v>
      </c>
      <c r="AK26" s="61"/>
      <c r="AL26" s="62"/>
      <c r="AM26" s="60">
        <f t="shared" si="12"/>
        <v>0</v>
      </c>
      <c r="AN26" s="61"/>
      <c r="AO26" s="62"/>
      <c r="AP26" s="58">
        <f t="shared" si="13"/>
        <v>0</v>
      </c>
      <c r="AQ26" s="7" t="e">
        <f t="shared" si="0"/>
        <v>#DIV/0!</v>
      </c>
    </row>
    <row r="27" spans="1:43" ht="18" customHeight="1" x14ac:dyDescent="0.2">
      <c r="A27" s="5"/>
      <c r="B27" s="11"/>
      <c r="C27" s="57"/>
      <c r="D27" s="58"/>
      <c r="E27" s="59"/>
      <c r="F27" s="60">
        <f t="shared" si="1"/>
        <v>0</v>
      </c>
      <c r="G27" s="61"/>
      <c r="H27" s="62"/>
      <c r="I27" s="60">
        <f t="shared" si="2"/>
        <v>0</v>
      </c>
      <c r="J27" s="61"/>
      <c r="K27" s="62"/>
      <c r="L27" s="60">
        <f t="shared" si="3"/>
        <v>0</v>
      </c>
      <c r="M27" s="61"/>
      <c r="N27" s="62"/>
      <c r="O27" s="60">
        <f t="shared" si="4"/>
        <v>0</v>
      </c>
      <c r="P27" s="61"/>
      <c r="Q27" s="62"/>
      <c r="R27" s="60">
        <f t="shared" si="5"/>
        <v>0</v>
      </c>
      <c r="S27" s="61"/>
      <c r="T27" s="62"/>
      <c r="U27" s="60">
        <f t="shared" si="6"/>
        <v>0</v>
      </c>
      <c r="V27" s="61"/>
      <c r="W27" s="62"/>
      <c r="X27" s="60">
        <f t="shared" si="7"/>
        <v>0</v>
      </c>
      <c r="Y27" s="61"/>
      <c r="Z27" s="62"/>
      <c r="AA27" s="60">
        <f t="shared" si="8"/>
        <v>0</v>
      </c>
      <c r="AB27" s="61"/>
      <c r="AC27" s="62"/>
      <c r="AD27" s="60">
        <f t="shared" si="9"/>
        <v>0</v>
      </c>
      <c r="AE27" s="61"/>
      <c r="AF27" s="62"/>
      <c r="AG27" s="60">
        <f t="shared" si="10"/>
        <v>0</v>
      </c>
      <c r="AH27" s="61"/>
      <c r="AI27" s="62"/>
      <c r="AJ27" s="60">
        <f t="shared" si="11"/>
        <v>0</v>
      </c>
      <c r="AK27" s="61"/>
      <c r="AL27" s="62"/>
      <c r="AM27" s="60">
        <f t="shared" si="12"/>
        <v>0</v>
      </c>
      <c r="AN27" s="61"/>
      <c r="AO27" s="62"/>
      <c r="AP27" s="58">
        <f t="shared" si="13"/>
        <v>0</v>
      </c>
      <c r="AQ27" s="7" t="e">
        <f t="shared" si="0"/>
        <v>#DIV/0!</v>
      </c>
    </row>
    <row r="28" spans="1:43" ht="18" customHeight="1" x14ac:dyDescent="0.2">
      <c r="A28" s="5"/>
      <c r="B28" s="11"/>
      <c r="C28" s="57"/>
      <c r="D28" s="58"/>
      <c r="E28" s="59"/>
      <c r="F28" s="60">
        <f t="shared" si="1"/>
        <v>0</v>
      </c>
      <c r="G28" s="61"/>
      <c r="H28" s="62"/>
      <c r="I28" s="60">
        <f t="shared" si="2"/>
        <v>0</v>
      </c>
      <c r="J28" s="61"/>
      <c r="K28" s="62"/>
      <c r="L28" s="60">
        <f t="shared" si="3"/>
        <v>0</v>
      </c>
      <c r="M28" s="61"/>
      <c r="N28" s="62"/>
      <c r="O28" s="60">
        <f t="shared" si="4"/>
        <v>0</v>
      </c>
      <c r="P28" s="61"/>
      <c r="Q28" s="62"/>
      <c r="R28" s="60">
        <f t="shared" si="5"/>
        <v>0</v>
      </c>
      <c r="S28" s="61"/>
      <c r="T28" s="62"/>
      <c r="U28" s="60">
        <f t="shared" si="6"/>
        <v>0</v>
      </c>
      <c r="V28" s="61"/>
      <c r="W28" s="62"/>
      <c r="X28" s="60">
        <f t="shared" si="7"/>
        <v>0</v>
      </c>
      <c r="Y28" s="61"/>
      <c r="Z28" s="62"/>
      <c r="AA28" s="60">
        <f t="shared" si="8"/>
        <v>0</v>
      </c>
      <c r="AB28" s="61"/>
      <c r="AC28" s="62"/>
      <c r="AD28" s="60">
        <f t="shared" si="9"/>
        <v>0</v>
      </c>
      <c r="AE28" s="61"/>
      <c r="AF28" s="62"/>
      <c r="AG28" s="60">
        <f t="shared" si="10"/>
        <v>0</v>
      </c>
      <c r="AH28" s="61"/>
      <c r="AI28" s="62"/>
      <c r="AJ28" s="60">
        <f t="shared" si="11"/>
        <v>0</v>
      </c>
      <c r="AK28" s="61"/>
      <c r="AL28" s="62"/>
      <c r="AM28" s="60">
        <f t="shared" si="12"/>
        <v>0</v>
      </c>
      <c r="AN28" s="61"/>
      <c r="AO28" s="62"/>
      <c r="AP28" s="58">
        <f t="shared" si="13"/>
        <v>0</v>
      </c>
      <c r="AQ28" s="7" t="e">
        <f t="shared" si="0"/>
        <v>#DIV/0!</v>
      </c>
    </row>
    <row r="29" spans="1:43" ht="18" customHeight="1" x14ac:dyDescent="0.2">
      <c r="A29" s="5"/>
      <c r="B29" s="11"/>
      <c r="C29" s="57"/>
      <c r="D29" s="63"/>
      <c r="E29" s="59"/>
      <c r="F29" s="60">
        <f t="shared" si="1"/>
        <v>0</v>
      </c>
      <c r="G29" s="61"/>
      <c r="H29" s="62"/>
      <c r="I29" s="60">
        <f t="shared" si="2"/>
        <v>0</v>
      </c>
      <c r="J29" s="61"/>
      <c r="K29" s="62"/>
      <c r="L29" s="60">
        <f t="shared" si="3"/>
        <v>0</v>
      </c>
      <c r="M29" s="61"/>
      <c r="N29" s="62"/>
      <c r="O29" s="60">
        <f t="shared" si="4"/>
        <v>0</v>
      </c>
      <c r="P29" s="61"/>
      <c r="Q29" s="62"/>
      <c r="R29" s="60">
        <f t="shared" si="5"/>
        <v>0</v>
      </c>
      <c r="S29" s="61"/>
      <c r="T29" s="62"/>
      <c r="U29" s="60">
        <f t="shared" si="6"/>
        <v>0</v>
      </c>
      <c r="V29" s="61"/>
      <c r="W29" s="62"/>
      <c r="X29" s="60">
        <f t="shared" si="7"/>
        <v>0</v>
      </c>
      <c r="Y29" s="61"/>
      <c r="Z29" s="62"/>
      <c r="AA29" s="60">
        <f t="shared" si="8"/>
        <v>0</v>
      </c>
      <c r="AB29" s="61"/>
      <c r="AC29" s="62"/>
      <c r="AD29" s="60">
        <f t="shared" si="9"/>
        <v>0</v>
      </c>
      <c r="AE29" s="61"/>
      <c r="AF29" s="62"/>
      <c r="AG29" s="60">
        <f t="shared" si="10"/>
        <v>0</v>
      </c>
      <c r="AH29" s="61"/>
      <c r="AI29" s="62"/>
      <c r="AJ29" s="60">
        <f t="shared" si="11"/>
        <v>0</v>
      </c>
      <c r="AK29" s="61"/>
      <c r="AL29" s="62"/>
      <c r="AM29" s="60">
        <f t="shared" si="12"/>
        <v>0</v>
      </c>
      <c r="AN29" s="61"/>
      <c r="AO29" s="62"/>
      <c r="AP29" s="63">
        <f t="shared" si="13"/>
        <v>0</v>
      </c>
      <c r="AQ29" s="7" t="e">
        <f t="shared" si="0"/>
        <v>#DIV/0!</v>
      </c>
    </row>
    <row r="30" spans="1:43" ht="18" customHeight="1" x14ac:dyDescent="0.2">
      <c r="A30" s="5"/>
      <c r="B30" s="11"/>
      <c r="C30" s="57"/>
      <c r="D30" s="63"/>
      <c r="E30" s="59"/>
      <c r="F30" s="60">
        <f t="shared" si="1"/>
        <v>0</v>
      </c>
      <c r="G30" s="61"/>
      <c r="H30" s="62"/>
      <c r="I30" s="60">
        <f t="shared" si="2"/>
        <v>0</v>
      </c>
      <c r="J30" s="61"/>
      <c r="K30" s="62"/>
      <c r="L30" s="60">
        <f t="shared" si="3"/>
        <v>0</v>
      </c>
      <c r="M30" s="61"/>
      <c r="N30" s="62"/>
      <c r="O30" s="60">
        <f t="shared" si="4"/>
        <v>0</v>
      </c>
      <c r="P30" s="61"/>
      <c r="Q30" s="62"/>
      <c r="R30" s="60">
        <f t="shared" si="5"/>
        <v>0</v>
      </c>
      <c r="S30" s="61"/>
      <c r="T30" s="62"/>
      <c r="U30" s="60">
        <f t="shared" si="6"/>
        <v>0</v>
      </c>
      <c r="V30" s="61"/>
      <c r="W30" s="62"/>
      <c r="X30" s="60">
        <f t="shared" si="7"/>
        <v>0</v>
      </c>
      <c r="Y30" s="61"/>
      <c r="Z30" s="62"/>
      <c r="AA30" s="60">
        <f t="shared" si="8"/>
        <v>0</v>
      </c>
      <c r="AB30" s="61"/>
      <c r="AC30" s="62"/>
      <c r="AD30" s="60">
        <f t="shared" si="9"/>
        <v>0</v>
      </c>
      <c r="AE30" s="61"/>
      <c r="AF30" s="62"/>
      <c r="AG30" s="60">
        <f t="shared" si="10"/>
        <v>0</v>
      </c>
      <c r="AH30" s="61"/>
      <c r="AI30" s="62"/>
      <c r="AJ30" s="60">
        <f t="shared" si="11"/>
        <v>0</v>
      </c>
      <c r="AK30" s="61"/>
      <c r="AL30" s="62"/>
      <c r="AM30" s="60">
        <f t="shared" si="12"/>
        <v>0</v>
      </c>
      <c r="AN30" s="61"/>
      <c r="AO30" s="62"/>
      <c r="AP30" s="63">
        <f t="shared" si="13"/>
        <v>0</v>
      </c>
      <c r="AQ30" s="7" t="e">
        <f t="shared" si="0"/>
        <v>#DIV/0!</v>
      </c>
    </row>
    <row r="31" spans="1:43" ht="18" customHeight="1" thickBot="1" x14ac:dyDescent="0.25">
      <c r="A31" s="5"/>
      <c r="B31" s="12"/>
      <c r="C31" s="52"/>
      <c r="D31" s="64"/>
      <c r="E31" s="54"/>
      <c r="F31" s="54">
        <f t="shared" si="1"/>
        <v>0</v>
      </c>
      <c r="G31" s="65"/>
      <c r="H31" s="66"/>
      <c r="I31" s="54">
        <f t="shared" si="2"/>
        <v>0</v>
      </c>
      <c r="J31" s="65"/>
      <c r="K31" s="66"/>
      <c r="L31" s="54">
        <f t="shared" si="3"/>
        <v>0</v>
      </c>
      <c r="M31" s="65"/>
      <c r="N31" s="66"/>
      <c r="O31" s="54">
        <f t="shared" si="4"/>
        <v>0</v>
      </c>
      <c r="P31" s="65"/>
      <c r="Q31" s="66"/>
      <c r="R31" s="54">
        <f t="shared" si="5"/>
        <v>0</v>
      </c>
      <c r="S31" s="65"/>
      <c r="T31" s="66"/>
      <c r="U31" s="54">
        <f t="shared" si="6"/>
        <v>0</v>
      </c>
      <c r="V31" s="65"/>
      <c r="W31" s="66"/>
      <c r="X31" s="54">
        <f t="shared" si="7"/>
        <v>0</v>
      </c>
      <c r="Y31" s="65"/>
      <c r="Z31" s="66"/>
      <c r="AA31" s="54">
        <f t="shared" si="8"/>
        <v>0</v>
      </c>
      <c r="AB31" s="65"/>
      <c r="AC31" s="66"/>
      <c r="AD31" s="54">
        <f t="shared" si="9"/>
        <v>0</v>
      </c>
      <c r="AE31" s="65"/>
      <c r="AF31" s="66"/>
      <c r="AG31" s="54">
        <f t="shared" si="10"/>
        <v>0</v>
      </c>
      <c r="AH31" s="65"/>
      <c r="AI31" s="66"/>
      <c r="AJ31" s="54">
        <f t="shared" si="11"/>
        <v>0</v>
      </c>
      <c r="AK31" s="65"/>
      <c r="AL31" s="66"/>
      <c r="AM31" s="54">
        <f t="shared" si="12"/>
        <v>0</v>
      </c>
      <c r="AN31" s="65"/>
      <c r="AO31" s="66"/>
      <c r="AP31" s="64">
        <f t="shared" si="13"/>
        <v>0</v>
      </c>
      <c r="AQ31" s="6" t="e">
        <f t="shared" si="0"/>
        <v>#DIV/0!</v>
      </c>
    </row>
    <row r="32" spans="1:43" ht="18" customHeight="1" thickTop="1" x14ac:dyDescent="0.2">
      <c r="B32" s="13" t="s">
        <v>81</v>
      </c>
      <c r="C32" s="67">
        <f t="shared" ref="C32" si="14">SUM(C12:C31)</f>
        <v>7139</v>
      </c>
      <c r="D32" s="68">
        <f t="shared" ref="D32:AP32" si="15">SUM(D12:D31)</f>
        <v>1660</v>
      </c>
      <c r="E32" s="69">
        <f t="shared" si="15"/>
        <v>7140</v>
      </c>
      <c r="F32" s="69">
        <f t="shared" si="15"/>
        <v>760</v>
      </c>
      <c r="G32" s="70">
        <f t="shared" si="15"/>
        <v>601</v>
      </c>
      <c r="H32" s="71">
        <f t="shared" si="15"/>
        <v>159</v>
      </c>
      <c r="I32" s="69">
        <f t="shared" ref="I32:N32" si="16">SUM(I12:I31)</f>
        <v>505</v>
      </c>
      <c r="J32" s="70">
        <f t="shared" si="16"/>
        <v>377</v>
      </c>
      <c r="K32" s="71">
        <f t="shared" si="16"/>
        <v>128</v>
      </c>
      <c r="L32" s="69">
        <f t="shared" si="16"/>
        <v>197</v>
      </c>
      <c r="M32" s="70">
        <f t="shared" si="16"/>
        <v>147</v>
      </c>
      <c r="N32" s="71">
        <f t="shared" si="16"/>
        <v>50</v>
      </c>
      <c r="O32" s="69">
        <f t="shared" ref="O32:T32" si="17">SUM(O12:O31)</f>
        <v>165</v>
      </c>
      <c r="P32" s="70">
        <f t="shared" si="17"/>
        <v>119</v>
      </c>
      <c r="Q32" s="71">
        <f t="shared" si="17"/>
        <v>46</v>
      </c>
      <c r="R32" s="69">
        <f t="shared" si="17"/>
        <v>0</v>
      </c>
      <c r="S32" s="70">
        <f t="shared" si="17"/>
        <v>0</v>
      </c>
      <c r="T32" s="71">
        <f t="shared" si="17"/>
        <v>0</v>
      </c>
      <c r="U32" s="69">
        <f t="shared" ref="U32:AI32" si="18">SUM(U12:U31)</f>
        <v>0</v>
      </c>
      <c r="V32" s="70">
        <f t="shared" si="18"/>
        <v>0</v>
      </c>
      <c r="W32" s="71">
        <f t="shared" si="18"/>
        <v>0</v>
      </c>
      <c r="X32" s="69">
        <f t="shared" si="18"/>
        <v>0</v>
      </c>
      <c r="Y32" s="70">
        <f t="shared" si="18"/>
        <v>0</v>
      </c>
      <c r="Z32" s="71">
        <f t="shared" si="18"/>
        <v>0</v>
      </c>
      <c r="AA32" s="69">
        <f t="shared" si="18"/>
        <v>0</v>
      </c>
      <c r="AB32" s="70">
        <f t="shared" si="18"/>
        <v>0</v>
      </c>
      <c r="AC32" s="71">
        <f t="shared" si="18"/>
        <v>0</v>
      </c>
      <c r="AD32" s="69">
        <f t="shared" si="18"/>
        <v>0</v>
      </c>
      <c r="AE32" s="70">
        <f t="shared" si="18"/>
        <v>0</v>
      </c>
      <c r="AF32" s="71">
        <f t="shared" si="18"/>
        <v>0</v>
      </c>
      <c r="AG32" s="69">
        <f t="shared" si="18"/>
        <v>0</v>
      </c>
      <c r="AH32" s="70">
        <f t="shared" si="18"/>
        <v>0</v>
      </c>
      <c r="AI32" s="71">
        <f t="shared" si="18"/>
        <v>0</v>
      </c>
      <c r="AJ32" s="69">
        <f t="shared" ref="AJ32:AO32" si="19">SUM(AJ12:AJ31)</f>
        <v>0</v>
      </c>
      <c r="AK32" s="70">
        <f t="shared" si="19"/>
        <v>0</v>
      </c>
      <c r="AL32" s="71">
        <f t="shared" si="19"/>
        <v>0</v>
      </c>
      <c r="AM32" s="69">
        <f t="shared" si="19"/>
        <v>0</v>
      </c>
      <c r="AN32" s="70">
        <f t="shared" si="19"/>
        <v>0</v>
      </c>
      <c r="AO32" s="71">
        <f t="shared" si="19"/>
        <v>0</v>
      </c>
      <c r="AP32" s="68">
        <f t="shared" si="15"/>
        <v>957</v>
      </c>
      <c r="AQ32" s="8">
        <f t="shared" si="0"/>
        <v>0.13403361344537815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0"/>
  <sheetViews>
    <sheetView showZeros="0" view="pageBreakPreview" topLeftCell="A99" zoomScale="132" zoomScaleNormal="100" zoomScaleSheetLayoutView="132" workbookViewId="0">
      <selection activeCell="B104" sqref="B104:I115"/>
    </sheetView>
  </sheetViews>
  <sheetFormatPr defaultColWidth="11.33203125" defaultRowHeight="18.75" customHeight="1" x14ac:dyDescent="0.2"/>
  <cols>
    <col min="1" max="1" width="2.77734375" style="36"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6" t="s">
        <v>82</v>
      </c>
      <c r="I1" s="73" t="s">
        <v>83</v>
      </c>
    </row>
    <row r="2" spans="1:9" ht="18.75" customHeight="1" x14ac:dyDescent="0.2">
      <c r="G2" s="73" t="s">
        <v>2</v>
      </c>
      <c r="H2" s="98" t="str">
        <f>'様式１　プログラムを構成する授業科目'!C2</f>
        <v>城西大学</v>
      </c>
      <c r="I2" s="100"/>
    </row>
    <row r="3" spans="1:9" ht="18.75" customHeight="1" x14ac:dyDescent="0.2">
      <c r="G3" s="73"/>
      <c r="H3" s="9"/>
      <c r="I3" s="9"/>
    </row>
    <row r="4" spans="1:9" ht="18.600000000000001" customHeight="1" x14ac:dyDescent="0.2">
      <c r="A4" s="109" t="s">
        <v>84</v>
      </c>
      <c r="B4" s="109"/>
      <c r="C4" s="109"/>
      <c r="D4" s="109"/>
      <c r="E4" s="109"/>
      <c r="F4" s="109"/>
      <c r="G4" s="109"/>
      <c r="H4" s="109"/>
      <c r="I4" s="109"/>
    </row>
    <row r="5" spans="1:9" ht="13.2" customHeight="1" x14ac:dyDescent="0.2">
      <c r="B5" s="3"/>
      <c r="C5" s="3"/>
      <c r="D5" s="3"/>
      <c r="E5" s="3"/>
      <c r="F5" s="3"/>
      <c r="G5" s="3"/>
      <c r="H5" s="3"/>
      <c r="I5" s="3"/>
    </row>
    <row r="6" spans="1:9" ht="18" customHeight="1" x14ac:dyDescent="0.2">
      <c r="A6" s="1" t="s">
        <v>85</v>
      </c>
      <c r="B6" s="9" t="s">
        <v>86</v>
      </c>
      <c r="C6" s="237" t="s">
        <v>87</v>
      </c>
      <c r="D6" s="237"/>
      <c r="E6" s="75">
        <v>226</v>
      </c>
      <c r="F6" s="3" t="s">
        <v>88</v>
      </c>
      <c r="G6" s="3" t="s">
        <v>89</v>
      </c>
      <c r="H6" s="75">
        <v>219</v>
      </c>
      <c r="I6" s="9" t="s">
        <v>88</v>
      </c>
    </row>
    <row r="7" spans="1:9" ht="12" customHeight="1" x14ac:dyDescent="0.2">
      <c r="C7" s="2"/>
      <c r="D7" s="2"/>
      <c r="E7" s="2"/>
      <c r="F7" s="2"/>
      <c r="G7" s="2"/>
      <c r="H7" s="2"/>
      <c r="I7" s="37"/>
    </row>
    <row r="8" spans="1:9" ht="18" customHeight="1" x14ac:dyDescent="0.2">
      <c r="A8" s="1" t="s">
        <v>90</v>
      </c>
      <c r="B8" s="9" t="s">
        <v>91</v>
      </c>
      <c r="E8" s="3"/>
      <c r="F8" s="3"/>
      <c r="G8" s="3"/>
      <c r="H8" s="75">
        <v>2</v>
      </c>
      <c r="I8" s="9" t="s">
        <v>88</v>
      </c>
    </row>
    <row r="9" spans="1:9" ht="9" customHeight="1" x14ac:dyDescent="0.2">
      <c r="B9" s="3"/>
      <c r="C9" s="3"/>
      <c r="D9" s="3"/>
      <c r="E9" s="3"/>
      <c r="F9" s="3"/>
      <c r="G9" s="3"/>
      <c r="H9" s="3"/>
      <c r="I9" s="3"/>
    </row>
    <row r="10" spans="1:9" ht="18" customHeight="1" x14ac:dyDescent="0.2">
      <c r="A10" s="1" t="s">
        <v>92</v>
      </c>
      <c r="B10" s="9" t="s">
        <v>93</v>
      </c>
      <c r="C10" s="3"/>
      <c r="D10" s="3"/>
      <c r="E10" s="3"/>
      <c r="F10" s="3"/>
      <c r="G10" s="3"/>
      <c r="H10" s="3"/>
      <c r="I10" s="3"/>
    </row>
    <row r="11" spans="1:9" ht="18" customHeight="1" x14ac:dyDescent="0.2">
      <c r="B11" s="73" t="s">
        <v>94</v>
      </c>
      <c r="C11" s="230" t="s">
        <v>95</v>
      </c>
      <c r="D11" s="233"/>
      <c r="E11" s="234"/>
      <c r="F11" s="37"/>
      <c r="G11" s="73" t="s">
        <v>96</v>
      </c>
      <c r="H11" s="235" t="s">
        <v>159</v>
      </c>
      <c r="I11" s="234"/>
    </row>
    <row r="12" spans="1:9" ht="10.199999999999999" customHeight="1" x14ac:dyDescent="0.2">
      <c r="B12" s="73"/>
      <c r="C12" s="9"/>
      <c r="D12" s="37"/>
      <c r="E12" s="37"/>
      <c r="F12" s="37"/>
      <c r="G12" s="73"/>
      <c r="H12" s="9"/>
      <c r="I12" s="37"/>
    </row>
    <row r="13" spans="1:9" ht="18" customHeight="1" x14ac:dyDescent="0.2">
      <c r="A13" s="1" t="s">
        <v>97</v>
      </c>
      <c r="B13" s="9" t="s">
        <v>98</v>
      </c>
      <c r="C13" s="3"/>
      <c r="D13" s="3"/>
      <c r="E13" s="3"/>
      <c r="F13" s="3"/>
      <c r="G13" s="3"/>
      <c r="H13" s="3"/>
      <c r="I13" s="3"/>
    </row>
    <row r="14" spans="1:9" ht="18" customHeight="1" x14ac:dyDescent="0.2">
      <c r="B14" s="230" t="s">
        <v>99</v>
      </c>
      <c r="C14" s="231"/>
      <c r="D14" s="231"/>
      <c r="E14" s="231"/>
      <c r="F14" s="231"/>
      <c r="G14" s="231"/>
      <c r="H14" s="231"/>
      <c r="I14" s="232"/>
    </row>
    <row r="15" spans="1:9" ht="9" customHeight="1" x14ac:dyDescent="0.2">
      <c r="B15" s="3"/>
      <c r="C15" s="3"/>
      <c r="D15" s="3"/>
      <c r="E15" s="3"/>
      <c r="F15" s="3"/>
      <c r="G15" s="3"/>
      <c r="H15" s="3"/>
      <c r="I15" s="3"/>
    </row>
    <row r="16" spans="1:9" ht="18" customHeight="1" x14ac:dyDescent="0.2">
      <c r="B16" s="73" t="s">
        <v>94</v>
      </c>
      <c r="C16" s="230" t="s">
        <v>95</v>
      </c>
      <c r="D16" s="233"/>
      <c r="E16" s="234"/>
      <c r="F16" s="37"/>
      <c r="G16" s="73" t="s">
        <v>96</v>
      </c>
      <c r="H16" s="235" t="s">
        <v>100</v>
      </c>
      <c r="I16" s="236"/>
    </row>
    <row r="17" spans="1:9" ht="18" customHeight="1" x14ac:dyDescent="0.2">
      <c r="B17" s="3"/>
      <c r="C17" s="3"/>
      <c r="D17" s="3"/>
      <c r="E17" s="3"/>
      <c r="F17" s="3"/>
      <c r="G17" s="3"/>
      <c r="H17" s="3"/>
      <c r="I17" s="3"/>
    </row>
    <row r="18" spans="1:9" ht="18.75" customHeight="1" x14ac:dyDescent="0.2">
      <c r="A18" s="1" t="s">
        <v>101</v>
      </c>
      <c r="B18" s="1" t="s">
        <v>102</v>
      </c>
      <c r="I18" s="3"/>
    </row>
    <row r="19" spans="1:9" ht="18.75" customHeight="1" x14ac:dyDescent="0.2">
      <c r="A19" s="1"/>
      <c r="B19" s="220" t="s">
        <v>103</v>
      </c>
      <c r="C19" s="221"/>
      <c r="D19" s="221"/>
      <c r="E19" s="221"/>
      <c r="F19" s="221"/>
      <c r="G19" s="221"/>
      <c r="H19" s="221"/>
      <c r="I19" s="222"/>
    </row>
    <row r="20" spans="1:9" ht="7.5" customHeight="1" x14ac:dyDescent="0.2">
      <c r="B20" s="3"/>
      <c r="C20" s="3"/>
      <c r="D20" s="3"/>
      <c r="E20" s="3"/>
      <c r="F20" s="3"/>
      <c r="G20" s="3"/>
      <c r="H20" s="3"/>
      <c r="I20" s="3"/>
    </row>
    <row r="21" spans="1:9" ht="18.75" customHeight="1" x14ac:dyDescent="0.2">
      <c r="A21" s="1" t="s">
        <v>104</v>
      </c>
      <c r="B21" s="1" t="s">
        <v>105</v>
      </c>
    </row>
    <row r="22" spans="1:9" ht="18.75" customHeight="1" x14ac:dyDescent="0.2">
      <c r="A22" s="76"/>
      <c r="B22" s="210" t="s">
        <v>160</v>
      </c>
      <c r="C22" s="211"/>
      <c r="D22" s="211"/>
      <c r="E22" s="211"/>
      <c r="F22" s="211"/>
      <c r="G22" s="211"/>
      <c r="H22" s="211"/>
      <c r="I22" s="212"/>
    </row>
    <row r="23" spans="1:9" ht="18.75" customHeight="1" x14ac:dyDescent="0.2">
      <c r="A23" s="76"/>
      <c r="B23" s="223"/>
      <c r="C23" s="224"/>
      <c r="D23" s="224"/>
      <c r="E23" s="224"/>
      <c r="F23" s="224"/>
      <c r="G23" s="224"/>
      <c r="H23" s="224"/>
      <c r="I23" s="215"/>
    </row>
    <row r="24" spans="1:9" ht="18.75" customHeight="1" x14ac:dyDescent="0.2">
      <c r="A24" s="76"/>
      <c r="B24" s="223"/>
      <c r="C24" s="224"/>
      <c r="D24" s="224"/>
      <c r="E24" s="224"/>
      <c r="F24" s="224"/>
      <c r="G24" s="224"/>
      <c r="H24" s="224"/>
      <c r="I24" s="215"/>
    </row>
    <row r="25" spans="1:9" ht="18.75" customHeight="1" x14ac:dyDescent="0.2">
      <c r="A25" s="76"/>
      <c r="B25" s="223"/>
      <c r="C25" s="224"/>
      <c r="D25" s="224"/>
      <c r="E25" s="224"/>
      <c r="F25" s="224"/>
      <c r="G25" s="224"/>
      <c r="H25" s="224"/>
      <c r="I25" s="215"/>
    </row>
    <row r="26" spans="1:9" ht="18.75" customHeight="1" x14ac:dyDescent="0.2">
      <c r="A26" s="76"/>
      <c r="B26" s="223"/>
      <c r="C26" s="224"/>
      <c r="D26" s="224"/>
      <c r="E26" s="224"/>
      <c r="F26" s="224"/>
      <c r="G26" s="224"/>
      <c r="H26" s="224"/>
      <c r="I26" s="215"/>
    </row>
    <row r="27" spans="1:9" ht="18.75" customHeight="1" x14ac:dyDescent="0.2">
      <c r="A27" s="76"/>
      <c r="B27" s="223"/>
      <c r="C27" s="224"/>
      <c r="D27" s="224"/>
      <c r="E27" s="224"/>
      <c r="F27" s="224"/>
      <c r="G27" s="224"/>
      <c r="H27" s="224"/>
      <c r="I27" s="215"/>
    </row>
    <row r="28" spans="1:9" ht="16.2" customHeight="1" x14ac:dyDescent="0.2">
      <c r="A28" s="76"/>
      <c r="B28" s="225"/>
      <c r="C28" s="226"/>
      <c r="D28" s="226"/>
      <c r="E28" s="226"/>
      <c r="F28" s="226"/>
      <c r="G28" s="226"/>
      <c r="H28" s="226"/>
      <c r="I28" s="218"/>
    </row>
    <row r="29" spans="1:9" ht="11.4" customHeight="1" x14ac:dyDescent="0.2">
      <c r="A29" s="76"/>
      <c r="B29" s="76"/>
      <c r="C29" s="76"/>
      <c r="D29" s="76"/>
      <c r="E29" s="76"/>
      <c r="F29" s="76"/>
      <c r="G29" s="76"/>
      <c r="H29" s="76"/>
      <c r="I29" s="76"/>
    </row>
    <row r="30" spans="1:9" ht="15.6" customHeight="1" x14ac:dyDescent="0.2">
      <c r="A30" s="72" t="s">
        <v>106</v>
      </c>
      <c r="B30" s="72" t="s">
        <v>107</v>
      </c>
      <c r="C30" s="9"/>
      <c r="D30" s="72"/>
      <c r="E30" s="72"/>
      <c r="F30" s="72"/>
      <c r="G30" s="72"/>
      <c r="H30" s="72"/>
      <c r="I30" s="72"/>
    </row>
    <row r="31" spans="1:9" ht="18.75" customHeight="1" x14ac:dyDescent="0.2">
      <c r="A31" s="76"/>
      <c r="B31" s="210" t="s">
        <v>168</v>
      </c>
      <c r="C31" s="211"/>
      <c r="D31" s="211"/>
      <c r="E31" s="211"/>
      <c r="F31" s="211"/>
      <c r="G31" s="211"/>
      <c r="H31" s="211"/>
      <c r="I31" s="212"/>
    </row>
    <row r="32" spans="1:9" ht="18.75" customHeight="1" x14ac:dyDescent="0.2">
      <c r="A32" s="76"/>
      <c r="B32" s="213"/>
      <c r="C32" s="214"/>
      <c r="D32" s="214"/>
      <c r="E32" s="214"/>
      <c r="F32" s="214"/>
      <c r="G32" s="214"/>
      <c r="H32" s="214"/>
      <c r="I32" s="215"/>
    </row>
    <row r="33" spans="1:15" ht="18.75" customHeight="1" x14ac:dyDescent="0.2">
      <c r="A33" s="76"/>
      <c r="B33" s="213"/>
      <c r="C33" s="214"/>
      <c r="D33" s="214"/>
      <c r="E33" s="214"/>
      <c r="F33" s="214"/>
      <c r="G33" s="214"/>
      <c r="H33" s="214"/>
      <c r="I33" s="215"/>
    </row>
    <row r="34" spans="1:15" ht="18.75" customHeight="1" x14ac:dyDescent="0.2">
      <c r="A34" s="76"/>
      <c r="B34" s="213"/>
      <c r="C34" s="214"/>
      <c r="D34" s="214"/>
      <c r="E34" s="214"/>
      <c r="F34" s="214"/>
      <c r="G34" s="214"/>
      <c r="H34" s="214"/>
      <c r="I34" s="215"/>
    </row>
    <row r="35" spans="1:15" ht="18.75" customHeight="1" x14ac:dyDescent="0.2">
      <c r="A35" s="76"/>
      <c r="B35" s="213"/>
      <c r="C35" s="214"/>
      <c r="D35" s="214"/>
      <c r="E35" s="214"/>
      <c r="F35" s="214"/>
      <c r="G35" s="214"/>
      <c r="H35" s="214"/>
      <c r="I35" s="215"/>
    </row>
    <row r="36" spans="1:15" ht="18.75" customHeight="1" x14ac:dyDescent="0.2">
      <c r="A36" s="76"/>
      <c r="B36" s="213"/>
      <c r="C36" s="214"/>
      <c r="D36" s="214"/>
      <c r="E36" s="214"/>
      <c r="F36" s="214"/>
      <c r="G36" s="214"/>
      <c r="H36" s="214"/>
      <c r="I36" s="215"/>
    </row>
    <row r="37" spans="1:15" ht="18.75" customHeight="1" x14ac:dyDescent="0.2">
      <c r="A37" s="76"/>
      <c r="B37" s="213"/>
      <c r="C37" s="214"/>
      <c r="D37" s="214"/>
      <c r="E37" s="214"/>
      <c r="F37" s="214"/>
      <c r="G37" s="214"/>
      <c r="H37" s="214"/>
      <c r="I37" s="215"/>
    </row>
    <row r="38" spans="1:15" ht="18.75" customHeight="1" x14ac:dyDescent="0.2">
      <c r="A38" s="76"/>
      <c r="B38" s="213"/>
      <c r="C38" s="214"/>
      <c r="D38" s="214"/>
      <c r="E38" s="214"/>
      <c r="F38" s="214"/>
      <c r="G38" s="214"/>
      <c r="H38" s="214"/>
      <c r="I38" s="215"/>
    </row>
    <row r="39" spans="1:15" ht="18.75" customHeight="1" x14ac:dyDescent="0.2">
      <c r="A39" s="76"/>
      <c r="B39" s="213"/>
      <c r="C39" s="214"/>
      <c r="D39" s="214"/>
      <c r="E39" s="214"/>
      <c r="F39" s="214"/>
      <c r="G39" s="214"/>
      <c r="H39" s="214"/>
      <c r="I39" s="215"/>
    </row>
    <row r="40" spans="1:15" ht="18.75" customHeight="1" x14ac:dyDescent="0.2">
      <c r="A40" s="76"/>
      <c r="B40" s="213"/>
      <c r="C40" s="214"/>
      <c r="D40" s="214"/>
      <c r="E40" s="214"/>
      <c r="F40" s="214"/>
      <c r="G40" s="214"/>
      <c r="H40" s="214"/>
      <c r="I40" s="215"/>
    </row>
    <row r="41" spans="1:15" ht="18.75" customHeight="1" x14ac:dyDescent="0.2">
      <c r="A41" s="76"/>
      <c r="B41" s="213"/>
      <c r="C41" s="214"/>
      <c r="D41" s="214"/>
      <c r="E41" s="214"/>
      <c r="F41" s="214"/>
      <c r="G41" s="214"/>
      <c r="H41" s="214"/>
      <c r="I41" s="215"/>
    </row>
    <row r="42" spans="1:15" ht="18.75" customHeight="1" x14ac:dyDescent="0.2">
      <c r="A42" s="76"/>
      <c r="B42" s="216"/>
      <c r="C42" s="217"/>
      <c r="D42" s="217"/>
      <c r="E42" s="217"/>
      <c r="F42" s="217"/>
      <c r="G42" s="217"/>
      <c r="H42" s="217"/>
      <c r="I42" s="218"/>
    </row>
    <row r="43" spans="1:15" ht="7.5" customHeight="1" x14ac:dyDescent="0.2">
      <c r="A43" s="4"/>
      <c r="B43" s="4"/>
      <c r="C43" s="4"/>
      <c r="D43" s="4"/>
      <c r="E43" s="4"/>
      <c r="F43" s="4"/>
      <c r="G43" s="4"/>
      <c r="H43" s="4"/>
      <c r="I43" s="4"/>
    </row>
    <row r="44" spans="1:15" ht="18.75" customHeight="1" x14ac:dyDescent="0.2">
      <c r="A44" s="1" t="s">
        <v>108</v>
      </c>
      <c r="B44" s="1" t="s">
        <v>109</v>
      </c>
    </row>
    <row r="45" spans="1:15" s="78" customFormat="1" ht="18.75" customHeight="1" x14ac:dyDescent="0.2">
      <c r="B45" s="79" t="s">
        <v>110</v>
      </c>
      <c r="C45" s="199">
        <f>'様式２ 履修者等数の実績'!AQ32</f>
        <v>0.13403361344537815</v>
      </c>
      <c r="D45" s="199"/>
      <c r="E45" s="79" t="s">
        <v>111</v>
      </c>
      <c r="F45" s="199">
        <v>0.2</v>
      </c>
      <c r="G45" s="199"/>
      <c r="H45" s="79" t="s">
        <v>112</v>
      </c>
      <c r="I45" s="80">
        <v>0.3</v>
      </c>
      <c r="J45" s="81"/>
      <c r="M45" s="81"/>
      <c r="N45" s="82"/>
    </row>
    <row r="46" spans="1:15" s="78" customFormat="1" ht="18.75" customHeight="1" x14ac:dyDescent="0.2">
      <c r="B46" s="83" t="s">
        <v>113</v>
      </c>
      <c r="C46" s="200">
        <v>0.38</v>
      </c>
      <c r="D46" s="200"/>
      <c r="E46" s="83" t="s">
        <v>114</v>
      </c>
      <c r="F46" s="200">
        <v>0.45</v>
      </c>
      <c r="G46" s="200"/>
      <c r="H46" s="83" t="s">
        <v>115</v>
      </c>
      <c r="I46" s="84">
        <f>'様式２ 履修者等数の実績'!E32</f>
        <v>7140</v>
      </c>
      <c r="J46" s="81"/>
      <c r="M46" s="81"/>
      <c r="N46" s="82"/>
    </row>
    <row r="47" spans="1:15" s="81" customFormat="1" ht="18.75" customHeight="1" x14ac:dyDescent="0.2">
      <c r="B47" s="227" t="s">
        <v>116</v>
      </c>
      <c r="C47" s="228"/>
      <c r="D47" s="228"/>
      <c r="E47" s="228"/>
      <c r="F47" s="228"/>
      <c r="G47" s="228"/>
      <c r="H47" s="228"/>
      <c r="I47" s="229"/>
      <c r="N47" s="82"/>
      <c r="O47" s="78"/>
    </row>
    <row r="48" spans="1:15" s="81" customFormat="1" ht="18.75" customHeight="1" x14ac:dyDescent="0.2">
      <c r="B48" s="201" t="s">
        <v>147</v>
      </c>
      <c r="C48" s="202"/>
      <c r="D48" s="202"/>
      <c r="E48" s="202"/>
      <c r="F48" s="202"/>
      <c r="G48" s="202"/>
      <c r="H48" s="202"/>
      <c r="I48" s="203"/>
      <c r="N48" s="82"/>
      <c r="O48" s="78"/>
    </row>
    <row r="49" spans="1:15" s="81" customFormat="1" ht="18.75" customHeight="1" x14ac:dyDescent="0.2">
      <c r="B49" s="204"/>
      <c r="C49" s="205"/>
      <c r="D49" s="205"/>
      <c r="E49" s="205"/>
      <c r="F49" s="205"/>
      <c r="G49" s="205"/>
      <c r="H49" s="205"/>
      <c r="I49" s="206"/>
      <c r="N49" s="82"/>
      <c r="O49" s="78"/>
    </row>
    <row r="50" spans="1:15" s="81" customFormat="1" ht="18.75" customHeight="1" x14ac:dyDescent="0.2">
      <c r="B50" s="204"/>
      <c r="C50" s="205"/>
      <c r="D50" s="205"/>
      <c r="E50" s="205"/>
      <c r="F50" s="205"/>
      <c r="G50" s="205"/>
      <c r="H50" s="205"/>
      <c r="I50" s="206"/>
    </row>
    <row r="51" spans="1:15" s="81" customFormat="1" ht="18.75" customHeight="1" x14ac:dyDescent="0.2">
      <c r="B51" s="204"/>
      <c r="C51" s="205"/>
      <c r="D51" s="205"/>
      <c r="E51" s="205"/>
      <c r="F51" s="205"/>
      <c r="G51" s="205"/>
      <c r="H51" s="205"/>
      <c r="I51" s="206"/>
    </row>
    <row r="52" spans="1:15" s="81" customFormat="1" ht="18.75" customHeight="1" x14ac:dyDescent="0.2">
      <c r="B52" s="204"/>
      <c r="C52" s="205"/>
      <c r="D52" s="205"/>
      <c r="E52" s="205"/>
      <c r="F52" s="205"/>
      <c r="G52" s="205"/>
      <c r="H52" s="205"/>
      <c r="I52" s="206"/>
    </row>
    <row r="53" spans="1:15" s="81" customFormat="1" ht="18.75" customHeight="1" x14ac:dyDescent="0.2">
      <c r="B53" s="204"/>
      <c r="C53" s="205"/>
      <c r="D53" s="205"/>
      <c r="E53" s="205"/>
      <c r="F53" s="205"/>
      <c r="G53" s="205"/>
      <c r="H53" s="205"/>
      <c r="I53" s="206"/>
    </row>
    <row r="54" spans="1:15" s="81" customFormat="1" ht="18.75" customHeight="1" x14ac:dyDescent="0.2">
      <c r="B54" s="204"/>
      <c r="C54" s="205"/>
      <c r="D54" s="205"/>
      <c r="E54" s="205"/>
      <c r="F54" s="205"/>
      <c r="G54" s="205"/>
      <c r="H54" s="205"/>
      <c r="I54" s="206"/>
    </row>
    <row r="55" spans="1:15" s="81" customFormat="1" ht="18.75" customHeight="1" x14ac:dyDescent="0.2">
      <c r="B55" s="204"/>
      <c r="C55" s="205"/>
      <c r="D55" s="205"/>
      <c r="E55" s="205"/>
      <c r="F55" s="205"/>
      <c r="G55" s="205"/>
      <c r="H55" s="205"/>
      <c r="I55" s="206"/>
    </row>
    <row r="56" spans="1:15" s="81" customFormat="1" ht="18.75" customHeight="1" x14ac:dyDescent="0.2">
      <c r="B56" s="204"/>
      <c r="C56" s="205"/>
      <c r="D56" s="205"/>
      <c r="E56" s="205"/>
      <c r="F56" s="205"/>
      <c r="G56" s="205"/>
      <c r="H56" s="205"/>
      <c r="I56" s="206"/>
    </row>
    <row r="57" spans="1:15" s="81" customFormat="1" ht="18.75" customHeight="1" x14ac:dyDescent="0.2">
      <c r="B57" s="204"/>
      <c r="C57" s="205"/>
      <c r="D57" s="205"/>
      <c r="E57" s="205"/>
      <c r="F57" s="205"/>
      <c r="G57" s="205"/>
      <c r="H57" s="205"/>
      <c r="I57" s="206"/>
    </row>
    <row r="58" spans="1:15" s="81" customFormat="1" ht="18.75" customHeight="1" x14ac:dyDescent="0.2">
      <c r="B58" s="204"/>
      <c r="C58" s="205"/>
      <c r="D58" s="205"/>
      <c r="E58" s="205"/>
      <c r="F58" s="205"/>
      <c r="G58" s="205"/>
      <c r="H58" s="205"/>
      <c r="I58" s="206"/>
    </row>
    <row r="59" spans="1:15" s="81" customFormat="1" ht="18.75" customHeight="1" x14ac:dyDescent="0.2">
      <c r="B59" s="207"/>
      <c r="C59" s="208"/>
      <c r="D59" s="208"/>
      <c r="E59" s="208"/>
      <c r="F59" s="208"/>
      <c r="G59" s="208"/>
      <c r="H59" s="208"/>
      <c r="I59" s="209"/>
    </row>
    <row r="60" spans="1:15" ht="7.5" customHeight="1" x14ac:dyDescent="0.2">
      <c r="A60" s="76"/>
      <c r="B60" s="76"/>
      <c r="C60" s="76"/>
      <c r="D60" s="76"/>
      <c r="E60" s="76"/>
      <c r="F60" s="76"/>
      <c r="G60" s="76"/>
      <c r="H60" s="76"/>
      <c r="I60" s="76"/>
    </row>
    <row r="61" spans="1:15" ht="18.75" customHeight="1" x14ac:dyDescent="0.2">
      <c r="A61" s="72" t="s">
        <v>117</v>
      </c>
      <c r="B61" s="1" t="s">
        <v>118</v>
      </c>
      <c r="I61" s="72"/>
    </row>
    <row r="62" spans="1:15" ht="18.75" customHeight="1" x14ac:dyDescent="0.2">
      <c r="A62" s="4"/>
      <c r="B62" s="183" t="s">
        <v>162</v>
      </c>
      <c r="C62" s="184"/>
      <c r="D62" s="184"/>
      <c r="E62" s="184"/>
      <c r="F62" s="184"/>
      <c r="G62" s="184"/>
      <c r="H62" s="184"/>
      <c r="I62" s="185"/>
    </row>
    <row r="63" spans="1:15" ht="18.75" customHeight="1" x14ac:dyDescent="0.2">
      <c r="A63" s="4"/>
      <c r="B63" s="186"/>
      <c r="C63" s="187"/>
      <c r="D63" s="187"/>
      <c r="E63" s="187"/>
      <c r="F63" s="187"/>
      <c r="G63" s="187"/>
      <c r="H63" s="187"/>
      <c r="I63" s="188"/>
    </row>
    <row r="64" spans="1:15" ht="18.75" customHeight="1" x14ac:dyDescent="0.2">
      <c r="A64" s="4"/>
      <c r="B64" s="186"/>
      <c r="C64" s="187"/>
      <c r="D64" s="187"/>
      <c r="E64" s="187"/>
      <c r="F64" s="187"/>
      <c r="G64" s="187"/>
      <c r="H64" s="187"/>
      <c r="I64" s="188"/>
    </row>
    <row r="65" spans="1:9" ht="18.75" customHeight="1" x14ac:dyDescent="0.2">
      <c r="A65" s="4"/>
      <c r="B65" s="186"/>
      <c r="C65" s="187"/>
      <c r="D65" s="187"/>
      <c r="E65" s="187"/>
      <c r="F65" s="187"/>
      <c r="G65" s="187"/>
      <c r="H65" s="187"/>
      <c r="I65" s="188"/>
    </row>
    <row r="66" spans="1:9" ht="18.75" customHeight="1" x14ac:dyDescent="0.2">
      <c r="A66" s="4"/>
      <c r="B66" s="186"/>
      <c r="C66" s="187"/>
      <c r="D66" s="187"/>
      <c r="E66" s="187"/>
      <c r="F66" s="187"/>
      <c r="G66" s="187"/>
      <c r="H66" s="187"/>
      <c r="I66" s="188"/>
    </row>
    <row r="67" spans="1:9" ht="18.75" customHeight="1" x14ac:dyDescent="0.2">
      <c r="A67" s="4"/>
      <c r="B67" s="186"/>
      <c r="C67" s="187"/>
      <c r="D67" s="187"/>
      <c r="E67" s="187"/>
      <c r="F67" s="187"/>
      <c r="G67" s="187"/>
      <c r="H67" s="187"/>
      <c r="I67" s="188"/>
    </row>
    <row r="68" spans="1:9" ht="18.75" customHeight="1" x14ac:dyDescent="0.2">
      <c r="A68" s="4"/>
      <c r="B68" s="186"/>
      <c r="C68" s="187"/>
      <c r="D68" s="187"/>
      <c r="E68" s="187"/>
      <c r="F68" s="187"/>
      <c r="G68" s="187"/>
      <c r="H68" s="187"/>
      <c r="I68" s="188"/>
    </row>
    <row r="69" spans="1:9" ht="18.75" customHeight="1" x14ac:dyDescent="0.2">
      <c r="A69" s="4"/>
      <c r="B69" s="186"/>
      <c r="C69" s="187"/>
      <c r="D69" s="187"/>
      <c r="E69" s="187"/>
      <c r="F69" s="187"/>
      <c r="G69" s="187"/>
      <c r="H69" s="187"/>
      <c r="I69" s="188"/>
    </row>
    <row r="70" spans="1:9" ht="18.75" customHeight="1" x14ac:dyDescent="0.2">
      <c r="A70" s="4"/>
      <c r="B70" s="186"/>
      <c r="C70" s="187"/>
      <c r="D70" s="187"/>
      <c r="E70" s="187"/>
      <c r="F70" s="187"/>
      <c r="G70" s="187"/>
      <c r="H70" s="187"/>
      <c r="I70" s="188"/>
    </row>
    <row r="71" spans="1:9" ht="18.75" customHeight="1" x14ac:dyDescent="0.2">
      <c r="A71" s="4"/>
      <c r="B71" s="186"/>
      <c r="C71" s="187"/>
      <c r="D71" s="187"/>
      <c r="E71" s="187"/>
      <c r="F71" s="187"/>
      <c r="G71" s="187"/>
      <c r="H71" s="187"/>
      <c r="I71" s="188"/>
    </row>
    <row r="72" spans="1:9" ht="18.75" customHeight="1" x14ac:dyDescent="0.2">
      <c r="A72" s="4"/>
      <c r="B72" s="186"/>
      <c r="C72" s="187"/>
      <c r="D72" s="187"/>
      <c r="E72" s="187"/>
      <c r="F72" s="187"/>
      <c r="G72" s="187"/>
      <c r="H72" s="187"/>
      <c r="I72" s="188"/>
    </row>
    <row r="73" spans="1:9" ht="18.75" customHeight="1" x14ac:dyDescent="0.2">
      <c r="A73" s="4"/>
      <c r="B73" s="189"/>
      <c r="C73" s="190"/>
      <c r="D73" s="190"/>
      <c r="E73" s="190"/>
      <c r="F73" s="190"/>
      <c r="G73" s="190"/>
      <c r="H73" s="190"/>
      <c r="I73" s="191"/>
    </row>
    <row r="74" spans="1:9" ht="7.5" customHeight="1" x14ac:dyDescent="0.2">
      <c r="A74" s="4"/>
      <c r="B74" s="4"/>
      <c r="C74" s="4"/>
      <c r="D74" s="4"/>
      <c r="E74" s="4"/>
      <c r="F74" s="4"/>
      <c r="G74" s="4"/>
      <c r="H74" s="4"/>
      <c r="I74" s="4"/>
    </row>
    <row r="75" spans="1:9" ht="18.75" customHeight="1" x14ac:dyDescent="0.2">
      <c r="A75" s="1" t="s">
        <v>119</v>
      </c>
      <c r="B75" s="1" t="s">
        <v>120</v>
      </c>
    </row>
    <row r="76" spans="1:9" ht="18.75" customHeight="1" x14ac:dyDescent="0.2">
      <c r="A76" s="1"/>
      <c r="B76" s="183" t="s">
        <v>169</v>
      </c>
      <c r="C76" s="184"/>
      <c r="D76" s="184"/>
      <c r="E76" s="184"/>
      <c r="F76" s="184"/>
      <c r="G76" s="184"/>
      <c r="H76" s="184"/>
      <c r="I76" s="192"/>
    </row>
    <row r="77" spans="1:9" ht="18.75" customHeight="1" x14ac:dyDescent="0.2">
      <c r="A77" s="1"/>
      <c r="B77" s="193"/>
      <c r="C77" s="194"/>
      <c r="D77" s="194"/>
      <c r="E77" s="194"/>
      <c r="F77" s="194"/>
      <c r="G77" s="194"/>
      <c r="H77" s="194"/>
      <c r="I77" s="195"/>
    </row>
    <row r="78" spans="1:9" ht="18.75" customHeight="1" x14ac:dyDescent="0.2">
      <c r="A78" s="1"/>
      <c r="B78" s="193"/>
      <c r="C78" s="194"/>
      <c r="D78" s="194"/>
      <c r="E78" s="194"/>
      <c r="F78" s="194"/>
      <c r="G78" s="194"/>
      <c r="H78" s="194"/>
      <c r="I78" s="195"/>
    </row>
    <row r="79" spans="1:9" ht="18.75" customHeight="1" x14ac:dyDescent="0.2">
      <c r="A79" s="1"/>
      <c r="B79" s="193"/>
      <c r="C79" s="194"/>
      <c r="D79" s="194"/>
      <c r="E79" s="194"/>
      <c r="F79" s="194"/>
      <c r="G79" s="194"/>
      <c r="H79" s="194"/>
      <c r="I79" s="195"/>
    </row>
    <row r="80" spans="1:9" ht="18.75" customHeight="1" x14ac:dyDescent="0.2">
      <c r="A80" s="1"/>
      <c r="B80" s="193"/>
      <c r="C80" s="194"/>
      <c r="D80" s="194"/>
      <c r="E80" s="194"/>
      <c r="F80" s="194"/>
      <c r="G80" s="194"/>
      <c r="H80" s="194"/>
      <c r="I80" s="195"/>
    </row>
    <row r="81" spans="1:9" ht="18.75" customHeight="1" x14ac:dyDescent="0.2">
      <c r="A81" s="1"/>
      <c r="B81" s="193"/>
      <c r="C81" s="194"/>
      <c r="D81" s="194"/>
      <c r="E81" s="194"/>
      <c r="F81" s="194"/>
      <c r="G81" s="194"/>
      <c r="H81" s="194"/>
      <c r="I81" s="195"/>
    </row>
    <row r="82" spans="1:9" ht="18.75" customHeight="1" x14ac:dyDescent="0.2">
      <c r="A82" s="1"/>
      <c r="B82" s="193"/>
      <c r="C82" s="194"/>
      <c r="D82" s="194"/>
      <c r="E82" s="194"/>
      <c r="F82" s="194"/>
      <c r="G82" s="194"/>
      <c r="H82" s="194"/>
      <c r="I82" s="195"/>
    </row>
    <row r="83" spans="1:9" ht="18.75" customHeight="1" x14ac:dyDescent="0.2">
      <c r="A83" s="1"/>
      <c r="B83" s="193"/>
      <c r="C83" s="194"/>
      <c r="D83" s="194"/>
      <c r="E83" s="194"/>
      <c r="F83" s="194"/>
      <c r="G83" s="194"/>
      <c r="H83" s="194"/>
      <c r="I83" s="195"/>
    </row>
    <row r="84" spans="1:9" ht="18.75" customHeight="1" x14ac:dyDescent="0.2">
      <c r="A84" s="1"/>
      <c r="B84" s="193"/>
      <c r="C84" s="194"/>
      <c r="D84" s="194"/>
      <c r="E84" s="194"/>
      <c r="F84" s="194"/>
      <c r="G84" s="194"/>
      <c r="H84" s="194"/>
      <c r="I84" s="195"/>
    </row>
    <row r="85" spans="1:9" ht="18.75" customHeight="1" x14ac:dyDescent="0.2">
      <c r="A85" s="1"/>
      <c r="B85" s="193"/>
      <c r="C85" s="194"/>
      <c r="D85" s="194"/>
      <c r="E85" s="194"/>
      <c r="F85" s="194"/>
      <c r="G85" s="194"/>
      <c r="H85" s="194"/>
      <c r="I85" s="195"/>
    </row>
    <row r="86" spans="1:9" ht="18.75" customHeight="1" x14ac:dyDescent="0.2">
      <c r="A86" s="4"/>
      <c r="B86" s="193"/>
      <c r="C86" s="194"/>
      <c r="D86" s="194"/>
      <c r="E86" s="194"/>
      <c r="F86" s="194"/>
      <c r="G86" s="194"/>
      <c r="H86" s="194"/>
      <c r="I86" s="195"/>
    </row>
    <row r="87" spans="1:9" ht="18.75" customHeight="1" x14ac:dyDescent="0.2">
      <c r="A87" s="4"/>
      <c r="B87" s="196"/>
      <c r="C87" s="197"/>
      <c r="D87" s="197"/>
      <c r="E87" s="197"/>
      <c r="F87" s="197"/>
      <c r="G87" s="197"/>
      <c r="H87" s="197"/>
      <c r="I87" s="198"/>
    </row>
    <row r="88" spans="1:9" ht="7.5" customHeight="1" x14ac:dyDescent="0.2">
      <c r="A88" s="4"/>
      <c r="B88" s="4"/>
      <c r="C88" s="4"/>
      <c r="D88" s="4"/>
      <c r="E88" s="4"/>
      <c r="F88" s="4"/>
      <c r="G88" s="4"/>
      <c r="H88" s="4"/>
      <c r="I88" s="4"/>
    </row>
    <row r="89" spans="1:9" ht="18.75" customHeight="1" x14ac:dyDescent="0.2">
      <c r="A89" s="1" t="s">
        <v>121</v>
      </c>
      <c r="B89" s="1" t="s">
        <v>122</v>
      </c>
    </row>
    <row r="90" spans="1:9" ht="18.75" customHeight="1" x14ac:dyDescent="0.2">
      <c r="A90" s="1"/>
      <c r="B90" s="210" t="s">
        <v>170</v>
      </c>
      <c r="C90" s="211"/>
      <c r="D90" s="211"/>
      <c r="E90" s="211"/>
      <c r="F90" s="211"/>
      <c r="G90" s="211"/>
      <c r="H90" s="211"/>
      <c r="I90" s="212"/>
    </row>
    <row r="91" spans="1:9" ht="18.75" customHeight="1" x14ac:dyDescent="0.2">
      <c r="A91" s="1"/>
      <c r="B91" s="213"/>
      <c r="C91" s="214"/>
      <c r="D91" s="214"/>
      <c r="E91" s="214"/>
      <c r="F91" s="214"/>
      <c r="G91" s="214"/>
      <c r="H91" s="214"/>
      <c r="I91" s="215"/>
    </row>
    <row r="92" spans="1:9" ht="18.75" customHeight="1" x14ac:dyDescent="0.2">
      <c r="A92" s="1"/>
      <c r="B92" s="213"/>
      <c r="C92" s="214"/>
      <c r="D92" s="214"/>
      <c r="E92" s="214"/>
      <c r="F92" s="214"/>
      <c r="G92" s="214"/>
      <c r="H92" s="214"/>
      <c r="I92" s="215"/>
    </row>
    <row r="93" spans="1:9" ht="18.75" customHeight="1" x14ac:dyDescent="0.2">
      <c r="A93" s="1"/>
      <c r="B93" s="213"/>
      <c r="C93" s="214"/>
      <c r="D93" s="214"/>
      <c r="E93" s="214"/>
      <c r="F93" s="214"/>
      <c r="G93" s="214"/>
      <c r="H93" s="214"/>
      <c r="I93" s="215"/>
    </row>
    <row r="94" spans="1:9" ht="18.75" customHeight="1" x14ac:dyDescent="0.2">
      <c r="A94" s="1"/>
      <c r="B94" s="213"/>
      <c r="C94" s="214"/>
      <c r="D94" s="214"/>
      <c r="E94" s="214"/>
      <c r="F94" s="214"/>
      <c r="G94" s="214"/>
      <c r="H94" s="214"/>
      <c r="I94" s="215"/>
    </row>
    <row r="95" spans="1:9" ht="18.75" customHeight="1" x14ac:dyDescent="0.2">
      <c r="A95" s="1"/>
      <c r="B95" s="213"/>
      <c r="C95" s="214"/>
      <c r="D95" s="214"/>
      <c r="E95" s="214"/>
      <c r="F95" s="214"/>
      <c r="G95" s="214"/>
      <c r="H95" s="214"/>
      <c r="I95" s="215"/>
    </row>
    <row r="96" spans="1:9" ht="18.75" customHeight="1" x14ac:dyDescent="0.2">
      <c r="A96" s="1"/>
      <c r="B96" s="213"/>
      <c r="C96" s="214"/>
      <c r="D96" s="214"/>
      <c r="E96" s="214"/>
      <c r="F96" s="214"/>
      <c r="G96" s="214"/>
      <c r="H96" s="214"/>
      <c r="I96" s="215"/>
    </row>
    <row r="97" spans="1:9" ht="18.75" customHeight="1" x14ac:dyDescent="0.2">
      <c r="A97" s="1"/>
      <c r="B97" s="213"/>
      <c r="C97" s="214"/>
      <c r="D97" s="214"/>
      <c r="E97" s="214"/>
      <c r="F97" s="214"/>
      <c r="G97" s="214"/>
      <c r="H97" s="214"/>
      <c r="I97" s="215"/>
    </row>
    <row r="98" spans="1:9" ht="18.75" customHeight="1" x14ac:dyDescent="0.2">
      <c r="A98" s="1"/>
      <c r="B98" s="213"/>
      <c r="C98" s="214"/>
      <c r="D98" s="214"/>
      <c r="E98" s="214"/>
      <c r="F98" s="214"/>
      <c r="G98" s="214"/>
      <c r="H98" s="214"/>
      <c r="I98" s="215"/>
    </row>
    <row r="99" spans="1:9" ht="18.75" customHeight="1" x14ac:dyDescent="0.2">
      <c r="A99" s="1"/>
      <c r="B99" s="213"/>
      <c r="C99" s="214"/>
      <c r="D99" s="214"/>
      <c r="E99" s="214"/>
      <c r="F99" s="214"/>
      <c r="G99" s="214"/>
      <c r="H99" s="214"/>
      <c r="I99" s="215"/>
    </row>
    <row r="100" spans="1:9" ht="18.75" customHeight="1" x14ac:dyDescent="0.2">
      <c r="A100" s="1"/>
      <c r="B100" s="213"/>
      <c r="C100" s="214"/>
      <c r="D100" s="214"/>
      <c r="E100" s="214"/>
      <c r="F100" s="214"/>
      <c r="G100" s="214"/>
      <c r="H100" s="214"/>
      <c r="I100" s="215"/>
    </row>
    <row r="101" spans="1:9" ht="18.75" customHeight="1" x14ac:dyDescent="0.2">
      <c r="A101" s="4"/>
      <c r="B101" s="216"/>
      <c r="C101" s="217"/>
      <c r="D101" s="217"/>
      <c r="E101" s="217"/>
      <c r="F101" s="217"/>
      <c r="G101" s="217"/>
      <c r="H101" s="217"/>
      <c r="I101" s="218"/>
    </row>
    <row r="102" spans="1:9" ht="7.5" customHeight="1" x14ac:dyDescent="0.2">
      <c r="A102" s="4"/>
      <c r="B102" s="4"/>
      <c r="C102" s="4"/>
      <c r="D102" s="4"/>
      <c r="E102" s="4"/>
      <c r="F102" s="4"/>
      <c r="G102" s="4"/>
      <c r="H102" s="4"/>
      <c r="I102" s="4"/>
    </row>
    <row r="103" spans="1:9" ht="18.75" customHeight="1" x14ac:dyDescent="0.2">
      <c r="A103" s="1" t="s">
        <v>123</v>
      </c>
      <c r="B103" s="219" t="s">
        <v>124</v>
      </c>
      <c r="C103" s="219"/>
      <c r="D103" s="219"/>
      <c r="E103" s="219"/>
      <c r="F103" s="219"/>
      <c r="G103" s="219"/>
      <c r="H103" s="219"/>
      <c r="I103" s="219"/>
    </row>
    <row r="104" spans="1:9" ht="18.75" customHeight="1" x14ac:dyDescent="0.2">
      <c r="A104" s="4"/>
      <c r="B104" s="210" t="s">
        <v>171</v>
      </c>
      <c r="C104" s="211"/>
      <c r="D104" s="211"/>
      <c r="E104" s="211"/>
      <c r="F104" s="211"/>
      <c r="G104" s="211"/>
      <c r="H104" s="211"/>
      <c r="I104" s="212"/>
    </row>
    <row r="105" spans="1:9" ht="18.75" customHeight="1" x14ac:dyDescent="0.2">
      <c r="A105" s="4"/>
      <c r="B105" s="213"/>
      <c r="C105" s="214"/>
      <c r="D105" s="214"/>
      <c r="E105" s="214"/>
      <c r="F105" s="214"/>
      <c r="G105" s="214"/>
      <c r="H105" s="214"/>
      <c r="I105" s="215"/>
    </row>
    <row r="106" spans="1:9" ht="18.75" customHeight="1" x14ac:dyDescent="0.2">
      <c r="A106" s="4"/>
      <c r="B106" s="213"/>
      <c r="C106" s="214"/>
      <c r="D106" s="214"/>
      <c r="E106" s="214"/>
      <c r="F106" s="214"/>
      <c r="G106" s="214"/>
      <c r="H106" s="214"/>
      <c r="I106" s="215"/>
    </row>
    <row r="107" spans="1:9" ht="18.75" customHeight="1" x14ac:dyDescent="0.2">
      <c r="A107" s="4"/>
      <c r="B107" s="213"/>
      <c r="C107" s="214"/>
      <c r="D107" s="214"/>
      <c r="E107" s="214"/>
      <c r="F107" s="214"/>
      <c r="G107" s="214"/>
      <c r="H107" s="214"/>
      <c r="I107" s="215"/>
    </row>
    <row r="108" spans="1:9" ht="18.75" customHeight="1" x14ac:dyDescent="0.2">
      <c r="A108" s="4"/>
      <c r="B108" s="213"/>
      <c r="C108" s="214"/>
      <c r="D108" s="214"/>
      <c r="E108" s="214"/>
      <c r="F108" s="214"/>
      <c r="G108" s="214"/>
      <c r="H108" s="214"/>
      <c r="I108" s="215"/>
    </row>
    <row r="109" spans="1:9" ht="18.75" customHeight="1" x14ac:dyDescent="0.2">
      <c r="A109" s="4"/>
      <c r="B109" s="213"/>
      <c r="C109" s="214"/>
      <c r="D109" s="214"/>
      <c r="E109" s="214"/>
      <c r="F109" s="214"/>
      <c r="G109" s="214"/>
      <c r="H109" s="214"/>
      <c r="I109" s="215"/>
    </row>
    <row r="110" spans="1:9" ht="18.75" customHeight="1" x14ac:dyDescent="0.2">
      <c r="A110" s="4"/>
      <c r="B110" s="213"/>
      <c r="C110" s="214"/>
      <c r="D110" s="214"/>
      <c r="E110" s="214"/>
      <c r="F110" s="214"/>
      <c r="G110" s="214"/>
      <c r="H110" s="214"/>
      <c r="I110" s="215"/>
    </row>
    <row r="111" spans="1:9" ht="18.75" customHeight="1" x14ac:dyDescent="0.2">
      <c r="A111" s="4"/>
      <c r="B111" s="213"/>
      <c r="C111" s="214"/>
      <c r="D111" s="214"/>
      <c r="E111" s="214"/>
      <c r="F111" s="214"/>
      <c r="G111" s="214"/>
      <c r="H111" s="214"/>
      <c r="I111" s="215"/>
    </row>
    <row r="112" spans="1:9" ht="18.75" customHeight="1" x14ac:dyDescent="0.2">
      <c r="A112" s="4"/>
      <c r="B112" s="213"/>
      <c r="C112" s="214"/>
      <c r="D112" s="214"/>
      <c r="E112" s="214"/>
      <c r="F112" s="214"/>
      <c r="G112" s="214"/>
      <c r="H112" s="214"/>
      <c r="I112" s="215"/>
    </row>
    <row r="113" spans="1:9" ht="18.75" customHeight="1" x14ac:dyDescent="0.2">
      <c r="A113" s="4"/>
      <c r="B113" s="213"/>
      <c r="C113" s="214"/>
      <c r="D113" s="214"/>
      <c r="E113" s="214"/>
      <c r="F113" s="214"/>
      <c r="G113" s="214"/>
      <c r="H113" s="214"/>
      <c r="I113" s="215"/>
    </row>
    <row r="114" spans="1:9" ht="18.75" customHeight="1" x14ac:dyDescent="0.2">
      <c r="A114" s="4"/>
      <c r="B114" s="213"/>
      <c r="C114" s="214"/>
      <c r="D114" s="214"/>
      <c r="E114" s="214"/>
      <c r="F114" s="214"/>
      <c r="G114" s="214"/>
      <c r="H114" s="214"/>
      <c r="I114" s="215"/>
    </row>
    <row r="115" spans="1:9" ht="18.75" customHeight="1" x14ac:dyDescent="0.2">
      <c r="A115" s="4"/>
      <c r="B115" s="216"/>
      <c r="C115" s="217"/>
      <c r="D115" s="217"/>
      <c r="E115" s="217"/>
      <c r="F115" s="217"/>
      <c r="G115" s="217"/>
      <c r="H115" s="217"/>
      <c r="I115" s="218"/>
    </row>
    <row r="116" spans="1:9" ht="7.5" customHeight="1" x14ac:dyDescent="0.2">
      <c r="A116" s="4"/>
      <c r="B116" s="38"/>
      <c r="C116" s="38"/>
      <c r="D116" s="38"/>
      <c r="E116" s="38"/>
      <c r="F116" s="38"/>
      <c r="G116" s="38"/>
      <c r="H116" s="38"/>
      <c r="I116" s="38"/>
    </row>
    <row r="117" spans="1:9" ht="18.75" customHeight="1" x14ac:dyDescent="0.2">
      <c r="A117" s="4"/>
      <c r="B117" s="4"/>
      <c r="C117" s="4"/>
      <c r="D117" s="4"/>
      <c r="E117" s="4"/>
      <c r="F117" s="4"/>
      <c r="G117" s="4"/>
      <c r="H117" s="4"/>
      <c r="I117" s="4"/>
    </row>
    <row r="118" spans="1:9" ht="18.75" customHeight="1" x14ac:dyDescent="0.2">
      <c r="A118" s="4"/>
      <c r="B118" s="4"/>
      <c r="C118" s="4"/>
      <c r="D118" s="4"/>
      <c r="E118" s="4"/>
      <c r="F118" s="4"/>
      <c r="G118" s="4"/>
      <c r="H118" s="4"/>
      <c r="I118" s="4"/>
    </row>
    <row r="119" spans="1:9" ht="18.75" customHeight="1" x14ac:dyDescent="0.2">
      <c r="A119" s="4"/>
      <c r="B119" s="4"/>
      <c r="C119" s="4"/>
      <c r="D119" s="4"/>
      <c r="E119" s="4"/>
      <c r="F119" s="4"/>
      <c r="G119" s="4"/>
      <c r="H119" s="4"/>
      <c r="I119" s="4"/>
    </row>
    <row r="120" spans="1:9" ht="18.75" customHeight="1" x14ac:dyDescent="0.2">
      <c r="A120" s="4"/>
      <c r="B120" s="4"/>
      <c r="C120" s="4"/>
      <c r="D120" s="4"/>
      <c r="E120" s="4"/>
      <c r="F120" s="4"/>
      <c r="G120" s="4"/>
      <c r="H120" s="4"/>
      <c r="I120" s="4"/>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4.4" x14ac:dyDescent="0.2">
      <c r="A129" s="4"/>
      <c r="B129" s="4"/>
      <c r="C129" s="4"/>
      <c r="D129" s="4"/>
      <c r="E129" s="4"/>
      <c r="F129" s="4"/>
      <c r="G129" s="4"/>
      <c r="H129" s="4"/>
      <c r="I129" s="4"/>
    </row>
    <row r="130" spans="1:9" ht="7.5" customHeight="1" x14ac:dyDescent="0.2">
      <c r="A130" s="39"/>
      <c r="B130" s="39"/>
      <c r="C130" s="39"/>
      <c r="D130" s="39"/>
      <c r="E130" s="39"/>
      <c r="F130" s="39"/>
      <c r="G130" s="39"/>
      <c r="H130" s="39"/>
      <c r="I130" s="39"/>
    </row>
  </sheetData>
  <mergeCells count="22">
    <mergeCell ref="B90:I101"/>
    <mergeCell ref="B103:I103"/>
    <mergeCell ref="B104:I115"/>
    <mergeCell ref="H2:I2"/>
    <mergeCell ref="A4:I4"/>
    <mergeCell ref="B19:I19"/>
    <mergeCell ref="B22:I28"/>
    <mergeCell ref="B31:I42"/>
    <mergeCell ref="B47:I47"/>
    <mergeCell ref="B14:I14"/>
    <mergeCell ref="C16:E16"/>
    <mergeCell ref="H16:I16"/>
    <mergeCell ref="C11:E11"/>
    <mergeCell ref="H11:I11"/>
    <mergeCell ref="C6:D6"/>
    <mergeCell ref="F46:G46"/>
    <mergeCell ref="B62:I73"/>
    <mergeCell ref="B76:I87"/>
    <mergeCell ref="C45:D45"/>
    <mergeCell ref="C46:D46"/>
    <mergeCell ref="F45:G45"/>
    <mergeCell ref="B48:I5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3" max="9" man="1"/>
    <brk id="88"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6" zoomScale="134" zoomScaleNormal="100" zoomScaleSheetLayoutView="134" workbookViewId="0">
      <selection activeCell="E16" sqref="E16:I1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125</v>
      </c>
      <c r="I1" s="73" t="s">
        <v>126</v>
      </c>
    </row>
    <row r="2" spans="1:9" ht="18.75" customHeight="1" x14ac:dyDescent="0.2">
      <c r="H2" s="73" t="s">
        <v>2</v>
      </c>
      <c r="I2" s="75" t="str">
        <f>'様式１　プログラムを構成する授業科目'!C2</f>
        <v>城西大学</v>
      </c>
    </row>
    <row r="3" spans="1:9" ht="18.75" customHeight="1" x14ac:dyDescent="0.2">
      <c r="A3" s="109" t="s">
        <v>127</v>
      </c>
      <c r="B3" s="109"/>
      <c r="C3" s="109"/>
      <c r="D3" s="109"/>
      <c r="E3" s="109"/>
      <c r="F3" s="109"/>
      <c r="G3" s="109"/>
      <c r="H3" s="109"/>
      <c r="I3" s="109"/>
    </row>
    <row r="4" spans="1:9" ht="18.75" customHeight="1" x14ac:dyDescent="0.2">
      <c r="A4" s="74"/>
      <c r="B4" s="74"/>
      <c r="C4" s="74"/>
      <c r="D4" s="74"/>
      <c r="E4" s="74"/>
      <c r="F4" s="74"/>
      <c r="G4" s="74"/>
      <c r="H4" s="74"/>
      <c r="I4" s="74"/>
    </row>
    <row r="5" spans="1:9" ht="18.75" customHeight="1" x14ac:dyDescent="0.2">
      <c r="A5" s="1" t="s">
        <v>85</v>
      </c>
      <c r="B5" s="9" t="s">
        <v>128</v>
      </c>
      <c r="C5" s="74"/>
      <c r="D5" s="74"/>
      <c r="E5" s="74"/>
      <c r="F5" s="74"/>
      <c r="G5" s="74"/>
      <c r="H5" s="74"/>
      <c r="I5" s="74"/>
    </row>
    <row r="6" spans="1:9" ht="26.25" customHeight="1" x14ac:dyDescent="0.2">
      <c r="A6" s="74"/>
      <c r="B6" s="230" t="s">
        <v>99</v>
      </c>
      <c r="C6" s="263"/>
      <c r="D6" s="263"/>
      <c r="E6" s="263"/>
      <c r="F6" s="263"/>
      <c r="G6" s="263"/>
      <c r="H6" s="264"/>
      <c r="I6" s="3"/>
    </row>
    <row r="7" spans="1:9" ht="9" customHeight="1" x14ac:dyDescent="0.2">
      <c r="A7" s="74"/>
      <c r="B7" s="9"/>
      <c r="C7" s="9"/>
      <c r="D7" s="9"/>
      <c r="E7" s="9"/>
      <c r="F7" s="9"/>
      <c r="G7" s="9"/>
      <c r="H7" s="9"/>
      <c r="I7" s="3"/>
    </row>
    <row r="8" spans="1:9" ht="18.75" customHeight="1" x14ac:dyDescent="0.2">
      <c r="A8" s="74"/>
      <c r="B8" s="3"/>
      <c r="C8" s="3"/>
      <c r="D8" s="73" t="s">
        <v>94</v>
      </c>
      <c r="E8" s="31" t="s">
        <v>95</v>
      </c>
      <c r="F8" s="3"/>
      <c r="G8" s="73" t="s">
        <v>96</v>
      </c>
      <c r="H8" s="77" t="s">
        <v>100</v>
      </c>
      <c r="I8" s="3"/>
    </row>
    <row r="9" spans="1:9" ht="7.5" customHeight="1" x14ac:dyDescent="0.2">
      <c r="A9" s="74"/>
      <c r="B9" s="74"/>
      <c r="C9" s="74"/>
      <c r="D9" s="74"/>
      <c r="E9" s="74"/>
      <c r="F9" s="74"/>
      <c r="G9" s="74"/>
      <c r="H9" s="74"/>
      <c r="I9" s="74"/>
    </row>
    <row r="10" spans="1:9" ht="18.75" customHeight="1" x14ac:dyDescent="0.2">
      <c r="A10" s="1" t="s">
        <v>90</v>
      </c>
      <c r="B10" s="1" t="s">
        <v>129</v>
      </c>
      <c r="C10" s="4"/>
      <c r="D10" s="4"/>
      <c r="E10" s="4"/>
      <c r="F10" s="4"/>
      <c r="G10" s="4"/>
      <c r="H10" s="4"/>
      <c r="I10" s="4"/>
    </row>
    <row r="11" spans="1:9" ht="18.75" customHeight="1" x14ac:dyDescent="0.2">
      <c r="B11" s="98" t="s">
        <v>130</v>
      </c>
      <c r="C11" s="99"/>
      <c r="D11" s="100"/>
      <c r="E11" s="99" t="s">
        <v>131</v>
      </c>
      <c r="F11" s="99"/>
      <c r="G11" s="99"/>
      <c r="H11" s="99"/>
      <c r="I11" s="100"/>
    </row>
    <row r="12" spans="1:9" ht="26.25" customHeight="1" x14ac:dyDescent="0.2">
      <c r="B12" s="40" t="s">
        <v>132</v>
      </c>
      <c r="C12" s="47"/>
      <c r="D12" s="41"/>
      <c r="E12" s="48"/>
      <c r="F12" s="48"/>
      <c r="G12" s="48"/>
      <c r="H12" s="48"/>
      <c r="I12" s="41"/>
    </row>
    <row r="13" spans="1:9" ht="211.2" customHeight="1" x14ac:dyDescent="0.2">
      <c r="B13" s="42"/>
      <c r="C13" s="241" t="s">
        <v>133</v>
      </c>
      <c r="D13" s="242"/>
      <c r="E13" s="255" t="s">
        <v>163</v>
      </c>
      <c r="F13" s="250"/>
      <c r="G13" s="250"/>
      <c r="H13" s="250"/>
      <c r="I13" s="251"/>
    </row>
    <row r="14" spans="1:9" ht="114.6" customHeight="1" x14ac:dyDescent="0.2">
      <c r="B14" s="42"/>
      <c r="C14" s="261" t="s">
        <v>134</v>
      </c>
      <c r="D14" s="262"/>
      <c r="E14" s="255" t="s">
        <v>165</v>
      </c>
      <c r="F14" s="250"/>
      <c r="G14" s="250"/>
      <c r="H14" s="250"/>
      <c r="I14" s="251"/>
    </row>
    <row r="15" spans="1:9" ht="235.8" customHeight="1" x14ac:dyDescent="0.2">
      <c r="B15" s="42"/>
      <c r="C15" s="241" t="s">
        <v>135</v>
      </c>
      <c r="D15" s="242"/>
      <c r="E15" s="255" t="s">
        <v>164</v>
      </c>
      <c r="F15" s="250"/>
      <c r="G15" s="250"/>
      <c r="H15" s="250"/>
      <c r="I15" s="251"/>
    </row>
    <row r="16" spans="1:9" ht="193.95" customHeight="1" x14ac:dyDescent="0.2">
      <c r="B16" s="42"/>
      <c r="C16" s="241" t="s">
        <v>136</v>
      </c>
      <c r="D16" s="242"/>
      <c r="E16" s="255" t="s">
        <v>167</v>
      </c>
      <c r="F16" s="250"/>
      <c r="G16" s="250"/>
      <c r="H16" s="250"/>
      <c r="I16" s="251"/>
    </row>
    <row r="17" spans="2:9" ht="126" customHeight="1" x14ac:dyDescent="0.2">
      <c r="B17" s="43"/>
      <c r="C17" s="256" t="s">
        <v>137</v>
      </c>
      <c r="D17" s="257"/>
      <c r="E17" s="258" t="s">
        <v>166</v>
      </c>
      <c r="F17" s="259"/>
      <c r="G17" s="259"/>
      <c r="H17" s="259"/>
      <c r="I17" s="260"/>
    </row>
    <row r="18" spans="2:9" ht="24" customHeight="1" x14ac:dyDescent="0.2">
      <c r="B18" s="40" t="s">
        <v>138</v>
      </c>
      <c r="C18" s="44"/>
      <c r="D18" s="45"/>
      <c r="E18" s="46"/>
      <c r="F18" s="46"/>
      <c r="G18" s="46"/>
      <c r="H18" s="46"/>
      <c r="I18" s="49"/>
    </row>
    <row r="19" spans="2:9" ht="119.4" customHeight="1" x14ac:dyDescent="0.2">
      <c r="B19" s="42"/>
      <c r="C19" s="241" t="s">
        <v>139</v>
      </c>
      <c r="D19" s="242"/>
      <c r="E19" s="250" t="s">
        <v>146</v>
      </c>
      <c r="F19" s="250"/>
      <c r="G19" s="250"/>
      <c r="H19" s="250"/>
      <c r="I19" s="251"/>
    </row>
    <row r="20" spans="2:9" s="81" customFormat="1" ht="141" customHeight="1" x14ac:dyDescent="0.2">
      <c r="B20" s="85"/>
      <c r="C20" s="243" t="s">
        <v>140</v>
      </c>
      <c r="D20" s="244"/>
      <c r="E20" s="245" t="s">
        <v>161</v>
      </c>
      <c r="F20" s="245"/>
      <c r="G20" s="245"/>
      <c r="H20" s="245"/>
      <c r="I20" s="246"/>
    </row>
    <row r="21" spans="2:9" ht="134.4" customHeight="1" x14ac:dyDescent="0.2">
      <c r="B21" s="247" t="s">
        <v>141</v>
      </c>
      <c r="C21" s="248"/>
      <c r="D21" s="249"/>
      <c r="E21" s="252" t="s">
        <v>143</v>
      </c>
      <c r="F21" s="252"/>
      <c r="G21" s="252"/>
      <c r="H21" s="252"/>
      <c r="I21" s="253"/>
    </row>
    <row r="22" spans="2:9" ht="150.6" customHeight="1" x14ac:dyDescent="0.2">
      <c r="B22" s="238" t="s">
        <v>142</v>
      </c>
      <c r="C22" s="239"/>
      <c r="D22" s="240"/>
      <c r="E22" s="226" t="s">
        <v>145</v>
      </c>
      <c r="F22" s="226"/>
      <c r="G22" s="226"/>
      <c r="H22" s="226"/>
      <c r="I22" s="25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76"/>
      <c r="C28" s="76"/>
      <c r="D28" s="76"/>
      <c r="E28" s="76"/>
      <c r="F28" s="76"/>
      <c r="G28" s="76"/>
      <c r="H28" s="76"/>
      <c r="I28" s="76"/>
    </row>
    <row r="29" spans="2:9" ht="22.5" customHeight="1" x14ac:dyDescent="0.2">
      <c r="B29" s="76"/>
      <c r="C29" s="76"/>
      <c r="D29" s="76"/>
      <c r="E29" s="76"/>
      <c r="F29" s="76"/>
      <c r="G29" s="76"/>
      <c r="H29" s="76"/>
      <c r="I29" s="76"/>
    </row>
    <row r="30" spans="2:9" ht="22.5" customHeight="1" x14ac:dyDescent="0.2">
      <c r="B30" s="76"/>
      <c r="C30" s="76"/>
      <c r="D30" s="76"/>
      <c r="E30" s="76"/>
      <c r="F30" s="76"/>
      <c r="G30" s="76"/>
      <c r="H30" s="76"/>
      <c r="I30" s="76"/>
    </row>
  </sheetData>
  <mergeCells count="22">
    <mergeCell ref="C14:D14"/>
    <mergeCell ref="A3:I3"/>
    <mergeCell ref="B11:D11"/>
    <mergeCell ref="E11:I11"/>
    <mergeCell ref="C13:D13"/>
    <mergeCell ref="B6:H6"/>
    <mergeCell ref="E13:I13"/>
    <mergeCell ref="E14:I14"/>
    <mergeCell ref="C15:D15"/>
    <mergeCell ref="E15:I15"/>
    <mergeCell ref="C16:D16"/>
    <mergeCell ref="E16:I16"/>
    <mergeCell ref="C17:D17"/>
    <mergeCell ref="E17:I17"/>
    <mergeCell ref="B22:D22"/>
    <mergeCell ref="C19:D19"/>
    <mergeCell ref="C20:D20"/>
    <mergeCell ref="E20:I20"/>
    <mergeCell ref="B21:D21"/>
    <mergeCell ref="E19:I19"/>
    <mergeCell ref="E21:I21"/>
    <mergeCell ref="E22:I22"/>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2A7A2DD85C55E458EB18B22349C010A" ma:contentTypeVersion="2" ma:contentTypeDescription="新しいドキュメントを作成します。" ma:contentTypeScope="" ma:versionID="39ee2fd428c641505c1710021bb4de57">
  <xsd:schema xmlns:xsd="http://www.w3.org/2001/XMLSchema" xmlns:xs="http://www.w3.org/2001/XMLSchema" xmlns:p="http://schemas.microsoft.com/office/2006/metadata/properties" xmlns:ns2="5f7c5486-0ee8-483a-9c80-cfd51104e446" targetNamespace="http://schemas.microsoft.com/office/2006/metadata/properties" ma:root="true" ma:fieldsID="f98da408493bf08d3ff957284f53e33f" ns2:_="">
    <xsd:import namespace="5f7c5486-0ee8-483a-9c80-cfd51104e44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c5486-0ee8-483a-9c80-cfd51104e4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835DE0-D20C-415A-87A8-D6AB9E2ACD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7c5486-0ee8-483a-9c80-cfd51104e4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3DB83B-1C64-4B15-8BFA-FD27AF47A3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tosos</cp:lastModifiedBy>
  <cp:revision/>
  <cp:lastPrinted>2023-05-11T23:20:10Z</cp:lastPrinted>
  <dcterms:created xsi:type="dcterms:W3CDTF">2011-06-14T05:32:50Z</dcterms:created>
  <dcterms:modified xsi:type="dcterms:W3CDTF">2023-05-12T12:47:15Z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