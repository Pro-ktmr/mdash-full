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jimufile.azabu-u.ac.jp\share\部署内共有\08教務課1\E_一般\81_数理・データサイエンス・ＡＩ教育プログラム認定制度\2023年度\申請\01_麻布大学リテラシー\"/>
    </mc:Choice>
  </mc:AlternateContent>
  <xr:revisionPtr revIDLastSave="0" documentId="13_ncr:1_{A35992BF-16C1-484B-85B4-D4A43962A91D}" xr6:coauthVersionLast="47" xr6:coauthVersionMax="47" xr10:uidLastSave="{00000000-0000-0000-0000-000000000000}"/>
  <bookViews>
    <workbookView xWindow="-60" yWindow="-60" windowWidth="28920" windowHeight="15720" tabRatio="885" xr2:uid="{00000000-000D-0000-FFFF-FFFF00000000}"/>
  </bookViews>
  <sheets>
    <sheet name="様式１－１　プログラムを構成する授業科目" sheetId="43" r:id="rId1"/>
    <sheet name="様式１－２　プログラムを構成する授業科目" sheetId="44" r:id="rId2"/>
    <sheet name="様式１－３　プログラムを構成する授業科目" sheetId="45" r:id="rId3"/>
    <sheet name="様式１－４　プログラムを構成する授業科目" sheetId="46" r:id="rId4"/>
    <sheet name="様式１－５　プログラムを構成する授業科目" sheetId="47" r:id="rId5"/>
    <sheet name="様式２ 履修者等数の実績" sheetId="40" r:id="rId6"/>
    <sheet name="様式３ 教育の質・履修者数を向上させるための体制・計画" sheetId="41" r:id="rId7"/>
    <sheet name="様式４　自己点検・評価" sheetId="42" r:id="rId8"/>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'様式１－３　プログラムを構成する授業科目'!$V$14:$V$16</definedName>
    <definedName name="_xlnm._FilterDatabase" localSheetId="3" hidden="1">'様式１－４　プログラムを構成する授業科目'!$V$14:$V$16</definedName>
    <definedName name="_xlnm._FilterDatabase" localSheetId="4" hidden="1">'様式１－５　プログラムを構成する授業科目'!$V$14:$V$16</definedName>
    <definedName name="_xlnm._FilterDatabase" localSheetId="5"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'様式１－３　プログラムを構成する授業科目'!$A$1:$S$102</definedName>
    <definedName name="_xlnm.Print_Area" localSheetId="3">'様式１－４　プログラムを構成する授業科目'!$A$1:$S$102</definedName>
    <definedName name="_xlnm.Print_Area" localSheetId="4">'様式１－５　プログラムを構成する授業科目'!$A$1:$S$102</definedName>
    <definedName name="_xlnm.Print_Area" localSheetId="5">'様式２ 履修者等数の実績'!$A$1:$AQ$32</definedName>
    <definedName name="_xlnm.Print_Area" localSheetId="6">'様式３ 教育の質・履修者数を向上させるための体制・計画'!$A$1:$I$120</definedName>
    <definedName name="_xlnm.Print_Area" localSheetId="7">'様式４　自己点検・評価'!$A$1:$I$22</definedName>
    <definedName name="_xlnm.Print_Titles" localSheetId="7">'様式４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<sst xmlns="http://schemas.openxmlformats.org/spreadsheetml/2006/main" count="844" uniqueCount="224">
  <si>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</si>
  <si>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</si>
  <si>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</si>
  <si>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</si>
  <si>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</si>
  <si>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</si>
  <si>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</si>
  <si>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</si>
  <si>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</si>
  <si>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</si>
  <si>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</si>
  <si>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</si>
  <si>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</si>
  <si>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</si>
  <si>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</si>
  <si>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</si>
  <si>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</si>
  <si>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</si>
  <si>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</si>
  <si>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</si>
  <si>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</si>
  <si>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</si>
  <si>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</si>
  <si>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</si>
  <si>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</si>
  <si>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</si>
  <si>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</si>
  <si>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</si>
  <si>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</si>
  <si>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</si>
  <si>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</si>
  <si>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</si>
  <si>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</si>
  <si>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</si>
  <si>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</si>
  <si>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</si>
  <si>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</si>
  <si>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</si>
  <si>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</si>
  <si>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</si>
  <si>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</si>
  <si>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</si>
  <si>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</si>
  <si>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</si>
  <si>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</si>
  <si>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</si>
  <si>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</si>
  <si>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</si>
  <si>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</si>
  <si>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</si>
  <si>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</si>
  <si>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</si>
  <si>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</si>
  <si>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</si>
  <si>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</si>
  <si>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</si>
  <si>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</si>
  <si>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</si>
  <si>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</si>
  <si>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</si>
  <si>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</si>
  <si>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</si>
  <si>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</si>
  <si>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</si>
  <si>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</si>
  <si>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</si>
  <si>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</si>
  <si>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</si>
  <si>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</si>
  <si>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</si>
  <si>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</si>
  <si>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</si>
  <si>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</si>
  <si>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</si>
  <si>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</si>
  <si>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</si>
  <si>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</si>
  <si>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</si>
  <si>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</si>
  <si>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</si>
  <si>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</si>
  <si>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</si>
  <si>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</si>
  <si>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</si>
  <si>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</si>
  <si>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</si>
  <si>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</si>
  <si>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</si>
  <si>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</si>
  <si>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</si>
  <si>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</si>
  <si>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</si>
  <si>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</si>
  <si>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</si>
  <si>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</si>
  <si>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</si>
  <si>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</si>
  <si>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</si>
  <si>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</si>
  <si>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</si>
  <si>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</si>
  <si>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</si>
  <si>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</si>
  <si>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</si>
  <si>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</si>
  <si>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</si>
  <si>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</si>
  <si>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</si>
  <si>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</si>
  <si>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</si>
  <si>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</si>
  <si>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</si>
  <si>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</si>
  <si>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</si>
  <si>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</si>
  <si>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</si>
  <si>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</si>
  <si>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</si>
  <si>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</si>
  <si>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</si>
  <si>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</si>
  <si>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</si>
  <si>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</si>
  <si>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</si>
  <si>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</si>
  <si>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麻布大学</t>
    <rPh sb="0" eb="2">
      <t>アザブ</t>
    </rPh>
    <rPh sb="2" eb="4">
      <t>ダイガク</t>
    </rPh>
    <phoneticPr fontId="1"/>
  </si>
  <si>
    <t>地球共生系データサイエンスプログラム</t>
    <phoneticPr fontId="1"/>
  </si>
  <si>
    <t>学部・学科によって、修了要件は相違する</t>
  </si>
  <si>
    <t>○</t>
  </si>
  <si>
    <t>１．実社会および大学の研究活動の中でデータサイエンスがどのように活かされているか、データサイエンスの概要を説明できる。
２．プログラミングなどを用いて、データを解析できる。
３．解析を通じて、データから新たな価値を見出すことができる。
４．各学科で学んだ専門性を基盤として、データの新たな付加価値を他者に適切に伝えることができる</t>
    <phoneticPr fontId="1"/>
  </si>
  <si>
    <t>獣医学部獣医学科</t>
  </si>
  <si>
    <t>獣医学部動物応用科学科</t>
  </si>
  <si>
    <t>生命・環境科学部臨床検査技術学科</t>
  </si>
  <si>
    <t>生命・環境科学部食品生命科学科</t>
  </si>
  <si>
    <t>生命・環境科学部環境科学科</t>
  </si>
  <si>
    <t>石原　淳子</t>
    <phoneticPr fontId="1"/>
  </si>
  <si>
    <t>教務委員会</t>
    <phoneticPr fontId="1"/>
  </si>
  <si>
    <t>伊藤　潤哉</t>
    <phoneticPr fontId="1"/>
  </si>
  <si>
    <t>本学に大学全体の教務に関する事項の立案調整</t>
    <phoneticPr fontId="1"/>
  </si>
  <si>
    <t>全学部・全学科における1年次必修科目となるため、2022年度以降の入学者全てが本プログラムを受講することとなる。</t>
    <phoneticPr fontId="1"/>
  </si>
  <si>
    <t>全学部・全学科における1年次必修科目となるため、2022年度以降の入学者全てが本プログラムを受講することとなる。学部・学科を横断したデータサイエンスセンター構成員が、各学部・学科の学生のニーズに沿った授業内容になるよう、協働して授業計画を検討している。</t>
    <phoneticPr fontId="1"/>
  </si>
  <si>
    <t>全学部・全学科における1年次必修科目となるため、2022年度以降の入学者全てが本プログラムを受講することとなる。授業の内容をシラバスで公開することにより、履修に際して学生が具体的な授業内容を把握できるようにしている。</t>
    <phoneticPr fontId="1"/>
  </si>
  <si>
    <t>授業の内容をシラバスで公開することにより、履修に際して到達目標を明示している。また、教材はLMS（學理）で共有しており、閲覧が可能な環境を構築している。さらに、受講生の履修管理、課題提出、小テスト、授業アンケートなどをLMS上で一括して管理し、教員が受講生の理解度・習熟度を的確に把握することにより、それぞれの受講生に応じた適切な指導が可能となっている。</t>
    <phoneticPr fontId="1"/>
  </si>
  <si>
    <t>授業以外で、学生と教員がコミュニケーションを密に取れる場として設けられた時間帯（オフィスアワー）があり、この時間帯に教員が待機し、学生からの質問や相談を受けやすい環境を整えている。</t>
    <phoneticPr fontId="1"/>
  </si>
  <si>
    <t>教育研究会議</t>
    <phoneticPr fontId="1"/>
  </si>
  <si>
    <t>川上　泰</t>
    <phoneticPr fontId="1"/>
  </si>
  <si>
    <t>学長</t>
    <phoneticPr fontId="1"/>
  </si>
  <si>
    <t>本プログラム当該科目の授業担当教員が学習管理システム（LMS）を通して学生の講義出席状況・課題の取組状況を把握している。その結果は毎月のデータサイエンスセンター会議で報告され、センター員全員で履修・修得状況を点検している。</t>
    <phoneticPr fontId="1"/>
  </si>
  <si>
    <t>授業シラバスに各科目の到達目標を明示し、客観的かつ厳格な成績評価を行っている。また、本学教務課が実施している学生授業評価アンケートの分析を通して、当該科目に関する学生の理解度や教材・教授方法の適切性に関する学生の評価を測定している。</t>
    <phoneticPr fontId="1"/>
  </si>
  <si>
    <t>授業評価アンケートで、「この授業に関連する分野について、さらに勉強したいと思うか」という質問に、「さらに勉強したい」と答えた学生は33%、「機会があれば勉強したい」と答えた学生を合わせると88%であった。また、この授業は「非常に魅力的だった」と答えた学生は33%、「魅力的だった」と答えた学生を合わせると92%であった。多くの学生が本プログラムを魅力的で他学生へ推奨できるものであると感じていることが伺える。</t>
    <phoneticPr fontId="1"/>
  </si>
  <si>
    <t>令和4年度は、全学科で必修となっているコンピュータ演習関連授業の中で開講したため、履修率は100%である。次年度以降も本プログラム該当科目を必修科目として実施していく。</t>
    <phoneticPr fontId="1"/>
  </si>
  <si>
    <t>本プログラムを修了者はまだ卒業していないため、進路・活躍状況、企業からの評価を把握できていない。本学卒業生に関して評価は、キャリア支援課および研究室指導教員等を通じて情報収集しており、今後、本プログラム修了者についても状況把握を行う。</t>
    <phoneticPr fontId="1"/>
  </si>
  <si>
    <t>本学の地球共生系データサイエンスプログラムは、学生の数理・データサイエンス・ＡＩへの関心を高め、本学ならではの各専門分野（獣医・畜産、臨床検査、食、環境）における課題解決に際して、データに基づいて適切な判断ができる人材の育成を目指している。これからの地域社会の発展においては、このような資質・能力を備えた人材が欠かせず、地域産業界のニーズに応えることのできるAI・データサイエンス人材の育成を目指し、今後、地元企業等とも連携し、教育プログラムの改善に努めていく。</t>
    <phoneticPr fontId="1"/>
  </si>
  <si>
    <t>令和4年度の当該科目の学習項目としては、「社会で活用されているデータ」、「データ・AI の利活用」、「データ・AI 利活用における留意事項」、「データを扱う」である。この中で、本学の学生の関心が高いヘルスケアや動物行動などのデータの活用例を中心に、データサイエンス・AIが現在の社会の中でどのように扱われ、新しい社会作りにどのように影響しているのかを、アクティブラーニングも絡めながら自分で調べ考えさせることで、データサイエンス・AIを学ぶ楽しさ・意義を理解してもらっている。</t>
    <phoneticPr fontId="1"/>
  </si>
  <si>
    <t>PCスキルを学ぶコンピュータ演習関連科目の中で本プログラムを扱うことで、PC操作が苦手という学生がそれを理由にデータサイエンス・AIの学習につまづかないようにしている。また、非常勤講師も含めて多くの教員で授業を担当することにより、きめ細やかな指導ができるようにしている。授業中の課題は、学生一人一人がそれぞれ興味を持っている事例を中心に調べて考えるものにすることにより、受動的ではなく能動的に取り組めるようにデザインしている。「さらにデータサイエンスを学んでみたい」という意欲を抱いた学生には、他大学などが公開している動画教材も紹介し、「この地球共生系データサイエンスプログラムのもっと先」を自分自身で探っていけるように導いている。</t>
    <phoneticPr fontId="1"/>
  </si>
  <si>
    <t>授業評価アンケートで、授業内容を「理解できた」と答えた学生は44%、「ある程度理解できた」と答えた学生を合わせると96%であった。また、シラバスに書かれている到達目標に関しても同様に「達成できた」と答えた学生は44%、「ある程度達成できた」と答えた学生を合わせると96%であった。多くの学生が本プログラムの内容を理解できたと感じていることが読み取れる。</t>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</si>
  <si>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</si>
  <si>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麻布大学教務委員会規則、麻布大学数理・データサイエンス・AI 教育プログラムの実施に関する規程</t>
    <rPh sb="0" eb="2">
      <t>アザブ</t>
    </rPh>
    <rPh sb="2" eb="4">
      <t>ダイガク</t>
    </rPh>
    <rPh sb="4" eb="6">
      <t>キョウム</t>
    </rPh>
    <rPh sb="6" eb="9">
      <t>イインカイ</t>
    </rPh>
    <rPh sb="9" eb="11">
      <t>キソク</t>
    </rPh>
    <phoneticPr fontId="1"/>
  </si>
  <si>
    <t>学長補佐(教務担当)</t>
    <rPh sb="0" eb="2">
      <t>ガクチョウ</t>
    </rPh>
    <rPh sb="2" eb="4">
      <t>ホサ</t>
    </rPh>
    <rPh sb="5" eb="7">
      <t>キョウム</t>
    </rPh>
    <rPh sb="7" eb="9">
      <t>タントウ</t>
    </rPh>
    <phoneticPr fontId="1"/>
  </si>
  <si>
    <t>大学教育推進機構データサイエンスセンター長</t>
    <phoneticPr fontId="1"/>
  </si>
  <si>
    <t>氏名　　　　　　　　　所属・役職
伊藤　潤哉　　　　　学長補佐（教務担当）
村上　賢　　　　　　 大学教育推進機構長
植竹　勝治　　　　　獣医学部長
伊藤　彰英　　　　　生命・環境科学部長
佐原　弘益　　　　　大学院獣医学研究科長
田原口　智士　　　 獣医学科長
茂木　一孝　　　　　動物応用科学科長
栗林　尚志　　　　　臨床検査技術学科長
大河内　由美子　　環境科学科長
石井　康夫　　　　　教育推進センター長　　　
菊水　健史　　　　　教学IRセンター長
上家　潤一　　　　　獣医学部教務委員長
島津　德人　　　　　生命・環境科学部教務委員長
石原　淳子　　　　　データサイエンスセンター長 兼 食品生命科学科長 兼 大学院環境保健学研究科長
関本　征史　　　　　データサイエンスセンター副センター長
遠藤　治　　　　　　 生命・環境科学部教授
戸張　靖子　　　　　獣医学部准教授
水野谷　航　　　　　獣医学部准教授
石﨑　直人　　　　　生命・環境科学部准教授
西脇　洋一　　　　　生命・環境科学部准教授
松井　久実　　　　　獣医学部講師
三澤　宣雄　　　　　獣医学部講師
片平　浩孝　　　　　生命・環境科学部講師
久保　孝富　　　　　データサイエンスセンター特任准教授
松本　悠貴　　　　　データサイエンスセンター特任助教
小玉　敏也　　　　　教職課程主任
前田　高志　　　　　教務部長
田中　秀和　　　　　教務課長</t>
    <rPh sb="32" eb="34">
      <t>キョウム</t>
    </rPh>
    <rPh sb="34" eb="36">
      <t>タントウ</t>
    </rPh>
    <rPh sb="298" eb="299">
      <t>ケン</t>
    </rPh>
    <phoneticPr fontId="1"/>
  </si>
  <si>
    <t>様式１－１</t>
    <rPh sb="0" eb="2">
      <t>ヨウシキ</t>
    </rPh>
    <phoneticPr fontId="1"/>
  </si>
  <si>
    <t>獣医学部 獣医学科</t>
    <rPh sb="0" eb="4">
      <t>ジュウイガクブ</t>
    </rPh>
    <rPh sb="5" eb="7">
      <t>ジュウイ</t>
    </rPh>
    <rPh sb="7" eb="9">
      <t>ガッカ</t>
    </rPh>
    <phoneticPr fontId="1"/>
  </si>
  <si>
    <t>コンピュータ演習</t>
    <phoneticPr fontId="1"/>
  </si>
  <si>
    <t>ビッグデータ、IoT、AI、データ量の増加、計算機の処理性能の向上「コンピュータ演習」（10回目）</t>
    <rPh sb="40" eb="42">
      <t>エンシュウ</t>
    </rPh>
    <rPh sb="46" eb="48">
      <t>カイメ</t>
    </rPh>
    <phoneticPr fontId="1"/>
  </si>
  <si>
    <t>AI等を活用した新しいビジネスモデル、・AI最新技術の活用例「コンピュータ演習」（10回目）</t>
    <phoneticPr fontId="1"/>
  </si>
  <si>
    <t>人の行動ログデータ、機械の稼働ログデータ、「コンピュータ演習」（10回目）</t>
    <rPh sb="28" eb="30">
      <t>エンシュウ</t>
    </rPh>
    <rPh sb="34" eb="36">
      <t>カイメ</t>
    </rPh>
    <phoneticPr fontId="1"/>
  </si>
  <si>
    <t>データ・AI活用領域の広がり、研究開発「コンピュータ演習」（11回目）</t>
    <rPh sb="6" eb="8">
      <t>カツヨウ</t>
    </rPh>
    <rPh sb="8" eb="10">
      <t>リョウイキ</t>
    </rPh>
    <rPh sb="11" eb="12">
      <t>ヒロ</t>
    </rPh>
    <rPh sb="15" eb="17">
      <t>ケンキュウ</t>
    </rPh>
    <rPh sb="17" eb="19">
      <t>カイハツ</t>
    </rPh>
    <rPh sb="32" eb="34">
      <t>カイメ</t>
    </rPh>
    <phoneticPr fontId="1"/>
  </si>
  <si>
    <t>ヘルスケアにおけるデータ・AI利活用事例紹介「コンピュータ演習」（11回目）</t>
    <rPh sb="29" eb="31">
      <t>エンシュウ</t>
    </rPh>
    <rPh sb="35" eb="37">
      <t>カイメ</t>
    </rPh>
    <phoneticPr fontId="1"/>
  </si>
  <si>
    <t>ELSI、データ倫理、データバイアス、個人情報保護、AI社会原則、AIサービスの責任論「コンピュータ演習」（12回目）</t>
    <rPh sb="50" eb="52">
      <t>エンシュウ</t>
    </rPh>
    <rPh sb="56" eb="58">
      <t>カイメ</t>
    </rPh>
    <phoneticPr fontId="1"/>
  </si>
  <si>
    <t>情報セキュリティ：機密性、匿名加工情報、暗号化、パスワード「コンピュータ演習」（12回目）</t>
    <rPh sb="17" eb="19">
      <t>ジョウホウ</t>
    </rPh>
    <rPh sb="36" eb="38">
      <t>エンシュウ</t>
    </rPh>
    <rPh sb="42" eb="44">
      <t>カイメ</t>
    </rPh>
    <phoneticPr fontId="1"/>
  </si>
  <si>
    <t>データの種類（量的変数、質的変数）、データの分布(ヒストグラム)と代表値（平均値、中央値、最頻値）、データのばらつき（分散、標準偏差、偏差値）「コンピュータ演習」（7回目）
統計情報の正しい理解（誇張表現に惑わされない）「コンピュータ演習」（8回目）</t>
    <rPh sb="78" eb="80">
      <t>エンシュウ</t>
    </rPh>
    <rPh sb="83" eb="85">
      <t>カイメ</t>
    </rPh>
    <phoneticPr fontId="1"/>
  </si>
  <si>
    <t>データ表現（棒グラフ、折線グラフ、散布図）、データの比較（条件をそろえた比較、処理の前後での比較、A/Bテスト)「コンピュータ演習」（7回目）</t>
    <phoneticPr fontId="1"/>
  </si>
  <si>
    <t>データ解析：予測、グルーピング、パターン発見、最適化、シミュレーション・データ同化など、AIとビッグデータ「コンピュータ演習」（11回目）</t>
    <rPh sb="66" eb="68">
      <t>カイメ</t>
    </rPh>
    <phoneticPr fontId="1"/>
  </si>
  <si>
    <t>データの集計（和、平均）、データの並び替え、ランキング、データ解析ツール（スプレッドシート）、表形式のデータ（csv）「コンピュータ演習」（13回目）</t>
    <phoneticPr fontId="1"/>
  </si>
  <si>
    <t>様式１－２</t>
    <rPh sb="0" eb="2">
      <t>ヨウシキ</t>
    </rPh>
    <phoneticPr fontId="1"/>
  </si>
  <si>
    <t>獣医学部 動物応用科学科</t>
    <rPh sb="0" eb="4">
      <t>ジュウイガクブ</t>
    </rPh>
    <rPh sb="5" eb="7">
      <t>ドウブツ</t>
    </rPh>
    <rPh sb="7" eb="9">
      <t>オウヨウ</t>
    </rPh>
    <rPh sb="9" eb="11">
      <t>カガク</t>
    </rPh>
    <rPh sb="11" eb="12">
      <t>カ</t>
    </rPh>
    <phoneticPr fontId="1"/>
  </si>
  <si>
    <t xml:space="preserve">地球共生系データサイエンスプログラム「基礎プログラム」の単位取得による。獣医学科における「基礎プログラム」の構成科目は次のとおり
獣医学科　：　コンピュータ演習
</t>
    <rPh sb="36" eb="38">
      <t>ジュウイ</t>
    </rPh>
    <rPh sb="38" eb="40">
      <t>ガッカ</t>
    </rPh>
    <rPh sb="54" eb="56">
      <t>コウセイ</t>
    </rPh>
    <phoneticPr fontId="1"/>
  </si>
  <si>
    <t xml:space="preserve">地球共生系データサイエンスプログラム「基礎プログラム」の単位取得による。動物応用科学科における「基礎プログラム」の構成科目は次のとおり
動物応用科学科　：　コンピュータ演習
</t>
    <rPh sb="36" eb="38">
      <t>ドウブツ</t>
    </rPh>
    <rPh sb="38" eb="40">
      <t>オウヨウ</t>
    </rPh>
    <rPh sb="40" eb="42">
      <t>カガク</t>
    </rPh>
    <rPh sb="42" eb="43">
      <t>カ</t>
    </rPh>
    <rPh sb="57" eb="59">
      <t>コウセイ</t>
    </rPh>
    <rPh sb="69" eb="71">
      <t>ドウブツ</t>
    </rPh>
    <rPh sb="71" eb="73">
      <t>オウヨウ</t>
    </rPh>
    <rPh sb="73" eb="75">
      <t>カガク</t>
    </rPh>
    <rPh sb="75" eb="76">
      <t>カ</t>
    </rPh>
    <phoneticPr fontId="1"/>
  </si>
  <si>
    <t>様式１－３</t>
    <rPh sb="0" eb="2">
      <t>ヨウシキ</t>
    </rPh>
    <phoneticPr fontId="1"/>
  </si>
  <si>
    <t>生命・環境科学部 臨床検査技術学科</t>
    <rPh sb="0" eb="2">
      <t>セイメイ</t>
    </rPh>
    <rPh sb="3" eb="5">
      <t>カンキョウ</t>
    </rPh>
    <rPh sb="5" eb="7">
      <t>カガク</t>
    </rPh>
    <rPh sb="7" eb="8">
      <t>ブ</t>
    </rPh>
    <rPh sb="9" eb="11">
      <t>リンショウ</t>
    </rPh>
    <rPh sb="11" eb="13">
      <t>ケンサ</t>
    </rPh>
    <rPh sb="13" eb="15">
      <t>ギジュツ</t>
    </rPh>
    <rPh sb="15" eb="17">
      <t>ガッカ</t>
    </rPh>
    <phoneticPr fontId="1"/>
  </si>
  <si>
    <t xml:space="preserve">地球共生系データサイエンスプログラム「基礎プログラム」の単位取得による。臨床検査技術学科における「基礎プログラム」の構成科目は次のとおり
臨床検査技術学科　：　コンピュータ実習
</t>
    <rPh sb="36" eb="38">
      <t>リンショウ</t>
    </rPh>
    <rPh sb="38" eb="40">
      <t>ケンサ</t>
    </rPh>
    <rPh sb="40" eb="42">
      <t>ギジュツ</t>
    </rPh>
    <rPh sb="42" eb="44">
      <t>ガッカ</t>
    </rPh>
    <rPh sb="58" eb="60">
      <t>コウセイ</t>
    </rPh>
    <rPh sb="70" eb="72">
      <t>リンショウ</t>
    </rPh>
    <rPh sb="72" eb="74">
      <t>ケンサ</t>
    </rPh>
    <rPh sb="74" eb="76">
      <t>ギジュツ</t>
    </rPh>
    <rPh sb="76" eb="78">
      <t>ガッカ</t>
    </rPh>
    <rPh sb="87" eb="89">
      <t>ジッシュウ</t>
    </rPh>
    <phoneticPr fontId="1"/>
  </si>
  <si>
    <t>コンピュータ実習</t>
    <rPh sb="6" eb="8">
      <t>ジッシュウ</t>
    </rPh>
    <phoneticPr fontId="1"/>
  </si>
  <si>
    <t>様式１－４</t>
    <rPh sb="0" eb="2">
      <t>ヨウシキ</t>
    </rPh>
    <phoneticPr fontId="1"/>
  </si>
  <si>
    <t>生命・環境科学部 食品生命科学科</t>
    <rPh sb="0" eb="2">
      <t>セイメイ</t>
    </rPh>
    <rPh sb="3" eb="5">
      <t>カンキョウ</t>
    </rPh>
    <rPh sb="5" eb="7">
      <t>カガク</t>
    </rPh>
    <rPh sb="7" eb="8">
      <t>ブ</t>
    </rPh>
    <rPh sb="9" eb="11">
      <t>ショクヒン</t>
    </rPh>
    <rPh sb="11" eb="13">
      <t>セイメイ</t>
    </rPh>
    <rPh sb="13" eb="15">
      <t>カガク</t>
    </rPh>
    <rPh sb="15" eb="16">
      <t>カ</t>
    </rPh>
    <phoneticPr fontId="1"/>
  </si>
  <si>
    <t xml:space="preserve">地球共生系データサイエンスプログラム「基礎プログラム」の単位取得による。食品生命科学科における「基礎プログラム」の構成科目は次のとおり
食品生命科学科　：　コンピュータ演習基礎
</t>
    <rPh sb="36" eb="38">
      <t>ショクヒン</t>
    </rPh>
    <rPh sb="38" eb="40">
      <t>セイメイ</t>
    </rPh>
    <rPh sb="40" eb="42">
      <t>カガク</t>
    </rPh>
    <rPh sb="42" eb="43">
      <t>カ</t>
    </rPh>
    <rPh sb="57" eb="59">
      <t>コウセイ</t>
    </rPh>
    <rPh sb="69" eb="71">
      <t>ショクヒン</t>
    </rPh>
    <rPh sb="71" eb="73">
      <t>セイメイ</t>
    </rPh>
    <rPh sb="73" eb="75">
      <t>カガク</t>
    </rPh>
    <rPh sb="75" eb="76">
      <t>カ</t>
    </rPh>
    <rPh sb="85" eb="87">
      <t>エンシュウ</t>
    </rPh>
    <rPh sb="87" eb="89">
      <t>キソ</t>
    </rPh>
    <phoneticPr fontId="1"/>
  </si>
  <si>
    <t>コンピュータ演習基礎</t>
    <rPh sb="6" eb="8">
      <t>エンシュウ</t>
    </rPh>
    <rPh sb="8" eb="10">
      <t>キソ</t>
    </rPh>
    <phoneticPr fontId="1"/>
  </si>
  <si>
    <t>ビッグデータ、IoT、AI、データ量の増加、計算機の処理性能の向上「コンピュータ実習」（10回目）</t>
    <rPh sb="46" eb="48">
      <t>カイメ</t>
    </rPh>
    <phoneticPr fontId="1"/>
  </si>
  <si>
    <t>AI等を活用した新しいビジネスモデル、・AI最新技術の活用例「コンピュータ実習」（10回目）</t>
    <phoneticPr fontId="1"/>
  </si>
  <si>
    <t>人の行動ログデータ、機械の稼働ログデータ、「コンピュータ実習」（10回目）</t>
    <rPh sb="34" eb="36">
      <t>カイメ</t>
    </rPh>
    <phoneticPr fontId="1"/>
  </si>
  <si>
    <t>データ・AI活用領域の広がり、研究開発「コンピュータ実習」（11回目）</t>
    <rPh sb="6" eb="8">
      <t>カツヨウ</t>
    </rPh>
    <rPh sb="8" eb="10">
      <t>リョウイキ</t>
    </rPh>
    <rPh sb="11" eb="12">
      <t>ヒロ</t>
    </rPh>
    <rPh sb="15" eb="17">
      <t>ケンキュウ</t>
    </rPh>
    <rPh sb="17" eb="19">
      <t>カイハツ</t>
    </rPh>
    <rPh sb="32" eb="34">
      <t>カイメ</t>
    </rPh>
    <phoneticPr fontId="1"/>
  </si>
  <si>
    <t>データ解析：予測、グルーピング、パターン発見、最適化、シミュレーション・データ同化など、AIとビッグデータ「コンピュータ実習」（11回目）</t>
    <rPh sb="66" eb="68">
      <t>カイメ</t>
    </rPh>
    <phoneticPr fontId="1"/>
  </si>
  <si>
    <t>ヘルスケアにおけるデータ・AI利活用事例紹介「コンピュータ実習」（11回目）</t>
    <rPh sb="35" eb="37">
      <t>カイメ</t>
    </rPh>
    <phoneticPr fontId="1"/>
  </si>
  <si>
    <t>ELSI、データ倫理、データバイアス、個人情報保護、AI社会原則、AIサービスの責任論「コンピュータ実習」（12回目）</t>
    <rPh sb="56" eb="58">
      <t>カイメ</t>
    </rPh>
    <phoneticPr fontId="1"/>
  </si>
  <si>
    <t>情報セキュリティ：機密性、匿名加工情報、暗号化、パスワード「コンピュータ実習」（12回目）</t>
    <rPh sb="17" eb="19">
      <t>ジョウホウ</t>
    </rPh>
    <rPh sb="42" eb="44">
      <t>カイメ</t>
    </rPh>
    <phoneticPr fontId="1"/>
  </si>
  <si>
    <t>データの種類（量的変数、質的変数）、データの分布(ヒストグラム)と代表値（平均値、中央値、最頻値）、データのばらつき（分散、標準偏差、偏差値）「コンピュータ実習」（7回目）
統計情報の正しい理解（誇張表現に惑わされない）「コンピュータ実習」（8回目）</t>
    <rPh sb="83" eb="85">
      <t>カイメ</t>
    </rPh>
    <phoneticPr fontId="1"/>
  </si>
  <si>
    <t>データ表現（棒グラフ、折線グラフ、散布図）、データの比較（条件をそろえた比較、処理の前後での比較、A/Bテスト)「コンピュータ実習」（7回目）</t>
    <phoneticPr fontId="1"/>
  </si>
  <si>
    <t>データの集計（和、平均）、データの並び替え、ランキング、データ解析ツール（スプレッドシート）、表形式のデータ（csv）「コンピュータ実習」（13回目）</t>
    <phoneticPr fontId="1"/>
  </si>
  <si>
    <t>ビッグデータ、IoT、AI、データ量の増加、計算機の処理性能の向上「コンピュータ演習基礎」（10回目）</t>
    <rPh sb="40" eb="42">
      <t>エンシュウ</t>
    </rPh>
    <rPh sb="42" eb="44">
      <t>キソ</t>
    </rPh>
    <rPh sb="48" eb="50">
      <t>カイメ</t>
    </rPh>
    <phoneticPr fontId="1"/>
  </si>
  <si>
    <t>AI等を活用した新しいビジネスモデル、・AI最新技術の活用例「コンピュータ演習基礎」（10回目）</t>
    <phoneticPr fontId="1"/>
  </si>
  <si>
    <t>人の行動ログデータ、機械の稼働ログデータ、「コンピュータ演習基礎」（10回目）</t>
    <rPh sb="28" eb="30">
      <t>エンシュウ</t>
    </rPh>
    <rPh sb="30" eb="32">
      <t>キソ</t>
    </rPh>
    <rPh sb="36" eb="38">
      <t>カイメ</t>
    </rPh>
    <phoneticPr fontId="1"/>
  </si>
  <si>
    <t>データ・AI活用領域の広がり、研究開発「コンピュータ演習基礎」（11回目）</t>
    <rPh sb="6" eb="8">
      <t>カツヨウ</t>
    </rPh>
    <rPh sb="8" eb="10">
      <t>リョウイキ</t>
    </rPh>
    <rPh sb="11" eb="12">
      <t>ヒロ</t>
    </rPh>
    <rPh sb="15" eb="17">
      <t>ケンキュウ</t>
    </rPh>
    <rPh sb="17" eb="19">
      <t>カイハツ</t>
    </rPh>
    <rPh sb="34" eb="36">
      <t>カイメ</t>
    </rPh>
    <phoneticPr fontId="1"/>
  </si>
  <si>
    <t>データ解析：予測、グルーピング、パターン発見、最適化、シミュレーション・データ同化など、AIとビッグデータ「コンピュータ演習基礎」（11回目）</t>
    <rPh sb="68" eb="70">
      <t>カイメ</t>
    </rPh>
    <phoneticPr fontId="1"/>
  </si>
  <si>
    <t>ヘルスケアにおけるデータ・AI利活用事例紹介「コンピュータ演習基礎」（11回目）</t>
    <rPh sb="29" eb="31">
      <t>エンシュウ</t>
    </rPh>
    <rPh sb="31" eb="33">
      <t>キソ</t>
    </rPh>
    <rPh sb="37" eb="39">
      <t>カイメ</t>
    </rPh>
    <phoneticPr fontId="1"/>
  </si>
  <si>
    <t>ELSI、データ倫理、データバイアス、個人情報保護、AI社会原則、AIサービスの責任論「コンピュータ演習基礎」（12回目）</t>
    <rPh sb="50" eb="52">
      <t>エンシュウ</t>
    </rPh>
    <rPh sb="52" eb="54">
      <t>キソ</t>
    </rPh>
    <rPh sb="58" eb="60">
      <t>カイメ</t>
    </rPh>
    <phoneticPr fontId="1"/>
  </si>
  <si>
    <t>情報セキュリティ：機密性、匿名加工情報、暗号化、パスワード「コンピュータ演習基礎」（12回目）</t>
    <rPh sb="17" eb="19">
      <t>ジョウホウ</t>
    </rPh>
    <rPh sb="36" eb="38">
      <t>エンシュウ</t>
    </rPh>
    <rPh sb="38" eb="40">
      <t>キソ</t>
    </rPh>
    <rPh sb="44" eb="46">
      <t>カイメ</t>
    </rPh>
    <phoneticPr fontId="1"/>
  </si>
  <si>
    <t>データの種類（量的変数、質的変数）、データの分布(ヒストグラム)と代表値（平均値、中央値、最頻値）、データのばらつき（分散、標準偏差、偏差値）「コンピュータ演習基礎」（7回目）
統計情報の正しい理解（誇張表現に惑わされない）「コンピュータ演習基礎」（8回目）</t>
    <rPh sb="85" eb="87">
      <t>カイメ</t>
    </rPh>
    <phoneticPr fontId="1"/>
  </si>
  <si>
    <t>データ表現（棒グラフ、折線グラフ、散布図）、データの比較（条件をそろえた比較、処理の前後での比較、A/Bテスト)「コンピュータ演習基礎」（7回目）</t>
    <phoneticPr fontId="1"/>
  </si>
  <si>
    <t>データの集計（和、平均）、データの並び替え、ランキング、データ解析ツール（スプレッドシート）、表形式のデータ（csv）「コンピュータ演習基礎」（13回目）</t>
    <phoneticPr fontId="1"/>
  </si>
  <si>
    <t>様式１－５</t>
    <rPh sb="0" eb="2">
      <t>ヨウシキ</t>
    </rPh>
    <phoneticPr fontId="1"/>
  </si>
  <si>
    <t>生命・環境科学部 環境科学科</t>
    <rPh sb="0" eb="2">
      <t>セイメイ</t>
    </rPh>
    <rPh sb="3" eb="5">
      <t>カンキョウ</t>
    </rPh>
    <rPh sb="5" eb="7">
      <t>カガク</t>
    </rPh>
    <rPh sb="7" eb="8">
      <t>ブ</t>
    </rPh>
    <rPh sb="9" eb="11">
      <t>カンキョウ</t>
    </rPh>
    <rPh sb="11" eb="13">
      <t>カガク</t>
    </rPh>
    <rPh sb="13" eb="14">
      <t>カ</t>
    </rPh>
    <phoneticPr fontId="1"/>
  </si>
  <si>
    <t xml:space="preserve">地球共生系データサイエンスプログラム「基礎プログラム」の単位取得による。環境科学科における「基礎プログラム」の構成科目は次のとおり
環境科学科　：　コンピュータ概論・同実習
</t>
    <rPh sb="36" eb="38">
      <t>カンキョウ</t>
    </rPh>
    <rPh sb="38" eb="40">
      <t>カガク</t>
    </rPh>
    <rPh sb="40" eb="41">
      <t>カ</t>
    </rPh>
    <rPh sb="55" eb="57">
      <t>コウセイ</t>
    </rPh>
    <rPh sb="67" eb="69">
      <t>カンキョウ</t>
    </rPh>
    <rPh sb="69" eb="71">
      <t>カガク</t>
    </rPh>
    <rPh sb="71" eb="72">
      <t>カ</t>
    </rPh>
    <rPh sb="81" eb="83">
      <t>ガイロン</t>
    </rPh>
    <rPh sb="84" eb="85">
      <t>ドウ</t>
    </rPh>
    <rPh sb="85" eb="87">
      <t>ジッシュウ</t>
    </rPh>
    <phoneticPr fontId="1"/>
  </si>
  <si>
    <t>コンピュータ概論・同実習</t>
    <rPh sb="6" eb="8">
      <t>ガイロン</t>
    </rPh>
    <rPh sb="9" eb="10">
      <t>ドウ</t>
    </rPh>
    <rPh sb="10" eb="12">
      <t>ジッシュウ</t>
    </rPh>
    <phoneticPr fontId="1"/>
  </si>
  <si>
    <t>ビッグデータ、IoT、AI、データ量の増加、計算機の処理性能の向上「コンピュータ概論・同実習」（10回目）</t>
    <rPh sb="40" eb="42">
      <t>ガイロン</t>
    </rPh>
    <rPh sb="43" eb="44">
      <t>ドウ</t>
    </rPh>
    <rPh sb="44" eb="46">
      <t>ジッシュウ</t>
    </rPh>
    <rPh sb="50" eb="52">
      <t>カイメ</t>
    </rPh>
    <phoneticPr fontId="1"/>
  </si>
  <si>
    <t>AI等を活用した新しいビジネスモデル、・AI最新技術の活用例「コンピュータ概論・同実習」（10回目）</t>
    <phoneticPr fontId="1"/>
  </si>
  <si>
    <t>人の行動ログデータ、機械の稼働ログデータ、「コンピュータ概論・同実習」（10回目）</t>
    <rPh sb="28" eb="30">
      <t>ガイロン</t>
    </rPh>
    <rPh sb="31" eb="32">
      <t>ドウ</t>
    </rPh>
    <rPh sb="32" eb="34">
      <t>ジッシュウ</t>
    </rPh>
    <rPh sb="38" eb="40">
      <t>カイメ</t>
    </rPh>
    <phoneticPr fontId="1"/>
  </si>
  <si>
    <t>データ・AI活用領域の広がり、研究開発「コンピュータ概論・同実習」（11回目）</t>
    <rPh sb="6" eb="8">
      <t>カツヨウ</t>
    </rPh>
    <rPh sb="8" eb="10">
      <t>リョウイキ</t>
    </rPh>
    <rPh sb="11" eb="12">
      <t>ヒロ</t>
    </rPh>
    <rPh sb="15" eb="17">
      <t>ケンキュウ</t>
    </rPh>
    <rPh sb="17" eb="19">
      <t>カイハツ</t>
    </rPh>
    <rPh sb="36" eb="38">
      <t>カイメ</t>
    </rPh>
    <phoneticPr fontId="1"/>
  </si>
  <si>
    <t>データ解析：予測、グルーピング、パターン発見、最適化、シミュレーション・データ同化など、AIとビッグデータ「コンピュータ概論・同実習」（11回目）</t>
    <rPh sb="70" eb="72">
      <t>カイメ</t>
    </rPh>
    <phoneticPr fontId="1"/>
  </si>
  <si>
    <t>ヘルスケアにおけるデータ・AI利活用事例紹介「コンピュータ概論・同実習」（11回目）</t>
    <rPh sb="29" eb="31">
      <t>ガイロン</t>
    </rPh>
    <rPh sb="32" eb="33">
      <t>ドウ</t>
    </rPh>
    <rPh sb="33" eb="35">
      <t>ジッシュウ</t>
    </rPh>
    <rPh sb="39" eb="41">
      <t>カイメ</t>
    </rPh>
    <phoneticPr fontId="1"/>
  </si>
  <si>
    <t>ELSI、データ倫理、データバイアス、個人情報保護、AI社会原則、AIサービスの責任論「コンピュータ概論・同実習」（12回目）</t>
    <rPh sb="50" eb="52">
      <t>ガイロン</t>
    </rPh>
    <rPh sb="53" eb="54">
      <t>ドウ</t>
    </rPh>
    <rPh sb="54" eb="56">
      <t>ジッシュウ</t>
    </rPh>
    <rPh sb="60" eb="62">
      <t>カイメ</t>
    </rPh>
    <phoneticPr fontId="1"/>
  </si>
  <si>
    <t>情報セキュリティ：機密性、匿名加工情報、暗号化、パスワード「コンピュータ概論・同実習」（12回目）</t>
    <rPh sb="17" eb="19">
      <t>ジョウホウ</t>
    </rPh>
    <rPh sb="36" eb="38">
      <t>ガイロン</t>
    </rPh>
    <rPh sb="39" eb="40">
      <t>ドウ</t>
    </rPh>
    <rPh sb="40" eb="42">
      <t>ジッシュウ</t>
    </rPh>
    <rPh sb="46" eb="48">
      <t>カイメ</t>
    </rPh>
    <phoneticPr fontId="1"/>
  </si>
  <si>
    <t>データの種類（量的変数、質的変数）、データの分布(ヒストグラム)と代表値（平均値、中央値、最頻値）、データのばらつき（分散、標準偏差、偏差値）「コンピュータ概論・同実習」（7回目）
統計情報の正しい理解（誇張表現に惑わされない）「コンピュータ概論・同実習」（8回目）</t>
    <rPh sb="87" eb="89">
      <t>カイメ</t>
    </rPh>
    <phoneticPr fontId="1"/>
  </si>
  <si>
    <t>データ表現（棒グラフ、折線グラフ、散布図）、データの比較（条件をそろえた比較、処理の前後での比較、A/Bテスト)「コンピュータ概論・同実習」（7回目）</t>
    <phoneticPr fontId="1"/>
  </si>
  <si>
    <t>データの集計（和、平均）、データの並び替え、ランキング、データ解析ツール（スプレッドシート）、表形式のデータ（csv）「コンピュータ概論・同実習」（13回目）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</si>
</sst>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2"/>
      <name val="ＭＳ Ｐゴシック"/>
      <family val="3"/>
      <charset val="128"/>
      <scheme val="minor"/>
    </font>
    <font>
      <sz val="14"/>
      <name val="ＭＳ Ｐゴシック"/>
      <family val="3"/>
      <charset val="128"/>
      <scheme val="minor"/>
    </font>
    <font>
      <sz val="11"/>
      <name val="ＭＳ Ｐゴシック"/>
      <family val="3"/>
      <charset val="128"/>
      <scheme val="minor"/>
    </font>
    <font>
      <sz val="9"/>
      <name val="ＭＳ Ｐゴシック"/>
      <family val="3"/>
      <charset val="128"/>
      <scheme val="minor"/>
    </font>
    <font>
      <sz val="12"/>
      <name val="MS PGothic"/>
      <family val="3"/>
      <charset val="128"/>
    </font>
    <font>
      <sz val="10"/>
      <name val="ＭＳ Ｐゴシック"/>
      <family val="3"/>
      <charset val="128"/>
      <scheme val="minor"/>
    </font>
    <font>
      <sz val="7"/>
      <name val="ＭＳ Ｐゴシック"/>
      <family val="3"/>
      <charset val="128"/>
      <scheme val="minor"/>
    </font>
    <font>
      <sz val="8"/>
      <name val="ＭＳ Ｐゴシック"/>
      <family val="3"/>
      <charset val="128"/>
      <scheme val="minor"/>
    </font>
    <font>
      <sz val="6"/>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rgb="FF000000"/>
      </right>
      <top style="thin">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1">
    <xf numFmtId="0" fontId="0" fillId="0" borderId="0" xfId="0">
      <alignment vertical="center"/>
    </xf>
    <xf numFmtId="0" fontId="2" fillId="0" borderId="0" xfId="0" applyFont="1">
      <alignment vertical="center"/>
    </xf>
    <xf numFmtId="0" fontId="5" fillId="0" borderId="0" xfId="0" applyFont="1">
      <alignment vertical="center"/>
    </xf>
    <xf numFmtId="0" fontId="3" fillId="0" borderId="0" xfId="0" applyFont="1" applyAlignment="1">
      <alignment vertical="top" wrapText="1"/>
    </xf>
    <xf numFmtId="0" fontId="2" fillId="0" borderId="0" xfId="0" applyFont="1" applyAlignment="1">
      <alignment vertical="top" wrapText="1"/>
    </xf>
    <xf numFmtId="0" fontId="6" fillId="0" borderId="0" xfId="0" applyFont="1">
      <alignment vertical="center"/>
    </xf>
    <xf numFmtId="0" fontId="6" fillId="0" borderId="1" xfId="0" applyFont="1" applyBorder="1" applyAlignment="1">
      <alignment horizontal="center" vertical="center"/>
    </xf>
    <xf numFmtId="0" fontId="6" fillId="0" borderId="0" xfId="0" applyFont="1" applyAlignment="1">
      <alignment horizontal="right" vertical="center"/>
    </xf>
    <xf numFmtId="0" fontId="6" fillId="0" borderId="0" xfId="0" applyFont="1" applyAlignment="1">
      <alignment vertical="center" shrinkToFit="1"/>
    </xf>
    <xf numFmtId="0" fontId="6" fillId="0" borderId="0" xfId="0" applyFont="1" applyAlignment="1">
      <alignment horizontal="left" vertical="center" shrinkToFit="1"/>
    </xf>
    <xf numFmtId="0" fontId="6" fillId="0" borderId="0" xfId="0" applyFont="1" applyAlignment="1">
      <alignment horizontal="center" vertical="center"/>
    </xf>
    <xf numFmtId="0" fontId="6" fillId="0" borderId="10" xfId="0" applyFont="1" applyBorder="1" applyAlignment="1">
      <alignment horizontal="right" vertical="center"/>
    </xf>
    <xf numFmtId="0" fontId="6" fillId="0" borderId="0" xfId="0" applyFont="1" applyAlignment="1">
      <alignment horizontal="left" vertical="center"/>
    </xf>
    <xf numFmtId="0" fontId="8" fillId="0" borderId="0" xfId="0" applyFont="1" applyAlignment="1">
      <alignment horizontal="center" vertical="center"/>
    </xf>
    <xf numFmtId="0" fontId="6" fillId="0" borderId="5" xfId="0" applyFont="1" applyBorder="1">
      <alignment vertical="center"/>
    </xf>
    <xf numFmtId="0" fontId="9" fillId="0" borderId="1" xfId="0" applyFont="1" applyBorder="1" applyAlignment="1">
      <alignment horizontal="center" vertical="center" shrinkToFit="1"/>
    </xf>
    <xf numFmtId="0" fontId="9" fillId="0" borderId="4" xfId="0" applyFont="1" applyBorder="1" applyAlignment="1">
      <alignment horizontal="center" vertical="center" shrinkToFit="1"/>
    </xf>
    <xf numFmtId="49" fontId="9" fillId="0" borderId="1" xfId="0" applyNumberFormat="1" applyFont="1" applyBorder="1" applyAlignment="1">
      <alignment horizontal="center" vertical="center"/>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6" fillId="0" borderId="40" xfId="0" applyFont="1" applyBorder="1" applyAlignment="1">
      <alignment horizontal="center" vertical="center" shrinkToFit="1"/>
    </xf>
    <xf numFmtId="0" fontId="10" fillId="0" borderId="63" xfId="0" applyFont="1" applyBorder="1" applyAlignment="1">
      <alignment horizontal="center" vertical="center" shrinkToFit="1"/>
    </xf>
    <xf numFmtId="0" fontId="10" fillId="0" borderId="61" xfId="0" applyFont="1" applyBorder="1" applyAlignment="1">
      <alignment horizontal="center" vertical="center"/>
    </xf>
    <xf numFmtId="0" fontId="10" fillId="0" borderId="64" xfId="0" applyFont="1" applyBorder="1" applyAlignment="1">
      <alignment horizontal="center" vertical="center" shrinkToFit="1"/>
    </xf>
    <xf numFmtId="0" fontId="10" fillId="0" borderId="62" xfId="0" applyFont="1" applyBorder="1" applyAlignment="1">
      <alignment horizontal="center" vertical="center"/>
    </xf>
    <xf numFmtId="0" fontId="6" fillId="0" borderId="0" xfId="0" applyFont="1" applyAlignment="1">
      <alignment horizontal="center" vertical="center" shrinkToFit="1"/>
    </xf>
    <xf numFmtId="49" fontId="9" fillId="0" borderId="48" xfId="0" applyNumberFormat="1" applyFont="1" applyBorder="1" applyAlignment="1">
      <alignment horizontal="center" vertical="center"/>
    </xf>
    <xf numFmtId="49" fontId="9" fillId="0" borderId="49" xfId="0" applyNumberFormat="1" applyFont="1" applyBorder="1" applyAlignment="1">
      <alignment horizontal="center" vertical="center"/>
    </xf>
    <xf numFmtId="49" fontId="9" fillId="0" borderId="44" xfId="0" applyNumberFormat="1" applyFont="1" applyBorder="1" applyAlignment="1">
      <alignment horizontal="center" vertical="center"/>
    </xf>
    <xf numFmtId="49" fontId="9" fillId="0" borderId="29" xfId="0" applyNumberFormat="1" applyFont="1" applyBorder="1" applyAlignment="1">
      <alignment horizontal="center" vertical="center"/>
    </xf>
    <xf numFmtId="49" fontId="9" fillId="0" borderId="47" xfId="0" applyNumberFormat="1" applyFont="1" applyBorder="1" applyAlignment="1">
      <alignment horizontal="center" vertical="center"/>
    </xf>
    <xf numFmtId="49" fontId="9" fillId="0" borderId="32" xfId="0" applyNumberFormat="1" applyFont="1" applyBorder="1" applyAlignment="1">
      <alignment horizontal="center" vertical="center"/>
    </xf>
    <xf numFmtId="0" fontId="13" fillId="0" borderId="11" xfId="0" applyFont="1" applyBorder="1" applyAlignment="1">
      <alignment horizontal="center" vertical="center"/>
    </xf>
    <xf numFmtId="0" fontId="13" fillId="0" borderId="52" xfId="0" applyFont="1" applyBorder="1" applyAlignment="1">
      <alignment horizontal="center" vertical="center"/>
    </xf>
    <xf numFmtId="0" fontId="13" fillId="0" borderId="53" xfId="0" applyFont="1" applyBorder="1" applyAlignment="1">
      <alignment horizontal="center" vertical="center"/>
    </xf>
    <xf numFmtId="0" fontId="6" fillId="0" borderId="14" xfId="0" applyFont="1" applyBorder="1" applyAlignment="1">
      <alignment horizontal="left" vertical="center" shrinkToFit="1"/>
    </xf>
    <xf numFmtId="38" fontId="6" fillId="0" borderId="50" xfId="2" applyFont="1" applyBorder="1" applyAlignment="1">
      <alignment vertical="center" shrinkToFit="1"/>
    </xf>
    <xf numFmtId="38" fontId="6" fillId="0" borderId="0" xfId="2" applyFont="1" applyAlignment="1">
      <alignment vertical="center" shrinkToFit="1"/>
    </xf>
    <xf numFmtId="38" fontId="6" fillId="0" borderId="5" xfId="2" applyFont="1" applyBorder="1" applyAlignment="1">
      <alignment vertical="center" shrinkToFit="1"/>
    </xf>
    <xf numFmtId="38" fontId="6" fillId="0" borderId="54" xfId="2" applyFont="1" applyBorder="1" applyAlignment="1">
      <alignment vertical="center" shrinkToFit="1"/>
    </xf>
    <xf numFmtId="38" fontId="6" fillId="0" borderId="30" xfId="2" applyFont="1" applyBorder="1" applyAlignment="1">
      <alignment vertical="center" shrinkToFit="1"/>
    </xf>
    <xf numFmtId="9" fontId="6" fillId="0" borderId="1" xfId="0" applyNumberFormat="1" applyFont="1" applyBorder="1" applyAlignment="1">
      <alignment vertical="center" shrinkToFit="1"/>
    </xf>
    <xf numFmtId="0" fontId="6" fillId="0" borderId="23" xfId="0" applyFont="1" applyBorder="1" applyAlignment="1">
      <alignment horizontal="left" vertical="center" shrinkToFit="1"/>
    </xf>
    <xf numFmtId="38" fontId="6" fillId="0" borderId="23" xfId="2" applyFont="1" applyBorder="1" applyAlignment="1">
      <alignment vertical="center" shrinkToFit="1"/>
    </xf>
    <xf numFmtId="38" fontId="6" fillId="0" borderId="20" xfId="2" applyFont="1" applyBorder="1" applyAlignment="1">
      <alignment vertical="center" shrinkToFit="1"/>
    </xf>
    <xf numFmtId="38" fontId="6" fillId="0" borderId="19" xfId="2" applyFont="1" applyBorder="1" applyAlignment="1">
      <alignment vertical="center" shrinkToFit="1"/>
    </xf>
    <xf numFmtId="38" fontId="6" fillId="0" borderId="57" xfId="2" applyFont="1" applyBorder="1" applyAlignment="1">
      <alignment vertical="center" shrinkToFit="1"/>
    </xf>
    <xf numFmtId="38" fontId="6" fillId="0" borderId="55" xfId="2" applyFont="1" applyBorder="1" applyAlignment="1">
      <alignment vertical="center" shrinkToFit="1"/>
    </xf>
    <xf numFmtId="38" fontId="6" fillId="0" borderId="32" xfId="2" applyFont="1" applyBorder="1" applyAlignment="1">
      <alignment vertical="center" shrinkToFit="1"/>
    </xf>
    <xf numFmtId="9" fontId="6" fillId="0" borderId="60" xfId="0" applyNumberFormat="1" applyFont="1" applyBorder="1" applyAlignment="1">
      <alignment vertical="center" shrinkToFit="1"/>
    </xf>
    <xf numFmtId="9" fontId="6" fillId="0" borderId="23" xfId="0" applyNumberFormat="1" applyFont="1" applyBorder="1" applyAlignment="1">
      <alignment vertical="center" shrinkToFit="1"/>
    </xf>
    <xf numFmtId="38" fontId="6" fillId="0" borderId="18" xfId="2" applyFont="1" applyBorder="1" applyAlignment="1">
      <alignment vertical="center" shrinkToFit="1"/>
    </xf>
    <xf numFmtId="0" fontId="6" fillId="0" borderId="24" xfId="0" applyFont="1" applyBorder="1" applyAlignment="1">
      <alignment horizontal="left" vertical="center" shrinkToFit="1"/>
    </xf>
    <xf numFmtId="38" fontId="6" fillId="0" borderId="10" xfId="2" applyFont="1" applyBorder="1" applyAlignment="1">
      <alignment vertical="center" shrinkToFit="1"/>
    </xf>
    <xf numFmtId="38" fontId="6" fillId="0" borderId="56" xfId="2" applyFont="1" applyBorder="1" applyAlignment="1">
      <alignment vertical="center" shrinkToFit="1"/>
    </xf>
    <xf numFmtId="38" fontId="6" fillId="0" borderId="51" xfId="2" applyFont="1" applyBorder="1" applyAlignment="1">
      <alignment vertical="center" shrinkToFit="1"/>
    </xf>
    <xf numFmtId="9" fontId="6" fillId="0" borderId="10" xfId="0" applyNumberFormat="1" applyFont="1" applyBorder="1" applyAlignment="1">
      <alignment vertical="center" shrinkToFit="1"/>
    </xf>
    <xf numFmtId="0" fontId="6" fillId="0" borderId="28" xfId="0" applyFont="1" applyBorder="1" applyAlignment="1">
      <alignment horizontal="center" vertical="center" shrinkToFit="1"/>
    </xf>
    <xf numFmtId="38" fontId="6" fillId="0" borderId="28" xfId="2" applyFont="1" applyBorder="1" applyAlignment="1">
      <alignment vertical="center" shrinkToFit="1"/>
    </xf>
    <xf numFmtId="38" fontId="6" fillId="0" borderId="26" xfId="2" applyFont="1" applyBorder="1" applyAlignment="1">
      <alignment vertical="center" shrinkToFit="1"/>
    </xf>
    <xf numFmtId="38" fontId="6" fillId="0" borderId="25" xfId="2" applyFont="1" applyBorder="1" applyAlignment="1">
      <alignment vertical="center" shrinkToFit="1"/>
    </xf>
    <xf numFmtId="38" fontId="6" fillId="0" borderId="58" xfId="2" applyFont="1" applyBorder="1" applyAlignment="1">
      <alignment vertical="center" shrinkToFit="1"/>
    </xf>
    <xf numFmtId="38" fontId="6" fillId="0" borderId="33" xfId="2" applyFont="1" applyBorder="1" applyAlignment="1">
      <alignment vertical="center" shrinkToFit="1"/>
    </xf>
    <xf numFmtId="9" fontId="6" fillId="0" borderId="27" xfId="0" applyNumberFormat="1" applyFont="1" applyBorder="1" applyAlignment="1">
      <alignment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9" fillId="0" borderId="0" xfId="0" applyFont="1" applyAlignment="1">
      <alignment vertical="top" wrapText="1"/>
    </xf>
    <xf numFmtId="0" fontId="6" fillId="0" borderId="1" xfId="0" applyFont="1" applyBorder="1" applyAlignment="1">
      <alignment horizontal="center" vertical="center" wrapText="1" shrinkToFit="1"/>
    </xf>
    <xf numFmtId="0" fontId="6" fillId="0" borderId="1" xfId="0" applyFont="1" applyBorder="1" applyAlignment="1">
      <alignment horizontal="center" vertical="center" shrinkToFit="1"/>
    </xf>
    <xf numFmtId="176" fontId="6" fillId="0" borderId="1" xfId="0" applyNumberFormat="1" applyFont="1" applyBorder="1" applyAlignment="1">
      <alignment horizontal="center" vertical="center" shrinkToFit="1"/>
    </xf>
    <xf numFmtId="0" fontId="9" fillId="0" borderId="0" xfId="0" applyFont="1" applyAlignment="1">
      <alignment vertical="top" shrinkToFit="1"/>
    </xf>
    <xf numFmtId="0" fontId="7" fillId="0" borderId="0" xfId="0" applyFont="1" applyAlignment="1">
      <alignment horizontal="center" vertical="center"/>
    </xf>
    <xf numFmtId="0" fontId="6" fillId="0" borderId="1" xfId="0" applyFont="1" applyBorder="1" applyAlignment="1">
      <alignment horizontal="left" vertical="center"/>
    </xf>
    <xf numFmtId="0" fontId="6" fillId="2" borderId="5" xfId="0" applyFont="1" applyFill="1" applyBorder="1">
      <alignment vertical="center"/>
    </xf>
    <xf numFmtId="0" fontId="9" fillId="2" borderId="0" xfId="0" applyFont="1" applyFill="1" applyAlignment="1">
      <alignment vertical="top" wrapText="1"/>
    </xf>
    <xf numFmtId="0" fontId="9" fillId="2" borderId="10" xfId="0" applyFont="1" applyFill="1" applyBorder="1" applyAlignment="1">
      <alignment vertical="top" wrapText="1"/>
    </xf>
    <xf numFmtId="0" fontId="6" fillId="2" borderId="0" xfId="0" applyFont="1" applyFill="1">
      <alignment vertical="center"/>
    </xf>
    <xf numFmtId="0" fontId="9" fillId="2" borderId="5" xfId="0" applyFont="1" applyFill="1" applyBorder="1" applyAlignment="1">
      <alignment vertical="top" wrapText="1"/>
    </xf>
    <xf numFmtId="0" fontId="9" fillId="2" borderId="11" xfId="0" applyFont="1" applyFill="1" applyBorder="1" applyAlignment="1">
      <alignment vertical="top" wrapText="1"/>
    </xf>
    <xf numFmtId="0" fontId="9" fillId="2" borderId="42" xfId="0" applyFont="1" applyFill="1" applyBorder="1" applyAlignment="1">
      <alignment vertical="top" wrapText="1"/>
    </xf>
    <xf numFmtId="0" fontId="9" fillId="2" borderId="43" xfId="0" applyFont="1" applyFill="1" applyBorder="1" applyAlignment="1">
      <alignment vertical="top" wrapText="1"/>
    </xf>
    <xf numFmtId="0" fontId="9" fillId="2" borderId="42" xfId="0" applyFont="1" applyFill="1" applyBorder="1" applyAlignment="1">
      <alignment vertical="top" shrinkToFit="1"/>
    </xf>
    <xf numFmtId="0" fontId="9" fillId="2" borderId="43" xfId="0" applyFont="1" applyFill="1" applyBorder="1" applyAlignment="1">
      <alignment vertical="top" shrinkToFit="1"/>
    </xf>
    <xf numFmtId="0" fontId="6" fillId="0" borderId="0" xfId="0" applyFont="1" applyAlignment="1">
      <alignment vertical="center" wrapText="1"/>
    </xf>
    <xf numFmtId="0" fontId="6" fillId="0" borderId="0" xfId="0" applyFont="1" applyAlignment="1">
      <alignment horizontal="right" vertical="center"/>
    </xf>
    <xf numFmtId="0" fontId="6" fillId="0" borderId="1" xfId="0" applyFont="1" applyBorder="1" applyAlignment="1">
      <alignment horizontal="center" vertical="center"/>
    </xf>
    <xf numFmtId="0" fontId="6" fillId="0" borderId="0" xfId="0" applyFont="1">
      <alignment vertical="center"/>
    </xf>
    <xf numFmtId="0" fontId="6" fillId="0" borderId="0" xfId="0" applyFont="1" applyAlignment="1">
      <alignment horizontal="center" vertical="center"/>
    </xf>
    <xf numFmtId="0" fontId="6" fillId="0" borderId="0" xfId="0" applyFont="1" applyAlignment="1">
      <alignment vertical="top"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1" xfId="0" applyFont="1" applyBorder="1" applyAlignment="1">
      <alignment horizontal="left" vertical="center" wrapText="1"/>
    </xf>
    <xf numFmtId="0" fontId="6" fillId="0" borderId="6" xfId="0" applyFont="1" applyBorder="1" applyAlignment="1">
      <alignment horizontal="left" vertical="center" wrapText="1"/>
    </xf>
    <xf numFmtId="0" fontId="6" fillId="0" borderId="12" xfId="0" applyFont="1" applyBorder="1" applyAlignment="1">
      <alignment horizontal="left" vertical="center" wrapTex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37" xfId="0" applyFont="1" applyBorder="1" applyAlignment="1">
      <alignment vertical="center" shrinkToFit="1"/>
    </xf>
    <xf numFmtId="0" fontId="6" fillId="0" borderId="38" xfId="0" applyFont="1" applyBorder="1" applyAlignment="1">
      <alignment vertical="center" shrinkToFit="1"/>
    </xf>
    <xf numFmtId="0" fontId="6" fillId="0" borderId="39" xfId="0" applyFont="1" applyBorder="1" applyAlignment="1">
      <alignment vertical="center" shrinkToFi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vertical="center" wrapText="1"/>
    </xf>
    <xf numFmtId="0" fontId="6" fillId="0" borderId="0" xfId="0" applyFont="1" applyAlignment="1">
      <alignment horizontal="right" vertical="center"/>
    </xf>
    <xf numFmtId="0" fontId="6" fillId="0" borderId="34" xfId="0" applyFont="1" applyBorder="1" applyAlignment="1">
      <alignment vertical="center" shrinkToFit="1"/>
    </xf>
    <xf numFmtId="0" fontId="6" fillId="0" borderId="36" xfId="0" applyFont="1" applyBorder="1" applyAlignment="1">
      <alignment vertical="center" shrinkToFit="1"/>
    </xf>
    <xf numFmtId="0" fontId="6" fillId="0" borderId="35" xfId="0" applyFont="1" applyBorder="1" applyAlignment="1">
      <alignmen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7" fillId="0" borderId="0" xfId="0" applyFont="1" applyAlignment="1">
      <alignment horizontal="center" vertical="center"/>
    </xf>
    <xf numFmtId="0" fontId="6" fillId="0" borderId="7" xfId="0" applyFont="1" applyBorder="1" applyAlignment="1">
      <alignment horizontal="left" vertical="top" wrapText="1" shrinkToFit="1"/>
    </xf>
    <xf numFmtId="0" fontId="6" fillId="0" borderId="8" xfId="0" applyFont="1" applyBorder="1" applyAlignment="1">
      <alignment horizontal="left" vertical="top" wrapText="1" shrinkToFit="1"/>
    </xf>
    <xf numFmtId="0" fontId="6" fillId="0" borderId="9" xfId="0" applyFont="1" applyBorder="1" applyAlignment="1">
      <alignment horizontal="left" vertical="top" wrapText="1" shrinkToFit="1"/>
    </xf>
    <xf numFmtId="0" fontId="6" fillId="0" borderId="5" xfId="0" applyFont="1" applyBorder="1" applyAlignment="1">
      <alignment horizontal="left" vertical="top" wrapText="1" shrinkToFit="1"/>
    </xf>
    <xf numFmtId="0" fontId="6" fillId="0" borderId="0" xfId="0" applyFont="1" applyAlignment="1">
      <alignment horizontal="left" vertical="top" wrapText="1" shrinkToFit="1"/>
    </xf>
    <xf numFmtId="0" fontId="6" fillId="0" borderId="10" xfId="0" applyFont="1" applyBorder="1" applyAlignment="1">
      <alignment horizontal="left" vertical="top" wrapText="1" shrinkToFit="1"/>
    </xf>
    <xf numFmtId="0" fontId="6" fillId="0" borderId="11" xfId="0" applyFont="1" applyBorder="1" applyAlignment="1">
      <alignment horizontal="left" vertical="top" wrapText="1" shrinkToFit="1"/>
    </xf>
    <xf numFmtId="0" fontId="6" fillId="0" borderId="6" xfId="0" applyFont="1" applyBorder="1" applyAlignment="1">
      <alignment horizontal="left" vertical="top" wrapText="1" shrinkToFit="1"/>
    </xf>
    <xf numFmtId="0" fontId="6" fillId="0" borderId="12" xfId="0" applyFont="1" applyBorder="1" applyAlignment="1">
      <alignment horizontal="left" vertical="top" wrapText="1"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6" fillId="0" borderId="2" xfId="0" applyFont="1" applyBorder="1" applyAlignment="1">
      <alignment vertical="center" wrapText="1" shrinkToFit="1"/>
    </xf>
    <xf numFmtId="0" fontId="6" fillId="0" borderId="3" xfId="0" applyFont="1" applyBorder="1" applyAlignment="1">
      <alignment vertical="center" wrapText="1" shrinkToFit="1"/>
    </xf>
    <xf numFmtId="0" fontId="6" fillId="0" borderId="4" xfId="0" applyFont="1" applyBorder="1" applyAlignment="1">
      <alignment vertical="center" wrapText="1" shrinkToFit="1"/>
    </xf>
    <xf numFmtId="0" fontId="6" fillId="0" borderId="37" xfId="0" applyFont="1" applyBorder="1" applyAlignment="1">
      <alignment horizontal="center" vertical="center" shrinkToFit="1"/>
    </xf>
    <xf numFmtId="0" fontId="6" fillId="0" borderId="38"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6" fillId="0" borderId="22" xfId="0" applyFont="1" applyBorder="1" applyAlignment="1">
      <alignment horizontal="left" vertical="center" wrapText="1" shrinkToFit="1"/>
    </xf>
    <xf numFmtId="0" fontId="6" fillId="0" borderId="22" xfId="0" applyFont="1" applyBorder="1" applyAlignment="1">
      <alignment horizontal="left" vertical="center" shrinkToFit="1"/>
    </xf>
    <xf numFmtId="0" fontId="6" fillId="0" borderId="21" xfId="0" applyFont="1" applyBorder="1" applyAlignment="1">
      <alignment horizontal="left" vertical="center" shrinkToFit="1"/>
    </xf>
    <xf numFmtId="0" fontId="6" fillId="0" borderId="36" xfId="0" applyFont="1" applyBorder="1" applyAlignment="1">
      <alignment horizontal="left" vertical="center" wrapText="1" shrinkToFit="1"/>
    </xf>
    <xf numFmtId="0" fontId="6" fillId="0" borderId="36" xfId="0" applyFont="1" applyBorder="1" applyAlignment="1">
      <alignment horizontal="left" vertical="center" shrinkToFit="1"/>
    </xf>
    <xf numFmtId="0" fontId="6" fillId="0" borderId="35" xfId="0" applyFont="1" applyBorder="1" applyAlignment="1">
      <alignment horizontal="left" vertical="center" shrinkToFit="1"/>
    </xf>
    <xf numFmtId="0" fontId="6" fillId="0" borderId="6" xfId="0" applyFont="1" applyBorder="1" applyAlignment="1">
      <alignment horizontal="left" vertical="center" wrapText="1" shrinkToFit="1"/>
    </xf>
    <xf numFmtId="0" fontId="6" fillId="0" borderId="6" xfId="0" applyFont="1" applyBorder="1" applyAlignment="1">
      <alignment horizontal="left" vertical="center" shrinkToFit="1"/>
    </xf>
    <xf numFmtId="0" fontId="6" fillId="0" borderId="12" xfId="0" applyFont="1" applyBorder="1" applyAlignment="1">
      <alignment horizontal="left" vertical="center" shrinkToFit="1"/>
    </xf>
    <xf numFmtId="0" fontId="6" fillId="0" borderId="38" xfId="0" applyFont="1" applyBorder="1" applyAlignment="1">
      <alignment horizontal="left" vertical="center" wrapText="1" shrinkToFit="1"/>
    </xf>
    <xf numFmtId="0" fontId="6" fillId="0" borderId="38" xfId="0" applyFont="1" applyBorder="1" applyAlignment="1">
      <alignment horizontal="left" vertical="center" shrinkToFit="1"/>
    </xf>
    <xf numFmtId="0" fontId="6" fillId="0" borderId="39" xfId="0" applyFont="1" applyBorder="1" applyAlignment="1">
      <alignment horizontal="left" vertical="center" shrinkToFit="1"/>
    </xf>
    <xf numFmtId="0" fontId="6" fillId="0" borderId="19" xfId="0" applyFont="1" applyBorder="1" applyAlignment="1">
      <alignment vertical="center" wrapText="1" shrinkToFi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9" fillId="0" borderId="45" xfId="0" applyFont="1" applyBorder="1" applyAlignment="1">
      <alignment vertical="center" wrapText="1"/>
    </xf>
    <xf numFmtId="0" fontId="9" fillId="0" borderId="46" xfId="0" applyFont="1" applyBorder="1" applyAlignment="1">
      <alignment vertical="center" wrapText="1"/>
    </xf>
    <xf numFmtId="0" fontId="9" fillId="0" borderId="31" xfId="0" applyFont="1" applyBorder="1" applyAlignment="1">
      <alignment vertical="center" wrapText="1"/>
    </xf>
    <xf numFmtId="0" fontId="6" fillId="0" borderId="36" xfId="0" applyFont="1" applyBorder="1" applyAlignment="1">
      <alignment vertical="center" wrapText="1" shrinkToFit="1"/>
    </xf>
    <xf numFmtId="0" fontId="6" fillId="0" borderId="6" xfId="0" applyFont="1" applyBorder="1" applyAlignment="1">
      <alignment vertical="center" wrapText="1" shrinkToFit="1"/>
    </xf>
    <xf numFmtId="0" fontId="6" fillId="0" borderId="6" xfId="0" applyFont="1" applyBorder="1" applyAlignment="1">
      <alignment vertical="center" shrinkToFit="1"/>
    </xf>
    <xf numFmtId="0" fontId="6" fillId="0" borderId="12" xfId="0" applyFont="1" applyBorder="1" applyAlignment="1">
      <alignment vertical="center" shrinkToFit="1"/>
    </xf>
    <xf numFmtId="0" fontId="6" fillId="0" borderId="8" xfId="0" applyFont="1" applyBorder="1" applyAlignment="1">
      <alignment horizontal="left" vertical="center" wrapText="1" shrinkToFit="1"/>
    </xf>
    <xf numFmtId="0" fontId="6" fillId="0" borderId="8" xfId="0" applyFont="1" applyBorder="1" applyAlignment="1">
      <alignment horizontal="left" vertical="center" shrinkToFit="1"/>
    </xf>
    <xf numFmtId="0" fontId="6" fillId="0" borderId="9" xfId="0" applyFont="1" applyBorder="1" applyAlignment="1">
      <alignment horizontal="left" vertical="center" shrinkToFit="1"/>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6" fillId="0" borderId="34" xfId="0" applyFont="1" applyBorder="1" applyAlignment="1">
      <alignment horizontal="center" vertical="center" shrinkToFit="1"/>
    </xf>
    <xf numFmtId="0" fontId="6" fillId="0" borderId="36" xfId="0" applyFont="1" applyBorder="1" applyAlignment="1">
      <alignment horizontal="center" vertical="center" shrinkToFit="1"/>
    </xf>
    <xf numFmtId="0" fontId="6" fillId="0" borderId="35" xfId="0" applyFont="1" applyBorder="1" applyAlignment="1">
      <alignment horizontal="center" vertical="center" shrinkToFit="1"/>
    </xf>
    <xf numFmtId="0" fontId="8" fillId="0" borderId="16" xfId="0" applyFont="1" applyBorder="1" applyAlignment="1">
      <alignment horizontal="center" vertical="center"/>
    </xf>
    <xf numFmtId="0" fontId="8" fillId="0" borderId="22" xfId="0" applyFont="1" applyBorder="1" applyAlignment="1">
      <alignment horizontal="center" vertical="center"/>
    </xf>
    <xf numFmtId="0" fontId="6" fillId="0" borderId="14"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shrinkToFit="1"/>
    </xf>
    <xf numFmtId="0" fontId="6" fillId="0" borderId="4" xfId="0" applyFont="1" applyBorder="1" applyAlignment="1">
      <alignment horizontal="center" vertical="center" shrinkToFit="1"/>
    </xf>
    <xf numFmtId="0" fontId="6" fillId="0" borderId="15" xfId="0" applyFont="1" applyBorder="1" applyAlignment="1">
      <alignment horizontal="center" vertical="center"/>
    </xf>
    <xf numFmtId="0" fontId="6" fillId="0" borderId="50" xfId="0" applyFont="1" applyBorder="1" applyAlignment="1">
      <alignment horizontal="center" vertical="center"/>
    </xf>
    <xf numFmtId="0" fontId="6" fillId="0" borderId="13" xfId="0" applyFont="1" applyBorder="1" applyAlignment="1">
      <alignment horizontal="center" vertical="center"/>
    </xf>
    <xf numFmtId="0" fontId="11" fillId="0" borderId="8"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xf>
    <xf numFmtId="0" fontId="11" fillId="0" borderId="7"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1" xfId="0" applyFont="1" applyBorder="1" applyAlignment="1">
      <alignment horizontal="center" vertical="center"/>
    </xf>
    <xf numFmtId="0" fontId="12" fillId="0" borderId="15" xfId="0" applyFont="1" applyBorder="1" applyAlignment="1">
      <alignment horizontal="center" vertical="center" wrapText="1"/>
    </xf>
    <xf numFmtId="0" fontId="12" fillId="0" borderId="50" xfId="0" applyFont="1" applyBorder="1" applyAlignment="1">
      <alignment horizontal="center" vertical="center" wrapText="1"/>
    </xf>
    <xf numFmtId="0" fontId="12" fillId="0" borderId="13"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wrapText="1"/>
    </xf>
    <xf numFmtId="0" fontId="11" fillId="0" borderId="50" xfId="0" applyFont="1" applyBorder="1" applyAlignment="1">
      <alignment horizontal="center" vertical="center" wrapText="1"/>
    </xf>
    <xf numFmtId="0" fontId="11" fillId="0" borderId="13" xfId="0" applyFont="1" applyBorder="1" applyAlignment="1">
      <alignment horizontal="center" vertical="center"/>
    </xf>
    <xf numFmtId="0" fontId="6" fillId="0" borderId="7" xfId="0" applyFont="1" applyBorder="1" applyAlignment="1">
      <alignment vertical="top" wrapText="1"/>
    </xf>
    <xf numFmtId="0" fontId="6" fillId="0" borderId="8" xfId="0" applyFont="1" applyBorder="1" applyAlignment="1">
      <alignment vertical="top" wrapText="1"/>
    </xf>
    <xf numFmtId="0" fontId="6" fillId="0" borderId="9" xfId="0" applyFont="1" applyBorder="1" applyAlignment="1">
      <alignment vertical="top" wrapText="1"/>
    </xf>
    <xf numFmtId="0" fontId="6" fillId="0" borderId="5" xfId="0" applyFont="1" applyBorder="1" applyAlignment="1">
      <alignment vertical="top" wrapText="1"/>
    </xf>
    <xf numFmtId="0" fontId="6" fillId="0" borderId="0" xfId="0" applyFont="1" applyAlignment="1">
      <alignment vertical="top" wrapText="1"/>
    </xf>
    <xf numFmtId="0" fontId="6" fillId="0" borderId="10" xfId="0" applyFont="1" applyBorder="1" applyAlignment="1">
      <alignment vertical="top" wrapText="1"/>
    </xf>
    <xf numFmtId="0" fontId="6" fillId="0" borderId="11" xfId="0" applyFont="1" applyBorder="1" applyAlignment="1">
      <alignment vertical="top" wrapText="1"/>
    </xf>
    <xf numFmtId="0" fontId="6" fillId="0" borderId="6" xfId="0" applyFont="1" applyBorder="1" applyAlignment="1">
      <alignment vertical="top" wrapText="1"/>
    </xf>
    <xf numFmtId="0" fontId="6" fillId="0" borderId="12" xfId="0" applyFont="1" applyBorder="1" applyAlignment="1">
      <alignment vertical="top" wrapText="1"/>
    </xf>
    <xf numFmtId="0" fontId="6" fillId="0" borderId="9" xfId="0" applyFont="1" applyBorder="1" applyAlignment="1">
      <alignment vertical="top"/>
    </xf>
    <xf numFmtId="0" fontId="6" fillId="0" borderId="5" xfId="0" applyFont="1" applyBorder="1" applyAlignment="1">
      <alignment vertical="top"/>
    </xf>
    <xf numFmtId="0" fontId="6" fillId="0" borderId="0" xfId="0" applyFont="1" applyAlignment="1">
      <alignment vertical="top"/>
    </xf>
    <xf numFmtId="0" fontId="6" fillId="0" borderId="10" xfId="0" applyFont="1" applyBorder="1" applyAlignment="1">
      <alignment vertical="top"/>
    </xf>
    <xf numFmtId="0" fontId="6" fillId="0" borderId="11" xfId="0" applyFont="1" applyBorder="1" applyAlignment="1">
      <alignment vertical="top"/>
    </xf>
    <xf numFmtId="0" fontId="6" fillId="0" borderId="6" xfId="0" applyFont="1" applyBorder="1" applyAlignment="1">
      <alignment vertical="top"/>
    </xf>
    <xf numFmtId="0" fontId="6" fillId="0" borderId="12" xfId="0" applyFont="1" applyBorder="1" applyAlignment="1">
      <alignment vertical="top"/>
    </xf>
    <xf numFmtId="9" fontId="6" fillId="0" borderId="1" xfId="0" applyNumberFormat="1" applyFont="1" applyBorder="1" applyAlignment="1">
      <alignment horizontal="center" vertical="center" wrapText="1" shrinkToFi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6" xfId="0" applyFont="1" applyBorder="1" applyAlignment="1">
      <alignment horizontal="left" vertical="top" wrapText="1"/>
    </xf>
    <xf numFmtId="0" fontId="6" fillId="0" borderId="12" xfId="0" applyFont="1" applyBorder="1" applyAlignment="1">
      <alignment horizontal="left" vertical="top" wrapText="1"/>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9"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0" xfId="0" applyFont="1">
      <alignment vertical="center"/>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4" xfId="0" applyFont="1" applyBorder="1" applyAlignment="1">
      <alignment vertical="center"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6" fillId="2" borderId="5" xfId="0" applyFont="1" applyFill="1" applyBorder="1" applyAlignment="1">
      <alignment horizontal="center" vertical="center" shrinkToFit="1"/>
    </xf>
    <xf numFmtId="0" fontId="6" fillId="2" borderId="0" xfId="0" applyFont="1" applyFill="1" applyAlignment="1">
      <alignment horizontal="center" vertical="center" shrinkToFit="1"/>
    </xf>
    <xf numFmtId="0" fontId="6" fillId="2" borderId="10" xfId="0" applyFont="1" applyFill="1" applyBorder="1" applyAlignment="1">
      <alignment horizontal="center" vertical="center" shrinkToFit="1"/>
    </xf>
    <xf numFmtId="0" fontId="6" fillId="0" borderId="2" xfId="0" applyFont="1" applyBorder="1" applyAlignment="1">
      <alignment horizontal="left" vertical="center"/>
    </xf>
    <xf numFmtId="0" fontId="8" fillId="0" borderId="3" xfId="0" applyFont="1" applyBorder="1">
      <alignment vertical="center"/>
    </xf>
    <xf numFmtId="0" fontId="8" fillId="0" borderId="4" xfId="0" applyFont="1" applyBorder="1">
      <alignmen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6" fillId="0" borderId="2" xfId="0" applyFont="1" applyBorder="1" applyAlignment="1">
      <alignment horizontal="left" vertical="center" shrinkToFit="1"/>
    </xf>
    <xf numFmtId="0" fontId="8" fillId="0" borderId="4" xfId="0" applyFont="1" applyBorder="1" applyAlignment="1">
      <alignment horizontal="left" vertical="center" shrinkToFit="1"/>
    </xf>
    <xf numFmtId="0" fontId="6" fillId="0" borderId="2" xfId="0" applyFont="1" applyBorder="1" applyAlignment="1">
      <alignment horizontal="left" vertical="center" wrapText="1"/>
    </xf>
    <xf numFmtId="0" fontId="6" fillId="0" borderId="4" xfId="0" applyFont="1" applyBorder="1" applyAlignment="1">
      <alignment horizontal="left" vertical="center"/>
    </xf>
    <xf numFmtId="0" fontId="6" fillId="0" borderId="0" xfId="0" applyFont="1" applyAlignment="1">
      <alignment horizontal="center" vertical="center"/>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59" xfId="0" applyFont="1" applyBorder="1" applyAlignment="1">
      <alignment vertical="center" wrapText="1"/>
    </xf>
    <xf numFmtId="0" fontId="6" fillId="0" borderId="39" xfId="0" applyFont="1" applyBorder="1" applyAlignment="1">
      <alignment vertical="center" wrapText="1"/>
    </xf>
    <xf numFmtId="0" fontId="6" fillId="0" borderId="38" xfId="0" applyFont="1" applyBorder="1" applyAlignment="1">
      <alignment vertical="top" wrapText="1" shrinkToFit="1"/>
    </xf>
    <xf numFmtId="0" fontId="6" fillId="0" borderId="39" xfId="0" applyFont="1" applyBorder="1" applyAlignment="1">
      <alignment vertical="top" wrapText="1" shrinkToFit="1"/>
    </xf>
    <xf numFmtId="0" fontId="6" fillId="0" borderId="41" xfId="0" applyFont="1" applyBorder="1" applyAlignment="1">
      <alignment vertical="center" wrapText="1"/>
    </xf>
    <xf numFmtId="0" fontId="6" fillId="0" borderId="42" xfId="0" applyFont="1" applyBorder="1" applyAlignment="1">
      <alignment vertical="center" wrapText="1"/>
    </xf>
    <xf numFmtId="0" fontId="6" fillId="0" borderId="43" xfId="0" applyFont="1" applyBorder="1" applyAlignment="1">
      <alignment vertical="center" wrapText="1"/>
    </xf>
    <xf numFmtId="0" fontId="6" fillId="0" borderId="42" xfId="0" applyFont="1" applyBorder="1" applyAlignment="1">
      <alignment vertical="top" wrapText="1" shrinkToFit="1"/>
    </xf>
    <xf numFmtId="0" fontId="6" fillId="0" borderId="43" xfId="0" applyFont="1" applyBorder="1" applyAlignment="1">
      <alignment vertical="top" wrapText="1" shrinkToFit="1"/>
    </xf>
    <xf numFmtId="0" fontId="6" fillId="0" borderId="19" xfId="0" applyFont="1" applyBorder="1" applyAlignment="1">
      <alignment vertical="top" wrapText="1" shrinkToFit="1"/>
    </xf>
    <xf numFmtId="0" fontId="6" fillId="0" borderId="37" xfId="0" applyFont="1" applyBorder="1" applyAlignment="1">
      <alignment vertical="top" wrapText="1" shrinkToFit="1"/>
    </xf>
    <xf numFmtId="0" fontId="6" fillId="0" borderId="17" xfId="0" applyFont="1" applyBorder="1">
      <alignment vertical="center"/>
    </xf>
    <xf numFmtId="0" fontId="8" fillId="0" borderId="18" xfId="0" applyFont="1" applyBorder="1">
      <alignment vertical="center"/>
    </xf>
    <xf numFmtId="0" fontId="6" fillId="0" borderId="3" xfId="0" applyFont="1" applyBorder="1" applyAlignment="1">
      <alignment horizontal="left" vertical="center"/>
    </xf>
    <xf numFmtId="9" fontId="6" fillId="0" borderId="1" xfId="0" applyNumberFormat="1" applyFont="1" applyBorder="1" applyAlignment="1">
      <alignment horizontal="center" vertical="center" shrinkToFit="1"/>
    </xf>
    <xf numFmtId="9" fontId="6" fillId="0" borderId="0" xfId="1" applyFont="1" applyAlignment="1">
      <alignment horizontal="center" vertical="center"/>
    </xf>
    <xf numFmtId="9" fontId="6" fillId="0" borderId="1" xfId="0" applyNumberFormat="1" applyFont="1" applyBorder="1" applyAlignment="1">
      <alignment horizontal="center" vertical="center" shrinkToFit="1"/>
    </xf>
    <xf numFmtId="0" fontId="9" fillId="0" borderId="0" xfId="0" applyFont="1" applyAlignment="1">
      <alignment vertical="center" wrapText="1"/>
    </xf>
  </cellXfs>
  <cellStyles count="3">
    <cellStyle name="パーセント" xfId="1" builtinId="5"/>
    <cellStyle name="桁区切り" xfId="2" builtinId="6"/>
    <cellStyle name="標準" xfId="0" builtinId="0"/>
  </cellStyles>
  <dxfs count="5">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3A6B-75C1-4515-80A7-EAE0A862547E}">
  <sheetPr>
    <tabColor rgb="FFFF0000"/>
    <pageSetUpPr fitToPage="1"/>
  </sheetPr>
  <dimension ref="A1:V110"/>
  <sheetViews>
    <sheetView showZeros="0" tabSelected="1" view="pageBreakPreview" zoomScaleNormal="100" zoomScaleSheetLayoutView="100" workbookViewId="0">
      <selection activeCell="X17" sqref="X17"/>
    </sheetView>
  </sheetViews>
  <sheetFormatPr defaultColWidth="9" defaultRowHeight="18.75" customHeight="1"/>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c r="R1" s="107" t="s">
        <v>161</v>
      </c>
      <c r="S1" s="107"/>
      <c r="T1" s="66" t="s">
        <v>109</v>
      </c>
    </row>
    <row r="2" spans="1:22" ht="18.75" customHeight="1">
      <c r="B2" s="87" t="s">
        <v>108</v>
      </c>
      <c r="C2" s="103" t="s">
        <v>125</v>
      </c>
      <c r="D2" s="104"/>
      <c r="E2" s="104"/>
      <c r="F2" s="104"/>
      <c r="G2" s="104"/>
      <c r="H2" s="104"/>
      <c r="I2" s="105"/>
      <c r="J2" s="86"/>
      <c r="K2" s="8"/>
      <c r="L2" s="8"/>
      <c r="M2" s="8"/>
      <c r="N2" s="8"/>
      <c r="O2" s="8"/>
      <c r="P2" s="8"/>
      <c r="Q2" s="8"/>
      <c r="R2" s="8"/>
      <c r="S2" s="8"/>
    </row>
    <row r="3" spans="1:22" ht="18.75" customHeight="1">
      <c r="B3" s="87" t="s">
        <v>102</v>
      </c>
      <c r="C3" s="103" t="s">
        <v>126</v>
      </c>
      <c r="D3" s="104"/>
      <c r="E3" s="104"/>
      <c r="F3" s="104"/>
      <c r="G3" s="104"/>
      <c r="H3" s="104"/>
      <c r="I3" s="105"/>
      <c r="J3" s="86"/>
      <c r="K3" s="8"/>
      <c r="L3" s="8"/>
      <c r="M3" s="8"/>
      <c r="N3" s="8"/>
      <c r="O3" s="8"/>
      <c r="P3" s="8"/>
      <c r="Q3" s="8"/>
      <c r="R3" s="8"/>
      <c r="S3" s="8"/>
    </row>
    <row r="4" spans="1:22" ht="15" customHeight="1">
      <c r="K4" s="86"/>
      <c r="L4" s="9"/>
      <c r="M4" s="9"/>
      <c r="N4" s="9"/>
      <c r="O4" s="9"/>
      <c r="P4" s="9"/>
      <c r="Q4" s="9"/>
      <c r="R4" s="9"/>
      <c r="S4" s="9"/>
    </row>
    <row r="5" spans="1:22" ht="18" customHeight="1">
      <c r="A5" s="114" t="s">
        <v>38</v>
      </c>
      <c r="B5" s="114"/>
      <c r="C5" s="114"/>
      <c r="D5" s="114"/>
      <c r="E5" s="114"/>
      <c r="F5" s="114"/>
      <c r="G5" s="114"/>
      <c r="H5" s="114"/>
      <c r="I5" s="114"/>
      <c r="J5" s="114"/>
      <c r="K5" s="114"/>
      <c r="L5" s="114"/>
      <c r="M5" s="114"/>
      <c r="N5" s="114"/>
      <c r="O5" s="114"/>
      <c r="P5" s="114"/>
      <c r="Q5" s="114"/>
      <c r="R5" s="114"/>
      <c r="S5" s="114"/>
    </row>
    <row r="6" spans="1:22" ht="15" customHeight="1">
      <c r="B6" s="89"/>
      <c r="C6" s="89"/>
      <c r="D6" s="89"/>
      <c r="E6" s="89"/>
      <c r="F6" s="89"/>
      <c r="G6" s="89"/>
      <c r="H6" s="89"/>
      <c r="I6" s="89"/>
      <c r="J6" s="89"/>
      <c r="K6" s="89"/>
      <c r="L6" s="89"/>
      <c r="M6" s="89"/>
      <c r="N6" s="89"/>
      <c r="O6" s="89"/>
      <c r="P6" s="89"/>
      <c r="Q6" s="89"/>
      <c r="R6" s="89"/>
      <c r="S6" s="89"/>
    </row>
    <row r="7" spans="1:22" ht="18" customHeight="1">
      <c r="A7" s="88" t="s">
        <v>123</v>
      </c>
      <c r="C7" s="89"/>
      <c r="J7" s="11" t="s">
        <v>107</v>
      </c>
      <c r="K7" s="124" t="s">
        <v>127</v>
      </c>
      <c r="L7" s="125"/>
      <c r="M7" s="125"/>
      <c r="N7" s="125"/>
      <c r="O7" s="125"/>
      <c r="P7" s="125"/>
      <c r="Q7" s="125"/>
      <c r="R7" s="125"/>
      <c r="S7" s="126"/>
    </row>
    <row r="8" spans="1:22" ht="6" customHeight="1">
      <c r="B8" s="89"/>
      <c r="C8" s="89"/>
      <c r="D8" s="89"/>
      <c r="E8" s="89"/>
      <c r="F8" s="89"/>
      <c r="G8" s="89"/>
      <c r="H8" s="89"/>
      <c r="I8" s="89"/>
      <c r="J8" s="89"/>
      <c r="K8" s="12"/>
      <c r="L8" s="89"/>
      <c r="M8" s="89"/>
      <c r="N8" s="89"/>
      <c r="O8" s="89"/>
      <c r="P8" s="89"/>
      <c r="Q8" s="89"/>
      <c r="R8" s="89"/>
      <c r="S8" s="89"/>
    </row>
    <row r="9" spans="1:22" ht="18" customHeight="1">
      <c r="B9" s="91" t="s">
        <v>162</v>
      </c>
      <c r="C9" s="92"/>
      <c r="D9" s="92"/>
      <c r="E9" s="92"/>
      <c r="F9" s="92"/>
      <c r="G9" s="92"/>
      <c r="H9" s="92"/>
      <c r="I9" s="92"/>
      <c r="J9" s="92"/>
      <c r="K9" s="92"/>
      <c r="L9" s="92"/>
      <c r="M9" s="92"/>
      <c r="N9" s="92"/>
      <c r="O9" s="92"/>
      <c r="P9" s="92"/>
      <c r="Q9" s="92"/>
      <c r="R9" s="92"/>
      <c r="S9" s="93"/>
    </row>
    <row r="10" spans="1:22" ht="18" customHeight="1">
      <c r="B10" s="94"/>
      <c r="C10" s="95"/>
      <c r="D10" s="95"/>
      <c r="E10" s="95"/>
      <c r="F10" s="95"/>
      <c r="G10" s="95"/>
      <c r="H10" s="95"/>
      <c r="I10" s="95"/>
      <c r="J10" s="95"/>
      <c r="K10" s="95"/>
      <c r="L10" s="95"/>
      <c r="M10" s="95"/>
      <c r="N10" s="95"/>
      <c r="O10" s="95"/>
      <c r="P10" s="95"/>
      <c r="Q10" s="95"/>
      <c r="R10" s="95"/>
      <c r="S10" s="96"/>
    </row>
    <row r="11" spans="1:22" ht="6" customHeight="1">
      <c r="B11" s="89"/>
      <c r="C11" s="89"/>
      <c r="D11" s="89"/>
      <c r="E11" s="89"/>
      <c r="F11" s="89"/>
      <c r="G11" s="89"/>
      <c r="H11" s="89"/>
      <c r="I11" s="89"/>
      <c r="J11" s="89"/>
      <c r="K11" s="12"/>
      <c r="L11" s="89"/>
      <c r="M11" s="89"/>
      <c r="N11" s="89"/>
      <c r="O11" s="89"/>
      <c r="P11" s="89"/>
      <c r="Q11" s="89"/>
      <c r="R11" s="89"/>
      <c r="S11" s="89"/>
    </row>
    <row r="12" spans="1:22" ht="18" customHeight="1">
      <c r="A12" s="88" t="s">
        <v>111</v>
      </c>
      <c r="B12" s="89"/>
      <c r="C12" s="89"/>
      <c r="D12" s="86"/>
      <c r="E12" s="86"/>
      <c r="F12" s="86"/>
      <c r="G12" s="86"/>
      <c r="H12" s="86"/>
      <c r="I12" s="86"/>
      <c r="J12" s="86"/>
      <c r="K12" s="13"/>
      <c r="L12" s="13"/>
      <c r="M12" s="13"/>
      <c r="N12" s="13"/>
      <c r="O12" s="13"/>
      <c r="P12" s="13"/>
      <c r="Q12" s="13"/>
      <c r="R12" s="13"/>
      <c r="S12" s="13"/>
    </row>
    <row r="13" spans="1:22" ht="18" customHeight="1">
      <c r="B13" s="115" t="s">
        <v>177</v>
      </c>
      <c r="C13" s="116"/>
      <c r="D13" s="116"/>
      <c r="E13" s="116"/>
      <c r="F13" s="116"/>
      <c r="G13" s="116"/>
      <c r="H13" s="116"/>
      <c r="I13" s="116"/>
      <c r="J13" s="116"/>
      <c r="K13" s="116"/>
      <c r="L13" s="116"/>
      <c r="M13" s="116"/>
      <c r="N13" s="116"/>
      <c r="O13" s="116"/>
      <c r="P13" s="116"/>
      <c r="Q13" s="116"/>
      <c r="R13" s="116"/>
      <c r="S13" s="117"/>
      <c r="V13" s="88" t="s">
        <v>103</v>
      </c>
    </row>
    <row r="14" spans="1:22" ht="18" customHeight="1">
      <c r="B14" s="118"/>
      <c r="C14" s="119"/>
      <c r="D14" s="119"/>
      <c r="E14" s="119"/>
      <c r="F14" s="119"/>
      <c r="G14" s="119"/>
      <c r="H14" s="119"/>
      <c r="I14" s="119"/>
      <c r="J14" s="119"/>
      <c r="K14" s="119"/>
      <c r="L14" s="119"/>
      <c r="M14" s="119"/>
      <c r="N14" s="119"/>
      <c r="O14" s="119"/>
      <c r="P14" s="119"/>
      <c r="Q14" s="119"/>
      <c r="R14" s="119"/>
      <c r="S14" s="120"/>
      <c r="V14" s="88" t="s">
        <v>110</v>
      </c>
    </row>
    <row r="15" spans="1:22" ht="18" customHeight="1">
      <c r="B15" s="118"/>
      <c r="C15" s="119"/>
      <c r="D15" s="119"/>
      <c r="E15" s="119"/>
      <c r="F15" s="119"/>
      <c r="G15" s="119"/>
      <c r="H15" s="119"/>
      <c r="I15" s="119"/>
      <c r="J15" s="119"/>
      <c r="K15" s="119"/>
      <c r="L15" s="119"/>
      <c r="M15" s="119"/>
      <c r="N15" s="119"/>
      <c r="O15" s="119"/>
      <c r="P15" s="119"/>
      <c r="Q15" s="119"/>
      <c r="R15" s="119"/>
      <c r="S15" s="120"/>
      <c r="V15" s="88" t="s">
        <v>122</v>
      </c>
    </row>
    <row r="16" spans="1:22" ht="18" customHeight="1">
      <c r="B16" s="118"/>
      <c r="C16" s="119"/>
      <c r="D16" s="119"/>
      <c r="E16" s="119"/>
      <c r="F16" s="119"/>
      <c r="G16" s="119"/>
      <c r="H16" s="119"/>
      <c r="I16" s="119"/>
      <c r="J16" s="119"/>
      <c r="K16" s="119"/>
      <c r="L16" s="119"/>
      <c r="M16" s="119"/>
      <c r="N16" s="119"/>
      <c r="O16" s="119"/>
      <c r="P16" s="119"/>
      <c r="Q16" s="119"/>
      <c r="R16" s="119"/>
      <c r="S16" s="120"/>
      <c r="V16" s="88" t="s">
        <v>124</v>
      </c>
    </row>
    <row r="17" spans="1:19" ht="18" customHeight="1">
      <c r="B17" s="118"/>
      <c r="C17" s="119"/>
      <c r="D17" s="119"/>
      <c r="E17" s="119"/>
      <c r="F17" s="119"/>
      <c r="G17" s="119"/>
      <c r="H17" s="119"/>
      <c r="I17" s="119"/>
      <c r="J17" s="119"/>
      <c r="K17" s="119"/>
      <c r="L17" s="119"/>
      <c r="M17" s="119"/>
      <c r="N17" s="119"/>
      <c r="O17" s="119"/>
      <c r="P17" s="119"/>
      <c r="Q17" s="119"/>
      <c r="R17" s="119"/>
      <c r="S17" s="120"/>
    </row>
    <row r="18" spans="1:19" ht="18" customHeight="1">
      <c r="B18" s="121"/>
      <c r="C18" s="122"/>
      <c r="D18" s="122"/>
      <c r="E18" s="122"/>
      <c r="F18" s="122"/>
      <c r="G18" s="122"/>
      <c r="H18" s="122"/>
      <c r="I18" s="122"/>
      <c r="J18" s="122"/>
      <c r="K18" s="122"/>
      <c r="L18" s="122"/>
      <c r="M18" s="122"/>
      <c r="N18" s="122"/>
      <c r="O18" s="122"/>
      <c r="P18" s="122"/>
      <c r="Q18" s="122"/>
      <c r="R18" s="122"/>
      <c r="S18" s="123"/>
    </row>
    <row r="19" spans="1:19" ht="7.5" customHeight="1">
      <c r="B19" s="89"/>
      <c r="C19" s="89"/>
      <c r="D19" s="89"/>
      <c r="E19" s="89"/>
      <c r="F19" s="89"/>
      <c r="G19" s="89"/>
      <c r="H19" s="89"/>
      <c r="I19" s="89"/>
      <c r="J19" s="89"/>
      <c r="K19" s="89"/>
      <c r="L19" s="89"/>
      <c r="M19" s="89"/>
      <c r="N19" s="89"/>
      <c r="O19" s="89"/>
      <c r="P19" s="89"/>
      <c r="Q19" s="89"/>
      <c r="R19" s="89"/>
      <c r="S19" s="89"/>
    </row>
    <row r="20" spans="1:19" ht="19.899999999999999" customHeight="1">
      <c r="B20" s="88" t="s">
        <v>112</v>
      </c>
      <c r="C20" s="103">
        <v>1</v>
      </c>
      <c r="D20" s="105"/>
      <c r="E20" s="14" t="s">
        <v>95</v>
      </c>
      <c r="G20" s="12"/>
      <c r="H20" s="89"/>
      <c r="I20" s="89"/>
      <c r="J20" s="86" t="s">
        <v>121</v>
      </c>
      <c r="K20" s="111" t="s">
        <v>110</v>
      </c>
      <c r="L20" s="112"/>
      <c r="M20" s="112"/>
      <c r="N20" s="112"/>
      <c r="O20" s="112"/>
      <c r="P20" s="112"/>
      <c r="Q20" s="112"/>
      <c r="R20" s="112"/>
      <c r="S20" s="113"/>
    </row>
    <row r="21" spans="1:19" ht="7.5" customHeight="1">
      <c r="B21" s="89"/>
      <c r="C21" s="89"/>
      <c r="D21" s="89"/>
      <c r="E21" s="89"/>
      <c r="F21" s="89"/>
      <c r="G21" s="89"/>
      <c r="H21" s="89"/>
      <c r="I21" s="89"/>
      <c r="J21" s="89"/>
      <c r="K21" s="89"/>
      <c r="L21" s="89"/>
      <c r="M21" s="89"/>
      <c r="N21" s="89"/>
      <c r="O21" s="89"/>
      <c r="P21" s="89"/>
      <c r="Q21" s="89"/>
      <c r="R21" s="89"/>
      <c r="S21" s="89"/>
    </row>
    <row r="22" spans="1:19" ht="18" customHeight="1">
      <c r="A22" s="106" t="s">
        <v>113</v>
      </c>
      <c r="B22" s="106"/>
      <c r="C22" s="106"/>
      <c r="D22" s="106"/>
      <c r="E22" s="106"/>
      <c r="F22" s="106"/>
      <c r="G22" s="106"/>
      <c r="H22" s="106"/>
      <c r="I22" s="106"/>
      <c r="J22" s="106"/>
      <c r="K22" s="106"/>
      <c r="L22" s="106"/>
      <c r="M22" s="106"/>
      <c r="N22" s="106"/>
      <c r="O22" s="106"/>
      <c r="P22" s="106"/>
      <c r="Q22" s="106"/>
      <c r="R22" s="106"/>
      <c r="S22" s="106"/>
    </row>
    <row r="23" spans="1:19" ht="18" customHeight="1">
      <c r="A23" s="106"/>
      <c r="B23" s="106"/>
      <c r="C23" s="106"/>
      <c r="D23" s="106"/>
      <c r="E23" s="106"/>
      <c r="F23" s="106"/>
      <c r="G23" s="106"/>
      <c r="H23" s="106"/>
      <c r="I23" s="106"/>
      <c r="J23" s="106"/>
      <c r="K23" s="106"/>
      <c r="L23" s="106"/>
      <c r="M23" s="106"/>
      <c r="N23" s="106"/>
      <c r="O23" s="106"/>
      <c r="P23" s="106"/>
      <c r="Q23" s="106"/>
      <c r="R23" s="106"/>
      <c r="S23" s="106"/>
    </row>
    <row r="24" spans="1:19" ht="18" customHeight="1">
      <c r="B24" s="103" t="s">
        <v>53</v>
      </c>
      <c r="C24" s="104"/>
      <c r="D24" s="104"/>
      <c r="E24" s="105"/>
      <c r="F24" s="15" t="s">
        <v>80</v>
      </c>
      <c r="G24" s="16" t="s">
        <v>84</v>
      </c>
      <c r="H24" s="17" t="s">
        <v>56</v>
      </c>
      <c r="I24" s="17" t="s">
        <v>59</v>
      </c>
      <c r="J24" s="103" t="s">
        <v>53</v>
      </c>
      <c r="K24" s="104"/>
      <c r="L24" s="104"/>
      <c r="M24" s="104"/>
      <c r="N24" s="104"/>
      <c r="O24" s="105"/>
      <c r="P24" s="15" t="s">
        <v>80</v>
      </c>
      <c r="Q24" s="16" t="s">
        <v>84</v>
      </c>
      <c r="R24" s="17" t="s">
        <v>56</v>
      </c>
      <c r="S24" s="17" t="s">
        <v>59</v>
      </c>
    </row>
    <row r="25" spans="1:19" ht="18" customHeight="1">
      <c r="B25" s="97" t="s">
        <v>163</v>
      </c>
      <c r="C25" s="98"/>
      <c r="D25" s="98"/>
      <c r="E25" s="99"/>
      <c r="F25" s="18">
        <v>1</v>
      </c>
      <c r="G25" s="18" t="s">
        <v>128</v>
      </c>
      <c r="H25" s="18" t="s">
        <v>128</v>
      </c>
      <c r="I25" s="18" t="s">
        <v>128</v>
      </c>
      <c r="J25" s="108"/>
      <c r="K25" s="109"/>
      <c r="L25" s="109"/>
      <c r="M25" s="109"/>
      <c r="N25" s="109"/>
      <c r="O25" s="110"/>
      <c r="P25" s="18"/>
      <c r="Q25" s="18"/>
      <c r="R25" s="18"/>
      <c r="S25" s="18"/>
    </row>
    <row r="26" spans="1:19" ht="18" customHeight="1">
      <c r="B26" s="97"/>
      <c r="C26" s="98"/>
      <c r="D26" s="98"/>
      <c r="E26" s="99"/>
      <c r="F26" s="19"/>
      <c r="G26" s="19"/>
      <c r="H26" s="19"/>
      <c r="I26" s="19"/>
      <c r="J26" s="97"/>
      <c r="K26" s="98"/>
      <c r="L26" s="98"/>
      <c r="M26" s="98"/>
      <c r="N26" s="98"/>
      <c r="O26" s="99"/>
      <c r="P26" s="19"/>
      <c r="Q26" s="19"/>
      <c r="R26" s="19"/>
      <c r="S26" s="19"/>
    </row>
    <row r="27" spans="1:19" ht="18" customHeight="1">
      <c r="B27" s="97"/>
      <c r="C27" s="98"/>
      <c r="D27" s="98"/>
      <c r="E27" s="99"/>
      <c r="F27" s="19"/>
      <c r="G27" s="19"/>
      <c r="H27" s="19"/>
      <c r="I27" s="19"/>
      <c r="J27" s="97"/>
      <c r="K27" s="98"/>
      <c r="L27" s="98"/>
      <c r="M27" s="98"/>
      <c r="N27" s="98"/>
      <c r="O27" s="99"/>
      <c r="P27" s="19"/>
      <c r="Q27" s="19"/>
      <c r="R27" s="19"/>
      <c r="S27" s="19"/>
    </row>
    <row r="28" spans="1:19" ht="18" customHeight="1">
      <c r="B28" s="97"/>
      <c r="C28" s="98"/>
      <c r="D28" s="98"/>
      <c r="E28" s="99"/>
      <c r="F28" s="19"/>
      <c r="G28" s="19"/>
      <c r="H28" s="19"/>
      <c r="I28" s="19"/>
      <c r="J28" s="97"/>
      <c r="K28" s="98"/>
      <c r="L28" s="98"/>
      <c r="M28" s="98"/>
      <c r="N28" s="98"/>
      <c r="O28" s="99"/>
      <c r="P28" s="19"/>
      <c r="Q28" s="19"/>
      <c r="R28" s="19"/>
      <c r="S28" s="19"/>
    </row>
    <row r="29" spans="1:19" ht="18" customHeight="1">
      <c r="B29" s="97"/>
      <c r="C29" s="98"/>
      <c r="D29" s="98"/>
      <c r="E29" s="99"/>
      <c r="F29" s="19"/>
      <c r="G29" s="19"/>
      <c r="H29" s="19"/>
      <c r="I29" s="19"/>
      <c r="J29" s="97"/>
      <c r="K29" s="98"/>
      <c r="L29" s="98"/>
      <c r="M29" s="98"/>
      <c r="N29" s="98"/>
      <c r="O29" s="99"/>
      <c r="P29" s="19"/>
      <c r="Q29" s="19"/>
      <c r="R29" s="19"/>
      <c r="S29" s="19"/>
    </row>
    <row r="30" spans="1:19" ht="18" customHeight="1">
      <c r="A30" s="89"/>
      <c r="B30" s="97"/>
      <c r="C30" s="98"/>
      <c r="D30" s="98"/>
      <c r="E30" s="99"/>
      <c r="F30" s="19"/>
      <c r="G30" s="19"/>
      <c r="H30" s="19"/>
      <c r="I30" s="19"/>
      <c r="J30" s="97"/>
      <c r="K30" s="98"/>
      <c r="L30" s="98"/>
      <c r="M30" s="98"/>
      <c r="N30" s="98"/>
      <c r="O30" s="99"/>
      <c r="P30" s="19"/>
      <c r="Q30" s="19"/>
      <c r="R30" s="19"/>
      <c r="S30" s="19"/>
    </row>
    <row r="31" spans="1:19" ht="18" customHeight="1">
      <c r="A31" s="89"/>
      <c r="B31" s="100"/>
      <c r="C31" s="101"/>
      <c r="D31" s="101"/>
      <c r="E31" s="102"/>
      <c r="F31" s="20"/>
      <c r="G31" s="20"/>
      <c r="H31" s="21"/>
      <c r="I31" s="21"/>
      <c r="J31" s="100"/>
      <c r="K31" s="101"/>
      <c r="L31" s="101"/>
      <c r="M31" s="101"/>
      <c r="N31" s="101"/>
      <c r="O31" s="102"/>
      <c r="P31" s="20"/>
      <c r="Q31" s="20"/>
      <c r="R31" s="21"/>
      <c r="S31" s="21"/>
    </row>
    <row r="32" spans="1:19" ht="7.5" customHeight="1">
      <c r="A32" s="89"/>
      <c r="B32" s="8"/>
      <c r="C32" s="8"/>
      <c r="D32" s="89"/>
      <c r="E32" s="89"/>
      <c r="F32" s="89"/>
      <c r="G32" s="89"/>
      <c r="H32" s="8"/>
      <c r="I32" s="8"/>
      <c r="J32" s="8"/>
      <c r="K32" s="8"/>
      <c r="L32" s="8"/>
      <c r="M32" s="8"/>
      <c r="N32" s="8"/>
      <c r="O32" s="8"/>
      <c r="P32" s="8"/>
      <c r="Q32" s="8"/>
      <c r="R32" s="8"/>
      <c r="S32" s="89"/>
    </row>
    <row r="33" spans="1:19" ht="18" customHeight="1">
      <c r="A33" s="106" t="s">
        <v>114</v>
      </c>
      <c r="B33" s="106"/>
      <c r="C33" s="106"/>
      <c r="D33" s="106"/>
      <c r="E33" s="106"/>
      <c r="F33" s="106"/>
      <c r="G33" s="106"/>
      <c r="H33" s="106"/>
      <c r="I33" s="106"/>
      <c r="J33" s="106"/>
      <c r="K33" s="106"/>
      <c r="L33" s="106"/>
      <c r="M33" s="106"/>
      <c r="N33" s="106"/>
      <c r="O33" s="106"/>
      <c r="P33" s="106"/>
      <c r="Q33" s="106"/>
      <c r="R33" s="106"/>
      <c r="S33" s="106"/>
    </row>
    <row r="34" spans="1:19" ht="18" customHeight="1">
      <c r="A34" s="106"/>
      <c r="B34" s="106"/>
      <c r="C34" s="106"/>
      <c r="D34" s="106"/>
      <c r="E34" s="106"/>
      <c r="F34" s="106"/>
      <c r="G34" s="106"/>
      <c r="H34" s="106"/>
      <c r="I34" s="106"/>
      <c r="J34" s="106"/>
      <c r="K34" s="106"/>
      <c r="L34" s="106"/>
      <c r="M34" s="106"/>
      <c r="N34" s="106"/>
      <c r="O34" s="106"/>
      <c r="P34" s="106"/>
      <c r="Q34" s="106"/>
      <c r="R34" s="106"/>
      <c r="S34" s="106"/>
    </row>
    <row r="35" spans="1:19" ht="18" customHeight="1">
      <c r="B35" s="103" t="s">
        <v>53</v>
      </c>
      <c r="C35" s="104"/>
      <c r="D35" s="104"/>
      <c r="E35" s="105"/>
      <c r="F35" s="15" t="s">
        <v>80</v>
      </c>
      <c r="G35" s="16" t="s">
        <v>84</v>
      </c>
      <c r="H35" s="17" t="s">
        <v>71</v>
      </c>
      <c r="I35" s="17" t="s">
        <v>72</v>
      </c>
      <c r="J35" s="103" t="s">
        <v>53</v>
      </c>
      <c r="K35" s="104"/>
      <c r="L35" s="104"/>
      <c r="M35" s="104"/>
      <c r="N35" s="104"/>
      <c r="O35" s="105"/>
      <c r="P35" s="15" t="s">
        <v>80</v>
      </c>
      <c r="Q35" s="16" t="s">
        <v>84</v>
      </c>
      <c r="R35" s="17" t="s">
        <v>71</v>
      </c>
      <c r="S35" s="17" t="s">
        <v>72</v>
      </c>
    </row>
    <row r="36" spans="1:19" ht="18" customHeight="1">
      <c r="B36" s="97" t="s">
        <v>163</v>
      </c>
      <c r="C36" s="98"/>
      <c r="D36" s="98"/>
      <c r="E36" s="99"/>
      <c r="F36" s="18">
        <v>1</v>
      </c>
      <c r="G36" s="18" t="s">
        <v>128</v>
      </c>
      <c r="H36" s="18" t="s">
        <v>128</v>
      </c>
      <c r="I36" s="18" t="s">
        <v>128</v>
      </c>
      <c r="J36" s="108"/>
      <c r="K36" s="109"/>
      <c r="L36" s="109"/>
      <c r="M36" s="109"/>
      <c r="N36" s="109"/>
      <c r="O36" s="110"/>
      <c r="P36" s="18"/>
      <c r="Q36" s="18"/>
      <c r="R36" s="18"/>
      <c r="S36" s="18"/>
    </row>
    <row r="37" spans="1:19" ht="18" customHeight="1">
      <c r="B37" s="97"/>
      <c r="C37" s="98"/>
      <c r="D37" s="98"/>
      <c r="E37" s="99"/>
      <c r="F37" s="19"/>
      <c r="G37" s="19"/>
      <c r="H37" s="19"/>
      <c r="I37" s="19"/>
      <c r="J37" s="97"/>
      <c r="K37" s="98"/>
      <c r="L37" s="98"/>
      <c r="M37" s="98"/>
      <c r="N37" s="98"/>
      <c r="O37" s="99"/>
      <c r="P37" s="19"/>
      <c r="Q37" s="19"/>
      <c r="R37" s="19"/>
      <c r="S37" s="19"/>
    </row>
    <row r="38" spans="1:19" ht="18" customHeight="1">
      <c r="B38" s="97"/>
      <c r="C38" s="98"/>
      <c r="D38" s="98"/>
      <c r="E38" s="99"/>
      <c r="F38" s="19"/>
      <c r="G38" s="19"/>
      <c r="H38" s="19"/>
      <c r="I38" s="19"/>
      <c r="J38" s="97"/>
      <c r="K38" s="98"/>
      <c r="L38" s="98"/>
      <c r="M38" s="98"/>
      <c r="N38" s="98"/>
      <c r="O38" s="99"/>
      <c r="P38" s="19"/>
      <c r="Q38" s="19"/>
      <c r="R38" s="19"/>
      <c r="S38" s="19"/>
    </row>
    <row r="39" spans="1:19" ht="18" customHeight="1">
      <c r="B39" s="97"/>
      <c r="C39" s="98"/>
      <c r="D39" s="98"/>
      <c r="E39" s="99"/>
      <c r="F39" s="19"/>
      <c r="G39" s="19"/>
      <c r="H39" s="19"/>
      <c r="I39" s="19"/>
      <c r="J39" s="97"/>
      <c r="K39" s="98"/>
      <c r="L39" s="98"/>
      <c r="M39" s="98"/>
      <c r="N39" s="98"/>
      <c r="O39" s="99"/>
      <c r="P39" s="19"/>
      <c r="Q39" s="19"/>
      <c r="R39" s="19"/>
      <c r="S39" s="19"/>
    </row>
    <row r="40" spans="1:19" ht="18" customHeight="1">
      <c r="B40" s="97"/>
      <c r="C40" s="98"/>
      <c r="D40" s="98"/>
      <c r="E40" s="99"/>
      <c r="F40" s="19"/>
      <c r="G40" s="19"/>
      <c r="H40" s="19"/>
      <c r="I40" s="19"/>
      <c r="J40" s="97"/>
      <c r="K40" s="98"/>
      <c r="L40" s="98"/>
      <c r="M40" s="98"/>
      <c r="N40" s="98"/>
      <c r="O40" s="99"/>
      <c r="P40" s="19"/>
      <c r="Q40" s="19"/>
      <c r="R40" s="19"/>
      <c r="S40" s="19"/>
    </row>
    <row r="41" spans="1:19" ht="18" customHeight="1">
      <c r="B41" s="97"/>
      <c r="C41" s="98"/>
      <c r="D41" s="98"/>
      <c r="E41" s="99"/>
      <c r="F41" s="19"/>
      <c r="G41" s="19"/>
      <c r="H41" s="19"/>
      <c r="I41" s="19"/>
      <c r="J41" s="97"/>
      <c r="K41" s="98"/>
      <c r="L41" s="98"/>
      <c r="M41" s="98"/>
      <c r="N41" s="98"/>
      <c r="O41" s="99"/>
      <c r="P41" s="19"/>
      <c r="Q41" s="19"/>
      <c r="R41" s="19"/>
      <c r="S41" s="19"/>
    </row>
    <row r="42" spans="1:19" ht="18" customHeight="1">
      <c r="B42" s="100"/>
      <c r="C42" s="101"/>
      <c r="D42" s="101"/>
      <c r="E42" s="102"/>
      <c r="F42" s="20"/>
      <c r="G42" s="20"/>
      <c r="H42" s="21"/>
      <c r="I42" s="21"/>
      <c r="J42" s="100"/>
      <c r="K42" s="101"/>
      <c r="L42" s="101"/>
      <c r="M42" s="101"/>
      <c r="N42" s="101"/>
      <c r="O42" s="102"/>
      <c r="P42" s="20"/>
      <c r="Q42" s="20"/>
      <c r="R42" s="21"/>
      <c r="S42" s="21"/>
    </row>
    <row r="43" spans="1:19" ht="7.5" customHeight="1">
      <c r="A43" s="89"/>
      <c r="B43" s="8"/>
      <c r="C43" s="8"/>
      <c r="D43" s="89"/>
      <c r="E43" s="89"/>
      <c r="F43" s="89"/>
      <c r="G43" s="89"/>
      <c r="H43" s="8"/>
      <c r="I43" s="8"/>
      <c r="J43" s="8"/>
      <c r="K43" s="8"/>
      <c r="L43" s="8"/>
      <c r="M43" s="8"/>
      <c r="N43" s="8"/>
      <c r="O43" s="8"/>
      <c r="P43" s="8"/>
      <c r="Q43" s="8"/>
      <c r="R43" s="8"/>
      <c r="S43" s="89"/>
    </row>
    <row r="44" spans="1:19" ht="18" customHeight="1">
      <c r="A44" s="106" t="s">
        <v>115</v>
      </c>
      <c r="B44" s="106"/>
      <c r="C44" s="106"/>
      <c r="D44" s="106"/>
      <c r="E44" s="106"/>
      <c r="F44" s="106"/>
      <c r="G44" s="106"/>
      <c r="H44" s="106"/>
      <c r="I44" s="106"/>
      <c r="J44" s="106"/>
      <c r="K44" s="106"/>
      <c r="L44" s="106"/>
      <c r="M44" s="106"/>
      <c r="N44" s="106"/>
      <c r="O44" s="106"/>
      <c r="P44" s="106"/>
      <c r="Q44" s="106"/>
      <c r="R44" s="106"/>
      <c r="S44" s="106"/>
    </row>
    <row r="45" spans="1:19" ht="18" customHeight="1">
      <c r="A45" s="106"/>
      <c r="B45" s="106"/>
      <c r="C45" s="106"/>
      <c r="D45" s="106"/>
      <c r="E45" s="106"/>
      <c r="F45" s="106"/>
      <c r="G45" s="106"/>
      <c r="H45" s="106"/>
      <c r="I45" s="106"/>
      <c r="J45" s="106"/>
      <c r="K45" s="106"/>
      <c r="L45" s="106"/>
      <c r="M45" s="106"/>
      <c r="N45" s="106"/>
      <c r="O45" s="106"/>
      <c r="P45" s="106"/>
      <c r="Q45" s="106"/>
      <c r="R45" s="106"/>
      <c r="S45" s="106"/>
    </row>
    <row r="46" spans="1:19" ht="18" customHeight="1">
      <c r="B46" s="103" t="s">
        <v>53</v>
      </c>
      <c r="C46" s="104"/>
      <c r="D46" s="104"/>
      <c r="E46" s="105"/>
      <c r="F46" s="15" t="s">
        <v>80</v>
      </c>
      <c r="G46" s="16" t="s">
        <v>84</v>
      </c>
      <c r="H46" s="17" t="s">
        <v>73</v>
      </c>
      <c r="I46" s="17" t="s">
        <v>74</v>
      </c>
      <c r="J46" s="103" t="s">
        <v>53</v>
      </c>
      <c r="K46" s="104"/>
      <c r="L46" s="104"/>
      <c r="M46" s="104"/>
      <c r="N46" s="104"/>
      <c r="O46" s="105"/>
      <c r="P46" s="15" t="s">
        <v>80</v>
      </c>
      <c r="Q46" s="16" t="s">
        <v>84</v>
      </c>
      <c r="R46" s="17" t="s">
        <v>73</v>
      </c>
      <c r="S46" s="17" t="s">
        <v>74</v>
      </c>
    </row>
    <row r="47" spans="1:19" ht="18" customHeight="1">
      <c r="A47" s="89"/>
      <c r="B47" s="97" t="s">
        <v>163</v>
      </c>
      <c r="C47" s="98"/>
      <c r="D47" s="98"/>
      <c r="E47" s="99"/>
      <c r="F47" s="18">
        <v>1</v>
      </c>
      <c r="G47" s="18" t="s">
        <v>128</v>
      </c>
      <c r="H47" s="18" t="s">
        <v>128</v>
      </c>
      <c r="I47" s="18" t="s">
        <v>128</v>
      </c>
      <c r="J47" s="108"/>
      <c r="K47" s="109"/>
      <c r="L47" s="109"/>
      <c r="M47" s="109"/>
      <c r="N47" s="109"/>
      <c r="O47" s="110"/>
      <c r="P47" s="18"/>
      <c r="Q47" s="18"/>
      <c r="R47" s="18"/>
      <c r="S47" s="18"/>
    </row>
    <row r="48" spans="1:19" ht="18" customHeight="1">
      <c r="A48" s="89"/>
      <c r="B48" s="97"/>
      <c r="C48" s="98"/>
      <c r="D48" s="98"/>
      <c r="E48" s="99"/>
      <c r="F48" s="19"/>
      <c r="G48" s="19"/>
      <c r="H48" s="19"/>
      <c r="I48" s="19"/>
      <c r="J48" s="97"/>
      <c r="K48" s="98"/>
      <c r="L48" s="98"/>
      <c r="M48" s="98"/>
      <c r="N48" s="98"/>
      <c r="O48" s="99"/>
      <c r="P48" s="19"/>
      <c r="Q48" s="19"/>
      <c r="R48" s="19"/>
      <c r="S48" s="19"/>
    </row>
    <row r="49" spans="1:19" ht="18" customHeight="1">
      <c r="A49" s="89"/>
      <c r="B49" s="97"/>
      <c r="C49" s="98"/>
      <c r="D49" s="98"/>
      <c r="E49" s="99"/>
      <c r="F49" s="19"/>
      <c r="G49" s="19"/>
      <c r="H49" s="19"/>
      <c r="I49" s="19"/>
      <c r="J49" s="97"/>
      <c r="K49" s="98"/>
      <c r="L49" s="98"/>
      <c r="M49" s="98"/>
      <c r="N49" s="98"/>
      <c r="O49" s="99"/>
      <c r="P49" s="19"/>
      <c r="Q49" s="19"/>
      <c r="R49" s="19"/>
      <c r="S49" s="19"/>
    </row>
    <row r="50" spans="1:19" ht="18" customHeight="1">
      <c r="A50" s="89"/>
      <c r="B50" s="97"/>
      <c r="C50" s="98"/>
      <c r="D50" s="98"/>
      <c r="E50" s="99"/>
      <c r="F50" s="19"/>
      <c r="G50" s="19"/>
      <c r="H50" s="19"/>
      <c r="I50" s="19"/>
      <c r="J50" s="97"/>
      <c r="K50" s="98"/>
      <c r="L50" s="98"/>
      <c r="M50" s="98"/>
      <c r="N50" s="98"/>
      <c r="O50" s="99"/>
      <c r="P50" s="19"/>
      <c r="Q50" s="19"/>
      <c r="R50" s="19"/>
      <c r="S50" s="19"/>
    </row>
    <row r="51" spans="1:19" ht="18" customHeight="1">
      <c r="A51" s="89"/>
      <c r="B51" s="97"/>
      <c r="C51" s="98"/>
      <c r="D51" s="98"/>
      <c r="E51" s="99"/>
      <c r="F51" s="19"/>
      <c r="G51" s="19"/>
      <c r="H51" s="19"/>
      <c r="I51" s="19"/>
      <c r="J51" s="97"/>
      <c r="K51" s="98"/>
      <c r="L51" s="98"/>
      <c r="M51" s="98"/>
      <c r="N51" s="98"/>
      <c r="O51" s="99"/>
      <c r="P51" s="19"/>
      <c r="Q51" s="19"/>
      <c r="R51" s="19"/>
      <c r="S51" s="19"/>
    </row>
    <row r="52" spans="1:19" ht="18" customHeight="1">
      <c r="A52" s="89"/>
      <c r="B52" s="97"/>
      <c r="C52" s="98"/>
      <c r="D52" s="98"/>
      <c r="E52" s="99"/>
      <c r="F52" s="19"/>
      <c r="G52" s="19"/>
      <c r="H52" s="19"/>
      <c r="I52" s="19"/>
      <c r="J52" s="97"/>
      <c r="K52" s="98"/>
      <c r="L52" s="98"/>
      <c r="M52" s="98"/>
      <c r="N52" s="98"/>
      <c r="O52" s="99"/>
      <c r="P52" s="19"/>
      <c r="Q52" s="19"/>
      <c r="R52" s="19"/>
      <c r="S52" s="19"/>
    </row>
    <row r="53" spans="1:19" ht="18" customHeight="1">
      <c r="A53" s="89"/>
      <c r="B53" s="100"/>
      <c r="C53" s="101"/>
      <c r="D53" s="101"/>
      <c r="E53" s="102"/>
      <c r="F53" s="20"/>
      <c r="G53" s="20"/>
      <c r="H53" s="21"/>
      <c r="I53" s="21"/>
      <c r="J53" s="100"/>
      <c r="K53" s="101"/>
      <c r="L53" s="101"/>
      <c r="M53" s="101"/>
      <c r="N53" s="101"/>
      <c r="O53" s="102"/>
      <c r="P53" s="20"/>
      <c r="Q53" s="20"/>
      <c r="R53" s="21"/>
      <c r="S53" s="21"/>
    </row>
    <row r="54" spans="1:19" ht="7.5" customHeight="1">
      <c r="B54" s="90"/>
      <c r="C54" s="90"/>
      <c r="D54" s="90"/>
      <c r="E54" s="90"/>
      <c r="F54" s="90"/>
      <c r="G54" s="90"/>
      <c r="H54" s="90"/>
      <c r="I54" s="90"/>
      <c r="J54" s="90"/>
      <c r="K54" s="90"/>
      <c r="L54" s="90"/>
      <c r="M54" s="90"/>
      <c r="N54" s="90"/>
      <c r="O54" s="90"/>
      <c r="P54" s="90"/>
      <c r="Q54" s="90"/>
      <c r="R54" s="90"/>
    </row>
    <row r="55" spans="1:19" ht="18" customHeight="1">
      <c r="A55" s="106" t="s">
        <v>116</v>
      </c>
      <c r="B55" s="106"/>
      <c r="C55" s="106"/>
      <c r="D55" s="106"/>
      <c r="E55" s="106"/>
      <c r="F55" s="106"/>
      <c r="G55" s="106"/>
      <c r="H55" s="106"/>
      <c r="I55" s="106"/>
      <c r="J55" s="106"/>
      <c r="K55" s="106"/>
      <c r="L55" s="106"/>
      <c r="M55" s="106"/>
      <c r="N55" s="106"/>
      <c r="O55" s="106"/>
      <c r="P55" s="106"/>
      <c r="Q55" s="106"/>
      <c r="R55" s="106"/>
      <c r="S55" s="106"/>
    </row>
    <row r="56" spans="1:19" ht="18" customHeight="1">
      <c r="A56" s="106"/>
      <c r="B56" s="106"/>
      <c r="C56" s="106"/>
      <c r="D56" s="106"/>
      <c r="E56" s="106"/>
      <c r="F56" s="106"/>
      <c r="G56" s="106"/>
      <c r="H56" s="106"/>
      <c r="I56" s="106"/>
      <c r="J56" s="106"/>
      <c r="K56" s="106"/>
      <c r="L56" s="106"/>
      <c r="M56" s="106"/>
      <c r="N56" s="106"/>
      <c r="O56" s="106"/>
      <c r="P56" s="106"/>
      <c r="Q56" s="106"/>
      <c r="R56" s="106"/>
      <c r="S56" s="106"/>
    </row>
    <row r="57" spans="1:19" ht="18" customHeight="1">
      <c r="B57" s="103" t="s">
        <v>53</v>
      </c>
      <c r="C57" s="104"/>
      <c r="D57" s="104"/>
      <c r="E57" s="105"/>
      <c r="F57" s="15" t="s">
        <v>80</v>
      </c>
      <c r="G57" s="16" t="s">
        <v>84</v>
      </c>
      <c r="H57" s="17" t="s">
        <v>58</v>
      </c>
      <c r="I57" s="17" t="s">
        <v>60</v>
      </c>
      <c r="J57" s="103" t="s">
        <v>53</v>
      </c>
      <c r="K57" s="104"/>
      <c r="L57" s="104"/>
      <c r="M57" s="104"/>
      <c r="N57" s="104"/>
      <c r="O57" s="105"/>
      <c r="P57" s="15" t="s">
        <v>80</v>
      </c>
      <c r="Q57" s="16" t="s">
        <v>84</v>
      </c>
      <c r="R57" s="17" t="s">
        <v>58</v>
      </c>
      <c r="S57" s="17" t="s">
        <v>60</v>
      </c>
    </row>
    <row r="58" spans="1:19" ht="18" customHeight="1">
      <c r="A58" s="89"/>
      <c r="B58" s="97" t="s">
        <v>163</v>
      </c>
      <c r="C58" s="98"/>
      <c r="D58" s="98"/>
      <c r="E58" s="99"/>
      <c r="F58" s="18">
        <v>1</v>
      </c>
      <c r="G58" s="18" t="s">
        <v>128</v>
      </c>
      <c r="H58" s="18" t="s">
        <v>128</v>
      </c>
      <c r="I58" s="18" t="s">
        <v>128</v>
      </c>
      <c r="J58" s="108"/>
      <c r="K58" s="109"/>
      <c r="L58" s="109"/>
      <c r="M58" s="109"/>
      <c r="N58" s="109"/>
      <c r="O58" s="110"/>
      <c r="P58" s="18"/>
      <c r="Q58" s="18"/>
      <c r="R58" s="18"/>
      <c r="S58" s="18"/>
    </row>
    <row r="59" spans="1:19" ht="18" customHeight="1">
      <c r="A59" s="89"/>
      <c r="B59" s="97"/>
      <c r="C59" s="98"/>
      <c r="D59" s="98"/>
      <c r="E59" s="99"/>
      <c r="F59" s="19"/>
      <c r="G59" s="19"/>
      <c r="H59" s="19"/>
      <c r="I59" s="19"/>
      <c r="J59" s="97"/>
      <c r="K59" s="98"/>
      <c r="L59" s="98"/>
      <c r="M59" s="98"/>
      <c r="N59" s="98"/>
      <c r="O59" s="99"/>
      <c r="P59" s="19"/>
      <c r="Q59" s="19"/>
      <c r="R59" s="19"/>
      <c r="S59" s="19"/>
    </row>
    <row r="60" spans="1:19" ht="18" customHeight="1">
      <c r="A60" s="89"/>
      <c r="B60" s="97"/>
      <c r="C60" s="98"/>
      <c r="D60" s="98"/>
      <c r="E60" s="99"/>
      <c r="F60" s="19"/>
      <c r="G60" s="19"/>
      <c r="H60" s="19"/>
      <c r="I60" s="19"/>
      <c r="J60" s="97"/>
      <c r="K60" s="98"/>
      <c r="L60" s="98"/>
      <c r="M60" s="98"/>
      <c r="N60" s="98"/>
      <c r="O60" s="99"/>
      <c r="P60" s="19"/>
      <c r="Q60" s="19"/>
      <c r="R60" s="19"/>
      <c r="S60" s="19"/>
    </row>
    <row r="61" spans="1:19" ht="18" customHeight="1">
      <c r="A61" s="89"/>
      <c r="B61" s="97"/>
      <c r="C61" s="98"/>
      <c r="D61" s="98"/>
      <c r="E61" s="99"/>
      <c r="F61" s="19"/>
      <c r="G61" s="19"/>
      <c r="H61" s="19"/>
      <c r="I61" s="19"/>
      <c r="J61" s="97"/>
      <c r="K61" s="98"/>
      <c r="L61" s="98"/>
      <c r="M61" s="98"/>
      <c r="N61" s="98"/>
      <c r="O61" s="99"/>
      <c r="P61" s="19"/>
      <c r="Q61" s="19"/>
      <c r="R61" s="19"/>
      <c r="S61" s="19"/>
    </row>
    <row r="62" spans="1:19" ht="18" customHeight="1">
      <c r="A62" s="89"/>
      <c r="B62" s="97"/>
      <c r="C62" s="98"/>
      <c r="D62" s="98"/>
      <c r="E62" s="99"/>
      <c r="F62" s="19"/>
      <c r="G62" s="19"/>
      <c r="H62" s="19"/>
      <c r="I62" s="19"/>
      <c r="J62" s="97"/>
      <c r="K62" s="98"/>
      <c r="L62" s="98"/>
      <c r="M62" s="98"/>
      <c r="N62" s="98"/>
      <c r="O62" s="99"/>
      <c r="P62" s="19"/>
      <c r="Q62" s="19"/>
      <c r="R62" s="19"/>
      <c r="S62" s="19"/>
    </row>
    <row r="63" spans="1:19" ht="18" customHeight="1">
      <c r="A63" s="89"/>
      <c r="B63" s="97"/>
      <c r="C63" s="98"/>
      <c r="D63" s="98"/>
      <c r="E63" s="99"/>
      <c r="F63" s="19"/>
      <c r="G63" s="19"/>
      <c r="H63" s="19"/>
      <c r="I63" s="19"/>
      <c r="J63" s="97"/>
      <c r="K63" s="98"/>
      <c r="L63" s="98"/>
      <c r="M63" s="98"/>
      <c r="N63" s="98"/>
      <c r="O63" s="99"/>
      <c r="P63" s="19"/>
      <c r="Q63" s="19"/>
      <c r="R63" s="19"/>
      <c r="S63" s="19"/>
    </row>
    <row r="64" spans="1:19" ht="18" customHeight="1">
      <c r="A64" s="89"/>
      <c r="B64" s="100"/>
      <c r="C64" s="101"/>
      <c r="D64" s="101"/>
      <c r="E64" s="102"/>
      <c r="F64" s="20"/>
      <c r="G64" s="20"/>
      <c r="H64" s="21"/>
      <c r="I64" s="21"/>
      <c r="J64" s="100"/>
      <c r="K64" s="101"/>
      <c r="L64" s="101"/>
      <c r="M64" s="101"/>
      <c r="N64" s="101"/>
      <c r="O64" s="102"/>
      <c r="P64" s="20"/>
      <c r="Q64" s="20"/>
      <c r="R64" s="21"/>
      <c r="S64" s="21"/>
    </row>
    <row r="65" spans="1:19" ht="7.5" customHeight="1">
      <c r="B65" s="90"/>
      <c r="C65" s="90"/>
      <c r="D65" s="90"/>
      <c r="E65" s="90"/>
      <c r="F65" s="90"/>
      <c r="G65" s="90"/>
      <c r="H65" s="90"/>
      <c r="I65" s="90"/>
      <c r="J65" s="90"/>
      <c r="K65" s="90"/>
      <c r="L65" s="90"/>
      <c r="M65" s="90"/>
      <c r="N65" s="90"/>
      <c r="O65" s="90"/>
      <c r="P65" s="90"/>
      <c r="Q65" s="90"/>
      <c r="R65" s="90"/>
    </row>
    <row r="66" spans="1:19" ht="18" customHeight="1">
      <c r="A66" s="106" t="s">
        <v>117</v>
      </c>
      <c r="B66" s="106"/>
      <c r="C66" s="106"/>
      <c r="D66" s="106"/>
      <c r="E66" s="106"/>
      <c r="F66" s="106"/>
      <c r="G66" s="106"/>
      <c r="H66" s="106"/>
      <c r="I66" s="106"/>
      <c r="J66" s="106"/>
      <c r="K66" s="106"/>
      <c r="L66" s="106"/>
      <c r="M66" s="106"/>
      <c r="N66" s="106"/>
      <c r="O66" s="106"/>
      <c r="P66" s="106"/>
      <c r="Q66" s="106"/>
      <c r="R66" s="106"/>
      <c r="S66" s="106"/>
    </row>
    <row r="67" spans="1:19" ht="18" customHeight="1">
      <c r="A67" s="106"/>
      <c r="B67" s="106"/>
      <c r="C67" s="106"/>
      <c r="D67" s="106"/>
      <c r="E67" s="106"/>
      <c r="F67" s="106"/>
      <c r="G67" s="106"/>
      <c r="H67" s="106"/>
      <c r="I67" s="106"/>
      <c r="J67" s="106"/>
      <c r="K67" s="106"/>
      <c r="L67" s="106"/>
      <c r="M67" s="106"/>
      <c r="N67" s="106"/>
      <c r="O67" s="106"/>
      <c r="P67" s="106"/>
      <c r="Q67" s="106"/>
      <c r="R67" s="106"/>
      <c r="S67" s="106"/>
    </row>
    <row r="68" spans="1:19" ht="18" customHeight="1">
      <c r="B68" s="103" t="s">
        <v>53</v>
      </c>
      <c r="C68" s="104"/>
      <c r="D68" s="104"/>
      <c r="E68" s="15" t="s">
        <v>80</v>
      </c>
      <c r="F68" s="16" t="s">
        <v>84</v>
      </c>
      <c r="G68" s="17" t="s">
        <v>101</v>
      </c>
      <c r="H68" s="17" t="s">
        <v>75</v>
      </c>
      <c r="I68" s="17" t="s">
        <v>76</v>
      </c>
      <c r="J68" s="103" t="s">
        <v>53</v>
      </c>
      <c r="K68" s="104"/>
      <c r="L68" s="104"/>
      <c r="M68" s="104"/>
      <c r="N68" s="105"/>
      <c r="O68" s="15" t="s">
        <v>80</v>
      </c>
      <c r="P68" s="16" t="s">
        <v>84</v>
      </c>
      <c r="Q68" s="17" t="s">
        <v>101</v>
      </c>
      <c r="R68" s="17" t="s">
        <v>75</v>
      </c>
      <c r="S68" s="17" t="s">
        <v>76</v>
      </c>
    </row>
    <row r="69" spans="1:19" ht="18" customHeight="1">
      <c r="A69" s="89"/>
      <c r="B69" s="97" t="s">
        <v>163</v>
      </c>
      <c r="C69" s="98"/>
      <c r="D69" s="98"/>
      <c r="E69" s="22">
        <v>1</v>
      </c>
      <c r="F69" s="22" t="s">
        <v>128</v>
      </c>
      <c r="G69" s="23" t="s">
        <v>128</v>
      </c>
      <c r="H69" s="22" t="s">
        <v>128</v>
      </c>
      <c r="I69" s="22" t="s">
        <v>128</v>
      </c>
      <c r="J69" s="108"/>
      <c r="K69" s="109"/>
      <c r="L69" s="109"/>
      <c r="M69" s="109"/>
      <c r="N69" s="110"/>
      <c r="O69" s="18"/>
      <c r="P69" s="18"/>
      <c r="Q69" s="18"/>
      <c r="R69" s="18"/>
      <c r="S69" s="18"/>
    </row>
    <row r="70" spans="1:19" ht="18" customHeight="1">
      <c r="A70" s="89"/>
      <c r="B70" s="97"/>
      <c r="C70" s="98"/>
      <c r="D70" s="98"/>
      <c r="E70" s="24"/>
      <c r="F70" s="24"/>
      <c r="G70" s="25"/>
      <c r="H70" s="24"/>
      <c r="I70" s="24"/>
      <c r="J70" s="97"/>
      <c r="K70" s="98"/>
      <c r="L70" s="98"/>
      <c r="M70" s="98"/>
      <c r="N70" s="99"/>
      <c r="O70" s="19"/>
      <c r="P70" s="19"/>
      <c r="Q70" s="19"/>
      <c r="R70" s="19"/>
      <c r="S70" s="19"/>
    </row>
    <row r="71" spans="1:19" ht="18" customHeight="1">
      <c r="A71" s="89"/>
      <c r="B71" s="97"/>
      <c r="C71" s="98"/>
      <c r="D71" s="98"/>
      <c r="E71" s="24"/>
      <c r="F71" s="24"/>
      <c r="G71" s="25"/>
      <c r="H71" s="24"/>
      <c r="I71" s="24"/>
      <c r="J71" s="97"/>
      <c r="K71" s="98"/>
      <c r="L71" s="98"/>
      <c r="M71" s="98"/>
      <c r="N71" s="99"/>
      <c r="O71" s="19"/>
      <c r="P71" s="19"/>
      <c r="Q71" s="19"/>
      <c r="R71" s="19"/>
      <c r="S71" s="19"/>
    </row>
    <row r="72" spans="1:19" ht="18" customHeight="1">
      <c r="A72" s="89"/>
      <c r="B72" s="97"/>
      <c r="C72" s="98"/>
      <c r="D72" s="98"/>
      <c r="E72" s="24"/>
      <c r="F72" s="24"/>
      <c r="G72" s="25"/>
      <c r="H72" s="24"/>
      <c r="I72" s="24"/>
      <c r="J72" s="97"/>
      <c r="K72" s="98"/>
      <c r="L72" s="98"/>
      <c r="M72" s="98"/>
      <c r="N72" s="99"/>
      <c r="O72" s="19"/>
      <c r="P72" s="19"/>
      <c r="Q72" s="19"/>
      <c r="R72" s="19"/>
      <c r="S72" s="19"/>
    </row>
    <row r="73" spans="1:19" ht="18" customHeight="1">
      <c r="A73" s="89"/>
      <c r="B73" s="97"/>
      <c r="C73" s="98"/>
      <c r="D73" s="98"/>
      <c r="E73" s="24"/>
      <c r="F73" s="24"/>
      <c r="G73" s="25"/>
      <c r="H73" s="24"/>
      <c r="I73" s="24"/>
      <c r="J73" s="97"/>
      <c r="K73" s="98"/>
      <c r="L73" s="98"/>
      <c r="M73" s="98"/>
      <c r="N73" s="99"/>
      <c r="O73" s="19"/>
      <c r="P73" s="19"/>
      <c r="Q73" s="19"/>
      <c r="R73" s="19"/>
      <c r="S73" s="19"/>
    </row>
    <row r="74" spans="1:19" ht="18" customHeight="1">
      <c r="A74" s="89"/>
      <c r="B74" s="97"/>
      <c r="C74" s="98"/>
      <c r="D74" s="98"/>
      <c r="E74" s="19"/>
      <c r="F74" s="19"/>
      <c r="G74" s="19"/>
      <c r="H74" s="19"/>
      <c r="I74" s="19"/>
      <c r="J74" s="97"/>
      <c r="K74" s="98"/>
      <c r="L74" s="98"/>
      <c r="M74" s="98"/>
      <c r="N74" s="99"/>
      <c r="O74" s="19"/>
      <c r="P74" s="19"/>
      <c r="Q74" s="19"/>
      <c r="R74" s="19"/>
      <c r="S74" s="19"/>
    </row>
    <row r="75" spans="1:19" ht="18" customHeight="1">
      <c r="A75" s="89"/>
      <c r="B75" s="100"/>
      <c r="C75" s="101"/>
      <c r="D75" s="101"/>
      <c r="E75" s="20"/>
      <c r="F75" s="20"/>
      <c r="G75" s="21"/>
      <c r="H75" s="21"/>
      <c r="I75" s="21"/>
      <c r="J75" s="100"/>
      <c r="K75" s="101"/>
      <c r="L75" s="101"/>
      <c r="M75" s="101"/>
      <c r="N75" s="102"/>
      <c r="O75" s="20"/>
      <c r="P75" s="20"/>
      <c r="Q75" s="21"/>
      <c r="R75" s="21"/>
      <c r="S75" s="21"/>
    </row>
    <row r="76" spans="1:19" ht="7.5" customHeight="1">
      <c r="B76" s="90"/>
      <c r="C76" s="90"/>
      <c r="D76" s="90"/>
      <c r="E76" s="90"/>
      <c r="F76" s="90"/>
      <c r="G76" s="90"/>
      <c r="H76" s="90"/>
      <c r="I76" s="90"/>
      <c r="J76" s="90"/>
      <c r="K76" s="90"/>
      <c r="L76" s="90"/>
      <c r="M76" s="90"/>
      <c r="N76" s="90"/>
      <c r="O76" s="90"/>
      <c r="P76" s="90"/>
      <c r="Q76" s="90"/>
      <c r="R76" s="90"/>
    </row>
    <row r="77" spans="1:19" ht="18" customHeight="1">
      <c r="A77" s="88" t="s">
        <v>118</v>
      </c>
      <c r="H77" s="89"/>
      <c r="I77" s="89"/>
      <c r="J77" s="89"/>
      <c r="K77" s="89"/>
      <c r="L77" s="89"/>
      <c r="M77" s="89"/>
      <c r="N77" s="89"/>
      <c r="O77" s="89"/>
      <c r="P77" s="89"/>
      <c r="Q77" s="89"/>
      <c r="R77" s="89"/>
      <c r="S77" s="89"/>
    </row>
    <row r="78" spans="1:19" ht="18" customHeight="1">
      <c r="B78" s="103" t="s">
        <v>53</v>
      </c>
      <c r="C78" s="104"/>
      <c r="D78" s="104"/>
      <c r="E78" s="105"/>
      <c r="F78" s="103" t="s">
        <v>82</v>
      </c>
      <c r="G78" s="104"/>
      <c r="H78" s="104"/>
      <c r="I78" s="105"/>
      <c r="J78" s="149" t="s">
        <v>53</v>
      </c>
      <c r="K78" s="150"/>
      <c r="L78" s="150"/>
      <c r="M78" s="150"/>
      <c r="N78" s="150"/>
      <c r="O78" s="151"/>
      <c r="P78" s="103" t="s">
        <v>82</v>
      </c>
      <c r="Q78" s="104"/>
      <c r="R78" s="104"/>
      <c r="S78" s="105"/>
    </row>
    <row r="79" spans="1:19" ht="18" customHeight="1">
      <c r="A79" s="89"/>
      <c r="B79" s="108"/>
      <c r="C79" s="109"/>
      <c r="D79" s="109"/>
      <c r="E79" s="110"/>
      <c r="F79" s="164"/>
      <c r="G79" s="165"/>
      <c r="H79" s="165"/>
      <c r="I79" s="166"/>
      <c r="J79" s="108"/>
      <c r="K79" s="109"/>
      <c r="L79" s="109"/>
      <c r="M79" s="109"/>
      <c r="N79" s="109"/>
      <c r="O79" s="110"/>
      <c r="P79" s="164"/>
      <c r="Q79" s="165"/>
      <c r="R79" s="165"/>
      <c r="S79" s="166"/>
    </row>
    <row r="80" spans="1:19" ht="18" customHeight="1">
      <c r="A80" s="89"/>
      <c r="B80" s="97"/>
      <c r="C80" s="98"/>
      <c r="D80" s="98"/>
      <c r="E80" s="99"/>
      <c r="F80" s="133"/>
      <c r="G80" s="134"/>
      <c r="H80" s="134"/>
      <c r="I80" s="135"/>
      <c r="J80" s="97"/>
      <c r="K80" s="98"/>
      <c r="L80" s="98"/>
      <c r="M80" s="98"/>
      <c r="N80" s="98"/>
      <c r="O80" s="99"/>
      <c r="P80" s="133"/>
      <c r="Q80" s="134"/>
      <c r="R80" s="134"/>
      <c r="S80" s="135"/>
    </row>
    <row r="81" spans="1:20" ht="18" customHeight="1">
      <c r="A81" s="89"/>
      <c r="B81" s="97"/>
      <c r="C81" s="98"/>
      <c r="D81" s="98"/>
      <c r="E81" s="99"/>
      <c r="F81" s="133"/>
      <c r="G81" s="134"/>
      <c r="H81" s="134"/>
      <c r="I81" s="135"/>
      <c r="J81" s="97"/>
      <c r="K81" s="98"/>
      <c r="L81" s="98"/>
      <c r="M81" s="98"/>
      <c r="N81" s="98"/>
      <c r="O81" s="99"/>
      <c r="P81" s="133"/>
      <c r="Q81" s="134"/>
      <c r="R81" s="134"/>
      <c r="S81" s="135"/>
    </row>
    <row r="82" spans="1:20" ht="18" customHeight="1">
      <c r="A82" s="89"/>
      <c r="B82" s="97"/>
      <c r="C82" s="98"/>
      <c r="D82" s="98"/>
      <c r="E82" s="99"/>
      <c r="F82" s="133"/>
      <c r="G82" s="134"/>
      <c r="H82" s="134"/>
      <c r="I82" s="135"/>
      <c r="J82" s="97"/>
      <c r="K82" s="98"/>
      <c r="L82" s="98"/>
      <c r="M82" s="98"/>
      <c r="N82" s="98"/>
      <c r="O82" s="99"/>
      <c r="P82" s="133"/>
      <c r="Q82" s="134"/>
      <c r="R82" s="134"/>
      <c r="S82" s="135"/>
    </row>
    <row r="83" spans="1:20" ht="18" customHeight="1">
      <c r="A83" s="89"/>
      <c r="B83" s="97"/>
      <c r="C83" s="98"/>
      <c r="D83" s="98"/>
      <c r="E83" s="99"/>
      <c r="F83" s="133"/>
      <c r="G83" s="134"/>
      <c r="H83" s="134"/>
      <c r="I83" s="135"/>
      <c r="J83" s="97"/>
      <c r="K83" s="98"/>
      <c r="L83" s="98"/>
      <c r="M83" s="98"/>
      <c r="N83" s="98"/>
      <c r="O83" s="99"/>
      <c r="P83" s="133"/>
      <c r="Q83" s="134"/>
      <c r="R83" s="134"/>
      <c r="S83" s="135"/>
    </row>
    <row r="84" spans="1:20" ht="18" customHeight="1">
      <c r="A84" s="89"/>
      <c r="B84" s="97"/>
      <c r="C84" s="98"/>
      <c r="D84" s="98"/>
      <c r="E84" s="99"/>
      <c r="F84" s="133"/>
      <c r="G84" s="134"/>
      <c r="H84" s="134"/>
      <c r="I84" s="135"/>
      <c r="J84" s="97"/>
      <c r="K84" s="98"/>
      <c r="L84" s="98"/>
      <c r="M84" s="98"/>
      <c r="N84" s="98"/>
      <c r="O84" s="99"/>
      <c r="P84" s="133"/>
      <c r="Q84" s="134"/>
      <c r="R84" s="134"/>
      <c r="S84" s="135"/>
    </row>
    <row r="85" spans="1:20" ht="18" customHeight="1">
      <c r="A85" s="89"/>
      <c r="B85" s="100"/>
      <c r="C85" s="101"/>
      <c r="D85" s="101"/>
      <c r="E85" s="102"/>
      <c r="F85" s="130"/>
      <c r="G85" s="131"/>
      <c r="H85" s="131"/>
      <c r="I85" s="132"/>
      <c r="J85" s="100"/>
      <c r="K85" s="101"/>
      <c r="L85" s="101"/>
      <c r="M85" s="101"/>
      <c r="N85" s="101"/>
      <c r="O85" s="102"/>
      <c r="P85" s="130"/>
      <c r="Q85" s="131"/>
      <c r="R85" s="131"/>
      <c r="S85" s="132"/>
    </row>
    <row r="86" spans="1:20" ht="18" customHeight="1">
      <c r="A86" s="89"/>
      <c r="B86" s="8"/>
      <c r="C86" s="8"/>
      <c r="D86" s="8"/>
      <c r="E86" s="8"/>
      <c r="F86" s="26"/>
      <c r="G86" s="26"/>
      <c r="H86" s="26"/>
      <c r="I86" s="26"/>
      <c r="J86" s="8"/>
      <c r="K86" s="8"/>
      <c r="L86" s="8"/>
      <c r="M86" s="8"/>
      <c r="N86" s="8"/>
      <c r="O86" s="8"/>
      <c r="P86" s="26"/>
      <c r="Q86" s="26"/>
      <c r="R86" s="26"/>
      <c r="S86" s="26"/>
    </row>
    <row r="87" spans="1:20" ht="18.75" customHeight="1">
      <c r="A87" s="88" t="s">
        <v>119</v>
      </c>
    </row>
    <row r="88" spans="1:20" ht="18.75" customHeight="1">
      <c r="B88" s="162" t="s">
        <v>54</v>
      </c>
      <c r="C88" s="163"/>
      <c r="D88" s="104" t="s">
        <v>55</v>
      </c>
      <c r="E88" s="104"/>
      <c r="F88" s="104"/>
      <c r="G88" s="104"/>
      <c r="H88" s="104"/>
      <c r="I88" s="104"/>
      <c r="J88" s="104"/>
      <c r="K88" s="104"/>
      <c r="L88" s="104"/>
      <c r="M88" s="104"/>
      <c r="N88" s="104"/>
      <c r="O88" s="104"/>
      <c r="P88" s="104"/>
      <c r="Q88" s="104"/>
      <c r="R88" s="104"/>
      <c r="S88" s="105"/>
    </row>
    <row r="89" spans="1:20" ht="97.5" customHeight="1">
      <c r="B89" s="152" t="s">
        <v>61</v>
      </c>
      <c r="C89" s="27" t="s">
        <v>56</v>
      </c>
      <c r="D89" s="159" t="s">
        <v>164</v>
      </c>
      <c r="E89" s="160"/>
      <c r="F89" s="160"/>
      <c r="G89" s="160"/>
      <c r="H89" s="160"/>
      <c r="I89" s="160"/>
      <c r="J89" s="160"/>
      <c r="K89" s="160"/>
      <c r="L89" s="160"/>
      <c r="M89" s="160"/>
      <c r="N89" s="160"/>
      <c r="O89" s="160"/>
      <c r="P89" s="160"/>
      <c r="Q89" s="160"/>
      <c r="R89" s="160"/>
      <c r="S89" s="161"/>
      <c r="T89" s="85"/>
    </row>
    <row r="90" spans="1:20" ht="97.5" customHeight="1">
      <c r="B90" s="154"/>
      <c r="C90" s="28" t="s">
        <v>77</v>
      </c>
      <c r="D90" s="136" t="s">
        <v>165</v>
      </c>
      <c r="E90" s="137"/>
      <c r="F90" s="137"/>
      <c r="G90" s="137"/>
      <c r="H90" s="137"/>
      <c r="I90" s="137"/>
      <c r="J90" s="137"/>
      <c r="K90" s="137"/>
      <c r="L90" s="137"/>
      <c r="M90" s="137"/>
      <c r="N90" s="137"/>
      <c r="O90" s="137"/>
      <c r="P90" s="137"/>
      <c r="Q90" s="137"/>
      <c r="R90" s="137"/>
      <c r="S90" s="138"/>
    </row>
    <row r="91" spans="1:20" ht="97.5" customHeight="1">
      <c r="B91" s="152" t="s">
        <v>62</v>
      </c>
      <c r="C91" s="29" t="s">
        <v>71</v>
      </c>
      <c r="D91" s="139" t="s">
        <v>166</v>
      </c>
      <c r="E91" s="140"/>
      <c r="F91" s="140"/>
      <c r="G91" s="140"/>
      <c r="H91" s="140"/>
      <c r="I91" s="140"/>
      <c r="J91" s="140"/>
      <c r="K91" s="140"/>
      <c r="L91" s="140"/>
      <c r="M91" s="140"/>
      <c r="N91" s="140"/>
      <c r="O91" s="140"/>
      <c r="P91" s="140"/>
      <c r="Q91" s="140"/>
      <c r="R91" s="140"/>
      <c r="S91" s="141"/>
    </row>
    <row r="92" spans="1:20" ht="97.5" customHeight="1">
      <c r="B92" s="153"/>
      <c r="C92" s="30" t="s">
        <v>72</v>
      </c>
      <c r="D92" s="145" t="s">
        <v>167</v>
      </c>
      <c r="E92" s="146"/>
      <c r="F92" s="146"/>
      <c r="G92" s="146"/>
      <c r="H92" s="146"/>
      <c r="I92" s="146"/>
      <c r="J92" s="146"/>
      <c r="K92" s="146"/>
      <c r="L92" s="146"/>
      <c r="M92" s="146"/>
      <c r="N92" s="146"/>
      <c r="O92" s="146"/>
      <c r="P92" s="146"/>
      <c r="Q92" s="146"/>
      <c r="R92" s="146"/>
      <c r="S92" s="147"/>
    </row>
    <row r="93" spans="1:20" ht="97.5" customHeight="1">
      <c r="B93" s="152" t="s">
        <v>63</v>
      </c>
      <c r="C93" s="29" t="s">
        <v>73</v>
      </c>
      <c r="D93" s="139" t="s">
        <v>173</v>
      </c>
      <c r="E93" s="140"/>
      <c r="F93" s="140"/>
      <c r="G93" s="140"/>
      <c r="H93" s="140"/>
      <c r="I93" s="140"/>
      <c r="J93" s="140"/>
      <c r="K93" s="140"/>
      <c r="L93" s="140"/>
      <c r="M93" s="140"/>
      <c r="N93" s="140"/>
      <c r="O93" s="140"/>
      <c r="P93" s="140"/>
      <c r="Q93" s="140"/>
      <c r="R93" s="140"/>
      <c r="S93" s="141"/>
    </row>
    <row r="94" spans="1:20" ht="97.5" customHeight="1">
      <c r="B94" s="153"/>
      <c r="C94" s="31" t="s">
        <v>74</v>
      </c>
      <c r="D94" s="142" t="s">
        <v>168</v>
      </c>
      <c r="E94" s="143"/>
      <c r="F94" s="143"/>
      <c r="G94" s="143"/>
      <c r="H94" s="143"/>
      <c r="I94" s="143"/>
      <c r="J94" s="143"/>
      <c r="K94" s="143"/>
      <c r="L94" s="143"/>
      <c r="M94" s="143"/>
      <c r="N94" s="143"/>
      <c r="O94" s="143"/>
      <c r="P94" s="143"/>
      <c r="Q94" s="143"/>
      <c r="R94" s="143"/>
      <c r="S94" s="144"/>
    </row>
    <row r="95" spans="1:20" ht="97.5" customHeight="1">
      <c r="B95" s="152" t="s">
        <v>78</v>
      </c>
      <c r="C95" s="27" t="s">
        <v>58</v>
      </c>
      <c r="D95" s="159" t="s">
        <v>169</v>
      </c>
      <c r="E95" s="160"/>
      <c r="F95" s="160"/>
      <c r="G95" s="160"/>
      <c r="H95" s="160"/>
      <c r="I95" s="160"/>
      <c r="J95" s="160"/>
      <c r="K95" s="160"/>
      <c r="L95" s="160"/>
      <c r="M95" s="160"/>
      <c r="N95" s="160"/>
      <c r="O95" s="160"/>
      <c r="P95" s="160"/>
      <c r="Q95" s="160"/>
      <c r="R95" s="160"/>
      <c r="S95" s="161"/>
    </row>
    <row r="96" spans="1:20" ht="97.5" customHeight="1">
      <c r="B96" s="153"/>
      <c r="C96" s="30" t="s">
        <v>60</v>
      </c>
      <c r="D96" s="145" t="s">
        <v>170</v>
      </c>
      <c r="E96" s="146"/>
      <c r="F96" s="146"/>
      <c r="G96" s="146"/>
      <c r="H96" s="146"/>
      <c r="I96" s="146"/>
      <c r="J96" s="146"/>
      <c r="K96" s="146"/>
      <c r="L96" s="146"/>
      <c r="M96" s="146"/>
      <c r="N96" s="146"/>
      <c r="O96" s="146"/>
      <c r="P96" s="146"/>
      <c r="Q96" s="146"/>
      <c r="R96" s="146"/>
      <c r="S96" s="147"/>
    </row>
    <row r="97" spans="1:19" ht="97.5" customHeight="1">
      <c r="B97" s="152" t="s">
        <v>79</v>
      </c>
      <c r="C97" s="29" t="s">
        <v>57</v>
      </c>
      <c r="D97" s="155" t="s">
        <v>171</v>
      </c>
      <c r="E97" s="109"/>
      <c r="F97" s="109"/>
      <c r="G97" s="109"/>
      <c r="H97" s="109"/>
      <c r="I97" s="109"/>
      <c r="J97" s="109"/>
      <c r="K97" s="109"/>
      <c r="L97" s="109"/>
      <c r="M97" s="109"/>
      <c r="N97" s="109"/>
      <c r="O97" s="109"/>
      <c r="P97" s="109"/>
      <c r="Q97" s="109"/>
      <c r="R97" s="109"/>
      <c r="S97" s="110"/>
    </row>
    <row r="98" spans="1:19" ht="97.5" customHeight="1">
      <c r="B98" s="154"/>
      <c r="C98" s="32" t="s">
        <v>75</v>
      </c>
      <c r="D98" s="148" t="s">
        <v>172</v>
      </c>
      <c r="E98" s="98"/>
      <c r="F98" s="98"/>
      <c r="G98" s="98"/>
      <c r="H98" s="98"/>
      <c r="I98" s="98"/>
      <c r="J98" s="98"/>
      <c r="K98" s="98"/>
      <c r="L98" s="98"/>
      <c r="M98" s="98"/>
      <c r="N98" s="98"/>
      <c r="O98" s="98"/>
      <c r="P98" s="98"/>
      <c r="Q98" s="98"/>
      <c r="R98" s="98"/>
      <c r="S98" s="99"/>
    </row>
    <row r="99" spans="1:19" ht="97.5" customHeight="1">
      <c r="B99" s="153"/>
      <c r="C99" s="31" t="s">
        <v>76</v>
      </c>
      <c r="D99" s="156" t="s">
        <v>174</v>
      </c>
      <c r="E99" s="157"/>
      <c r="F99" s="157"/>
      <c r="G99" s="157"/>
      <c r="H99" s="157"/>
      <c r="I99" s="157"/>
      <c r="J99" s="157"/>
      <c r="K99" s="157"/>
      <c r="L99" s="157"/>
      <c r="M99" s="157"/>
      <c r="N99" s="157"/>
      <c r="O99" s="157"/>
      <c r="P99" s="157"/>
      <c r="Q99" s="157"/>
      <c r="R99" s="157"/>
      <c r="S99" s="158"/>
    </row>
    <row r="100" spans="1:19" ht="6" customHeight="1"/>
    <row r="101" spans="1:19" ht="18.75" customHeight="1">
      <c r="A101" s="88" t="s">
        <v>120</v>
      </c>
    </row>
    <row r="102" spans="1:19" ht="81.75" customHeight="1">
      <c r="B102" s="127" t="s">
        <v>129</v>
      </c>
      <c r="C102" s="128"/>
      <c r="D102" s="128"/>
      <c r="E102" s="128"/>
      <c r="F102" s="128"/>
      <c r="G102" s="128"/>
      <c r="H102" s="128"/>
      <c r="I102" s="128"/>
      <c r="J102" s="128"/>
      <c r="K102" s="128"/>
      <c r="L102" s="128"/>
      <c r="M102" s="128"/>
      <c r="N102" s="128"/>
      <c r="O102" s="128"/>
      <c r="P102" s="128"/>
      <c r="Q102" s="128"/>
      <c r="R102" s="128"/>
      <c r="S102" s="129"/>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4" priority="1">
      <formula>$K$7="学部・学科によって、修了要件は相違しない"</formula>
    </cfRule>
  </conditionalFormatting>
  <dataValidations count="6">
    <dataValidation type="list" allowBlank="1" showErrorMessage="1" sqref="F69:F73 H69:I73" xr:uid="{1483844F-A5D7-45F5-8AF5-DE7F71D12F43}">
      <formula1>"○"</formula1>
    </dataValidation>
    <dataValidation type="list" allowBlank="1" showInputMessage="1" showErrorMessage="1" sqref="K20:S20" xr:uid="{9B8B7679-D5CB-46A8-A30F-D400ADAE989C}">
      <formula1>$V$14:$V$16</formula1>
    </dataValidation>
    <dataValidation type="list" allowBlank="1" showInputMessage="1" showErrorMessage="1" sqref="F79:F86 P79:P86 G79:I80 G83:I86 Q83:S86 Q79:S80" xr:uid="{CDF0DC8D-23CD-4D72-AA95-5999D9BAC65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2166903C-7EEF-4B64-B750-58842E93D439}">
      <formula1>"学部・学科によって、修了要件は相違する,学部・学科によって、修了要件は相違しない"</formula1>
    </dataValidation>
    <dataValidation type="list" allowBlank="1" showInputMessage="1" showErrorMessage="1" sqref="S32 S43 D32:G32 D43:G43" xr:uid="{76DD15B6-27E3-44B9-8748-436EAF20FC00}">
      <formula1>"全学開講,一部開講"</formula1>
    </dataValidation>
    <dataValidation type="list" allowBlank="1" showInputMessage="1" showErrorMessage="1" sqref="G25:I31 Q25:S31 P69:S75 Q36:S42 G36:I42 Q47:S53 G47:I53 Q58:S64 G58:I64 F74:I75" xr:uid="{1DFC54A0-3C77-4804-B695-22FAC8EE3359}">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3F50-4C53-42AB-B94E-2B9E673B2C51}">
  <sheetPr>
    <tabColor rgb="FFFF0000"/>
    <pageSetUpPr fitToPage="1"/>
  </sheetPr>
  <dimension ref="A1:V110"/>
  <sheetViews>
    <sheetView showZeros="0" view="pageBreakPreview" zoomScaleNormal="100" zoomScaleSheetLayoutView="100" workbookViewId="0">
      <selection activeCell="T23" sqref="T23"/>
    </sheetView>
  </sheetViews>
  <sheetFormatPr defaultColWidth="9" defaultRowHeight="18.75" customHeight="1"/>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c r="R1" s="107" t="s">
        <v>175</v>
      </c>
      <c r="S1" s="107"/>
      <c r="T1" s="66" t="s">
        <v>109</v>
      </c>
    </row>
    <row r="2" spans="1:22" ht="18.75" customHeight="1">
      <c r="B2" s="87" t="s">
        <v>108</v>
      </c>
      <c r="C2" s="103" t="s">
        <v>125</v>
      </c>
      <c r="D2" s="104"/>
      <c r="E2" s="104"/>
      <c r="F2" s="104"/>
      <c r="G2" s="104"/>
      <c r="H2" s="104"/>
      <c r="I2" s="105"/>
      <c r="J2" s="86"/>
      <c r="K2" s="8"/>
      <c r="L2" s="8"/>
      <c r="M2" s="8"/>
      <c r="N2" s="8"/>
      <c r="O2" s="8"/>
      <c r="P2" s="8"/>
      <c r="Q2" s="8"/>
      <c r="R2" s="8"/>
      <c r="S2" s="8"/>
    </row>
    <row r="3" spans="1:22" ht="18.75" customHeight="1">
      <c r="B3" s="87" t="s">
        <v>102</v>
      </c>
      <c r="C3" s="103" t="s">
        <v>126</v>
      </c>
      <c r="D3" s="104"/>
      <c r="E3" s="104"/>
      <c r="F3" s="104"/>
      <c r="G3" s="104"/>
      <c r="H3" s="104"/>
      <c r="I3" s="105"/>
      <c r="J3" s="86"/>
      <c r="K3" s="8"/>
      <c r="L3" s="8"/>
      <c r="M3" s="8"/>
      <c r="N3" s="8"/>
      <c r="O3" s="8"/>
      <c r="P3" s="8"/>
      <c r="Q3" s="8"/>
      <c r="R3" s="8"/>
      <c r="S3" s="8"/>
    </row>
    <row r="4" spans="1:22" ht="15" customHeight="1">
      <c r="K4" s="86"/>
      <c r="L4" s="9"/>
      <c r="M4" s="9"/>
      <c r="N4" s="9"/>
      <c r="O4" s="9"/>
      <c r="P4" s="9"/>
      <c r="Q4" s="9"/>
      <c r="R4" s="9"/>
      <c r="S4" s="9"/>
    </row>
    <row r="5" spans="1:22" ht="18" customHeight="1">
      <c r="A5" s="114" t="s">
        <v>38</v>
      </c>
      <c r="B5" s="114"/>
      <c r="C5" s="114"/>
      <c r="D5" s="114"/>
      <c r="E5" s="114"/>
      <c r="F5" s="114"/>
      <c r="G5" s="114"/>
      <c r="H5" s="114"/>
      <c r="I5" s="114"/>
      <c r="J5" s="114"/>
      <c r="K5" s="114"/>
      <c r="L5" s="114"/>
      <c r="M5" s="114"/>
      <c r="N5" s="114"/>
      <c r="O5" s="114"/>
      <c r="P5" s="114"/>
      <c r="Q5" s="114"/>
      <c r="R5" s="114"/>
      <c r="S5" s="114"/>
    </row>
    <row r="6" spans="1:22" ht="15" customHeight="1">
      <c r="B6" s="89"/>
      <c r="C6" s="89"/>
      <c r="D6" s="89"/>
      <c r="E6" s="89"/>
      <c r="F6" s="89"/>
      <c r="G6" s="89"/>
      <c r="H6" s="89"/>
      <c r="I6" s="89"/>
      <c r="J6" s="89"/>
      <c r="K6" s="89"/>
      <c r="L6" s="89"/>
      <c r="M6" s="89"/>
      <c r="N6" s="89"/>
      <c r="O6" s="89"/>
      <c r="P6" s="89"/>
      <c r="Q6" s="89"/>
      <c r="R6" s="89"/>
      <c r="S6" s="89"/>
    </row>
    <row r="7" spans="1:22" ht="18" customHeight="1">
      <c r="A7" s="88" t="s">
        <v>123</v>
      </c>
      <c r="C7" s="89"/>
      <c r="J7" s="11" t="s">
        <v>107</v>
      </c>
      <c r="K7" s="124" t="s">
        <v>127</v>
      </c>
      <c r="L7" s="125"/>
      <c r="M7" s="125"/>
      <c r="N7" s="125"/>
      <c r="O7" s="125"/>
      <c r="P7" s="125"/>
      <c r="Q7" s="125"/>
      <c r="R7" s="125"/>
      <c r="S7" s="126"/>
    </row>
    <row r="8" spans="1:22" ht="6" customHeight="1">
      <c r="B8" s="89"/>
      <c r="C8" s="89"/>
      <c r="D8" s="89"/>
      <c r="E8" s="89"/>
      <c r="F8" s="89"/>
      <c r="G8" s="89"/>
      <c r="H8" s="89"/>
      <c r="I8" s="89"/>
      <c r="J8" s="89"/>
      <c r="K8" s="12"/>
      <c r="L8" s="89"/>
      <c r="M8" s="89"/>
      <c r="N8" s="89"/>
      <c r="O8" s="89"/>
      <c r="P8" s="89"/>
      <c r="Q8" s="89"/>
      <c r="R8" s="89"/>
      <c r="S8" s="89"/>
    </row>
    <row r="9" spans="1:22" ht="18" customHeight="1">
      <c r="B9" s="91" t="s">
        <v>176</v>
      </c>
      <c r="C9" s="92"/>
      <c r="D9" s="92"/>
      <c r="E9" s="92"/>
      <c r="F9" s="92"/>
      <c r="G9" s="92"/>
      <c r="H9" s="92"/>
      <c r="I9" s="92"/>
      <c r="J9" s="92"/>
      <c r="K9" s="92"/>
      <c r="L9" s="92"/>
      <c r="M9" s="92"/>
      <c r="N9" s="92"/>
      <c r="O9" s="92"/>
      <c r="P9" s="92"/>
      <c r="Q9" s="92"/>
      <c r="R9" s="92"/>
      <c r="S9" s="93"/>
    </row>
    <row r="10" spans="1:22" ht="18" customHeight="1">
      <c r="B10" s="94"/>
      <c r="C10" s="95"/>
      <c r="D10" s="95"/>
      <c r="E10" s="95"/>
      <c r="F10" s="95"/>
      <c r="G10" s="95"/>
      <c r="H10" s="95"/>
      <c r="I10" s="95"/>
      <c r="J10" s="95"/>
      <c r="K10" s="95"/>
      <c r="L10" s="95"/>
      <c r="M10" s="95"/>
      <c r="N10" s="95"/>
      <c r="O10" s="95"/>
      <c r="P10" s="95"/>
      <c r="Q10" s="95"/>
      <c r="R10" s="95"/>
      <c r="S10" s="96"/>
    </row>
    <row r="11" spans="1:22" ht="6" customHeight="1">
      <c r="B11" s="89"/>
      <c r="C11" s="89"/>
      <c r="D11" s="89"/>
      <c r="E11" s="89"/>
      <c r="F11" s="89"/>
      <c r="G11" s="89"/>
      <c r="H11" s="89"/>
      <c r="I11" s="89"/>
      <c r="J11" s="89"/>
      <c r="K11" s="12"/>
      <c r="L11" s="89"/>
      <c r="M11" s="89"/>
      <c r="N11" s="89"/>
      <c r="O11" s="89"/>
      <c r="P11" s="89"/>
      <c r="Q11" s="89"/>
      <c r="R11" s="89"/>
      <c r="S11" s="89"/>
    </row>
    <row r="12" spans="1:22" ht="18" customHeight="1">
      <c r="A12" s="88" t="s">
        <v>111</v>
      </c>
      <c r="B12" s="89"/>
      <c r="C12" s="89"/>
      <c r="D12" s="86"/>
      <c r="E12" s="86"/>
      <c r="F12" s="86"/>
      <c r="G12" s="86"/>
      <c r="H12" s="86"/>
      <c r="I12" s="86"/>
      <c r="J12" s="86"/>
      <c r="K12" s="13"/>
      <c r="L12" s="13"/>
      <c r="M12" s="13"/>
      <c r="N12" s="13"/>
      <c r="O12" s="13"/>
      <c r="P12" s="13"/>
      <c r="Q12" s="13"/>
      <c r="R12" s="13"/>
      <c r="S12" s="13"/>
    </row>
    <row r="13" spans="1:22" ht="18" customHeight="1">
      <c r="B13" s="115" t="s">
        <v>178</v>
      </c>
      <c r="C13" s="116"/>
      <c r="D13" s="116"/>
      <c r="E13" s="116"/>
      <c r="F13" s="116"/>
      <c r="G13" s="116"/>
      <c r="H13" s="116"/>
      <c r="I13" s="116"/>
      <c r="J13" s="116"/>
      <c r="K13" s="116"/>
      <c r="L13" s="116"/>
      <c r="M13" s="116"/>
      <c r="N13" s="116"/>
      <c r="O13" s="116"/>
      <c r="P13" s="116"/>
      <c r="Q13" s="116"/>
      <c r="R13" s="116"/>
      <c r="S13" s="117"/>
      <c r="V13" s="88" t="s">
        <v>103</v>
      </c>
    </row>
    <row r="14" spans="1:22" ht="18" customHeight="1">
      <c r="B14" s="118"/>
      <c r="C14" s="119"/>
      <c r="D14" s="119"/>
      <c r="E14" s="119"/>
      <c r="F14" s="119"/>
      <c r="G14" s="119"/>
      <c r="H14" s="119"/>
      <c r="I14" s="119"/>
      <c r="J14" s="119"/>
      <c r="K14" s="119"/>
      <c r="L14" s="119"/>
      <c r="M14" s="119"/>
      <c r="N14" s="119"/>
      <c r="O14" s="119"/>
      <c r="P14" s="119"/>
      <c r="Q14" s="119"/>
      <c r="R14" s="119"/>
      <c r="S14" s="120"/>
      <c r="V14" s="88" t="s">
        <v>110</v>
      </c>
    </row>
    <row r="15" spans="1:22" ht="18" customHeight="1">
      <c r="B15" s="118"/>
      <c r="C15" s="119"/>
      <c r="D15" s="119"/>
      <c r="E15" s="119"/>
      <c r="F15" s="119"/>
      <c r="G15" s="119"/>
      <c r="H15" s="119"/>
      <c r="I15" s="119"/>
      <c r="J15" s="119"/>
      <c r="K15" s="119"/>
      <c r="L15" s="119"/>
      <c r="M15" s="119"/>
      <c r="N15" s="119"/>
      <c r="O15" s="119"/>
      <c r="P15" s="119"/>
      <c r="Q15" s="119"/>
      <c r="R15" s="119"/>
      <c r="S15" s="120"/>
      <c r="V15" s="88" t="s">
        <v>122</v>
      </c>
    </row>
    <row r="16" spans="1:22" ht="18" customHeight="1">
      <c r="B16" s="118"/>
      <c r="C16" s="119"/>
      <c r="D16" s="119"/>
      <c r="E16" s="119"/>
      <c r="F16" s="119"/>
      <c r="G16" s="119"/>
      <c r="H16" s="119"/>
      <c r="I16" s="119"/>
      <c r="J16" s="119"/>
      <c r="K16" s="119"/>
      <c r="L16" s="119"/>
      <c r="M16" s="119"/>
      <c r="N16" s="119"/>
      <c r="O16" s="119"/>
      <c r="P16" s="119"/>
      <c r="Q16" s="119"/>
      <c r="R16" s="119"/>
      <c r="S16" s="120"/>
      <c r="V16" s="88" t="s">
        <v>124</v>
      </c>
    </row>
    <row r="17" spans="1:19" ht="18" customHeight="1">
      <c r="B17" s="118"/>
      <c r="C17" s="119"/>
      <c r="D17" s="119"/>
      <c r="E17" s="119"/>
      <c r="F17" s="119"/>
      <c r="G17" s="119"/>
      <c r="H17" s="119"/>
      <c r="I17" s="119"/>
      <c r="J17" s="119"/>
      <c r="K17" s="119"/>
      <c r="L17" s="119"/>
      <c r="M17" s="119"/>
      <c r="N17" s="119"/>
      <c r="O17" s="119"/>
      <c r="P17" s="119"/>
      <c r="Q17" s="119"/>
      <c r="R17" s="119"/>
      <c r="S17" s="120"/>
    </row>
    <row r="18" spans="1:19" ht="18" customHeight="1">
      <c r="B18" s="121"/>
      <c r="C18" s="122"/>
      <c r="D18" s="122"/>
      <c r="E18" s="122"/>
      <c r="F18" s="122"/>
      <c r="G18" s="122"/>
      <c r="H18" s="122"/>
      <c r="I18" s="122"/>
      <c r="J18" s="122"/>
      <c r="K18" s="122"/>
      <c r="L18" s="122"/>
      <c r="M18" s="122"/>
      <c r="N18" s="122"/>
      <c r="O18" s="122"/>
      <c r="P18" s="122"/>
      <c r="Q18" s="122"/>
      <c r="R18" s="122"/>
      <c r="S18" s="123"/>
    </row>
    <row r="19" spans="1:19" ht="7.5" customHeight="1">
      <c r="B19" s="89"/>
      <c r="C19" s="89"/>
      <c r="D19" s="89"/>
      <c r="E19" s="89"/>
      <c r="F19" s="89"/>
      <c r="G19" s="89"/>
      <c r="H19" s="89"/>
      <c r="I19" s="89"/>
      <c r="J19" s="89"/>
      <c r="K19" s="89"/>
      <c r="L19" s="89"/>
      <c r="M19" s="89"/>
      <c r="N19" s="89"/>
      <c r="O19" s="89"/>
      <c r="P19" s="89"/>
      <c r="Q19" s="89"/>
      <c r="R19" s="89"/>
      <c r="S19" s="89"/>
    </row>
    <row r="20" spans="1:19" ht="19.899999999999999" customHeight="1">
      <c r="B20" s="88" t="s">
        <v>112</v>
      </c>
      <c r="C20" s="103">
        <v>1</v>
      </c>
      <c r="D20" s="105"/>
      <c r="E20" s="14" t="s">
        <v>95</v>
      </c>
      <c r="G20" s="12"/>
      <c r="H20" s="89"/>
      <c r="I20" s="89"/>
      <c r="J20" s="86" t="s">
        <v>121</v>
      </c>
      <c r="K20" s="111" t="s">
        <v>110</v>
      </c>
      <c r="L20" s="112"/>
      <c r="M20" s="112"/>
      <c r="N20" s="112"/>
      <c r="O20" s="112"/>
      <c r="P20" s="112"/>
      <c r="Q20" s="112"/>
      <c r="R20" s="112"/>
      <c r="S20" s="113"/>
    </row>
    <row r="21" spans="1:19" ht="7.5" customHeight="1">
      <c r="B21" s="89"/>
      <c r="C21" s="89"/>
      <c r="D21" s="89"/>
      <c r="E21" s="89"/>
      <c r="F21" s="89"/>
      <c r="G21" s="89"/>
      <c r="H21" s="89"/>
      <c r="I21" s="89"/>
      <c r="J21" s="89"/>
      <c r="K21" s="89"/>
      <c r="L21" s="89"/>
      <c r="M21" s="89"/>
      <c r="N21" s="89"/>
      <c r="O21" s="89"/>
      <c r="P21" s="89"/>
      <c r="Q21" s="89"/>
      <c r="R21" s="89"/>
      <c r="S21" s="89"/>
    </row>
    <row r="22" spans="1:19" ht="18" customHeight="1">
      <c r="A22" s="106" t="s">
        <v>113</v>
      </c>
      <c r="B22" s="106"/>
      <c r="C22" s="106"/>
      <c r="D22" s="106"/>
      <c r="E22" s="106"/>
      <c r="F22" s="106"/>
      <c r="G22" s="106"/>
      <c r="H22" s="106"/>
      <c r="I22" s="106"/>
      <c r="J22" s="106"/>
      <c r="K22" s="106"/>
      <c r="L22" s="106"/>
      <c r="M22" s="106"/>
      <c r="N22" s="106"/>
      <c r="O22" s="106"/>
      <c r="P22" s="106"/>
      <c r="Q22" s="106"/>
      <c r="R22" s="106"/>
      <c r="S22" s="106"/>
    </row>
    <row r="23" spans="1:19" ht="18" customHeight="1">
      <c r="A23" s="106"/>
      <c r="B23" s="106"/>
      <c r="C23" s="106"/>
      <c r="D23" s="106"/>
      <c r="E23" s="106"/>
      <c r="F23" s="106"/>
      <c r="G23" s="106"/>
      <c r="H23" s="106"/>
      <c r="I23" s="106"/>
      <c r="J23" s="106"/>
      <c r="K23" s="106"/>
      <c r="L23" s="106"/>
      <c r="M23" s="106"/>
      <c r="N23" s="106"/>
      <c r="O23" s="106"/>
      <c r="P23" s="106"/>
      <c r="Q23" s="106"/>
      <c r="R23" s="106"/>
      <c r="S23" s="106"/>
    </row>
    <row r="24" spans="1:19" ht="18" customHeight="1">
      <c r="B24" s="103" t="s">
        <v>53</v>
      </c>
      <c r="C24" s="104"/>
      <c r="D24" s="104"/>
      <c r="E24" s="105"/>
      <c r="F24" s="15" t="s">
        <v>80</v>
      </c>
      <c r="G24" s="16" t="s">
        <v>84</v>
      </c>
      <c r="H24" s="17" t="s">
        <v>56</v>
      </c>
      <c r="I24" s="17" t="s">
        <v>59</v>
      </c>
      <c r="J24" s="103" t="s">
        <v>53</v>
      </c>
      <c r="K24" s="104"/>
      <c r="L24" s="104"/>
      <c r="M24" s="104"/>
      <c r="N24" s="104"/>
      <c r="O24" s="105"/>
      <c r="P24" s="15" t="s">
        <v>80</v>
      </c>
      <c r="Q24" s="16" t="s">
        <v>84</v>
      </c>
      <c r="R24" s="17" t="s">
        <v>56</v>
      </c>
      <c r="S24" s="17" t="s">
        <v>59</v>
      </c>
    </row>
    <row r="25" spans="1:19" ht="18" customHeight="1">
      <c r="B25" s="97" t="s">
        <v>163</v>
      </c>
      <c r="C25" s="98"/>
      <c r="D25" s="98"/>
      <c r="E25" s="99"/>
      <c r="F25" s="18">
        <v>1</v>
      </c>
      <c r="G25" s="18" t="s">
        <v>128</v>
      </c>
      <c r="H25" s="18" t="s">
        <v>128</v>
      </c>
      <c r="I25" s="18" t="s">
        <v>128</v>
      </c>
      <c r="J25" s="108"/>
      <c r="K25" s="109"/>
      <c r="L25" s="109"/>
      <c r="M25" s="109"/>
      <c r="N25" s="109"/>
      <c r="O25" s="110"/>
      <c r="P25" s="18"/>
      <c r="Q25" s="18"/>
      <c r="R25" s="18"/>
      <c r="S25" s="18"/>
    </row>
    <row r="26" spans="1:19" ht="18" customHeight="1">
      <c r="B26" s="97"/>
      <c r="C26" s="98"/>
      <c r="D26" s="98"/>
      <c r="E26" s="99"/>
      <c r="F26" s="19"/>
      <c r="G26" s="19"/>
      <c r="H26" s="19"/>
      <c r="I26" s="19"/>
      <c r="J26" s="97"/>
      <c r="K26" s="98"/>
      <c r="L26" s="98"/>
      <c r="M26" s="98"/>
      <c r="N26" s="98"/>
      <c r="O26" s="99"/>
      <c r="P26" s="19"/>
      <c r="Q26" s="19"/>
      <c r="R26" s="19"/>
      <c r="S26" s="19"/>
    </row>
    <row r="27" spans="1:19" ht="18" customHeight="1">
      <c r="B27" s="97"/>
      <c r="C27" s="98"/>
      <c r="D27" s="98"/>
      <c r="E27" s="99"/>
      <c r="F27" s="19"/>
      <c r="G27" s="19"/>
      <c r="H27" s="19"/>
      <c r="I27" s="19"/>
      <c r="J27" s="97"/>
      <c r="K27" s="98"/>
      <c r="L27" s="98"/>
      <c r="M27" s="98"/>
      <c r="N27" s="98"/>
      <c r="O27" s="99"/>
      <c r="P27" s="19"/>
      <c r="Q27" s="19"/>
      <c r="R27" s="19"/>
      <c r="S27" s="19"/>
    </row>
    <row r="28" spans="1:19" ht="18" customHeight="1">
      <c r="B28" s="97"/>
      <c r="C28" s="98"/>
      <c r="D28" s="98"/>
      <c r="E28" s="99"/>
      <c r="F28" s="19"/>
      <c r="G28" s="19"/>
      <c r="H28" s="19"/>
      <c r="I28" s="19"/>
      <c r="J28" s="97"/>
      <c r="K28" s="98"/>
      <c r="L28" s="98"/>
      <c r="M28" s="98"/>
      <c r="N28" s="98"/>
      <c r="O28" s="99"/>
      <c r="P28" s="19"/>
      <c r="Q28" s="19"/>
      <c r="R28" s="19"/>
      <c r="S28" s="19"/>
    </row>
    <row r="29" spans="1:19" ht="18" customHeight="1">
      <c r="B29" s="97"/>
      <c r="C29" s="98"/>
      <c r="D29" s="98"/>
      <c r="E29" s="99"/>
      <c r="F29" s="19"/>
      <c r="G29" s="19"/>
      <c r="H29" s="19"/>
      <c r="I29" s="19"/>
      <c r="J29" s="97"/>
      <c r="K29" s="98"/>
      <c r="L29" s="98"/>
      <c r="M29" s="98"/>
      <c r="N29" s="98"/>
      <c r="O29" s="99"/>
      <c r="P29" s="19"/>
      <c r="Q29" s="19"/>
      <c r="R29" s="19"/>
      <c r="S29" s="19"/>
    </row>
    <row r="30" spans="1:19" ht="18" customHeight="1">
      <c r="A30" s="89"/>
      <c r="B30" s="97"/>
      <c r="C30" s="98"/>
      <c r="D30" s="98"/>
      <c r="E30" s="99"/>
      <c r="F30" s="19"/>
      <c r="G30" s="19"/>
      <c r="H30" s="19"/>
      <c r="I30" s="19"/>
      <c r="J30" s="97"/>
      <c r="K30" s="98"/>
      <c r="L30" s="98"/>
      <c r="M30" s="98"/>
      <c r="N30" s="98"/>
      <c r="O30" s="99"/>
      <c r="P30" s="19"/>
      <c r="Q30" s="19"/>
      <c r="R30" s="19"/>
      <c r="S30" s="19"/>
    </row>
    <row r="31" spans="1:19" ht="18" customHeight="1">
      <c r="A31" s="89"/>
      <c r="B31" s="100"/>
      <c r="C31" s="101"/>
      <c r="D31" s="101"/>
      <c r="E31" s="102"/>
      <c r="F31" s="20"/>
      <c r="G31" s="20"/>
      <c r="H31" s="21"/>
      <c r="I31" s="21"/>
      <c r="J31" s="100"/>
      <c r="K31" s="101"/>
      <c r="L31" s="101"/>
      <c r="M31" s="101"/>
      <c r="N31" s="101"/>
      <c r="O31" s="102"/>
      <c r="P31" s="20"/>
      <c r="Q31" s="20"/>
      <c r="R31" s="21"/>
      <c r="S31" s="21"/>
    </row>
    <row r="32" spans="1:19" ht="7.5" customHeight="1">
      <c r="A32" s="89"/>
      <c r="B32" s="8"/>
      <c r="C32" s="8"/>
      <c r="D32" s="89"/>
      <c r="E32" s="89"/>
      <c r="F32" s="89"/>
      <c r="G32" s="89"/>
      <c r="H32" s="8"/>
      <c r="I32" s="8"/>
      <c r="J32" s="8"/>
      <c r="K32" s="8"/>
      <c r="L32" s="8"/>
      <c r="M32" s="8"/>
      <c r="N32" s="8"/>
      <c r="O32" s="8"/>
      <c r="P32" s="8"/>
      <c r="Q32" s="8"/>
      <c r="R32" s="8"/>
      <c r="S32" s="89"/>
    </row>
    <row r="33" spans="1:19" ht="18" customHeight="1">
      <c r="A33" s="106" t="s">
        <v>114</v>
      </c>
      <c r="B33" s="106"/>
      <c r="C33" s="106"/>
      <c r="D33" s="106"/>
      <c r="E33" s="106"/>
      <c r="F33" s="106"/>
      <c r="G33" s="106"/>
      <c r="H33" s="106"/>
      <c r="I33" s="106"/>
      <c r="J33" s="106"/>
      <c r="K33" s="106"/>
      <c r="L33" s="106"/>
      <c r="M33" s="106"/>
      <c r="N33" s="106"/>
      <c r="O33" s="106"/>
      <c r="P33" s="106"/>
      <c r="Q33" s="106"/>
      <c r="R33" s="106"/>
      <c r="S33" s="106"/>
    </row>
    <row r="34" spans="1:19" ht="18" customHeight="1">
      <c r="A34" s="106"/>
      <c r="B34" s="106"/>
      <c r="C34" s="106"/>
      <c r="D34" s="106"/>
      <c r="E34" s="106"/>
      <c r="F34" s="106"/>
      <c r="G34" s="106"/>
      <c r="H34" s="106"/>
      <c r="I34" s="106"/>
      <c r="J34" s="106"/>
      <c r="K34" s="106"/>
      <c r="L34" s="106"/>
      <c r="M34" s="106"/>
      <c r="N34" s="106"/>
      <c r="O34" s="106"/>
      <c r="P34" s="106"/>
      <c r="Q34" s="106"/>
      <c r="R34" s="106"/>
      <c r="S34" s="106"/>
    </row>
    <row r="35" spans="1:19" ht="18" customHeight="1">
      <c r="B35" s="103" t="s">
        <v>53</v>
      </c>
      <c r="C35" s="104"/>
      <c r="D35" s="104"/>
      <c r="E35" s="105"/>
      <c r="F35" s="15" t="s">
        <v>80</v>
      </c>
      <c r="G35" s="16" t="s">
        <v>84</v>
      </c>
      <c r="H35" s="17" t="s">
        <v>71</v>
      </c>
      <c r="I35" s="17" t="s">
        <v>72</v>
      </c>
      <c r="J35" s="103" t="s">
        <v>53</v>
      </c>
      <c r="K35" s="104"/>
      <c r="L35" s="104"/>
      <c r="M35" s="104"/>
      <c r="N35" s="104"/>
      <c r="O35" s="105"/>
      <c r="P35" s="15" t="s">
        <v>80</v>
      </c>
      <c r="Q35" s="16" t="s">
        <v>84</v>
      </c>
      <c r="R35" s="17" t="s">
        <v>71</v>
      </c>
      <c r="S35" s="17" t="s">
        <v>72</v>
      </c>
    </row>
    <row r="36" spans="1:19" ht="18" customHeight="1">
      <c r="B36" s="97" t="s">
        <v>163</v>
      </c>
      <c r="C36" s="98"/>
      <c r="D36" s="98"/>
      <c r="E36" s="99"/>
      <c r="F36" s="18">
        <v>1</v>
      </c>
      <c r="G36" s="18" t="s">
        <v>128</v>
      </c>
      <c r="H36" s="18" t="s">
        <v>128</v>
      </c>
      <c r="I36" s="18" t="s">
        <v>128</v>
      </c>
      <c r="J36" s="108"/>
      <c r="K36" s="109"/>
      <c r="L36" s="109"/>
      <c r="M36" s="109"/>
      <c r="N36" s="109"/>
      <c r="O36" s="110"/>
      <c r="P36" s="18"/>
      <c r="Q36" s="18"/>
      <c r="R36" s="18"/>
      <c r="S36" s="18"/>
    </row>
    <row r="37" spans="1:19" ht="18" customHeight="1">
      <c r="B37" s="97"/>
      <c r="C37" s="98"/>
      <c r="D37" s="98"/>
      <c r="E37" s="99"/>
      <c r="F37" s="19"/>
      <c r="G37" s="19"/>
      <c r="H37" s="19"/>
      <c r="I37" s="19"/>
      <c r="J37" s="97"/>
      <c r="K37" s="98"/>
      <c r="L37" s="98"/>
      <c r="M37" s="98"/>
      <c r="N37" s="98"/>
      <c r="O37" s="99"/>
      <c r="P37" s="19"/>
      <c r="Q37" s="19"/>
      <c r="R37" s="19"/>
      <c r="S37" s="19"/>
    </row>
    <row r="38" spans="1:19" ht="18" customHeight="1">
      <c r="B38" s="97"/>
      <c r="C38" s="98"/>
      <c r="D38" s="98"/>
      <c r="E38" s="99"/>
      <c r="F38" s="19"/>
      <c r="G38" s="19"/>
      <c r="H38" s="19"/>
      <c r="I38" s="19"/>
      <c r="J38" s="97"/>
      <c r="K38" s="98"/>
      <c r="L38" s="98"/>
      <c r="M38" s="98"/>
      <c r="N38" s="98"/>
      <c r="O38" s="99"/>
      <c r="P38" s="19"/>
      <c r="Q38" s="19"/>
      <c r="R38" s="19"/>
      <c r="S38" s="19"/>
    </row>
    <row r="39" spans="1:19" ht="18" customHeight="1">
      <c r="B39" s="97"/>
      <c r="C39" s="98"/>
      <c r="D39" s="98"/>
      <c r="E39" s="99"/>
      <c r="F39" s="19"/>
      <c r="G39" s="19"/>
      <c r="H39" s="19"/>
      <c r="I39" s="19"/>
      <c r="J39" s="97"/>
      <c r="K39" s="98"/>
      <c r="L39" s="98"/>
      <c r="M39" s="98"/>
      <c r="N39" s="98"/>
      <c r="O39" s="99"/>
      <c r="P39" s="19"/>
      <c r="Q39" s="19"/>
      <c r="R39" s="19"/>
      <c r="S39" s="19"/>
    </row>
    <row r="40" spans="1:19" ht="18" customHeight="1">
      <c r="B40" s="97"/>
      <c r="C40" s="98"/>
      <c r="D40" s="98"/>
      <c r="E40" s="99"/>
      <c r="F40" s="19"/>
      <c r="G40" s="19"/>
      <c r="H40" s="19"/>
      <c r="I40" s="19"/>
      <c r="J40" s="97"/>
      <c r="K40" s="98"/>
      <c r="L40" s="98"/>
      <c r="M40" s="98"/>
      <c r="N40" s="98"/>
      <c r="O40" s="99"/>
      <c r="P40" s="19"/>
      <c r="Q40" s="19"/>
      <c r="R40" s="19"/>
      <c r="S40" s="19"/>
    </row>
    <row r="41" spans="1:19" ht="18" customHeight="1">
      <c r="B41" s="97"/>
      <c r="C41" s="98"/>
      <c r="D41" s="98"/>
      <c r="E41" s="99"/>
      <c r="F41" s="19"/>
      <c r="G41" s="19"/>
      <c r="H41" s="19"/>
      <c r="I41" s="19"/>
      <c r="J41" s="97"/>
      <c r="K41" s="98"/>
      <c r="L41" s="98"/>
      <c r="M41" s="98"/>
      <c r="N41" s="98"/>
      <c r="O41" s="99"/>
      <c r="P41" s="19"/>
      <c r="Q41" s="19"/>
      <c r="R41" s="19"/>
      <c r="S41" s="19"/>
    </row>
    <row r="42" spans="1:19" ht="18" customHeight="1">
      <c r="B42" s="100"/>
      <c r="C42" s="101"/>
      <c r="D42" s="101"/>
      <c r="E42" s="102"/>
      <c r="F42" s="20"/>
      <c r="G42" s="20"/>
      <c r="H42" s="21"/>
      <c r="I42" s="21"/>
      <c r="J42" s="100"/>
      <c r="K42" s="101"/>
      <c r="L42" s="101"/>
      <c r="M42" s="101"/>
      <c r="N42" s="101"/>
      <c r="O42" s="102"/>
      <c r="P42" s="20"/>
      <c r="Q42" s="20"/>
      <c r="R42" s="21"/>
      <c r="S42" s="21"/>
    </row>
    <row r="43" spans="1:19" ht="7.5" customHeight="1">
      <c r="A43" s="89"/>
      <c r="B43" s="8"/>
      <c r="C43" s="8"/>
      <c r="D43" s="89"/>
      <c r="E43" s="89"/>
      <c r="F43" s="89"/>
      <c r="G43" s="89"/>
      <c r="H43" s="8"/>
      <c r="I43" s="8"/>
      <c r="J43" s="8"/>
      <c r="K43" s="8"/>
      <c r="L43" s="8"/>
      <c r="M43" s="8"/>
      <c r="N43" s="8"/>
      <c r="O43" s="8"/>
      <c r="P43" s="8"/>
      <c r="Q43" s="8"/>
      <c r="R43" s="8"/>
      <c r="S43" s="89"/>
    </row>
    <row r="44" spans="1:19" ht="18" customHeight="1">
      <c r="A44" s="106" t="s">
        <v>115</v>
      </c>
      <c r="B44" s="106"/>
      <c r="C44" s="106"/>
      <c r="D44" s="106"/>
      <c r="E44" s="106"/>
      <c r="F44" s="106"/>
      <c r="G44" s="106"/>
      <c r="H44" s="106"/>
      <c r="I44" s="106"/>
      <c r="J44" s="106"/>
      <c r="K44" s="106"/>
      <c r="L44" s="106"/>
      <c r="M44" s="106"/>
      <c r="N44" s="106"/>
      <c r="O44" s="106"/>
      <c r="P44" s="106"/>
      <c r="Q44" s="106"/>
      <c r="R44" s="106"/>
      <c r="S44" s="106"/>
    </row>
    <row r="45" spans="1:19" ht="18" customHeight="1">
      <c r="A45" s="106"/>
      <c r="B45" s="106"/>
      <c r="C45" s="106"/>
      <c r="D45" s="106"/>
      <c r="E45" s="106"/>
      <c r="F45" s="106"/>
      <c r="G45" s="106"/>
      <c r="H45" s="106"/>
      <c r="I45" s="106"/>
      <c r="J45" s="106"/>
      <c r="K45" s="106"/>
      <c r="L45" s="106"/>
      <c r="M45" s="106"/>
      <c r="N45" s="106"/>
      <c r="O45" s="106"/>
      <c r="P45" s="106"/>
      <c r="Q45" s="106"/>
      <c r="R45" s="106"/>
      <c r="S45" s="106"/>
    </row>
    <row r="46" spans="1:19" ht="18" customHeight="1">
      <c r="B46" s="103" t="s">
        <v>53</v>
      </c>
      <c r="C46" s="104"/>
      <c r="D46" s="104"/>
      <c r="E46" s="105"/>
      <c r="F46" s="15" t="s">
        <v>80</v>
      </c>
      <c r="G46" s="16" t="s">
        <v>84</v>
      </c>
      <c r="H46" s="17" t="s">
        <v>73</v>
      </c>
      <c r="I46" s="17" t="s">
        <v>74</v>
      </c>
      <c r="J46" s="103" t="s">
        <v>53</v>
      </c>
      <c r="K46" s="104"/>
      <c r="L46" s="104"/>
      <c r="M46" s="104"/>
      <c r="N46" s="104"/>
      <c r="O46" s="105"/>
      <c r="P46" s="15" t="s">
        <v>80</v>
      </c>
      <c r="Q46" s="16" t="s">
        <v>84</v>
      </c>
      <c r="R46" s="17" t="s">
        <v>73</v>
      </c>
      <c r="S46" s="17" t="s">
        <v>74</v>
      </c>
    </row>
    <row r="47" spans="1:19" ht="18" customHeight="1">
      <c r="A47" s="89"/>
      <c r="B47" s="97" t="s">
        <v>163</v>
      </c>
      <c r="C47" s="98"/>
      <c r="D47" s="98"/>
      <c r="E47" s="99"/>
      <c r="F47" s="18">
        <v>1</v>
      </c>
      <c r="G47" s="18" t="s">
        <v>128</v>
      </c>
      <c r="H47" s="18" t="s">
        <v>128</v>
      </c>
      <c r="I47" s="18" t="s">
        <v>128</v>
      </c>
      <c r="J47" s="108"/>
      <c r="K47" s="109"/>
      <c r="L47" s="109"/>
      <c r="M47" s="109"/>
      <c r="N47" s="109"/>
      <c r="O47" s="110"/>
      <c r="P47" s="18"/>
      <c r="Q47" s="18"/>
      <c r="R47" s="18"/>
      <c r="S47" s="18"/>
    </row>
    <row r="48" spans="1:19" ht="18" customHeight="1">
      <c r="A48" s="89"/>
      <c r="B48" s="97"/>
      <c r="C48" s="98"/>
      <c r="D48" s="98"/>
      <c r="E48" s="99"/>
      <c r="F48" s="19"/>
      <c r="G48" s="19"/>
      <c r="H48" s="19"/>
      <c r="I48" s="19"/>
      <c r="J48" s="97"/>
      <c r="K48" s="98"/>
      <c r="L48" s="98"/>
      <c r="M48" s="98"/>
      <c r="N48" s="98"/>
      <c r="O48" s="99"/>
      <c r="P48" s="19"/>
      <c r="Q48" s="19"/>
      <c r="R48" s="19"/>
      <c r="S48" s="19"/>
    </row>
    <row r="49" spans="1:19" ht="18" customHeight="1">
      <c r="A49" s="89"/>
      <c r="B49" s="97"/>
      <c r="C49" s="98"/>
      <c r="D49" s="98"/>
      <c r="E49" s="99"/>
      <c r="F49" s="19"/>
      <c r="G49" s="19"/>
      <c r="H49" s="19"/>
      <c r="I49" s="19"/>
      <c r="J49" s="97"/>
      <c r="K49" s="98"/>
      <c r="L49" s="98"/>
      <c r="M49" s="98"/>
      <c r="N49" s="98"/>
      <c r="O49" s="99"/>
      <c r="P49" s="19"/>
      <c r="Q49" s="19"/>
      <c r="R49" s="19"/>
      <c r="S49" s="19"/>
    </row>
    <row r="50" spans="1:19" ht="18" customHeight="1">
      <c r="A50" s="89"/>
      <c r="B50" s="97"/>
      <c r="C50" s="98"/>
      <c r="D50" s="98"/>
      <c r="E50" s="99"/>
      <c r="F50" s="19"/>
      <c r="G50" s="19"/>
      <c r="H50" s="19"/>
      <c r="I50" s="19"/>
      <c r="J50" s="97"/>
      <c r="K50" s="98"/>
      <c r="L50" s="98"/>
      <c r="M50" s="98"/>
      <c r="N50" s="98"/>
      <c r="O50" s="99"/>
      <c r="P50" s="19"/>
      <c r="Q50" s="19"/>
      <c r="R50" s="19"/>
      <c r="S50" s="19"/>
    </row>
    <row r="51" spans="1:19" ht="18" customHeight="1">
      <c r="A51" s="89"/>
      <c r="B51" s="97"/>
      <c r="C51" s="98"/>
      <c r="D51" s="98"/>
      <c r="E51" s="99"/>
      <c r="F51" s="19"/>
      <c r="G51" s="19"/>
      <c r="H51" s="19"/>
      <c r="I51" s="19"/>
      <c r="J51" s="97"/>
      <c r="K51" s="98"/>
      <c r="L51" s="98"/>
      <c r="M51" s="98"/>
      <c r="N51" s="98"/>
      <c r="O51" s="99"/>
      <c r="P51" s="19"/>
      <c r="Q51" s="19"/>
      <c r="R51" s="19"/>
      <c r="S51" s="19"/>
    </row>
    <row r="52" spans="1:19" ht="18" customHeight="1">
      <c r="A52" s="89"/>
      <c r="B52" s="97"/>
      <c r="C52" s="98"/>
      <c r="D52" s="98"/>
      <c r="E52" s="99"/>
      <c r="F52" s="19"/>
      <c r="G52" s="19"/>
      <c r="H52" s="19"/>
      <c r="I52" s="19"/>
      <c r="J52" s="97"/>
      <c r="K52" s="98"/>
      <c r="L52" s="98"/>
      <c r="M52" s="98"/>
      <c r="N52" s="98"/>
      <c r="O52" s="99"/>
      <c r="P52" s="19"/>
      <c r="Q52" s="19"/>
      <c r="R52" s="19"/>
      <c r="S52" s="19"/>
    </row>
    <row r="53" spans="1:19" ht="18" customHeight="1">
      <c r="A53" s="89"/>
      <c r="B53" s="100"/>
      <c r="C53" s="101"/>
      <c r="D53" s="101"/>
      <c r="E53" s="102"/>
      <c r="F53" s="20"/>
      <c r="G53" s="20"/>
      <c r="H53" s="21"/>
      <c r="I53" s="21"/>
      <c r="J53" s="100"/>
      <c r="K53" s="101"/>
      <c r="L53" s="101"/>
      <c r="M53" s="101"/>
      <c r="N53" s="101"/>
      <c r="O53" s="102"/>
      <c r="P53" s="20"/>
      <c r="Q53" s="20"/>
      <c r="R53" s="21"/>
      <c r="S53" s="21"/>
    </row>
    <row r="54" spans="1:19" ht="7.5" customHeight="1">
      <c r="B54" s="90"/>
      <c r="C54" s="90"/>
      <c r="D54" s="90"/>
      <c r="E54" s="90"/>
      <c r="F54" s="90"/>
      <c r="G54" s="90"/>
      <c r="H54" s="90"/>
      <c r="I54" s="90"/>
      <c r="J54" s="90"/>
      <c r="K54" s="90"/>
      <c r="L54" s="90"/>
      <c r="M54" s="90"/>
      <c r="N54" s="90"/>
      <c r="O54" s="90"/>
      <c r="P54" s="90"/>
      <c r="Q54" s="90"/>
      <c r="R54" s="90"/>
    </row>
    <row r="55" spans="1:19" ht="18" customHeight="1">
      <c r="A55" s="106" t="s">
        <v>116</v>
      </c>
      <c r="B55" s="106"/>
      <c r="C55" s="106"/>
      <c r="D55" s="106"/>
      <c r="E55" s="106"/>
      <c r="F55" s="106"/>
      <c r="G55" s="106"/>
      <c r="H55" s="106"/>
      <c r="I55" s="106"/>
      <c r="J55" s="106"/>
      <c r="K55" s="106"/>
      <c r="L55" s="106"/>
      <c r="M55" s="106"/>
      <c r="N55" s="106"/>
      <c r="O55" s="106"/>
      <c r="P55" s="106"/>
      <c r="Q55" s="106"/>
      <c r="R55" s="106"/>
      <c r="S55" s="106"/>
    </row>
    <row r="56" spans="1:19" ht="18" customHeight="1">
      <c r="A56" s="106"/>
      <c r="B56" s="106"/>
      <c r="C56" s="106"/>
      <c r="D56" s="106"/>
      <c r="E56" s="106"/>
      <c r="F56" s="106"/>
      <c r="G56" s="106"/>
      <c r="H56" s="106"/>
      <c r="I56" s="106"/>
      <c r="J56" s="106"/>
      <c r="K56" s="106"/>
      <c r="L56" s="106"/>
      <c r="M56" s="106"/>
      <c r="N56" s="106"/>
      <c r="O56" s="106"/>
      <c r="P56" s="106"/>
      <c r="Q56" s="106"/>
      <c r="R56" s="106"/>
      <c r="S56" s="106"/>
    </row>
    <row r="57" spans="1:19" ht="18" customHeight="1">
      <c r="B57" s="103" t="s">
        <v>53</v>
      </c>
      <c r="C57" s="104"/>
      <c r="D57" s="104"/>
      <c r="E57" s="105"/>
      <c r="F57" s="15" t="s">
        <v>80</v>
      </c>
      <c r="G57" s="16" t="s">
        <v>84</v>
      </c>
      <c r="H57" s="17" t="s">
        <v>58</v>
      </c>
      <c r="I57" s="17" t="s">
        <v>60</v>
      </c>
      <c r="J57" s="103" t="s">
        <v>53</v>
      </c>
      <c r="K57" s="104"/>
      <c r="L57" s="104"/>
      <c r="M57" s="104"/>
      <c r="N57" s="104"/>
      <c r="O57" s="105"/>
      <c r="P57" s="15" t="s">
        <v>80</v>
      </c>
      <c r="Q57" s="16" t="s">
        <v>84</v>
      </c>
      <c r="R57" s="17" t="s">
        <v>58</v>
      </c>
      <c r="S57" s="17" t="s">
        <v>60</v>
      </c>
    </row>
    <row r="58" spans="1:19" ht="18" customHeight="1">
      <c r="A58" s="89"/>
      <c r="B58" s="97" t="s">
        <v>163</v>
      </c>
      <c r="C58" s="98"/>
      <c r="D58" s="98"/>
      <c r="E58" s="99"/>
      <c r="F58" s="18">
        <v>1</v>
      </c>
      <c r="G58" s="18" t="s">
        <v>128</v>
      </c>
      <c r="H58" s="18" t="s">
        <v>128</v>
      </c>
      <c r="I58" s="18" t="s">
        <v>128</v>
      </c>
      <c r="J58" s="108"/>
      <c r="K58" s="109"/>
      <c r="L58" s="109"/>
      <c r="M58" s="109"/>
      <c r="N58" s="109"/>
      <c r="O58" s="110"/>
      <c r="P58" s="18"/>
      <c r="Q58" s="18"/>
      <c r="R58" s="18"/>
      <c r="S58" s="18"/>
    </row>
    <row r="59" spans="1:19" ht="18" customHeight="1">
      <c r="A59" s="89"/>
      <c r="B59" s="97"/>
      <c r="C59" s="98"/>
      <c r="D59" s="98"/>
      <c r="E59" s="99"/>
      <c r="F59" s="19"/>
      <c r="G59" s="19"/>
      <c r="H59" s="19"/>
      <c r="I59" s="19"/>
      <c r="J59" s="97"/>
      <c r="K59" s="98"/>
      <c r="L59" s="98"/>
      <c r="M59" s="98"/>
      <c r="N59" s="98"/>
      <c r="O59" s="99"/>
      <c r="P59" s="19"/>
      <c r="Q59" s="19"/>
      <c r="R59" s="19"/>
      <c r="S59" s="19"/>
    </row>
    <row r="60" spans="1:19" ht="18" customHeight="1">
      <c r="A60" s="89"/>
      <c r="B60" s="97"/>
      <c r="C60" s="98"/>
      <c r="D60" s="98"/>
      <c r="E60" s="99"/>
      <c r="F60" s="19"/>
      <c r="G60" s="19"/>
      <c r="H60" s="19"/>
      <c r="I60" s="19"/>
      <c r="J60" s="97"/>
      <c r="K60" s="98"/>
      <c r="L60" s="98"/>
      <c r="M60" s="98"/>
      <c r="N60" s="98"/>
      <c r="O60" s="99"/>
      <c r="P60" s="19"/>
      <c r="Q60" s="19"/>
      <c r="R60" s="19"/>
      <c r="S60" s="19"/>
    </row>
    <row r="61" spans="1:19" ht="18" customHeight="1">
      <c r="A61" s="89"/>
      <c r="B61" s="97"/>
      <c r="C61" s="98"/>
      <c r="D61" s="98"/>
      <c r="E61" s="99"/>
      <c r="F61" s="19"/>
      <c r="G61" s="19"/>
      <c r="H61" s="19"/>
      <c r="I61" s="19"/>
      <c r="J61" s="97"/>
      <c r="K61" s="98"/>
      <c r="L61" s="98"/>
      <c r="M61" s="98"/>
      <c r="N61" s="98"/>
      <c r="O61" s="99"/>
      <c r="P61" s="19"/>
      <c r="Q61" s="19"/>
      <c r="R61" s="19"/>
      <c r="S61" s="19"/>
    </row>
    <row r="62" spans="1:19" ht="18" customHeight="1">
      <c r="A62" s="89"/>
      <c r="B62" s="97"/>
      <c r="C62" s="98"/>
      <c r="D62" s="98"/>
      <c r="E62" s="99"/>
      <c r="F62" s="19"/>
      <c r="G62" s="19"/>
      <c r="H62" s="19"/>
      <c r="I62" s="19"/>
      <c r="J62" s="97"/>
      <c r="K62" s="98"/>
      <c r="L62" s="98"/>
      <c r="M62" s="98"/>
      <c r="N62" s="98"/>
      <c r="O62" s="99"/>
      <c r="P62" s="19"/>
      <c r="Q62" s="19"/>
      <c r="R62" s="19"/>
      <c r="S62" s="19"/>
    </row>
    <row r="63" spans="1:19" ht="18" customHeight="1">
      <c r="A63" s="89"/>
      <c r="B63" s="97"/>
      <c r="C63" s="98"/>
      <c r="D63" s="98"/>
      <c r="E63" s="99"/>
      <c r="F63" s="19"/>
      <c r="G63" s="19"/>
      <c r="H63" s="19"/>
      <c r="I63" s="19"/>
      <c r="J63" s="97"/>
      <c r="K63" s="98"/>
      <c r="L63" s="98"/>
      <c r="M63" s="98"/>
      <c r="N63" s="98"/>
      <c r="O63" s="99"/>
      <c r="P63" s="19"/>
      <c r="Q63" s="19"/>
      <c r="R63" s="19"/>
      <c r="S63" s="19"/>
    </row>
    <row r="64" spans="1:19" ht="18" customHeight="1">
      <c r="A64" s="89"/>
      <c r="B64" s="100"/>
      <c r="C64" s="101"/>
      <c r="D64" s="101"/>
      <c r="E64" s="102"/>
      <c r="F64" s="20"/>
      <c r="G64" s="20"/>
      <c r="H64" s="21"/>
      <c r="I64" s="21"/>
      <c r="J64" s="100"/>
      <c r="K64" s="101"/>
      <c r="L64" s="101"/>
      <c r="M64" s="101"/>
      <c r="N64" s="101"/>
      <c r="O64" s="102"/>
      <c r="P64" s="20"/>
      <c r="Q64" s="20"/>
      <c r="R64" s="21"/>
      <c r="S64" s="21"/>
    </row>
    <row r="65" spans="1:19" ht="7.5" customHeight="1">
      <c r="B65" s="90"/>
      <c r="C65" s="90"/>
      <c r="D65" s="90"/>
      <c r="E65" s="90"/>
      <c r="F65" s="90"/>
      <c r="G65" s="90"/>
      <c r="H65" s="90"/>
      <c r="I65" s="90"/>
      <c r="J65" s="90"/>
      <c r="K65" s="90"/>
      <c r="L65" s="90"/>
      <c r="M65" s="90"/>
      <c r="N65" s="90"/>
      <c r="O65" s="90"/>
      <c r="P65" s="90"/>
      <c r="Q65" s="90"/>
      <c r="R65" s="90"/>
    </row>
    <row r="66" spans="1:19" ht="18" customHeight="1">
      <c r="A66" s="106" t="s">
        <v>117</v>
      </c>
      <c r="B66" s="106"/>
      <c r="C66" s="106"/>
      <c r="D66" s="106"/>
      <c r="E66" s="106"/>
      <c r="F66" s="106"/>
      <c r="G66" s="106"/>
      <c r="H66" s="106"/>
      <c r="I66" s="106"/>
      <c r="J66" s="106"/>
      <c r="K66" s="106"/>
      <c r="L66" s="106"/>
      <c r="M66" s="106"/>
      <c r="N66" s="106"/>
      <c r="O66" s="106"/>
      <c r="P66" s="106"/>
      <c r="Q66" s="106"/>
      <c r="R66" s="106"/>
      <c r="S66" s="106"/>
    </row>
    <row r="67" spans="1:19" ht="18" customHeight="1">
      <c r="A67" s="106"/>
      <c r="B67" s="106"/>
      <c r="C67" s="106"/>
      <c r="D67" s="106"/>
      <c r="E67" s="106"/>
      <c r="F67" s="106"/>
      <c r="G67" s="106"/>
      <c r="H67" s="106"/>
      <c r="I67" s="106"/>
      <c r="J67" s="106"/>
      <c r="K67" s="106"/>
      <c r="L67" s="106"/>
      <c r="M67" s="106"/>
      <c r="N67" s="106"/>
      <c r="O67" s="106"/>
      <c r="P67" s="106"/>
      <c r="Q67" s="106"/>
      <c r="R67" s="106"/>
      <c r="S67" s="106"/>
    </row>
    <row r="68" spans="1:19" ht="18" customHeight="1">
      <c r="B68" s="103" t="s">
        <v>53</v>
      </c>
      <c r="C68" s="104"/>
      <c r="D68" s="104"/>
      <c r="E68" s="15" t="s">
        <v>80</v>
      </c>
      <c r="F68" s="16" t="s">
        <v>84</v>
      </c>
      <c r="G68" s="17" t="s">
        <v>101</v>
      </c>
      <c r="H68" s="17" t="s">
        <v>75</v>
      </c>
      <c r="I68" s="17" t="s">
        <v>76</v>
      </c>
      <c r="J68" s="103" t="s">
        <v>53</v>
      </c>
      <c r="K68" s="104"/>
      <c r="L68" s="104"/>
      <c r="M68" s="104"/>
      <c r="N68" s="105"/>
      <c r="O68" s="15" t="s">
        <v>80</v>
      </c>
      <c r="P68" s="16" t="s">
        <v>84</v>
      </c>
      <c r="Q68" s="17" t="s">
        <v>101</v>
      </c>
      <c r="R68" s="17" t="s">
        <v>75</v>
      </c>
      <c r="S68" s="17" t="s">
        <v>76</v>
      </c>
    </row>
    <row r="69" spans="1:19" ht="18" customHeight="1">
      <c r="A69" s="89"/>
      <c r="B69" s="97" t="s">
        <v>163</v>
      </c>
      <c r="C69" s="98"/>
      <c r="D69" s="98"/>
      <c r="E69" s="22">
        <v>1</v>
      </c>
      <c r="F69" s="22" t="s">
        <v>128</v>
      </c>
      <c r="G69" s="23" t="s">
        <v>128</v>
      </c>
      <c r="H69" s="22" t="s">
        <v>128</v>
      </c>
      <c r="I69" s="22" t="s">
        <v>128</v>
      </c>
      <c r="J69" s="108"/>
      <c r="K69" s="109"/>
      <c r="L69" s="109"/>
      <c r="M69" s="109"/>
      <c r="N69" s="110"/>
      <c r="O69" s="18"/>
      <c r="P69" s="18"/>
      <c r="Q69" s="18"/>
      <c r="R69" s="18"/>
      <c r="S69" s="18"/>
    </row>
    <row r="70" spans="1:19" ht="18" customHeight="1">
      <c r="A70" s="89"/>
      <c r="B70" s="97"/>
      <c r="C70" s="98"/>
      <c r="D70" s="98"/>
      <c r="E70" s="24"/>
      <c r="F70" s="24"/>
      <c r="G70" s="25"/>
      <c r="H70" s="24"/>
      <c r="I70" s="24"/>
      <c r="J70" s="97"/>
      <c r="K70" s="98"/>
      <c r="L70" s="98"/>
      <c r="M70" s="98"/>
      <c r="N70" s="99"/>
      <c r="O70" s="19"/>
      <c r="P70" s="19"/>
      <c r="Q70" s="19"/>
      <c r="R70" s="19"/>
      <c r="S70" s="19"/>
    </row>
    <row r="71" spans="1:19" ht="18" customHeight="1">
      <c r="A71" s="89"/>
      <c r="B71" s="97"/>
      <c r="C71" s="98"/>
      <c r="D71" s="98"/>
      <c r="E71" s="24"/>
      <c r="F71" s="24"/>
      <c r="G71" s="25"/>
      <c r="H71" s="24"/>
      <c r="I71" s="24"/>
      <c r="J71" s="97"/>
      <c r="K71" s="98"/>
      <c r="L71" s="98"/>
      <c r="M71" s="98"/>
      <c r="N71" s="99"/>
      <c r="O71" s="19"/>
      <c r="P71" s="19"/>
      <c r="Q71" s="19"/>
      <c r="R71" s="19"/>
      <c r="S71" s="19"/>
    </row>
    <row r="72" spans="1:19" ht="18" customHeight="1">
      <c r="A72" s="89"/>
      <c r="B72" s="97"/>
      <c r="C72" s="98"/>
      <c r="D72" s="98"/>
      <c r="E72" s="24"/>
      <c r="F72" s="24"/>
      <c r="G72" s="25"/>
      <c r="H72" s="24"/>
      <c r="I72" s="24"/>
      <c r="J72" s="97"/>
      <c r="K72" s="98"/>
      <c r="L72" s="98"/>
      <c r="M72" s="98"/>
      <c r="N72" s="99"/>
      <c r="O72" s="19"/>
      <c r="P72" s="19"/>
      <c r="Q72" s="19"/>
      <c r="R72" s="19"/>
      <c r="S72" s="19"/>
    </row>
    <row r="73" spans="1:19" ht="18" customHeight="1">
      <c r="A73" s="89"/>
      <c r="B73" s="97"/>
      <c r="C73" s="98"/>
      <c r="D73" s="98"/>
      <c r="E73" s="24"/>
      <c r="F73" s="24"/>
      <c r="G73" s="25"/>
      <c r="H73" s="24"/>
      <c r="I73" s="24"/>
      <c r="J73" s="97"/>
      <c r="K73" s="98"/>
      <c r="L73" s="98"/>
      <c r="M73" s="98"/>
      <c r="N73" s="99"/>
      <c r="O73" s="19"/>
      <c r="P73" s="19"/>
      <c r="Q73" s="19"/>
      <c r="R73" s="19"/>
      <c r="S73" s="19"/>
    </row>
    <row r="74" spans="1:19" ht="18" customHeight="1">
      <c r="A74" s="89"/>
      <c r="B74" s="97"/>
      <c r="C74" s="98"/>
      <c r="D74" s="98"/>
      <c r="E74" s="19"/>
      <c r="F74" s="19"/>
      <c r="G74" s="19"/>
      <c r="H74" s="19"/>
      <c r="I74" s="19"/>
      <c r="J74" s="97"/>
      <c r="K74" s="98"/>
      <c r="L74" s="98"/>
      <c r="M74" s="98"/>
      <c r="N74" s="99"/>
      <c r="O74" s="19"/>
      <c r="P74" s="19"/>
      <c r="Q74" s="19"/>
      <c r="R74" s="19"/>
      <c r="S74" s="19"/>
    </row>
    <row r="75" spans="1:19" ht="18" customHeight="1">
      <c r="A75" s="89"/>
      <c r="B75" s="100"/>
      <c r="C75" s="101"/>
      <c r="D75" s="101"/>
      <c r="E75" s="20"/>
      <c r="F75" s="20"/>
      <c r="G75" s="21"/>
      <c r="H75" s="21"/>
      <c r="I75" s="21"/>
      <c r="J75" s="100"/>
      <c r="K75" s="101"/>
      <c r="L75" s="101"/>
      <c r="M75" s="101"/>
      <c r="N75" s="102"/>
      <c r="O75" s="20"/>
      <c r="P75" s="20"/>
      <c r="Q75" s="21"/>
      <c r="R75" s="21"/>
      <c r="S75" s="21"/>
    </row>
    <row r="76" spans="1:19" ht="7.5" customHeight="1">
      <c r="B76" s="90"/>
      <c r="C76" s="90"/>
      <c r="D76" s="90"/>
      <c r="E76" s="90"/>
      <c r="F76" s="90"/>
      <c r="G76" s="90"/>
      <c r="H76" s="90"/>
      <c r="I76" s="90"/>
      <c r="J76" s="90"/>
      <c r="K76" s="90"/>
      <c r="L76" s="90"/>
      <c r="M76" s="90"/>
      <c r="N76" s="90"/>
      <c r="O76" s="90"/>
      <c r="P76" s="90"/>
      <c r="Q76" s="90"/>
      <c r="R76" s="90"/>
    </row>
    <row r="77" spans="1:19" ht="18" customHeight="1">
      <c r="A77" s="88" t="s">
        <v>118</v>
      </c>
      <c r="H77" s="89"/>
      <c r="I77" s="89"/>
      <c r="J77" s="89"/>
      <c r="K77" s="89"/>
      <c r="L77" s="89"/>
      <c r="M77" s="89"/>
      <c r="N77" s="89"/>
      <c r="O77" s="89"/>
      <c r="P77" s="89"/>
      <c r="Q77" s="89"/>
      <c r="R77" s="89"/>
      <c r="S77" s="89"/>
    </row>
    <row r="78" spans="1:19" ht="18" customHeight="1">
      <c r="B78" s="103" t="s">
        <v>53</v>
      </c>
      <c r="C78" s="104"/>
      <c r="D78" s="104"/>
      <c r="E78" s="105"/>
      <c r="F78" s="103" t="s">
        <v>82</v>
      </c>
      <c r="G78" s="104"/>
      <c r="H78" s="104"/>
      <c r="I78" s="105"/>
      <c r="J78" s="149" t="s">
        <v>53</v>
      </c>
      <c r="K78" s="150"/>
      <c r="L78" s="150"/>
      <c r="M78" s="150"/>
      <c r="N78" s="150"/>
      <c r="O78" s="151"/>
      <c r="P78" s="103" t="s">
        <v>82</v>
      </c>
      <c r="Q78" s="104"/>
      <c r="R78" s="104"/>
      <c r="S78" s="105"/>
    </row>
    <row r="79" spans="1:19" ht="18" customHeight="1">
      <c r="A79" s="89"/>
      <c r="B79" s="108"/>
      <c r="C79" s="109"/>
      <c r="D79" s="109"/>
      <c r="E79" s="110"/>
      <c r="F79" s="164"/>
      <c r="G79" s="165"/>
      <c r="H79" s="165"/>
      <c r="I79" s="166"/>
      <c r="J79" s="108"/>
      <c r="K79" s="109"/>
      <c r="L79" s="109"/>
      <c r="M79" s="109"/>
      <c r="N79" s="109"/>
      <c r="O79" s="110"/>
      <c r="P79" s="164"/>
      <c r="Q79" s="165"/>
      <c r="R79" s="165"/>
      <c r="S79" s="166"/>
    </row>
    <row r="80" spans="1:19" ht="18" customHeight="1">
      <c r="A80" s="89"/>
      <c r="B80" s="97"/>
      <c r="C80" s="98"/>
      <c r="D80" s="98"/>
      <c r="E80" s="99"/>
      <c r="F80" s="133"/>
      <c r="G80" s="134"/>
      <c r="H80" s="134"/>
      <c r="I80" s="135"/>
      <c r="J80" s="97"/>
      <c r="K80" s="98"/>
      <c r="L80" s="98"/>
      <c r="M80" s="98"/>
      <c r="N80" s="98"/>
      <c r="O80" s="99"/>
      <c r="P80" s="133"/>
      <c r="Q80" s="134"/>
      <c r="R80" s="134"/>
      <c r="S80" s="135"/>
    </row>
    <row r="81" spans="1:20" ht="18" customHeight="1">
      <c r="A81" s="89"/>
      <c r="B81" s="97"/>
      <c r="C81" s="98"/>
      <c r="D81" s="98"/>
      <c r="E81" s="99"/>
      <c r="F81" s="133"/>
      <c r="G81" s="134"/>
      <c r="H81" s="134"/>
      <c r="I81" s="135"/>
      <c r="J81" s="97"/>
      <c r="K81" s="98"/>
      <c r="L81" s="98"/>
      <c r="M81" s="98"/>
      <c r="N81" s="98"/>
      <c r="O81" s="99"/>
      <c r="P81" s="133"/>
      <c r="Q81" s="134"/>
      <c r="R81" s="134"/>
      <c r="S81" s="135"/>
    </row>
    <row r="82" spans="1:20" ht="18" customHeight="1">
      <c r="A82" s="89"/>
      <c r="B82" s="97"/>
      <c r="C82" s="98"/>
      <c r="D82" s="98"/>
      <c r="E82" s="99"/>
      <c r="F82" s="133"/>
      <c r="G82" s="134"/>
      <c r="H82" s="134"/>
      <c r="I82" s="135"/>
      <c r="J82" s="97"/>
      <c r="K82" s="98"/>
      <c r="L82" s="98"/>
      <c r="M82" s="98"/>
      <c r="N82" s="98"/>
      <c r="O82" s="99"/>
      <c r="P82" s="133"/>
      <c r="Q82" s="134"/>
      <c r="R82" s="134"/>
      <c r="S82" s="135"/>
    </row>
    <row r="83" spans="1:20" ht="18" customHeight="1">
      <c r="A83" s="89"/>
      <c r="B83" s="97"/>
      <c r="C83" s="98"/>
      <c r="D83" s="98"/>
      <c r="E83" s="99"/>
      <c r="F83" s="133"/>
      <c r="G83" s="134"/>
      <c r="H83" s="134"/>
      <c r="I83" s="135"/>
      <c r="J83" s="97"/>
      <c r="K83" s="98"/>
      <c r="L83" s="98"/>
      <c r="M83" s="98"/>
      <c r="N83" s="98"/>
      <c r="O83" s="99"/>
      <c r="P83" s="133"/>
      <c r="Q83" s="134"/>
      <c r="R83" s="134"/>
      <c r="S83" s="135"/>
    </row>
    <row r="84" spans="1:20" ht="18" customHeight="1">
      <c r="A84" s="89"/>
      <c r="B84" s="97"/>
      <c r="C84" s="98"/>
      <c r="D84" s="98"/>
      <c r="E84" s="99"/>
      <c r="F84" s="133"/>
      <c r="G84" s="134"/>
      <c r="H84" s="134"/>
      <c r="I84" s="135"/>
      <c r="J84" s="97"/>
      <c r="K84" s="98"/>
      <c r="L84" s="98"/>
      <c r="M84" s="98"/>
      <c r="N84" s="98"/>
      <c r="O84" s="99"/>
      <c r="P84" s="133"/>
      <c r="Q84" s="134"/>
      <c r="R84" s="134"/>
      <c r="S84" s="135"/>
    </row>
    <row r="85" spans="1:20" ht="18" customHeight="1">
      <c r="A85" s="89"/>
      <c r="B85" s="100"/>
      <c r="C85" s="101"/>
      <c r="D85" s="101"/>
      <c r="E85" s="102"/>
      <c r="F85" s="130"/>
      <c r="G85" s="131"/>
      <c r="H85" s="131"/>
      <c r="I85" s="132"/>
      <c r="J85" s="100"/>
      <c r="K85" s="101"/>
      <c r="L85" s="101"/>
      <c r="M85" s="101"/>
      <c r="N85" s="101"/>
      <c r="O85" s="102"/>
      <c r="P85" s="130"/>
      <c r="Q85" s="131"/>
      <c r="R85" s="131"/>
      <c r="S85" s="132"/>
    </row>
    <row r="86" spans="1:20" ht="18" customHeight="1">
      <c r="A86" s="89"/>
      <c r="B86" s="8"/>
      <c r="C86" s="8"/>
      <c r="D86" s="8"/>
      <c r="E86" s="8"/>
      <c r="F86" s="26"/>
      <c r="G86" s="26"/>
      <c r="H86" s="26"/>
      <c r="I86" s="26"/>
      <c r="J86" s="8"/>
      <c r="K86" s="8"/>
      <c r="L86" s="8"/>
      <c r="M86" s="8"/>
      <c r="N86" s="8"/>
      <c r="O86" s="8"/>
      <c r="P86" s="26"/>
      <c r="Q86" s="26"/>
      <c r="R86" s="26"/>
      <c r="S86" s="26"/>
    </row>
    <row r="87" spans="1:20" ht="18.75" customHeight="1">
      <c r="A87" s="88" t="s">
        <v>119</v>
      </c>
    </row>
    <row r="88" spans="1:20" ht="18.75" customHeight="1">
      <c r="B88" s="162" t="s">
        <v>54</v>
      </c>
      <c r="C88" s="163"/>
      <c r="D88" s="104" t="s">
        <v>55</v>
      </c>
      <c r="E88" s="104"/>
      <c r="F88" s="104"/>
      <c r="G88" s="104"/>
      <c r="H88" s="104"/>
      <c r="I88" s="104"/>
      <c r="J88" s="104"/>
      <c r="K88" s="104"/>
      <c r="L88" s="104"/>
      <c r="M88" s="104"/>
      <c r="N88" s="104"/>
      <c r="O88" s="104"/>
      <c r="P88" s="104"/>
      <c r="Q88" s="104"/>
      <c r="R88" s="104"/>
      <c r="S88" s="105"/>
    </row>
    <row r="89" spans="1:20" ht="97.5" customHeight="1">
      <c r="B89" s="152" t="s">
        <v>61</v>
      </c>
      <c r="C89" s="27" t="s">
        <v>56</v>
      </c>
      <c r="D89" s="159" t="s">
        <v>164</v>
      </c>
      <c r="E89" s="160"/>
      <c r="F89" s="160"/>
      <c r="G89" s="160"/>
      <c r="H89" s="160"/>
      <c r="I89" s="160"/>
      <c r="J89" s="160"/>
      <c r="K89" s="160"/>
      <c r="L89" s="160"/>
      <c r="M89" s="160"/>
      <c r="N89" s="160"/>
      <c r="O89" s="160"/>
      <c r="P89" s="160"/>
      <c r="Q89" s="160"/>
      <c r="R89" s="160"/>
      <c r="S89" s="161"/>
      <c r="T89" s="85"/>
    </row>
    <row r="90" spans="1:20" ht="97.5" customHeight="1">
      <c r="B90" s="154"/>
      <c r="C90" s="28" t="s">
        <v>77</v>
      </c>
      <c r="D90" s="136" t="s">
        <v>165</v>
      </c>
      <c r="E90" s="137"/>
      <c r="F90" s="137"/>
      <c r="G90" s="137"/>
      <c r="H90" s="137"/>
      <c r="I90" s="137"/>
      <c r="J90" s="137"/>
      <c r="K90" s="137"/>
      <c r="L90" s="137"/>
      <c r="M90" s="137"/>
      <c r="N90" s="137"/>
      <c r="O90" s="137"/>
      <c r="P90" s="137"/>
      <c r="Q90" s="137"/>
      <c r="R90" s="137"/>
      <c r="S90" s="138"/>
    </row>
    <row r="91" spans="1:20" ht="97.5" customHeight="1">
      <c r="B91" s="152" t="s">
        <v>62</v>
      </c>
      <c r="C91" s="29" t="s">
        <v>71</v>
      </c>
      <c r="D91" s="139" t="s">
        <v>166</v>
      </c>
      <c r="E91" s="140"/>
      <c r="F91" s="140"/>
      <c r="G91" s="140"/>
      <c r="H91" s="140"/>
      <c r="I91" s="140"/>
      <c r="J91" s="140"/>
      <c r="K91" s="140"/>
      <c r="L91" s="140"/>
      <c r="M91" s="140"/>
      <c r="N91" s="140"/>
      <c r="O91" s="140"/>
      <c r="P91" s="140"/>
      <c r="Q91" s="140"/>
      <c r="R91" s="140"/>
      <c r="S91" s="141"/>
    </row>
    <row r="92" spans="1:20" ht="97.5" customHeight="1">
      <c r="B92" s="153"/>
      <c r="C92" s="30" t="s">
        <v>72</v>
      </c>
      <c r="D92" s="145" t="s">
        <v>167</v>
      </c>
      <c r="E92" s="146"/>
      <c r="F92" s="146"/>
      <c r="G92" s="146"/>
      <c r="H92" s="146"/>
      <c r="I92" s="146"/>
      <c r="J92" s="146"/>
      <c r="K92" s="146"/>
      <c r="L92" s="146"/>
      <c r="M92" s="146"/>
      <c r="N92" s="146"/>
      <c r="O92" s="146"/>
      <c r="P92" s="146"/>
      <c r="Q92" s="146"/>
      <c r="R92" s="146"/>
      <c r="S92" s="147"/>
    </row>
    <row r="93" spans="1:20" ht="97.5" customHeight="1">
      <c r="B93" s="152" t="s">
        <v>63</v>
      </c>
      <c r="C93" s="29" t="s">
        <v>73</v>
      </c>
      <c r="D93" s="139" t="s">
        <v>173</v>
      </c>
      <c r="E93" s="140"/>
      <c r="F93" s="140"/>
      <c r="G93" s="140"/>
      <c r="H93" s="140"/>
      <c r="I93" s="140"/>
      <c r="J93" s="140"/>
      <c r="K93" s="140"/>
      <c r="L93" s="140"/>
      <c r="M93" s="140"/>
      <c r="N93" s="140"/>
      <c r="O93" s="140"/>
      <c r="P93" s="140"/>
      <c r="Q93" s="140"/>
      <c r="R93" s="140"/>
      <c r="S93" s="141"/>
    </row>
    <row r="94" spans="1:20" ht="97.5" customHeight="1">
      <c r="B94" s="153"/>
      <c r="C94" s="31" t="s">
        <v>74</v>
      </c>
      <c r="D94" s="142" t="s">
        <v>168</v>
      </c>
      <c r="E94" s="143"/>
      <c r="F94" s="143"/>
      <c r="G94" s="143"/>
      <c r="H94" s="143"/>
      <c r="I94" s="143"/>
      <c r="J94" s="143"/>
      <c r="K94" s="143"/>
      <c r="L94" s="143"/>
      <c r="M94" s="143"/>
      <c r="N94" s="143"/>
      <c r="O94" s="143"/>
      <c r="P94" s="143"/>
      <c r="Q94" s="143"/>
      <c r="R94" s="143"/>
      <c r="S94" s="144"/>
    </row>
    <row r="95" spans="1:20" ht="97.5" customHeight="1">
      <c r="B95" s="152" t="s">
        <v>78</v>
      </c>
      <c r="C95" s="27" t="s">
        <v>58</v>
      </c>
      <c r="D95" s="159" t="s">
        <v>169</v>
      </c>
      <c r="E95" s="160"/>
      <c r="F95" s="160"/>
      <c r="G95" s="160"/>
      <c r="H95" s="160"/>
      <c r="I95" s="160"/>
      <c r="J95" s="160"/>
      <c r="K95" s="160"/>
      <c r="L95" s="160"/>
      <c r="M95" s="160"/>
      <c r="N95" s="160"/>
      <c r="O95" s="160"/>
      <c r="P95" s="160"/>
      <c r="Q95" s="160"/>
      <c r="R95" s="160"/>
      <c r="S95" s="161"/>
    </row>
    <row r="96" spans="1:20" ht="97.5" customHeight="1">
      <c r="B96" s="153"/>
      <c r="C96" s="30" t="s">
        <v>60</v>
      </c>
      <c r="D96" s="145" t="s">
        <v>170</v>
      </c>
      <c r="E96" s="146"/>
      <c r="F96" s="146"/>
      <c r="G96" s="146"/>
      <c r="H96" s="146"/>
      <c r="I96" s="146"/>
      <c r="J96" s="146"/>
      <c r="K96" s="146"/>
      <c r="L96" s="146"/>
      <c r="M96" s="146"/>
      <c r="N96" s="146"/>
      <c r="O96" s="146"/>
      <c r="P96" s="146"/>
      <c r="Q96" s="146"/>
      <c r="R96" s="146"/>
      <c r="S96" s="147"/>
    </row>
    <row r="97" spans="1:19" ht="97.5" customHeight="1">
      <c r="B97" s="152" t="s">
        <v>79</v>
      </c>
      <c r="C97" s="29" t="s">
        <v>57</v>
      </c>
      <c r="D97" s="155" t="s">
        <v>171</v>
      </c>
      <c r="E97" s="109"/>
      <c r="F97" s="109"/>
      <c r="G97" s="109"/>
      <c r="H97" s="109"/>
      <c r="I97" s="109"/>
      <c r="J97" s="109"/>
      <c r="K97" s="109"/>
      <c r="L97" s="109"/>
      <c r="M97" s="109"/>
      <c r="N97" s="109"/>
      <c r="O97" s="109"/>
      <c r="P97" s="109"/>
      <c r="Q97" s="109"/>
      <c r="R97" s="109"/>
      <c r="S97" s="110"/>
    </row>
    <row r="98" spans="1:19" ht="97.5" customHeight="1">
      <c r="B98" s="154"/>
      <c r="C98" s="32" t="s">
        <v>75</v>
      </c>
      <c r="D98" s="148" t="s">
        <v>172</v>
      </c>
      <c r="E98" s="98"/>
      <c r="F98" s="98"/>
      <c r="G98" s="98"/>
      <c r="H98" s="98"/>
      <c r="I98" s="98"/>
      <c r="J98" s="98"/>
      <c r="K98" s="98"/>
      <c r="L98" s="98"/>
      <c r="M98" s="98"/>
      <c r="N98" s="98"/>
      <c r="O98" s="98"/>
      <c r="P98" s="98"/>
      <c r="Q98" s="98"/>
      <c r="R98" s="98"/>
      <c r="S98" s="99"/>
    </row>
    <row r="99" spans="1:19" ht="97.5" customHeight="1">
      <c r="B99" s="153"/>
      <c r="C99" s="31" t="s">
        <v>76</v>
      </c>
      <c r="D99" s="156" t="s">
        <v>174</v>
      </c>
      <c r="E99" s="157"/>
      <c r="F99" s="157"/>
      <c r="G99" s="157"/>
      <c r="H99" s="157"/>
      <c r="I99" s="157"/>
      <c r="J99" s="157"/>
      <c r="K99" s="157"/>
      <c r="L99" s="157"/>
      <c r="M99" s="157"/>
      <c r="N99" s="157"/>
      <c r="O99" s="157"/>
      <c r="P99" s="157"/>
      <c r="Q99" s="157"/>
      <c r="R99" s="157"/>
      <c r="S99" s="158"/>
    </row>
    <row r="100" spans="1:19" ht="6" customHeight="1"/>
    <row r="101" spans="1:19" ht="18.75" customHeight="1">
      <c r="A101" s="88" t="s">
        <v>120</v>
      </c>
    </row>
    <row r="102" spans="1:19" ht="81.75" customHeight="1">
      <c r="B102" s="127" t="s">
        <v>129</v>
      </c>
      <c r="C102" s="128"/>
      <c r="D102" s="128"/>
      <c r="E102" s="128"/>
      <c r="F102" s="128"/>
      <c r="G102" s="128"/>
      <c r="H102" s="128"/>
      <c r="I102" s="128"/>
      <c r="J102" s="128"/>
      <c r="K102" s="128"/>
      <c r="L102" s="128"/>
      <c r="M102" s="128"/>
      <c r="N102" s="128"/>
      <c r="O102" s="128"/>
      <c r="P102" s="128"/>
      <c r="Q102" s="128"/>
      <c r="R102" s="128"/>
      <c r="S102" s="129"/>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3" priority="1">
      <formula>$K$7="学部・学科によって、修了要件は相違しない"</formula>
    </cfRule>
  </conditionalFormatting>
  <dataValidations count="6">
    <dataValidation type="list" allowBlank="1" showInputMessage="1" showErrorMessage="1" sqref="G25:I31 Q25:S31 P69:S75 Q36:S42 G36:I42 Q47:S53 G47:I53 Q58:S64 G58:I64 F74:I75" xr:uid="{99DE2216-53A2-4BD2-9937-AE95C70613B7}">
      <formula1>"○"</formula1>
    </dataValidation>
    <dataValidation type="list" allowBlank="1" showInputMessage="1" showErrorMessage="1" sqref="S32 S43 D32:G32 D43:G43" xr:uid="{DFDAB9E4-6E51-4F51-A4B6-3C33A296611F}">
      <formula1>"全学開講,一部開講"</formula1>
    </dataValidation>
    <dataValidation type="list" allowBlank="1" showInputMessage="1" showErrorMessage="1" sqref="K7 K12" xr:uid="{3BEEF077-FFB7-42EA-8A2F-79685CF4690C}">
      <formula1>"学部・学科によって、修了要件は相違する,学部・学科によって、修了要件は相違しない"</formula1>
    </dataValidation>
    <dataValidation type="list" allowBlank="1" showInputMessage="1" showErrorMessage="1" sqref="F79:F86 P79:P86 G79:I80 G83:I86 Q83:S86 Q79:S80" xr:uid="{F928CB97-0E58-42E4-B281-45044E1586F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E928DAFC-D067-46ED-803A-44D71709C3F9}">
      <formula1>$V$14:$V$16</formula1>
    </dataValidation>
    <dataValidation type="list" allowBlank="1" showErrorMessage="1" sqref="F69:F73 H69:I73" xr:uid="{ED246825-DAF0-43CE-AD33-126ED8455ABC}">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4F98-8F47-4A3D-8F80-33459B47C112}">
  <sheetPr>
    <tabColor rgb="FFFF0000"/>
    <pageSetUpPr fitToPage="1"/>
  </sheetPr>
  <dimension ref="A1:V110"/>
  <sheetViews>
    <sheetView showZeros="0" view="pageBreakPreview" zoomScaleNormal="100" zoomScaleSheetLayoutView="100" workbookViewId="0">
      <selection activeCell="Y19" sqref="Y19"/>
    </sheetView>
  </sheetViews>
  <sheetFormatPr defaultColWidth="9" defaultRowHeight="18.75" customHeight="1"/>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c r="R1" s="107" t="s">
        <v>179</v>
      </c>
      <c r="S1" s="107"/>
      <c r="T1" s="66" t="s">
        <v>109</v>
      </c>
    </row>
    <row r="2" spans="1:22" ht="18.75" customHeight="1">
      <c r="B2" s="87" t="s">
        <v>108</v>
      </c>
      <c r="C2" s="103" t="s">
        <v>125</v>
      </c>
      <c r="D2" s="104"/>
      <c r="E2" s="104"/>
      <c r="F2" s="104"/>
      <c r="G2" s="104"/>
      <c r="H2" s="104"/>
      <c r="I2" s="105"/>
      <c r="J2" s="86"/>
      <c r="K2" s="8"/>
      <c r="L2" s="8"/>
      <c r="M2" s="8"/>
      <c r="N2" s="8"/>
      <c r="O2" s="8"/>
      <c r="P2" s="8"/>
      <c r="Q2" s="8"/>
      <c r="R2" s="8"/>
      <c r="S2" s="8"/>
    </row>
    <row r="3" spans="1:22" ht="18.75" customHeight="1">
      <c r="B3" s="87" t="s">
        <v>102</v>
      </c>
      <c r="C3" s="103" t="s">
        <v>126</v>
      </c>
      <c r="D3" s="104"/>
      <c r="E3" s="104"/>
      <c r="F3" s="104"/>
      <c r="G3" s="104"/>
      <c r="H3" s="104"/>
      <c r="I3" s="105"/>
      <c r="J3" s="86"/>
      <c r="K3" s="8"/>
      <c r="L3" s="8"/>
      <c r="M3" s="8"/>
      <c r="N3" s="8"/>
      <c r="O3" s="8"/>
      <c r="P3" s="8"/>
      <c r="Q3" s="8"/>
      <c r="R3" s="8"/>
      <c r="S3" s="8"/>
    </row>
    <row r="4" spans="1:22" ht="15" customHeight="1">
      <c r="K4" s="86"/>
      <c r="L4" s="9"/>
      <c r="M4" s="9"/>
      <c r="N4" s="9"/>
      <c r="O4" s="9"/>
      <c r="P4" s="9"/>
      <c r="Q4" s="9"/>
      <c r="R4" s="9"/>
      <c r="S4" s="9"/>
    </row>
    <row r="5" spans="1:22" ht="18" customHeight="1">
      <c r="A5" s="114" t="s">
        <v>38</v>
      </c>
      <c r="B5" s="114"/>
      <c r="C5" s="114"/>
      <c r="D5" s="114"/>
      <c r="E5" s="114"/>
      <c r="F5" s="114"/>
      <c r="G5" s="114"/>
      <c r="H5" s="114"/>
      <c r="I5" s="114"/>
      <c r="J5" s="114"/>
      <c r="K5" s="114"/>
      <c r="L5" s="114"/>
      <c r="M5" s="114"/>
      <c r="N5" s="114"/>
      <c r="O5" s="114"/>
      <c r="P5" s="114"/>
      <c r="Q5" s="114"/>
      <c r="R5" s="114"/>
      <c r="S5" s="114"/>
    </row>
    <row r="6" spans="1:22" ht="15" customHeight="1">
      <c r="B6" s="89"/>
      <c r="C6" s="89"/>
      <c r="D6" s="89"/>
      <c r="E6" s="89"/>
      <c r="F6" s="89"/>
      <c r="G6" s="89"/>
      <c r="H6" s="89"/>
      <c r="I6" s="89"/>
      <c r="J6" s="89"/>
      <c r="K6" s="89"/>
      <c r="L6" s="89"/>
      <c r="M6" s="89"/>
      <c r="N6" s="89"/>
      <c r="O6" s="89"/>
      <c r="P6" s="89"/>
      <c r="Q6" s="89"/>
      <c r="R6" s="89"/>
      <c r="S6" s="89"/>
    </row>
    <row r="7" spans="1:22" ht="18" customHeight="1">
      <c r="A7" s="88" t="s">
        <v>123</v>
      </c>
      <c r="C7" s="89"/>
      <c r="J7" s="11" t="s">
        <v>107</v>
      </c>
      <c r="K7" s="124" t="s">
        <v>127</v>
      </c>
      <c r="L7" s="125"/>
      <c r="M7" s="125"/>
      <c r="N7" s="125"/>
      <c r="O7" s="125"/>
      <c r="P7" s="125"/>
      <c r="Q7" s="125"/>
      <c r="R7" s="125"/>
      <c r="S7" s="126"/>
    </row>
    <row r="8" spans="1:22" ht="6" customHeight="1">
      <c r="B8" s="89"/>
      <c r="C8" s="89"/>
      <c r="D8" s="89"/>
      <c r="E8" s="89"/>
      <c r="F8" s="89"/>
      <c r="G8" s="89"/>
      <c r="H8" s="89"/>
      <c r="I8" s="89"/>
      <c r="J8" s="89"/>
      <c r="K8" s="12"/>
      <c r="L8" s="89"/>
      <c r="M8" s="89"/>
      <c r="N8" s="89"/>
      <c r="O8" s="89"/>
      <c r="P8" s="89"/>
      <c r="Q8" s="89"/>
      <c r="R8" s="89"/>
      <c r="S8" s="89"/>
    </row>
    <row r="9" spans="1:22" ht="18" customHeight="1">
      <c r="B9" s="91" t="s">
        <v>180</v>
      </c>
      <c r="C9" s="92"/>
      <c r="D9" s="92"/>
      <c r="E9" s="92"/>
      <c r="F9" s="92"/>
      <c r="G9" s="92"/>
      <c r="H9" s="92"/>
      <c r="I9" s="92"/>
      <c r="J9" s="92"/>
      <c r="K9" s="92"/>
      <c r="L9" s="92"/>
      <c r="M9" s="92"/>
      <c r="N9" s="92"/>
      <c r="O9" s="92"/>
      <c r="P9" s="92"/>
      <c r="Q9" s="92"/>
      <c r="R9" s="92"/>
      <c r="S9" s="93"/>
    </row>
    <row r="10" spans="1:22" ht="18" customHeight="1">
      <c r="B10" s="94"/>
      <c r="C10" s="95"/>
      <c r="D10" s="95"/>
      <c r="E10" s="95"/>
      <c r="F10" s="95"/>
      <c r="G10" s="95"/>
      <c r="H10" s="95"/>
      <c r="I10" s="95"/>
      <c r="J10" s="95"/>
      <c r="K10" s="95"/>
      <c r="L10" s="95"/>
      <c r="M10" s="95"/>
      <c r="N10" s="95"/>
      <c r="O10" s="95"/>
      <c r="P10" s="95"/>
      <c r="Q10" s="95"/>
      <c r="R10" s="95"/>
      <c r="S10" s="96"/>
    </row>
    <row r="11" spans="1:22" ht="6" customHeight="1">
      <c r="B11" s="89"/>
      <c r="C11" s="89"/>
      <c r="D11" s="89"/>
      <c r="E11" s="89"/>
      <c r="F11" s="89"/>
      <c r="G11" s="89"/>
      <c r="H11" s="89"/>
      <c r="I11" s="89"/>
      <c r="J11" s="89"/>
      <c r="K11" s="12"/>
      <c r="L11" s="89"/>
      <c r="M11" s="89"/>
      <c r="N11" s="89"/>
      <c r="O11" s="89"/>
      <c r="P11" s="89"/>
      <c r="Q11" s="89"/>
      <c r="R11" s="89"/>
      <c r="S11" s="89"/>
    </row>
    <row r="12" spans="1:22" ht="18" customHeight="1">
      <c r="A12" s="88" t="s">
        <v>111</v>
      </c>
      <c r="B12" s="89"/>
      <c r="C12" s="89"/>
      <c r="D12" s="86"/>
      <c r="E12" s="86"/>
      <c r="F12" s="86"/>
      <c r="G12" s="86"/>
      <c r="H12" s="86"/>
      <c r="I12" s="86"/>
      <c r="J12" s="86"/>
      <c r="K12" s="13"/>
      <c r="L12" s="13"/>
      <c r="M12" s="13"/>
      <c r="N12" s="13"/>
      <c r="O12" s="13"/>
      <c r="P12" s="13"/>
      <c r="Q12" s="13"/>
      <c r="R12" s="13"/>
      <c r="S12" s="13"/>
    </row>
    <row r="13" spans="1:22" ht="18" customHeight="1">
      <c r="B13" s="115" t="s">
        <v>181</v>
      </c>
      <c r="C13" s="116"/>
      <c r="D13" s="116"/>
      <c r="E13" s="116"/>
      <c r="F13" s="116"/>
      <c r="G13" s="116"/>
      <c r="H13" s="116"/>
      <c r="I13" s="116"/>
      <c r="J13" s="116"/>
      <c r="K13" s="116"/>
      <c r="L13" s="116"/>
      <c r="M13" s="116"/>
      <c r="N13" s="116"/>
      <c r="O13" s="116"/>
      <c r="P13" s="116"/>
      <c r="Q13" s="116"/>
      <c r="R13" s="116"/>
      <c r="S13" s="117"/>
      <c r="V13" s="88" t="s">
        <v>103</v>
      </c>
    </row>
    <row r="14" spans="1:22" ht="18" customHeight="1">
      <c r="B14" s="118"/>
      <c r="C14" s="119"/>
      <c r="D14" s="119"/>
      <c r="E14" s="119"/>
      <c r="F14" s="119"/>
      <c r="G14" s="119"/>
      <c r="H14" s="119"/>
      <c r="I14" s="119"/>
      <c r="J14" s="119"/>
      <c r="K14" s="119"/>
      <c r="L14" s="119"/>
      <c r="M14" s="119"/>
      <c r="N14" s="119"/>
      <c r="O14" s="119"/>
      <c r="P14" s="119"/>
      <c r="Q14" s="119"/>
      <c r="R14" s="119"/>
      <c r="S14" s="120"/>
      <c r="V14" s="88" t="s">
        <v>110</v>
      </c>
    </row>
    <row r="15" spans="1:22" ht="18" customHeight="1">
      <c r="B15" s="118"/>
      <c r="C15" s="119"/>
      <c r="D15" s="119"/>
      <c r="E15" s="119"/>
      <c r="F15" s="119"/>
      <c r="G15" s="119"/>
      <c r="H15" s="119"/>
      <c r="I15" s="119"/>
      <c r="J15" s="119"/>
      <c r="K15" s="119"/>
      <c r="L15" s="119"/>
      <c r="M15" s="119"/>
      <c r="N15" s="119"/>
      <c r="O15" s="119"/>
      <c r="P15" s="119"/>
      <c r="Q15" s="119"/>
      <c r="R15" s="119"/>
      <c r="S15" s="120"/>
      <c r="V15" s="88" t="s">
        <v>122</v>
      </c>
    </row>
    <row r="16" spans="1:22" ht="18" customHeight="1">
      <c r="B16" s="118"/>
      <c r="C16" s="119"/>
      <c r="D16" s="119"/>
      <c r="E16" s="119"/>
      <c r="F16" s="119"/>
      <c r="G16" s="119"/>
      <c r="H16" s="119"/>
      <c r="I16" s="119"/>
      <c r="J16" s="119"/>
      <c r="K16" s="119"/>
      <c r="L16" s="119"/>
      <c r="M16" s="119"/>
      <c r="N16" s="119"/>
      <c r="O16" s="119"/>
      <c r="P16" s="119"/>
      <c r="Q16" s="119"/>
      <c r="R16" s="119"/>
      <c r="S16" s="120"/>
      <c r="V16" s="88" t="s">
        <v>124</v>
      </c>
    </row>
    <row r="17" spans="1:19" ht="18" customHeight="1">
      <c r="B17" s="118"/>
      <c r="C17" s="119"/>
      <c r="D17" s="119"/>
      <c r="E17" s="119"/>
      <c r="F17" s="119"/>
      <c r="G17" s="119"/>
      <c r="H17" s="119"/>
      <c r="I17" s="119"/>
      <c r="J17" s="119"/>
      <c r="K17" s="119"/>
      <c r="L17" s="119"/>
      <c r="M17" s="119"/>
      <c r="N17" s="119"/>
      <c r="O17" s="119"/>
      <c r="P17" s="119"/>
      <c r="Q17" s="119"/>
      <c r="R17" s="119"/>
      <c r="S17" s="120"/>
    </row>
    <row r="18" spans="1:19" ht="18" customHeight="1">
      <c r="B18" s="121"/>
      <c r="C18" s="122"/>
      <c r="D18" s="122"/>
      <c r="E18" s="122"/>
      <c r="F18" s="122"/>
      <c r="G18" s="122"/>
      <c r="H18" s="122"/>
      <c r="I18" s="122"/>
      <c r="J18" s="122"/>
      <c r="K18" s="122"/>
      <c r="L18" s="122"/>
      <c r="M18" s="122"/>
      <c r="N18" s="122"/>
      <c r="O18" s="122"/>
      <c r="P18" s="122"/>
      <c r="Q18" s="122"/>
      <c r="R18" s="122"/>
      <c r="S18" s="123"/>
    </row>
    <row r="19" spans="1:19" ht="7.5" customHeight="1">
      <c r="B19" s="89"/>
      <c r="C19" s="89"/>
      <c r="D19" s="89"/>
      <c r="E19" s="89"/>
      <c r="F19" s="89"/>
      <c r="G19" s="89"/>
      <c r="H19" s="89"/>
      <c r="I19" s="89"/>
      <c r="J19" s="89"/>
      <c r="K19" s="89"/>
      <c r="L19" s="89"/>
      <c r="M19" s="89"/>
      <c r="N19" s="89"/>
      <c r="O19" s="89"/>
      <c r="P19" s="89"/>
      <c r="Q19" s="89"/>
      <c r="R19" s="89"/>
      <c r="S19" s="89"/>
    </row>
    <row r="20" spans="1:19" ht="19.899999999999999" customHeight="1">
      <c r="B20" s="88" t="s">
        <v>112</v>
      </c>
      <c r="C20" s="103">
        <v>1</v>
      </c>
      <c r="D20" s="105"/>
      <c r="E20" s="14" t="s">
        <v>95</v>
      </c>
      <c r="G20" s="12"/>
      <c r="H20" s="89"/>
      <c r="I20" s="89"/>
      <c r="J20" s="86" t="s">
        <v>121</v>
      </c>
      <c r="K20" s="111" t="s">
        <v>110</v>
      </c>
      <c r="L20" s="112"/>
      <c r="M20" s="112"/>
      <c r="N20" s="112"/>
      <c r="O20" s="112"/>
      <c r="P20" s="112"/>
      <c r="Q20" s="112"/>
      <c r="R20" s="112"/>
      <c r="S20" s="113"/>
    </row>
    <row r="21" spans="1:19" ht="7.5" customHeight="1">
      <c r="B21" s="89"/>
      <c r="C21" s="89"/>
      <c r="D21" s="89"/>
      <c r="E21" s="89"/>
      <c r="F21" s="89"/>
      <c r="G21" s="89"/>
      <c r="H21" s="89"/>
      <c r="I21" s="89"/>
      <c r="J21" s="89"/>
      <c r="K21" s="89"/>
      <c r="L21" s="89"/>
      <c r="M21" s="89"/>
      <c r="N21" s="89"/>
      <c r="O21" s="89"/>
      <c r="P21" s="89"/>
      <c r="Q21" s="89"/>
      <c r="R21" s="89"/>
      <c r="S21" s="89"/>
    </row>
    <row r="22" spans="1:19" ht="18" customHeight="1">
      <c r="A22" s="106" t="s">
        <v>113</v>
      </c>
      <c r="B22" s="106"/>
      <c r="C22" s="106"/>
      <c r="D22" s="106"/>
      <c r="E22" s="106"/>
      <c r="F22" s="106"/>
      <c r="G22" s="106"/>
      <c r="H22" s="106"/>
      <c r="I22" s="106"/>
      <c r="J22" s="106"/>
      <c r="K22" s="106"/>
      <c r="L22" s="106"/>
      <c r="M22" s="106"/>
      <c r="N22" s="106"/>
      <c r="O22" s="106"/>
      <c r="P22" s="106"/>
      <c r="Q22" s="106"/>
      <c r="R22" s="106"/>
      <c r="S22" s="106"/>
    </row>
    <row r="23" spans="1:19" ht="18" customHeight="1">
      <c r="A23" s="106"/>
      <c r="B23" s="106"/>
      <c r="C23" s="106"/>
      <c r="D23" s="106"/>
      <c r="E23" s="106"/>
      <c r="F23" s="106"/>
      <c r="G23" s="106"/>
      <c r="H23" s="106"/>
      <c r="I23" s="106"/>
      <c r="J23" s="106"/>
      <c r="K23" s="106"/>
      <c r="L23" s="106"/>
      <c r="M23" s="106"/>
      <c r="N23" s="106"/>
      <c r="O23" s="106"/>
      <c r="P23" s="106"/>
      <c r="Q23" s="106"/>
      <c r="R23" s="106"/>
      <c r="S23" s="106"/>
    </row>
    <row r="24" spans="1:19" ht="18" customHeight="1">
      <c r="B24" s="103" t="s">
        <v>53</v>
      </c>
      <c r="C24" s="104"/>
      <c r="D24" s="104"/>
      <c r="E24" s="105"/>
      <c r="F24" s="15" t="s">
        <v>80</v>
      </c>
      <c r="G24" s="16" t="s">
        <v>84</v>
      </c>
      <c r="H24" s="17" t="s">
        <v>56</v>
      </c>
      <c r="I24" s="17" t="s">
        <v>59</v>
      </c>
      <c r="J24" s="103" t="s">
        <v>53</v>
      </c>
      <c r="K24" s="104"/>
      <c r="L24" s="104"/>
      <c r="M24" s="104"/>
      <c r="N24" s="104"/>
      <c r="O24" s="105"/>
      <c r="P24" s="15" t="s">
        <v>80</v>
      </c>
      <c r="Q24" s="16" t="s">
        <v>84</v>
      </c>
      <c r="R24" s="17" t="s">
        <v>56</v>
      </c>
      <c r="S24" s="17" t="s">
        <v>59</v>
      </c>
    </row>
    <row r="25" spans="1:19" ht="18" customHeight="1">
      <c r="B25" s="97" t="s">
        <v>182</v>
      </c>
      <c r="C25" s="98"/>
      <c r="D25" s="98"/>
      <c r="E25" s="99"/>
      <c r="F25" s="18">
        <v>1</v>
      </c>
      <c r="G25" s="18" t="s">
        <v>128</v>
      </c>
      <c r="H25" s="18" t="s">
        <v>128</v>
      </c>
      <c r="I25" s="18" t="s">
        <v>128</v>
      </c>
      <c r="J25" s="108"/>
      <c r="K25" s="109"/>
      <c r="L25" s="109"/>
      <c r="M25" s="109"/>
      <c r="N25" s="109"/>
      <c r="O25" s="110"/>
      <c r="P25" s="18"/>
      <c r="Q25" s="18"/>
      <c r="R25" s="18"/>
      <c r="S25" s="18"/>
    </row>
    <row r="26" spans="1:19" ht="18" customHeight="1">
      <c r="B26" s="97"/>
      <c r="C26" s="98"/>
      <c r="D26" s="98"/>
      <c r="E26" s="99"/>
      <c r="F26" s="19"/>
      <c r="G26" s="19"/>
      <c r="H26" s="19"/>
      <c r="I26" s="19"/>
      <c r="J26" s="97"/>
      <c r="K26" s="98"/>
      <c r="L26" s="98"/>
      <c r="M26" s="98"/>
      <c r="N26" s="98"/>
      <c r="O26" s="99"/>
      <c r="P26" s="19"/>
      <c r="Q26" s="19"/>
      <c r="R26" s="19"/>
      <c r="S26" s="19"/>
    </row>
    <row r="27" spans="1:19" ht="18" customHeight="1">
      <c r="B27" s="97"/>
      <c r="C27" s="98"/>
      <c r="D27" s="98"/>
      <c r="E27" s="99"/>
      <c r="F27" s="19"/>
      <c r="G27" s="19"/>
      <c r="H27" s="19"/>
      <c r="I27" s="19"/>
      <c r="J27" s="97"/>
      <c r="K27" s="98"/>
      <c r="L27" s="98"/>
      <c r="M27" s="98"/>
      <c r="N27" s="98"/>
      <c r="O27" s="99"/>
      <c r="P27" s="19"/>
      <c r="Q27" s="19"/>
      <c r="R27" s="19"/>
      <c r="S27" s="19"/>
    </row>
    <row r="28" spans="1:19" ht="18" customHeight="1">
      <c r="B28" s="97"/>
      <c r="C28" s="98"/>
      <c r="D28" s="98"/>
      <c r="E28" s="99"/>
      <c r="F28" s="19"/>
      <c r="G28" s="19"/>
      <c r="H28" s="19"/>
      <c r="I28" s="19"/>
      <c r="J28" s="97"/>
      <c r="K28" s="98"/>
      <c r="L28" s="98"/>
      <c r="M28" s="98"/>
      <c r="N28" s="98"/>
      <c r="O28" s="99"/>
      <c r="P28" s="19"/>
      <c r="Q28" s="19"/>
      <c r="R28" s="19"/>
      <c r="S28" s="19"/>
    </row>
    <row r="29" spans="1:19" ht="18" customHeight="1">
      <c r="B29" s="97"/>
      <c r="C29" s="98"/>
      <c r="D29" s="98"/>
      <c r="E29" s="99"/>
      <c r="F29" s="19"/>
      <c r="G29" s="19"/>
      <c r="H29" s="19"/>
      <c r="I29" s="19"/>
      <c r="J29" s="97"/>
      <c r="K29" s="98"/>
      <c r="L29" s="98"/>
      <c r="M29" s="98"/>
      <c r="N29" s="98"/>
      <c r="O29" s="99"/>
      <c r="P29" s="19"/>
      <c r="Q29" s="19"/>
      <c r="R29" s="19"/>
      <c r="S29" s="19"/>
    </row>
    <row r="30" spans="1:19" ht="18" customHeight="1">
      <c r="A30" s="89"/>
      <c r="B30" s="97"/>
      <c r="C30" s="98"/>
      <c r="D30" s="98"/>
      <c r="E30" s="99"/>
      <c r="F30" s="19"/>
      <c r="G30" s="19"/>
      <c r="H30" s="19"/>
      <c r="I30" s="19"/>
      <c r="J30" s="97"/>
      <c r="K30" s="98"/>
      <c r="L30" s="98"/>
      <c r="M30" s="98"/>
      <c r="N30" s="98"/>
      <c r="O30" s="99"/>
      <c r="P30" s="19"/>
      <c r="Q30" s="19"/>
      <c r="R30" s="19"/>
      <c r="S30" s="19"/>
    </row>
    <row r="31" spans="1:19" ht="18" customHeight="1">
      <c r="A31" s="89"/>
      <c r="B31" s="100"/>
      <c r="C31" s="101"/>
      <c r="D31" s="101"/>
      <c r="E31" s="102"/>
      <c r="F31" s="20"/>
      <c r="G31" s="20"/>
      <c r="H31" s="21"/>
      <c r="I31" s="21"/>
      <c r="J31" s="100"/>
      <c r="K31" s="101"/>
      <c r="L31" s="101"/>
      <c r="M31" s="101"/>
      <c r="N31" s="101"/>
      <c r="O31" s="102"/>
      <c r="P31" s="20"/>
      <c r="Q31" s="20"/>
      <c r="R31" s="21"/>
      <c r="S31" s="21"/>
    </row>
    <row r="32" spans="1:19" ht="7.5" customHeight="1">
      <c r="A32" s="89"/>
      <c r="B32" s="8"/>
      <c r="C32" s="8"/>
      <c r="D32" s="89"/>
      <c r="E32" s="89"/>
      <c r="F32" s="89"/>
      <c r="G32" s="89"/>
      <c r="H32" s="8"/>
      <c r="I32" s="8"/>
      <c r="J32" s="8"/>
      <c r="K32" s="8"/>
      <c r="L32" s="8"/>
      <c r="M32" s="8"/>
      <c r="N32" s="8"/>
      <c r="O32" s="8"/>
      <c r="P32" s="8"/>
      <c r="Q32" s="8"/>
      <c r="R32" s="8"/>
      <c r="S32" s="89"/>
    </row>
    <row r="33" spans="1:19" ht="18" customHeight="1">
      <c r="A33" s="106" t="s">
        <v>114</v>
      </c>
      <c r="B33" s="106"/>
      <c r="C33" s="106"/>
      <c r="D33" s="106"/>
      <c r="E33" s="106"/>
      <c r="F33" s="106"/>
      <c r="G33" s="106"/>
      <c r="H33" s="106"/>
      <c r="I33" s="106"/>
      <c r="J33" s="106"/>
      <c r="K33" s="106"/>
      <c r="L33" s="106"/>
      <c r="M33" s="106"/>
      <c r="N33" s="106"/>
      <c r="O33" s="106"/>
      <c r="P33" s="106"/>
      <c r="Q33" s="106"/>
      <c r="R33" s="106"/>
      <c r="S33" s="106"/>
    </row>
    <row r="34" spans="1:19" ht="18" customHeight="1">
      <c r="A34" s="106"/>
      <c r="B34" s="106"/>
      <c r="C34" s="106"/>
      <c r="D34" s="106"/>
      <c r="E34" s="106"/>
      <c r="F34" s="106"/>
      <c r="G34" s="106"/>
      <c r="H34" s="106"/>
      <c r="I34" s="106"/>
      <c r="J34" s="106"/>
      <c r="K34" s="106"/>
      <c r="L34" s="106"/>
      <c r="M34" s="106"/>
      <c r="N34" s="106"/>
      <c r="O34" s="106"/>
      <c r="P34" s="106"/>
      <c r="Q34" s="106"/>
      <c r="R34" s="106"/>
      <c r="S34" s="106"/>
    </row>
    <row r="35" spans="1:19" ht="18" customHeight="1">
      <c r="B35" s="103" t="s">
        <v>53</v>
      </c>
      <c r="C35" s="104"/>
      <c r="D35" s="104"/>
      <c r="E35" s="105"/>
      <c r="F35" s="15" t="s">
        <v>80</v>
      </c>
      <c r="G35" s="16" t="s">
        <v>84</v>
      </c>
      <c r="H35" s="17" t="s">
        <v>71</v>
      </c>
      <c r="I35" s="17" t="s">
        <v>72</v>
      </c>
      <c r="J35" s="103" t="s">
        <v>53</v>
      </c>
      <c r="K35" s="104"/>
      <c r="L35" s="104"/>
      <c r="M35" s="104"/>
      <c r="N35" s="104"/>
      <c r="O35" s="105"/>
      <c r="P35" s="15" t="s">
        <v>80</v>
      </c>
      <c r="Q35" s="16" t="s">
        <v>84</v>
      </c>
      <c r="R35" s="17" t="s">
        <v>71</v>
      </c>
      <c r="S35" s="17" t="s">
        <v>72</v>
      </c>
    </row>
    <row r="36" spans="1:19" ht="18" customHeight="1">
      <c r="B36" s="97" t="s">
        <v>182</v>
      </c>
      <c r="C36" s="98"/>
      <c r="D36" s="98"/>
      <c r="E36" s="99"/>
      <c r="F36" s="18">
        <v>1</v>
      </c>
      <c r="G36" s="18" t="s">
        <v>128</v>
      </c>
      <c r="H36" s="18" t="s">
        <v>128</v>
      </c>
      <c r="I36" s="18" t="s">
        <v>128</v>
      </c>
      <c r="J36" s="108"/>
      <c r="K36" s="109"/>
      <c r="L36" s="109"/>
      <c r="M36" s="109"/>
      <c r="N36" s="109"/>
      <c r="O36" s="110"/>
      <c r="P36" s="18"/>
      <c r="Q36" s="18"/>
      <c r="R36" s="18"/>
      <c r="S36" s="18"/>
    </row>
    <row r="37" spans="1:19" ht="18" customHeight="1">
      <c r="B37" s="97"/>
      <c r="C37" s="98"/>
      <c r="D37" s="98"/>
      <c r="E37" s="99"/>
      <c r="F37" s="19"/>
      <c r="G37" s="19"/>
      <c r="H37" s="19"/>
      <c r="I37" s="19"/>
      <c r="J37" s="97"/>
      <c r="K37" s="98"/>
      <c r="L37" s="98"/>
      <c r="M37" s="98"/>
      <c r="N37" s="98"/>
      <c r="O37" s="99"/>
      <c r="P37" s="19"/>
      <c r="Q37" s="19"/>
      <c r="R37" s="19"/>
      <c r="S37" s="19"/>
    </row>
    <row r="38" spans="1:19" ht="18" customHeight="1">
      <c r="B38" s="97"/>
      <c r="C38" s="98"/>
      <c r="D38" s="98"/>
      <c r="E38" s="99"/>
      <c r="F38" s="19"/>
      <c r="G38" s="19"/>
      <c r="H38" s="19"/>
      <c r="I38" s="19"/>
      <c r="J38" s="97"/>
      <c r="K38" s="98"/>
      <c r="L38" s="98"/>
      <c r="M38" s="98"/>
      <c r="N38" s="98"/>
      <c r="O38" s="99"/>
      <c r="P38" s="19"/>
      <c r="Q38" s="19"/>
      <c r="R38" s="19"/>
      <c r="S38" s="19"/>
    </row>
    <row r="39" spans="1:19" ht="18" customHeight="1">
      <c r="B39" s="97"/>
      <c r="C39" s="98"/>
      <c r="D39" s="98"/>
      <c r="E39" s="99"/>
      <c r="F39" s="19"/>
      <c r="G39" s="19"/>
      <c r="H39" s="19"/>
      <c r="I39" s="19"/>
      <c r="J39" s="97"/>
      <c r="K39" s="98"/>
      <c r="L39" s="98"/>
      <c r="M39" s="98"/>
      <c r="N39" s="98"/>
      <c r="O39" s="99"/>
      <c r="P39" s="19"/>
      <c r="Q39" s="19"/>
      <c r="R39" s="19"/>
      <c r="S39" s="19"/>
    </row>
    <row r="40" spans="1:19" ht="18" customHeight="1">
      <c r="B40" s="97"/>
      <c r="C40" s="98"/>
      <c r="D40" s="98"/>
      <c r="E40" s="99"/>
      <c r="F40" s="19"/>
      <c r="G40" s="19"/>
      <c r="H40" s="19"/>
      <c r="I40" s="19"/>
      <c r="J40" s="97"/>
      <c r="K40" s="98"/>
      <c r="L40" s="98"/>
      <c r="M40" s="98"/>
      <c r="N40" s="98"/>
      <c r="O40" s="99"/>
      <c r="P40" s="19"/>
      <c r="Q40" s="19"/>
      <c r="R40" s="19"/>
      <c r="S40" s="19"/>
    </row>
    <row r="41" spans="1:19" ht="18" customHeight="1">
      <c r="B41" s="97"/>
      <c r="C41" s="98"/>
      <c r="D41" s="98"/>
      <c r="E41" s="99"/>
      <c r="F41" s="19"/>
      <c r="G41" s="19"/>
      <c r="H41" s="19"/>
      <c r="I41" s="19"/>
      <c r="J41" s="97"/>
      <c r="K41" s="98"/>
      <c r="L41" s="98"/>
      <c r="M41" s="98"/>
      <c r="N41" s="98"/>
      <c r="O41" s="99"/>
      <c r="P41" s="19"/>
      <c r="Q41" s="19"/>
      <c r="R41" s="19"/>
      <c r="S41" s="19"/>
    </row>
    <row r="42" spans="1:19" ht="18" customHeight="1">
      <c r="B42" s="100"/>
      <c r="C42" s="101"/>
      <c r="D42" s="101"/>
      <c r="E42" s="102"/>
      <c r="F42" s="20"/>
      <c r="G42" s="20"/>
      <c r="H42" s="21"/>
      <c r="I42" s="21"/>
      <c r="J42" s="100"/>
      <c r="K42" s="101"/>
      <c r="L42" s="101"/>
      <c r="M42" s="101"/>
      <c r="N42" s="101"/>
      <c r="O42" s="102"/>
      <c r="P42" s="20"/>
      <c r="Q42" s="20"/>
      <c r="R42" s="21"/>
      <c r="S42" s="21"/>
    </row>
    <row r="43" spans="1:19" ht="7.5" customHeight="1">
      <c r="A43" s="89"/>
      <c r="B43" s="8"/>
      <c r="C43" s="8"/>
      <c r="D43" s="89"/>
      <c r="E43" s="89"/>
      <c r="F43" s="89"/>
      <c r="G43" s="89"/>
      <c r="H43" s="8"/>
      <c r="I43" s="8"/>
      <c r="J43" s="8"/>
      <c r="K43" s="8"/>
      <c r="L43" s="8"/>
      <c r="M43" s="8"/>
      <c r="N43" s="8"/>
      <c r="O43" s="8"/>
      <c r="P43" s="8"/>
      <c r="Q43" s="8"/>
      <c r="R43" s="8"/>
      <c r="S43" s="89"/>
    </row>
    <row r="44" spans="1:19" ht="18" customHeight="1">
      <c r="A44" s="106" t="s">
        <v>115</v>
      </c>
      <c r="B44" s="106"/>
      <c r="C44" s="106"/>
      <c r="D44" s="106"/>
      <c r="E44" s="106"/>
      <c r="F44" s="106"/>
      <c r="G44" s="106"/>
      <c r="H44" s="106"/>
      <c r="I44" s="106"/>
      <c r="J44" s="106"/>
      <c r="K44" s="106"/>
      <c r="L44" s="106"/>
      <c r="M44" s="106"/>
      <c r="N44" s="106"/>
      <c r="O44" s="106"/>
      <c r="P44" s="106"/>
      <c r="Q44" s="106"/>
      <c r="R44" s="106"/>
      <c r="S44" s="106"/>
    </row>
    <row r="45" spans="1:19" ht="18" customHeight="1">
      <c r="A45" s="106"/>
      <c r="B45" s="106"/>
      <c r="C45" s="106"/>
      <c r="D45" s="106"/>
      <c r="E45" s="106"/>
      <c r="F45" s="106"/>
      <c r="G45" s="106"/>
      <c r="H45" s="106"/>
      <c r="I45" s="106"/>
      <c r="J45" s="106"/>
      <c r="K45" s="106"/>
      <c r="L45" s="106"/>
      <c r="M45" s="106"/>
      <c r="N45" s="106"/>
      <c r="O45" s="106"/>
      <c r="P45" s="106"/>
      <c r="Q45" s="106"/>
      <c r="R45" s="106"/>
      <c r="S45" s="106"/>
    </row>
    <row r="46" spans="1:19" ht="18" customHeight="1">
      <c r="B46" s="103" t="s">
        <v>53</v>
      </c>
      <c r="C46" s="104"/>
      <c r="D46" s="104"/>
      <c r="E46" s="105"/>
      <c r="F46" s="15" t="s">
        <v>80</v>
      </c>
      <c r="G46" s="16" t="s">
        <v>84</v>
      </c>
      <c r="H46" s="17" t="s">
        <v>73</v>
      </c>
      <c r="I46" s="17" t="s">
        <v>74</v>
      </c>
      <c r="J46" s="103" t="s">
        <v>53</v>
      </c>
      <c r="K46" s="104"/>
      <c r="L46" s="104"/>
      <c r="M46" s="104"/>
      <c r="N46" s="104"/>
      <c r="O46" s="105"/>
      <c r="P46" s="15" t="s">
        <v>80</v>
      </c>
      <c r="Q46" s="16" t="s">
        <v>84</v>
      </c>
      <c r="R46" s="17" t="s">
        <v>73</v>
      </c>
      <c r="S46" s="17" t="s">
        <v>74</v>
      </c>
    </row>
    <row r="47" spans="1:19" ht="18" customHeight="1">
      <c r="A47" s="89"/>
      <c r="B47" s="97" t="s">
        <v>182</v>
      </c>
      <c r="C47" s="98"/>
      <c r="D47" s="98"/>
      <c r="E47" s="99"/>
      <c r="F47" s="18">
        <v>1</v>
      </c>
      <c r="G47" s="18" t="s">
        <v>128</v>
      </c>
      <c r="H47" s="18" t="s">
        <v>128</v>
      </c>
      <c r="I47" s="18" t="s">
        <v>128</v>
      </c>
      <c r="J47" s="108"/>
      <c r="K47" s="109"/>
      <c r="L47" s="109"/>
      <c r="M47" s="109"/>
      <c r="N47" s="109"/>
      <c r="O47" s="110"/>
      <c r="P47" s="18"/>
      <c r="Q47" s="18"/>
      <c r="R47" s="18"/>
      <c r="S47" s="18"/>
    </row>
    <row r="48" spans="1:19" ht="18" customHeight="1">
      <c r="A48" s="89"/>
      <c r="B48" s="97"/>
      <c r="C48" s="98"/>
      <c r="D48" s="98"/>
      <c r="E48" s="99"/>
      <c r="F48" s="19"/>
      <c r="G48" s="19"/>
      <c r="H48" s="19"/>
      <c r="I48" s="19"/>
      <c r="J48" s="97"/>
      <c r="K48" s="98"/>
      <c r="L48" s="98"/>
      <c r="M48" s="98"/>
      <c r="N48" s="98"/>
      <c r="O48" s="99"/>
      <c r="P48" s="19"/>
      <c r="Q48" s="19"/>
      <c r="R48" s="19"/>
      <c r="S48" s="19"/>
    </row>
    <row r="49" spans="1:19" ht="18" customHeight="1">
      <c r="A49" s="89"/>
      <c r="B49" s="97"/>
      <c r="C49" s="98"/>
      <c r="D49" s="98"/>
      <c r="E49" s="99"/>
      <c r="F49" s="19"/>
      <c r="G49" s="19"/>
      <c r="H49" s="19"/>
      <c r="I49" s="19"/>
      <c r="J49" s="97"/>
      <c r="K49" s="98"/>
      <c r="L49" s="98"/>
      <c r="M49" s="98"/>
      <c r="N49" s="98"/>
      <c r="O49" s="99"/>
      <c r="P49" s="19"/>
      <c r="Q49" s="19"/>
      <c r="R49" s="19"/>
      <c r="S49" s="19"/>
    </row>
    <row r="50" spans="1:19" ht="18" customHeight="1">
      <c r="A50" s="89"/>
      <c r="B50" s="97"/>
      <c r="C50" s="98"/>
      <c r="D50" s="98"/>
      <c r="E50" s="99"/>
      <c r="F50" s="19"/>
      <c r="G50" s="19"/>
      <c r="H50" s="19"/>
      <c r="I50" s="19"/>
      <c r="J50" s="97"/>
      <c r="K50" s="98"/>
      <c r="L50" s="98"/>
      <c r="M50" s="98"/>
      <c r="N50" s="98"/>
      <c r="O50" s="99"/>
      <c r="P50" s="19"/>
      <c r="Q50" s="19"/>
      <c r="R50" s="19"/>
      <c r="S50" s="19"/>
    </row>
    <row r="51" spans="1:19" ht="18" customHeight="1">
      <c r="A51" s="89"/>
      <c r="B51" s="97"/>
      <c r="C51" s="98"/>
      <c r="D51" s="98"/>
      <c r="E51" s="99"/>
      <c r="F51" s="19"/>
      <c r="G51" s="19"/>
      <c r="H51" s="19"/>
      <c r="I51" s="19"/>
      <c r="J51" s="97"/>
      <c r="K51" s="98"/>
      <c r="L51" s="98"/>
      <c r="M51" s="98"/>
      <c r="N51" s="98"/>
      <c r="O51" s="99"/>
      <c r="P51" s="19"/>
      <c r="Q51" s="19"/>
      <c r="R51" s="19"/>
      <c r="S51" s="19"/>
    </row>
    <row r="52" spans="1:19" ht="18" customHeight="1">
      <c r="A52" s="89"/>
      <c r="B52" s="97"/>
      <c r="C52" s="98"/>
      <c r="D52" s="98"/>
      <c r="E52" s="99"/>
      <c r="F52" s="19"/>
      <c r="G52" s="19"/>
      <c r="H52" s="19"/>
      <c r="I52" s="19"/>
      <c r="J52" s="97"/>
      <c r="K52" s="98"/>
      <c r="L52" s="98"/>
      <c r="M52" s="98"/>
      <c r="N52" s="98"/>
      <c r="O52" s="99"/>
      <c r="P52" s="19"/>
      <c r="Q52" s="19"/>
      <c r="R52" s="19"/>
      <c r="S52" s="19"/>
    </row>
    <row r="53" spans="1:19" ht="18" customHeight="1">
      <c r="A53" s="89"/>
      <c r="B53" s="100"/>
      <c r="C53" s="101"/>
      <c r="D53" s="101"/>
      <c r="E53" s="102"/>
      <c r="F53" s="20"/>
      <c r="G53" s="20"/>
      <c r="H53" s="21"/>
      <c r="I53" s="21"/>
      <c r="J53" s="100"/>
      <c r="K53" s="101"/>
      <c r="L53" s="101"/>
      <c r="M53" s="101"/>
      <c r="N53" s="101"/>
      <c r="O53" s="102"/>
      <c r="P53" s="20"/>
      <c r="Q53" s="20"/>
      <c r="R53" s="21"/>
      <c r="S53" s="21"/>
    </row>
    <row r="54" spans="1:19" ht="7.5" customHeight="1">
      <c r="B54" s="90"/>
      <c r="C54" s="90"/>
      <c r="D54" s="90"/>
      <c r="E54" s="90"/>
      <c r="F54" s="90"/>
      <c r="G54" s="90"/>
      <c r="H54" s="90"/>
      <c r="I54" s="90"/>
      <c r="J54" s="90"/>
      <c r="K54" s="90"/>
      <c r="L54" s="90"/>
      <c r="M54" s="90"/>
      <c r="N54" s="90"/>
      <c r="O54" s="90"/>
      <c r="P54" s="90"/>
      <c r="Q54" s="90"/>
      <c r="R54" s="90"/>
    </row>
    <row r="55" spans="1:19" ht="18" customHeight="1">
      <c r="A55" s="106" t="s">
        <v>116</v>
      </c>
      <c r="B55" s="106"/>
      <c r="C55" s="106"/>
      <c r="D55" s="106"/>
      <c r="E55" s="106"/>
      <c r="F55" s="106"/>
      <c r="G55" s="106"/>
      <c r="H55" s="106"/>
      <c r="I55" s="106"/>
      <c r="J55" s="106"/>
      <c r="K55" s="106"/>
      <c r="L55" s="106"/>
      <c r="M55" s="106"/>
      <c r="N55" s="106"/>
      <c r="O55" s="106"/>
      <c r="P55" s="106"/>
      <c r="Q55" s="106"/>
      <c r="R55" s="106"/>
      <c r="S55" s="106"/>
    </row>
    <row r="56" spans="1:19" ht="18" customHeight="1">
      <c r="A56" s="106"/>
      <c r="B56" s="106"/>
      <c r="C56" s="106"/>
      <c r="D56" s="106"/>
      <c r="E56" s="106"/>
      <c r="F56" s="106"/>
      <c r="G56" s="106"/>
      <c r="H56" s="106"/>
      <c r="I56" s="106"/>
      <c r="J56" s="106"/>
      <c r="K56" s="106"/>
      <c r="L56" s="106"/>
      <c r="M56" s="106"/>
      <c r="N56" s="106"/>
      <c r="O56" s="106"/>
      <c r="P56" s="106"/>
      <c r="Q56" s="106"/>
      <c r="R56" s="106"/>
      <c r="S56" s="106"/>
    </row>
    <row r="57" spans="1:19" ht="18" customHeight="1">
      <c r="B57" s="103" t="s">
        <v>53</v>
      </c>
      <c r="C57" s="104"/>
      <c r="D57" s="104"/>
      <c r="E57" s="105"/>
      <c r="F57" s="15" t="s">
        <v>80</v>
      </c>
      <c r="G57" s="16" t="s">
        <v>84</v>
      </c>
      <c r="H57" s="17" t="s">
        <v>58</v>
      </c>
      <c r="I57" s="17" t="s">
        <v>60</v>
      </c>
      <c r="J57" s="103" t="s">
        <v>53</v>
      </c>
      <c r="K57" s="104"/>
      <c r="L57" s="104"/>
      <c r="M57" s="104"/>
      <c r="N57" s="104"/>
      <c r="O57" s="105"/>
      <c r="P57" s="15" t="s">
        <v>80</v>
      </c>
      <c r="Q57" s="16" t="s">
        <v>84</v>
      </c>
      <c r="R57" s="17" t="s">
        <v>58</v>
      </c>
      <c r="S57" s="17" t="s">
        <v>60</v>
      </c>
    </row>
    <row r="58" spans="1:19" ht="18" customHeight="1">
      <c r="A58" s="89"/>
      <c r="B58" s="97" t="s">
        <v>182</v>
      </c>
      <c r="C58" s="98"/>
      <c r="D58" s="98"/>
      <c r="E58" s="99"/>
      <c r="F58" s="18">
        <v>1</v>
      </c>
      <c r="G58" s="18" t="s">
        <v>128</v>
      </c>
      <c r="H58" s="18" t="s">
        <v>128</v>
      </c>
      <c r="I58" s="18" t="s">
        <v>128</v>
      </c>
      <c r="J58" s="108"/>
      <c r="K58" s="109"/>
      <c r="L58" s="109"/>
      <c r="M58" s="109"/>
      <c r="N58" s="109"/>
      <c r="O58" s="110"/>
      <c r="P58" s="18"/>
      <c r="Q58" s="18"/>
      <c r="R58" s="18"/>
      <c r="S58" s="18"/>
    </row>
    <row r="59" spans="1:19" ht="18" customHeight="1">
      <c r="A59" s="89"/>
      <c r="B59" s="97"/>
      <c r="C59" s="98"/>
      <c r="D59" s="98"/>
      <c r="E59" s="99"/>
      <c r="F59" s="19"/>
      <c r="G59" s="19"/>
      <c r="H59" s="19"/>
      <c r="I59" s="19"/>
      <c r="J59" s="97"/>
      <c r="K59" s="98"/>
      <c r="L59" s="98"/>
      <c r="M59" s="98"/>
      <c r="N59" s="98"/>
      <c r="O59" s="99"/>
      <c r="P59" s="19"/>
      <c r="Q59" s="19"/>
      <c r="R59" s="19"/>
      <c r="S59" s="19"/>
    </row>
    <row r="60" spans="1:19" ht="18" customHeight="1">
      <c r="A60" s="89"/>
      <c r="B60" s="97"/>
      <c r="C60" s="98"/>
      <c r="D60" s="98"/>
      <c r="E60" s="99"/>
      <c r="F60" s="19"/>
      <c r="G60" s="19"/>
      <c r="H60" s="19"/>
      <c r="I60" s="19"/>
      <c r="J60" s="97"/>
      <c r="K60" s="98"/>
      <c r="L60" s="98"/>
      <c r="M60" s="98"/>
      <c r="N60" s="98"/>
      <c r="O60" s="99"/>
      <c r="P60" s="19"/>
      <c r="Q60" s="19"/>
      <c r="R60" s="19"/>
      <c r="S60" s="19"/>
    </row>
    <row r="61" spans="1:19" ht="18" customHeight="1">
      <c r="A61" s="89"/>
      <c r="B61" s="97"/>
      <c r="C61" s="98"/>
      <c r="D61" s="98"/>
      <c r="E61" s="99"/>
      <c r="F61" s="19"/>
      <c r="G61" s="19"/>
      <c r="H61" s="19"/>
      <c r="I61" s="19"/>
      <c r="J61" s="97"/>
      <c r="K61" s="98"/>
      <c r="L61" s="98"/>
      <c r="M61" s="98"/>
      <c r="N61" s="98"/>
      <c r="O61" s="99"/>
      <c r="P61" s="19"/>
      <c r="Q61" s="19"/>
      <c r="R61" s="19"/>
      <c r="S61" s="19"/>
    </row>
    <row r="62" spans="1:19" ht="18" customHeight="1">
      <c r="A62" s="89"/>
      <c r="B62" s="97"/>
      <c r="C62" s="98"/>
      <c r="D62" s="98"/>
      <c r="E62" s="99"/>
      <c r="F62" s="19"/>
      <c r="G62" s="19"/>
      <c r="H62" s="19"/>
      <c r="I62" s="19"/>
      <c r="J62" s="97"/>
      <c r="K62" s="98"/>
      <c r="L62" s="98"/>
      <c r="M62" s="98"/>
      <c r="N62" s="98"/>
      <c r="O62" s="99"/>
      <c r="P62" s="19"/>
      <c r="Q62" s="19"/>
      <c r="R62" s="19"/>
      <c r="S62" s="19"/>
    </row>
    <row r="63" spans="1:19" ht="18" customHeight="1">
      <c r="A63" s="89"/>
      <c r="B63" s="97"/>
      <c r="C63" s="98"/>
      <c r="D63" s="98"/>
      <c r="E63" s="99"/>
      <c r="F63" s="19"/>
      <c r="G63" s="19"/>
      <c r="H63" s="19"/>
      <c r="I63" s="19"/>
      <c r="J63" s="97"/>
      <c r="K63" s="98"/>
      <c r="L63" s="98"/>
      <c r="M63" s="98"/>
      <c r="N63" s="98"/>
      <c r="O63" s="99"/>
      <c r="P63" s="19"/>
      <c r="Q63" s="19"/>
      <c r="R63" s="19"/>
      <c r="S63" s="19"/>
    </row>
    <row r="64" spans="1:19" ht="18" customHeight="1">
      <c r="A64" s="89"/>
      <c r="B64" s="100"/>
      <c r="C64" s="101"/>
      <c r="D64" s="101"/>
      <c r="E64" s="102"/>
      <c r="F64" s="20"/>
      <c r="G64" s="20"/>
      <c r="H64" s="21"/>
      <c r="I64" s="21"/>
      <c r="J64" s="100"/>
      <c r="K64" s="101"/>
      <c r="L64" s="101"/>
      <c r="M64" s="101"/>
      <c r="N64" s="101"/>
      <c r="O64" s="102"/>
      <c r="P64" s="20"/>
      <c r="Q64" s="20"/>
      <c r="R64" s="21"/>
      <c r="S64" s="21"/>
    </row>
    <row r="65" spans="1:19" ht="7.5" customHeight="1">
      <c r="B65" s="90"/>
      <c r="C65" s="90"/>
      <c r="D65" s="90"/>
      <c r="E65" s="90"/>
      <c r="F65" s="90"/>
      <c r="G65" s="90"/>
      <c r="H65" s="90"/>
      <c r="I65" s="90"/>
      <c r="J65" s="90"/>
      <c r="K65" s="90"/>
      <c r="L65" s="90"/>
      <c r="M65" s="90"/>
      <c r="N65" s="90"/>
      <c r="O65" s="90"/>
      <c r="P65" s="90"/>
      <c r="Q65" s="90"/>
      <c r="R65" s="90"/>
    </row>
    <row r="66" spans="1:19" ht="18" customHeight="1">
      <c r="A66" s="106" t="s">
        <v>117</v>
      </c>
      <c r="B66" s="106"/>
      <c r="C66" s="106"/>
      <c r="D66" s="106"/>
      <c r="E66" s="106"/>
      <c r="F66" s="106"/>
      <c r="G66" s="106"/>
      <c r="H66" s="106"/>
      <c r="I66" s="106"/>
      <c r="J66" s="106"/>
      <c r="K66" s="106"/>
      <c r="L66" s="106"/>
      <c r="M66" s="106"/>
      <c r="N66" s="106"/>
      <c r="O66" s="106"/>
      <c r="P66" s="106"/>
      <c r="Q66" s="106"/>
      <c r="R66" s="106"/>
      <c r="S66" s="106"/>
    </row>
    <row r="67" spans="1:19" ht="18" customHeight="1">
      <c r="A67" s="106"/>
      <c r="B67" s="106"/>
      <c r="C67" s="106"/>
      <c r="D67" s="106"/>
      <c r="E67" s="106"/>
      <c r="F67" s="106"/>
      <c r="G67" s="106"/>
      <c r="H67" s="106"/>
      <c r="I67" s="106"/>
      <c r="J67" s="106"/>
      <c r="K67" s="106"/>
      <c r="L67" s="106"/>
      <c r="M67" s="106"/>
      <c r="N67" s="106"/>
      <c r="O67" s="106"/>
      <c r="P67" s="106"/>
      <c r="Q67" s="106"/>
      <c r="R67" s="106"/>
      <c r="S67" s="106"/>
    </row>
    <row r="68" spans="1:19" ht="18" customHeight="1">
      <c r="B68" s="103" t="s">
        <v>53</v>
      </c>
      <c r="C68" s="104"/>
      <c r="D68" s="104"/>
      <c r="E68" s="15" t="s">
        <v>80</v>
      </c>
      <c r="F68" s="16" t="s">
        <v>84</v>
      </c>
      <c r="G68" s="17" t="s">
        <v>101</v>
      </c>
      <c r="H68" s="17" t="s">
        <v>75</v>
      </c>
      <c r="I68" s="17" t="s">
        <v>76</v>
      </c>
      <c r="J68" s="103" t="s">
        <v>53</v>
      </c>
      <c r="K68" s="104"/>
      <c r="L68" s="104"/>
      <c r="M68" s="104"/>
      <c r="N68" s="105"/>
      <c r="O68" s="15" t="s">
        <v>80</v>
      </c>
      <c r="P68" s="16" t="s">
        <v>84</v>
      </c>
      <c r="Q68" s="17" t="s">
        <v>101</v>
      </c>
      <c r="R68" s="17" t="s">
        <v>75</v>
      </c>
      <c r="S68" s="17" t="s">
        <v>76</v>
      </c>
    </row>
    <row r="69" spans="1:19" ht="18" customHeight="1">
      <c r="A69" s="89"/>
      <c r="B69" s="97" t="s">
        <v>182</v>
      </c>
      <c r="C69" s="98"/>
      <c r="D69" s="98"/>
      <c r="E69" s="22">
        <v>1</v>
      </c>
      <c r="F69" s="22" t="s">
        <v>128</v>
      </c>
      <c r="G69" s="23" t="s">
        <v>128</v>
      </c>
      <c r="H69" s="22" t="s">
        <v>128</v>
      </c>
      <c r="I69" s="22" t="s">
        <v>128</v>
      </c>
      <c r="J69" s="108"/>
      <c r="K69" s="109"/>
      <c r="L69" s="109"/>
      <c r="M69" s="109"/>
      <c r="N69" s="110"/>
      <c r="O69" s="18"/>
      <c r="P69" s="18"/>
      <c r="Q69" s="18"/>
      <c r="R69" s="18"/>
      <c r="S69" s="18"/>
    </row>
    <row r="70" spans="1:19" ht="18" customHeight="1">
      <c r="A70" s="89"/>
      <c r="B70" s="97"/>
      <c r="C70" s="98"/>
      <c r="D70" s="98"/>
      <c r="E70" s="24"/>
      <c r="F70" s="24"/>
      <c r="G70" s="25"/>
      <c r="H70" s="24"/>
      <c r="I70" s="24"/>
      <c r="J70" s="97"/>
      <c r="K70" s="98"/>
      <c r="L70" s="98"/>
      <c r="M70" s="98"/>
      <c r="N70" s="99"/>
      <c r="O70" s="19"/>
      <c r="P70" s="19"/>
      <c r="Q70" s="19"/>
      <c r="R70" s="19"/>
      <c r="S70" s="19"/>
    </row>
    <row r="71" spans="1:19" ht="18" customHeight="1">
      <c r="A71" s="89"/>
      <c r="B71" s="97"/>
      <c r="C71" s="98"/>
      <c r="D71" s="98"/>
      <c r="E71" s="24"/>
      <c r="F71" s="24"/>
      <c r="G71" s="25"/>
      <c r="H71" s="24"/>
      <c r="I71" s="24"/>
      <c r="J71" s="97"/>
      <c r="K71" s="98"/>
      <c r="L71" s="98"/>
      <c r="M71" s="98"/>
      <c r="N71" s="99"/>
      <c r="O71" s="19"/>
      <c r="P71" s="19"/>
      <c r="Q71" s="19"/>
      <c r="R71" s="19"/>
      <c r="S71" s="19"/>
    </row>
    <row r="72" spans="1:19" ht="18" customHeight="1">
      <c r="A72" s="89"/>
      <c r="B72" s="97"/>
      <c r="C72" s="98"/>
      <c r="D72" s="98"/>
      <c r="E72" s="24"/>
      <c r="F72" s="24"/>
      <c r="G72" s="25"/>
      <c r="H72" s="24"/>
      <c r="I72" s="24"/>
      <c r="J72" s="97"/>
      <c r="K72" s="98"/>
      <c r="L72" s="98"/>
      <c r="M72" s="98"/>
      <c r="N72" s="99"/>
      <c r="O72" s="19"/>
      <c r="P72" s="19"/>
      <c r="Q72" s="19"/>
      <c r="R72" s="19"/>
      <c r="S72" s="19"/>
    </row>
    <row r="73" spans="1:19" ht="18" customHeight="1">
      <c r="A73" s="89"/>
      <c r="B73" s="97"/>
      <c r="C73" s="98"/>
      <c r="D73" s="98"/>
      <c r="E73" s="24"/>
      <c r="F73" s="24"/>
      <c r="G73" s="25"/>
      <c r="H73" s="24"/>
      <c r="I73" s="24"/>
      <c r="J73" s="97"/>
      <c r="K73" s="98"/>
      <c r="L73" s="98"/>
      <c r="M73" s="98"/>
      <c r="N73" s="99"/>
      <c r="O73" s="19"/>
      <c r="P73" s="19"/>
      <c r="Q73" s="19"/>
      <c r="R73" s="19"/>
      <c r="S73" s="19"/>
    </row>
    <row r="74" spans="1:19" ht="18" customHeight="1">
      <c r="A74" s="89"/>
      <c r="B74" s="97"/>
      <c r="C74" s="98"/>
      <c r="D74" s="98"/>
      <c r="E74" s="19"/>
      <c r="F74" s="19"/>
      <c r="G74" s="19"/>
      <c r="H74" s="19"/>
      <c r="I74" s="19"/>
      <c r="J74" s="97"/>
      <c r="K74" s="98"/>
      <c r="L74" s="98"/>
      <c r="M74" s="98"/>
      <c r="N74" s="99"/>
      <c r="O74" s="19"/>
      <c r="P74" s="19"/>
      <c r="Q74" s="19"/>
      <c r="R74" s="19"/>
      <c r="S74" s="19"/>
    </row>
    <row r="75" spans="1:19" ht="18" customHeight="1">
      <c r="A75" s="89"/>
      <c r="B75" s="100"/>
      <c r="C75" s="101"/>
      <c r="D75" s="101"/>
      <c r="E75" s="20"/>
      <c r="F75" s="20"/>
      <c r="G75" s="21"/>
      <c r="H75" s="21"/>
      <c r="I75" s="21"/>
      <c r="J75" s="100"/>
      <c r="K75" s="101"/>
      <c r="L75" s="101"/>
      <c r="M75" s="101"/>
      <c r="N75" s="102"/>
      <c r="O75" s="20"/>
      <c r="P75" s="20"/>
      <c r="Q75" s="21"/>
      <c r="R75" s="21"/>
      <c r="S75" s="21"/>
    </row>
    <row r="76" spans="1:19" ht="7.5" customHeight="1">
      <c r="B76" s="90"/>
      <c r="C76" s="90"/>
      <c r="D76" s="90"/>
      <c r="E76" s="90"/>
      <c r="F76" s="90"/>
      <c r="G76" s="90"/>
      <c r="H76" s="90"/>
      <c r="I76" s="90"/>
      <c r="J76" s="90"/>
      <c r="K76" s="90"/>
      <c r="L76" s="90"/>
      <c r="M76" s="90"/>
      <c r="N76" s="90"/>
      <c r="O76" s="90"/>
      <c r="P76" s="90"/>
      <c r="Q76" s="90"/>
      <c r="R76" s="90"/>
    </row>
    <row r="77" spans="1:19" ht="18" customHeight="1">
      <c r="A77" s="88" t="s">
        <v>118</v>
      </c>
      <c r="H77" s="89"/>
      <c r="I77" s="89"/>
      <c r="J77" s="89"/>
      <c r="K77" s="89"/>
      <c r="L77" s="89"/>
      <c r="M77" s="89"/>
      <c r="N77" s="89"/>
      <c r="O77" s="89"/>
      <c r="P77" s="89"/>
      <c r="Q77" s="89"/>
      <c r="R77" s="89"/>
      <c r="S77" s="89"/>
    </row>
    <row r="78" spans="1:19" ht="18" customHeight="1">
      <c r="B78" s="103" t="s">
        <v>53</v>
      </c>
      <c r="C78" s="104"/>
      <c r="D78" s="104"/>
      <c r="E78" s="105"/>
      <c r="F78" s="103" t="s">
        <v>82</v>
      </c>
      <c r="G78" s="104"/>
      <c r="H78" s="104"/>
      <c r="I78" s="105"/>
      <c r="J78" s="149" t="s">
        <v>53</v>
      </c>
      <c r="K78" s="150"/>
      <c r="L78" s="150"/>
      <c r="M78" s="150"/>
      <c r="N78" s="150"/>
      <c r="O78" s="151"/>
      <c r="P78" s="103" t="s">
        <v>82</v>
      </c>
      <c r="Q78" s="104"/>
      <c r="R78" s="104"/>
      <c r="S78" s="105"/>
    </row>
    <row r="79" spans="1:19" ht="18" customHeight="1">
      <c r="A79" s="89"/>
      <c r="B79" s="108"/>
      <c r="C79" s="109"/>
      <c r="D79" s="109"/>
      <c r="E79" s="110"/>
      <c r="F79" s="164"/>
      <c r="G79" s="165"/>
      <c r="H79" s="165"/>
      <c r="I79" s="166"/>
      <c r="J79" s="108"/>
      <c r="K79" s="109"/>
      <c r="L79" s="109"/>
      <c r="M79" s="109"/>
      <c r="N79" s="109"/>
      <c r="O79" s="110"/>
      <c r="P79" s="164"/>
      <c r="Q79" s="165"/>
      <c r="R79" s="165"/>
      <c r="S79" s="166"/>
    </row>
    <row r="80" spans="1:19" ht="18" customHeight="1">
      <c r="A80" s="89"/>
      <c r="B80" s="97"/>
      <c r="C80" s="98"/>
      <c r="D80" s="98"/>
      <c r="E80" s="99"/>
      <c r="F80" s="133"/>
      <c r="G80" s="134"/>
      <c r="H80" s="134"/>
      <c r="I80" s="135"/>
      <c r="J80" s="97"/>
      <c r="K80" s="98"/>
      <c r="L80" s="98"/>
      <c r="M80" s="98"/>
      <c r="N80" s="98"/>
      <c r="O80" s="99"/>
      <c r="P80" s="133"/>
      <c r="Q80" s="134"/>
      <c r="R80" s="134"/>
      <c r="S80" s="135"/>
    </row>
    <row r="81" spans="1:20" ht="18" customHeight="1">
      <c r="A81" s="89"/>
      <c r="B81" s="97"/>
      <c r="C81" s="98"/>
      <c r="D81" s="98"/>
      <c r="E81" s="99"/>
      <c r="F81" s="133"/>
      <c r="G81" s="134"/>
      <c r="H81" s="134"/>
      <c r="I81" s="135"/>
      <c r="J81" s="97"/>
      <c r="K81" s="98"/>
      <c r="L81" s="98"/>
      <c r="M81" s="98"/>
      <c r="N81" s="98"/>
      <c r="O81" s="99"/>
      <c r="P81" s="133"/>
      <c r="Q81" s="134"/>
      <c r="R81" s="134"/>
      <c r="S81" s="135"/>
    </row>
    <row r="82" spans="1:20" ht="18" customHeight="1">
      <c r="A82" s="89"/>
      <c r="B82" s="97"/>
      <c r="C82" s="98"/>
      <c r="D82" s="98"/>
      <c r="E82" s="99"/>
      <c r="F82" s="133"/>
      <c r="G82" s="134"/>
      <c r="H82" s="134"/>
      <c r="I82" s="135"/>
      <c r="J82" s="97"/>
      <c r="K82" s="98"/>
      <c r="L82" s="98"/>
      <c r="M82" s="98"/>
      <c r="N82" s="98"/>
      <c r="O82" s="99"/>
      <c r="P82" s="133"/>
      <c r="Q82" s="134"/>
      <c r="R82" s="134"/>
      <c r="S82" s="135"/>
    </row>
    <row r="83" spans="1:20" ht="18" customHeight="1">
      <c r="A83" s="89"/>
      <c r="B83" s="97"/>
      <c r="C83" s="98"/>
      <c r="D83" s="98"/>
      <c r="E83" s="99"/>
      <c r="F83" s="133"/>
      <c r="G83" s="134"/>
      <c r="H83" s="134"/>
      <c r="I83" s="135"/>
      <c r="J83" s="97"/>
      <c r="K83" s="98"/>
      <c r="L83" s="98"/>
      <c r="M83" s="98"/>
      <c r="N83" s="98"/>
      <c r="O83" s="99"/>
      <c r="P83" s="133"/>
      <c r="Q83" s="134"/>
      <c r="R83" s="134"/>
      <c r="S83" s="135"/>
    </row>
    <row r="84" spans="1:20" ht="18" customHeight="1">
      <c r="A84" s="89"/>
      <c r="B84" s="97"/>
      <c r="C84" s="98"/>
      <c r="D84" s="98"/>
      <c r="E84" s="99"/>
      <c r="F84" s="133"/>
      <c r="G84" s="134"/>
      <c r="H84" s="134"/>
      <c r="I84" s="135"/>
      <c r="J84" s="97"/>
      <c r="K84" s="98"/>
      <c r="L84" s="98"/>
      <c r="M84" s="98"/>
      <c r="N84" s="98"/>
      <c r="O84" s="99"/>
      <c r="P84" s="133"/>
      <c r="Q84" s="134"/>
      <c r="R84" s="134"/>
      <c r="S84" s="135"/>
    </row>
    <row r="85" spans="1:20" ht="18" customHeight="1">
      <c r="A85" s="89"/>
      <c r="B85" s="100"/>
      <c r="C85" s="101"/>
      <c r="D85" s="101"/>
      <c r="E85" s="102"/>
      <c r="F85" s="130"/>
      <c r="G85" s="131"/>
      <c r="H85" s="131"/>
      <c r="I85" s="132"/>
      <c r="J85" s="100"/>
      <c r="K85" s="101"/>
      <c r="L85" s="101"/>
      <c r="M85" s="101"/>
      <c r="N85" s="101"/>
      <c r="O85" s="102"/>
      <c r="P85" s="130"/>
      <c r="Q85" s="131"/>
      <c r="R85" s="131"/>
      <c r="S85" s="132"/>
    </row>
    <row r="86" spans="1:20" ht="18" customHeight="1">
      <c r="A86" s="89"/>
      <c r="B86" s="8"/>
      <c r="C86" s="8"/>
      <c r="D86" s="8"/>
      <c r="E86" s="8"/>
      <c r="F86" s="26"/>
      <c r="G86" s="26"/>
      <c r="H86" s="26"/>
      <c r="I86" s="26"/>
      <c r="J86" s="8"/>
      <c r="K86" s="8"/>
      <c r="L86" s="8"/>
      <c r="M86" s="8"/>
      <c r="N86" s="8"/>
      <c r="O86" s="8"/>
      <c r="P86" s="26"/>
      <c r="Q86" s="26"/>
      <c r="R86" s="26"/>
      <c r="S86" s="26"/>
    </row>
    <row r="87" spans="1:20" ht="18.75" customHeight="1">
      <c r="A87" s="88" t="s">
        <v>119</v>
      </c>
    </row>
    <row r="88" spans="1:20" ht="18.75" customHeight="1">
      <c r="B88" s="162" t="s">
        <v>54</v>
      </c>
      <c r="C88" s="163"/>
      <c r="D88" s="104" t="s">
        <v>55</v>
      </c>
      <c r="E88" s="104"/>
      <c r="F88" s="104"/>
      <c r="G88" s="104"/>
      <c r="H88" s="104"/>
      <c r="I88" s="104"/>
      <c r="J88" s="104"/>
      <c r="K88" s="104"/>
      <c r="L88" s="104"/>
      <c r="M88" s="104"/>
      <c r="N88" s="104"/>
      <c r="O88" s="104"/>
      <c r="P88" s="104"/>
      <c r="Q88" s="104"/>
      <c r="R88" s="104"/>
      <c r="S88" s="105"/>
    </row>
    <row r="89" spans="1:20" ht="97.5" customHeight="1">
      <c r="B89" s="152" t="s">
        <v>61</v>
      </c>
      <c r="C89" s="27" t="s">
        <v>56</v>
      </c>
      <c r="D89" s="159" t="s">
        <v>187</v>
      </c>
      <c r="E89" s="160"/>
      <c r="F89" s="160"/>
      <c r="G89" s="160"/>
      <c r="H89" s="160"/>
      <c r="I89" s="160"/>
      <c r="J89" s="160"/>
      <c r="K89" s="160"/>
      <c r="L89" s="160"/>
      <c r="M89" s="160"/>
      <c r="N89" s="160"/>
      <c r="O89" s="160"/>
      <c r="P89" s="160"/>
      <c r="Q89" s="160"/>
      <c r="R89" s="160"/>
      <c r="S89" s="161"/>
      <c r="T89" s="85"/>
    </row>
    <row r="90" spans="1:20" ht="97.5" customHeight="1">
      <c r="B90" s="154"/>
      <c r="C90" s="28" t="s">
        <v>77</v>
      </c>
      <c r="D90" s="136" t="s">
        <v>188</v>
      </c>
      <c r="E90" s="137"/>
      <c r="F90" s="137"/>
      <c r="G90" s="137"/>
      <c r="H90" s="137"/>
      <c r="I90" s="137"/>
      <c r="J90" s="137"/>
      <c r="K90" s="137"/>
      <c r="L90" s="137"/>
      <c r="M90" s="137"/>
      <c r="N90" s="137"/>
      <c r="O90" s="137"/>
      <c r="P90" s="137"/>
      <c r="Q90" s="137"/>
      <c r="R90" s="137"/>
      <c r="S90" s="138"/>
    </row>
    <row r="91" spans="1:20" ht="97.5" customHeight="1">
      <c r="B91" s="152" t="s">
        <v>62</v>
      </c>
      <c r="C91" s="29" t="s">
        <v>71</v>
      </c>
      <c r="D91" s="139" t="s">
        <v>189</v>
      </c>
      <c r="E91" s="140"/>
      <c r="F91" s="140"/>
      <c r="G91" s="140"/>
      <c r="H91" s="140"/>
      <c r="I91" s="140"/>
      <c r="J91" s="140"/>
      <c r="K91" s="140"/>
      <c r="L91" s="140"/>
      <c r="M91" s="140"/>
      <c r="N91" s="140"/>
      <c r="O91" s="140"/>
      <c r="P91" s="140"/>
      <c r="Q91" s="140"/>
      <c r="R91" s="140"/>
      <c r="S91" s="141"/>
    </row>
    <row r="92" spans="1:20" ht="97.5" customHeight="1">
      <c r="B92" s="153"/>
      <c r="C92" s="30" t="s">
        <v>72</v>
      </c>
      <c r="D92" s="145" t="s">
        <v>190</v>
      </c>
      <c r="E92" s="146"/>
      <c r="F92" s="146"/>
      <c r="G92" s="146"/>
      <c r="H92" s="146"/>
      <c r="I92" s="146"/>
      <c r="J92" s="146"/>
      <c r="K92" s="146"/>
      <c r="L92" s="146"/>
      <c r="M92" s="146"/>
      <c r="N92" s="146"/>
      <c r="O92" s="146"/>
      <c r="P92" s="146"/>
      <c r="Q92" s="146"/>
      <c r="R92" s="146"/>
      <c r="S92" s="147"/>
    </row>
    <row r="93" spans="1:20" ht="97.5" customHeight="1">
      <c r="B93" s="152" t="s">
        <v>63</v>
      </c>
      <c r="C93" s="29" t="s">
        <v>73</v>
      </c>
      <c r="D93" s="139" t="s">
        <v>191</v>
      </c>
      <c r="E93" s="140"/>
      <c r="F93" s="140"/>
      <c r="G93" s="140"/>
      <c r="H93" s="140"/>
      <c r="I93" s="140"/>
      <c r="J93" s="140"/>
      <c r="K93" s="140"/>
      <c r="L93" s="140"/>
      <c r="M93" s="140"/>
      <c r="N93" s="140"/>
      <c r="O93" s="140"/>
      <c r="P93" s="140"/>
      <c r="Q93" s="140"/>
      <c r="R93" s="140"/>
      <c r="S93" s="141"/>
    </row>
    <row r="94" spans="1:20" ht="97.5" customHeight="1">
      <c r="B94" s="153"/>
      <c r="C94" s="31" t="s">
        <v>74</v>
      </c>
      <c r="D94" s="142" t="s">
        <v>192</v>
      </c>
      <c r="E94" s="143"/>
      <c r="F94" s="143"/>
      <c r="G94" s="143"/>
      <c r="H94" s="143"/>
      <c r="I94" s="143"/>
      <c r="J94" s="143"/>
      <c r="K94" s="143"/>
      <c r="L94" s="143"/>
      <c r="M94" s="143"/>
      <c r="N94" s="143"/>
      <c r="O94" s="143"/>
      <c r="P94" s="143"/>
      <c r="Q94" s="143"/>
      <c r="R94" s="143"/>
      <c r="S94" s="144"/>
    </row>
    <row r="95" spans="1:20" ht="97.5" customHeight="1">
      <c r="B95" s="152" t="s">
        <v>78</v>
      </c>
      <c r="C95" s="27" t="s">
        <v>58</v>
      </c>
      <c r="D95" s="159" t="s">
        <v>193</v>
      </c>
      <c r="E95" s="160"/>
      <c r="F95" s="160"/>
      <c r="G95" s="160"/>
      <c r="H95" s="160"/>
      <c r="I95" s="160"/>
      <c r="J95" s="160"/>
      <c r="K95" s="160"/>
      <c r="L95" s="160"/>
      <c r="M95" s="160"/>
      <c r="N95" s="160"/>
      <c r="O95" s="160"/>
      <c r="P95" s="160"/>
      <c r="Q95" s="160"/>
      <c r="R95" s="160"/>
      <c r="S95" s="161"/>
    </row>
    <row r="96" spans="1:20" ht="97.5" customHeight="1">
      <c r="B96" s="153"/>
      <c r="C96" s="30" t="s">
        <v>60</v>
      </c>
      <c r="D96" s="145" t="s">
        <v>194</v>
      </c>
      <c r="E96" s="146"/>
      <c r="F96" s="146"/>
      <c r="G96" s="146"/>
      <c r="H96" s="146"/>
      <c r="I96" s="146"/>
      <c r="J96" s="146"/>
      <c r="K96" s="146"/>
      <c r="L96" s="146"/>
      <c r="M96" s="146"/>
      <c r="N96" s="146"/>
      <c r="O96" s="146"/>
      <c r="P96" s="146"/>
      <c r="Q96" s="146"/>
      <c r="R96" s="146"/>
      <c r="S96" s="147"/>
    </row>
    <row r="97" spans="1:19" ht="97.5" customHeight="1">
      <c r="B97" s="152" t="s">
        <v>79</v>
      </c>
      <c r="C97" s="29" t="s">
        <v>57</v>
      </c>
      <c r="D97" s="155" t="s">
        <v>195</v>
      </c>
      <c r="E97" s="109"/>
      <c r="F97" s="109"/>
      <c r="G97" s="109"/>
      <c r="H97" s="109"/>
      <c r="I97" s="109"/>
      <c r="J97" s="109"/>
      <c r="K97" s="109"/>
      <c r="L97" s="109"/>
      <c r="M97" s="109"/>
      <c r="N97" s="109"/>
      <c r="O97" s="109"/>
      <c r="P97" s="109"/>
      <c r="Q97" s="109"/>
      <c r="R97" s="109"/>
      <c r="S97" s="110"/>
    </row>
    <row r="98" spans="1:19" ht="97.5" customHeight="1">
      <c r="B98" s="154"/>
      <c r="C98" s="32" t="s">
        <v>75</v>
      </c>
      <c r="D98" s="148" t="s">
        <v>196</v>
      </c>
      <c r="E98" s="98"/>
      <c r="F98" s="98"/>
      <c r="G98" s="98"/>
      <c r="H98" s="98"/>
      <c r="I98" s="98"/>
      <c r="J98" s="98"/>
      <c r="K98" s="98"/>
      <c r="L98" s="98"/>
      <c r="M98" s="98"/>
      <c r="N98" s="98"/>
      <c r="O98" s="98"/>
      <c r="P98" s="98"/>
      <c r="Q98" s="98"/>
      <c r="R98" s="98"/>
      <c r="S98" s="99"/>
    </row>
    <row r="99" spans="1:19" ht="97.5" customHeight="1">
      <c r="B99" s="153"/>
      <c r="C99" s="31" t="s">
        <v>76</v>
      </c>
      <c r="D99" s="156" t="s">
        <v>197</v>
      </c>
      <c r="E99" s="157"/>
      <c r="F99" s="157"/>
      <c r="G99" s="157"/>
      <c r="H99" s="157"/>
      <c r="I99" s="157"/>
      <c r="J99" s="157"/>
      <c r="K99" s="157"/>
      <c r="L99" s="157"/>
      <c r="M99" s="157"/>
      <c r="N99" s="157"/>
      <c r="O99" s="157"/>
      <c r="P99" s="157"/>
      <c r="Q99" s="157"/>
      <c r="R99" s="157"/>
      <c r="S99" s="158"/>
    </row>
    <row r="100" spans="1:19" ht="6" customHeight="1"/>
    <row r="101" spans="1:19" ht="18.75" customHeight="1">
      <c r="A101" s="88" t="s">
        <v>120</v>
      </c>
    </row>
    <row r="102" spans="1:19" ht="81.75" customHeight="1">
      <c r="B102" s="127" t="s">
        <v>129</v>
      </c>
      <c r="C102" s="128"/>
      <c r="D102" s="128"/>
      <c r="E102" s="128"/>
      <c r="F102" s="128"/>
      <c r="G102" s="128"/>
      <c r="H102" s="128"/>
      <c r="I102" s="128"/>
      <c r="J102" s="128"/>
      <c r="K102" s="128"/>
      <c r="L102" s="128"/>
      <c r="M102" s="128"/>
      <c r="N102" s="128"/>
      <c r="O102" s="128"/>
      <c r="P102" s="128"/>
      <c r="Q102" s="128"/>
      <c r="R102" s="128"/>
      <c r="S102" s="129"/>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6">
    <dataValidation type="list" allowBlank="1" showErrorMessage="1" sqref="F69:F73 H69:I73" xr:uid="{7994D995-5A39-4B53-A667-76421CFC77C5}">
      <formula1>"○"</formula1>
    </dataValidation>
    <dataValidation type="list" allowBlank="1" showInputMessage="1" showErrorMessage="1" sqref="K20:S20" xr:uid="{D9944970-2163-49FD-BA41-5C182B792FFF}">
      <formula1>$V$14:$V$16</formula1>
    </dataValidation>
    <dataValidation type="list" allowBlank="1" showInputMessage="1" showErrorMessage="1" sqref="F79:F86 P79:P86 G79:I80 G83:I86 Q83:S86 Q79:S80" xr:uid="{90551FDA-116C-4FE8-8792-2BD93C87EF4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DBCA552A-81CB-4539-9081-711A6080BFA3}">
      <formula1>"学部・学科によって、修了要件は相違する,学部・学科によって、修了要件は相違しない"</formula1>
    </dataValidation>
    <dataValidation type="list" allowBlank="1" showInputMessage="1" showErrorMessage="1" sqref="S32 S43 D32:G32 D43:G43" xr:uid="{E620B13D-5420-46BD-A59D-2A13E2069C8D}">
      <formula1>"全学開講,一部開講"</formula1>
    </dataValidation>
    <dataValidation type="list" allowBlank="1" showInputMessage="1" showErrorMessage="1" sqref="G25:I31 Q25:S31 P69:S75 Q36:S42 G36:I42 Q47:S53 G47:I53 Q58:S64 G58:I64 F74:I75" xr:uid="{00B83905-5346-4C80-BDDF-207565BC6DF5}">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5F6B1-D2F3-4D85-8581-D1E8517B9E2D}">
  <sheetPr>
    <tabColor rgb="FFFF0000"/>
    <pageSetUpPr fitToPage="1"/>
  </sheetPr>
  <dimension ref="A1:V110"/>
  <sheetViews>
    <sheetView showZeros="0" view="pageBreakPreview" zoomScaleNormal="100" zoomScaleSheetLayoutView="100" workbookViewId="0">
      <selection activeCell="Z20" sqref="Z20"/>
    </sheetView>
  </sheetViews>
  <sheetFormatPr defaultColWidth="9" defaultRowHeight="18.75" customHeight="1"/>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c r="R1" s="107" t="s">
        <v>183</v>
      </c>
      <c r="S1" s="107"/>
      <c r="T1" s="66" t="s">
        <v>109</v>
      </c>
    </row>
    <row r="2" spans="1:22" ht="18.75" customHeight="1">
      <c r="B2" s="87" t="s">
        <v>108</v>
      </c>
      <c r="C2" s="103" t="s">
        <v>125</v>
      </c>
      <c r="D2" s="104"/>
      <c r="E2" s="104"/>
      <c r="F2" s="104"/>
      <c r="G2" s="104"/>
      <c r="H2" s="104"/>
      <c r="I2" s="105"/>
      <c r="J2" s="86"/>
      <c r="K2" s="8"/>
      <c r="L2" s="8"/>
      <c r="M2" s="8"/>
      <c r="N2" s="8"/>
      <c r="O2" s="8"/>
      <c r="P2" s="8"/>
      <c r="Q2" s="8"/>
      <c r="R2" s="8"/>
      <c r="S2" s="8"/>
    </row>
    <row r="3" spans="1:22" ht="18.75" customHeight="1">
      <c r="B3" s="87" t="s">
        <v>102</v>
      </c>
      <c r="C3" s="103" t="s">
        <v>126</v>
      </c>
      <c r="D3" s="104"/>
      <c r="E3" s="104"/>
      <c r="F3" s="104"/>
      <c r="G3" s="104"/>
      <c r="H3" s="104"/>
      <c r="I3" s="105"/>
      <c r="J3" s="86"/>
      <c r="K3" s="8"/>
      <c r="L3" s="8"/>
      <c r="M3" s="8"/>
      <c r="N3" s="8"/>
      <c r="O3" s="8"/>
      <c r="P3" s="8"/>
      <c r="Q3" s="8"/>
      <c r="R3" s="8"/>
      <c r="S3" s="8"/>
    </row>
    <row r="4" spans="1:22" ht="15" customHeight="1">
      <c r="K4" s="86"/>
      <c r="L4" s="9"/>
      <c r="M4" s="9"/>
      <c r="N4" s="9"/>
      <c r="O4" s="9"/>
      <c r="P4" s="9"/>
      <c r="Q4" s="9"/>
      <c r="R4" s="9"/>
      <c r="S4" s="9"/>
    </row>
    <row r="5" spans="1:22" ht="18" customHeight="1">
      <c r="A5" s="114" t="s">
        <v>38</v>
      </c>
      <c r="B5" s="114"/>
      <c r="C5" s="114"/>
      <c r="D5" s="114"/>
      <c r="E5" s="114"/>
      <c r="F5" s="114"/>
      <c r="G5" s="114"/>
      <c r="H5" s="114"/>
      <c r="I5" s="114"/>
      <c r="J5" s="114"/>
      <c r="K5" s="114"/>
      <c r="L5" s="114"/>
      <c r="M5" s="114"/>
      <c r="N5" s="114"/>
      <c r="O5" s="114"/>
      <c r="P5" s="114"/>
      <c r="Q5" s="114"/>
      <c r="R5" s="114"/>
      <c r="S5" s="114"/>
    </row>
    <row r="6" spans="1:22" ht="15" customHeight="1">
      <c r="B6" s="89"/>
      <c r="C6" s="89"/>
      <c r="D6" s="89"/>
      <c r="E6" s="89"/>
      <c r="F6" s="89"/>
      <c r="G6" s="89"/>
      <c r="H6" s="89"/>
      <c r="I6" s="89"/>
      <c r="J6" s="89"/>
      <c r="K6" s="89"/>
      <c r="L6" s="89"/>
      <c r="M6" s="89"/>
      <c r="N6" s="89"/>
      <c r="O6" s="89"/>
      <c r="P6" s="89"/>
      <c r="Q6" s="89"/>
      <c r="R6" s="89"/>
      <c r="S6" s="89"/>
    </row>
    <row r="7" spans="1:22" ht="18" customHeight="1">
      <c r="A7" s="88" t="s">
        <v>123</v>
      </c>
      <c r="C7" s="89"/>
      <c r="J7" s="11" t="s">
        <v>107</v>
      </c>
      <c r="K7" s="124" t="s">
        <v>127</v>
      </c>
      <c r="L7" s="125"/>
      <c r="M7" s="125"/>
      <c r="N7" s="125"/>
      <c r="O7" s="125"/>
      <c r="P7" s="125"/>
      <c r="Q7" s="125"/>
      <c r="R7" s="125"/>
      <c r="S7" s="126"/>
    </row>
    <row r="8" spans="1:22" ht="6" customHeight="1">
      <c r="B8" s="89"/>
      <c r="C8" s="89"/>
      <c r="D8" s="89"/>
      <c r="E8" s="89"/>
      <c r="F8" s="89"/>
      <c r="G8" s="89"/>
      <c r="H8" s="89"/>
      <c r="I8" s="89"/>
      <c r="J8" s="89"/>
      <c r="K8" s="12"/>
      <c r="L8" s="89"/>
      <c r="M8" s="89"/>
      <c r="N8" s="89"/>
      <c r="O8" s="89"/>
      <c r="P8" s="89"/>
      <c r="Q8" s="89"/>
      <c r="R8" s="89"/>
      <c r="S8" s="89"/>
    </row>
    <row r="9" spans="1:22" ht="18" customHeight="1">
      <c r="B9" s="91" t="s">
        <v>184</v>
      </c>
      <c r="C9" s="92"/>
      <c r="D9" s="92"/>
      <c r="E9" s="92"/>
      <c r="F9" s="92"/>
      <c r="G9" s="92"/>
      <c r="H9" s="92"/>
      <c r="I9" s="92"/>
      <c r="J9" s="92"/>
      <c r="K9" s="92"/>
      <c r="L9" s="92"/>
      <c r="M9" s="92"/>
      <c r="N9" s="92"/>
      <c r="O9" s="92"/>
      <c r="P9" s="92"/>
      <c r="Q9" s="92"/>
      <c r="R9" s="92"/>
      <c r="S9" s="93"/>
    </row>
    <row r="10" spans="1:22" ht="18" customHeight="1">
      <c r="B10" s="94"/>
      <c r="C10" s="95"/>
      <c r="D10" s="95"/>
      <c r="E10" s="95"/>
      <c r="F10" s="95"/>
      <c r="G10" s="95"/>
      <c r="H10" s="95"/>
      <c r="I10" s="95"/>
      <c r="J10" s="95"/>
      <c r="K10" s="95"/>
      <c r="L10" s="95"/>
      <c r="M10" s="95"/>
      <c r="N10" s="95"/>
      <c r="O10" s="95"/>
      <c r="P10" s="95"/>
      <c r="Q10" s="95"/>
      <c r="R10" s="95"/>
      <c r="S10" s="96"/>
    </row>
    <row r="11" spans="1:22" ht="6" customHeight="1">
      <c r="B11" s="89"/>
      <c r="C11" s="89"/>
      <c r="D11" s="89"/>
      <c r="E11" s="89"/>
      <c r="F11" s="89"/>
      <c r="G11" s="89"/>
      <c r="H11" s="89"/>
      <c r="I11" s="89"/>
      <c r="J11" s="89"/>
      <c r="K11" s="12"/>
      <c r="L11" s="89"/>
      <c r="M11" s="89"/>
      <c r="N11" s="89"/>
      <c r="O11" s="89"/>
      <c r="P11" s="89"/>
      <c r="Q11" s="89"/>
      <c r="R11" s="89"/>
      <c r="S11" s="89"/>
    </row>
    <row r="12" spans="1:22" ht="18" customHeight="1">
      <c r="A12" s="88" t="s">
        <v>111</v>
      </c>
      <c r="B12" s="89"/>
      <c r="C12" s="89"/>
      <c r="D12" s="86"/>
      <c r="E12" s="86"/>
      <c r="F12" s="86"/>
      <c r="G12" s="86"/>
      <c r="H12" s="86"/>
      <c r="I12" s="86"/>
      <c r="J12" s="86"/>
      <c r="K12" s="13"/>
      <c r="L12" s="13"/>
      <c r="M12" s="13"/>
      <c r="N12" s="13"/>
      <c r="O12" s="13"/>
      <c r="P12" s="13"/>
      <c r="Q12" s="13"/>
      <c r="R12" s="13"/>
      <c r="S12" s="13"/>
    </row>
    <row r="13" spans="1:22" ht="18" customHeight="1">
      <c r="B13" s="115" t="s">
        <v>185</v>
      </c>
      <c r="C13" s="116"/>
      <c r="D13" s="116"/>
      <c r="E13" s="116"/>
      <c r="F13" s="116"/>
      <c r="G13" s="116"/>
      <c r="H13" s="116"/>
      <c r="I13" s="116"/>
      <c r="J13" s="116"/>
      <c r="K13" s="116"/>
      <c r="L13" s="116"/>
      <c r="M13" s="116"/>
      <c r="N13" s="116"/>
      <c r="O13" s="116"/>
      <c r="P13" s="116"/>
      <c r="Q13" s="116"/>
      <c r="R13" s="116"/>
      <c r="S13" s="117"/>
      <c r="V13" s="88" t="s">
        <v>103</v>
      </c>
    </row>
    <row r="14" spans="1:22" ht="18" customHeight="1">
      <c r="B14" s="118"/>
      <c r="C14" s="119"/>
      <c r="D14" s="119"/>
      <c r="E14" s="119"/>
      <c r="F14" s="119"/>
      <c r="G14" s="119"/>
      <c r="H14" s="119"/>
      <c r="I14" s="119"/>
      <c r="J14" s="119"/>
      <c r="K14" s="119"/>
      <c r="L14" s="119"/>
      <c r="M14" s="119"/>
      <c r="N14" s="119"/>
      <c r="O14" s="119"/>
      <c r="P14" s="119"/>
      <c r="Q14" s="119"/>
      <c r="R14" s="119"/>
      <c r="S14" s="120"/>
      <c r="V14" s="88" t="s">
        <v>110</v>
      </c>
    </row>
    <row r="15" spans="1:22" ht="18" customHeight="1">
      <c r="B15" s="118"/>
      <c r="C15" s="119"/>
      <c r="D15" s="119"/>
      <c r="E15" s="119"/>
      <c r="F15" s="119"/>
      <c r="G15" s="119"/>
      <c r="H15" s="119"/>
      <c r="I15" s="119"/>
      <c r="J15" s="119"/>
      <c r="K15" s="119"/>
      <c r="L15" s="119"/>
      <c r="M15" s="119"/>
      <c r="N15" s="119"/>
      <c r="O15" s="119"/>
      <c r="P15" s="119"/>
      <c r="Q15" s="119"/>
      <c r="R15" s="119"/>
      <c r="S15" s="120"/>
      <c r="V15" s="88" t="s">
        <v>122</v>
      </c>
    </row>
    <row r="16" spans="1:22" ht="18" customHeight="1">
      <c r="B16" s="118"/>
      <c r="C16" s="119"/>
      <c r="D16" s="119"/>
      <c r="E16" s="119"/>
      <c r="F16" s="119"/>
      <c r="G16" s="119"/>
      <c r="H16" s="119"/>
      <c r="I16" s="119"/>
      <c r="J16" s="119"/>
      <c r="K16" s="119"/>
      <c r="L16" s="119"/>
      <c r="M16" s="119"/>
      <c r="N16" s="119"/>
      <c r="O16" s="119"/>
      <c r="P16" s="119"/>
      <c r="Q16" s="119"/>
      <c r="R16" s="119"/>
      <c r="S16" s="120"/>
      <c r="V16" s="88" t="s">
        <v>124</v>
      </c>
    </row>
    <row r="17" spans="1:19" ht="18" customHeight="1">
      <c r="B17" s="118"/>
      <c r="C17" s="119"/>
      <c r="D17" s="119"/>
      <c r="E17" s="119"/>
      <c r="F17" s="119"/>
      <c r="G17" s="119"/>
      <c r="H17" s="119"/>
      <c r="I17" s="119"/>
      <c r="J17" s="119"/>
      <c r="K17" s="119"/>
      <c r="L17" s="119"/>
      <c r="M17" s="119"/>
      <c r="N17" s="119"/>
      <c r="O17" s="119"/>
      <c r="P17" s="119"/>
      <c r="Q17" s="119"/>
      <c r="R17" s="119"/>
      <c r="S17" s="120"/>
    </row>
    <row r="18" spans="1:19" ht="18" customHeight="1">
      <c r="B18" s="121"/>
      <c r="C18" s="122"/>
      <c r="D18" s="122"/>
      <c r="E18" s="122"/>
      <c r="F18" s="122"/>
      <c r="G18" s="122"/>
      <c r="H18" s="122"/>
      <c r="I18" s="122"/>
      <c r="J18" s="122"/>
      <c r="K18" s="122"/>
      <c r="L18" s="122"/>
      <c r="M18" s="122"/>
      <c r="N18" s="122"/>
      <c r="O18" s="122"/>
      <c r="P18" s="122"/>
      <c r="Q18" s="122"/>
      <c r="R18" s="122"/>
      <c r="S18" s="123"/>
    </row>
    <row r="19" spans="1:19" ht="7.5" customHeight="1">
      <c r="B19" s="89"/>
      <c r="C19" s="89"/>
      <c r="D19" s="89"/>
      <c r="E19" s="89"/>
      <c r="F19" s="89"/>
      <c r="G19" s="89"/>
      <c r="H19" s="89"/>
      <c r="I19" s="89"/>
      <c r="J19" s="89"/>
      <c r="K19" s="89"/>
      <c r="L19" s="89"/>
      <c r="M19" s="89"/>
      <c r="N19" s="89"/>
      <c r="O19" s="89"/>
      <c r="P19" s="89"/>
      <c r="Q19" s="89"/>
      <c r="R19" s="89"/>
      <c r="S19" s="89"/>
    </row>
    <row r="20" spans="1:19" ht="19.899999999999999" customHeight="1">
      <c r="B20" s="88" t="s">
        <v>112</v>
      </c>
      <c r="C20" s="103">
        <v>1</v>
      </c>
      <c r="D20" s="105"/>
      <c r="E20" s="14" t="s">
        <v>95</v>
      </c>
      <c r="G20" s="12"/>
      <c r="H20" s="89"/>
      <c r="I20" s="89"/>
      <c r="J20" s="86" t="s">
        <v>121</v>
      </c>
      <c r="K20" s="111" t="s">
        <v>110</v>
      </c>
      <c r="L20" s="112"/>
      <c r="M20" s="112"/>
      <c r="N20" s="112"/>
      <c r="O20" s="112"/>
      <c r="P20" s="112"/>
      <c r="Q20" s="112"/>
      <c r="R20" s="112"/>
      <c r="S20" s="113"/>
    </row>
    <row r="21" spans="1:19" ht="7.5" customHeight="1">
      <c r="B21" s="89"/>
      <c r="C21" s="89"/>
      <c r="D21" s="89"/>
      <c r="E21" s="89"/>
      <c r="F21" s="89"/>
      <c r="G21" s="89"/>
      <c r="H21" s="89"/>
      <c r="I21" s="89"/>
      <c r="J21" s="89"/>
      <c r="K21" s="89"/>
      <c r="L21" s="89"/>
      <c r="M21" s="89"/>
      <c r="N21" s="89"/>
      <c r="O21" s="89"/>
      <c r="P21" s="89"/>
      <c r="Q21" s="89"/>
      <c r="R21" s="89"/>
      <c r="S21" s="89"/>
    </row>
    <row r="22" spans="1:19" ht="18" customHeight="1">
      <c r="A22" s="106" t="s">
        <v>113</v>
      </c>
      <c r="B22" s="106"/>
      <c r="C22" s="106"/>
      <c r="D22" s="106"/>
      <c r="E22" s="106"/>
      <c r="F22" s="106"/>
      <c r="G22" s="106"/>
      <c r="H22" s="106"/>
      <c r="I22" s="106"/>
      <c r="J22" s="106"/>
      <c r="K22" s="106"/>
      <c r="L22" s="106"/>
      <c r="M22" s="106"/>
      <c r="N22" s="106"/>
      <c r="O22" s="106"/>
      <c r="P22" s="106"/>
      <c r="Q22" s="106"/>
      <c r="R22" s="106"/>
      <c r="S22" s="106"/>
    </row>
    <row r="23" spans="1:19" ht="18" customHeight="1">
      <c r="A23" s="106"/>
      <c r="B23" s="106"/>
      <c r="C23" s="106"/>
      <c r="D23" s="106"/>
      <c r="E23" s="106"/>
      <c r="F23" s="106"/>
      <c r="G23" s="106"/>
      <c r="H23" s="106"/>
      <c r="I23" s="106"/>
      <c r="J23" s="106"/>
      <c r="K23" s="106"/>
      <c r="L23" s="106"/>
      <c r="M23" s="106"/>
      <c r="N23" s="106"/>
      <c r="O23" s="106"/>
      <c r="P23" s="106"/>
      <c r="Q23" s="106"/>
      <c r="R23" s="106"/>
      <c r="S23" s="106"/>
    </row>
    <row r="24" spans="1:19" ht="18" customHeight="1">
      <c r="B24" s="103" t="s">
        <v>53</v>
      </c>
      <c r="C24" s="104"/>
      <c r="D24" s="104"/>
      <c r="E24" s="105"/>
      <c r="F24" s="15" t="s">
        <v>80</v>
      </c>
      <c r="G24" s="16" t="s">
        <v>84</v>
      </c>
      <c r="H24" s="17" t="s">
        <v>56</v>
      </c>
      <c r="I24" s="17" t="s">
        <v>59</v>
      </c>
      <c r="J24" s="103" t="s">
        <v>53</v>
      </c>
      <c r="K24" s="104"/>
      <c r="L24" s="104"/>
      <c r="M24" s="104"/>
      <c r="N24" s="104"/>
      <c r="O24" s="105"/>
      <c r="P24" s="15" t="s">
        <v>80</v>
      </c>
      <c r="Q24" s="16" t="s">
        <v>84</v>
      </c>
      <c r="R24" s="17" t="s">
        <v>56</v>
      </c>
      <c r="S24" s="17" t="s">
        <v>59</v>
      </c>
    </row>
    <row r="25" spans="1:19" ht="18" customHeight="1">
      <c r="B25" s="97" t="s">
        <v>186</v>
      </c>
      <c r="C25" s="98"/>
      <c r="D25" s="98"/>
      <c r="E25" s="99"/>
      <c r="F25" s="18">
        <v>1</v>
      </c>
      <c r="G25" s="18" t="s">
        <v>128</v>
      </c>
      <c r="H25" s="18" t="s">
        <v>128</v>
      </c>
      <c r="I25" s="18" t="s">
        <v>128</v>
      </c>
      <c r="J25" s="108"/>
      <c r="K25" s="109"/>
      <c r="L25" s="109"/>
      <c r="M25" s="109"/>
      <c r="N25" s="109"/>
      <c r="O25" s="110"/>
      <c r="P25" s="18"/>
      <c r="Q25" s="18"/>
      <c r="R25" s="18"/>
      <c r="S25" s="18"/>
    </row>
    <row r="26" spans="1:19" ht="18" customHeight="1">
      <c r="B26" s="97"/>
      <c r="C26" s="98"/>
      <c r="D26" s="98"/>
      <c r="E26" s="99"/>
      <c r="F26" s="19"/>
      <c r="G26" s="19"/>
      <c r="H26" s="19"/>
      <c r="I26" s="19"/>
      <c r="J26" s="97"/>
      <c r="K26" s="98"/>
      <c r="L26" s="98"/>
      <c r="M26" s="98"/>
      <c r="N26" s="98"/>
      <c r="O26" s="99"/>
      <c r="P26" s="19"/>
      <c r="Q26" s="19"/>
      <c r="R26" s="19"/>
      <c r="S26" s="19"/>
    </row>
    <row r="27" spans="1:19" ht="18" customHeight="1">
      <c r="B27" s="97"/>
      <c r="C27" s="98"/>
      <c r="D27" s="98"/>
      <c r="E27" s="99"/>
      <c r="F27" s="19"/>
      <c r="G27" s="19"/>
      <c r="H27" s="19"/>
      <c r="I27" s="19"/>
      <c r="J27" s="97"/>
      <c r="K27" s="98"/>
      <c r="L27" s="98"/>
      <c r="M27" s="98"/>
      <c r="N27" s="98"/>
      <c r="O27" s="99"/>
      <c r="P27" s="19"/>
      <c r="Q27" s="19"/>
      <c r="R27" s="19"/>
      <c r="S27" s="19"/>
    </row>
    <row r="28" spans="1:19" ht="18" customHeight="1">
      <c r="B28" s="97"/>
      <c r="C28" s="98"/>
      <c r="D28" s="98"/>
      <c r="E28" s="99"/>
      <c r="F28" s="19"/>
      <c r="G28" s="19"/>
      <c r="H28" s="19"/>
      <c r="I28" s="19"/>
      <c r="J28" s="97"/>
      <c r="K28" s="98"/>
      <c r="L28" s="98"/>
      <c r="M28" s="98"/>
      <c r="N28" s="98"/>
      <c r="O28" s="99"/>
      <c r="P28" s="19"/>
      <c r="Q28" s="19"/>
      <c r="R28" s="19"/>
      <c r="S28" s="19"/>
    </row>
    <row r="29" spans="1:19" ht="18" customHeight="1">
      <c r="B29" s="97"/>
      <c r="C29" s="98"/>
      <c r="D29" s="98"/>
      <c r="E29" s="99"/>
      <c r="F29" s="19"/>
      <c r="G29" s="19"/>
      <c r="H29" s="19"/>
      <c r="I29" s="19"/>
      <c r="J29" s="97"/>
      <c r="K29" s="98"/>
      <c r="L29" s="98"/>
      <c r="M29" s="98"/>
      <c r="N29" s="98"/>
      <c r="O29" s="99"/>
      <c r="P29" s="19"/>
      <c r="Q29" s="19"/>
      <c r="R29" s="19"/>
      <c r="S29" s="19"/>
    </row>
    <row r="30" spans="1:19" ht="18" customHeight="1">
      <c r="A30" s="89"/>
      <c r="B30" s="97"/>
      <c r="C30" s="98"/>
      <c r="D30" s="98"/>
      <c r="E30" s="99"/>
      <c r="F30" s="19"/>
      <c r="G30" s="19"/>
      <c r="H30" s="19"/>
      <c r="I30" s="19"/>
      <c r="J30" s="97"/>
      <c r="K30" s="98"/>
      <c r="L30" s="98"/>
      <c r="M30" s="98"/>
      <c r="N30" s="98"/>
      <c r="O30" s="99"/>
      <c r="P30" s="19"/>
      <c r="Q30" s="19"/>
      <c r="R30" s="19"/>
      <c r="S30" s="19"/>
    </row>
    <row r="31" spans="1:19" ht="18" customHeight="1">
      <c r="A31" s="89"/>
      <c r="B31" s="100"/>
      <c r="C31" s="101"/>
      <c r="D31" s="101"/>
      <c r="E31" s="102"/>
      <c r="F31" s="20"/>
      <c r="G31" s="20"/>
      <c r="H31" s="21"/>
      <c r="I31" s="21"/>
      <c r="J31" s="100"/>
      <c r="K31" s="101"/>
      <c r="L31" s="101"/>
      <c r="M31" s="101"/>
      <c r="N31" s="101"/>
      <c r="O31" s="102"/>
      <c r="P31" s="20"/>
      <c r="Q31" s="20"/>
      <c r="R31" s="21"/>
      <c r="S31" s="21"/>
    </row>
    <row r="32" spans="1:19" ht="7.5" customHeight="1">
      <c r="A32" s="89"/>
      <c r="B32" s="8"/>
      <c r="C32" s="8"/>
      <c r="D32" s="89"/>
      <c r="E32" s="89"/>
      <c r="F32" s="89"/>
      <c r="G32" s="89"/>
      <c r="H32" s="8"/>
      <c r="I32" s="8"/>
      <c r="J32" s="8"/>
      <c r="K32" s="8"/>
      <c r="L32" s="8"/>
      <c r="M32" s="8"/>
      <c r="N32" s="8"/>
      <c r="O32" s="8"/>
      <c r="P32" s="8"/>
      <c r="Q32" s="8"/>
      <c r="R32" s="8"/>
      <c r="S32" s="89"/>
    </row>
    <row r="33" spans="1:19" ht="18" customHeight="1">
      <c r="A33" s="106" t="s">
        <v>114</v>
      </c>
      <c r="B33" s="106"/>
      <c r="C33" s="106"/>
      <c r="D33" s="106"/>
      <c r="E33" s="106"/>
      <c r="F33" s="106"/>
      <c r="G33" s="106"/>
      <c r="H33" s="106"/>
      <c r="I33" s="106"/>
      <c r="J33" s="106"/>
      <c r="K33" s="106"/>
      <c r="L33" s="106"/>
      <c r="M33" s="106"/>
      <c r="N33" s="106"/>
      <c r="O33" s="106"/>
      <c r="P33" s="106"/>
      <c r="Q33" s="106"/>
      <c r="R33" s="106"/>
      <c r="S33" s="106"/>
    </row>
    <row r="34" spans="1:19" ht="18" customHeight="1">
      <c r="A34" s="106"/>
      <c r="B34" s="106"/>
      <c r="C34" s="106"/>
      <c r="D34" s="106"/>
      <c r="E34" s="106"/>
      <c r="F34" s="106"/>
      <c r="G34" s="106"/>
      <c r="H34" s="106"/>
      <c r="I34" s="106"/>
      <c r="J34" s="106"/>
      <c r="K34" s="106"/>
      <c r="L34" s="106"/>
      <c r="M34" s="106"/>
      <c r="N34" s="106"/>
      <c r="O34" s="106"/>
      <c r="P34" s="106"/>
      <c r="Q34" s="106"/>
      <c r="R34" s="106"/>
      <c r="S34" s="106"/>
    </row>
    <row r="35" spans="1:19" ht="18" customHeight="1">
      <c r="B35" s="103" t="s">
        <v>53</v>
      </c>
      <c r="C35" s="104"/>
      <c r="D35" s="104"/>
      <c r="E35" s="105"/>
      <c r="F35" s="15" t="s">
        <v>80</v>
      </c>
      <c r="G35" s="16" t="s">
        <v>84</v>
      </c>
      <c r="H35" s="17" t="s">
        <v>71</v>
      </c>
      <c r="I35" s="17" t="s">
        <v>72</v>
      </c>
      <c r="J35" s="103" t="s">
        <v>53</v>
      </c>
      <c r="K35" s="104"/>
      <c r="L35" s="104"/>
      <c r="M35" s="104"/>
      <c r="N35" s="104"/>
      <c r="O35" s="105"/>
      <c r="P35" s="15" t="s">
        <v>80</v>
      </c>
      <c r="Q35" s="16" t="s">
        <v>84</v>
      </c>
      <c r="R35" s="17" t="s">
        <v>71</v>
      </c>
      <c r="S35" s="17" t="s">
        <v>72</v>
      </c>
    </row>
    <row r="36" spans="1:19" ht="18" customHeight="1">
      <c r="B36" s="97" t="s">
        <v>186</v>
      </c>
      <c r="C36" s="98"/>
      <c r="D36" s="98"/>
      <c r="E36" s="99"/>
      <c r="F36" s="18">
        <v>1</v>
      </c>
      <c r="G36" s="18" t="s">
        <v>128</v>
      </c>
      <c r="H36" s="18" t="s">
        <v>128</v>
      </c>
      <c r="I36" s="18" t="s">
        <v>128</v>
      </c>
      <c r="J36" s="108"/>
      <c r="K36" s="109"/>
      <c r="L36" s="109"/>
      <c r="M36" s="109"/>
      <c r="N36" s="109"/>
      <c r="O36" s="110"/>
      <c r="P36" s="18"/>
      <c r="Q36" s="18"/>
      <c r="R36" s="18"/>
      <c r="S36" s="18"/>
    </row>
    <row r="37" spans="1:19" ht="18" customHeight="1">
      <c r="B37" s="97"/>
      <c r="C37" s="98"/>
      <c r="D37" s="98"/>
      <c r="E37" s="99"/>
      <c r="F37" s="19"/>
      <c r="G37" s="19"/>
      <c r="H37" s="19"/>
      <c r="I37" s="19"/>
      <c r="J37" s="97"/>
      <c r="K37" s="98"/>
      <c r="L37" s="98"/>
      <c r="M37" s="98"/>
      <c r="N37" s="98"/>
      <c r="O37" s="99"/>
      <c r="P37" s="19"/>
      <c r="Q37" s="19"/>
      <c r="R37" s="19"/>
      <c r="S37" s="19"/>
    </row>
    <row r="38" spans="1:19" ht="18" customHeight="1">
      <c r="B38" s="97"/>
      <c r="C38" s="98"/>
      <c r="D38" s="98"/>
      <c r="E38" s="99"/>
      <c r="F38" s="19"/>
      <c r="G38" s="19"/>
      <c r="H38" s="19"/>
      <c r="I38" s="19"/>
      <c r="J38" s="97"/>
      <c r="K38" s="98"/>
      <c r="L38" s="98"/>
      <c r="M38" s="98"/>
      <c r="N38" s="98"/>
      <c r="O38" s="99"/>
      <c r="P38" s="19"/>
      <c r="Q38" s="19"/>
      <c r="R38" s="19"/>
      <c r="S38" s="19"/>
    </row>
    <row r="39" spans="1:19" ht="18" customHeight="1">
      <c r="B39" s="97"/>
      <c r="C39" s="98"/>
      <c r="D39" s="98"/>
      <c r="E39" s="99"/>
      <c r="F39" s="19"/>
      <c r="G39" s="19"/>
      <c r="H39" s="19"/>
      <c r="I39" s="19"/>
      <c r="J39" s="97"/>
      <c r="K39" s="98"/>
      <c r="L39" s="98"/>
      <c r="M39" s="98"/>
      <c r="N39" s="98"/>
      <c r="O39" s="99"/>
      <c r="P39" s="19"/>
      <c r="Q39" s="19"/>
      <c r="R39" s="19"/>
      <c r="S39" s="19"/>
    </row>
    <row r="40" spans="1:19" ht="18" customHeight="1">
      <c r="B40" s="97"/>
      <c r="C40" s="98"/>
      <c r="D40" s="98"/>
      <c r="E40" s="99"/>
      <c r="F40" s="19"/>
      <c r="G40" s="19"/>
      <c r="H40" s="19"/>
      <c r="I40" s="19"/>
      <c r="J40" s="97"/>
      <c r="K40" s="98"/>
      <c r="L40" s="98"/>
      <c r="M40" s="98"/>
      <c r="N40" s="98"/>
      <c r="O40" s="99"/>
      <c r="P40" s="19"/>
      <c r="Q40" s="19"/>
      <c r="R40" s="19"/>
      <c r="S40" s="19"/>
    </row>
    <row r="41" spans="1:19" ht="18" customHeight="1">
      <c r="B41" s="97"/>
      <c r="C41" s="98"/>
      <c r="D41" s="98"/>
      <c r="E41" s="99"/>
      <c r="F41" s="19"/>
      <c r="G41" s="19"/>
      <c r="H41" s="19"/>
      <c r="I41" s="19"/>
      <c r="J41" s="97"/>
      <c r="K41" s="98"/>
      <c r="L41" s="98"/>
      <c r="M41" s="98"/>
      <c r="N41" s="98"/>
      <c r="O41" s="99"/>
      <c r="P41" s="19"/>
      <c r="Q41" s="19"/>
      <c r="R41" s="19"/>
      <c r="S41" s="19"/>
    </row>
    <row r="42" spans="1:19" ht="18" customHeight="1">
      <c r="B42" s="100"/>
      <c r="C42" s="101"/>
      <c r="D42" s="101"/>
      <c r="E42" s="102"/>
      <c r="F42" s="20"/>
      <c r="G42" s="20"/>
      <c r="H42" s="21"/>
      <c r="I42" s="21"/>
      <c r="J42" s="100"/>
      <c r="K42" s="101"/>
      <c r="L42" s="101"/>
      <c r="M42" s="101"/>
      <c r="N42" s="101"/>
      <c r="O42" s="102"/>
      <c r="P42" s="20"/>
      <c r="Q42" s="20"/>
      <c r="R42" s="21"/>
      <c r="S42" s="21"/>
    </row>
    <row r="43" spans="1:19" ht="7.5" customHeight="1">
      <c r="A43" s="89"/>
      <c r="B43" s="8"/>
      <c r="C43" s="8"/>
      <c r="D43" s="89"/>
      <c r="E43" s="89"/>
      <c r="F43" s="89"/>
      <c r="G43" s="89"/>
      <c r="H43" s="8"/>
      <c r="I43" s="8"/>
      <c r="J43" s="8"/>
      <c r="K43" s="8"/>
      <c r="L43" s="8"/>
      <c r="M43" s="8"/>
      <c r="N43" s="8"/>
      <c r="O43" s="8"/>
      <c r="P43" s="8"/>
      <c r="Q43" s="8"/>
      <c r="R43" s="8"/>
      <c r="S43" s="89"/>
    </row>
    <row r="44" spans="1:19" ht="18" customHeight="1">
      <c r="A44" s="106" t="s">
        <v>115</v>
      </c>
      <c r="B44" s="106"/>
      <c r="C44" s="106"/>
      <c r="D44" s="106"/>
      <c r="E44" s="106"/>
      <c r="F44" s="106"/>
      <c r="G44" s="106"/>
      <c r="H44" s="106"/>
      <c r="I44" s="106"/>
      <c r="J44" s="106"/>
      <c r="K44" s="106"/>
      <c r="L44" s="106"/>
      <c r="M44" s="106"/>
      <c r="N44" s="106"/>
      <c r="O44" s="106"/>
      <c r="P44" s="106"/>
      <c r="Q44" s="106"/>
      <c r="R44" s="106"/>
      <c r="S44" s="106"/>
    </row>
    <row r="45" spans="1:19" ht="18" customHeight="1">
      <c r="A45" s="106"/>
      <c r="B45" s="106"/>
      <c r="C45" s="106"/>
      <c r="D45" s="106"/>
      <c r="E45" s="106"/>
      <c r="F45" s="106"/>
      <c r="G45" s="106"/>
      <c r="H45" s="106"/>
      <c r="I45" s="106"/>
      <c r="J45" s="106"/>
      <c r="K45" s="106"/>
      <c r="L45" s="106"/>
      <c r="M45" s="106"/>
      <c r="N45" s="106"/>
      <c r="O45" s="106"/>
      <c r="P45" s="106"/>
      <c r="Q45" s="106"/>
      <c r="R45" s="106"/>
      <c r="S45" s="106"/>
    </row>
    <row r="46" spans="1:19" ht="18" customHeight="1">
      <c r="B46" s="103" t="s">
        <v>53</v>
      </c>
      <c r="C46" s="104"/>
      <c r="D46" s="104"/>
      <c r="E46" s="105"/>
      <c r="F46" s="15" t="s">
        <v>80</v>
      </c>
      <c r="G46" s="16" t="s">
        <v>84</v>
      </c>
      <c r="H46" s="17" t="s">
        <v>73</v>
      </c>
      <c r="I46" s="17" t="s">
        <v>74</v>
      </c>
      <c r="J46" s="103" t="s">
        <v>53</v>
      </c>
      <c r="K46" s="104"/>
      <c r="L46" s="104"/>
      <c r="M46" s="104"/>
      <c r="N46" s="104"/>
      <c r="O46" s="105"/>
      <c r="P46" s="15" t="s">
        <v>80</v>
      </c>
      <c r="Q46" s="16" t="s">
        <v>84</v>
      </c>
      <c r="R46" s="17" t="s">
        <v>73</v>
      </c>
      <c r="S46" s="17" t="s">
        <v>74</v>
      </c>
    </row>
    <row r="47" spans="1:19" ht="18" customHeight="1">
      <c r="A47" s="89"/>
      <c r="B47" s="97" t="s">
        <v>186</v>
      </c>
      <c r="C47" s="98"/>
      <c r="D47" s="98"/>
      <c r="E47" s="99"/>
      <c r="F47" s="18">
        <v>1</v>
      </c>
      <c r="G47" s="18" t="s">
        <v>128</v>
      </c>
      <c r="H47" s="18" t="s">
        <v>128</v>
      </c>
      <c r="I47" s="18" t="s">
        <v>128</v>
      </c>
      <c r="J47" s="108"/>
      <c r="K47" s="109"/>
      <c r="L47" s="109"/>
      <c r="M47" s="109"/>
      <c r="N47" s="109"/>
      <c r="O47" s="110"/>
      <c r="P47" s="18"/>
      <c r="Q47" s="18"/>
      <c r="R47" s="18"/>
      <c r="S47" s="18"/>
    </row>
    <row r="48" spans="1:19" ht="18" customHeight="1">
      <c r="A48" s="89"/>
      <c r="B48" s="97"/>
      <c r="C48" s="98"/>
      <c r="D48" s="98"/>
      <c r="E48" s="99"/>
      <c r="F48" s="19"/>
      <c r="G48" s="19"/>
      <c r="H48" s="19"/>
      <c r="I48" s="19"/>
      <c r="J48" s="97"/>
      <c r="K48" s="98"/>
      <c r="L48" s="98"/>
      <c r="M48" s="98"/>
      <c r="N48" s="98"/>
      <c r="O48" s="99"/>
      <c r="P48" s="19"/>
      <c r="Q48" s="19"/>
      <c r="R48" s="19"/>
      <c r="S48" s="19"/>
    </row>
    <row r="49" spans="1:19" ht="18" customHeight="1">
      <c r="A49" s="89"/>
      <c r="B49" s="97"/>
      <c r="C49" s="98"/>
      <c r="D49" s="98"/>
      <c r="E49" s="99"/>
      <c r="F49" s="19"/>
      <c r="G49" s="19"/>
      <c r="H49" s="19"/>
      <c r="I49" s="19"/>
      <c r="J49" s="97"/>
      <c r="K49" s="98"/>
      <c r="L49" s="98"/>
      <c r="M49" s="98"/>
      <c r="N49" s="98"/>
      <c r="O49" s="99"/>
      <c r="P49" s="19"/>
      <c r="Q49" s="19"/>
      <c r="R49" s="19"/>
      <c r="S49" s="19"/>
    </row>
    <row r="50" spans="1:19" ht="18" customHeight="1">
      <c r="A50" s="89"/>
      <c r="B50" s="97"/>
      <c r="C50" s="98"/>
      <c r="D50" s="98"/>
      <c r="E50" s="99"/>
      <c r="F50" s="19"/>
      <c r="G50" s="19"/>
      <c r="H50" s="19"/>
      <c r="I50" s="19"/>
      <c r="J50" s="97"/>
      <c r="K50" s="98"/>
      <c r="L50" s="98"/>
      <c r="M50" s="98"/>
      <c r="N50" s="98"/>
      <c r="O50" s="99"/>
      <c r="P50" s="19"/>
      <c r="Q50" s="19"/>
      <c r="R50" s="19"/>
      <c r="S50" s="19"/>
    </row>
    <row r="51" spans="1:19" ht="18" customHeight="1">
      <c r="A51" s="89"/>
      <c r="B51" s="97"/>
      <c r="C51" s="98"/>
      <c r="D51" s="98"/>
      <c r="E51" s="99"/>
      <c r="F51" s="19"/>
      <c r="G51" s="19"/>
      <c r="H51" s="19"/>
      <c r="I51" s="19"/>
      <c r="J51" s="97"/>
      <c r="K51" s="98"/>
      <c r="L51" s="98"/>
      <c r="M51" s="98"/>
      <c r="N51" s="98"/>
      <c r="O51" s="99"/>
      <c r="P51" s="19"/>
      <c r="Q51" s="19"/>
      <c r="R51" s="19"/>
      <c r="S51" s="19"/>
    </row>
    <row r="52" spans="1:19" ht="18" customHeight="1">
      <c r="A52" s="89"/>
      <c r="B52" s="97"/>
      <c r="C52" s="98"/>
      <c r="D52" s="98"/>
      <c r="E52" s="99"/>
      <c r="F52" s="19"/>
      <c r="G52" s="19"/>
      <c r="H52" s="19"/>
      <c r="I52" s="19"/>
      <c r="J52" s="97"/>
      <c r="K52" s="98"/>
      <c r="L52" s="98"/>
      <c r="M52" s="98"/>
      <c r="N52" s="98"/>
      <c r="O52" s="99"/>
      <c r="P52" s="19"/>
      <c r="Q52" s="19"/>
      <c r="R52" s="19"/>
      <c r="S52" s="19"/>
    </row>
    <row r="53" spans="1:19" ht="18" customHeight="1">
      <c r="A53" s="89"/>
      <c r="B53" s="100"/>
      <c r="C53" s="101"/>
      <c r="D53" s="101"/>
      <c r="E53" s="102"/>
      <c r="F53" s="20"/>
      <c r="G53" s="20"/>
      <c r="H53" s="21"/>
      <c r="I53" s="21"/>
      <c r="J53" s="100"/>
      <c r="K53" s="101"/>
      <c r="L53" s="101"/>
      <c r="M53" s="101"/>
      <c r="N53" s="101"/>
      <c r="O53" s="102"/>
      <c r="P53" s="20"/>
      <c r="Q53" s="20"/>
      <c r="R53" s="21"/>
      <c r="S53" s="21"/>
    </row>
    <row r="54" spans="1:19" ht="7.5" customHeight="1">
      <c r="B54" s="90"/>
      <c r="C54" s="90"/>
      <c r="D54" s="90"/>
      <c r="E54" s="90"/>
      <c r="F54" s="90"/>
      <c r="G54" s="90"/>
      <c r="H54" s="90"/>
      <c r="I54" s="90"/>
      <c r="J54" s="90"/>
      <c r="K54" s="90"/>
      <c r="L54" s="90"/>
      <c r="M54" s="90"/>
      <c r="N54" s="90"/>
      <c r="O54" s="90"/>
      <c r="P54" s="90"/>
      <c r="Q54" s="90"/>
      <c r="R54" s="90"/>
    </row>
    <row r="55" spans="1:19" ht="18" customHeight="1">
      <c r="A55" s="106" t="s">
        <v>116</v>
      </c>
      <c r="B55" s="106"/>
      <c r="C55" s="106"/>
      <c r="D55" s="106"/>
      <c r="E55" s="106"/>
      <c r="F55" s="106"/>
      <c r="G55" s="106"/>
      <c r="H55" s="106"/>
      <c r="I55" s="106"/>
      <c r="J55" s="106"/>
      <c r="K55" s="106"/>
      <c r="L55" s="106"/>
      <c r="M55" s="106"/>
      <c r="N55" s="106"/>
      <c r="O55" s="106"/>
      <c r="P55" s="106"/>
      <c r="Q55" s="106"/>
      <c r="R55" s="106"/>
      <c r="S55" s="106"/>
    </row>
    <row r="56" spans="1:19" ht="18" customHeight="1">
      <c r="A56" s="106"/>
      <c r="B56" s="106"/>
      <c r="C56" s="106"/>
      <c r="D56" s="106"/>
      <c r="E56" s="106"/>
      <c r="F56" s="106"/>
      <c r="G56" s="106"/>
      <c r="H56" s="106"/>
      <c r="I56" s="106"/>
      <c r="J56" s="106"/>
      <c r="K56" s="106"/>
      <c r="L56" s="106"/>
      <c r="M56" s="106"/>
      <c r="N56" s="106"/>
      <c r="O56" s="106"/>
      <c r="P56" s="106"/>
      <c r="Q56" s="106"/>
      <c r="R56" s="106"/>
      <c r="S56" s="106"/>
    </row>
    <row r="57" spans="1:19" ht="18" customHeight="1">
      <c r="B57" s="103" t="s">
        <v>53</v>
      </c>
      <c r="C57" s="104"/>
      <c r="D57" s="104"/>
      <c r="E57" s="105"/>
      <c r="F57" s="15" t="s">
        <v>80</v>
      </c>
      <c r="G57" s="16" t="s">
        <v>84</v>
      </c>
      <c r="H57" s="17" t="s">
        <v>58</v>
      </c>
      <c r="I57" s="17" t="s">
        <v>60</v>
      </c>
      <c r="J57" s="103" t="s">
        <v>53</v>
      </c>
      <c r="K57" s="104"/>
      <c r="L57" s="104"/>
      <c r="M57" s="104"/>
      <c r="N57" s="104"/>
      <c r="O57" s="105"/>
      <c r="P57" s="15" t="s">
        <v>80</v>
      </c>
      <c r="Q57" s="16" t="s">
        <v>84</v>
      </c>
      <c r="R57" s="17" t="s">
        <v>58</v>
      </c>
      <c r="S57" s="17" t="s">
        <v>60</v>
      </c>
    </row>
    <row r="58" spans="1:19" ht="18" customHeight="1">
      <c r="A58" s="89"/>
      <c r="B58" s="97" t="s">
        <v>186</v>
      </c>
      <c r="C58" s="98"/>
      <c r="D58" s="98"/>
      <c r="E58" s="99"/>
      <c r="F58" s="18">
        <v>1</v>
      </c>
      <c r="G58" s="18" t="s">
        <v>128</v>
      </c>
      <c r="H58" s="18" t="s">
        <v>128</v>
      </c>
      <c r="I58" s="18" t="s">
        <v>128</v>
      </c>
      <c r="J58" s="108"/>
      <c r="K58" s="109"/>
      <c r="L58" s="109"/>
      <c r="M58" s="109"/>
      <c r="N58" s="109"/>
      <c r="O58" s="110"/>
      <c r="P58" s="18"/>
      <c r="Q58" s="18"/>
      <c r="R58" s="18"/>
      <c r="S58" s="18"/>
    </row>
    <row r="59" spans="1:19" ht="18" customHeight="1">
      <c r="A59" s="89"/>
      <c r="B59" s="97"/>
      <c r="C59" s="98"/>
      <c r="D59" s="98"/>
      <c r="E59" s="99"/>
      <c r="F59" s="19"/>
      <c r="G59" s="19"/>
      <c r="H59" s="19"/>
      <c r="I59" s="19"/>
      <c r="J59" s="97"/>
      <c r="K59" s="98"/>
      <c r="L59" s="98"/>
      <c r="M59" s="98"/>
      <c r="N59" s="98"/>
      <c r="O59" s="99"/>
      <c r="P59" s="19"/>
      <c r="Q59" s="19"/>
      <c r="R59" s="19"/>
      <c r="S59" s="19"/>
    </row>
    <row r="60" spans="1:19" ht="18" customHeight="1">
      <c r="A60" s="89"/>
      <c r="B60" s="97"/>
      <c r="C60" s="98"/>
      <c r="D60" s="98"/>
      <c r="E60" s="99"/>
      <c r="F60" s="19"/>
      <c r="G60" s="19"/>
      <c r="H60" s="19"/>
      <c r="I60" s="19"/>
      <c r="J60" s="97"/>
      <c r="K60" s="98"/>
      <c r="L60" s="98"/>
      <c r="M60" s="98"/>
      <c r="N60" s="98"/>
      <c r="O60" s="99"/>
      <c r="P60" s="19"/>
      <c r="Q60" s="19"/>
      <c r="R60" s="19"/>
      <c r="S60" s="19"/>
    </row>
    <row r="61" spans="1:19" ht="18" customHeight="1">
      <c r="A61" s="89"/>
      <c r="B61" s="97"/>
      <c r="C61" s="98"/>
      <c r="D61" s="98"/>
      <c r="E61" s="99"/>
      <c r="F61" s="19"/>
      <c r="G61" s="19"/>
      <c r="H61" s="19"/>
      <c r="I61" s="19"/>
      <c r="J61" s="97"/>
      <c r="K61" s="98"/>
      <c r="L61" s="98"/>
      <c r="M61" s="98"/>
      <c r="N61" s="98"/>
      <c r="O61" s="99"/>
      <c r="P61" s="19"/>
      <c r="Q61" s="19"/>
      <c r="R61" s="19"/>
      <c r="S61" s="19"/>
    </row>
    <row r="62" spans="1:19" ht="18" customHeight="1">
      <c r="A62" s="89"/>
      <c r="B62" s="97"/>
      <c r="C62" s="98"/>
      <c r="D62" s="98"/>
      <c r="E62" s="99"/>
      <c r="F62" s="19"/>
      <c r="G62" s="19"/>
      <c r="H62" s="19"/>
      <c r="I62" s="19"/>
      <c r="J62" s="97"/>
      <c r="K62" s="98"/>
      <c r="L62" s="98"/>
      <c r="M62" s="98"/>
      <c r="N62" s="98"/>
      <c r="O62" s="99"/>
      <c r="P62" s="19"/>
      <c r="Q62" s="19"/>
      <c r="R62" s="19"/>
      <c r="S62" s="19"/>
    </row>
    <row r="63" spans="1:19" ht="18" customHeight="1">
      <c r="A63" s="89"/>
      <c r="B63" s="97"/>
      <c r="C63" s="98"/>
      <c r="D63" s="98"/>
      <c r="E63" s="99"/>
      <c r="F63" s="19"/>
      <c r="G63" s="19"/>
      <c r="H63" s="19"/>
      <c r="I63" s="19"/>
      <c r="J63" s="97"/>
      <c r="K63" s="98"/>
      <c r="L63" s="98"/>
      <c r="M63" s="98"/>
      <c r="N63" s="98"/>
      <c r="O63" s="99"/>
      <c r="P63" s="19"/>
      <c r="Q63" s="19"/>
      <c r="R63" s="19"/>
      <c r="S63" s="19"/>
    </row>
    <row r="64" spans="1:19" ht="18" customHeight="1">
      <c r="A64" s="89"/>
      <c r="B64" s="100"/>
      <c r="C64" s="101"/>
      <c r="D64" s="101"/>
      <c r="E64" s="102"/>
      <c r="F64" s="20"/>
      <c r="G64" s="20"/>
      <c r="H64" s="21"/>
      <c r="I64" s="21"/>
      <c r="J64" s="100"/>
      <c r="K64" s="101"/>
      <c r="L64" s="101"/>
      <c r="M64" s="101"/>
      <c r="N64" s="101"/>
      <c r="O64" s="102"/>
      <c r="P64" s="20"/>
      <c r="Q64" s="20"/>
      <c r="R64" s="21"/>
      <c r="S64" s="21"/>
    </row>
    <row r="65" spans="1:19" ht="7.5" customHeight="1">
      <c r="B65" s="90"/>
      <c r="C65" s="90"/>
      <c r="D65" s="90"/>
      <c r="E65" s="90"/>
      <c r="F65" s="90"/>
      <c r="G65" s="90"/>
      <c r="H65" s="90"/>
      <c r="I65" s="90"/>
      <c r="J65" s="90"/>
      <c r="K65" s="90"/>
      <c r="L65" s="90"/>
      <c r="M65" s="90"/>
      <c r="N65" s="90"/>
      <c r="O65" s="90"/>
      <c r="P65" s="90"/>
      <c r="Q65" s="90"/>
      <c r="R65" s="90"/>
    </row>
    <row r="66" spans="1:19" ht="18" customHeight="1">
      <c r="A66" s="106" t="s">
        <v>117</v>
      </c>
      <c r="B66" s="106"/>
      <c r="C66" s="106"/>
      <c r="D66" s="106"/>
      <c r="E66" s="106"/>
      <c r="F66" s="106"/>
      <c r="G66" s="106"/>
      <c r="H66" s="106"/>
      <c r="I66" s="106"/>
      <c r="J66" s="106"/>
      <c r="K66" s="106"/>
      <c r="L66" s="106"/>
      <c r="M66" s="106"/>
      <c r="N66" s="106"/>
      <c r="O66" s="106"/>
      <c r="P66" s="106"/>
      <c r="Q66" s="106"/>
      <c r="R66" s="106"/>
      <c r="S66" s="106"/>
    </row>
    <row r="67" spans="1:19" ht="18" customHeight="1">
      <c r="A67" s="106"/>
      <c r="B67" s="106"/>
      <c r="C67" s="106"/>
      <c r="D67" s="106"/>
      <c r="E67" s="106"/>
      <c r="F67" s="106"/>
      <c r="G67" s="106"/>
      <c r="H67" s="106"/>
      <c r="I67" s="106"/>
      <c r="J67" s="106"/>
      <c r="K67" s="106"/>
      <c r="L67" s="106"/>
      <c r="M67" s="106"/>
      <c r="N67" s="106"/>
      <c r="O67" s="106"/>
      <c r="P67" s="106"/>
      <c r="Q67" s="106"/>
      <c r="R67" s="106"/>
      <c r="S67" s="106"/>
    </row>
    <row r="68" spans="1:19" ht="18" customHeight="1">
      <c r="B68" s="103" t="s">
        <v>53</v>
      </c>
      <c r="C68" s="104"/>
      <c r="D68" s="104"/>
      <c r="E68" s="15" t="s">
        <v>80</v>
      </c>
      <c r="F68" s="16" t="s">
        <v>84</v>
      </c>
      <c r="G68" s="17" t="s">
        <v>101</v>
      </c>
      <c r="H68" s="17" t="s">
        <v>75</v>
      </c>
      <c r="I68" s="17" t="s">
        <v>76</v>
      </c>
      <c r="J68" s="103" t="s">
        <v>53</v>
      </c>
      <c r="K68" s="104"/>
      <c r="L68" s="104"/>
      <c r="M68" s="104"/>
      <c r="N68" s="105"/>
      <c r="O68" s="15" t="s">
        <v>80</v>
      </c>
      <c r="P68" s="16" t="s">
        <v>84</v>
      </c>
      <c r="Q68" s="17" t="s">
        <v>101</v>
      </c>
      <c r="R68" s="17" t="s">
        <v>75</v>
      </c>
      <c r="S68" s="17" t="s">
        <v>76</v>
      </c>
    </row>
    <row r="69" spans="1:19" ht="18" customHeight="1">
      <c r="A69" s="89"/>
      <c r="B69" s="97" t="s">
        <v>186</v>
      </c>
      <c r="C69" s="98"/>
      <c r="D69" s="98"/>
      <c r="E69" s="22">
        <v>1</v>
      </c>
      <c r="F69" s="22" t="s">
        <v>128</v>
      </c>
      <c r="G69" s="23" t="s">
        <v>128</v>
      </c>
      <c r="H69" s="22" t="s">
        <v>128</v>
      </c>
      <c r="I69" s="22" t="s">
        <v>128</v>
      </c>
      <c r="J69" s="108"/>
      <c r="K69" s="109"/>
      <c r="L69" s="109"/>
      <c r="M69" s="109"/>
      <c r="N69" s="110"/>
      <c r="O69" s="18"/>
      <c r="P69" s="18"/>
      <c r="Q69" s="18"/>
      <c r="R69" s="18"/>
      <c r="S69" s="18"/>
    </row>
    <row r="70" spans="1:19" ht="18" customHeight="1">
      <c r="A70" s="89"/>
      <c r="B70" s="97"/>
      <c r="C70" s="98"/>
      <c r="D70" s="98"/>
      <c r="E70" s="24"/>
      <c r="F70" s="24"/>
      <c r="G70" s="25"/>
      <c r="H70" s="24"/>
      <c r="I70" s="24"/>
      <c r="J70" s="97"/>
      <c r="K70" s="98"/>
      <c r="L70" s="98"/>
      <c r="M70" s="98"/>
      <c r="N70" s="99"/>
      <c r="O70" s="19"/>
      <c r="P70" s="19"/>
      <c r="Q70" s="19"/>
      <c r="R70" s="19"/>
      <c r="S70" s="19"/>
    </row>
    <row r="71" spans="1:19" ht="18" customHeight="1">
      <c r="A71" s="89"/>
      <c r="B71" s="97"/>
      <c r="C71" s="98"/>
      <c r="D71" s="98"/>
      <c r="E71" s="24"/>
      <c r="F71" s="24"/>
      <c r="G71" s="25"/>
      <c r="H71" s="24"/>
      <c r="I71" s="24"/>
      <c r="J71" s="97"/>
      <c r="K71" s="98"/>
      <c r="L71" s="98"/>
      <c r="M71" s="98"/>
      <c r="N71" s="99"/>
      <c r="O71" s="19"/>
      <c r="P71" s="19"/>
      <c r="Q71" s="19"/>
      <c r="R71" s="19"/>
      <c r="S71" s="19"/>
    </row>
    <row r="72" spans="1:19" ht="18" customHeight="1">
      <c r="A72" s="89"/>
      <c r="B72" s="97"/>
      <c r="C72" s="98"/>
      <c r="D72" s="98"/>
      <c r="E72" s="24"/>
      <c r="F72" s="24"/>
      <c r="G72" s="25"/>
      <c r="H72" s="24"/>
      <c r="I72" s="24"/>
      <c r="J72" s="97"/>
      <c r="K72" s="98"/>
      <c r="L72" s="98"/>
      <c r="M72" s="98"/>
      <c r="N72" s="99"/>
      <c r="O72" s="19"/>
      <c r="P72" s="19"/>
      <c r="Q72" s="19"/>
      <c r="R72" s="19"/>
      <c r="S72" s="19"/>
    </row>
    <row r="73" spans="1:19" ht="18" customHeight="1">
      <c r="A73" s="89"/>
      <c r="B73" s="97"/>
      <c r="C73" s="98"/>
      <c r="D73" s="98"/>
      <c r="E73" s="24"/>
      <c r="F73" s="24"/>
      <c r="G73" s="25"/>
      <c r="H73" s="24"/>
      <c r="I73" s="24"/>
      <c r="J73" s="97"/>
      <c r="K73" s="98"/>
      <c r="L73" s="98"/>
      <c r="M73" s="98"/>
      <c r="N73" s="99"/>
      <c r="O73" s="19"/>
      <c r="P73" s="19"/>
      <c r="Q73" s="19"/>
      <c r="R73" s="19"/>
      <c r="S73" s="19"/>
    </row>
    <row r="74" spans="1:19" ht="18" customHeight="1">
      <c r="A74" s="89"/>
      <c r="B74" s="97"/>
      <c r="C74" s="98"/>
      <c r="D74" s="98"/>
      <c r="E74" s="19"/>
      <c r="F74" s="19"/>
      <c r="G74" s="19"/>
      <c r="H74" s="19"/>
      <c r="I74" s="19"/>
      <c r="J74" s="97"/>
      <c r="K74" s="98"/>
      <c r="L74" s="98"/>
      <c r="M74" s="98"/>
      <c r="N74" s="99"/>
      <c r="O74" s="19"/>
      <c r="P74" s="19"/>
      <c r="Q74" s="19"/>
      <c r="R74" s="19"/>
      <c r="S74" s="19"/>
    </row>
    <row r="75" spans="1:19" ht="18" customHeight="1">
      <c r="A75" s="89"/>
      <c r="B75" s="100"/>
      <c r="C75" s="101"/>
      <c r="D75" s="101"/>
      <c r="E75" s="20"/>
      <c r="F75" s="20"/>
      <c r="G75" s="21"/>
      <c r="H75" s="21"/>
      <c r="I75" s="21"/>
      <c r="J75" s="100"/>
      <c r="K75" s="101"/>
      <c r="L75" s="101"/>
      <c r="M75" s="101"/>
      <c r="N75" s="102"/>
      <c r="O75" s="20"/>
      <c r="P75" s="20"/>
      <c r="Q75" s="21"/>
      <c r="R75" s="21"/>
      <c r="S75" s="21"/>
    </row>
    <row r="76" spans="1:19" ht="7.5" customHeight="1">
      <c r="B76" s="90"/>
      <c r="C76" s="90"/>
      <c r="D76" s="90"/>
      <c r="E76" s="90"/>
      <c r="F76" s="90"/>
      <c r="G76" s="90"/>
      <c r="H76" s="90"/>
      <c r="I76" s="90"/>
      <c r="J76" s="90"/>
      <c r="K76" s="90"/>
      <c r="L76" s="90"/>
      <c r="M76" s="90"/>
      <c r="N76" s="90"/>
      <c r="O76" s="90"/>
      <c r="P76" s="90"/>
      <c r="Q76" s="90"/>
      <c r="R76" s="90"/>
    </row>
    <row r="77" spans="1:19" ht="18" customHeight="1">
      <c r="A77" s="88" t="s">
        <v>118</v>
      </c>
      <c r="H77" s="89"/>
      <c r="I77" s="89"/>
      <c r="J77" s="89"/>
      <c r="K77" s="89"/>
      <c r="L77" s="89"/>
      <c r="M77" s="89"/>
      <c r="N77" s="89"/>
      <c r="O77" s="89"/>
      <c r="P77" s="89"/>
      <c r="Q77" s="89"/>
      <c r="R77" s="89"/>
      <c r="S77" s="89"/>
    </row>
    <row r="78" spans="1:19" ht="18" customHeight="1">
      <c r="B78" s="103" t="s">
        <v>53</v>
      </c>
      <c r="C78" s="104"/>
      <c r="D78" s="104"/>
      <c r="E78" s="105"/>
      <c r="F78" s="103" t="s">
        <v>82</v>
      </c>
      <c r="G78" s="104"/>
      <c r="H78" s="104"/>
      <c r="I78" s="105"/>
      <c r="J78" s="149" t="s">
        <v>53</v>
      </c>
      <c r="K78" s="150"/>
      <c r="L78" s="150"/>
      <c r="M78" s="150"/>
      <c r="N78" s="150"/>
      <c r="O78" s="151"/>
      <c r="P78" s="103" t="s">
        <v>82</v>
      </c>
      <c r="Q78" s="104"/>
      <c r="R78" s="104"/>
      <c r="S78" s="105"/>
    </row>
    <row r="79" spans="1:19" ht="18" customHeight="1">
      <c r="A79" s="89"/>
      <c r="B79" s="108"/>
      <c r="C79" s="109"/>
      <c r="D79" s="109"/>
      <c r="E79" s="110"/>
      <c r="F79" s="164"/>
      <c r="G79" s="165"/>
      <c r="H79" s="165"/>
      <c r="I79" s="166"/>
      <c r="J79" s="108"/>
      <c r="K79" s="109"/>
      <c r="L79" s="109"/>
      <c r="M79" s="109"/>
      <c r="N79" s="109"/>
      <c r="O79" s="110"/>
      <c r="P79" s="164"/>
      <c r="Q79" s="165"/>
      <c r="R79" s="165"/>
      <c r="S79" s="166"/>
    </row>
    <row r="80" spans="1:19" ht="18" customHeight="1">
      <c r="A80" s="89"/>
      <c r="B80" s="97"/>
      <c r="C80" s="98"/>
      <c r="D80" s="98"/>
      <c r="E80" s="99"/>
      <c r="F80" s="133"/>
      <c r="G80" s="134"/>
      <c r="H80" s="134"/>
      <c r="I80" s="135"/>
      <c r="J80" s="97"/>
      <c r="K80" s="98"/>
      <c r="L80" s="98"/>
      <c r="M80" s="98"/>
      <c r="N80" s="98"/>
      <c r="O80" s="99"/>
      <c r="P80" s="133"/>
      <c r="Q80" s="134"/>
      <c r="R80" s="134"/>
      <c r="S80" s="135"/>
    </row>
    <row r="81" spans="1:20" ht="18" customHeight="1">
      <c r="A81" s="89"/>
      <c r="B81" s="97"/>
      <c r="C81" s="98"/>
      <c r="D81" s="98"/>
      <c r="E81" s="99"/>
      <c r="F81" s="133"/>
      <c r="G81" s="134"/>
      <c r="H81" s="134"/>
      <c r="I81" s="135"/>
      <c r="J81" s="97"/>
      <c r="K81" s="98"/>
      <c r="L81" s="98"/>
      <c r="M81" s="98"/>
      <c r="N81" s="98"/>
      <c r="O81" s="99"/>
      <c r="P81" s="133"/>
      <c r="Q81" s="134"/>
      <c r="R81" s="134"/>
      <c r="S81" s="135"/>
    </row>
    <row r="82" spans="1:20" ht="18" customHeight="1">
      <c r="A82" s="89"/>
      <c r="B82" s="97"/>
      <c r="C82" s="98"/>
      <c r="D82" s="98"/>
      <c r="E82" s="99"/>
      <c r="F82" s="133"/>
      <c r="G82" s="134"/>
      <c r="H82" s="134"/>
      <c r="I82" s="135"/>
      <c r="J82" s="97"/>
      <c r="K82" s="98"/>
      <c r="L82" s="98"/>
      <c r="M82" s="98"/>
      <c r="N82" s="98"/>
      <c r="O82" s="99"/>
      <c r="P82" s="133"/>
      <c r="Q82" s="134"/>
      <c r="R82" s="134"/>
      <c r="S82" s="135"/>
    </row>
    <row r="83" spans="1:20" ht="18" customHeight="1">
      <c r="A83" s="89"/>
      <c r="B83" s="97"/>
      <c r="C83" s="98"/>
      <c r="D83" s="98"/>
      <c r="E83" s="99"/>
      <c r="F83" s="133"/>
      <c r="G83" s="134"/>
      <c r="H83" s="134"/>
      <c r="I83" s="135"/>
      <c r="J83" s="97"/>
      <c r="K83" s="98"/>
      <c r="L83" s="98"/>
      <c r="M83" s="98"/>
      <c r="N83" s="98"/>
      <c r="O83" s="99"/>
      <c r="P83" s="133"/>
      <c r="Q83" s="134"/>
      <c r="R83" s="134"/>
      <c r="S83" s="135"/>
    </row>
    <row r="84" spans="1:20" ht="18" customHeight="1">
      <c r="A84" s="89"/>
      <c r="B84" s="97"/>
      <c r="C84" s="98"/>
      <c r="D84" s="98"/>
      <c r="E84" s="99"/>
      <c r="F84" s="133"/>
      <c r="G84" s="134"/>
      <c r="H84" s="134"/>
      <c r="I84" s="135"/>
      <c r="J84" s="97"/>
      <c r="K84" s="98"/>
      <c r="L84" s="98"/>
      <c r="M84" s="98"/>
      <c r="N84" s="98"/>
      <c r="O84" s="99"/>
      <c r="P84" s="133"/>
      <c r="Q84" s="134"/>
      <c r="R84" s="134"/>
      <c r="S84" s="135"/>
    </row>
    <row r="85" spans="1:20" ht="18" customHeight="1">
      <c r="A85" s="89"/>
      <c r="B85" s="100"/>
      <c r="C85" s="101"/>
      <c r="D85" s="101"/>
      <c r="E85" s="102"/>
      <c r="F85" s="130"/>
      <c r="G85" s="131"/>
      <c r="H85" s="131"/>
      <c r="I85" s="132"/>
      <c r="J85" s="100"/>
      <c r="K85" s="101"/>
      <c r="L85" s="101"/>
      <c r="M85" s="101"/>
      <c r="N85" s="101"/>
      <c r="O85" s="102"/>
      <c r="P85" s="130"/>
      <c r="Q85" s="131"/>
      <c r="R85" s="131"/>
      <c r="S85" s="132"/>
    </row>
    <row r="86" spans="1:20" ht="18" customHeight="1">
      <c r="A86" s="89"/>
      <c r="B86" s="8"/>
      <c r="C86" s="8"/>
      <c r="D86" s="8"/>
      <c r="E86" s="8"/>
      <c r="F86" s="26"/>
      <c r="G86" s="26"/>
      <c r="H86" s="26"/>
      <c r="I86" s="26"/>
      <c r="J86" s="8"/>
      <c r="K86" s="8"/>
      <c r="L86" s="8"/>
      <c r="M86" s="8"/>
      <c r="N86" s="8"/>
      <c r="O86" s="8"/>
      <c r="P86" s="26"/>
      <c r="Q86" s="26"/>
      <c r="R86" s="26"/>
      <c r="S86" s="26"/>
    </row>
    <row r="87" spans="1:20" ht="18.75" customHeight="1">
      <c r="A87" s="88" t="s">
        <v>119</v>
      </c>
    </row>
    <row r="88" spans="1:20" ht="18.75" customHeight="1">
      <c r="B88" s="162" t="s">
        <v>54</v>
      </c>
      <c r="C88" s="163"/>
      <c r="D88" s="104" t="s">
        <v>55</v>
      </c>
      <c r="E88" s="104"/>
      <c r="F88" s="104"/>
      <c r="G88" s="104"/>
      <c r="H88" s="104"/>
      <c r="I88" s="104"/>
      <c r="J88" s="104"/>
      <c r="K88" s="104"/>
      <c r="L88" s="104"/>
      <c r="M88" s="104"/>
      <c r="N88" s="104"/>
      <c r="O88" s="104"/>
      <c r="P88" s="104"/>
      <c r="Q88" s="104"/>
      <c r="R88" s="104"/>
      <c r="S88" s="105"/>
    </row>
    <row r="89" spans="1:20" ht="97.5" customHeight="1">
      <c r="B89" s="152" t="s">
        <v>61</v>
      </c>
      <c r="C89" s="27" t="s">
        <v>56</v>
      </c>
      <c r="D89" s="159" t="s">
        <v>198</v>
      </c>
      <c r="E89" s="160"/>
      <c r="F89" s="160"/>
      <c r="G89" s="160"/>
      <c r="H89" s="160"/>
      <c r="I89" s="160"/>
      <c r="J89" s="160"/>
      <c r="K89" s="160"/>
      <c r="L89" s="160"/>
      <c r="M89" s="160"/>
      <c r="N89" s="160"/>
      <c r="O89" s="160"/>
      <c r="P89" s="160"/>
      <c r="Q89" s="160"/>
      <c r="R89" s="160"/>
      <c r="S89" s="161"/>
      <c r="T89" s="85"/>
    </row>
    <row r="90" spans="1:20" ht="97.5" customHeight="1">
      <c r="B90" s="154"/>
      <c r="C90" s="28" t="s">
        <v>77</v>
      </c>
      <c r="D90" s="136" t="s">
        <v>199</v>
      </c>
      <c r="E90" s="137"/>
      <c r="F90" s="137"/>
      <c r="G90" s="137"/>
      <c r="H90" s="137"/>
      <c r="I90" s="137"/>
      <c r="J90" s="137"/>
      <c r="K90" s="137"/>
      <c r="L90" s="137"/>
      <c r="M90" s="137"/>
      <c r="N90" s="137"/>
      <c r="O90" s="137"/>
      <c r="P90" s="137"/>
      <c r="Q90" s="137"/>
      <c r="R90" s="137"/>
      <c r="S90" s="138"/>
    </row>
    <row r="91" spans="1:20" ht="97.5" customHeight="1">
      <c r="B91" s="152" t="s">
        <v>62</v>
      </c>
      <c r="C91" s="29" t="s">
        <v>71</v>
      </c>
      <c r="D91" s="139" t="s">
        <v>200</v>
      </c>
      <c r="E91" s="140"/>
      <c r="F91" s="140"/>
      <c r="G91" s="140"/>
      <c r="H91" s="140"/>
      <c r="I91" s="140"/>
      <c r="J91" s="140"/>
      <c r="K91" s="140"/>
      <c r="L91" s="140"/>
      <c r="M91" s="140"/>
      <c r="N91" s="140"/>
      <c r="O91" s="140"/>
      <c r="P91" s="140"/>
      <c r="Q91" s="140"/>
      <c r="R91" s="140"/>
      <c r="S91" s="141"/>
    </row>
    <row r="92" spans="1:20" ht="97.5" customHeight="1">
      <c r="B92" s="153"/>
      <c r="C92" s="30" t="s">
        <v>72</v>
      </c>
      <c r="D92" s="145" t="s">
        <v>201</v>
      </c>
      <c r="E92" s="146"/>
      <c r="F92" s="146"/>
      <c r="G92" s="146"/>
      <c r="H92" s="146"/>
      <c r="I92" s="146"/>
      <c r="J92" s="146"/>
      <c r="K92" s="146"/>
      <c r="L92" s="146"/>
      <c r="M92" s="146"/>
      <c r="N92" s="146"/>
      <c r="O92" s="146"/>
      <c r="P92" s="146"/>
      <c r="Q92" s="146"/>
      <c r="R92" s="146"/>
      <c r="S92" s="147"/>
    </row>
    <row r="93" spans="1:20" ht="97.5" customHeight="1">
      <c r="B93" s="152" t="s">
        <v>63</v>
      </c>
      <c r="C93" s="29" t="s">
        <v>73</v>
      </c>
      <c r="D93" s="139" t="s">
        <v>202</v>
      </c>
      <c r="E93" s="140"/>
      <c r="F93" s="140"/>
      <c r="G93" s="140"/>
      <c r="H93" s="140"/>
      <c r="I93" s="140"/>
      <c r="J93" s="140"/>
      <c r="K93" s="140"/>
      <c r="L93" s="140"/>
      <c r="M93" s="140"/>
      <c r="N93" s="140"/>
      <c r="O93" s="140"/>
      <c r="P93" s="140"/>
      <c r="Q93" s="140"/>
      <c r="R93" s="140"/>
      <c r="S93" s="141"/>
    </row>
    <row r="94" spans="1:20" ht="97.5" customHeight="1">
      <c r="B94" s="153"/>
      <c r="C94" s="31" t="s">
        <v>74</v>
      </c>
      <c r="D94" s="142" t="s">
        <v>203</v>
      </c>
      <c r="E94" s="143"/>
      <c r="F94" s="143"/>
      <c r="G94" s="143"/>
      <c r="H94" s="143"/>
      <c r="I94" s="143"/>
      <c r="J94" s="143"/>
      <c r="K94" s="143"/>
      <c r="L94" s="143"/>
      <c r="M94" s="143"/>
      <c r="N94" s="143"/>
      <c r="O94" s="143"/>
      <c r="P94" s="143"/>
      <c r="Q94" s="143"/>
      <c r="R94" s="143"/>
      <c r="S94" s="144"/>
    </row>
    <row r="95" spans="1:20" ht="97.5" customHeight="1">
      <c r="B95" s="152" t="s">
        <v>78</v>
      </c>
      <c r="C95" s="27" t="s">
        <v>58</v>
      </c>
      <c r="D95" s="159" t="s">
        <v>204</v>
      </c>
      <c r="E95" s="160"/>
      <c r="F95" s="160"/>
      <c r="G95" s="160"/>
      <c r="H95" s="160"/>
      <c r="I95" s="160"/>
      <c r="J95" s="160"/>
      <c r="K95" s="160"/>
      <c r="L95" s="160"/>
      <c r="M95" s="160"/>
      <c r="N95" s="160"/>
      <c r="O95" s="160"/>
      <c r="P95" s="160"/>
      <c r="Q95" s="160"/>
      <c r="R95" s="160"/>
      <c r="S95" s="161"/>
    </row>
    <row r="96" spans="1:20" ht="97.5" customHeight="1">
      <c r="B96" s="153"/>
      <c r="C96" s="30" t="s">
        <v>60</v>
      </c>
      <c r="D96" s="145" t="s">
        <v>205</v>
      </c>
      <c r="E96" s="146"/>
      <c r="F96" s="146"/>
      <c r="G96" s="146"/>
      <c r="H96" s="146"/>
      <c r="I96" s="146"/>
      <c r="J96" s="146"/>
      <c r="K96" s="146"/>
      <c r="L96" s="146"/>
      <c r="M96" s="146"/>
      <c r="N96" s="146"/>
      <c r="O96" s="146"/>
      <c r="P96" s="146"/>
      <c r="Q96" s="146"/>
      <c r="R96" s="146"/>
      <c r="S96" s="147"/>
    </row>
    <row r="97" spans="1:19" ht="97.5" customHeight="1">
      <c r="B97" s="152" t="s">
        <v>79</v>
      </c>
      <c r="C97" s="29" t="s">
        <v>57</v>
      </c>
      <c r="D97" s="155" t="s">
        <v>206</v>
      </c>
      <c r="E97" s="109"/>
      <c r="F97" s="109"/>
      <c r="G97" s="109"/>
      <c r="H97" s="109"/>
      <c r="I97" s="109"/>
      <c r="J97" s="109"/>
      <c r="K97" s="109"/>
      <c r="L97" s="109"/>
      <c r="M97" s="109"/>
      <c r="N97" s="109"/>
      <c r="O97" s="109"/>
      <c r="P97" s="109"/>
      <c r="Q97" s="109"/>
      <c r="R97" s="109"/>
      <c r="S97" s="110"/>
    </row>
    <row r="98" spans="1:19" ht="97.5" customHeight="1">
      <c r="B98" s="154"/>
      <c r="C98" s="32" t="s">
        <v>75</v>
      </c>
      <c r="D98" s="148" t="s">
        <v>207</v>
      </c>
      <c r="E98" s="98"/>
      <c r="F98" s="98"/>
      <c r="G98" s="98"/>
      <c r="H98" s="98"/>
      <c r="I98" s="98"/>
      <c r="J98" s="98"/>
      <c r="K98" s="98"/>
      <c r="L98" s="98"/>
      <c r="M98" s="98"/>
      <c r="N98" s="98"/>
      <c r="O98" s="98"/>
      <c r="P98" s="98"/>
      <c r="Q98" s="98"/>
      <c r="R98" s="98"/>
      <c r="S98" s="99"/>
    </row>
    <row r="99" spans="1:19" ht="97.5" customHeight="1">
      <c r="B99" s="153"/>
      <c r="C99" s="31" t="s">
        <v>76</v>
      </c>
      <c r="D99" s="156" t="s">
        <v>208</v>
      </c>
      <c r="E99" s="157"/>
      <c r="F99" s="157"/>
      <c r="G99" s="157"/>
      <c r="H99" s="157"/>
      <c r="I99" s="157"/>
      <c r="J99" s="157"/>
      <c r="K99" s="157"/>
      <c r="L99" s="157"/>
      <c r="M99" s="157"/>
      <c r="N99" s="157"/>
      <c r="O99" s="157"/>
      <c r="P99" s="157"/>
      <c r="Q99" s="157"/>
      <c r="R99" s="157"/>
      <c r="S99" s="158"/>
    </row>
    <row r="100" spans="1:19" ht="6" customHeight="1"/>
    <row r="101" spans="1:19" ht="18.75" customHeight="1">
      <c r="A101" s="88" t="s">
        <v>120</v>
      </c>
    </row>
    <row r="102" spans="1:19" ht="81.75" customHeight="1">
      <c r="B102" s="127" t="s">
        <v>129</v>
      </c>
      <c r="C102" s="128"/>
      <c r="D102" s="128"/>
      <c r="E102" s="128"/>
      <c r="F102" s="128"/>
      <c r="G102" s="128"/>
      <c r="H102" s="128"/>
      <c r="I102" s="128"/>
      <c r="J102" s="128"/>
      <c r="K102" s="128"/>
      <c r="L102" s="128"/>
      <c r="M102" s="128"/>
      <c r="N102" s="128"/>
      <c r="O102" s="128"/>
      <c r="P102" s="128"/>
      <c r="Q102" s="128"/>
      <c r="R102" s="128"/>
      <c r="S102" s="129"/>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6">
    <dataValidation type="list" allowBlank="1" showInputMessage="1" showErrorMessage="1" sqref="G25:I31 Q25:S31 P69:S75 Q36:S42 G36:I42 Q47:S53 G47:I53 Q58:S64 G58:I64 F74:I75" xr:uid="{26BE8CED-B60D-494F-9429-03CB441A36FC}">
      <formula1>"○"</formula1>
    </dataValidation>
    <dataValidation type="list" allowBlank="1" showInputMessage="1" showErrorMessage="1" sqref="S32 S43 D32:G32 D43:G43" xr:uid="{D0F99149-26D5-49B5-96CB-1D2B606F18DF}">
      <formula1>"全学開講,一部開講"</formula1>
    </dataValidation>
    <dataValidation type="list" allowBlank="1" showInputMessage="1" showErrorMessage="1" sqref="K7 K12" xr:uid="{7670159B-DB58-4FD8-A3EB-CE2F022BE202}">
      <formula1>"学部・学科によって、修了要件は相違する,学部・学科によって、修了要件は相違しない"</formula1>
    </dataValidation>
    <dataValidation type="list" allowBlank="1" showInputMessage="1" showErrorMessage="1" sqref="F79:F86 P79:P86 G79:I80 G83:I86 Q83:S86 Q79:S80" xr:uid="{02E926CE-FB74-41A0-B1D7-CBD9B43A454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AAFB731A-7D86-4EE0-BEEC-CEC6139EF1D2}">
      <formula1>$V$14:$V$16</formula1>
    </dataValidation>
    <dataValidation type="list" allowBlank="1" showErrorMessage="1" sqref="F69:F73 H69:I73" xr:uid="{7F4A2E94-C69D-485D-8A25-06A00CF6DE26}">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C96A-C201-450A-AA47-03D59C260772}">
  <sheetPr>
    <tabColor rgb="FFFF0000"/>
    <pageSetUpPr fitToPage="1"/>
  </sheetPr>
  <dimension ref="A1:V110"/>
  <sheetViews>
    <sheetView showZeros="0" view="pageBreakPreview" zoomScaleNormal="100" zoomScaleSheetLayoutView="100" workbookViewId="0">
      <selection activeCell="AA25" sqref="AA25"/>
    </sheetView>
  </sheetViews>
  <sheetFormatPr defaultColWidth="9" defaultRowHeight="18.75" customHeight="1"/>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c r="R1" s="107" t="s">
        <v>209</v>
      </c>
      <c r="S1" s="107"/>
      <c r="T1" s="66" t="s">
        <v>109</v>
      </c>
    </row>
    <row r="2" spans="1:22" ht="18.75" customHeight="1">
      <c r="B2" s="87" t="s">
        <v>108</v>
      </c>
      <c r="C2" s="103" t="s">
        <v>125</v>
      </c>
      <c r="D2" s="104"/>
      <c r="E2" s="104"/>
      <c r="F2" s="104"/>
      <c r="G2" s="104"/>
      <c r="H2" s="104"/>
      <c r="I2" s="105"/>
      <c r="J2" s="86"/>
      <c r="K2" s="8"/>
      <c r="L2" s="8"/>
      <c r="M2" s="8"/>
      <c r="N2" s="8"/>
      <c r="O2" s="8"/>
      <c r="P2" s="8"/>
      <c r="Q2" s="8"/>
      <c r="R2" s="8"/>
      <c r="S2" s="8"/>
    </row>
    <row r="3" spans="1:22" ht="18.75" customHeight="1">
      <c r="B3" s="87" t="s">
        <v>102</v>
      </c>
      <c r="C3" s="103" t="s">
        <v>126</v>
      </c>
      <c r="D3" s="104"/>
      <c r="E3" s="104"/>
      <c r="F3" s="104"/>
      <c r="G3" s="104"/>
      <c r="H3" s="104"/>
      <c r="I3" s="105"/>
      <c r="J3" s="86"/>
      <c r="K3" s="8"/>
      <c r="L3" s="8"/>
      <c r="M3" s="8"/>
      <c r="N3" s="8"/>
      <c r="O3" s="8"/>
      <c r="P3" s="8"/>
      <c r="Q3" s="8"/>
      <c r="R3" s="8"/>
      <c r="S3" s="8"/>
    </row>
    <row r="4" spans="1:22" ht="15" customHeight="1">
      <c r="K4" s="86"/>
      <c r="L4" s="9"/>
      <c r="M4" s="9"/>
      <c r="N4" s="9"/>
      <c r="O4" s="9"/>
      <c r="P4" s="9"/>
      <c r="Q4" s="9"/>
      <c r="R4" s="9"/>
      <c r="S4" s="9"/>
    </row>
    <row r="5" spans="1:22" ht="18" customHeight="1">
      <c r="A5" s="114" t="s">
        <v>38</v>
      </c>
      <c r="B5" s="114"/>
      <c r="C5" s="114"/>
      <c r="D5" s="114"/>
      <c r="E5" s="114"/>
      <c r="F5" s="114"/>
      <c r="G5" s="114"/>
      <c r="H5" s="114"/>
      <c r="I5" s="114"/>
      <c r="J5" s="114"/>
      <c r="K5" s="114"/>
      <c r="L5" s="114"/>
      <c r="M5" s="114"/>
      <c r="N5" s="114"/>
      <c r="O5" s="114"/>
      <c r="P5" s="114"/>
      <c r="Q5" s="114"/>
      <c r="R5" s="114"/>
      <c r="S5" s="114"/>
    </row>
    <row r="6" spans="1:22" ht="15" customHeight="1">
      <c r="B6" s="89"/>
      <c r="C6" s="89"/>
      <c r="D6" s="89"/>
      <c r="E6" s="89"/>
      <c r="F6" s="89"/>
      <c r="G6" s="89"/>
      <c r="H6" s="89"/>
      <c r="I6" s="89"/>
      <c r="J6" s="89"/>
      <c r="K6" s="89"/>
      <c r="L6" s="89"/>
      <c r="M6" s="89"/>
      <c r="N6" s="89"/>
      <c r="O6" s="89"/>
      <c r="P6" s="89"/>
      <c r="Q6" s="89"/>
      <c r="R6" s="89"/>
      <c r="S6" s="89"/>
    </row>
    <row r="7" spans="1:22" ht="18" customHeight="1">
      <c r="A7" s="88" t="s">
        <v>123</v>
      </c>
      <c r="C7" s="89"/>
      <c r="J7" s="11" t="s">
        <v>107</v>
      </c>
      <c r="K7" s="124" t="s">
        <v>127</v>
      </c>
      <c r="L7" s="125"/>
      <c r="M7" s="125"/>
      <c r="N7" s="125"/>
      <c r="O7" s="125"/>
      <c r="P7" s="125"/>
      <c r="Q7" s="125"/>
      <c r="R7" s="125"/>
      <c r="S7" s="126"/>
    </row>
    <row r="8" spans="1:22" ht="6" customHeight="1">
      <c r="B8" s="89"/>
      <c r="C8" s="89"/>
      <c r="D8" s="89"/>
      <c r="E8" s="89"/>
      <c r="F8" s="89"/>
      <c r="G8" s="89"/>
      <c r="H8" s="89"/>
      <c r="I8" s="89"/>
      <c r="J8" s="89"/>
      <c r="K8" s="12"/>
      <c r="L8" s="89"/>
      <c r="M8" s="89"/>
      <c r="N8" s="89"/>
      <c r="O8" s="89"/>
      <c r="P8" s="89"/>
      <c r="Q8" s="89"/>
      <c r="R8" s="89"/>
      <c r="S8" s="89"/>
    </row>
    <row r="9" spans="1:22" ht="18" customHeight="1">
      <c r="B9" s="91" t="s">
        <v>210</v>
      </c>
      <c r="C9" s="92"/>
      <c r="D9" s="92"/>
      <c r="E9" s="92"/>
      <c r="F9" s="92"/>
      <c r="G9" s="92"/>
      <c r="H9" s="92"/>
      <c r="I9" s="92"/>
      <c r="J9" s="92"/>
      <c r="K9" s="92"/>
      <c r="L9" s="92"/>
      <c r="M9" s="92"/>
      <c r="N9" s="92"/>
      <c r="O9" s="92"/>
      <c r="P9" s="92"/>
      <c r="Q9" s="92"/>
      <c r="R9" s="92"/>
      <c r="S9" s="93"/>
    </row>
    <row r="10" spans="1:22" ht="18" customHeight="1">
      <c r="B10" s="94"/>
      <c r="C10" s="95"/>
      <c r="D10" s="95"/>
      <c r="E10" s="95"/>
      <c r="F10" s="95"/>
      <c r="G10" s="95"/>
      <c r="H10" s="95"/>
      <c r="I10" s="95"/>
      <c r="J10" s="95"/>
      <c r="K10" s="95"/>
      <c r="L10" s="95"/>
      <c r="M10" s="95"/>
      <c r="N10" s="95"/>
      <c r="O10" s="95"/>
      <c r="P10" s="95"/>
      <c r="Q10" s="95"/>
      <c r="R10" s="95"/>
      <c r="S10" s="96"/>
    </row>
    <row r="11" spans="1:22" ht="6" customHeight="1">
      <c r="B11" s="89"/>
      <c r="C11" s="89"/>
      <c r="D11" s="89"/>
      <c r="E11" s="89"/>
      <c r="F11" s="89"/>
      <c r="G11" s="89"/>
      <c r="H11" s="89"/>
      <c r="I11" s="89"/>
      <c r="J11" s="89"/>
      <c r="K11" s="12"/>
      <c r="L11" s="89"/>
      <c r="M11" s="89"/>
      <c r="N11" s="89"/>
      <c r="O11" s="89"/>
      <c r="P11" s="89"/>
      <c r="Q11" s="89"/>
      <c r="R11" s="89"/>
      <c r="S11" s="89"/>
    </row>
    <row r="12" spans="1:22" ht="18" customHeight="1">
      <c r="A12" s="88" t="s">
        <v>111</v>
      </c>
      <c r="B12" s="89"/>
      <c r="C12" s="89"/>
      <c r="D12" s="86"/>
      <c r="E12" s="86"/>
      <c r="F12" s="86"/>
      <c r="G12" s="86"/>
      <c r="H12" s="86"/>
      <c r="I12" s="86"/>
      <c r="J12" s="86"/>
      <c r="K12" s="13"/>
      <c r="L12" s="13"/>
      <c r="M12" s="13"/>
      <c r="N12" s="13"/>
      <c r="O12" s="13"/>
      <c r="P12" s="13"/>
      <c r="Q12" s="13"/>
      <c r="R12" s="13"/>
      <c r="S12" s="13"/>
    </row>
    <row r="13" spans="1:22" ht="18" customHeight="1">
      <c r="B13" s="115" t="s">
        <v>211</v>
      </c>
      <c r="C13" s="116"/>
      <c r="D13" s="116"/>
      <c r="E13" s="116"/>
      <c r="F13" s="116"/>
      <c r="G13" s="116"/>
      <c r="H13" s="116"/>
      <c r="I13" s="116"/>
      <c r="J13" s="116"/>
      <c r="K13" s="116"/>
      <c r="L13" s="116"/>
      <c r="M13" s="116"/>
      <c r="N13" s="116"/>
      <c r="O13" s="116"/>
      <c r="P13" s="116"/>
      <c r="Q13" s="116"/>
      <c r="R13" s="116"/>
      <c r="S13" s="117"/>
      <c r="V13" s="88" t="s">
        <v>103</v>
      </c>
    </row>
    <row r="14" spans="1:22" ht="18" customHeight="1">
      <c r="B14" s="118"/>
      <c r="C14" s="119"/>
      <c r="D14" s="119"/>
      <c r="E14" s="119"/>
      <c r="F14" s="119"/>
      <c r="G14" s="119"/>
      <c r="H14" s="119"/>
      <c r="I14" s="119"/>
      <c r="J14" s="119"/>
      <c r="K14" s="119"/>
      <c r="L14" s="119"/>
      <c r="M14" s="119"/>
      <c r="N14" s="119"/>
      <c r="O14" s="119"/>
      <c r="P14" s="119"/>
      <c r="Q14" s="119"/>
      <c r="R14" s="119"/>
      <c r="S14" s="120"/>
      <c r="V14" s="88" t="s">
        <v>110</v>
      </c>
    </row>
    <row r="15" spans="1:22" ht="18" customHeight="1">
      <c r="B15" s="118"/>
      <c r="C15" s="119"/>
      <c r="D15" s="119"/>
      <c r="E15" s="119"/>
      <c r="F15" s="119"/>
      <c r="G15" s="119"/>
      <c r="H15" s="119"/>
      <c r="I15" s="119"/>
      <c r="J15" s="119"/>
      <c r="K15" s="119"/>
      <c r="L15" s="119"/>
      <c r="M15" s="119"/>
      <c r="N15" s="119"/>
      <c r="O15" s="119"/>
      <c r="P15" s="119"/>
      <c r="Q15" s="119"/>
      <c r="R15" s="119"/>
      <c r="S15" s="120"/>
      <c r="V15" s="88" t="s">
        <v>122</v>
      </c>
    </row>
    <row r="16" spans="1:22" ht="18" customHeight="1">
      <c r="B16" s="118"/>
      <c r="C16" s="119"/>
      <c r="D16" s="119"/>
      <c r="E16" s="119"/>
      <c r="F16" s="119"/>
      <c r="G16" s="119"/>
      <c r="H16" s="119"/>
      <c r="I16" s="119"/>
      <c r="J16" s="119"/>
      <c r="K16" s="119"/>
      <c r="L16" s="119"/>
      <c r="M16" s="119"/>
      <c r="N16" s="119"/>
      <c r="O16" s="119"/>
      <c r="P16" s="119"/>
      <c r="Q16" s="119"/>
      <c r="R16" s="119"/>
      <c r="S16" s="120"/>
      <c r="V16" s="88" t="s">
        <v>124</v>
      </c>
    </row>
    <row r="17" spans="1:19" ht="18" customHeight="1">
      <c r="B17" s="118"/>
      <c r="C17" s="119"/>
      <c r="D17" s="119"/>
      <c r="E17" s="119"/>
      <c r="F17" s="119"/>
      <c r="G17" s="119"/>
      <c r="H17" s="119"/>
      <c r="I17" s="119"/>
      <c r="J17" s="119"/>
      <c r="K17" s="119"/>
      <c r="L17" s="119"/>
      <c r="M17" s="119"/>
      <c r="N17" s="119"/>
      <c r="O17" s="119"/>
      <c r="P17" s="119"/>
      <c r="Q17" s="119"/>
      <c r="R17" s="119"/>
      <c r="S17" s="120"/>
    </row>
    <row r="18" spans="1:19" ht="18" customHeight="1">
      <c r="B18" s="121"/>
      <c r="C18" s="122"/>
      <c r="D18" s="122"/>
      <c r="E18" s="122"/>
      <c r="F18" s="122"/>
      <c r="G18" s="122"/>
      <c r="H18" s="122"/>
      <c r="I18" s="122"/>
      <c r="J18" s="122"/>
      <c r="K18" s="122"/>
      <c r="L18" s="122"/>
      <c r="M18" s="122"/>
      <c r="N18" s="122"/>
      <c r="O18" s="122"/>
      <c r="P18" s="122"/>
      <c r="Q18" s="122"/>
      <c r="R18" s="122"/>
      <c r="S18" s="123"/>
    </row>
    <row r="19" spans="1:19" ht="7.5" customHeight="1">
      <c r="B19" s="89"/>
      <c r="C19" s="89"/>
      <c r="D19" s="89"/>
      <c r="E19" s="89"/>
      <c r="F19" s="89"/>
      <c r="G19" s="89"/>
      <c r="H19" s="89"/>
      <c r="I19" s="89"/>
      <c r="J19" s="89"/>
      <c r="K19" s="89"/>
      <c r="L19" s="89"/>
      <c r="M19" s="89"/>
      <c r="N19" s="89"/>
      <c r="O19" s="89"/>
      <c r="P19" s="89"/>
      <c r="Q19" s="89"/>
      <c r="R19" s="89"/>
      <c r="S19" s="89"/>
    </row>
    <row r="20" spans="1:19" ht="19.899999999999999" customHeight="1">
      <c r="B20" s="88" t="s">
        <v>112</v>
      </c>
      <c r="C20" s="103">
        <v>2</v>
      </c>
      <c r="D20" s="105"/>
      <c r="E20" s="14" t="s">
        <v>95</v>
      </c>
      <c r="G20" s="12"/>
      <c r="H20" s="89"/>
      <c r="I20" s="89"/>
      <c r="J20" s="86" t="s">
        <v>121</v>
      </c>
      <c r="K20" s="111" t="s">
        <v>110</v>
      </c>
      <c r="L20" s="112"/>
      <c r="M20" s="112"/>
      <c r="N20" s="112"/>
      <c r="O20" s="112"/>
      <c r="P20" s="112"/>
      <c r="Q20" s="112"/>
      <c r="R20" s="112"/>
      <c r="S20" s="113"/>
    </row>
    <row r="21" spans="1:19" ht="7.5" customHeight="1">
      <c r="B21" s="89"/>
      <c r="C21" s="89"/>
      <c r="D21" s="89"/>
      <c r="E21" s="89"/>
      <c r="F21" s="89"/>
      <c r="G21" s="89"/>
      <c r="H21" s="89"/>
      <c r="I21" s="89"/>
      <c r="J21" s="89"/>
      <c r="K21" s="89"/>
      <c r="L21" s="89"/>
      <c r="M21" s="89"/>
      <c r="N21" s="89"/>
      <c r="O21" s="89"/>
      <c r="P21" s="89"/>
      <c r="Q21" s="89"/>
      <c r="R21" s="89"/>
      <c r="S21" s="89"/>
    </row>
    <row r="22" spans="1:19" ht="18" customHeight="1">
      <c r="A22" s="106" t="s">
        <v>113</v>
      </c>
      <c r="B22" s="106"/>
      <c r="C22" s="106"/>
      <c r="D22" s="106"/>
      <c r="E22" s="106"/>
      <c r="F22" s="106"/>
      <c r="G22" s="106"/>
      <c r="H22" s="106"/>
      <c r="I22" s="106"/>
      <c r="J22" s="106"/>
      <c r="K22" s="106"/>
      <c r="L22" s="106"/>
      <c r="M22" s="106"/>
      <c r="N22" s="106"/>
      <c r="O22" s="106"/>
      <c r="P22" s="106"/>
      <c r="Q22" s="106"/>
      <c r="R22" s="106"/>
      <c r="S22" s="106"/>
    </row>
    <row r="23" spans="1:19" ht="18" customHeight="1">
      <c r="A23" s="106"/>
      <c r="B23" s="106"/>
      <c r="C23" s="106"/>
      <c r="D23" s="106"/>
      <c r="E23" s="106"/>
      <c r="F23" s="106"/>
      <c r="G23" s="106"/>
      <c r="H23" s="106"/>
      <c r="I23" s="106"/>
      <c r="J23" s="106"/>
      <c r="K23" s="106"/>
      <c r="L23" s="106"/>
      <c r="M23" s="106"/>
      <c r="N23" s="106"/>
      <c r="O23" s="106"/>
      <c r="P23" s="106"/>
      <c r="Q23" s="106"/>
      <c r="R23" s="106"/>
      <c r="S23" s="106"/>
    </row>
    <row r="24" spans="1:19" ht="18" customHeight="1">
      <c r="B24" s="103" t="s">
        <v>53</v>
      </c>
      <c r="C24" s="104"/>
      <c r="D24" s="104"/>
      <c r="E24" s="105"/>
      <c r="F24" s="15" t="s">
        <v>80</v>
      </c>
      <c r="G24" s="16" t="s">
        <v>84</v>
      </c>
      <c r="H24" s="17" t="s">
        <v>56</v>
      </c>
      <c r="I24" s="17" t="s">
        <v>59</v>
      </c>
      <c r="J24" s="103" t="s">
        <v>53</v>
      </c>
      <c r="K24" s="104"/>
      <c r="L24" s="104"/>
      <c r="M24" s="104"/>
      <c r="N24" s="104"/>
      <c r="O24" s="105"/>
      <c r="P24" s="15" t="s">
        <v>80</v>
      </c>
      <c r="Q24" s="16" t="s">
        <v>84</v>
      </c>
      <c r="R24" s="17" t="s">
        <v>56</v>
      </c>
      <c r="S24" s="17" t="s">
        <v>59</v>
      </c>
    </row>
    <row r="25" spans="1:19" ht="18" customHeight="1">
      <c r="B25" s="97" t="s">
        <v>212</v>
      </c>
      <c r="C25" s="98"/>
      <c r="D25" s="98"/>
      <c r="E25" s="99"/>
      <c r="F25" s="18">
        <v>1</v>
      </c>
      <c r="G25" s="18" t="s">
        <v>128</v>
      </c>
      <c r="H25" s="18" t="s">
        <v>128</v>
      </c>
      <c r="I25" s="18" t="s">
        <v>128</v>
      </c>
      <c r="J25" s="108"/>
      <c r="K25" s="109"/>
      <c r="L25" s="109"/>
      <c r="M25" s="109"/>
      <c r="N25" s="109"/>
      <c r="O25" s="110"/>
      <c r="P25" s="18"/>
      <c r="Q25" s="18"/>
      <c r="R25" s="18"/>
      <c r="S25" s="18"/>
    </row>
    <row r="26" spans="1:19" ht="18" customHeight="1">
      <c r="B26" s="97"/>
      <c r="C26" s="98"/>
      <c r="D26" s="98"/>
      <c r="E26" s="99"/>
      <c r="F26" s="19"/>
      <c r="G26" s="19"/>
      <c r="H26" s="19"/>
      <c r="I26" s="19"/>
      <c r="J26" s="97"/>
      <c r="K26" s="98"/>
      <c r="L26" s="98"/>
      <c r="M26" s="98"/>
      <c r="N26" s="98"/>
      <c r="O26" s="99"/>
      <c r="P26" s="19"/>
      <c r="Q26" s="19"/>
      <c r="R26" s="19"/>
      <c r="S26" s="19"/>
    </row>
    <row r="27" spans="1:19" ht="18" customHeight="1">
      <c r="B27" s="97"/>
      <c r="C27" s="98"/>
      <c r="D27" s="98"/>
      <c r="E27" s="99"/>
      <c r="F27" s="19"/>
      <c r="G27" s="19"/>
      <c r="H27" s="19"/>
      <c r="I27" s="19"/>
      <c r="J27" s="97"/>
      <c r="K27" s="98"/>
      <c r="L27" s="98"/>
      <c r="M27" s="98"/>
      <c r="N27" s="98"/>
      <c r="O27" s="99"/>
      <c r="P27" s="19"/>
      <c r="Q27" s="19"/>
      <c r="R27" s="19"/>
      <c r="S27" s="19"/>
    </row>
    <row r="28" spans="1:19" ht="18" customHeight="1">
      <c r="B28" s="97"/>
      <c r="C28" s="98"/>
      <c r="D28" s="98"/>
      <c r="E28" s="99"/>
      <c r="F28" s="19"/>
      <c r="G28" s="19"/>
      <c r="H28" s="19"/>
      <c r="I28" s="19"/>
      <c r="J28" s="97"/>
      <c r="K28" s="98"/>
      <c r="L28" s="98"/>
      <c r="M28" s="98"/>
      <c r="N28" s="98"/>
      <c r="O28" s="99"/>
      <c r="P28" s="19"/>
      <c r="Q28" s="19"/>
      <c r="R28" s="19"/>
      <c r="S28" s="19"/>
    </row>
    <row r="29" spans="1:19" ht="18" customHeight="1">
      <c r="B29" s="97"/>
      <c r="C29" s="98"/>
      <c r="D29" s="98"/>
      <c r="E29" s="99"/>
      <c r="F29" s="19"/>
      <c r="G29" s="19"/>
      <c r="H29" s="19"/>
      <c r="I29" s="19"/>
      <c r="J29" s="97"/>
      <c r="K29" s="98"/>
      <c r="L29" s="98"/>
      <c r="M29" s="98"/>
      <c r="N29" s="98"/>
      <c r="O29" s="99"/>
      <c r="P29" s="19"/>
      <c r="Q29" s="19"/>
      <c r="R29" s="19"/>
      <c r="S29" s="19"/>
    </row>
    <row r="30" spans="1:19" ht="18" customHeight="1">
      <c r="A30" s="89"/>
      <c r="B30" s="97"/>
      <c r="C30" s="98"/>
      <c r="D30" s="98"/>
      <c r="E30" s="99"/>
      <c r="F30" s="19"/>
      <c r="G30" s="19"/>
      <c r="H30" s="19"/>
      <c r="I30" s="19"/>
      <c r="J30" s="97"/>
      <c r="K30" s="98"/>
      <c r="L30" s="98"/>
      <c r="M30" s="98"/>
      <c r="N30" s="98"/>
      <c r="O30" s="99"/>
      <c r="P30" s="19"/>
      <c r="Q30" s="19"/>
      <c r="R30" s="19"/>
      <c r="S30" s="19"/>
    </row>
    <row r="31" spans="1:19" ht="18" customHeight="1">
      <c r="A31" s="89"/>
      <c r="B31" s="100"/>
      <c r="C31" s="101"/>
      <c r="D31" s="101"/>
      <c r="E31" s="102"/>
      <c r="F31" s="20"/>
      <c r="G31" s="20"/>
      <c r="H31" s="21"/>
      <c r="I31" s="21"/>
      <c r="J31" s="100"/>
      <c r="K31" s="101"/>
      <c r="L31" s="101"/>
      <c r="M31" s="101"/>
      <c r="N31" s="101"/>
      <c r="O31" s="102"/>
      <c r="P31" s="20"/>
      <c r="Q31" s="20"/>
      <c r="R31" s="21"/>
      <c r="S31" s="21"/>
    </row>
    <row r="32" spans="1:19" ht="7.5" customHeight="1">
      <c r="A32" s="89"/>
      <c r="B32" s="8"/>
      <c r="C32" s="8"/>
      <c r="D32" s="89"/>
      <c r="E32" s="89"/>
      <c r="F32" s="89"/>
      <c r="G32" s="89"/>
      <c r="H32" s="8"/>
      <c r="I32" s="8"/>
      <c r="J32" s="8"/>
      <c r="K32" s="8"/>
      <c r="L32" s="8"/>
      <c r="M32" s="8"/>
      <c r="N32" s="8"/>
      <c r="O32" s="8"/>
      <c r="P32" s="8"/>
      <c r="Q32" s="8"/>
      <c r="R32" s="8"/>
      <c r="S32" s="89"/>
    </row>
    <row r="33" spans="1:19" ht="18" customHeight="1">
      <c r="A33" s="106" t="s">
        <v>114</v>
      </c>
      <c r="B33" s="106"/>
      <c r="C33" s="106"/>
      <c r="D33" s="106"/>
      <c r="E33" s="106"/>
      <c r="F33" s="106"/>
      <c r="G33" s="106"/>
      <c r="H33" s="106"/>
      <c r="I33" s="106"/>
      <c r="J33" s="106"/>
      <c r="K33" s="106"/>
      <c r="L33" s="106"/>
      <c r="M33" s="106"/>
      <c r="N33" s="106"/>
      <c r="O33" s="106"/>
      <c r="P33" s="106"/>
      <c r="Q33" s="106"/>
      <c r="R33" s="106"/>
      <c r="S33" s="106"/>
    </row>
    <row r="34" spans="1:19" ht="18" customHeight="1">
      <c r="A34" s="106"/>
      <c r="B34" s="106"/>
      <c r="C34" s="106"/>
      <c r="D34" s="106"/>
      <c r="E34" s="106"/>
      <c r="F34" s="106"/>
      <c r="G34" s="106"/>
      <c r="H34" s="106"/>
      <c r="I34" s="106"/>
      <c r="J34" s="106"/>
      <c r="K34" s="106"/>
      <c r="L34" s="106"/>
      <c r="M34" s="106"/>
      <c r="N34" s="106"/>
      <c r="O34" s="106"/>
      <c r="P34" s="106"/>
      <c r="Q34" s="106"/>
      <c r="R34" s="106"/>
      <c r="S34" s="106"/>
    </row>
    <row r="35" spans="1:19" ht="18" customHeight="1">
      <c r="B35" s="103" t="s">
        <v>53</v>
      </c>
      <c r="C35" s="104"/>
      <c r="D35" s="104"/>
      <c r="E35" s="105"/>
      <c r="F35" s="15" t="s">
        <v>80</v>
      </c>
      <c r="G35" s="16" t="s">
        <v>84</v>
      </c>
      <c r="H35" s="17" t="s">
        <v>71</v>
      </c>
      <c r="I35" s="17" t="s">
        <v>72</v>
      </c>
      <c r="J35" s="103" t="s">
        <v>53</v>
      </c>
      <c r="K35" s="104"/>
      <c r="L35" s="104"/>
      <c r="M35" s="104"/>
      <c r="N35" s="104"/>
      <c r="O35" s="105"/>
      <c r="P35" s="15" t="s">
        <v>80</v>
      </c>
      <c r="Q35" s="16" t="s">
        <v>84</v>
      </c>
      <c r="R35" s="17" t="s">
        <v>71</v>
      </c>
      <c r="S35" s="17" t="s">
        <v>72</v>
      </c>
    </row>
    <row r="36" spans="1:19" ht="18" customHeight="1">
      <c r="B36" s="97" t="s">
        <v>212</v>
      </c>
      <c r="C36" s="98"/>
      <c r="D36" s="98"/>
      <c r="E36" s="99"/>
      <c r="F36" s="18">
        <v>1</v>
      </c>
      <c r="G36" s="18" t="s">
        <v>128</v>
      </c>
      <c r="H36" s="18" t="s">
        <v>128</v>
      </c>
      <c r="I36" s="18" t="s">
        <v>128</v>
      </c>
      <c r="J36" s="108"/>
      <c r="K36" s="109"/>
      <c r="L36" s="109"/>
      <c r="M36" s="109"/>
      <c r="N36" s="109"/>
      <c r="O36" s="110"/>
      <c r="P36" s="18"/>
      <c r="Q36" s="18"/>
      <c r="R36" s="18"/>
      <c r="S36" s="18"/>
    </row>
    <row r="37" spans="1:19" ht="18" customHeight="1">
      <c r="B37" s="97"/>
      <c r="C37" s="98"/>
      <c r="D37" s="98"/>
      <c r="E37" s="99"/>
      <c r="F37" s="19"/>
      <c r="G37" s="19"/>
      <c r="H37" s="19"/>
      <c r="I37" s="19"/>
      <c r="J37" s="97"/>
      <c r="K37" s="98"/>
      <c r="L37" s="98"/>
      <c r="M37" s="98"/>
      <c r="N37" s="98"/>
      <c r="O37" s="99"/>
      <c r="P37" s="19"/>
      <c r="Q37" s="19"/>
      <c r="R37" s="19"/>
      <c r="S37" s="19"/>
    </row>
    <row r="38" spans="1:19" ht="18" customHeight="1">
      <c r="B38" s="97"/>
      <c r="C38" s="98"/>
      <c r="D38" s="98"/>
      <c r="E38" s="99"/>
      <c r="F38" s="19"/>
      <c r="G38" s="19"/>
      <c r="H38" s="19"/>
      <c r="I38" s="19"/>
      <c r="J38" s="97"/>
      <c r="K38" s="98"/>
      <c r="L38" s="98"/>
      <c r="M38" s="98"/>
      <c r="N38" s="98"/>
      <c r="O38" s="99"/>
      <c r="P38" s="19"/>
      <c r="Q38" s="19"/>
      <c r="R38" s="19"/>
      <c r="S38" s="19"/>
    </row>
    <row r="39" spans="1:19" ht="18" customHeight="1">
      <c r="B39" s="97"/>
      <c r="C39" s="98"/>
      <c r="D39" s="98"/>
      <c r="E39" s="99"/>
      <c r="F39" s="19"/>
      <c r="G39" s="19"/>
      <c r="H39" s="19"/>
      <c r="I39" s="19"/>
      <c r="J39" s="97"/>
      <c r="K39" s="98"/>
      <c r="L39" s="98"/>
      <c r="M39" s="98"/>
      <c r="N39" s="98"/>
      <c r="O39" s="99"/>
      <c r="P39" s="19"/>
      <c r="Q39" s="19"/>
      <c r="R39" s="19"/>
      <c r="S39" s="19"/>
    </row>
    <row r="40" spans="1:19" ht="18" customHeight="1">
      <c r="B40" s="97"/>
      <c r="C40" s="98"/>
      <c r="D40" s="98"/>
      <c r="E40" s="99"/>
      <c r="F40" s="19"/>
      <c r="G40" s="19"/>
      <c r="H40" s="19"/>
      <c r="I40" s="19"/>
      <c r="J40" s="97"/>
      <c r="K40" s="98"/>
      <c r="L40" s="98"/>
      <c r="M40" s="98"/>
      <c r="N40" s="98"/>
      <c r="O40" s="99"/>
      <c r="P40" s="19"/>
      <c r="Q40" s="19"/>
      <c r="R40" s="19"/>
      <c r="S40" s="19"/>
    </row>
    <row r="41" spans="1:19" ht="18" customHeight="1">
      <c r="B41" s="97"/>
      <c r="C41" s="98"/>
      <c r="D41" s="98"/>
      <c r="E41" s="99"/>
      <c r="F41" s="19"/>
      <c r="G41" s="19"/>
      <c r="H41" s="19"/>
      <c r="I41" s="19"/>
      <c r="J41" s="97"/>
      <c r="K41" s="98"/>
      <c r="L41" s="98"/>
      <c r="M41" s="98"/>
      <c r="N41" s="98"/>
      <c r="O41" s="99"/>
      <c r="P41" s="19"/>
      <c r="Q41" s="19"/>
      <c r="R41" s="19"/>
      <c r="S41" s="19"/>
    </row>
    <row r="42" spans="1:19" ht="18" customHeight="1">
      <c r="B42" s="100"/>
      <c r="C42" s="101"/>
      <c r="D42" s="101"/>
      <c r="E42" s="102"/>
      <c r="F42" s="20"/>
      <c r="G42" s="20"/>
      <c r="H42" s="21"/>
      <c r="I42" s="21"/>
      <c r="J42" s="100"/>
      <c r="K42" s="101"/>
      <c r="L42" s="101"/>
      <c r="M42" s="101"/>
      <c r="N42" s="101"/>
      <c r="O42" s="102"/>
      <c r="P42" s="20"/>
      <c r="Q42" s="20"/>
      <c r="R42" s="21"/>
      <c r="S42" s="21"/>
    </row>
    <row r="43" spans="1:19" ht="7.5" customHeight="1">
      <c r="A43" s="89"/>
      <c r="B43" s="8"/>
      <c r="C43" s="8"/>
      <c r="D43" s="89"/>
      <c r="E43" s="89"/>
      <c r="F43" s="89"/>
      <c r="G43" s="89"/>
      <c r="H43" s="8"/>
      <c r="I43" s="8"/>
      <c r="J43" s="8"/>
      <c r="K43" s="8"/>
      <c r="L43" s="8"/>
      <c r="M43" s="8"/>
      <c r="N43" s="8"/>
      <c r="O43" s="8"/>
      <c r="P43" s="8"/>
      <c r="Q43" s="8"/>
      <c r="R43" s="8"/>
      <c r="S43" s="89"/>
    </row>
    <row r="44" spans="1:19" ht="18" customHeight="1">
      <c r="A44" s="106" t="s">
        <v>115</v>
      </c>
      <c r="B44" s="106"/>
      <c r="C44" s="106"/>
      <c r="D44" s="106"/>
      <c r="E44" s="106"/>
      <c r="F44" s="106"/>
      <c r="G44" s="106"/>
      <c r="H44" s="106"/>
      <c r="I44" s="106"/>
      <c r="J44" s="106"/>
      <c r="K44" s="106"/>
      <c r="L44" s="106"/>
      <c r="M44" s="106"/>
      <c r="N44" s="106"/>
      <c r="O44" s="106"/>
      <c r="P44" s="106"/>
      <c r="Q44" s="106"/>
      <c r="R44" s="106"/>
      <c r="S44" s="106"/>
    </row>
    <row r="45" spans="1:19" ht="18" customHeight="1">
      <c r="A45" s="106"/>
      <c r="B45" s="106"/>
      <c r="C45" s="106"/>
      <c r="D45" s="106"/>
      <c r="E45" s="106"/>
      <c r="F45" s="106"/>
      <c r="G45" s="106"/>
      <c r="H45" s="106"/>
      <c r="I45" s="106"/>
      <c r="J45" s="106"/>
      <c r="K45" s="106"/>
      <c r="L45" s="106"/>
      <c r="M45" s="106"/>
      <c r="N45" s="106"/>
      <c r="O45" s="106"/>
      <c r="P45" s="106"/>
      <c r="Q45" s="106"/>
      <c r="R45" s="106"/>
      <c r="S45" s="106"/>
    </row>
    <row r="46" spans="1:19" ht="18" customHeight="1">
      <c r="B46" s="103" t="s">
        <v>53</v>
      </c>
      <c r="C46" s="104"/>
      <c r="D46" s="104"/>
      <c r="E46" s="105"/>
      <c r="F46" s="15" t="s">
        <v>80</v>
      </c>
      <c r="G46" s="16" t="s">
        <v>84</v>
      </c>
      <c r="H46" s="17" t="s">
        <v>73</v>
      </c>
      <c r="I46" s="17" t="s">
        <v>74</v>
      </c>
      <c r="J46" s="103" t="s">
        <v>53</v>
      </c>
      <c r="K46" s="104"/>
      <c r="L46" s="104"/>
      <c r="M46" s="104"/>
      <c r="N46" s="104"/>
      <c r="O46" s="105"/>
      <c r="P46" s="15" t="s">
        <v>80</v>
      </c>
      <c r="Q46" s="16" t="s">
        <v>84</v>
      </c>
      <c r="R46" s="17" t="s">
        <v>73</v>
      </c>
      <c r="S46" s="17" t="s">
        <v>74</v>
      </c>
    </row>
    <row r="47" spans="1:19" ht="18" customHeight="1">
      <c r="A47" s="89"/>
      <c r="B47" s="97" t="s">
        <v>212</v>
      </c>
      <c r="C47" s="98"/>
      <c r="D47" s="98"/>
      <c r="E47" s="99"/>
      <c r="F47" s="18">
        <v>1</v>
      </c>
      <c r="G47" s="18" t="s">
        <v>128</v>
      </c>
      <c r="H47" s="18" t="s">
        <v>128</v>
      </c>
      <c r="I47" s="18" t="s">
        <v>128</v>
      </c>
      <c r="J47" s="108"/>
      <c r="K47" s="109"/>
      <c r="L47" s="109"/>
      <c r="M47" s="109"/>
      <c r="N47" s="109"/>
      <c r="O47" s="110"/>
      <c r="P47" s="18"/>
      <c r="Q47" s="18"/>
      <c r="R47" s="18"/>
      <c r="S47" s="18"/>
    </row>
    <row r="48" spans="1:19" ht="18" customHeight="1">
      <c r="A48" s="89"/>
      <c r="B48" s="97"/>
      <c r="C48" s="98"/>
      <c r="D48" s="98"/>
      <c r="E48" s="99"/>
      <c r="F48" s="19"/>
      <c r="G48" s="19"/>
      <c r="H48" s="19"/>
      <c r="I48" s="19"/>
      <c r="J48" s="97"/>
      <c r="K48" s="98"/>
      <c r="L48" s="98"/>
      <c r="M48" s="98"/>
      <c r="N48" s="98"/>
      <c r="O48" s="99"/>
      <c r="P48" s="19"/>
      <c r="Q48" s="19"/>
      <c r="R48" s="19"/>
      <c r="S48" s="19"/>
    </row>
    <row r="49" spans="1:19" ht="18" customHeight="1">
      <c r="A49" s="89"/>
      <c r="B49" s="97"/>
      <c r="C49" s="98"/>
      <c r="D49" s="98"/>
      <c r="E49" s="99"/>
      <c r="F49" s="19"/>
      <c r="G49" s="19"/>
      <c r="H49" s="19"/>
      <c r="I49" s="19"/>
      <c r="J49" s="97"/>
      <c r="K49" s="98"/>
      <c r="L49" s="98"/>
      <c r="M49" s="98"/>
      <c r="N49" s="98"/>
      <c r="O49" s="99"/>
      <c r="P49" s="19"/>
      <c r="Q49" s="19"/>
      <c r="R49" s="19"/>
      <c r="S49" s="19"/>
    </row>
    <row r="50" spans="1:19" ht="18" customHeight="1">
      <c r="A50" s="89"/>
      <c r="B50" s="97"/>
      <c r="C50" s="98"/>
      <c r="D50" s="98"/>
      <c r="E50" s="99"/>
      <c r="F50" s="19"/>
      <c r="G50" s="19"/>
      <c r="H50" s="19"/>
      <c r="I50" s="19"/>
      <c r="J50" s="97"/>
      <c r="K50" s="98"/>
      <c r="L50" s="98"/>
      <c r="M50" s="98"/>
      <c r="N50" s="98"/>
      <c r="O50" s="99"/>
      <c r="P50" s="19"/>
      <c r="Q50" s="19"/>
      <c r="R50" s="19"/>
      <c r="S50" s="19"/>
    </row>
    <row r="51" spans="1:19" ht="18" customHeight="1">
      <c r="A51" s="89"/>
      <c r="B51" s="97"/>
      <c r="C51" s="98"/>
      <c r="D51" s="98"/>
      <c r="E51" s="99"/>
      <c r="F51" s="19"/>
      <c r="G51" s="19"/>
      <c r="H51" s="19"/>
      <c r="I51" s="19"/>
      <c r="J51" s="97"/>
      <c r="K51" s="98"/>
      <c r="L51" s="98"/>
      <c r="M51" s="98"/>
      <c r="N51" s="98"/>
      <c r="O51" s="99"/>
      <c r="P51" s="19"/>
      <c r="Q51" s="19"/>
      <c r="R51" s="19"/>
      <c r="S51" s="19"/>
    </row>
    <row r="52" spans="1:19" ht="18" customHeight="1">
      <c r="A52" s="89"/>
      <c r="B52" s="97"/>
      <c r="C52" s="98"/>
      <c r="D52" s="98"/>
      <c r="E52" s="99"/>
      <c r="F52" s="19"/>
      <c r="G52" s="19"/>
      <c r="H52" s="19"/>
      <c r="I52" s="19"/>
      <c r="J52" s="97"/>
      <c r="K52" s="98"/>
      <c r="L52" s="98"/>
      <c r="M52" s="98"/>
      <c r="N52" s="98"/>
      <c r="O52" s="99"/>
      <c r="P52" s="19"/>
      <c r="Q52" s="19"/>
      <c r="R52" s="19"/>
      <c r="S52" s="19"/>
    </row>
    <row r="53" spans="1:19" ht="18" customHeight="1">
      <c r="A53" s="89"/>
      <c r="B53" s="100"/>
      <c r="C53" s="101"/>
      <c r="D53" s="101"/>
      <c r="E53" s="102"/>
      <c r="F53" s="20"/>
      <c r="G53" s="20"/>
      <c r="H53" s="21"/>
      <c r="I53" s="21"/>
      <c r="J53" s="100"/>
      <c r="K53" s="101"/>
      <c r="L53" s="101"/>
      <c r="M53" s="101"/>
      <c r="N53" s="101"/>
      <c r="O53" s="102"/>
      <c r="P53" s="20"/>
      <c r="Q53" s="20"/>
      <c r="R53" s="21"/>
      <c r="S53" s="21"/>
    </row>
    <row r="54" spans="1:19" ht="7.5" customHeight="1">
      <c r="B54" s="90"/>
      <c r="C54" s="90"/>
      <c r="D54" s="90"/>
      <c r="E54" s="90"/>
      <c r="F54" s="90"/>
      <c r="G54" s="90"/>
      <c r="H54" s="90"/>
      <c r="I54" s="90"/>
      <c r="J54" s="90"/>
      <c r="K54" s="90"/>
      <c r="L54" s="90"/>
      <c r="M54" s="90"/>
      <c r="N54" s="90"/>
      <c r="O54" s="90"/>
      <c r="P54" s="90"/>
      <c r="Q54" s="90"/>
      <c r="R54" s="90"/>
    </row>
    <row r="55" spans="1:19" ht="18" customHeight="1">
      <c r="A55" s="106" t="s">
        <v>116</v>
      </c>
      <c r="B55" s="106"/>
      <c r="C55" s="106"/>
      <c r="D55" s="106"/>
      <c r="E55" s="106"/>
      <c r="F55" s="106"/>
      <c r="G55" s="106"/>
      <c r="H55" s="106"/>
      <c r="I55" s="106"/>
      <c r="J55" s="106"/>
      <c r="K55" s="106"/>
      <c r="L55" s="106"/>
      <c r="M55" s="106"/>
      <c r="N55" s="106"/>
      <c r="O55" s="106"/>
      <c r="P55" s="106"/>
      <c r="Q55" s="106"/>
      <c r="R55" s="106"/>
      <c r="S55" s="106"/>
    </row>
    <row r="56" spans="1:19" ht="18" customHeight="1">
      <c r="A56" s="106"/>
      <c r="B56" s="106"/>
      <c r="C56" s="106"/>
      <c r="D56" s="106"/>
      <c r="E56" s="106"/>
      <c r="F56" s="106"/>
      <c r="G56" s="106"/>
      <c r="H56" s="106"/>
      <c r="I56" s="106"/>
      <c r="J56" s="106"/>
      <c r="K56" s="106"/>
      <c r="L56" s="106"/>
      <c r="M56" s="106"/>
      <c r="N56" s="106"/>
      <c r="O56" s="106"/>
      <c r="P56" s="106"/>
      <c r="Q56" s="106"/>
      <c r="R56" s="106"/>
      <c r="S56" s="106"/>
    </row>
    <row r="57" spans="1:19" ht="18" customHeight="1">
      <c r="B57" s="103" t="s">
        <v>53</v>
      </c>
      <c r="C57" s="104"/>
      <c r="D57" s="104"/>
      <c r="E57" s="105"/>
      <c r="F57" s="15" t="s">
        <v>80</v>
      </c>
      <c r="G57" s="16" t="s">
        <v>84</v>
      </c>
      <c r="H57" s="17" t="s">
        <v>58</v>
      </c>
      <c r="I57" s="17" t="s">
        <v>60</v>
      </c>
      <c r="J57" s="103" t="s">
        <v>53</v>
      </c>
      <c r="K57" s="104"/>
      <c r="L57" s="104"/>
      <c r="M57" s="104"/>
      <c r="N57" s="104"/>
      <c r="O57" s="105"/>
      <c r="P57" s="15" t="s">
        <v>80</v>
      </c>
      <c r="Q57" s="16" t="s">
        <v>84</v>
      </c>
      <c r="R57" s="17" t="s">
        <v>58</v>
      </c>
      <c r="S57" s="17" t="s">
        <v>60</v>
      </c>
    </row>
    <row r="58" spans="1:19" ht="18" customHeight="1">
      <c r="A58" s="89"/>
      <c r="B58" s="97" t="s">
        <v>212</v>
      </c>
      <c r="C58" s="98"/>
      <c r="D58" s="98"/>
      <c r="E58" s="99"/>
      <c r="F58" s="18">
        <v>1</v>
      </c>
      <c r="G58" s="18" t="s">
        <v>128</v>
      </c>
      <c r="H58" s="18" t="s">
        <v>128</v>
      </c>
      <c r="I58" s="18" t="s">
        <v>128</v>
      </c>
      <c r="J58" s="108"/>
      <c r="K58" s="109"/>
      <c r="L58" s="109"/>
      <c r="M58" s="109"/>
      <c r="N58" s="109"/>
      <c r="O58" s="110"/>
      <c r="P58" s="18"/>
      <c r="Q58" s="18"/>
      <c r="R58" s="18"/>
      <c r="S58" s="18"/>
    </row>
    <row r="59" spans="1:19" ht="18" customHeight="1">
      <c r="A59" s="89"/>
      <c r="B59" s="97"/>
      <c r="C59" s="98"/>
      <c r="D59" s="98"/>
      <c r="E59" s="99"/>
      <c r="F59" s="19"/>
      <c r="G59" s="19"/>
      <c r="H59" s="19"/>
      <c r="I59" s="19"/>
      <c r="J59" s="97"/>
      <c r="K59" s="98"/>
      <c r="L59" s="98"/>
      <c r="M59" s="98"/>
      <c r="N59" s="98"/>
      <c r="O59" s="99"/>
      <c r="P59" s="19"/>
      <c r="Q59" s="19"/>
      <c r="R59" s="19"/>
      <c r="S59" s="19"/>
    </row>
    <row r="60" spans="1:19" ht="18" customHeight="1">
      <c r="A60" s="89"/>
      <c r="B60" s="97"/>
      <c r="C60" s="98"/>
      <c r="D60" s="98"/>
      <c r="E60" s="99"/>
      <c r="F60" s="19"/>
      <c r="G60" s="19"/>
      <c r="H60" s="19"/>
      <c r="I60" s="19"/>
      <c r="J60" s="97"/>
      <c r="K60" s="98"/>
      <c r="L60" s="98"/>
      <c r="M60" s="98"/>
      <c r="N60" s="98"/>
      <c r="O60" s="99"/>
      <c r="P60" s="19"/>
      <c r="Q60" s="19"/>
      <c r="R60" s="19"/>
      <c r="S60" s="19"/>
    </row>
    <row r="61" spans="1:19" ht="18" customHeight="1">
      <c r="A61" s="89"/>
      <c r="B61" s="97"/>
      <c r="C61" s="98"/>
      <c r="D61" s="98"/>
      <c r="E61" s="99"/>
      <c r="F61" s="19"/>
      <c r="G61" s="19"/>
      <c r="H61" s="19"/>
      <c r="I61" s="19"/>
      <c r="J61" s="97"/>
      <c r="K61" s="98"/>
      <c r="L61" s="98"/>
      <c r="M61" s="98"/>
      <c r="N61" s="98"/>
      <c r="O61" s="99"/>
      <c r="P61" s="19"/>
      <c r="Q61" s="19"/>
      <c r="R61" s="19"/>
      <c r="S61" s="19"/>
    </row>
    <row r="62" spans="1:19" ht="18" customHeight="1">
      <c r="A62" s="89"/>
      <c r="B62" s="97"/>
      <c r="C62" s="98"/>
      <c r="D62" s="98"/>
      <c r="E62" s="99"/>
      <c r="F62" s="19"/>
      <c r="G62" s="19"/>
      <c r="H62" s="19"/>
      <c r="I62" s="19"/>
      <c r="J62" s="97"/>
      <c r="K62" s="98"/>
      <c r="L62" s="98"/>
      <c r="M62" s="98"/>
      <c r="N62" s="98"/>
      <c r="O62" s="99"/>
      <c r="P62" s="19"/>
      <c r="Q62" s="19"/>
      <c r="R62" s="19"/>
      <c r="S62" s="19"/>
    </row>
    <row r="63" spans="1:19" ht="18" customHeight="1">
      <c r="A63" s="89"/>
      <c r="B63" s="97"/>
      <c r="C63" s="98"/>
      <c r="D63" s="98"/>
      <c r="E63" s="99"/>
      <c r="F63" s="19"/>
      <c r="G63" s="19"/>
      <c r="H63" s="19"/>
      <c r="I63" s="19"/>
      <c r="J63" s="97"/>
      <c r="K63" s="98"/>
      <c r="L63" s="98"/>
      <c r="M63" s="98"/>
      <c r="N63" s="98"/>
      <c r="O63" s="99"/>
      <c r="P63" s="19"/>
      <c r="Q63" s="19"/>
      <c r="R63" s="19"/>
      <c r="S63" s="19"/>
    </row>
    <row r="64" spans="1:19" ht="18" customHeight="1">
      <c r="A64" s="89"/>
      <c r="B64" s="100"/>
      <c r="C64" s="101"/>
      <c r="D64" s="101"/>
      <c r="E64" s="102"/>
      <c r="F64" s="20"/>
      <c r="G64" s="20"/>
      <c r="H64" s="21"/>
      <c r="I64" s="21"/>
      <c r="J64" s="100"/>
      <c r="K64" s="101"/>
      <c r="L64" s="101"/>
      <c r="M64" s="101"/>
      <c r="N64" s="101"/>
      <c r="O64" s="102"/>
      <c r="P64" s="20"/>
      <c r="Q64" s="20"/>
      <c r="R64" s="21"/>
      <c r="S64" s="21"/>
    </row>
    <row r="65" spans="1:19" ht="7.5" customHeight="1">
      <c r="B65" s="90"/>
      <c r="C65" s="90"/>
      <c r="D65" s="90"/>
      <c r="E65" s="90"/>
      <c r="F65" s="90"/>
      <c r="G65" s="90"/>
      <c r="H65" s="90"/>
      <c r="I65" s="90"/>
      <c r="J65" s="90"/>
      <c r="K65" s="90"/>
      <c r="L65" s="90"/>
      <c r="M65" s="90"/>
      <c r="N65" s="90"/>
      <c r="O65" s="90"/>
      <c r="P65" s="90"/>
      <c r="Q65" s="90"/>
      <c r="R65" s="90"/>
    </row>
    <row r="66" spans="1:19" ht="18" customHeight="1">
      <c r="A66" s="106" t="s">
        <v>117</v>
      </c>
      <c r="B66" s="106"/>
      <c r="C66" s="106"/>
      <c r="D66" s="106"/>
      <c r="E66" s="106"/>
      <c r="F66" s="106"/>
      <c r="G66" s="106"/>
      <c r="H66" s="106"/>
      <c r="I66" s="106"/>
      <c r="J66" s="106"/>
      <c r="K66" s="106"/>
      <c r="L66" s="106"/>
      <c r="M66" s="106"/>
      <c r="N66" s="106"/>
      <c r="O66" s="106"/>
      <c r="P66" s="106"/>
      <c r="Q66" s="106"/>
      <c r="R66" s="106"/>
      <c r="S66" s="106"/>
    </row>
    <row r="67" spans="1:19" ht="18" customHeight="1">
      <c r="A67" s="106"/>
      <c r="B67" s="106"/>
      <c r="C67" s="106"/>
      <c r="D67" s="106"/>
      <c r="E67" s="106"/>
      <c r="F67" s="106"/>
      <c r="G67" s="106"/>
      <c r="H67" s="106"/>
      <c r="I67" s="106"/>
      <c r="J67" s="106"/>
      <c r="K67" s="106"/>
      <c r="L67" s="106"/>
      <c r="M67" s="106"/>
      <c r="N67" s="106"/>
      <c r="O67" s="106"/>
      <c r="P67" s="106"/>
      <c r="Q67" s="106"/>
      <c r="R67" s="106"/>
      <c r="S67" s="106"/>
    </row>
    <row r="68" spans="1:19" ht="18" customHeight="1">
      <c r="B68" s="103" t="s">
        <v>53</v>
      </c>
      <c r="C68" s="104"/>
      <c r="D68" s="104"/>
      <c r="E68" s="15" t="s">
        <v>80</v>
      </c>
      <c r="F68" s="16" t="s">
        <v>84</v>
      </c>
      <c r="G68" s="17" t="s">
        <v>101</v>
      </c>
      <c r="H68" s="17" t="s">
        <v>75</v>
      </c>
      <c r="I68" s="17" t="s">
        <v>76</v>
      </c>
      <c r="J68" s="103" t="s">
        <v>53</v>
      </c>
      <c r="K68" s="104"/>
      <c r="L68" s="104"/>
      <c r="M68" s="104"/>
      <c r="N68" s="105"/>
      <c r="O68" s="15" t="s">
        <v>80</v>
      </c>
      <c r="P68" s="16" t="s">
        <v>84</v>
      </c>
      <c r="Q68" s="17" t="s">
        <v>101</v>
      </c>
      <c r="R68" s="17" t="s">
        <v>75</v>
      </c>
      <c r="S68" s="17" t="s">
        <v>76</v>
      </c>
    </row>
    <row r="69" spans="1:19" ht="18" customHeight="1">
      <c r="A69" s="89"/>
      <c r="B69" s="97" t="s">
        <v>212</v>
      </c>
      <c r="C69" s="98"/>
      <c r="D69" s="98"/>
      <c r="E69" s="22">
        <v>1</v>
      </c>
      <c r="F69" s="22" t="s">
        <v>128</v>
      </c>
      <c r="G69" s="23" t="s">
        <v>128</v>
      </c>
      <c r="H69" s="22" t="s">
        <v>128</v>
      </c>
      <c r="I69" s="22" t="s">
        <v>128</v>
      </c>
      <c r="J69" s="108"/>
      <c r="K69" s="109"/>
      <c r="L69" s="109"/>
      <c r="M69" s="109"/>
      <c r="N69" s="110"/>
      <c r="O69" s="18"/>
      <c r="P69" s="18"/>
      <c r="Q69" s="18"/>
      <c r="R69" s="18"/>
      <c r="S69" s="18"/>
    </row>
    <row r="70" spans="1:19" ht="18" customHeight="1">
      <c r="A70" s="89"/>
      <c r="B70" s="97"/>
      <c r="C70" s="98"/>
      <c r="D70" s="98"/>
      <c r="E70" s="24"/>
      <c r="F70" s="24"/>
      <c r="G70" s="25"/>
      <c r="H70" s="24"/>
      <c r="I70" s="24"/>
      <c r="J70" s="97"/>
      <c r="K70" s="98"/>
      <c r="L70" s="98"/>
      <c r="M70" s="98"/>
      <c r="N70" s="99"/>
      <c r="O70" s="19"/>
      <c r="P70" s="19"/>
      <c r="Q70" s="19"/>
      <c r="R70" s="19"/>
      <c r="S70" s="19"/>
    </row>
    <row r="71" spans="1:19" ht="18" customHeight="1">
      <c r="A71" s="89"/>
      <c r="B71" s="97"/>
      <c r="C71" s="98"/>
      <c r="D71" s="98"/>
      <c r="E71" s="24"/>
      <c r="F71" s="24"/>
      <c r="G71" s="25"/>
      <c r="H71" s="24"/>
      <c r="I71" s="24"/>
      <c r="J71" s="97"/>
      <c r="K71" s="98"/>
      <c r="L71" s="98"/>
      <c r="M71" s="98"/>
      <c r="N71" s="99"/>
      <c r="O71" s="19"/>
      <c r="P71" s="19"/>
      <c r="Q71" s="19"/>
      <c r="R71" s="19"/>
      <c r="S71" s="19"/>
    </row>
    <row r="72" spans="1:19" ht="18" customHeight="1">
      <c r="A72" s="89"/>
      <c r="B72" s="97"/>
      <c r="C72" s="98"/>
      <c r="D72" s="98"/>
      <c r="E72" s="24"/>
      <c r="F72" s="24"/>
      <c r="G72" s="25"/>
      <c r="H72" s="24"/>
      <c r="I72" s="24"/>
      <c r="J72" s="97"/>
      <c r="K72" s="98"/>
      <c r="L72" s="98"/>
      <c r="M72" s="98"/>
      <c r="N72" s="99"/>
      <c r="O72" s="19"/>
      <c r="P72" s="19"/>
      <c r="Q72" s="19"/>
      <c r="R72" s="19"/>
      <c r="S72" s="19"/>
    </row>
    <row r="73" spans="1:19" ht="18" customHeight="1">
      <c r="A73" s="89"/>
      <c r="B73" s="97"/>
      <c r="C73" s="98"/>
      <c r="D73" s="98"/>
      <c r="E73" s="24"/>
      <c r="F73" s="24"/>
      <c r="G73" s="25"/>
      <c r="H73" s="24"/>
      <c r="I73" s="24"/>
      <c r="J73" s="97"/>
      <c r="K73" s="98"/>
      <c r="L73" s="98"/>
      <c r="M73" s="98"/>
      <c r="N73" s="99"/>
      <c r="O73" s="19"/>
      <c r="P73" s="19"/>
      <c r="Q73" s="19"/>
      <c r="R73" s="19"/>
      <c r="S73" s="19"/>
    </row>
    <row r="74" spans="1:19" ht="18" customHeight="1">
      <c r="A74" s="89"/>
      <c r="B74" s="97"/>
      <c r="C74" s="98"/>
      <c r="D74" s="98"/>
      <c r="E74" s="19"/>
      <c r="F74" s="19"/>
      <c r="G74" s="19"/>
      <c r="H74" s="19"/>
      <c r="I74" s="19"/>
      <c r="J74" s="97"/>
      <c r="K74" s="98"/>
      <c r="L74" s="98"/>
      <c r="M74" s="98"/>
      <c r="N74" s="99"/>
      <c r="O74" s="19"/>
      <c r="P74" s="19"/>
      <c r="Q74" s="19"/>
      <c r="R74" s="19"/>
      <c r="S74" s="19"/>
    </row>
    <row r="75" spans="1:19" ht="18" customHeight="1">
      <c r="A75" s="89"/>
      <c r="B75" s="100"/>
      <c r="C75" s="101"/>
      <c r="D75" s="101"/>
      <c r="E75" s="20"/>
      <c r="F75" s="20"/>
      <c r="G75" s="21"/>
      <c r="H75" s="21"/>
      <c r="I75" s="21"/>
      <c r="J75" s="100"/>
      <c r="K75" s="101"/>
      <c r="L75" s="101"/>
      <c r="M75" s="101"/>
      <c r="N75" s="102"/>
      <c r="O75" s="20"/>
      <c r="P75" s="20"/>
      <c r="Q75" s="21"/>
      <c r="R75" s="21"/>
      <c r="S75" s="21"/>
    </row>
    <row r="76" spans="1:19" ht="7.5" customHeight="1">
      <c r="B76" s="90"/>
      <c r="C76" s="90"/>
      <c r="D76" s="90"/>
      <c r="E76" s="90"/>
      <c r="F76" s="90"/>
      <c r="G76" s="90"/>
      <c r="H76" s="90"/>
      <c r="I76" s="90"/>
      <c r="J76" s="90"/>
      <c r="K76" s="90"/>
      <c r="L76" s="90"/>
      <c r="M76" s="90"/>
      <c r="N76" s="90"/>
      <c r="O76" s="90"/>
      <c r="P76" s="90"/>
      <c r="Q76" s="90"/>
      <c r="R76" s="90"/>
    </row>
    <row r="77" spans="1:19" ht="18" customHeight="1">
      <c r="A77" s="88" t="s">
        <v>118</v>
      </c>
      <c r="H77" s="89"/>
      <c r="I77" s="89"/>
      <c r="J77" s="89"/>
      <c r="K77" s="89"/>
      <c r="L77" s="89"/>
      <c r="M77" s="89"/>
      <c r="N77" s="89"/>
      <c r="O77" s="89"/>
      <c r="P77" s="89"/>
      <c r="Q77" s="89"/>
      <c r="R77" s="89"/>
      <c r="S77" s="89"/>
    </row>
    <row r="78" spans="1:19" ht="18" customHeight="1">
      <c r="B78" s="103" t="s">
        <v>53</v>
      </c>
      <c r="C78" s="104"/>
      <c r="D78" s="104"/>
      <c r="E78" s="105"/>
      <c r="F78" s="103" t="s">
        <v>82</v>
      </c>
      <c r="G78" s="104"/>
      <c r="H78" s="104"/>
      <c r="I78" s="105"/>
      <c r="J78" s="149" t="s">
        <v>53</v>
      </c>
      <c r="K78" s="150"/>
      <c r="L78" s="150"/>
      <c r="M78" s="150"/>
      <c r="N78" s="150"/>
      <c r="O78" s="151"/>
      <c r="P78" s="103" t="s">
        <v>82</v>
      </c>
      <c r="Q78" s="104"/>
      <c r="R78" s="104"/>
      <c r="S78" s="105"/>
    </row>
    <row r="79" spans="1:19" ht="18" customHeight="1">
      <c r="A79" s="89"/>
      <c r="B79" s="108"/>
      <c r="C79" s="109"/>
      <c r="D79" s="109"/>
      <c r="E79" s="110"/>
      <c r="F79" s="164"/>
      <c r="G79" s="165"/>
      <c r="H79" s="165"/>
      <c r="I79" s="166"/>
      <c r="J79" s="108"/>
      <c r="K79" s="109"/>
      <c r="L79" s="109"/>
      <c r="M79" s="109"/>
      <c r="N79" s="109"/>
      <c r="O79" s="110"/>
      <c r="P79" s="164"/>
      <c r="Q79" s="165"/>
      <c r="R79" s="165"/>
      <c r="S79" s="166"/>
    </row>
    <row r="80" spans="1:19" ht="18" customHeight="1">
      <c r="A80" s="89"/>
      <c r="B80" s="97"/>
      <c r="C80" s="98"/>
      <c r="D80" s="98"/>
      <c r="E80" s="99"/>
      <c r="F80" s="133"/>
      <c r="G80" s="134"/>
      <c r="H80" s="134"/>
      <c r="I80" s="135"/>
      <c r="J80" s="97"/>
      <c r="K80" s="98"/>
      <c r="L80" s="98"/>
      <c r="M80" s="98"/>
      <c r="N80" s="98"/>
      <c r="O80" s="99"/>
      <c r="P80" s="133"/>
      <c r="Q80" s="134"/>
      <c r="R80" s="134"/>
      <c r="S80" s="135"/>
    </row>
    <row r="81" spans="1:20" ht="18" customHeight="1">
      <c r="A81" s="89"/>
      <c r="B81" s="97"/>
      <c r="C81" s="98"/>
      <c r="D81" s="98"/>
      <c r="E81" s="99"/>
      <c r="F81" s="133"/>
      <c r="G81" s="134"/>
      <c r="H81" s="134"/>
      <c r="I81" s="135"/>
      <c r="J81" s="97"/>
      <c r="K81" s="98"/>
      <c r="L81" s="98"/>
      <c r="M81" s="98"/>
      <c r="N81" s="98"/>
      <c r="O81" s="99"/>
      <c r="P81" s="133"/>
      <c r="Q81" s="134"/>
      <c r="R81" s="134"/>
      <c r="S81" s="135"/>
    </row>
    <row r="82" spans="1:20" ht="18" customHeight="1">
      <c r="A82" s="89"/>
      <c r="B82" s="97"/>
      <c r="C82" s="98"/>
      <c r="D82" s="98"/>
      <c r="E82" s="99"/>
      <c r="F82" s="133"/>
      <c r="G82" s="134"/>
      <c r="H82" s="134"/>
      <c r="I82" s="135"/>
      <c r="J82" s="97"/>
      <c r="K82" s="98"/>
      <c r="L82" s="98"/>
      <c r="M82" s="98"/>
      <c r="N82" s="98"/>
      <c r="O82" s="99"/>
      <c r="P82" s="133"/>
      <c r="Q82" s="134"/>
      <c r="R82" s="134"/>
      <c r="S82" s="135"/>
    </row>
    <row r="83" spans="1:20" ht="18" customHeight="1">
      <c r="A83" s="89"/>
      <c r="B83" s="97"/>
      <c r="C83" s="98"/>
      <c r="D83" s="98"/>
      <c r="E83" s="99"/>
      <c r="F83" s="133"/>
      <c r="G83" s="134"/>
      <c r="H83" s="134"/>
      <c r="I83" s="135"/>
      <c r="J83" s="97"/>
      <c r="K83" s="98"/>
      <c r="L83" s="98"/>
      <c r="M83" s="98"/>
      <c r="N83" s="98"/>
      <c r="O83" s="99"/>
      <c r="P83" s="133"/>
      <c r="Q83" s="134"/>
      <c r="R83" s="134"/>
      <c r="S83" s="135"/>
    </row>
    <row r="84" spans="1:20" ht="18" customHeight="1">
      <c r="A84" s="89"/>
      <c r="B84" s="97"/>
      <c r="C84" s="98"/>
      <c r="D84" s="98"/>
      <c r="E84" s="99"/>
      <c r="F84" s="133"/>
      <c r="G84" s="134"/>
      <c r="H84" s="134"/>
      <c r="I84" s="135"/>
      <c r="J84" s="97"/>
      <c r="K84" s="98"/>
      <c r="L84" s="98"/>
      <c r="M84" s="98"/>
      <c r="N84" s="98"/>
      <c r="O84" s="99"/>
      <c r="P84" s="133"/>
      <c r="Q84" s="134"/>
      <c r="R84" s="134"/>
      <c r="S84" s="135"/>
    </row>
    <row r="85" spans="1:20" ht="18" customHeight="1">
      <c r="A85" s="89"/>
      <c r="B85" s="100"/>
      <c r="C85" s="101"/>
      <c r="D85" s="101"/>
      <c r="E85" s="102"/>
      <c r="F85" s="130"/>
      <c r="G85" s="131"/>
      <c r="H85" s="131"/>
      <c r="I85" s="132"/>
      <c r="J85" s="100"/>
      <c r="K85" s="101"/>
      <c r="L85" s="101"/>
      <c r="M85" s="101"/>
      <c r="N85" s="101"/>
      <c r="O85" s="102"/>
      <c r="P85" s="130"/>
      <c r="Q85" s="131"/>
      <c r="R85" s="131"/>
      <c r="S85" s="132"/>
    </row>
    <row r="86" spans="1:20" ht="18" customHeight="1">
      <c r="A86" s="89"/>
      <c r="B86" s="8"/>
      <c r="C86" s="8"/>
      <c r="D86" s="8"/>
      <c r="E86" s="8"/>
      <c r="F86" s="26"/>
      <c r="G86" s="26"/>
      <c r="H86" s="26"/>
      <c r="I86" s="26"/>
      <c r="J86" s="8"/>
      <c r="K86" s="8"/>
      <c r="L86" s="8"/>
      <c r="M86" s="8"/>
      <c r="N86" s="8"/>
      <c r="O86" s="8"/>
      <c r="P86" s="26"/>
      <c r="Q86" s="26"/>
      <c r="R86" s="26"/>
      <c r="S86" s="26"/>
    </row>
    <row r="87" spans="1:20" ht="18.75" customHeight="1">
      <c r="A87" s="88" t="s">
        <v>119</v>
      </c>
    </row>
    <row r="88" spans="1:20" ht="18.75" customHeight="1">
      <c r="B88" s="162" t="s">
        <v>54</v>
      </c>
      <c r="C88" s="163"/>
      <c r="D88" s="104" t="s">
        <v>55</v>
      </c>
      <c r="E88" s="104"/>
      <c r="F88" s="104"/>
      <c r="G88" s="104"/>
      <c r="H88" s="104"/>
      <c r="I88" s="104"/>
      <c r="J88" s="104"/>
      <c r="K88" s="104"/>
      <c r="L88" s="104"/>
      <c r="M88" s="104"/>
      <c r="N88" s="104"/>
      <c r="O88" s="104"/>
      <c r="P88" s="104"/>
      <c r="Q88" s="104"/>
      <c r="R88" s="104"/>
      <c r="S88" s="105"/>
    </row>
    <row r="89" spans="1:20" ht="97.5" customHeight="1">
      <c r="B89" s="152" t="s">
        <v>61</v>
      </c>
      <c r="C89" s="27" t="s">
        <v>56</v>
      </c>
      <c r="D89" s="159" t="s">
        <v>213</v>
      </c>
      <c r="E89" s="160"/>
      <c r="F89" s="160"/>
      <c r="G89" s="160"/>
      <c r="H89" s="160"/>
      <c r="I89" s="160"/>
      <c r="J89" s="160"/>
      <c r="K89" s="160"/>
      <c r="L89" s="160"/>
      <c r="M89" s="160"/>
      <c r="N89" s="160"/>
      <c r="O89" s="160"/>
      <c r="P89" s="160"/>
      <c r="Q89" s="160"/>
      <c r="R89" s="160"/>
      <c r="S89" s="161"/>
      <c r="T89" s="85"/>
    </row>
    <row r="90" spans="1:20" ht="97.5" customHeight="1">
      <c r="B90" s="154"/>
      <c r="C90" s="28" t="s">
        <v>77</v>
      </c>
      <c r="D90" s="136" t="s">
        <v>214</v>
      </c>
      <c r="E90" s="137"/>
      <c r="F90" s="137"/>
      <c r="G90" s="137"/>
      <c r="H90" s="137"/>
      <c r="I90" s="137"/>
      <c r="J90" s="137"/>
      <c r="K90" s="137"/>
      <c r="L90" s="137"/>
      <c r="M90" s="137"/>
      <c r="N90" s="137"/>
      <c r="O90" s="137"/>
      <c r="P90" s="137"/>
      <c r="Q90" s="137"/>
      <c r="R90" s="137"/>
      <c r="S90" s="138"/>
    </row>
    <row r="91" spans="1:20" ht="97.5" customHeight="1">
      <c r="B91" s="152" t="s">
        <v>62</v>
      </c>
      <c r="C91" s="29" t="s">
        <v>71</v>
      </c>
      <c r="D91" s="139" t="s">
        <v>215</v>
      </c>
      <c r="E91" s="140"/>
      <c r="F91" s="140"/>
      <c r="G91" s="140"/>
      <c r="H91" s="140"/>
      <c r="I91" s="140"/>
      <c r="J91" s="140"/>
      <c r="K91" s="140"/>
      <c r="L91" s="140"/>
      <c r="M91" s="140"/>
      <c r="N91" s="140"/>
      <c r="O91" s="140"/>
      <c r="P91" s="140"/>
      <c r="Q91" s="140"/>
      <c r="R91" s="140"/>
      <c r="S91" s="141"/>
    </row>
    <row r="92" spans="1:20" ht="97.5" customHeight="1">
      <c r="B92" s="153"/>
      <c r="C92" s="30" t="s">
        <v>72</v>
      </c>
      <c r="D92" s="145" t="s">
        <v>216</v>
      </c>
      <c r="E92" s="146"/>
      <c r="F92" s="146"/>
      <c r="G92" s="146"/>
      <c r="H92" s="146"/>
      <c r="I92" s="146"/>
      <c r="J92" s="146"/>
      <c r="K92" s="146"/>
      <c r="L92" s="146"/>
      <c r="M92" s="146"/>
      <c r="N92" s="146"/>
      <c r="O92" s="146"/>
      <c r="P92" s="146"/>
      <c r="Q92" s="146"/>
      <c r="R92" s="146"/>
      <c r="S92" s="147"/>
    </row>
    <row r="93" spans="1:20" ht="97.5" customHeight="1">
      <c r="B93" s="152" t="s">
        <v>63</v>
      </c>
      <c r="C93" s="29" t="s">
        <v>73</v>
      </c>
      <c r="D93" s="139" t="s">
        <v>217</v>
      </c>
      <c r="E93" s="140"/>
      <c r="F93" s="140"/>
      <c r="G93" s="140"/>
      <c r="H93" s="140"/>
      <c r="I93" s="140"/>
      <c r="J93" s="140"/>
      <c r="K93" s="140"/>
      <c r="L93" s="140"/>
      <c r="M93" s="140"/>
      <c r="N93" s="140"/>
      <c r="O93" s="140"/>
      <c r="P93" s="140"/>
      <c r="Q93" s="140"/>
      <c r="R93" s="140"/>
      <c r="S93" s="141"/>
    </row>
    <row r="94" spans="1:20" ht="97.5" customHeight="1">
      <c r="B94" s="153"/>
      <c r="C94" s="31" t="s">
        <v>74</v>
      </c>
      <c r="D94" s="142" t="s">
        <v>218</v>
      </c>
      <c r="E94" s="143"/>
      <c r="F94" s="143"/>
      <c r="G94" s="143"/>
      <c r="H94" s="143"/>
      <c r="I94" s="143"/>
      <c r="J94" s="143"/>
      <c r="K94" s="143"/>
      <c r="L94" s="143"/>
      <c r="M94" s="143"/>
      <c r="N94" s="143"/>
      <c r="O94" s="143"/>
      <c r="P94" s="143"/>
      <c r="Q94" s="143"/>
      <c r="R94" s="143"/>
      <c r="S94" s="144"/>
    </row>
    <row r="95" spans="1:20" ht="97.5" customHeight="1">
      <c r="B95" s="152" t="s">
        <v>78</v>
      </c>
      <c r="C95" s="27" t="s">
        <v>58</v>
      </c>
      <c r="D95" s="159" t="s">
        <v>219</v>
      </c>
      <c r="E95" s="160"/>
      <c r="F95" s="160"/>
      <c r="G95" s="160"/>
      <c r="H95" s="160"/>
      <c r="I95" s="160"/>
      <c r="J95" s="160"/>
      <c r="K95" s="160"/>
      <c r="L95" s="160"/>
      <c r="M95" s="160"/>
      <c r="N95" s="160"/>
      <c r="O95" s="160"/>
      <c r="P95" s="160"/>
      <c r="Q95" s="160"/>
      <c r="R95" s="160"/>
      <c r="S95" s="161"/>
    </row>
    <row r="96" spans="1:20" ht="97.5" customHeight="1">
      <c r="B96" s="153"/>
      <c r="C96" s="30" t="s">
        <v>60</v>
      </c>
      <c r="D96" s="145" t="s">
        <v>220</v>
      </c>
      <c r="E96" s="146"/>
      <c r="F96" s="146"/>
      <c r="G96" s="146"/>
      <c r="H96" s="146"/>
      <c r="I96" s="146"/>
      <c r="J96" s="146"/>
      <c r="K96" s="146"/>
      <c r="L96" s="146"/>
      <c r="M96" s="146"/>
      <c r="N96" s="146"/>
      <c r="O96" s="146"/>
      <c r="P96" s="146"/>
      <c r="Q96" s="146"/>
      <c r="R96" s="146"/>
      <c r="S96" s="147"/>
    </row>
    <row r="97" spans="1:19" ht="97.5" customHeight="1">
      <c r="B97" s="152" t="s">
        <v>79</v>
      </c>
      <c r="C97" s="29" t="s">
        <v>57</v>
      </c>
      <c r="D97" s="155" t="s">
        <v>221</v>
      </c>
      <c r="E97" s="109"/>
      <c r="F97" s="109"/>
      <c r="G97" s="109"/>
      <c r="H97" s="109"/>
      <c r="I97" s="109"/>
      <c r="J97" s="109"/>
      <c r="K97" s="109"/>
      <c r="L97" s="109"/>
      <c r="M97" s="109"/>
      <c r="N97" s="109"/>
      <c r="O97" s="109"/>
      <c r="P97" s="109"/>
      <c r="Q97" s="109"/>
      <c r="R97" s="109"/>
      <c r="S97" s="110"/>
    </row>
    <row r="98" spans="1:19" ht="97.5" customHeight="1">
      <c r="B98" s="154"/>
      <c r="C98" s="32" t="s">
        <v>75</v>
      </c>
      <c r="D98" s="148" t="s">
        <v>222</v>
      </c>
      <c r="E98" s="98"/>
      <c r="F98" s="98"/>
      <c r="G98" s="98"/>
      <c r="H98" s="98"/>
      <c r="I98" s="98"/>
      <c r="J98" s="98"/>
      <c r="K98" s="98"/>
      <c r="L98" s="98"/>
      <c r="M98" s="98"/>
      <c r="N98" s="98"/>
      <c r="O98" s="98"/>
      <c r="P98" s="98"/>
      <c r="Q98" s="98"/>
      <c r="R98" s="98"/>
      <c r="S98" s="99"/>
    </row>
    <row r="99" spans="1:19" ht="97.5" customHeight="1">
      <c r="B99" s="153"/>
      <c r="C99" s="31" t="s">
        <v>76</v>
      </c>
      <c r="D99" s="156" t="s">
        <v>223</v>
      </c>
      <c r="E99" s="157"/>
      <c r="F99" s="157"/>
      <c r="G99" s="157"/>
      <c r="H99" s="157"/>
      <c r="I99" s="157"/>
      <c r="J99" s="157"/>
      <c r="K99" s="157"/>
      <c r="L99" s="157"/>
      <c r="M99" s="157"/>
      <c r="N99" s="157"/>
      <c r="O99" s="157"/>
      <c r="P99" s="157"/>
      <c r="Q99" s="157"/>
      <c r="R99" s="157"/>
      <c r="S99" s="158"/>
    </row>
    <row r="100" spans="1:19" ht="6" customHeight="1"/>
    <row r="101" spans="1:19" ht="18.75" customHeight="1">
      <c r="A101" s="88" t="s">
        <v>120</v>
      </c>
    </row>
    <row r="102" spans="1:19" ht="81.75" customHeight="1">
      <c r="B102" s="127" t="s">
        <v>129</v>
      </c>
      <c r="C102" s="128"/>
      <c r="D102" s="128"/>
      <c r="E102" s="128"/>
      <c r="F102" s="128"/>
      <c r="G102" s="128"/>
      <c r="H102" s="128"/>
      <c r="I102" s="128"/>
      <c r="J102" s="128"/>
      <c r="K102" s="128"/>
      <c r="L102" s="128"/>
      <c r="M102" s="128"/>
      <c r="N102" s="128"/>
      <c r="O102" s="128"/>
      <c r="P102" s="128"/>
      <c r="Q102" s="128"/>
      <c r="R102" s="128"/>
      <c r="S102" s="129"/>
    </row>
    <row r="110" spans="1:19" ht="18" customHeight="1"/>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6">
    <dataValidation type="list" allowBlank="1" showErrorMessage="1" sqref="F69:F73 H69:I73" xr:uid="{C116B76A-6A98-4D22-9D5B-7DE40E1FF61E}">
      <formula1>"○"</formula1>
    </dataValidation>
    <dataValidation type="list" allowBlank="1" showInputMessage="1" showErrorMessage="1" sqref="K20:S20" xr:uid="{92825DE3-6E83-49B0-B4DB-C8B4197CC653}">
      <formula1>$V$14:$V$16</formula1>
    </dataValidation>
    <dataValidation type="list" allowBlank="1" showInputMessage="1" showErrorMessage="1" sqref="F79:F86 P79:P86 G79:I80 G83:I86 Q83:S86 Q79:S80" xr:uid="{2A48152A-1ECD-48A5-971E-AC4032A936F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021ECF6C-8C9E-4DA3-91B1-D09D384429C2}">
      <formula1>"学部・学科によって、修了要件は相違する,学部・学科によって、修了要件は相違しない"</formula1>
    </dataValidation>
    <dataValidation type="list" allowBlank="1" showInputMessage="1" showErrorMessage="1" sqref="S32 S43 D32:G32 D43:G43" xr:uid="{A707653E-606B-4723-BE59-0351BE4ABA07}">
      <formula1>"全学開講,一部開講"</formula1>
    </dataValidation>
    <dataValidation type="list" allowBlank="1" showInputMessage="1" showErrorMessage="1" sqref="G25:I31 Q25:S31 P69:S75 Q36:S42 G36:I42 Q47:S53 G47:I53 Q58:S64 G58:I64 F74:I75" xr:uid="{E5627718-E2D6-4E23-B9D4-E0FB625FEB95}">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G21" sqref="G21"/>
    </sheetView>
  </sheetViews>
  <sheetFormatPr defaultColWidth="9" defaultRowHeight="18.75" customHeight="1"/>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t="s">
        <v>106</v>
      </c>
    </row>
    <row r="2" spans="1:45" ht="18" customHeight="1">
      <c r="A2" s="5"/>
      <c r="B2" s="5"/>
      <c r="C2" s="5"/>
      <c r="D2" s="5"/>
      <c r="E2" s="5"/>
      <c r="F2" s="5"/>
      <c r="G2" s="5"/>
      <c r="H2" s="5"/>
      <c r="I2" s="5"/>
      <c r="J2" s="5"/>
      <c r="K2" s="7"/>
      <c r="L2" s="5"/>
      <c r="M2" s="5"/>
      <c r="N2" s="5"/>
      <c r="O2" s="5"/>
      <c r="P2" s="5"/>
      <c r="Q2" s="7"/>
      <c r="R2" s="5"/>
      <c r="S2" s="5"/>
      <c r="T2" s="5"/>
      <c r="U2" s="5"/>
      <c r="V2" s="5"/>
      <c r="W2" s="7"/>
      <c r="X2" s="5"/>
      <c r="Y2" s="5"/>
      <c r="Z2" s="5"/>
      <c r="AA2" s="5"/>
      <c r="AB2" s="5"/>
      <c r="AC2" s="7"/>
      <c r="AD2" s="5"/>
      <c r="AE2" s="5"/>
      <c r="AF2" s="5"/>
      <c r="AG2" s="5"/>
      <c r="AH2" s="5"/>
      <c r="AI2" s="7"/>
      <c r="AJ2" s="5"/>
      <c r="AK2" s="5"/>
      <c r="AL2" s="7" t="s">
        <v>108</v>
      </c>
      <c r="AM2" s="170" t="e">
        <f>#REF!</f>
        <v>#REF!</v>
      </c>
      <c r="AN2" s="170"/>
      <c r="AO2" s="170"/>
      <c r="AP2" s="170"/>
      <c r="AQ2" s="170"/>
    </row>
    <row r="3" spans="1:45" ht="18" customHeight="1">
      <c r="A3" s="114" t="s">
        <v>47</v>
      </c>
      <c r="B3" s="114"/>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row>
    <row r="4" spans="1:45" ht="7.5" customHeight="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row>
    <row r="5" spans="1:45" ht="18" customHeight="1">
      <c r="A5" s="5" t="s">
        <v>83</v>
      </c>
      <c r="B5" s="5"/>
      <c r="C5" s="171">
        <v>2022</v>
      </c>
      <c r="D5" s="172"/>
      <c r="E5" s="10" t="s">
        <v>52</v>
      </c>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8"/>
      <c r="AQ5" s="8"/>
    </row>
    <row r="6" spans="1:45" ht="6" customHeight="1">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row>
    <row r="7" spans="1:45" ht="18" customHeight="1">
      <c r="A7" s="5" t="s">
        <v>81</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row>
    <row r="8" spans="1:45" ht="6" customHeight="1">
      <c r="A8" s="5"/>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row>
    <row r="9" spans="1:45" ht="18" customHeight="1">
      <c r="A9" s="5"/>
      <c r="B9" s="173" t="s">
        <v>44</v>
      </c>
      <c r="C9" s="188" t="s">
        <v>86</v>
      </c>
      <c r="D9" s="176" t="s">
        <v>46</v>
      </c>
      <c r="E9" s="179" t="s">
        <v>39</v>
      </c>
      <c r="F9" s="169" t="s">
        <v>85</v>
      </c>
      <c r="G9" s="169"/>
      <c r="H9" s="169"/>
      <c r="I9" s="169"/>
      <c r="J9" s="169"/>
      <c r="K9" s="169"/>
      <c r="L9" s="169" t="s">
        <v>48</v>
      </c>
      <c r="M9" s="169"/>
      <c r="N9" s="169"/>
      <c r="O9" s="169"/>
      <c r="P9" s="169"/>
      <c r="Q9" s="169"/>
      <c r="R9" s="169" t="s">
        <v>49</v>
      </c>
      <c r="S9" s="169"/>
      <c r="T9" s="169"/>
      <c r="U9" s="169"/>
      <c r="V9" s="169"/>
      <c r="W9" s="169"/>
      <c r="X9" s="169" t="s">
        <v>100</v>
      </c>
      <c r="Y9" s="169"/>
      <c r="Z9" s="169"/>
      <c r="AA9" s="169"/>
      <c r="AB9" s="169"/>
      <c r="AC9" s="169"/>
      <c r="AD9" s="169" t="s">
        <v>50</v>
      </c>
      <c r="AE9" s="169"/>
      <c r="AF9" s="169"/>
      <c r="AG9" s="169"/>
      <c r="AH9" s="169"/>
      <c r="AI9" s="169"/>
      <c r="AJ9" s="169" t="s">
        <v>51</v>
      </c>
      <c r="AK9" s="169"/>
      <c r="AL9" s="169"/>
      <c r="AM9" s="169"/>
      <c r="AN9" s="169"/>
      <c r="AO9" s="169"/>
      <c r="AP9" s="182" t="s">
        <v>34</v>
      </c>
      <c r="AQ9" s="185" t="s">
        <v>31</v>
      </c>
      <c r="AS9" s="2"/>
    </row>
    <row r="10" spans="1:45" ht="16.899999999999999" customHeight="1">
      <c r="A10" s="5"/>
      <c r="B10" s="174"/>
      <c r="C10" s="189"/>
      <c r="D10" s="177"/>
      <c r="E10" s="180"/>
      <c r="F10" s="167" t="s">
        <v>96</v>
      </c>
      <c r="G10" s="168"/>
      <c r="H10" s="168"/>
      <c r="I10" s="167" t="s">
        <v>28</v>
      </c>
      <c r="J10" s="168"/>
      <c r="K10" s="168"/>
      <c r="L10" s="167" t="s">
        <v>96</v>
      </c>
      <c r="M10" s="168"/>
      <c r="N10" s="168"/>
      <c r="O10" s="167" t="s">
        <v>28</v>
      </c>
      <c r="P10" s="168"/>
      <c r="Q10" s="168"/>
      <c r="R10" s="167" t="s">
        <v>96</v>
      </c>
      <c r="S10" s="168"/>
      <c r="T10" s="168"/>
      <c r="U10" s="167" t="s">
        <v>28</v>
      </c>
      <c r="V10" s="168"/>
      <c r="W10" s="168"/>
      <c r="X10" s="167" t="s">
        <v>96</v>
      </c>
      <c r="Y10" s="168"/>
      <c r="Z10" s="168"/>
      <c r="AA10" s="167" t="s">
        <v>28</v>
      </c>
      <c r="AB10" s="168"/>
      <c r="AC10" s="168"/>
      <c r="AD10" s="167" t="s">
        <v>96</v>
      </c>
      <c r="AE10" s="168"/>
      <c r="AF10" s="168"/>
      <c r="AG10" s="167" t="s">
        <v>28</v>
      </c>
      <c r="AH10" s="168"/>
      <c r="AI10" s="168"/>
      <c r="AJ10" s="167" t="s">
        <v>96</v>
      </c>
      <c r="AK10" s="168"/>
      <c r="AL10" s="168"/>
      <c r="AM10" s="167" t="s">
        <v>28</v>
      </c>
      <c r="AN10" s="168"/>
      <c r="AO10" s="168"/>
      <c r="AP10" s="183"/>
      <c r="AQ10" s="186"/>
      <c r="AS10" s="2"/>
    </row>
    <row r="11" spans="1:45" ht="18" customHeight="1">
      <c r="A11" s="5"/>
      <c r="B11" s="175"/>
      <c r="C11" s="190"/>
      <c r="D11" s="178"/>
      <c r="E11" s="181"/>
      <c r="F11" s="33" t="s">
        <v>97</v>
      </c>
      <c r="G11" s="34" t="s">
        <v>98</v>
      </c>
      <c r="H11" s="35" t="s">
        <v>99</v>
      </c>
      <c r="I11" s="33" t="s">
        <v>97</v>
      </c>
      <c r="J11" s="34" t="s">
        <v>98</v>
      </c>
      <c r="K11" s="35" t="s">
        <v>99</v>
      </c>
      <c r="L11" s="33" t="s">
        <v>97</v>
      </c>
      <c r="M11" s="34" t="s">
        <v>98</v>
      </c>
      <c r="N11" s="35" t="s">
        <v>99</v>
      </c>
      <c r="O11" s="33" t="s">
        <v>97</v>
      </c>
      <c r="P11" s="34" t="s">
        <v>98</v>
      </c>
      <c r="Q11" s="35" t="s">
        <v>99</v>
      </c>
      <c r="R11" s="33" t="s">
        <v>97</v>
      </c>
      <c r="S11" s="34" t="s">
        <v>98</v>
      </c>
      <c r="T11" s="35" t="s">
        <v>99</v>
      </c>
      <c r="U11" s="33" t="s">
        <v>97</v>
      </c>
      <c r="V11" s="34" t="s">
        <v>98</v>
      </c>
      <c r="W11" s="35" t="s">
        <v>99</v>
      </c>
      <c r="X11" s="33" t="s">
        <v>97</v>
      </c>
      <c r="Y11" s="34" t="s">
        <v>98</v>
      </c>
      <c r="Z11" s="35" t="s">
        <v>99</v>
      </c>
      <c r="AA11" s="33" t="s">
        <v>97</v>
      </c>
      <c r="AB11" s="34" t="s">
        <v>98</v>
      </c>
      <c r="AC11" s="35" t="s">
        <v>99</v>
      </c>
      <c r="AD11" s="33" t="s">
        <v>97</v>
      </c>
      <c r="AE11" s="34" t="s">
        <v>98</v>
      </c>
      <c r="AF11" s="35" t="s">
        <v>99</v>
      </c>
      <c r="AG11" s="33" t="s">
        <v>97</v>
      </c>
      <c r="AH11" s="34" t="s">
        <v>98</v>
      </c>
      <c r="AI11" s="35" t="s">
        <v>99</v>
      </c>
      <c r="AJ11" s="33" t="s">
        <v>97</v>
      </c>
      <c r="AK11" s="34" t="s">
        <v>98</v>
      </c>
      <c r="AL11" s="35" t="s">
        <v>99</v>
      </c>
      <c r="AM11" s="33" t="s">
        <v>97</v>
      </c>
      <c r="AN11" s="34" t="s">
        <v>98</v>
      </c>
      <c r="AO11" s="35" t="s">
        <v>99</v>
      </c>
      <c r="AP11" s="184"/>
      <c r="AQ11" s="187"/>
      <c r="AS11" s="2"/>
    </row>
    <row r="12" spans="1:45" ht="18" customHeight="1">
      <c r="A12" s="8"/>
      <c r="B12" s="36" t="s">
        <v>130</v>
      </c>
      <c r="C12" s="37">
        <v>877</v>
      </c>
      <c r="D12" s="38">
        <v>120</v>
      </c>
      <c r="E12" s="39">
        <v>720</v>
      </c>
      <c r="F12" s="39">
        <f>G12+H12</f>
        <v>141</v>
      </c>
      <c r="G12" s="40">
        <v>53</v>
      </c>
      <c r="H12" s="41">
        <v>88</v>
      </c>
      <c r="I12" s="39">
        <f>J12+K12</f>
        <v>141</v>
      </c>
      <c r="J12" s="40">
        <v>53</v>
      </c>
      <c r="K12" s="41">
        <v>88</v>
      </c>
      <c r="L12" s="39">
        <f>M12+N12</f>
        <v>0</v>
      </c>
      <c r="M12" s="40"/>
      <c r="N12" s="41"/>
      <c r="O12" s="39">
        <f>P12+Q12</f>
        <v>0</v>
      </c>
      <c r="P12" s="40"/>
      <c r="Q12" s="41"/>
      <c r="R12" s="39">
        <f>S12+T12</f>
        <v>0</v>
      </c>
      <c r="S12" s="40"/>
      <c r="T12" s="41"/>
      <c r="U12" s="39">
        <f>V12+W12</f>
        <v>0</v>
      </c>
      <c r="V12" s="40"/>
      <c r="W12" s="41"/>
      <c r="X12" s="39">
        <f>Y12+Z12</f>
        <v>0</v>
      </c>
      <c r="Y12" s="40"/>
      <c r="Z12" s="41"/>
      <c r="AA12" s="39">
        <f>AB12+AC12</f>
        <v>0</v>
      </c>
      <c r="AB12" s="40"/>
      <c r="AC12" s="41"/>
      <c r="AD12" s="39">
        <f>AE12+AF12</f>
        <v>0</v>
      </c>
      <c r="AE12" s="40"/>
      <c r="AF12" s="41"/>
      <c r="AG12" s="39">
        <f>AH12+AI12</f>
        <v>0</v>
      </c>
      <c r="AH12" s="40"/>
      <c r="AI12" s="41"/>
      <c r="AJ12" s="39">
        <f>AK12+AL12</f>
        <v>0</v>
      </c>
      <c r="AK12" s="40"/>
      <c r="AL12" s="41"/>
      <c r="AM12" s="39">
        <f>AN12+AO12</f>
        <v>0</v>
      </c>
      <c r="AN12" s="40"/>
      <c r="AO12" s="41"/>
      <c r="AP12" s="38">
        <f>F12+L12+R12+X12+AD12+AJ12</f>
        <v>141</v>
      </c>
      <c r="AQ12" s="42">
        <f t="shared" ref="AQ12:AQ32" si="0">AP12/E12</f>
        <v>0.19583333333333333</v>
      </c>
    </row>
    <row r="13" spans="1:45" ht="18" customHeight="1">
      <c r="A13" s="8"/>
      <c r="B13" s="43" t="s">
        <v>131</v>
      </c>
      <c r="C13" s="44">
        <v>546</v>
      </c>
      <c r="D13" s="45">
        <v>130</v>
      </c>
      <c r="E13" s="46">
        <v>520</v>
      </c>
      <c r="F13" s="47">
        <f t="shared" ref="F13:F31" si="1">G13+H13</f>
        <v>153</v>
      </c>
      <c r="G13" s="48">
        <v>55</v>
      </c>
      <c r="H13" s="49">
        <v>98</v>
      </c>
      <c r="I13" s="47">
        <f t="shared" ref="I13:I31" si="2">J13+K13</f>
        <v>153</v>
      </c>
      <c r="J13" s="48">
        <v>55</v>
      </c>
      <c r="K13" s="49">
        <v>98</v>
      </c>
      <c r="L13" s="47">
        <f t="shared" ref="L13:L31" si="3">M13+N13</f>
        <v>0</v>
      </c>
      <c r="M13" s="48"/>
      <c r="N13" s="49"/>
      <c r="O13" s="47">
        <f t="shared" ref="O13:O31" si="4">P13+Q13</f>
        <v>0</v>
      </c>
      <c r="P13" s="48"/>
      <c r="Q13" s="49"/>
      <c r="R13" s="47">
        <f t="shared" ref="R13:R31" si="5">S13+T13</f>
        <v>0</v>
      </c>
      <c r="S13" s="48"/>
      <c r="T13" s="49"/>
      <c r="U13" s="47">
        <f t="shared" ref="U13:U31" si="6">V13+W13</f>
        <v>0</v>
      </c>
      <c r="V13" s="48"/>
      <c r="W13" s="49"/>
      <c r="X13" s="47">
        <f t="shared" ref="X13:X31" si="7">Y13+Z13</f>
        <v>0</v>
      </c>
      <c r="Y13" s="48"/>
      <c r="Z13" s="49"/>
      <c r="AA13" s="47">
        <f t="shared" ref="AA13:AA31" si="8">AB13+AC13</f>
        <v>0</v>
      </c>
      <c r="AB13" s="48"/>
      <c r="AC13" s="49"/>
      <c r="AD13" s="47">
        <f t="shared" ref="AD13:AD31" si="9">AE13+AF13</f>
        <v>0</v>
      </c>
      <c r="AE13" s="48"/>
      <c r="AF13" s="49"/>
      <c r="AG13" s="47">
        <f t="shared" ref="AG13:AG31" si="10">AH13+AI13</f>
        <v>0</v>
      </c>
      <c r="AH13" s="48"/>
      <c r="AI13" s="49"/>
      <c r="AJ13" s="47">
        <f t="shared" ref="AJ13:AJ31" si="11">AK13+AL13</f>
        <v>0</v>
      </c>
      <c r="AK13" s="48"/>
      <c r="AL13" s="49"/>
      <c r="AM13" s="47">
        <f t="shared" ref="AM13:AM31" si="12">AN13+AO13</f>
        <v>0</v>
      </c>
      <c r="AN13" s="48"/>
      <c r="AO13" s="49"/>
      <c r="AP13" s="45">
        <f t="shared" ref="AP13:AP31" si="13">F13+L13+R13+X13+AD13+AJ13</f>
        <v>153</v>
      </c>
      <c r="AQ13" s="50">
        <f t="shared" si="0"/>
        <v>0.29423076923076924</v>
      </c>
    </row>
    <row r="14" spans="1:45" ht="18" customHeight="1">
      <c r="A14" s="8"/>
      <c r="B14" s="43" t="s">
        <v>132</v>
      </c>
      <c r="C14" s="44">
        <v>380</v>
      </c>
      <c r="D14" s="45">
        <v>80</v>
      </c>
      <c r="E14" s="46">
        <v>320</v>
      </c>
      <c r="F14" s="47">
        <f t="shared" si="1"/>
        <v>99</v>
      </c>
      <c r="G14" s="48">
        <v>36</v>
      </c>
      <c r="H14" s="49">
        <v>63</v>
      </c>
      <c r="I14" s="47">
        <f t="shared" si="2"/>
        <v>97</v>
      </c>
      <c r="J14" s="48">
        <v>35</v>
      </c>
      <c r="K14" s="49">
        <v>62</v>
      </c>
      <c r="L14" s="47">
        <f t="shared" si="3"/>
        <v>0</v>
      </c>
      <c r="M14" s="48"/>
      <c r="N14" s="49"/>
      <c r="O14" s="47">
        <f t="shared" si="4"/>
        <v>0</v>
      </c>
      <c r="P14" s="48"/>
      <c r="Q14" s="49"/>
      <c r="R14" s="47">
        <f t="shared" si="5"/>
        <v>0</v>
      </c>
      <c r="S14" s="48"/>
      <c r="T14" s="49"/>
      <c r="U14" s="47">
        <f t="shared" si="6"/>
        <v>0</v>
      </c>
      <c r="V14" s="48"/>
      <c r="W14" s="49"/>
      <c r="X14" s="47">
        <f t="shared" si="7"/>
        <v>0</v>
      </c>
      <c r="Y14" s="48"/>
      <c r="Z14" s="49"/>
      <c r="AA14" s="47">
        <f t="shared" si="8"/>
        <v>0</v>
      </c>
      <c r="AB14" s="48"/>
      <c r="AC14" s="49"/>
      <c r="AD14" s="47">
        <f t="shared" si="9"/>
        <v>0</v>
      </c>
      <c r="AE14" s="48"/>
      <c r="AF14" s="49"/>
      <c r="AG14" s="47">
        <f t="shared" si="10"/>
        <v>0</v>
      </c>
      <c r="AH14" s="48"/>
      <c r="AI14" s="49"/>
      <c r="AJ14" s="47">
        <f t="shared" si="11"/>
        <v>0</v>
      </c>
      <c r="AK14" s="48"/>
      <c r="AL14" s="49"/>
      <c r="AM14" s="47">
        <f t="shared" si="12"/>
        <v>0</v>
      </c>
      <c r="AN14" s="48"/>
      <c r="AO14" s="49"/>
      <c r="AP14" s="45">
        <f t="shared" si="13"/>
        <v>99</v>
      </c>
      <c r="AQ14" s="51">
        <f t="shared" si="0"/>
        <v>0.30937500000000001</v>
      </c>
    </row>
    <row r="15" spans="1:45" ht="18" customHeight="1">
      <c r="A15" s="8"/>
      <c r="B15" s="43" t="s">
        <v>133</v>
      </c>
      <c r="C15" s="44">
        <v>252</v>
      </c>
      <c r="D15" s="45">
        <v>80</v>
      </c>
      <c r="E15" s="46">
        <v>320</v>
      </c>
      <c r="F15" s="47">
        <f t="shared" si="1"/>
        <v>51</v>
      </c>
      <c r="G15" s="48">
        <v>33</v>
      </c>
      <c r="H15" s="49">
        <v>18</v>
      </c>
      <c r="I15" s="47">
        <f t="shared" si="2"/>
        <v>50</v>
      </c>
      <c r="J15" s="48">
        <v>32</v>
      </c>
      <c r="K15" s="49">
        <v>18</v>
      </c>
      <c r="L15" s="47">
        <f t="shared" si="3"/>
        <v>0</v>
      </c>
      <c r="M15" s="48"/>
      <c r="N15" s="49"/>
      <c r="O15" s="47">
        <f t="shared" si="4"/>
        <v>0</v>
      </c>
      <c r="P15" s="48"/>
      <c r="Q15" s="49"/>
      <c r="R15" s="47">
        <f t="shared" si="5"/>
        <v>0</v>
      </c>
      <c r="S15" s="48"/>
      <c r="T15" s="49"/>
      <c r="U15" s="47">
        <f t="shared" si="6"/>
        <v>0</v>
      </c>
      <c r="V15" s="48"/>
      <c r="W15" s="49"/>
      <c r="X15" s="47">
        <f t="shared" si="7"/>
        <v>0</v>
      </c>
      <c r="Y15" s="48"/>
      <c r="Z15" s="49"/>
      <c r="AA15" s="47">
        <f t="shared" si="8"/>
        <v>0</v>
      </c>
      <c r="AB15" s="48"/>
      <c r="AC15" s="49"/>
      <c r="AD15" s="47">
        <f t="shared" si="9"/>
        <v>0</v>
      </c>
      <c r="AE15" s="48"/>
      <c r="AF15" s="49"/>
      <c r="AG15" s="47">
        <f t="shared" si="10"/>
        <v>0</v>
      </c>
      <c r="AH15" s="48"/>
      <c r="AI15" s="49"/>
      <c r="AJ15" s="47">
        <f t="shared" si="11"/>
        <v>0</v>
      </c>
      <c r="AK15" s="48"/>
      <c r="AL15" s="49"/>
      <c r="AM15" s="47">
        <f t="shared" si="12"/>
        <v>0</v>
      </c>
      <c r="AN15" s="48"/>
      <c r="AO15" s="49"/>
      <c r="AP15" s="45">
        <f t="shared" si="13"/>
        <v>51</v>
      </c>
      <c r="AQ15" s="51">
        <f t="shared" si="0"/>
        <v>0.15937499999999999</v>
      </c>
    </row>
    <row r="16" spans="1:45" ht="18" customHeight="1">
      <c r="A16" s="8"/>
      <c r="B16" s="43" t="s">
        <v>134</v>
      </c>
      <c r="C16" s="44">
        <v>288</v>
      </c>
      <c r="D16" s="45">
        <v>80</v>
      </c>
      <c r="E16" s="46">
        <v>320</v>
      </c>
      <c r="F16" s="47">
        <f t="shared" si="1"/>
        <v>79</v>
      </c>
      <c r="G16" s="48">
        <v>59</v>
      </c>
      <c r="H16" s="49">
        <v>20</v>
      </c>
      <c r="I16" s="47">
        <f t="shared" si="2"/>
        <v>74</v>
      </c>
      <c r="J16" s="48">
        <v>54</v>
      </c>
      <c r="K16" s="49">
        <v>20</v>
      </c>
      <c r="L16" s="47">
        <f t="shared" si="3"/>
        <v>0</v>
      </c>
      <c r="M16" s="48"/>
      <c r="N16" s="49"/>
      <c r="O16" s="47">
        <f t="shared" si="4"/>
        <v>0</v>
      </c>
      <c r="P16" s="48"/>
      <c r="Q16" s="49"/>
      <c r="R16" s="47">
        <f t="shared" si="5"/>
        <v>0</v>
      </c>
      <c r="S16" s="48"/>
      <c r="T16" s="49"/>
      <c r="U16" s="47">
        <f t="shared" si="6"/>
        <v>0</v>
      </c>
      <c r="V16" s="48"/>
      <c r="W16" s="49"/>
      <c r="X16" s="47">
        <f t="shared" si="7"/>
        <v>0</v>
      </c>
      <c r="Y16" s="48"/>
      <c r="Z16" s="49"/>
      <c r="AA16" s="47">
        <f t="shared" si="8"/>
        <v>0</v>
      </c>
      <c r="AB16" s="48"/>
      <c r="AC16" s="49"/>
      <c r="AD16" s="47">
        <f t="shared" si="9"/>
        <v>0</v>
      </c>
      <c r="AE16" s="48"/>
      <c r="AF16" s="49"/>
      <c r="AG16" s="47">
        <f t="shared" si="10"/>
        <v>0</v>
      </c>
      <c r="AH16" s="48"/>
      <c r="AI16" s="49"/>
      <c r="AJ16" s="47">
        <f t="shared" si="11"/>
        <v>0</v>
      </c>
      <c r="AK16" s="48"/>
      <c r="AL16" s="49"/>
      <c r="AM16" s="47">
        <f t="shared" si="12"/>
        <v>0</v>
      </c>
      <c r="AN16" s="48"/>
      <c r="AO16" s="49"/>
      <c r="AP16" s="45">
        <f t="shared" si="13"/>
        <v>79</v>
      </c>
      <c r="AQ16" s="51">
        <f t="shared" si="0"/>
        <v>0.24687500000000001</v>
      </c>
    </row>
    <row r="17" spans="1:43" ht="18" customHeight="1">
      <c r="A17" s="8"/>
      <c r="B17" s="43"/>
      <c r="C17" s="44"/>
      <c r="D17" s="45"/>
      <c r="E17" s="46"/>
      <c r="F17" s="47">
        <f t="shared" si="1"/>
        <v>0</v>
      </c>
      <c r="G17" s="48"/>
      <c r="H17" s="49"/>
      <c r="I17" s="47">
        <f t="shared" si="2"/>
        <v>0</v>
      </c>
      <c r="J17" s="48"/>
      <c r="K17" s="49"/>
      <c r="L17" s="47">
        <f t="shared" si="3"/>
        <v>0</v>
      </c>
      <c r="M17" s="48"/>
      <c r="N17" s="49"/>
      <c r="O17" s="47">
        <f t="shared" si="4"/>
        <v>0</v>
      </c>
      <c r="P17" s="48"/>
      <c r="Q17" s="49"/>
      <c r="R17" s="47">
        <f t="shared" si="5"/>
        <v>0</v>
      </c>
      <c r="S17" s="48"/>
      <c r="T17" s="49"/>
      <c r="U17" s="47">
        <f t="shared" si="6"/>
        <v>0</v>
      </c>
      <c r="V17" s="48"/>
      <c r="W17" s="49"/>
      <c r="X17" s="47">
        <f t="shared" si="7"/>
        <v>0</v>
      </c>
      <c r="Y17" s="48"/>
      <c r="Z17" s="49"/>
      <c r="AA17" s="47">
        <f t="shared" si="8"/>
        <v>0</v>
      </c>
      <c r="AB17" s="48"/>
      <c r="AC17" s="49"/>
      <c r="AD17" s="47">
        <f t="shared" si="9"/>
        <v>0</v>
      </c>
      <c r="AE17" s="48"/>
      <c r="AF17" s="49"/>
      <c r="AG17" s="47">
        <f t="shared" si="10"/>
        <v>0</v>
      </c>
      <c r="AH17" s="48"/>
      <c r="AI17" s="49"/>
      <c r="AJ17" s="47">
        <f t="shared" si="11"/>
        <v>0</v>
      </c>
      <c r="AK17" s="48"/>
      <c r="AL17" s="49"/>
      <c r="AM17" s="47">
        <f t="shared" si="12"/>
        <v>0</v>
      </c>
      <c r="AN17" s="48"/>
      <c r="AO17" s="49"/>
      <c r="AP17" s="45">
        <f t="shared" si="13"/>
        <v>0</v>
      </c>
      <c r="AQ17" s="51" t="e">
        <f t="shared" si="0"/>
        <v>#DIV/0!</v>
      </c>
    </row>
    <row r="18" spans="1:43" ht="18" customHeight="1">
      <c r="A18" s="8"/>
      <c r="B18" s="43"/>
      <c r="C18" s="44"/>
      <c r="D18" s="45"/>
      <c r="E18" s="46"/>
      <c r="F18" s="47">
        <f t="shared" si="1"/>
        <v>0</v>
      </c>
      <c r="G18" s="48"/>
      <c r="H18" s="49"/>
      <c r="I18" s="47">
        <f t="shared" si="2"/>
        <v>0</v>
      </c>
      <c r="J18" s="48"/>
      <c r="K18" s="49"/>
      <c r="L18" s="47">
        <f t="shared" si="3"/>
        <v>0</v>
      </c>
      <c r="M18" s="48"/>
      <c r="N18" s="49"/>
      <c r="O18" s="47">
        <f t="shared" si="4"/>
        <v>0</v>
      </c>
      <c r="P18" s="48"/>
      <c r="Q18" s="49"/>
      <c r="R18" s="47">
        <f t="shared" si="5"/>
        <v>0</v>
      </c>
      <c r="S18" s="48"/>
      <c r="T18" s="49"/>
      <c r="U18" s="47">
        <f t="shared" si="6"/>
        <v>0</v>
      </c>
      <c r="V18" s="48"/>
      <c r="W18" s="49"/>
      <c r="X18" s="47">
        <f t="shared" si="7"/>
        <v>0</v>
      </c>
      <c r="Y18" s="48"/>
      <c r="Z18" s="49"/>
      <c r="AA18" s="47">
        <f t="shared" si="8"/>
        <v>0</v>
      </c>
      <c r="AB18" s="48"/>
      <c r="AC18" s="49"/>
      <c r="AD18" s="47">
        <f t="shared" si="9"/>
        <v>0</v>
      </c>
      <c r="AE18" s="48"/>
      <c r="AF18" s="49"/>
      <c r="AG18" s="47">
        <f t="shared" si="10"/>
        <v>0</v>
      </c>
      <c r="AH18" s="48"/>
      <c r="AI18" s="49"/>
      <c r="AJ18" s="47">
        <f t="shared" si="11"/>
        <v>0</v>
      </c>
      <c r="AK18" s="48"/>
      <c r="AL18" s="49"/>
      <c r="AM18" s="47">
        <f t="shared" si="12"/>
        <v>0</v>
      </c>
      <c r="AN18" s="48"/>
      <c r="AO18" s="49"/>
      <c r="AP18" s="45">
        <f t="shared" si="13"/>
        <v>0</v>
      </c>
      <c r="AQ18" s="51" t="e">
        <f t="shared" si="0"/>
        <v>#DIV/0!</v>
      </c>
    </row>
    <row r="19" spans="1:43" ht="18" customHeight="1">
      <c r="A19" s="8"/>
      <c r="B19" s="43"/>
      <c r="C19" s="44"/>
      <c r="D19" s="45"/>
      <c r="E19" s="46"/>
      <c r="F19" s="47">
        <f t="shared" si="1"/>
        <v>0</v>
      </c>
      <c r="G19" s="48"/>
      <c r="H19" s="49"/>
      <c r="I19" s="47">
        <f t="shared" si="2"/>
        <v>0</v>
      </c>
      <c r="J19" s="48"/>
      <c r="K19" s="49"/>
      <c r="L19" s="47">
        <f t="shared" si="3"/>
        <v>0</v>
      </c>
      <c r="M19" s="48"/>
      <c r="N19" s="49"/>
      <c r="O19" s="47">
        <f t="shared" si="4"/>
        <v>0</v>
      </c>
      <c r="P19" s="48"/>
      <c r="Q19" s="49"/>
      <c r="R19" s="47">
        <f t="shared" si="5"/>
        <v>0</v>
      </c>
      <c r="S19" s="48"/>
      <c r="T19" s="49"/>
      <c r="U19" s="47">
        <f t="shared" si="6"/>
        <v>0</v>
      </c>
      <c r="V19" s="48"/>
      <c r="W19" s="49"/>
      <c r="X19" s="47">
        <f t="shared" si="7"/>
        <v>0</v>
      </c>
      <c r="Y19" s="48"/>
      <c r="Z19" s="49"/>
      <c r="AA19" s="47">
        <f t="shared" si="8"/>
        <v>0</v>
      </c>
      <c r="AB19" s="48"/>
      <c r="AC19" s="49"/>
      <c r="AD19" s="47">
        <f t="shared" si="9"/>
        <v>0</v>
      </c>
      <c r="AE19" s="48"/>
      <c r="AF19" s="49"/>
      <c r="AG19" s="47">
        <f t="shared" si="10"/>
        <v>0</v>
      </c>
      <c r="AH19" s="48"/>
      <c r="AI19" s="49"/>
      <c r="AJ19" s="47">
        <f t="shared" si="11"/>
        <v>0</v>
      </c>
      <c r="AK19" s="48"/>
      <c r="AL19" s="49"/>
      <c r="AM19" s="47">
        <f t="shared" si="12"/>
        <v>0</v>
      </c>
      <c r="AN19" s="48"/>
      <c r="AO19" s="49"/>
      <c r="AP19" s="45">
        <f t="shared" si="13"/>
        <v>0</v>
      </c>
      <c r="AQ19" s="51" t="e">
        <f t="shared" si="0"/>
        <v>#DIV/0!</v>
      </c>
    </row>
    <row r="20" spans="1:43" ht="18" customHeight="1">
      <c r="A20" s="8"/>
      <c r="B20" s="43"/>
      <c r="C20" s="44"/>
      <c r="D20" s="45"/>
      <c r="E20" s="46"/>
      <c r="F20" s="47">
        <f t="shared" si="1"/>
        <v>0</v>
      </c>
      <c r="G20" s="48"/>
      <c r="H20" s="49"/>
      <c r="I20" s="47">
        <f t="shared" si="2"/>
        <v>0</v>
      </c>
      <c r="J20" s="48"/>
      <c r="K20" s="49"/>
      <c r="L20" s="47">
        <f t="shared" si="3"/>
        <v>0</v>
      </c>
      <c r="M20" s="48"/>
      <c r="N20" s="49"/>
      <c r="O20" s="47">
        <f t="shared" si="4"/>
        <v>0</v>
      </c>
      <c r="P20" s="48"/>
      <c r="Q20" s="49"/>
      <c r="R20" s="47">
        <f t="shared" si="5"/>
        <v>0</v>
      </c>
      <c r="S20" s="48"/>
      <c r="T20" s="49"/>
      <c r="U20" s="47">
        <f t="shared" si="6"/>
        <v>0</v>
      </c>
      <c r="V20" s="48"/>
      <c r="W20" s="49"/>
      <c r="X20" s="47">
        <f t="shared" si="7"/>
        <v>0</v>
      </c>
      <c r="Y20" s="48"/>
      <c r="Z20" s="49"/>
      <c r="AA20" s="47">
        <f t="shared" si="8"/>
        <v>0</v>
      </c>
      <c r="AB20" s="48"/>
      <c r="AC20" s="49"/>
      <c r="AD20" s="47">
        <f t="shared" si="9"/>
        <v>0</v>
      </c>
      <c r="AE20" s="48"/>
      <c r="AF20" s="49"/>
      <c r="AG20" s="47">
        <f t="shared" si="10"/>
        <v>0</v>
      </c>
      <c r="AH20" s="48"/>
      <c r="AI20" s="49"/>
      <c r="AJ20" s="47">
        <f t="shared" si="11"/>
        <v>0</v>
      </c>
      <c r="AK20" s="48"/>
      <c r="AL20" s="49"/>
      <c r="AM20" s="47">
        <f t="shared" si="12"/>
        <v>0</v>
      </c>
      <c r="AN20" s="48"/>
      <c r="AO20" s="49"/>
      <c r="AP20" s="45">
        <f t="shared" si="13"/>
        <v>0</v>
      </c>
      <c r="AQ20" s="51" t="e">
        <f t="shared" si="0"/>
        <v>#DIV/0!</v>
      </c>
    </row>
    <row r="21" spans="1:43" ht="18" customHeight="1">
      <c r="A21" s="8"/>
      <c r="B21" s="43"/>
      <c r="C21" s="44"/>
      <c r="D21" s="45"/>
      <c r="E21" s="46"/>
      <c r="F21" s="47">
        <f t="shared" si="1"/>
        <v>0</v>
      </c>
      <c r="G21" s="48"/>
      <c r="H21" s="49"/>
      <c r="I21" s="47">
        <f t="shared" si="2"/>
        <v>0</v>
      </c>
      <c r="J21" s="48"/>
      <c r="K21" s="49"/>
      <c r="L21" s="47">
        <f t="shared" si="3"/>
        <v>0</v>
      </c>
      <c r="M21" s="48"/>
      <c r="N21" s="49"/>
      <c r="O21" s="47">
        <f t="shared" si="4"/>
        <v>0</v>
      </c>
      <c r="P21" s="48"/>
      <c r="Q21" s="49"/>
      <c r="R21" s="47">
        <f t="shared" si="5"/>
        <v>0</v>
      </c>
      <c r="S21" s="48"/>
      <c r="T21" s="49"/>
      <c r="U21" s="47">
        <f t="shared" si="6"/>
        <v>0</v>
      </c>
      <c r="V21" s="48"/>
      <c r="W21" s="49"/>
      <c r="X21" s="47">
        <f t="shared" si="7"/>
        <v>0</v>
      </c>
      <c r="Y21" s="48"/>
      <c r="Z21" s="49"/>
      <c r="AA21" s="47">
        <f t="shared" si="8"/>
        <v>0</v>
      </c>
      <c r="AB21" s="48"/>
      <c r="AC21" s="49"/>
      <c r="AD21" s="47">
        <f t="shared" si="9"/>
        <v>0</v>
      </c>
      <c r="AE21" s="48"/>
      <c r="AF21" s="49"/>
      <c r="AG21" s="47">
        <f t="shared" si="10"/>
        <v>0</v>
      </c>
      <c r="AH21" s="48"/>
      <c r="AI21" s="49"/>
      <c r="AJ21" s="47">
        <f t="shared" si="11"/>
        <v>0</v>
      </c>
      <c r="AK21" s="48"/>
      <c r="AL21" s="49"/>
      <c r="AM21" s="47">
        <f t="shared" si="12"/>
        <v>0</v>
      </c>
      <c r="AN21" s="48"/>
      <c r="AO21" s="49"/>
      <c r="AP21" s="45">
        <f t="shared" si="13"/>
        <v>0</v>
      </c>
      <c r="AQ21" s="51" t="e">
        <f t="shared" si="0"/>
        <v>#DIV/0!</v>
      </c>
    </row>
    <row r="22" spans="1:43" ht="18" customHeight="1">
      <c r="A22" s="8"/>
      <c r="B22" s="43"/>
      <c r="C22" s="44"/>
      <c r="D22" s="45"/>
      <c r="E22" s="46"/>
      <c r="F22" s="47">
        <f t="shared" si="1"/>
        <v>0</v>
      </c>
      <c r="G22" s="48"/>
      <c r="H22" s="49"/>
      <c r="I22" s="47">
        <f t="shared" si="2"/>
        <v>0</v>
      </c>
      <c r="J22" s="48"/>
      <c r="K22" s="49"/>
      <c r="L22" s="47">
        <f t="shared" si="3"/>
        <v>0</v>
      </c>
      <c r="M22" s="48"/>
      <c r="N22" s="49"/>
      <c r="O22" s="47">
        <f t="shared" si="4"/>
        <v>0</v>
      </c>
      <c r="P22" s="48"/>
      <c r="Q22" s="49"/>
      <c r="R22" s="47">
        <f t="shared" si="5"/>
        <v>0</v>
      </c>
      <c r="S22" s="48"/>
      <c r="T22" s="49"/>
      <c r="U22" s="47">
        <f t="shared" si="6"/>
        <v>0</v>
      </c>
      <c r="V22" s="48"/>
      <c r="W22" s="49"/>
      <c r="X22" s="47">
        <f t="shared" si="7"/>
        <v>0</v>
      </c>
      <c r="Y22" s="48"/>
      <c r="Z22" s="49"/>
      <c r="AA22" s="47">
        <f t="shared" si="8"/>
        <v>0</v>
      </c>
      <c r="AB22" s="48"/>
      <c r="AC22" s="49"/>
      <c r="AD22" s="47">
        <f t="shared" si="9"/>
        <v>0</v>
      </c>
      <c r="AE22" s="48"/>
      <c r="AF22" s="49"/>
      <c r="AG22" s="47">
        <f t="shared" si="10"/>
        <v>0</v>
      </c>
      <c r="AH22" s="48"/>
      <c r="AI22" s="49"/>
      <c r="AJ22" s="47">
        <f t="shared" si="11"/>
        <v>0</v>
      </c>
      <c r="AK22" s="48"/>
      <c r="AL22" s="49"/>
      <c r="AM22" s="47">
        <f t="shared" si="12"/>
        <v>0</v>
      </c>
      <c r="AN22" s="48"/>
      <c r="AO22" s="49"/>
      <c r="AP22" s="45">
        <f t="shared" si="13"/>
        <v>0</v>
      </c>
      <c r="AQ22" s="51" t="e">
        <f t="shared" si="0"/>
        <v>#DIV/0!</v>
      </c>
    </row>
    <row r="23" spans="1:43" ht="18" customHeight="1">
      <c r="A23" s="8"/>
      <c r="B23" s="43"/>
      <c r="C23" s="44"/>
      <c r="D23" s="45"/>
      <c r="E23" s="46"/>
      <c r="F23" s="47">
        <f t="shared" si="1"/>
        <v>0</v>
      </c>
      <c r="G23" s="48"/>
      <c r="H23" s="49"/>
      <c r="I23" s="47">
        <f t="shared" si="2"/>
        <v>0</v>
      </c>
      <c r="J23" s="48"/>
      <c r="K23" s="49"/>
      <c r="L23" s="47">
        <f t="shared" si="3"/>
        <v>0</v>
      </c>
      <c r="M23" s="48"/>
      <c r="N23" s="49"/>
      <c r="O23" s="47">
        <f t="shared" si="4"/>
        <v>0</v>
      </c>
      <c r="P23" s="48"/>
      <c r="Q23" s="49"/>
      <c r="R23" s="47">
        <f t="shared" si="5"/>
        <v>0</v>
      </c>
      <c r="S23" s="48"/>
      <c r="T23" s="49"/>
      <c r="U23" s="47">
        <f t="shared" si="6"/>
        <v>0</v>
      </c>
      <c r="V23" s="48"/>
      <c r="W23" s="49"/>
      <c r="X23" s="47">
        <f t="shared" si="7"/>
        <v>0</v>
      </c>
      <c r="Y23" s="48"/>
      <c r="Z23" s="49"/>
      <c r="AA23" s="47">
        <f t="shared" si="8"/>
        <v>0</v>
      </c>
      <c r="AB23" s="48"/>
      <c r="AC23" s="49"/>
      <c r="AD23" s="47">
        <f t="shared" si="9"/>
        <v>0</v>
      </c>
      <c r="AE23" s="48"/>
      <c r="AF23" s="49"/>
      <c r="AG23" s="47">
        <f t="shared" si="10"/>
        <v>0</v>
      </c>
      <c r="AH23" s="48"/>
      <c r="AI23" s="49"/>
      <c r="AJ23" s="47">
        <f t="shared" si="11"/>
        <v>0</v>
      </c>
      <c r="AK23" s="48"/>
      <c r="AL23" s="49"/>
      <c r="AM23" s="47">
        <f t="shared" si="12"/>
        <v>0</v>
      </c>
      <c r="AN23" s="48"/>
      <c r="AO23" s="49"/>
      <c r="AP23" s="45">
        <f t="shared" si="13"/>
        <v>0</v>
      </c>
      <c r="AQ23" s="51" t="e">
        <f t="shared" si="0"/>
        <v>#DIV/0!</v>
      </c>
    </row>
    <row r="24" spans="1:43" ht="18" customHeight="1">
      <c r="A24" s="8"/>
      <c r="B24" s="43"/>
      <c r="C24" s="44"/>
      <c r="D24" s="45"/>
      <c r="E24" s="46"/>
      <c r="F24" s="47">
        <f t="shared" si="1"/>
        <v>0</v>
      </c>
      <c r="G24" s="48"/>
      <c r="H24" s="49"/>
      <c r="I24" s="47">
        <f t="shared" si="2"/>
        <v>0</v>
      </c>
      <c r="J24" s="48"/>
      <c r="K24" s="49"/>
      <c r="L24" s="47">
        <f t="shared" si="3"/>
        <v>0</v>
      </c>
      <c r="M24" s="48"/>
      <c r="N24" s="49"/>
      <c r="O24" s="47">
        <f t="shared" si="4"/>
        <v>0</v>
      </c>
      <c r="P24" s="48"/>
      <c r="Q24" s="49"/>
      <c r="R24" s="47">
        <f t="shared" si="5"/>
        <v>0</v>
      </c>
      <c r="S24" s="48"/>
      <c r="T24" s="49"/>
      <c r="U24" s="47">
        <f t="shared" si="6"/>
        <v>0</v>
      </c>
      <c r="V24" s="48"/>
      <c r="W24" s="49"/>
      <c r="X24" s="47">
        <f t="shared" si="7"/>
        <v>0</v>
      </c>
      <c r="Y24" s="48"/>
      <c r="Z24" s="49"/>
      <c r="AA24" s="47">
        <f t="shared" si="8"/>
        <v>0</v>
      </c>
      <c r="AB24" s="48"/>
      <c r="AC24" s="49"/>
      <c r="AD24" s="47">
        <f t="shared" si="9"/>
        <v>0</v>
      </c>
      <c r="AE24" s="48"/>
      <c r="AF24" s="49"/>
      <c r="AG24" s="47">
        <f t="shared" si="10"/>
        <v>0</v>
      </c>
      <c r="AH24" s="48"/>
      <c r="AI24" s="49"/>
      <c r="AJ24" s="47">
        <f t="shared" si="11"/>
        <v>0</v>
      </c>
      <c r="AK24" s="48"/>
      <c r="AL24" s="49"/>
      <c r="AM24" s="47">
        <f t="shared" si="12"/>
        <v>0</v>
      </c>
      <c r="AN24" s="48"/>
      <c r="AO24" s="49"/>
      <c r="AP24" s="45">
        <f t="shared" si="13"/>
        <v>0</v>
      </c>
      <c r="AQ24" s="51" t="e">
        <f t="shared" si="0"/>
        <v>#DIV/0!</v>
      </c>
    </row>
    <row r="25" spans="1:43" ht="18" customHeight="1">
      <c r="A25" s="8"/>
      <c r="B25" s="43"/>
      <c r="C25" s="44"/>
      <c r="D25" s="45"/>
      <c r="E25" s="46"/>
      <c r="F25" s="47">
        <f t="shared" si="1"/>
        <v>0</v>
      </c>
      <c r="G25" s="48"/>
      <c r="H25" s="49"/>
      <c r="I25" s="47">
        <f t="shared" si="2"/>
        <v>0</v>
      </c>
      <c r="J25" s="48"/>
      <c r="K25" s="49"/>
      <c r="L25" s="47">
        <f t="shared" si="3"/>
        <v>0</v>
      </c>
      <c r="M25" s="48"/>
      <c r="N25" s="49"/>
      <c r="O25" s="47">
        <f t="shared" si="4"/>
        <v>0</v>
      </c>
      <c r="P25" s="48"/>
      <c r="Q25" s="49"/>
      <c r="R25" s="47">
        <f t="shared" si="5"/>
        <v>0</v>
      </c>
      <c r="S25" s="48"/>
      <c r="T25" s="49"/>
      <c r="U25" s="47">
        <f t="shared" si="6"/>
        <v>0</v>
      </c>
      <c r="V25" s="48"/>
      <c r="W25" s="49"/>
      <c r="X25" s="47">
        <f t="shared" si="7"/>
        <v>0</v>
      </c>
      <c r="Y25" s="48"/>
      <c r="Z25" s="49"/>
      <c r="AA25" s="47">
        <f t="shared" si="8"/>
        <v>0</v>
      </c>
      <c r="AB25" s="48"/>
      <c r="AC25" s="49"/>
      <c r="AD25" s="47">
        <f t="shared" si="9"/>
        <v>0</v>
      </c>
      <c r="AE25" s="48"/>
      <c r="AF25" s="49"/>
      <c r="AG25" s="47">
        <f t="shared" si="10"/>
        <v>0</v>
      </c>
      <c r="AH25" s="48"/>
      <c r="AI25" s="49"/>
      <c r="AJ25" s="47">
        <f t="shared" si="11"/>
        <v>0</v>
      </c>
      <c r="AK25" s="48"/>
      <c r="AL25" s="49"/>
      <c r="AM25" s="47">
        <f t="shared" si="12"/>
        <v>0</v>
      </c>
      <c r="AN25" s="48"/>
      <c r="AO25" s="49"/>
      <c r="AP25" s="45">
        <f t="shared" si="13"/>
        <v>0</v>
      </c>
      <c r="AQ25" s="51" t="e">
        <f t="shared" si="0"/>
        <v>#DIV/0!</v>
      </c>
    </row>
    <row r="26" spans="1:43" ht="18" customHeight="1">
      <c r="A26" s="8"/>
      <c r="B26" s="43"/>
      <c r="C26" s="44"/>
      <c r="D26" s="45"/>
      <c r="E26" s="46"/>
      <c r="F26" s="47">
        <f t="shared" si="1"/>
        <v>0</v>
      </c>
      <c r="G26" s="48"/>
      <c r="H26" s="49"/>
      <c r="I26" s="47">
        <f t="shared" si="2"/>
        <v>0</v>
      </c>
      <c r="J26" s="48"/>
      <c r="K26" s="49"/>
      <c r="L26" s="47">
        <f t="shared" si="3"/>
        <v>0</v>
      </c>
      <c r="M26" s="48"/>
      <c r="N26" s="49"/>
      <c r="O26" s="47">
        <f t="shared" si="4"/>
        <v>0</v>
      </c>
      <c r="P26" s="48"/>
      <c r="Q26" s="49"/>
      <c r="R26" s="47">
        <f t="shared" si="5"/>
        <v>0</v>
      </c>
      <c r="S26" s="48"/>
      <c r="T26" s="49"/>
      <c r="U26" s="47">
        <f t="shared" si="6"/>
        <v>0</v>
      </c>
      <c r="V26" s="48"/>
      <c r="W26" s="49"/>
      <c r="X26" s="47">
        <f t="shared" si="7"/>
        <v>0</v>
      </c>
      <c r="Y26" s="48"/>
      <c r="Z26" s="49"/>
      <c r="AA26" s="47">
        <f t="shared" si="8"/>
        <v>0</v>
      </c>
      <c r="AB26" s="48"/>
      <c r="AC26" s="49"/>
      <c r="AD26" s="47">
        <f t="shared" si="9"/>
        <v>0</v>
      </c>
      <c r="AE26" s="48"/>
      <c r="AF26" s="49"/>
      <c r="AG26" s="47">
        <f t="shared" si="10"/>
        <v>0</v>
      </c>
      <c r="AH26" s="48"/>
      <c r="AI26" s="49"/>
      <c r="AJ26" s="47">
        <f t="shared" si="11"/>
        <v>0</v>
      </c>
      <c r="AK26" s="48"/>
      <c r="AL26" s="49"/>
      <c r="AM26" s="47">
        <f t="shared" si="12"/>
        <v>0</v>
      </c>
      <c r="AN26" s="48"/>
      <c r="AO26" s="49"/>
      <c r="AP26" s="45">
        <f t="shared" si="13"/>
        <v>0</v>
      </c>
      <c r="AQ26" s="51" t="e">
        <f t="shared" si="0"/>
        <v>#DIV/0!</v>
      </c>
    </row>
    <row r="27" spans="1:43" ht="18" customHeight="1">
      <c r="A27" s="8"/>
      <c r="B27" s="43"/>
      <c r="C27" s="44"/>
      <c r="D27" s="45"/>
      <c r="E27" s="46"/>
      <c r="F27" s="47">
        <f t="shared" si="1"/>
        <v>0</v>
      </c>
      <c r="G27" s="48"/>
      <c r="H27" s="49"/>
      <c r="I27" s="47">
        <f t="shared" si="2"/>
        <v>0</v>
      </c>
      <c r="J27" s="48"/>
      <c r="K27" s="49"/>
      <c r="L27" s="47">
        <f t="shared" si="3"/>
        <v>0</v>
      </c>
      <c r="M27" s="48"/>
      <c r="N27" s="49"/>
      <c r="O27" s="47">
        <f t="shared" si="4"/>
        <v>0</v>
      </c>
      <c r="P27" s="48"/>
      <c r="Q27" s="49"/>
      <c r="R27" s="47">
        <f t="shared" si="5"/>
        <v>0</v>
      </c>
      <c r="S27" s="48"/>
      <c r="T27" s="49"/>
      <c r="U27" s="47">
        <f t="shared" si="6"/>
        <v>0</v>
      </c>
      <c r="V27" s="48"/>
      <c r="W27" s="49"/>
      <c r="X27" s="47">
        <f t="shared" si="7"/>
        <v>0</v>
      </c>
      <c r="Y27" s="48"/>
      <c r="Z27" s="49"/>
      <c r="AA27" s="47">
        <f t="shared" si="8"/>
        <v>0</v>
      </c>
      <c r="AB27" s="48"/>
      <c r="AC27" s="49"/>
      <c r="AD27" s="47">
        <f t="shared" si="9"/>
        <v>0</v>
      </c>
      <c r="AE27" s="48"/>
      <c r="AF27" s="49"/>
      <c r="AG27" s="47">
        <f t="shared" si="10"/>
        <v>0</v>
      </c>
      <c r="AH27" s="48"/>
      <c r="AI27" s="49"/>
      <c r="AJ27" s="47">
        <f t="shared" si="11"/>
        <v>0</v>
      </c>
      <c r="AK27" s="48"/>
      <c r="AL27" s="49"/>
      <c r="AM27" s="47">
        <f t="shared" si="12"/>
        <v>0</v>
      </c>
      <c r="AN27" s="48"/>
      <c r="AO27" s="49"/>
      <c r="AP27" s="45">
        <f t="shared" si="13"/>
        <v>0</v>
      </c>
      <c r="AQ27" s="51" t="e">
        <f t="shared" si="0"/>
        <v>#DIV/0!</v>
      </c>
    </row>
    <row r="28" spans="1:43" ht="18" customHeight="1">
      <c r="A28" s="8"/>
      <c r="B28" s="43"/>
      <c r="C28" s="44"/>
      <c r="D28" s="45"/>
      <c r="E28" s="46"/>
      <c r="F28" s="47">
        <f t="shared" si="1"/>
        <v>0</v>
      </c>
      <c r="G28" s="48"/>
      <c r="H28" s="49"/>
      <c r="I28" s="47">
        <f t="shared" si="2"/>
        <v>0</v>
      </c>
      <c r="J28" s="48"/>
      <c r="K28" s="49"/>
      <c r="L28" s="47">
        <f t="shared" si="3"/>
        <v>0</v>
      </c>
      <c r="M28" s="48"/>
      <c r="N28" s="49"/>
      <c r="O28" s="47">
        <f t="shared" si="4"/>
        <v>0</v>
      </c>
      <c r="P28" s="48"/>
      <c r="Q28" s="49"/>
      <c r="R28" s="47">
        <f t="shared" si="5"/>
        <v>0</v>
      </c>
      <c r="S28" s="48"/>
      <c r="T28" s="49"/>
      <c r="U28" s="47">
        <f t="shared" si="6"/>
        <v>0</v>
      </c>
      <c r="V28" s="48"/>
      <c r="W28" s="49"/>
      <c r="X28" s="47">
        <f t="shared" si="7"/>
        <v>0</v>
      </c>
      <c r="Y28" s="48"/>
      <c r="Z28" s="49"/>
      <c r="AA28" s="47">
        <f t="shared" si="8"/>
        <v>0</v>
      </c>
      <c r="AB28" s="48"/>
      <c r="AC28" s="49"/>
      <c r="AD28" s="47">
        <f t="shared" si="9"/>
        <v>0</v>
      </c>
      <c r="AE28" s="48"/>
      <c r="AF28" s="49"/>
      <c r="AG28" s="47">
        <f t="shared" si="10"/>
        <v>0</v>
      </c>
      <c r="AH28" s="48"/>
      <c r="AI28" s="49"/>
      <c r="AJ28" s="47">
        <f t="shared" si="11"/>
        <v>0</v>
      </c>
      <c r="AK28" s="48"/>
      <c r="AL28" s="49"/>
      <c r="AM28" s="47">
        <f t="shared" si="12"/>
        <v>0</v>
      </c>
      <c r="AN28" s="48"/>
      <c r="AO28" s="49"/>
      <c r="AP28" s="45">
        <f t="shared" si="13"/>
        <v>0</v>
      </c>
      <c r="AQ28" s="51" t="e">
        <f t="shared" si="0"/>
        <v>#DIV/0!</v>
      </c>
    </row>
    <row r="29" spans="1:43" ht="18" customHeight="1">
      <c r="A29" s="8"/>
      <c r="B29" s="43"/>
      <c r="C29" s="44"/>
      <c r="D29" s="52"/>
      <c r="E29" s="46"/>
      <c r="F29" s="47">
        <f t="shared" si="1"/>
        <v>0</v>
      </c>
      <c r="G29" s="48"/>
      <c r="H29" s="49"/>
      <c r="I29" s="47">
        <f t="shared" si="2"/>
        <v>0</v>
      </c>
      <c r="J29" s="48"/>
      <c r="K29" s="49"/>
      <c r="L29" s="47">
        <f t="shared" si="3"/>
        <v>0</v>
      </c>
      <c r="M29" s="48"/>
      <c r="N29" s="49"/>
      <c r="O29" s="47">
        <f t="shared" si="4"/>
        <v>0</v>
      </c>
      <c r="P29" s="48"/>
      <c r="Q29" s="49"/>
      <c r="R29" s="47">
        <f t="shared" si="5"/>
        <v>0</v>
      </c>
      <c r="S29" s="48"/>
      <c r="T29" s="49"/>
      <c r="U29" s="47">
        <f t="shared" si="6"/>
        <v>0</v>
      </c>
      <c r="V29" s="48"/>
      <c r="W29" s="49"/>
      <c r="X29" s="47">
        <f t="shared" si="7"/>
        <v>0</v>
      </c>
      <c r="Y29" s="48"/>
      <c r="Z29" s="49"/>
      <c r="AA29" s="47">
        <f t="shared" si="8"/>
        <v>0</v>
      </c>
      <c r="AB29" s="48"/>
      <c r="AC29" s="49"/>
      <c r="AD29" s="47">
        <f t="shared" si="9"/>
        <v>0</v>
      </c>
      <c r="AE29" s="48"/>
      <c r="AF29" s="49"/>
      <c r="AG29" s="47">
        <f t="shared" si="10"/>
        <v>0</v>
      </c>
      <c r="AH29" s="48"/>
      <c r="AI29" s="49"/>
      <c r="AJ29" s="47">
        <f t="shared" si="11"/>
        <v>0</v>
      </c>
      <c r="AK29" s="48"/>
      <c r="AL29" s="49"/>
      <c r="AM29" s="47">
        <f t="shared" si="12"/>
        <v>0</v>
      </c>
      <c r="AN29" s="48"/>
      <c r="AO29" s="49"/>
      <c r="AP29" s="52">
        <f t="shared" si="13"/>
        <v>0</v>
      </c>
      <c r="AQ29" s="51" t="e">
        <f t="shared" si="0"/>
        <v>#DIV/0!</v>
      </c>
    </row>
    <row r="30" spans="1:43" ht="18" customHeight="1">
      <c r="A30" s="8"/>
      <c r="B30" s="43"/>
      <c r="C30" s="44"/>
      <c r="D30" s="52"/>
      <c r="E30" s="46"/>
      <c r="F30" s="47">
        <f t="shared" si="1"/>
        <v>0</v>
      </c>
      <c r="G30" s="48"/>
      <c r="H30" s="49"/>
      <c r="I30" s="47">
        <f t="shared" si="2"/>
        <v>0</v>
      </c>
      <c r="J30" s="48"/>
      <c r="K30" s="49"/>
      <c r="L30" s="47">
        <f t="shared" si="3"/>
        <v>0</v>
      </c>
      <c r="M30" s="48"/>
      <c r="N30" s="49"/>
      <c r="O30" s="47">
        <f t="shared" si="4"/>
        <v>0</v>
      </c>
      <c r="P30" s="48"/>
      <c r="Q30" s="49"/>
      <c r="R30" s="47">
        <f t="shared" si="5"/>
        <v>0</v>
      </c>
      <c r="S30" s="48"/>
      <c r="T30" s="49"/>
      <c r="U30" s="47">
        <f t="shared" si="6"/>
        <v>0</v>
      </c>
      <c r="V30" s="48"/>
      <c r="W30" s="49"/>
      <c r="X30" s="47">
        <f t="shared" si="7"/>
        <v>0</v>
      </c>
      <c r="Y30" s="48"/>
      <c r="Z30" s="49"/>
      <c r="AA30" s="47">
        <f t="shared" si="8"/>
        <v>0</v>
      </c>
      <c r="AB30" s="48"/>
      <c r="AC30" s="49"/>
      <c r="AD30" s="47">
        <f t="shared" si="9"/>
        <v>0</v>
      </c>
      <c r="AE30" s="48"/>
      <c r="AF30" s="49"/>
      <c r="AG30" s="47">
        <f t="shared" si="10"/>
        <v>0</v>
      </c>
      <c r="AH30" s="48"/>
      <c r="AI30" s="49"/>
      <c r="AJ30" s="47">
        <f t="shared" si="11"/>
        <v>0</v>
      </c>
      <c r="AK30" s="48"/>
      <c r="AL30" s="49"/>
      <c r="AM30" s="47">
        <f t="shared" si="12"/>
        <v>0</v>
      </c>
      <c r="AN30" s="48"/>
      <c r="AO30" s="49"/>
      <c r="AP30" s="52">
        <f t="shared" si="13"/>
        <v>0</v>
      </c>
      <c r="AQ30" s="51" t="e">
        <f t="shared" si="0"/>
        <v>#DIV/0!</v>
      </c>
    </row>
    <row r="31" spans="1:43" ht="18" customHeight="1" thickBot="1">
      <c r="A31" s="8"/>
      <c r="B31" s="53"/>
      <c r="C31" s="37"/>
      <c r="D31" s="54"/>
      <c r="E31" s="39"/>
      <c r="F31" s="39">
        <f t="shared" si="1"/>
        <v>0</v>
      </c>
      <c r="G31" s="55"/>
      <c r="H31" s="56"/>
      <c r="I31" s="39">
        <f t="shared" si="2"/>
        <v>0</v>
      </c>
      <c r="J31" s="55"/>
      <c r="K31" s="56"/>
      <c r="L31" s="39">
        <f t="shared" si="3"/>
        <v>0</v>
      </c>
      <c r="M31" s="55"/>
      <c r="N31" s="56"/>
      <c r="O31" s="39">
        <f t="shared" si="4"/>
        <v>0</v>
      </c>
      <c r="P31" s="55"/>
      <c r="Q31" s="56"/>
      <c r="R31" s="39">
        <f t="shared" si="5"/>
        <v>0</v>
      </c>
      <c r="S31" s="55"/>
      <c r="T31" s="56"/>
      <c r="U31" s="39">
        <f t="shared" si="6"/>
        <v>0</v>
      </c>
      <c r="V31" s="55"/>
      <c r="W31" s="56"/>
      <c r="X31" s="39">
        <f t="shared" si="7"/>
        <v>0</v>
      </c>
      <c r="Y31" s="55"/>
      <c r="Z31" s="56"/>
      <c r="AA31" s="39">
        <f t="shared" si="8"/>
        <v>0</v>
      </c>
      <c r="AB31" s="55"/>
      <c r="AC31" s="56"/>
      <c r="AD31" s="39">
        <f t="shared" si="9"/>
        <v>0</v>
      </c>
      <c r="AE31" s="55"/>
      <c r="AF31" s="56"/>
      <c r="AG31" s="39">
        <f t="shared" si="10"/>
        <v>0</v>
      </c>
      <c r="AH31" s="55"/>
      <c r="AI31" s="56"/>
      <c r="AJ31" s="39">
        <f t="shared" si="11"/>
        <v>0</v>
      </c>
      <c r="AK31" s="55"/>
      <c r="AL31" s="56"/>
      <c r="AM31" s="39">
        <f t="shared" si="12"/>
        <v>0</v>
      </c>
      <c r="AN31" s="55"/>
      <c r="AO31" s="56"/>
      <c r="AP31" s="54">
        <f t="shared" si="13"/>
        <v>0</v>
      </c>
      <c r="AQ31" s="57" t="e">
        <f t="shared" si="0"/>
        <v>#DIV/0!</v>
      </c>
    </row>
    <row r="32" spans="1:43" ht="18" customHeight="1" thickTop="1">
      <c r="A32" s="5"/>
      <c r="B32" s="58" t="s">
        <v>32</v>
      </c>
      <c r="C32" s="59">
        <f t="shared" ref="C32" si="14">SUM(C12:C31)</f>
        <v>2343</v>
      </c>
      <c r="D32" s="60">
        <f t="shared" ref="D32:AP32" si="15">SUM(D12:D31)</f>
        <v>490</v>
      </c>
      <c r="E32" s="61">
        <f t="shared" si="15"/>
        <v>2200</v>
      </c>
      <c r="F32" s="61">
        <f t="shared" si="15"/>
        <v>523</v>
      </c>
      <c r="G32" s="62">
        <f t="shared" si="15"/>
        <v>236</v>
      </c>
      <c r="H32" s="63">
        <f t="shared" si="15"/>
        <v>287</v>
      </c>
      <c r="I32" s="61">
        <f t="shared" ref="I32:N32" si="16">SUM(I12:I31)</f>
        <v>515</v>
      </c>
      <c r="J32" s="62">
        <f t="shared" si="16"/>
        <v>229</v>
      </c>
      <c r="K32" s="63">
        <f t="shared" si="16"/>
        <v>286</v>
      </c>
      <c r="L32" s="61">
        <f t="shared" si="16"/>
        <v>0</v>
      </c>
      <c r="M32" s="62">
        <f t="shared" si="16"/>
        <v>0</v>
      </c>
      <c r="N32" s="63">
        <f t="shared" si="16"/>
        <v>0</v>
      </c>
      <c r="O32" s="61">
        <f t="shared" ref="O32:T32" si="17">SUM(O12:O31)</f>
        <v>0</v>
      </c>
      <c r="P32" s="62">
        <f t="shared" si="17"/>
        <v>0</v>
      </c>
      <c r="Q32" s="63">
        <f t="shared" si="17"/>
        <v>0</v>
      </c>
      <c r="R32" s="61">
        <f t="shared" si="17"/>
        <v>0</v>
      </c>
      <c r="S32" s="62">
        <f t="shared" si="17"/>
        <v>0</v>
      </c>
      <c r="T32" s="63">
        <f t="shared" si="17"/>
        <v>0</v>
      </c>
      <c r="U32" s="61">
        <f t="shared" ref="U32:AI32" si="18">SUM(U12:U31)</f>
        <v>0</v>
      </c>
      <c r="V32" s="62">
        <f t="shared" si="18"/>
        <v>0</v>
      </c>
      <c r="W32" s="63">
        <f t="shared" si="18"/>
        <v>0</v>
      </c>
      <c r="X32" s="61">
        <f t="shared" si="18"/>
        <v>0</v>
      </c>
      <c r="Y32" s="62">
        <f t="shared" si="18"/>
        <v>0</v>
      </c>
      <c r="Z32" s="63">
        <f t="shared" si="18"/>
        <v>0</v>
      </c>
      <c r="AA32" s="61">
        <f t="shared" si="18"/>
        <v>0</v>
      </c>
      <c r="AB32" s="62">
        <f t="shared" si="18"/>
        <v>0</v>
      </c>
      <c r="AC32" s="63">
        <f t="shared" si="18"/>
        <v>0</v>
      </c>
      <c r="AD32" s="61">
        <f t="shared" si="18"/>
        <v>0</v>
      </c>
      <c r="AE32" s="62">
        <f t="shared" si="18"/>
        <v>0</v>
      </c>
      <c r="AF32" s="63">
        <f t="shared" si="18"/>
        <v>0</v>
      </c>
      <c r="AG32" s="61">
        <f t="shared" si="18"/>
        <v>0</v>
      </c>
      <c r="AH32" s="62">
        <f t="shared" si="18"/>
        <v>0</v>
      </c>
      <c r="AI32" s="63">
        <f t="shared" si="18"/>
        <v>0</v>
      </c>
      <c r="AJ32" s="61">
        <f t="shared" ref="AJ32:AO32" si="19">SUM(AJ12:AJ31)</f>
        <v>0</v>
      </c>
      <c r="AK32" s="62">
        <f t="shared" si="19"/>
        <v>0</v>
      </c>
      <c r="AL32" s="63">
        <f t="shared" si="19"/>
        <v>0</v>
      </c>
      <c r="AM32" s="61">
        <f t="shared" si="19"/>
        <v>0</v>
      </c>
      <c r="AN32" s="62">
        <f t="shared" si="19"/>
        <v>0</v>
      </c>
      <c r="AO32" s="63">
        <f t="shared" si="19"/>
        <v>0</v>
      </c>
      <c r="AP32" s="60">
        <f t="shared" si="15"/>
        <v>523</v>
      </c>
      <c r="AQ32" s="64">
        <f t="shared" si="0"/>
        <v>0.23772727272727273</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tabColor rgb="FFFF0000"/>
    <pageSetUpPr fitToPage="1"/>
  </sheetPr>
  <dimension ref="A1:O134"/>
  <sheetViews>
    <sheetView showZeros="0" view="pageBreakPreview" zoomScaleNormal="100" zoomScaleSheetLayoutView="100" workbookViewId="0">
      <selection activeCell="M16" sqref="M16"/>
    </sheetView>
  </sheetViews>
  <sheetFormatPr defaultColWidth="11.375" defaultRowHeight="18.75" customHeight="1"/>
  <cols>
    <col min="1" max="1" width="2.75" style="65" customWidth="1"/>
    <col min="2" max="2" width="16.625" style="88" customWidth="1"/>
    <col min="3" max="3" width="8.875" style="88" customWidth="1"/>
    <col min="4" max="4" width="2.25" style="88" customWidth="1"/>
    <col min="5" max="5" width="16.625" style="88" customWidth="1"/>
    <col min="6" max="6" width="4.375" style="88" customWidth="1"/>
    <col min="7" max="7" width="9" style="88" customWidth="1"/>
    <col min="8" max="8" width="16.625" style="88" customWidth="1"/>
    <col min="9" max="9" width="12.125" style="88" customWidth="1"/>
    <col min="10" max="16384" width="11.375" style="88"/>
  </cols>
  <sheetData>
    <row r="1" spans="1:9" ht="18.75" customHeight="1">
      <c r="A1" s="65" t="s">
        <v>64</v>
      </c>
      <c r="I1" s="86" t="s">
        <v>105</v>
      </c>
    </row>
    <row r="2" spans="1:9" ht="18.75" customHeight="1">
      <c r="G2" s="86" t="s">
        <v>108</v>
      </c>
      <c r="H2" s="103" t="e">
        <f>#REF!</f>
        <v>#REF!</v>
      </c>
      <c r="I2" s="105"/>
    </row>
    <row r="3" spans="1:9" ht="18.75" customHeight="1">
      <c r="G3" s="86"/>
      <c r="H3" s="12"/>
      <c r="I3" s="12"/>
    </row>
    <row r="4" spans="1:9" ht="18.600000000000001" customHeight="1">
      <c r="A4" s="114" t="s">
        <v>35</v>
      </c>
      <c r="B4" s="114"/>
      <c r="C4" s="114"/>
      <c r="D4" s="114"/>
      <c r="E4" s="114"/>
      <c r="F4" s="114"/>
      <c r="G4" s="114"/>
      <c r="H4" s="114"/>
      <c r="I4" s="114"/>
    </row>
    <row r="5" spans="1:9" ht="13.15" customHeight="1">
      <c r="B5" s="89"/>
      <c r="C5" s="89"/>
      <c r="D5" s="89"/>
      <c r="E5" s="89"/>
      <c r="F5" s="89"/>
      <c r="G5" s="89"/>
      <c r="H5" s="89"/>
      <c r="I5" s="89"/>
    </row>
    <row r="6" spans="1:9" ht="18" customHeight="1">
      <c r="A6" s="88" t="s">
        <v>0</v>
      </c>
      <c r="B6" s="12" t="s">
        <v>90</v>
      </c>
      <c r="C6" s="253" t="s">
        <v>91</v>
      </c>
      <c r="D6" s="253"/>
      <c r="E6" s="87">
        <v>140</v>
      </c>
      <c r="F6" s="89" t="s">
        <v>1</v>
      </c>
      <c r="G6" s="89" t="s">
        <v>2</v>
      </c>
      <c r="H6" s="87">
        <v>72</v>
      </c>
      <c r="I6" s="12" t="s">
        <v>1</v>
      </c>
    </row>
    <row r="7" spans="1:9" ht="12" customHeight="1">
      <c r="C7" s="66"/>
      <c r="D7" s="66"/>
      <c r="E7" s="66"/>
      <c r="F7" s="66"/>
      <c r="G7" s="66"/>
      <c r="H7" s="66"/>
      <c r="I7" s="67"/>
    </row>
    <row r="8" spans="1:9" ht="18" customHeight="1">
      <c r="A8" s="88" t="s">
        <v>3</v>
      </c>
      <c r="B8" s="12" t="s">
        <v>92</v>
      </c>
      <c r="E8" s="89"/>
      <c r="F8" s="89"/>
      <c r="G8" s="89"/>
      <c r="H8" s="87">
        <v>4</v>
      </c>
      <c r="I8" s="12" t="s">
        <v>1</v>
      </c>
    </row>
    <row r="9" spans="1:9" ht="9" customHeight="1">
      <c r="B9" s="89"/>
      <c r="C9" s="89"/>
      <c r="D9" s="89"/>
      <c r="E9" s="89"/>
      <c r="F9" s="89"/>
      <c r="G9" s="89"/>
      <c r="H9" s="89"/>
      <c r="I9" s="89"/>
    </row>
    <row r="10" spans="1:9" ht="18" customHeight="1">
      <c r="A10" s="88" t="s">
        <v>4</v>
      </c>
      <c r="B10" s="12" t="s">
        <v>93</v>
      </c>
      <c r="C10" s="89"/>
      <c r="D10" s="89"/>
      <c r="E10" s="89"/>
      <c r="F10" s="89"/>
      <c r="G10" s="89"/>
      <c r="H10" s="89"/>
      <c r="I10" s="89"/>
    </row>
    <row r="11" spans="1:9" ht="34.5" customHeight="1">
      <c r="B11" s="86" t="s">
        <v>42</v>
      </c>
      <c r="C11" s="244" t="s">
        <v>135</v>
      </c>
      <c r="D11" s="247"/>
      <c r="E11" s="248"/>
      <c r="F11" s="67"/>
      <c r="G11" s="86" t="s">
        <v>10</v>
      </c>
      <c r="H11" s="251" t="s">
        <v>159</v>
      </c>
      <c r="I11" s="252"/>
    </row>
    <row r="12" spans="1:9" ht="10.15" customHeight="1">
      <c r="B12" s="86"/>
      <c r="C12" s="12"/>
      <c r="D12" s="67"/>
      <c r="E12" s="67"/>
      <c r="F12" s="67"/>
      <c r="G12" s="86"/>
      <c r="H12" s="12"/>
      <c r="I12" s="67"/>
    </row>
    <row r="13" spans="1:9" ht="18" customHeight="1">
      <c r="A13" s="88" t="s">
        <v>7</v>
      </c>
      <c r="B13" s="12" t="s">
        <v>87</v>
      </c>
      <c r="C13" s="89"/>
      <c r="D13" s="89"/>
      <c r="E13" s="89"/>
      <c r="F13" s="89"/>
      <c r="G13" s="89"/>
      <c r="H13" s="89"/>
      <c r="I13" s="89"/>
    </row>
    <row r="14" spans="1:9" ht="18" customHeight="1">
      <c r="B14" s="244" t="s">
        <v>136</v>
      </c>
      <c r="C14" s="245"/>
      <c r="D14" s="245"/>
      <c r="E14" s="245"/>
      <c r="F14" s="245"/>
      <c r="G14" s="245"/>
      <c r="H14" s="245"/>
      <c r="I14" s="246"/>
    </row>
    <row r="15" spans="1:9" ht="9" customHeight="1">
      <c r="B15" s="89"/>
      <c r="C15" s="89"/>
      <c r="D15" s="89"/>
      <c r="E15" s="89"/>
      <c r="F15" s="89"/>
      <c r="G15" s="89"/>
      <c r="H15" s="89"/>
      <c r="I15" s="89"/>
    </row>
    <row r="16" spans="1:9" ht="18" customHeight="1">
      <c r="B16" s="86" t="s">
        <v>42</v>
      </c>
      <c r="C16" s="244" t="s">
        <v>137</v>
      </c>
      <c r="D16" s="247"/>
      <c r="E16" s="248"/>
      <c r="F16" s="67"/>
      <c r="G16" s="86" t="s">
        <v>10</v>
      </c>
      <c r="H16" s="249" t="s">
        <v>158</v>
      </c>
      <c r="I16" s="250"/>
    </row>
    <row r="17" spans="1:9" ht="18" customHeight="1">
      <c r="B17" s="89"/>
      <c r="C17" s="89"/>
      <c r="D17" s="89"/>
      <c r="E17" s="89"/>
      <c r="F17" s="89"/>
      <c r="G17" s="89"/>
      <c r="H17" s="89"/>
      <c r="I17" s="89"/>
    </row>
    <row r="18" spans="1:9" ht="18.75" customHeight="1">
      <c r="A18" s="88" t="s">
        <v>5</v>
      </c>
      <c r="B18" s="88" t="s">
        <v>41</v>
      </c>
      <c r="I18" s="89"/>
    </row>
    <row r="19" spans="1:9" ht="18.75" customHeight="1">
      <c r="A19" s="88"/>
      <c r="B19" s="227" t="s">
        <v>157</v>
      </c>
      <c r="C19" s="228"/>
      <c r="D19" s="228"/>
      <c r="E19" s="228"/>
      <c r="F19" s="228"/>
      <c r="G19" s="228"/>
      <c r="H19" s="228"/>
      <c r="I19" s="229"/>
    </row>
    <row r="20" spans="1:9" ht="7.5" customHeight="1">
      <c r="B20" s="89"/>
      <c r="C20" s="89"/>
      <c r="D20" s="89"/>
      <c r="E20" s="89"/>
      <c r="F20" s="89"/>
      <c r="G20" s="89"/>
      <c r="H20" s="89"/>
      <c r="I20" s="89"/>
    </row>
    <row r="21" spans="1:9" ht="18.75" customHeight="1">
      <c r="A21" s="88" t="s">
        <v>8</v>
      </c>
      <c r="B21" s="88" t="s">
        <v>24</v>
      </c>
    </row>
    <row r="22" spans="1:9" ht="18.75" customHeight="1">
      <c r="A22" s="90"/>
      <c r="B22" s="217" t="s">
        <v>138</v>
      </c>
      <c r="C22" s="218"/>
      <c r="D22" s="218"/>
      <c r="E22" s="218"/>
      <c r="F22" s="218"/>
      <c r="G22" s="218"/>
      <c r="H22" s="218"/>
      <c r="I22" s="219"/>
    </row>
    <row r="23" spans="1:9" ht="0.95" customHeight="1">
      <c r="A23" s="90"/>
      <c r="B23" s="230"/>
      <c r="C23" s="231"/>
      <c r="D23" s="231"/>
      <c r="E23" s="231"/>
      <c r="F23" s="231"/>
      <c r="G23" s="231"/>
      <c r="H23" s="231"/>
      <c r="I23" s="222"/>
    </row>
    <row r="24" spans="1:9" ht="0.95" customHeight="1">
      <c r="A24" s="90"/>
      <c r="B24" s="230"/>
      <c r="C24" s="231"/>
      <c r="D24" s="231"/>
      <c r="E24" s="231"/>
      <c r="F24" s="231"/>
      <c r="G24" s="231"/>
      <c r="H24" s="231"/>
      <c r="I24" s="222"/>
    </row>
    <row r="25" spans="1:9" ht="0.95" customHeight="1">
      <c r="A25" s="90"/>
      <c r="B25" s="230"/>
      <c r="C25" s="231"/>
      <c r="D25" s="231"/>
      <c r="E25" s="231"/>
      <c r="F25" s="231"/>
      <c r="G25" s="231"/>
      <c r="H25" s="231"/>
      <c r="I25" s="222"/>
    </row>
    <row r="26" spans="1:9" ht="0.95" customHeight="1">
      <c r="A26" s="90"/>
      <c r="B26" s="230"/>
      <c r="C26" s="231"/>
      <c r="D26" s="231"/>
      <c r="E26" s="231"/>
      <c r="F26" s="231"/>
      <c r="G26" s="231"/>
      <c r="H26" s="231"/>
      <c r="I26" s="222"/>
    </row>
    <row r="27" spans="1:9" ht="0.95" customHeight="1">
      <c r="A27" s="90"/>
      <c r="B27" s="230"/>
      <c r="C27" s="231"/>
      <c r="D27" s="231"/>
      <c r="E27" s="231"/>
      <c r="F27" s="231"/>
      <c r="G27" s="231"/>
      <c r="H27" s="231"/>
      <c r="I27" s="222"/>
    </row>
    <row r="28" spans="1:9" ht="0.95" customHeight="1">
      <c r="A28" s="90"/>
      <c r="B28" s="230"/>
      <c r="C28" s="231"/>
      <c r="D28" s="231"/>
      <c r="E28" s="231"/>
      <c r="F28" s="231"/>
      <c r="G28" s="231"/>
      <c r="H28" s="231"/>
      <c r="I28" s="222"/>
    </row>
    <row r="29" spans="1:9" ht="0.95" customHeight="1">
      <c r="A29" s="90"/>
      <c r="B29" s="230"/>
      <c r="C29" s="231"/>
      <c r="D29" s="231"/>
      <c r="E29" s="231"/>
      <c r="F29" s="231"/>
      <c r="G29" s="231"/>
      <c r="H29" s="231"/>
      <c r="I29" s="222"/>
    </row>
    <row r="30" spans="1:9" ht="0.95" customHeight="1">
      <c r="A30" s="90"/>
      <c r="B30" s="220"/>
      <c r="C30" s="221"/>
      <c r="D30" s="221"/>
      <c r="E30" s="221"/>
      <c r="F30" s="221"/>
      <c r="G30" s="221"/>
      <c r="H30" s="221"/>
      <c r="I30" s="222"/>
    </row>
    <row r="31" spans="1:9" ht="0.95" customHeight="1">
      <c r="A31" s="90"/>
      <c r="B31" s="220"/>
      <c r="C31" s="221"/>
      <c r="D31" s="221"/>
      <c r="E31" s="221"/>
      <c r="F31" s="221"/>
      <c r="G31" s="221"/>
      <c r="H31" s="221"/>
      <c r="I31" s="222"/>
    </row>
    <row r="32" spans="1:9" ht="0.95" customHeight="1">
      <c r="A32" s="90"/>
      <c r="B32" s="223"/>
      <c r="C32" s="224"/>
      <c r="D32" s="224"/>
      <c r="E32" s="224"/>
      <c r="F32" s="224"/>
      <c r="G32" s="224"/>
      <c r="H32" s="224"/>
      <c r="I32" s="225"/>
    </row>
    <row r="33" spans="1:9" ht="7.5" customHeight="1">
      <c r="A33" s="90"/>
      <c r="B33" s="90"/>
      <c r="C33" s="90"/>
      <c r="D33" s="90"/>
      <c r="E33" s="90"/>
      <c r="F33" s="90"/>
      <c r="G33" s="90"/>
      <c r="H33" s="90"/>
      <c r="I33" s="90"/>
    </row>
    <row r="34" spans="1:9" ht="18.75" customHeight="1">
      <c r="A34" s="85" t="s">
        <v>6</v>
      </c>
      <c r="B34" s="85" t="s">
        <v>9</v>
      </c>
      <c r="C34" s="12"/>
      <c r="D34" s="85"/>
      <c r="E34" s="85"/>
      <c r="F34" s="85"/>
      <c r="G34" s="85"/>
      <c r="H34" s="85"/>
      <c r="I34" s="85"/>
    </row>
    <row r="35" spans="1:9" ht="36" customHeight="1">
      <c r="A35" s="90"/>
      <c r="B35" s="232" t="s">
        <v>160</v>
      </c>
      <c r="C35" s="233"/>
      <c r="D35" s="233"/>
      <c r="E35" s="233"/>
      <c r="F35" s="233"/>
      <c r="G35" s="233"/>
      <c r="H35" s="233"/>
      <c r="I35" s="234"/>
    </row>
    <row r="36" spans="1:9" ht="36" customHeight="1">
      <c r="A36" s="90"/>
      <c r="B36" s="235"/>
      <c r="C36" s="236"/>
      <c r="D36" s="236"/>
      <c r="E36" s="236"/>
      <c r="F36" s="236"/>
      <c r="G36" s="236"/>
      <c r="H36" s="236"/>
      <c r="I36" s="237"/>
    </row>
    <row r="37" spans="1:9" ht="36" customHeight="1">
      <c r="A37" s="90"/>
      <c r="B37" s="235"/>
      <c r="C37" s="236"/>
      <c r="D37" s="236"/>
      <c r="E37" s="236"/>
      <c r="F37" s="236"/>
      <c r="G37" s="236"/>
      <c r="H37" s="236"/>
      <c r="I37" s="237"/>
    </row>
    <row r="38" spans="1:9" ht="36" customHeight="1">
      <c r="A38" s="90"/>
      <c r="B38" s="235"/>
      <c r="C38" s="236"/>
      <c r="D38" s="236"/>
      <c r="E38" s="236"/>
      <c r="F38" s="236"/>
      <c r="G38" s="236"/>
      <c r="H38" s="236"/>
      <c r="I38" s="237"/>
    </row>
    <row r="39" spans="1:9" ht="36" customHeight="1">
      <c r="A39" s="90"/>
      <c r="B39" s="235"/>
      <c r="C39" s="236"/>
      <c r="D39" s="236"/>
      <c r="E39" s="236"/>
      <c r="F39" s="236"/>
      <c r="G39" s="236"/>
      <c r="H39" s="236"/>
      <c r="I39" s="237"/>
    </row>
    <row r="40" spans="1:9" ht="36" customHeight="1">
      <c r="A40" s="90"/>
      <c r="B40" s="235"/>
      <c r="C40" s="236"/>
      <c r="D40" s="236"/>
      <c r="E40" s="236"/>
      <c r="F40" s="236"/>
      <c r="G40" s="236"/>
      <c r="H40" s="236"/>
      <c r="I40" s="237"/>
    </row>
    <row r="41" spans="1:9" ht="36" customHeight="1">
      <c r="A41" s="90"/>
      <c r="B41" s="235"/>
      <c r="C41" s="236"/>
      <c r="D41" s="236"/>
      <c r="E41" s="236"/>
      <c r="F41" s="236"/>
      <c r="G41" s="236"/>
      <c r="H41" s="236"/>
      <c r="I41" s="237"/>
    </row>
    <row r="42" spans="1:9" ht="36" customHeight="1">
      <c r="A42" s="90"/>
      <c r="B42" s="235"/>
      <c r="C42" s="236"/>
      <c r="D42" s="236"/>
      <c r="E42" s="236"/>
      <c r="F42" s="236"/>
      <c r="G42" s="236"/>
      <c r="H42" s="236"/>
      <c r="I42" s="237"/>
    </row>
    <row r="43" spans="1:9" ht="36" customHeight="1">
      <c r="A43" s="90"/>
      <c r="B43" s="235"/>
      <c r="C43" s="236"/>
      <c r="D43" s="236"/>
      <c r="E43" s="236"/>
      <c r="F43" s="236"/>
      <c r="G43" s="236"/>
      <c r="H43" s="236"/>
      <c r="I43" s="237"/>
    </row>
    <row r="44" spans="1:9" ht="36" customHeight="1">
      <c r="A44" s="90"/>
      <c r="B44" s="235"/>
      <c r="C44" s="236"/>
      <c r="D44" s="236"/>
      <c r="E44" s="236"/>
      <c r="F44" s="236"/>
      <c r="G44" s="236"/>
      <c r="H44" s="236"/>
      <c r="I44" s="237"/>
    </row>
    <row r="45" spans="1:9" ht="36" customHeight="1">
      <c r="A45" s="90"/>
      <c r="B45" s="235"/>
      <c r="C45" s="236"/>
      <c r="D45" s="236"/>
      <c r="E45" s="236"/>
      <c r="F45" s="236"/>
      <c r="G45" s="236"/>
      <c r="H45" s="236"/>
      <c r="I45" s="237"/>
    </row>
    <row r="46" spans="1:9" ht="20.25" customHeight="1">
      <c r="A46" s="90"/>
      <c r="B46" s="238"/>
      <c r="C46" s="239"/>
      <c r="D46" s="239"/>
      <c r="E46" s="239"/>
      <c r="F46" s="239"/>
      <c r="G46" s="239"/>
      <c r="H46" s="239"/>
      <c r="I46" s="240"/>
    </row>
    <row r="47" spans="1:9" ht="7.5" customHeight="1">
      <c r="A47" s="68"/>
      <c r="B47" s="68"/>
      <c r="C47" s="68"/>
      <c r="D47" s="68"/>
      <c r="E47" s="68"/>
      <c r="F47" s="68"/>
      <c r="G47" s="68"/>
      <c r="H47" s="68"/>
      <c r="I47" s="68"/>
    </row>
    <row r="48" spans="1:9" ht="18.75" customHeight="1">
      <c r="A48" s="88" t="s">
        <v>30</v>
      </c>
      <c r="B48" s="88" t="s">
        <v>156</v>
      </c>
    </row>
    <row r="49" spans="1:15" s="89" customFormat="1" ht="18.75" customHeight="1">
      <c r="B49" s="69" t="s">
        <v>88</v>
      </c>
      <c r="C49" s="207">
        <f>'様式２ 履修者等数の実績'!AQ32</f>
        <v>0.23772727272727273</v>
      </c>
      <c r="D49" s="207"/>
      <c r="E49" s="69" t="s">
        <v>65</v>
      </c>
      <c r="F49" s="207">
        <v>0.5</v>
      </c>
      <c r="G49" s="207"/>
      <c r="H49" s="69" t="s">
        <v>66</v>
      </c>
      <c r="I49" s="277">
        <v>0.75</v>
      </c>
      <c r="J49" s="88"/>
      <c r="M49" s="88"/>
      <c r="N49" s="278"/>
    </row>
    <row r="50" spans="1:15" s="89" customFormat="1" ht="18.75" customHeight="1">
      <c r="B50" s="70" t="s">
        <v>67</v>
      </c>
      <c r="C50" s="279">
        <v>1</v>
      </c>
      <c r="D50" s="279"/>
      <c r="E50" s="70" t="s">
        <v>89</v>
      </c>
      <c r="F50" s="279">
        <v>1</v>
      </c>
      <c r="G50" s="279"/>
      <c r="H50" s="70" t="s">
        <v>68</v>
      </c>
      <c r="I50" s="71">
        <f>'様式２ 履修者等数の実績'!E32</f>
        <v>2200</v>
      </c>
      <c r="J50" s="88"/>
      <c r="M50" s="88"/>
      <c r="N50" s="278"/>
    </row>
    <row r="51" spans="1:15" ht="18.75" customHeight="1">
      <c r="A51" s="88"/>
      <c r="B51" s="241" t="s">
        <v>69</v>
      </c>
      <c r="C51" s="242"/>
      <c r="D51" s="242"/>
      <c r="E51" s="242"/>
      <c r="F51" s="242"/>
      <c r="G51" s="242"/>
      <c r="H51" s="242"/>
      <c r="I51" s="243"/>
      <c r="N51" s="278"/>
      <c r="O51" s="89"/>
    </row>
    <row r="52" spans="1:15" ht="18.75" customHeight="1">
      <c r="A52" s="88"/>
      <c r="B52" s="208" t="s">
        <v>139</v>
      </c>
      <c r="C52" s="209"/>
      <c r="D52" s="209"/>
      <c r="E52" s="209"/>
      <c r="F52" s="209"/>
      <c r="G52" s="209"/>
      <c r="H52" s="209"/>
      <c r="I52" s="210"/>
      <c r="N52" s="278"/>
      <c r="O52" s="89"/>
    </row>
    <row r="53" spans="1:15" ht="18.75" customHeight="1">
      <c r="A53" s="88"/>
      <c r="B53" s="211"/>
      <c r="C53" s="212"/>
      <c r="D53" s="212"/>
      <c r="E53" s="212"/>
      <c r="F53" s="212"/>
      <c r="G53" s="212"/>
      <c r="H53" s="212"/>
      <c r="I53" s="213"/>
      <c r="N53" s="278"/>
      <c r="O53" s="89"/>
    </row>
    <row r="54" spans="1:15" ht="18.75" customHeight="1">
      <c r="A54" s="88"/>
      <c r="B54" s="211"/>
      <c r="C54" s="212"/>
      <c r="D54" s="212"/>
      <c r="E54" s="212"/>
      <c r="F54" s="212"/>
      <c r="G54" s="212"/>
      <c r="H54" s="212"/>
      <c r="I54" s="213"/>
    </row>
    <row r="55" spans="1:15" ht="18.75" customHeight="1">
      <c r="A55" s="88"/>
      <c r="B55" s="211"/>
      <c r="C55" s="212"/>
      <c r="D55" s="212"/>
      <c r="E55" s="212"/>
      <c r="F55" s="212"/>
      <c r="G55" s="212"/>
      <c r="H55" s="212"/>
      <c r="I55" s="213"/>
    </row>
    <row r="56" spans="1:15" ht="18.75" customHeight="1">
      <c r="A56" s="88"/>
      <c r="B56" s="211"/>
      <c r="C56" s="212"/>
      <c r="D56" s="212"/>
      <c r="E56" s="212"/>
      <c r="F56" s="212"/>
      <c r="G56" s="212"/>
      <c r="H56" s="212"/>
      <c r="I56" s="213"/>
    </row>
    <row r="57" spans="1:15" ht="18.75" customHeight="1">
      <c r="A57" s="88"/>
      <c r="B57" s="211"/>
      <c r="C57" s="212"/>
      <c r="D57" s="212"/>
      <c r="E57" s="212"/>
      <c r="F57" s="212"/>
      <c r="G57" s="212"/>
      <c r="H57" s="212"/>
      <c r="I57" s="213"/>
    </row>
    <row r="58" spans="1:15" ht="18.75" customHeight="1">
      <c r="A58" s="88"/>
      <c r="B58" s="211"/>
      <c r="C58" s="212"/>
      <c r="D58" s="212"/>
      <c r="E58" s="212"/>
      <c r="F58" s="212"/>
      <c r="G58" s="212"/>
      <c r="H58" s="212"/>
      <c r="I58" s="213"/>
    </row>
    <row r="59" spans="1:15" ht="18.75" customHeight="1">
      <c r="A59" s="88"/>
      <c r="B59" s="211"/>
      <c r="C59" s="212"/>
      <c r="D59" s="212"/>
      <c r="E59" s="212"/>
      <c r="F59" s="212"/>
      <c r="G59" s="212"/>
      <c r="H59" s="212"/>
      <c r="I59" s="213"/>
    </row>
    <row r="60" spans="1:15" ht="18.75" customHeight="1">
      <c r="A60" s="88"/>
      <c r="B60" s="211"/>
      <c r="C60" s="212"/>
      <c r="D60" s="212"/>
      <c r="E60" s="212"/>
      <c r="F60" s="212"/>
      <c r="G60" s="212"/>
      <c r="H60" s="212"/>
      <c r="I60" s="213"/>
    </row>
    <row r="61" spans="1:15" ht="18.75" customHeight="1">
      <c r="A61" s="88"/>
      <c r="B61" s="211"/>
      <c r="C61" s="212"/>
      <c r="D61" s="212"/>
      <c r="E61" s="212"/>
      <c r="F61" s="212"/>
      <c r="G61" s="212"/>
      <c r="H61" s="212"/>
      <c r="I61" s="213"/>
    </row>
    <row r="62" spans="1:15" ht="18.75" customHeight="1">
      <c r="A62" s="88"/>
      <c r="B62" s="211"/>
      <c r="C62" s="212"/>
      <c r="D62" s="212"/>
      <c r="E62" s="212"/>
      <c r="F62" s="212"/>
      <c r="G62" s="212"/>
      <c r="H62" s="212"/>
      <c r="I62" s="213"/>
    </row>
    <row r="63" spans="1:15" ht="18.75" customHeight="1">
      <c r="A63" s="88"/>
      <c r="B63" s="214"/>
      <c r="C63" s="215"/>
      <c r="D63" s="215"/>
      <c r="E63" s="215"/>
      <c r="F63" s="215"/>
      <c r="G63" s="215"/>
      <c r="H63" s="215"/>
      <c r="I63" s="216"/>
    </row>
    <row r="64" spans="1:15" ht="7.5" customHeight="1">
      <c r="A64" s="90"/>
      <c r="B64" s="90"/>
      <c r="C64" s="90"/>
      <c r="D64" s="90"/>
      <c r="E64" s="90"/>
      <c r="F64" s="90"/>
      <c r="G64" s="90"/>
      <c r="H64" s="90"/>
      <c r="I64" s="90"/>
    </row>
    <row r="65" spans="1:9" ht="18.75" customHeight="1">
      <c r="A65" s="85" t="s">
        <v>33</v>
      </c>
      <c r="B65" s="88" t="s">
        <v>36</v>
      </c>
      <c r="I65" s="85"/>
    </row>
    <row r="66" spans="1:9" ht="18.75" customHeight="1">
      <c r="A66" s="68"/>
      <c r="B66" s="191" t="s">
        <v>140</v>
      </c>
      <c r="C66" s="192"/>
      <c r="D66" s="192"/>
      <c r="E66" s="192"/>
      <c r="F66" s="192"/>
      <c r="G66" s="192"/>
      <c r="H66" s="192"/>
      <c r="I66" s="193"/>
    </row>
    <row r="67" spans="1:9" ht="18.75" customHeight="1">
      <c r="A67" s="68"/>
      <c r="B67" s="194"/>
      <c r="C67" s="195"/>
      <c r="D67" s="195"/>
      <c r="E67" s="195"/>
      <c r="F67" s="195"/>
      <c r="G67" s="195"/>
      <c r="H67" s="195"/>
      <c r="I67" s="196"/>
    </row>
    <row r="68" spans="1:9" ht="18.75" customHeight="1">
      <c r="A68" s="68"/>
      <c r="B68" s="194"/>
      <c r="C68" s="195"/>
      <c r="D68" s="195"/>
      <c r="E68" s="195"/>
      <c r="F68" s="195"/>
      <c r="G68" s="195"/>
      <c r="H68" s="195"/>
      <c r="I68" s="196"/>
    </row>
    <row r="69" spans="1:9" ht="18.75" customHeight="1">
      <c r="A69" s="68"/>
      <c r="B69" s="194"/>
      <c r="C69" s="195"/>
      <c r="D69" s="195"/>
      <c r="E69" s="195"/>
      <c r="F69" s="195"/>
      <c r="G69" s="195"/>
      <c r="H69" s="195"/>
      <c r="I69" s="196"/>
    </row>
    <row r="70" spans="1:9" ht="18.75" customHeight="1">
      <c r="A70" s="68"/>
      <c r="B70" s="194"/>
      <c r="C70" s="195"/>
      <c r="D70" s="195"/>
      <c r="E70" s="195"/>
      <c r="F70" s="195"/>
      <c r="G70" s="195"/>
      <c r="H70" s="195"/>
      <c r="I70" s="196"/>
    </row>
    <row r="71" spans="1:9" ht="18.75" customHeight="1">
      <c r="A71" s="68"/>
      <c r="B71" s="194"/>
      <c r="C71" s="195"/>
      <c r="D71" s="195"/>
      <c r="E71" s="195"/>
      <c r="F71" s="195"/>
      <c r="G71" s="195"/>
      <c r="H71" s="195"/>
      <c r="I71" s="196"/>
    </row>
    <row r="72" spans="1:9" ht="18.75" customHeight="1">
      <c r="A72" s="68"/>
      <c r="B72" s="194"/>
      <c r="C72" s="195"/>
      <c r="D72" s="195"/>
      <c r="E72" s="195"/>
      <c r="F72" s="195"/>
      <c r="G72" s="195"/>
      <c r="H72" s="195"/>
      <c r="I72" s="196"/>
    </row>
    <row r="73" spans="1:9" ht="18.75" customHeight="1">
      <c r="A73" s="68"/>
      <c r="B73" s="194"/>
      <c r="C73" s="195"/>
      <c r="D73" s="195"/>
      <c r="E73" s="195"/>
      <c r="F73" s="195"/>
      <c r="G73" s="195"/>
      <c r="H73" s="195"/>
      <c r="I73" s="196"/>
    </row>
    <row r="74" spans="1:9" ht="18.75" customHeight="1">
      <c r="A74" s="68"/>
      <c r="B74" s="194"/>
      <c r="C74" s="195"/>
      <c r="D74" s="195"/>
      <c r="E74" s="195"/>
      <c r="F74" s="195"/>
      <c r="G74" s="195"/>
      <c r="H74" s="195"/>
      <c r="I74" s="196"/>
    </row>
    <row r="75" spans="1:9" ht="18.75" customHeight="1">
      <c r="A75" s="68"/>
      <c r="B75" s="194"/>
      <c r="C75" s="195"/>
      <c r="D75" s="195"/>
      <c r="E75" s="195"/>
      <c r="F75" s="195"/>
      <c r="G75" s="195"/>
      <c r="H75" s="195"/>
      <c r="I75" s="196"/>
    </row>
    <row r="76" spans="1:9" ht="18.75" customHeight="1">
      <c r="A76" s="68"/>
      <c r="B76" s="194"/>
      <c r="C76" s="195"/>
      <c r="D76" s="195"/>
      <c r="E76" s="195"/>
      <c r="F76" s="195"/>
      <c r="G76" s="195"/>
      <c r="H76" s="195"/>
      <c r="I76" s="196"/>
    </row>
    <row r="77" spans="1:9" ht="18.75" customHeight="1">
      <c r="A77" s="68"/>
      <c r="B77" s="197"/>
      <c r="C77" s="198"/>
      <c r="D77" s="198"/>
      <c r="E77" s="198"/>
      <c r="F77" s="198"/>
      <c r="G77" s="198"/>
      <c r="H77" s="198"/>
      <c r="I77" s="199"/>
    </row>
    <row r="78" spans="1:9" ht="7.5" customHeight="1">
      <c r="A78" s="68"/>
      <c r="B78" s="68"/>
      <c r="C78" s="68"/>
      <c r="D78" s="68"/>
      <c r="E78" s="68"/>
      <c r="F78" s="68"/>
      <c r="G78" s="68"/>
      <c r="H78" s="68"/>
      <c r="I78" s="68"/>
    </row>
    <row r="79" spans="1:9" ht="18.75" customHeight="1">
      <c r="A79" s="88" t="s">
        <v>11</v>
      </c>
      <c r="B79" s="88" t="s">
        <v>40</v>
      </c>
    </row>
    <row r="80" spans="1:9" ht="18.75" customHeight="1">
      <c r="A80" s="88"/>
      <c r="B80" s="191" t="s">
        <v>141</v>
      </c>
      <c r="C80" s="192"/>
      <c r="D80" s="192"/>
      <c r="E80" s="192"/>
      <c r="F80" s="192"/>
      <c r="G80" s="192"/>
      <c r="H80" s="192"/>
      <c r="I80" s="200"/>
    </row>
    <row r="81" spans="1:9" ht="18.75" customHeight="1">
      <c r="A81" s="88"/>
      <c r="B81" s="201"/>
      <c r="C81" s="202"/>
      <c r="D81" s="202"/>
      <c r="E81" s="202"/>
      <c r="F81" s="202"/>
      <c r="G81" s="202"/>
      <c r="H81" s="202"/>
      <c r="I81" s="203"/>
    </row>
    <row r="82" spans="1:9" ht="18.75" customHeight="1">
      <c r="A82" s="88"/>
      <c r="B82" s="201"/>
      <c r="C82" s="202"/>
      <c r="D82" s="202"/>
      <c r="E82" s="202"/>
      <c r="F82" s="202"/>
      <c r="G82" s="202"/>
      <c r="H82" s="202"/>
      <c r="I82" s="203"/>
    </row>
    <row r="83" spans="1:9" ht="18.75" customHeight="1">
      <c r="A83" s="88"/>
      <c r="B83" s="201"/>
      <c r="C83" s="202"/>
      <c r="D83" s="202"/>
      <c r="E83" s="202"/>
      <c r="F83" s="202"/>
      <c r="G83" s="202"/>
      <c r="H83" s="202"/>
      <c r="I83" s="203"/>
    </row>
    <row r="84" spans="1:9" ht="18.75" customHeight="1">
      <c r="A84" s="88"/>
      <c r="B84" s="201"/>
      <c r="C84" s="202"/>
      <c r="D84" s="202"/>
      <c r="E84" s="202"/>
      <c r="F84" s="202"/>
      <c r="G84" s="202"/>
      <c r="H84" s="202"/>
      <c r="I84" s="203"/>
    </row>
    <row r="85" spans="1:9" ht="18.75" customHeight="1">
      <c r="A85" s="88"/>
      <c r="B85" s="201"/>
      <c r="C85" s="202"/>
      <c r="D85" s="202"/>
      <c r="E85" s="202"/>
      <c r="F85" s="202"/>
      <c r="G85" s="202"/>
      <c r="H85" s="202"/>
      <c r="I85" s="203"/>
    </row>
    <row r="86" spans="1:9" ht="18.75" customHeight="1">
      <c r="A86" s="88"/>
      <c r="B86" s="201"/>
      <c r="C86" s="202"/>
      <c r="D86" s="202"/>
      <c r="E86" s="202"/>
      <c r="F86" s="202"/>
      <c r="G86" s="202"/>
      <c r="H86" s="202"/>
      <c r="I86" s="203"/>
    </row>
    <row r="87" spans="1:9" ht="18.75" customHeight="1">
      <c r="A87" s="88"/>
      <c r="B87" s="201"/>
      <c r="C87" s="202"/>
      <c r="D87" s="202"/>
      <c r="E87" s="202"/>
      <c r="F87" s="202"/>
      <c r="G87" s="202"/>
      <c r="H87" s="202"/>
      <c r="I87" s="203"/>
    </row>
    <row r="88" spans="1:9" ht="18.75" customHeight="1">
      <c r="A88" s="88"/>
      <c r="B88" s="201"/>
      <c r="C88" s="202"/>
      <c r="D88" s="202"/>
      <c r="E88" s="202"/>
      <c r="F88" s="202"/>
      <c r="G88" s="202"/>
      <c r="H88" s="202"/>
      <c r="I88" s="203"/>
    </row>
    <row r="89" spans="1:9" ht="18.75" customHeight="1">
      <c r="A89" s="88"/>
      <c r="B89" s="201"/>
      <c r="C89" s="202"/>
      <c r="D89" s="202"/>
      <c r="E89" s="202"/>
      <c r="F89" s="202"/>
      <c r="G89" s="202"/>
      <c r="H89" s="202"/>
      <c r="I89" s="203"/>
    </row>
    <row r="90" spans="1:9" ht="18.75" customHeight="1">
      <c r="A90" s="68"/>
      <c r="B90" s="201"/>
      <c r="C90" s="202"/>
      <c r="D90" s="202"/>
      <c r="E90" s="202"/>
      <c r="F90" s="202"/>
      <c r="G90" s="202"/>
      <c r="H90" s="202"/>
      <c r="I90" s="203"/>
    </row>
    <row r="91" spans="1:9" ht="18.75" customHeight="1">
      <c r="A91" s="68"/>
      <c r="B91" s="204"/>
      <c r="C91" s="205"/>
      <c r="D91" s="205"/>
      <c r="E91" s="205"/>
      <c r="F91" s="205"/>
      <c r="G91" s="205"/>
      <c r="H91" s="205"/>
      <c r="I91" s="206"/>
    </row>
    <row r="92" spans="1:9" ht="7.5" customHeight="1">
      <c r="A92" s="68"/>
      <c r="B92" s="68"/>
      <c r="C92" s="68"/>
      <c r="D92" s="68"/>
      <c r="E92" s="68"/>
      <c r="F92" s="68"/>
      <c r="G92" s="68"/>
      <c r="H92" s="68"/>
      <c r="I92" s="68"/>
    </row>
    <row r="93" spans="1:9" ht="18.75" customHeight="1">
      <c r="A93" s="88" t="s">
        <v>43</v>
      </c>
      <c r="B93" s="88" t="s">
        <v>12</v>
      </c>
    </row>
    <row r="94" spans="1:9" ht="18.75" customHeight="1">
      <c r="A94" s="88"/>
      <c r="B94" s="217" t="s">
        <v>142</v>
      </c>
      <c r="C94" s="218"/>
      <c r="D94" s="218"/>
      <c r="E94" s="218"/>
      <c r="F94" s="218"/>
      <c r="G94" s="218"/>
      <c r="H94" s="218"/>
      <c r="I94" s="219"/>
    </row>
    <row r="95" spans="1:9" ht="18.75" customHeight="1">
      <c r="A95" s="88"/>
      <c r="B95" s="220"/>
      <c r="C95" s="221"/>
      <c r="D95" s="221"/>
      <c r="E95" s="221"/>
      <c r="F95" s="221"/>
      <c r="G95" s="221"/>
      <c r="H95" s="221"/>
      <c r="I95" s="222"/>
    </row>
    <row r="96" spans="1:9" ht="18.75" customHeight="1">
      <c r="A96" s="88"/>
      <c r="B96" s="220"/>
      <c r="C96" s="221"/>
      <c r="D96" s="221"/>
      <c r="E96" s="221"/>
      <c r="F96" s="221"/>
      <c r="G96" s="221"/>
      <c r="H96" s="221"/>
      <c r="I96" s="222"/>
    </row>
    <row r="97" spans="1:9" ht="18.75" customHeight="1">
      <c r="A97" s="88"/>
      <c r="B97" s="220"/>
      <c r="C97" s="221"/>
      <c r="D97" s="221"/>
      <c r="E97" s="221"/>
      <c r="F97" s="221"/>
      <c r="G97" s="221"/>
      <c r="H97" s="221"/>
      <c r="I97" s="222"/>
    </row>
    <row r="98" spans="1:9" ht="18.75" customHeight="1">
      <c r="A98" s="88"/>
      <c r="B98" s="220"/>
      <c r="C98" s="221"/>
      <c r="D98" s="221"/>
      <c r="E98" s="221"/>
      <c r="F98" s="221"/>
      <c r="G98" s="221"/>
      <c r="H98" s="221"/>
      <c r="I98" s="222"/>
    </row>
    <row r="99" spans="1:9" ht="18.75" customHeight="1">
      <c r="A99" s="88"/>
      <c r="B99" s="220"/>
      <c r="C99" s="221"/>
      <c r="D99" s="221"/>
      <c r="E99" s="221"/>
      <c r="F99" s="221"/>
      <c r="G99" s="221"/>
      <c r="H99" s="221"/>
      <c r="I99" s="222"/>
    </row>
    <row r="100" spans="1:9" ht="18.75" customHeight="1">
      <c r="A100" s="88"/>
      <c r="B100" s="220"/>
      <c r="C100" s="221"/>
      <c r="D100" s="221"/>
      <c r="E100" s="221"/>
      <c r="F100" s="221"/>
      <c r="G100" s="221"/>
      <c r="H100" s="221"/>
      <c r="I100" s="222"/>
    </row>
    <row r="101" spans="1:9" ht="18.75" customHeight="1">
      <c r="A101" s="88"/>
      <c r="B101" s="220"/>
      <c r="C101" s="221"/>
      <c r="D101" s="221"/>
      <c r="E101" s="221"/>
      <c r="F101" s="221"/>
      <c r="G101" s="221"/>
      <c r="H101" s="221"/>
      <c r="I101" s="222"/>
    </row>
    <row r="102" spans="1:9" ht="18.75" customHeight="1">
      <c r="A102" s="88"/>
      <c r="B102" s="220"/>
      <c r="C102" s="221"/>
      <c r="D102" s="221"/>
      <c r="E102" s="221"/>
      <c r="F102" s="221"/>
      <c r="G102" s="221"/>
      <c r="H102" s="221"/>
      <c r="I102" s="222"/>
    </row>
    <row r="103" spans="1:9" ht="18.75" customHeight="1">
      <c r="A103" s="88"/>
      <c r="B103" s="220"/>
      <c r="C103" s="221"/>
      <c r="D103" s="221"/>
      <c r="E103" s="221"/>
      <c r="F103" s="221"/>
      <c r="G103" s="221"/>
      <c r="H103" s="221"/>
      <c r="I103" s="222"/>
    </row>
    <row r="104" spans="1:9" ht="18.75" customHeight="1">
      <c r="A104" s="88"/>
      <c r="B104" s="220"/>
      <c r="C104" s="221"/>
      <c r="D104" s="221"/>
      <c r="E104" s="221"/>
      <c r="F104" s="221"/>
      <c r="G104" s="221"/>
      <c r="H104" s="221"/>
      <c r="I104" s="222"/>
    </row>
    <row r="105" spans="1:9" ht="18.75" customHeight="1">
      <c r="A105" s="68"/>
      <c r="B105" s="223"/>
      <c r="C105" s="224"/>
      <c r="D105" s="224"/>
      <c r="E105" s="224"/>
      <c r="F105" s="224"/>
      <c r="G105" s="224"/>
      <c r="H105" s="224"/>
      <c r="I105" s="225"/>
    </row>
    <row r="106" spans="1:9" ht="7.5" customHeight="1">
      <c r="A106" s="68"/>
      <c r="B106" s="68"/>
      <c r="C106" s="68"/>
      <c r="D106" s="68"/>
      <c r="E106" s="68"/>
      <c r="F106" s="68"/>
      <c r="G106" s="68"/>
      <c r="H106" s="68"/>
      <c r="I106" s="68"/>
    </row>
    <row r="107" spans="1:9" ht="18.75" customHeight="1">
      <c r="A107" s="88" t="s">
        <v>29</v>
      </c>
      <c r="B107" s="226" t="s">
        <v>45</v>
      </c>
      <c r="C107" s="226"/>
      <c r="D107" s="226"/>
      <c r="E107" s="226"/>
      <c r="F107" s="226"/>
      <c r="G107" s="226"/>
      <c r="H107" s="226"/>
      <c r="I107" s="226"/>
    </row>
    <row r="108" spans="1:9" ht="18.75" customHeight="1">
      <c r="A108" s="68"/>
      <c r="B108" s="217" t="s">
        <v>143</v>
      </c>
      <c r="C108" s="218"/>
      <c r="D108" s="218"/>
      <c r="E108" s="218"/>
      <c r="F108" s="218"/>
      <c r="G108" s="218"/>
      <c r="H108" s="218"/>
      <c r="I108" s="219"/>
    </row>
    <row r="109" spans="1:9" ht="18.75" customHeight="1">
      <c r="A109" s="68"/>
      <c r="B109" s="220"/>
      <c r="C109" s="221"/>
      <c r="D109" s="221"/>
      <c r="E109" s="221"/>
      <c r="F109" s="221"/>
      <c r="G109" s="221"/>
      <c r="H109" s="221"/>
      <c r="I109" s="222"/>
    </row>
    <row r="110" spans="1:9" ht="18.75" customHeight="1">
      <c r="A110" s="68"/>
      <c r="B110" s="220"/>
      <c r="C110" s="221"/>
      <c r="D110" s="221"/>
      <c r="E110" s="221"/>
      <c r="F110" s="221"/>
      <c r="G110" s="221"/>
      <c r="H110" s="221"/>
      <c r="I110" s="222"/>
    </row>
    <row r="111" spans="1:9" ht="18.75" customHeight="1">
      <c r="A111" s="68"/>
      <c r="B111" s="220"/>
      <c r="C111" s="221"/>
      <c r="D111" s="221"/>
      <c r="E111" s="221"/>
      <c r="F111" s="221"/>
      <c r="G111" s="221"/>
      <c r="H111" s="221"/>
      <c r="I111" s="222"/>
    </row>
    <row r="112" spans="1:9" ht="18.75" customHeight="1">
      <c r="A112" s="68"/>
      <c r="B112" s="220"/>
      <c r="C112" s="221"/>
      <c r="D112" s="221"/>
      <c r="E112" s="221"/>
      <c r="F112" s="221"/>
      <c r="G112" s="221"/>
      <c r="H112" s="221"/>
      <c r="I112" s="222"/>
    </row>
    <row r="113" spans="1:9" ht="18.75" customHeight="1">
      <c r="A113" s="68"/>
      <c r="B113" s="220"/>
      <c r="C113" s="221"/>
      <c r="D113" s="221"/>
      <c r="E113" s="221"/>
      <c r="F113" s="221"/>
      <c r="G113" s="221"/>
      <c r="H113" s="221"/>
      <c r="I113" s="222"/>
    </row>
    <row r="114" spans="1:9" ht="18.75" customHeight="1">
      <c r="A114" s="68"/>
      <c r="B114" s="220"/>
      <c r="C114" s="221"/>
      <c r="D114" s="221"/>
      <c r="E114" s="221"/>
      <c r="F114" s="221"/>
      <c r="G114" s="221"/>
      <c r="H114" s="221"/>
      <c r="I114" s="222"/>
    </row>
    <row r="115" spans="1:9" ht="18.75" customHeight="1">
      <c r="A115" s="68"/>
      <c r="B115" s="220"/>
      <c r="C115" s="221"/>
      <c r="D115" s="221"/>
      <c r="E115" s="221"/>
      <c r="F115" s="221"/>
      <c r="G115" s="221"/>
      <c r="H115" s="221"/>
      <c r="I115" s="222"/>
    </row>
    <row r="116" spans="1:9" ht="18.75" customHeight="1">
      <c r="A116" s="68"/>
      <c r="B116" s="220"/>
      <c r="C116" s="221"/>
      <c r="D116" s="221"/>
      <c r="E116" s="221"/>
      <c r="F116" s="221"/>
      <c r="G116" s="221"/>
      <c r="H116" s="221"/>
      <c r="I116" s="222"/>
    </row>
    <row r="117" spans="1:9" ht="18.75" customHeight="1">
      <c r="A117" s="68"/>
      <c r="B117" s="220"/>
      <c r="C117" s="221"/>
      <c r="D117" s="221"/>
      <c r="E117" s="221"/>
      <c r="F117" s="221"/>
      <c r="G117" s="221"/>
      <c r="H117" s="221"/>
      <c r="I117" s="222"/>
    </row>
    <row r="118" spans="1:9" ht="18.75" customHeight="1">
      <c r="A118" s="68"/>
      <c r="B118" s="220"/>
      <c r="C118" s="221"/>
      <c r="D118" s="221"/>
      <c r="E118" s="221"/>
      <c r="F118" s="221"/>
      <c r="G118" s="221"/>
      <c r="H118" s="221"/>
      <c r="I118" s="222"/>
    </row>
    <row r="119" spans="1:9" ht="18.75" customHeight="1">
      <c r="A119" s="68"/>
      <c r="B119" s="223"/>
      <c r="C119" s="224"/>
      <c r="D119" s="224"/>
      <c r="E119" s="224"/>
      <c r="F119" s="224"/>
      <c r="G119" s="224"/>
      <c r="H119" s="224"/>
      <c r="I119" s="225"/>
    </row>
    <row r="120" spans="1:9" ht="7.5" customHeight="1">
      <c r="A120" s="68"/>
      <c r="B120" s="72"/>
      <c r="C120" s="72"/>
      <c r="D120" s="72"/>
      <c r="E120" s="72"/>
      <c r="F120" s="72"/>
      <c r="G120" s="72"/>
      <c r="H120" s="72"/>
      <c r="I120" s="72"/>
    </row>
    <row r="121" spans="1:9" ht="18.75" customHeight="1">
      <c r="A121" s="68"/>
      <c r="B121" s="68"/>
      <c r="C121" s="68"/>
      <c r="D121" s="68"/>
      <c r="E121" s="68"/>
      <c r="F121" s="68"/>
      <c r="G121" s="68"/>
      <c r="H121" s="68"/>
      <c r="I121" s="68"/>
    </row>
    <row r="122" spans="1:9" ht="18.75" customHeight="1">
      <c r="A122" s="68"/>
      <c r="B122" s="68"/>
      <c r="C122" s="68"/>
      <c r="D122" s="68"/>
      <c r="E122" s="68"/>
      <c r="F122" s="68"/>
      <c r="G122" s="68"/>
      <c r="H122" s="68"/>
      <c r="I122" s="68"/>
    </row>
    <row r="123" spans="1:9" ht="18.75" customHeight="1">
      <c r="A123" s="68"/>
      <c r="B123" s="68"/>
      <c r="C123" s="68"/>
      <c r="D123" s="68"/>
      <c r="E123" s="68"/>
      <c r="F123" s="68"/>
      <c r="G123" s="68"/>
      <c r="H123" s="68"/>
      <c r="I123" s="68"/>
    </row>
    <row r="124" spans="1:9" ht="18.75" customHeight="1">
      <c r="A124" s="68"/>
      <c r="B124" s="68"/>
      <c r="C124" s="68"/>
      <c r="D124" s="68"/>
      <c r="E124" s="68"/>
      <c r="F124" s="68"/>
      <c r="G124" s="68"/>
      <c r="H124" s="68"/>
      <c r="I124" s="68"/>
    </row>
    <row r="125" spans="1:9" ht="18.75" customHeight="1">
      <c r="A125" s="68"/>
      <c r="B125" s="68"/>
      <c r="C125" s="68"/>
      <c r="D125" s="68"/>
      <c r="E125" s="68"/>
      <c r="F125" s="68"/>
      <c r="G125" s="68"/>
      <c r="H125" s="68"/>
      <c r="I125" s="68"/>
    </row>
    <row r="126" spans="1:9" ht="18.75" customHeight="1">
      <c r="A126" s="68"/>
      <c r="B126" s="68"/>
      <c r="C126" s="68"/>
      <c r="D126" s="68"/>
      <c r="E126" s="68"/>
      <c r="F126" s="68"/>
      <c r="G126" s="68"/>
      <c r="H126" s="68"/>
      <c r="I126" s="68"/>
    </row>
    <row r="127" spans="1:9" ht="18.75" customHeight="1">
      <c r="A127" s="68"/>
      <c r="B127" s="68"/>
      <c r="C127" s="68"/>
      <c r="D127" s="68"/>
      <c r="E127" s="68"/>
      <c r="F127" s="68"/>
      <c r="G127" s="68"/>
      <c r="H127" s="68"/>
      <c r="I127" s="68"/>
    </row>
    <row r="128" spans="1:9" ht="18.75" customHeight="1">
      <c r="A128" s="68"/>
      <c r="B128" s="68"/>
      <c r="C128" s="68"/>
      <c r="D128" s="68"/>
      <c r="E128" s="68"/>
      <c r="F128" s="68"/>
      <c r="G128" s="68"/>
      <c r="H128" s="68"/>
      <c r="I128" s="68"/>
    </row>
    <row r="129" spans="1:9" ht="18.75" customHeight="1">
      <c r="A129" s="68"/>
      <c r="B129" s="68"/>
      <c r="C129" s="68"/>
      <c r="D129" s="68"/>
      <c r="E129" s="68"/>
      <c r="F129" s="68"/>
      <c r="G129" s="68"/>
      <c r="H129" s="68"/>
      <c r="I129" s="68"/>
    </row>
    <row r="130" spans="1:9" ht="18.75" customHeight="1">
      <c r="A130" s="68"/>
      <c r="B130" s="68"/>
      <c r="C130" s="68"/>
      <c r="D130" s="68"/>
      <c r="E130" s="68"/>
      <c r="F130" s="68"/>
      <c r="G130" s="68"/>
      <c r="H130" s="68"/>
      <c r="I130" s="68"/>
    </row>
    <row r="131" spans="1:9" ht="18.75" customHeight="1">
      <c r="A131" s="68"/>
      <c r="B131" s="68"/>
      <c r="C131" s="68"/>
      <c r="D131" s="68"/>
      <c r="E131" s="68"/>
      <c r="F131" s="68"/>
      <c r="G131" s="68"/>
      <c r="H131" s="68"/>
      <c r="I131" s="68"/>
    </row>
    <row r="132" spans="1:9" ht="18.75" customHeight="1">
      <c r="A132" s="68"/>
      <c r="B132" s="68"/>
      <c r="C132" s="68"/>
      <c r="D132" s="68"/>
      <c r="E132" s="68"/>
      <c r="F132" s="68"/>
      <c r="G132" s="68"/>
      <c r="H132" s="68"/>
      <c r="I132" s="68"/>
    </row>
    <row r="133" spans="1:9" ht="14.25">
      <c r="A133" s="68"/>
      <c r="B133" s="68"/>
      <c r="C133" s="68"/>
      <c r="D133" s="68"/>
      <c r="E133" s="68"/>
      <c r="F133" s="68"/>
      <c r="G133" s="68"/>
      <c r="H133" s="68"/>
      <c r="I133" s="68"/>
    </row>
    <row r="134" spans="1:9" ht="7.5" customHeight="1">
      <c r="A134" s="280"/>
      <c r="B134" s="280"/>
      <c r="C134" s="280"/>
      <c r="D134" s="280"/>
      <c r="E134" s="280"/>
      <c r="F134" s="280"/>
      <c r="G134" s="280"/>
      <c r="H134" s="280"/>
      <c r="I134" s="280"/>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5" t="s">
        <v>70</v>
      </c>
      <c r="B1" s="5"/>
      <c r="C1" s="5"/>
      <c r="D1" s="5"/>
      <c r="E1" s="5"/>
      <c r="F1" s="5"/>
      <c r="G1" s="5"/>
      <c r="H1" s="5"/>
      <c r="I1" s="7" t="s">
        <v>104</v>
      </c>
    </row>
    <row r="2" spans="1:9" ht="18.75" customHeight="1">
      <c r="A2" s="5"/>
      <c r="B2" s="5"/>
      <c r="C2" s="5"/>
      <c r="D2" s="5"/>
      <c r="E2" s="5"/>
      <c r="F2" s="5"/>
      <c r="G2" s="5"/>
      <c r="H2" s="7" t="s">
        <v>108</v>
      </c>
      <c r="I2" s="6" t="e">
        <f>#REF!</f>
        <v>#REF!</v>
      </c>
    </row>
    <row r="3" spans="1:9" ht="18.75" customHeight="1">
      <c r="A3" s="114" t="s">
        <v>27</v>
      </c>
      <c r="B3" s="114"/>
      <c r="C3" s="114"/>
      <c r="D3" s="114"/>
      <c r="E3" s="114"/>
      <c r="F3" s="114"/>
      <c r="G3" s="114"/>
      <c r="H3" s="114"/>
      <c r="I3" s="114"/>
    </row>
    <row r="4" spans="1:9" ht="18.75" customHeight="1">
      <c r="A4" s="73"/>
      <c r="B4" s="73"/>
      <c r="C4" s="73"/>
      <c r="D4" s="73"/>
      <c r="E4" s="73"/>
      <c r="F4" s="73"/>
      <c r="G4" s="73"/>
      <c r="H4" s="73"/>
      <c r="I4" s="73"/>
    </row>
    <row r="5" spans="1:9" ht="18.75" customHeight="1">
      <c r="A5" s="5" t="s">
        <v>0</v>
      </c>
      <c r="B5" s="12" t="s">
        <v>94</v>
      </c>
      <c r="C5" s="73"/>
      <c r="D5" s="73"/>
      <c r="E5" s="73"/>
      <c r="F5" s="73"/>
      <c r="G5" s="73"/>
      <c r="H5" s="73"/>
      <c r="I5" s="73"/>
    </row>
    <row r="6" spans="1:9" ht="26.25" customHeight="1">
      <c r="A6" s="73"/>
      <c r="B6" s="244" t="s">
        <v>144</v>
      </c>
      <c r="C6" s="276"/>
      <c r="D6" s="276"/>
      <c r="E6" s="276"/>
      <c r="F6" s="276"/>
      <c r="G6" s="276"/>
      <c r="H6" s="252"/>
      <c r="I6" s="10"/>
    </row>
    <row r="7" spans="1:9" ht="9" customHeight="1">
      <c r="A7" s="73"/>
      <c r="B7" s="12"/>
      <c r="C7" s="12"/>
      <c r="D7" s="12"/>
      <c r="E7" s="12"/>
      <c r="F7" s="12"/>
      <c r="G7" s="12"/>
      <c r="H7" s="12"/>
      <c r="I7" s="10"/>
    </row>
    <row r="8" spans="1:9" ht="18.75" customHeight="1">
      <c r="A8" s="73"/>
      <c r="B8" s="10"/>
      <c r="C8" s="10"/>
      <c r="D8" s="7" t="s">
        <v>42</v>
      </c>
      <c r="E8" s="74" t="s">
        <v>145</v>
      </c>
      <c r="F8" s="10"/>
      <c r="G8" s="7" t="s">
        <v>10</v>
      </c>
      <c r="H8" s="74" t="s">
        <v>146</v>
      </c>
      <c r="I8" s="10"/>
    </row>
    <row r="9" spans="1:9" ht="7.5" customHeight="1">
      <c r="A9" s="73"/>
      <c r="B9" s="73"/>
      <c r="C9" s="73"/>
      <c r="D9" s="73"/>
      <c r="E9" s="73"/>
      <c r="F9" s="73"/>
      <c r="G9" s="73"/>
      <c r="H9" s="73"/>
      <c r="I9" s="73"/>
    </row>
    <row r="10" spans="1:9" ht="18.75" customHeight="1">
      <c r="A10" s="5" t="s">
        <v>3</v>
      </c>
      <c r="B10" s="5" t="s">
        <v>26</v>
      </c>
      <c r="C10" s="68"/>
      <c r="D10" s="68"/>
      <c r="E10" s="68"/>
      <c r="F10" s="68"/>
      <c r="G10" s="68"/>
      <c r="H10" s="68"/>
      <c r="I10" s="68"/>
    </row>
    <row r="11" spans="1:9" ht="18.75" customHeight="1">
      <c r="A11" s="5"/>
      <c r="B11" s="103" t="s">
        <v>23</v>
      </c>
      <c r="C11" s="104"/>
      <c r="D11" s="105"/>
      <c r="E11" s="104" t="s">
        <v>25</v>
      </c>
      <c r="F11" s="104"/>
      <c r="G11" s="104"/>
      <c r="H11" s="104"/>
      <c r="I11" s="105"/>
    </row>
    <row r="12" spans="1:9" ht="26.25" customHeight="1">
      <c r="A12" s="5"/>
      <c r="B12" s="75" t="s">
        <v>13</v>
      </c>
      <c r="C12" s="76"/>
      <c r="D12" s="77"/>
      <c r="E12" s="78"/>
      <c r="F12" s="78"/>
      <c r="G12" s="78"/>
      <c r="H12" s="78"/>
      <c r="I12" s="77"/>
    </row>
    <row r="13" spans="1:9" ht="210.75" customHeight="1">
      <c r="A13" s="5"/>
      <c r="B13" s="79"/>
      <c r="C13" s="259" t="s">
        <v>14</v>
      </c>
      <c r="D13" s="260"/>
      <c r="E13" s="272" t="s">
        <v>147</v>
      </c>
      <c r="F13" s="261"/>
      <c r="G13" s="261"/>
      <c r="H13" s="261"/>
      <c r="I13" s="262"/>
    </row>
    <row r="14" spans="1:9" ht="210.75" customHeight="1">
      <c r="A14" s="5"/>
      <c r="B14" s="79"/>
      <c r="C14" s="274" t="s">
        <v>15</v>
      </c>
      <c r="D14" s="275"/>
      <c r="E14" s="272" t="s">
        <v>148</v>
      </c>
      <c r="F14" s="261"/>
      <c r="G14" s="261"/>
      <c r="H14" s="261"/>
      <c r="I14" s="262"/>
    </row>
    <row r="15" spans="1:9" ht="210.75" customHeight="1">
      <c r="A15" s="5"/>
      <c r="B15" s="79"/>
      <c r="C15" s="259" t="s">
        <v>16</v>
      </c>
      <c r="D15" s="260"/>
      <c r="E15" s="272" t="s">
        <v>155</v>
      </c>
      <c r="F15" s="261"/>
      <c r="G15" s="261"/>
      <c r="H15" s="261"/>
      <c r="I15" s="262"/>
    </row>
    <row r="16" spans="1:9" ht="210.75" customHeight="1">
      <c r="A16" s="5"/>
      <c r="B16" s="79"/>
      <c r="C16" s="259" t="s">
        <v>17</v>
      </c>
      <c r="D16" s="260"/>
      <c r="E16" s="272" t="s">
        <v>149</v>
      </c>
      <c r="F16" s="261"/>
      <c r="G16" s="261"/>
      <c r="H16" s="261"/>
      <c r="I16" s="262"/>
    </row>
    <row r="17" spans="1:9" ht="210.75" customHeight="1">
      <c r="A17" s="5"/>
      <c r="B17" s="80"/>
      <c r="C17" s="263" t="s">
        <v>18</v>
      </c>
      <c r="D17" s="264"/>
      <c r="E17" s="273" t="s">
        <v>150</v>
      </c>
      <c r="F17" s="265"/>
      <c r="G17" s="265"/>
      <c r="H17" s="265"/>
      <c r="I17" s="266"/>
    </row>
    <row r="18" spans="1:9" ht="24" customHeight="1">
      <c r="A18" s="5"/>
      <c r="B18" s="75" t="s">
        <v>19</v>
      </c>
      <c r="C18" s="81"/>
      <c r="D18" s="82"/>
      <c r="E18" s="83"/>
      <c r="F18" s="83"/>
      <c r="G18" s="83"/>
      <c r="H18" s="83"/>
      <c r="I18" s="84"/>
    </row>
    <row r="19" spans="1:9" ht="218.25" customHeight="1">
      <c r="A19" s="5"/>
      <c r="B19" s="79"/>
      <c r="C19" s="259" t="s">
        <v>20</v>
      </c>
      <c r="D19" s="260"/>
      <c r="E19" s="261" t="s">
        <v>151</v>
      </c>
      <c r="F19" s="261"/>
      <c r="G19" s="261"/>
      <c r="H19" s="261"/>
      <c r="I19" s="262"/>
    </row>
    <row r="20" spans="1:9" ht="218.25" customHeight="1">
      <c r="A20" s="5"/>
      <c r="B20" s="80"/>
      <c r="C20" s="263" t="s">
        <v>21</v>
      </c>
      <c r="D20" s="264"/>
      <c r="E20" s="265" t="s">
        <v>152</v>
      </c>
      <c r="F20" s="265"/>
      <c r="G20" s="265"/>
      <c r="H20" s="265"/>
      <c r="I20" s="266"/>
    </row>
    <row r="21" spans="1:9" ht="218.25" customHeight="1">
      <c r="A21" s="5"/>
      <c r="B21" s="267" t="s">
        <v>22</v>
      </c>
      <c r="C21" s="268"/>
      <c r="D21" s="269"/>
      <c r="E21" s="270" t="s">
        <v>153</v>
      </c>
      <c r="F21" s="270"/>
      <c r="G21" s="270"/>
      <c r="H21" s="270"/>
      <c r="I21" s="271"/>
    </row>
    <row r="22" spans="1:9" ht="218.25" customHeight="1">
      <c r="A22" s="5"/>
      <c r="B22" s="254" t="s">
        <v>37</v>
      </c>
      <c r="C22" s="255"/>
      <c r="D22" s="256"/>
      <c r="E22" s="257" t="s">
        <v>154</v>
      </c>
      <c r="F22" s="257"/>
      <c r="G22" s="257"/>
      <c r="H22" s="257"/>
      <c r="I22" s="258"/>
    </row>
    <row r="23" spans="1:9" ht="22.5" customHeight="1">
      <c r="B23" s="3"/>
      <c r="C23" s="3"/>
      <c r="D23" s="3"/>
      <c r="E23" s="3"/>
      <c r="F23" s="3"/>
      <c r="G23" s="3"/>
      <c r="H23" s="3"/>
      <c r="I23" s="3"/>
    </row>
    <row r="24" spans="1:9" ht="22.5" customHeight="1">
      <c r="B24" s="3"/>
      <c r="C24" s="3"/>
      <c r="D24" s="3"/>
      <c r="E24" s="3"/>
      <c r="F24" s="3"/>
      <c r="G24" s="3"/>
      <c r="H24" s="3"/>
      <c r="I24" s="3"/>
    </row>
    <row r="25" spans="1:9" ht="22.5" customHeight="1">
      <c r="B25" s="3"/>
      <c r="C25" s="3"/>
      <c r="D25" s="3"/>
      <c r="E25" s="3"/>
      <c r="F25" s="3"/>
      <c r="G25" s="3"/>
      <c r="H25" s="3"/>
      <c r="I25" s="3"/>
    </row>
    <row r="26" spans="1:9" ht="22.5" customHeight="1">
      <c r="B26" s="3"/>
      <c r="C26" s="3"/>
      <c r="D26" s="3"/>
      <c r="E26" s="3"/>
      <c r="F26" s="3"/>
      <c r="G26" s="3"/>
      <c r="H26" s="3"/>
      <c r="I26" s="3"/>
    </row>
    <row r="27" spans="1:9" ht="22.5" customHeight="1">
      <c r="B27" s="3"/>
      <c r="C27" s="3"/>
      <c r="D27" s="3"/>
      <c r="E27" s="3"/>
      <c r="F27" s="3"/>
      <c r="G27" s="3"/>
      <c r="H27" s="3"/>
      <c r="I27" s="3"/>
    </row>
    <row r="28" spans="1:9" ht="22.5" customHeight="1">
      <c r="B28" s="4"/>
      <c r="C28" s="4"/>
      <c r="D28" s="4"/>
      <c r="E28" s="4"/>
      <c r="F28" s="4"/>
      <c r="G28" s="4"/>
      <c r="H28" s="4"/>
      <c r="I28" s="4"/>
    </row>
    <row r="29" spans="1:9" ht="22.5" customHeight="1">
      <c r="B29" s="4"/>
      <c r="C29" s="4"/>
      <c r="D29" s="4"/>
      <c r="E29" s="4"/>
      <c r="F29" s="4"/>
      <c r="G29" s="4"/>
      <c r="H29" s="4"/>
      <c r="I29" s="4"/>
    </row>
    <row r="30" spans="1:9" ht="22.5" customHeight="1">
      <c r="B30" s="4"/>
      <c r="C30" s="4"/>
      <c r="D30" s="4"/>
      <c r="E30" s="4"/>
      <c r="F30" s="4"/>
      <c r="G30" s="4"/>
      <c r="H30" s="4"/>
      <c r="I30" s="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9</vt:i4>
      </vt:variant>
    </vt:vector>
  </HeadingPairs>
  <TitlesOfParts>
    <vt:vector size="17" baseType="lpstr">
      <vt:lpstr>様式１－１　プログラムを構成する授業科目</vt:lpstr>
      <vt:lpstr>様式１－２　プログラムを構成する授業科目</vt:lpstr>
      <vt:lpstr>様式１－３　プログラムを構成する授業科目</vt:lpstr>
      <vt:lpstr>様式１－４　プログラムを構成する授業科目</vt:lpstr>
      <vt:lpstr>様式１－５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'様式１－３　プログラムを構成する授業科目'!Print_Area</vt:lpstr>
      <vt:lpstr>'様式１－４　プログラムを構成する授業科目'!Print_Area</vt:lpstr>
      <vt:lpstr>'様式１－５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豊田 暁洋</cp:lastModifiedBy>
  <cp:lastPrinted>2023-06-21T06:56:20Z</cp:lastPrinted>
  <dcterms:created xsi:type="dcterms:W3CDTF">2011-06-14T05:32:50Z</dcterms:created>
  <dcterms:modified xsi:type="dcterms:W3CDTF">2023-06-26T00:54:34Z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