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Y:\数理・データサイエンス・ＡＩ教育プログラム\R05年度\01_確認作業\"/>
    </mc:Choice>
  </mc:AlternateContent>
  <xr:revisionPtr revIDLastSave="0" documentId="13_ncr:1_{9A3F97F8-5246-4DD1-9116-6F26F7F3DBF6}" xr6:coauthVersionLast="47" xr6:coauthVersionMax="47" xr10:uidLastSave="{00000000-0000-0000-0000-000000000000}"/>
  <bookViews>
    <workbookView xWindow="19080" yWindow="-120" windowWidth="19440" windowHeight="15000" tabRatio="885" firstSheet="2" activeTab="4" xr2:uid="{00000000-000D-0000-FFFF-FFFF00000000}"/>
  </bookViews>
  <sheets>
    <sheet name="様式１-1　プログラムを構成する授業科目" sheetId="45" r:id="rId1"/>
    <sheet name="様式１-2　プログラムを構成する授業科目" sheetId="46" r:id="rId2"/>
    <sheet name="様式１-3　プログラムを構成する授業科目 " sheetId="47"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'様式１-1　プログラムを構成する授業科目'!$V$14:$V$16</definedName>
    <definedName name="_xlnm._FilterDatabase" localSheetId="1" hidden="1">'様式１-2　プログラムを構成する授業科目'!$V$14:$V$16</definedName>
    <definedName name="_xlnm._FilterDatabase" localSheetId="2" hidden="1">'様式１-3　プログラムを構成する授業科目 '!$V$14:$V$16</definedName>
    <definedName name="_xlnm._FilterDatabase" localSheetId="3" hidden="1">'様式２ 履修者等数の実績'!#REF!</definedName>
    <definedName name="_xlnm.Print_Area" localSheetId="0">'様式１-1　プログラムを構成する授業科目'!$A$1:$S$102</definedName>
    <definedName name="_xlnm.Print_Area" localSheetId="1">'様式１-2　プログラムを構成する授業科目'!$A$1:$S$102</definedName>
    <definedName name="_xlnm.Print_Area" localSheetId="2">'様式１-3　プログラムを構成する授業科目 '!$A$1:$S$102</definedName>
    <definedName name="_xlnm.Print_Area" localSheetId="3">'様式２ 履修者等数の実績'!$A$1:$AQ$32</definedName>
    <definedName name="_xlnm.Print_Area" localSheetId="4">'様式３ 教育の質・履修者数を向上させるための体制・計画'!$A$1:$I$120</definedName>
    <definedName name="_xlnm.Print_Area" localSheetId="5">'様式４　自己点検・評価'!$A$1:$I$22</definedName>
    <definedName name="_xlnm.Print_Titles" localSheetId="5">'様式４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<sst xmlns="http://schemas.openxmlformats.org/spreadsheetml/2006/main" count="571" uniqueCount="204">
  <si>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</si>
  <si>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</si>
  <si>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</si>
  <si>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</si>
  <si>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</si>
  <si>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</si>
  <si>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</si>
  <si>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</si>
  <si>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</si>
  <si>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</si>
  <si>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</si>
  <si>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</si>
  <si>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</si>
  <si>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</si>
  <si>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</si>
  <si>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</si>
  <si>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</si>
  <si>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</si>
  <si>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</si>
  <si>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</si>
  <si>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</si>
  <si>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</si>
  <si>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</si>
  <si>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</si>
  <si>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</si>
  <si>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</si>
  <si>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</si>
  <si>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</si>
  <si>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</si>
  <si>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</si>
  <si>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</si>
  <si>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</si>
  <si>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</si>
  <si>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</si>
  <si>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</si>
  <si>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</si>
  <si>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</si>
  <si>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</si>
  <si>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</si>
  <si>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</si>
  <si>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</si>
  <si>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</si>
  <si>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</si>
  <si>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</si>
  <si>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</si>
  <si>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</si>
  <si>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</si>
  <si>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</si>
  <si>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</si>
  <si>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</si>
  <si>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</si>
  <si>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</si>
  <si>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</si>
  <si>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</si>
  <si>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</si>
  <si>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</si>
  <si>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</si>
  <si>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</si>
  <si>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</si>
  <si>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</si>
  <si>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</si>
  <si>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</si>
  <si>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</si>
  <si>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</si>
  <si>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</si>
  <si>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</si>
  <si>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</si>
  <si>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</si>
  <si>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</si>
  <si>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</si>
  <si>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</si>
  <si>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</si>
  <si>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</si>
  <si>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</si>
  <si>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</si>
  <si>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</si>
  <si>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</si>
  <si>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</si>
  <si>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</si>
  <si>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</si>
  <si>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</si>
  <si>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</si>
  <si>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</si>
  <si>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</si>
  <si>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</si>
  <si>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</si>
  <si>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</si>
  <si>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</si>
  <si>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</si>
  <si>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</si>
  <si>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</si>
  <si>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</si>
  <si>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</si>
  <si>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</si>
  <si>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</si>
  <si>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</si>
  <si>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</si>
  <si>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</si>
  <si>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</si>
  <si>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</si>
  <si>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</si>
  <si>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</si>
  <si>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</si>
  <si>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</si>
  <si>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</si>
  <si>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</si>
  <si>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</si>
  <si>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</si>
  <si>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</si>
  <si>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</si>
  <si>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</si>
  <si>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</si>
  <si>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</si>
  <si>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</si>
  <si>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</si>
  <si>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</si>
  <si>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</si>
  <si>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</si>
  <si>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</si>
  <si>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</si>
  <si>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</si>
  <si>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</si>
  <si>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</si>
  <si>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</si>
  <si>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</si>
  <si>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</si>
  <si>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学部・学科によって、修了要件は相違する</t>
  </si>
  <si>
    <t>○</t>
  </si>
  <si>
    <t>商船学科</t>
    <rPh sb="0" eb="4">
      <t>ショウセンガッカ</t>
    </rPh>
    <phoneticPr fontId="1"/>
  </si>
  <si>
    <t>電子機械工学科</t>
    <rPh sb="0" eb="7">
      <t>デンシキカイコウガクカ</t>
    </rPh>
    <phoneticPr fontId="1"/>
  </si>
  <si>
    <t>情報工学科</t>
    <rPh sb="0" eb="4">
      <t>ジョウホウコウガク</t>
    </rPh>
    <rPh sb="4" eb="5">
      <t>カ</t>
    </rPh>
    <phoneticPr fontId="1"/>
  </si>
  <si>
    <t>弓削商船高等専門学校</t>
    <rPh sb="0" eb="10">
      <t>ユゲショウセンコウトウセンモンガッコウ</t>
    </rPh>
    <phoneticPr fontId="1"/>
  </si>
  <si>
    <t>数理・データサイエンス・AI教育プログラム</t>
    <phoneticPr fontId="1"/>
  </si>
  <si>
    <t>石田　邦光</t>
    <rPh sb="0" eb="2">
      <t>イシダ</t>
    </rPh>
    <rPh sb="3" eb="5">
      <t>クニミツ</t>
    </rPh>
    <phoneticPr fontId="1"/>
  </si>
  <si>
    <t>校長</t>
    <rPh sb="0" eb="2">
      <t>コウチョウ</t>
    </rPh>
    <phoneticPr fontId="1"/>
  </si>
  <si>
    <t>教務委員会</t>
    <phoneticPr fontId="1"/>
  </si>
  <si>
    <t>藤本　隆士</t>
    <rPh sb="0" eb="2">
      <t>フジモト</t>
    </rPh>
    <rPh sb="3" eb="4">
      <t>タカシ</t>
    </rPh>
    <rPh sb="4" eb="5">
      <t>シ</t>
    </rPh>
    <phoneticPr fontId="1"/>
  </si>
  <si>
    <t>教務主事</t>
    <rPh sb="0" eb="4">
      <t>キョウムシュジ</t>
    </rPh>
    <phoneticPr fontId="1"/>
  </si>
  <si>
    <t>自己点検評価委員会</t>
    <rPh sb="0" eb="9">
      <t>ジコテンケンヒョウカイインカイ</t>
    </rPh>
    <phoneticPr fontId="1"/>
  </si>
  <si>
    <t>弓削商船高等専門学校教務委員会規則</t>
    <rPh sb="0" eb="17">
      <t>ユゲショウセンコウトウセンモンガッコウキョウムイインカイキソク</t>
    </rPh>
    <phoneticPr fontId="1"/>
  </si>
  <si>
    <t>この委員会は、弓削商船高等専門学校において、教育計画の立案に関する事項を審議する。</t>
    <phoneticPr fontId="1"/>
  </si>
  <si>
    <t>全学生が必修科目で履修する。</t>
    <phoneticPr fontId="1"/>
  </si>
  <si>
    <t>オフィスアワーを設けて学生の要望に応じて対応する。また、teamsやmoodleを活用した遠隔での指導を行う。</t>
    <phoneticPr fontId="1"/>
  </si>
  <si>
    <t>卒業生や企業へのアンケートは行っている。令和4年時点では卒業生がいないため不明である。</t>
    <phoneticPr fontId="1"/>
  </si>
  <si>
    <t>　本教育プログラムは、各学科の必修科目で構成されているため、学生全員が履修する。
　2022年度の該当科目については途中退学者を除き、ほぼ全員が修得した。</t>
    <rPh sb="1" eb="2">
      <t>ホン</t>
    </rPh>
    <rPh sb="2" eb="4">
      <t>キョウイク</t>
    </rPh>
    <rPh sb="11" eb="12">
      <t>カク</t>
    </rPh>
    <rPh sb="12" eb="14">
      <t>ガッカ</t>
    </rPh>
    <rPh sb="15" eb="19">
      <t>ヒッシュウカモク</t>
    </rPh>
    <rPh sb="20" eb="22">
      <t>コウセイ</t>
    </rPh>
    <rPh sb="30" eb="32">
      <t>ガクセイ</t>
    </rPh>
    <rPh sb="32" eb="34">
      <t>ゼンイン</t>
    </rPh>
    <rPh sb="35" eb="37">
      <t>リシュウ</t>
    </rPh>
    <rPh sb="46" eb="48">
      <t>ネンド</t>
    </rPh>
    <rPh sb="49" eb="51">
      <t>ガイトウ</t>
    </rPh>
    <rPh sb="51" eb="53">
      <t>カモク</t>
    </rPh>
    <rPh sb="58" eb="60">
      <t>トチュウ</t>
    </rPh>
    <rPh sb="60" eb="63">
      <t>タイガクシャ</t>
    </rPh>
    <rPh sb="64" eb="65">
      <t>ノゾ</t>
    </rPh>
    <rPh sb="69" eb="71">
      <t>ゼンイン</t>
    </rPh>
    <rPh sb="72" eb="74">
      <t>シュウトク</t>
    </rPh>
    <phoneticPr fontId="1"/>
  </si>
  <si>
    <t>　プログラムを構成する科目について、成績評価の平均点は良好であった。特に情報工学科においては、平均点が８０点以上あり、成果を上げている。また、授業評価アンケートを行っており、「学習内容を理解し興味をもった」のアンケート項目を分析することで学生の理解度を把握しているが、ほとんどの科目が４以上（５段階）であり、よく理解できていると言える。</t>
    <rPh sb="7" eb="9">
      <t>コウセイ</t>
    </rPh>
    <rPh sb="11" eb="13">
      <t>カモク</t>
    </rPh>
    <rPh sb="18" eb="22">
      <t>セイセキヒョウカ</t>
    </rPh>
    <rPh sb="23" eb="26">
      <t>ヘイキンテン</t>
    </rPh>
    <rPh sb="27" eb="29">
      <t>リョウコウ</t>
    </rPh>
    <rPh sb="34" eb="35">
      <t>トク</t>
    </rPh>
    <rPh sb="36" eb="41">
      <t>ジョウホウ</t>
    </rPh>
    <rPh sb="47" eb="50">
      <t>ヘイキンテン</t>
    </rPh>
    <rPh sb="53" eb="54">
      <t>テン</t>
    </rPh>
    <rPh sb="54" eb="56">
      <t>イジョウ</t>
    </rPh>
    <rPh sb="59" eb="61">
      <t>セイカ</t>
    </rPh>
    <rPh sb="62" eb="63">
      <t>ア</t>
    </rPh>
    <rPh sb="71" eb="73">
      <t>ジュギョウ</t>
    </rPh>
    <rPh sb="73" eb="75">
      <t>ヒョウカ</t>
    </rPh>
    <rPh sb="81" eb="82">
      <t>オコナ</t>
    </rPh>
    <rPh sb="88" eb="90">
      <t>ガクシュウ</t>
    </rPh>
    <rPh sb="90" eb="92">
      <t>ナイヨウ</t>
    </rPh>
    <rPh sb="93" eb="95">
      <t>リカイ</t>
    </rPh>
    <rPh sb="96" eb="98">
      <t>キョウミ</t>
    </rPh>
    <rPh sb="109" eb="111">
      <t>コウモク</t>
    </rPh>
    <rPh sb="112" eb="114">
      <t>ブンセキ</t>
    </rPh>
    <rPh sb="119" eb="121">
      <t>ガクセイ</t>
    </rPh>
    <rPh sb="122" eb="125">
      <t>リカイド</t>
    </rPh>
    <rPh sb="126" eb="128">
      <t>ハアク</t>
    </rPh>
    <rPh sb="139" eb="141">
      <t>カモク</t>
    </rPh>
    <rPh sb="143" eb="145">
      <t>イジョウ</t>
    </rPh>
    <rPh sb="147" eb="149">
      <t>ダンカイ</t>
    </rPh>
    <rPh sb="156" eb="158">
      <t>リカイ</t>
    </rPh>
    <rPh sb="164" eb="165">
      <t>イ</t>
    </rPh>
    <phoneticPr fontId="1"/>
  </si>
  <si>
    <t>　授業評価アンケートを行っており、「学習内容を理解し興味をもった」のアンケート項目を分析することで学生の理解度を把握しているが、ほとんどの科目が４以上（５段階）であり、よく理解できていると言える。</t>
    <rPh sb="1" eb="3">
      <t>ジュギョウ</t>
    </rPh>
    <rPh sb="3" eb="5">
      <t>ヒョウカ</t>
    </rPh>
    <rPh sb="11" eb="12">
      <t>オコナ</t>
    </rPh>
    <rPh sb="18" eb="20">
      <t>ガクシュウ</t>
    </rPh>
    <rPh sb="20" eb="22">
      <t>ナイヨウ</t>
    </rPh>
    <rPh sb="23" eb="25">
      <t>リカイ</t>
    </rPh>
    <rPh sb="26" eb="28">
      <t>キョウミ</t>
    </rPh>
    <rPh sb="39" eb="41">
      <t>コウモク</t>
    </rPh>
    <rPh sb="42" eb="44">
      <t>ブンセキ</t>
    </rPh>
    <rPh sb="49" eb="51">
      <t>ガクセイ</t>
    </rPh>
    <rPh sb="52" eb="55">
      <t>リカイド</t>
    </rPh>
    <rPh sb="56" eb="58">
      <t>ハアク</t>
    </rPh>
    <rPh sb="69" eb="71">
      <t>カモク</t>
    </rPh>
    <rPh sb="73" eb="75">
      <t>イジョウ</t>
    </rPh>
    <rPh sb="77" eb="79">
      <t>ダンカイ</t>
    </rPh>
    <rPh sb="86" eb="88">
      <t>リカイ</t>
    </rPh>
    <rPh sb="94" eb="95">
      <t>イ</t>
    </rPh>
    <phoneticPr fontId="1"/>
  </si>
  <si>
    <t>　本教育プログラムは必修科目で構成されている。そのため、本校に入学するすべての学生が教育プログラムの履修者であるため、履修を促すための特別な推奨を行っていない。ただし、授業評価アンケートを通じて、授業における学生の興味関心の確認は必ず行っている。</t>
    <rPh sb="1" eb="2">
      <t>ホン</t>
    </rPh>
    <rPh sb="2" eb="4">
      <t>キョウイク</t>
    </rPh>
    <rPh sb="10" eb="14">
      <t>ヒッシュウカモク</t>
    </rPh>
    <rPh sb="15" eb="17">
      <t>コウセイ</t>
    </rPh>
    <rPh sb="28" eb="30">
      <t>ホンコウ</t>
    </rPh>
    <rPh sb="31" eb="33">
      <t>ニュウガク</t>
    </rPh>
    <rPh sb="39" eb="41">
      <t>ガクセイ</t>
    </rPh>
    <rPh sb="42" eb="44">
      <t>キョウイク</t>
    </rPh>
    <rPh sb="50" eb="52">
      <t>リシュウ</t>
    </rPh>
    <rPh sb="52" eb="53">
      <t>シャ</t>
    </rPh>
    <rPh sb="59" eb="61">
      <t>リシュウ</t>
    </rPh>
    <rPh sb="62" eb="63">
      <t>ウナガ</t>
    </rPh>
    <rPh sb="67" eb="69">
      <t>トクベツ</t>
    </rPh>
    <rPh sb="70" eb="72">
      <t>スイショウ</t>
    </rPh>
    <rPh sb="73" eb="74">
      <t>オコナ</t>
    </rPh>
    <rPh sb="84" eb="86">
      <t>ジュギョウ</t>
    </rPh>
    <rPh sb="86" eb="88">
      <t>ヒョウカ</t>
    </rPh>
    <rPh sb="94" eb="95">
      <t>ツウ</t>
    </rPh>
    <rPh sb="98" eb="100">
      <t>ジュギョウ</t>
    </rPh>
    <rPh sb="104" eb="106">
      <t>ガクセイ</t>
    </rPh>
    <rPh sb="107" eb="111">
      <t>キョウミカンシン</t>
    </rPh>
    <rPh sb="112" eb="114">
      <t>カクニン</t>
    </rPh>
    <rPh sb="115" eb="116">
      <t>カナラ</t>
    </rPh>
    <rPh sb="117" eb="118">
      <t>オコナ</t>
    </rPh>
    <phoneticPr fontId="1"/>
  </si>
  <si>
    <r>
      <t>　本教育プログラムは必修科目で構成されている。そのため、本校に入学するすべての学生が教育プログラムの履修者であるため、履修率１００％である。</t>
    </r>
    <r>
      <rPr>
        <sz val="11"/>
        <rFont val="ＭＳ Ｐゴシック"/>
        <family val="3"/>
        <charset val="128"/>
        <scheme val="minor"/>
      </rPr>
      <t>今後、新たな教育課程を編成するときも、数理・データサイエンス・ＡＩ教育は重要であるという認識のもと、教育プログラムを修得するために必修科目で構成する計画である。</t>
    </r>
    <rPh sb="1" eb="2">
      <t>ホン</t>
    </rPh>
    <rPh sb="2" eb="4">
      <t>キョウイク</t>
    </rPh>
    <rPh sb="10" eb="14">
      <t>ヒッシュウカモク</t>
    </rPh>
    <rPh sb="15" eb="17">
      <t>コウセイ</t>
    </rPh>
    <rPh sb="28" eb="30">
      <t>ホンコウ</t>
    </rPh>
    <rPh sb="31" eb="33">
      <t>ニュウガク</t>
    </rPh>
    <rPh sb="39" eb="41">
      <t>ガクセイ</t>
    </rPh>
    <rPh sb="42" eb="44">
      <t>キョウイク</t>
    </rPh>
    <rPh sb="50" eb="52">
      <t>リシュウ</t>
    </rPh>
    <rPh sb="52" eb="53">
      <t>シャ</t>
    </rPh>
    <rPh sb="59" eb="61">
      <t>リシュウ</t>
    </rPh>
    <rPh sb="61" eb="62">
      <t>リツ</t>
    </rPh>
    <rPh sb="70" eb="72">
      <t>コンゴ</t>
    </rPh>
    <rPh sb="73" eb="74">
      <t>アラ</t>
    </rPh>
    <rPh sb="76" eb="78">
      <t>キョウイク</t>
    </rPh>
    <rPh sb="78" eb="80">
      <t>カテイ</t>
    </rPh>
    <rPh sb="81" eb="83">
      <t>ヘンセイ</t>
    </rPh>
    <rPh sb="89" eb="91">
      <t>スウリ</t>
    </rPh>
    <rPh sb="103" eb="105">
      <t>キョウイク</t>
    </rPh>
    <rPh sb="106" eb="108">
      <t>ジュウヨウ</t>
    </rPh>
    <rPh sb="114" eb="116">
      <t>ニンシキ</t>
    </rPh>
    <rPh sb="120" eb="122">
      <t>キョウイク</t>
    </rPh>
    <rPh sb="128" eb="130">
      <t>シュウトク</t>
    </rPh>
    <rPh sb="135" eb="139">
      <t>ヒッシュウカモク</t>
    </rPh>
    <rPh sb="140" eb="142">
      <t>コウセイ</t>
    </rPh>
    <rPh sb="144" eb="146">
      <t>ケイカク</t>
    </rPh>
    <phoneticPr fontId="1"/>
  </si>
  <si>
    <t>　令和５年３月末時点で教育プログラム修了者の卒業者はいない。</t>
    <rPh sb="1" eb="3">
      <t>レイワ</t>
    </rPh>
    <rPh sb="4" eb="5">
      <t>ネン</t>
    </rPh>
    <rPh sb="6" eb="7">
      <t>ガツ</t>
    </rPh>
    <rPh sb="7" eb="8">
      <t>マツ</t>
    </rPh>
    <rPh sb="8" eb="10">
      <t>ジテン</t>
    </rPh>
    <rPh sb="11" eb="13">
      <t>キョウイク</t>
    </rPh>
    <rPh sb="18" eb="21">
      <t>シュウリョウシャ</t>
    </rPh>
    <rPh sb="22" eb="25">
      <t>ソツギョウシャ</t>
    </rPh>
    <phoneticPr fontId="1"/>
  </si>
  <si>
    <t>　本教育プログラムに関わる科目において、代表的な事例を紹介しつつ、その利便性を講義したり、社会におけるデータ・ＡＩ利活用・社会で起きている変化を講義するなど、「学ぶ楽しさ」「学ぶことの意義」を理解するよう取り組んでいる。</t>
    <rPh sb="1" eb="2">
      <t>ホン</t>
    </rPh>
    <rPh sb="2" eb="4">
      <t>キョウイク</t>
    </rPh>
    <rPh sb="10" eb="11">
      <t>カカ</t>
    </rPh>
    <rPh sb="13" eb="15">
      <t>カモク</t>
    </rPh>
    <rPh sb="20" eb="23">
      <t>ダイヒョウテキ</t>
    </rPh>
    <rPh sb="24" eb="26">
      <t>ジレイ</t>
    </rPh>
    <rPh sb="27" eb="29">
      <t>ショウカイ</t>
    </rPh>
    <rPh sb="35" eb="38">
      <t>リベンセイ</t>
    </rPh>
    <rPh sb="39" eb="41">
      <t>コウギ</t>
    </rPh>
    <rPh sb="45" eb="47">
      <t>シャカイ</t>
    </rPh>
    <rPh sb="57" eb="60">
      <t>リカツヨウ</t>
    </rPh>
    <rPh sb="61" eb="63">
      <t>シャカイ</t>
    </rPh>
    <rPh sb="64" eb="65">
      <t>オ</t>
    </rPh>
    <rPh sb="69" eb="71">
      <t>ヘンカ</t>
    </rPh>
    <rPh sb="72" eb="74">
      <t>コウギ</t>
    </rPh>
    <rPh sb="80" eb="81">
      <t>マナ</t>
    </rPh>
    <rPh sb="82" eb="83">
      <t>タノ</t>
    </rPh>
    <rPh sb="87" eb="88">
      <t>マナ</t>
    </rPh>
    <rPh sb="92" eb="94">
      <t>イギ</t>
    </rPh>
    <rPh sb="96" eb="98">
      <t>リカイ</t>
    </rPh>
    <rPh sb="102" eb="103">
      <t>ト</t>
    </rPh>
    <rPh sb="104" eb="105">
      <t>ク</t>
    </rPh>
    <phoneticPr fontId="1"/>
  </si>
  <si>
    <t>　授業評価アンケートを行い、学生からの意見を取り入れ、教務委員会において分析することで、より「分かりやすい」授業とするような体制を取っている。</t>
    <rPh sb="1" eb="3">
      <t>ジュギョウ</t>
    </rPh>
    <rPh sb="3" eb="5">
      <t>ヒョウカ</t>
    </rPh>
    <rPh sb="11" eb="12">
      <t>オコナ</t>
    </rPh>
    <rPh sb="14" eb="16">
      <t>ガクセイ</t>
    </rPh>
    <rPh sb="19" eb="21">
      <t>イケン</t>
    </rPh>
    <rPh sb="22" eb="23">
      <t>ト</t>
    </rPh>
    <rPh sb="24" eb="25">
      <t>イ</t>
    </rPh>
    <rPh sb="27" eb="29">
      <t>キョウム</t>
    </rPh>
    <rPh sb="29" eb="32">
      <t>イインカイ</t>
    </rPh>
    <rPh sb="36" eb="38">
      <t>ブンセキ</t>
    </rPh>
    <rPh sb="47" eb="48">
      <t>ワ</t>
    </rPh>
    <rPh sb="54" eb="56">
      <t>ジュギョウ</t>
    </rPh>
    <rPh sb="62" eb="64">
      <t>タイセイ</t>
    </rPh>
    <rPh sb="65" eb="66">
      <t>ト</t>
    </rPh>
    <phoneticPr fontId="1"/>
  </si>
  <si>
    <t>講義時間外の指導を含め、学生の該当講義の履修単位取得を積極的に補助する。</t>
    <phoneticPr fontId="1"/>
  </si>
  <si>
    <t>目標を実現するために、講義時間外の指導を含め学生の該当講義の履修単位取得を積極的に補助する。教務委員会として、その科目担当教員を補助する。必修科目の修得で可能となるため、全学生が取得できることを目的とする。</t>
    <rPh sb="74" eb="76">
      <t>シュウトク</t>
    </rPh>
    <phoneticPr fontId="1"/>
  </si>
  <si>
    <t>全学科において必修科目としており、学生全員が受講可能である。</t>
    <rPh sb="7" eb="9">
      <t>ヒッシュウ</t>
    </rPh>
    <rPh sb="9" eb="11">
      <t>カモク</t>
    </rPh>
    <rPh sb="17" eb="19">
      <t>ガクセイ</t>
    </rPh>
    <rPh sb="19" eb="21">
      <t>ゼンイン</t>
    </rPh>
    <rPh sb="22" eb="24">
      <t>ジュコウ</t>
    </rPh>
    <phoneticPr fontId="1"/>
  </si>
  <si>
    <t>様式１-１</t>
    <rPh sb="0" eb="2">
      <t>ヨウシキ</t>
    </rPh>
    <phoneticPr fontId="1"/>
  </si>
  <si>
    <t>様式１-２</t>
    <rPh sb="0" eb="2">
      <t>ヨウシキ</t>
    </rPh>
    <phoneticPr fontId="1"/>
  </si>
  <si>
    <t>様式１-３</t>
    <rPh sb="0" eb="2">
      <t>ヨウシキ</t>
    </rPh>
    <phoneticPr fontId="1"/>
  </si>
  <si>
    <t>プログラムを構成する「情報処理１」「情報処理２」を修得していること。</t>
    <rPh sb="25" eb="27">
      <t>シュウトク</t>
    </rPh>
    <phoneticPr fontId="1"/>
  </si>
  <si>
    <t>情報処理2</t>
    <phoneticPr fontId="1"/>
  </si>
  <si>
    <t>情報処理1</t>
    <phoneticPr fontId="1"/>
  </si>
  <si>
    <t>各学科の掲げるディプロマポリシーに基づいて、操船のための通信・自動制御及び歴史的背景に基づいて情報化社会に対応できるスキルの修得を目的とする。</t>
    <rPh sb="35" eb="36">
      <t>オヨ</t>
    </rPh>
    <phoneticPr fontId="1"/>
  </si>
  <si>
    <t>電子機械工学科</t>
    <rPh sb="0" eb="7">
      <t>デンシキカイコウガッカ</t>
    </rPh>
    <phoneticPr fontId="1"/>
  </si>
  <si>
    <t>情報工学科</t>
    <rPh sb="0" eb="5">
      <t>ジョウホウコウガッカ</t>
    </rPh>
    <phoneticPr fontId="1"/>
  </si>
  <si>
    <t>プログラムを構成する「基礎情報工学」「情報工学実験１」を修得していること。</t>
    <rPh sb="28" eb="30">
      <t>シュウトク</t>
    </rPh>
    <phoneticPr fontId="1"/>
  </si>
  <si>
    <t>基礎情報工学</t>
    <phoneticPr fontId="1"/>
  </si>
  <si>
    <t>情報工学実験1</t>
    <phoneticPr fontId="1"/>
  </si>
  <si>
    <t>各学科の掲げるディプロマポリシーに基づいて、機械を設計・制御するための情報工学知識及び歴史的背景に基づいて情報化社会に対応できるスキルの修得を目的とする。</t>
    <rPh sb="41" eb="42">
      <t>オヨ</t>
    </rPh>
    <phoneticPr fontId="1"/>
  </si>
  <si>
    <t>各学科の掲げるディプロマポリシーに基づいて、情報処理技術者として必要な知識及び歴史的背景に基づいて情報化社会に対応できるスキルの修得を目的とする。</t>
    <rPh sb="37" eb="38">
      <t>オヨ</t>
    </rPh>
    <phoneticPr fontId="1"/>
  </si>
  <si>
    <t>令和３</t>
    <rPh sb="0" eb="2">
      <t>レイワ</t>
    </rPh>
    <phoneticPr fontId="1"/>
  </si>
  <si>
    <t>ビッグデータ、IoT、AI「情報処理2」(2ndQ 11週)</t>
    <rPh sb="28" eb="29">
      <t>シュウ</t>
    </rPh>
    <phoneticPr fontId="1"/>
  </si>
  <si>
    <t>AI最新技術の活用例「情報処理2」(2ndQ 11週)</t>
    <phoneticPr fontId="1"/>
  </si>
  <si>
    <t>調査データ、実験データ、人の行動ログデータ、機械の稼働ログデータなど「情報処理1」(3rdQ 5週,6週)</t>
    <rPh sb="48" eb="49">
      <t>シュウ</t>
    </rPh>
    <rPh sb="51" eb="52">
      <t>シュウ</t>
    </rPh>
    <phoneticPr fontId="1"/>
  </si>
  <si>
    <t>研究開発、調達、製造、物流、販売、マーケティング、サービスなど「情報処理1」(3rdQ 5週,6週)</t>
    <phoneticPr fontId="1"/>
  </si>
  <si>
    <t>特化型AIと汎用AI、今のAIで出来ることと出来ないこと、AIとビッグデータ「情報処理2」(2ndQ 11週)</t>
    <phoneticPr fontId="1"/>
  </si>
  <si>
    <t>流通、製造、金融、サービス、インフラ、公共、ヘルスケア等におけるデータ・AI利活用事例紹介「情報処理2」(2ndQ 11週)</t>
    <phoneticPr fontId="1"/>
  </si>
  <si>
    <t>データ倫理：データのねつ造、改ざん、盗用、プライバシー保護「情報処理1」(3rdQ 1週,2週)</t>
    <rPh sb="43" eb="44">
      <t>シュウ</t>
    </rPh>
    <rPh sb="46" eb="47">
      <t>シュウ</t>
    </rPh>
    <phoneticPr fontId="1"/>
  </si>
  <si>
    <t>情報セキュリティ：機密性、完全性、可用性「情報処理1」(3rdQ 1週,2週)</t>
    <phoneticPr fontId="1"/>
  </si>
  <si>
    <t>データの分布(ヒストグラム)と代表値（平均値、中央値、最頻値）「情報処理2」(2ndQ 12週)</t>
    <rPh sb="46" eb="47">
      <t>シュウ</t>
    </rPh>
    <phoneticPr fontId="1"/>
  </si>
  <si>
    <t>データ表現（棒グラフ、折線グラフ、散布図、ヒートマップ）「情報処理2」(2ndQ 12週)</t>
    <phoneticPr fontId="1"/>
  </si>
  <si>
    <t>データの集計（和、平均）「情報処理2」(2ndQ 12週)</t>
    <phoneticPr fontId="1"/>
  </si>
  <si>
    <t>ビッグデータ、IoT、AI「情報処理1」(1stQ 2週)</t>
    <rPh sb="27" eb="28">
      <t>シュウ</t>
    </rPh>
    <phoneticPr fontId="1"/>
  </si>
  <si>
    <t>AI等を活用した新しいビジネスモデル、AI最新技術の活用例「情報処理1」(3rdQ 7週)</t>
    <rPh sb="43" eb="44">
      <t>シュウ</t>
    </rPh>
    <phoneticPr fontId="1"/>
  </si>
  <si>
    <t xml:space="preserve">
データのメタ化、データのオープン化「情報処理1」(2ndQ 9週)</t>
    <rPh sb="32" eb="33">
      <t>シュウ</t>
    </rPh>
    <phoneticPr fontId="1"/>
  </si>
  <si>
    <t xml:space="preserve">
データ・AI活用領域の広がり「情報処理1」(2ndQ 10週)</t>
    <rPh sb="30" eb="31">
      <t>シュウ</t>
    </rPh>
    <phoneticPr fontId="1"/>
  </si>
  <si>
    <t xml:space="preserve">
データ解析、データ可視化、非構造化データ処理、AIとビッグデータ、認識技術「情報処理1」(3rdQ 1週)</t>
    <rPh sb="52" eb="53">
      <t>シュウ</t>
    </rPh>
    <phoneticPr fontId="1"/>
  </si>
  <si>
    <t>データサイエンスのサイクル、データ・AI利活用事例紹介「情報処理1」(3rdQ 2週)</t>
    <rPh sb="41" eb="42">
      <t>シュウ</t>
    </rPh>
    <phoneticPr fontId="1"/>
  </si>
  <si>
    <t>AI社会原則「情報処理1」(4thQ 15週)</t>
    <rPh sb="21" eb="22">
      <t>シュウ</t>
    </rPh>
    <phoneticPr fontId="1"/>
  </si>
  <si>
    <t>情報セキュリティ、情報漏洩等によるセキュリティ事故の事例紹介「情報処理1」(4thQ 14週)</t>
    <rPh sb="45" eb="46">
      <t>シュウ</t>
    </rPh>
    <phoneticPr fontId="1"/>
  </si>
  <si>
    <t>データの種類（量的変数、質的変数）「情報処理2」(1stQ 5週)</t>
    <rPh sb="31" eb="32">
      <t>シュウ</t>
    </rPh>
    <phoneticPr fontId="1"/>
  </si>
  <si>
    <t>データ表現、データの比較、優れた可視化事例の紹介「情報処理2」(1stQ 4週)</t>
    <rPh sb="38" eb="39">
      <t>シュウ</t>
    </rPh>
    <phoneticPr fontId="1"/>
  </si>
  <si>
    <t>データの集計、データの並び替え、ランキング、データ解析ツール（スプレッドシート）「情報処理2」(2ndQ 13週,14週,15週)</t>
    <rPh sb="55" eb="56">
      <t>シュウ</t>
    </rPh>
    <rPh sb="59" eb="60">
      <t>シュウ</t>
    </rPh>
    <rPh sb="63" eb="64">
      <t>シュウ</t>
    </rPh>
    <phoneticPr fontId="1"/>
  </si>
  <si>
    <t>データを起点としたものの見方、人間の知的活動を起点としたものの見方「基礎情報工学」(1st 2週)</t>
    <rPh sb="47" eb="48">
      <t>シュウ</t>
    </rPh>
    <phoneticPr fontId="1"/>
  </si>
  <si>
    <t>AI最新技術の活用例（深層生成モデル、敵対的生成ネットワーク、強化学習、転移学習など）「基礎情報工学」(1st 2週)</t>
    <phoneticPr fontId="1"/>
  </si>
  <si>
    <t>調査データ、実験データ、人の行動ログデータ、機械の稼働ログデータなど「基礎情報工学」(1st 2週)</t>
    <phoneticPr fontId="1"/>
  </si>
  <si>
    <t>仮説検証、知識発見、原因究明、計画策定、判断支援、活動代替、新規生成など「基礎情報工学」(1st 2週)</t>
    <phoneticPr fontId="1"/>
  </si>
  <si>
    <t>データ解析：予測、グルーピング、パターン発見、最適化、シミュレーション・データ同化など「基礎情報工学」(1st 2週)</t>
    <phoneticPr fontId="1"/>
  </si>
  <si>
    <t>データサイエンスのサイクル「基礎情報工学」(1st 2週)</t>
    <phoneticPr fontId="1"/>
  </si>
  <si>
    <t>データ倫理：データのねつ造、改ざん、盗用、プライバシー保護「基礎情報工学」(4thQ 10週)</t>
    <rPh sb="45" eb="46">
      <t>シュウ</t>
    </rPh>
    <phoneticPr fontId="1"/>
  </si>
  <si>
    <t>情報セキュリティ：機密性、完全性、可用性「基礎情報工学」(4thQ 10週)</t>
    <phoneticPr fontId="1"/>
  </si>
  <si>
    <t>データの分布(ヒストグラム)と代表値（平均値、中央値、最頻値）「情報工学実験1」(2ndQ 13週,14週)</t>
    <phoneticPr fontId="1"/>
  </si>
  <si>
    <t>データ表現（棒グラフ、折線グラフ、散布図、ヒートマップ）「情報工学実験1」(2ndQ 13週,14週)</t>
    <phoneticPr fontId="1"/>
  </si>
  <si>
    <t>データ解析ツール（スプレッドシート）(2ndQ 13週,14週)</t>
    <phoneticPr fontId="1"/>
  </si>
  <si>
    <t>教務主事　藤本　隆士
商船学科長　二村　彰
電子機械工学科長　長井　弘志
情報工学科長　徳田　誠
総合教育科長　久保　康幸
教務主事補　佐久間　一行、政家　利彦、日下　佳春
学生課長　成田　悦子</t>
    <rPh sb="5" eb="7">
      <t>フジモト</t>
    </rPh>
    <rPh sb="8" eb="9">
      <t>タカシ</t>
    </rPh>
    <rPh sb="9" eb="10">
      <t>シ</t>
    </rPh>
    <rPh sb="17" eb="19">
      <t>フタムラ</t>
    </rPh>
    <rPh sb="20" eb="21">
      <t>アキラ</t>
    </rPh>
    <rPh sb="31" eb="33">
      <t>ナガイ</t>
    </rPh>
    <rPh sb="34" eb="35">
      <t>ヒロシ</t>
    </rPh>
    <rPh sb="35" eb="36">
      <t>シ</t>
    </rPh>
    <rPh sb="44" eb="46">
      <t>トクダ</t>
    </rPh>
    <rPh sb="47" eb="48">
      <t>マコト</t>
    </rPh>
    <rPh sb="56" eb="58">
      <t>クボ</t>
    </rPh>
    <rPh sb="59" eb="61">
      <t>ヤスユキ</t>
    </rPh>
    <rPh sb="68" eb="71">
      <t>サクマ</t>
    </rPh>
    <rPh sb="72" eb="74">
      <t>イッコウ</t>
    </rPh>
    <rPh sb="75" eb="77">
      <t>マサイエ</t>
    </rPh>
    <rPh sb="78" eb="80">
      <t>トシヒコ</t>
    </rPh>
    <rPh sb="81" eb="83">
      <t>クサカ</t>
    </rPh>
    <rPh sb="84" eb="86">
      <t>ヨシハル</t>
    </rPh>
    <rPh sb="92" eb="94">
      <t>ナリタ</t>
    </rPh>
    <rPh sb="95" eb="97">
      <t>エツコ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</si>
</sst>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0" xfId="0" applyFont="1" applyAlignment="1">
      <alignment vertical="top" wrapTex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wrapText="1"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19" xfId="0" applyFont="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vertical="center" wrapText="1"/>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horizontal="left" vertical="top" wrapText="1" shrinkToFit="1"/>
    </xf>
    <xf numFmtId="0" fontId="2" fillId="0" borderId="20" xfId="0" applyFont="1" applyBorder="1" applyAlignment="1">
      <alignment horizontal="left" vertical="top" wrapText="1" shrinkToFit="1"/>
    </xf>
    <xf numFmtId="0" fontId="2" fillId="0" borderId="18" xfId="0" applyFont="1" applyBorder="1" applyAlignment="1">
      <alignment horizontal="lef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11" fillId="0" borderId="37" xfId="0" applyFont="1" applyBorder="1" applyAlignment="1">
      <alignment horizontal="left" vertical="top" wrapText="1" shrinkToFit="1"/>
    </xf>
    <xf numFmtId="0" fontId="11" fillId="0" borderId="38" xfId="0" applyFont="1" applyBorder="1" applyAlignment="1">
      <alignment horizontal="left" vertical="top" wrapText="1" shrinkToFit="1"/>
    </xf>
    <xf numFmtId="0" fontId="11" fillId="0" borderId="39" xfId="0" applyFont="1" applyBorder="1" applyAlignment="1">
      <alignment horizontal="lef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37" xfId="0" applyFont="1" applyBorder="1" applyAlignment="1">
      <alignment horizontal="left" vertical="top" wrapText="1" shrinkToFit="1"/>
    </xf>
    <xf numFmtId="0" fontId="2" fillId="0" borderId="38" xfId="0" applyFont="1" applyBorder="1" applyAlignment="1">
      <alignment horizontal="left" vertical="top" wrapText="1" shrinkToFit="1"/>
    </xf>
    <xf numFmtId="0" fontId="2" fillId="0" borderId="39" xfId="0" applyFont="1" applyBorder="1" applyAlignment="1">
      <alignment horizontal="lef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0" fillId="0" borderId="34" xfId="0" applyBorder="1" applyAlignment="1">
      <alignment horizontal="left" vertical="top" wrapText="1"/>
    </xf>
    <xf numFmtId="0" fontId="0" fillId="0" borderId="36" xfId="0" applyBorder="1" applyAlignment="1">
      <alignment horizontal="left" vertical="top" wrapText="1"/>
    </xf>
    <xf numFmtId="0" fontId="0" fillId="0" borderId="35" xfId="0" applyBorder="1" applyAlignment="1">
      <alignment horizontal="left" vertical="top" wrapText="1"/>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32ACF-5B50-451B-B0AA-FE3EEB2BF0DF}">
  <sheetPr>
    <pageSetUpPr fitToPage="1"/>
  </sheetPr>
  <dimension ref="A1:V110"/>
  <sheetViews>
    <sheetView showZeros="0" view="pageBreakPreview" zoomScaleNormal="100" zoomScaleSheetLayoutView="100" workbookViewId="0">
      <selection activeCell="A33" sqref="A33:S34"/>
    </sheetView>
  </sheetViews>
  <sheetFormatPr defaultColWidth="9" defaultRowHeight="18.75" customHeight="1" x14ac:dyDescent="0.15"/>
  <cols>
    <col min="1" max="1" width="2.5" style="85" customWidth="1"/>
    <col min="2" max="2" width="16.5" style="85" customWidth="1"/>
    <col min="3" max="19" width="5.625" style="85" customWidth="1"/>
    <col min="20" max="20" width="9" style="85"/>
    <col min="21" max="21" width="3.625" style="85" customWidth="1"/>
    <col min="22" max="22" width="48.625" style="85" hidden="1" customWidth="1"/>
    <col min="23" max="16384" width="9" style="85"/>
  </cols>
  <sheetData>
    <row r="1" spans="1:22" ht="18.600000000000001" customHeight="1" x14ac:dyDescent="0.15">
      <c r="R1" s="152" t="s">
        <v>155</v>
      </c>
      <c r="S1" s="152"/>
      <c r="T1" s="2" t="s">
        <v>109</v>
      </c>
    </row>
    <row r="2" spans="1:22" ht="18.75" customHeight="1" x14ac:dyDescent="0.15">
      <c r="B2" s="84" t="s">
        <v>108</v>
      </c>
      <c r="C2" s="131" t="s">
        <v>131</v>
      </c>
      <c r="D2" s="116"/>
      <c r="E2" s="116"/>
      <c r="F2" s="116"/>
      <c r="G2" s="116"/>
      <c r="H2" s="116"/>
      <c r="I2" s="117"/>
      <c r="J2" s="83"/>
      <c r="K2" s="6"/>
      <c r="L2" s="6"/>
      <c r="M2" s="6"/>
      <c r="N2" s="6"/>
      <c r="O2" s="6"/>
      <c r="P2" s="6"/>
      <c r="Q2" s="6"/>
      <c r="R2" s="6"/>
      <c r="S2" s="6"/>
    </row>
    <row r="3" spans="1:22" ht="18.75" customHeight="1" x14ac:dyDescent="0.15">
      <c r="B3" s="84" t="s">
        <v>102</v>
      </c>
      <c r="C3" s="131" t="s">
        <v>132</v>
      </c>
      <c r="D3" s="116"/>
      <c r="E3" s="116"/>
      <c r="F3" s="116"/>
      <c r="G3" s="116"/>
      <c r="H3" s="116"/>
      <c r="I3" s="117"/>
      <c r="J3" s="83"/>
      <c r="K3" s="6"/>
      <c r="L3" s="6"/>
      <c r="M3" s="6"/>
      <c r="N3" s="6"/>
      <c r="O3" s="6"/>
      <c r="P3" s="6"/>
      <c r="Q3" s="6"/>
      <c r="R3" s="6"/>
      <c r="S3" s="6"/>
    </row>
    <row r="4" spans="1:22" ht="15" customHeight="1" x14ac:dyDescent="0.15">
      <c r="K4" s="83"/>
      <c r="L4" s="36"/>
      <c r="M4" s="36"/>
      <c r="N4" s="36"/>
      <c r="O4" s="36"/>
      <c r="P4" s="36"/>
      <c r="Q4" s="36"/>
      <c r="R4" s="36"/>
      <c r="S4" s="36"/>
    </row>
    <row r="5" spans="1:22" ht="18" customHeight="1" x14ac:dyDescent="0.15">
      <c r="A5" s="153" t="s">
        <v>38</v>
      </c>
      <c r="B5" s="153"/>
      <c r="C5" s="153"/>
      <c r="D5" s="153"/>
      <c r="E5" s="153"/>
      <c r="F5" s="153"/>
      <c r="G5" s="153"/>
      <c r="H5" s="153"/>
      <c r="I5" s="153"/>
      <c r="J5" s="153"/>
      <c r="K5" s="153"/>
      <c r="L5" s="153"/>
      <c r="M5" s="153"/>
      <c r="N5" s="153"/>
      <c r="O5" s="153"/>
      <c r="P5" s="153"/>
      <c r="Q5" s="153"/>
      <c r="R5" s="153"/>
      <c r="S5" s="153"/>
    </row>
    <row r="6" spans="1:22" ht="15" customHeight="1" x14ac:dyDescent="0.15">
      <c r="B6" s="86"/>
      <c r="C6" s="86"/>
      <c r="D6" s="86"/>
      <c r="E6" s="86"/>
      <c r="F6" s="86"/>
      <c r="G6" s="86"/>
      <c r="H6" s="86"/>
      <c r="I6" s="86"/>
      <c r="J6" s="86"/>
      <c r="K6" s="86"/>
      <c r="L6" s="86"/>
      <c r="M6" s="86"/>
      <c r="N6" s="86"/>
      <c r="O6" s="86"/>
      <c r="P6" s="86"/>
      <c r="Q6" s="86"/>
      <c r="R6" s="86"/>
      <c r="S6" s="86"/>
    </row>
    <row r="7" spans="1:22" ht="18" customHeight="1" x14ac:dyDescent="0.15">
      <c r="A7" s="85" t="s">
        <v>124</v>
      </c>
      <c r="C7" s="86"/>
      <c r="J7" s="37" t="s">
        <v>107</v>
      </c>
      <c r="K7" s="154" t="s">
        <v>126</v>
      </c>
      <c r="L7" s="155"/>
      <c r="M7" s="155"/>
      <c r="N7" s="155"/>
      <c r="O7" s="155"/>
      <c r="P7" s="155"/>
      <c r="Q7" s="155"/>
      <c r="R7" s="155"/>
      <c r="S7" s="156"/>
    </row>
    <row r="8" spans="1:22" ht="6" customHeight="1" x14ac:dyDescent="0.15">
      <c r="B8" s="86"/>
      <c r="C8" s="86"/>
      <c r="D8" s="86"/>
      <c r="E8" s="86"/>
      <c r="F8" s="86"/>
      <c r="G8" s="86"/>
      <c r="H8" s="86"/>
      <c r="I8" s="86"/>
      <c r="J8" s="86"/>
      <c r="K8" s="10"/>
      <c r="L8" s="86"/>
      <c r="M8" s="86"/>
      <c r="N8" s="86"/>
      <c r="O8" s="86"/>
      <c r="P8" s="86"/>
      <c r="Q8" s="86"/>
      <c r="R8" s="86"/>
      <c r="S8" s="86"/>
    </row>
    <row r="9" spans="1:22" ht="18" customHeight="1" x14ac:dyDescent="0.15">
      <c r="B9" s="157" t="s">
        <v>128</v>
      </c>
      <c r="C9" s="158"/>
      <c r="D9" s="158"/>
      <c r="E9" s="158"/>
      <c r="F9" s="158"/>
      <c r="G9" s="158"/>
      <c r="H9" s="158"/>
      <c r="I9" s="158"/>
      <c r="J9" s="158"/>
      <c r="K9" s="158"/>
      <c r="L9" s="158"/>
      <c r="M9" s="158"/>
      <c r="N9" s="158"/>
      <c r="O9" s="158"/>
      <c r="P9" s="158"/>
      <c r="Q9" s="158"/>
      <c r="R9" s="158"/>
      <c r="S9" s="159"/>
    </row>
    <row r="10" spans="1:22" ht="18" customHeight="1" x14ac:dyDescent="0.15">
      <c r="B10" s="160"/>
      <c r="C10" s="161"/>
      <c r="D10" s="161"/>
      <c r="E10" s="161"/>
      <c r="F10" s="161"/>
      <c r="G10" s="161"/>
      <c r="H10" s="161"/>
      <c r="I10" s="161"/>
      <c r="J10" s="161"/>
      <c r="K10" s="161"/>
      <c r="L10" s="161"/>
      <c r="M10" s="161"/>
      <c r="N10" s="161"/>
      <c r="O10" s="161"/>
      <c r="P10" s="161"/>
      <c r="Q10" s="161"/>
      <c r="R10" s="161"/>
      <c r="S10" s="162"/>
    </row>
    <row r="11" spans="1:22" ht="6" customHeight="1" x14ac:dyDescent="0.15">
      <c r="B11" s="86"/>
      <c r="C11" s="86"/>
      <c r="D11" s="86"/>
      <c r="E11" s="86"/>
      <c r="F11" s="86"/>
      <c r="G11" s="86"/>
      <c r="H11" s="86"/>
      <c r="I11" s="86"/>
      <c r="J11" s="86"/>
      <c r="K11" s="10"/>
      <c r="L11" s="86"/>
      <c r="M11" s="86"/>
      <c r="N11" s="86"/>
      <c r="O11" s="86"/>
      <c r="P11" s="86"/>
      <c r="Q11" s="86"/>
      <c r="R11" s="86"/>
      <c r="S11" s="86"/>
    </row>
    <row r="12" spans="1:22" ht="18" customHeight="1" x14ac:dyDescent="0.15">
      <c r="A12" s="85" t="s">
        <v>111</v>
      </c>
      <c r="B12" s="86"/>
      <c r="C12" s="86"/>
      <c r="D12" s="83"/>
      <c r="E12" s="83"/>
      <c r="F12" s="83"/>
      <c r="G12" s="83"/>
      <c r="H12" s="83"/>
      <c r="I12" s="83"/>
      <c r="J12" s="83"/>
      <c r="K12" s="38"/>
      <c r="L12" s="38"/>
      <c r="M12" s="38"/>
      <c r="N12" s="38"/>
      <c r="O12" s="38"/>
      <c r="P12" s="38"/>
      <c r="Q12" s="38"/>
      <c r="R12" s="38"/>
      <c r="S12" s="38"/>
    </row>
    <row r="13" spans="1:22" ht="18" customHeight="1" x14ac:dyDescent="0.15">
      <c r="B13" s="140" t="s">
        <v>158</v>
      </c>
      <c r="C13" s="141"/>
      <c r="D13" s="141"/>
      <c r="E13" s="141"/>
      <c r="F13" s="141"/>
      <c r="G13" s="141"/>
      <c r="H13" s="141"/>
      <c r="I13" s="141"/>
      <c r="J13" s="141"/>
      <c r="K13" s="141"/>
      <c r="L13" s="141"/>
      <c r="M13" s="141"/>
      <c r="N13" s="141"/>
      <c r="O13" s="141"/>
      <c r="P13" s="141"/>
      <c r="Q13" s="141"/>
      <c r="R13" s="141"/>
      <c r="S13" s="142"/>
      <c r="V13" s="85" t="s">
        <v>103</v>
      </c>
    </row>
    <row r="14" spans="1:22" ht="18" customHeight="1" x14ac:dyDescent="0.15">
      <c r="B14" s="143"/>
      <c r="C14" s="144"/>
      <c r="D14" s="144"/>
      <c r="E14" s="144"/>
      <c r="F14" s="144"/>
      <c r="G14" s="144"/>
      <c r="H14" s="144"/>
      <c r="I14" s="144"/>
      <c r="J14" s="144"/>
      <c r="K14" s="144"/>
      <c r="L14" s="144"/>
      <c r="M14" s="144"/>
      <c r="N14" s="144"/>
      <c r="O14" s="144"/>
      <c r="P14" s="144"/>
      <c r="Q14" s="144"/>
      <c r="R14" s="144"/>
      <c r="S14" s="145"/>
      <c r="V14" s="85" t="s">
        <v>110</v>
      </c>
    </row>
    <row r="15" spans="1:22" ht="18" customHeight="1" x14ac:dyDescent="0.15">
      <c r="B15" s="143"/>
      <c r="C15" s="144"/>
      <c r="D15" s="144"/>
      <c r="E15" s="144"/>
      <c r="F15" s="144"/>
      <c r="G15" s="144"/>
      <c r="H15" s="144"/>
      <c r="I15" s="144"/>
      <c r="J15" s="144"/>
      <c r="K15" s="144"/>
      <c r="L15" s="144"/>
      <c r="M15" s="144"/>
      <c r="N15" s="144"/>
      <c r="O15" s="144"/>
      <c r="P15" s="144"/>
      <c r="Q15" s="144"/>
      <c r="R15" s="144"/>
      <c r="S15" s="145"/>
      <c r="V15" s="85" t="s">
        <v>123</v>
      </c>
    </row>
    <row r="16" spans="1:22" ht="18" customHeight="1" x14ac:dyDescent="0.15">
      <c r="B16" s="143"/>
      <c r="C16" s="144"/>
      <c r="D16" s="144"/>
      <c r="E16" s="144"/>
      <c r="F16" s="144"/>
      <c r="G16" s="144"/>
      <c r="H16" s="144"/>
      <c r="I16" s="144"/>
      <c r="J16" s="144"/>
      <c r="K16" s="144"/>
      <c r="L16" s="144"/>
      <c r="M16" s="144"/>
      <c r="N16" s="144"/>
      <c r="O16" s="144"/>
      <c r="P16" s="144"/>
      <c r="Q16" s="144"/>
      <c r="R16" s="144"/>
      <c r="S16" s="145"/>
      <c r="V16" s="85" t="s">
        <v>125</v>
      </c>
    </row>
    <row r="17" spans="1:19" ht="18" customHeight="1" x14ac:dyDescent="0.15">
      <c r="B17" s="143"/>
      <c r="C17" s="144"/>
      <c r="D17" s="144"/>
      <c r="E17" s="144"/>
      <c r="F17" s="144"/>
      <c r="G17" s="144"/>
      <c r="H17" s="144"/>
      <c r="I17" s="144"/>
      <c r="J17" s="144"/>
      <c r="K17" s="144"/>
      <c r="L17" s="144"/>
      <c r="M17" s="144"/>
      <c r="N17" s="144"/>
      <c r="O17" s="144"/>
      <c r="P17" s="144"/>
      <c r="Q17" s="144"/>
      <c r="R17" s="144"/>
      <c r="S17" s="145"/>
    </row>
    <row r="18" spans="1:19" ht="18" customHeight="1" x14ac:dyDescent="0.15">
      <c r="B18" s="146"/>
      <c r="C18" s="147"/>
      <c r="D18" s="147"/>
      <c r="E18" s="147"/>
      <c r="F18" s="147"/>
      <c r="G18" s="147"/>
      <c r="H18" s="147"/>
      <c r="I18" s="147"/>
      <c r="J18" s="147"/>
      <c r="K18" s="147"/>
      <c r="L18" s="147"/>
      <c r="M18" s="147"/>
      <c r="N18" s="147"/>
      <c r="O18" s="147"/>
      <c r="P18" s="147"/>
      <c r="Q18" s="147"/>
      <c r="R18" s="147"/>
      <c r="S18" s="148"/>
    </row>
    <row r="19" spans="1:19" ht="7.5" customHeight="1" x14ac:dyDescent="0.15">
      <c r="B19" s="86"/>
      <c r="C19" s="86"/>
      <c r="D19" s="86"/>
      <c r="E19" s="86"/>
      <c r="F19" s="86"/>
      <c r="G19" s="86"/>
      <c r="H19" s="86"/>
      <c r="I19" s="86"/>
      <c r="J19" s="86"/>
      <c r="K19" s="86"/>
      <c r="L19" s="86"/>
      <c r="M19" s="86"/>
      <c r="N19" s="86"/>
      <c r="O19" s="86"/>
      <c r="P19" s="86"/>
      <c r="Q19" s="86"/>
      <c r="R19" s="86"/>
      <c r="S19" s="86"/>
    </row>
    <row r="20" spans="1:19" ht="20.100000000000001" customHeight="1" x14ac:dyDescent="0.15">
      <c r="B20" s="85" t="s">
        <v>112</v>
      </c>
      <c r="C20" s="131">
        <v>3</v>
      </c>
      <c r="D20" s="117"/>
      <c r="E20" s="39" t="s">
        <v>95</v>
      </c>
      <c r="G20" s="10"/>
      <c r="H20" s="86"/>
      <c r="I20" s="86"/>
      <c r="J20" s="83" t="s">
        <v>121</v>
      </c>
      <c r="K20" s="149" t="s">
        <v>110</v>
      </c>
      <c r="L20" s="150"/>
      <c r="M20" s="150"/>
      <c r="N20" s="150"/>
      <c r="O20" s="150"/>
      <c r="P20" s="150"/>
      <c r="Q20" s="150"/>
      <c r="R20" s="150"/>
      <c r="S20" s="151"/>
    </row>
    <row r="21" spans="1:19" ht="7.5" customHeight="1" x14ac:dyDescent="0.15">
      <c r="B21" s="86"/>
      <c r="C21" s="86"/>
      <c r="D21" s="86"/>
      <c r="E21" s="86"/>
      <c r="F21" s="86"/>
      <c r="G21" s="86"/>
      <c r="H21" s="86"/>
      <c r="I21" s="86"/>
      <c r="J21" s="86"/>
      <c r="K21" s="86"/>
      <c r="L21" s="86"/>
      <c r="M21" s="86"/>
      <c r="N21" s="86"/>
      <c r="O21" s="86"/>
      <c r="P21" s="86"/>
      <c r="Q21" s="86"/>
      <c r="R21" s="86"/>
      <c r="S21" s="86"/>
    </row>
    <row r="22" spans="1:19" ht="18" customHeight="1" x14ac:dyDescent="0.15">
      <c r="A22" s="139" t="s">
        <v>113</v>
      </c>
      <c r="B22" s="139"/>
      <c r="C22" s="139"/>
      <c r="D22" s="139"/>
      <c r="E22" s="139"/>
      <c r="F22" s="139"/>
      <c r="G22" s="139"/>
      <c r="H22" s="139"/>
      <c r="I22" s="139"/>
      <c r="J22" s="139"/>
      <c r="K22" s="139"/>
      <c r="L22" s="139"/>
      <c r="M22" s="139"/>
      <c r="N22" s="139"/>
      <c r="O22" s="139"/>
      <c r="P22" s="139"/>
      <c r="Q22" s="139"/>
      <c r="R22" s="139"/>
      <c r="S22" s="139"/>
    </row>
    <row r="23" spans="1:19" ht="18" customHeight="1" x14ac:dyDescent="0.15">
      <c r="A23" s="139"/>
      <c r="B23" s="139"/>
      <c r="C23" s="139"/>
      <c r="D23" s="139"/>
      <c r="E23" s="139"/>
      <c r="F23" s="139"/>
      <c r="G23" s="139"/>
      <c r="H23" s="139"/>
      <c r="I23" s="139"/>
      <c r="J23" s="139"/>
      <c r="K23" s="139"/>
      <c r="L23" s="139"/>
      <c r="M23" s="139"/>
      <c r="N23" s="139"/>
      <c r="O23" s="139"/>
      <c r="P23" s="139"/>
      <c r="Q23" s="139"/>
      <c r="R23" s="139"/>
      <c r="S23" s="139"/>
    </row>
    <row r="24" spans="1:19" ht="18" customHeight="1" x14ac:dyDescent="0.15">
      <c r="B24" s="131" t="s">
        <v>53</v>
      </c>
      <c r="C24" s="116"/>
      <c r="D24" s="116"/>
      <c r="E24" s="117"/>
      <c r="F24" s="60" t="s">
        <v>80</v>
      </c>
      <c r="G24" s="59" t="s">
        <v>84</v>
      </c>
      <c r="H24" s="21" t="s">
        <v>56</v>
      </c>
      <c r="I24" s="21" t="s">
        <v>59</v>
      </c>
      <c r="J24" s="131" t="s">
        <v>53</v>
      </c>
      <c r="K24" s="116"/>
      <c r="L24" s="116"/>
      <c r="M24" s="116"/>
      <c r="N24" s="116"/>
      <c r="O24" s="117"/>
      <c r="P24" s="60" t="s">
        <v>80</v>
      </c>
      <c r="Q24" s="59" t="s">
        <v>84</v>
      </c>
      <c r="R24" s="21" t="s">
        <v>56</v>
      </c>
      <c r="S24" s="21" t="s">
        <v>59</v>
      </c>
    </row>
    <row r="25" spans="1:19" ht="18" customHeight="1" x14ac:dyDescent="0.15">
      <c r="B25" s="135" t="s">
        <v>159</v>
      </c>
      <c r="C25" s="91"/>
      <c r="D25" s="91"/>
      <c r="E25" s="92"/>
      <c r="F25" s="22">
        <v>1</v>
      </c>
      <c r="G25" s="22" t="s">
        <v>127</v>
      </c>
      <c r="H25" s="22" t="s">
        <v>127</v>
      </c>
      <c r="I25" s="22" t="s">
        <v>127</v>
      </c>
      <c r="J25" s="135"/>
      <c r="K25" s="91"/>
      <c r="L25" s="91"/>
      <c r="M25" s="91"/>
      <c r="N25" s="91"/>
      <c r="O25" s="92"/>
      <c r="P25" s="22"/>
      <c r="Q25" s="22"/>
      <c r="R25" s="22"/>
      <c r="S25" s="22"/>
    </row>
    <row r="26" spans="1:19" ht="18" customHeight="1" x14ac:dyDescent="0.15">
      <c r="B26" s="121"/>
      <c r="C26" s="94"/>
      <c r="D26" s="94"/>
      <c r="E26" s="95"/>
      <c r="F26" s="23"/>
      <c r="G26" s="23"/>
      <c r="H26" s="23"/>
      <c r="I26" s="23"/>
      <c r="J26" s="121"/>
      <c r="K26" s="94"/>
      <c r="L26" s="94"/>
      <c r="M26" s="94"/>
      <c r="N26" s="94"/>
      <c r="O26" s="95"/>
      <c r="P26" s="23"/>
      <c r="Q26" s="23"/>
      <c r="R26" s="23"/>
      <c r="S26" s="23"/>
    </row>
    <row r="27" spans="1:19" ht="18" customHeight="1" x14ac:dyDescent="0.15">
      <c r="B27" s="121"/>
      <c r="C27" s="94"/>
      <c r="D27" s="94"/>
      <c r="E27" s="95"/>
      <c r="F27" s="23"/>
      <c r="G27" s="23"/>
      <c r="H27" s="23"/>
      <c r="I27" s="23"/>
      <c r="J27" s="121"/>
      <c r="K27" s="94"/>
      <c r="L27" s="94"/>
      <c r="M27" s="94"/>
      <c r="N27" s="94"/>
      <c r="O27" s="95"/>
      <c r="P27" s="23"/>
      <c r="Q27" s="23"/>
      <c r="R27" s="23"/>
      <c r="S27" s="23"/>
    </row>
    <row r="28" spans="1:19" ht="18" customHeight="1" x14ac:dyDescent="0.15">
      <c r="B28" s="121"/>
      <c r="C28" s="94"/>
      <c r="D28" s="94"/>
      <c r="E28" s="95"/>
      <c r="F28" s="23"/>
      <c r="G28" s="23"/>
      <c r="H28" s="23"/>
      <c r="I28" s="23"/>
      <c r="J28" s="121"/>
      <c r="K28" s="94"/>
      <c r="L28" s="94"/>
      <c r="M28" s="94"/>
      <c r="N28" s="94"/>
      <c r="O28" s="95"/>
      <c r="P28" s="23"/>
      <c r="Q28" s="23"/>
      <c r="R28" s="23"/>
      <c r="S28" s="23"/>
    </row>
    <row r="29" spans="1:19" ht="18" customHeight="1" x14ac:dyDescent="0.15">
      <c r="B29" s="121"/>
      <c r="C29" s="94"/>
      <c r="D29" s="94"/>
      <c r="E29" s="95"/>
      <c r="F29" s="23"/>
      <c r="G29" s="23"/>
      <c r="H29" s="23"/>
      <c r="I29" s="23"/>
      <c r="J29" s="121"/>
      <c r="K29" s="94"/>
      <c r="L29" s="94"/>
      <c r="M29" s="94"/>
      <c r="N29" s="94"/>
      <c r="O29" s="95"/>
      <c r="P29" s="23"/>
      <c r="Q29" s="23"/>
      <c r="R29" s="23"/>
      <c r="S29" s="23"/>
    </row>
    <row r="30" spans="1:19" ht="18" customHeight="1" x14ac:dyDescent="0.15">
      <c r="A30" s="86"/>
      <c r="B30" s="121"/>
      <c r="C30" s="94"/>
      <c r="D30" s="94"/>
      <c r="E30" s="95"/>
      <c r="F30" s="23"/>
      <c r="G30" s="23"/>
      <c r="H30" s="23"/>
      <c r="I30" s="23"/>
      <c r="J30" s="121"/>
      <c r="K30" s="94"/>
      <c r="L30" s="94"/>
      <c r="M30" s="94"/>
      <c r="N30" s="94"/>
      <c r="O30" s="95"/>
      <c r="P30" s="23"/>
      <c r="Q30" s="23"/>
      <c r="R30" s="23"/>
      <c r="S30" s="23"/>
    </row>
    <row r="31" spans="1:19" ht="18" customHeight="1" x14ac:dyDescent="0.15">
      <c r="A31" s="86"/>
      <c r="B31" s="125"/>
      <c r="C31" s="126"/>
      <c r="D31" s="126"/>
      <c r="E31" s="127"/>
      <c r="F31" s="24"/>
      <c r="G31" s="24"/>
      <c r="H31" s="25"/>
      <c r="I31" s="25"/>
      <c r="J31" s="125"/>
      <c r="K31" s="126"/>
      <c r="L31" s="126"/>
      <c r="M31" s="126"/>
      <c r="N31" s="126"/>
      <c r="O31" s="127"/>
      <c r="P31" s="24"/>
      <c r="Q31" s="24"/>
      <c r="R31" s="25"/>
      <c r="S31" s="25"/>
    </row>
    <row r="32" spans="1:19" ht="7.5" customHeight="1" x14ac:dyDescent="0.15">
      <c r="A32" s="86"/>
      <c r="B32" s="6"/>
      <c r="C32" s="6"/>
      <c r="D32" s="86"/>
      <c r="E32" s="86"/>
      <c r="F32" s="86"/>
      <c r="G32" s="86"/>
      <c r="H32" s="6"/>
      <c r="I32" s="6"/>
      <c r="J32" s="6"/>
      <c r="K32" s="6"/>
      <c r="L32" s="6"/>
      <c r="M32" s="6"/>
      <c r="N32" s="6"/>
      <c r="O32" s="6"/>
      <c r="P32" s="6"/>
      <c r="Q32" s="6"/>
      <c r="R32" s="6"/>
      <c r="S32" s="86"/>
    </row>
    <row r="33" spans="1:19" ht="18" customHeight="1" x14ac:dyDescent="0.15">
      <c r="A33" s="139" t="s">
        <v>114</v>
      </c>
      <c r="B33" s="139"/>
      <c r="C33" s="139"/>
      <c r="D33" s="139"/>
      <c r="E33" s="139"/>
      <c r="F33" s="139"/>
      <c r="G33" s="139"/>
      <c r="H33" s="139"/>
      <c r="I33" s="139"/>
      <c r="J33" s="139"/>
      <c r="K33" s="139"/>
      <c r="L33" s="139"/>
      <c r="M33" s="139"/>
      <c r="N33" s="139"/>
      <c r="O33" s="139"/>
      <c r="P33" s="139"/>
      <c r="Q33" s="139"/>
      <c r="R33" s="139"/>
      <c r="S33" s="139"/>
    </row>
    <row r="34" spans="1:19" ht="18" customHeight="1" x14ac:dyDescent="0.15">
      <c r="A34" s="139"/>
      <c r="B34" s="139"/>
      <c r="C34" s="139"/>
      <c r="D34" s="139"/>
      <c r="E34" s="139"/>
      <c r="F34" s="139"/>
      <c r="G34" s="139"/>
      <c r="H34" s="139"/>
      <c r="I34" s="139"/>
      <c r="J34" s="139"/>
      <c r="K34" s="139"/>
      <c r="L34" s="139"/>
      <c r="M34" s="139"/>
      <c r="N34" s="139"/>
      <c r="O34" s="139"/>
      <c r="P34" s="139"/>
      <c r="Q34" s="139"/>
      <c r="R34" s="139"/>
      <c r="S34" s="139"/>
    </row>
    <row r="35" spans="1:19" ht="18" customHeight="1" x14ac:dyDescent="0.15">
      <c r="B35" s="131" t="s">
        <v>53</v>
      </c>
      <c r="C35" s="116"/>
      <c r="D35" s="116"/>
      <c r="E35" s="117"/>
      <c r="F35" s="60" t="s">
        <v>80</v>
      </c>
      <c r="G35" s="59" t="s">
        <v>84</v>
      </c>
      <c r="H35" s="21" t="s">
        <v>71</v>
      </c>
      <c r="I35" s="21" t="s">
        <v>72</v>
      </c>
      <c r="J35" s="131" t="s">
        <v>53</v>
      </c>
      <c r="K35" s="116"/>
      <c r="L35" s="116"/>
      <c r="M35" s="116"/>
      <c r="N35" s="116"/>
      <c r="O35" s="117"/>
      <c r="P35" s="60" t="s">
        <v>80</v>
      </c>
      <c r="Q35" s="59" t="s">
        <v>84</v>
      </c>
      <c r="R35" s="21" t="s">
        <v>71</v>
      </c>
      <c r="S35" s="21" t="s">
        <v>72</v>
      </c>
    </row>
    <row r="36" spans="1:19" ht="18" customHeight="1" x14ac:dyDescent="0.15">
      <c r="B36" s="135" t="s">
        <v>160</v>
      </c>
      <c r="C36" s="91"/>
      <c r="D36" s="91"/>
      <c r="E36" s="92"/>
      <c r="F36" s="22">
        <v>2</v>
      </c>
      <c r="G36" s="22" t="s">
        <v>127</v>
      </c>
      <c r="H36" s="22" t="s">
        <v>127</v>
      </c>
      <c r="I36" s="22" t="s">
        <v>127</v>
      </c>
      <c r="J36" s="135"/>
      <c r="K36" s="91"/>
      <c r="L36" s="91"/>
      <c r="M36" s="91"/>
      <c r="N36" s="91"/>
      <c r="O36" s="92"/>
      <c r="P36" s="22"/>
      <c r="Q36" s="22"/>
      <c r="R36" s="22"/>
      <c r="S36" s="22"/>
    </row>
    <row r="37" spans="1:19" ht="18" customHeight="1" x14ac:dyDescent="0.15">
      <c r="B37" s="121"/>
      <c r="C37" s="94"/>
      <c r="D37" s="94"/>
      <c r="E37" s="95"/>
      <c r="F37" s="23"/>
      <c r="G37" s="23"/>
      <c r="H37" s="23"/>
      <c r="I37" s="23"/>
      <c r="J37" s="121"/>
      <c r="K37" s="94"/>
      <c r="L37" s="94"/>
      <c r="M37" s="94"/>
      <c r="N37" s="94"/>
      <c r="O37" s="95"/>
      <c r="P37" s="23"/>
      <c r="Q37" s="23"/>
      <c r="R37" s="23"/>
      <c r="S37" s="23"/>
    </row>
    <row r="38" spans="1:19" ht="18" customHeight="1" x14ac:dyDescent="0.15">
      <c r="B38" s="121"/>
      <c r="C38" s="94"/>
      <c r="D38" s="94"/>
      <c r="E38" s="95"/>
      <c r="F38" s="23"/>
      <c r="G38" s="23"/>
      <c r="H38" s="23"/>
      <c r="I38" s="23"/>
      <c r="J38" s="121"/>
      <c r="K38" s="94"/>
      <c r="L38" s="94"/>
      <c r="M38" s="94"/>
      <c r="N38" s="94"/>
      <c r="O38" s="95"/>
      <c r="P38" s="23"/>
      <c r="Q38" s="23"/>
      <c r="R38" s="23"/>
      <c r="S38" s="23"/>
    </row>
    <row r="39" spans="1:19" ht="18" customHeight="1" x14ac:dyDescent="0.15">
      <c r="B39" s="121"/>
      <c r="C39" s="94"/>
      <c r="D39" s="94"/>
      <c r="E39" s="95"/>
      <c r="F39" s="23"/>
      <c r="G39" s="23"/>
      <c r="H39" s="23"/>
      <c r="I39" s="23"/>
      <c r="J39" s="121"/>
      <c r="K39" s="94"/>
      <c r="L39" s="94"/>
      <c r="M39" s="94"/>
      <c r="N39" s="94"/>
      <c r="O39" s="95"/>
      <c r="P39" s="23"/>
      <c r="Q39" s="23"/>
      <c r="R39" s="23"/>
      <c r="S39" s="23"/>
    </row>
    <row r="40" spans="1:19" ht="18" customHeight="1" x14ac:dyDescent="0.15">
      <c r="B40" s="121"/>
      <c r="C40" s="94"/>
      <c r="D40" s="94"/>
      <c r="E40" s="95"/>
      <c r="F40" s="23"/>
      <c r="G40" s="23"/>
      <c r="H40" s="23"/>
      <c r="I40" s="23"/>
      <c r="J40" s="121"/>
      <c r="K40" s="94"/>
      <c r="L40" s="94"/>
      <c r="M40" s="94"/>
      <c r="N40" s="94"/>
      <c r="O40" s="95"/>
      <c r="P40" s="23"/>
      <c r="Q40" s="23"/>
      <c r="R40" s="23"/>
      <c r="S40" s="23"/>
    </row>
    <row r="41" spans="1:19" ht="18" customHeight="1" x14ac:dyDescent="0.15">
      <c r="B41" s="121"/>
      <c r="C41" s="94"/>
      <c r="D41" s="94"/>
      <c r="E41" s="95"/>
      <c r="F41" s="23"/>
      <c r="G41" s="23"/>
      <c r="H41" s="23"/>
      <c r="I41" s="23"/>
      <c r="J41" s="121"/>
      <c r="K41" s="94"/>
      <c r="L41" s="94"/>
      <c r="M41" s="94"/>
      <c r="N41" s="94"/>
      <c r="O41" s="95"/>
      <c r="P41" s="23"/>
      <c r="Q41" s="23"/>
      <c r="R41" s="23"/>
      <c r="S41" s="23"/>
    </row>
    <row r="42" spans="1:19" ht="18" customHeight="1" x14ac:dyDescent="0.15">
      <c r="B42" s="125"/>
      <c r="C42" s="126"/>
      <c r="D42" s="126"/>
      <c r="E42" s="127"/>
      <c r="F42" s="24"/>
      <c r="G42" s="24"/>
      <c r="H42" s="25"/>
      <c r="I42" s="25"/>
      <c r="J42" s="125"/>
      <c r="K42" s="126"/>
      <c r="L42" s="126"/>
      <c r="M42" s="126"/>
      <c r="N42" s="126"/>
      <c r="O42" s="127"/>
      <c r="P42" s="24"/>
      <c r="Q42" s="24"/>
      <c r="R42" s="25"/>
      <c r="S42" s="25"/>
    </row>
    <row r="43" spans="1:19" ht="7.5" customHeight="1" x14ac:dyDescent="0.15">
      <c r="A43" s="86"/>
      <c r="B43" s="6"/>
      <c r="C43" s="6"/>
      <c r="D43" s="86"/>
      <c r="E43" s="86"/>
      <c r="F43" s="86"/>
      <c r="G43" s="86"/>
      <c r="H43" s="6"/>
      <c r="I43" s="6"/>
      <c r="J43" s="6"/>
      <c r="K43" s="6"/>
      <c r="L43" s="6"/>
      <c r="M43" s="6"/>
      <c r="N43" s="6"/>
      <c r="O43" s="6"/>
      <c r="P43" s="6"/>
      <c r="Q43" s="6"/>
      <c r="R43" s="6"/>
      <c r="S43" s="86"/>
    </row>
    <row r="44" spans="1:19" ht="18" customHeight="1" x14ac:dyDescent="0.15">
      <c r="A44" s="139" t="s">
        <v>115</v>
      </c>
      <c r="B44" s="139"/>
      <c r="C44" s="139"/>
      <c r="D44" s="139"/>
      <c r="E44" s="139"/>
      <c r="F44" s="139"/>
      <c r="G44" s="139"/>
      <c r="H44" s="139"/>
      <c r="I44" s="139"/>
      <c r="J44" s="139"/>
      <c r="K44" s="139"/>
      <c r="L44" s="139"/>
      <c r="M44" s="139"/>
      <c r="N44" s="139"/>
      <c r="O44" s="139"/>
      <c r="P44" s="139"/>
      <c r="Q44" s="139"/>
      <c r="R44" s="139"/>
      <c r="S44" s="139"/>
    </row>
    <row r="45" spans="1:19" ht="18" customHeight="1" x14ac:dyDescent="0.15">
      <c r="A45" s="139"/>
      <c r="B45" s="139"/>
      <c r="C45" s="139"/>
      <c r="D45" s="139"/>
      <c r="E45" s="139"/>
      <c r="F45" s="139"/>
      <c r="G45" s="139"/>
      <c r="H45" s="139"/>
      <c r="I45" s="139"/>
      <c r="J45" s="139"/>
      <c r="K45" s="139"/>
      <c r="L45" s="139"/>
      <c r="M45" s="139"/>
      <c r="N45" s="139"/>
      <c r="O45" s="139"/>
      <c r="P45" s="139"/>
      <c r="Q45" s="139"/>
      <c r="R45" s="139"/>
      <c r="S45" s="139"/>
    </row>
    <row r="46" spans="1:19" ht="18" customHeight="1" x14ac:dyDescent="0.15">
      <c r="B46" s="131" t="s">
        <v>53</v>
      </c>
      <c r="C46" s="116"/>
      <c r="D46" s="116"/>
      <c r="E46" s="117"/>
      <c r="F46" s="60" t="s">
        <v>80</v>
      </c>
      <c r="G46" s="59" t="s">
        <v>84</v>
      </c>
      <c r="H46" s="21" t="s">
        <v>73</v>
      </c>
      <c r="I46" s="21" t="s">
        <v>74</v>
      </c>
      <c r="J46" s="131" t="s">
        <v>53</v>
      </c>
      <c r="K46" s="116"/>
      <c r="L46" s="116"/>
      <c r="M46" s="116"/>
      <c r="N46" s="116"/>
      <c r="O46" s="117"/>
      <c r="P46" s="60" t="s">
        <v>80</v>
      </c>
      <c r="Q46" s="59" t="s">
        <v>84</v>
      </c>
      <c r="R46" s="21" t="s">
        <v>73</v>
      </c>
      <c r="S46" s="21" t="s">
        <v>74</v>
      </c>
    </row>
    <row r="47" spans="1:19" ht="18" customHeight="1" x14ac:dyDescent="0.15">
      <c r="A47" s="86"/>
      <c r="B47" s="135" t="s">
        <v>159</v>
      </c>
      <c r="C47" s="91"/>
      <c r="D47" s="91"/>
      <c r="E47" s="92"/>
      <c r="F47" s="22">
        <v>1</v>
      </c>
      <c r="G47" s="22" t="s">
        <v>127</v>
      </c>
      <c r="H47" s="22" t="s">
        <v>127</v>
      </c>
      <c r="I47" s="22" t="s">
        <v>127</v>
      </c>
      <c r="J47" s="135"/>
      <c r="K47" s="91"/>
      <c r="L47" s="91"/>
      <c r="M47" s="91"/>
      <c r="N47" s="91"/>
      <c r="O47" s="92"/>
      <c r="P47" s="22"/>
      <c r="Q47" s="22"/>
      <c r="R47" s="22"/>
      <c r="S47" s="22"/>
    </row>
    <row r="48" spans="1:19" ht="18" customHeight="1" x14ac:dyDescent="0.15">
      <c r="A48" s="86"/>
      <c r="B48" s="121"/>
      <c r="C48" s="94"/>
      <c r="D48" s="94"/>
      <c r="E48" s="95"/>
      <c r="F48" s="23"/>
      <c r="G48" s="23"/>
      <c r="H48" s="23"/>
      <c r="I48" s="23"/>
      <c r="J48" s="121"/>
      <c r="K48" s="94"/>
      <c r="L48" s="94"/>
      <c r="M48" s="94"/>
      <c r="N48" s="94"/>
      <c r="O48" s="95"/>
      <c r="P48" s="23"/>
      <c r="Q48" s="23"/>
      <c r="R48" s="23"/>
      <c r="S48" s="23"/>
    </row>
    <row r="49" spans="1:19" ht="18" customHeight="1" x14ac:dyDescent="0.15">
      <c r="A49" s="86"/>
      <c r="B49" s="121"/>
      <c r="C49" s="94"/>
      <c r="D49" s="94"/>
      <c r="E49" s="95"/>
      <c r="F49" s="23"/>
      <c r="G49" s="23"/>
      <c r="H49" s="23"/>
      <c r="I49" s="23"/>
      <c r="J49" s="121"/>
      <c r="K49" s="94"/>
      <c r="L49" s="94"/>
      <c r="M49" s="94"/>
      <c r="N49" s="94"/>
      <c r="O49" s="95"/>
      <c r="P49" s="23"/>
      <c r="Q49" s="23"/>
      <c r="R49" s="23"/>
      <c r="S49" s="23"/>
    </row>
    <row r="50" spans="1:19" ht="18" customHeight="1" x14ac:dyDescent="0.15">
      <c r="A50" s="86"/>
      <c r="B50" s="121"/>
      <c r="C50" s="94"/>
      <c r="D50" s="94"/>
      <c r="E50" s="95"/>
      <c r="F50" s="23"/>
      <c r="G50" s="23"/>
      <c r="H50" s="23"/>
      <c r="I50" s="23"/>
      <c r="J50" s="121"/>
      <c r="K50" s="94"/>
      <c r="L50" s="94"/>
      <c r="M50" s="94"/>
      <c r="N50" s="94"/>
      <c r="O50" s="95"/>
      <c r="P50" s="23"/>
      <c r="Q50" s="23"/>
      <c r="R50" s="23"/>
      <c r="S50" s="23"/>
    </row>
    <row r="51" spans="1:19" ht="18" customHeight="1" x14ac:dyDescent="0.15">
      <c r="A51" s="86"/>
      <c r="B51" s="121"/>
      <c r="C51" s="94"/>
      <c r="D51" s="94"/>
      <c r="E51" s="95"/>
      <c r="F51" s="23"/>
      <c r="G51" s="23"/>
      <c r="H51" s="23"/>
      <c r="I51" s="23"/>
      <c r="J51" s="121"/>
      <c r="K51" s="94"/>
      <c r="L51" s="94"/>
      <c r="M51" s="94"/>
      <c r="N51" s="94"/>
      <c r="O51" s="95"/>
      <c r="P51" s="23"/>
      <c r="Q51" s="23"/>
      <c r="R51" s="23"/>
      <c r="S51" s="23"/>
    </row>
    <row r="52" spans="1:19" ht="18" customHeight="1" x14ac:dyDescent="0.15">
      <c r="A52" s="86"/>
      <c r="B52" s="121"/>
      <c r="C52" s="94"/>
      <c r="D52" s="94"/>
      <c r="E52" s="95"/>
      <c r="F52" s="23"/>
      <c r="G52" s="23"/>
      <c r="H52" s="23"/>
      <c r="I52" s="23"/>
      <c r="J52" s="121"/>
      <c r="K52" s="94"/>
      <c r="L52" s="94"/>
      <c r="M52" s="94"/>
      <c r="N52" s="94"/>
      <c r="O52" s="95"/>
      <c r="P52" s="23"/>
      <c r="Q52" s="23"/>
      <c r="R52" s="23"/>
      <c r="S52" s="23"/>
    </row>
    <row r="53" spans="1:19" ht="18" customHeight="1" x14ac:dyDescent="0.15">
      <c r="A53" s="86"/>
      <c r="B53" s="125"/>
      <c r="C53" s="126"/>
      <c r="D53" s="126"/>
      <c r="E53" s="127"/>
      <c r="F53" s="24"/>
      <c r="G53" s="24"/>
      <c r="H53" s="25"/>
      <c r="I53" s="25"/>
      <c r="J53" s="125"/>
      <c r="K53" s="126"/>
      <c r="L53" s="126"/>
      <c r="M53" s="126"/>
      <c r="N53" s="126"/>
      <c r="O53" s="127"/>
      <c r="P53" s="24"/>
      <c r="Q53" s="24"/>
      <c r="R53" s="25"/>
      <c r="S53" s="25"/>
    </row>
    <row r="54" spans="1:19" ht="7.5" customHeight="1" x14ac:dyDescent="0.15">
      <c r="B54" s="82"/>
      <c r="C54" s="82"/>
      <c r="D54" s="82"/>
      <c r="E54" s="82"/>
      <c r="F54" s="82"/>
      <c r="G54" s="82"/>
      <c r="H54" s="82"/>
      <c r="I54" s="82"/>
      <c r="J54" s="82"/>
      <c r="K54" s="82"/>
      <c r="L54" s="82"/>
      <c r="M54" s="82"/>
      <c r="N54" s="82"/>
      <c r="O54" s="82"/>
      <c r="P54" s="82"/>
      <c r="Q54" s="82"/>
      <c r="R54" s="82"/>
    </row>
    <row r="55" spans="1:19" ht="18" customHeight="1" x14ac:dyDescent="0.15">
      <c r="A55" s="139" t="s">
        <v>116</v>
      </c>
      <c r="B55" s="139"/>
      <c r="C55" s="139"/>
      <c r="D55" s="139"/>
      <c r="E55" s="139"/>
      <c r="F55" s="139"/>
      <c r="G55" s="139"/>
      <c r="H55" s="139"/>
      <c r="I55" s="139"/>
      <c r="J55" s="139"/>
      <c r="K55" s="139"/>
      <c r="L55" s="139"/>
      <c r="M55" s="139"/>
      <c r="N55" s="139"/>
      <c r="O55" s="139"/>
      <c r="P55" s="139"/>
      <c r="Q55" s="139"/>
      <c r="R55" s="139"/>
      <c r="S55" s="139"/>
    </row>
    <row r="56" spans="1:19" ht="18" customHeight="1" x14ac:dyDescent="0.15">
      <c r="A56" s="139"/>
      <c r="B56" s="139"/>
      <c r="C56" s="139"/>
      <c r="D56" s="139"/>
      <c r="E56" s="139"/>
      <c r="F56" s="139"/>
      <c r="G56" s="139"/>
      <c r="H56" s="139"/>
      <c r="I56" s="139"/>
      <c r="J56" s="139"/>
      <c r="K56" s="139"/>
      <c r="L56" s="139"/>
      <c r="M56" s="139"/>
      <c r="N56" s="139"/>
      <c r="O56" s="139"/>
      <c r="P56" s="139"/>
      <c r="Q56" s="139"/>
      <c r="R56" s="139"/>
      <c r="S56" s="139"/>
    </row>
    <row r="57" spans="1:19" ht="18" customHeight="1" x14ac:dyDescent="0.15">
      <c r="B57" s="131" t="s">
        <v>53</v>
      </c>
      <c r="C57" s="116"/>
      <c r="D57" s="116"/>
      <c r="E57" s="117"/>
      <c r="F57" s="60" t="s">
        <v>80</v>
      </c>
      <c r="G57" s="59" t="s">
        <v>84</v>
      </c>
      <c r="H57" s="21" t="s">
        <v>58</v>
      </c>
      <c r="I57" s="21" t="s">
        <v>60</v>
      </c>
      <c r="J57" s="131" t="s">
        <v>53</v>
      </c>
      <c r="K57" s="116"/>
      <c r="L57" s="116"/>
      <c r="M57" s="116"/>
      <c r="N57" s="116"/>
      <c r="O57" s="117"/>
      <c r="P57" s="60" t="s">
        <v>80</v>
      </c>
      <c r="Q57" s="59" t="s">
        <v>84</v>
      </c>
      <c r="R57" s="21" t="s">
        <v>58</v>
      </c>
      <c r="S57" s="21" t="s">
        <v>60</v>
      </c>
    </row>
    <row r="58" spans="1:19" ht="18" customHeight="1" x14ac:dyDescent="0.15">
      <c r="A58" s="86"/>
      <c r="B58" s="135" t="s">
        <v>160</v>
      </c>
      <c r="C58" s="91"/>
      <c r="D58" s="91"/>
      <c r="E58" s="92"/>
      <c r="F58" s="22">
        <v>2</v>
      </c>
      <c r="G58" s="22" t="s">
        <v>127</v>
      </c>
      <c r="H58" s="22" t="s">
        <v>127</v>
      </c>
      <c r="I58" s="22" t="s">
        <v>127</v>
      </c>
      <c r="J58" s="135"/>
      <c r="K58" s="91"/>
      <c r="L58" s="91"/>
      <c r="M58" s="91"/>
      <c r="N58" s="91"/>
      <c r="O58" s="92"/>
      <c r="P58" s="22"/>
      <c r="Q58" s="22"/>
      <c r="R58" s="22"/>
      <c r="S58" s="22"/>
    </row>
    <row r="59" spans="1:19" ht="18" customHeight="1" x14ac:dyDescent="0.15">
      <c r="A59" s="86"/>
      <c r="B59" s="121"/>
      <c r="C59" s="94"/>
      <c r="D59" s="94"/>
      <c r="E59" s="95"/>
      <c r="F59" s="23"/>
      <c r="G59" s="23"/>
      <c r="H59" s="23"/>
      <c r="I59" s="23"/>
      <c r="J59" s="121"/>
      <c r="K59" s="94"/>
      <c r="L59" s="94"/>
      <c r="M59" s="94"/>
      <c r="N59" s="94"/>
      <c r="O59" s="95"/>
      <c r="P59" s="23"/>
      <c r="Q59" s="23"/>
      <c r="R59" s="23"/>
      <c r="S59" s="23"/>
    </row>
    <row r="60" spans="1:19" ht="18" customHeight="1" x14ac:dyDescent="0.15">
      <c r="A60" s="86"/>
      <c r="B60" s="121"/>
      <c r="C60" s="94"/>
      <c r="D60" s="94"/>
      <c r="E60" s="95"/>
      <c r="F60" s="23"/>
      <c r="G60" s="23"/>
      <c r="H60" s="23"/>
      <c r="I60" s="23"/>
      <c r="J60" s="121"/>
      <c r="K60" s="94"/>
      <c r="L60" s="94"/>
      <c r="M60" s="94"/>
      <c r="N60" s="94"/>
      <c r="O60" s="95"/>
      <c r="P60" s="23"/>
      <c r="Q60" s="23"/>
      <c r="R60" s="23"/>
      <c r="S60" s="23"/>
    </row>
    <row r="61" spans="1:19" ht="18" customHeight="1" x14ac:dyDescent="0.15">
      <c r="A61" s="86"/>
      <c r="B61" s="121"/>
      <c r="C61" s="94"/>
      <c r="D61" s="94"/>
      <c r="E61" s="95"/>
      <c r="F61" s="23"/>
      <c r="G61" s="23"/>
      <c r="H61" s="23"/>
      <c r="I61" s="23"/>
      <c r="J61" s="121"/>
      <c r="K61" s="94"/>
      <c r="L61" s="94"/>
      <c r="M61" s="94"/>
      <c r="N61" s="94"/>
      <c r="O61" s="95"/>
      <c r="P61" s="23"/>
      <c r="Q61" s="23"/>
      <c r="R61" s="23"/>
      <c r="S61" s="23"/>
    </row>
    <row r="62" spans="1:19" ht="18" customHeight="1" x14ac:dyDescent="0.15">
      <c r="A62" s="86"/>
      <c r="B62" s="121"/>
      <c r="C62" s="94"/>
      <c r="D62" s="94"/>
      <c r="E62" s="95"/>
      <c r="F62" s="23"/>
      <c r="G62" s="23"/>
      <c r="H62" s="23"/>
      <c r="I62" s="23"/>
      <c r="J62" s="121"/>
      <c r="K62" s="94"/>
      <c r="L62" s="94"/>
      <c r="M62" s="94"/>
      <c r="N62" s="94"/>
      <c r="O62" s="95"/>
      <c r="P62" s="23"/>
      <c r="Q62" s="23"/>
      <c r="R62" s="23"/>
      <c r="S62" s="23"/>
    </row>
    <row r="63" spans="1:19" ht="18" customHeight="1" x14ac:dyDescent="0.15">
      <c r="A63" s="86"/>
      <c r="B63" s="121"/>
      <c r="C63" s="94"/>
      <c r="D63" s="94"/>
      <c r="E63" s="95"/>
      <c r="F63" s="23"/>
      <c r="G63" s="23"/>
      <c r="H63" s="23"/>
      <c r="I63" s="23"/>
      <c r="J63" s="121"/>
      <c r="K63" s="94"/>
      <c r="L63" s="94"/>
      <c r="M63" s="94"/>
      <c r="N63" s="94"/>
      <c r="O63" s="95"/>
      <c r="P63" s="23"/>
      <c r="Q63" s="23"/>
      <c r="R63" s="23"/>
      <c r="S63" s="23"/>
    </row>
    <row r="64" spans="1:19" ht="18" customHeight="1" x14ac:dyDescent="0.15">
      <c r="A64" s="86"/>
      <c r="B64" s="125"/>
      <c r="C64" s="126"/>
      <c r="D64" s="126"/>
      <c r="E64" s="127"/>
      <c r="F64" s="24"/>
      <c r="G64" s="24"/>
      <c r="H64" s="25"/>
      <c r="I64" s="25"/>
      <c r="J64" s="125"/>
      <c r="K64" s="126"/>
      <c r="L64" s="126"/>
      <c r="M64" s="126"/>
      <c r="N64" s="126"/>
      <c r="O64" s="127"/>
      <c r="P64" s="24"/>
      <c r="Q64" s="24"/>
      <c r="R64" s="25"/>
      <c r="S64" s="25"/>
    </row>
    <row r="65" spans="1:19" ht="7.5" customHeight="1" x14ac:dyDescent="0.15">
      <c r="B65" s="82"/>
      <c r="C65" s="82"/>
      <c r="D65" s="82"/>
      <c r="E65" s="82"/>
      <c r="F65" s="82"/>
      <c r="G65" s="82"/>
      <c r="H65" s="82"/>
      <c r="I65" s="82"/>
      <c r="J65" s="82"/>
      <c r="K65" s="82"/>
      <c r="L65" s="82"/>
      <c r="M65" s="82"/>
      <c r="N65" s="82"/>
      <c r="O65" s="82"/>
      <c r="P65" s="82"/>
      <c r="Q65" s="82"/>
      <c r="R65" s="82"/>
    </row>
    <row r="66" spans="1:19" ht="18" customHeight="1" x14ac:dyDescent="0.15">
      <c r="A66" s="139" t="s">
        <v>117</v>
      </c>
      <c r="B66" s="139"/>
      <c r="C66" s="139"/>
      <c r="D66" s="139"/>
      <c r="E66" s="139"/>
      <c r="F66" s="139"/>
      <c r="G66" s="139"/>
      <c r="H66" s="139"/>
      <c r="I66" s="139"/>
      <c r="J66" s="139"/>
      <c r="K66" s="139"/>
      <c r="L66" s="139"/>
      <c r="M66" s="139"/>
      <c r="N66" s="139"/>
      <c r="O66" s="139"/>
      <c r="P66" s="139"/>
      <c r="Q66" s="139"/>
      <c r="R66" s="139"/>
      <c r="S66" s="139"/>
    </row>
    <row r="67" spans="1:19" ht="18" customHeight="1" x14ac:dyDescent="0.15">
      <c r="A67" s="139"/>
      <c r="B67" s="139"/>
      <c r="C67" s="139"/>
      <c r="D67" s="139"/>
      <c r="E67" s="139"/>
      <c r="F67" s="139"/>
      <c r="G67" s="139"/>
      <c r="H67" s="139"/>
      <c r="I67" s="139"/>
      <c r="J67" s="139"/>
      <c r="K67" s="139"/>
      <c r="L67" s="139"/>
      <c r="M67" s="139"/>
      <c r="N67" s="139"/>
      <c r="O67" s="139"/>
      <c r="P67" s="139"/>
      <c r="Q67" s="139"/>
      <c r="R67" s="139"/>
      <c r="S67" s="139"/>
    </row>
    <row r="68" spans="1:19" ht="18" customHeight="1" x14ac:dyDescent="0.15">
      <c r="B68" s="131" t="s">
        <v>53</v>
      </c>
      <c r="C68" s="116"/>
      <c r="D68" s="116"/>
      <c r="E68" s="60" t="s">
        <v>80</v>
      </c>
      <c r="F68" s="59" t="s">
        <v>84</v>
      </c>
      <c r="G68" s="21" t="s">
        <v>101</v>
      </c>
      <c r="H68" s="21" t="s">
        <v>75</v>
      </c>
      <c r="I68" s="21" t="s">
        <v>76</v>
      </c>
      <c r="J68" s="131" t="s">
        <v>53</v>
      </c>
      <c r="K68" s="116"/>
      <c r="L68" s="116"/>
      <c r="M68" s="116"/>
      <c r="N68" s="117"/>
      <c r="O68" s="60" t="s">
        <v>80</v>
      </c>
      <c r="P68" s="59" t="s">
        <v>84</v>
      </c>
      <c r="Q68" s="21" t="s">
        <v>101</v>
      </c>
      <c r="R68" s="21" t="s">
        <v>75</v>
      </c>
      <c r="S68" s="21" t="s">
        <v>76</v>
      </c>
    </row>
    <row r="69" spans="1:19" ht="18" customHeight="1" x14ac:dyDescent="0.15">
      <c r="A69" s="86"/>
      <c r="B69" s="135" t="s">
        <v>159</v>
      </c>
      <c r="C69" s="91"/>
      <c r="D69" s="91"/>
      <c r="E69" s="22">
        <v>1</v>
      </c>
      <c r="F69" s="22" t="s">
        <v>127</v>
      </c>
      <c r="G69" s="22" t="s">
        <v>127</v>
      </c>
      <c r="H69" s="22" t="s">
        <v>127</v>
      </c>
      <c r="I69" s="22" t="s">
        <v>127</v>
      </c>
      <c r="J69" s="135"/>
      <c r="K69" s="91"/>
      <c r="L69" s="91"/>
      <c r="M69" s="91"/>
      <c r="N69" s="92"/>
      <c r="O69" s="22"/>
      <c r="P69" s="22"/>
      <c r="Q69" s="22"/>
      <c r="R69" s="22"/>
      <c r="S69" s="22"/>
    </row>
    <row r="70" spans="1:19" ht="18" customHeight="1" x14ac:dyDescent="0.15">
      <c r="A70" s="86"/>
      <c r="B70" s="121"/>
      <c r="C70" s="94"/>
      <c r="D70" s="94"/>
      <c r="E70" s="23"/>
      <c r="F70" s="23"/>
      <c r="G70" s="23"/>
      <c r="H70" s="23"/>
      <c r="I70" s="23"/>
      <c r="J70" s="121"/>
      <c r="K70" s="94"/>
      <c r="L70" s="94"/>
      <c r="M70" s="94"/>
      <c r="N70" s="95"/>
      <c r="O70" s="23"/>
      <c r="P70" s="23"/>
      <c r="Q70" s="23"/>
      <c r="R70" s="23"/>
      <c r="S70" s="23"/>
    </row>
    <row r="71" spans="1:19" ht="18" customHeight="1" x14ac:dyDescent="0.15">
      <c r="A71" s="86"/>
      <c r="B71" s="121"/>
      <c r="C71" s="94"/>
      <c r="D71" s="94"/>
      <c r="E71" s="23"/>
      <c r="F71" s="23"/>
      <c r="G71" s="23"/>
      <c r="H71" s="23"/>
      <c r="I71" s="23"/>
      <c r="J71" s="121"/>
      <c r="K71" s="94"/>
      <c r="L71" s="94"/>
      <c r="M71" s="94"/>
      <c r="N71" s="95"/>
      <c r="O71" s="23"/>
      <c r="P71" s="23"/>
      <c r="Q71" s="23"/>
      <c r="R71" s="23"/>
      <c r="S71" s="23"/>
    </row>
    <row r="72" spans="1:19" ht="18" customHeight="1" x14ac:dyDescent="0.15">
      <c r="A72" s="86"/>
      <c r="B72" s="121"/>
      <c r="C72" s="94"/>
      <c r="D72" s="94"/>
      <c r="E72" s="23"/>
      <c r="F72" s="23"/>
      <c r="G72" s="23"/>
      <c r="H72" s="23"/>
      <c r="I72" s="23"/>
      <c r="J72" s="121"/>
      <c r="K72" s="94"/>
      <c r="L72" s="94"/>
      <c r="M72" s="94"/>
      <c r="N72" s="95"/>
      <c r="O72" s="23"/>
      <c r="P72" s="23"/>
      <c r="Q72" s="23"/>
      <c r="R72" s="23"/>
      <c r="S72" s="23"/>
    </row>
    <row r="73" spans="1:19" ht="18" customHeight="1" x14ac:dyDescent="0.15">
      <c r="A73" s="86"/>
      <c r="B73" s="121"/>
      <c r="C73" s="94"/>
      <c r="D73" s="94"/>
      <c r="E73" s="23"/>
      <c r="F73" s="23"/>
      <c r="G73" s="23"/>
      <c r="H73" s="23"/>
      <c r="I73" s="23"/>
      <c r="J73" s="121"/>
      <c r="K73" s="94"/>
      <c r="L73" s="94"/>
      <c r="M73" s="94"/>
      <c r="N73" s="95"/>
      <c r="O73" s="23"/>
      <c r="P73" s="23"/>
      <c r="Q73" s="23"/>
      <c r="R73" s="23"/>
      <c r="S73" s="23"/>
    </row>
    <row r="74" spans="1:19" ht="18" customHeight="1" x14ac:dyDescent="0.15">
      <c r="A74" s="86"/>
      <c r="B74" s="121"/>
      <c r="C74" s="94"/>
      <c r="D74" s="94"/>
      <c r="E74" s="23"/>
      <c r="F74" s="23"/>
      <c r="G74" s="23"/>
      <c r="H74" s="23"/>
      <c r="I74" s="23"/>
      <c r="J74" s="121"/>
      <c r="K74" s="94"/>
      <c r="L74" s="94"/>
      <c r="M74" s="94"/>
      <c r="N74" s="95"/>
      <c r="O74" s="23"/>
      <c r="P74" s="23"/>
      <c r="Q74" s="23"/>
      <c r="R74" s="23"/>
      <c r="S74" s="23"/>
    </row>
    <row r="75" spans="1:19" ht="18" customHeight="1" x14ac:dyDescent="0.15">
      <c r="A75" s="86"/>
      <c r="B75" s="125"/>
      <c r="C75" s="126"/>
      <c r="D75" s="126"/>
      <c r="E75" s="24"/>
      <c r="F75" s="24"/>
      <c r="G75" s="25"/>
      <c r="H75" s="25"/>
      <c r="I75" s="25"/>
      <c r="J75" s="125"/>
      <c r="K75" s="126"/>
      <c r="L75" s="126"/>
      <c r="M75" s="126"/>
      <c r="N75" s="127"/>
      <c r="O75" s="24"/>
      <c r="P75" s="24"/>
      <c r="Q75" s="25"/>
      <c r="R75" s="25"/>
      <c r="S75" s="25"/>
    </row>
    <row r="76" spans="1:19" ht="7.5" customHeight="1" x14ac:dyDescent="0.15">
      <c r="B76" s="82"/>
      <c r="C76" s="82"/>
      <c r="D76" s="82"/>
      <c r="E76" s="82"/>
      <c r="F76" s="82"/>
      <c r="G76" s="82"/>
      <c r="H76" s="82"/>
      <c r="I76" s="82"/>
      <c r="J76" s="82"/>
      <c r="K76" s="82"/>
      <c r="L76" s="82"/>
      <c r="M76" s="82"/>
      <c r="N76" s="82"/>
      <c r="O76" s="82"/>
      <c r="P76" s="82"/>
      <c r="Q76" s="82"/>
      <c r="R76" s="82"/>
    </row>
    <row r="77" spans="1:19" ht="18" customHeight="1" x14ac:dyDescent="0.15">
      <c r="A77" s="85" t="s">
        <v>118</v>
      </c>
      <c r="H77" s="86"/>
      <c r="I77" s="86"/>
      <c r="J77" s="86"/>
      <c r="K77" s="86"/>
      <c r="L77" s="86"/>
      <c r="M77" s="86"/>
      <c r="N77" s="86"/>
      <c r="O77" s="86"/>
      <c r="P77" s="86"/>
      <c r="Q77" s="86"/>
      <c r="R77" s="86"/>
      <c r="S77" s="86"/>
    </row>
    <row r="78" spans="1:19" ht="18" customHeight="1" x14ac:dyDescent="0.15">
      <c r="B78" s="131" t="s">
        <v>53</v>
      </c>
      <c r="C78" s="116"/>
      <c r="D78" s="116"/>
      <c r="E78" s="117"/>
      <c r="F78" s="131" t="s">
        <v>82</v>
      </c>
      <c r="G78" s="116"/>
      <c r="H78" s="116"/>
      <c r="I78" s="117"/>
      <c r="J78" s="132" t="s">
        <v>53</v>
      </c>
      <c r="K78" s="133"/>
      <c r="L78" s="133"/>
      <c r="M78" s="133"/>
      <c r="N78" s="133"/>
      <c r="O78" s="134"/>
      <c r="P78" s="131" t="s">
        <v>82</v>
      </c>
      <c r="Q78" s="116"/>
      <c r="R78" s="116"/>
      <c r="S78" s="117"/>
    </row>
    <row r="79" spans="1:19" ht="18" customHeight="1" x14ac:dyDescent="0.15">
      <c r="A79" s="86"/>
      <c r="B79" s="135"/>
      <c r="C79" s="91"/>
      <c r="D79" s="91"/>
      <c r="E79" s="92"/>
      <c r="F79" s="136"/>
      <c r="G79" s="137"/>
      <c r="H79" s="137"/>
      <c r="I79" s="138"/>
      <c r="J79" s="135"/>
      <c r="K79" s="91"/>
      <c r="L79" s="91"/>
      <c r="M79" s="91"/>
      <c r="N79" s="91"/>
      <c r="O79" s="92"/>
      <c r="P79" s="136"/>
      <c r="Q79" s="137"/>
      <c r="R79" s="137"/>
      <c r="S79" s="138"/>
    </row>
    <row r="80" spans="1:19" ht="18" customHeight="1" x14ac:dyDescent="0.15">
      <c r="A80" s="86"/>
      <c r="B80" s="121"/>
      <c r="C80" s="94"/>
      <c r="D80" s="94"/>
      <c r="E80" s="95"/>
      <c r="F80" s="122"/>
      <c r="G80" s="123"/>
      <c r="H80" s="123"/>
      <c r="I80" s="124"/>
      <c r="J80" s="121"/>
      <c r="K80" s="94"/>
      <c r="L80" s="94"/>
      <c r="M80" s="94"/>
      <c r="N80" s="94"/>
      <c r="O80" s="95"/>
      <c r="P80" s="122"/>
      <c r="Q80" s="123"/>
      <c r="R80" s="123"/>
      <c r="S80" s="124"/>
    </row>
    <row r="81" spans="1:19" ht="18" customHeight="1" x14ac:dyDescent="0.15">
      <c r="A81" s="86"/>
      <c r="B81" s="121"/>
      <c r="C81" s="94"/>
      <c r="D81" s="94"/>
      <c r="E81" s="95"/>
      <c r="F81" s="122"/>
      <c r="G81" s="123"/>
      <c r="H81" s="123"/>
      <c r="I81" s="124"/>
      <c r="J81" s="121"/>
      <c r="K81" s="94"/>
      <c r="L81" s="94"/>
      <c r="M81" s="94"/>
      <c r="N81" s="94"/>
      <c r="O81" s="95"/>
      <c r="P81" s="122"/>
      <c r="Q81" s="123"/>
      <c r="R81" s="123"/>
      <c r="S81" s="124"/>
    </row>
    <row r="82" spans="1:19" ht="18" customHeight="1" x14ac:dyDescent="0.15">
      <c r="A82" s="86"/>
      <c r="B82" s="121"/>
      <c r="C82" s="94"/>
      <c r="D82" s="94"/>
      <c r="E82" s="95"/>
      <c r="F82" s="122"/>
      <c r="G82" s="123"/>
      <c r="H82" s="123"/>
      <c r="I82" s="124"/>
      <c r="J82" s="121"/>
      <c r="K82" s="94"/>
      <c r="L82" s="94"/>
      <c r="M82" s="94"/>
      <c r="N82" s="94"/>
      <c r="O82" s="95"/>
      <c r="P82" s="122"/>
      <c r="Q82" s="123"/>
      <c r="R82" s="123"/>
      <c r="S82" s="124"/>
    </row>
    <row r="83" spans="1:19" ht="18" customHeight="1" x14ac:dyDescent="0.15">
      <c r="A83" s="86"/>
      <c r="B83" s="121"/>
      <c r="C83" s="94"/>
      <c r="D83" s="94"/>
      <c r="E83" s="95"/>
      <c r="F83" s="122"/>
      <c r="G83" s="123"/>
      <c r="H83" s="123"/>
      <c r="I83" s="124"/>
      <c r="J83" s="121"/>
      <c r="K83" s="94"/>
      <c r="L83" s="94"/>
      <c r="M83" s="94"/>
      <c r="N83" s="94"/>
      <c r="O83" s="95"/>
      <c r="P83" s="122"/>
      <c r="Q83" s="123"/>
      <c r="R83" s="123"/>
      <c r="S83" s="124"/>
    </row>
    <row r="84" spans="1:19" ht="18" customHeight="1" x14ac:dyDescent="0.15">
      <c r="A84" s="86"/>
      <c r="B84" s="121"/>
      <c r="C84" s="94"/>
      <c r="D84" s="94"/>
      <c r="E84" s="95"/>
      <c r="F84" s="122"/>
      <c r="G84" s="123"/>
      <c r="H84" s="123"/>
      <c r="I84" s="124"/>
      <c r="J84" s="121"/>
      <c r="K84" s="94"/>
      <c r="L84" s="94"/>
      <c r="M84" s="94"/>
      <c r="N84" s="94"/>
      <c r="O84" s="95"/>
      <c r="P84" s="122"/>
      <c r="Q84" s="123"/>
      <c r="R84" s="123"/>
      <c r="S84" s="124"/>
    </row>
    <row r="85" spans="1:19" ht="18" customHeight="1" x14ac:dyDescent="0.15">
      <c r="A85" s="86"/>
      <c r="B85" s="125"/>
      <c r="C85" s="126"/>
      <c r="D85" s="126"/>
      <c r="E85" s="127"/>
      <c r="F85" s="128"/>
      <c r="G85" s="129"/>
      <c r="H85" s="129"/>
      <c r="I85" s="130"/>
      <c r="J85" s="125"/>
      <c r="K85" s="126"/>
      <c r="L85" s="126"/>
      <c r="M85" s="126"/>
      <c r="N85" s="126"/>
      <c r="O85" s="127"/>
      <c r="P85" s="128"/>
      <c r="Q85" s="129"/>
      <c r="R85" s="129"/>
      <c r="S85" s="130"/>
    </row>
    <row r="86" spans="1:19" ht="18" customHeight="1" x14ac:dyDescent="0.15">
      <c r="A86" s="86"/>
      <c r="B86" s="6"/>
      <c r="C86" s="6"/>
      <c r="D86" s="6"/>
      <c r="E86" s="6"/>
      <c r="F86" s="26"/>
      <c r="G86" s="26"/>
      <c r="H86" s="26"/>
      <c r="I86" s="26"/>
      <c r="J86" s="6"/>
      <c r="K86" s="6"/>
      <c r="L86" s="6"/>
      <c r="M86" s="6"/>
      <c r="N86" s="6"/>
      <c r="O86" s="6"/>
      <c r="P86" s="26"/>
      <c r="Q86" s="26"/>
      <c r="R86" s="26"/>
      <c r="S86" s="26"/>
    </row>
    <row r="87" spans="1:19" ht="18.75" customHeight="1" x14ac:dyDescent="0.15">
      <c r="A87" s="85"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7" t="s">
        <v>56</v>
      </c>
      <c r="D89" s="108" t="s">
        <v>170</v>
      </c>
      <c r="E89" s="109"/>
      <c r="F89" s="109"/>
      <c r="G89" s="109"/>
      <c r="H89" s="109"/>
      <c r="I89" s="109"/>
      <c r="J89" s="109"/>
      <c r="K89" s="109"/>
      <c r="L89" s="109"/>
      <c r="M89" s="109"/>
      <c r="N89" s="109"/>
      <c r="O89" s="109"/>
      <c r="P89" s="109"/>
      <c r="Q89" s="109"/>
      <c r="R89" s="109"/>
      <c r="S89" s="110"/>
    </row>
    <row r="90" spans="1:19" ht="97.5" customHeight="1" x14ac:dyDescent="0.15">
      <c r="B90" s="88"/>
      <c r="C90" s="28" t="s">
        <v>77</v>
      </c>
      <c r="D90" s="118" t="s">
        <v>171</v>
      </c>
      <c r="E90" s="119"/>
      <c r="F90" s="119"/>
      <c r="G90" s="119"/>
      <c r="H90" s="119"/>
      <c r="I90" s="119"/>
      <c r="J90" s="119"/>
      <c r="K90" s="119"/>
      <c r="L90" s="119"/>
      <c r="M90" s="119"/>
      <c r="N90" s="119"/>
      <c r="O90" s="119"/>
      <c r="P90" s="119"/>
      <c r="Q90" s="119"/>
      <c r="R90" s="119"/>
      <c r="S90" s="120"/>
    </row>
    <row r="91" spans="1:19" ht="97.5" customHeight="1" x14ac:dyDescent="0.15">
      <c r="B91" s="87" t="s">
        <v>62</v>
      </c>
      <c r="C91" s="29" t="s">
        <v>71</v>
      </c>
      <c r="D91" s="102" t="s">
        <v>172</v>
      </c>
      <c r="E91" s="103"/>
      <c r="F91" s="103"/>
      <c r="G91" s="103"/>
      <c r="H91" s="103"/>
      <c r="I91" s="103"/>
      <c r="J91" s="103"/>
      <c r="K91" s="103"/>
      <c r="L91" s="103"/>
      <c r="M91" s="103"/>
      <c r="N91" s="103"/>
      <c r="O91" s="103"/>
      <c r="P91" s="103"/>
      <c r="Q91" s="103"/>
      <c r="R91" s="103"/>
      <c r="S91" s="104"/>
    </row>
    <row r="92" spans="1:19" ht="97.5" customHeight="1" x14ac:dyDescent="0.15">
      <c r="B92" s="89"/>
      <c r="C92" s="30" t="s">
        <v>72</v>
      </c>
      <c r="D92" s="111" t="s">
        <v>173</v>
      </c>
      <c r="E92" s="112"/>
      <c r="F92" s="112"/>
      <c r="G92" s="112"/>
      <c r="H92" s="112"/>
      <c r="I92" s="112"/>
      <c r="J92" s="112"/>
      <c r="K92" s="112"/>
      <c r="L92" s="112"/>
      <c r="M92" s="112"/>
      <c r="N92" s="112"/>
      <c r="O92" s="112"/>
      <c r="P92" s="112"/>
      <c r="Q92" s="112"/>
      <c r="R92" s="112"/>
      <c r="S92" s="113"/>
    </row>
    <row r="93" spans="1:19" ht="97.5" customHeight="1" x14ac:dyDescent="0.15">
      <c r="B93" s="87" t="s">
        <v>63</v>
      </c>
      <c r="C93" s="29" t="s">
        <v>73</v>
      </c>
      <c r="D93" s="102" t="s">
        <v>174</v>
      </c>
      <c r="E93" s="103"/>
      <c r="F93" s="103"/>
      <c r="G93" s="103"/>
      <c r="H93" s="103"/>
      <c r="I93" s="103"/>
      <c r="J93" s="103"/>
      <c r="K93" s="103"/>
      <c r="L93" s="103"/>
      <c r="M93" s="103"/>
      <c r="N93" s="103"/>
      <c r="O93" s="103"/>
      <c r="P93" s="103"/>
      <c r="Q93" s="103"/>
      <c r="R93" s="103"/>
      <c r="S93" s="104"/>
    </row>
    <row r="94" spans="1:19" ht="97.5" customHeight="1" x14ac:dyDescent="0.15">
      <c r="B94" s="89"/>
      <c r="C94" s="31" t="s">
        <v>74</v>
      </c>
      <c r="D94" s="105" t="s">
        <v>175</v>
      </c>
      <c r="E94" s="106"/>
      <c r="F94" s="106"/>
      <c r="G94" s="106"/>
      <c r="H94" s="106"/>
      <c r="I94" s="106"/>
      <c r="J94" s="106"/>
      <c r="K94" s="106"/>
      <c r="L94" s="106"/>
      <c r="M94" s="106"/>
      <c r="N94" s="106"/>
      <c r="O94" s="106"/>
      <c r="P94" s="106"/>
      <c r="Q94" s="106"/>
      <c r="R94" s="106"/>
      <c r="S94" s="107"/>
    </row>
    <row r="95" spans="1:19" ht="97.5" customHeight="1" x14ac:dyDescent="0.15">
      <c r="B95" s="87" t="s">
        <v>78</v>
      </c>
      <c r="C95" s="27" t="s">
        <v>58</v>
      </c>
      <c r="D95" s="108" t="s">
        <v>176</v>
      </c>
      <c r="E95" s="109"/>
      <c r="F95" s="109"/>
      <c r="G95" s="109"/>
      <c r="H95" s="109"/>
      <c r="I95" s="109"/>
      <c r="J95" s="109"/>
      <c r="K95" s="109"/>
      <c r="L95" s="109"/>
      <c r="M95" s="109"/>
      <c r="N95" s="109"/>
      <c r="O95" s="109"/>
      <c r="P95" s="109"/>
      <c r="Q95" s="109"/>
      <c r="R95" s="109"/>
      <c r="S95" s="110"/>
    </row>
    <row r="96" spans="1:19" ht="97.5" customHeight="1" x14ac:dyDescent="0.15">
      <c r="B96" s="89"/>
      <c r="C96" s="30" t="s">
        <v>60</v>
      </c>
      <c r="D96" s="111" t="s">
        <v>177</v>
      </c>
      <c r="E96" s="112"/>
      <c r="F96" s="112"/>
      <c r="G96" s="112"/>
      <c r="H96" s="112"/>
      <c r="I96" s="112"/>
      <c r="J96" s="112"/>
      <c r="K96" s="112"/>
      <c r="L96" s="112"/>
      <c r="M96" s="112"/>
      <c r="N96" s="112"/>
      <c r="O96" s="112"/>
      <c r="P96" s="112"/>
      <c r="Q96" s="112"/>
      <c r="R96" s="112"/>
      <c r="S96" s="113"/>
    </row>
    <row r="97" spans="1:19" ht="97.5" customHeight="1" x14ac:dyDescent="0.15">
      <c r="B97" s="87" t="s">
        <v>79</v>
      </c>
      <c r="C97" s="29" t="s">
        <v>57</v>
      </c>
      <c r="D97" s="90" t="s">
        <v>178</v>
      </c>
      <c r="E97" s="91"/>
      <c r="F97" s="91"/>
      <c r="G97" s="91"/>
      <c r="H97" s="91"/>
      <c r="I97" s="91"/>
      <c r="J97" s="91"/>
      <c r="K97" s="91"/>
      <c r="L97" s="91"/>
      <c r="M97" s="91"/>
      <c r="N97" s="91"/>
      <c r="O97" s="91"/>
      <c r="P97" s="91"/>
      <c r="Q97" s="91"/>
      <c r="R97" s="91"/>
      <c r="S97" s="92"/>
    </row>
    <row r="98" spans="1:19" ht="97.5" customHeight="1" x14ac:dyDescent="0.15">
      <c r="B98" s="88"/>
      <c r="C98" s="32" t="s">
        <v>75</v>
      </c>
      <c r="D98" s="93" t="s">
        <v>179</v>
      </c>
      <c r="E98" s="94"/>
      <c r="F98" s="94"/>
      <c r="G98" s="94"/>
      <c r="H98" s="94"/>
      <c r="I98" s="94"/>
      <c r="J98" s="94"/>
      <c r="K98" s="94"/>
      <c r="L98" s="94"/>
      <c r="M98" s="94"/>
      <c r="N98" s="94"/>
      <c r="O98" s="94"/>
      <c r="P98" s="94"/>
      <c r="Q98" s="94"/>
      <c r="R98" s="94"/>
      <c r="S98" s="95"/>
    </row>
    <row r="99" spans="1:19" ht="117.75" customHeight="1" x14ac:dyDescent="0.15">
      <c r="B99" s="89"/>
      <c r="C99" s="31" t="s">
        <v>76</v>
      </c>
      <c r="D99" s="96" t="s">
        <v>180</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85" t="s">
        <v>120</v>
      </c>
    </row>
    <row r="102" spans="1:19" ht="81.75" customHeight="1" x14ac:dyDescent="0.15">
      <c r="B102" s="99" t="s">
        <v>161</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xr:uid="{94F1133C-BC03-4D17-9D25-B5774B6734E8}">
      <formula1>$V$14:$V$16</formula1>
    </dataValidation>
    <dataValidation type="list" allowBlank="1" showInputMessage="1" showErrorMessage="1" sqref="F79:F86 P79:P86 G79:I80 G83:I86 Q83:S86 Q79:S80" xr:uid="{8552892A-B8ED-48EF-948D-00043FD8A6A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2D756C3E-1034-43D4-AAA9-B29AF3DF9DD2}">
      <formula1>"学部・学科によって、修了要件は相違する,学部・学科によって、修了要件は相違しない"</formula1>
    </dataValidation>
    <dataValidation type="list" allowBlank="1" showInputMessage="1" showErrorMessage="1" sqref="S32 S43 D32:G32 D43:G43" xr:uid="{B99AB446-ADD1-45C3-8B1E-A53874F171D2}">
      <formula1>"全学開講,一部開講"</formula1>
    </dataValidation>
    <dataValidation type="list" allowBlank="1" showInputMessage="1" showErrorMessage="1" sqref="P69:S75 Q25:S31 G25:I31 Q36:S42 G47:I53 Q47:S53 G36:I42 Q58:S64 G58:I64 F69:I75" xr:uid="{0421E4C7-DFD8-42E6-856D-858EF981ABC1}">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F0E0-882A-4ED9-8BDA-9D023E541214}">
  <sheetPr>
    <pageSetUpPr fitToPage="1"/>
  </sheetPr>
  <dimension ref="A1:V110"/>
  <sheetViews>
    <sheetView showZeros="0" view="pageBreakPreview" zoomScaleNormal="100" zoomScaleSheetLayoutView="100" workbookViewId="0">
      <selection activeCell="D99" sqref="D99:S99"/>
    </sheetView>
  </sheetViews>
  <sheetFormatPr defaultColWidth="9" defaultRowHeight="18.75" customHeight="1" x14ac:dyDescent="0.15"/>
  <cols>
    <col min="1" max="1" width="2.5" style="85" customWidth="1"/>
    <col min="2" max="2" width="16.5" style="85" customWidth="1"/>
    <col min="3" max="19" width="5.625" style="85" customWidth="1"/>
    <col min="20" max="20" width="9" style="85"/>
    <col min="21" max="21" width="3.625" style="85" customWidth="1"/>
    <col min="22" max="22" width="48.625" style="85" hidden="1" customWidth="1"/>
    <col min="23" max="16384" width="9" style="85"/>
  </cols>
  <sheetData>
    <row r="1" spans="1:22" ht="18.600000000000001" customHeight="1" x14ac:dyDescent="0.15">
      <c r="R1" s="152" t="s">
        <v>156</v>
      </c>
      <c r="S1" s="152"/>
      <c r="T1" s="2" t="s">
        <v>109</v>
      </c>
    </row>
    <row r="2" spans="1:22" ht="18.75" customHeight="1" x14ac:dyDescent="0.15">
      <c r="B2" s="84" t="s">
        <v>108</v>
      </c>
      <c r="C2" s="131" t="s">
        <v>131</v>
      </c>
      <c r="D2" s="116"/>
      <c r="E2" s="116"/>
      <c r="F2" s="116"/>
      <c r="G2" s="116"/>
      <c r="H2" s="116"/>
      <c r="I2" s="117"/>
      <c r="J2" s="83"/>
      <c r="K2" s="6"/>
      <c r="L2" s="6"/>
      <c r="M2" s="6"/>
      <c r="N2" s="6"/>
      <c r="O2" s="6"/>
      <c r="P2" s="6"/>
      <c r="Q2" s="6"/>
      <c r="R2" s="6"/>
      <c r="S2" s="6"/>
    </row>
    <row r="3" spans="1:22" ht="18.75" customHeight="1" x14ac:dyDescent="0.15">
      <c r="B3" s="84" t="s">
        <v>102</v>
      </c>
      <c r="C3" s="131" t="s">
        <v>132</v>
      </c>
      <c r="D3" s="116"/>
      <c r="E3" s="116"/>
      <c r="F3" s="116"/>
      <c r="G3" s="116"/>
      <c r="H3" s="116"/>
      <c r="I3" s="117"/>
      <c r="J3" s="83"/>
      <c r="K3" s="6"/>
      <c r="L3" s="6"/>
      <c r="M3" s="6"/>
      <c r="N3" s="6"/>
      <c r="O3" s="6"/>
      <c r="P3" s="6"/>
      <c r="Q3" s="6"/>
      <c r="R3" s="6"/>
      <c r="S3" s="6"/>
    </row>
    <row r="4" spans="1:22" ht="15" customHeight="1" x14ac:dyDescent="0.15">
      <c r="K4" s="83"/>
      <c r="L4" s="36"/>
      <c r="M4" s="36"/>
      <c r="N4" s="36"/>
      <c r="O4" s="36"/>
      <c r="P4" s="36"/>
      <c r="Q4" s="36"/>
      <c r="R4" s="36"/>
      <c r="S4" s="36"/>
    </row>
    <row r="5" spans="1:22" ht="18" customHeight="1" x14ac:dyDescent="0.15">
      <c r="A5" s="153" t="s">
        <v>38</v>
      </c>
      <c r="B5" s="153"/>
      <c r="C5" s="153"/>
      <c r="D5" s="153"/>
      <c r="E5" s="153"/>
      <c r="F5" s="153"/>
      <c r="G5" s="153"/>
      <c r="H5" s="153"/>
      <c r="I5" s="153"/>
      <c r="J5" s="153"/>
      <c r="K5" s="153"/>
      <c r="L5" s="153"/>
      <c r="M5" s="153"/>
      <c r="N5" s="153"/>
      <c r="O5" s="153"/>
      <c r="P5" s="153"/>
      <c r="Q5" s="153"/>
      <c r="R5" s="153"/>
      <c r="S5" s="153"/>
    </row>
    <row r="6" spans="1:22" ht="15" customHeight="1" x14ac:dyDescent="0.15">
      <c r="B6" s="86"/>
      <c r="C6" s="86"/>
      <c r="D6" s="86"/>
      <c r="E6" s="86"/>
      <c r="F6" s="86"/>
      <c r="G6" s="86"/>
      <c r="H6" s="86"/>
      <c r="I6" s="86"/>
      <c r="J6" s="86"/>
      <c r="K6" s="86"/>
      <c r="L6" s="86"/>
      <c r="M6" s="86"/>
      <c r="N6" s="86"/>
      <c r="O6" s="86"/>
      <c r="P6" s="86"/>
      <c r="Q6" s="86"/>
      <c r="R6" s="86"/>
      <c r="S6" s="86"/>
    </row>
    <row r="7" spans="1:22" ht="18" customHeight="1" x14ac:dyDescent="0.15">
      <c r="A7" s="85" t="s">
        <v>124</v>
      </c>
      <c r="C7" s="86"/>
      <c r="J7" s="37" t="s">
        <v>107</v>
      </c>
      <c r="K7" s="154" t="s">
        <v>126</v>
      </c>
      <c r="L7" s="155"/>
      <c r="M7" s="155"/>
      <c r="N7" s="155"/>
      <c r="O7" s="155"/>
      <c r="P7" s="155"/>
      <c r="Q7" s="155"/>
      <c r="R7" s="155"/>
      <c r="S7" s="156"/>
    </row>
    <row r="8" spans="1:22" ht="6" customHeight="1" x14ac:dyDescent="0.15">
      <c r="B8" s="86"/>
      <c r="C8" s="86"/>
      <c r="D8" s="86"/>
      <c r="E8" s="86"/>
      <c r="F8" s="86"/>
      <c r="G8" s="86"/>
      <c r="H8" s="86"/>
      <c r="I8" s="86"/>
      <c r="J8" s="86"/>
      <c r="K8" s="10"/>
      <c r="L8" s="86"/>
      <c r="M8" s="86"/>
      <c r="N8" s="86"/>
      <c r="O8" s="86"/>
      <c r="P8" s="86"/>
      <c r="Q8" s="86"/>
      <c r="R8" s="86"/>
      <c r="S8" s="86"/>
    </row>
    <row r="9" spans="1:22" ht="18" customHeight="1" x14ac:dyDescent="0.15">
      <c r="B9" s="157" t="s">
        <v>162</v>
      </c>
      <c r="C9" s="158"/>
      <c r="D9" s="158"/>
      <c r="E9" s="158"/>
      <c r="F9" s="158"/>
      <c r="G9" s="158"/>
      <c r="H9" s="158"/>
      <c r="I9" s="158"/>
      <c r="J9" s="158"/>
      <c r="K9" s="158"/>
      <c r="L9" s="158"/>
      <c r="M9" s="158"/>
      <c r="N9" s="158"/>
      <c r="O9" s="158"/>
      <c r="P9" s="158"/>
      <c r="Q9" s="158"/>
      <c r="R9" s="158"/>
      <c r="S9" s="159"/>
    </row>
    <row r="10" spans="1:22" ht="18" customHeight="1" x14ac:dyDescent="0.15">
      <c r="B10" s="160"/>
      <c r="C10" s="161"/>
      <c r="D10" s="161"/>
      <c r="E10" s="161"/>
      <c r="F10" s="161"/>
      <c r="G10" s="161"/>
      <c r="H10" s="161"/>
      <c r="I10" s="161"/>
      <c r="J10" s="161"/>
      <c r="K10" s="161"/>
      <c r="L10" s="161"/>
      <c r="M10" s="161"/>
      <c r="N10" s="161"/>
      <c r="O10" s="161"/>
      <c r="P10" s="161"/>
      <c r="Q10" s="161"/>
      <c r="R10" s="161"/>
      <c r="S10" s="162"/>
    </row>
    <row r="11" spans="1:22" ht="6" customHeight="1" x14ac:dyDescent="0.15">
      <c r="B11" s="86"/>
      <c r="C11" s="86"/>
      <c r="D11" s="86"/>
      <c r="E11" s="86"/>
      <c r="F11" s="86"/>
      <c r="G11" s="86"/>
      <c r="H11" s="86"/>
      <c r="I11" s="86"/>
      <c r="J11" s="86"/>
      <c r="K11" s="10"/>
      <c r="L11" s="86"/>
      <c r="M11" s="86"/>
      <c r="N11" s="86"/>
      <c r="O11" s="86"/>
      <c r="P11" s="86"/>
      <c r="Q11" s="86"/>
      <c r="R11" s="86"/>
      <c r="S11" s="86"/>
    </row>
    <row r="12" spans="1:22" ht="18" customHeight="1" x14ac:dyDescent="0.15">
      <c r="A12" s="85" t="s">
        <v>111</v>
      </c>
      <c r="B12" s="86"/>
      <c r="C12" s="86"/>
      <c r="D12" s="83"/>
      <c r="E12" s="83"/>
      <c r="F12" s="83"/>
      <c r="G12" s="83"/>
      <c r="H12" s="83"/>
      <c r="I12" s="83"/>
      <c r="J12" s="83"/>
      <c r="K12" s="38"/>
      <c r="L12" s="38"/>
      <c r="M12" s="38"/>
      <c r="N12" s="38"/>
      <c r="O12" s="38"/>
      <c r="P12" s="38"/>
      <c r="Q12" s="38"/>
      <c r="R12" s="38"/>
      <c r="S12" s="38"/>
    </row>
    <row r="13" spans="1:22" ht="18" customHeight="1" x14ac:dyDescent="0.15">
      <c r="B13" s="140" t="s">
        <v>158</v>
      </c>
      <c r="C13" s="141"/>
      <c r="D13" s="141"/>
      <c r="E13" s="141"/>
      <c r="F13" s="141"/>
      <c r="G13" s="141"/>
      <c r="H13" s="141"/>
      <c r="I13" s="141"/>
      <c r="J13" s="141"/>
      <c r="K13" s="141"/>
      <c r="L13" s="141"/>
      <c r="M13" s="141"/>
      <c r="N13" s="141"/>
      <c r="O13" s="141"/>
      <c r="P13" s="141"/>
      <c r="Q13" s="141"/>
      <c r="R13" s="141"/>
      <c r="S13" s="142"/>
      <c r="V13" s="85" t="s">
        <v>103</v>
      </c>
    </row>
    <row r="14" spans="1:22" ht="18" customHeight="1" x14ac:dyDescent="0.15">
      <c r="B14" s="143"/>
      <c r="C14" s="144"/>
      <c r="D14" s="144"/>
      <c r="E14" s="144"/>
      <c r="F14" s="144"/>
      <c r="G14" s="144"/>
      <c r="H14" s="144"/>
      <c r="I14" s="144"/>
      <c r="J14" s="144"/>
      <c r="K14" s="144"/>
      <c r="L14" s="144"/>
      <c r="M14" s="144"/>
      <c r="N14" s="144"/>
      <c r="O14" s="144"/>
      <c r="P14" s="144"/>
      <c r="Q14" s="144"/>
      <c r="R14" s="144"/>
      <c r="S14" s="145"/>
      <c r="V14" s="85" t="s">
        <v>110</v>
      </c>
    </row>
    <row r="15" spans="1:22" ht="18" customHeight="1" x14ac:dyDescent="0.15">
      <c r="B15" s="143"/>
      <c r="C15" s="144"/>
      <c r="D15" s="144"/>
      <c r="E15" s="144"/>
      <c r="F15" s="144"/>
      <c r="G15" s="144"/>
      <c r="H15" s="144"/>
      <c r="I15" s="144"/>
      <c r="J15" s="144"/>
      <c r="K15" s="144"/>
      <c r="L15" s="144"/>
      <c r="M15" s="144"/>
      <c r="N15" s="144"/>
      <c r="O15" s="144"/>
      <c r="P15" s="144"/>
      <c r="Q15" s="144"/>
      <c r="R15" s="144"/>
      <c r="S15" s="145"/>
      <c r="V15" s="85" t="s">
        <v>123</v>
      </c>
    </row>
    <row r="16" spans="1:22" ht="18" customHeight="1" x14ac:dyDescent="0.15">
      <c r="B16" s="143"/>
      <c r="C16" s="144"/>
      <c r="D16" s="144"/>
      <c r="E16" s="144"/>
      <c r="F16" s="144"/>
      <c r="G16" s="144"/>
      <c r="H16" s="144"/>
      <c r="I16" s="144"/>
      <c r="J16" s="144"/>
      <c r="K16" s="144"/>
      <c r="L16" s="144"/>
      <c r="M16" s="144"/>
      <c r="N16" s="144"/>
      <c r="O16" s="144"/>
      <c r="P16" s="144"/>
      <c r="Q16" s="144"/>
      <c r="R16" s="144"/>
      <c r="S16" s="145"/>
      <c r="V16" s="85" t="s">
        <v>125</v>
      </c>
    </row>
    <row r="17" spans="1:19" ht="18" customHeight="1" x14ac:dyDescent="0.15">
      <c r="B17" s="143"/>
      <c r="C17" s="144"/>
      <c r="D17" s="144"/>
      <c r="E17" s="144"/>
      <c r="F17" s="144"/>
      <c r="G17" s="144"/>
      <c r="H17" s="144"/>
      <c r="I17" s="144"/>
      <c r="J17" s="144"/>
      <c r="K17" s="144"/>
      <c r="L17" s="144"/>
      <c r="M17" s="144"/>
      <c r="N17" s="144"/>
      <c r="O17" s="144"/>
      <c r="P17" s="144"/>
      <c r="Q17" s="144"/>
      <c r="R17" s="144"/>
      <c r="S17" s="145"/>
    </row>
    <row r="18" spans="1:19" ht="18" customHeight="1" x14ac:dyDescent="0.15">
      <c r="B18" s="146"/>
      <c r="C18" s="147"/>
      <c r="D18" s="147"/>
      <c r="E18" s="147"/>
      <c r="F18" s="147"/>
      <c r="G18" s="147"/>
      <c r="H18" s="147"/>
      <c r="I18" s="147"/>
      <c r="J18" s="147"/>
      <c r="K18" s="147"/>
      <c r="L18" s="147"/>
      <c r="M18" s="147"/>
      <c r="N18" s="147"/>
      <c r="O18" s="147"/>
      <c r="P18" s="147"/>
      <c r="Q18" s="147"/>
      <c r="R18" s="147"/>
      <c r="S18" s="148"/>
    </row>
    <row r="19" spans="1:19" ht="7.5" customHeight="1" x14ac:dyDescent="0.15">
      <c r="B19" s="86"/>
      <c r="C19" s="86"/>
      <c r="D19" s="86"/>
      <c r="E19" s="86"/>
      <c r="F19" s="86"/>
      <c r="G19" s="86"/>
      <c r="H19" s="86"/>
      <c r="I19" s="86"/>
      <c r="J19" s="86"/>
      <c r="K19" s="86"/>
      <c r="L19" s="86"/>
      <c r="M19" s="86"/>
      <c r="N19" s="86"/>
      <c r="O19" s="86"/>
      <c r="P19" s="86"/>
      <c r="Q19" s="86"/>
      <c r="R19" s="86"/>
      <c r="S19" s="86"/>
    </row>
    <row r="20" spans="1:19" ht="20.100000000000001" customHeight="1" x14ac:dyDescent="0.15">
      <c r="B20" s="85" t="s">
        <v>112</v>
      </c>
      <c r="C20" s="131">
        <v>4</v>
      </c>
      <c r="D20" s="117"/>
      <c r="E20" s="39" t="s">
        <v>95</v>
      </c>
      <c r="G20" s="10"/>
      <c r="H20" s="86"/>
      <c r="I20" s="86"/>
      <c r="J20" s="83" t="s">
        <v>121</v>
      </c>
      <c r="K20" s="149" t="s">
        <v>110</v>
      </c>
      <c r="L20" s="150"/>
      <c r="M20" s="150"/>
      <c r="N20" s="150"/>
      <c r="O20" s="150"/>
      <c r="P20" s="150"/>
      <c r="Q20" s="150"/>
      <c r="R20" s="150"/>
      <c r="S20" s="151"/>
    </row>
    <row r="21" spans="1:19" ht="7.5" customHeight="1" x14ac:dyDescent="0.15">
      <c r="B21" s="86"/>
      <c r="C21" s="86"/>
      <c r="D21" s="86"/>
      <c r="E21" s="86"/>
      <c r="F21" s="86"/>
      <c r="G21" s="86"/>
      <c r="H21" s="86"/>
      <c r="I21" s="86"/>
      <c r="J21" s="86"/>
      <c r="K21" s="86"/>
      <c r="L21" s="86"/>
      <c r="M21" s="86"/>
      <c r="N21" s="86"/>
      <c r="O21" s="86"/>
      <c r="P21" s="86"/>
      <c r="Q21" s="86"/>
      <c r="R21" s="86"/>
      <c r="S21" s="86"/>
    </row>
    <row r="22" spans="1:19" ht="18" customHeight="1" x14ac:dyDescent="0.15">
      <c r="A22" s="139" t="s">
        <v>113</v>
      </c>
      <c r="B22" s="139"/>
      <c r="C22" s="139"/>
      <c r="D22" s="139"/>
      <c r="E22" s="139"/>
      <c r="F22" s="139"/>
      <c r="G22" s="139"/>
      <c r="H22" s="139"/>
      <c r="I22" s="139"/>
      <c r="J22" s="139"/>
      <c r="K22" s="139"/>
      <c r="L22" s="139"/>
      <c r="M22" s="139"/>
      <c r="N22" s="139"/>
      <c r="O22" s="139"/>
      <c r="P22" s="139"/>
      <c r="Q22" s="139"/>
      <c r="R22" s="139"/>
      <c r="S22" s="139"/>
    </row>
    <row r="23" spans="1:19" ht="18" customHeight="1" x14ac:dyDescent="0.15">
      <c r="A23" s="139"/>
      <c r="B23" s="139"/>
      <c r="C23" s="139"/>
      <c r="D23" s="139"/>
      <c r="E23" s="139"/>
      <c r="F23" s="139"/>
      <c r="G23" s="139"/>
      <c r="H23" s="139"/>
      <c r="I23" s="139"/>
      <c r="J23" s="139"/>
      <c r="K23" s="139"/>
      <c r="L23" s="139"/>
      <c r="M23" s="139"/>
      <c r="N23" s="139"/>
      <c r="O23" s="139"/>
      <c r="P23" s="139"/>
      <c r="Q23" s="139"/>
      <c r="R23" s="139"/>
      <c r="S23" s="139"/>
    </row>
    <row r="24" spans="1:19" ht="18" customHeight="1" x14ac:dyDescent="0.15">
      <c r="B24" s="131" t="s">
        <v>53</v>
      </c>
      <c r="C24" s="116"/>
      <c r="D24" s="116"/>
      <c r="E24" s="117"/>
      <c r="F24" s="60" t="s">
        <v>80</v>
      </c>
      <c r="G24" s="59" t="s">
        <v>84</v>
      </c>
      <c r="H24" s="21" t="s">
        <v>56</v>
      </c>
      <c r="I24" s="21" t="s">
        <v>59</v>
      </c>
      <c r="J24" s="131" t="s">
        <v>53</v>
      </c>
      <c r="K24" s="116"/>
      <c r="L24" s="116"/>
      <c r="M24" s="116"/>
      <c r="N24" s="116"/>
      <c r="O24" s="117"/>
      <c r="P24" s="60" t="s">
        <v>80</v>
      </c>
      <c r="Q24" s="59" t="s">
        <v>84</v>
      </c>
      <c r="R24" s="21" t="s">
        <v>56</v>
      </c>
      <c r="S24" s="21" t="s">
        <v>59</v>
      </c>
    </row>
    <row r="25" spans="1:19" ht="18" customHeight="1" x14ac:dyDescent="0.15">
      <c r="B25" s="121" t="s">
        <v>160</v>
      </c>
      <c r="C25" s="94"/>
      <c r="D25" s="94"/>
      <c r="E25" s="95"/>
      <c r="F25" s="23">
        <v>2</v>
      </c>
      <c r="G25" s="23" t="s">
        <v>127</v>
      </c>
      <c r="H25" s="23" t="s">
        <v>127</v>
      </c>
      <c r="I25" s="23" t="s">
        <v>127</v>
      </c>
      <c r="J25" s="135"/>
      <c r="K25" s="91"/>
      <c r="L25" s="91"/>
      <c r="M25" s="91"/>
      <c r="N25" s="91"/>
      <c r="O25" s="92"/>
      <c r="P25" s="22"/>
      <c r="Q25" s="22"/>
      <c r="R25" s="22"/>
      <c r="S25" s="22"/>
    </row>
    <row r="26" spans="1:19" ht="18" customHeight="1" x14ac:dyDescent="0.15">
      <c r="B26" s="121"/>
      <c r="C26" s="94"/>
      <c r="D26" s="94"/>
      <c r="E26" s="95"/>
      <c r="F26" s="23"/>
      <c r="G26" s="23"/>
      <c r="H26" s="23"/>
      <c r="I26" s="23"/>
      <c r="J26" s="121"/>
      <c r="K26" s="94"/>
      <c r="L26" s="94"/>
      <c r="M26" s="94"/>
      <c r="N26" s="94"/>
      <c r="O26" s="95"/>
      <c r="P26" s="23"/>
      <c r="Q26" s="23"/>
      <c r="R26" s="23"/>
      <c r="S26" s="23"/>
    </row>
    <row r="27" spans="1:19" ht="18" customHeight="1" x14ac:dyDescent="0.15">
      <c r="B27" s="121"/>
      <c r="C27" s="94"/>
      <c r="D27" s="94"/>
      <c r="E27" s="95"/>
      <c r="F27" s="23"/>
      <c r="G27" s="23"/>
      <c r="H27" s="23"/>
      <c r="I27" s="23"/>
      <c r="J27" s="121"/>
      <c r="K27" s="94"/>
      <c r="L27" s="94"/>
      <c r="M27" s="94"/>
      <c r="N27" s="94"/>
      <c r="O27" s="95"/>
      <c r="P27" s="23"/>
      <c r="Q27" s="23"/>
      <c r="R27" s="23"/>
      <c r="S27" s="23"/>
    </row>
    <row r="28" spans="1:19" ht="18" customHeight="1" x14ac:dyDescent="0.15">
      <c r="B28" s="121"/>
      <c r="C28" s="94"/>
      <c r="D28" s="94"/>
      <c r="E28" s="95"/>
      <c r="F28" s="23"/>
      <c r="G28" s="23"/>
      <c r="H28" s="23"/>
      <c r="I28" s="23"/>
      <c r="J28" s="121"/>
      <c r="K28" s="94"/>
      <c r="L28" s="94"/>
      <c r="M28" s="94"/>
      <c r="N28" s="94"/>
      <c r="O28" s="95"/>
      <c r="P28" s="23"/>
      <c r="Q28" s="23"/>
      <c r="R28" s="23"/>
      <c r="S28" s="23"/>
    </row>
    <row r="29" spans="1:19" ht="18" customHeight="1" x14ac:dyDescent="0.15">
      <c r="B29" s="121"/>
      <c r="C29" s="94"/>
      <c r="D29" s="94"/>
      <c r="E29" s="95"/>
      <c r="F29" s="23"/>
      <c r="G29" s="23"/>
      <c r="H29" s="23"/>
      <c r="I29" s="23"/>
      <c r="J29" s="121"/>
      <c r="K29" s="94"/>
      <c r="L29" s="94"/>
      <c r="M29" s="94"/>
      <c r="N29" s="94"/>
      <c r="O29" s="95"/>
      <c r="P29" s="23"/>
      <c r="Q29" s="23"/>
      <c r="R29" s="23"/>
      <c r="S29" s="23"/>
    </row>
    <row r="30" spans="1:19" ht="18" customHeight="1" x14ac:dyDescent="0.15">
      <c r="A30" s="86"/>
      <c r="B30" s="121"/>
      <c r="C30" s="94"/>
      <c r="D30" s="94"/>
      <c r="E30" s="95"/>
      <c r="F30" s="23"/>
      <c r="G30" s="23"/>
      <c r="H30" s="23"/>
      <c r="I30" s="23"/>
      <c r="J30" s="121"/>
      <c r="K30" s="94"/>
      <c r="L30" s="94"/>
      <c r="M30" s="94"/>
      <c r="N30" s="94"/>
      <c r="O30" s="95"/>
      <c r="P30" s="23"/>
      <c r="Q30" s="23"/>
      <c r="R30" s="23"/>
      <c r="S30" s="23"/>
    </row>
    <row r="31" spans="1:19" ht="18" customHeight="1" x14ac:dyDescent="0.15">
      <c r="A31" s="86"/>
      <c r="B31" s="125"/>
      <c r="C31" s="126"/>
      <c r="D31" s="126"/>
      <c r="E31" s="127"/>
      <c r="F31" s="24"/>
      <c r="G31" s="24"/>
      <c r="H31" s="25"/>
      <c r="I31" s="25"/>
      <c r="J31" s="125"/>
      <c r="K31" s="126"/>
      <c r="L31" s="126"/>
      <c r="M31" s="126"/>
      <c r="N31" s="126"/>
      <c r="O31" s="127"/>
      <c r="P31" s="24"/>
      <c r="Q31" s="24"/>
      <c r="R31" s="25"/>
      <c r="S31" s="25"/>
    </row>
    <row r="32" spans="1:19" ht="7.5" customHeight="1" x14ac:dyDescent="0.15">
      <c r="A32" s="86"/>
      <c r="B32" s="6"/>
      <c r="C32" s="6"/>
      <c r="D32" s="86"/>
      <c r="E32" s="86"/>
      <c r="F32" s="86"/>
      <c r="G32" s="86"/>
      <c r="H32" s="6"/>
      <c r="I32" s="6"/>
      <c r="J32" s="6"/>
      <c r="K32" s="6"/>
      <c r="L32" s="6"/>
      <c r="M32" s="6"/>
      <c r="N32" s="6"/>
      <c r="O32" s="6"/>
      <c r="P32" s="6"/>
      <c r="Q32" s="6"/>
      <c r="R32" s="6"/>
      <c r="S32" s="86"/>
    </row>
    <row r="33" spans="1:19" ht="18" customHeight="1" x14ac:dyDescent="0.15">
      <c r="A33" s="139" t="s">
        <v>114</v>
      </c>
      <c r="B33" s="139"/>
      <c r="C33" s="139"/>
      <c r="D33" s="139"/>
      <c r="E33" s="139"/>
      <c r="F33" s="139"/>
      <c r="G33" s="139"/>
      <c r="H33" s="139"/>
      <c r="I33" s="139"/>
      <c r="J33" s="139"/>
      <c r="K33" s="139"/>
      <c r="L33" s="139"/>
      <c r="M33" s="139"/>
      <c r="N33" s="139"/>
      <c r="O33" s="139"/>
      <c r="P33" s="139"/>
      <c r="Q33" s="139"/>
      <c r="R33" s="139"/>
      <c r="S33" s="139"/>
    </row>
    <row r="34" spans="1:19" ht="18" customHeight="1" x14ac:dyDescent="0.15">
      <c r="A34" s="139"/>
      <c r="B34" s="139"/>
      <c r="C34" s="139"/>
      <c r="D34" s="139"/>
      <c r="E34" s="139"/>
      <c r="F34" s="139"/>
      <c r="G34" s="139"/>
      <c r="H34" s="139"/>
      <c r="I34" s="139"/>
      <c r="J34" s="139"/>
      <c r="K34" s="139"/>
      <c r="L34" s="139"/>
      <c r="M34" s="139"/>
      <c r="N34" s="139"/>
      <c r="O34" s="139"/>
      <c r="P34" s="139"/>
      <c r="Q34" s="139"/>
      <c r="R34" s="139"/>
      <c r="S34" s="139"/>
    </row>
    <row r="35" spans="1:19" ht="18" customHeight="1" x14ac:dyDescent="0.15">
      <c r="B35" s="131" t="s">
        <v>53</v>
      </c>
      <c r="C35" s="116"/>
      <c r="D35" s="116"/>
      <c r="E35" s="117"/>
      <c r="F35" s="60" t="s">
        <v>80</v>
      </c>
      <c r="G35" s="59" t="s">
        <v>84</v>
      </c>
      <c r="H35" s="21" t="s">
        <v>71</v>
      </c>
      <c r="I35" s="21" t="s">
        <v>72</v>
      </c>
      <c r="J35" s="131" t="s">
        <v>53</v>
      </c>
      <c r="K35" s="116"/>
      <c r="L35" s="116"/>
      <c r="M35" s="116"/>
      <c r="N35" s="116"/>
      <c r="O35" s="117"/>
      <c r="P35" s="60" t="s">
        <v>80</v>
      </c>
      <c r="Q35" s="59" t="s">
        <v>84</v>
      </c>
      <c r="R35" s="21" t="s">
        <v>71</v>
      </c>
      <c r="S35" s="21" t="s">
        <v>72</v>
      </c>
    </row>
    <row r="36" spans="1:19" ht="18" customHeight="1" x14ac:dyDescent="0.15">
      <c r="B36" s="121" t="s">
        <v>160</v>
      </c>
      <c r="C36" s="94"/>
      <c r="D36" s="94"/>
      <c r="E36" s="95"/>
      <c r="F36" s="23">
        <v>2</v>
      </c>
      <c r="G36" s="23" t="s">
        <v>127</v>
      </c>
      <c r="H36" s="23" t="s">
        <v>127</v>
      </c>
      <c r="I36" s="23" t="s">
        <v>127</v>
      </c>
      <c r="J36" s="135"/>
      <c r="K36" s="91"/>
      <c r="L36" s="91"/>
      <c r="M36" s="91"/>
      <c r="N36" s="91"/>
      <c r="O36" s="92"/>
      <c r="P36" s="22"/>
      <c r="Q36" s="22"/>
      <c r="R36" s="22"/>
      <c r="S36" s="22"/>
    </row>
    <row r="37" spans="1:19" ht="18" customHeight="1" x14ac:dyDescent="0.15">
      <c r="B37" s="121"/>
      <c r="C37" s="94"/>
      <c r="D37" s="94"/>
      <c r="E37" s="95"/>
      <c r="F37" s="23"/>
      <c r="G37" s="23"/>
      <c r="H37" s="23"/>
      <c r="I37" s="23"/>
      <c r="J37" s="121"/>
      <c r="K37" s="94"/>
      <c r="L37" s="94"/>
      <c r="M37" s="94"/>
      <c r="N37" s="94"/>
      <c r="O37" s="95"/>
      <c r="P37" s="23"/>
      <c r="Q37" s="23"/>
      <c r="R37" s="23"/>
      <c r="S37" s="23"/>
    </row>
    <row r="38" spans="1:19" ht="18" customHeight="1" x14ac:dyDescent="0.15">
      <c r="B38" s="121"/>
      <c r="C38" s="94"/>
      <c r="D38" s="94"/>
      <c r="E38" s="95"/>
      <c r="F38" s="23"/>
      <c r="G38" s="23"/>
      <c r="H38" s="23"/>
      <c r="I38" s="23"/>
      <c r="J38" s="121"/>
      <c r="K38" s="94"/>
      <c r="L38" s="94"/>
      <c r="M38" s="94"/>
      <c r="N38" s="94"/>
      <c r="O38" s="95"/>
      <c r="P38" s="23"/>
      <c r="Q38" s="23"/>
      <c r="R38" s="23"/>
      <c r="S38" s="23"/>
    </row>
    <row r="39" spans="1:19" ht="18" customHeight="1" x14ac:dyDescent="0.15">
      <c r="B39" s="121"/>
      <c r="C39" s="94"/>
      <c r="D39" s="94"/>
      <c r="E39" s="95"/>
      <c r="F39" s="23"/>
      <c r="G39" s="23"/>
      <c r="H39" s="23"/>
      <c r="I39" s="23"/>
      <c r="J39" s="121"/>
      <c r="K39" s="94"/>
      <c r="L39" s="94"/>
      <c r="M39" s="94"/>
      <c r="N39" s="94"/>
      <c r="O39" s="95"/>
      <c r="P39" s="23"/>
      <c r="Q39" s="23"/>
      <c r="R39" s="23"/>
      <c r="S39" s="23"/>
    </row>
    <row r="40" spans="1:19" ht="18" customHeight="1" x14ac:dyDescent="0.15">
      <c r="B40" s="121"/>
      <c r="C40" s="94"/>
      <c r="D40" s="94"/>
      <c r="E40" s="95"/>
      <c r="F40" s="23"/>
      <c r="G40" s="23"/>
      <c r="H40" s="23"/>
      <c r="I40" s="23"/>
      <c r="J40" s="121"/>
      <c r="K40" s="94"/>
      <c r="L40" s="94"/>
      <c r="M40" s="94"/>
      <c r="N40" s="94"/>
      <c r="O40" s="95"/>
      <c r="P40" s="23"/>
      <c r="Q40" s="23"/>
      <c r="R40" s="23"/>
      <c r="S40" s="23"/>
    </row>
    <row r="41" spans="1:19" ht="18" customHeight="1" x14ac:dyDescent="0.15">
      <c r="B41" s="121"/>
      <c r="C41" s="94"/>
      <c r="D41" s="94"/>
      <c r="E41" s="95"/>
      <c r="F41" s="23"/>
      <c r="G41" s="23"/>
      <c r="H41" s="23"/>
      <c r="I41" s="23"/>
      <c r="J41" s="121"/>
      <c r="K41" s="94"/>
      <c r="L41" s="94"/>
      <c r="M41" s="94"/>
      <c r="N41" s="94"/>
      <c r="O41" s="95"/>
      <c r="P41" s="23"/>
      <c r="Q41" s="23"/>
      <c r="R41" s="23"/>
      <c r="S41" s="23"/>
    </row>
    <row r="42" spans="1:19" ht="18" customHeight="1" x14ac:dyDescent="0.15">
      <c r="B42" s="125"/>
      <c r="C42" s="126"/>
      <c r="D42" s="126"/>
      <c r="E42" s="127"/>
      <c r="F42" s="24"/>
      <c r="G42" s="24"/>
      <c r="H42" s="25"/>
      <c r="I42" s="25"/>
      <c r="J42" s="125"/>
      <c r="K42" s="126"/>
      <c r="L42" s="126"/>
      <c r="M42" s="126"/>
      <c r="N42" s="126"/>
      <c r="O42" s="127"/>
      <c r="P42" s="24"/>
      <c r="Q42" s="24"/>
      <c r="R42" s="25"/>
      <c r="S42" s="25"/>
    </row>
    <row r="43" spans="1:19" ht="7.5" customHeight="1" x14ac:dyDescent="0.15">
      <c r="A43" s="86"/>
      <c r="B43" s="6"/>
      <c r="C43" s="6"/>
      <c r="D43" s="86"/>
      <c r="E43" s="86"/>
      <c r="F43" s="86"/>
      <c r="G43" s="86"/>
      <c r="H43" s="6"/>
      <c r="I43" s="6"/>
      <c r="J43" s="6"/>
      <c r="K43" s="6"/>
      <c r="L43" s="6"/>
      <c r="M43" s="6"/>
      <c r="N43" s="6"/>
      <c r="O43" s="6"/>
      <c r="P43" s="6"/>
      <c r="Q43" s="6"/>
      <c r="R43" s="6"/>
      <c r="S43" s="86"/>
    </row>
    <row r="44" spans="1:19" ht="18" customHeight="1" x14ac:dyDescent="0.15">
      <c r="A44" s="139" t="s">
        <v>115</v>
      </c>
      <c r="B44" s="139"/>
      <c r="C44" s="139"/>
      <c r="D44" s="139"/>
      <c r="E44" s="139"/>
      <c r="F44" s="139"/>
      <c r="G44" s="139"/>
      <c r="H44" s="139"/>
      <c r="I44" s="139"/>
      <c r="J44" s="139"/>
      <c r="K44" s="139"/>
      <c r="L44" s="139"/>
      <c r="M44" s="139"/>
      <c r="N44" s="139"/>
      <c r="O44" s="139"/>
      <c r="P44" s="139"/>
      <c r="Q44" s="139"/>
      <c r="R44" s="139"/>
      <c r="S44" s="139"/>
    </row>
    <row r="45" spans="1:19" ht="18" customHeight="1" x14ac:dyDescent="0.15">
      <c r="A45" s="139"/>
      <c r="B45" s="139"/>
      <c r="C45" s="139"/>
      <c r="D45" s="139"/>
      <c r="E45" s="139"/>
      <c r="F45" s="139"/>
      <c r="G45" s="139"/>
      <c r="H45" s="139"/>
      <c r="I45" s="139"/>
      <c r="J45" s="139"/>
      <c r="K45" s="139"/>
      <c r="L45" s="139"/>
      <c r="M45" s="139"/>
      <c r="N45" s="139"/>
      <c r="O45" s="139"/>
      <c r="P45" s="139"/>
      <c r="Q45" s="139"/>
      <c r="R45" s="139"/>
      <c r="S45" s="139"/>
    </row>
    <row r="46" spans="1:19" ht="18" customHeight="1" x14ac:dyDescent="0.15">
      <c r="B46" s="131" t="s">
        <v>53</v>
      </c>
      <c r="C46" s="116"/>
      <c r="D46" s="116"/>
      <c r="E46" s="117"/>
      <c r="F46" s="60" t="s">
        <v>80</v>
      </c>
      <c r="G46" s="59" t="s">
        <v>84</v>
      </c>
      <c r="H46" s="21" t="s">
        <v>73</v>
      </c>
      <c r="I46" s="21" t="s">
        <v>74</v>
      </c>
      <c r="J46" s="131" t="s">
        <v>53</v>
      </c>
      <c r="K46" s="116"/>
      <c r="L46" s="116"/>
      <c r="M46" s="116"/>
      <c r="N46" s="116"/>
      <c r="O46" s="117"/>
      <c r="P46" s="60" t="s">
        <v>80</v>
      </c>
      <c r="Q46" s="59" t="s">
        <v>84</v>
      </c>
      <c r="R46" s="21" t="s">
        <v>73</v>
      </c>
      <c r="S46" s="21" t="s">
        <v>74</v>
      </c>
    </row>
    <row r="47" spans="1:19" ht="18" customHeight="1" x14ac:dyDescent="0.15">
      <c r="A47" s="86"/>
      <c r="B47" s="121" t="s">
        <v>160</v>
      </c>
      <c r="C47" s="94"/>
      <c r="D47" s="94"/>
      <c r="E47" s="95"/>
      <c r="F47" s="23">
        <v>2</v>
      </c>
      <c r="G47" s="23" t="s">
        <v>127</v>
      </c>
      <c r="H47" s="23" t="s">
        <v>127</v>
      </c>
      <c r="I47" s="23" t="s">
        <v>127</v>
      </c>
      <c r="J47" s="135"/>
      <c r="K47" s="91"/>
      <c r="L47" s="91"/>
      <c r="M47" s="91"/>
      <c r="N47" s="91"/>
      <c r="O47" s="92"/>
      <c r="P47" s="22"/>
      <c r="Q47" s="22"/>
      <c r="R47" s="22"/>
      <c r="S47" s="22"/>
    </row>
    <row r="48" spans="1:19" ht="18" customHeight="1" x14ac:dyDescent="0.15">
      <c r="A48" s="86"/>
      <c r="B48" s="121"/>
      <c r="C48" s="94"/>
      <c r="D48" s="94"/>
      <c r="E48" s="95"/>
      <c r="F48" s="23"/>
      <c r="G48" s="23"/>
      <c r="H48" s="23"/>
      <c r="I48" s="23"/>
      <c r="J48" s="121"/>
      <c r="K48" s="94"/>
      <c r="L48" s="94"/>
      <c r="M48" s="94"/>
      <c r="N48" s="94"/>
      <c r="O48" s="95"/>
      <c r="P48" s="23"/>
      <c r="Q48" s="23"/>
      <c r="R48" s="23"/>
      <c r="S48" s="23"/>
    </row>
    <row r="49" spans="1:19" ht="18" customHeight="1" x14ac:dyDescent="0.15">
      <c r="A49" s="86"/>
      <c r="B49" s="121"/>
      <c r="C49" s="94"/>
      <c r="D49" s="94"/>
      <c r="E49" s="95"/>
      <c r="F49" s="23"/>
      <c r="G49" s="23"/>
      <c r="H49" s="23"/>
      <c r="I49" s="23"/>
      <c r="J49" s="121"/>
      <c r="K49" s="94"/>
      <c r="L49" s="94"/>
      <c r="M49" s="94"/>
      <c r="N49" s="94"/>
      <c r="O49" s="95"/>
      <c r="P49" s="23"/>
      <c r="Q49" s="23"/>
      <c r="R49" s="23"/>
      <c r="S49" s="23"/>
    </row>
    <row r="50" spans="1:19" ht="18" customHeight="1" x14ac:dyDescent="0.15">
      <c r="A50" s="86"/>
      <c r="B50" s="121"/>
      <c r="C50" s="94"/>
      <c r="D50" s="94"/>
      <c r="E50" s="95"/>
      <c r="F50" s="23"/>
      <c r="G50" s="23"/>
      <c r="H50" s="23"/>
      <c r="I50" s="23"/>
      <c r="J50" s="121"/>
      <c r="K50" s="94"/>
      <c r="L50" s="94"/>
      <c r="M50" s="94"/>
      <c r="N50" s="94"/>
      <c r="O50" s="95"/>
      <c r="P50" s="23"/>
      <c r="Q50" s="23"/>
      <c r="R50" s="23"/>
      <c r="S50" s="23"/>
    </row>
    <row r="51" spans="1:19" ht="18" customHeight="1" x14ac:dyDescent="0.15">
      <c r="A51" s="86"/>
      <c r="B51" s="121"/>
      <c r="C51" s="94"/>
      <c r="D51" s="94"/>
      <c r="E51" s="95"/>
      <c r="F51" s="23"/>
      <c r="G51" s="23"/>
      <c r="H51" s="23"/>
      <c r="I51" s="23"/>
      <c r="J51" s="121"/>
      <c r="K51" s="94"/>
      <c r="L51" s="94"/>
      <c r="M51" s="94"/>
      <c r="N51" s="94"/>
      <c r="O51" s="95"/>
      <c r="P51" s="23"/>
      <c r="Q51" s="23"/>
      <c r="R51" s="23"/>
      <c r="S51" s="23"/>
    </row>
    <row r="52" spans="1:19" ht="18" customHeight="1" x14ac:dyDescent="0.15">
      <c r="A52" s="86"/>
      <c r="B52" s="121"/>
      <c r="C52" s="94"/>
      <c r="D52" s="94"/>
      <c r="E52" s="95"/>
      <c r="F52" s="23"/>
      <c r="G52" s="23"/>
      <c r="H52" s="23"/>
      <c r="I52" s="23"/>
      <c r="J52" s="121"/>
      <c r="K52" s="94"/>
      <c r="L52" s="94"/>
      <c r="M52" s="94"/>
      <c r="N52" s="94"/>
      <c r="O52" s="95"/>
      <c r="P52" s="23"/>
      <c r="Q52" s="23"/>
      <c r="R52" s="23"/>
      <c r="S52" s="23"/>
    </row>
    <row r="53" spans="1:19" ht="18" customHeight="1" x14ac:dyDescent="0.15">
      <c r="A53" s="86"/>
      <c r="B53" s="125"/>
      <c r="C53" s="126"/>
      <c r="D53" s="126"/>
      <c r="E53" s="127"/>
      <c r="F53" s="24"/>
      <c r="G53" s="24"/>
      <c r="H53" s="25"/>
      <c r="I53" s="25"/>
      <c r="J53" s="125"/>
      <c r="K53" s="126"/>
      <c r="L53" s="126"/>
      <c r="M53" s="126"/>
      <c r="N53" s="126"/>
      <c r="O53" s="127"/>
      <c r="P53" s="24"/>
      <c r="Q53" s="24"/>
      <c r="R53" s="25"/>
      <c r="S53" s="25"/>
    </row>
    <row r="54" spans="1:19" ht="7.5" customHeight="1" x14ac:dyDescent="0.15">
      <c r="B54" s="82"/>
      <c r="C54" s="82"/>
      <c r="D54" s="82"/>
      <c r="E54" s="82"/>
      <c r="F54" s="82"/>
      <c r="G54" s="82"/>
      <c r="H54" s="82"/>
      <c r="I54" s="82"/>
      <c r="J54" s="82"/>
      <c r="K54" s="82"/>
      <c r="L54" s="82"/>
      <c r="M54" s="82"/>
      <c r="N54" s="82"/>
      <c r="O54" s="82"/>
      <c r="P54" s="82"/>
      <c r="Q54" s="82"/>
      <c r="R54" s="82"/>
    </row>
    <row r="55" spans="1:19" ht="18" customHeight="1" x14ac:dyDescent="0.15">
      <c r="A55" s="139" t="s">
        <v>116</v>
      </c>
      <c r="B55" s="139"/>
      <c r="C55" s="139"/>
      <c r="D55" s="139"/>
      <c r="E55" s="139"/>
      <c r="F55" s="139"/>
      <c r="G55" s="139"/>
      <c r="H55" s="139"/>
      <c r="I55" s="139"/>
      <c r="J55" s="139"/>
      <c r="K55" s="139"/>
      <c r="L55" s="139"/>
      <c r="M55" s="139"/>
      <c r="N55" s="139"/>
      <c r="O55" s="139"/>
      <c r="P55" s="139"/>
      <c r="Q55" s="139"/>
      <c r="R55" s="139"/>
      <c r="S55" s="139"/>
    </row>
    <row r="56" spans="1:19" ht="18" customHeight="1" x14ac:dyDescent="0.15">
      <c r="A56" s="139"/>
      <c r="B56" s="139"/>
      <c r="C56" s="139"/>
      <c r="D56" s="139"/>
      <c r="E56" s="139"/>
      <c r="F56" s="139"/>
      <c r="G56" s="139"/>
      <c r="H56" s="139"/>
      <c r="I56" s="139"/>
      <c r="J56" s="139"/>
      <c r="K56" s="139"/>
      <c r="L56" s="139"/>
      <c r="M56" s="139"/>
      <c r="N56" s="139"/>
      <c r="O56" s="139"/>
      <c r="P56" s="139"/>
      <c r="Q56" s="139"/>
      <c r="R56" s="139"/>
      <c r="S56" s="139"/>
    </row>
    <row r="57" spans="1:19" ht="18" customHeight="1" x14ac:dyDescent="0.15">
      <c r="B57" s="131" t="s">
        <v>53</v>
      </c>
      <c r="C57" s="116"/>
      <c r="D57" s="116"/>
      <c r="E57" s="117"/>
      <c r="F57" s="60" t="s">
        <v>80</v>
      </c>
      <c r="G57" s="59" t="s">
        <v>84</v>
      </c>
      <c r="H57" s="21" t="s">
        <v>58</v>
      </c>
      <c r="I57" s="21" t="s">
        <v>60</v>
      </c>
      <c r="J57" s="131" t="s">
        <v>53</v>
      </c>
      <c r="K57" s="116"/>
      <c r="L57" s="116"/>
      <c r="M57" s="116"/>
      <c r="N57" s="116"/>
      <c r="O57" s="117"/>
      <c r="P57" s="60" t="s">
        <v>80</v>
      </c>
      <c r="Q57" s="59" t="s">
        <v>84</v>
      </c>
      <c r="R57" s="21" t="s">
        <v>58</v>
      </c>
      <c r="S57" s="21" t="s">
        <v>60</v>
      </c>
    </row>
    <row r="58" spans="1:19" ht="18" customHeight="1" x14ac:dyDescent="0.15">
      <c r="A58" s="86"/>
      <c r="B58" s="121" t="s">
        <v>160</v>
      </c>
      <c r="C58" s="94"/>
      <c r="D58" s="94"/>
      <c r="E58" s="95"/>
      <c r="F58" s="23">
        <v>2</v>
      </c>
      <c r="G58" s="23" t="s">
        <v>127</v>
      </c>
      <c r="H58" s="23" t="s">
        <v>127</v>
      </c>
      <c r="I58" s="23" t="s">
        <v>127</v>
      </c>
      <c r="J58" s="135"/>
      <c r="K58" s="91"/>
      <c r="L58" s="91"/>
      <c r="M58" s="91"/>
      <c r="N58" s="91"/>
      <c r="O58" s="92"/>
      <c r="P58" s="22"/>
      <c r="Q58" s="22"/>
      <c r="R58" s="22"/>
      <c r="S58" s="22"/>
    </row>
    <row r="59" spans="1:19" ht="18" customHeight="1" x14ac:dyDescent="0.15">
      <c r="A59" s="86"/>
      <c r="B59" s="121"/>
      <c r="C59" s="94"/>
      <c r="D59" s="94"/>
      <c r="E59" s="95"/>
      <c r="F59" s="23"/>
      <c r="G59" s="23"/>
      <c r="H59" s="23"/>
      <c r="I59" s="23"/>
      <c r="J59" s="121"/>
      <c r="K59" s="94"/>
      <c r="L59" s="94"/>
      <c r="M59" s="94"/>
      <c r="N59" s="94"/>
      <c r="O59" s="95"/>
      <c r="P59" s="23"/>
      <c r="Q59" s="23"/>
      <c r="R59" s="23"/>
      <c r="S59" s="23"/>
    </row>
    <row r="60" spans="1:19" ht="18" customHeight="1" x14ac:dyDescent="0.15">
      <c r="A60" s="86"/>
      <c r="B60" s="121"/>
      <c r="C60" s="94"/>
      <c r="D60" s="94"/>
      <c r="E60" s="95"/>
      <c r="F60" s="23"/>
      <c r="G60" s="23"/>
      <c r="H60" s="23"/>
      <c r="I60" s="23"/>
      <c r="J60" s="121"/>
      <c r="K60" s="94"/>
      <c r="L60" s="94"/>
      <c r="M60" s="94"/>
      <c r="N60" s="94"/>
      <c r="O60" s="95"/>
      <c r="P60" s="23"/>
      <c r="Q60" s="23"/>
      <c r="R60" s="23"/>
      <c r="S60" s="23"/>
    </row>
    <row r="61" spans="1:19" ht="18" customHeight="1" x14ac:dyDescent="0.15">
      <c r="A61" s="86"/>
      <c r="B61" s="121"/>
      <c r="C61" s="94"/>
      <c r="D61" s="94"/>
      <c r="E61" s="95"/>
      <c r="F61" s="23"/>
      <c r="G61" s="23"/>
      <c r="H61" s="23"/>
      <c r="I61" s="23"/>
      <c r="J61" s="121"/>
      <c r="K61" s="94"/>
      <c r="L61" s="94"/>
      <c r="M61" s="94"/>
      <c r="N61" s="94"/>
      <c r="O61" s="95"/>
      <c r="P61" s="23"/>
      <c r="Q61" s="23"/>
      <c r="R61" s="23"/>
      <c r="S61" s="23"/>
    </row>
    <row r="62" spans="1:19" ht="18" customHeight="1" x14ac:dyDescent="0.15">
      <c r="A62" s="86"/>
      <c r="B62" s="121"/>
      <c r="C62" s="94"/>
      <c r="D62" s="94"/>
      <c r="E62" s="95"/>
      <c r="F62" s="23"/>
      <c r="G62" s="23"/>
      <c r="H62" s="23"/>
      <c r="I62" s="23"/>
      <c r="J62" s="121"/>
      <c r="K62" s="94"/>
      <c r="L62" s="94"/>
      <c r="M62" s="94"/>
      <c r="N62" s="94"/>
      <c r="O62" s="95"/>
      <c r="P62" s="23"/>
      <c r="Q62" s="23"/>
      <c r="R62" s="23"/>
      <c r="S62" s="23"/>
    </row>
    <row r="63" spans="1:19" ht="18" customHeight="1" x14ac:dyDescent="0.15">
      <c r="A63" s="86"/>
      <c r="B63" s="121"/>
      <c r="C63" s="94"/>
      <c r="D63" s="94"/>
      <c r="E63" s="95"/>
      <c r="F63" s="23"/>
      <c r="G63" s="23"/>
      <c r="H63" s="23"/>
      <c r="I63" s="23"/>
      <c r="J63" s="121"/>
      <c r="K63" s="94"/>
      <c r="L63" s="94"/>
      <c r="M63" s="94"/>
      <c r="N63" s="94"/>
      <c r="O63" s="95"/>
      <c r="P63" s="23"/>
      <c r="Q63" s="23"/>
      <c r="R63" s="23"/>
      <c r="S63" s="23"/>
    </row>
    <row r="64" spans="1:19" ht="18" customHeight="1" x14ac:dyDescent="0.15">
      <c r="A64" s="86"/>
      <c r="B64" s="125"/>
      <c r="C64" s="126"/>
      <c r="D64" s="126"/>
      <c r="E64" s="127"/>
      <c r="F64" s="24"/>
      <c r="G64" s="24"/>
      <c r="H64" s="25"/>
      <c r="I64" s="25"/>
      <c r="J64" s="125"/>
      <c r="K64" s="126"/>
      <c r="L64" s="126"/>
      <c r="M64" s="126"/>
      <c r="N64" s="126"/>
      <c r="O64" s="127"/>
      <c r="P64" s="24"/>
      <c r="Q64" s="24"/>
      <c r="R64" s="25"/>
      <c r="S64" s="25"/>
    </row>
    <row r="65" spans="1:19" ht="7.5" customHeight="1" x14ac:dyDescent="0.15">
      <c r="B65" s="82"/>
      <c r="C65" s="82"/>
      <c r="D65" s="82"/>
      <c r="E65" s="82"/>
      <c r="F65" s="82"/>
      <c r="G65" s="82"/>
      <c r="H65" s="82"/>
      <c r="I65" s="82"/>
      <c r="J65" s="82"/>
      <c r="K65" s="82"/>
      <c r="L65" s="82"/>
      <c r="M65" s="82"/>
      <c r="N65" s="82"/>
      <c r="O65" s="82"/>
      <c r="P65" s="82"/>
      <c r="Q65" s="82"/>
      <c r="R65" s="82"/>
    </row>
    <row r="66" spans="1:19" ht="18" customHeight="1" x14ac:dyDescent="0.15">
      <c r="A66" s="139" t="s">
        <v>117</v>
      </c>
      <c r="B66" s="139"/>
      <c r="C66" s="139"/>
      <c r="D66" s="139"/>
      <c r="E66" s="139"/>
      <c r="F66" s="139"/>
      <c r="G66" s="139"/>
      <c r="H66" s="139"/>
      <c r="I66" s="139"/>
      <c r="J66" s="139"/>
      <c r="K66" s="139"/>
      <c r="L66" s="139"/>
      <c r="M66" s="139"/>
      <c r="N66" s="139"/>
      <c r="O66" s="139"/>
      <c r="P66" s="139"/>
      <c r="Q66" s="139"/>
      <c r="R66" s="139"/>
      <c r="S66" s="139"/>
    </row>
    <row r="67" spans="1:19" ht="18" customHeight="1" x14ac:dyDescent="0.15">
      <c r="A67" s="139"/>
      <c r="B67" s="139"/>
      <c r="C67" s="139"/>
      <c r="D67" s="139"/>
      <c r="E67" s="139"/>
      <c r="F67" s="139"/>
      <c r="G67" s="139"/>
      <c r="H67" s="139"/>
      <c r="I67" s="139"/>
      <c r="J67" s="139"/>
      <c r="K67" s="139"/>
      <c r="L67" s="139"/>
      <c r="M67" s="139"/>
      <c r="N67" s="139"/>
      <c r="O67" s="139"/>
      <c r="P67" s="139"/>
      <c r="Q67" s="139"/>
      <c r="R67" s="139"/>
      <c r="S67" s="139"/>
    </row>
    <row r="68" spans="1:19" ht="18" customHeight="1" x14ac:dyDescent="0.15">
      <c r="B68" s="131" t="s">
        <v>53</v>
      </c>
      <c r="C68" s="116"/>
      <c r="D68" s="116"/>
      <c r="E68" s="60" t="s">
        <v>80</v>
      </c>
      <c r="F68" s="59" t="s">
        <v>84</v>
      </c>
      <c r="G68" s="21" t="s">
        <v>101</v>
      </c>
      <c r="H68" s="21" t="s">
        <v>75</v>
      </c>
      <c r="I68" s="21" t="s">
        <v>76</v>
      </c>
      <c r="J68" s="131" t="s">
        <v>53</v>
      </c>
      <c r="K68" s="116"/>
      <c r="L68" s="116"/>
      <c r="M68" s="116"/>
      <c r="N68" s="117"/>
      <c r="O68" s="60" t="s">
        <v>80</v>
      </c>
      <c r="P68" s="59" t="s">
        <v>84</v>
      </c>
      <c r="Q68" s="21" t="s">
        <v>101</v>
      </c>
      <c r="R68" s="21" t="s">
        <v>75</v>
      </c>
      <c r="S68" s="21" t="s">
        <v>76</v>
      </c>
    </row>
    <row r="69" spans="1:19" ht="18" customHeight="1" x14ac:dyDescent="0.15">
      <c r="A69" s="86"/>
      <c r="B69" s="121" t="s">
        <v>159</v>
      </c>
      <c r="C69" s="94"/>
      <c r="D69" s="94"/>
      <c r="E69" s="23">
        <v>2</v>
      </c>
      <c r="F69" s="23" t="s">
        <v>127</v>
      </c>
      <c r="G69" s="23" t="s">
        <v>127</v>
      </c>
      <c r="H69" s="23" t="s">
        <v>127</v>
      </c>
      <c r="I69" s="23" t="s">
        <v>127</v>
      </c>
      <c r="J69" s="135"/>
      <c r="K69" s="91"/>
      <c r="L69" s="91"/>
      <c r="M69" s="91"/>
      <c r="N69" s="92"/>
      <c r="O69" s="22"/>
      <c r="P69" s="22"/>
      <c r="Q69" s="22"/>
      <c r="R69" s="22"/>
      <c r="S69" s="22"/>
    </row>
    <row r="70" spans="1:19" ht="18" customHeight="1" x14ac:dyDescent="0.15">
      <c r="A70" s="86"/>
      <c r="B70" s="121"/>
      <c r="C70" s="94"/>
      <c r="D70" s="94"/>
      <c r="E70" s="23"/>
      <c r="F70" s="23"/>
      <c r="G70" s="23"/>
      <c r="H70" s="23"/>
      <c r="I70" s="23"/>
      <c r="J70" s="121"/>
      <c r="K70" s="94"/>
      <c r="L70" s="94"/>
      <c r="M70" s="94"/>
      <c r="N70" s="95"/>
      <c r="O70" s="23"/>
      <c r="P70" s="23"/>
      <c r="Q70" s="23"/>
      <c r="R70" s="23"/>
      <c r="S70" s="23"/>
    </row>
    <row r="71" spans="1:19" ht="18" customHeight="1" x14ac:dyDescent="0.15">
      <c r="A71" s="86"/>
      <c r="B71" s="121"/>
      <c r="C71" s="94"/>
      <c r="D71" s="94"/>
      <c r="E71" s="23"/>
      <c r="F71" s="23"/>
      <c r="G71" s="23"/>
      <c r="H71" s="23"/>
      <c r="I71" s="23"/>
      <c r="J71" s="121"/>
      <c r="K71" s="94"/>
      <c r="L71" s="94"/>
      <c r="M71" s="94"/>
      <c r="N71" s="95"/>
      <c r="O71" s="23"/>
      <c r="P71" s="23"/>
      <c r="Q71" s="23"/>
      <c r="R71" s="23"/>
      <c r="S71" s="23"/>
    </row>
    <row r="72" spans="1:19" ht="18" customHeight="1" x14ac:dyDescent="0.15">
      <c r="A72" s="86"/>
      <c r="B72" s="121"/>
      <c r="C72" s="94"/>
      <c r="D72" s="94"/>
      <c r="E72" s="23"/>
      <c r="F72" s="23"/>
      <c r="G72" s="23"/>
      <c r="H72" s="23"/>
      <c r="I72" s="23"/>
      <c r="J72" s="121"/>
      <c r="K72" s="94"/>
      <c r="L72" s="94"/>
      <c r="M72" s="94"/>
      <c r="N72" s="95"/>
      <c r="O72" s="23"/>
      <c r="P72" s="23"/>
      <c r="Q72" s="23"/>
      <c r="R72" s="23"/>
      <c r="S72" s="23"/>
    </row>
    <row r="73" spans="1:19" ht="18" customHeight="1" x14ac:dyDescent="0.15">
      <c r="A73" s="86"/>
      <c r="B73" s="121"/>
      <c r="C73" s="94"/>
      <c r="D73" s="94"/>
      <c r="E73" s="23"/>
      <c r="F73" s="23"/>
      <c r="G73" s="23"/>
      <c r="H73" s="23"/>
      <c r="I73" s="23"/>
      <c r="J73" s="121"/>
      <c r="K73" s="94"/>
      <c r="L73" s="94"/>
      <c r="M73" s="94"/>
      <c r="N73" s="95"/>
      <c r="O73" s="23"/>
      <c r="P73" s="23"/>
      <c r="Q73" s="23"/>
      <c r="R73" s="23"/>
      <c r="S73" s="23"/>
    </row>
    <row r="74" spans="1:19" ht="18" customHeight="1" x14ac:dyDescent="0.15">
      <c r="A74" s="86"/>
      <c r="B74" s="121"/>
      <c r="C74" s="94"/>
      <c r="D74" s="94"/>
      <c r="E74" s="23"/>
      <c r="F74" s="23"/>
      <c r="G74" s="23"/>
      <c r="H74" s="23"/>
      <c r="I74" s="23"/>
      <c r="J74" s="121"/>
      <c r="K74" s="94"/>
      <c r="L74" s="94"/>
      <c r="M74" s="94"/>
      <c r="N74" s="95"/>
      <c r="O74" s="23"/>
      <c r="P74" s="23"/>
      <c r="Q74" s="23"/>
      <c r="R74" s="23"/>
      <c r="S74" s="23"/>
    </row>
    <row r="75" spans="1:19" ht="18" customHeight="1" x14ac:dyDescent="0.15">
      <c r="A75" s="86"/>
      <c r="B75" s="125"/>
      <c r="C75" s="126"/>
      <c r="D75" s="126"/>
      <c r="E75" s="24"/>
      <c r="F75" s="24"/>
      <c r="G75" s="25"/>
      <c r="H75" s="25"/>
      <c r="I75" s="25"/>
      <c r="J75" s="125"/>
      <c r="K75" s="126"/>
      <c r="L75" s="126"/>
      <c r="M75" s="126"/>
      <c r="N75" s="127"/>
      <c r="O75" s="24"/>
      <c r="P75" s="24"/>
      <c r="Q75" s="25"/>
      <c r="R75" s="25"/>
      <c r="S75" s="25"/>
    </row>
    <row r="76" spans="1:19" ht="7.5" customHeight="1" x14ac:dyDescent="0.15">
      <c r="B76" s="82"/>
      <c r="C76" s="82"/>
      <c r="D76" s="82"/>
      <c r="E76" s="82"/>
      <c r="F76" s="82"/>
      <c r="G76" s="82"/>
      <c r="H76" s="82"/>
      <c r="I76" s="82"/>
      <c r="J76" s="82"/>
      <c r="K76" s="82"/>
      <c r="L76" s="82"/>
      <c r="M76" s="82"/>
      <c r="N76" s="82"/>
      <c r="O76" s="82"/>
      <c r="P76" s="82"/>
      <c r="Q76" s="82"/>
      <c r="R76" s="82"/>
    </row>
    <row r="77" spans="1:19" ht="18" customHeight="1" x14ac:dyDescent="0.15">
      <c r="A77" s="85" t="s">
        <v>118</v>
      </c>
      <c r="H77" s="86"/>
      <c r="I77" s="86"/>
      <c r="J77" s="86"/>
      <c r="K77" s="86"/>
      <c r="L77" s="86"/>
      <c r="M77" s="86"/>
      <c r="N77" s="86"/>
      <c r="O77" s="86"/>
      <c r="P77" s="86"/>
      <c r="Q77" s="86"/>
      <c r="R77" s="86"/>
      <c r="S77" s="86"/>
    </row>
    <row r="78" spans="1:19" ht="18" customHeight="1" x14ac:dyDescent="0.15">
      <c r="B78" s="131" t="s">
        <v>53</v>
      </c>
      <c r="C78" s="116"/>
      <c r="D78" s="116"/>
      <c r="E78" s="117"/>
      <c r="F78" s="131" t="s">
        <v>82</v>
      </c>
      <c r="G78" s="116"/>
      <c r="H78" s="116"/>
      <c r="I78" s="117"/>
      <c r="J78" s="132" t="s">
        <v>53</v>
      </c>
      <c r="K78" s="133"/>
      <c r="L78" s="133"/>
      <c r="M78" s="133"/>
      <c r="N78" s="133"/>
      <c r="O78" s="134"/>
      <c r="P78" s="131" t="s">
        <v>82</v>
      </c>
      <c r="Q78" s="116"/>
      <c r="R78" s="116"/>
      <c r="S78" s="117"/>
    </row>
    <row r="79" spans="1:19" ht="18" customHeight="1" x14ac:dyDescent="0.15">
      <c r="A79" s="86"/>
      <c r="B79" s="135"/>
      <c r="C79" s="91"/>
      <c r="D79" s="91"/>
      <c r="E79" s="92"/>
      <c r="F79" s="136"/>
      <c r="G79" s="137"/>
      <c r="H79" s="137"/>
      <c r="I79" s="138"/>
      <c r="J79" s="135"/>
      <c r="K79" s="91"/>
      <c r="L79" s="91"/>
      <c r="M79" s="91"/>
      <c r="N79" s="91"/>
      <c r="O79" s="92"/>
      <c r="P79" s="136"/>
      <c r="Q79" s="137"/>
      <c r="R79" s="137"/>
      <c r="S79" s="138"/>
    </row>
    <row r="80" spans="1:19" ht="18" customHeight="1" x14ac:dyDescent="0.15">
      <c r="A80" s="86"/>
      <c r="B80" s="121"/>
      <c r="C80" s="94"/>
      <c r="D80" s="94"/>
      <c r="E80" s="95"/>
      <c r="F80" s="122"/>
      <c r="G80" s="123"/>
      <c r="H80" s="123"/>
      <c r="I80" s="124"/>
      <c r="J80" s="121"/>
      <c r="K80" s="94"/>
      <c r="L80" s="94"/>
      <c r="M80" s="94"/>
      <c r="N80" s="94"/>
      <c r="O80" s="95"/>
      <c r="P80" s="122"/>
      <c r="Q80" s="123"/>
      <c r="R80" s="123"/>
      <c r="S80" s="124"/>
    </row>
    <row r="81" spans="1:19" ht="18" customHeight="1" x14ac:dyDescent="0.15">
      <c r="A81" s="86"/>
      <c r="B81" s="121"/>
      <c r="C81" s="94"/>
      <c r="D81" s="94"/>
      <c r="E81" s="95"/>
      <c r="F81" s="122"/>
      <c r="G81" s="123"/>
      <c r="H81" s="123"/>
      <c r="I81" s="124"/>
      <c r="J81" s="121"/>
      <c r="K81" s="94"/>
      <c r="L81" s="94"/>
      <c r="M81" s="94"/>
      <c r="N81" s="94"/>
      <c r="O81" s="95"/>
      <c r="P81" s="122"/>
      <c r="Q81" s="123"/>
      <c r="R81" s="123"/>
      <c r="S81" s="124"/>
    </row>
    <row r="82" spans="1:19" ht="18" customHeight="1" x14ac:dyDescent="0.15">
      <c r="A82" s="86"/>
      <c r="B82" s="121"/>
      <c r="C82" s="94"/>
      <c r="D82" s="94"/>
      <c r="E82" s="95"/>
      <c r="F82" s="122"/>
      <c r="G82" s="123"/>
      <c r="H82" s="123"/>
      <c r="I82" s="124"/>
      <c r="J82" s="121"/>
      <c r="K82" s="94"/>
      <c r="L82" s="94"/>
      <c r="M82" s="94"/>
      <c r="N82" s="94"/>
      <c r="O82" s="95"/>
      <c r="P82" s="122"/>
      <c r="Q82" s="123"/>
      <c r="R82" s="123"/>
      <c r="S82" s="124"/>
    </row>
    <row r="83" spans="1:19" ht="18" customHeight="1" x14ac:dyDescent="0.15">
      <c r="A83" s="86"/>
      <c r="B83" s="121"/>
      <c r="C83" s="94"/>
      <c r="D83" s="94"/>
      <c r="E83" s="95"/>
      <c r="F83" s="122"/>
      <c r="G83" s="123"/>
      <c r="H83" s="123"/>
      <c r="I83" s="124"/>
      <c r="J83" s="121"/>
      <c r="K83" s="94"/>
      <c r="L83" s="94"/>
      <c r="M83" s="94"/>
      <c r="N83" s="94"/>
      <c r="O83" s="95"/>
      <c r="P83" s="122"/>
      <c r="Q83" s="123"/>
      <c r="R83" s="123"/>
      <c r="S83" s="124"/>
    </row>
    <row r="84" spans="1:19" ht="18" customHeight="1" x14ac:dyDescent="0.15">
      <c r="A84" s="86"/>
      <c r="B84" s="121"/>
      <c r="C84" s="94"/>
      <c r="D84" s="94"/>
      <c r="E84" s="95"/>
      <c r="F84" s="122"/>
      <c r="G84" s="123"/>
      <c r="H84" s="123"/>
      <c r="I84" s="124"/>
      <c r="J84" s="121"/>
      <c r="K84" s="94"/>
      <c r="L84" s="94"/>
      <c r="M84" s="94"/>
      <c r="N84" s="94"/>
      <c r="O84" s="95"/>
      <c r="P84" s="122"/>
      <c r="Q84" s="123"/>
      <c r="R84" s="123"/>
      <c r="S84" s="124"/>
    </row>
    <row r="85" spans="1:19" ht="18" customHeight="1" x14ac:dyDescent="0.15">
      <c r="A85" s="86"/>
      <c r="B85" s="125"/>
      <c r="C85" s="126"/>
      <c r="D85" s="126"/>
      <c r="E85" s="127"/>
      <c r="F85" s="128"/>
      <c r="G85" s="129"/>
      <c r="H85" s="129"/>
      <c r="I85" s="130"/>
      <c r="J85" s="125"/>
      <c r="K85" s="126"/>
      <c r="L85" s="126"/>
      <c r="M85" s="126"/>
      <c r="N85" s="126"/>
      <c r="O85" s="127"/>
      <c r="P85" s="128"/>
      <c r="Q85" s="129"/>
      <c r="R85" s="129"/>
      <c r="S85" s="130"/>
    </row>
    <row r="86" spans="1:19" ht="18" customHeight="1" x14ac:dyDescent="0.15">
      <c r="A86" s="86"/>
      <c r="B86" s="6"/>
      <c r="C86" s="6"/>
      <c r="D86" s="6"/>
      <c r="E86" s="6"/>
      <c r="F86" s="26"/>
      <c r="G86" s="26"/>
      <c r="H86" s="26"/>
      <c r="I86" s="26"/>
      <c r="J86" s="6"/>
      <c r="K86" s="6"/>
      <c r="L86" s="6"/>
      <c r="M86" s="6"/>
      <c r="N86" s="6"/>
      <c r="O86" s="6"/>
      <c r="P86" s="26"/>
      <c r="Q86" s="26"/>
      <c r="R86" s="26"/>
      <c r="S86" s="26"/>
    </row>
    <row r="87" spans="1:19" ht="18.75" customHeight="1" x14ac:dyDescent="0.15">
      <c r="A87" s="85"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7" t="s">
        <v>56</v>
      </c>
      <c r="D89" s="108" t="s">
        <v>181</v>
      </c>
      <c r="E89" s="109"/>
      <c r="F89" s="109"/>
      <c r="G89" s="109"/>
      <c r="H89" s="109"/>
      <c r="I89" s="109"/>
      <c r="J89" s="109"/>
      <c r="K89" s="109"/>
      <c r="L89" s="109"/>
      <c r="M89" s="109"/>
      <c r="N89" s="109"/>
      <c r="O89" s="109"/>
      <c r="P89" s="109"/>
      <c r="Q89" s="109"/>
      <c r="R89" s="109"/>
      <c r="S89" s="110"/>
    </row>
    <row r="90" spans="1:19" ht="97.5" customHeight="1" x14ac:dyDescent="0.15">
      <c r="B90" s="88"/>
      <c r="C90" s="28" t="s">
        <v>77</v>
      </c>
      <c r="D90" s="118" t="s">
        <v>182</v>
      </c>
      <c r="E90" s="119"/>
      <c r="F90" s="119"/>
      <c r="G90" s="119"/>
      <c r="H90" s="119"/>
      <c r="I90" s="119"/>
      <c r="J90" s="119"/>
      <c r="K90" s="119"/>
      <c r="L90" s="119"/>
      <c r="M90" s="119"/>
      <c r="N90" s="119"/>
      <c r="O90" s="119"/>
      <c r="P90" s="119"/>
      <c r="Q90" s="119"/>
      <c r="R90" s="119"/>
      <c r="S90" s="120"/>
    </row>
    <row r="91" spans="1:19" ht="97.5" customHeight="1" x14ac:dyDescent="0.15">
      <c r="B91" s="87" t="s">
        <v>62</v>
      </c>
      <c r="C91" s="29" t="s">
        <v>71</v>
      </c>
      <c r="D91" s="102" t="s">
        <v>183</v>
      </c>
      <c r="E91" s="103"/>
      <c r="F91" s="103"/>
      <c r="G91" s="103"/>
      <c r="H91" s="103"/>
      <c r="I91" s="103"/>
      <c r="J91" s="103"/>
      <c r="K91" s="103"/>
      <c r="L91" s="103"/>
      <c r="M91" s="103"/>
      <c r="N91" s="103"/>
      <c r="O91" s="103"/>
      <c r="P91" s="103"/>
      <c r="Q91" s="103"/>
      <c r="R91" s="103"/>
      <c r="S91" s="104"/>
    </row>
    <row r="92" spans="1:19" ht="97.5" customHeight="1" x14ac:dyDescent="0.15">
      <c r="B92" s="89"/>
      <c r="C92" s="30" t="s">
        <v>72</v>
      </c>
      <c r="D92" s="111" t="s">
        <v>184</v>
      </c>
      <c r="E92" s="112"/>
      <c r="F92" s="112"/>
      <c r="G92" s="112"/>
      <c r="H92" s="112"/>
      <c r="I92" s="112"/>
      <c r="J92" s="112"/>
      <c r="K92" s="112"/>
      <c r="L92" s="112"/>
      <c r="M92" s="112"/>
      <c r="N92" s="112"/>
      <c r="O92" s="112"/>
      <c r="P92" s="112"/>
      <c r="Q92" s="112"/>
      <c r="R92" s="112"/>
      <c r="S92" s="113"/>
    </row>
    <row r="93" spans="1:19" ht="97.5" customHeight="1" x14ac:dyDescent="0.15">
      <c r="B93" s="87" t="s">
        <v>63</v>
      </c>
      <c r="C93" s="29" t="s">
        <v>73</v>
      </c>
      <c r="D93" s="102" t="s">
        <v>185</v>
      </c>
      <c r="E93" s="103"/>
      <c r="F93" s="103"/>
      <c r="G93" s="103"/>
      <c r="H93" s="103"/>
      <c r="I93" s="103"/>
      <c r="J93" s="103"/>
      <c r="K93" s="103"/>
      <c r="L93" s="103"/>
      <c r="M93" s="103"/>
      <c r="N93" s="103"/>
      <c r="O93" s="103"/>
      <c r="P93" s="103"/>
      <c r="Q93" s="103"/>
      <c r="R93" s="103"/>
      <c r="S93" s="104"/>
    </row>
    <row r="94" spans="1:19" ht="97.5" customHeight="1" x14ac:dyDescent="0.15">
      <c r="B94" s="89"/>
      <c r="C94" s="31" t="s">
        <v>74</v>
      </c>
      <c r="D94" s="105" t="s">
        <v>186</v>
      </c>
      <c r="E94" s="106"/>
      <c r="F94" s="106"/>
      <c r="G94" s="106"/>
      <c r="H94" s="106"/>
      <c r="I94" s="106"/>
      <c r="J94" s="106"/>
      <c r="K94" s="106"/>
      <c r="L94" s="106"/>
      <c r="M94" s="106"/>
      <c r="N94" s="106"/>
      <c r="O94" s="106"/>
      <c r="P94" s="106"/>
      <c r="Q94" s="106"/>
      <c r="R94" s="106"/>
      <c r="S94" s="107"/>
    </row>
    <row r="95" spans="1:19" ht="97.5" customHeight="1" x14ac:dyDescent="0.15">
      <c r="B95" s="87" t="s">
        <v>78</v>
      </c>
      <c r="C95" s="27" t="s">
        <v>58</v>
      </c>
      <c r="D95" s="108" t="s">
        <v>187</v>
      </c>
      <c r="E95" s="109"/>
      <c r="F95" s="109"/>
      <c r="G95" s="109"/>
      <c r="H95" s="109"/>
      <c r="I95" s="109"/>
      <c r="J95" s="109"/>
      <c r="K95" s="109"/>
      <c r="L95" s="109"/>
      <c r="M95" s="109"/>
      <c r="N95" s="109"/>
      <c r="O95" s="109"/>
      <c r="P95" s="109"/>
      <c r="Q95" s="109"/>
      <c r="R95" s="109"/>
      <c r="S95" s="110"/>
    </row>
    <row r="96" spans="1:19" ht="97.5" customHeight="1" x14ac:dyDescent="0.15">
      <c r="B96" s="89"/>
      <c r="C96" s="30" t="s">
        <v>60</v>
      </c>
      <c r="D96" s="111" t="s">
        <v>188</v>
      </c>
      <c r="E96" s="112"/>
      <c r="F96" s="112"/>
      <c r="G96" s="112"/>
      <c r="H96" s="112"/>
      <c r="I96" s="112"/>
      <c r="J96" s="112"/>
      <c r="K96" s="112"/>
      <c r="L96" s="112"/>
      <c r="M96" s="112"/>
      <c r="N96" s="112"/>
      <c r="O96" s="112"/>
      <c r="P96" s="112"/>
      <c r="Q96" s="112"/>
      <c r="R96" s="112"/>
      <c r="S96" s="113"/>
    </row>
    <row r="97" spans="1:19" ht="97.5" customHeight="1" x14ac:dyDescent="0.15">
      <c r="B97" s="87" t="s">
        <v>79</v>
      </c>
      <c r="C97" s="29" t="s">
        <v>57</v>
      </c>
      <c r="D97" s="90" t="s">
        <v>189</v>
      </c>
      <c r="E97" s="91"/>
      <c r="F97" s="91"/>
      <c r="G97" s="91"/>
      <c r="H97" s="91"/>
      <c r="I97" s="91"/>
      <c r="J97" s="91"/>
      <c r="K97" s="91"/>
      <c r="L97" s="91"/>
      <c r="M97" s="91"/>
      <c r="N97" s="91"/>
      <c r="O97" s="91"/>
      <c r="P97" s="91"/>
      <c r="Q97" s="91"/>
      <c r="R97" s="91"/>
      <c r="S97" s="92"/>
    </row>
    <row r="98" spans="1:19" ht="97.5" customHeight="1" x14ac:dyDescent="0.15">
      <c r="B98" s="88"/>
      <c r="C98" s="32" t="s">
        <v>75</v>
      </c>
      <c r="D98" s="93" t="s">
        <v>190</v>
      </c>
      <c r="E98" s="94"/>
      <c r="F98" s="94"/>
      <c r="G98" s="94"/>
      <c r="H98" s="94"/>
      <c r="I98" s="94"/>
      <c r="J98" s="94"/>
      <c r="K98" s="94"/>
      <c r="L98" s="94"/>
      <c r="M98" s="94"/>
      <c r="N98" s="94"/>
      <c r="O98" s="94"/>
      <c r="P98" s="94"/>
      <c r="Q98" s="94"/>
      <c r="R98" s="94"/>
      <c r="S98" s="95"/>
    </row>
    <row r="99" spans="1:19" ht="117.75" customHeight="1" x14ac:dyDescent="0.15">
      <c r="B99" s="89"/>
      <c r="C99" s="31" t="s">
        <v>76</v>
      </c>
      <c r="D99" s="96" t="s">
        <v>191</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85" t="s">
        <v>120</v>
      </c>
    </row>
    <row r="102" spans="1:19" ht="81.75" customHeight="1" x14ac:dyDescent="0.15">
      <c r="B102" s="99" t="s">
        <v>167</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P69:S75 Q25:S31 G58:I64 Q36:S42 G36:I42 Q47:S53 G25:I31 Q58:S64 G47:I53 F69:I75" xr:uid="{73476E23-FCBD-4BBA-A2A4-ABC95F93CADA}">
      <formula1>"○"</formula1>
    </dataValidation>
    <dataValidation type="list" allowBlank="1" showInputMessage="1" showErrorMessage="1" sqref="S32 S43 D32:G32 D43:G43" xr:uid="{B12C26B2-D51A-4F43-91EA-BB06C9B74AA8}">
      <formula1>"全学開講,一部開講"</formula1>
    </dataValidation>
    <dataValidation type="list" allowBlank="1" showInputMessage="1" showErrorMessage="1" sqref="K7 K12" xr:uid="{D11FD88A-2872-4EE9-94D3-3164D957DC0F}">
      <formula1>"学部・学科によって、修了要件は相違する,学部・学科によって、修了要件は相違しない"</formula1>
    </dataValidation>
    <dataValidation type="list" allowBlank="1" showInputMessage="1" showErrorMessage="1" sqref="F79:F86 P79:P86 G79:I80 G83:I86 Q83:S86 Q79:S80" xr:uid="{A1D89900-8F2B-4446-A3B7-41CEBDD458D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E08268A2-287D-485E-8EA5-A8E0C5D56AE1}">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9A01-723B-4595-BC20-17D04B3A9BA7}">
  <sheetPr>
    <pageSetUpPr fitToPage="1"/>
  </sheetPr>
  <dimension ref="A1:V110"/>
  <sheetViews>
    <sheetView showZeros="0" view="pageBreakPreview" zoomScaleNormal="100" zoomScaleSheetLayoutView="100" workbookViewId="0">
      <selection activeCell="D99" sqref="D99:S99"/>
    </sheetView>
  </sheetViews>
  <sheetFormatPr defaultColWidth="9" defaultRowHeight="18.75" customHeight="1" x14ac:dyDescent="0.15"/>
  <cols>
    <col min="1" max="1" width="2.5" style="85" customWidth="1"/>
    <col min="2" max="2" width="16.5" style="85" customWidth="1"/>
    <col min="3" max="19" width="5.625" style="85" customWidth="1"/>
    <col min="20" max="20" width="9" style="85"/>
    <col min="21" max="21" width="3.625" style="85" customWidth="1"/>
    <col min="22" max="22" width="48.625" style="85" hidden="1" customWidth="1"/>
    <col min="23" max="16384" width="9" style="85"/>
  </cols>
  <sheetData>
    <row r="1" spans="1:22" ht="18.600000000000001" customHeight="1" x14ac:dyDescent="0.15">
      <c r="R1" s="152" t="s">
        <v>157</v>
      </c>
      <c r="S1" s="152"/>
      <c r="T1" s="2" t="s">
        <v>109</v>
      </c>
    </row>
    <row r="2" spans="1:22" ht="18.75" customHeight="1" x14ac:dyDescent="0.15">
      <c r="B2" s="84" t="s">
        <v>108</v>
      </c>
      <c r="C2" s="131" t="s">
        <v>131</v>
      </c>
      <c r="D2" s="116"/>
      <c r="E2" s="116"/>
      <c r="F2" s="116"/>
      <c r="G2" s="116"/>
      <c r="H2" s="116"/>
      <c r="I2" s="117"/>
      <c r="J2" s="83"/>
      <c r="K2" s="6"/>
      <c r="L2" s="6"/>
      <c r="M2" s="6"/>
      <c r="N2" s="6"/>
      <c r="O2" s="6"/>
      <c r="P2" s="6"/>
      <c r="Q2" s="6"/>
      <c r="R2" s="6"/>
      <c r="S2" s="6"/>
    </row>
    <row r="3" spans="1:22" ht="18.75" customHeight="1" x14ac:dyDescent="0.15">
      <c r="B3" s="84" t="s">
        <v>102</v>
      </c>
      <c r="C3" s="131" t="s">
        <v>132</v>
      </c>
      <c r="D3" s="116"/>
      <c r="E3" s="116"/>
      <c r="F3" s="116"/>
      <c r="G3" s="116"/>
      <c r="H3" s="116"/>
      <c r="I3" s="117"/>
      <c r="J3" s="83"/>
      <c r="K3" s="6"/>
      <c r="L3" s="6"/>
      <c r="M3" s="6"/>
      <c r="N3" s="6"/>
      <c r="O3" s="6"/>
      <c r="P3" s="6"/>
      <c r="Q3" s="6"/>
      <c r="R3" s="6"/>
      <c r="S3" s="6"/>
    </row>
    <row r="4" spans="1:22" ht="15" customHeight="1" x14ac:dyDescent="0.15">
      <c r="K4" s="83"/>
      <c r="L4" s="36"/>
      <c r="M4" s="36"/>
      <c r="N4" s="36"/>
      <c r="O4" s="36"/>
      <c r="P4" s="36"/>
      <c r="Q4" s="36"/>
      <c r="R4" s="36"/>
      <c r="S4" s="36"/>
    </row>
    <row r="5" spans="1:22" ht="18" customHeight="1" x14ac:dyDescent="0.15">
      <c r="A5" s="153" t="s">
        <v>38</v>
      </c>
      <c r="B5" s="153"/>
      <c r="C5" s="153"/>
      <c r="D5" s="153"/>
      <c r="E5" s="153"/>
      <c r="F5" s="153"/>
      <c r="G5" s="153"/>
      <c r="H5" s="153"/>
      <c r="I5" s="153"/>
      <c r="J5" s="153"/>
      <c r="K5" s="153"/>
      <c r="L5" s="153"/>
      <c r="M5" s="153"/>
      <c r="N5" s="153"/>
      <c r="O5" s="153"/>
      <c r="P5" s="153"/>
      <c r="Q5" s="153"/>
      <c r="R5" s="153"/>
      <c r="S5" s="153"/>
    </row>
    <row r="6" spans="1:22" ht="15" customHeight="1" x14ac:dyDescent="0.15">
      <c r="B6" s="86"/>
      <c r="C6" s="86"/>
      <c r="D6" s="86"/>
      <c r="E6" s="86"/>
      <c r="F6" s="86"/>
      <c r="G6" s="86"/>
      <c r="H6" s="86"/>
      <c r="I6" s="86"/>
      <c r="J6" s="86"/>
      <c r="K6" s="86"/>
      <c r="L6" s="86"/>
      <c r="M6" s="86"/>
      <c r="N6" s="86"/>
      <c r="O6" s="86"/>
      <c r="P6" s="86"/>
      <c r="Q6" s="86"/>
      <c r="R6" s="86"/>
      <c r="S6" s="86"/>
    </row>
    <row r="7" spans="1:22" ht="18" customHeight="1" x14ac:dyDescent="0.15">
      <c r="A7" s="85" t="s">
        <v>124</v>
      </c>
      <c r="C7" s="86"/>
      <c r="J7" s="37" t="s">
        <v>107</v>
      </c>
      <c r="K7" s="154" t="s">
        <v>126</v>
      </c>
      <c r="L7" s="155"/>
      <c r="M7" s="155"/>
      <c r="N7" s="155"/>
      <c r="O7" s="155"/>
      <c r="P7" s="155"/>
      <c r="Q7" s="155"/>
      <c r="R7" s="155"/>
      <c r="S7" s="156"/>
    </row>
    <row r="8" spans="1:22" ht="6" customHeight="1" x14ac:dyDescent="0.15">
      <c r="B8" s="86"/>
      <c r="C8" s="86"/>
      <c r="D8" s="86"/>
      <c r="E8" s="86"/>
      <c r="F8" s="86"/>
      <c r="G8" s="86"/>
      <c r="H8" s="86"/>
      <c r="I8" s="86"/>
      <c r="J8" s="86"/>
      <c r="K8" s="10"/>
      <c r="L8" s="86"/>
      <c r="M8" s="86"/>
      <c r="N8" s="86"/>
      <c r="O8" s="86"/>
      <c r="P8" s="86"/>
      <c r="Q8" s="86"/>
      <c r="R8" s="86"/>
      <c r="S8" s="86"/>
    </row>
    <row r="9" spans="1:22" ht="18" customHeight="1" x14ac:dyDescent="0.15">
      <c r="B9" s="157" t="s">
        <v>163</v>
      </c>
      <c r="C9" s="158"/>
      <c r="D9" s="158"/>
      <c r="E9" s="158"/>
      <c r="F9" s="158"/>
      <c r="G9" s="158"/>
      <c r="H9" s="158"/>
      <c r="I9" s="158"/>
      <c r="J9" s="158"/>
      <c r="K9" s="158"/>
      <c r="L9" s="158"/>
      <c r="M9" s="158"/>
      <c r="N9" s="158"/>
      <c r="O9" s="158"/>
      <c r="P9" s="158"/>
      <c r="Q9" s="158"/>
      <c r="R9" s="158"/>
      <c r="S9" s="159"/>
    </row>
    <row r="10" spans="1:22" ht="18" customHeight="1" x14ac:dyDescent="0.15">
      <c r="B10" s="160"/>
      <c r="C10" s="161"/>
      <c r="D10" s="161"/>
      <c r="E10" s="161"/>
      <c r="F10" s="161"/>
      <c r="G10" s="161"/>
      <c r="H10" s="161"/>
      <c r="I10" s="161"/>
      <c r="J10" s="161"/>
      <c r="K10" s="161"/>
      <c r="L10" s="161"/>
      <c r="M10" s="161"/>
      <c r="N10" s="161"/>
      <c r="O10" s="161"/>
      <c r="P10" s="161"/>
      <c r="Q10" s="161"/>
      <c r="R10" s="161"/>
      <c r="S10" s="162"/>
    </row>
    <row r="11" spans="1:22" ht="6" customHeight="1" x14ac:dyDescent="0.15">
      <c r="B11" s="86"/>
      <c r="C11" s="86"/>
      <c r="D11" s="86"/>
      <c r="E11" s="86"/>
      <c r="F11" s="86"/>
      <c r="G11" s="86"/>
      <c r="H11" s="86"/>
      <c r="I11" s="86"/>
      <c r="J11" s="86"/>
      <c r="K11" s="10"/>
      <c r="L11" s="86"/>
      <c r="M11" s="86"/>
      <c r="N11" s="86"/>
      <c r="O11" s="86"/>
      <c r="P11" s="86"/>
      <c r="Q11" s="86"/>
      <c r="R11" s="86"/>
      <c r="S11" s="86"/>
    </row>
    <row r="12" spans="1:22" ht="18" customHeight="1" x14ac:dyDescent="0.15">
      <c r="A12" s="85" t="s">
        <v>111</v>
      </c>
      <c r="B12" s="86"/>
      <c r="C12" s="86"/>
      <c r="D12" s="83"/>
      <c r="E12" s="83"/>
      <c r="F12" s="83"/>
      <c r="G12" s="83"/>
      <c r="H12" s="83"/>
      <c r="I12" s="83"/>
      <c r="J12" s="83"/>
      <c r="K12" s="38"/>
      <c r="L12" s="38"/>
      <c r="M12" s="38"/>
      <c r="N12" s="38"/>
      <c r="O12" s="38"/>
      <c r="P12" s="38"/>
      <c r="Q12" s="38"/>
      <c r="R12" s="38"/>
      <c r="S12" s="38"/>
    </row>
    <row r="13" spans="1:22" ht="18" customHeight="1" x14ac:dyDescent="0.15">
      <c r="B13" s="140" t="s">
        <v>164</v>
      </c>
      <c r="C13" s="141"/>
      <c r="D13" s="141"/>
      <c r="E13" s="141"/>
      <c r="F13" s="141"/>
      <c r="G13" s="141"/>
      <c r="H13" s="141"/>
      <c r="I13" s="141"/>
      <c r="J13" s="141"/>
      <c r="K13" s="141"/>
      <c r="L13" s="141"/>
      <c r="M13" s="141"/>
      <c r="N13" s="141"/>
      <c r="O13" s="141"/>
      <c r="P13" s="141"/>
      <c r="Q13" s="141"/>
      <c r="R13" s="141"/>
      <c r="S13" s="142"/>
      <c r="V13" s="85" t="s">
        <v>103</v>
      </c>
    </row>
    <row r="14" spans="1:22" ht="18" customHeight="1" x14ac:dyDescent="0.15">
      <c r="B14" s="143"/>
      <c r="C14" s="144"/>
      <c r="D14" s="144"/>
      <c r="E14" s="144"/>
      <c r="F14" s="144"/>
      <c r="G14" s="144"/>
      <c r="H14" s="144"/>
      <c r="I14" s="144"/>
      <c r="J14" s="144"/>
      <c r="K14" s="144"/>
      <c r="L14" s="144"/>
      <c r="M14" s="144"/>
      <c r="N14" s="144"/>
      <c r="O14" s="144"/>
      <c r="P14" s="144"/>
      <c r="Q14" s="144"/>
      <c r="R14" s="144"/>
      <c r="S14" s="145"/>
      <c r="V14" s="85" t="s">
        <v>110</v>
      </c>
    </row>
    <row r="15" spans="1:22" ht="18" customHeight="1" x14ac:dyDescent="0.15">
      <c r="B15" s="143"/>
      <c r="C15" s="144"/>
      <c r="D15" s="144"/>
      <c r="E15" s="144"/>
      <c r="F15" s="144"/>
      <c r="G15" s="144"/>
      <c r="H15" s="144"/>
      <c r="I15" s="144"/>
      <c r="J15" s="144"/>
      <c r="K15" s="144"/>
      <c r="L15" s="144"/>
      <c r="M15" s="144"/>
      <c r="N15" s="144"/>
      <c r="O15" s="144"/>
      <c r="P15" s="144"/>
      <c r="Q15" s="144"/>
      <c r="R15" s="144"/>
      <c r="S15" s="145"/>
      <c r="V15" s="85" t="s">
        <v>123</v>
      </c>
    </row>
    <row r="16" spans="1:22" ht="18" customHeight="1" x14ac:dyDescent="0.15">
      <c r="B16" s="143"/>
      <c r="C16" s="144"/>
      <c r="D16" s="144"/>
      <c r="E16" s="144"/>
      <c r="F16" s="144"/>
      <c r="G16" s="144"/>
      <c r="H16" s="144"/>
      <c r="I16" s="144"/>
      <c r="J16" s="144"/>
      <c r="K16" s="144"/>
      <c r="L16" s="144"/>
      <c r="M16" s="144"/>
      <c r="N16" s="144"/>
      <c r="O16" s="144"/>
      <c r="P16" s="144"/>
      <c r="Q16" s="144"/>
      <c r="R16" s="144"/>
      <c r="S16" s="145"/>
      <c r="V16" s="85" t="s">
        <v>125</v>
      </c>
    </row>
    <row r="17" spans="1:19" ht="18" customHeight="1" x14ac:dyDescent="0.15">
      <c r="B17" s="143"/>
      <c r="C17" s="144"/>
      <c r="D17" s="144"/>
      <c r="E17" s="144"/>
      <c r="F17" s="144"/>
      <c r="G17" s="144"/>
      <c r="H17" s="144"/>
      <c r="I17" s="144"/>
      <c r="J17" s="144"/>
      <c r="K17" s="144"/>
      <c r="L17" s="144"/>
      <c r="M17" s="144"/>
      <c r="N17" s="144"/>
      <c r="O17" s="144"/>
      <c r="P17" s="144"/>
      <c r="Q17" s="144"/>
      <c r="R17" s="144"/>
      <c r="S17" s="145"/>
    </row>
    <row r="18" spans="1:19" ht="18" customHeight="1" x14ac:dyDescent="0.15">
      <c r="B18" s="146"/>
      <c r="C18" s="147"/>
      <c r="D18" s="147"/>
      <c r="E18" s="147"/>
      <c r="F18" s="147"/>
      <c r="G18" s="147"/>
      <c r="H18" s="147"/>
      <c r="I18" s="147"/>
      <c r="J18" s="147"/>
      <c r="K18" s="147"/>
      <c r="L18" s="147"/>
      <c r="M18" s="147"/>
      <c r="N18" s="147"/>
      <c r="O18" s="147"/>
      <c r="P18" s="147"/>
      <c r="Q18" s="147"/>
      <c r="R18" s="147"/>
      <c r="S18" s="148"/>
    </row>
    <row r="19" spans="1:19" ht="7.5" customHeight="1" x14ac:dyDescent="0.15">
      <c r="B19" s="86"/>
      <c r="C19" s="86"/>
      <c r="D19" s="86"/>
      <c r="E19" s="86"/>
      <c r="F19" s="86"/>
      <c r="G19" s="86"/>
      <c r="H19" s="86"/>
      <c r="I19" s="86"/>
      <c r="J19" s="86"/>
      <c r="K19" s="86"/>
      <c r="L19" s="86"/>
      <c r="M19" s="86"/>
      <c r="N19" s="86"/>
      <c r="O19" s="86"/>
      <c r="P19" s="86"/>
      <c r="Q19" s="86"/>
      <c r="R19" s="86"/>
      <c r="S19" s="86"/>
    </row>
    <row r="20" spans="1:19" ht="20.100000000000001" customHeight="1" x14ac:dyDescent="0.15">
      <c r="B20" s="85" t="s">
        <v>112</v>
      </c>
      <c r="C20" s="131">
        <v>6</v>
      </c>
      <c r="D20" s="117"/>
      <c r="E20" s="39" t="s">
        <v>95</v>
      </c>
      <c r="G20" s="10"/>
      <c r="H20" s="86"/>
      <c r="I20" s="86"/>
      <c r="J20" s="83" t="s">
        <v>121</v>
      </c>
      <c r="K20" s="149" t="s">
        <v>110</v>
      </c>
      <c r="L20" s="150"/>
      <c r="M20" s="150"/>
      <c r="N20" s="150"/>
      <c r="O20" s="150"/>
      <c r="P20" s="150"/>
      <c r="Q20" s="150"/>
      <c r="R20" s="150"/>
      <c r="S20" s="151"/>
    </row>
    <row r="21" spans="1:19" ht="7.5" customHeight="1" x14ac:dyDescent="0.15">
      <c r="B21" s="86"/>
      <c r="C21" s="86"/>
      <c r="D21" s="86"/>
      <c r="E21" s="86"/>
      <c r="F21" s="86"/>
      <c r="G21" s="86"/>
      <c r="H21" s="86"/>
      <c r="I21" s="86"/>
      <c r="J21" s="86"/>
      <c r="K21" s="86"/>
      <c r="L21" s="86"/>
      <c r="M21" s="86"/>
      <c r="N21" s="86"/>
      <c r="O21" s="86"/>
      <c r="P21" s="86"/>
      <c r="Q21" s="86"/>
      <c r="R21" s="86"/>
      <c r="S21" s="86"/>
    </row>
    <row r="22" spans="1:19" ht="18" customHeight="1" x14ac:dyDescent="0.15">
      <c r="A22" s="139" t="s">
        <v>113</v>
      </c>
      <c r="B22" s="139"/>
      <c r="C22" s="139"/>
      <c r="D22" s="139"/>
      <c r="E22" s="139"/>
      <c r="F22" s="139"/>
      <c r="G22" s="139"/>
      <c r="H22" s="139"/>
      <c r="I22" s="139"/>
      <c r="J22" s="139"/>
      <c r="K22" s="139"/>
      <c r="L22" s="139"/>
      <c r="M22" s="139"/>
      <c r="N22" s="139"/>
      <c r="O22" s="139"/>
      <c r="P22" s="139"/>
      <c r="Q22" s="139"/>
      <c r="R22" s="139"/>
      <c r="S22" s="139"/>
    </row>
    <row r="23" spans="1:19" ht="18" customHeight="1" x14ac:dyDescent="0.15">
      <c r="A23" s="139"/>
      <c r="B23" s="139"/>
      <c r="C23" s="139"/>
      <c r="D23" s="139"/>
      <c r="E23" s="139"/>
      <c r="F23" s="139"/>
      <c r="G23" s="139"/>
      <c r="H23" s="139"/>
      <c r="I23" s="139"/>
      <c r="J23" s="139"/>
      <c r="K23" s="139"/>
      <c r="L23" s="139"/>
      <c r="M23" s="139"/>
      <c r="N23" s="139"/>
      <c r="O23" s="139"/>
      <c r="P23" s="139"/>
      <c r="Q23" s="139"/>
      <c r="R23" s="139"/>
      <c r="S23" s="139"/>
    </row>
    <row r="24" spans="1:19" ht="18" customHeight="1" x14ac:dyDescent="0.15">
      <c r="B24" s="131" t="s">
        <v>53</v>
      </c>
      <c r="C24" s="116"/>
      <c r="D24" s="116"/>
      <c r="E24" s="117"/>
      <c r="F24" s="60" t="s">
        <v>80</v>
      </c>
      <c r="G24" s="59" t="s">
        <v>84</v>
      </c>
      <c r="H24" s="21" t="s">
        <v>56</v>
      </c>
      <c r="I24" s="21" t="s">
        <v>59</v>
      </c>
      <c r="J24" s="131" t="s">
        <v>53</v>
      </c>
      <c r="K24" s="116"/>
      <c r="L24" s="116"/>
      <c r="M24" s="116"/>
      <c r="N24" s="116"/>
      <c r="O24" s="117"/>
      <c r="P24" s="60" t="s">
        <v>80</v>
      </c>
      <c r="Q24" s="59" t="s">
        <v>84</v>
      </c>
      <c r="R24" s="21" t="s">
        <v>56</v>
      </c>
      <c r="S24" s="21" t="s">
        <v>59</v>
      </c>
    </row>
    <row r="25" spans="1:19" ht="18" customHeight="1" x14ac:dyDescent="0.15">
      <c r="B25" s="121" t="s">
        <v>165</v>
      </c>
      <c r="C25" s="94"/>
      <c r="D25" s="94"/>
      <c r="E25" s="95"/>
      <c r="F25" s="23">
        <v>2</v>
      </c>
      <c r="G25" s="23" t="s">
        <v>127</v>
      </c>
      <c r="H25" s="23" t="s">
        <v>127</v>
      </c>
      <c r="I25" s="23" t="s">
        <v>127</v>
      </c>
      <c r="J25" s="135"/>
      <c r="K25" s="91"/>
      <c r="L25" s="91"/>
      <c r="M25" s="91"/>
      <c r="N25" s="91"/>
      <c r="O25" s="92"/>
      <c r="P25" s="22"/>
      <c r="Q25" s="22"/>
      <c r="R25" s="22"/>
      <c r="S25" s="22"/>
    </row>
    <row r="26" spans="1:19" ht="18" customHeight="1" x14ac:dyDescent="0.15">
      <c r="B26" s="121"/>
      <c r="C26" s="94"/>
      <c r="D26" s="94"/>
      <c r="E26" s="95"/>
      <c r="F26" s="23"/>
      <c r="G26" s="23"/>
      <c r="H26" s="23"/>
      <c r="I26" s="23"/>
      <c r="J26" s="121"/>
      <c r="K26" s="94"/>
      <c r="L26" s="94"/>
      <c r="M26" s="94"/>
      <c r="N26" s="94"/>
      <c r="O26" s="95"/>
      <c r="P26" s="23"/>
      <c r="Q26" s="23"/>
      <c r="R26" s="23"/>
      <c r="S26" s="23"/>
    </row>
    <row r="27" spans="1:19" ht="18" customHeight="1" x14ac:dyDescent="0.15">
      <c r="B27" s="121"/>
      <c r="C27" s="94"/>
      <c r="D27" s="94"/>
      <c r="E27" s="95"/>
      <c r="F27" s="23"/>
      <c r="G27" s="23"/>
      <c r="H27" s="23"/>
      <c r="I27" s="23"/>
      <c r="J27" s="121"/>
      <c r="K27" s="94"/>
      <c r="L27" s="94"/>
      <c r="M27" s="94"/>
      <c r="N27" s="94"/>
      <c r="O27" s="95"/>
      <c r="P27" s="23"/>
      <c r="Q27" s="23"/>
      <c r="R27" s="23"/>
      <c r="S27" s="23"/>
    </row>
    <row r="28" spans="1:19" ht="18" customHeight="1" x14ac:dyDescent="0.15">
      <c r="B28" s="121"/>
      <c r="C28" s="94"/>
      <c r="D28" s="94"/>
      <c r="E28" s="95"/>
      <c r="F28" s="23"/>
      <c r="G28" s="23"/>
      <c r="H28" s="23"/>
      <c r="I28" s="23"/>
      <c r="J28" s="121"/>
      <c r="K28" s="94"/>
      <c r="L28" s="94"/>
      <c r="M28" s="94"/>
      <c r="N28" s="94"/>
      <c r="O28" s="95"/>
      <c r="P28" s="23"/>
      <c r="Q28" s="23"/>
      <c r="R28" s="23"/>
      <c r="S28" s="23"/>
    </row>
    <row r="29" spans="1:19" ht="18" customHeight="1" x14ac:dyDescent="0.15">
      <c r="B29" s="121"/>
      <c r="C29" s="94"/>
      <c r="D29" s="94"/>
      <c r="E29" s="95"/>
      <c r="F29" s="23"/>
      <c r="G29" s="23"/>
      <c r="H29" s="23"/>
      <c r="I29" s="23"/>
      <c r="J29" s="121"/>
      <c r="K29" s="94"/>
      <c r="L29" s="94"/>
      <c r="M29" s="94"/>
      <c r="N29" s="94"/>
      <c r="O29" s="95"/>
      <c r="P29" s="23"/>
      <c r="Q29" s="23"/>
      <c r="R29" s="23"/>
      <c r="S29" s="23"/>
    </row>
    <row r="30" spans="1:19" ht="18" customHeight="1" x14ac:dyDescent="0.15">
      <c r="A30" s="86"/>
      <c r="B30" s="121"/>
      <c r="C30" s="94"/>
      <c r="D30" s="94"/>
      <c r="E30" s="95"/>
      <c r="F30" s="23"/>
      <c r="G30" s="23"/>
      <c r="H30" s="23"/>
      <c r="I30" s="23"/>
      <c r="J30" s="121"/>
      <c r="K30" s="94"/>
      <c r="L30" s="94"/>
      <c r="M30" s="94"/>
      <c r="N30" s="94"/>
      <c r="O30" s="95"/>
      <c r="P30" s="23"/>
      <c r="Q30" s="23"/>
      <c r="R30" s="23"/>
      <c r="S30" s="23"/>
    </row>
    <row r="31" spans="1:19" ht="18" customHeight="1" x14ac:dyDescent="0.15">
      <c r="A31" s="86"/>
      <c r="B31" s="125"/>
      <c r="C31" s="126"/>
      <c r="D31" s="126"/>
      <c r="E31" s="127"/>
      <c r="F31" s="24"/>
      <c r="G31" s="24"/>
      <c r="H31" s="25"/>
      <c r="I31" s="25"/>
      <c r="J31" s="125"/>
      <c r="K31" s="126"/>
      <c r="L31" s="126"/>
      <c r="M31" s="126"/>
      <c r="N31" s="126"/>
      <c r="O31" s="127"/>
      <c r="P31" s="24"/>
      <c r="Q31" s="24"/>
      <c r="R31" s="25"/>
      <c r="S31" s="25"/>
    </row>
    <row r="32" spans="1:19" ht="7.5" customHeight="1" x14ac:dyDescent="0.15">
      <c r="A32" s="86"/>
      <c r="B32" s="6"/>
      <c r="C32" s="6"/>
      <c r="D32" s="86"/>
      <c r="E32" s="86"/>
      <c r="F32" s="86"/>
      <c r="G32" s="86"/>
      <c r="H32" s="6"/>
      <c r="I32" s="6"/>
      <c r="J32" s="6"/>
      <c r="K32" s="6"/>
      <c r="L32" s="6"/>
      <c r="M32" s="6"/>
      <c r="N32" s="6"/>
      <c r="O32" s="6"/>
      <c r="P32" s="6"/>
      <c r="Q32" s="6"/>
      <c r="R32" s="6"/>
      <c r="S32" s="86"/>
    </row>
    <row r="33" spans="1:19" ht="18" customHeight="1" x14ac:dyDescent="0.15">
      <c r="A33" s="139" t="s">
        <v>114</v>
      </c>
      <c r="B33" s="139"/>
      <c r="C33" s="139"/>
      <c r="D33" s="139"/>
      <c r="E33" s="139"/>
      <c r="F33" s="139"/>
      <c r="G33" s="139"/>
      <c r="H33" s="139"/>
      <c r="I33" s="139"/>
      <c r="J33" s="139"/>
      <c r="K33" s="139"/>
      <c r="L33" s="139"/>
      <c r="M33" s="139"/>
      <c r="N33" s="139"/>
      <c r="O33" s="139"/>
      <c r="P33" s="139"/>
      <c r="Q33" s="139"/>
      <c r="R33" s="139"/>
      <c r="S33" s="139"/>
    </row>
    <row r="34" spans="1:19" ht="18" customHeight="1" x14ac:dyDescent="0.15">
      <c r="A34" s="139"/>
      <c r="B34" s="139"/>
      <c r="C34" s="139"/>
      <c r="D34" s="139"/>
      <c r="E34" s="139"/>
      <c r="F34" s="139"/>
      <c r="G34" s="139"/>
      <c r="H34" s="139"/>
      <c r="I34" s="139"/>
      <c r="J34" s="139"/>
      <c r="K34" s="139"/>
      <c r="L34" s="139"/>
      <c r="M34" s="139"/>
      <c r="N34" s="139"/>
      <c r="O34" s="139"/>
      <c r="P34" s="139"/>
      <c r="Q34" s="139"/>
      <c r="R34" s="139"/>
      <c r="S34" s="139"/>
    </row>
    <row r="35" spans="1:19" ht="18" customHeight="1" x14ac:dyDescent="0.15">
      <c r="B35" s="131" t="s">
        <v>53</v>
      </c>
      <c r="C35" s="116"/>
      <c r="D35" s="116"/>
      <c r="E35" s="117"/>
      <c r="F35" s="60" t="s">
        <v>80</v>
      </c>
      <c r="G35" s="59" t="s">
        <v>84</v>
      </c>
      <c r="H35" s="21" t="s">
        <v>71</v>
      </c>
      <c r="I35" s="21" t="s">
        <v>72</v>
      </c>
      <c r="J35" s="131" t="s">
        <v>53</v>
      </c>
      <c r="K35" s="116"/>
      <c r="L35" s="116"/>
      <c r="M35" s="116"/>
      <c r="N35" s="116"/>
      <c r="O35" s="117"/>
      <c r="P35" s="60" t="s">
        <v>80</v>
      </c>
      <c r="Q35" s="59" t="s">
        <v>84</v>
      </c>
      <c r="R35" s="21" t="s">
        <v>71</v>
      </c>
      <c r="S35" s="21" t="s">
        <v>72</v>
      </c>
    </row>
    <row r="36" spans="1:19" ht="18" customHeight="1" x14ac:dyDescent="0.15">
      <c r="B36" s="121" t="s">
        <v>165</v>
      </c>
      <c r="C36" s="94"/>
      <c r="D36" s="94"/>
      <c r="E36" s="95"/>
      <c r="F36" s="23">
        <v>2</v>
      </c>
      <c r="G36" s="23" t="s">
        <v>127</v>
      </c>
      <c r="H36" s="23" t="s">
        <v>127</v>
      </c>
      <c r="I36" s="23" t="s">
        <v>127</v>
      </c>
      <c r="J36" s="135"/>
      <c r="K36" s="91"/>
      <c r="L36" s="91"/>
      <c r="M36" s="91"/>
      <c r="N36" s="91"/>
      <c r="O36" s="92"/>
      <c r="P36" s="22"/>
      <c r="Q36" s="22"/>
      <c r="R36" s="22"/>
      <c r="S36" s="22"/>
    </row>
    <row r="37" spans="1:19" ht="18" customHeight="1" x14ac:dyDescent="0.15">
      <c r="B37" s="121"/>
      <c r="C37" s="94"/>
      <c r="D37" s="94"/>
      <c r="E37" s="95"/>
      <c r="F37" s="23"/>
      <c r="G37" s="23"/>
      <c r="H37" s="23"/>
      <c r="I37" s="23"/>
      <c r="J37" s="121"/>
      <c r="K37" s="94"/>
      <c r="L37" s="94"/>
      <c r="M37" s="94"/>
      <c r="N37" s="94"/>
      <c r="O37" s="95"/>
      <c r="P37" s="23"/>
      <c r="Q37" s="23"/>
      <c r="R37" s="23"/>
      <c r="S37" s="23"/>
    </row>
    <row r="38" spans="1:19" ht="18" customHeight="1" x14ac:dyDescent="0.15">
      <c r="B38" s="121"/>
      <c r="C38" s="94"/>
      <c r="D38" s="94"/>
      <c r="E38" s="95"/>
      <c r="F38" s="23"/>
      <c r="G38" s="23"/>
      <c r="H38" s="23"/>
      <c r="I38" s="23"/>
      <c r="J38" s="121"/>
      <c r="K38" s="94"/>
      <c r="L38" s="94"/>
      <c r="M38" s="94"/>
      <c r="N38" s="94"/>
      <c r="O38" s="95"/>
      <c r="P38" s="23"/>
      <c r="Q38" s="23"/>
      <c r="R38" s="23"/>
      <c r="S38" s="23"/>
    </row>
    <row r="39" spans="1:19" ht="18" customHeight="1" x14ac:dyDescent="0.15">
      <c r="B39" s="121"/>
      <c r="C39" s="94"/>
      <c r="D39" s="94"/>
      <c r="E39" s="95"/>
      <c r="F39" s="23"/>
      <c r="G39" s="23"/>
      <c r="H39" s="23"/>
      <c r="I39" s="23"/>
      <c r="J39" s="121"/>
      <c r="K39" s="94"/>
      <c r="L39" s="94"/>
      <c r="M39" s="94"/>
      <c r="N39" s="94"/>
      <c r="O39" s="95"/>
      <c r="P39" s="23"/>
      <c r="Q39" s="23"/>
      <c r="R39" s="23"/>
      <c r="S39" s="23"/>
    </row>
    <row r="40" spans="1:19" ht="18" customHeight="1" x14ac:dyDescent="0.15">
      <c r="B40" s="121"/>
      <c r="C40" s="94"/>
      <c r="D40" s="94"/>
      <c r="E40" s="95"/>
      <c r="F40" s="23"/>
      <c r="G40" s="23"/>
      <c r="H40" s="23"/>
      <c r="I40" s="23"/>
      <c r="J40" s="121"/>
      <c r="K40" s="94"/>
      <c r="L40" s="94"/>
      <c r="M40" s="94"/>
      <c r="N40" s="94"/>
      <c r="O40" s="95"/>
      <c r="P40" s="23"/>
      <c r="Q40" s="23"/>
      <c r="R40" s="23"/>
      <c r="S40" s="23"/>
    </row>
    <row r="41" spans="1:19" ht="18" customHeight="1" x14ac:dyDescent="0.15">
      <c r="B41" s="121"/>
      <c r="C41" s="94"/>
      <c r="D41" s="94"/>
      <c r="E41" s="95"/>
      <c r="F41" s="23"/>
      <c r="G41" s="23"/>
      <c r="H41" s="23"/>
      <c r="I41" s="23"/>
      <c r="J41" s="121"/>
      <c r="K41" s="94"/>
      <c r="L41" s="94"/>
      <c r="M41" s="94"/>
      <c r="N41" s="94"/>
      <c r="O41" s="95"/>
      <c r="P41" s="23"/>
      <c r="Q41" s="23"/>
      <c r="R41" s="23"/>
      <c r="S41" s="23"/>
    </row>
    <row r="42" spans="1:19" ht="18" customHeight="1" x14ac:dyDescent="0.15">
      <c r="B42" s="125"/>
      <c r="C42" s="126"/>
      <c r="D42" s="126"/>
      <c r="E42" s="127"/>
      <c r="F42" s="24"/>
      <c r="G42" s="24"/>
      <c r="H42" s="25"/>
      <c r="I42" s="25"/>
      <c r="J42" s="125"/>
      <c r="K42" s="126"/>
      <c r="L42" s="126"/>
      <c r="M42" s="126"/>
      <c r="N42" s="126"/>
      <c r="O42" s="127"/>
      <c r="P42" s="24"/>
      <c r="Q42" s="24"/>
      <c r="R42" s="25"/>
      <c r="S42" s="25"/>
    </row>
    <row r="43" spans="1:19" ht="7.5" customHeight="1" x14ac:dyDescent="0.15">
      <c r="A43" s="86"/>
      <c r="B43" s="6"/>
      <c r="C43" s="6"/>
      <c r="D43" s="86"/>
      <c r="E43" s="86"/>
      <c r="F43" s="86"/>
      <c r="G43" s="86"/>
      <c r="H43" s="6"/>
      <c r="I43" s="6"/>
      <c r="J43" s="6"/>
      <c r="K43" s="6"/>
      <c r="L43" s="6"/>
      <c r="M43" s="6"/>
      <c r="N43" s="6"/>
      <c r="O43" s="6"/>
      <c r="P43" s="6"/>
      <c r="Q43" s="6"/>
      <c r="R43" s="6"/>
      <c r="S43" s="86"/>
    </row>
    <row r="44" spans="1:19" ht="18" customHeight="1" x14ac:dyDescent="0.15">
      <c r="A44" s="139" t="s">
        <v>115</v>
      </c>
      <c r="B44" s="139"/>
      <c r="C44" s="139"/>
      <c r="D44" s="139"/>
      <c r="E44" s="139"/>
      <c r="F44" s="139"/>
      <c r="G44" s="139"/>
      <c r="H44" s="139"/>
      <c r="I44" s="139"/>
      <c r="J44" s="139"/>
      <c r="K44" s="139"/>
      <c r="L44" s="139"/>
      <c r="M44" s="139"/>
      <c r="N44" s="139"/>
      <c r="O44" s="139"/>
      <c r="P44" s="139"/>
      <c r="Q44" s="139"/>
      <c r="R44" s="139"/>
      <c r="S44" s="139"/>
    </row>
    <row r="45" spans="1:19" ht="18" customHeight="1" x14ac:dyDescent="0.15">
      <c r="A45" s="139"/>
      <c r="B45" s="139"/>
      <c r="C45" s="139"/>
      <c r="D45" s="139"/>
      <c r="E45" s="139"/>
      <c r="F45" s="139"/>
      <c r="G45" s="139"/>
      <c r="H45" s="139"/>
      <c r="I45" s="139"/>
      <c r="J45" s="139"/>
      <c r="K45" s="139"/>
      <c r="L45" s="139"/>
      <c r="M45" s="139"/>
      <c r="N45" s="139"/>
      <c r="O45" s="139"/>
      <c r="P45" s="139"/>
      <c r="Q45" s="139"/>
      <c r="R45" s="139"/>
      <c r="S45" s="139"/>
    </row>
    <row r="46" spans="1:19" ht="18" customHeight="1" x14ac:dyDescent="0.15">
      <c r="B46" s="131" t="s">
        <v>53</v>
      </c>
      <c r="C46" s="116"/>
      <c r="D46" s="116"/>
      <c r="E46" s="117"/>
      <c r="F46" s="60" t="s">
        <v>80</v>
      </c>
      <c r="G46" s="59" t="s">
        <v>84</v>
      </c>
      <c r="H46" s="21" t="s">
        <v>73</v>
      </c>
      <c r="I46" s="21" t="s">
        <v>74</v>
      </c>
      <c r="J46" s="131" t="s">
        <v>53</v>
      </c>
      <c r="K46" s="116"/>
      <c r="L46" s="116"/>
      <c r="M46" s="116"/>
      <c r="N46" s="116"/>
      <c r="O46" s="117"/>
      <c r="P46" s="60" t="s">
        <v>80</v>
      </c>
      <c r="Q46" s="59" t="s">
        <v>84</v>
      </c>
      <c r="R46" s="21" t="s">
        <v>73</v>
      </c>
      <c r="S46" s="21" t="s">
        <v>74</v>
      </c>
    </row>
    <row r="47" spans="1:19" ht="18" customHeight="1" x14ac:dyDescent="0.15">
      <c r="A47" s="86"/>
      <c r="B47" s="121" t="s">
        <v>165</v>
      </c>
      <c r="C47" s="94"/>
      <c r="D47" s="94"/>
      <c r="E47" s="95"/>
      <c r="F47" s="23">
        <v>2</v>
      </c>
      <c r="G47" s="23" t="s">
        <v>127</v>
      </c>
      <c r="H47" s="23" t="s">
        <v>127</v>
      </c>
      <c r="I47" s="23" t="s">
        <v>127</v>
      </c>
      <c r="J47" s="135"/>
      <c r="K47" s="91"/>
      <c r="L47" s="91"/>
      <c r="M47" s="91"/>
      <c r="N47" s="91"/>
      <c r="O47" s="92"/>
      <c r="P47" s="22"/>
      <c r="Q47" s="22"/>
      <c r="R47" s="22"/>
      <c r="S47" s="22"/>
    </row>
    <row r="48" spans="1:19" ht="18" customHeight="1" x14ac:dyDescent="0.15">
      <c r="A48" s="86"/>
      <c r="B48" s="121"/>
      <c r="C48" s="94"/>
      <c r="D48" s="94"/>
      <c r="E48" s="95"/>
      <c r="F48" s="23"/>
      <c r="G48" s="23"/>
      <c r="H48" s="23"/>
      <c r="I48" s="23"/>
      <c r="J48" s="121"/>
      <c r="K48" s="94"/>
      <c r="L48" s="94"/>
      <c r="M48" s="94"/>
      <c r="N48" s="94"/>
      <c r="O48" s="95"/>
      <c r="P48" s="23"/>
      <c r="Q48" s="23"/>
      <c r="R48" s="23"/>
      <c r="S48" s="23"/>
    </row>
    <row r="49" spans="1:19" ht="18" customHeight="1" x14ac:dyDescent="0.15">
      <c r="A49" s="86"/>
      <c r="B49" s="121"/>
      <c r="C49" s="94"/>
      <c r="D49" s="94"/>
      <c r="E49" s="95"/>
      <c r="F49" s="23"/>
      <c r="G49" s="23"/>
      <c r="H49" s="23"/>
      <c r="I49" s="23"/>
      <c r="J49" s="121"/>
      <c r="K49" s="94"/>
      <c r="L49" s="94"/>
      <c r="M49" s="94"/>
      <c r="N49" s="94"/>
      <c r="O49" s="95"/>
      <c r="P49" s="23"/>
      <c r="Q49" s="23"/>
      <c r="R49" s="23"/>
      <c r="S49" s="23"/>
    </row>
    <row r="50" spans="1:19" ht="18" customHeight="1" x14ac:dyDescent="0.15">
      <c r="A50" s="86"/>
      <c r="B50" s="121"/>
      <c r="C50" s="94"/>
      <c r="D50" s="94"/>
      <c r="E50" s="95"/>
      <c r="F50" s="23"/>
      <c r="G50" s="23"/>
      <c r="H50" s="23"/>
      <c r="I50" s="23"/>
      <c r="J50" s="121"/>
      <c r="K50" s="94"/>
      <c r="L50" s="94"/>
      <c r="M50" s="94"/>
      <c r="N50" s="94"/>
      <c r="O50" s="95"/>
      <c r="P50" s="23"/>
      <c r="Q50" s="23"/>
      <c r="R50" s="23"/>
      <c r="S50" s="23"/>
    </row>
    <row r="51" spans="1:19" ht="18" customHeight="1" x14ac:dyDescent="0.15">
      <c r="A51" s="86"/>
      <c r="B51" s="121"/>
      <c r="C51" s="94"/>
      <c r="D51" s="94"/>
      <c r="E51" s="95"/>
      <c r="F51" s="23"/>
      <c r="G51" s="23"/>
      <c r="H51" s="23"/>
      <c r="I51" s="23"/>
      <c r="J51" s="121"/>
      <c r="K51" s="94"/>
      <c r="L51" s="94"/>
      <c r="M51" s="94"/>
      <c r="N51" s="94"/>
      <c r="O51" s="95"/>
      <c r="P51" s="23"/>
      <c r="Q51" s="23"/>
      <c r="R51" s="23"/>
      <c r="S51" s="23"/>
    </row>
    <row r="52" spans="1:19" ht="18" customHeight="1" x14ac:dyDescent="0.15">
      <c r="A52" s="86"/>
      <c r="B52" s="121"/>
      <c r="C52" s="94"/>
      <c r="D52" s="94"/>
      <c r="E52" s="95"/>
      <c r="F52" s="23"/>
      <c r="G52" s="23"/>
      <c r="H52" s="23"/>
      <c r="I52" s="23"/>
      <c r="J52" s="121"/>
      <c r="K52" s="94"/>
      <c r="L52" s="94"/>
      <c r="M52" s="94"/>
      <c r="N52" s="94"/>
      <c r="O52" s="95"/>
      <c r="P52" s="23"/>
      <c r="Q52" s="23"/>
      <c r="R52" s="23"/>
      <c r="S52" s="23"/>
    </row>
    <row r="53" spans="1:19" ht="18" customHeight="1" x14ac:dyDescent="0.15">
      <c r="A53" s="86"/>
      <c r="B53" s="125"/>
      <c r="C53" s="126"/>
      <c r="D53" s="126"/>
      <c r="E53" s="127"/>
      <c r="F53" s="24"/>
      <c r="G53" s="24"/>
      <c r="H53" s="25"/>
      <c r="I53" s="25"/>
      <c r="J53" s="125"/>
      <c r="K53" s="126"/>
      <c r="L53" s="126"/>
      <c r="M53" s="126"/>
      <c r="N53" s="126"/>
      <c r="O53" s="127"/>
      <c r="P53" s="24"/>
      <c r="Q53" s="24"/>
      <c r="R53" s="25"/>
      <c r="S53" s="25"/>
    </row>
    <row r="54" spans="1:19" ht="7.5" customHeight="1" x14ac:dyDescent="0.15">
      <c r="B54" s="82"/>
      <c r="C54" s="82"/>
      <c r="D54" s="82"/>
      <c r="E54" s="82"/>
      <c r="F54" s="82"/>
      <c r="G54" s="82"/>
      <c r="H54" s="82"/>
      <c r="I54" s="82"/>
      <c r="J54" s="82"/>
      <c r="K54" s="82"/>
      <c r="L54" s="82"/>
      <c r="M54" s="82"/>
      <c r="N54" s="82"/>
      <c r="O54" s="82"/>
      <c r="P54" s="82"/>
      <c r="Q54" s="82"/>
      <c r="R54" s="82"/>
    </row>
    <row r="55" spans="1:19" ht="18" customHeight="1" x14ac:dyDescent="0.15">
      <c r="A55" s="139" t="s">
        <v>116</v>
      </c>
      <c r="B55" s="139"/>
      <c r="C55" s="139"/>
      <c r="D55" s="139"/>
      <c r="E55" s="139"/>
      <c r="F55" s="139"/>
      <c r="G55" s="139"/>
      <c r="H55" s="139"/>
      <c r="I55" s="139"/>
      <c r="J55" s="139"/>
      <c r="K55" s="139"/>
      <c r="L55" s="139"/>
      <c r="M55" s="139"/>
      <c r="N55" s="139"/>
      <c r="O55" s="139"/>
      <c r="P55" s="139"/>
      <c r="Q55" s="139"/>
      <c r="R55" s="139"/>
      <c r="S55" s="139"/>
    </row>
    <row r="56" spans="1:19" ht="18" customHeight="1" x14ac:dyDescent="0.15">
      <c r="A56" s="139"/>
      <c r="B56" s="139"/>
      <c r="C56" s="139"/>
      <c r="D56" s="139"/>
      <c r="E56" s="139"/>
      <c r="F56" s="139"/>
      <c r="G56" s="139"/>
      <c r="H56" s="139"/>
      <c r="I56" s="139"/>
      <c r="J56" s="139"/>
      <c r="K56" s="139"/>
      <c r="L56" s="139"/>
      <c r="M56" s="139"/>
      <c r="N56" s="139"/>
      <c r="O56" s="139"/>
      <c r="P56" s="139"/>
      <c r="Q56" s="139"/>
      <c r="R56" s="139"/>
      <c r="S56" s="139"/>
    </row>
    <row r="57" spans="1:19" ht="18" customHeight="1" x14ac:dyDescent="0.15">
      <c r="B57" s="131" t="s">
        <v>53</v>
      </c>
      <c r="C57" s="116"/>
      <c r="D57" s="116"/>
      <c r="E57" s="117"/>
      <c r="F57" s="60" t="s">
        <v>80</v>
      </c>
      <c r="G57" s="59" t="s">
        <v>84</v>
      </c>
      <c r="H57" s="21" t="s">
        <v>58</v>
      </c>
      <c r="I57" s="21" t="s">
        <v>60</v>
      </c>
      <c r="J57" s="131" t="s">
        <v>53</v>
      </c>
      <c r="K57" s="116"/>
      <c r="L57" s="116"/>
      <c r="M57" s="116"/>
      <c r="N57" s="116"/>
      <c r="O57" s="117"/>
      <c r="P57" s="60" t="s">
        <v>80</v>
      </c>
      <c r="Q57" s="59" t="s">
        <v>84</v>
      </c>
      <c r="R57" s="21" t="s">
        <v>58</v>
      </c>
      <c r="S57" s="21" t="s">
        <v>60</v>
      </c>
    </row>
    <row r="58" spans="1:19" ht="18" customHeight="1" x14ac:dyDescent="0.15">
      <c r="A58" s="86"/>
      <c r="B58" s="121" t="s">
        <v>165</v>
      </c>
      <c r="C58" s="94"/>
      <c r="D58" s="94"/>
      <c r="E58" s="95"/>
      <c r="F58" s="23">
        <v>2</v>
      </c>
      <c r="G58" s="23" t="s">
        <v>127</v>
      </c>
      <c r="H58" s="23" t="s">
        <v>127</v>
      </c>
      <c r="I58" s="23" t="s">
        <v>127</v>
      </c>
      <c r="J58" s="135"/>
      <c r="K58" s="91"/>
      <c r="L58" s="91"/>
      <c r="M58" s="91"/>
      <c r="N58" s="91"/>
      <c r="O58" s="92"/>
      <c r="P58" s="22"/>
      <c r="Q58" s="22"/>
      <c r="R58" s="22"/>
      <c r="S58" s="22"/>
    </row>
    <row r="59" spans="1:19" ht="18" customHeight="1" x14ac:dyDescent="0.15">
      <c r="A59" s="86"/>
      <c r="B59" s="121"/>
      <c r="C59" s="94"/>
      <c r="D59" s="94"/>
      <c r="E59" s="95"/>
      <c r="F59" s="23"/>
      <c r="G59" s="23"/>
      <c r="H59" s="23"/>
      <c r="I59" s="23"/>
      <c r="J59" s="121"/>
      <c r="K59" s="94"/>
      <c r="L59" s="94"/>
      <c r="M59" s="94"/>
      <c r="N59" s="94"/>
      <c r="O59" s="95"/>
      <c r="P59" s="23"/>
      <c r="Q59" s="23"/>
      <c r="R59" s="23"/>
      <c r="S59" s="23"/>
    </row>
    <row r="60" spans="1:19" ht="18" customHeight="1" x14ac:dyDescent="0.15">
      <c r="A60" s="86"/>
      <c r="B60" s="121"/>
      <c r="C60" s="94"/>
      <c r="D60" s="94"/>
      <c r="E60" s="95"/>
      <c r="F60" s="23"/>
      <c r="G60" s="23"/>
      <c r="H60" s="23"/>
      <c r="I60" s="23"/>
      <c r="J60" s="121"/>
      <c r="K60" s="94"/>
      <c r="L60" s="94"/>
      <c r="M60" s="94"/>
      <c r="N60" s="94"/>
      <c r="O60" s="95"/>
      <c r="P60" s="23"/>
      <c r="Q60" s="23"/>
      <c r="R60" s="23"/>
      <c r="S60" s="23"/>
    </row>
    <row r="61" spans="1:19" ht="18" customHeight="1" x14ac:dyDescent="0.15">
      <c r="A61" s="86"/>
      <c r="B61" s="121"/>
      <c r="C61" s="94"/>
      <c r="D61" s="94"/>
      <c r="E61" s="95"/>
      <c r="F61" s="23"/>
      <c r="G61" s="23"/>
      <c r="H61" s="23"/>
      <c r="I61" s="23"/>
      <c r="J61" s="121"/>
      <c r="K61" s="94"/>
      <c r="L61" s="94"/>
      <c r="M61" s="94"/>
      <c r="N61" s="94"/>
      <c r="O61" s="95"/>
      <c r="P61" s="23"/>
      <c r="Q61" s="23"/>
      <c r="R61" s="23"/>
      <c r="S61" s="23"/>
    </row>
    <row r="62" spans="1:19" ht="18" customHeight="1" x14ac:dyDescent="0.15">
      <c r="A62" s="86"/>
      <c r="B62" s="121"/>
      <c r="C62" s="94"/>
      <c r="D62" s="94"/>
      <c r="E62" s="95"/>
      <c r="F62" s="23"/>
      <c r="G62" s="23"/>
      <c r="H62" s="23"/>
      <c r="I62" s="23"/>
      <c r="J62" s="121"/>
      <c r="K62" s="94"/>
      <c r="L62" s="94"/>
      <c r="M62" s="94"/>
      <c r="N62" s="94"/>
      <c r="O62" s="95"/>
      <c r="P62" s="23"/>
      <c r="Q62" s="23"/>
      <c r="R62" s="23"/>
      <c r="S62" s="23"/>
    </row>
    <row r="63" spans="1:19" ht="18" customHeight="1" x14ac:dyDescent="0.15">
      <c r="A63" s="86"/>
      <c r="B63" s="121"/>
      <c r="C63" s="94"/>
      <c r="D63" s="94"/>
      <c r="E63" s="95"/>
      <c r="F63" s="23"/>
      <c r="G63" s="23"/>
      <c r="H63" s="23"/>
      <c r="I63" s="23"/>
      <c r="J63" s="121"/>
      <c r="K63" s="94"/>
      <c r="L63" s="94"/>
      <c r="M63" s="94"/>
      <c r="N63" s="94"/>
      <c r="O63" s="95"/>
      <c r="P63" s="23"/>
      <c r="Q63" s="23"/>
      <c r="R63" s="23"/>
      <c r="S63" s="23"/>
    </row>
    <row r="64" spans="1:19" ht="18" customHeight="1" x14ac:dyDescent="0.15">
      <c r="A64" s="86"/>
      <c r="B64" s="125"/>
      <c r="C64" s="126"/>
      <c r="D64" s="126"/>
      <c r="E64" s="127"/>
      <c r="F64" s="24"/>
      <c r="G64" s="24"/>
      <c r="H64" s="25"/>
      <c r="I64" s="25"/>
      <c r="J64" s="125"/>
      <c r="K64" s="126"/>
      <c r="L64" s="126"/>
      <c r="M64" s="126"/>
      <c r="N64" s="126"/>
      <c r="O64" s="127"/>
      <c r="P64" s="24"/>
      <c r="Q64" s="24"/>
      <c r="R64" s="25"/>
      <c r="S64" s="25"/>
    </row>
    <row r="65" spans="1:19" ht="7.5" customHeight="1" x14ac:dyDescent="0.15">
      <c r="B65" s="82"/>
      <c r="C65" s="82"/>
      <c r="D65" s="82"/>
      <c r="E65" s="82"/>
      <c r="F65" s="82"/>
      <c r="G65" s="82"/>
      <c r="H65" s="82"/>
      <c r="I65" s="82"/>
      <c r="J65" s="82"/>
      <c r="K65" s="82"/>
      <c r="L65" s="82"/>
      <c r="M65" s="82"/>
      <c r="N65" s="82"/>
      <c r="O65" s="82"/>
      <c r="P65" s="82"/>
      <c r="Q65" s="82"/>
      <c r="R65" s="82"/>
    </row>
    <row r="66" spans="1:19" ht="18" customHeight="1" x14ac:dyDescent="0.15">
      <c r="A66" s="139" t="s">
        <v>117</v>
      </c>
      <c r="B66" s="139"/>
      <c r="C66" s="139"/>
      <c r="D66" s="139"/>
      <c r="E66" s="139"/>
      <c r="F66" s="139"/>
      <c r="G66" s="139"/>
      <c r="H66" s="139"/>
      <c r="I66" s="139"/>
      <c r="J66" s="139"/>
      <c r="K66" s="139"/>
      <c r="L66" s="139"/>
      <c r="M66" s="139"/>
      <c r="N66" s="139"/>
      <c r="O66" s="139"/>
      <c r="P66" s="139"/>
      <c r="Q66" s="139"/>
      <c r="R66" s="139"/>
      <c r="S66" s="139"/>
    </row>
    <row r="67" spans="1:19" ht="18" customHeight="1" x14ac:dyDescent="0.15">
      <c r="A67" s="139"/>
      <c r="B67" s="139"/>
      <c r="C67" s="139"/>
      <c r="D67" s="139"/>
      <c r="E67" s="139"/>
      <c r="F67" s="139"/>
      <c r="G67" s="139"/>
      <c r="H67" s="139"/>
      <c r="I67" s="139"/>
      <c r="J67" s="139"/>
      <c r="K67" s="139"/>
      <c r="L67" s="139"/>
      <c r="M67" s="139"/>
      <c r="N67" s="139"/>
      <c r="O67" s="139"/>
      <c r="P67" s="139"/>
      <c r="Q67" s="139"/>
      <c r="R67" s="139"/>
      <c r="S67" s="139"/>
    </row>
    <row r="68" spans="1:19" ht="18" customHeight="1" x14ac:dyDescent="0.15">
      <c r="B68" s="131" t="s">
        <v>53</v>
      </c>
      <c r="C68" s="116"/>
      <c r="D68" s="116"/>
      <c r="E68" s="60" t="s">
        <v>80</v>
      </c>
      <c r="F68" s="59" t="s">
        <v>84</v>
      </c>
      <c r="G68" s="21" t="s">
        <v>101</v>
      </c>
      <c r="H68" s="21" t="s">
        <v>75</v>
      </c>
      <c r="I68" s="21" t="s">
        <v>76</v>
      </c>
      <c r="J68" s="131" t="s">
        <v>53</v>
      </c>
      <c r="K68" s="116"/>
      <c r="L68" s="116"/>
      <c r="M68" s="116"/>
      <c r="N68" s="117"/>
      <c r="O68" s="60" t="s">
        <v>80</v>
      </c>
      <c r="P68" s="59" t="s">
        <v>84</v>
      </c>
      <c r="Q68" s="21" t="s">
        <v>101</v>
      </c>
      <c r="R68" s="21" t="s">
        <v>75</v>
      </c>
      <c r="S68" s="21" t="s">
        <v>76</v>
      </c>
    </row>
    <row r="69" spans="1:19" ht="18" customHeight="1" x14ac:dyDescent="0.15">
      <c r="A69" s="86"/>
      <c r="B69" s="121" t="s">
        <v>166</v>
      </c>
      <c r="C69" s="94"/>
      <c r="D69" s="94"/>
      <c r="E69" s="23">
        <v>4</v>
      </c>
      <c r="F69" s="23" t="s">
        <v>127</v>
      </c>
      <c r="G69" s="23" t="s">
        <v>127</v>
      </c>
      <c r="H69" s="23" t="s">
        <v>127</v>
      </c>
      <c r="I69" s="23" t="s">
        <v>127</v>
      </c>
      <c r="J69" s="135"/>
      <c r="K69" s="91"/>
      <c r="L69" s="91"/>
      <c r="M69" s="91"/>
      <c r="N69" s="92"/>
      <c r="O69" s="22"/>
      <c r="P69" s="22"/>
      <c r="Q69" s="22"/>
      <c r="R69" s="22"/>
      <c r="S69" s="22"/>
    </row>
    <row r="70" spans="1:19" ht="18" customHeight="1" x14ac:dyDescent="0.15">
      <c r="A70" s="86"/>
      <c r="B70" s="121"/>
      <c r="C70" s="94"/>
      <c r="D70" s="94"/>
      <c r="E70" s="23"/>
      <c r="F70" s="23"/>
      <c r="G70" s="23"/>
      <c r="H70" s="23"/>
      <c r="I70" s="23"/>
      <c r="J70" s="121"/>
      <c r="K70" s="94"/>
      <c r="L70" s="94"/>
      <c r="M70" s="94"/>
      <c r="N70" s="95"/>
      <c r="O70" s="23"/>
      <c r="P70" s="23"/>
      <c r="Q70" s="23"/>
      <c r="R70" s="23"/>
      <c r="S70" s="23"/>
    </row>
    <row r="71" spans="1:19" ht="18" customHeight="1" x14ac:dyDescent="0.15">
      <c r="A71" s="86"/>
      <c r="B71" s="121"/>
      <c r="C71" s="94"/>
      <c r="D71" s="94"/>
      <c r="E71" s="23"/>
      <c r="F71" s="23"/>
      <c r="G71" s="23"/>
      <c r="H71" s="23"/>
      <c r="I71" s="23"/>
      <c r="J71" s="121"/>
      <c r="K71" s="94"/>
      <c r="L71" s="94"/>
      <c r="M71" s="94"/>
      <c r="N71" s="95"/>
      <c r="O71" s="23"/>
      <c r="P71" s="23"/>
      <c r="Q71" s="23"/>
      <c r="R71" s="23"/>
      <c r="S71" s="23"/>
    </row>
    <row r="72" spans="1:19" ht="18" customHeight="1" x14ac:dyDescent="0.15">
      <c r="A72" s="86"/>
      <c r="B72" s="121"/>
      <c r="C72" s="94"/>
      <c r="D72" s="94"/>
      <c r="E72" s="23"/>
      <c r="F72" s="23"/>
      <c r="G72" s="23"/>
      <c r="H72" s="23"/>
      <c r="I72" s="23"/>
      <c r="J72" s="121"/>
      <c r="K72" s="94"/>
      <c r="L72" s="94"/>
      <c r="M72" s="94"/>
      <c r="N72" s="95"/>
      <c r="O72" s="23"/>
      <c r="P72" s="23"/>
      <c r="Q72" s="23"/>
      <c r="R72" s="23"/>
      <c r="S72" s="23"/>
    </row>
    <row r="73" spans="1:19" ht="18" customHeight="1" x14ac:dyDescent="0.15">
      <c r="A73" s="86"/>
      <c r="B73" s="121"/>
      <c r="C73" s="94"/>
      <c r="D73" s="94"/>
      <c r="E73" s="23"/>
      <c r="F73" s="23"/>
      <c r="G73" s="23"/>
      <c r="H73" s="23"/>
      <c r="I73" s="23"/>
      <c r="J73" s="121"/>
      <c r="K73" s="94"/>
      <c r="L73" s="94"/>
      <c r="M73" s="94"/>
      <c r="N73" s="95"/>
      <c r="O73" s="23"/>
      <c r="P73" s="23"/>
      <c r="Q73" s="23"/>
      <c r="R73" s="23"/>
      <c r="S73" s="23"/>
    </row>
    <row r="74" spans="1:19" ht="18" customHeight="1" x14ac:dyDescent="0.15">
      <c r="A74" s="86"/>
      <c r="B74" s="121"/>
      <c r="C74" s="94"/>
      <c r="D74" s="94"/>
      <c r="E74" s="23"/>
      <c r="F74" s="23"/>
      <c r="G74" s="23"/>
      <c r="H74" s="23"/>
      <c r="I74" s="23"/>
      <c r="J74" s="121"/>
      <c r="K74" s="94"/>
      <c r="L74" s="94"/>
      <c r="M74" s="94"/>
      <c r="N74" s="95"/>
      <c r="O74" s="23"/>
      <c r="P74" s="23"/>
      <c r="Q74" s="23"/>
      <c r="R74" s="23"/>
      <c r="S74" s="23"/>
    </row>
    <row r="75" spans="1:19" ht="18" customHeight="1" x14ac:dyDescent="0.15">
      <c r="A75" s="86"/>
      <c r="B75" s="125"/>
      <c r="C75" s="126"/>
      <c r="D75" s="126"/>
      <c r="E75" s="24"/>
      <c r="F75" s="24"/>
      <c r="G75" s="25"/>
      <c r="H75" s="25"/>
      <c r="I75" s="25"/>
      <c r="J75" s="125"/>
      <c r="K75" s="126"/>
      <c r="L75" s="126"/>
      <c r="M75" s="126"/>
      <c r="N75" s="127"/>
      <c r="O75" s="24"/>
      <c r="P75" s="24"/>
      <c r="Q75" s="25"/>
      <c r="R75" s="25"/>
      <c r="S75" s="25"/>
    </row>
    <row r="76" spans="1:19" ht="7.5" customHeight="1" x14ac:dyDescent="0.15">
      <c r="B76" s="82"/>
      <c r="C76" s="82"/>
      <c r="D76" s="82"/>
      <c r="E76" s="82"/>
      <c r="F76" s="82"/>
      <c r="G76" s="82"/>
      <c r="H76" s="82"/>
      <c r="I76" s="82"/>
      <c r="J76" s="82"/>
      <c r="K76" s="82"/>
      <c r="L76" s="82"/>
      <c r="M76" s="82"/>
      <c r="N76" s="82"/>
      <c r="O76" s="82"/>
      <c r="P76" s="82"/>
      <c r="Q76" s="82"/>
      <c r="R76" s="82"/>
    </row>
    <row r="77" spans="1:19" ht="18" customHeight="1" x14ac:dyDescent="0.15">
      <c r="A77" s="85" t="s">
        <v>118</v>
      </c>
      <c r="H77" s="86"/>
      <c r="I77" s="86"/>
      <c r="J77" s="86"/>
      <c r="K77" s="86"/>
      <c r="L77" s="86"/>
      <c r="M77" s="86"/>
      <c r="N77" s="86"/>
      <c r="O77" s="86"/>
      <c r="P77" s="86"/>
      <c r="Q77" s="86"/>
      <c r="R77" s="86"/>
      <c r="S77" s="86"/>
    </row>
    <row r="78" spans="1:19" ht="18" customHeight="1" x14ac:dyDescent="0.15">
      <c r="B78" s="131" t="s">
        <v>53</v>
      </c>
      <c r="C78" s="116"/>
      <c r="D78" s="116"/>
      <c r="E78" s="117"/>
      <c r="F78" s="131" t="s">
        <v>82</v>
      </c>
      <c r="G78" s="116"/>
      <c r="H78" s="116"/>
      <c r="I78" s="117"/>
      <c r="J78" s="132" t="s">
        <v>53</v>
      </c>
      <c r="K78" s="133"/>
      <c r="L78" s="133"/>
      <c r="M78" s="133"/>
      <c r="N78" s="133"/>
      <c r="O78" s="134"/>
      <c r="P78" s="131" t="s">
        <v>82</v>
      </c>
      <c r="Q78" s="116"/>
      <c r="R78" s="116"/>
      <c r="S78" s="117"/>
    </row>
    <row r="79" spans="1:19" ht="18" customHeight="1" x14ac:dyDescent="0.15">
      <c r="A79" s="86"/>
      <c r="B79" s="135"/>
      <c r="C79" s="91"/>
      <c r="D79" s="91"/>
      <c r="E79" s="92"/>
      <c r="F79" s="136"/>
      <c r="G79" s="137"/>
      <c r="H79" s="137"/>
      <c r="I79" s="138"/>
      <c r="J79" s="135"/>
      <c r="K79" s="91"/>
      <c r="L79" s="91"/>
      <c r="M79" s="91"/>
      <c r="N79" s="91"/>
      <c r="O79" s="92"/>
      <c r="P79" s="136"/>
      <c r="Q79" s="137"/>
      <c r="R79" s="137"/>
      <c r="S79" s="138"/>
    </row>
    <row r="80" spans="1:19" ht="18" customHeight="1" x14ac:dyDescent="0.15">
      <c r="A80" s="86"/>
      <c r="B80" s="121"/>
      <c r="C80" s="94"/>
      <c r="D80" s="94"/>
      <c r="E80" s="95"/>
      <c r="F80" s="122"/>
      <c r="G80" s="123"/>
      <c r="H80" s="123"/>
      <c r="I80" s="124"/>
      <c r="J80" s="121"/>
      <c r="K80" s="94"/>
      <c r="L80" s="94"/>
      <c r="M80" s="94"/>
      <c r="N80" s="94"/>
      <c r="O80" s="95"/>
      <c r="P80" s="122"/>
      <c r="Q80" s="123"/>
      <c r="R80" s="123"/>
      <c r="S80" s="124"/>
    </row>
    <row r="81" spans="1:19" ht="18" customHeight="1" x14ac:dyDescent="0.15">
      <c r="A81" s="86"/>
      <c r="B81" s="121"/>
      <c r="C81" s="94"/>
      <c r="D81" s="94"/>
      <c r="E81" s="95"/>
      <c r="F81" s="122"/>
      <c r="G81" s="123"/>
      <c r="H81" s="123"/>
      <c r="I81" s="124"/>
      <c r="J81" s="121"/>
      <c r="K81" s="94"/>
      <c r="L81" s="94"/>
      <c r="M81" s="94"/>
      <c r="N81" s="94"/>
      <c r="O81" s="95"/>
      <c r="P81" s="122"/>
      <c r="Q81" s="123"/>
      <c r="R81" s="123"/>
      <c r="S81" s="124"/>
    </row>
    <row r="82" spans="1:19" ht="18" customHeight="1" x14ac:dyDescent="0.15">
      <c r="A82" s="86"/>
      <c r="B82" s="121"/>
      <c r="C82" s="94"/>
      <c r="D82" s="94"/>
      <c r="E82" s="95"/>
      <c r="F82" s="122"/>
      <c r="G82" s="123"/>
      <c r="H82" s="123"/>
      <c r="I82" s="124"/>
      <c r="J82" s="121"/>
      <c r="K82" s="94"/>
      <c r="L82" s="94"/>
      <c r="M82" s="94"/>
      <c r="N82" s="94"/>
      <c r="O82" s="95"/>
      <c r="P82" s="122"/>
      <c r="Q82" s="123"/>
      <c r="R82" s="123"/>
      <c r="S82" s="124"/>
    </row>
    <row r="83" spans="1:19" ht="18" customHeight="1" x14ac:dyDescent="0.15">
      <c r="A83" s="86"/>
      <c r="B83" s="121"/>
      <c r="C83" s="94"/>
      <c r="D83" s="94"/>
      <c r="E83" s="95"/>
      <c r="F83" s="122"/>
      <c r="G83" s="123"/>
      <c r="H83" s="123"/>
      <c r="I83" s="124"/>
      <c r="J83" s="121"/>
      <c r="K83" s="94"/>
      <c r="L83" s="94"/>
      <c r="M83" s="94"/>
      <c r="N83" s="94"/>
      <c r="O83" s="95"/>
      <c r="P83" s="122"/>
      <c r="Q83" s="123"/>
      <c r="R83" s="123"/>
      <c r="S83" s="124"/>
    </row>
    <row r="84" spans="1:19" ht="18" customHeight="1" x14ac:dyDescent="0.15">
      <c r="A84" s="86"/>
      <c r="B84" s="121"/>
      <c r="C84" s="94"/>
      <c r="D84" s="94"/>
      <c r="E84" s="95"/>
      <c r="F84" s="122"/>
      <c r="G84" s="123"/>
      <c r="H84" s="123"/>
      <c r="I84" s="124"/>
      <c r="J84" s="121"/>
      <c r="K84" s="94"/>
      <c r="L84" s="94"/>
      <c r="M84" s="94"/>
      <c r="N84" s="94"/>
      <c r="O84" s="95"/>
      <c r="P84" s="122"/>
      <c r="Q84" s="123"/>
      <c r="R84" s="123"/>
      <c r="S84" s="124"/>
    </row>
    <row r="85" spans="1:19" ht="18" customHeight="1" x14ac:dyDescent="0.15">
      <c r="A85" s="86"/>
      <c r="B85" s="125"/>
      <c r="C85" s="126"/>
      <c r="D85" s="126"/>
      <c r="E85" s="127"/>
      <c r="F85" s="128"/>
      <c r="G85" s="129"/>
      <c r="H85" s="129"/>
      <c r="I85" s="130"/>
      <c r="J85" s="125"/>
      <c r="K85" s="126"/>
      <c r="L85" s="126"/>
      <c r="M85" s="126"/>
      <c r="N85" s="126"/>
      <c r="O85" s="127"/>
      <c r="P85" s="128"/>
      <c r="Q85" s="129"/>
      <c r="R85" s="129"/>
      <c r="S85" s="130"/>
    </row>
    <row r="86" spans="1:19" ht="18" customHeight="1" x14ac:dyDescent="0.15">
      <c r="A86" s="86"/>
      <c r="B86" s="6"/>
      <c r="C86" s="6"/>
      <c r="D86" s="6"/>
      <c r="E86" s="6"/>
      <c r="F86" s="26"/>
      <c r="G86" s="26"/>
      <c r="H86" s="26"/>
      <c r="I86" s="26"/>
      <c r="J86" s="6"/>
      <c r="K86" s="6"/>
      <c r="L86" s="6"/>
      <c r="M86" s="6"/>
      <c r="N86" s="6"/>
      <c r="O86" s="6"/>
      <c r="P86" s="26"/>
      <c r="Q86" s="26"/>
      <c r="R86" s="26"/>
      <c r="S86" s="26"/>
    </row>
    <row r="87" spans="1:19" ht="18.75" customHeight="1" x14ac:dyDescent="0.15">
      <c r="A87" s="85" t="s">
        <v>119</v>
      </c>
    </row>
    <row r="88" spans="1:19" ht="18.75" customHeight="1" x14ac:dyDescent="0.15">
      <c r="B88" s="114" t="s">
        <v>54</v>
      </c>
      <c r="C88" s="115"/>
      <c r="D88" s="116" t="s">
        <v>55</v>
      </c>
      <c r="E88" s="116"/>
      <c r="F88" s="116"/>
      <c r="G88" s="116"/>
      <c r="H88" s="116"/>
      <c r="I88" s="116"/>
      <c r="J88" s="116"/>
      <c r="K88" s="116"/>
      <c r="L88" s="116"/>
      <c r="M88" s="116"/>
      <c r="N88" s="116"/>
      <c r="O88" s="116"/>
      <c r="P88" s="116"/>
      <c r="Q88" s="116"/>
      <c r="R88" s="116"/>
      <c r="S88" s="117"/>
    </row>
    <row r="89" spans="1:19" ht="97.5" customHeight="1" x14ac:dyDescent="0.15">
      <c r="B89" s="87" t="s">
        <v>61</v>
      </c>
      <c r="C89" s="27" t="s">
        <v>56</v>
      </c>
      <c r="D89" s="108" t="s">
        <v>192</v>
      </c>
      <c r="E89" s="109"/>
      <c r="F89" s="109"/>
      <c r="G89" s="109"/>
      <c r="H89" s="109"/>
      <c r="I89" s="109"/>
      <c r="J89" s="109"/>
      <c r="K89" s="109"/>
      <c r="L89" s="109"/>
      <c r="M89" s="109"/>
      <c r="N89" s="109"/>
      <c r="O89" s="109"/>
      <c r="P89" s="109"/>
      <c r="Q89" s="109"/>
      <c r="R89" s="109"/>
      <c r="S89" s="110"/>
    </row>
    <row r="90" spans="1:19" ht="97.5" customHeight="1" x14ac:dyDescent="0.15">
      <c r="B90" s="88"/>
      <c r="C90" s="28" t="s">
        <v>77</v>
      </c>
      <c r="D90" s="118" t="s">
        <v>193</v>
      </c>
      <c r="E90" s="119"/>
      <c r="F90" s="119"/>
      <c r="G90" s="119"/>
      <c r="H90" s="119"/>
      <c r="I90" s="119"/>
      <c r="J90" s="119"/>
      <c r="K90" s="119"/>
      <c r="L90" s="119"/>
      <c r="M90" s="119"/>
      <c r="N90" s="119"/>
      <c r="O90" s="119"/>
      <c r="P90" s="119"/>
      <c r="Q90" s="119"/>
      <c r="R90" s="119"/>
      <c r="S90" s="120"/>
    </row>
    <row r="91" spans="1:19" ht="97.5" customHeight="1" x14ac:dyDescent="0.15">
      <c r="B91" s="87" t="s">
        <v>62</v>
      </c>
      <c r="C91" s="29" t="s">
        <v>71</v>
      </c>
      <c r="D91" s="102" t="s">
        <v>194</v>
      </c>
      <c r="E91" s="103"/>
      <c r="F91" s="103"/>
      <c r="G91" s="103"/>
      <c r="H91" s="103"/>
      <c r="I91" s="103"/>
      <c r="J91" s="103"/>
      <c r="K91" s="103"/>
      <c r="L91" s="103"/>
      <c r="M91" s="103"/>
      <c r="N91" s="103"/>
      <c r="O91" s="103"/>
      <c r="P91" s="103"/>
      <c r="Q91" s="103"/>
      <c r="R91" s="103"/>
      <c r="S91" s="104"/>
    </row>
    <row r="92" spans="1:19" ht="97.5" customHeight="1" x14ac:dyDescent="0.15">
      <c r="B92" s="89"/>
      <c r="C92" s="30" t="s">
        <v>72</v>
      </c>
      <c r="D92" s="111" t="s">
        <v>195</v>
      </c>
      <c r="E92" s="112"/>
      <c r="F92" s="112"/>
      <c r="G92" s="112"/>
      <c r="H92" s="112"/>
      <c r="I92" s="112"/>
      <c r="J92" s="112"/>
      <c r="K92" s="112"/>
      <c r="L92" s="112"/>
      <c r="M92" s="112"/>
      <c r="N92" s="112"/>
      <c r="O92" s="112"/>
      <c r="P92" s="112"/>
      <c r="Q92" s="112"/>
      <c r="R92" s="112"/>
      <c r="S92" s="113"/>
    </row>
    <row r="93" spans="1:19" ht="97.5" customHeight="1" x14ac:dyDescent="0.15">
      <c r="B93" s="87" t="s">
        <v>63</v>
      </c>
      <c r="C93" s="29" t="s">
        <v>73</v>
      </c>
      <c r="D93" s="102" t="s">
        <v>196</v>
      </c>
      <c r="E93" s="103"/>
      <c r="F93" s="103"/>
      <c r="G93" s="103"/>
      <c r="H93" s="103"/>
      <c r="I93" s="103"/>
      <c r="J93" s="103"/>
      <c r="K93" s="103"/>
      <c r="L93" s="103"/>
      <c r="M93" s="103"/>
      <c r="N93" s="103"/>
      <c r="O93" s="103"/>
      <c r="P93" s="103"/>
      <c r="Q93" s="103"/>
      <c r="R93" s="103"/>
      <c r="S93" s="104"/>
    </row>
    <row r="94" spans="1:19" ht="97.5" customHeight="1" x14ac:dyDescent="0.15">
      <c r="B94" s="89"/>
      <c r="C94" s="31" t="s">
        <v>74</v>
      </c>
      <c r="D94" s="105" t="s">
        <v>197</v>
      </c>
      <c r="E94" s="106"/>
      <c r="F94" s="106"/>
      <c r="G94" s="106"/>
      <c r="H94" s="106"/>
      <c r="I94" s="106"/>
      <c r="J94" s="106"/>
      <c r="K94" s="106"/>
      <c r="L94" s="106"/>
      <c r="M94" s="106"/>
      <c r="N94" s="106"/>
      <c r="O94" s="106"/>
      <c r="P94" s="106"/>
      <c r="Q94" s="106"/>
      <c r="R94" s="106"/>
      <c r="S94" s="107"/>
    </row>
    <row r="95" spans="1:19" ht="97.5" customHeight="1" x14ac:dyDescent="0.15">
      <c r="B95" s="87" t="s">
        <v>78</v>
      </c>
      <c r="C95" s="27" t="s">
        <v>58</v>
      </c>
      <c r="D95" s="108" t="s">
        <v>198</v>
      </c>
      <c r="E95" s="109"/>
      <c r="F95" s="109"/>
      <c r="G95" s="109"/>
      <c r="H95" s="109"/>
      <c r="I95" s="109"/>
      <c r="J95" s="109"/>
      <c r="K95" s="109"/>
      <c r="L95" s="109"/>
      <c r="M95" s="109"/>
      <c r="N95" s="109"/>
      <c r="O95" s="109"/>
      <c r="P95" s="109"/>
      <c r="Q95" s="109"/>
      <c r="R95" s="109"/>
      <c r="S95" s="110"/>
    </row>
    <row r="96" spans="1:19" ht="97.5" customHeight="1" x14ac:dyDescent="0.15">
      <c r="B96" s="89"/>
      <c r="C96" s="30" t="s">
        <v>60</v>
      </c>
      <c r="D96" s="111" t="s">
        <v>199</v>
      </c>
      <c r="E96" s="112"/>
      <c r="F96" s="112"/>
      <c r="G96" s="112"/>
      <c r="H96" s="112"/>
      <c r="I96" s="112"/>
      <c r="J96" s="112"/>
      <c r="K96" s="112"/>
      <c r="L96" s="112"/>
      <c r="M96" s="112"/>
      <c r="N96" s="112"/>
      <c r="O96" s="112"/>
      <c r="P96" s="112"/>
      <c r="Q96" s="112"/>
      <c r="R96" s="112"/>
      <c r="S96" s="113"/>
    </row>
    <row r="97" spans="1:19" ht="97.5" customHeight="1" x14ac:dyDescent="0.15">
      <c r="B97" s="87" t="s">
        <v>79</v>
      </c>
      <c r="C97" s="29" t="s">
        <v>57</v>
      </c>
      <c r="D97" s="90" t="s">
        <v>200</v>
      </c>
      <c r="E97" s="91"/>
      <c r="F97" s="91"/>
      <c r="G97" s="91"/>
      <c r="H97" s="91"/>
      <c r="I97" s="91"/>
      <c r="J97" s="91"/>
      <c r="K97" s="91"/>
      <c r="L97" s="91"/>
      <c r="M97" s="91"/>
      <c r="N97" s="91"/>
      <c r="O97" s="91"/>
      <c r="P97" s="91"/>
      <c r="Q97" s="91"/>
      <c r="R97" s="91"/>
      <c r="S97" s="92"/>
    </row>
    <row r="98" spans="1:19" ht="97.5" customHeight="1" x14ac:dyDescent="0.15">
      <c r="B98" s="88"/>
      <c r="C98" s="32" t="s">
        <v>75</v>
      </c>
      <c r="D98" s="93" t="s">
        <v>201</v>
      </c>
      <c r="E98" s="94"/>
      <c r="F98" s="94"/>
      <c r="G98" s="94"/>
      <c r="H98" s="94"/>
      <c r="I98" s="94"/>
      <c r="J98" s="94"/>
      <c r="K98" s="94"/>
      <c r="L98" s="94"/>
      <c r="M98" s="94"/>
      <c r="N98" s="94"/>
      <c r="O98" s="94"/>
      <c r="P98" s="94"/>
      <c r="Q98" s="94"/>
      <c r="R98" s="94"/>
      <c r="S98" s="95"/>
    </row>
    <row r="99" spans="1:19" ht="117.75" customHeight="1" x14ac:dyDescent="0.15">
      <c r="B99" s="89"/>
      <c r="C99" s="31" t="s">
        <v>76</v>
      </c>
      <c r="D99" s="96" t="s">
        <v>202</v>
      </c>
      <c r="E99" s="97"/>
      <c r="F99" s="97"/>
      <c r="G99" s="97"/>
      <c r="H99" s="97"/>
      <c r="I99" s="97"/>
      <c r="J99" s="97"/>
      <c r="K99" s="97"/>
      <c r="L99" s="97"/>
      <c r="M99" s="97"/>
      <c r="N99" s="97"/>
      <c r="O99" s="97"/>
      <c r="P99" s="97"/>
      <c r="Q99" s="97"/>
      <c r="R99" s="97"/>
      <c r="S99" s="98"/>
    </row>
    <row r="100" spans="1:19" ht="6" customHeight="1" x14ac:dyDescent="0.15"/>
    <row r="101" spans="1:19" ht="18.75" customHeight="1" x14ac:dyDescent="0.15">
      <c r="A101" s="85" t="s">
        <v>120</v>
      </c>
    </row>
    <row r="102" spans="1:19" ht="81.75" customHeight="1" x14ac:dyDescent="0.15">
      <c r="B102" s="99" t="s">
        <v>168</v>
      </c>
      <c r="C102" s="100"/>
      <c r="D102" s="100"/>
      <c r="E102" s="100"/>
      <c r="F102" s="100"/>
      <c r="G102" s="100"/>
      <c r="H102" s="100"/>
      <c r="I102" s="100"/>
      <c r="J102" s="100"/>
      <c r="K102" s="100"/>
      <c r="L102" s="100"/>
      <c r="M102" s="100"/>
      <c r="N102" s="100"/>
      <c r="O102" s="100"/>
      <c r="P102" s="100"/>
      <c r="Q102" s="100"/>
      <c r="R102" s="100"/>
      <c r="S102" s="10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58:I64 Q36:S42 G36:I42 Q47:S53 G25:I31 Q58:S64 G47:I53 F69:I75" xr:uid="{6207BA29-77E6-4DA8-B99F-E71CB5EEECA4}">
      <formula1>"○"</formula1>
    </dataValidation>
    <dataValidation type="list" allowBlank="1" showInputMessage="1" showErrorMessage="1" sqref="S32 S43 D32:G32 D43:G43" xr:uid="{2170A93D-D22E-476F-B446-E3813A74390B}">
      <formula1>"全学開講,一部開講"</formula1>
    </dataValidation>
    <dataValidation type="list" allowBlank="1" showInputMessage="1" showErrorMessage="1" sqref="K7 K12" xr:uid="{5439933C-497B-430B-A7E4-D629993E4FAE}">
      <formula1>"学部・学科によって、修了要件は相違する,学部・学科によって、修了要件は相違しない"</formula1>
    </dataValidation>
    <dataValidation type="list" allowBlank="1" showInputMessage="1" showErrorMessage="1" sqref="F79:F86 P79:P86 G79:I80 G83:I86 Q83:S86 Q79:S80" xr:uid="{A7244394-502F-4381-AA51-BDE327BFAE9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280A4F81-0A76-42D8-B742-CBEAB15EE685}">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Q1" zoomScaleNormal="100" zoomScaleSheetLayoutView="100" workbookViewId="0">
      <selection activeCell="A3" sqref="A3:AQ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4"/>
      <c r="Q2" s="34"/>
      <c r="W2" s="34"/>
      <c r="AC2" s="34"/>
      <c r="AI2" s="34"/>
      <c r="AL2" s="34" t="s">
        <v>108</v>
      </c>
      <c r="AM2" s="166" t="str">
        <f>'様式１-1　プログラムを構成する授業科目'!C2</f>
        <v>弓削商船高等専門学校</v>
      </c>
      <c r="AN2" s="166"/>
      <c r="AO2" s="166"/>
      <c r="AP2" s="166"/>
      <c r="AQ2" s="166"/>
    </row>
    <row r="3" spans="1:45" ht="18" customHeight="1" x14ac:dyDescent="0.15">
      <c r="A3" s="153" t="s">
        <v>47</v>
      </c>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67" t="s">
        <v>169</v>
      </c>
      <c r="D5" s="168"/>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9" t="s">
        <v>44</v>
      </c>
      <c r="C9" s="184" t="s">
        <v>86</v>
      </c>
      <c r="D9" s="172" t="s">
        <v>46</v>
      </c>
      <c r="E9" s="175" t="s">
        <v>39</v>
      </c>
      <c r="F9" s="163" t="s">
        <v>85</v>
      </c>
      <c r="G9" s="163"/>
      <c r="H9" s="163"/>
      <c r="I9" s="163"/>
      <c r="J9" s="163"/>
      <c r="K9" s="163"/>
      <c r="L9" s="163" t="s">
        <v>48</v>
      </c>
      <c r="M9" s="163"/>
      <c r="N9" s="163"/>
      <c r="O9" s="163"/>
      <c r="P9" s="163"/>
      <c r="Q9" s="163"/>
      <c r="R9" s="163" t="s">
        <v>49</v>
      </c>
      <c r="S9" s="163"/>
      <c r="T9" s="163"/>
      <c r="U9" s="163"/>
      <c r="V9" s="163"/>
      <c r="W9" s="163"/>
      <c r="X9" s="163" t="s">
        <v>100</v>
      </c>
      <c r="Y9" s="163"/>
      <c r="Z9" s="163"/>
      <c r="AA9" s="163"/>
      <c r="AB9" s="163"/>
      <c r="AC9" s="163"/>
      <c r="AD9" s="163" t="s">
        <v>50</v>
      </c>
      <c r="AE9" s="163"/>
      <c r="AF9" s="163"/>
      <c r="AG9" s="163"/>
      <c r="AH9" s="163"/>
      <c r="AI9" s="163"/>
      <c r="AJ9" s="163" t="s">
        <v>51</v>
      </c>
      <c r="AK9" s="163"/>
      <c r="AL9" s="163"/>
      <c r="AM9" s="163"/>
      <c r="AN9" s="163"/>
      <c r="AO9" s="163"/>
      <c r="AP9" s="178" t="s">
        <v>34</v>
      </c>
      <c r="AQ9" s="181" t="s">
        <v>31</v>
      </c>
      <c r="AS9" s="2"/>
    </row>
    <row r="10" spans="1:45" ht="16.899999999999999" customHeight="1" x14ac:dyDescent="0.15">
      <c r="B10" s="170"/>
      <c r="C10" s="185"/>
      <c r="D10" s="173"/>
      <c r="E10" s="176"/>
      <c r="F10" s="164" t="s">
        <v>96</v>
      </c>
      <c r="G10" s="165"/>
      <c r="H10" s="165"/>
      <c r="I10" s="164" t="s">
        <v>28</v>
      </c>
      <c r="J10" s="165"/>
      <c r="K10" s="165"/>
      <c r="L10" s="164" t="s">
        <v>96</v>
      </c>
      <c r="M10" s="165"/>
      <c r="N10" s="165"/>
      <c r="O10" s="164" t="s">
        <v>28</v>
      </c>
      <c r="P10" s="165"/>
      <c r="Q10" s="165"/>
      <c r="R10" s="164" t="s">
        <v>96</v>
      </c>
      <c r="S10" s="165"/>
      <c r="T10" s="165"/>
      <c r="U10" s="164" t="s">
        <v>28</v>
      </c>
      <c r="V10" s="165"/>
      <c r="W10" s="165"/>
      <c r="X10" s="164" t="s">
        <v>96</v>
      </c>
      <c r="Y10" s="165"/>
      <c r="Z10" s="165"/>
      <c r="AA10" s="164" t="s">
        <v>28</v>
      </c>
      <c r="AB10" s="165"/>
      <c r="AC10" s="165"/>
      <c r="AD10" s="164" t="s">
        <v>96</v>
      </c>
      <c r="AE10" s="165"/>
      <c r="AF10" s="165"/>
      <c r="AG10" s="164" t="s">
        <v>28</v>
      </c>
      <c r="AH10" s="165"/>
      <c r="AI10" s="165"/>
      <c r="AJ10" s="164" t="s">
        <v>96</v>
      </c>
      <c r="AK10" s="165"/>
      <c r="AL10" s="165"/>
      <c r="AM10" s="164" t="s">
        <v>28</v>
      </c>
      <c r="AN10" s="165"/>
      <c r="AO10" s="165"/>
      <c r="AP10" s="179"/>
      <c r="AQ10" s="182"/>
      <c r="AS10" s="2"/>
    </row>
    <row r="11" spans="1:45" ht="18" customHeight="1" x14ac:dyDescent="0.15">
      <c r="B11" s="171"/>
      <c r="C11" s="186"/>
      <c r="D11" s="174"/>
      <c r="E11" s="177"/>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80"/>
      <c r="AQ11" s="183"/>
      <c r="AS11" s="2"/>
    </row>
    <row r="12" spans="1:45" ht="18" customHeight="1" x14ac:dyDescent="0.15">
      <c r="A12" s="6"/>
      <c r="B12" s="11" t="s">
        <v>128</v>
      </c>
      <c r="C12" s="61">
        <v>227</v>
      </c>
      <c r="D12" s="62">
        <v>40</v>
      </c>
      <c r="E12" s="63">
        <v>240</v>
      </c>
      <c r="F12" s="63">
        <f>G12+H12</f>
        <v>89</v>
      </c>
      <c r="G12" s="64">
        <v>77</v>
      </c>
      <c r="H12" s="65">
        <v>12</v>
      </c>
      <c r="I12" s="63">
        <f>J12+K12</f>
        <v>43</v>
      </c>
      <c r="J12" s="64">
        <v>37</v>
      </c>
      <c r="K12" s="65">
        <v>6</v>
      </c>
      <c r="L12" s="63">
        <f>M12+N12</f>
        <v>44</v>
      </c>
      <c r="M12" s="64">
        <v>38</v>
      </c>
      <c r="N12" s="65">
        <v>6</v>
      </c>
      <c r="O12" s="63">
        <f>P12+Q12</f>
        <v>0</v>
      </c>
      <c r="P12" s="64">
        <v>0</v>
      </c>
      <c r="Q12" s="65">
        <v>0</v>
      </c>
      <c r="R12" s="63">
        <f>S12+T12</f>
        <v>0</v>
      </c>
      <c r="S12" s="64">
        <v>0</v>
      </c>
      <c r="T12" s="65">
        <v>0</v>
      </c>
      <c r="U12" s="63">
        <f>V12+W12</f>
        <v>0</v>
      </c>
      <c r="V12" s="64">
        <v>0</v>
      </c>
      <c r="W12" s="65">
        <v>0</v>
      </c>
      <c r="X12" s="63">
        <f>Y12+Z12</f>
        <v>0</v>
      </c>
      <c r="Y12" s="64">
        <v>0</v>
      </c>
      <c r="Z12" s="65">
        <v>0</v>
      </c>
      <c r="AA12" s="63">
        <f>AB12+AC12</f>
        <v>0</v>
      </c>
      <c r="AB12" s="64">
        <v>0</v>
      </c>
      <c r="AC12" s="65">
        <v>0</v>
      </c>
      <c r="AD12" s="63">
        <f>AE12+AF12</f>
        <v>0</v>
      </c>
      <c r="AE12" s="64">
        <v>0</v>
      </c>
      <c r="AF12" s="65">
        <v>0</v>
      </c>
      <c r="AG12" s="63">
        <f>AH12+AI12</f>
        <v>0</v>
      </c>
      <c r="AH12" s="64">
        <v>0</v>
      </c>
      <c r="AI12" s="65">
        <v>0</v>
      </c>
      <c r="AJ12" s="63">
        <f>AK12+AL12</f>
        <v>0</v>
      </c>
      <c r="AK12" s="64">
        <v>0</v>
      </c>
      <c r="AL12" s="65">
        <v>0</v>
      </c>
      <c r="AM12" s="63">
        <f>AN12+AO12</f>
        <v>0</v>
      </c>
      <c r="AN12" s="64">
        <v>0</v>
      </c>
      <c r="AO12" s="65">
        <v>0</v>
      </c>
      <c r="AP12" s="62">
        <f>F12+L12+R12+X12+AD12+AJ12</f>
        <v>133</v>
      </c>
      <c r="AQ12" s="81">
        <f t="shared" ref="AQ12:AQ32" si="0">AP12/E12</f>
        <v>0.5541666666666667</v>
      </c>
    </row>
    <row r="13" spans="1:45" ht="18" customHeight="1" x14ac:dyDescent="0.15">
      <c r="A13" s="6"/>
      <c r="B13" s="12" t="s">
        <v>129</v>
      </c>
      <c r="C13" s="66">
        <v>213</v>
      </c>
      <c r="D13" s="67">
        <v>40</v>
      </c>
      <c r="E13" s="68">
        <v>200</v>
      </c>
      <c r="F13" s="69">
        <f t="shared" ref="F13:F31" si="1">G13+H13</f>
        <v>43</v>
      </c>
      <c r="G13" s="70">
        <v>38</v>
      </c>
      <c r="H13" s="71">
        <v>5</v>
      </c>
      <c r="I13" s="69">
        <f t="shared" ref="I13:I31" si="2">J13+K13</f>
        <v>0</v>
      </c>
      <c r="J13" s="70">
        <v>0</v>
      </c>
      <c r="K13" s="71">
        <v>0</v>
      </c>
      <c r="L13" s="69">
        <f t="shared" ref="L13:L31" si="3">M13+N13</f>
        <v>0</v>
      </c>
      <c r="M13" s="70">
        <v>0</v>
      </c>
      <c r="N13" s="71">
        <v>0</v>
      </c>
      <c r="O13" s="69">
        <f t="shared" ref="O13:O31" si="4">P13+Q13</f>
        <v>0</v>
      </c>
      <c r="P13" s="70">
        <v>0</v>
      </c>
      <c r="Q13" s="71">
        <v>0</v>
      </c>
      <c r="R13" s="69">
        <f t="shared" ref="R13:R31" si="5">S13+T13</f>
        <v>0</v>
      </c>
      <c r="S13" s="70">
        <v>0</v>
      </c>
      <c r="T13" s="71">
        <v>0</v>
      </c>
      <c r="U13" s="69">
        <f t="shared" ref="U13:U31" si="6">V13+W13</f>
        <v>0</v>
      </c>
      <c r="V13" s="70">
        <v>0</v>
      </c>
      <c r="W13" s="71">
        <v>0</v>
      </c>
      <c r="X13" s="69">
        <f t="shared" ref="X13:X31" si="7">Y13+Z13</f>
        <v>0</v>
      </c>
      <c r="Y13" s="70">
        <v>0</v>
      </c>
      <c r="Z13" s="71">
        <v>0</v>
      </c>
      <c r="AA13" s="69">
        <f t="shared" ref="AA13:AA31" si="8">AB13+AC13</f>
        <v>0</v>
      </c>
      <c r="AB13" s="70">
        <v>0</v>
      </c>
      <c r="AC13" s="71">
        <v>0</v>
      </c>
      <c r="AD13" s="69">
        <f t="shared" ref="AD13:AD31" si="9">AE13+AF13</f>
        <v>0</v>
      </c>
      <c r="AE13" s="70">
        <v>0</v>
      </c>
      <c r="AF13" s="71">
        <v>0</v>
      </c>
      <c r="AG13" s="69">
        <f t="shared" ref="AG13:AG31" si="10">AH13+AI13</f>
        <v>0</v>
      </c>
      <c r="AH13" s="70">
        <v>0</v>
      </c>
      <c r="AI13" s="71">
        <v>0</v>
      </c>
      <c r="AJ13" s="69">
        <f t="shared" ref="AJ13:AJ31" si="11">AK13+AL13</f>
        <v>0</v>
      </c>
      <c r="AK13" s="70">
        <v>0</v>
      </c>
      <c r="AL13" s="71">
        <v>0</v>
      </c>
      <c r="AM13" s="69">
        <f t="shared" ref="AM13:AM31" si="12">AN13+AO13</f>
        <v>0</v>
      </c>
      <c r="AN13" s="70">
        <v>0</v>
      </c>
      <c r="AO13" s="71">
        <v>0</v>
      </c>
      <c r="AP13" s="67">
        <f t="shared" ref="AP13:AP31" si="13">F13+L13+R13+X13+AD13+AJ13</f>
        <v>43</v>
      </c>
      <c r="AQ13" s="20">
        <f t="shared" si="0"/>
        <v>0.215</v>
      </c>
    </row>
    <row r="14" spans="1:45" ht="18" customHeight="1" x14ac:dyDescent="0.15">
      <c r="A14" s="6"/>
      <c r="B14" s="12" t="s">
        <v>130</v>
      </c>
      <c r="C14" s="66">
        <v>195</v>
      </c>
      <c r="D14" s="67">
        <v>40</v>
      </c>
      <c r="E14" s="68">
        <v>200</v>
      </c>
      <c r="F14" s="69">
        <f t="shared" si="1"/>
        <v>40</v>
      </c>
      <c r="G14" s="70">
        <v>19</v>
      </c>
      <c r="H14" s="71">
        <v>21</v>
      </c>
      <c r="I14" s="69">
        <f t="shared" si="2"/>
        <v>40</v>
      </c>
      <c r="J14" s="70">
        <v>19</v>
      </c>
      <c r="K14" s="71">
        <v>21</v>
      </c>
      <c r="L14" s="69">
        <f t="shared" si="3"/>
        <v>44</v>
      </c>
      <c r="M14" s="70">
        <v>28</v>
      </c>
      <c r="N14" s="71">
        <v>16</v>
      </c>
      <c r="O14" s="69">
        <f t="shared" si="4"/>
        <v>44</v>
      </c>
      <c r="P14" s="70">
        <v>28</v>
      </c>
      <c r="Q14" s="71">
        <v>16</v>
      </c>
      <c r="R14" s="69">
        <f t="shared" si="5"/>
        <v>0</v>
      </c>
      <c r="S14" s="70">
        <v>0</v>
      </c>
      <c r="T14" s="71">
        <v>0</v>
      </c>
      <c r="U14" s="69">
        <f t="shared" si="6"/>
        <v>0</v>
      </c>
      <c r="V14" s="70">
        <v>0</v>
      </c>
      <c r="W14" s="71">
        <v>0</v>
      </c>
      <c r="X14" s="69">
        <f t="shared" si="7"/>
        <v>0</v>
      </c>
      <c r="Y14" s="70">
        <v>0</v>
      </c>
      <c r="Z14" s="71">
        <v>0</v>
      </c>
      <c r="AA14" s="69">
        <f t="shared" si="8"/>
        <v>0</v>
      </c>
      <c r="AB14" s="70">
        <v>0</v>
      </c>
      <c r="AC14" s="71">
        <v>0</v>
      </c>
      <c r="AD14" s="69">
        <f t="shared" si="9"/>
        <v>0</v>
      </c>
      <c r="AE14" s="70">
        <v>0</v>
      </c>
      <c r="AF14" s="71">
        <v>0</v>
      </c>
      <c r="AG14" s="69">
        <f t="shared" si="10"/>
        <v>0</v>
      </c>
      <c r="AH14" s="70">
        <v>0</v>
      </c>
      <c r="AI14" s="71">
        <v>0</v>
      </c>
      <c r="AJ14" s="69">
        <f t="shared" si="11"/>
        <v>0</v>
      </c>
      <c r="AK14" s="70">
        <v>0</v>
      </c>
      <c r="AL14" s="71">
        <v>0</v>
      </c>
      <c r="AM14" s="69">
        <f t="shared" si="12"/>
        <v>0</v>
      </c>
      <c r="AN14" s="70">
        <v>0</v>
      </c>
      <c r="AO14" s="71">
        <v>0</v>
      </c>
      <c r="AP14" s="67">
        <f t="shared" si="13"/>
        <v>84</v>
      </c>
      <c r="AQ14" s="8">
        <f t="shared" si="0"/>
        <v>0.42</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32</v>
      </c>
      <c r="C32" s="76">
        <f t="shared" ref="C32" si="14">SUM(C12:C31)</f>
        <v>635</v>
      </c>
      <c r="D32" s="77">
        <f t="shared" ref="D32:AP32" si="15">SUM(D12:D31)</f>
        <v>120</v>
      </c>
      <c r="E32" s="78">
        <f t="shared" si="15"/>
        <v>640</v>
      </c>
      <c r="F32" s="78">
        <f t="shared" si="15"/>
        <v>172</v>
      </c>
      <c r="G32" s="79">
        <f t="shared" si="15"/>
        <v>134</v>
      </c>
      <c r="H32" s="80">
        <f t="shared" si="15"/>
        <v>38</v>
      </c>
      <c r="I32" s="78">
        <f t="shared" ref="I32:N32" si="16">SUM(I12:I31)</f>
        <v>83</v>
      </c>
      <c r="J32" s="79">
        <f t="shared" si="16"/>
        <v>56</v>
      </c>
      <c r="K32" s="80">
        <f t="shared" si="16"/>
        <v>27</v>
      </c>
      <c r="L32" s="78">
        <f t="shared" si="16"/>
        <v>88</v>
      </c>
      <c r="M32" s="79">
        <f t="shared" si="16"/>
        <v>66</v>
      </c>
      <c r="N32" s="80">
        <f t="shared" si="16"/>
        <v>22</v>
      </c>
      <c r="O32" s="78">
        <f t="shared" ref="O32:T32" si="17">SUM(O12:O31)</f>
        <v>44</v>
      </c>
      <c r="P32" s="79">
        <f t="shared" si="17"/>
        <v>28</v>
      </c>
      <c r="Q32" s="80">
        <f t="shared" si="17"/>
        <v>16</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260</v>
      </c>
      <c r="AQ32" s="9">
        <f t="shared" si="0"/>
        <v>0.40625</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H3" sqref="H3"/>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64</v>
      </c>
      <c r="I1" s="34" t="s">
        <v>105</v>
      </c>
    </row>
    <row r="2" spans="1:9" ht="18.75" customHeight="1" x14ac:dyDescent="0.15">
      <c r="G2" s="34" t="s">
        <v>108</v>
      </c>
      <c r="H2" s="131" t="str">
        <f>'様式１-1　プログラムを構成する授業科目'!C2</f>
        <v>弓削商船高等専門学校</v>
      </c>
      <c r="I2" s="117"/>
    </row>
    <row r="3" spans="1:9" ht="18.75" customHeight="1" x14ac:dyDescent="0.15">
      <c r="G3" s="34"/>
      <c r="H3" s="10"/>
      <c r="I3" s="10"/>
    </row>
    <row r="4" spans="1:9" ht="18.600000000000001" customHeight="1" x14ac:dyDescent="0.15">
      <c r="A4" s="153" t="s">
        <v>35</v>
      </c>
      <c r="B4" s="153"/>
      <c r="C4" s="153"/>
      <c r="D4" s="153"/>
      <c r="E4" s="153"/>
      <c r="F4" s="153"/>
      <c r="G4" s="153"/>
      <c r="H4" s="153"/>
      <c r="I4" s="153"/>
    </row>
    <row r="5" spans="1:9" ht="13.15" customHeight="1" x14ac:dyDescent="0.15">
      <c r="B5" s="3"/>
      <c r="C5" s="3"/>
      <c r="D5" s="3"/>
      <c r="E5" s="3"/>
      <c r="F5" s="3"/>
      <c r="G5" s="3"/>
      <c r="H5" s="3"/>
      <c r="I5" s="3"/>
    </row>
    <row r="6" spans="1:9" ht="18" customHeight="1" x14ac:dyDescent="0.15">
      <c r="A6" s="1" t="s">
        <v>0</v>
      </c>
      <c r="B6" s="10" t="s">
        <v>90</v>
      </c>
      <c r="C6" s="210" t="s">
        <v>91</v>
      </c>
      <c r="D6" s="210"/>
      <c r="E6" s="33">
        <v>48</v>
      </c>
      <c r="F6" s="3" t="s">
        <v>1</v>
      </c>
      <c r="G6" s="3" t="s">
        <v>2</v>
      </c>
      <c r="H6" s="33">
        <v>32</v>
      </c>
      <c r="I6" s="10" t="s">
        <v>1</v>
      </c>
    </row>
    <row r="7" spans="1:9" ht="12" customHeight="1" x14ac:dyDescent="0.15">
      <c r="C7" s="2"/>
      <c r="D7" s="2"/>
      <c r="E7" s="2"/>
      <c r="F7" s="2"/>
      <c r="G7" s="2"/>
      <c r="H7" s="2"/>
      <c r="I7" s="41"/>
    </row>
    <row r="8" spans="1:9" ht="18" customHeight="1" x14ac:dyDescent="0.15">
      <c r="A8" s="1" t="s">
        <v>3</v>
      </c>
      <c r="B8" s="10" t="s">
        <v>92</v>
      </c>
      <c r="E8" s="3"/>
      <c r="F8" s="3"/>
      <c r="G8" s="3"/>
      <c r="H8" s="33">
        <v>5</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4" t="s">
        <v>42</v>
      </c>
      <c r="C11" s="205" t="s">
        <v>133</v>
      </c>
      <c r="D11" s="208"/>
      <c r="E11" s="209"/>
      <c r="F11" s="41"/>
      <c r="G11" s="34" t="s">
        <v>10</v>
      </c>
      <c r="H11" s="205" t="s">
        <v>134</v>
      </c>
      <c r="I11" s="209"/>
    </row>
    <row r="12" spans="1:9" ht="10.15" customHeight="1" x14ac:dyDescent="0.15">
      <c r="B12" s="34"/>
      <c r="C12" s="10"/>
      <c r="D12" s="41"/>
      <c r="E12" s="41"/>
      <c r="F12" s="41"/>
      <c r="G12" s="34"/>
      <c r="H12" s="10"/>
      <c r="I12" s="41"/>
    </row>
    <row r="13" spans="1:9" ht="18" customHeight="1" x14ac:dyDescent="0.15">
      <c r="A13" s="1" t="s">
        <v>7</v>
      </c>
      <c r="B13" s="10" t="s">
        <v>87</v>
      </c>
      <c r="C13" s="3"/>
      <c r="D13" s="3"/>
      <c r="E13" s="3"/>
      <c r="F13" s="3"/>
      <c r="G13" s="3"/>
      <c r="H13" s="3"/>
      <c r="I13" s="3"/>
    </row>
    <row r="14" spans="1:9" ht="18" customHeight="1" x14ac:dyDescent="0.15">
      <c r="B14" s="205" t="s">
        <v>135</v>
      </c>
      <c r="C14" s="206"/>
      <c r="D14" s="206"/>
      <c r="E14" s="206"/>
      <c r="F14" s="206"/>
      <c r="G14" s="206"/>
      <c r="H14" s="206"/>
      <c r="I14" s="207"/>
    </row>
    <row r="15" spans="1:9" ht="9" customHeight="1" x14ac:dyDescent="0.15">
      <c r="B15" s="3"/>
      <c r="C15" s="3"/>
      <c r="D15" s="3"/>
      <c r="E15" s="3"/>
      <c r="F15" s="3"/>
      <c r="G15" s="3"/>
      <c r="H15" s="3"/>
      <c r="I15" s="3"/>
    </row>
    <row r="16" spans="1:9" ht="18" customHeight="1" x14ac:dyDescent="0.15">
      <c r="B16" s="34" t="s">
        <v>42</v>
      </c>
      <c r="C16" s="205" t="s">
        <v>136</v>
      </c>
      <c r="D16" s="208"/>
      <c r="E16" s="209"/>
      <c r="F16" s="41"/>
      <c r="G16" s="34" t="s">
        <v>10</v>
      </c>
      <c r="H16" s="205" t="s">
        <v>137</v>
      </c>
      <c r="I16" s="20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97" t="s">
        <v>139</v>
      </c>
      <c r="C19" s="198"/>
      <c r="D19" s="198"/>
      <c r="E19" s="198"/>
      <c r="F19" s="198"/>
      <c r="G19" s="198"/>
      <c r="H19" s="198"/>
      <c r="I19" s="199"/>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187" t="s">
        <v>140</v>
      </c>
      <c r="C22" s="188"/>
      <c r="D22" s="188"/>
      <c r="E22" s="188"/>
      <c r="F22" s="188"/>
      <c r="G22" s="188"/>
      <c r="H22" s="188"/>
      <c r="I22" s="189"/>
    </row>
    <row r="23" spans="1:9" ht="18.75" customHeight="1" x14ac:dyDescent="0.15">
      <c r="A23" s="15"/>
      <c r="B23" s="200"/>
      <c r="C23" s="201"/>
      <c r="D23" s="201"/>
      <c r="E23" s="201"/>
      <c r="F23" s="201"/>
      <c r="G23" s="201"/>
      <c r="H23" s="201"/>
      <c r="I23" s="192"/>
    </row>
    <row r="24" spans="1:9" ht="18.75" customHeight="1" x14ac:dyDescent="0.15">
      <c r="A24" s="15"/>
      <c r="B24" s="200"/>
      <c r="C24" s="201"/>
      <c r="D24" s="201"/>
      <c r="E24" s="201"/>
      <c r="F24" s="201"/>
      <c r="G24" s="201"/>
      <c r="H24" s="201"/>
      <c r="I24" s="192"/>
    </row>
    <row r="25" spans="1:9" ht="18.75" customHeight="1" x14ac:dyDescent="0.15">
      <c r="A25" s="15"/>
      <c r="B25" s="200"/>
      <c r="C25" s="201"/>
      <c r="D25" s="201"/>
      <c r="E25" s="201"/>
      <c r="F25" s="201"/>
      <c r="G25" s="201"/>
      <c r="H25" s="201"/>
      <c r="I25" s="192"/>
    </row>
    <row r="26" spans="1:9" ht="18.75" customHeight="1" x14ac:dyDescent="0.15">
      <c r="A26" s="15"/>
      <c r="B26" s="200"/>
      <c r="C26" s="201"/>
      <c r="D26" s="201"/>
      <c r="E26" s="201"/>
      <c r="F26" s="201"/>
      <c r="G26" s="201"/>
      <c r="H26" s="201"/>
      <c r="I26" s="192"/>
    </row>
    <row r="27" spans="1:9" ht="18.75" customHeight="1" x14ac:dyDescent="0.15">
      <c r="A27" s="15"/>
      <c r="B27" s="200"/>
      <c r="C27" s="201"/>
      <c r="D27" s="201"/>
      <c r="E27" s="201"/>
      <c r="F27" s="201"/>
      <c r="G27" s="201"/>
      <c r="H27" s="201"/>
      <c r="I27" s="192"/>
    </row>
    <row r="28" spans="1:9" ht="18.75" customHeight="1" x14ac:dyDescent="0.15">
      <c r="A28" s="15"/>
      <c r="B28" s="200"/>
      <c r="C28" s="201"/>
      <c r="D28" s="201"/>
      <c r="E28" s="201"/>
      <c r="F28" s="201"/>
      <c r="G28" s="201"/>
      <c r="H28" s="201"/>
      <c r="I28" s="192"/>
    </row>
    <row r="29" spans="1:9" ht="18.75" customHeight="1" x14ac:dyDescent="0.15">
      <c r="A29" s="15"/>
      <c r="B29" s="200"/>
      <c r="C29" s="201"/>
      <c r="D29" s="201"/>
      <c r="E29" s="201"/>
      <c r="F29" s="201"/>
      <c r="G29" s="201"/>
      <c r="H29" s="201"/>
      <c r="I29" s="192"/>
    </row>
    <row r="30" spans="1:9" ht="18.75" customHeight="1" x14ac:dyDescent="0.15">
      <c r="A30" s="15"/>
      <c r="B30" s="190"/>
      <c r="C30" s="191"/>
      <c r="D30" s="191"/>
      <c r="E30" s="191"/>
      <c r="F30" s="191"/>
      <c r="G30" s="191"/>
      <c r="H30" s="191"/>
      <c r="I30" s="192"/>
    </row>
    <row r="31" spans="1:9" ht="18.75" customHeight="1" x14ac:dyDescent="0.15">
      <c r="A31" s="15"/>
      <c r="B31" s="190"/>
      <c r="C31" s="191"/>
      <c r="D31" s="191"/>
      <c r="E31" s="191"/>
      <c r="F31" s="191"/>
      <c r="G31" s="191"/>
      <c r="H31" s="191"/>
      <c r="I31" s="192"/>
    </row>
    <row r="32" spans="1:9" ht="18.75" customHeight="1" x14ac:dyDescent="0.15">
      <c r="A32" s="15"/>
      <c r="B32" s="193"/>
      <c r="C32" s="194"/>
      <c r="D32" s="194"/>
      <c r="E32" s="194"/>
      <c r="F32" s="194"/>
      <c r="G32" s="194"/>
      <c r="H32" s="194"/>
      <c r="I32" s="195"/>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7" t="s">
        <v>203</v>
      </c>
      <c r="C35" s="188"/>
      <c r="D35" s="188"/>
      <c r="E35" s="188"/>
      <c r="F35" s="188"/>
      <c r="G35" s="188"/>
      <c r="H35" s="188"/>
      <c r="I35" s="189"/>
    </row>
    <row r="36" spans="1:9" ht="18.75" customHeight="1" x14ac:dyDescent="0.15">
      <c r="A36" s="15"/>
      <c r="B36" s="190"/>
      <c r="C36" s="191"/>
      <c r="D36" s="191"/>
      <c r="E36" s="191"/>
      <c r="F36" s="191"/>
      <c r="G36" s="191"/>
      <c r="H36" s="191"/>
      <c r="I36" s="192"/>
    </row>
    <row r="37" spans="1:9" ht="18.75" customHeight="1" x14ac:dyDescent="0.15">
      <c r="A37" s="15"/>
      <c r="B37" s="190"/>
      <c r="C37" s="191"/>
      <c r="D37" s="191"/>
      <c r="E37" s="191"/>
      <c r="F37" s="191"/>
      <c r="G37" s="191"/>
      <c r="H37" s="191"/>
      <c r="I37" s="192"/>
    </row>
    <row r="38" spans="1:9" ht="18.75" customHeight="1" x14ac:dyDescent="0.15">
      <c r="A38" s="15"/>
      <c r="B38" s="190"/>
      <c r="C38" s="191"/>
      <c r="D38" s="191"/>
      <c r="E38" s="191"/>
      <c r="F38" s="191"/>
      <c r="G38" s="191"/>
      <c r="H38" s="191"/>
      <c r="I38" s="192"/>
    </row>
    <row r="39" spans="1:9" ht="18.75" customHeight="1" x14ac:dyDescent="0.15">
      <c r="A39" s="15"/>
      <c r="B39" s="190"/>
      <c r="C39" s="191"/>
      <c r="D39" s="191"/>
      <c r="E39" s="191"/>
      <c r="F39" s="191"/>
      <c r="G39" s="191"/>
      <c r="H39" s="191"/>
      <c r="I39" s="192"/>
    </row>
    <row r="40" spans="1:9" ht="18.75" customHeight="1" x14ac:dyDescent="0.15">
      <c r="A40" s="15"/>
      <c r="B40" s="190"/>
      <c r="C40" s="191"/>
      <c r="D40" s="191"/>
      <c r="E40" s="191"/>
      <c r="F40" s="191"/>
      <c r="G40" s="191"/>
      <c r="H40" s="191"/>
      <c r="I40" s="192"/>
    </row>
    <row r="41" spans="1:9" ht="18.75" customHeight="1" x14ac:dyDescent="0.15">
      <c r="A41" s="15"/>
      <c r="B41" s="190"/>
      <c r="C41" s="191"/>
      <c r="D41" s="191"/>
      <c r="E41" s="191"/>
      <c r="F41" s="191"/>
      <c r="G41" s="191"/>
      <c r="H41" s="191"/>
      <c r="I41" s="192"/>
    </row>
    <row r="42" spans="1:9" ht="18.75" customHeight="1" x14ac:dyDescent="0.15">
      <c r="A42" s="15"/>
      <c r="B42" s="190"/>
      <c r="C42" s="191"/>
      <c r="D42" s="191"/>
      <c r="E42" s="191"/>
      <c r="F42" s="191"/>
      <c r="G42" s="191"/>
      <c r="H42" s="191"/>
      <c r="I42" s="192"/>
    </row>
    <row r="43" spans="1:9" ht="18.75" customHeight="1" x14ac:dyDescent="0.15">
      <c r="A43" s="15"/>
      <c r="B43" s="190"/>
      <c r="C43" s="191"/>
      <c r="D43" s="191"/>
      <c r="E43" s="191"/>
      <c r="F43" s="191"/>
      <c r="G43" s="191"/>
      <c r="H43" s="191"/>
      <c r="I43" s="192"/>
    </row>
    <row r="44" spans="1:9" ht="18.75" customHeight="1" x14ac:dyDescent="0.15">
      <c r="A44" s="15"/>
      <c r="B44" s="190"/>
      <c r="C44" s="191"/>
      <c r="D44" s="191"/>
      <c r="E44" s="191"/>
      <c r="F44" s="191"/>
      <c r="G44" s="191"/>
      <c r="H44" s="191"/>
      <c r="I44" s="192"/>
    </row>
    <row r="45" spans="1:9" ht="18.75" customHeight="1" x14ac:dyDescent="0.15">
      <c r="A45" s="15"/>
      <c r="B45" s="190"/>
      <c r="C45" s="191"/>
      <c r="D45" s="191"/>
      <c r="E45" s="191"/>
      <c r="F45" s="191"/>
      <c r="G45" s="191"/>
      <c r="H45" s="191"/>
      <c r="I45" s="192"/>
    </row>
    <row r="46" spans="1:9" ht="18.75" customHeight="1" x14ac:dyDescent="0.15">
      <c r="A46" s="15"/>
      <c r="B46" s="193"/>
      <c r="C46" s="194"/>
      <c r="D46" s="194"/>
      <c r="E46" s="194"/>
      <c r="F46" s="194"/>
      <c r="G46" s="194"/>
      <c r="H46" s="194"/>
      <c r="I46" s="195"/>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2" t="s">
        <v>88</v>
      </c>
      <c r="C49" s="230">
        <f>'様式２ 履修者等数の実績'!AQ32</f>
        <v>0.40625</v>
      </c>
      <c r="D49" s="230"/>
      <c r="E49" s="42" t="s">
        <v>65</v>
      </c>
      <c r="F49" s="230">
        <v>0.59</v>
      </c>
      <c r="G49" s="230"/>
      <c r="H49" s="42" t="s">
        <v>66</v>
      </c>
      <c r="I49" s="43">
        <v>0.78</v>
      </c>
      <c r="J49" s="1"/>
      <c r="M49" s="1"/>
      <c r="N49" s="44"/>
    </row>
    <row r="50" spans="1:15" s="3" customFormat="1" ht="18.75" customHeight="1" x14ac:dyDescent="0.15">
      <c r="B50" s="45" t="s">
        <v>67</v>
      </c>
      <c r="C50" s="211">
        <v>0.97</v>
      </c>
      <c r="D50" s="211"/>
      <c r="E50" s="45" t="s">
        <v>89</v>
      </c>
      <c r="F50" s="211">
        <v>1</v>
      </c>
      <c r="G50" s="211"/>
      <c r="H50" s="45" t="s">
        <v>68</v>
      </c>
      <c r="I50" s="46">
        <f>'様式２ 履修者等数の実績'!E32</f>
        <v>640</v>
      </c>
      <c r="J50" s="1"/>
      <c r="M50" s="1"/>
      <c r="N50" s="44"/>
    </row>
    <row r="51" spans="1:15" ht="18.75" customHeight="1" x14ac:dyDescent="0.15">
      <c r="A51" s="1"/>
      <c r="B51" s="202" t="s">
        <v>69</v>
      </c>
      <c r="C51" s="203"/>
      <c r="D51" s="203"/>
      <c r="E51" s="203"/>
      <c r="F51" s="203"/>
      <c r="G51" s="203"/>
      <c r="H51" s="203"/>
      <c r="I51" s="204"/>
      <c r="N51" s="44"/>
      <c r="O51" s="3"/>
    </row>
    <row r="52" spans="1:15" ht="18.75" customHeight="1" x14ac:dyDescent="0.15">
      <c r="A52" s="1"/>
      <c r="B52" s="231" t="s">
        <v>153</v>
      </c>
      <c r="C52" s="232"/>
      <c r="D52" s="232"/>
      <c r="E52" s="232"/>
      <c r="F52" s="232"/>
      <c r="G52" s="232"/>
      <c r="H52" s="232"/>
      <c r="I52" s="233"/>
      <c r="N52" s="44"/>
      <c r="O52" s="3"/>
    </row>
    <row r="53" spans="1:15" ht="18.75" customHeight="1" x14ac:dyDescent="0.15">
      <c r="A53" s="1"/>
      <c r="B53" s="234"/>
      <c r="C53" s="235"/>
      <c r="D53" s="235"/>
      <c r="E53" s="235"/>
      <c r="F53" s="235"/>
      <c r="G53" s="235"/>
      <c r="H53" s="235"/>
      <c r="I53" s="236"/>
      <c r="N53" s="44"/>
      <c r="O53" s="3"/>
    </row>
    <row r="54" spans="1:15" ht="18.75" customHeight="1" x14ac:dyDescent="0.15">
      <c r="A54" s="1"/>
      <c r="B54" s="234"/>
      <c r="C54" s="235"/>
      <c r="D54" s="235"/>
      <c r="E54" s="235"/>
      <c r="F54" s="235"/>
      <c r="G54" s="235"/>
      <c r="H54" s="235"/>
      <c r="I54" s="236"/>
    </row>
    <row r="55" spans="1:15" ht="18.75" customHeight="1" x14ac:dyDescent="0.15">
      <c r="A55" s="1"/>
      <c r="B55" s="234"/>
      <c r="C55" s="235"/>
      <c r="D55" s="235"/>
      <c r="E55" s="235"/>
      <c r="F55" s="235"/>
      <c r="G55" s="235"/>
      <c r="H55" s="235"/>
      <c r="I55" s="236"/>
    </row>
    <row r="56" spans="1:15" ht="18.75" customHeight="1" x14ac:dyDescent="0.15">
      <c r="A56" s="1"/>
      <c r="B56" s="234"/>
      <c r="C56" s="235"/>
      <c r="D56" s="235"/>
      <c r="E56" s="235"/>
      <c r="F56" s="235"/>
      <c r="G56" s="235"/>
      <c r="H56" s="235"/>
      <c r="I56" s="236"/>
    </row>
    <row r="57" spans="1:15" ht="18.75" customHeight="1" x14ac:dyDescent="0.15">
      <c r="A57" s="1"/>
      <c r="B57" s="234"/>
      <c r="C57" s="235"/>
      <c r="D57" s="235"/>
      <c r="E57" s="235"/>
      <c r="F57" s="235"/>
      <c r="G57" s="235"/>
      <c r="H57" s="235"/>
      <c r="I57" s="236"/>
    </row>
    <row r="58" spans="1:15" ht="18.75" customHeight="1" x14ac:dyDescent="0.15">
      <c r="A58" s="1"/>
      <c r="B58" s="234"/>
      <c r="C58" s="235"/>
      <c r="D58" s="235"/>
      <c r="E58" s="235"/>
      <c r="F58" s="235"/>
      <c r="G58" s="235"/>
      <c r="H58" s="235"/>
      <c r="I58" s="236"/>
    </row>
    <row r="59" spans="1:15" ht="18.75" customHeight="1" x14ac:dyDescent="0.15">
      <c r="A59" s="1"/>
      <c r="B59" s="234"/>
      <c r="C59" s="235"/>
      <c r="D59" s="235"/>
      <c r="E59" s="235"/>
      <c r="F59" s="235"/>
      <c r="G59" s="235"/>
      <c r="H59" s="235"/>
      <c r="I59" s="236"/>
    </row>
    <row r="60" spans="1:15" ht="18.75" customHeight="1" x14ac:dyDescent="0.15">
      <c r="A60" s="1"/>
      <c r="B60" s="234"/>
      <c r="C60" s="235"/>
      <c r="D60" s="235"/>
      <c r="E60" s="235"/>
      <c r="F60" s="235"/>
      <c r="G60" s="235"/>
      <c r="H60" s="235"/>
      <c r="I60" s="236"/>
    </row>
    <row r="61" spans="1:15" ht="18.75" customHeight="1" x14ac:dyDescent="0.15">
      <c r="A61" s="1"/>
      <c r="B61" s="234"/>
      <c r="C61" s="235"/>
      <c r="D61" s="235"/>
      <c r="E61" s="235"/>
      <c r="F61" s="235"/>
      <c r="G61" s="235"/>
      <c r="H61" s="235"/>
      <c r="I61" s="236"/>
    </row>
    <row r="62" spans="1:15" ht="18.75" customHeight="1" x14ac:dyDescent="0.15">
      <c r="A62" s="1"/>
      <c r="B62" s="234"/>
      <c r="C62" s="235"/>
      <c r="D62" s="235"/>
      <c r="E62" s="235"/>
      <c r="F62" s="235"/>
      <c r="G62" s="235"/>
      <c r="H62" s="235"/>
      <c r="I62" s="236"/>
    </row>
    <row r="63" spans="1:15" ht="18.75" customHeight="1" x14ac:dyDescent="0.15">
      <c r="A63" s="1"/>
      <c r="B63" s="237"/>
      <c r="C63" s="238"/>
      <c r="D63" s="238"/>
      <c r="E63" s="238"/>
      <c r="F63" s="238"/>
      <c r="G63" s="238"/>
      <c r="H63" s="238"/>
      <c r="I63" s="239"/>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212" t="s">
        <v>154</v>
      </c>
      <c r="C66" s="213"/>
      <c r="D66" s="213"/>
      <c r="E66" s="213"/>
      <c r="F66" s="213"/>
      <c r="G66" s="213"/>
      <c r="H66" s="213"/>
      <c r="I66" s="214"/>
    </row>
    <row r="67" spans="1:9" ht="18.75" customHeight="1" x14ac:dyDescent="0.15">
      <c r="A67" s="4"/>
      <c r="B67" s="215"/>
      <c r="C67" s="216"/>
      <c r="D67" s="216"/>
      <c r="E67" s="216"/>
      <c r="F67" s="216"/>
      <c r="G67" s="216"/>
      <c r="H67" s="216"/>
      <c r="I67" s="217"/>
    </row>
    <row r="68" spans="1:9" ht="18.75" customHeight="1" x14ac:dyDescent="0.15">
      <c r="A68" s="4"/>
      <c r="B68" s="215"/>
      <c r="C68" s="216"/>
      <c r="D68" s="216"/>
      <c r="E68" s="216"/>
      <c r="F68" s="216"/>
      <c r="G68" s="216"/>
      <c r="H68" s="216"/>
      <c r="I68" s="217"/>
    </row>
    <row r="69" spans="1:9" ht="18.75" customHeight="1" x14ac:dyDescent="0.15">
      <c r="A69" s="4"/>
      <c r="B69" s="215"/>
      <c r="C69" s="216"/>
      <c r="D69" s="216"/>
      <c r="E69" s="216"/>
      <c r="F69" s="216"/>
      <c r="G69" s="216"/>
      <c r="H69" s="216"/>
      <c r="I69" s="217"/>
    </row>
    <row r="70" spans="1:9" ht="18.75" customHeight="1" x14ac:dyDescent="0.15">
      <c r="A70" s="4"/>
      <c r="B70" s="215"/>
      <c r="C70" s="216"/>
      <c r="D70" s="216"/>
      <c r="E70" s="216"/>
      <c r="F70" s="216"/>
      <c r="G70" s="216"/>
      <c r="H70" s="216"/>
      <c r="I70" s="217"/>
    </row>
    <row r="71" spans="1:9" ht="18.75" customHeight="1" x14ac:dyDescent="0.15">
      <c r="A71" s="4"/>
      <c r="B71" s="215"/>
      <c r="C71" s="216"/>
      <c r="D71" s="216"/>
      <c r="E71" s="216"/>
      <c r="F71" s="216"/>
      <c r="G71" s="216"/>
      <c r="H71" s="216"/>
      <c r="I71" s="217"/>
    </row>
    <row r="72" spans="1:9" ht="18.75" customHeight="1" x14ac:dyDescent="0.15">
      <c r="A72" s="4"/>
      <c r="B72" s="215"/>
      <c r="C72" s="216"/>
      <c r="D72" s="216"/>
      <c r="E72" s="216"/>
      <c r="F72" s="216"/>
      <c r="G72" s="216"/>
      <c r="H72" s="216"/>
      <c r="I72" s="217"/>
    </row>
    <row r="73" spans="1:9" ht="18.75" customHeight="1" x14ac:dyDescent="0.15">
      <c r="A73" s="4"/>
      <c r="B73" s="215"/>
      <c r="C73" s="216"/>
      <c r="D73" s="216"/>
      <c r="E73" s="216"/>
      <c r="F73" s="216"/>
      <c r="G73" s="216"/>
      <c r="H73" s="216"/>
      <c r="I73" s="217"/>
    </row>
    <row r="74" spans="1:9" ht="18.75" customHeight="1" x14ac:dyDescent="0.15">
      <c r="A74" s="4"/>
      <c r="B74" s="215"/>
      <c r="C74" s="216"/>
      <c r="D74" s="216"/>
      <c r="E74" s="216"/>
      <c r="F74" s="216"/>
      <c r="G74" s="216"/>
      <c r="H74" s="216"/>
      <c r="I74" s="217"/>
    </row>
    <row r="75" spans="1:9" ht="18.75" customHeight="1" x14ac:dyDescent="0.15">
      <c r="A75" s="4"/>
      <c r="B75" s="215"/>
      <c r="C75" s="216"/>
      <c r="D75" s="216"/>
      <c r="E75" s="216"/>
      <c r="F75" s="216"/>
      <c r="G75" s="216"/>
      <c r="H75" s="216"/>
      <c r="I75" s="217"/>
    </row>
    <row r="76" spans="1:9" ht="18.75" customHeight="1" x14ac:dyDescent="0.15">
      <c r="A76" s="4"/>
      <c r="B76" s="215"/>
      <c r="C76" s="216"/>
      <c r="D76" s="216"/>
      <c r="E76" s="216"/>
      <c r="F76" s="216"/>
      <c r="G76" s="216"/>
      <c r="H76" s="216"/>
      <c r="I76" s="217"/>
    </row>
    <row r="77" spans="1:9" ht="18.75" customHeight="1" x14ac:dyDescent="0.15">
      <c r="A77" s="4"/>
      <c r="B77" s="218"/>
      <c r="C77" s="219"/>
      <c r="D77" s="219"/>
      <c r="E77" s="219"/>
      <c r="F77" s="219"/>
      <c r="G77" s="219"/>
      <c r="H77" s="219"/>
      <c r="I77" s="220"/>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21" t="s">
        <v>141</v>
      </c>
      <c r="C80" s="222"/>
      <c r="D80" s="222"/>
      <c r="E80" s="222"/>
      <c r="F80" s="222"/>
      <c r="G80" s="222"/>
      <c r="H80" s="222"/>
      <c r="I80" s="223"/>
    </row>
    <row r="81" spans="1:9" ht="18.75" customHeight="1" x14ac:dyDescent="0.15">
      <c r="A81" s="1"/>
      <c r="B81" s="224"/>
      <c r="C81" s="225"/>
      <c r="D81" s="225"/>
      <c r="E81" s="225"/>
      <c r="F81" s="225"/>
      <c r="G81" s="225"/>
      <c r="H81" s="225"/>
      <c r="I81" s="226"/>
    </row>
    <row r="82" spans="1:9" ht="18.75" customHeight="1" x14ac:dyDescent="0.15">
      <c r="A82" s="1"/>
      <c r="B82" s="224"/>
      <c r="C82" s="225"/>
      <c r="D82" s="225"/>
      <c r="E82" s="225"/>
      <c r="F82" s="225"/>
      <c r="G82" s="225"/>
      <c r="H82" s="225"/>
      <c r="I82" s="226"/>
    </row>
    <row r="83" spans="1:9" ht="18.75" customHeight="1" x14ac:dyDescent="0.15">
      <c r="A83" s="1"/>
      <c r="B83" s="224"/>
      <c r="C83" s="225"/>
      <c r="D83" s="225"/>
      <c r="E83" s="225"/>
      <c r="F83" s="225"/>
      <c r="G83" s="225"/>
      <c r="H83" s="225"/>
      <c r="I83" s="226"/>
    </row>
    <row r="84" spans="1:9" ht="18.75" customHeight="1" x14ac:dyDescent="0.15">
      <c r="A84" s="1"/>
      <c r="B84" s="224"/>
      <c r="C84" s="225"/>
      <c r="D84" s="225"/>
      <c r="E84" s="225"/>
      <c r="F84" s="225"/>
      <c r="G84" s="225"/>
      <c r="H84" s="225"/>
      <c r="I84" s="226"/>
    </row>
    <row r="85" spans="1:9" ht="18.75" customHeight="1" x14ac:dyDescent="0.15">
      <c r="A85" s="1"/>
      <c r="B85" s="224"/>
      <c r="C85" s="225"/>
      <c r="D85" s="225"/>
      <c r="E85" s="225"/>
      <c r="F85" s="225"/>
      <c r="G85" s="225"/>
      <c r="H85" s="225"/>
      <c r="I85" s="226"/>
    </row>
    <row r="86" spans="1:9" ht="18.75" customHeight="1" x14ac:dyDescent="0.15">
      <c r="A86" s="1"/>
      <c r="B86" s="224"/>
      <c r="C86" s="225"/>
      <c r="D86" s="225"/>
      <c r="E86" s="225"/>
      <c r="F86" s="225"/>
      <c r="G86" s="225"/>
      <c r="H86" s="225"/>
      <c r="I86" s="226"/>
    </row>
    <row r="87" spans="1:9" ht="18.75" customHeight="1" x14ac:dyDescent="0.15">
      <c r="A87" s="1"/>
      <c r="B87" s="224"/>
      <c r="C87" s="225"/>
      <c r="D87" s="225"/>
      <c r="E87" s="225"/>
      <c r="F87" s="225"/>
      <c r="G87" s="225"/>
      <c r="H87" s="225"/>
      <c r="I87" s="226"/>
    </row>
    <row r="88" spans="1:9" ht="18.75" customHeight="1" x14ac:dyDescent="0.15">
      <c r="A88" s="1"/>
      <c r="B88" s="224"/>
      <c r="C88" s="225"/>
      <c r="D88" s="225"/>
      <c r="E88" s="225"/>
      <c r="F88" s="225"/>
      <c r="G88" s="225"/>
      <c r="H88" s="225"/>
      <c r="I88" s="226"/>
    </row>
    <row r="89" spans="1:9" ht="18.75" customHeight="1" x14ac:dyDescent="0.15">
      <c r="A89" s="1"/>
      <c r="B89" s="224"/>
      <c r="C89" s="225"/>
      <c r="D89" s="225"/>
      <c r="E89" s="225"/>
      <c r="F89" s="225"/>
      <c r="G89" s="225"/>
      <c r="H89" s="225"/>
      <c r="I89" s="226"/>
    </row>
    <row r="90" spans="1:9" ht="18.75" customHeight="1" x14ac:dyDescent="0.15">
      <c r="A90" s="4"/>
      <c r="B90" s="224"/>
      <c r="C90" s="225"/>
      <c r="D90" s="225"/>
      <c r="E90" s="225"/>
      <c r="F90" s="225"/>
      <c r="G90" s="225"/>
      <c r="H90" s="225"/>
      <c r="I90" s="226"/>
    </row>
    <row r="91" spans="1:9" ht="18.75" customHeight="1" x14ac:dyDescent="0.15">
      <c r="A91" s="4"/>
      <c r="B91" s="227"/>
      <c r="C91" s="228"/>
      <c r="D91" s="228"/>
      <c r="E91" s="228"/>
      <c r="F91" s="228"/>
      <c r="G91" s="228"/>
      <c r="H91" s="228"/>
      <c r="I91" s="229"/>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187" t="s">
        <v>152</v>
      </c>
      <c r="C94" s="188"/>
      <c r="D94" s="188"/>
      <c r="E94" s="188"/>
      <c r="F94" s="188"/>
      <c r="G94" s="188"/>
      <c r="H94" s="188"/>
      <c r="I94" s="189"/>
    </row>
    <row r="95" spans="1:9" ht="18.75" customHeight="1" x14ac:dyDescent="0.15">
      <c r="A95" s="1"/>
      <c r="B95" s="190"/>
      <c r="C95" s="191"/>
      <c r="D95" s="191"/>
      <c r="E95" s="191"/>
      <c r="F95" s="191"/>
      <c r="G95" s="191"/>
      <c r="H95" s="191"/>
      <c r="I95" s="192"/>
    </row>
    <row r="96" spans="1:9" ht="18.75" customHeight="1" x14ac:dyDescent="0.15">
      <c r="A96" s="1"/>
      <c r="B96" s="190"/>
      <c r="C96" s="191"/>
      <c r="D96" s="191"/>
      <c r="E96" s="191"/>
      <c r="F96" s="191"/>
      <c r="G96" s="191"/>
      <c r="H96" s="191"/>
      <c r="I96" s="192"/>
    </row>
    <row r="97" spans="1:9" ht="18.75" customHeight="1" x14ac:dyDescent="0.15">
      <c r="A97" s="1"/>
      <c r="B97" s="190"/>
      <c r="C97" s="191"/>
      <c r="D97" s="191"/>
      <c r="E97" s="191"/>
      <c r="F97" s="191"/>
      <c r="G97" s="191"/>
      <c r="H97" s="191"/>
      <c r="I97" s="192"/>
    </row>
    <row r="98" spans="1:9" ht="18.75" customHeight="1" x14ac:dyDescent="0.15">
      <c r="A98" s="1"/>
      <c r="B98" s="190"/>
      <c r="C98" s="191"/>
      <c r="D98" s="191"/>
      <c r="E98" s="191"/>
      <c r="F98" s="191"/>
      <c r="G98" s="191"/>
      <c r="H98" s="191"/>
      <c r="I98" s="192"/>
    </row>
    <row r="99" spans="1:9" ht="18.75" customHeight="1" x14ac:dyDescent="0.15">
      <c r="A99" s="1"/>
      <c r="B99" s="190"/>
      <c r="C99" s="191"/>
      <c r="D99" s="191"/>
      <c r="E99" s="191"/>
      <c r="F99" s="191"/>
      <c r="G99" s="191"/>
      <c r="H99" s="191"/>
      <c r="I99" s="192"/>
    </row>
    <row r="100" spans="1:9" ht="18.75" customHeight="1" x14ac:dyDescent="0.15">
      <c r="A100" s="1"/>
      <c r="B100" s="190"/>
      <c r="C100" s="191"/>
      <c r="D100" s="191"/>
      <c r="E100" s="191"/>
      <c r="F100" s="191"/>
      <c r="G100" s="191"/>
      <c r="H100" s="191"/>
      <c r="I100" s="192"/>
    </row>
    <row r="101" spans="1:9" ht="18.75" customHeight="1" x14ac:dyDescent="0.15">
      <c r="A101" s="1"/>
      <c r="B101" s="190"/>
      <c r="C101" s="191"/>
      <c r="D101" s="191"/>
      <c r="E101" s="191"/>
      <c r="F101" s="191"/>
      <c r="G101" s="191"/>
      <c r="H101" s="191"/>
      <c r="I101" s="192"/>
    </row>
    <row r="102" spans="1:9" ht="18.75" customHeight="1" x14ac:dyDescent="0.15">
      <c r="A102" s="1"/>
      <c r="B102" s="190"/>
      <c r="C102" s="191"/>
      <c r="D102" s="191"/>
      <c r="E102" s="191"/>
      <c r="F102" s="191"/>
      <c r="G102" s="191"/>
      <c r="H102" s="191"/>
      <c r="I102" s="192"/>
    </row>
    <row r="103" spans="1:9" ht="18.75" customHeight="1" x14ac:dyDescent="0.15">
      <c r="A103" s="1"/>
      <c r="B103" s="190"/>
      <c r="C103" s="191"/>
      <c r="D103" s="191"/>
      <c r="E103" s="191"/>
      <c r="F103" s="191"/>
      <c r="G103" s="191"/>
      <c r="H103" s="191"/>
      <c r="I103" s="192"/>
    </row>
    <row r="104" spans="1:9" ht="18.75" customHeight="1" x14ac:dyDescent="0.15">
      <c r="A104" s="1"/>
      <c r="B104" s="190"/>
      <c r="C104" s="191"/>
      <c r="D104" s="191"/>
      <c r="E104" s="191"/>
      <c r="F104" s="191"/>
      <c r="G104" s="191"/>
      <c r="H104" s="191"/>
      <c r="I104" s="192"/>
    </row>
    <row r="105" spans="1:9" ht="18.75" customHeight="1" x14ac:dyDescent="0.15">
      <c r="A105" s="4"/>
      <c r="B105" s="193"/>
      <c r="C105" s="194"/>
      <c r="D105" s="194"/>
      <c r="E105" s="194"/>
      <c r="F105" s="194"/>
      <c r="G105" s="194"/>
      <c r="H105" s="194"/>
      <c r="I105" s="195"/>
    </row>
    <row r="106" spans="1:9" ht="7.5" customHeight="1" x14ac:dyDescent="0.15">
      <c r="A106" s="4"/>
      <c r="B106" s="4"/>
      <c r="C106" s="4"/>
      <c r="D106" s="4"/>
      <c r="E106" s="4"/>
      <c r="F106" s="4"/>
      <c r="G106" s="4"/>
      <c r="H106" s="4"/>
      <c r="I106" s="4"/>
    </row>
    <row r="107" spans="1:9" ht="18.75" customHeight="1" x14ac:dyDescent="0.15">
      <c r="A107" s="1" t="s">
        <v>29</v>
      </c>
      <c r="B107" s="196" t="s">
        <v>45</v>
      </c>
      <c r="C107" s="196"/>
      <c r="D107" s="196"/>
      <c r="E107" s="196"/>
      <c r="F107" s="196"/>
      <c r="G107" s="196"/>
      <c r="H107" s="196"/>
      <c r="I107" s="196"/>
    </row>
    <row r="108" spans="1:9" ht="18.75" customHeight="1" x14ac:dyDescent="0.15">
      <c r="A108" s="4"/>
      <c r="B108" s="187" t="s">
        <v>142</v>
      </c>
      <c r="C108" s="188"/>
      <c r="D108" s="188"/>
      <c r="E108" s="188"/>
      <c r="F108" s="188"/>
      <c r="G108" s="188"/>
      <c r="H108" s="188"/>
      <c r="I108" s="189"/>
    </row>
    <row r="109" spans="1:9" ht="18.75" customHeight="1" x14ac:dyDescent="0.15">
      <c r="A109" s="4"/>
      <c r="B109" s="190"/>
      <c r="C109" s="191"/>
      <c r="D109" s="191"/>
      <c r="E109" s="191"/>
      <c r="F109" s="191"/>
      <c r="G109" s="191"/>
      <c r="H109" s="191"/>
      <c r="I109" s="192"/>
    </row>
    <row r="110" spans="1:9" ht="18.75" customHeight="1" x14ac:dyDescent="0.15">
      <c r="A110" s="4"/>
      <c r="B110" s="190"/>
      <c r="C110" s="191"/>
      <c r="D110" s="191"/>
      <c r="E110" s="191"/>
      <c r="F110" s="191"/>
      <c r="G110" s="191"/>
      <c r="H110" s="191"/>
      <c r="I110" s="192"/>
    </row>
    <row r="111" spans="1:9" ht="18.75" customHeight="1" x14ac:dyDescent="0.15">
      <c r="A111" s="4"/>
      <c r="B111" s="190"/>
      <c r="C111" s="191"/>
      <c r="D111" s="191"/>
      <c r="E111" s="191"/>
      <c r="F111" s="191"/>
      <c r="G111" s="191"/>
      <c r="H111" s="191"/>
      <c r="I111" s="192"/>
    </row>
    <row r="112" spans="1:9" ht="18.75" customHeight="1" x14ac:dyDescent="0.15">
      <c r="A112" s="4"/>
      <c r="B112" s="190"/>
      <c r="C112" s="191"/>
      <c r="D112" s="191"/>
      <c r="E112" s="191"/>
      <c r="F112" s="191"/>
      <c r="G112" s="191"/>
      <c r="H112" s="191"/>
      <c r="I112" s="192"/>
    </row>
    <row r="113" spans="1:9" ht="18.75" customHeight="1" x14ac:dyDescent="0.15">
      <c r="A113" s="4"/>
      <c r="B113" s="190"/>
      <c r="C113" s="191"/>
      <c r="D113" s="191"/>
      <c r="E113" s="191"/>
      <c r="F113" s="191"/>
      <c r="G113" s="191"/>
      <c r="H113" s="191"/>
      <c r="I113" s="192"/>
    </row>
    <row r="114" spans="1:9" ht="18.75" customHeight="1" x14ac:dyDescent="0.15">
      <c r="A114" s="4"/>
      <c r="B114" s="190"/>
      <c r="C114" s="191"/>
      <c r="D114" s="191"/>
      <c r="E114" s="191"/>
      <c r="F114" s="191"/>
      <c r="G114" s="191"/>
      <c r="H114" s="191"/>
      <c r="I114" s="192"/>
    </row>
    <row r="115" spans="1:9" ht="18.75" customHeight="1" x14ac:dyDescent="0.15">
      <c r="A115" s="4"/>
      <c r="B115" s="190"/>
      <c r="C115" s="191"/>
      <c r="D115" s="191"/>
      <c r="E115" s="191"/>
      <c r="F115" s="191"/>
      <c r="G115" s="191"/>
      <c r="H115" s="191"/>
      <c r="I115" s="192"/>
    </row>
    <row r="116" spans="1:9" ht="18.75" customHeight="1" x14ac:dyDescent="0.15">
      <c r="A116" s="4"/>
      <c r="B116" s="190"/>
      <c r="C116" s="191"/>
      <c r="D116" s="191"/>
      <c r="E116" s="191"/>
      <c r="F116" s="191"/>
      <c r="G116" s="191"/>
      <c r="H116" s="191"/>
      <c r="I116" s="192"/>
    </row>
    <row r="117" spans="1:9" ht="18.75" customHeight="1" x14ac:dyDescent="0.15">
      <c r="A117" s="4"/>
      <c r="B117" s="190"/>
      <c r="C117" s="191"/>
      <c r="D117" s="191"/>
      <c r="E117" s="191"/>
      <c r="F117" s="191"/>
      <c r="G117" s="191"/>
      <c r="H117" s="191"/>
      <c r="I117" s="192"/>
    </row>
    <row r="118" spans="1:9" ht="18.75" customHeight="1" x14ac:dyDescent="0.15">
      <c r="A118" s="4"/>
      <c r="B118" s="190"/>
      <c r="C118" s="191"/>
      <c r="D118" s="191"/>
      <c r="E118" s="191"/>
      <c r="F118" s="191"/>
      <c r="G118" s="191"/>
      <c r="H118" s="191"/>
      <c r="I118" s="192"/>
    </row>
    <row r="119" spans="1:9" ht="18.75" customHeight="1" x14ac:dyDescent="0.15">
      <c r="A119" s="4"/>
      <c r="B119" s="193"/>
      <c r="C119" s="194"/>
      <c r="D119" s="194"/>
      <c r="E119" s="194"/>
      <c r="F119" s="194"/>
      <c r="G119" s="194"/>
      <c r="H119" s="194"/>
      <c r="I119" s="195"/>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A3" sqref="A3:I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4" t="s">
        <v>104</v>
      </c>
    </row>
    <row r="2" spans="1:9" ht="18.75" customHeight="1" x14ac:dyDescent="0.15">
      <c r="H2" s="34" t="s">
        <v>108</v>
      </c>
      <c r="I2" s="33" t="str">
        <f>'様式１-1　プログラムを構成する授業科目'!C2</f>
        <v>弓削商船高等専門学校</v>
      </c>
    </row>
    <row r="3" spans="1:9" ht="18.75" customHeight="1" x14ac:dyDescent="0.15">
      <c r="A3" s="153" t="s">
        <v>27</v>
      </c>
      <c r="B3" s="153"/>
      <c r="C3" s="153"/>
      <c r="D3" s="153"/>
      <c r="E3" s="153"/>
      <c r="F3" s="153"/>
      <c r="G3" s="153"/>
      <c r="H3" s="153"/>
      <c r="I3" s="153"/>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05" t="s">
        <v>138</v>
      </c>
      <c r="C6" s="247"/>
      <c r="D6" s="247"/>
      <c r="E6" s="247"/>
      <c r="F6" s="247"/>
      <c r="G6" s="247"/>
      <c r="H6" s="248"/>
      <c r="I6" s="3"/>
    </row>
    <row r="7" spans="1:9" ht="9" customHeight="1" x14ac:dyDescent="0.15">
      <c r="A7" s="5"/>
      <c r="B7" s="10"/>
      <c r="C7" s="10"/>
      <c r="D7" s="10"/>
      <c r="E7" s="10"/>
      <c r="F7" s="10"/>
      <c r="G7" s="10"/>
      <c r="H7" s="10"/>
      <c r="I7" s="3"/>
    </row>
    <row r="8" spans="1:9" ht="18.75" customHeight="1" x14ac:dyDescent="0.15">
      <c r="A8" s="5"/>
      <c r="B8" s="3"/>
      <c r="C8" s="3"/>
      <c r="D8" s="34" t="s">
        <v>42</v>
      </c>
      <c r="E8" s="35" t="s">
        <v>133</v>
      </c>
      <c r="F8" s="3"/>
      <c r="G8" s="34" t="s">
        <v>10</v>
      </c>
      <c r="H8" s="35" t="s">
        <v>134</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31" t="s">
        <v>23</v>
      </c>
      <c r="C11" s="116"/>
      <c r="D11" s="117"/>
      <c r="E11" s="116" t="s">
        <v>25</v>
      </c>
      <c r="F11" s="116"/>
      <c r="G11" s="116"/>
      <c r="H11" s="116"/>
      <c r="I11" s="117"/>
    </row>
    <row r="12" spans="1:9" ht="26.25" customHeight="1" x14ac:dyDescent="0.15">
      <c r="B12" s="49" t="s">
        <v>13</v>
      </c>
      <c r="C12" s="56"/>
      <c r="D12" s="50"/>
      <c r="E12" s="57"/>
      <c r="F12" s="57"/>
      <c r="G12" s="57"/>
      <c r="H12" s="57"/>
      <c r="I12" s="50"/>
    </row>
    <row r="13" spans="1:9" ht="210.75" customHeight="1" x14ac:dyDescent="0.15">
      <c r="B13" s="51"/>
      <c r="C13" s="245" t="s">
        <v>14</v>
      </c>
      <c r="D13" s="246"/>
      <c r="E13" s="242" t="s">
        <v>144</v>
      </c>
      <c r="F13" s="243"/>
      <c r="G13" s="243"/>
      <c r="H13" s="243"/>
      <c r="I13" s="244"/>
    </row>
    <row r="14" spans="1:9" ht="210.75" customHeight="1" x14ac:dyDescent="0.15">
      <c r="B14" s="51"/>
      <c r="C14" s="240" t="s">
        <v>15</v>
      </c>
      <c r="D14" s="241"/>
      <c r="E14" s="242" t="s">
        <v>145</v>
      </c>
      <c r="F14" s="243"/>
      <c r="G14" s="243"/>
      <c r="H14" s="243"/>
      <c r="I14" s="244"/>
    </row>
    <row r="15" spans="1:9" ht="210.75" customHeight="1" x14ac:dyDescent="0.15">
      <c r="B15" s="51"/>
      <c r="C15" s="245" t="s">
        <v>16</v>
      </c>
      <c r="D15" s="246"/>
      <c r="E15" s="242" t="s">
        <v>146</v>
      </c>
      <c r="F15" s="243"/>
      <c r="G15" s="243"/>
      <c r="H15" s="243"/>
      <c r="I15" s="244"/>
    </row>
    <row r="16" spans="1:9" ht="210.75" customHeight="1" x14ac:dyDescent="0.15">
      <c r="B16" s="51"/>
      <c r="C16" s="245" t="s">
        <v>17</v>
      </c>
      <c r="D16" s="246"/>
      <c r="E16" s="242" t="s">
        <v>147</v>
      </c>
      <c r="F16" s="243"/>
      <c r="G16" s="243"/>
      <c r="H16" s="243"/>
      <c r="I16" s="244"/>
    </row>
    <row r="17" spans="2:9" ht="210.75" customHeight="1" x14ac:dyDescent="0.15">
      <c r="B17" s="52"/>
      <c r="C17" s="249" t="s">
        <v>18</v>
      </c>
      <c r="D17" s="250"/>
      <c r="E17" s="251" t="s">
        <v>148</v>
      </c>
      <c r="F17" s="252"/>
      <c r="G17" s="252"/>
      <c r="H17" s="252"/>
      <c r="I17" s="253"/>
    </row>
    <row r="18" spans="2:9" ht="24" customHeight="1" x14ac:dyDescent="0.15">
      <c r="B18" s="49" t="s">
        <v>19</v>
      </c>
      <c r="C18" s="53"/>
      <c r="D18" s="54"/>
      <c r="E18" s="55"/>
      <c r="F18" s="55"/>
      <c r="G18" s="55"/>
      <c r="H18" s="55"/>
      <c r="I18" s="58"/>
    </row>
    <row r="19" spans="2:9" ht="218.25" customHeight="1" x14ac:dyDescent="0.15">
      <c r="B19" s="51"/>
      <c r="C19" s="245" t="s">
        <v>20</v>
      </c>
      <c r="D19" s="246"/>
      <c r="E19" s="242" t="s">
        <v>149</v>
      </c>
      <c r="F19" s="243"/>
      <c r="G19" s="243"/>
      <c r="H19" s="243"/>
      <c r="I19" s="244"/>
    </row>
    <row r="20" spans="2:9" ht="218.25" customHeight="1" x14ac:dyDescent="0.15">
      <c r="B20" s="52"/>
      <c r="C20" s="249" t="s">
        <v>21</v>
      </c>
      <c r="D20" s="250"/>
      <c r="E20" s="260" t="s">
        <v>143</v>
      </c>
      <c r="F20" s="261"/>
      <c r="G20" s="261"/>
      <c r="H20" s="261"/>
      <c r="I20" s="262"/>
    </row>
    <row r="21" spans="2:9" ht="218.25" customHeight="1" x14ac:dyDescent="0.15">
      <c r="B21" s="263" t="s">
        <v>22</v>
      </c>
      <c r="C21" s="264"/>
      <c r="D21" s="265"/>
      <c r="E21" s="266" t="s">
        <v>150</v>
      </c>
      <c r="F21" s="267"/>
      <c r="G21" s="267"/>
      <c r="H21" s="267"/>
      <c r="I21" s="268"/>
    </row>
    <row r="22" spans="2:9" ht="218.25" customHeight="1" x14ac:dyDescent="0.15">
      <c r="B22" s="254" t="s">
        <v>37</v>
      </c>
      <c r="C22" s="255"/>
      <c r="D22" s="256"/>
      <c r="E22" s="257" t="s">
        <v>151</v>
      </c>
      <c r="F22" s="258"/>
      <c r="G22" s="258"/>
      <c r="H22" s="258"/>
      <c r="I22" s="25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様式１-1　プログラムを構成する授業科目</vt:lpstr>
      <vt:lpstr>様式１-2　プログラムを構成する授業科目</vt:lpstr>
      <vt:lpstr>様式１-3　プログラムを構成する授業科目 </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'様式１-3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天野 優_高専本部</cp:lastModifiedBy>
  <cp:lastPrinted>2023-07-04T00:38:59Z</cp:lastPrinted>
  <dcterms:created xsi:type="dcterms:W3CDTF">2011-06-14T05:32:50Z</dcterms:created>
  <dcterms:modified xsi:type="dcterms:W3CDTF">2023-07-04T00:39:56Z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