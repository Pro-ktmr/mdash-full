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T:\文科省等申請（設置認可・届出等）\数理・データサイエンス・ＡＩ教育プログラム認定制度\2023年度（R5）\01_提出書類\提出（再提出分）\"/>
    </mc:Choice>
  </mc:AlternateContent>
  <xr:revisionPtr revIDLastSave="0" documentId="13_ncr:1_{DA894B5A-0AE2-45F9-A85D-1A19A8CC1896}"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<sst xmlns="http://schemas.openxmlformats.org/spreadsheetml/2006/main" count="301" uniqueCount="177">
  <si>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</si>
  <si>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</si>
  <si>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</si>
  <si>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</si>
  <si>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</si>
  <si>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</si>
  <si>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</si>
  <si>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</si>
  <si>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</si>
  <si>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</si>
  <si>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</si>
  <si>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</si>
  <si>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</si>
  <si>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</si>
  <si>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</si>
  <si>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</si>
  <si>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</si>
  <si>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</si>
  <si>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</si>
  <si>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</si>
  <si>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</si>
  <si>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</si>
  <si>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</si>
  <si>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</si>
  <si>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</si>
  <si>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</si>
  <si>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</si>
  <si>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</si>
  <si>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</si>
  <si>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</si>
  <si>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</si>
  <si>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</si>
  <si>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</si>
  <si>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</si>
  <si>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</si>
  <si>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</si>
  <si>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</si>
  <si>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</si>
  <si>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</si>
  <si>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</si>
  <si>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</si>
  <si>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</si>
  <si>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</si>
  <si>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</si>
  <si>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</si>
  <si>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</si>
  <si>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</si>
  <si>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</si>
  <si>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</si>
  <si>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</si>
  <si>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</si>
  <si>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</si>
  <si>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</si>
  <si>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</si>
  <si>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</si>
  <si>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</si>
  <si>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</si>
  <si>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</si>
  <si>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</si>
  <si>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</si>
  <si>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</si>
  <si>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</si>
  <si>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</si>
  <si>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</si>
  <si>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</si>
  <si>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</si>
  <si>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</si>
  <si>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</si>
  <si>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</si>
  <si>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</si>
  <si>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</si>
  <si>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</si>
  <si>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</si>
  <si>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</si>
  <si>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</si>
  <si>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</si>
  <si>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</si>
  <si>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</si>
  <si>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</si>
  <si>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</si>
  <si>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</si>
  <si>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</si>
  <si>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</si>
  <si>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</si>
  <si>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</si>
  <si>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</si>
  <si>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</si>
  <si>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</si>
  <si>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</si>
  <si>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</si>
  <si>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</si>
  <si>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</si>
  <si>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</si>
  <si>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</si>
  <si>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</si>
  <si>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</si>
  <si>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</si>
  <si>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</si>
  <si>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</si>
  <si>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</si>
  <si>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</si>
  <si>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</si>
  <si>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</si>
  <si>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</si>
  <si>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</si>
  <si>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</si>
  <si>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</si>
  <si>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</si>
  <si>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</si>
  <si>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</si>
  <si>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</si>
  <si>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</si>
  <si>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</si>
  <si>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</si>
  <si>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</si>
  <si>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</si>
  <si>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</si>
  <si>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</si>
  <si>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</si>
  <si>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</si>
  <si>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</si>
  <si>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</si>
  <si>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</si>
  <si>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</si>
  <si>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</si>
  <si>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</si>
  <si>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</si>
  <si>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帝塚山大学</t>
    <rPh sb="0" eb="3">
      <t>テヅカヤマ</t>
    </rPh>
    <rPh sb="3" eb="5">
      <t>ダイガク</t>
    </rPh>
    <phoneticPr fontId="1"/>
  </si>
  <si>
    <t>データサイエンス・リテラシープログラム</t>
    <phoneticPr fontId="1"/>
  </si>
  <si>
    <t>学部・学科によって、修了要件は相違しない</t>
  </si>
  <si>
    <t>○</t>
  </si>
  <si>
    <t>○</t>
    <phoneticPr fontId="1"/>
  </si>
  <si>
    <t>「特別講義データサイエンス入門（2単位）」の単位を取得すること</t>
    <rPh sb="1" eb="3">
      <t>トクベツ</t>
    </rPh>
    <rPh sb="3" eb="5">
      <t>コウギ</t>
    </rPh>
    <rPh sb="17" eb="19">
      <t>タンイ</t>
    </rPh>
    <rPh sb="22" eb="24">
      <t>タンイ</t>
    </rPh>
    <rPh sb="25" eb="27">
      <t>シュトク</t>
    </rPh>
    <phoneticPr fontId="1"/>
  </si>
  <si>
    <t>特別講義（データサイエンス入門）</t>
    <rPh sb="0" eb="4">
      <t>トクベツコウギ</t>
    </rPh>
    <rPh sb="13" eb="15">
      <t>ニュウモン</t>
    </rPh>
    <phoneticPr fontId="1"/>
  </si>
  <si>
    <t>(1) 身の回りにあるデータやAI(人工知能)の利用例を知り、データサイエンスのおもしろさが実感できる。
(2) 社会に出た際、自らデータを分析したり、AIツールを活用したりする能力を身に付けられる。
(3) 社会における様々な応用事例を知り、データ活用の際の倫理面およびセキュリティ面における重要性が理解できる。</t>
    <rPh sb="92" eb="93">
      <t>ミ</t>
    </rPh>
    <rPh sb="94" eb="95">
      <t>ツ</t>
    </rPh>
    <rPh sb="105" eb="107">
      <t>シャカイ</t>
    </rPh>
    <rPh sb="111" eb="113">
      <t>サマザマ</t>
    </rPh>
    <rPh sb="114" eb="118">
      <t>オウヨウジレイ</t>
    </rPh>
    <rPh sb="119" eb="120">
      <t>シ</t>
    </rPh>
    <rPh sb="125" eb="127">
      <t>カツヨウ</t>
    </rPh>
    <rPh sb="128" eb="129">
      <t>サイ</t>
    </rPh>
    <rPh sb="130" eb="132">
      <t>リンリ</t>
    </rPh>
    <rPh sb="132" eb="133">
      <t>メン</t>
    </rPh>
    <rPh sb="142" eb="143">
      <t>メン</t>
    </rPh>
    <rPh sb="147" eb="150">
      <t>ジュウヨウセイ</t>
    </rPh>
    <rPh sb="151" eb="153">
      <t>リカイ</t>
    </rPh>
    <phoneticPr fontId="1"/>
  </si>
  <si>
    <t>令和4</t>
    <rPh sb="0" eb="2">
      <t>レイワ</t>
    </rPh>
    <phoneticPr fontId="1"/>
  </si>
  <si>
    <t>文学部</t>
    <rPh sb="0" eb="3">
      <t>ブンガクブ</t>
    </rPh>
    <phoneticPr fontId="1"/>
  </si>
  <si>
    <t>経済経営学部</t>
    <rPh sb="0" eb="2">
      <t>ケイザイ</t>
    </rPh>
    <rPh sb="2" eb="4">
      <t>ケイエイ</t>
    </rPh>
    <rPh sb="4" eb="6">
      <t>ガクブ</t>
    </rPh>
    <phoneticPr fontId="1"/>
  </si>
  <si>
    <t>法学部</t>
    <rPh sb="0" eb="3">
      <t>ホウガクブ</t>
    </rPh>
    <phoneticPr fontId="1"/>
  </si>
  <si>
    <t>心理学部</t>
    <rPh sb="0" eb="4">
      <t>シンリガクブ</t>
    </rPh>
    <phoneticPr fontId="1"/>
  </si>
  <si>
    <t>現代生活学部</t>
    <rPh sb="0" eb="6">
      <t>ゲンダイセイカツガクブ</t>
    </rPh>
    <phoneticPr fontId="1"/>
  </si>
  <si>
    <t>教育学部</t>
    <rPh sb="0" eb="4">
      <t>キョウイクガクブ</t>
    </rPh>
    <phoneticPr fontId="1"/>
  </si>
  <si>
    <t>日置　慎治</t>
    <rPh sb="0" eb="2">
      <t>ヒオキ</t>
    </rPh>
    <rPh sb="3" eb="4">
      <t>シン</t>
    </rPh>
    <rPh sb="4" eb="5">
      <t>ジ</t>
    </rPh>
    <phoneticPr fontId="1"/>
  </si>
  <si>
    <t>学長補佐（データサイエンス教育担当）</t>
    <phoneticPr fontId="1"/>
  </si>
  <si>
    <t>データサイエンス教育推進委員会規程</t>
    <phoneticPr fontId="1"/>
  </si>
  <si>
    <t>データサイエンス教育推進委員会　委員長</t>
    <rPh sb="16" eb="19">
      <t>イインチョウ</t>
    </rPh>
    <phoneticPr fontId="1"/>
  </si>
  <si>
    <t>データサイエンス教育推進委員会</t>
    <rPh sb="8" eb="10">
      <t>キョウイク</t>
    </rPh>
    <rPh sb="10" eb="15">
      <t>スイシンイインカイ</t>
    </rPh>
    <phoneticPr fontId="1"/>
  </si>
  <si>
    <t>委員長　日置　慎治（学長補佐（数理データサイエンス教育担当））
委　 員　飛世　昭裕（副学長（教学担当）） 
委　 員　大西　智之（全学教育開発センター長）
委　 員　向井　篤弘（情報教育研究センター長） 
委　 員　西尾　元伸（文学部　准教授）
委　 員　川村　哲也（経済経営学部　講師）
委　 員　関　誠（法学部　准教授）
委　 員　河越　隼人（心理学部　准教授）
委　 員　中　崇（現代生活学部　准教授）
委　 員　杉村　智子（教育学部　教授）
委　 員　島本　英一郎（教学支援課長）
委　 員　中島　剛（教学支援課長）
委　 員　本多　正樹（情報教育研究センター課長）
委　 員　福田　雅実（総務課長（東生駒キャンパス担当））
委　 員　南野　貴久（学長室課長）</t>
    <rPh sb="4" eb="6">
      <t>ヒオキ</t>
    </rPh>
    <rPh sb="8" eb="9">
      <t>オサ</t>
    </rPh>
    <rPh sb="39" eb="40">
      <t>アキ</t>
    </rPh>
    <rPh sb="40" eb="41">
      <t>ヒロ</t>
    </rPh>
    <rPh sb="86" eb="88">
      <t>アツヒロ</t>
    </rPh>
    <rPh sb="111" eb="113">
      <t>モトノブ</t>
    </rPh>
    <rPh sb="131" eb="133">
      <t>テツヤ</t>
    </rPh>
    <rPh sb="138" eb="140">
      <t>ガクブ</t>
    </rPh>
    <rPh sb="152" eb="153">
      <t>マコト</t>
    </rPh>
    <rPh sb="171" eb="173">
      <t>ハヤト</t>
    </rPh>
    <rPh sb="191" eb="192">
      <t>タカシ</t>
    </rPh>
    <rPh sb="213" eb="215">
      <t>トモコ</t>
    </rPh>
    <rPh sb="233" eb="236">
      <t>エイイチロウ</t>
    </rPh>
    <rPh sb="242" eb="243">
      <t>チョウ</t>
    </rPh>
    <rPh sb="253" eb="254">
      <t>ツヨシ</t>
    </rPh>
    <rPh sb="260" eb="261">
      <t>チョウ</t>
    </rPh>
    <rPh sb="271" eb="273">
      <t>マサキ</t>
    </rPh>
    <rPh sb="284" eb="286">
      <t>カチョウ</t>
    </rPh>
    <phoneticPr fontId="1"/>
  </si>
  <si>
    <t>「特別講義（データサイエンス入門）」は、学部間の時間割編成の違いを考慮し、年間５クラスを異なる時間帯で開講している。このことから、学生は自身の時間割に合わせたクラスを履修することが可能であり、特定の時間帯のみに開講している科目と比べ、より多くの学生が「特別講義（データサイエンス入門）」を受講することが可能となっている。</t>
    <rPh sb="20" eb="22">
      <t>ガクブ</t>
    </rPh>
    <rPh sb="22" eb="23">
      <t>カン</t>
    </rPh>
    <rPh sb="24" eb="29">
      <t>ジカンワリヘンセイ</t>
    </rPh>
    <rPh sb="30" eb="31">
      <t>チガ</t>
    </rPh>
    <rPh sb="33" eb="35">
      <t>コウリョ</t>
    </rPh>
    <rPh sb="37" eb="39">
      <t>ネンカン</t>
    </rPh>
    <rPh sb="44" eb="45">
      <t>コト</t>
    </rPh>
    <rPh sb="47" eb="50">
      <t>ジカンタイ</t>
    </rPh>
    <rPh sb="51" eb="53">
      <t>カイコウ</t>
    </rPh>
    <rPh sb="65" eb="67">
      <t>ガクセイ</t>
    </rPh>
    <rPh sb="68" eb="70">
      <t>ジシン</t>
    </rPh>
    <rPh sb="71" eb="74">
      <t>ジカンワリ</t>
    </rPh>
    <rPh sb="75" eb="76">
      <t>ア</t>
    </rPh>
    <rPh sb="83" eb="85">
      <t>リシュウ</t>
    </rPh>
    <rPh sb="90" eb="92">
      <t>カノウ</t>
    </rPh>
    <rPh sb="96" eb="98">
      <t>トクテイ</t>
    </rPh>
    <rPh sb="99" eb="102">
      <t>ジカンタイ</t>
    </rPh>
    <rPh sb="105" eb="107">
      <t>カイコウ</t>
    </rPh>
    <rPh sb="111" eb="113">
      <t>カモク</t>
    </rPh>
    <rPh sb="114" eb="115">
      <t>クラ</t>
    </rPh>
    <rPh sb="119" eb="120">
      <t>オオ</t>
    </rPh>
    <rPh sb="122" eb="124">
      <t>ガクセイ</t>
    </rPh>
    <rPh sb="144" eb="146">
      <t>ジュコウ</t>
    </rPh>
    <rPh sb="151" eb="153">
      <t>カノウ</t>
    </rPh>
    <phoneticPr fontId="1"/>
  </si>
  <si>
    <t>データサイエンス教育推進委員会</t>
    <phoneticPr fontId="1"/>
  </si>
  <si>
    <t>日置　慎治</t>
    <phoneticPr fontId="1"/>
  </si>
  <si>
    <t>データサイエンス教育推進委員会　委員長</t>
    <phoneticPr fontId="1"/>
  </si>
  <si>
    <t>自習等において不明な点があれば、授業内容に関する質問は大学独自のe-ラーニングシステム「TALES」を利用する事で、担当教員にいつでも質問することができる。
また、情報処理上の質問に関しては、情報教育研究センターに専門スタッフが常駐しているため、必要に応じて学生からの質問に対応できるよう体制を整えている。</t>
    <rPh sb="0" eb="2">
      <t>ジシュウ</t>
    </rPh>
    <rPh sb="2" eb="3">
      <t>トウ</t>
    </rPh>
    <rPh sb="7" eb="9">
      <t>フメイ</t>
    </rPh>
    <rPh sb="10" eb="11">
      <t>テン</t>
    </rPh>
    <rPh sb="24" eb="26">
      <t>シツモン</t>
    </rPh>
    <rPh sb="51" eb="53">
      <t>リヨウ</t>
    </rPh>
    <rPh sb="55" eb="56">
      <t>コト</t>
    </rPh>
    <rPh sb="107" eb="109">
      <t>センモン</t>
    </rPh>
    <rPh sb="114" eb="116">
      <t>ジョウチュウ</t>
    </rPh>
    <rPh sb="123" eb="125">
      <t>ヒツヨウ</t>
    </rPh>
    <rPh sb="126" eb="127">
      <t>オウ</t>
    </rPh>
    <rPh sb="129" eb="131">
      <t>ガクセイ</t>
    </rPh>
    <rPh sb="137" eb="139">
      <t>タイオウ</t>
    </rPh>
    <phoneticPr fontId="1"/>
  </si>
  <si>
    <t>現時点では、授業改善アンケートには後輩等他者への推奨度を測る項目を設けていないが、令和５(2023)年度からは本教育プログラムの授業改善アンケートに他学生への推奨度について確認する項目を設け、アンケート結果を踏まえて授業内容の見直し行う予定である。</t>
    <rPh sb="26" eb="27">
      <t>ド</t>
    </rPh>
    <rPh sb="28" eb="29">
      <t>ハカ</t>
    </rPh>
    <rPh sb="30" eb="32">
      <t>コウモク</t>
    </rPh>
    <rPh sb="33" eb="34">
      <t>モウ</t>
    </rPh>
    <rPh sb="66" eb="68">
      <t>カイゼン</t>
    </rPh>
    <rPh sb="90" eb="92">
      <t>コウモク</t>
    </rPh>
    <rPh sb="93" eb="94">
      <t>モウ</t>
    </rPh>
    <rPh sb="104" eb="105">
      <t>フ</t>
    </rPh>
    <rPh sb="108" eb="113">
      <t>ジュギ</t>
    </rPh>
    <rPh sb="113" eb="115">
      <t>ミナオ</t>
    </rPh>
    <rPh sb="116" eb="117">
      <t>オコナ</t>
    </rPh>
    <rPh sb="118" eb="120">
      <t>ヨテイ</t>
    </rPh>
    <phoneticPr fontId="1"/>
  </si>
  <si>
    <t>本教育プログラムを修了した卒業生はまだいないが、本学が行っている企業向けアンケートにより、プログラム修了者の卒業後の状況や就職先企業・団体からの評価を把握する計画である。</t>
    <rPh sb="24" eb="26">
      <t>ホンガク</t>
    </rPh>
    <rPh sb="27" eb="28">
      <t>オコナ</t>
    </rPh>
    <rPh sb="32" eb="35">
      <t>キギョウム</t>
    </rPh>
    <rPh sb="50" eb="53">
      <t>シュウリョウシャ</t>
    </rPh>
    <phoneticPr fontId="1"/>
  </si>
  <si>
    <t>特別講義（データサイエンス入門）は全学部が選択科目として受講可能な体制を整えており、履修ガイダンス等でも積極的に当プログラムについて周知を行っていることから、所属学部に関係なくすべての学生が履修可能となっている。</t>
    <rPh sb="0" eb="4">
      <t>トクベツコウギ</t>
    </rPh>
    <rPh sb="13" eb="15">
      <t>ニュウモン</t>
    </rPh>
    <rPh sb="17" eb="20">
      <t>ゼンガクブ</t>
    </rPh>
    <rPh sb="21" eb="25">
      <t>センタクカモク</t>
    </rPh>
    <rPh sb="28" eb="30">
      <t>ジュコウ</t>
    </rPh>
    <rPh sb="30" eb="32">
      <t>カノウ</t>
    </rPh>
    <rPh sb="33" eb="35">
      <t>タイセイ</t>
    </rPh>
    <rPh sb="36" eb="37">
      <t>トトノ</t>
    </rPh>
    <rPh sb="42" eb="44">
      <t>リシュウ</t>
    </rPh>
    <rPh sb="49" eb="50">
      <t>トウ</t>
    </rPh>
    <rPh sb="52" eb="55">
      <t>セッキョクテキ</t>
    </rPh>
    <rPh sb="56" eb="57">
      <t>トウ</t>
    </rPh>
    <rPh sb="66" eb="68">
      <t>シュウチ</t>
    </rPh>
    <rPh sb="69" eb="70">
      <t>オコナ</t>
    </rPh>
    <rPh sb="79" eb="83">
      <t>ショゾクガクブ</t>
    </rPh>
    <rPh sb="84" eb="86">
      <t>カンケイ</t>
    </rPh>
    <rPh sb="92" eb="94">
      <t>ガクセイ</t>
    </rPh>
    <rPh sb="95" eb="99">
      <t>リシュウカノウ</t>
    </rPh>
    <phoneticPr fontId="1"/>
  </si>
  <si>
    <t>令和4年度の履修者は207名、修了者は166名（約80%）であった。未修了者の大半は定期試験等における成績不良が原因ではなく、授業回数の早い段階で授業への参加をしなくなった学生であり、継続して学習をおこなった学生は修了している。
このことから、令和5年度以降は特に学生が継続して学修を行えるよう、授業内容の見直しや授業外での学習支援をより一層充実させる予定である。</t>
    <rPh sb="24" eb="25">
      <t>ヤク</t>
    </rPh>
    <rPh sb="77" eb="79">
      <t>サンカ</t>
    </rPh>
    <rPh sb="86" eb="88">
      <t>ガクセイ</t>
    </rPh>
    <rPh sb="96" eb="98">
      <t>ガクシュウ</t>
    </rPh>
    <rPh sb="130" eb="131">
      <t>トク</t>
    </rPh>
    <rPh sb="132" eb="134">
      <t>ガクセイ</t>
    </rPh>
    <rPh sb="135" eb="137">
      <t>ケイゾク</t>
    </rPh>
    <rPh sb="139" eb="141">
      <t>ガクシュウ</t>
    </rPh>
    <rPh sb="142" eb="143">
      <t>オコナ</t>
    </rPh>
    <rPh sb="148" eb="152">
      <t>ジュギョウナイヨウ</t>
    </rPh>
    <rPh sb="153" eb="155">
      <t>ミナオ</t>
    </rPh>
    <rPh sb="157" eb="160">
      <t>ジュギョウガイ</t>
    </rPh>
    <rPh sb="162" eb="166">
      <t>ガクシュウシエン</t>
    </rPh>
    <rPh sb="169" eb="171">
      <t>イッソウ</t>
    </rPh>
    <rPh sb="171" eb="173">
      <t>ジュウジツ</t>
    </rPh>
    <rPh sb="176" eb="178">
      <t>ヨテイ</t>
    </rPh>
    <phoneticPr fontId="1"/>
  </si>
  <si>
    <t>令和4年度の「特別講義（データサイエンス入門）」の成績評価の平均点は71点（100点満点）であった。また履修者に対する修了者数は約80%であることから、履修者へは適切な指導が行われていると言える。
令和5年度移行については、成績や授業改善アンケートなどにより受講者の学修成果を把握を継続的に分析し、当プログラムの学修成果をより充実させる予定である。</t>
    <rPh sb="0" eb="2">
      <t>レイワ</t>
    </rPh>
    <rPh sb="3" eb="5">
      <t>ネンド</t>
    </rPh>
    <rPh sb="25" eb="27">
      <t>セイセキ</t>
    </rPh>
    <rPh sb="27" eb="29">
      <t>ヒョウカ</t>
    </rPh>
    <rPh sb="30" eb="33">
      <t>ヘイキンテン</t>
    </rPh>
    <rPh sb="36" eb="37">
      <t>テン</t>
    </rPh>
    <rPh sb="41" eb="44">
      <t>テンマンテン</t>
    </rPh>
    <rPh sb="52" eb="55">
      <t>リシュウシャ</t>
    </rPh>
    <rPh sb="56" eb="57">
      <t>タイ</t>
    </rPh>
    <rPh sb="59" eb="63">
      <t>シュウリョウシャスウ</t>
    </rPh>
    <rPh sb="64" eb="65">
      <t>ヤク</t>
    </rPh>
    <rPh sb="76" eb="79">
      <t>リシュウシャ</t>
    </rPh>
    <rPh sb="81" eb="83">
      <t>テキセツ</t>
    </rPh>
    <rPh sb="84" eb="86">
      <t>シドウ</t>
    </rPh>
    <rPh sb="87" eb="88">
      <t>オコナ</t>
    </rPh>
    <rPh sb="94" eb="95">
      <t>イ</t>
    </rPh>
    <rPh sb="99" eb="101">
      <t>レイワ</t>
    </rPh>
    <rPh sb="102" eb="104">
      <t>ネンド</t>
    </rPh>
    <rPh sb="104" eb="106">
      <t>イコウ</t>
    </rPh>
    <rPh sb="112" eb="114">
      <t>セイセキ</t>
    </rPh>
    <rPh sb="115" eb="119">
      <t>ジュギョウカイゼン</t>
    </rPh>
    <rPh sb="129" eb="132">
      <t>ジュコウシャ</t>
    </rPh>
    <rPh sb="133" eb="137">
      <t>ガクシュウセイカ</t>
    </rPh>
    <rPh sb="138" eb="140">
      <t>ハアク</t>
    </rPh>
    <rPh sb="141" eb="144">
      <t>ケイゾクテキ</t>
    </rPh>
    <rPh sb="145" eb="147">
      <t>ブンセキ</t>
    </rPh>
    <rPh sb="149" eb="150">
      <t>トウ</t>
    </rPh>
    <rPh sb="156" eb="160">
      <t>ガクシュウセイカ</t>
    </rPh>
    <rPh sb="163" eb="165">
      <t>ジュウジツ</t>
    </rPh>
    <rPh sb="168" eb="170">
      <t>ヨテイ</t>
    </rPh>
    <phoneticPr fontId="1"/>
  </si>
  <si>
    <t>本学が例年実施している企業向けアンケートにおいて、本プログラムの内容や教育水準、教育手法について意見を求める設問を設けている。企業からはプログラムへの賛同的意見がほとんどであり、文系学部であってもデータサイエンス分野の知識が必要とされていることがわかる。これら企業等からの意見は、データサイエンス推進委員会へと報告し、プログラム内容等の改善に向けて活用している。</t>
    <rPh sb="0" eb="2">
      <t>ホンガク</t>
    </rPh>
    <rPh sb="3" eb="5">
      <t>レイネン</t>
    </rPh>
    <rPh sb="5" eb="7">
      <t>ジッシ</t>
    </rPh>
    <rPh sb="11" eb="14">
      <t>キギョウム</t>
    </rPh>
    <rPh sb="25" eb="26">
      <t>ホン</t>
    </rPh>
    <rPh sb="35" eb="37">
      <t>キョウイク</t>
    </rPh>
    <rPh sb="48" eb="50">
      <t>イケン</t>
    </rPh>
    <rPh sb="51" eb="52">
      <t>モト</t>
    </rPh>
    <rPh sb="54" eb="56">
      <t>セツモン</t>
    </rPh>
    <rPh sb="57" eb="58">
      <t>モウ</t>
    </rPh>
    <rPh sb="63" eb="65">
      <t>キギョウ</t>
    </rPh>
    <rPh sb="75" eb="77">
      <t>サンドウ</t>
    </rPh>
    <rPh sb="77" eb="78">
      <t>テキ</t>
    </rPh>
    <rPh sb="78" eb="80">
      <t>イケン</t>
    </rPh>
    <rPh sb="89" eb="91">
      <t>ブンケイ</t>
    </rPh>
    <rPh sb="91" eb="93">
      <t>ガクブ</t>
    </rPh>
    <rPh sb="106" eb="108">
      <t>ブンヤ</t>
    </rPh>
    <rPh sb="109" eb="111">
      <t>チシキ</t>
    </rPh>
    <rPh sb="112" eb="114">
      <t>ヒツヨウ</t>
    </rPh>
    <rPh sb="130" eb="133">
      <t>キギョウトウ</t>
    </rPh>
    <rPh sb="136" eb="138">
      <t>イケン</t>
    </rPh>
    <rPh sb="148" eb="153">
      <t>スイシンイインカイ</t>
    </rPh>
    <rPh sb="155" eb="157">
      <t>ホウコク</t>
    </rPh>
    <rPh sb="164" eb="167">
      <t>ナイヨウトウ</t>
    </rPh>
    <rPh sb="168" eb="170">
      <t>カイゼン</t>
    </rPh>
    <rPh sb="171" eb="172">
      <t>ム</t>
    </rPh>
    <rPh sb="174" eb="176">
      <t>カツヨウ</t>
    </rPh>
    <phoneticPr fontId="1"/>
  </si>
  <si>
    <t>毎回の授業における学生の反応や質問、課題の達成度により、前回までの復習の説明に反映させることにより、わかりやすい授業内容となるよう工夫している。授業内では、2度のレポート提出を課しており、減点対象を学生にフィードバックすることにより理解の定着を図っている。
また、授業資料はすべてTALES（e-ラーニングシステム）で確認可能にしており、学生は復習等でこれらを活用することができ、加えてTALES上からいつでも担当教員に質問することが可能にしており、学生の理解を促進する仕組みを整えている。</t>
    <rPh sb="0" eb="2">
      <t>マイカイ</t>
    </rPh>
    <rPh sb="3" eb="5">
      <t>ジュギョウ</t>
    </rPh>
    <rPh sb="9" eb="11">
      <t>ガクセイ</t>
    </rPh>
    <rPh sb="12" eb="14">
      <t>ハンノウ</t>
    </rPh>
    <rPh sb="15" eb="17">
      <t>シツモン</t>
    </rPh>
    <rPh sb="18" eb="20">
      <t>カダイ</t>
    </rPh>
    <rPh sb="21" eb="24">
      <t>タッセイド</t>
    </rPh>
    <rPh sb="28" eb="30">
      <t>ゼンカイ</t>
    </rPh>
    <rPh sb="33" eb="35">
      <t>フクシュウ</t>
    </rPh>
    <rPh sb="36" eb="38">
      <t>セツメイ</t>
    </rPh>
    <rPh sb="39" eb="41">
      <t>ハンエイ</t>
    </rPh>
    <rPh sb="56" eb="58">
      <t>ジュギョウ</t>
    </rPh>
    <rPh sb="58" eb="60">
      <t>ナイヨウ</t>
    </rPh>
    <rPh sb="65" eb="67">
      <t>クフウ</t>
    </rPh>
    <rPh sb="72" eb="75">
      <t>ジュギョウナイ</t>
    </rPh>
    <rPh sb="79" eb="80">
      <t>ド</t>
    </rPh>
    <rPh sb="85" eb="87">
      <t>テイシュツ</t>
    </rPh>
    <rPh sb="88" eb="89">
      <t>カ</t>
    </rPh>
    <rPh sb="94" eb="98">
      <t>ゲンテンタイショウ</t>
    </rPh>
    <rPh sb="99" eb="101">
      <t>ガクセイ</t>
    </rPh>
    <rPh sb="116" eb="118">
      <t>リカイ</t>
    </rPh>
    <rPh sb="119" eb="121">
      <t>テイチャク</t>
    </rPh>
    <rPh sb="122" eb="123">
      <t>ハカ</t>
    </rPh>
    <rPh sb="132" eb="136">
      <t>ジュギョウシリョウ</t>
    </rPh>
    <rPh sb="159" eb="161">
      <t>カクニン</t>
    </rPh>
    <rPh sb="161" eb="163">
      <t>カノウ</t>
    </rPh>
    <rPh sb="169" eb="171">
      <t>ガクセイ</t>
    </rPh>
    <rPh sb="172" eb="174">
      <t>フクシュウ</t>
    </rPh>
    <rPh sb="174" eb="175">
      <t>トウ</t>
    </rPh>
    <rPh sb="180" eb="182">
      <t>カツヨウ</t>
    </rPh>
    <rPh sb="190" eb="191">
      <t>クワ</t>
    </rPh>
    <rPh sb="198" eb="199">
      <t>ジョウ</t>
    </rPh>
    <rPh sb="205" eb="209">
      <t>タントウキョウイン</t>
    </rPh>
    <rPh sb="210" eb="212">
      <t>シツモン</t>
    </rPh>
    <rPh sb="217" eb="219">
      <t>カノウ</t>
    </rPh>
    <rPh sb="225" eb="227">
      <t>ガクセイ</t>
    </rPh>
    <rPh sb="228" eb="230">
      <t>リカイ</t>
    </rPh>
    <rPh sb="231" eb="233">
      <t>ソクシン</t>
    </rPh>
    <rPh sb="235" eb="237">
      <t>シク</t>
    </rPh>
    <rPh sb="239" eb="240">
      <t>トトノ</t>
    </rPh>
    <phoneticPr fontId="1"/>
  </si>
  <si>
    <t>履修ガイダンス等で当プログラムの受講を学生に広く周知している。また、本学のHP上にも当プログラムに関するページを開設し、学生が情報を受け取りやすい環境を整備している。この様に学生が当プログラムに関する情報を容易に受け取れる環境を構築し、本プログラムへの関心を深められるようにしている。</t>
    <rPh sb="0" eb="2">
      <t>リシュウ</t>
    </rPh>
    <rPh sb="7" eb="8">
      <t>トウ</t>
    </rPh>
    <rPh sb="9" eb="10">
      <t>トウ</t>
    </rPh>
    <rPh sb="16" eb="18">
      <t>ジュコウ</t>
    </rPh>
    <rPh sb="19" eb="21">
      <t>ガクセイ</t>
    </rPh>
    <rPh sb="22" eb="23">
      <t>ヒロ</t>
    </rPh>
    <rPh sb="24" eb="26">
      <t>シュウチ</t>
    </rPh>
    <rPh sb="39" eb="40">
      <t>ジョウ</t>
    </rPh>
    <rPh sb="42" eb="43">
      <t>トウ</t>
    </rPh>
    <rPh sb="49" eb="50">
      <t>カン</t>
    </rPh>
    <rPh sb="56" eb="58">
      <t>カイセツ</t>
    </rPh>
    <rPh sb="90" eb="91">
      <t>トウ</t>
    </rPh>
    <rPh sb="129" eb="130">
      <t>フカ</t>
    </rPh>
    <phoneticPr fontId="1"/>
  </si>
  <si>
    <t>令和5年度より、修了要件科目を特別科目群（選択科目）から教養科目群（選択科目）へと変更することで学生が受講しやすいプログラム構成へと変更するとともに、履修ガイダンス時に学生に対して引き続き積極的に告知することで、学生の受講を促進する。</t>
    <rPh sb="90" eb="91">
      <t>ヒ</t>
    </rPh>
    <rPh sb="92" eb="93">
      <t>ツヅ</t>
    </rPh>
    <rPh sb="112" eb="114">
      <t>ソクシン</t>
    </rPh>
    <phoneticPr fontId="1"/>
  </si>
  <si>
    <t>授業内容に可能な限り実社会における応用例を示すよう工夫しており、学生は社会に出たときに当プログラムをデータサイエンスの基礎として修得していることから、それらを用いて自身の業務等へすぐに応用できるようなカリキュラムとしている。
また、数理・データサイエンス・AIの応用事例は多岐に渡るが、身近な応用事例を知ることは「学ぶ楽しさ」に繋がり、ビジネス社会での事例は「学ぶことの意義」の理解につながると考え、それらを含む形でプログラム内容を適宜見直すこととしている。</t>
    <rPh sb="0" eb="2">
      <t>ジュギョウ</t>
    </rPh>
    <rPh sb="2" eb="4">
      <t>ナイヨウ</t>
    </rPh>
    <rPh sb="5" eb="7">
      <t>カノウ</t>
    </rPh>
    <rPh sb="8" eb="9">
      <t>カギ</t>
    </rPh>
    <rPh sb="17" eb="20">
      <t>オウヨウレイ</t>
    </rPh>
    <rPh sb="21" eb="22">
      <t>シメ</t>
    </rPh>
    <rPh sb="25" eb="27">
      <t>クフウ</t>
    </rPh>
    <rPh sb="32" eb="34">
      <t>ガクセイ</t>
    </rPh>
    <rPh sb="35" eb="37">
      <t>シャカイ</t>
    </rPh>
    <rPh sb="38" eb="39">
      <t>デ</t>
    </rPh>
    <rPh sb="43" eb="44">
      <t>トウ</t>
    </rPh>
    <rPh sb="59" eb="61">
      <t>キソ</t>
    </rPh>
    <rPh sb="64" eb="66">
      <t>シュウトク</t>
    </rPh>
    <rPh sb="79" eb="80">
      <t>モチ</t>
    </rPh>
    <rPh sb="82" eb="84">
      <t>ジシン</t>
    </rPh>
    <rPh sb="85" eb="88">
      <t>ギョウムトウ</t>
    </rPh>
    <rPh sb="92" eb="94">
      <t>オウヨウ</t>
    </rPh>
    <rPh sb="116" eb="118">
      <t>スウリ</t>
    </rPh>
    <rPh sb="131" eb="135">
      <t>オウヨウジレイ</t>
    </rPh>
    <rPh sb="136" eb="138">
      <t>タキ</t>
    </rPh>
    <rPh sb="139" eb="140">
      <t>ワタ</t>
    </rPh>
    <rPh sb="143" eb="145">
      <t>ミジカ</t>
    </rPh>
    <rPh sb="146" eb="150">
      <t>オウヨウジレイ</t>
    </rPh>
    <rPh sb="151" eb="152">
      <t>シ</t>
    </rPh>
    <rPh sb="157" eb="158">
      <t>マナ</t>
    </rPh>
    <rPh sb="159" eb="160">
      <t>タノ</t>
    </rPh>
    <rPh sb="164" eb="165">
      <t>ツナ</t>
    </rPh>
    <rPh sb="172" eb="174">
      <t>シャカイ</t>
    </rPh>
    <rPh sb="176" eb="178">
      <t>ジレイ</t>
    </rPh>
    <rPh sb="180" eb="181">
      <t>マナ</t>
    </rPh>
    <rPh sb="185" eb="187">
      <t>イギ</t>
    </rPh>
    <rPh sb="189" eb="191">
      <t>リカイ</t>
    </rPh>
    <rPh sb="197" eb="198">
      <t>カンガ</t>
    </rPh>
    <rPh sb="204" eb="205">
      <t>フク</t>
    </rPh>
    <rPh sb="206" eb="207">
      <t>カタチ</t>
    </rPh>
    <rPh sb="216" eb="218">
      <t>テキギ</t>
    </rPh>
    <rPh sb="218" eb="220">
      <t>ミナオ</t>
    </rPh>
    <phoneticPr fontId="1"/>
  </si>
  <si>
    <t>授業改善アンケート（回答者数146名：回答率約70%）による「特別講義（データサイエンス入門）」の理解度に関する項目は以下の通りである。
・「意欲的に取り組んでいるか」に対して「意欲的、ある程度意欲的」が約75％
・「到達目標に向けて力がついているか」に対して「力がついている、ある程度ついている」が約64％
・「総合的に、授業が自分に意義あるものか」に対して「意義ある、ある程度ある」が74％
以上の事から、多くの学生が当プログラムに意欲的に取り組んでいると言えるが、より効果的な学習内容となるよう、アンケート結果を踏まえて引き続き当プログラムの改善を進める予定である。</t>
    <rPh sb="0" eb="4">
      <t>ジュギョウカイゼン</t>
    </rPh>
    <rPh sb="10" eb="14">
      <t>カイトウシャスウ</t>
    </rPh>
    <rPh sb="17" eb="18">
      <t>メイ</t>
    </rPh>
    <rPh sb="19" eb="22">
      <t>カイトウリツ</t>
    </rPh>
    <rPh sb="22" eb="23">
      <t>ヤク</t>
    </rPh>
    <rPh sb="49" eb="52">
      <t>リカイド</t>
    </rPh>
    <rPh sb="53" eb="54">
      <t>カン</t>
    </rPh>
    <rPh sb="56" eb="58">
      <t>コウモク</t>
    </rPh>
    <rPh sb="59" eb="61">
      <t>イカ</t>
    </rPh>
    <rPh sb="62" eb="63">
      <t>トオ</t>
    </rPh>
    <rPh sb="71" eb="74">
      <t>イヨクテキ</t>
    </rPh>
    <rPh sb="75" eb="76">
      <t>ト</t>
    </rPh>
    <rPh sb="77" eb="78">
      <t>ク</t>
    </rPh>
    <rPh sb="85" eb="86">
      <t>タイ</t>
    </rPh>
    <rPh sb="89" eb="92">
      <t>イヨクテキ</t>
    </rPh>
    <rPh sb="95" eb="97">
      <t>テイド</t>
    </rPh>
    <rPh sb="97" eb="100">
      <t>イヨクテキ</t>
    </rPh>
    <rPh sb="102" eb="103">
      <t>ヤク</t>
    </rPh>
    <rPh sb="109" eb="113">
      <t>トウタツモクヒョウ</t>
    </rPh>
    <rPh sb="114" eb="115">
      <t>ム</t>
    </rPh>
    <rPh sb="117" eb="118">
      <t>チカラ</t>
    </rPh>
    <rPh sb="127" eb="128">
      <t>タイ</t>
    </rPh>
    <rPh sb="131" eb="132">
      <t>チカラ</t>
    </rPh>
    <rPh sb="141" eb="143">
      <t>テイド</t>
    </rPh>
    <rPh sb="150" eb="151">
      <t>ヤク</t>
    </rPh>
    <rPh sb="157" eb="160">
      <t>ソウゴウテキ</t>
    </rPh>
    <rPh sb="162" eb="164">
      <t>ジュギョウ</t>
    </rPh>
    <rPh sb="165" eb="167">
      <t>ジブン</t>
    </rPh>
    <rPh sb="168" eb="170">
      <t>イギ</t>
    </rPh>
    <rPh sb="177" eb="178">
      <t>タイ</t>
    </rPh>
    <rPh sb="181" eb="183">
      <t>イギ</t>
    </rPh>
    <rPh sb="188" eb="190">
      <t>テイド</t>
    </rPh>
    <rPh sb="198" eb="200">
      <t>イジョウ</t>
    </rPh>
    <rPh sb="201" eb="202">
      <t>コト</t>
    </rPh>
    <rPh sb="205" eb="206">
      <t>オオ</t>
    </rPh>
    <rPh sb="208" eb="210">
      <t>ガクセイ</t>
    </rPh>
    <rPh sb="211" eb="212">
      <t>トウ</t>
    </rPh>
    <rPh sb="218" eb="221">
      <t>イヨクテキ</t>
    </rPh>
    <rPh sb="222" eb="223">
      <t>ト</t>
    </rPh>
    <rPh sb="224" eb="225">
      <t>ク</t>
    </rPh>
    <rPh sb="230" eb="231">
      <t>イ</t>
    </rPh>
    <rPh sb="237" eb="240">
      <t>コウカテキ</t>
    </rPh>
    <rPh sb="241" eb="245">
      <t>ガクシュウナイヨウ</t>
    </rPh>
    <rPh sb="256" eb="258">
      <t>ケッカ</t>
    </rPh>
    <rPh sb="259" eb="260">
      <t>フ</t>
    </rPh>
    <rPh sb="263" eb="264">
      <t>ヒ</t>
    </rPh>
    <rPh sb="265" eb="266">
      <t>ツヅ</t>
    </rPh>
    <rPh sb="267" eb="268">
      <t>トウ</t>
    </rPh>
    <rPh sb="274" eb="276">
      <t>カイゼン</t>
    </rPh>
    <rPh sb="277" eb="278">
      <t>スス</t>
    </rPh>
    <rPh sb="280" eb="282">
      <t>ヨテイ</t>
    </rPh>
    <phoneticPr fontId="1"/>
  </si>
  <si>
    <t>各年度の履修者数の累計目標は以下のとおりとする。（（　　）内は履修率）
令和５年度　320名（約10%）
令和６年度　850名（約25%）
令和７年度　1,250名（約40%）
令和８年度　1,650名（約50%）
令和４年度は「特別講義（データサイエンス入門）」を全学共通科目の特別科目群（選択科目）として開講しているが、他の科目群（語学科目群や専門科目群等）と比較すると、学生の履修率が低い状況であったことから、令和５年度からは科目名を「統計・情報E（データサイエンス入門）」へと変更するとともに、全共通科目の教養科目群（選択科目）として算入できるよう全学的なカリキュラムを変更した。
また、学生に対しては履修ガイダンス時に本プログラムを紹介することで積極的な履修を促しており、教育方法については、授業アンケートの結果等を委員会で共有し、より適切な教育を行えるよう継続的に検討していく計画である。</t>
    <rPh sb="0" eb="3">
      <t>カクネンド</t>
    </rPh>
    <rPh sb="4" eb="8">
      <t>リシュウシャスウ</t>
    </rPh>
    <rPh sb="9" eb="11">
      <t>ルイケイ</t>
    </rPh>
    <rPh sb="11" eb="13">
      <t>モクヒョウ</t>
    </rPh>
    <rPh sb="14" eb="16">
      <t>イカ</t>
    </rPh>
    <rPh sb="29" eb="30">
      <t>ナイ</t>
    </rPh>
    <rPh sb="31" eb="34">
      <t>リシュウリツ</t>
    </rPh>
    <rPh sb="37" eb="39">
      <t>レイワ</t>
    </rPh>
    <rPh sb="40" eb="42">
      <t>ネンド</t>
    </rPh>
    <rPh sb="46" eb="47">
      <t>メイ</t>
    </rPh>
    <rPh sb="48" eb="49">
      <t>ヤク</t>
    </rPh>
    <rPh sb="54" eb="56">
      <t>レイワ</t>
    </rPh>
    <rPh sb="57" eb="59">
      <t>ネンド</t>
    </rPh>
    <rPh sb="63" eb="64">
      <t>メイ</t>
    </rPh>
    <rPh sb="65" eb="66">
      <t>ヤク</t>
    </rPh>
    <rPh sb="84" eb="85">
      <t>ヤク</t>
    </rPh>
    <rPh sb="103" eb="104">
      <t>ヤク</t>
    </rPh>
    <rPh sb="110" eb="112">
      <t>レイワ</t>
    </rPh>
    <rPh sb="113" eb="115">
      <t>ネンド</t>
    </rPh>
    <rPh sb="123" eb="125">
      <t>ミナオ</t>
    </rPh>
    <rPh sb="127" eb="128">
      <t>オコナ</t>
    </rPh>
    <rPh sb="131" eb="135">
      <t>トクベツコウギ</t>
    </rPh>
    <rPh sb="135" eb="141">
      <t>ゼンガクキョウツウカモク</t>
    </rPh>
    <rPh sb="142" eb="144">
      <t>トクベツ</t>
    </rPh>
    <rPh sb="144" eb="146">
      <t>カモク</t>
    </rPh>
    <rPh sb="146" eb="147">
      <t>グン</t>
    </rPh>
    <rPh sb="149" eb="151">
      <t>ニュウモン</t>
    </rPh>
    <rPh sb="166" eb="169">
      <t>カモクメイ</t>
    </rPh>
    <rPh sb="170" eb="172">
      <t>ヘンコウ</t>
    </rPh>
    <rPh sb="179" eb="182">
      <t>ゼンガクブ</t>
    </rPh>
    <rPh sb="186" eb="190">
      <t>キョウヨウカモク</t>
    </rPh>
    <rPh sb="190" eb="191">
      <t>グン</t>
    </rPh>
    <rPh sb="194" eb="196">
      <t>サンニュウ</t>
    </rPh>
    <rPh sb="201" eb="203">
      <t>ヘンコウ</t>
    </rPh>
    <rPh sb="204" eb="205">
      <t>オコナ</t>
    </rPh>
    <rPh sb="212" eb="214">
      <t>ガクセイ</t>
    </rPh>
    <rPh sb="218" eb="221">
      <t>カモクメイ</t>
    </rPh>
    <rPh sb="224" eb="226">
      <t>キョウイク</t>
    </rPh>
    <rPh sb="227" eb="228">
      <t>オコナ</t>
    </rPh>
    <rPh sb="232" eb="235">
      <t>ケイゾクテキ</t>
    </rPh>
    <rPh sb="236" eb="238">
      <t>ケントウ</t>
    </rPh>
    <rPh sb="242" eb="244">
      <t>ケイカク</t>
    </rPh>
    <rPh sb="254" eb="256">
      <t>キョウツウ</t>
    </rPh>
    <rPh sb="256" eb="258">
      <t>カモク</t>
    </rPh>
    <rPh sb="263" eb="264">
      <t>グン</t>
    </rPh>
    <rPh sb="265" eb="269">
      <t>センタクカモク</t>
    </rPh>
    <rPh sb="280" eb="283">
      <t>ゼンガクテキ</t>
    </rPh>
    <rPh sb="291" eb="293">
      <t>ヘンコウ</t>
    </rPh>
    <rPh sb="303" eb="304">
      <t>タイ</t>
    </rPh>
    <rPh sb="307" eb="309">
      <t>リシュウ</t>
    </rPh>
    <rPh sb="314" eb="315">
      <t>ジ</t>
    </rPh>
    <rPh sb="316" eb="317">
      <t>ホン</t>
    </rPh>
    <rPh sb="323" eb="325">
      <t>ショウカイ</t>
    </rPh>
    <rPh sb="330" eb="333">
      <t>セッキョクテキ</t>
    </rPh>
    <rPh sb="334" eb="336">
      <t>リシュウ</t>
    </rPh>
    <rPh sb="337" eb="338">
      <t>ウナガ</t>
    </rPh>
    <phoneticPr fontId="1"/>
  </si>
  <si>
    <t>本委員会は、本学のデータサイエンス教育に関して以下の事項を審議するとともに、データサイエンス教育に関する情報を学部間で共有し、令和５年度以降に向けた全学的なデータサイエンス教育の改善等についても継続的に議論を行っている。
(1) データサイエンス教育の調査研究に関する事項
(2) データサイエンス教育の基本方針に関する事項
(3) データサイエンス教育の導入及び展開に関する事項
(4) データサイエンス教育の外部組織との連携に関する事項
(5) データサイエンス教育の推進に係る自己点検・評価・改善に関する事項
(6）その他データサイエンス教育全般に関する事項</t>
    <rPh sb="0" eb="1">
      <t>ホン</t>
    </rPh>
    <rPh sb="23" eb="25">
      <t>イカ</t>
    </rPh>
    <rPh sb="29" eb="31">
      <t>シンギ</t>
    </rPh>
    <rPh sb="46" eb="48">
      <t>キョウイク</t>
    </rPh>
    <rPh sb="49" eb="50">
      <t>カン</t>
    </rPh>
    <rPh sb="52" eb="54">
      <t>ジョウホウ</t>
    </rPh>
    <rPh sb="55" eb="57">
      <t>ガクブ</t>
    </rPh>
    <rPh sb="57" eb="58">
      <t>カン</t>
    </rPh>
    <rPh sb="59" eb="61">
      <t>キョウユウ</t>
    </rPh>
    <rPh sb="63" eb="65">
      <t>レイワ</t>
    </rPh>
    <rPh sb="66" eb="68">
      <t>ネンド</t>
    </rPh>
    <rPh sb="68" eb="70">
      <t>イコウ</t>
    </rPh>
    <rPh sb="71" eb="72">
      <t>ム</t>
    </rPh>
    <rPh sb="74" eb="77">
      <t>ゼンガクテキ</t>
    </rPh>
    <rPh sb="86" eb="88">
      <t>キョウイク</t>
    </rPh>
    <rPh sb="89" eb="92">
      <t>カイゼントウ</t>
    </rPh>
    <rPh sb="97" eb="100">
      <t>ケイゾクテキ</t>
    </rPh>
    <rPh sb="101" eb="103">
      <t>ギロン</t>
    </rPh>
    <rPh sb="104" eb="105">
      <t>オコナ</t>
    </rPh>
    <phoneticPr fontId="1"/>
  </si>
  <si>
    <t>　「特別講義（データサイエンス入門）」（３回目）
　　・調査データ、実験データ、人の行動ログデータ、機械の稼働ログデータなど
　　・1次データ、2次データ、データのメタ化
　　・構造化データ、非構造化データ（文章、画像/動画、音声/音楽など）
　　・データ作成（ビッグデータとアノテーション）
　　・データのオープン化（オープンデータ）</t>
    <phoneticPr fontId="1"/>
  </si>
  <si>
    <t>「特別講義（データサイエンス入門）」（４回目）
　　・データ・AI活用領域の広がり(生産、消費、文化活動など)
　　・研究開発、調達、製造、物流、販売、マーケティング、サービスなど
　　・仮説検証、知識発見、原因究明、計画策定、判断支援、活動代替、新規生成など</t>
    <phoneticPr fontId="1"/>
  </si>
  <si>
    <t>　「特別講義（データサイエンス入門）」（１回目）（２回目）
　　・ビッグデータ、IoT、AI、ロボット、・データ量の増加、計算機の処理性能の向上、AIの非連続的進化
　「特別講義（データサイエンス入門）」（１回目）
　　・第4次産業革命、Society 5.0、データ駆動型社会
　　・データを起点としたものの見方、人間の知的活動を起点としたものの見方
　「特別講義（データサイエンス入門）」（２回目）
　　・複数技術を組み合わせたAIサービス、　・人間の知的活動とAIの関係性</t>
    <phoneticPr fontId="1"/>
  </si>
  <si>
    <t>「特別講義（データサイエンス入門）」（４回目）
　　・AI等を活用した新しいビジネスモデル(シェアリングエコノミー、商品のレコメンデーションなど)
「特別講義（データサイエンス入門）」（６回目）
　　・AI最新技術の活用例（深層生成モデル、敵対的生成ネットワーク、強化学習、転移学習など）</t>
    <phoneticPr fontId="1"/>
  </si>
  <si>
    <t>「特別講義（データサイエンス入門）」（14回目）
　　・情報セキュリティ：機密性、完全性、可用性
　　・匿名加工情報、暗号化、パスワード、悪意ある情報搾取
　　・情報漏洩等によるセキュリティ事故の事例紹介</t>
    <phoneticPr fontId="1"/>
  </si>
  <si>
    <t>「特別講義（データサイエンス入門）」（９回目）
　　・データの種類（量的変数、質的変数）、・データの分布(ヒストグラム)と代表値（平均値、中央値、最頻値）、・代表値の性質の違い（実社会では平均値＝最頻値でないことが多い）
「特別講義（データサイエンス入門）」（11回目）
　　・データのばらつき（分散、標準偏差、偏差値）、・観測データに含まれる誤差の扱い、・打ち切りや脱落を含むデータ、層別の必要なデータ
「特別講義（データサイエンス入門）」（12回目）
　　・相関と因果（相関係数、擬似相関、交絡）、・母集団と標本抽出（国勢調査、アンケート調査、全数調査、単純無作為抽出、層別抽出、多段抽出）、・クロス集計表、分割表、相関係数行列、散布図行列、・統計情報の正しい理解（誇張表現に惑わされない）</t>
    <phoneticPr fontId="1"/>
  </si>
  <si>
    <t>「特別講義（データサイエンス入門）」（10回目）
　　・データの集計（和、平均）
　　・データの並び替え、ランキング
　　・データ解析ツール（スプレッドシート）
　　・表形式のデータ（csv）</t>
    <phoneticPr fontId="1"/>
  </si>
  <si>
    <t>「特別講義（データサイエンス入門）」（14回目）
　　・ELSI（Ethical,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・AIサービスの責任論・データ・AI活用における負の事例紹介</t>
    <phoneticPr fontId="1"/>
  </si>
  <si>
    <t>「特別講義（データサイエンス入門）」（５回目）
　　・データサイエンスのサイクル（課題抽出と定式化、データの取得・管理・加工、探索的データ解析、データ解析と推論、結果の共有・伝達、課題解決に向けた提案）
「特別講義（データサイエンス入門）」（７回目）
　　・流通、製造、金融、サービス、インフラ、公共、ヘルスケア等におけるデータ・AI利活用事例紹介</t>
    <phoneticPr fontId="1"/>
  </si>
  <si>
    <t>「特別講義（データサイエンス入門）」（７回目）（９回目）
　　・データ表現（棒グラフ、折線グラフ、散布図、ヒートマップ）
　　・データの図表表現（チャート化）
　　・データの比較（条件をそろえた比較、処理の前後での比較、A/Bテスト)
　　・不適切なグラフ表現（チャートジャンク、不必要な視覚的要素）
　　・優れた可視化事例の紹介（可視化することによって新たな気づきがあった事例など）</t>
    <rPh sb="25" eb="27">
      <t>カイメ</t>
    </rPh>
    <phoneticPr fontId="1"/>
  </si>
  <si>
    <t>「特別講義（データサイエンス入門）」（４回目）
　　・データ解析：予測、グルーピング、パターン発見、最適化、シミュレーション・データ同化など、・認識技術、ルールベース、自動化技術
「特別講義（データサイエンス入門）」（５回目）
　　・非構造化データ処理：言語処理、画像/動画処理、音声/音楽処理など
　　・特化型AIと汎用AI、今のAIで出来ることと出来ないこと、AIとビッグデータ
「特別講義（データサイエンス入門）」（９回目）
　　・データ可視化：複合グラフ、2軸グラフ、多次元の可視化、関係性の可視化、地図上の可視化、挙動・軌跡の可視化、リアルタイム可視化など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</si>
</sst>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lef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38" fontId="2" fillId="0" borderId="57" xfId="2" applyFont="1" applyFill="1" applyBorder="1" applyAlignment="1">
      <alignment vertical="center" shrinkToFit="1"/>
    </xf>
    <xf numFmtId="9" fontId="2" fillId="0" borderId="14" xfId="0" applyNumberFormat="1" applyFont="1" applyBorder="1" applyAlignment="1">
      <alignment vertical="center" shrinkToFi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3" fillId="0" borderId="0" xfId="0" applyFont="1" applyFill="1" applyAlignment="1">
      <alignment vertical="top"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Fill="1" applyBorder="1" applyAlignment="1">
      <alignment vertical="center" wrapText="1" shrinkToFit="1"/>
    </xf>
    <xf numFmtId="0" fontId="2" fillId="0" borderId="3" xfId="0" applyFont="1" applyFill="1" applyBorder="1" applyAlignment="1">
      <alignment vertical="center" wrapText="1" shrinkToFit="1"/>
    </xf>
    <xf numFmtId="0" fontId="2" fillId="0" borderId="4" xfId="0" applyFont="1" applyFill="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Fill="1" applyBorder="1" applyAlignment="1">
      <alignment horizontal="left" vertical="center" wrapText="1"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2" fillId="0" borderId="36" xfId="0" applyFont="1" applyFill="1" applyBorder="1" applyAlignment="1">
      <alignment horizontal="left" vertical="center" wrapText="1" shrinkToFit="1"/>
    </xf>
    <xf numFmtId="0" fontId="2" fillId="0" borderId="36" xfId="0" applyFont="1" applyFill="1" applyBorder="1" applyAlignment="1">
      <alignment horizontal="left" vertical="center" shrinkToFit="1"/>
    </xf>
    <xf numFmtId="0" fontId="2" fillId="0" borderId="35" xfId="0" applyFont="1" applyFill="1" applyBorder="1" applyAlignment="1">
      <alignment horizontal="left" vertical="center" shrinkToFit="1"/>
    </xf>
    <xf numFmtId="0" fontId="2" fillId="0" borderId="6" xfId="0" applyFont="1" applyFill="1" applyBorder="1" applyAlignment="1">
      <alignment horizontal="left" vertical="center" wrapText="1" shrinkToFit="1"/>
    </xf>
    <xf numFmtId="0" fontId="2" fillId="0" borderId="6" xfId="0" applyFont="1" applyFill="1" applyBorder="1" applyAlignment="1">
      <alignment horizontal="left" vertical="center" shrinkToFit="1"/>
    </xf>
    <xf numFmtId="0" fontId="2" fillId="0" borderId="12" xfId="0" applyFont="1" applyFill="1" applyBorder="1" applyAlignment="1">
      <alignment horizontal="left" vertical="center" shrinkToFit="1"/>
    </xf>
    <xf numFmtId="0" fontId="2" fillId="0" borderId="38"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xf numFmtId="0" fontId="9" fillId="0" borderId="38" xfId="0" applyFont="1" applyFill="1" applyBorder="1" applyAlignment="1">
      <alignment horizontal="left" vertical="center" wrapText="1" shrinkToFit="1"/>
    </xf>
    <xf numFmtId="0" fontId="9" fillId="0" borderId="38" xfId="0" applyFont="1" applyFill="1" applyBorder="1" applyAlignment="1">
      <alignment horizontal="left" vertical="center" shrinkToFit="1"/>
    </xf>
    <xf numFmtId="0" fontId="9" fillId="0" borderId="39" xfId="0" applyFont="1" applyFill="1" applyBorder="1" applyAlignment="1">
      <alignment horizontal="left" vertical="center" shrinkToFit="1"/>
    </xf>
    <xf numFmtId="0" fontId="2"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2" fillId="0" borderId="19" xfId="0" applyFont="1" applyFill="1" applyBorder="1" applyAlignment="1">
      <alignment vertical="center" wrapText="1"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9" fillId="0" borderId="36" xfId="0" applyFont="1" applyFill="1" applyBorder="1" applyAlignment="1">
      <alignment vertical="center" wrapText="1" shrinkToFit="1"/>
    </xf>
    <xf numFmtId="0" fontId="9" fillId="0" borderId="36" xfId="0" applyFont="1" applyFill="1" applyBorder="1" applyAlignment="1">
      <alignment vertical="center" shrinkToFit="1"/>
    </xf>
    <xf numFmtId="0" fontId="9" fillId="0" borderId="35" xfId="0" applyFont="1" applyFill="1" applyBorder="1" applyAlignment="1">
      <alignment vertical="center" shrinkToFit="1"/>
    </xf>
    <xf numFmtId="0" fontId="2" fillId="0" borderId="6" xfId="0" applyFont="1" applyFill="1" applyBorder="1" applyAlignment="1">
      <alignment vertical="center" wrapText="1" shrinkToFit="1"/>
    </xf>
    <xf numFmtId="0" fontId="2" fillId="0" borderId="6" xfId="0" applyFont="1" applyFill="1" applyBorder="1" applyAlignment="1">
      <alignment vertical="center" shrinkToFit="1"/>
    </xf>
    <xf numFmtId="0" fontId="2" fillId="0" borderId="12" xfId="0" applyFont="1" applyFill="1" applyBorder="1" applyAlignment="1">
      <alignment vertical="center" shrinkToFit="1"/>
    </xf>
    <xf numFmtId="0" fontId="7" fillId="0" borderId="8" xfId="0" applyFont="1" applyFill="1" applyBorder="1" applyAlignment="1">
      <alignment horizontal="left" vertical="center" wrapText="1" shrinkToFit="1"/>
    </xf>
    <xf numFmtId="0" fontId="7" fillId="0" borderId="8" xfId="0" applyFont="1" applyFill="1" applyBorder="1" applyAlignment="1">
      <alignment horizontal="left" vertical="center" shrinkToFit="1"/>
    </xf>
    <xf numFmtId="0" fontId="7" fillId="0" borderId="9"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xf>
    <xf numFmtId="0" fontId="2" fillId="0" borderId="5" xfId="0" applyFont="1" applyFill="1" applyBorder="1" applyAlignment="1">
      <alignment vertical="top"/>
    </xf>
    <xf numFmtId="0" fontId="2" fillId="0" borderId="0" xfId="0" applyFont="1" applyFill="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2" fillId="0" borderId="6" xfId="0" applyFont="1" applyFill="1" applyBorder="1" applyAlignment="1">
      <alignment vertical="top"/>
    </xf>
    <xf numFmtId="0" fontId="2" fillId="0" borderId="12" xfId="0" applyFont="1" applyFill="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Fill="1" applyBorder="1" applyAlignment="1">
      <alignment vertical="top" wrapText="1" shrinkToFit="1"/>
    </xf>
    <xf numFmtId="0" fontId="2" fillId="0" borderId="43"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topLeft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11" t="s">
        <v>12</v>
      </c>
      <c r="S1" s="111"/>
      <c r="T1" s="2" t="s">
        <v>110</v>
      </c>
    </row>
    <row r="2" spans="1:22" ht="18.75" customHeight="1" x14ac:dyDescent="0.15">
      <c r="B2" s="33" t="s">
        <v>109</v>
      </c>
      <c r="C2" s="104" t="s">
        <v>127</v>
      </c>
      <c r="D2" s="105"/>
      <c r="E2" s="105"/>
      <c r="F2" s="105"/>
      <c r="G2" s="105"/>
      <c r="H2" s="105"/>
      <c r="I2" s="106"/>
      <c r="J2" s="34"/>
      <c r="K2" s="6"/>
      <c r="L2" s="6"/>
      <c r="M2" s="6"/>
      <c r="N2" s="6"/>
      <c r="O2" s="6"/>
      <c r="P2" s="6"/>
      <c r="Q2" s="6"/>
      <c r="R2" s="6"/>
      <c r="S2" s="6"/>
    </row>
    <row r="3" spans="1:22" ht="18.75" customHeight="1" x14ac:dyDescent="0.15">
      <c r="B3" s="33" t="s">
        <v>103</v>
      </c>
      <c r="C3" s="104" t="s">
        <v>128</v>
      </c>
      <c r="D3" s="105"/>
      <c r="E3" s="105"/>
      <c r="F3" s="105"/>
      <c r="G3" s="105"/>
      <c r="H3" s="105"/>
      <c r="I3" s="106"/>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15" t="s">
        <v>39</v>
      </c>
      <c r="B5" s="115"/>
      <c r="C5" s="115"/>
      <c r="D5" s="115"/>
      <c r="E5" s="115"/>
      <c r="F5" s="115"/>
      <c r="G5" s="115"/>
      <c r="H5" s="115"/>
      <c r="I5" s="115"/>
      <c r="J5" s="115"/>
      <c r="K5" s="115"/>
      <c r="L5" s="115"/>
      <c r="M5" s="115"/>
      <c r="N5" s="115"/>
      <c r="O5" s="115"/>
      <c r="P5" s="115"/>
      <c r="Q5" s="115"/>
      <c r="R5" s="115"/>
      <c r="S5" s="11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25" t="s">
        <v>129</v>
      </c>
      <c r="L7" s="126"/>
      <c r="M7" s="126"/>
      <c r="N7" s="126"/>
      <c r="O7" s="126"/>
      <c r="P7" s="126"/>
      <c r="Q7" s="126"/>
      <c r="R7" s="126"/>
      <c r="S7" s="12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92"/>
      <c r="C9" s="93"/>
      <c r="D9" s="93"/>
      <c r="E9" s="93"/>
      <c r="F9" s="93"/>
      <c r="G9" s="93"/>
      <c r="H9" s="93"/>
      <c r="I9" s="93"/>
      <c r="J9" s="93"/>
      <c r="K9" s="93"/>
      <c r="L9" s="93"/>
      <c r="M9" s="93"/>
      <c r="N9" s="93"/>
      <c r="O9" s="93"/>
      <c r="P9" s="93"/>
      <c r="Q9" s="93"/>
      <c r="R9" s="93"/>
      <c r="S9" s="94"/>
    </row>
    <row r="10" spans="1:22" ht="18" customHeight="1" x14ac:dyDescent="0.15">
      <c r="B10" s="95"/>
      <c r="C10" s="96"/>
      <c r="D10" s="96"/>
      <c r="E10" s="96"/>
      <c r="F10" s="96"/>
      <c r="G10" s="96"/>
      <c r="H10" s="96"/>
      <c r="I10" s="96"/>
      <c r="J10" s="96"/>
      <c r="K10" s="96"/>
      <c r="L10" s="96"/>
      <c r="M10" s="96"/>
      <c r="N10" s="96"/>
      <c r="O10" s="96"/>
      <c r="P10" s="96"/>
      <c r="Q10" s="96"/>
      <c r="R10" s="96"/>
      <c r="S10" s="9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8"/>
      <c r="L12" s="38"/>
      <c r="M12" s="38"/>
      <c r="N12" s="38"/>
      <c r="O12" s="38"/>
      <c r="P12" s="38"/>
      <c r="Q12" s="38"/>
      <c r="R12" s="38"/>
      <c r="S12" s="38"/>
    </row>
    <row r="13" spans="1:22" ht="18" customHeight="1" x14ac:dyDescent="0.15">
      <c r="B13" s="116" t="s">
        <v>132</v>
      </c>
      <c r="C13" s="117"/>
      <c r="D13" s="117"/>
      <c r="E13" s="117"/>
      <c r="F13" s="117"/>
      <c r="G13" s="117"/>
      <c r="H13" s="117"/>
      <c r="I13" s="117"/>
      <c r="J13" s="117"/>
      <c r="K13" s="117"/>
      <c r="L13" s="117"/>
      <c r="M13" s="117"/>
      <c r="N13" s="117"/>
      <c r="O13" s="117"/>
      <c r="P13" s="117"/>
      <c r="Q13" s="117"/>
      <c r="R13" s="117"/>
      <c r="S13" s="118"/>
      <c r="V13" s="1" t="s">
        <v>104</v>
      </c>
    </row>
    <row r="14" spans="1:22" ht="18" customHeight="1" x14ac:dyDescent="0.15">
      <c r="B14" s="119"/>
      <c r="C14" s="120"/>
      <c r="D14" s="120"/>
      <c r="E14" s="120"/>
      <c r="F14" s="120"/>
      <c r="G14" s="120"/>
      <c r="H14" s="120"/>
      <c r="I14" s="120"/>
      <c r="J14" s="120"/>
      <c r="K14" s="120"/>
      <c r="L14" s="120"/>
      <c r="M14" s="120"/>
      <c r="N14" s="120"/>
      <c r="O14" s="120"/>
      <c r="P14" s="120"/>
      <c r="Q14" s="120"/>
      <c r="R14" s="120"/>
      <c r="S14" s="121"/>
      <c r="V14" s="1" t="s">
        <v>111</v>
      </c>
    </row>
    <row r="15" spans="1:22" ht="18" customHeight="1" x14ac:dyDescent="0.15">
      <c r="B15" s="119"/>
      <c r="C15" s="120"/>
      <c r="D15" s="120"/>
      <c r="E15" s="120"/>
      <c r="F15" s="120"/>
      <c r="G15" s="120"/>
      <c r="H15" s="120"/>
      <c r="I15" s="120"/>
      <c r="J15" s="120"/>
      <c r="K15" s="120"/>
      <c r="L15" s="120"/>
      <c r="M15" s="120"/>
      <c r="N15" s="120"/>
      <c r="O15" s="120"/>
      <c r="P15" s="120"/>
      <c r="Q15" s="120"/>
      <c r="R15" s="120"/>
      <c r="S15" s="121"/>
      <c r="V15" s="1" t="s">
        <v>124</v>
      </c>
    </row>
    <row r="16" spans="1:22" ht="18" customHeight="1" x14ac:dyDescent="0.15">
      <c r="B16" s="119"/>
      <c r="C16" s="120"/>
      <c r="D16" s="120"/>
      <c r="E16" s="120"/>
      <c r="F16" s="120"/>
      <c r="G16" s="120"/>
      <c r="H16" s="120"/>
      <c r="I16" s="120"/>
      <c r="J16" s="120"/>
      <c r="K16" s="120"/>
      <c r="L16" s="120"/>
      <c r="M16" s="120"/>
      <c r="N16" s="120"/>
      <c r="O16" s="120"/>
      <c r="P16" s="120"/>
      <c r="Q16" s="120"/>
      <c r="R16" s="120"/>
      <c r="S16" s="121"/>
      <c r="V16" s="1" t="s">
        <v>126</v>
      </c>
    </row>
    <row r="17" spans="1:19" ht="18" customHeight="1" x14ac:dyDescent="0.15">
      <c r="B17" s="119"/>
      <c r="C17" s="120"/>
      <c r="D17" s="120"/>
      <c r="E17" s="120"/>
      <c r="F17" s="120"/>
      <c r="G17" s="120"/>
      <c r="H17" s="120"/>
      <c r="I17" s="120"/>
      <c r="J17" s="120"/>
      <c r="K17" s="120"/>
      <c r="L17" s="120"/>
      <c r="M17" s="120"/>
      <c r="N17" s="120"/>
      <c r="O17" s="120"/>
      <c r="P17" s="120"/>
      <c r="Q17" s="120"/>
      <c r="R17" s="120"/>
      <c r="S17" s="121"/>
    </row>
    <row r="18" spans="1:19" ht="18" customHeight="1" x14ac:dyDescent="0.15">
      <c r="B18" s="122"/>
      <c r="C18" s="123"/>
      <c r="D18" s="123"/>
      <c r="E18" s="123"/>
      <c r="F18" s="123"/>
      <c r="G18" s="123"/>
      <c r="H18" s="123"/>
      <c r="I18" s="123"/>
      <c r="J18" s="123"/>
      <c r="K18" s="123"/>
      <c r="L18" s="123"/>
      <c r="M18" s="123"/>
      <c r="N18" s="123"/>
      <c r="O18" s="123"/>
      <c r="P18" s="123"/>
      <c r="Q18" s="123"/>
      <c r="R18" s="123"/>
      <c r="S18" s="12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04">
        <v>2</v>
      </c>
      <c r="D20" s="106"/>
      <c r="E20" s="39" t="s">
        <v>96</v>
      </c>
      <c r="G20" s="10"/>
      <c r="H20" s="3"/>
      <c r="I20" s="3"/>
      <c r="J20" s="34" t="s">
        <v>122</v>
      </c>
      <c r="K20" s="112" t="s">
        <v>126</v>
      </c>
      <c r="L20" s="113"/>
      <c r="M20" s="113"/>
      <c r="N20" s="113"/>
      <c r="O20" s="113"/>
      <c r="P20" s="113"/>
      <c r="Q20" s="113"/>
      <c r="R20" s="113"/>
      <c r="S20" s="11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7" t="s">
        <v>114</v>
      </c>
      <c r="B22" s="107"/>
      <c r="C22" s="107"/>
      <c r="D22" s="107"/>
      <c r="E22" s="107"/>
      <c r="F22" s="107"/>
      <c r="G22" s="107"/>
      <c r="H22" s="107"/>
      <c r="I22" s="107"/>
      <c r="J22" s="107"/>
      <c r="K22" s="107"/>
      <c r="L22" s="107"/>
      <c r="M22" s="107"/>
      <c r="N22" s="107"/>
      <c r="O22" s="107"/>
      <c r="P22" s="107"/>
      <c r="Q22" s="107"/>
      <c r="R22" s="107"/>
      <c r="S22" s="107"/>
    </row>
    <row r="23" spans="1:19" ht="18" customHeight="1" x14ac:dyDescent="0.15">
      <c r="A23" s="107"/>
      <c r="B23" s="107"/>
      <c r="C23" s="107"/>
      <c r="D23" s="107"/>
      <c r="E23" s="107"/>
      <c r="F23" s="107"/>
      <c r="G23" s="107"/>
      <c r="H23" s="107"/>
      <c r="I23" s="107"/>
      <c r="J23" s="107"/>
      <c r="K23" s="107"/>
      <c r="L23" s="107"/>
      <c r="M23" s="107"/>
      <c r="N23" s="107"/>
      <c r="O23" s="107"/>
      <c r="P23" s="107"/>
      <c r="Q23" s="107"/>
      <c r="R23" s="107"/>
      <c r="S23" s="107"/>
    </row>
    <row r="24" spans="1:19" ht="18" customHeight="1" x14ac:dyDescent="0.15">
      <c r="B24" s="104" t="s">
        <v>54</v>
      </c>
      <c r="C24" s="105"/>
      <c r="D24" s="105"/>
      <c r="E24" s="106"/>
      <c r="F24" s="58" t="s">
        <v>81</v>
      </c>
      <c r="G24" s="57" t="s">
        <v>85</v>
      </c>
      <c r="H24" s="21" t="s">
        <v>57</v>
      </c>
      <c r="I24" s="21" t="s">
        <v>60</v>
      </c>
      <c r="J24" s="104" t="s">
        <v>54</v>
      </c>
      <c r="K24" s="105"/>
      <c r="L24" s="105"/>
      <c r="M24" s="105"/>
      <c r="N24" s="105"/>
      <c r="O24" s="106"/>
      <c r="P24" s="58" t="s">
        <v>81</v>
      </c>
      <c r="Q24" s="57" t="s">
        <v>85</v>
      </c>
      <c r="R24" s="21" t="s">
        <v>57</v>
      </c>
      <c r="S24" s="21" t="s">
        <v>60</v>
      </c>
    </row>
    <row r="25" spans="1:19" ht="18" customHeight="1" x14ac:dyDescent="0.15">
      <c r="B25" s="108" t="s">
        <v>133</v>
      </c>
      <c r="C25" s="109"/>
      <c r="D25" s="109"/>
      <c r="E25" s="110"/>
      <c r="F25" s="22">
        <v>2</v>
      </c>
      <c r="G25" s="22" t="s">
        <v>130</v>
      </c>
      <c r="H25" s="22" t="s">
        <v>130</v>
      </c>
      <c r="I25" s="22" t="s">
        <v>130</v>
      </c>
      <c r="J25" s="108"/>
      <c r="K25" s="109"/>
      <c r="L25" s="109"/>
      <c r="M25" s="109"/>
      <c r="N25" s="109"/>
      <c r="O25" s="110"/>
      <c r="P25" s="22"/>
      <c r="Q25" s="22"/>
      <c r="R25" s="22"/>
      <c r="S25" s="22"/>
    </row>
    <row r="26" spans="1:19" ht="18" customHeight="1" x14ac:dyDescent="0.15">
      <c r="B26" s="98"/>
      <c r="C26" s="99"/>
      <c r="D26" s="99"/>
      <c r="E26" s="100"/>
      <c r="F26" s="23"/>
      <c r="G26" s="23"/>
      <c r="H26" s="23"/>
      <c r="I26" s="23"/>
      <c r="J26" s="98"/>
      <c r="K26" s="99"/>
      <c r="L26" s="99"/>
      <c r="M26" s="99"/>
      <c r="N26" s="99"/>
      <c r="O26" s="100"/>
      <c r="P26" s="23"/>
      <c r="Q26" s="23"/>
      <c r="R26" s="23"/>
      <c r="S26" s="23"/>
    </row>
    <row r="27" spans="1:19" ht="18" customHeight="1" x14ac:dyDescent="0.15">
      <c r="B27" s="98"/>
      <c r="C27" s="99"/>
      <c r="D27" s="99"/>
      <c r="E27" s="100"/>
      <c r="F27" s="23"/>
      <c r="G27" s="23"/>
      <c r="H27" s="23"/>
      <c r="I27" s="23"/>
      <c r="J27" s="98"/>
      <c r="K27" s="99"/>
      <c r="L27" s="99"/>
      <c r="M27" s="99"/>
      <c r="N27" s="99"/>
      <c r="O27" s="100"/>
      <c r="P27" s="23"/>
      <c r="Q27" s="23"/>
      <c r="R27" s="23"/>
      <c r="S27" s="23"/>
    </row>
    <row r="28" spans="1:19" ht="18" customHeight="1" x14ac:dyDescent="0.15">
      <c r="B28" s="98"/>
      <c r="C28" s="99"/>
      <c r="D28" s="99"/>
      <c r="E28" s="100"/>
      <c r="F28" s="23"/>
      <c r="G28" s="23"/>
      <c r="H28" s="23"/>
      <c r="I28" s="23"/>
      <c r="J28" s="98"/>
      <c r="K28" s="99"/>
      <c r="L28" s="99"/>
      <c r="M28" s="99"/>
      <c r="N28" s="99"/>
      <c r="O28" s="100"/>
      <c r="P28" s="23"/>
      <c r="Q28" s="23"/>
      <c r="R28" s="23"/>
      <c r="S28" s="23"/>
    </row>
    <row r="29" spans="1:19" ht="18" customHeight="1" x14ac:dyDescent="0.15">
      <c r="B29" s="98"/>
      <c r="C29" s="99"/>
      <c r="D29" s="99"/>
      <c r="E29" s="100"/>
      <c r="F29" s="23"/>
      <c r="G29" s="23"/>
      <c r="H29" s="23"/>
      <c r="I29" s="23"/>
      <c r="J29" s="98"/>
      <c r="K29" s="99"/>
      <c r="L29" s="99"/>
      <c r="M29" s="99"/>
      <c r="N29" s="99"/>
      <c r="O29" s="100"/>
      <c r="P29" s="23"/>
      <c r="Q29" s="23"/>
      <c r="R29" s="23"/>
      <c r="S29" s="23"/>
    </row>
    <row r="30" spans="1:19" ht="18" customHeight="1" x14ac:dyDescent="0.15">
      <c r="A30" s="3"/>
      <c r="B30" s="98"/>
      <c r="C30" s="99"/>
      <c r="D30" s="99"/>
      <c r="E30" s="100"/>
      <c r="F30" s="23"/>
      <c r="G30" s="23"/>
      <c r="H30" s="23"/>
      <c r="I30" s="23"/>
      <c r="J30" s="98"/>
      <c r="K30" s="99"/>
      <c r="L30" s="99"/>
      <c r="M30" s="99"/>
      <c r="N30" s="99"/>
      <c r="O30" s="100"/>
      <c r="P30" s="23"/>
      <c r="Q30" s="23"/>
      <c r="R30" s="23"/>
      <c r="S30" s="23"/>
    </row>
    <row r="31" spans="1:19" ht="18" customHeight="1" x14ac:dyDescent="0.15">
      <c r="A31" s="3"/>
      <c r="B31" s="101"/>
      <c r="C31" s="102"/>
      <c r="D31" s="102"/>
      <c r="E31" s="103"/>
      <c r="F31" s="24"/>
      <c r="G31" s="24"/>
      <c r="H31" s="25"/>
      <c r="I31" s="25"/>
      <c r="J31" s="101"/>
      <c r="K31" s="102"/>
      <c r="L31" s="102"/>
      <c r="M31" s="102"/>
      <c r="N31" s="102"/>
      <c r="O31" s="103"/>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7" t="s">
        <v>115</v>
      </c>
      <c r="B33" s="107"/>
      <c r="C33" s="107"/>
      <c r="D33" s="107"/>
      <c r="E33" s="107"/>
      <c r="F33" s="107"/>
      <c r="G33" s="107"/>
      <c r="H33" s="107"/>
      <c r="I33" s="107"/>
      <c r="J33" s="107"/>
      <c r="K33" s="107"/>
      <c r="L33" s="107"/>
      <c r="M33" s="107"/>
      <c r="N33" s="107"/>
      <c r="O33" s="107"/>
      <c r="P33" s="107"/>
      <c r="Q33" s="107"/>
      <c r="R33" s="107"/>
      <c r="S33" s="107"/>
    </row>
    <row r="34" spans="1:19" ht="18" customHeight="1" x14ac:dyDescent="0.15">
      <c r="A34" s="107"/>
      <c r="B34" s="107"/>
      <c r="C34" s="107"/>
      <c r="D34" s="107"/>
      <c r="E34" s="107"/>
      <c r="F34" s="107"/>
      <c r="G34" s="107"/>
      <c r="H34" s="107"/>
      <c r="I34" s="107"/>
      <c r="J34" s="107"/>
      <c r="K34" s="107"/>
      <c r="L34" s="107"/>
      <c r="M34" s="107"/>
      <c r="N34" s="107"/>
      <c r="O34" s="107"/>
      <c r="P34" s="107"/>
      <c r="Q34" s="107"/>
      <c r="R34" s="107"/>
      <c r="S34" s="107"/>
    </row>
    <row r="35" spans="1:19" ht="18" customHeight="1" x14ac:dyDescent="0.15">
      <c r="B35" s="104" t="s">
        <v>54</v>
      </c>
      <c r="C35" s="105"/>
      <c r="D35" s="105"/>
      <c r="E35" s="106"/>
      <c r="F35" s="58" t="s">
        <v>81</v>
      </c>
      <c r="G35" s="57" t="s">
        <v>85</v>
      </c>
      <c r="H35" s="21" t="s">
        <v>72</v>
      </c>
      <c r="I35" s="21" t="s">
        <v>73</v>
      </c>
      <c r="J35" s="104" t="s">
        <v>54</v>
      </c>
      <c r="K35" s="105"/>
      <c r="L35" s="105"/>
      <c r="M35" s="105"/>
      <c r="N35" s="105"/>
      <c r="O35" s="106"/>
      <c r="P35" s="58" t="s">
        <v>81</v>
      </c>
      <c r="Q35" s="57" t="s">
        <v>85</v>
      </c>
      <c r="R35" s="21" t="s">
        <v>72</v>
      </c>
      <c r="S35" s="21" t="s">
        <v>73</v>
      </c>
    </row>
    <row r="36" spans="1:19" ht="18" customHeight="1" x14ac:dyDescent="0.15">
      <c r="B36" s="108" t="s">
        <v>133</v>
      </c>
      <c r="C36" s="109"/>
      <c r="D36" s="109"/>
      <c r="E36" s="110"/>
      <c r="F36" s="22">
        <v>2</v>
      </c>
      <c r="G36" s="22" t="s">
        <v>130</v>
      </c>
      <c r="H36" s="22" t="s">
        <v>130</v>
      </c>
      <c r="I36" s="22" t="s">
        <v>130</v>
      </c>
      <c r="J36" s="108"/>
      <c r="K36" s="109"/>
      <c r="L36" s="109"/>
      <c r="M36" s="109"/>
      <c r="N36" s="109"/>
      <c r="O36" s="110"/>
      <c r="P36" s="22"/>
      <c r="Q36" s="22"/>
      <c r="R36" s="22"/>
      <c r="S36" s="22"/>
    </row>
    <row r="37" spans="1:19" ht="18" customHeight="1" x14ac:dyDescent="0.15">
      <c r="B37" s="98"/>
      <c r="C37" s="99"/>
      <c r="D37" s="99"/>
      <c r="E37" s="100"/>
      <c r="F37" s="23"/>
      <c r="G37" s="23"/>
      <c r="H37" s="23"/>
      <c r="I37" s="23"/>
      <c r="J37" s="98"/>
      <c r="K37" s="99"/>
      <c r="L37" s="99"/>
      <c r="M37" s="99"/>
      <c r="N37" s="99"/>
      <c r="O37" s="100"/>
      <c r="P37" s="23"/>
      <c r="Q37" s="23"/>
      <c r="R37" s="23"/>
      <c r="S37" s="23"/>
    </row>
    <row r="38" spans="1:19" ht="18" customHeight="1" x14ac:dyDescent="0.15">
      <c r="B38" s="98"/>
      <c r="C38" s="99"/>
      <c r="D38" s="99"/>
      <c r="E38" s="100"/>
      <c r="F38" s="23"/>
      <c r="G38" s="23"/>
      <c r="H38" s="23"/>
      <c r="I38" s="23"/>
      <c r="J38" s="98"/>
      <c r="K38" s="99"/>
      <c r="L38" s="99"/>
      <c r="M38" s="99"/>
      <c r="N38" s="99"/>
      <c r="O38" s="100"/>
      <c r="P38" s="23"/>
      <c r="Q38" s="23"/>
      <c r="R38" s="23"/>
      <c r="S38" s="23"/>
    </row>
    <row r="39" spans="1:19" ht="18" customHeight="1" x14ac:dyDescent="0.15">
      <c r="B39" s="98"/>
      <c r="C39" s="99"/>
      <c r="D39" s="99"/>
      <c r="E39" s="100"/>
      <c r="F39" s="23"/>
      <c r="G39" s="23"/>
      <c r="H39" s="23"/>
      <c r="I39" s="23"/>
      <c r="J39" s="98"/>
      <c r="K39" s="99"/>
      <c r="L39" s="99"/>
      <c r="M39" s="99"/>
      <c r="N39" s="99"/>
      <c r="O39" s="100"/>
      <c r="P39" s="23"/>
      <c r="Q39" s="23"/>
      <c r="R39" s="23"/>
      <c r="S39" s="23"/>
    </row>
    <row r="40" spans="1:19" ht="18" customHeight="1" x14ac:dyDescent="0.15">
      <c r="B40" s="98"/>
      <c r="C40" s="99"/>
      <c r="D40" s="99"/>
      <c r="E40" s="100"/>
      <c r="F40" s="23"/>
      <c r="G40" s="23"/>
      <c r="H40" s="23"/>
      <c r="I40" s="23"/>
      <c r="J40" s="98"/>
      <c r="K40" s="99"/>
      <c r="L40" s="99"/>
      <c r="M40" s="99"/>
      <c r="N40" s="99"/>
      <c r="O40" s="100"/>
      <c r="P40" s="23"/>
      <c r="Q40" s="23"/>
      <c r="R40" s="23"/>
      <c r="S40" s="23"/>
    </row>
    <row r="41" spans="1:19" ht="18" customHeight="1" x14ac:dyDescent="0.15">
      <c r="B41" s="98"/>
      <c r="C41" s="99"/>
      <c r="D41" s="99"/>
      <c r="E41" s="100"/>
      <c r="F41" s="23"/>
      <c r="G41" s="23"/>
      <c r="H41" s="23"/>
      <c r="I41" s="23"/>
      <c r="J41" s="98"/>
      <c r="K41" s="99"/>
      <c r="L41" s="99"/>
      <c r="M41" s="99"/>
      <c r="N41" s="99"/>
      <c r="O41" s="100"/>
      <c r="P41" s="23"/>
      <c r="Q41" s="23"/>
      <c r="R41" s="23"/>
      <c r="S41" s="23"/>
    </row>
    <row r="42" spans="1:19" ht="18" customHeight="1" x14ac:dyDescent="0.15">
      <c r="B42" s="101"/>
      <c r="C42" s="102"/>
      <c r="D42" s="102"/>
      <c r="E42" s="103"/>
      <c r="F42" s="24"/>
      <c r="G42" s="24"/>
      <c r="H42" s="25"/>
      <c r="I42" s="25"/>
      <c r="J42" s="101"/>
      <c r="K42" s="102"/>
      <c r="L42" s="102"/>
      <c r="M42" s="102"/>
      <c r="N42" s="102"/>
      <c r="O42" s="103"/>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7" t="s">
        <v>116</v>
      </c>
      <c r="B44" s="107"/>
      <c r="C44" s="107"/>
      <c r="D44" s="107"/>
      <c r="E44" s="107"/>
      <c r="F44" s="107"/>
      <c r="G44" s="107"/>
      <c r="H44" s="107"/>
      <c r="I44" s="107"/>
      <c r="J44" s="107"/>
      <c r="K44" s="107"/>
      <c r="L44" s="107"/>
      <c r="M44" s="107"/>
      <c r="N44" s="107"/>
      <c r="O44" s="107"/>
      <c r="P44" s="107"/>
      <c r="Q44" s="107"/>
      <c r="R44" s="107"/>
      <c r="S44" s="107"/>
    </row>
    <row r="45" spans="1:19" ht="18" customHeight="1" x14ac:dyDescent="0.15">
      <c r="A45" s="107"/>
      <c r="B45" s="107"/>
      <c r="C45" s="107"/>
      <c r="D45" s="107"/>
      <c r="E45" s="107"/>
      <c r="F45" s="107"/>
      <c r="G45" s="107"/>
      <c r="H45" s="107"/>
      <c r="I45" s="107"/>
      <c r="J45" s="107"/>
      <c r="K45" s="107"/>
      <c r="L45" s="107"/>
      <c r="M45" s="107"/>
      <c r="N45" s="107"/>
      <c r="O45" s="107"/>
      <c r="P45" s="107"/>
      <c r="Q45" s="107"/>
      <c r="R45" s="107"/>
      <c r="S45" s="107"/>
    </row>
    <row r="46" spans="1:19" ht="18" customHeight="1" x14ac:dyDescent="0.15">
      <c r="B46" s="104" t="s">
        <v>54</v>
      </c>
      <c r="C46" s="105"/>
      <c r="D46" s="105"/>
      <c r="E46" s="106"/>
      <c r="F46" s="58" t="s">
        <v>81</v>
      </c>
      <c r="G46" s="57" t="s">
        <v>85</v>
      </c>
      <c r="H46" s="21" t="s">
        <v>74</v>
      </c>
      <c r="I46" s="21" t="s">
        <v>75</v>
      </c>
      <c r="J46" s="104" t="s">
        <v>54</v>
      </c>
      <c r="K46" s="105"/>
      <c r="L46" s="105"/>
      <c r="M46" s="105"/>
      <c r="N46" s="105"/>
      <c r="O46" s="106"/>
      <c r="P46" s="58" t="s">
        <v>81</v>
      </c>
      <c r="Q46" s="57" t="s">
        <v>85</v>
      </c>
      <c r="R46" s="21" t="s">
        <v>74</v>
      </c>
      <c r="S46" s="21" t="s">
        <v>75</v>
      </c>
    </row>
    <row r="47" spans="1:19" ht="18" customHeight="1" x14ac:dyDescent="0.15">
      <c r="A47" s="3"/>
      <c r="B47" s="108" t="s">
        <v>133</v>
      </c>
      <c r="C47" s="109"/>
      <c r="D47" s="109"/>
      <c r="E47" s="110"/>
      <c r="F47" s="22">
        <v>2</v>
      </c>
      <c r="G47" s="22" t="s">
        <v>130</v>
      </c>
      <c r="H47" s="22" t="s">
        <v>130</v>
      </c>
      <c r="I47" s="22" t="s">
        <v>130</v>
      </c>
      <c r="J47" s="108"/>
      <c r="K47" s="109"/>
      <c r="L47" s="109"/>
      <c r="M47" s="109"/>
      <c r="N47" s="109"/>
      <c r="O47" s="110"/>
      <c r="P47" s="22"/>
      <c r="Q47" s="22"/>
      <c r="R47" s="22"/>
      <c r="S47" s="22"/>
    </row>
    <row r="48" spans="1:19" ht="18" customHeight="1" x14ac:dyDescent="0.15">
      <c r="A48" s="3"/>
      <c r="B48" s="98"/>
      <c r="C48" s="99"/>
      <c r="D48" s="99"/>
      <c r="E48" s="100"/>
      <c r="F48" s="23"/>
      <c r="G48" s="23"/>
      <c r="H48" s="23"/>
      <c r="I48" s="23"/>
      <c r="J48" s="98"/>
      <c r="K48" s="99"/>
      <c r="L48" s="99"/>
      <c r="M48" s="99"/>
      <c r="N48" s="99"/>
      <c r="O48" s="100"/>
      <c r="P48" s="23"/>
      <c r="Q48" s="23"/>
      <c r="R48" s="23"/>
      <c r="S48" s="23"/>
    </row>
    <row r="49" spans="1:19" ht="18" customHeight="1" x14ac:dyDescent="0.15">
      <c r="A49" s="3"/>
      <c r="B49" s="98"/>
      <c r="C49" s="99"/>
      <c r="D49" s="99"/>
      <c r="E49" s="100"/>
      <c r="F49" s="23"/>
      <c r="G49" s="23"/>
      <c r="H49" s="23"/>
      <c r="I49" s="23"/>
      <c r="J49" s="98"/>
      <c r="K49" s="99"/>
      <c r="L49" s="99"/>
      <c r="M49" s="99"/>
      <c r="N49" s="99"/>
      <c r="O49" s="100"/>
      <c r="P49" s="23"/>
      <c r="Q49" s="23"/>
      <c r="R49" s="23"/>
      <c r="S49" s="23"/>
    </row>
    <row r="50" spans="1:19" ht="18" customHeight="1" x14ac:dyDescent="0.15">
      <c r="A50" s="3"/>
      <c r="B50" s="98"/>
      <c r="C50" s="99"/>
      <c r="D50" s="99"/>
      <c r="E50" s="100"/>
      <c r="F50" s="23"/>
      <c r="G50" s="23"/>
      <c r="H50" s="23"/>
      <c r="I50" s="23"/>
      <c r="J50" s="98"/>
      <c r="K50" s="99"/>
      <c r="L50" s="99"/>
      <c r="M50" s="99"/>
      <c r="N50" s="99"/>
      <c r="O50" s="100"/>
      <c r="P50" s="23"/>
      <c r="Q50" s="23"/>
      <c r="R50" s="23"/>
      <c r="S50" s="23"/>
    </row>
    <row r="51" spans="1:19" ht="18" customHeight="1" x14ac:dyDescent="0.15">
      <c r="A51" s="3"/>
      <c r="B51" s="98"/>
      <c r="C51" s="99"/>
      <c r="D51" s="99"/>
      <c r="E51" s="100"/>
      <c r="F51" s="23"/>
      <c r="G51" s="23"/>
      <c r="H51" s="23"/>
      <c r="I51" s="23"/>
      <c r="J51" s="98"/>
      <c r="K51" s="99"/>
      <c r="L51" s="99"/>
      <c r="M51" s="99"/>
      <c r="N51" s="99"/>
      <c r="O51" s="100"/>
      <c r="P51" s="23"/>
      <c r="Q51" s="23"/>
      <c r="R51" s="23"/>
      <c r="S51" s="23"/>
    </row>
    <row r="52" spans="1:19" ht="18" customHeight="1" x14ac:dyDescent="0.15">
      <c r="A52" s="3"/>
      <c r="B52" s="98"/>
      <c r="C52" s="99"/>
      <c r="D52" s="99"/>
      <c r="E52" s="100"/>
      <c r="F52" s="23"/>
      <c r="G52" s="23"/>
      <c r="H52" s="23"/>
      <c r="I52" s="23"/>
      <c r="J52" s="98"/>
      <c r="K52" s="99"/>
      <c r="L52" s="99"/>
      <c r="M52" s="99"/>
      <c r="N52" s="99"/>
      <c r="O52" s="100"/>
      <c r="P52" s="23"/>
      <c r="Q52" s="23"/>
      <c r="R52" s="23"/>
      <c r="S52" s="23"/>
    </row>
    <row r="53" spans="1:19" ht="18" customHeight="1" x14ac:dyDescent="0.15">
      <c r="A53" s="3"/>
      <c r="B53" s="101"/>
      <c r="C53" s="102"/>
      <c r="D53" s="102"/>
      <c r="E53" s="103"/>
      <c r="F53" s="24"/>
      <c r="G53" s="24"/>
      <c r="H53" s="25"/>
      <c r="I53" s="25"/>
      <c r="J53" s="101"/>
      <c r="K53" s="102"/>
      <c r="L53" s="102"/>
      <c r="M53" s="102"/>
      <c r="N53" s="102"/>
      <c r="O53" s="103"/>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7" t="s">
        <v>117</v>
      </c>
      <c r="B55" s="107"/>
      <c r="C55" s="107"/>
      <c r="D55" s="107"/>
      <c r="E55" s="107"/>
      <c r="F55" s="107"/>
      <c r="G55" s="107"/>
      <c r="H55" s="107"/>
      <c r="I55" s="107"/>
      <c r="J55" s="107"/>
      <c r="K55" s="107"/>
      <c r="L55" s="107"/>
      <c r="M55" s="107"/>
      <c r="N55" s="107"/>
      <c r="O55" s="107"/>
      <c r="P55" s="107"/>
      <c r="Q55" s="107"/>
      <c r="R55" s="107"/>
      <c r="S55" s="107"/>
    </row>
    <row r="56" spans="1:19" ht="18" customHeight="1" x14ac:dyDescent="0.15">
      <c r="A56" s="107"/>
      <c r="B56" s="107"/>
      <c r="C56" s="107"/>
      <c r="D56" s="107"/>
      <c r="E56" s="107"/>
      <c r="F56" s="107"/>
      <c r="G56" s="107"/>
      <c r="H56" s="107"/>
      <c r="I56" s="107"/>
      <c r="J56" s="107"/>
      <c r="K56" s="107"/>
      <c r="L56" s="107"/>
      <c r="M56" s="107"/>
      <c r="N56" s="107"/>
      <c r="O56" s="107"/>
      <c r="P56" s="107"/>
      <c r="Q56" s="107"/>
      <c r="R56" s="107"/>
      <c r="S56" s="107"/>
    </row>
    <row r="57" spans="1:19" ht="18" customHeight="1" x14ac:dyDescent="0.15">
      <c r="B57" s="104" t="s">
        <v>54</v>
      </c>
      <c r="C57" s="105"/>
      <c r="D57" s="105"/>
      <c r="E57" s="106"/>
      <c r="F57" s="58" t="s">
        <v>81</v>
      </c>
      <c r="G57" s="57" t="s">
        <v>85</v>
      </c>
      <c r="H57" s="21" t="s">
        <v>59</v>
      </c>
      <c r="I57" s="21" t="s">
        <v>61</v>
      </c>
      <c r="J57" s="104" t="s">
        <v>54</v>
      </c>
      <c r="K57" s="105"/>
      <c r="L57" s="105"/>
      <c r="M57" s="105"/>
      <c r="N57" s="105"/>
      <c r="O57" s="106"/>
      <c r="P57" s="58" t="s">
        <v>81</v>
      </c>
      <c r="Q57" s="57" t="s">
        <v>85</v>
      </c>
      <c r="R57" s="21" t="s">
        <v>59</v>
      </c>
      <c r="S57" s="21" t="s">
        <v>61</v>
      </c>
    </row>
    <row r="58" spans="1:19" ht="18" customHeight="1" x14ac:dyDescent="0.15">
      <c r="A58" s="3"/>
      <c r="B58" s="108" t="s">
        <v>133</v>
      </c>
      <c r="C58" s="109"/>
      <c r="D58" s="109"/>
      <c r="E58" s="110"/>
      <c r="F58" s="22">
        <v>2</v>
      </c>
      <c r="G58" s="22" t="s">
        <v>130</v>
      </c>
      <c r="H58" s="22" t="s">
        <v>130</v>
      </c>
      <c r="I58" s="22" t="s">
        <v>130</v>
      </c>
      <c r="J58" s="108"/>
      <c r="K58" s="109"/>
      <c r="L58" s="109"/>
      <c r="M58" s="109"/>
      <c r="N58" s="109"/>
      <c r="O58" s="110"/>
      <c r="P58" s="22"/>
      <c r="Q58" s="22"/>
      <c r="R58" s="22"/>
      <c r="S58" s="22"/>
    </row>
    <row r="59" spans="1:19" ht="18" customHeight="1" x14ac:dyDescent="0.15">
      <c r="A59" s="3"/>
      <c r="B59" s="98"/>
      <c r="C59" s="99"/>
      <c r="D59" s="99"/>
      <c r="E59" s="100"/>
      <c r="F59" s="23"/>
      <c r="G59" s="23"/>
      <c r="H59" s="23"/>
      <c r="I59" s="23"/>
      <c r="J59" s="98"/>
      <c r="K59" s="99"/>
      <c r="L59" s="99"/>
      <c r="M59" s="99"/>
      <c r="N59" s="99"/>
      <c r="O59" s="100"/>
      <c r="P59" s="23"/>
      <c r="Q59" s="23"/>
      <c r="R59" s="23"/>
      <c r="S59" s="23"/>
    </row>
    <row r="60" spans="1:19" ht="18" customHeight="1" x14ac:dyDescent="0.15">
      <c r="A60" s="3"/>
      <c r="B60" s="98"/>
      <c r="C60" s="99"/>
      <c r="D60" s="99"/>
      <c r="E60" s="100"/>
      <c r="F60" s="23"/>
      <c r="G60" s="23"/>
      <c r="H60" s="23"/>
      <c r="I60" s="23"/>
      <c r="J60" s="98"/>
      <c r="K60" s="99"/>
      <c r="L60" s="99"/>
      <c r="M60" s="99"/>
      <c r="N60" s="99"/>
      <c r="O60" s="100"/>
      <c r="P60" s="23"/>
      <c r="Q60" s="23"/>
      <c r="R60" s="23"/>
      <c r="S60" s="23"/>
    </row>
    <row r="61" spans="1:19" ht="18" customHeight="1" x14ac:dyDescent="0.15">
      <c r="A61" s="3"/>
      <c r="B61" s="98"/>
      <c r="C61" s="99"/>
      <c r="D61" s="99"/>
      <c r="E61" s="100"/>
      <c r="F61" s="23"/>
      <c r="G61" s="23"/>
      <c r="H61" s="23"/>
      <c r="I61" s="23"/>
      <c r="J61" s="98"/>
      <c r="K61" s="99"/>
      <c r="L61" s="99"/>
      <c r="M61" s="99"/>
      <c r="N61" s="99"/>
      <c r="O61" s="100"/>
      <c r="P61" s="23"/>
      <c r="Q61" s="23"/>
      <c r="R61" s="23"/>
      <c r="S61" s="23"/>
    </row>
    <row r="62" spans="1:19" ht="18" customHeight="1" x14ac:dyDescent="0.15">
      <c r="A62" s="3"/>
      <c r="B62" s="98"/>
      <c r="C62" s="99"/>
      <c r="D62" s="99"/>
      <c r="E62" s="100"/>
      <c r="F62" s="23"/>
      <c r="G62" s="23"/>
      <c r="H62" s="23"/>
      <c r="I62" s="23"/>
      <c r="J62" s="98"/>
      <c r="K62" s="99"/>
      <c r="L62" s="99"/>
      <c r="M62" s="99"/>
      <c r="N62" s="99"/>
      <c r="O62" s="100"/>
      <c r="P62" s="23"/>
      <c r="Q62" s="23"/>
      <c r="R62" s="23"/>
      <c r="S62" s="23"/>
    </row>
    <row r="63" spans="1:19" ht="18" customHeight="1" x14ac:dyDescent="0.15">
      <c r="A63" s="3"/>
      <c r="B63" s="98"/>
      <c r="C63" s="99"/>
      <c r="D63" s="99"/>
      <c r="E63" s="100"/>
      <c r="F63" s="23"/>
      <c r="G63" s="23"/>
      <c r="H63" s="23"/>
      <c r="I63" s="23"/>
      <c r="J63" s="98"/>
      <c r="K63" s="99"/>
      <c r="L63" s="99"/>
      <c r="M63" s="99"/>
      <c r="N63" s="99"/>
      <c r="O63" s="100"/>
      <c r="P63" s="23"/>
      <c r="Q63" s="23"/>
      <c r="R63" s="23"/>
      <c r="S63" s="23"/>
    </row>
    <row r="64" spans="1:19" ht="18" customHeight="1" x14ac:dyDescent="0.15">
      <c r="A64" s="3"/>
      <c r="B64" s="101"/>
      <c r="C64" s="102"/>
      <c r="D64" s="102"/>
      <c r="E64" s="103"/>
      <c r="F64" s="24"/>
      <c r="G64" s="24"/>
      <c r="H64" s="25"/>
      <c r="I64" s="25"/>
      <c r="J64" s="101"/>
      <c r="K64" s="102"/>
      <c r="L64" s="102"/>
      <c r="M64" s="102"/>
      <c r="N64" s="102"/>
      <c r="O64" s="103"/>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7" t="s">
        <v>118</v>
      </c>
      <c r="B66" s="107"/>
      <c r="C66" s="107"/>
      <c r="D66" s="107"/>
      <c r="E66" s="107"/>
      <c r="F66" s="107"/>
      <c r="G66" s="107"/>
      <c r="H66" s="107"/>
      <c r="I66" s="107"/>
      <c r="J66" s="107"/>
      <c r="K66" s="107"/>
      <c r="L66" s="107"/>
      <c r="M66" s="107"/>
      <c r="N66" s="107"/>
      <c r="O66" s="107"/>
      <c r="P66" s="107"/>
      <c r="Q66" s="107"/>
      <c r="R66" s="107"/>
      <c r="S66" s="107"/>
    </row>
    <row r="67" spans="1:19" ht="18" customHeight="1" x14ac:dyDescent="0.15">
      <c r="A67" s="107"/>
      <c r="B67" s="107"/>
      <c r="C67" s="107"/>
      <c r="D67" s="107"/>
      <c r="E67" s="107"/>
      <c r="F67" s="107"/>
      <c r="G67" s="107"/>
      <c r="H67" s="107"/>
      <c r="I67" s="107"/>
      <c r="J67" s="107"/>
      <c r="K67" s="107"/>
      <c r="L67" s="107"/>
      <c r="M67" s="107"/>
      <c r="N67" s="107"/>
      <c r="O67" s="107"/>
      <c r="P67" s="107"/>
      <c r="Q67" s="107"/>
      <c r="R67" s="107"/>
      <c r="S67" s="107"/>
    </row>
    <row r="68" spans="1:19" ht="18" customHeight="1" x14ac:dyDescent="0.15">
      <c r="B68" s="104" t="s">
        <v>54</v>
      </c>
      <c r="C68" s="105"/>
      <c r="D68" s="105"/>
      <c r="E68" s="58" t="s">
        <v>81</v>
      </c>
      <c r="F68" s="57" t="s">
        <v>85</v>
      </c>
      <c r="G68" s="21" t="s">
        <v>102</v>
      </c>
      <c r="H68" s="21" t="s">
        <v>76</v>
      </c>
      <c r="I68" s="21" t="s">
        <v>77</v>
      </c>
      <c r="J68" s="104" t="s">
        <v>54</v>
      </c>
      <c r="K68" s="105"/>
      <c r="L68" s="105"/>
      <c r="M68" s="105"/>
      <c r="N68" s="106"/>
      <c r="O68" s="58" t="s">
        <v>81</v>
      </c>
      <c r="P68" s="57" t="s">
        <v>85</v>
      </c>
      <c r="Q68" s="21" t="s">
        <v>102</v>
      </c>
      <c r="R68" s="21" t="s">
        <v>76</v>
      </c>
      <c r="S68" s="21" t="s">
        <v>77</v>
      </c>
    </row>
    <row r="69" spans="1:19" ht="18" customHeight="1" x14ac:dyDescent="0.15">
      <c r="A69" s="3"/>
      <c r="B69" s="108" t="s">
        <v>133</v>
      </c>
      <c r="C69" s="109"/>
      <c r="D69" s="110"/>
      <c r="E69" s="22">
        <v>2</v>
      </c>
      <c r="F69" s="22" t="s">
        <v>131</v>
      </c>
      <c r="G69" s="22" t="s">
        <v>130</v>
      </c>
      <c r="H69" s="22" t="s">
        <v>130</v>
      </c>
      <c r="I69" s="22" t="s">
        <v>130</v>
      </c>
      <c r="J69" s="108"/>
      <c r="K69" s="109"/>
      <c r="L69" s="109"/>
      <c r="M69" s="109"/>
      <c r="N69" s="110"/>
      <c r="O69" s="22"/>
      <c r="P69" s="22"/>
      <c r="Q69" s="22"/>
      <c r="R69" s="22"/>
      <c r="S69" s="22"/>
    </row>
    <row r="70" spans="1:19" ht="18" customHeight="1" x14ac:dyDescent="0.15">
      <c r="A70" s="3"/>
      <c r="B70" s="98"/>
      <c r="C70" s="99"/>
      <c r="D70" s="99"/>
      <c r="E70" s="23"/>
      <c r="F70" s="23"/>
      <c r="G70" s="23"/>
      <c r="H70" s="23"/>
      <c r="I70" s="23"/>
      <c r="J70" s="98"/>
      <c r="K70" s="99"/>
      <c r="L70" s="99"/>
      <c r="M70" s="99"/>
      <c r="N70" s="100"/>
      <c r="O70" s="23"/>
      <c r="P70" s="23"/>
      <c r="Q70" s="23"/>
      <c r="R70" s="23"/>
      <c r="S70" s="23"/>
    </row>
    <row r="71" spans="1:19" ht="18" customHeight="1" x14ac:dyDescent="0.15">
      <c r="A71" s="3"/>
      <c r="B71" s="98"/>
      <c r="C71" s="99"/>
      <c r="D71" s="99"/>
      <c r="E71" s="23"/>
      <c r="F71" s="23"/>
      <c r="G71" s="23"/>
      <c r="H71" s="23"/>
      <c r="I71" s="23"/>
      <c r="J71" s="98"/>
      <c r="K71" s="99"/>
      <c r="L71" s="99"/>
      <c r="M71" s="99"/>
      <c r="N71" s="100"/>
      <c r="O71" s="23"/>
      <c r="P71" s="23"/>
      <c r="Q71" s="23"/>
      <c r="R71" s="23"/>
      <c r="S71" s="23"/>
    </row>
    <row r="72" spans="1:19" ht="18" customHeight="1" x14ac:dyDescent="0.15">
      <c r="A72" s="3"/>
      <c r="B72" s="98"/>
      <c r="C72" s="99"/>
      <c r="D72" s="99"/>
      <c r="E72" s="23"/>
      <c r="F72" s="23"/>
      <c r="G72" s="23"/>
      <c r="H72" s="23"/>
      <c r="I72" s="23"/>
      <c r="J72" s="98"/>
      <c r="K72" s="99"/>
      <c r="L72" s="99"/>
      <c r="M72" s="99"/>
      <c r="N72" s="100"/>
      <c r="O72" s="23"/>
      <c r="P72" s="23"/>
      <c r="Q72" s="23"/>
      <c r="R72" s="23"/>
      <c r="S72" s="23"/>
    </row>
    <row r="73" spans="1:19" ht="18" customHeight="1" x14ac:dyDescent="0.15">
      <c r="A73" s="3"/>
      <c r="B73" s="98"/>
      <c r="C73" s="99"/>
      <c r="D73" s="99"/>
      <c r="E73" s="23"/>
      <c r="F73" s="23"/>
      <c r="G73" s="23"/>
      <c r="H73" s="23"/>
      <c r="I73" s="23"/>
      <c r="J73" s="98"/>
      <c r="K73" s="99"/>
      <c r="L73" s="99"/>
      <c r="M73" s="99"/>
      <c r="N73" s="100"/>
      <c r="O73" s="23"/>
      <c r="P73" s="23"/>
      <c r="Q73" s="23"/>
      <c r="R73" s="23"/>
      <c r="S73" s="23"/>
    </row>
    <row r="74" spans="1:19" ht="18" customHeight="1" x14ac:dyDescent="0.15">
      <c r="A74" s="3"/>
      <c r="B74" s="98"/>
      <c r="C74" s="99"/>
      <c r="D74" s="99"/>
      <c r="E74" s="23"/>
      <c r="F74" s="23"/>
      <c r="G74" s="23"/>
      <c r="H74" s="23"/>
      <c r="I74" s="23"/>
      <c r="J74" s="98"/>
      <c r="K74" s="99"/>
      <c r="L74" s="99"/>
      <c r="M74" s="99"/>
      <c r="N74" s="100"/>
      <c r="O74" s="23"/>
      <c r="P74" s="23"/>
      <c r="Q74" s="23"/>
      <c r="R74" s="23"/>
      <c r="S74" s="23"/>
    </row>
    <row r="75" spans="1:19" ht="18" customHeight="1" x14ac:dyDescent="0.15">
      <c r="A75" s="3"/>
      <c r="B75" s="101"/>
      <c r="C75" s="102"/>
      <c r="D75" s="102"/>
      <c r="E75" s="24"/>
      <c r="F75" s="24"/>
      <c r="G75" s="25"/>
      <c r="H75" s="25"/>
      <c r="I75" s="25"/>
      <c r="J75" s="101"/>
      <c r="K75" s="102"/>
      <c r="L75" s="102"/>
      <c r="M75" s="102"/>
      <c r="N75" s="103"/>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04" t="s">
        <v>54</v>
      </c>
      <c r="C78" s="105"/>
      <c r="D78" s="105"/>
      <c r="E78" s="106"/>
      <c r="F78" s="104" t="s">
        <v>83</v>
      </c>
      <c r="G78" s="105"/>
      <c r="H78" s="105"/>
      <c r="I78" s="106"/>
      <c r="J78" s="158" t="s">
        <v>54</v>
      </c>
      <c r="K78" s="159"/>
      <c r="L78" s="159"/>
      <c r="M78" s="159"/>
      <c r="N78" s="159"/>
      <c r="O78" s="160"/>
      <c r="P78" s="104" t="s">
        <v>83</v>
      </c>
      <c r="Q78" s="105"/>
      <c r="R78" s="105"/>
      <c r="S78" s="106"/>
    </row>
    <row r="79" spans="1:19" ht="18" customHeight="1" x14ac:dyDescent="0.15">
      <c r="A79" s="3"/>
      <c r="B79" s="108"/>
      <c r="C79" s="109"/>
      <c r="D79" s="109"/>
      <c r="E79" s="110"/>
      <c r="F79" s="175"/>
      <c r="G79" s="176"/>
      <c r="H79" s="176"/>
      <c r="I79" s="177"/>
      <c r="J79" s="108"/>
      <c r="K79" s="109"/>
      <c r="L79" s="109"/>
      <c r="M79" s="109"/>
      <c r="N79" s="109"/>
      <c r="O79" s="110"/>
      <c r="P79" s="175"/>
      <c r="Q79" s="176"/>
      <c r="R79" s="176"/>
      <c r="S79" s="177"/>
    </row>
    <row r="80" spans="1:19" ht="18" customHeight="1" x14ac:dyDescent="0.15">
      <c r="A80" s="3"/>
      <c r="B80" s="98"/>
      <c r="C80" s="99"/>
      <c r="D80" s="99"/>
      <c r="E80" s="100"/>
      <c r="F80" s="134"/>
      <c r="G80" s="135"/>
      <c r="H80" s="135"/>
      <c r="I80" s="136"/>
      <c r="J80" s="98"/>
      <c r="K80" s="99"/>
      <c r="L80" s="99"/>
      <c r="M80" s="99"/>
      <c r="N80" s="99"/>
      <c r="O80" s="100"/>
      <c r="P80" s="134"/>
      <c r="Q80" s="135"/>
      <c r="R80" s="135"/>
      <c r="S80" s="136"/>
    </row>
    <row r="81" spans="1:19" ht="18" customHeight="1" x14ac:dyDescent="0.15">
      <c r="A81" s="3"/>
      <c r="B81" s="98"/>
      <c r="C81" s="99"/>
      <c r="D81" s="99"/>
      <c r="E81" s="100"/>
      <c r="F81" s="134"/>
      <c r="G81" s="135"/>
      <c r="H81" s="135"/>
      <c r="I81" s="136"/>
      <c r="J81" s="98"/>
      <c r="K81" s="99"/>
      <c r="L81" s="99"/>
      <c r="M81" s="99"/>
      <c r="N81" s="99"/>
      <c r="O81" s="100"/>
      <c r="P81" s="134"/>
      <c r="Q81" s="135"/>
      <c r="R81" s="135"/>
      <c r="S81" s="136"/>
    </row>
    <row r="82" spans="1:19" ht="18" customHeight="1" x14ac:dyDescent="0.15">
      <c r="A82" s="3"/>
      <c r="B82" s="98"/>
      <c r="C82" s="99"/>
      <c r="D82" s="99"/>
      <c r="E82" s="100"/>
      <c r="F82" s="134"/>
      <c r="G82" s="135"/>
      <c r="H82" s="135"/>
      <c r="I82" s="136"/>
      <c r="J82" s="98"/>
      <c r="K82" s="99"/>
      <c r="L82" s="99"/>
      <c r="M82" s="99"/>
      <c r="N82" s="99"/>
      <c r="O82" s="100"/>
      <c r="P82" s="134"/>
      <c r="Q82" s="135"/>
      <c r="R82" s="135"/>
      <c r="S82" s="136"/>
    </row>
    <row r="83" spans="1:19" ht="18" customHeight="1" x14ac:dyDescent="0.15">
      <c r="A83" s="3"/>
      <c r="B83" s="98"/>
      <c r="C83" s="99"/>
      <c r="D83" s="99"/>
      <c r="E83" s="100"/>
      <c r="F83" s="134"/>
      <c r="G83" s="135"/>
      <c r="H83" s="135"/>
      <c r="I83" s="136"/>
      <c r="J83" s="98"/>
      <c r="K83" s="99"/>
      <c r="L83" s="99"/>
      <c r="M83" s="99"/>
      <c r="N83" s="99"/>
      <c r="O83" s="100"/>
      <c r="P83" s="134"/>
      <c r="Q83" s="135"/>
      <c r="R83" s="135"/>
      <c r="S83" s="136"/>
    </row>
    <row r="84" spans="1:19" ht="18" customHeight="1" x14ac:dyDescent="0.15">
      <c r="A84" s="3"/>
      <c r="B84" s="98"/>
      <c r="C84" s="99"/>
      <c r="D84" s="99"/>
      <c r="E84" s="100"/>
      <c r="F84" s="134"/>
      <c r="G84" s="135"/>
      <c r="H84" s="135"/>
      <c r="I84" s="136"/>
      <c r="J84" s="98"/>
      <c r="K84" s="99"/>
      <c r="L84" s="99"/>
      <c r="M84" s="99"/>
      <c r="N84" s="99"/>
      <c r="O84" s="100"/>
      <c r="P84" s="134"/>
      <c r="Q84" s="135"/>
      <c r="R84" s="135"/>
      <c r="S84" s="136"/>
    </row>
    <row r="85" spans="1:19" ht="18" customHeight="1" x14ac:dyDescent="0.15">
      <c r="A85" s="3"/>
      <c r="B85" s="101"/>
      <c r="C85" s="102"/>
      <c r="D85" s="102"/>
      <c r="E85" s="103"/>
      <c r="F85" s="131"/>
      <c r="G85" s="132"/>
      <c r="H85" s="132"/>
      <c r="I85" s="133"/>
      <c r="J85" s="101"/>
      <c r="K85" s="102"/>
      <c r="L85" s="102"/>
      <c r="M85" s="102"/>
      <c r="N85" s="102"/>
      <c r="O85" s="103"/>
      <c r="P85" s="131"/>
      <c r="Q85" s="132"/>
      <c r="R85" s="132"/>
      <c r="S85" s="133"/>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73" t="s">
        <v>55</v>
      </c>
      <c r="C88" s="174"/>
      <c r="D88" s="105" t="s">
        <v>56</v>
      </c>
      <c r="E88" s="105"/>
      <c r="F88" s="105"/>
      <c r="G88" s="105"/>
      <c r="H88" s="105"/>
      <c r="I88" s="105"/>
      <c r="J88" s="105"/>
      <c r="K88" s="105"/>
      <c r="L88" s="105"/>
      <c r="M88" s="105"/>
      <c r="N88" s="105"/>
      <c r="O88" s="105"/>
      <c r="P88" s="105"/>
      <c r="Q88" s="105"/>
      <c r="R88" s="105"/>
      <c r="S88" s="106"/>
    </row>
    <row r="89" spans="1:19" ht="97.5" customHeight="1" x14ac:dyDescent="0.15">
      <c r="B89" s="161" t="s">
        <v>62</v>
      </c>
      <c r="C89" s="27" t="s">
        <v>57</v>
      </c>
      <c r="D89" s="170" t="s">
        <v>168</v>
      </c>
      <c r="E89" s="171"/>
      <c r="F89" s="171"/>
      <c r="G89" s="171"/>
      <c r="H89" s="171"/>
      <c r="I89" s="171"/>
      <c r="J89" s="171"/>
      <c r="K89" s="171"/>
      <c r="L89" s="171"/>
      <c r="M89" s="171"/>
      <c r="N89" s="171"/>
      <c r="O89" s="171"/>
      <c r="P89" s="171"/>
      <c r="Q89" s="171"/>
      <c r="R89" s="171"/>
      <c r="S89" s="172"/>
    </row>
    <row r="90" spans="1:19" ht="97.5" customHeight="1" x14ac:dyDescent="0.15">
      <c r="B90" s="163"/>
      <c r="C90" s="28" t="s">
        <v>78</v>
      </c>
      <c r="D90" s="137" t="s">
        <v>169</v>
      </c>
      <c r="E90" s="138"/>
      <c r="F90" s="138"/>
      <c r="G90" s="138"/>
      <c r="H90" s="138"/>
      <c r="I90" s="138"/>
      <c r="J90" s="138"/>
      <c r="K90" s="138"/>
      <c r="L90" s="138"/>
      <c r="M90" s="138"/>
      <c r="N90" s="138"/>
      <c r="O90" s="138"/>
      <c r="P90" s="138"/>
      <c r="Q90" s="138"/>
      <c r="R90" s="138"/>
      <c r="S90" s="139"/>
    </row>
    <row r="91" spans="1:19" ht="97.5" customHeight="1" x14ac:dyDescent="0.15">
      <c r="B91" s="161" t="s">
        <v>63</v>
      </c>
      <c r="C91" s="29" t="s">
        <v>72</v>
      </c>
      <c r="D91" s="140" t="s">
        <v>166</v>
      </c>
      <c r="E91" s="141"/>
      <c r="F91" s="141"/>
      <c r="G91" s="141"/>
      <c r="H91" s="141"/>
      <c r="I91" s="141"/>
      <c r="J91" s="141"/>
      <c r="K91" s="141"/>
      <c r="L91" s="141"/>
      <c r="M91" s="141"/>
      <c r="N91" s="141"/>
      <c r="O91" s="141"/>
      <c r="P91" s="141"/>
      <c r="Q91" s="141"/>
      <c r="R91" s="141"/>
      <c r="S91" s="142"/>
    </row>
    <row r="92" spans="1:19" ht="97.5" customHeight="1" x14ac:dyDescent="0.15">
      <c r="B92" s="162"/>
      <c r="C92" s="30" t="s">
        <v>73</v>
      </c>
      <c r="D92" s="146" t="s">
        <v>167</v>
      </c>
      <c r="E92" s="147"/>
      <c r="F92" s="147"/>
      <c r="G92" s="147"/>
      <c r="H92" s="147"/>
      <c r="I92" s="147"/>
      <c r="J92" s="147"/>
      <c r="K92" s="147"/>
      <c r="L92" s="147"/>
      <c r="M92" s="147"/>
      <c r="N92" s="147"/>
      <c r="O92" s="147"/>
      <c r="P92" s="147"/>
      <c r="Q92" s="147"/>
      <c r="R92" s="147"/>
      <c r="S92" s="148"/>
    </row>
    <row r="93" spans="1:19" ht="97.5" customHeight="1" x14ac:dyDescent="0.15">
      <c r="B93" s="161" t="s">
        <v>64</v>
      </c>
      <c r="C93" s="29" t="s">
        <v>74</v>
      </c>
      <c r="D93" s="149" t="s">
        <v>176</v>
      </c>
      <c r="E93" s="150"/>
      <c r="F93" s="150"/>
      <c r="G93" s="150"/>
      <c r="H93" s="150"/>
      <c r="I93" s="150"/>
      <c r="J93" s="150"/>
      <c r="K93" s="150"/>
      <c r="L93" s="150"/>
      <c r="M93" s="150"/>
      <c r="N93" s="150"/>
      <c r="O93" s="150"/>
      <c r="P93" s="150"/>
      <c r="Q93" s="150"/>
      <c r="R93" s="150"/>
      <c r="S93" s="151"/>
    </row>
    <row r="94" spans="1:19" ht="97.5" customHeight="1" x14ac:dyDescent="0.15">
      <c r="B94" s="162"/>
      <c r="C94" s="31" t="s">
        <v>75</v>
      </c>
      <c r="D94" s="143" t="s">
        <v>174</v>
      </c>
      <c r="E94" s="144"/>
      <c r="F94" s="144"/>
      <c r="G94" s="144"/>
      <c r="H94" s="144"/>
      <c r="I94" s="144"/>
      <c r="J94" s="144"/>
      <c r="K94" s="144"/>
      <c r="L94" s="144"/>
      <c r="M94" s="144"/>
      <c r="N94" s="144"/>
      <c r="O94" s="144"/>
      <c r="P94" s="144"/>
      <c r="Q94" s="144"/>
      <c r="R94" s="144"/>
      <c r="S94" s="145"/>
    </row>
    <row r="95" spans="1:19" ht="97.5" customHeight="1" x14ac:dyDescent="0.15">
      <c r="B95" s="161" t="s">
        <v>79</v>
      </c>
      <c r="C95" s="27" t="s">
        <v>59</v>
      </c>
      <c r="D95" s="170" t="s">
        <v>173</v>
      </c>
      <c r="E95" s="171"/>
      <c r="F95" s="171"/>
      <c r="G95" s="171"/>
      <c r="H95" s="171"/>
      <c r="I95" s="171"/>
      <c r="J95" s="171"/>
      <c r="K95" s="171"/>
      <c r="L95" s="171"/>
      <c r="M95" s="171"/>
      <c r="N95" s="171"/>
      <c r="O95" s="171"/>
      <c r="P95" s="171"/>
      <c r="Q95" s="171"/>
      <c r="R95" s="171"/>
      <c r="S95" s="172"/>
    </row>
    <row r="96" spans="1:19" ht="97.5" customHeight="1" x14ac:dyDescent="0.15">
      <c r="B96" s="162"/>
      <c r="C96" s="30" t="s">
        <v>61</v>
      </c>
      <c r="D96" s="152" t="s">
        <v>170</v>
      </c>
      <c r="E96" s="153"/>
      <c r="F96" s="153"/>
      <c r="G96" s="153"/>
      <c r="H96" s="153"/>
      <c r="I96" s="153"/>
      <c r="J96" s="153"/>
      <c r="K96" s="153"/>
      <c r="L96" s="153"/>
      <c r="M96" s="153"/>
      <c r="N96" s="153"/>
      <c r="O96" s="153"/>
      <c r="P96" s="153"/>
      <c r="Q96" s="153"/>
      <c r="R96" s="153"/>
      <c r="S96" s="154"/>
    </row>
    <row r="97" spans="1:19" ht="97.5" customHeight="1" x14ac:dyDescent="0.15">
      <c r="B97" s="161" t="s">
        <v>80</v>
      </c>
      <c r="C97" s="29" t="s">
        <v>58</v>
      </c>
      <c r="D97" s="164" t="s">
        <v>171</v>
      </c>
      <c r="E97" s="165"/>
      <c r="F97" s="165"/>
      <c r="G97" s="165"/>
      <c r="H97" s="165"/>
      <c r="I97" s="165"/>
      <c r="J97" s="165"/>
      <c r="K97" s="165"/>
      <c r="L97" s="165"/>
      <c r="M97" s="165"/>
      <c r="N97" s="165"/>
      <c r="O97" s="165"/>
      <c r="P97" s="165"/>
      <c r="Q97" s="165"/>
      <c r="R97" s="165"/>
      <c r="S97" s="166"/>
    </row>
    <row r="98" spans="1:19" ht="97.5" customHeight="1" x14ac:dyDescent="0.15">
      <c r="B98" s="163"/>
      <c r="C98" s="32" t="s">
        <v>76</v>
      </c>
      <c r="D98" s="155" t="s">
        <v>175</v>
      </c>
      <c r="E98" s="156"/>
      <c r="F98" s="156"/>
      <c r="G98" s="156"/>
      <c r="H98" s="156"/>
      <c r="I98" s="156"/>
      <c r="J98" s="156"/>
      <c r="K98" s="156"/>
      <c r="L98" s="156"/>
      <c r="M98" s="156"/>
      <c r="N98" s="156"/>
      <c r="O98" s="156"/>
      <c r="P98" s="156"/>
      <c r="Q98" s="156"/>
      <c r="R98" s="156"/>
      <c r="S98" s="157"/>
    </row>
    <row r="99" spans="1:19" ht="97.5" customHeight="1" x14ac:dyDescent="0.15">
      <c r="B99" s="162"/>
      <c r="C99" s="31" t="s">
        <v>77</v>
      </c>
      <c r="D99" s="167" t="s">
        <v>172</v>
      </c>
      <c r="E99" s="168"/>
      <c r="F99" s="168"/>
      <c r="G99" s="168"/>
      <c r="H99" s="168"/>
      <c r="I99" s="168"/>
      <c r="J99" s="168"/>
      <c r="K99" s="168"/>
      <c r="L99" s="168"/>
      <c r="M99" s="168"/>
      <c r="N99" s="168"/>
      <c r="O99" s="168"/>
      <c r="P99" s="168"/>
      <c r="Q99" s="168"/>
      <c r="R99" s="168"/>
      <c r="S99" s="169"/>
    </row>
    <row r="100" spans="1:19" ht="6" customHeight="1" x14ac:dyDescent="0.15"/>
    <row r="101" spans="1:19" ht="18.75" customHeight="1" x14ac:dyDescent="0.15">
      <c r="A101" s="1" t="s">
        <v>121</v>
      </c>
    </row>
    <row r="102" spans="1:19" ht="81.75" customHeight="1" x14ac:dyDescent="0.15">
      <c r="B102" s="128" t="s">
        <v>134</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C4" zoomScaleNormal="100" zoomScaleSheetLayoutView="100" workbookViewId="0">
      <selection activeCell="C16" sqref="C1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81" t="str">
        <f>'様式１　プログラムを構成する授業科目'!C2</f>
        <v>帝塚山大学</v>
      </c>
      <c r="AN2" s="181"/>
      <c r="AO2" s="181"/>
      <c r="AP2" s="181"/>
      <c r="AQ2" s="181"/>
    </row>
    <row r="3" spans="1:45" ht="18" customHeight="1" x14ac:dyDescent="0.15">
      <c r="A3" s="115" t="s">
        <v>48</v>
      </c>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2" t="s">
        <v>135</v>
      </c>
      <c r="D5" s="18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4" t="s">
        <v>45</v>
      </c>
      <c r="C9" s="199" t="s">
        <v>87</v>
      </c>
      <c r="D9" s="187" t="s">
        <v>47</v>
      </c>
      <c r="E9" s="190" t="s">
        <v>40</v>
      </c>
      <c r="F9" s="180" t="s">
        <v>86</v>
      </c>
      <c r="G9" s="180"/>
      <c r="H9" s="180"/>
      <c r="I9" s="180"/>
      <c r="J9" s="180"/>
      <c r="K9" s="180"/>
      <c r="L9" s="180" t="s">
        <v>49</v>
      </c>
      <c r="M9" s="180"/>
      <c r="N9" s="180"/>
      <c r="O9" s="180"/>
      <c r="P9" s="180"/>
      <c r="Q9" s="180"/>
      <c r="R9" s="180" t="s">
        <v>50</v>
      </c>
      <c r="S9" s="180"/>
      <c r="T9" s="180"/>
      <c r="U9" s="180"/>
      <c r="V9" s="180"/>
      <c r="W9" s="180"/>
      <c r="X9" s="180" t="s">
        <v>101</v>
      </c>
      <c r="Y9" s="180"/>
      <c r="Z9" s="180"/>
      <c r="AA9" s="180"/>
      <c r="AB9" s="180"/>
      <c r="AC9" s="180"/>
      <c r="AD9" s="180" t="s">
        <v>51</v>
      </c>
      <c r="AE9" s="180"/>
      <c r="AF9" s="180"/>
      <c r="AG9" s="180"/>
      <c r="AH9" s="180"/>
      <c r="AI9" s="180"/>
      <c r="AJ9" s="180" t="s">
        <v>52</v>
      </c>
      <c r="AK9" s="180"/>
      <c r="AL9" s="180"/>
      <c r="AM9" s="180"/>
      <c r="AN9" s="180"/>
      <c r="AO9" s="180"/>
      <c r="AP9" s="193" t="s">
        <v>35</v>
      </c>
      <c r="AQ9" s="196" t="s">
        <v>32</v>
      </c>
      <c r="AS9" s="2"/>
    </row>
    <row r="10" spans="1:45" ht="16.899999999999999" customHeight="1" x14ac:dyDescent="0.15">
      <c r="B10" s="185"/>
      <c r="C10" s="200"/>
      <c r="D10" s="188"/>
      <c r="E10" s="191"/>
      <c r="F10" s="178" t="s">
        <v>97</v>
      </c>
      <c r="G10" s="179"/>
      <c r="H10" s="179"/>
      <c r="I10" s="178" t="s">
        <v>29</v>
      </c>
      <c r="J10" s="179"/>
      <c r="K10" s="179"/>
      <c r="L10" s="178" t="s">
        <v>97</v>
      </c>
      <c r="M10" s="179"/>
      <c r="N10" s="179"/>
      <c r="O10" s="178" t="s">
        <v>29</v>
      </c>
      <c r="P10" s="179"/>
      <c r="Q10" s="179"/>
      <c r="R10" s="178" t="s">
        <v>97</v>
      </c>
      <c r="S10" s="179"/>
      <c r="T10" s="179"/>
      <c r="U10" s="178" t="s">
        <v>29</v>
      </c>
      <c r="V10" s="179"/>
      <c r="W10" s="179"/>
      <c r="X10" s="178" t="s">
        <v>97</v>
      </c>
      <c r="Y10" s="179"/>
      <c r="Z10" s="179"/>
      <c r="AA10" s="178" t="s">
        <v>29</v>
      </c>
      <c r="AB10" s="179"/>
      <c r="AC10" s="179"/>
      <c r="AD10" s="178" t="s">
        <v>97</v>
      </c>
      <c r="AE10" s="179"/>
      <c r="AF10" s="179"/>
      <c r="AG10" s="178" t="s">
        <v>29</v>
      </c>
      <c r="AH10" s="179"/>
      <c r="AI10" s="179"/>
      <c r="AJ10" s="178" t="s">
        <v>97</v>
      </c>
      <c r="AK10" s="179"/>
      <c r="AL10" s="179"/>
      <c r="AM10" s="178" t="s">
        <v>29</v>
      </c>
      <c r="AN10" s="179"/>
      <c r="AO10" s="179"/>
      <c r="AP10" s="194"/>
      <c r="AQ10" s="197"/>
      <c r="AS10" s="2"/>
    </row>
    <row r="11" spans="1:45" ht="18" customHeight="1" x14ac:dyDescent="0.15">
      <c r="B11" s="186"/>
      <c r="C11" s="201"/>
      <c r="D11" s="189"/>
      <c r="E11" s="19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5"/>
      <c r="AQ11" s="198"/>
      <c r="AS11" s="2"/>
    </row>
    <row r="12" spans="1:45" ht="18" customHeight="1" x14ac:dyDescent="0.15">
      <c r="A12" s="6"/>
      <c r="B12" s="11" t="s">
        <v>136</v>
      </c>
      <c r="C12" s="59">
        <v>473</v>
      </c>
      <c r="D12" s="60">
        <v>110</v>
      </c>
      <c r="E12" s="61">
        <v>440</v>
      </c>
      <c r="F12" s="61">
        <f>G12+H12</f>
        <v>16</v>
      </c>
      <c r="G12" s="80">
        <v>9</v>
      </c>
      <c r="H12" s="81">
        <v>7</v>
      </c>
      <c r="I12" s="82">
        <f>J12+K12</f>
        <v>12</v>
      </c>
      <c r="J12" s="80">
        <v>6</v>
      </c>
      <c r="K12" s="81">
        <v>6</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16</v>
      </c>
      <c r="AQ12" s="86">
        <f t="shared" ref="AQ12:AQ32" si="0">AP12/E12</f>
        <v>3.6363636363636362E-2</v>
      </c>
    </row>
    <row r="13" spans="1:45" ht="18" customHeight="1" x14ac:dyDescent="0.15">
      <c r="A13" s="6"/>
      <c r="B13" s="12" t="s">
        <v>137</v>
      </c>
      <c r="C13" s="64">
        <v>876</v>
      </c>
      <c r="D13" s="65">
        <v>210</v>
      </c>
      <c r="E13" s="66">
        <v>840</v>
      </c>
      <c r="F13" s="67">
        <f t="shared" ref="F13:F31" si="1">G13+H13</f>
        <v>87</v>
      </c>
      <c r="G13" s="83">
        <v>60</v>
      </c>
      <c r="H13" s="84">
        <v>27</v>
      </c>
      <c r="I13" s="85">
        <f t="shared" ref="I13:I31" si="2">J13+K13</f>
        <v>61</v>
      </c>
      <c r="J13" s="83">
        <v>38</v>
      </c>
      <c r="K13" s="84">
        <v>23</v>
      </c>
      <c r="L13" s="67">
        <f t="shared" ref="L13:L31" si="3">M13+N13</f>
        <v>0</v>
      </c>
      <c r="M13" s="68"/>
      <c r="N13" s="69"/>
      <c r="O13" s="67">
        <f t="shared" ref="O13:O31" si="4">P13+Q13</f>
        <v>0</v>
      </c>
      <c r="P13" s="68"/>
      <c r="Q13" s="69"/>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87</v>
      </c>
      <c r="AQ13" s="20">
        <f t="shared" si="0"/>
        <v>0.10357142857142858</v>
      </c>
    </row>
    <row r="14" spans="1:45" ht="18" customHeight="1" x14ac:dyDescent="0.15">
      <c r="A14" s="6"/>
      <c r="B14" s="12" t="s">
        <v>138</v>
      </c>
      <c r="C14" s="64">
        <v>406</v>
      </c>
      <c r="D14" s="65">
        <v>95</v>
      </c>
      <c r="E14" s="66">
        <v>380</v>
      </c>
      <c r="F14" s="67">
        <f t="shared" si="1"/>
        <v>8</v>
      </c>
      <c r="G14" s="83">
        <v>4</v>
      </c>
      <c r="H14" s="84">
        <v>4</v>
      </c>
      <c r="I14" s="85">
        <f t="shared" si="2"/>
        <v>7</v>
      </c>
      <c r="J14" s="83">
        <v>3</v>
      </c>
      <c r="K14" s="84">
        <v>4</v>
      </c>
      <c r="L14" s="67">
        <f t="shared" si="3"/>
        <v>0</v>
      </c>
      <c r="M14" s="68"/>
      <c r="N14" s="69"/>
      <c r="O14" s="67">
        <f t="shared" si="4"/>
        <v>0</v>
      </c>
      <c r="P14" s="68"/>
      <c r="Q14" s="69"/>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8</v>
      </c>
      <c r="AQ14" s="8">
        <f t="shared" si="0"/>
        <v>2.1052631578947368E-2</v>
      </c>
    </row>
    <row r="15" spans="1:45" ht="18" customHeight="1" x14ac:dyDescent="0.15">
      <c r="A15" s="6"/>
      <c r="B15" s="12" t="s">
        <v>139</v>
      </c>
      <c r="C15" s="64">
        <v>484</v>
      </c>
      <c r="D15" s="65">
        <v>100</v>
      </c>
      <c r="E15" s="66">
        <v>400</v>
      </c>
      <c r="F15" s="67">
        <f t="shared" si="1"/>
        <v>52</v>
      </c>
      <c r="G15" s="83">
        <v>21</v>
      </c>
      <c r="H15" s="84">
        <v>31</v>
      </c>
      <c r="I15" s="85">
        <f t="shared" si="2"/>
        <v>48</v>
      </c>
      <c r="J15" s="83">
        <v>18</v>
      </c>
      <c r="K15" s="84">
        <v>30</v>
      </c>
      <c r="L15" s="67">
        <f t="shared" si="3"/>
        <v>0</v>
      </c>
      <c r="M15" s="68"/>
      <c r="N15" s="69"/>
      <c r="O15" s="67">
        <f t="shared" si="4"/>
        <v>0</v>
      </c>
      <c r="P15" s="68"/>
      <c r="Q15" s="69"/>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52</v>
      </c>
      <c r="AQ15" s="8">
        <f t="shared" si="0"/>
        <v>0.13</v>
      </c>
    </row>
    <row r="16" spans="1:45" ht="18" customHeight="1" x14ac:dyDescent="0.15">
      <c r="A16" s="6"/>
      <c r="B16" s="12" t="s">
        <v>140</v>
      </c>
      <c r="C16" s="64">
        <v>767</v>
      </c>
      <c r="D16" s="65">
        <v>190</v>
      </c>
      <c r="E16" s="66">
        <v>760</v>
      </c>
      <c r="F16" s="67">
        <f t="shared" si="1"/>
        <v>44</v>
      </c>
      <c r="G16" s="83">
        <v>10</v>
      </c>
      <c r="H16" s="84">
        <v>34</v>
      </c>
      <c r="I16" s="85">
        <f t="shared" si="2"/>
        <v>38</v>
      </c>
      <c r="J16" s="83">
        <v>8</v>
      </c>
      <c r="K16" s="84">
        <v>30</v>
      </c>
      <c r="L16" s="67">
        <f t="shared" si="3"/>
        <v>0</v>
      </c>
      <c r="M16" s="68"/>
      <c r="N16" s="69"/>
      <c r="O16" s="67">
        <f t="shared" si="4"/>
        <v>0</v>
      </c>
      <c r="P16" s="68"/>
      <c r="Q16" s="69"/>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44</v>
      </c>
      <c r="AQ16" s="8">
        <f t="shared" si="0"/>
        <v>5.7894736842105263E-2</v>
      </c>
    </row>
    <row r="17" spans="1:43" ht="18" customHeight="1" x14ac:dyDescent="0.15">
      <c r="A17" s="6"/>
      <c r="B17" s="12" t="s">
        <v>141</v>
      </c>
      <c r="C17" s="64">
        <v>411</v>
      </c>
      <c r="D17" s="65">
        <v>100</v>
      </c>
      <c r="E17" s="66">
        <v>400</v>
      </c>
      <c r="F17" s="67">
        <f t="shared" si="1"/>
        <v>0</v>
      </c>
      <c r="G17" s="83">
        <v>0</v>
      </c>
      <c r="H17" s="84">
        <v>0</v>
      </c>
      <c r="I17" s="85">
        <f t="shared" si="2"/>
        <v>0</v>
      </c>
      <c r="J17" s="83">
        <v>0</v>
      </c>
      <c r="K17" s="84">
        <v>0</v>
      </c>
      <c r="L17" s="67">
        <f t="shared" si="3"/>
        <v>0</v>
      </c>
      <c r="M17" s="68"/>
      <c r="N17" s="69"/>
      <c r="O17" s="67">
        <f t="shared" si="4"/>
        <v>0</v>
      </c>
      <c r="P17" s="68"/>
      <c r="Q17" s="69"/>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0</v>
      </c>
      <c r="AQ17" s="8">
        <f t="shared" si="0"/>
        <v>0</v>
      </c>
    </row>
    <row r="18" spans="1:43" ht="18" customHeight="1" x14ac:dyDescent="0.15">
      <c r="A18" s="6"/>
      <c r="B18" s="12"/>
      <c r="C18" s="64"/>
      <c r="D18" s="65"/>
      <c r="E18" s="66"/>
      <c r="F18" s="67">
        <f t="shared" si="1"/>
        <v>0</v>
      </c>
      <c r="G18" s="68"/>
      <c r="H18" s="69"/>
      <c r="I18" s="67">
        <f t="shared" si="2"/>
        <v>0</v>
      </c>
      <c r="J18" s="68"/>
      <c r="K18" s="69"/>
      <c r="L18" s="67">
        <f t="shared" si="3"/>
        <v>0</v>
      </c>
      <c r="M18" s="68"/>
      <c r="N18" s="69"/>
      <c r="O18" s="67">
        <f t="shared" si="4"/>
        <v>0</v>
      </c>
      <c r="P18" s="68"/>
      <c r="Q18" s="69"/>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0</v>
      </c>
      <c r="AQ18" s="8" t="e">
        <f t="shared" si="0"/>
        <v>#DIV/0!</v>
      </c>
    </row>
    <row r="19" spans="1:43" ht="18" customHeight="1" x14ac:dyDescent="0.15">
      <c r="A19" s="6"/>
      <c r="B19" s="12"/>
      <c r="C19" s="64"/>
      <c r="D19" s="65"/>
      <c r="E19" s="66"/>
      <c r="F19" s="67">
        <f t="shared" si="1"/>
        <v>0</v>
      </c>
      <c r="G19" s="68"/>
      <c r="H19" s="69"/>
      <c r="I19" s="67">
        <f t="shared" si="2"/>
        <v>0</v>
      </c>
      <c r="J19" s="68"/>
      <c r="K19" s="69"/>
      <c r="L19" s="67">
        <f t="shared" si="3"/>
        <v>0</v>
      </c>
      <c r="M19" s="68"/>
      <c r="N19" s="69"/>
      <c r="O19" s="67">
        <f t="shared" si="4"/>
        <v>0</v>
      </c>
      <c r="P19" s="68"/>
      <c r="Q19" s="69"/>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0</v>
      </c>
      <c r="AQ19" s="8" t="e">
        <f t="shared" si="0"/>
        <v>#DIV/0!</v>
      </c>
    </row>
    <row r="20" spans="1:43" ht="18" customHeight="1" x14ac:dyDescent="0.15">
      <c r="A20" s="6"/>
      <c r="B20" s="12"/>
      <c r="C20" s="64"/>
      <c r="D20" s="65"/>
      <c r="E20" s="66"/>
      <c r="F20" s="67">
        <f t="shared" si="1"/>
        <v>0</v>
      </c>
      <c r="G20" s="68"/>
      <c r="H20" s="69"/>
      <c r="I20" s="67">
        <f t="shared" si="2"/>
        <v>0</v>
      </c>
      <c r="J20" s="68"/>
      <c r="K20" s="69"/>
      <c r="L20" s="67">
        <f t="shared" si="3"/>
        <v>0</v>
      </c>
      <c r="M20" s="68"/>
      <c r="N20" s="69"/>
      <c r="O20" s="67">
        <f t="shared" si="4"/>
        <v>0</v>
      </c>
      <c r="P20" s="68"/>
      <c r="Q20" s="69"/>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0</v>
      </c>
      <c r="AQ20" s="8" t="e">
        <f t="shared" si="0"/>
        <v>#DIV/0!</v>
      </c>
    </row>
    <row r="21" spans="1:43" ht="18" customHeight="1" x14ac:dyDescent="0.15">
      <c r="A21" s="6"/>
      <c r="B21" s="12"/>
      <c r="C21" s="64"/>
      <c r="D21" s="65"/>
      <c r="E21" s="66"/>
      <c r="F21" s="67">
        <f t="shared" si="1"/>
        <v>0</v>
      </c>
      <c r="G21" s="68"/>
      <c r="H21" s="69"/>
      <c r="I21" s="67">
        <f t="shared" si="2"/>
        <v>0</v>
      </c>
      <c r="J21" s="68"/>
      <c r="K21" s="69"/>
      <c r="L21" s="67">
        <f t="shared" si="3"/>
        <v>0</v>
      </c>
      <c r="M21" s="68"/>
      <c r="N21" s="69"/>
      <c r="O21" s="67">
        <f t="shared" si="4"/>
        <v>0</v>
      </c>
      <c r="P21" s="68"/>
      <c r="Q21" s="69"/>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0</v>
      </c>
      <c r="AQ21" s="8" t="e">
        <f t="shared" si="0"/>
        <v>#DIV/0!</v>
      </c>
    </row>
    <row r="22" spans="1:43" ht="18" customHeight="1" x14ac:dyDescent="0.15">
      <c r="A22" s="6"/>
      <c r="B22" s="12"/>
      <c r="C22" s="64"/>
      <c r="D22" s="65"/>
      <c r="E22" s="66"/>
      <c r="F22" s="67">
        <f t="shared" si="1"/>
        <v>0</v>
      </c>
      <c r="G22" s="68"/>
      <c r="H22" s="69"/>
      <c r="I22" s="67">
        <f t="shared" si="2"/>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 t="e">
        <f t="shared" si="0"/>
        <v>#DIV/0!</v>
      </c>
    </row>
    <row r="23" spans="1:43" ht="18" customHeight="1" x14ac:dyDescent="0.15">
      <c r="A23" s="6"/>
      <c r="B23" s="12"/>
      <c r="C23" s="64"/>
      <c r="D23" s="65"/>
      <c r="E23" s="66"/>
      <c r="F23" s="67">
        <f t="shared" si="1"/>
        <v>0</v>
      </c>
      <c r="G23" s="68"/>
      <c r="H23" s="69"/>
      <c r="I23" s="67">
        <f t="shared" si="2"/>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 t="e">
        <f t="shared" si="0"/>
        <v>#DIV/0!</v>
      </c>
    </row>
    <row r="24" spans="1:43" ht="18" customHeight="1" x14ac:dyDescent="0.15">
      <c r="A24" s="6"/>
      <c r="B24" s="12"/>
      <c r="C24" s="64"/>
      <c r="D24" s="65"/>
      <c r="E24" s="66"/>
      <c r="F24" s="67">
        <f t="shared" si="1"/>
        <v>0</v>
      </c>
      <c r="G24" s="68"/>
      <c r="H24" s="69"/>
      <c r="I24" s="67">
        <f t="shared" si="2"/>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 t="e">
        <f t="shared" si="0"/>
        <v>#DIV/0!</v>
      </c>
    </row>
    <row r="25" spans="1:43" ht="18" customHeight="1" x14ac:dyDescent="0.15">
      <c r="A25" s="6"/>
      <c r="B25" s="12"/>
      <c r="C25" s="64"/>
      <c r="D25" s="65"/>
      <c r="E25" s="66"/>
      <c r="F25" s="67">
        <f t="shared" si="1"/>
        <v>0</v>
      </c>
      <c r="G25" s="68"/>
      <c r="H25" s="69"/>
      <c r="I25" s="67">
        <f t="shared" si="2"/>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 t="e">
        <f t="shared" si="0"/>
        <v>#DIV/0!</v>
      </c>
    </row>
    <row r="26" spans="1:43" ht="18" customHeight="1" x14ac:dyDescent="0.15">
      <c r="A26" s="6"/>
      <c r="B26" s="12"/>
      <c r="C26" s="64"/>
      <c r="D26" s="65"/>
      <c r="E26" s="66"/>
      <c r="F26" s="67">
        <f t="shared" si="1"/>
        <v>0</v>
      </c>
      <c r="G26" s="68"/>
      <c r="H26" s="69"/>
      <c r="I26" s="67">
        <f t="shared" si="2"/>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 t="e">
        <f t="shared" si="0"/>
        <v>#DIV/0!</v>
      </c>
    </row>
    <row r="27" spans="1:43" ht="18" customHeight="1" x14ac:dyDescent="0.15">
      <c r="A27" s="6"/>
      <c r="B27" s="12"/>
      <c r="C27" s="64"/>
      <c r="D27" s="65"/>
      <c r="E27" s="66"/>
      <c r="F27" s="67">
        <f t="shared" si="1"/>
        <v>0</v>
      </c>
      <c r="G27" s="68"/>
      <c r="H27" s="69"/>
      <c r="I27" s="67">
        <f t="shared" si="2"/>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 t="e">
        <f t="shared" si="0"/>
        <v>#DIV/0!</v>
      </c>
    </row>
    <row r="28" spans="1:43" ht="18" customHeight="1" x14ac:dyDescent="0.15">
      <c r="A28" s="6"/>
      <c r="B28" s="12"/>
      <c r="C28" s="64"/>
      <c r="D28" s="65"/>
      <c r="E28" s="66"/>
      <c r="F28" s="67">
        <f t="shared" si="1"/>
        <v>0</v>
      </c>
      <c r="G28" s="68"/>
      <c r="H28" s="69"/>
      <c r="I28" s="67">
        <f t="shared" si="2"/>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 t="e">
        <f t="shared" si="0"/>
        <v>#DIV/0!</v>
      </c>
    </row>
    <row r="29" spans="1:43" ht="18" customHeight="1" x14ac:dyDescent="0.15">
      <c r="A29" s="6"/>
      <c r="B29" s="12"/>
      <c r="C29" s="64"/>
      <c r="D29" s="70"/>
      <c r="E29" s="66"/>
      <c r="F29" s="67">
        <f t="shared" si="1"/>
        <v>0</v>
      </c>
      <c r="G29" s="68"/>
      <c r="H29" s="69"/>
      <c r="I29" s="67">
        <f t="shared" si="2"/>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 t="e">
        <f t="shared" si="0"/>
        <v>#DIV/0!</v>
      </c>
    </row>
    <row r="30" spans="1:43" ht="18" customHeight="1" x14ac:dyDescent="0.15">
      <c r="A30" s="6"/>
      <c r="B30" s="12"/>
      <c r="C30" s="64"/>
      <c r="D30" s="70"/>
      <c r="E30" s="66"/>
      <c r="F30" s="67">
        <f t="shared" si="1"/>
        <v>0</v>
      </c>
      <c r="G30" s="68"/>
      <c r="H30" s="69"/>
      <c r="I30" s="67">
        <f t="shared" si="2"/>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 t="e">
        <f t="shared" si="0"/>
        <v>#DIV/0!</v>
      </c>
    </row>
    <row r="31" spans="1:43" ht="18" customHeight="1" thickBot="1" x14ac:dyDescent="0.2">
      <c r="A31" s="6"/>
      <c r="B31" s="13"/>
      <c r="C31" s="59"/>
      <c r="D31" s="71"/>
      <c r="E31" s="61"/>
      <c r="F31" s="61">
        <f t="shared" si="1"/>
        <v>0</v>
      </c>
      <c r="G31" s="72"/>
      <c r="H31" s="73"/>
      <c r="I31" s="61">
        <f t="shared" si="2"/>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7" t="e">
        <f t="shared" si="0"/>
        <v>#DIV/0!</v>
      </c>
    </row>
    <row r="32" spans="1:43" ht="18" customHeight="1" thickTop="1" x14ac:dyDescent="0.15">
      <c r="B32" s="14" t="s">
        <v>33</v>
      </c>
      <c r="C32" s="74">
        <f t="shared" ref="C32" si="14">SUM(C12:C31)</f>
        <v>3417</v>
      </c>
      <c r="D32" s="75">
        <f t="shared" ref="D32:AP32" si="15">SUM(D12:D31)</f>
        <v>805</v>
      </c>
      <c r="E32" s="76">
        <f t="shared" si="15"/>
        <v>3220</v>
      </c>
      <c r="F32" s="76">
        <f t="shared" si="15"/>
        <v>207</v>
      </c>
      <c r="G32" s="77">
        <f t="shared" si="15"/>
        <v>104</v>
      </c>
      <c r="H32" s="78">
        <f t="shared" si="15"/>
        <v>103</v>
      </c>
      <c r="I32" s="76">
        <f t="shared" ref="I32:N32" si="16">SUM(I12:I31)</f>
        <v>166</v>
      </c>
      <c r="J32" s="77">
        <f t="shared" si="16"/>
        <v>73</v>
      </c>
      <c r="K32" s="78">
        <f t="shared" si="16"/>
        <v>93</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207</v>
      </c>
      <c r="AQ32" s="9">
        <f t="shared" si="0"/>
        <v>6.4285714285714279E-2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H7" sqref="H7"/>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4" t="s">
        <v>106</v>
      </c>
    </row>
    <row r="2" spans="1:9" ht="18.75" customHeight="1" x14ac:dyDescent="0.15">
      <c r="G2" s="34" t="s">
        <v>109</v>
      </c>
      <c r="H2" s="104" t="str">
        <f>'様式１　プログラムを構成する授業科目'!C2</f>
        <v>帝塚山大学</v>
      </c>
      <c r="I2" s="106"/>
    </row>
    <row r="3" spans="1:9" ht="18.75" customHeight="1" x14ac:dyDescent="0.15">
      <c r="G3" s="34"/>
      <c r="H3" s="10"/>
      <c r="I3" s="10"/>
    </row>
    <row r="4" spans="1:9" ht="18.600000000000001" customHeight="1" x14ac:dyDescent="0.15">
      <c r="A4" s="115" t="s">
        <v>36</v>
      </c>
      <c r="B4" s="115"/>
      <c r="C4" s="115"/>
      <c r="D4" s="115"/>
      <c r="E4" s="115"/>
      <c r="F4" s="115"/>
      <c r="G4" s="115"/>
      <c r="H4" s="115"/>
      <c r="I4" s="115"/>
    </row>
    <row r="5" spans="1:9" ht="13.15" customHeight="1" x14ac:dyDescent="0.15">
      <c r="B5" s="3"/>
      <c r="C5" s="3"/>
      <c r="D5" s="3"/>
      <c r="E5" s="3"/>
      <c r="F5" s="3"/>
      <c r="G5" s="3"/>
      <c r="H5" s="3"/>
      <c r="I5" s="3"/>
    </row>
    <row r="6" spans="1:9" ht="18" customHeight="1" x14ac:dyDescent="0.15">
      <c r="A6" s="1" t="s">
        <v>0</v>
      </c>
      <c r="B6" s="10" t="s">
        <v>91</v>
      </c>
      <c r="C6" s="265" t="s">
        <v>92</v>
      </c>
      <c r="D6" s="265"/>
      <c r="E6" s="33">
        <v>103</v>
      </c>
      <c r="F6" s="3" t="s">
        <v>1</v>
      </c>
      <c r="G6" s="3" t="s">
        <v>2</v>
      </c>
      <c r="H6" s="33">
        <v>292</v>
      </c>
      <c r="I6" s="10" t="s">
        <v>1</v>
      </c>
    </row>
    <row r="7" spans="1:9" ht="12" customHeight="1" x14ac:dyDescent="0.15">
      <c r="C7" s="2"/>
      <c r="D7" s="2"/>
      <c r="E7" s="2"/>
      <c r="F7" s="2"/>
      <c r="G7" s="2"/>
      <c r="H7" s="2"/>
      <c r="I7" s="41"/>
    </row>
    <row r="8" spans="1:9" ht="18" customHeight="1" x14ac:dyDescent="0.15">
      <c r="A8" s="1" t="s">
        <v>3</v>
      </c>
      <c r="B8" s="10" t="s">
        <v>93</v>
      </c>
      <c r="E8" s="3"/>
      <c r="F8" s="3"/>
      <c r="G8" s="3"/>
      <c r="H8" s="33">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258" t="s">
        <v>142</v>
      </c>
      <c r="D11" s="261"/>
      <c r="E11" s="262"/>
      <c r="F11" s="41"/>
      <c r="G11" s="34" t="s">
        <v>10</v>
      </c>
      <c r="H11" s="263" t="s">
        <v>143</v>
      </c>
      <c r="I11" s="264"/>
    </row>
    <row r="12" spans="1:9" ht="10.15" customHeight="1" x14ac:dyDescent="0.15">
      <c r="B12" s="34"/>
      <c r="C12" s="10"/>
      <c r="D12" s="41"/>
      <c r="E12" s="41"/>
      <c r="F12" s="41"/>
      <c r="G12" s="34"/>
      <c r="H12" s="10"/>
      <c r="I12" s="41"/>
    </row>
    <row r="13" spans="1:9" ht="18" customHeight="1" x14ac:dyDescent="0.15">
      <c r="A13" s="1" t="s">
        <v>7</v>
      </c>
      <c r="B13" s="10" t="s">
        <v>88</v>
      </c>
      <c r="C13" s="3"/>
      <c r="D13" s="3"/>
      <c r="E13" s="3"/>
      <c r="F13" s="3"/>
      <c r="G13" s="3"/>
      <c r="H13" s="3"/>
      <c r="I13" s="3"/>
    </row>
    <row r="14" spans="1:9" ht="18" customHeight="1" x14ac:dyDescent="0.15">
      <c r="B14" s="258" t="s">
        <v>146</v>
      </c>
      <c r="C14" s="259"/>
      <c r="D14" s="259"/>
      <c r="E14" s="259"/>
      <c r="F14" s="259"/>
      <c r="G14" s="259"/>
      <c r="H14" s="259"/>
      <c r="I14" s="260"/>
    </row>
    <row r="15" spans="1:9" ht="9" customHeight="1" x14ac:dyDescent="0.15">
      <c r="B15" s="3"/>
      <c r="C15" s="3"/>
      <c r="D15" s="3"/>
      <c r="E15" s="3"/>
      <c r="F15" s="3"/>
      <c r="G15" s="3"/>
      <c r="H15" s="3"/>
      <c r="I15" s="3"/>
    </row>
    <row r="16" spans="1:9" ht="18" customHeight="1" x14ac:dyDescent="0.15">
      <c r="B16" s="34" t="s">
        <v>43</v>
      </c>
      <c r="C16" s="258" t="s">
        <v>142</v>
      </c>
      <c r="D16" s="261"/>
      <c r="E16" s="262"/>
      <c r="F16" s="41"/>
      <c r="G16" s="34" t="s">
        <v>10</v>
      </c>
      <c r="H16" s="263" t="s">
        <v>145</v>
      </c>
      <c r="I16" s="264"/>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41" t="s">
        <v>144</v>
      </c>
      <c r="C19" s="242"/>
      <c r="D19" s="242"/>
      <c r="E19" s="242"/>
      <c r="F19" s="242"/>
      <c r="G19" s="242"/>
      <c r="H19" s="242"/>
      <c r="I19" s="24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31" t="s">
        <v>165</v>
      </c>
      <c r="C22" s="232"/>
      <c r="D22" s="232"/>
      <c r="E22" s="232"/>
      <c r="F22" s="232"/>
      <c r="G22" s="232"/>
      <c r="H22" s="232"/>
      <c r="I22" s="233"/>
    </row>
    <row r="23" spans="1:9" ht="18.75" customHeight="1" x14ac:dyDescent="0.15">
      <c r="A23" s="15"/>
      <c r="B23" s="244"/>
      <c r="C23" s="245"/>
      <c r="D23" s="245"/>
      <c r="E23" s="245"/>
      <c r="F23" s="245"/>
      <c r="G23" s="245"/>
      <c r="H23" s="245"/>
      <c r="I23" s="236"/>
    </row>
    <row r="24" spans="1:9" ht="18.75" customHeight="1" x14ac:dyDescent="0.15">
      <c r="A24" s="15"/>
      <c r="B24" s="244"/>
      <c r="C24" s="245"/>
      <c r="D24" s="245"/>
      <c r="E24" s="245"/>
      <c r="F24" s="245"/>
      <c r="G24" s="245"/>
      <c r="H24" s="245"/>
      <c r="I24" s="236"/>
    </row>
    <row r="25" spans="1:9" ht="18.75" customHeight="1" x14ac:dyDescent="0.15">
      <c r="A25" s="15"/>
      <c r="B25" s="244"/>
      <c r="C25" s="245"/>
      <c r="D25" s="245"/>
      <c r="E25" s="245"/>
      <c r="F25" s="245"/>
      <c r="G25" s="245"/>
      <c r="H25" s="245"/>
      <c r="I25" s="236"/>
    </row>
    <row r="26" spans="1:9" ht="18.75" customHeight="1" x14ac:dyDescent="0.15">
      <c r="A26" s="15"/>
      <c r="B26" s="244"/>
      <c r="C26" s="245"/>
      <c r="D26" s="245"/>
      <c r="E26" s="245"/>
      <c r="F26" s="245"/>
      <c r="G26" s="245"/>
      <c r="H26" s="245"/>
      <c r="I26" s="236"/>
    </row>
    <row r="27" spans="1:9" ht="18.75" customHeight="1" x14ac:dyDescent="0.15">
      <c r="A27" s="15"/>
      <c r="B27" s="244"/>
      <c r="C27" s="245"/>
      <c r="D27" s="245"/>
      <c r="E27" s="245"/>
      <c r="F27" s="245"/>
      <c r="G27" s="245"/>
      <c r="H27" s="245"/>
      <c r="I27" s="236"/>
    </row>
    <row r="28" spans="1:9" ht="18.75" customHeight="1" x14ac:dyDescent="0.15">
      <c r="A28" s="15"/>
      <c r="B28" s="244"/>
      <c r="C28" s="245"/>
      <c r="D28" s="245"/>
      <c r="E28" s="245"/>
      <c r="F28" s="245"/>
      <c r="G28" s="245"/>
      <c r="H28" s="245"/>
      <c r="I28" s="236"/>
    </row>
    <row r="29" spans="1:9" ht="18.75" customHeight="1" x14ac:dyDescent="0.15">
      <c r="A29" s="15"/>
      <c r="B29" s="244"/>
      <c r="C29" s="245"/>
      <c r="D29" s="245"/>
      <c r="E29" s="245"/>
      <c r="F29" s="245"/>
      <c r="G29" s="245"/>
      <c r="H29" s="245"/>
      <c r="I29" s="236"/>
    </row>
    <row r="30" spans="1:9" ht="18.75" customHeight="1" x14ac:dyDescent="0.15">
      <c r="A30" s="15"/>
      <c r="B30" s="234"/>
      <c r="C30" s="235"/>
      <c r="D30" s="235"/>
      <c r="E30" s="235"/>
      <c r="F30" s="235"/>
      <c r="G30" s="235"/>
      <c r="H30" s="235"/>
      <c r="I30" s="236"/>
    </row>
    <row r="31" spans="1:9" ht="18.75" customHeight="1" x14ac:dyDescent="0.15">
      <c r="A31" s="15"/>
      <c r="B31" s="234"/>
      <c r="C31" s="235"/>
      <c r="D31" s="235"/>
      <c r="E31" s="235"/>
      <c r="F31" s="235"/>
      <c r="G31" s="235"/>
      <c r="H31" s="235"/>
      <c r="I31" s="236"/>
    </row>
    <row r="32" spans="1:9" ht="18.75" customHeight="1" x14ac:dyDescent="0.15">
      <c r="A32" s="15"/>
      <c r="B32" s="237"/>
      <c r="C32" s="238"/>
      <c r="D32" s="238"/>
      <c r="E32" s="238"/>
      <c r="F32" s="238"/>
      <c r="G32" s="238"/>
      <c r="H32" s="238"/>
      <c r="I32" s="239"/>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46" t="s">
        <v>147</v>
      </c>
      <c r="C35" s="247"/>
      <c r="D35" s="247"/>
      <c r="E35" s="247"/>
      <c r="F35" s="247"/>
      <c r="G35" s="247"/>
      <c r="H35" s="247"/>
      <c r="I35" s="248"/>
    </row>
    <row r="36" spans="1:9" ht="18.75" customHeight="1" x14ac:dyDescent="0.15">
      <c r="A36" s="15"/>
      <c r="B36" s="249"/>
      <c r="C36" s="250"/>
      <c r="D36" s="250"/>
      <c r="E36" s="250"/>
      <c r="F36" s="250"/>
      <c r="G36" s="250"/>
      <c r="H36" s="250"/>
      <c r="I36" s="251"/>
    </row>
    <row r="37" spans="1:9" ht="18.75" customHeight="1" x14ac:dyDescent="0.15">
      <c r="A37" s="15"/>
      <c r="B37" s="249"/>
      <c r="C37" s="250"/>
      <c r="D37" s="250"/>
      <c r="E37" s="250"/>
      <c r="F37" s="250"/>
      <c r="G37" s="250"/>
      <c r="H37" s="250"/>
      <c r="I37" s="251"/>
    </row>
    <row r="38" spans="1:9" ht="18.75" customHeight="1" x14ac:dyDescent="0.15">
      <c r="A38" s="15"/>
      <c r="B38" s="249"/>
      <c r="C38" s="250"/>
      <c r="D38" s="250"/>
      <c r="E38" s="250"/>
      <c r="F38" s="250"/>
      <c r="G38" s="250"/>
      <c r="H38" s="250"/>
      <c r="I38" s="251"/>
    </row>
    <row r="39" spans="1:9" ht="18.75" customHeight="1" x14ac:dyDescent="0.15">
      <c r="A39" s="15"/>
      <c r="B39" s="249"/>
      <c r="C39" s="250"/>
      <c r="D39" s="250"/>
      <c r="E39" s="250"/>
      <c r="F39" s="250"/>
      <c r="G39" s="250"/>
      <c r="H39" s="250"/>
      <c r="I39" s="251"/>
    </row>
    <row r="40" spans="1:9" ht="18.75" customHeight="1" x14ac:dyDescent="0.15">
      <c r="A40" s="15"/>
      <c r="B40" s="249"/>
      <c r="C40" s="250"/>
      <c r="D40" s="250"/>
      <c r="E40" s="250"/>
      <c r="F40" s="250"/>
      <c r="G40" s="250"/>
      <c r="H40" s="250"/>
      <c r="I40" s="251"/>
    </row>
    <row r="41" spans="1:9" ht="18.75" customHeight="1" x14ac:dyDescent="0.15">
      <c r="A41" s="15"/>
      <c r="B41" s="249"/>
      <c r="C41" s="250"/>
      <c r="D41" s="250"/>
      <c r="E41" s="250"/>
      <c r="F41" s="250"/>
      <c r="G41" s="250"/>
      <c r="H41" s="250"/>
      <c r="I41" s="251"/>
    </row>
    <row r="42" spans="1:9" ht="18.75" customHeight="1" x14ac:dyDescent="0.15">
      <c r="A42" s="15"/>
      <c r="B42" s="249"/>
      <c r="C42" s="250"/>
      <c r="D42" s="250"/>
      <c r="E42" s="250"/>
      <c r="F42" s="250"/>
      <c r="G42" s="250"/>
      <c r="H42" s="250"/>
      <c r="I42" s="251"/>
    </row>
    <row r="43" spans="1:9" ht="18.75" customHeight="1" x14ac:dyDescent="0.15">
      <c r="A43" s="15"/>
      <c r="B43" s="249"/>
      <c r="C43" s="250"/>
      <c r="D43" s="250"/>
      <c r="E43" s="250"/>
      <c r="F43" s="250"/>
      <c r="G43" s="250"/>
      <c r="H43" s="250"/>
      <c r="I43" s="251"/>
    </row>
    <row r="44" spans="1:9" ht="18.75" customHeight="1" x14ac:dyDescent="0.15">
      <c r="A44" s="15"/>
      <c r="B44" s="249"/>
      <c r="C44" s="250"/>
      <c r="D44" s="250"/>
      <c r="E44" s="250"/>
      <c r="F44" s="250"/>
      <c r="G44" s="250"/>
      <c r="H44" s="250"/>
      <c r="I44" s="251"/>
    </row>
    <row r="45" spans="1:9" ht="18.75" customHeight="1" x14ac:dyDescent="0.15">
      <c r="A45" s="15"/>
      <c r="B45" s="249"/>
      <c r="C45" s="250"/>
      <c r="D45" s="250"/>
      <c r="E45" s="250"/>
      <c r="F45" s="250"/>
      <c r="G45" s="250"/>
      <c r="H45" s="250"/>
      <c r="I45" s="251"/>
    </row>
    <row r="46" spans="1:9" ht="18.75" customHeight="1" x14ac:dyDescent="0.15">
      <c r="A46" s="15"/>
      <c r="B46" s="252"/>
      <c r="C46" s="253"/>
      <c r="D46" s="253"/>
      <c r="E46" s="253"/>
      <c r="F46" s="253"/>
      <c r="G46" s="253"/>
      <c r="H46" s="253"/>
      <c r="I46" s="254"/>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20">
        <f>'様式２ 履修者等数の実績'!AQ32</f>
        <v>6.4285714285714279E-2</v>
      </c>
      <c r="D49" s="220"/>
      <c r="E49" s="87" t="s">
        <v>66</v>
      </c>
      <c r="F49" s="220">
        <v>0.1</v>
      </c>
      <c r="G49" s="220"/>
      <c r="H49" s="87" t="s">
        <v>67</v>
      </c>
      <c r="I49" s="88">
        <v>0.25</v>
      </c>
      <c r="J49" s="1"/>
      <c r="M49" s="1"/>
      <c r="N49" s="43"/>
    </row>
    <row r="50" spans="1:15" s="3" customFormat="1" ht="18.75" customHeight="1" x14ac:dyDescent="0.15">
      <c r="B50" s="44" t="s">
        <v>68</v>
      </c>
      <c r="C50" s="221">
        <v>0.4</v>
      </c>
      <c r="D50" s="221"/>
      <c r="E50" s="89" t="s">
        <v>90</v>
      </c>
      <c r="F50" s="221">
        <v>0.5</v>
      </c>
      <c r="G50" s="221"/>
      <c r="H50" s="89" t="s">
        <v>69</v>
      </c>
      <c r="I50" s="90">
        <f>'様式２ 履修者等数の実績'!E32</f>
        <v>3220</v>
      </c>
      <c r="J50" s="1"/>
      <c r="M50" s="1"/>
      <c r="N50" s="43"/>
    </row>
    <row r="51" spans="1:15" ht="18.75" customHeight="1" x14ac:dyDescent="0.15">
      <c r="A51" s="1"/>
      <c r="B51" s="255" t="s">
        <v>70</v>
      </c>
      <c r="C51" s="256"/>
      <c r="D51" s="256"/>
      <c r="E51" s="256"/>
      <c r="F51" s="256"/>
      <c r="G51" s="256"/>
      <c r="H51" s="256"/>
      <c r="I51" s="257"/>
      <c r="N51" s="43"/>
      <c r="O51" s="3"/>
    </row>
    <row r="52" spans="1:15" ht="18.75" customHeight="1" x14ac:dyDescent="0.15">
      <c r="A52" s="1"/>
      <c r="B52" s="222" t="s">
        <v>164</v>
      </c>
      <c r="C52" s="223"/>
      <c r="D52" s="223"/>
      <c r="E52" s="223"/>
      <c r="F52" s="223"/>
      <c r="G52" s="223"/>
      <c r="H52" s="223"/>
      <c r="I52" s="224"/>
      <c r="N52" s="43"/>
      <c r="O52" s="3"/>
    </row>
    <row r="53" spans="1:15" ht="18.75" customHeight="1" x14ac:dyDescent="0.15">
      <c r="A53" s="1"/>
      <c r="B53" s="225"/>
      <c r="C53" s="226"/>
      <c r="D53" s="226"/>
      <c r="E53" s="226"/>
      <c r="F53" s="226"/>
      <c r="G53" s="226"/>
      <c r="H53" s="226"/>
      <c r="I53" s="227"/>
      <c r="N53" s="43"/>
      <c r="O53" s="3"/>
    </row>
    <row r="54" spans="1:15" ht="18.75" customHeight="1" x14ac:dyDescent="0.15">
      <c r="A54" s="1"/>
      <c r="B54" s="225"/>
      <c r="C54" s="226"/>
      <c r="D54" s="226"/>
      <c r="E54" s="226"/>
      <c r="F54" s="226"/>
      <c r="G54" s="226"/>
      <c r="H54" s="226"/>
      <c r="I54" s="227"/>
    </row>
    <row r="55" spans="1:15" ht="18.75" customHeight="1" x14ac:dyDescent="0.15">
      <c r="A55" s="1"/>
      <c r="B55" s="225"/>
      <c r="C55" s="226"/>
      <c r="D55" s="226"/>
      <c r="E55" s="226"/>
      <c r="F55" s="226"/>
      <c r="G55" s="226"/>
      <c r="H55" s="226"/>
      <c r="I55" s="227"/>
    </row>
    <row r="56" spans="1:15" ht="18.75" customHeight="1" x14ac:dyDescent="0.15">
      <c r="A56" s="1"/>
      <c r="B56" s="225"/>
      <c r="C56" s="226"/>
      <c r="D56" s="226"/>
      <c r="E56" s="226"/>
      <c r="F56" s="226"/>
      <c r="G56" s="226"/>
      <c r="H56" s="226"/>
      <c r="I56" s="227"/>
    </row>
    <row r="57" spans="1:15" ht="18.75" customHeight="1" x14ac:dyDescent="0.15">
      <c r="A57" s="1"/>
      <c r="B57" s="225"/>
      <c r="C57" s="226"/>
      <c r="D57" s="226"/>
      <c r="E57" s="226"/>
      <c r="F57" s="226"/>
      <c r="G57" s="226"/>
      <c r="H57" s="226"/>
      <c r="I57" s="227"/>
    </row>
    <row r="58" spans="1:15" ht="18.75" customHeight="1" x14ac:dyDescent="0.15">
      <c r="A58" s="1"/>
      <c r="B58" s="225"/>
      <c r="C58" s="226"/>
      <c r="D58" s="226"/>
      <c r="E58" s="226"/>
      <c r="F58" s="226"/>
      <c r="G58" s="226"/>
      <c r="H58" s="226"/>
      <c r="I58" s="227"/>
    </row>
    <row r="59" spans="1:15" ht="18.75" customHeight="1" x14ac:dyDescent="0.15">
      <c r="A59" s="1"/>
      <c r="B59" s="225"/>
      <c r="C59" s="226"/>
      <c r="D59" s="226"/>
      <c r="E59" s="226"/>
      <c r="F59" s="226"/>
      <c r="G59" s="226"/>
      <c r="H59" s="226"/>
      <c r="I59" s="227"/>
    </row>
    <row r="60" spans="1:15" ht="18.75" customHeight="1" x14ac:dyDescent="0.15">
      <c r="A60" s="1"/>
      <c r="B60" s="225"/>
      <c r="C60" s="226"/>
      <c r="D60" s="226"/>
      <c r="E60" s="226"/>
      <c r="F60" s="226"/>
      <c r="G60" s="226"/>
      <c r="H60" s="226"/>
      <c r="I60" s="227"/>
    </row>
    <row r="61" spans="1:15" ht="18.75" customHeight="1" x14ac:dyDescent="0.15">
      <c r="A61" s="1"/>
      <c r="B61" s="225"/>
      <c r="C61" s="226"/>
      <c r="D61" s="226"/>
      <c r="E61" s="226"/>
      <c r="F61" s="226"/>
      <c r="G61" s="226"/>
      <c r="H61" s="226"/>
      <c r="I61" s="227"/>
    </row>
    <row r="62" spans="1:15" ht="18.75" customHeight="1" x14ac:dyDescent="0.15">
      <c r="A62" s="1"/>
      <c r="B62" s="225"/>
      <c r="C62" s="226"/>
      <c r="D62" s="226"/>
      <c r="E62" s="226"/>
      <c r="F62" s="226"/>
      <c r="G62" s="226"/>
      <c r="H62" s="226"/>
      <c r="I62" s="227"/>
    </row>
    <row r="63" spans="1:15" ht="18.75" customHeight="1" x14ac:dyDescent="0.15">
      <c r="A63" s="1"/>
      <c r="B63" s="228"/>
      <c r="C63" s="229"/>
      <c r="D63" s="229"/>
      <c r="E63" s="229"/>
      <c r="F63" s="229"/>
      <c r="G63" s="229"/>
      <c r="H63" s="229"/>
      <c r="I63" s="230"/>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02" t="s">
        <v>155</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11" t="s">
        <v>160</v>
      </c>
      <c r="C80" s="212"/>
      <c r="D80" s="212"/>
      <c r="E80" s="212"/>
      <c r="F80" s="212"/>
      <c r="G80" s="212"/>
      <c r="H80" s="212"/>
      <c r="I80" s="213"/>
    </row>
    <row r="81" spans="1:9" ht="18.75" customHeight="1" x14ac:dyDescent="0.15">
      <c r="A81" s="1"/>
      <c r="B81" s="214"/>
      <c r="C81" s="215"/>
      <c r="D81" s="215"/>
      <c r="E81" s="215"/>
      <c r="F81" s="215"/>
      <c r="G81" s="215"/>
      <c r="H81" s="215"/>
      <c r="I81" s="216"/>
    </row>
    <row r="82" spans="1:9" ht="18.75" customHeight="1" x14ac:dyDescent="0.15">
      <c r="A82" s="1"/>
      <c r="B82" s="214"/>
      <c r="C82" s="215"/>
      <c r="D82" s="215"/>
      <c r="E82" s="215"/>
      <c r="F82" s="215"/>
      <c r="G82" s="215"/>
      <c r="H82" s="215"/>
      <c r="I82" s="216"/>
    </row>
    <row r="83" spans="1:9" ht="18.75" customHeight="1" x14ac:dyDescent="0.15">
      <c r="A83" s="1"/>
      <c r="B83" s="214"/>
      <c r="C83" s="215"/>
      <c r="D83" s="215"/>
      <c r="E83" s="215"/>
      <c r="F83" s="215"/>
      <c r="G83" s="215"/>
      <c r="H83" s="215"/>
      <c r="I83" s="216"/>
    </row>
    <row r="84" spans="1:9" ht="18.75" customHeight="1" x14ac:dyDescent="0.15">
      <c r="A84" s="1"/>
      <c r="B84" s="214"/>
      <c r="C84" s="215"/>
      <c r="D84" s="215"/>
      <c r="E84" s="215"/>
      <c r="F84" s="215"/>
      <c r="G84" s="215"/>
      <c r="H84" s="215"/>
      <c r="I84" s="216"/>
    </row>
    <row r="85" spans="1:9" ht="18.75" customHeight="1" x14ac:dyDescent="0.15">
      <c r="A85" s="1"/>
      <c r="B85" s="214"/>
      <c r="C85" s="215"/>
      <c r="D85" s="215"/>
      <c r="E85" s="215"/>
      <c r="F85" s="215"/>
      <c r="G85" s="215"/>
      <c r="H85" s="215"/>
      <c r="I85" s="216"/>
    </row>
    <row r="86" spans="1:9" ht="18.75" customHeight="1" x14ac:dyDescent="0.15">
      <c r="A86" s="1"/>
      <c r="B86" s="214"/>
      <c r="C86" s="215"/>
      <c r="D86" s="215"/>
      <c r="E86" s="215"/>
      <c r="F86" s="215"/>
      <c r="G86" s="215"/>
      <c r="H86" s="215"/>
      <c r="I86" s="216"/>
    </row>
    <row r="87" spans="1:9" ht="18.75" customHeight="1" x14ac:dyDescent="0.15">
      <c r="A87" s="1"/>
      <c r="B87" s="214"/>
      <c r="C87" s="215"/>
      <c r="D87" s="215"/>
      <c r="E87" s="215"/>
      <c r="F87" s="215"/>
      <c r="G87" s="215"/>
      <c r="H87" s="215"/>
      <c r="I87" s="216"/>
    </row>
    <row r="88" spans="1:9" ht="18.75" customHeight="1" x14ac:dyDescent="0.15">
      <c r="A88" s="1"/>
      <c r="B88" s="214"/>
      <c r="C88" s="215"/>
      <c r="D88" s="215"/>
      <c r="E88" s="215"/>
      <c r="F88" s="215"/>
      <c r="G88" s="215"/>
      <c r="H88" s="215"/>
      <c r="I88" s="216"/>
    </row>
    <row r="89" spans="1:9" ht="18.75" customHeight="1" x14ac:dyDescent="0.15">
      <c r="A89" s="1"/>
      <c r="B89" s="214"/>
      <c r="C89" s="215"/>
      <c r="D89" s="215"/>
      <c r="E89" s="215"/>
      <c r="F89" s="215"/>
      <c r="G89" s="215"/>
      <c r="H89" s="215"/>
      <c r="I89" s="216"/>
    </row>
    <row r="90" spans="1:9" ht="18.75" customHeight="1" x14ac:dyDescent="0.15">
      <c r="A90" s="4"/>
      <c r="B90" s="214"/>
      <c r="C90" s="215"/>
      <c r="D90" s="215"/>
      <c r="E90" s="215"/>
      <c r="F90" s="215"/>
      <c r="G90" s="215"/>
      <c r="H90" s="215"/>
      <c r="I90" s="216"/>
    </row>
    <row r="91" spans="1:9" ht="18.75" customHeight="1" x14ac:dyDescent="0.15">
      <c r="A91" s="4"/>
      <c r="B91" s="217"/>
      <c r="C91" s="218"/>
      <c r="D91" s="218"/>
      <c r="E91" s="218"/>
      <c r="F91" s="218"/>
      <c r="G91" s="218"/>
      <c r="H91" s="218"/>
      <c r="I91" s="219"/>
    </row>
    <row r="92" spans="1:9" ht="7.5" customHeight="1" x14ac:dyDescent="0.15">
      <c r="A92" s="4"/>
      <c r="B92" s="91"/>
      <c r="C92" s="4"/>
      <c r="D92" s="4"/>
      <c r="E92" s="4"/>
      <c r="F92" s="4"/>
      <c r="G92" s="4"/>
      <c r="H92" s="4"/>
      <c r="I92" s="4"/>
    </row>
    <row r="93" spans="1:9" ht="18.75" customHeight="1" x14ac:dyDescent="0.15">
      <c r="A93" s="1" t="s">
        <v>44</v>
      </c>
      <c r="B93" s="1" t="s">
        <v>13</v>
      </c>
    </row>
    <row r="94" spans="1:9" ht="18.75" customHeight="1" x14ac:dyDescent="0.15">
      <c r="A94" s="1"/>
      <c r="B94" s="231" t="s">
        <v>148</v>
      </c>
      <c r="C94" s="232"/>
      <c r="D94" s="232"/>
      <c r="E94" s="232"/>
      <c r="F94" s="232"/>
      <c r="G94" s="232"/>
      <c r="H94" s="232"/>
      <c r="I94" s="233"/>
    </row>
    <row r="95" spans="1:9" ht="18.75" customHeight="1" x14ac:dyDescent="0.15">
      <c r="A95" s="1"/>
      <c r="B95" s="234"/>
      <c r="C95" s="235"/>
      <c r="D95" s="235"/>
      <c r="E95" s="235"/>
      <c r="F95" s="235"/>
      <c r="G95" s="235"/>
      <c r="H95" s="235"/>
      <c r="I95" s="236"/>
    </row>
    <row r="96" spans="1:9" ht="18.75" customHeight="1" x14ac:dyDescent="0.15">
      <c r="A96" s="1"/>
      <c r="B96" s="234"/>
      <c r="C96" s="235"/>
      <c r="D96" s="235"/>
      <c r="E96" s="235"/>
      <c r="F96" s="235"/>
      <c r="G96" s="235"/>
      <c r="H96" s="235"/>
      <c r="I96" s="236"/>
    </row>
    <row r="97" spans="1:9" ht="18.75" customHeight="1" x14ac:dyDescent="0.15">
      <c r="A97" s="1"/>
      <c r="B97" s="234"/>
      <c r="C97" s="235"/>
      <c r="D97" s="235"/>
      <c r="E97" s="235"/>
      <c r="F97" s="235"/>
      <c r="G97" s="235"/>
      <c r="H97" s="235"/>
      <c r="I97" s="236"/>
    </row>
    <row r="98" spans="1:9" ht="18.75" customHeight="1" x14ac:dyDescent="0.15">
      <c r="A98" s="1"/>
      <c r="B98" s="234"/>
      <c r="C98" s="235"/>
      <c r="D98" s="235"/>
      <c r="E98" s="235"/>
      <c r="F98" s="235"/>
      <c r="G98" s="235"/>
      <c r="H98" s="235"/>
      <c r="I98" s="236"/>
    </row>
    <row r="99" spans="1:9" ht="18.75" customHeight="1" x14ac:dyDescent="0.15">
      <c r="A99" s="1"/>
      <c r="B99" s="234"/>
      <c r="C99" s="235"/>
      <c r="D99" s="235"/>
      <c r="E99" s="235"/>
      <c r="F99" s="235"/>
      <c r="G99" s="235"/>
      <c r="H99" s="235"/>
      <c r="I99" s="236"/>
    </row>
    <row r="100" spans="1:9" ht="18.75" customHeight="1" x14ac:dyDescent="0.15">
      <c r="A100" s="1"/>
      <c r="B100" s="234"/>
      <c r="C100" s="235"/>
      <c r="D100" s="235"/>
      <c r="E100" s="235"/>
      <c r="F100" s="235"/>
      <c r="G100" s="235"/>
      <c r="H100" s="235"/>
      <c r="I100" s="236"/>
    </row>
    <row r="101" spans="1:9" ht="18.75" customHeight="1" x14ac:dyDescent="0.15">
      <c r="A101" s="1"/>
      <c r="B101" s="234"/>
      <c r="C101" s="235"/>
      <c r="D101" s="235"/>
      <c r="E101" s="235"/>
      <c r="F101" s="235"/>
      <c r="G101" s="235"/>
      <c r="H101" s="235"/>
      <c r="I101" s="236"/>
    </row>
    <row r="102" spans="1:9" ht="18.75" customHeight="1" x14ac:dyDescent="0.15">
      <c r="A102" s="1"/>
      <c r="B102" s="234"/>
      <c r="C102" s="235"/>
      <c r="D102" s="235"/>
      <c r="E102" s="235"/>
      <c r="F102" s="235"/>
      <c r="G102" s="235"/>
      <c r="H102" s="235"/>
      <c r="I102" s="236"/>
    </row>
    <row r="103" spans="1:9" ht="18.75" customHeight="1" x14ac:dyDescent="0.15">
      <c r="A103" s="1"/>
      <c r="B103" s="234"/>
      <c r="C103" s="235"/>
      <c r="D103" s="235"/>
      <c r="E103" s="235"/>
      <c r="F103" s="235"/>
      <c r="G103" s="235"/>
      <c r="H103" s="235"/>
      <c r="I103" s="236"/>
    </row>
    <row r="104" spans="1:9" ht="18.75" customHeight="1" x14ac:dyDescent="0.15">
      <c r="A104" s="1"/>
      <c r="B104" s="234"/>
      <c r="C104" s="235"/>
      <c r="D104" s="235"/>
      <c r="E104" s="235"/>
      <c r="F104" s="235"/>
      <c r="G104" s="235"/>
      <c r="H104" s="235"/>
      <c r="I104" s="236"/>
    </row>
    <row r="105" spans="1:9" ht="18.75" customHeight="1" x14ac:dyDescent="0.15">
      <c r="A105" s="4"/>
      <c r="B105" s="237"/>
      <c r="C105" s="238"/>
      <c r="D105" s="238"/>
      <c r="E105" s="238"/>
      <c r="F105" s="238"/>
      <c r="G105" s="238"/>
      <c r="H105" s="238"/>
      <c r="I105" s="239"/>
    </row>
    <row r="106" spans="1:9" ht="7.5" customHeight="1" x14ac:dyDescent="0.15">
      <c r="A106" s="4"/>
      <c r="B106" s="4"/>
      <c r="C106" s="4"/>
      <c r="D106" s="4"/>
      <c r="E106" s="4"/>
      <c r="F106" s="4"/>
      <c r="G106" s="4"/>
      <c r="H106" s="4"/>
      <c r="I106" s="4"/>
    </row>
    <row r="107" spans="1:9" ht="18.75" customHeight="1" x14ac:dyDescent="0.15">
      <c r="A107" s="1" t="s">
        <v>30</v>
      </c>
      <c r="B107" s="240" t="s">
        <v>46</v>
      </c>
      <c r="C107" s="240"/>
      <c r="D107" s="240"/>
      <c r="E107" s="240"/>
      <c r="F107" s="240"/>
      <c r="G107" s="240"/>
      <c r="H107" s="240"/>
      <c r="I107" s="240"/>
    </row>
    <row r="108" spans="1:9" ht="18.75" customHeight="1" x14ac:dyDescent="0.15">
      <c r="A108" s="4"/>
      <c r="B108" s="231" t="s">
        <v>152</v>
      </c>
      <c r="C108" s="232"/>
      <c r="D108" s="232"/>
      <c r="E108" s="232"/>
      <c r="F108" s="232"/>
      <c r="G108" s="232"/>
      <c r="H108" s="232"/>
      <c r="I108" s="233"/>
    </row>
    <row r="109" spans="1:9" ht="18.75" customHeight="1" x14ac:dyDescent="0.15">
      <c r="A109" s="4"/>
      <c r="B109" s="234"/>
      <c r="C109" s="235"/>
      <c r="D109" s="235"/>
      <c r="E109" s="235"/>
      <c r="F109" s="235"/>
      <c r="G109" s="235"/>
      <c r="H109" s="235"/>
      <c r="I109" s="236"/>
    </row>
    <row r="110" spans="1:9" ht="18.75" customHeight="1" x14ac:dyDescent="0.15">
      <c r="A110" s="4"/>
      <c r="B110" s="234"/>
      <c r="C110" s="235"/>
      <c r="D110" s="235"/>
      <c r="E110" s="235"/>
      <c r="F110" s="235"/>
      <c r="G110" s="235"/>
      <c r="H110" s="235"/>
      <c r="I110" s="236"/>
    </row>
    <row r="111" spans="1:9" ht="18.75" customHeight="1" x14ac:dyDescent="0.15">
      <c r="A111" s="4"/>
      <c r="B111" s="234"/>
      <c r="C111" s="235"/>
      <c r="D111" s="235"/>
      <c r="E111" s="235"/>
      <c r="F111" s="235"/>
      <c r="G111" s="235"/>
      <c r="H111" s="235"/>
      <c r="I111" s="236"/>
    </row>
    <row r="112" spans="1:9" ht="18.75" customHeight="1" x14ac:dyDescent="0.15">
      <c r="A112" s="4"/>
      <c r="B112" s="234"/>
      <c r="C112" s="235"/>
      <c r="D112" s="235"/>
      <c r="E112" s="235"/>
      <c r="F112" s="235"/>
      <c r="G112" s="235"/>
      <c r="H112" s="235"/>
      <c r="I112" s="236"/>
    </row>
    <row r="113" spans="1:9" ht="18.75" customHeight="1" x14ac:dyDescent="0.15">
      <c r="A113" s="4"/>
      <c r="B113" s="234"/>
      <c r="C113" s="235"/>
      <c r="D113" s="235"/>
      <c r="E113" s="235"/>
      <c r="F113" s="235"/>
      <c r="G113" s="235"/>
      <c r="H113" s="235"/>
      <c r="I113" s="236"/>
    </row>
    <row r="114" spans="1:9" ht="18.75" customHeight="1" x14ac:dyDescent="0.15">
      <c r="A114" s="4"/>
      <c r="B114" s="234"/>
      <c r="C114" s="235"/>
      <c r="D114" s="235"/>
      <c r="E114" s="235"/>
      <c r="F114" s="235"/>
      <c r="G114" s="235"/>
      <c r="H114" s="235"/>
      <c r="I114" s="236"/>
    </row>
    <row r="115" spans="1:9" ht="18.75" customHeight="1" x14ac:dyDescent="0.15">
      <c r="A115" s="4"/>
      <c r="B115" s="234"/>
      <c r="C115" s="235"/>
      <c r="D115" s="235"/>
      <c r="E115" s="235"/>
      <c r="F115" s="235"/>
      <c r="G115" s="235"/>
      <c r="H115" s="235"/>
      <c r="I115" s="236"/>
    </row>
    <row r="116" spans="1:9" ht="18.75" customHeight="1" x14ac:dyDescent="0.15">
      <c r="A116" s="4"/>
      <c r="B116" s="234"/>
      <c r="C116" s="235"/>
      <c r="D116" s="235"/>
      <c r="E116" s="235"/>
      <c r="F116" s="235"/>
      <c r="G116" s="235"/>
      <c r="H116" s="235"/>
      <c r="I116" s="236"/>
    </row>
    <row r="117" spans="1:9" ht="18.75" customHeight="1" x14ac:dyDescent="0.15">
      <c r="A117" s="4"/>
      <c r="B117" s="234"/>
      <c r="C117" s="235"/>
      <c r="D117" s="235"/>
      <c r="E117" s="235"/>
      <c r="F117" s="235"/>
      <c r="G117" s="235"/>
      <c r="H117" s="235"/>
      <c r="I117" s="236"/>
    </row>
    <row r="118" spans="1:9" ht="18.75" customHeight="1" x14ac:dyDescent="0.15">
      <c r="A118" s="4"/>
      <c r="B118" s="234"/>
      <c r="C118" s="235"/>
      <c r="D118" s="235"/>
      <c r="E118" s="235"/>
      <c r="F118" s="235"/>
      <c r="G118" s="235"/>
      <c r="H118" s="235"/>
      <c r="I118" s="236"/>
    </row>
    <row r="119" spans="1:9" ht="18.75" customHeight="1" x14ac:dyDescent="0.15">
      <c r="A119" s="4"/>
      <c r="B119" s="237"/>
      <c r="C119" s="238"/>
      <c r="D119" s="238"/>
      <c r="E119" s="238"/>
      <c r="F119" s="238"/>
      <c r="G119" s="238"/>
      <c r="H119" s="238"/>
      <c r="I119" s="239"/>
    </row>
    <row r="120" spans="1:9" ht="7.5" customHeight="1" x14ac:dyDescent="0.15">
      <c r="A120" s="4"/>
      <c r="B120" s="45"/>
      <c r="C120" s="45"/>
      <c r="D120" s="45"/>
      <c r="E120" s="45"/>
      <c r="F120" s="45"/>
      <c r="G120" s="45"/>
      <c r="H120" s="45"/>
      <c r="I120" s="45"/>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70" zoomScaleNormal="100" zoomScaleSheetLayoutView="7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帝塚山大学</v>
      </c>
    </row>
    <row r="3" spans="1:9" ht="18.75" customHeight="1" x14ac:dyDescent="0.15">
      <c r="A3" s="115" t="s">
        <v>28</v>
      </c>
      <c r="B3" s="115"/>
      <c r="C3" s="115"/>
      <c r="D3" s="115"/>
      <c r="E3" s="115"/>
      <c r="F3" s="115"/>
      <c r="G3" s="115"/>
      <c r="H3" s="115"/>
      <c r="I3" s="115"/>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58" t="s">
        <v>149</v>
      </c>
      <c r="C6" s="291"/>
      <c r="D6" s="291"/>
      <c r="E6" s="291"/>
      <c r="F6" s="291"/>
      <c r="G6" s="291"/>
      <c r="H6" s="292"/>
      <c r="I6" s="3"/>
    </row>
    <row r="7" spans="1:9" ht="9" customHeight="1" x14ac:dyDescent="0.15">
      <c r="A7" s="5"/>
      <c r="B7" s="10"/>
      <c r="C7" s="10"/>
      <c r="D7" s="10"/>
      <c r="E7" s="10"/>
      <c r="F7" s="10"/>
      <c r="G7" s="10"/>
      <c r="H7" s="10"/>
      <c r="I7" s="3"/>
    </row>
    <row r="8" spans="1:9" ht="18.75" customHeight="1" x14ac:dyDescent="0.15">
      <c r="A8" s="5"/>
      <c r="B8" s="3"/>
      <c r="C8" s="3"/>
      <c r="D8" s="34" t="s">
        <v>43</v>
      </c>
      <c r="E8" s="35" t="s">
        <v>150</v>
      </c>
      <c r="F8" s="3"/>
      <c r="G8" s="34" t="s">
        <v>10</v>
      </c>
      <c r="H8" s="79" t="s">
        <v>151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4" t="s">
        <v>24</v>
      </c>
      <c r="C11" s="105"/>
      <c r="D11" s="106"/>
      <c r="E11" s="105" t="s">
        <v>26</v>
      </c>
      <c r="F11" s="105"/>
      <c r="G11" s="105"/>
      <c r="H11" s="105"/>
      <c r="I11" s="106"/>
    </row>
    <row r="12" spans="1:9" ht="26.25" customHeight="1" x14ac:dyDescent="0.15">
      <c r="B12" s="47" t="s">
        <v>14</v>
      </c>
      <c r="C12" s="54"/>
      <c r="D12" s="48"/>
      <c r="E12" s="55"/>
      <c r="F12" s="55"/>
      <c r="G12" s="55"/>
      <c r="H12" s="55"/>
      <c r="I12" s="48"/>
    </row>
    <row r="13" spans="1:9" ht="210.75" customHeight="1" x14ac:dyDescent="0.15">
      <c r="B13" s="49"/>
      <c r="C13" s="271" t="s">
        <v>15</v>
      </c>
      <c r="D13" s="272"/>
      <c r="E13" s="287" t="s">
        <v>156</v>
      </c>
      <c r="F13" s="273"/>
      <c r="G13" s="273"/>
      <c r="H13" s="273"/>
      <c r="I13" s="274"/>
    </row>
    <row r="14" spans="1:9" ht="210.75" customHeight="1" x14ac:dyDescent="0.15">
      <c r="B14" s="49"/>
      <c r="C14" s="289" t="s">
        <v>16</v>
      </c>
      <c r="D14" s="290"/>
      <c r="E14" s="284" t="s">
        <v>157</v>
      </c>
      <c r="F14" s="285"/>
      <c r="G14" s="285"/>
      <c r="H14" s="285"/>
      <c r="I14" s="286"/>
    </row>
    <row r="15" spans="1:9" ht="210.75" customHeight="1" x14ac:dyDescent="0.15">
      <c r="B15" s="49"/>
      <c r="C15" s="271" t="s">
        <v>17</v>
      </c>
      <c r="D15" s="272"/>
      <c r="E15" s="284" t="s">
        <v>163</v>
      </c>
      <c r="F15" s="285"/>
      <c r="G15" s="285"/>
      <c r="H15" s="285"/>
      <c r="I15" s="286"/>
    </row>
    <row r="16" spans="1:9" ht="210.75" customHeight="1" x14ac:dyDescent="0.15">
      <c r="B16" s="49"/>
      <c r="C16" s="271" t="s">
        <v>18</v>
      </c>
      <c r="D16" s="272"/>
      <c r="E16" s="287" t="s">
        <v>153</v>
      </c>
      <c r="F16" s="273"/>
      <c r="G16" s="273"/>
      <c r="H16" s="273"/>
      <c r="I16" s="274"/>
    </row>
    <row r="17" spans="2:9" ht="210.75" customHeight="1" x14ac:dyDescent="0.15">
      <c r="B17" s="50"/>
      <c r="C17" s="275" t="s">
        <v>19</v>
      </c>
      <c r="D17" s="276"/>
      <c r="E17" s="288" t="s">
        <v>161</v>
      </c>
      <c r="F17" s="277"/>
      <c r="G17" s="277"/>
      <c r="H17" s="277"/>
      <c r="I17" s="278"/>
    </row>
    <row r="18" spans="2:9" ht="24" customHeight="1" x14ac:dyDescent="0.15">
      <c r="B18" s="47" t="s">
        <v>20</v>
      </c>
      <c r="C18" s="51"/>
      <c r="D18" s="52"/>
      <c r="E18" s="53"/>
      <c r="F18" s="53"/>
      <c r="G18" s="53"/>
      <c r="H18" s="53"/>
      <c r="I18" s="56"/>
    </row>
    <row r="19" spans="2:9" ht="218.25" customHeight="1" x14ac:dyDescent="0.15">
      <c r="B19" s="49"/>
      <c r="C19" s="271" t="s">
        <v>21</v>
      </c>
      <c r="D19" s="272"/>
      <c r="E19" s="273" t="s">
        <v>154</v>
      </c>
      <c r="F19" s="273"/>
      <c r="G19" s="273"/>
      <c r="H19" s="273"/>
      <c r="I19" s="274"/>
    </row>
    <row r="20" spans="2:9" ht="218.25" customHeight="1" x14ac:dyDescent="0.15">
      <c r="B20" s="50"/>
      <c r="C20" s="275" t="s">
        <v>22</v>
      </c>
      <c r="D20" s="276"/>
      <c r="E20" s="277" t="s">
        <v>158</v>
      </c>
      <c r="F20" s="277"/>
      <c r="G20" s="277"/>
      <c r="H20" s="277"/>
      <c r="I20" s="278"/>
    </row>
    <row r="21" spans="2:9" ht="218.25" customHeight="1" x14ac:dyDescent="0.15">
      <c r="B21" s="279" t="s">
        <v>23</v>
      </c>
      <c r="C21" s="280"/>
      <c r="D21" s="281"/>
      <c r="E21" s="282" t="s">
        <v>162</v>
      </c>
      <c r="F21" s="282"/>
      <c r="G21" s="282"/>
      <c r="H21" s="282"/>
      <c r="I21" s="283"/>
    </row>
    <row r="22" spans="2:9" ht="218.25" customHeight="1" x14ac:dyDescent="0.15">
      <c r="B22" s="266" t="s">
        <v>38</v>
      </c>
      <c r="C22" s="267"/>
      <c r="D22" s="268"/>
      <c r="E22" s="269" t="s">
        <v>159</v>
      </c>
      <c r="F22" s="269"/>
      <c r="G22" s="269"/>
      <c r="H22" s="269"/>
      <c r="I22" s="27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東芝　青児</cp:lastModifiedBy>
  <cp:lastPrinted>2023-08-01T06:14:55Z</cp:lastPrinted>
  <dcterms:created xsi:type="dcterms:W3CDTF">2011-06-14T05:32:50Z</dcterms:created>
  <dcterms:modified xsi:type="dcterms:W3CDTF">2023-08-01T06:17:53Z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