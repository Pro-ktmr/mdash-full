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B:\★教育開発センター\R05資料\起案\6\提出用\"/>
    </mc:Choice>
  </mc:AlternateContent>
  <bookViews>
    <workbookView xWindow="-105" yWindow="-105" windowWidth="19425" windowHeight="11625" tabRatio="885"/>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62913"/>
</workbook>
</file>

<file path=xl/calcChain.xml><?xml version="1.0" encoding="utf-8"?>
<calcChain xmlns="http://schemas.openxmlformats.org/spreadsheetml/2006/main">
  <c r="I2" i="42" l="1"/>
  <c r="H2" i="41" l="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F13" i="40"/>
  <c r="AP13" i="40" s="1"/>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F12" i="40"/>
  <c r="AP12" i="40" s="1"/>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<sst xmlns="http://schemas.openxmlformats.org/spreadsheetml/2006/main" count="297" uniqueCount="169">
  <si>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</si>
  <si>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</si>
  <si>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</si>
  <si>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</si>
  <si>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</si>
  <si>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</si>
  <si>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</si>
  <si>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</si>
  <si>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</si>
  <si>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</si>
  <si>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</si>
  <si>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</si>
  <si>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</si>
  <si>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</si>
  <si>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</si>
  <si>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</si>
  <si>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</si>
  <si>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</si>
  <si>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</si>
  <si>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</si>
  <si>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</si>
  <si>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</si>
  <si>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</si>
  <si>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</si>
  <si>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</si>
  <si>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</si>
  <si>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</si>
  <si>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</si>
  <si>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</si>
  <si>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</si>
  <si>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</si>
  <si>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</si>
  <si>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</si>
  <si>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</si>
  <si>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</si>
  <si>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</si>
  <si>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</si>
  <si>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</si>
  <si>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</si>
  <si>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</si>
  <si>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</si>
  <si>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</si>
  <si>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</si>
  <si>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</si>
  <si>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</si>
  <si>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</si>
  <si>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</si>
  <si>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</si>
  <si>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</si>
  <si>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</si>
  <si>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</si>
  <si>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</si>
  <si>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</si>
  <si>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</si>
  <si>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</si>
  <si>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</si>
  <si>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</si>
  <si>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</si>
  <si>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</si>
  <si>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</si>
  <si>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</si>
  <si>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</si>
  <si>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</si>
  <si>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</si>
  <si>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</si>
  <si>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</si>
  <si>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</si>
  <si>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</si>
  <si>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</si>
  <si>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</si>
  <si>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</si>
  <si>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</si>
  <si>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</si>
  <si>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</si>
  <si>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</si>
  <si>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</si>
  <si>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</si>
  <si>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</si>
  <si>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</si>
  <si>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</si>
  <si>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</si>
  <si>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</si>
  <si>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</si>
  <si>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</si>
  <si>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</si>
  <si>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</si>
  <si>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</si>
  <si>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</si>
  <si>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</si>
  <si>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</si>
  <si>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</si>
  <si>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</si>
  <si>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</si>
  <si>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</si>
  <si>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</si>
  <si>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</si>
  <si>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</si>
  <si>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</si>
  <si>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</si>
  <si>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</si>
  <si>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</si>
  <si>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</si>
  <si>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</si>
  <si>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</si>
  <si>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</si>
  <si>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</si>
  <si>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</si>
  <si>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</si>
  <si>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</si>
  <si>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</si>
  <si>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</si>
  <si>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</si>
  <si>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</si>
  <si>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</si>
  <si>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</si>
  <si>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</si>
  <si>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</si>
  <si>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</si>
  <si>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</si>
  <si>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</si>
  <si>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</si>
  <si>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</si>
  <si>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</si>
  <si>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</si>
  <si>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</si>
  <si>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</si>
  <si>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</si>
  <si>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皇學館大学</t>
    <rPh sb="0" eb="3">
      <t>コウガッカン</t>
    </rPh>
    <rPh sb="3" eb="5">
      <t>ダイガク</t>
    </rPh>
    <phoneticPr fontId="1"/>
  </si>
  <si>
    <t>学部・学科によって、修了要件は相違しない</t>
  </si>
  <si>
    <t>文学部</t>
    <rPh sb="0" eb="3">
      <t>ブンガクブ</t>
    </rPh>
    <phoneticPr fontId="1"/>
  </si>
  <si>
    <t>教育学部</t>
    <rPh sb="0" eb="2">
      <t>キョウイク</t>
    </rPh>
    <rPh sb="2" eb="4">
      <t>ガクブ</t>
    </rPh>
    <phoneticPr fontId="1"/>
  </si>
  <si>
    <t>現代日本社会学部</t>
    <rPh sb="0" eb="2">
      <t>ゲンダイ</t>
    </rPh>
    <rPh sb="2" eb="4">
      <t>ニホン</t>
    </rPh>
    <rPh sb="4" eb="6">
      <t>シャカイ</t>
    </rPh>
    <rPh sb="6" eb="8">
      <t>ガクブ</t>
    </rPh>
    <phoneticPr fontId="1"/>
  </si>
  <si>
    <t>筒井　琢磨</t>
    <rPh sb="0" eb="2">
      <t>ツツイ</t>
    </rPh>
    <rPh sb="3" eb="5">
      <t>タクマ</t>
    </rPh>
    <phoneticPr fontId="1"/>
  </si>
  <si>
    <t>教育開発センター長</t>
    <rPh sb="0" eb="2">
      <t>キョウイク</t>
    </rPh>
    <rPh sb="2" eb="4">
      <t>カイハツ</t>
    </rPh>
    <rPh sb="8" eb="9">
      <t>チョウ</t>
    </rPh>
    <phoneticPr fontId="1"/>
  </si>
  <si>
    <t>教育企画室長</t>
    <rPh sb="0" eb="2">
      <t>キョウイク</t>
    </rPh>
    <rPh sb="2" eb="4">
      <t>キカク</t>
    </rPh>
    <rPh sb="4" eb="5">
      <t>シツ</t>
    </rPh>
    <rPh sb="5" eb="6">
      <t>チョウ</t>
    </rPh>
    <phoneticPr fontId="1"/>
  </si>
  <si>
    <t>教育開発センター教育企画室会議</t>
    <rPh sb="0" eb="2">
      <t>キョウイク</t>
    </rPh>
    <rPh sb="2" eb="4">
      <t>カイハツ</t>
    </rPh>
    <rPh sb="8" eb="10">
      <t>キョウイク</t>
    </rPh>
    <rPh sb="10" eb="12">
      <t>キカク</t>
    </rPh>
    <rPh sb="12" eb="13">
      <t>シツ</t>
    </rPh>
    <rPh sb="13" eb="15">
      <t>カイギ</t>
    </rPh>
    <phoneticPr fontId="1"/>
  </si>
  <si>
    <t xml:space="preserve">1) 令和4年度は卒業生がいないため実施できず。
2) 将来、就職先企業等に対するアンケート調査（卒業生が就職して3年目の企業・団体を対象。就職担当・教育開発センターが実施主体、令和2、4年度実施）を利用できるか検討。
</t>
    <phoneticPr fontId="1"/>
  </si>
  <si>
    <t xml:space="preserve">1) 三十三銀行との連絡会議でご意見をいただくか検討。
2) 令和5年度以降は外部評価委員会でもご意見をいただくか検討。
</t>
    <phoneticPr fontId="1"/>
  </si>
  <si>
    <t>○</t>
  </si>
  <si>
    <t>①社会におけるデータ・AI利活用について説明できるようになること。
②データリテラシー（データの扱い方、データの読み方）について説明できるようになること。
③データ・AI利活用における留意事項について説明できるようになること。
培うべき力＝①専門的な技術・技能（専門基礎知識の修得）、②論理的思考力・創造力</t>
    <phoneticPr fontId="1"/>
  </si>
  <si>
    <t xml:space="preserve">全学部共通科目の「統計学基礎【c】《データサイエンス入門》」（2単位）を修得すること。
</t>
    <rPh sb="2" eb="3">
      <t>ブ</t>
    </rPh>
    <rPh sb="26" eb="28">
      <t>ニュウモン</t>
    </rPh>
    <rPh sb="36" eb="38">
      <t>シュウトク</t>
    </rPh>
    <phoneticPr fontId="1"/>
  </si>
  <si>
    <t>教育開発センター教育企画室は皇學館大学が実施する教育活動を充実、発展させるため、全学の教育システムの企画・開発を行うことを目的とした組織である。同室の業務として、分野・学部等横断カリキュラムの企画・開発及び副専攻の企画・開発を行うことと規定している。（皇學館大学教育開発センター教育企画室規程）
同規程に基づき、数理・データサイエンス・AI教育プログラムの改善・進化を担当する。</t>
    <rPh sb="75" eb="77">
      <t>ギョウム</t>
    </rPh>
    <rPh sb="126" eb="129">
      <t>コウガッカン</t>
    </rPh>
    <rPh sb="129" eb="131">
      <t>ダイガク</t>
    </rPh>
    <rPh sb="131" eb="133">
      <t>キョウイク</t>
    </rPh>
    <rPh sb="133" eb="135">
      <t>カイハツ</t>
    </rPh>
    <rPh sb="139" eb="141">
      <t>キョウイク</t>
    </rPh>
    <rPh sb="141" eb="143">
      <t>キカク</t>
    </rPh>
    <rPh sb="143" eb="144">
      <t>シツ</t>
    </rPh>
    <rPh sb="144" eb="146">
      <t>キテイ</t>
    </rPh>
    <phoneticPr fontId="1"/>
  </si>
  <si>
    <t>皇學館大学数理・データサイエンス・AI
教育プログラム（リテラシーレベル）</t>
    <rPh sb="0" eb="3">
      <t>コウガッカン</t>
    </rPh>
    <rPh sb="3" eb="5">
      <t>ダイガク</t>
    </rPh>
    <rPh sb="5" eb="7">
      <t>スウリ</t>
    </rPh>
    <rPh sb="20" eb="22">
      <t>キョウイク</t>
    </rPh>
    <phoneticPr fontId="1"/>
  </si>
  <si>
    <t>統計学基礎【c】《データサイエンス入門》</t>
    <rPh sb="0" eb="3">
      <t>トウケイガク</t>
    </rPh>
    <rPh sb="3" eb="5">
      <t>キソ</t>
    </rPh>
    <rPh sb="17" eb="19">
      <t>ニュウモン</t>
    </rPh>
    <phoneticPr fontId="1"/>
  </si>
  <si>
    <t>全学部共通科目として「統計学基礎」のクラス【c】《データサイエンス入門》を開講した。
統計学基礎【c】　受講者数150名　単位修得者数134名（単位修得率89%）</t>
    <rPh sb="0" eb="3">
      <t>ゼンガクブ</t>
    </rPh>
    <rPh sb="3" eb="5">
      <t>キョウツウ</t>
    </rPh>
    <rPh sb="5" eb="7">
      <t>カモク</t>
    </rPh>
    <rPh sb="11" eb="14">
      <t>トウケイガク</t>
    </rPh>
    <rPh sb="14" eb="16">
      <t>キソ</t>
    </rPh>
    <rPh sb="37" eb="39">
      <t>カイコウ</t>
    </rPh>
    <phoneticPr fontId="1"/>
  </si>
  <si>
    <t>皇學館大学教育開発センター教育企画室規程</t>
    <rPh sb="0" eb="3">
      <t>コウガッカン</t>
    </rPh>
    <rPh sb="3" eb="5">
      <t>ダイガク</t>
    </rPh>
    <rPh sb="5" eb="7">
      <t>キョウイク</t>
    </rPh>
    <rPh sb="7" eb="9">
      <t>カイハツ</t>
    </rPh>
    <rPh sb="13" eb="15">
      <t>キョウイク</t>
    </rPh>
    <rPh sb="15" eb="17">
      <t>キカク</t>
    </rPh>
    <rPh sb="17" eb="18">
      <t>シツ</t>
    </rPh>
    <rPh sb="18" eb="20">
      <t>キテイ</t>
    </rPh>
    <phoneticPr fontId="1"/>
  </si>
  <si>
    <t>令和5年度入学生より本プログラムを構成する科目は全学部生が必修科目（2セメスター（1年次秋学期））となり、年度進行に伴い全学生が履修する予定である。</t>
    <rPh sb="5" eb="8">
      <t>ニュウガクセイ</t>
    </rPh>
    <rPh sb="26" eb="27">
      <t>ブ</t>
    </rPh>
    <rPh sb="27" eb="28">
      <t>セイ</t>
    </rPh>
    <rPh sb="68" eb="70">
      <t>ヨテイ</t>
    </rPh>
    <phoneticPr fontId="1"/>
  </si>
  <si>
    <t>学部・学科に関係なく希望する全学生が受講可能になるよう、オンデマンド型の遠隔授業を採用し、抽選なしで履修を可能にしている。また、令和5年度入学生より本プログラムを構成する科目は全学必修科目となっている。</t>
    <rPh sb="10" eb="12">
      <t>キボウ</t>
    </rPh>
    <rPh sb="36" eb="38">
      <t>エンカク</t>
    </rPh>
    <rPh sb="69" eb="72">
      <t>ニュウガクセイ</t>
    </rPh>
    <phoneticPr fontId="1"/>
  </si>
  <si>
    <t>学部・学科に関係なく全学生が受講可能になるよう、オンデマンド型の遠隔授業を採用し、抽選なしで履修可能にしている。また、令和5年度より本プログラムを構成する科目は全学部の学生の必修科目としている。
令和4年度は1年生の必修科目「初年次ゼミ」でプログラムを周知するチラシを配布し、履修を促し一定の効果を得た。また、令和5年度以降は新1年生の履修・修学指導でチラシを配布しており、周知を徹底している。</t>
    <rPh sb="82" eb="83">
      <t>ブ</t>
    </rPh>
    <rPh sb="84" eb="86">
      <t>ガクセイ</t>
    </rPh>
    <rPh sb="98" eb="100">
      <t>レイワ</t>
    </rPh>
    <rPh sb="101" eb="103">
      <t>ネンド</t>
    </rPh>
    <rPh sb="105" eb="107">
      <t>ネンセイ</t>
    </rPh>
    <rPh sb="108" eb="110">
      <t>ヒッシュウ</t>
    </rPh>
    <rPh sb="110" eb="112">
      <t>カモク</t>
    </rPh>
    <rPh sb="113" eb="116">
      <t>ショネンジ</t>
    </rPh>
    <rPh sb="126" eb="128">
      <t>シュウチ</t>
    </rPh>
    <rPh sb="134" eb="136">
      <t>ハイフ</t>
    </rPh>
    <rPh sb="138" eb="140">
      <t>リシュウ</t>
    </rPh>
    <rPh sb="141" eb="142">
      <t>ウナガ</t>
    </rPh>
    <rPh sb="143" eb="145">
      <t>イッテイ</t>
    </rPh>
    <rPh sb="146" eb="148">
      <t>コウカ</t>
    </rPh>
    <rPh sb="149" eb="150">
      <t>エ</t>
    </rPh>
    <rPh sb="155" eb="157">
      <t>レイワ</t>
    </rPh>
    <rPh sb="158" eb="160">
      <t>ネンド</t>
    </rPh>
    <rPh sb="160" eb="162">
      <t>イコウ</t>
    </rPh>
    <rPh sb="163" eb="164">
      <t>シン</t>
    </rPh>
    <rPh sb="165" eb="167">
      <t>ネンセイ</t>
    </rPh>
    <rPh sb="168" eb="170">
      <t>リシュウ</t>
    </rPh>
    <rPh sb="171" eb="173">
      <t>シュウガク</t>
    </rPh>
    <rPh sb="173" eb="175">
      <t>シドウ</t>
    </rPh>
    <rPh sb="180" eb="182">
      <t>ハイフ</t>
    </rPh>
    <rPh sb="187" eb="189">
      <t>シュウチ</t>
    </rPh>
    <rPh sb="190" eb="192">
      <t>テッテイ</t>
    </rPh>
    <phoneticPr fontId="1"/>
  </si>
  <si>
    <t>講義資料および動画はLMSに蓄積され、全ての受講生が開講期間中いつでも講義資料と動画の閲覧が可能となっている。必修化された令和５年度入学生以降は学生支援部教務担当が履修登録を一括して実施している。</t>
    <rPh sb="0" eb="2">
      <t>コウギ</t>
    </rPh>
    <rPh sb="2" eb="4">
      <t>シリョウ</t>
    </rPh>
    <rPh sb="7" eb="9">
      <t>ドウガ</t>
    </rPh>
    <rPh sb="14" eb="16">
      <t>チクセキ</t>
    </rPh>
    <rPh sb="19" eb="20">
      <t>スベ</t>
    </rPh>
    <rPh sb="22" eb="25">
      <t>ジュコウセイ</t>
    </rPh>
    <rPh sb="26" eb="28">
      <t>カイコウ</t>
    </rPh>
    <rPh sb="28" eb="31">
      <t>キカンチュウ</t>
    </rPh>
    <rPh sb="35" eb="37">
      <t>コウギ</t>
    </rPh>
    <rPh sb="37" eb="39">
      <t>シリョウ</t>
    </rPh>
    <rPh sb="40" eb="42">
      <t>ドウガ</t>
    </rPh>
    <rPh sb="43" eb="45">
      <t>エツラン</t>
    </rPh>
    <rPh sb="46" eb="48">
      <t>カノウ</t>
    </rPh>
    <rPh sb="55" eb="57">
      <t>ヒッシュウ</t>
    </rPh>
    <rPh sb="57" eb="58">
      <t>カ</t>
    </rPh>
    <rPh sb="61" eb="63">
      <t>レイワ</t>
    </rPh>
    <rPh sb="64" eb="66">
      <t>ネンド</t>
    </rPh>
    <rPh sb="66" eb="69">
      <t>ニュウガクセイ</t>
    </rPh>
    <rPh sb="69" eb="71">
      <t>イコウ</t>
    </rPh>
    <rPh sb="72" eb="74">
      <t>ガクセイ</t>
    </rPh>
    <rPh sb="74" eb="76">
      <t>シエン</t>
    </rPh>
    <rPh sb="76" eb="77">
      <t>ブ</t>
    </rPh>
    <rPh sb="77" eb="79">
      <t>キョウム</t>
    </rPh>
    <rPh sb="79" eb="81">
      <t>タントウ</t>
    </rPh>
    <rPh sb="87" eb="89">
      <t>イッカツ</t>
    </rPh>
    <rPh sb="91" eb="93">
      <t>ジッシ</t>
    </rPh>
    <phoneticPr fontId="1"/>
  </si>
  <si>
    <t>受講生に毎回小テストで50字以上のコメントを入力させている。これに対して次回振り返り動画を教員が作成し、受講生からのコメントを紹介し、コメントを受けた教員のコメントまた質問への回答等を行っている。また、授業時間外もLMS内の掲示板を利用し、質問等を学生が記入することができ、担当教員を通して回答する体制を整備している。</t>
    <rPh sb="0" eb="2">
      <t>ジュコウ</t>
    </rPh>
    <rPh sb="4" eb="6">
      <t>マイカイ</t>
    </rPh>
    <rPh sb="6" eb="7">
      <t>ショウ</t>
    </rPh>
    <rPh sb="13" eb="14">
      <t>ジ</t>
    </rPh>
    <rPh sb="14" eb="16">
      <t>イジョウ</t>
    </rPh>
    <rPh sb="22" eb="24">
      <t>ニュウリョク</t>
    </rPh>
    <rPh sb="33" eb="34">
      <t>タイ</t>
    </rPh>
    <rPh sb="36" eb="38">
      <t>ジカイ</t>
    </rPh>
    <rPh sb="38" eb="39">
      <t>フ</t>
    </rPh>
    <rPh sb="40" eb="41">
      <t>カエ</t>
    </rPh>
    <rPh sb="42" eb="44">
      <t>ドウガ</t>
    </rPh>
    <rPh sb="45" eb="47">
      <t>キョウイン</t>
    </rPh>
    <rPh sb="48" eb="50">
      <t>サクセイ</t>
    </rPh>
    <rPh sb="52" eb="55">
      <t>ジュコウセイ</t>
    </rPh>
    <rPh sb="63" eb="65">
      <t>ショウカイ</t>
    </rPh>
    <rPh sb="72" eb="73">
      <t>ウ</t>
    </rPh>
    <rPh sb="75" eb="77">
      <t>キョウイン</t>
    </rPh>
    <rPh sb="84" eb="86">
      <t>シツモン</t>
    </rPh>
    <rPh sb="88" eb="90">
      <t>カイトウ</t>
    </rPh>
    <rPh sb="90" eb="91">
      <t>ナド</t>
    </rPh>
    <rPh sb="92" eb="93">
      <t>オコナ</t>
    </rPh>
    <rPh sb="110" eb="111">
      <t>ナイ</t>
    </rPh>
    <rPh sb="112" eb="114">
      <t>ケイジ</t>
    </rPh>
    <rPh sb="114" eb="115">
      <t>バン</t>
    </rPh>
    <rPh sb="116" eb="118">
      <t>リヨウ</t>
    </rPh>
    <rPh sb="120" eb="122">
      <t>シツモン</t>
    </rPh>
    <rPh sb="122" eb="123">
      <t>ナド</t>
    </rPh>
    <rPh sb="124" eb="126">
      <t>ガクセイ</t>
    </rPh>
    <rPh sb="127" eb="129">
      <t>キニュウ</t>
    </rPh>
    <rPh sb="145" eb="147">
      <t>カイトウ</t>
    </rPh>
    <phoneticPr fontId="1"/>
  </si>
  <si>
    <t>・授業内容が3部構成となっており、部毎に理解度をアンケートで確認した。
・理解度は高かった。教材の質が高いことが要因と考える。
【R4学修成果評価アンケートより】
１．この授業を受講して、第1部「社会におけるデータ・AI利活用」について理解できたと思いますか。
十分理解できた  77名 57%
ある程度理解できた 55名 41%
あまり理解できなかった  3名  2%
理解できなかった  0名  0%
２．この授業を受講して、第2部「データリテラシー（データの扱い方、データの読み方）」について理解できたと思いますか。
十分理解できた  69名 51%
ある程度理解できた 61名 45%
あまり理解できなかった  5名  4%
理解できなかった  0名  0%
３．この授業を受講して、第3部「データ・AI利活用における留意事項」について理解できたと思いますか。
十分理解できた  78名 58%
ある程度理解できた 53名 39%
あまり理解できなかった  3名  2%
理解できなかった  1名  1%
４．この授業を通じて、データサイエンス・ＡＩを学ぶ意義を理解できたと思いますか。
十分理解できた  88名 65%
ある程度理解できた 43名 32%
あまり理解できなかった  4名  3%
理解できなかった  0名  0%
・今年度は選択科目であったので、関心がある学生、修得できる見込みがあると考えて履修する学生が多かったこと、次年度より全学必修となり、得意ではない学生が多くなることが予想され、同様のアンケートを取っても結果は変わってくる可能性があることが指摘された。例えば、学生がExcelが難しいと感じた時の解決方法について、窓口はあった方がよいことや、リアルタイムに助言できないのは難点であるが、LMSの掲示板における学生からの問合せには対応し、解決できていた。また、サポート体制はさらに整える必要があることや、今年度もExcelの作業は減点ではなく、加点で評価するとアナウンスを行っており、次年度も同様の形で進めて行く予定であることが確認された。</t>
    <rPh sb="142" eb="143">
      <t>メイ</t>
    </rPh>
    <rPh sb="160" eb="161">
      <t>メイ</t>
    </rPh>
    <rPh sb="180" eb="181">
      <t>メイ</t>
    </rPh>
    <rPh sb="197" eb="198">
      <t>メイ</t>
    </rPh>
    <rPh sb="273" eb="274">
      <t>メイ</t>
    </rPh>
    <rPh sb="291" eb="292">
      <t>メイ</t>
    </rPh>
    <rPh sb="311" eb="312">
      <t>メイ</t>
    </rPh>
    <rPh sb="328" eb="329">
      <t>メイ</t>
    </rPh>
    <rPh sb="396" eb="397">
      <t>メイ</t>
    </rPh>
    <rPh sb="414" eb="415">
      <t>メイ</t>
    </rPh>
    <rPh sb="434" eb="435">
      <t>メイ</t>
    </rPh>
    <rPh sb="451" eb="452">
      <t>メイ</t>
    </rPh>
    <rPh sb="509" eb="510">
      <t>メイ</t>
    </rPh>
    <rPh sb="527" eb="528">
      <t>メイ</t>
    </rPh>
    <rPh sb="547" eb="548">
      <t>メイ</t>
    </rPh>
    <rPh sb="564" eb="565">
      <t>メイ</t>
    </rPh>
    <rPh sb="688" eb="690">
      <t>シテキ</t>
    </rPh>
    <rPh sb="694" eb="695">
      <t>タト</t>
    </rPh>
    <rPh sb="716" eb="718">
      <t>カイケツ</t>
    </rPh>
    <rPh sb="718" eb="720">
      <t>ホウホウ</t>
    </rPh>
    <rPh sb="786" eb="788">
      <t>カイケツ</t>
    </rPh>
    <rPh sb="881" eb="883">
      <t>カクニン</t>
    </rPh>
    <phoneticPr fontId="1"/>
  </si>
  <si>
    <t xml:space="preserve">・4件法で質問し「勧めたい」「どちらかと言えば勧めたい」と回答した学生が99%を占めた。
【R4学修成果評価アンケートより】
８．この授業の受講を後輩等他の学生に勧めたいですか。
勧めたい   101名 75%
どちらかといえば勧めたい  32名 24%
どちらかといえば勧めたくない   2名  1%
勧めたくない     0名  0%
</t>
    <rPh sb="100" eb="101">
      <t>メイ</t>
    </rPh>
    <rPh sb="122" eb="123">
      <t>メイ</t>
    </rPh>
    <rPh sb="146" eb="147">
      <t>メイ</t>
    </rPh>
    <rPh sb="164" eb="165">
      <t>メイ</t>
    </rPh>
    <phoneticPr fontId="1"/>
  </si>
  <si>
    <t>秀104名、優22名、良6名、可2名、不可2名、放棄14名　合計150名
秀  69%、優 15%、良4%、 可 1%、不可 1%、放棄 9%　
・オンデマンド型のオンライン授業であったので動画を100%視聴するよう指示しており、動画を全く視聴しない回数が5回以上となった学生は放棄の扱いとした。小テストにもコースニュースを見るように何度も指示したが、なかなか確認率が上がらなかった。
・コースニュースを確認しない学生が一定数存在した原因として、同じく全学必修であり、オンデマンド型のオンライン授業である「伊勢志摩共生学」ではコースニュースを利用する頻度が低かったため、次年度からは「伊勢志摩共生学」でのコースニュースを積極的に利用し、相乗的に確認率が上がるように検討する。</t>
    <phoneticPr fontId="1"/>
  </si>
  <si>
    <t xml:space="preserve">1)令和4年度は「初年次ゼミ」最終回にて全学科アナウンス実施。
2)令和5年度から「データサイエンス入門」を学部共通科目必修として開設予定。
</t>
    <phoneticPr fontId="1"/>
  </si>
  <si>
    <t xml:space="preserve"> ・「十分わかりやすかった」「ある程度わかりやすかった」と回答した学生が98%を占めた。
・Excelを用いた演習をうまく進めることができたかについて、「うまく進めることができた」「ある程度うまく進めることができた」と回答した学生は91%であった。他の回答と比べて少し苦戦した学生が多く、課題として認識している。
【R4学修成果評価アンケートより】
６．この授業の動画内容はわかりやすかったですか。
十分わかりやすかった  93名 69%
ある程度わかりやすかった 39名 29%
あまりわかりやすくなかった  2名  1%
わかりやすくなかった   1名  1%
７．この授業で、Excelを用いた演習をうまく進めることができましたか。
うまく進めることができた  69名 51%
ある程度うまく進めることができた 54名 40%
あまりうまく進めることができなかった 11名  8%
うまく進めることができなかった   1名  1%
・Excelに苦戦した学生が多かったことに関して、他授業「情報処理Ⅱ」等でExcelについて指導されていることが報告されたが、「情報処理Ⅱ」を履修していない可能性や、修得してから間が空いている学生も多いことが結果の一因として確認された。
・Excelについて、動画で解説されている公式のソフトウェアではなく、代用品として出回っている類似の別のソフトウェアを利用している学生も多いことが指摘された。これに対して、令和5年度入学生からは学習端末必携化に伴い、当該ソフトをインストールしておくよう依頼していることが報告された。また大学から学生に配付しているGoogleのアカウントにログインし、スプレッドシートを利用すれば動画内で指示しているほとんどの作業は可能であることも報告された。</t>
    <rPh sb="214" eb="215">
      <t>メイ</t>
    </rPh>
    <rPh sb="235" eb="236">
      <t>メイ</t>
    </rPh>
    <rPh sb="257" eb="258">
      <t>メイ</t>
    </rPh>
    <rPh sb="277" eb="278">
      <t>メイ</t>
    </rPh>
    <rPh sb="336" eb="337">
      <t>メイ</t>
    </rPh>
    <rPh sb="361" eb="362">
      <t>メイ</t>
    </rPh>
    <rPh sb="388" eb="389">
      <t>メイ</t>
    </rPh>
    <rPh sb="413" eb="414">
      <t>メイ</t>
    </rPh>
    <rPh sb="426" eb="428">
      <t>クセン</t>
    </rPh>
    <rPh sb="430" eb="432">
      <t>ガクセイ</t>
    </rPh>
    <rPh sb="433" eb="434">
      <t>オオ</t>
    </rPh>
    <rPh sb="440" eb="441">
      <t>カン</t>
    </rPh>
    <rPh sb="444" eb="445">
      <t>ホカ</t>
    </rPh>
    <rPh sb="445" eb="447">
      <t>ジュギョウ</t>
    </rPh>
    <rPh sb="465" eb="467">
      <t>シドウ</t>
    </rPh>
    <rPh sb="483" eb="485">
      <t>ジョウホウ</t>
    </rPh>
    <rPh sb="485" eb="487">
      <t>ショリ</t>
    </rPh>
    <rPh sb="497" eb="500">
      <t>カノウセイ</t>
    </rPh>
    <rPh sb="502" eb="504">
      <t>シュウトク</t>
    </rPh>
    <rPh sb="523" eb="525">
      <t>ケッカ</t>
    </rPh>
    <rPh sb="526" eb="528">
      <t>イチイン</t>
    </rPh>
    <rPh sb="531" eb="533">
      <t>カクニン</t>
    </rPh>
    <rPh sb="552" eb="554">
      <t>カイセツ</t>
    </rPh>
    <rPh sb="611" eb="613">
      <t>シテキ</t>
    </rPh>
    <rPh sb="620" eb="621">
      <t>タイ</t>
    </rPh>
    <rPh sb="624" eb="626">
      <t>レイワ</t>
    </rPh>
    <rPh sb="629" eb="631">
      <t>ニュウガク</t>
    </rPh>
    <rPh sb="646" eb="648">
      <t>トウガイ</t>
    </rPh>
    <rPh sb="673" eb="675">
      <t>ホウコク</t>
    </rPh>
    <rPh sb="688" eb="690">
      <t>ハイフ</t>
    </rPh>
    <rPh sb="742" eb="744">
      <t>サギョウ</t>
    </rPh>
    <rPh sb="745" eb="747">
      <t>カノウ</t>
    </rPh>
    <rPh sb="753" eb="755">
      <t>ホウコク</t>
    </rPh>
    <phoneticPr fontId="1"/>
  </si>
  <si>
    <t xml:space="preserve">・99%（（83+50）/135）の学生が「十分感じた」「ある程度感じた」と回答した。
【R4学修成果評価アンケートより】
５．この授業を通じて、 データサイエンス・ＡＩを学ぶ楽しさを感じましたか。
十分感じた  83名 61%
ある程度感じた  50名 37%
あまり感じなかった  2名  1%
感じなかった   0名  0%
</t>
    <rPh sb="109" eb="110">
      <t>メイ</t>
    </rPh>
    <rPh sb="126" eb="127">
      <t>メイ</t>
    </rPh>
    <rPh sb="144" eb="145">
      <t>メイ</t>
    </rPh>
    <rPh sb="160" eb="161">
      <t>メイ</t>
    </rPh>
    <phoneticPr fontId="1"/>
  </si>
  <si>
    <t>教育開発センター長兼教育企画室長　筒井琢磨
現代日本社会学部　教授　笠原正嗣
文学部　准教授　中山真
教育学部　助教　上野祐一
教育学部　助教　澤友美
企画部長　森正樹
企画担当課長　小津かおり
教務担当課長　荒木徹
教育開発センター主事　梅川紗綾
※構成員・役職名ともに令和4年度の状況</t>
    <rPh sb="2" eb="4">
      <t>カイハツ</t>
    </rPh>
    <rPh sb="9" eb="10">
      <t>ケン</t>
    </rPh>
    <rPh sb="10" eb="12">
      <t>キョウイク</t>
    </rPh>
    <rPh sb="12" eb="14">
      <t>キカク</t>
    </rPh>
    <rPh sb="14" eb="15">
      <t>シツ</t>
    </rPh>
    <rPh sb="15" eb="16">
      <t>チョウ</t>
    </rPh>
    <rPh sb="117" eb="119">
      <t>シュジ</t>
    </rPh>
    <rPh sb="126" eb="128">
      <t>コウセイ</t>
    </rPh>
    <rPh sb="128" eb="129">
      <t>イン</t>
    </rPh>
    <rPh sb="130" eb="133">
      <t>ヤクショクメイ</t>
    </rPh>
    <rPh sb="136" eb="138">
      <t>レイワ</t>
    </rPh>
    <rPh sb="139" eb="141">
      <t>ネンド</t>
    </rPh>
    <rPh sb="142" eb="144">
      <t>ジョウキョウ</t>
    </rPh>
    <phoneticPr fontId="1"/>
  </si>
  <si>
    <t>第１回　データサイエンスとは
データサイエンスとは、データサイエンスが重要視される背景（データ量の増加、計算機の処理性能の向上等）、データ活用を支援するデジタル技術のキーワード①ビッグデータ・②IoT・③AI
第２回　社会で起きている変化
日本企業の国際競争力低下、市場の大きな変化、デジタル技術の発展、デジタル社会の提言①第4次産業革命・②Industrie4.0（ドイツ）・③データ駆動型社会（日本）・④Society5.0（日本）</t>
    <rPh sb="35" eb="38">
      <t>ジュウヨウシ</t>
    </rPh>
    <rPh sb="41" eb="43">
      <t>ハイケイ</t>
    </rPh>
    <rPh sb="63" eb="64">
      <t>トウ</t>
    </rPh>
    <rPh sb="69" eb="71">
      <t>カツヨウ</t>
    </rPh>
    <rPh sb="72" eb="74">
      <t>シエン</t>
    </rPh>
    <rPh sb="80" eb="82">
      <t>ギジュツ</t>
    </rPh>
    <rPh sb="120" eb="124">
      <t>ニホンキギョウ</t>
    </rPh>
    <rPh sb="125" eb="132">
      <t>コクサイキョウソウリョクテイカ</t>
    </rPh>
    <rPh sb="133" eb="135">
      <t>シジョウ</t>
    </rPh>
    <rPh sb="136" eb="137">
      <t>オオ</t>
    </rPh>
    <rPh sb="139" eb="141">
      <t>ヘンカ</t>
    </rPh>
    <rPh sb="146" eb="148">
      <t>ギジュツ</t>
    </rPh>
    <rPh sb="149" eb="151">
      <t>ハッテン</t>
    </rPh>
    <rPh sb="156" eb="158">
      <t>シャカイ</t>
    </rPh>
    <rPh sb="159" eb="161">
      <t>テイゲン</t>
    </rPh>
    <rPh sb="162" eb="163">
      <t>ダイ</t>
    </rPh>
    <rPh sb="164" eb="165">
      <t>ジ</t>
    </rPh>
    <rPh sb="165" eb="169">
      <t>サンギョウカクメイ</t>
    </rPh>
    <rPh sb="193" eb="196">
      <t>クドウガタ</t>
    </rPh>
    <rPh sb="196" eb="198">
      <t>シャカイ</t>
    </rPh>
    <rPh sb="199" eb="201">
      <t>ニホン</t>
    </rPh>
    <rPh sb="215" eb="217">
      <t>ニホン</t>
    </rPh>
    <phoneticPr fontId="1"/>
  </si>
  <si>
    <t>第８回　データ・AI利活用の最新動向
データ・AI等を活用した新しいビジネスモデル（ビッグデータ分析による予測、意思決定支援、ダイナミックプライシング、個人信用評価サービス等）、データ・AIに関連した新技術（AI最新技術の活用例：敵対的生成ネットワーク、強化学習、転移学習等）、新ビジネスがなぜ小さな企業から生まれやすいのか</t>
    <rPh sb="25" eb="26">
      <t>ナド</t>
    </rPh>
    <rPh sb="27" eb="29">
      <t>カツヨウ</t>
    </rPh>
    <rPh sb="31" eb="32">
      <t>アタラ</t>
    </rPh>
    <rPh sb="48" eb="50">
      <t>ブンセキ</t>
    </rPh>
    <rPh sb="53" eb="55">
      <t>ヨソク</t>
    </rPh>
    <rPh sb="56" eb="62">
      <t>イシケッテイシエン</t>
    </rPh>
    <rPh sb="76" eb="82">
      <t>コジンシンヨウヒョウカ</t>
    </rPh>
    <rPh sb="86" eb="87">
      <t>トウ</t>
    </rPh>
    <rPh sb="96" eb="98">
      <t>カンレン</t>
    </rPh>
    <rPh sb="100" eb="103">
      <t>シンギジュツ</t>
    </rPh>
    <rPh sb="115" eb="120">
      <t>テキタイテキセイセイ</t>
    </rPh>
    <rPh sb="127" eb="131">
      <t>キョウカガクシュウ</t>
    </rPh>
    <rPh sb="132" eb="136">
      <t>テンイガクシュウ</t>
    </rPh>
    <rPh sb="136" eb="137">
      <t>トウ</t>
    </rPh>
    <rPh sb="139" eb="140">
      <t>シン</t>
    </rPh>
    <rPh sb="147" eb="148">
      <t>チイ</t>
    </rPh>
    <rPh sb="150" eb="152">
      <t>キギョウ</t>
    </rPh>
    <rPh sb="154" eb="155">
      <t>ウ</t>
    </rPh>
    <phoneticPr fontId="1"/>
  </si>
  <si>
    <t>第４回　データ・AIの活用領域
AIの定義、AIの歴史、業種別のAI活用領域（データ・AI活用領域の広がり（生産、消費）：製造、小売、物流、医療・介護）、人間に近づくAI(データ・AI活用領域の広がり（文化活動）：絵画、作曲、小説等)</t>
    <rPh sb="19" eb="21">
      <t>テイギ</t>
    </rPh>
    <rPh sb="25" eb="27">
      <t>レキシ</t>
    </rPh>
    <rPh sb="28" eb="31">
      <t>ギョウシュベツ</t>
    </rPh>
    <rPh sb="34" eb="38">
      <t>カツヨウリョウイキ</t>
    </rPh>
    <rPh sb="45" eb="47">
      <t>カツヨウ</t>
    </rPh>
    <rPh sb="47" eb="49">
      <t>リョウイキ</t>
    </rPh>
    <rPh sb="50" eb="51">
      <t>ヒロ</t>
    </rPh>
    <rPh sb="54" eb="56">
      <t>セイサン</t>
    </rPh>
    <rPh sb="57" eb="59">
      <t>ショウヒ</t>
    </rPh>
    <rPh sb="61" eb="63">
      <t>セイゾウ</t>
    </rPh>
    <rPh sb="64" eb="66">
      <t>コウ</t>
    </rPh>
    <rPh sb="67" eb="69">
      <t>ブツリュウ</t>
    </rPh>
    <rPh sb="70" eb="72">
      <t>イリョウ</t>
    </rPh>
    <rPh sb="73" eb="75">
      <t>カイゴ</t>
    </rPh>
    <rPh sb="77" eb="79">
      <t>ニンゲン</t>
    </rPh>
    <rPh sb="80" eb="81">
      <t>チカ</t>
    </rPh>
    <rPh sb="92" eb="94">
      <t>カツヨウ</t>
    </rPh>
    <rPh sb="94" eb="96">
      <t>リョウイキ</t>
    </rPh>
    <rPh sb="97" eb="98">
      <t>ヒロ</t>
    </rPh>
    <rPh sb="101" eb="103">
      <t>ブンカ</t>
    </rPh>
    <rPh sb="103" eb="105">
      <t>カツドウ</t>
    </rPh>
    <rPh sb="107" eb="109">
      <t>カイガ</t>
    </rPh>
    <rPh sb="110" eb="112">
      <t>サッキョク</t>
    </rPh>
    <rPh sb="113" eb="115">
      <t>ショウセツ</t>
    </rPh>
    <rPh sb="115" eb="116">
      <t>トウ</t>
    </rPh>
    <phoneticPr fontId="1"/>
  </si>
  <si>
    <t>第５回　データ・AI利活用のための技術
データ認識技術、AI技術（ルールベース、機械学習、教師あり学習、教師なし学習、強化学習、深層学習）、AIの課題・AIの難問（今のAIで出来ること出来ないこと、フレーム問題、シンボルグラウンディング問題）、AIが社会にもたらす影響（特化型AIと汎用型AIなど）</t>
    <rPh sb="23" eb="27">
      <t>ニンシキギジュツ</t>
    </rPh>
    <rPh sb="30" eb="32">
      <t>ギジュツ</t>
    </rPh>
    <rPh sb="40" eb="42">
      <t>キカイ</t>
    </rPh>
    <rPh sb="42" eb="44">
      <t>ガクシュウ</t>
    </rPh>
    <rPh sb="45" eb="47">
      <t>キョウシ</t>
    </rPh>
    <rPh sb="49" eb="51">
      <t>ガクシュウ</t>
    </rPh>
    <rPh sb="52" eb="54">
      <t>キョウシ</t>
    </rPh>
    <rPh sb="56" eb="58">
      <t>ガクシュウ</t>
    </rPh>
    <rPh sb="59" eb="63">
      <t>キョウカガクシュウ</t>
    </rPh>
    <rPh sb="64" eb="68">
      <t>シンソウガクシュウ</t>
    </rPh>
    <rPh sb="73" eb="75">
      <t>カダイ</t>
    </rPh>
    <rPh sb="79" eb="81">
      <t>ナンモン</t>
    </rPh>
    <rPh sb="82" eb="83">
      <t>イマ</t>
    </rPh>
    <rPh sb="87" eb="89">
      <t>デキ</t>
    </rPh>
    <rPh sb="92" eb="94">
      <t>デキ</t>
    </rPh>
    <rPh sb="103" eb="105">
      <t>モンダイ</t>
    </rPh>
    <rPh sb="118" eb="120">
      <t>モンダイ</t>
    </rPh>
    <rPh sb="125" eb="127">
      <t>シャカイ</t>
    </rPh>
    <rPh sb="132" eb="134">
      <t>エイキョウ</t>
    </rPh>
    <rPh sb="135" eb="138">
      <t>トッカガタ</t>
    </rPh>
    <rPh sb="141" eb="144">
      <t>ハンヨウガタ</t>
    </rPh>
    <phoneticPr fontId="1"/>
  </si>
  <si>
    <t>第６回　データ活用とは
データの定義、データ活用のモデル、データ分析のアプローチ（データサイエンスのサイクル）①目的設計・②分析計画・データ設計・③データ収集・保存・データの前処理・分析手法選択と適用・④分析結果の解釈・施策の提案・実施と検証、データ分析においてより大きな価値を生む領域
第７回　データ・AI利活用の現場
製造業のデータ・AI利活用事例紹介、小売業（流通）のデータ・AI利活用事例紹介、サービス業のデータ・AI利活用紹介、公共・インフラのデータ・AI利活用事例紹介、データ・AI活用による新しいビジネス領域（シェアリングエコノミー、D2C、スマートシティ）</t>
    <rPh sb="16" eb="18">
      <t>テイギ</t>
    </rPh>
    <rPh sb="22" eb="24">
      <t>カツヨウ</t>
    </rPh>
    <rPh sb="32" eb="34">
      <t>ブンセキ</t>
    </rPh>
    <rPh sb="56" eb="60">
      <t>モクテキセッケイ</t>
    </rPh>
    <rPh sb="62" eb="66">
      <t>ブンセキケイカク</t>
    </rPh>
    <rPh sb="70" eb="72">
      <t>セッケイ</t>
    </rPh>
    <rPh sb="77" eb="79">
      <t>シュウシュウ</t>
    </rPh>
    <rPh sb="80" eb="82">
      <t>ホゾン</t>
    </rPh>
    <rPh sb="87" eb="90">
      <t>マエショリ</t>
    </rPh>
    <rPh sb="91" eb="97">
      <t>ブンセキシュホウセンタク</t>
    </rPh>
    <rPh sb="98" eb="100">
      <t>テキヨウ</t>
    </rPh>
    <rPh sb="102" eb="106">
      <t>ブンセキケッカ</t>
    </rPh>
    <rPh sb="107" eb="109">
      <t>カイシャク</t>
    </rPh>
    <rPh sb="110" eb="112">
      <t>シサク</t>
    </rPh>
    <rPh sb="113" eb="115">
      <t>テイアン</t>
    </rPh>
    <rPh sb="116" eb="118">
      <t>ジッシ</t>
    </rPh>
    <rPh sb="119" eb="121">
      <t>ケンショウ</t>
    </rPh>
    <rPh sb="125" eb="127">
      <t>ブンセキ</t>
    </rPh>
    <rPh sb="161" eb="164">
      <t>セイゾウギョウ</t>
    </rPh>
    <rPh sb="171" eb="172">
      <t>リ</t>
    </rPh>
    <rPh sb="172" eb="174">
      <t>カツヨウ</t>
    </rPh>
    <rPh sb="174" eb="176">
      <t>ジレイ</t>
    </rPh>
    <rPh sb="176" eb="178">
      <t>ショウカイ</t>
    </rPh>
    <rPh sb="179" eb="181">
      <t>コウ</t>
    </rPh>
    <rPh sb="183" eb="185">
      <t>リュウツウ</t>
    </rPh>
    <rPh sb="219" eb="221">
      <t>コウキョウ</t>
    </rPh>
    <rPh sb="247" eb="249">
      <t>カツヨウ</t>
    </rPh>
    <rPh sb="252" eb="253">
      <t>アタラ</t>
    </rPh>
    <rPh sb="259" eb="261">
      <t>リョウイキ</t>
    </rPh>
    <phoneticPr fontId="1"/>
  </si>
  <si>
    <t>第１３回　データ・AIを扱う上での留意事項（１）
「ELSI」とは何か、データに関する不正行為（データのねつ造、改ざん、盗用）、個人情報の保護（個人情報保護法、オプトイン／オプトアウト、GDPR、忘れられる権利）、個人情報は誰が管理すべきか
第１４回　データ・AIを扱う上での留意事項（２）
バイアスとは、データ収集におけるバイアス、データ・AIを扱う上でのバイアス（データバイアス・アルゴリズムバイアス）、AIの正しい活用に向けて（人間中心のAI社会原則：公平性、説明責任、透明性の原則、AIサービスの責任論）</t>
    <rPh sb="33" eb="34">
      <t>ナニ</t>
    </rPh>
    <rPh sb="40" eb="41">
      <t>カン</t>
    </rPh>
    <rPh sb="43" eb="47">
      <t>フセイコウイ</t>
    </rPh>
    <rPh sb="54" eb="55">
      <t>ゾウ</t>
    </rPh>
    <rPh sb="56" eb="57">
      <t>カイ</t>
    </rPh>
    <rPh sb="60" eb="62">
      <t>トウヨウ</t>
    </rPh>
    <rPh sb="64" eb="68">
      <t>コジンジョウホウ</t>
    </rPh>
    <rPh sb="69" eb="71">
      <t>ホゴ</t>
    </rPh>
    <rPh sb="72" eb="79">
      <t>コジンジョウホウホゴホウ</t>
    </rPh>
    <rPh sb="98" eb="99">
      <t>ワス</t>
    </rPh>
    <rPh sb="103" eb="105">
      <t>ケンリ</t>
    </rPh>
    <rPh sb="107" eb="111">
      <t>コジンジョウホウ</t>
    </rPh>
    <rPh sb="112" eb="113">
      <t>ダレ</t>
    </rPh>
    <rPh sb="114" eb="116">
      <t>カンリ</t>
    </rPh>
    <rPh sb="156" eb="158">
      <t>シュウシュウ</t>
    </rPh>
    <rPh sb="174" eb="175">
      <t>アツカ</t>
    </rPh>
    <rPh sb="176" eb="177">
      <t>ウエ</t>
    </rPh>
    <rPh sb="207" eb="208">
      <t>タダ</t>
    </rPh>
    <rPh sb="210" eb="212">
      <t>カツヨウ</t>
    </rPh>
    <rPh sb="213" eb="214">
      <t>ム</t>
    </rPh>
    <rPh sb="217" eb="221">
      <t>ニンゲンチュウシン</t>
    </rPh>
    <rPh sb="224" eb="228">
      <t>シャカイゲンソク</t>
    </rPh>
    <rPh sb="229" eb="232">
      <t>コウヘイセイ</t>
    </rPh>
    <rPh sb="233" eb="237">
      <t>セツメイセキニン</t>
    </rPh>
    <rPh sb="238" eb="241">
      <t>トウメイセイ</t>
    </rPh>
    <rPh sb="242" eb="244">
      <t>ゲンソク</t>
    </rPh>
    <rPh sb="252" eb="254">
      <t>セキニン</t>
    </rPh>
    <rPh sb="254" eb="255">
      <t>ロン</t>
    </rPh>
    <phoneticPr fontId="1"/>
  </si>
  <si>
    <t>第１５回　データを守る上での留意事項とまとめ
情報セキュリティ（可用性、機密性、完全性）、従業員等による内部不正、コンピュータウイルスへの感染、サイバー攻撃、情報セキュリティ脅威事例、セキュリティ技術（暗号化、パスワード）</t>
    <rPh sb="23" eb="25">
      <t>ジョウホウ</t>
    </rPh>
    <rPh sb="36" eb="39">
      <t>キミツセイ</t>
    </rPh>
    <rPh sb="40" eb="43">
      <t>カンゼンセイ</t>
    </rPh>
    <rPh sb="45" eb="48">
      <t>ジュウギョウイン</t>
    </rPh>
    <rPh sb="48" eb="49">
      <t>トウ</t>
    </rPh>
    <rPh sb="52" eb="56">
      <t>ナイブフセイ</t>
    </rPh>
    <rPh sb="69" eb="71">
      <t>カンセン</t>
    </rPh>
    <rPh sb="76" eb="78">
      <t>コウゲキ</t>
    </rPh>
    <rPh sb="79" eb="81">
      <t>ジョウホウ</t>
    </rPh>
    <rPh sb="87" eb="91">
      <t>キョウイジレイ</t>
    </rPh>
    <rPh sb="98" eb="100">
      <t>ギジュツ</t>
    </rPh>
    <rPh sb="101" eb="104">
      <t>アンゴウカ</t>
    </rPh>
    <phoneticPr fontId="1"/>
  </si>
  <si>
    <t>第１２回　データを扱う
データ解析ツール（Microsoft Excel）を使用し、表形式のデータを実際に操作する。データの集計（和や平均）やデータの並び替え等を行う。
演習１「売り上げを予測する」、演習２「顧客層を分析する」、演習３「顧客満足度を把握する」、演習４「顧客不満の要因を探る」</t>
    <rPh sb="85" eb="87">
      <t>エンシュウ</t>
    </rPh>
    <rPh sb="89" eb="90">
      <t>ウ</t>
    </rPh>
    <rPh sb="91" eb="92">
      <t>ア</t>
    </rPh>
    <rPh sb="94" eb="96">
      <t>ヨソク</t>
    </rPh>
    <rPh sb="100" eb="102">
      <t>エンシュウ</t>
    </rPh>
    <rPh sb="104" eb="107">
      <t>コキャクソウ</t>
    </rPh>
    <rPh sb="108" eb="110">
      <t>ブンセキ</t>
    </rPh>
    <rPh sb="114" eb="116">
      <t>エンシュウ</t>
    </rPh>
    <rPh sb="118" eb="123">
      <t>コキャクマンゾクド</t>
    </rPh>
    <rPh sb="124" eb="126">
      <t>ハアク</t>
    </rPh>
    <rPh sb="130" eb="132">
      <t>エンシュウ</t>
    </rPh>
    <rPh sb="134" eb="136">
      <t>コキャク</t>
    </rPh>
    <rPh sb="136" eb="138">
      <t>フマン</t>
    </rPh>
    <rPh sb="139" eb="141">
      <t>ヨウイン</t>
    </rPh>
    <rPh sb="142" eb="143">
      <t>サグ</t>
    </rPh>
    <phoneticPr fontId="1"/>
  </si>
  <si>
    <r>
      <t>第:３回　社会で活用されているデータ
統計データ、人の行動ログデータ、機械</t>
    </r>
    <r>
      <rPr>
        <sz val="12"/>
        <rFont val="ＭＳ Ｐゴシック"/>
        <family val="3"/>
        <charset val="128"/>
        <scheme val="minor"/>
      </rPr>
      <t>の稼働ログデータ、データの分類（1次データ・2次データ、外部データ・内部データ、構造化・準構造化・非構造化データ）、オープンデータ</t>
    </r>
    <rPh sb="19" eb="21">
      <t>トウケイ</t>
    </rPh>
    <rPh sb="25" eb="26">
      <t>ヒト</t>
    </rPh>
    <rPh sb="27" eb="29">
      <t>コウドウ</t>
    </rPh>
    <rPh sb="35" eb="37">
      <t>キカイ</t>
    </rPh>
    <rPh sb="38" eb="40">
      <t>カドウ</t>
    </rPh>
    <rPh sb="50" eb="52">
      <t>ブンルイ</t>
    </rPh>
    <phoneticPr fontId="1"/>
  </si>
  <si>
    <r>
      <t>第１１回　データを説明する
データ表現（グラフをつくる、データを比較するためのグラフ（棒グラフ、円グラフ、積み上げ棒グラフ、レーダーチャート）、時間の推移を見せるためのグラフ（折れ線グラフ、面グラフ）、データ相互の関係を示すためのグラフ（散布図）、データの偏りを示すためのグラフ（ヒートマップ））、演習：グラフをつくる、データの比較（A/Bテスト）、適切なグラフ表現（チャートジャンク）、優れた</t>
    </r>
    <r>
      <rPr>
        <sz val="12"/>
        <rFont val="ＭＳ Ｐゴシック"/>
        <family val="3"/>
        <charset val="128"/>
        <scheme val="minor"/>
      </rPr>
      <t>可視化事例の紹介</t>
    </r>
    <rPh sb="17" eb="19">
      <t>ヒョウゲン</t>
    </rPh>
    <rPh sb="32" eb="34">
      <t>ヒカク</t>
    </rPh>
    <rPh sb="43" eb="44">
      <t>ボウ</t>
    </rPh>
    <rPh sb="48" eb="49">
      <t>エン</t>
    </rPh>
    <rPh sb="53" eb="54">
      <t>ツ</t>
    </rPh>
    <rPh sb="55" eb="56">
      <t>ア</t>
    </rPh>
    <rPh sb="57" eb="58">
      <t>ボウ</t>
    </rPh>
    <rPh sb="72" eb="74">
      <t>ジカン</t>
    </rPh>
    <rPh sb="75" eb="77">
      <t>スイイ</t>
    </rPh>
    <rPh sb="78" eb="79">
      <t>ミ</t>
    </rPh>
    <rPh sb="88" eb="89">
      <t>オ</t>
    </rPh>
    <rPh sb="90" eb="91">
      <t>セン</t>
    </rPh>
    <rPh sb="95" eb="96">
      <t>メン</t>
    </rPh>
    <rPh sb="104" eb="106">
      <t>ソウゴ</t>
    </rPh>
    <rPh sb="107" eb="109">
      <t>カンケイ</t>
    </rPh>
    <rPh sb="110" eb="111">
      <t>シメ</t>
    </rPh>
    <rPh sb="119" eb="122">
      <t>サンプズ</t>
    </rPh>
    <rPh sb="128" eb="129">
      <t>カタヨ</t>
    </rPh>
    <rPh sb="131" eb="132">
      <t>シメ</t>
    </rPh>
    <rPh sb="149" eb="151">
      <t>エンシュウ</t>
    </rPh>
    <rPh sb="164" eb="166">
      <t>ヒカク</t>
    </rPh>
    <rPh sb="175" eb="177">
      <t>テキセツ</t>
    </rPh>
    <rPh sb="181" eb="183">
      <t>ヒョウゲン</t>
    </rPh>
    <rPh sb="194" eb="195">
      <t>スグ</t>
    </rPh>
    <rPh sb="197" eb="202">
      <t>カシカジレイ</t>
    </rPh>
    <rPh sb="203" eb="205">
      <t>ショウカイ</t>
    </rPh>
    <phoneticPr fontId="1"/>
  </si>
  <si>
    <t>第９回　データを読む（１）
データの種類（量的変数・質的変数、尺度）、データの代表値（平均値、最頻値、中央値）、演習：相乗平均・調和平均、演習：データの代表値、データのばらつき（分散、標準偏差、偏差値）、演習：データのばらつき、データのチェック
第１０回　データを読む（２）
相関と因果（散布図、相関係数）、演習：相関関係、疑似相関（潜伏変数、交絡因子）・アンスコムの例、母集団と抽出（母集団と標本、単純無作為抽出、層別抽出、多段抽出）、統計情報の正しい理解（認知バイアス、印象操作）</t>
    <rPh sb="18" eb="20">
      <t>シュルイ</t>
    </rPh>
    <rPh sb="21" eb="25">
      <t>リョウテキヘンスウ</t>
    </rPh>
    <rPh sb="26" eb="30">
      <t>シツテキヘンスウ</t>
    </rPh>
    <rPh sb="31" eb="33">
      <t>シャクド</t>
    </rPh>
    <rPh sb="39" eb="41">
      <t>ダイヒョウ</t>
    </rPh>
    <rPh sb="41" eb="42">
      <t>チ</t>
    </rPh>
    <rPh sb="43" eb="46">
      <t>ヘイキンチ</t>
    </rPh>
    <rPh sb="47" eb="50">
      <t>サイヒンチ</t>
    </rPh>
    <rPh sb="51" eb="54">
      <t>チュウオウチ</t>
    </rPh>
    <rPh sb="56" eb="58">
      <t>エンシュウ</t>
    </rPh>
    <rPh sb="59" eb="61">
      <t>ソウジョウ</t>
    </rPh>
    <rPh sb="61" eb="63">
      <t>ヘイキン</t>
    </rPh>
    <rPh sb="64" eb="66">
      <t>チョウワ</t>
    </rPh>
    <rPh sb="66" eb="68">
      <t>ヘイキン</t>
    </rPh>
    <rPh sb="69" eb="71">
      <t>エンシュウ</t>
    </rPh>
    <rPh sb="76" eb="78">
      <t>ダイヒョウ</t>
    </rPh>
    <rPh sb="78" eb="79">
      <t>チ</t>
    </rPh>
    <rPh sb="89" eb="91">
      <t>ブンサン</t>
    </rPh>
    <rPh sb="92" eb="96">
      <t>ヒョウジュンヘンサ</t>
    </rPh>
    <rPh sb="97" eb="100">
      <t>ヘンサチ</t>
    </rPh>
    <rPh sb="102" eb="104">
      <t>エンシュウ</t>
    </rPh>
    <rPh sb="138" eb="140">
      <t>ソウカン</t>
    </rPh>
    <rPh sb="141" eb="143">
      <t>インガ</t>
    </rPh>
    <rPh sb="144" eb="147">
      <t>サンプズ</t>
    </rPh>
    <rPh sb="148" eb="152">
      <t>ソウカンケイスウ</t>
    </rPh>
    <rPh sb="154" eb="156">
      <t>エンシュウ</t>
    </rPh>
    <rPh sb="157" eb="161">
      <t>ソウカンカンケイ</t>
    </rPh>
    <rPh sb="162" eb="166">
      <t>ギジソウカン</t>
    </rPh>
    <rPh sb="167" eb="171">
      <t>センプクヘンスウ</t>
    </rPh>
    <rPh sb="172" eb="176">
      <t>コウラクインシ</t>
    </rPh>
    <rPh sb="184" eb="185">
      <t>レイ</t>
    </rPh>
    <rPh sb="186" eb="189">
      <t>ボシュウダン</t>
    </rPh>
    <rPh sb="190" eb="192">
      <t>チュウシュツ</t>
    </rPh>
    <rPh sb="193" eb="196">
      <t>ボシュウダン</t>
    </rPh>
    <rPh sb="197" eb="199">
      <t>ヒョウホン</t>
    </rPh>
    <rPh sb="200" eb="202">
      <t>タンジュン</t>
    </rPh>
    <rPh sb="219" eb="223">
      <t>トウケイジョウホウ</t>
    </rPh>
    <rPh sb="224" eb="225">
      <t>タダ</t>
    </rPh>
    <rPh sb="227" eb="229">
      <t>リカイ</t>
    </rPh>
    <rPh sb="230" eb="232">
      <t>ニンチ</t>
    </rPh>
    <rPh sb="237" eb="241">
      <t>インショウソウサ</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</si>
</sst>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4"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1"/>
      <name val="ＭＳ Ｐゴシック"/>
      <family val="3"/>
      <charset val="128"/>
      <scheme val="minor"/>
    </font>
    <font>
      <sz val="9"/>
      <name val="ＭＳ Ｐゴシック"/>
      <family val="3"/>
      <charset val="128"/>
      <scheme val="minor"/>
    </font>
    <font>
      <sz val="12"/>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78">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0" xfId="0" applyFont="1" applyFill="1" applyAlignment="1">
      <alignment vertical="top" wrapText="1"/>
    </xf>
    <xf numFmtId="0" fontId="2" fillId="2" borderId="0" xfId="0" applyFont="1" applyFill="1">
      <alignment vertical="center"/>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0" fontId="5" fillId="2" borderId="42" xfId="0" applyFont="1" applyFill="1" applyBorder="1" applyAlignment="1">
      <alignment vertical="top" shrinkToFit="1"/>
    </xf>
    <xf numFmtId="0" fontId="5" fillId="2" borderId="43" xfId="0" applyFont="1" applyFill="1" applyBorder="1" applyAlignment="1">
      <alignment vertical="top" shrinkToFit="1"/>
    </xf>
    <xf numFmtId="38" fontId="2" fillId="0" borderId="5" xfId="2" applyFont="1" applyFill="1" applyBorder="1" applyAlignment="1">
      <alignment vertical="center" shrinkToFit="1"/>
    </xf>
    <xf numFmtId="38" fontId="2" fillId="0" borderId="55" xfId="2" applyFont="1" applyFill="1" applyBorder="1" applyAlignment="1">
      <alignment vertical="center" shrinkToFit="1"/>
    </xf>
    <xf numFmtId="38" fontId="2" fillId="0" borderId="32" xfId="2" applyFont="1" applyFill="1" applyBorder="1" applyAlignment="1">
      <alignment vertical="center" shrinkToFit="1"/>
    </xf>
    <xf numFmtId="38" fontId="2" fillId="0" borderId="54" xfId="2" applyFont="1" applyFill="1" applyBorder="1" applyAlignment="1">
      <alignment vertical="center" shrinkToFit="1"/>
    </xf>
    <xf numFmtId="38" fontId="2" fillId="0" borderId="30" xfId="2" applyFont="1" applyFill="1" applyBorder="1" applyAlignment="1">
      <alignment vertical="center" shrinkToFit="1"/>
    </xf>
    <xf numFmtId="38" fontId="2" fillId="0" borderId="57" xfId="2" applyFont="1" applyFill="1" applyBorder="1" applyAlignment="1">
      <alignment vertical="center" shrinkToFit="1"/>
    </xf>
    <xf numFmtId="49" fontId="12" fillId="0" borderId="48" xfId="0" applyNumberFormat="1" applyFont="1" applyBorder="1" applyAlignment="1">
      <alignment horizontal="center" vertical="center"/>
    </xf>
    <xf numFmtId="49" fontId="12" fillId="0" borderId="49" xfId="0" applyNumberFormat="1" applyFont="1" applyBorder="1" applyAlignment="1">
      <alignment horizontal="center" vertical="center"/>
    </xf>
    <xf numFmtId="49" fontId="12" fillId="0" borderId="44" xfId="0" applyNumberFormat="1" applyFont="1" applyBorder="1" applyAlignment="1">
      <alignment horizontal="center" vertical="center"/>
    </xf>
    <xf numFmtId="49" fontId="12" fillId="0" borderId="29" xfId="0" applyNumberFormat="1" applyFont="1" applyBorder="1" applyAlignment="1">
      <alignment horizontal="center" vertical="center"/>
    </xf>
    <xf numFmtId="49" fontId="12" fillId="0" borderId="47" xfId="0" applyNumberFormat="1" applyFont="1" applyBorder="1" applyAlignment="1">
      <alignment horizontal="center" vertical="center"/>
    </xf>
    <xf numFmtId="49" fontId="12" fillId="0" borderId="32" xfId="0" applyNumberFormat="1" applyFont="1" applyBorder="1" applyAlignment="1">
      <alignment horizontal="center" vertical="center"/>
    </xf>
    <xf numFmtId="0" fontId="13" fillId="0" borderId="0" xfId="0" applyFont="1">
      <alignment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vertical="center" wrapTex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13" fillId="0" borderId="2" xfId="0" applyFont="1" applyBorder="1" applyAlignment="1">
      <alignment vertical="center" wrapText="1" shrinkToFit="1"/>
    </xf>
    <xf numFmtId="0" fontId="13" fillId="0" borderId="3" xfId="0" applyFont="1" applyBorder="1" applyAlignment="1">
      <alignment vertical="center" wrapText="1" shrinkToFit="1"/>
    </xf>
    <xf numFmtId="0" fontId="13" fillId="0" borderId="4" xfId="0" applyFont="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13" fillId="0" borderId="22" xfId="0" applyFont="1" applyBorder="1" applyAlignment="1">
      <alignment horizontal="left" vertical="top" wrapText="1" shrinkToFit="1"/>
    </xf>
    <xf numFmtId="0" fontId="13" fillId="0" borderId="22" xfId="0" applyFont="1" applyBorder="1" applyAlignment="1">
      <alignment horizontal="left" vertical="top" shrinkToFit="1"/>
    </xf>
    <xf numFmtId="0" fontId="13" fillId="0" borderId="21" xfId="0" applyFont="1" applyBorder="1" applyAlignment="1">
      <alignment horizontal="left" vertical="top" shrinkToFit="1"/>
    </xf>
    <xf numFmtId="0" fontId="13" fillId="0" borderId="36" xfId="0" applyFont="1" applyBorder="1" applyAlignment="1">
      <alignment horizontal="left" vertical="top" wrapText="1" shrinkToFit="1"/>
    </xf>
    <xf numFmtId="0" fontId="13" fillId="0" borderId="35"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6" xfId="0" applyFont="1" applyBorder="1" applyAlignment="1">
      <alignment horizontal="left" vertical="top" shrinkToFit="1"/>
    </xf>
    <xf numFmtId="0" fontId="13" fillId="0" borderId="12" xfId="0" applyFont="1" applyBorder="1" applyAlignment="1">
      <alignment horizontal="left" vertical="top" shrinkToFit="1"/>
    </xf>
    <xf numFmtId="0" fontId="13" fillId="0" borderId="38" xfId="0" applyFont="1" applyBorder="1" applyAlignment="1">
      <alignment horizontal="left" vertical="top" wrapText="1" shrinkToFit="1"/>
    </xf>
    <xf numFmtId="0" fontId="13" fillId="0" borderId="38" xfId="0" applyFont="1" applyBorder="1" applyAlignment="1">
      <alignment horizontal="left" vertical="top" shrinkToFit="1"/>
    </xf>
    <xf numFmtId="0" fontId="13" fillId="0" borderId="39" xfId="0" applyFont="1" applyBorder="1" applyAlignment="1">
      <alignment horizontal="left" vertical="top" shrinkToFit="1"/>
    </xf>
    <xf numFmtId="0" fontId="13" fillId="0" borderId="36" xfId="0" applyFont="1" applyBorder="1" applyAlignment="1">
      <alignment horizontal="left" vertical="top" shrinkToFit="1"/>
    </xf>
    <xf numFmtId="0" fontId="13" fillId="0" borderId="35" xfId="0" applyFont="1" applyBorder="1" applyAlignment="1">
      <alignment horizontal="left" vertical="top" shrinkToFit="1"/>
    </xf>
    <xf numFmtId="0" fontId="13" fillId="0" borderId="19" xfId="0" applyFont="1" applyBorder="1" applyAlignment="1">
      <alignment vertical="top" wrapText="1" shrinkToFit="1"/>
    </xf>
    <xf numFmtId="0" fontId="13" fillId="0" borderId="20" xfId="0" applyFont="1" applyBorder="1" applyAlignment="1">
      <alignment vertical="top" shrinkToFit="1"/>
    </xf>
    <xf numFmtId="0" fontId="13" fillId="0" borderId="18" xfId="0" applyFont="1" applyBorder="1" applyAlignment="1">
      <alignment vertical="top"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12" fillId="0" borderId="45" xfId="0" applyFont="1" applyBorder="1" applyAlignment="1">
      <alignment vertical="center" wrapText="1"/>
    </xf>
    <xf numFmtId="0" fontId="12" fillId="0" borderId="46" xfId="0" applyFont="1" applyBorder="1" applyAlignment="1">
      <alignment vertical="center" wrapText="1"/>
    </xf>
    <xf numFmtId="0" fontId="12" fillId="0" borderId="31" xfId="0" applyFont="1" applyBorder="1" applyAlignment="1">
      <alignment vertical="center" wrapText="1"/>
    </xf>
    <xf numFmtId="0" fontId="13" fillId="0" borderId="36" xfId="0" applyFont="1" applyBorder="1" applyAlignment="1">
      <alignment vertical="top" wrapText="1" shrinkToFit="1"/>
    </xf>
    <xf numFmtId="0" fontId="13" fillId="0" borderId="36" xfId="0" applyFont="1" applyBorder="1" applyAlignment="1">
      <alignment vertical="top" shrinkToFit="1"/>
    </xf>
    <xf numFmtId="0" fontId="13" fillId="0" borderId="35" xfId="0" applyFont="1" applyBorder="1" applyAlignment="1">
      <alignment vertical="top" shrinkToFit="1"/>
    </xf>
    <xf numFmtId="0" fontId="13" fillId="0" borderId="6" xfId="0" applyFont="1" applyBorder="1" applyAlignment="1">
      <alignment vertical="top" wrapText="1" shrinkToFit="1"/>
    </xf>
    <xf numFmtId="0" fontId="13" fillId="0" borderId="6" xfId="0" applyFont="1" applyBorder="1" applyAlignment="1">
      <alignment vertical="top" shrinkToFit="1"/>
    </xf>
    <xf numFmtId="0" fontId="13" fillId="0" borderId="12" xfId="0" applyFont="1" applyBorder="1" applyAlignment="1">
      <alignment vertical="top" shrinkToFit="1"/>
    </xf>
    <xf numFmtId="0" fontId="13" fillId="0" borderId="8" xfId="0" applyFont="1" applyBorder="1" applyAlignment="1">
      <alignment horizontal="left" vertical="top" wrapText="1" shrinkToFit="1"/>
    </xf>
    <xf numFmtId="0" fontId="13" fillId="0" borderId="8" xfId="0" applyFont="1" applyBorder="1" applyAlignment="1">
      <alignment horizontal="left" vertical="top" shrinkToFit="1"/>
    </xf>
    <xf numFmtId="0" fontId="13" fillId="0" borderId="9" xfId="0" applyFont="1" applyBorder="1" applyAlignment="1">
      <alignment horizontal="left" vertical="top"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5" fillId="0" borderId="6" xfId="0" applyFont="1" applyBorder="1" applyAlignment="1">
      <alignment vertical="top" wrapText="1" shrinkToFit="1"/>
    </xf>
    <xf numFmtId="0" fontId="5" fillId="0" borderId="12"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5" fillId="0" borderId="20" xfId="0" applyFont="1" applyBorder="1" applyAlignment="1">
      <alignment vertical="top" wrapText="1" shrinkToFit="1"/>
    </xf>
    <xf numFmtId="0" fontId="5" fillId="0" borderId="18" xfId="0" applyFont="1" applyBorder="1" applyAlignment="1">
      <alignment vertical="top" wrapText="1" shrinkToFit="1"/>
    </xf>
    <xf numFmtId="0" fontId="2" fillId="0" borderId="59" xfId="0" applyFont="1" applyBorder="1" applyAlignment="1">
      <alignment vertical="center" wrapText="1"/>
    </xf>
    <xf numFmtId="0" fontId="2" fillId="0" borderId="39" xfId="0" applyFont="1" applyBorder="1" applyAlignment="1">
      <alignment vertical="center" wrapText="1"/>
    </xf>
    <xf numFmtId="0" fontId="5" fillId="0" borderId="38" xfId="0" applyFont="1" applyBorder="1" applyAlignment="1">
      <alignment vertical="top" wrapText="1" shrinkToFit="1"/>
    </xf>
    <xf numFmtId="0" fontId="5" fillId="0" borderId="39"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5" fillId="0" borderId="34" xfId="0" applyFont="1" applyBorder="1" applyAlignment="1">
      <alignment vertical="top" wrapText="1" shrinkToFit="1"/>
    </xf>
    <xf numFmtId="0" fontId="5" fillId="0" borderId="36" xfId="0" applyFont="1" applyBorder="1" applyAlignment="1">
      <alignment vertical="top" wrapText="1" shrinkToFit="1"/>
    </xf>
    <xf numFmtId="0" fontId="5" fillId="0" borderId="35" xfId="0" applyFont="1" applyBorder="1" applyAlignment="1">
      <alignment vertical="top" wrapText="1" shrinkToFit="1"/>
    </xf>
    <xf numFmtId="0" fontId="5" fillId="0" borderId="19" xfId="0" applyFont="1" applyBorder="1" applyAlignment="1">
      <alignment vertical="top" wrapText="1" shrinkToFi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5" fillId="0" borderId="37" xfId="0" applyFont="1" applyBorder="1" applyAlignment="1">
      <alignment vertical="top" wrapText="1" shrinkToFit="1"/>
    </xf>
    <xf numFmtId="0" fontId="2" fillId="0" borderId="17" xfId="0" applyFont="1" applyBorder="1">
      <alignment vertical="center"/>
    </xf>
    <xf numFmtId="0" fontId="5" fillId="0" borderId="18" xfId="0" applyFont="1" applyBorder="1">
      <alignment vertical="center"/>
    </xf>
    <xf numFmtId="0" fontId="11" fillId="0" borderId="19" xfId="0" applyFont="1" applyBorder="1" applyAlignment="1">
      <alignment vertical="top" wrapText="1" shrinkToFit="1"/>
    </xf>
    <xf numFmtId="0" fontId="11" fillId="0" borderId="20" xfId="0" applyFont="1" applyBorder="1" applyAlignment="1">
      <alignment vertical="top" wrapText="1" shrinkToFit="1"/>
    </xf>
    <xf numFmtId="0" fontId="11" fillId="0" borderId="18" xfId="0" applyFont="1" applyBorder="1" applyAlignment="1">
      <alignment vertical="top" wrapText="1" shrinkToFit="1"/>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0"/>
  <sheetViews>
    <sheetView showZeros="0" tabSelected="1" view="pageBreakPreview" topLeftCell="A95" zoomScaleNormal="100" zoomScaleSheetLayoutView="100" workbookViewId="0">
      <selection activeCell="D97" sqref="D97:S97"/>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08" t="s">
        <v>12</v>
      </c>
      <c r="S1" s="108"/>
      <c r="T1" s="2" t="s">
        <v>110</v>
      </c>
    </row>
    <row r="2" spans="1:22" ht="18.75" customHeight="1" x14ac:dyDescent="0.15">
      <c r="B2" s="28" t="s">
        <v>109</v>
      </c>
      <c r="C2" s="101" t="s">
        <v>127</v>
      </c>
      <c r="D2" s="102"/>
      <c r="E2" s="102"/>
      <c r="F2" s="102"/>
      <c r="G2" s="102"/>
      <c r="H2" s="102"/>
      <c r="I2" s="103"/>
      <c r="J2" s="29"/>
      <c r="K2" s="6"/>
      <c r="L2" s="6"/>
      <c r="M2" s="6"/>
      <c r="N2" s="6"/>
      <c r="O2" s="6"/>
      <c r="P2" s="6"/>
      <c r="Q2" s="6"/>
      <c r="R2" s="6"/>
      <c r="S2" s="6"/>
    </row>
    <row r="3" spans="1:22" ht="36.75" customHeight="1" x14ac:dyDescent="0.15">
      <c r="B3" s="28" t="s">
        <v>103</v>
      </c>
      <c r="C3" s="112" t="s">
        <v>142</v>
      </c>
      <c r="D3" s="113"/>
      <c r="E3" s="113"/>
      <c r="F3" s="113"/>
      <c r="G3" s="113"/>
      <c r="H3" s="113"/>
      <c r="I3" s="114"/>
      <c r="J3" s="29"/>
      <c r="K3" s="6"/>
      <c r="L3" s="6"/>
      <c r="M3" s="6"/>
      <c r="N3" s="6"/>
      <c r="O3" s="6"/>
      <c r="P3" s="6"/>
      <c r="Q3" s="6"/>
      <c r="R3" s="6"/>
      <c r="S3" s="6"/>
    </row>
    <row r="4" spans="1:22" ht="15" customHeight="1" x14ac:dyDescent="0.15">
      <c r="K4" s="29"/>
      <c r="L4" s="31"/>
      <c r="M4" s="31"/>
      <c r="N4" s="31"/>
      <c r="O4" s="31"/>
      <c r="P4" s="31"/>
      <c r="Q4" s="31"/>
      <c r="R4" s="31"/>
      <c r="S4" s="31"/>
    </row>
    <row r="5" spans="1:22" ht="18" customHeight="1" x14ac:dyDescent="0.15">
      <c r="A5" s="115" t="s">
        <v>39</v>
      </c>
      <c r="B5" s="115"/>
      <c r="C5" s="115"/>
      <c r="D5" s="115"/>
      <c r="E5" s="115"/>
      <c r="F5" s="115"/>
      <c r="G5" s="115"/>
      <c r="H5" s="115"/>
      <c r="I5" s="115"/>
      <c r="J5" s="115"/>
      <c r="K5" s="115"/>
      <c r="L5" s="115"/>
      <c r="M5" s="115"/>
      <c r="N5" s="115"/>
      <c r="O5" s="115"/>
      <c r="P5" s="115"/>
      <c r="Q5" s="115"/>
      <c r="R5" s="115"/>
      <c r="S5" s="115"/>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125</v>
      </c>
      <c r="C7" s="3"/>
      <c r="J7" s="32" t="s">
        <v>108</v>
      </c>
      <c r="K7" s="125" t="s">
        <v>128</v>
      </c>
      <c r="L7" s="126"/>
      <c r="M7" s="126"/>
      <c r="N7" s="126"/>
      <c r="O7" s="126"/>
      <c r="P7" s="126"/>
      <c r="Q7" s="126"/>
      <c r="R7" s="126"/>
      <c r="S7" s="127"/>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89"/>
      <c r="C9" s="90"/>
      <c r="D9" s="90"/>
      <c r="E9" s="90"/>
      <c r="F9" s="90"/>
      <c r="G9" s="90"/>
      <c r="H9" s="90"/>
      <c r="I9" s="90"/>
      <c r="J9" s="90"/>
      <c r="K9" s="90"/>
      <c r="L9" s="90"/>
      <c r="M9" s="90"/>
      <c r="N9" s="90"/>
      <c r="O9" s="90"/>
      <c r="P9" s="90"/>
      <c r="Q9" s="90"/>
      <c r="R9" s="90"/>
      <c r="S9" s="91"/>
    </row>
    <row r="10" spans="1:22" ht="18" customHeight="1" x14ac:dyDescent="0.15">
      <c r="B10" s="92"/>
      <c r="C10" s="93"/>
      <c r="D10" s="93"/>
      <c r="E10" s="93"/>
      <c r="F10" s="93"/>
      <c r="G10" s="93"/>
      <c r="H10" s="93"/>
      <c r="I10" s="93"/>
      <c r="J10" s="93"/>
      <c r="K10" s="93"/>
      <c r="L10" s="93"/>
      <c r="M10" s="93"/>
      <c r="N10" s="93"/>
      <c r="O10" s="93"/>
      <c r="P10" s="93"/>
      <c r="Q10" s="93"/>
      <c r="R10" s="93"/>
      <c r="S10" s="94"/>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112</v>
      </c>
      <c r="B12" s="3"/>
      <c r="C12" s="3"/>
      <c r="D12" s="29"/>
      <c r="E12" s="29"/>
      <c r="F12" s="29"/>
      <c r="G12" s="29"/>
      <c r="H12" s="29"/>
      <c r="I12" s="29"/>
      <c r="J12" s="29"/>
      <c r="K12" s="33"/>
      <c r="L12" s="33"/>
      <c r="M12" s="33"/>
      <c r="N12" s="33"/>
      <c r="O12" s="33"/>
      <c r="P12" s="33"/>
      <c r="Q12" s="33"/>
      <c r="R12" s="33"/>
      <c r="S12" s="33"/>
    </row>
    <row r="13" spans="1:22" ht="18" customHeight="1" x14ac:dyDescent="0.15">
      <c r="B13" s="116" t="s">
        <v>140</v>
      </c>
      <c r="C13" s="117"/>
      <c r="D13" s="117"/>
      <c r="E13" s="117"/>
      <c r="F13" s="117"/>
      <c r="G13" s="117"/>
      <c r="H13" s="117"/>
      <c r="I13" s="117"/>
      <c r="J13" s="117"/>
      <c r="K13" s="117"/>
      <c r="L13" s="117"/>
      <c r="M13" s="117"/>
      <c r="N13" s="117"/>
      <c r="O13" s="117"/>
      <c r="P13" s="117"/>
      <c r="Q13" s="117"/>
      <c r="R13" s="117"/>
      <c r="S13" s="118"/>
      <c r="V13" s="1" t="s">
        <v>104</v>
      </c>
    </row>
    <row r="14" spans="1:22" ht="18" customHeight="1" x14ac:dyDescent="0.15">
      <c r="B14" s="119"/>
      <c r="C14" s="120"/>
      <c r="D14" s="120"/>
      <c r="E14" s="120"/>
      <c r="F14" s="120"/>
      <c r="G14" s="120"/>
      <c r="H14" s="120"/>
      <c r="I14" s="120"/>
      <c r="J14" s="120"/>
      <c r="K14" s="120"/>
      <c r="L14" s="120"/>
      <c r="M14" s="120"/>
      <c r="N14" s="120"/>
      <c r="O14" s="120"/>
      <c r="P14" s="120"/>
      <c r="Q14" s="120"/>
      <c r="R14" s="120"/>
      <c r="S14" s="121"/>
      <c r="V14" s="1" t="s">
        <v>111</v>
      </c>
    </row>
    <row r="15" spans="1:22" ht="18" customHeight="1" x14ac:dyDescent="0.15">
      <c r="B15" s="119"/>
      <c r="C15" s="120"/>
      <c r="D15" s="120"/>
      <c r="E15" s="120"/>
      <c r="F15" s="120"/>
      <c r="G15" s="120"/>
      <c r="H15" s="120"/>
      <c r="I15" s="120"/>
      <c r="J15" s="120"/>
      <c r="K15" s="120"/>
      <c r="L15" s="120"/>
      <c r="M15" s="120"/>
      <c r="N15" s="120"/>
      <c r="O15" s="120"/>
      <c r="P15" s="120"/>
      <c r="Q15" s="120"/>
      <c r="R15" s="120"/>
      <c r="S15" s="121"/>
      <c r="V15" s="1" t="s">
        <v>124</v>
      </c>
    </row>
    <row r="16" spans="1:22" ht="18" customHeight="1" x14ac:dyDescent="0.15">
      <c r="B16" s="119"/>
      <c r="C16" s="120"/>
      <c r="D16" s="120"/>
      <c r="E16" s="120"/>
      <c r="F16" s="120"/>
      <c r="G16" s="120"/>
      <c r="H16" s="120"/>
      <c r="I16" s="120"/>
      <c r="J16" s="120"/>
      <c r="K16" s="120"/>
      <c r="L16" s="120"/>
      <c r="M16" s="120"/>
      <c r="N16" s="120"/>
      <c r="O16" s="120"/>
      <c r="P16" s="120"/>
      <c r="Q16" s="120"/>
      <c r="R16" s="120"/>
      <c r="S16" s="121"/>
      <c r="V16" s="1" t="s">
        <v>126</v>
      </c>
    </row>
    <row r="17" spans="1:19" ht="18" customHeight="1" x14ac:dyDescent="0.15">
      <c r="B17" s="119"/>
      <c r="C17" s="120"/>
      <c r="D17" s="120"/>
      <c r="E17" s="120"/>
      <c r="F17" s="120"/>
      <c r="G17" s="120"/>
      <c r="H17" s="120"/>
      <c r="I17" s="120"/>
      <c r="J17" s="120"/>
      <c r="K17" s="120"/>
      <c r="L17" s="120"/>
      <c r="M17" s="120"/>
      <c r="N17" s="120"/>
      <c r="O17" s="120"/>
      <c r="P17" s="120"/>
      <c r="Q17" s="120"/>
      <c r="R17" s="120"/>
      <c r="S17" s="121"/>
    </row>
    <row r="18" spans="1:19" ht="18" customHeight="1" x14ac:dyDescent="0.15">
      <c r="B18" s="122"/>
      <c r="C18" s="123"/>
      <c r="D18" s="123"/>
      <c r="E18" s="123"/>
      <c r="F18" s="123"/>
      <c r="G18" s="123"/>
      <c r="H18" s="123"/>
      <c r="I18" s="123"/>
      <c r="J18" s="123"/>
      <c r="K18" s="123"/>
      <c r="L18" s="123"/>
      <c r="M18" s="123"/>
      <c r="N18" s="123"/>
      <c r="O18" s="123"/>
      <c r="P18" s="123"/>
      <c r="Q18" s="123"/>
      <c r="R18" s="123"/>
      <c r="S18" s="124"/>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113</v>
      </c>
      <c r="C20" s="101">
        <v>2</v>
      </c>
      <c r="D20" s="103"/>
      <c r="E20" s="34" t="s">
        <v>96</v>
      </c>
      <c r="G20" s="10"/>
      <c r="H20" s="3"/>
      <c r="I20" s="3"/>
      <c r="J20" s="29" t="s">
        <v>122</v>
      </c>
      <c r="K20" s="109" t="s">
        <v>124</v>
      </c>
      <c r="L20" s="110"/>
      <c r="M20" s="110"/>
      <c r="N20" s="110"/>
      <c r="O20" s="110"/>
      <c r="P20" s="110"/>
      <c r="Q20" s="110"/>
      <c r="R20" s="110"/>
      <c r="S20" s="111"/>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104" t="s">
        <v>114</v>
      </c>
      <c r="B22" s="104"/>
      <c r="C22" s="104"/>
      <c r="D22" s="104"/>
      <c r="E22" s="104"/>
      <c r="F22" s="104"/>
      <c r="G22" s="104"/>
      <c r="H22" s="104"/>
      <c r="I22" s="104"/>
      <c r="J22" s="104"/>
      <c r="K22" s="104"/>
      <c r="L22" s="104"/>
      <c r="M22" s="104"/>
      <c r="N22" s="104"/>
      <c r="O22" s="104"/>
      <c r="P22" s="104"/>
      <c r="Q22" s="104"/>
      <c r="R22" s="104"/>
      <c r="S22" s="104"/>
    </row>
    <row r="23" spans="1:19" ht="18" customHeight="1" x14ac:dyDescent="0.15">
      <c r="A23" s="104"/>
      <c r="B23" s="104"/>
      <c r="C23" s="104"/>
      <c r="D23" s="104"/>
      <c r="E23" s="104"/>
      <c r="F23" s="104"/>
      <c r="G23" s="104"/>
      <c r="H23" s="104"/>
      <c r="I23" s="104"/>
      <c r="J23" s="104"/>
      <c r="K23" s="104"/>
      <c r="L23" s="104"/>
      <c r="M23" s="104"/>
      <c r="N23" s="104"/>
      <c r="O23" s="104"/>
      <c r="P23" s="104"/>
      <c r="Q23" s="104"/>
      <c r="R23" s="104"/>
      <c r="S23" s="104"/>
    </row>
    <row r="24" spans="1:19" ht="18" customHeight="1" x14ac:dyDescent="0.15">
      <c r="B24" s="101" t="s">
        <v>54</v>
      </c>
      <c r="C24" s="102"/>
      <c r="D24" s="102"/>
      <c r="E24" s="103"/>
      <c r="F24" s="53" t="s">
        <v>81</v>
      </c>
      <c r="G24" s="52" t="s">
        <v>85</v>
      </c>
      <c r="H24" s="22" t="s">
        <v>57</v>
      </c>
      <c r="I24" s="22" t="s">
        <v>60</v>
      </c>
      <c r="J24" s="101" t="s">
        <v>54</v>
      </c>
      <c r="K24" s="102"/>
      <c r="L24" s="102"/>
      <c r="M24" s="102"/>
      <c r="N24" s="102"/>
      <c r="O24" s="103"/>
      <c r="P24" s="53" t="s">
        <v>81</v>
      </c>
      <c r="Q24" s="52" t="s">
        <v>85</v>
      </c>
      <c r="R24" s="22" t="s">
        <v>57</v>
      </c>
      <c r="S24" s="22" t="s">
        <v>60</v>
      </c>
    </row>
    <row r="25" spans="1:19" ht="18" customHeight="1" x14ac:dyDescent="0.15">
      <c r="B25" s="105" t="s">
        <v>143</v>
      </c>
      <c r="C25" s="106"/>
      <c r="D25" s="106"/>
      <c r="E25" s="107"/>
      <c r="F25" s="23">
        <v>2</v>
      </c>
      <c r="G25" s="23" t="s">
        <v>138</v>
      </c>
      <c r="H25" s="23" t="s">
        <v>138</v>
      </c>
      <c r="I25" s="23" t="s">
        <v>138</v>
      </c>
      <c r="J25" s="105"/>
      <c r="K25" s="106"/>
      <c r="L25" s="106"/>
      <c r="M25" s="106"/>
      <c r="N25" s="106"/>
      <c r="O25" s="107"/>
      <c r="P25" s="23"/>
      <c r="Q25" s="23"/>
      <c r="R25" s="23"/>
      <c r="S25" s="23"/>
    </row>
    <row r="26" spans="1:19" ht="18" customHeight="1" x14ac:dyDescent="0.15">
      <c r="B26" s="95"/>
      <c r="C26" s="96"/>
      <c r="D26" s="96"/>
      <c r="E26" s="97"/>
      <c r="F26" s="24"/>
      <c r="G26" s="24"/>
      <c r="H26" s="24"/>
      <c r="I26" s="24"/>
      <c r="J26" s="95"/>
      <c r="K26" s="96"/>
      <c r="L26" s="96"/>
      <c r="M26" s="96"/>
      <c r="N26" s="96"/>
      <c r="O26" s="97"/>
      <c r="P26" s="24"/>
      <c r="Q26" s="24"/>
      <c r="R26" s="24"/>
      <c r="S26" s="24"/>
    </row>
    <row r="27" spans="1:19" ht="18" customHeight="1" x14ac:dyDescent="0.15">
      <c r="B27" s="95"/>
      <c r="C27" s="96"/>
      <c r="D27" s="96"/>
      <c r="E27" s="97"/>
      <c r="F27" s="24"/>
      <c r="G27" s="24"/>
      <c r="H27" s="24"/>
      <c r="I27" s="24"/>
      <c r="J27" s="95"/>
      <c r="K27" s="96"/>
      <c r="L27" s="96"/>
      <c r="M27" s="96"/>
      <c r="N27" s="96"/>
      <c r="O27" s="97"/>
      <c r="P27" s="24"/>
      <c r="Q27" s="24"/>
      <c r="R27" s="24"/>
      <c r="S27" s="24"/>
    </row>
    <row r="28" spans="1:19" ht="18" customHeight="1" x14ac:dyDescent="0.15">
      <c r="B28" s="95"/>
      <c r="C28" s="96"/>
      <c r="D28" s="96"/>
      <c r="E28" s="97"/>
      <c r="F28" s="24"/>
      <c r="G28" s="24"/>
      <c r="H28" s="24"/>
      <c r="I28" s="24"/>
      <c r="J28" s="95"/>
      <c r="K28" s="96"/>
      <c r="L28" s="96"/>
      <c r="M28" s="96"/>
      <c r="N28" s="96"/>
      <c r="O28" s="97"/>
      <c r="P28" s="24"/>
      <c r="Q28" s="24"/>
      <c r="R28" s="24"/>
      <c r="S28" s="24"/>
    </row>
    <row r="29" spans="1:19" ht="18" customHeight="1" x14ac:dyDescent="0.15">
      <c r="B29" s="95"/>
      <c r="C29" s="96"/>
      <c r="D29" s="96"/>
      <c r="E29" s="97"/>
      <c r="F29" s="24"/>
      <c r="G29" s="24"/>
      <c r="H29" s="24"/>
      <c r="I29" s="24"/>
      <c r="J29" s="95"/>
      <c r="K29" s="96"/>
      <c r="L29" s="96"/>
      <c r="M29" s="96"/>
      <c r="N29" s="96"/>
      <c r="O29" s="97"/>
      <c r="P29" s="24"/>
      <c r="Q29" s="24"/>
      <c r="R29" s="24"/>
      <c r="S29" s="24"/>
    </row>
    <row r="30" spans="1:19" ht="18" customHeight="1" x14ac:dyDescent="0.15">
      <c r="A30" s="3"/>
      <c r="B30" s="95"/>
      <c r="C30" s="96"/>
      <c r="D30" s="96"/>
      <c r="E30" s="97"/>
      <c r="F30" s="24"/>
      <c r="G30" s="24"/>
      <c r="H30" s="24"/>
      <c r="I30" s="24"/>
      <c r="J30" s="95"/>
      <c r="K30" s="96"/>
      <c r="L30" s="96"/>
      <c r="M30" s="96"/>
      <c r="N30" s="96"/>
      <c r="O30" s="97"/>
      <c r="P30" s="24"/>
      <c r="Q30" s="24"/>
      <c r="R30" s="24"/>
      <c r="S30" s="24"/>
    </row>
    <row r="31" spans="1:19" ht="18" customHeight="1" x14ac:dyDescent="0.15">
      <c r="A31" s="3"/>
      <c r="B31" s="98"/>
      <c r="C31" s="99"/>
      <c r="D31" s="99"/>
      <c r="E31" s="100"/>
      <c r="F31" s="25"/>
      <c r="G31" s="25"/>
      <c r="H31" s="26"/>
      <c r="I31" s="26"/>
      <c r="J31" s="98"/>
      <c r="K31" s="99"/>
      <c r="L31" s="99"/>
      <c r="M31" s="99"/>
      <c r="N31" s="99"/>
      <c r="O31" s="100"/>
      <c r="P31" s="25"/>
      <c r="Q31" s="25"/>
      <c r="R31" s="26"/>
      <c r="S31" s="26"/>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104" t="s">
        <v>115</v>
      </c>
      <c r="B33" s="104"/>
      <c r="C33" s="104"/>
      <c r="D33" s="104"/>
      <c r="E33" s="104"/>
      <c r="F33" s="104"/>
      <c r="G33" s="104"/>
      <c r="H33" s="104"/>
      <c r="I33" s="104"/>
      <c r="J33" s="104"/>
      <c r="K33" s="104"/>
      <c r="L33" s="104"/>
      <c r="M33" s="104"/>
      <c r="N33" s="104"/>
      <c r="O33" s="104"/>
      <c r="P33" s="104"/>
      <c r="Q33" s="104"/>
      <c r="R33" s="104"/>
      <c r="S33" s="104"/>
    </row>
    <row r="34" spans="1:19" ht="18" customHeight="1" x14ac:dyDescent="0.15">
      <c r="A34" s="104"/>
      <c r="B34" s="104"/>
      <c r="C34" s="104"/>
      <c r="D34" s="104"/>
      <c r="E34" s="104"/>
      <c r="F34" s="104"/>
      <c r="G34" s="104"/>
      <c r="H34" s="104"/>
      <c r="I34" s="104"/>
      <c r="J34" s="104"/>
      <c r="K34" s="104"/>
      <c r="L34" s="104"/>
      <c r="M34" s="104"/>
      <c r="N34" s="104"/>
      <c r="O34" s="104"/>
      <c r="P34" s="104"/>
      <c r="Q34" s="104"/>
      <c r="R34" s="104"/>
      <c r="S34" s="104"/>
    </row>
    <row r="35" spans="1:19" ht="18" customHeight="1" x14ac:dyDescent="0.15">
      <c r="B35" s="101" t="s">
        <v>54</v>
      </c>
      <c r="C35" s="102"/>
      <c r="D35" s="102"/>
      <c r="E35" s="103"/>
      <c r="F35" s="53" t="s">
        <v>81</v>
      </c>
      <c r="G35" s="52" t="s">
        <v>85</v>
      </c>
      <c r="H35" s="22" t="s">
        <v>72</v>
      </c>
      <c r="I35" s="22" t="s">
        <v>73</v>
      </c>
      <c r="J35" s="101" t="s">
        <v>54</v>
      </c>
      <c r="K35" s="102"/>
      <c r="L35" s="102"/>
      <c r="M35" s="102"/>
      <c r="N35" s="102"/>
      <c r="O35" s="103"/>
      <c r="P35" s="53" t="s">
        <v>81</v>
      </c>
      <c r="Q35" s="52" t="s">
        <v>85</v>
      </c>
      <c r="R35" s="22" t="s">
        <v>72</v>
      </c>
      <c r="S35" s="22" t="s">
        <v>73</v>
      </c>
    </row>
    <row r="36" spans="1:19" ht="18" customHeight="1" x14ac:dyDescent="0.15">
      <c r="B36" s="105" t="s">
        <v>143</v>
      </c>
      <c r="C36" s="106"/>
      <c r="D36" s="106"/>
      <c r="E36" s="107"/>
      <c r="F36" s="23">
        <v>2</v>
      </c>
      <c r="G36" s="23" t="s">
        <v>138</v>
      </c>
      <c r="H36" s="23" t="s">
        <v>138</v>
      </c>
      <c r="I36" s="23" t="s">
        <v>138</v>
      </c>
      <c r="J36" s="105"/>
      <c r="K36" s="106"/>
      <c r="L36" s="106"/>
      <c r="M36" s="106"/>
      <c r="N36" s="106"/>
      <c r="O36" s="107"/>
      <c r="P36" s="23"/>
      <c r="Q36" s="23"/>
      <c r="R36" s="23"/>
      <c r="S36" s="23"/>
    </row>
    <row r="37" spans="1:19" ht="18" customHeight="1" x14ac:dyDescent="0.15">
      <c r="B37" s="95"/>
      <c r="C37" s="96"/>
      <c r="D37" s="96"/>
      <c r="E37" s="97"/>
      <c r="F37" s="24"/>
      <c r="G37" s="24"/>
      <c r="H37" s="24"/>
      <c r="I37" s="24"/>
      <c r="J37" s="95"/>
      <c r="K37" s="96"/>
      <c r="L37" s="96"/>
      <c r="M37" s="96"/>
      <c r="N37" s="96"/>
      <c r="O37" s="97"/>
      <c r="P37" s="24"/>
      <c r="Q37" s="24"/>
      <c r="R37" s="24"/>
      <c r="S37" s="24"/>
    </row>
    <row r="38" spans="1:19" ht="18" customHeight="1" x14ac:dyDescent="0.15">
      <c r="B38" s="95"/>
      <c r="C38" s="96"/>
      <c r="D38" s="96"/>
      <c r="E38" s="97"/>
      <c r="F38" s="24"/>
      <c r="G38" s="24"/>
      <c r="H38" s="24"/>
      <c r="I38" s="24"/>
      <c r="J38" s="95"/>
      <c r="K38" s="96"/>
      <c r="L38" s="96"/>
      <c r="M38" s="96"/>
      <c r="N38" s="96"/>
      <c r="O38" s="97"/>
      <c r="P38" s="24"/>
      <c r="Q38" s="24"/>
      <c r="R38" s="24"/>
      <c r="S38" s="24"/>
    </row>
    <row r="39" spans="1:19" ht="18" customHeight="1" x14ac:dyDescent="0.15">
      <c r="B39" s="95"/>
      <c r="C39" s="96"/>
      <c r="D39" s="96"/>
      <c r="E39" s="97"/>
      <c r="F39" s="24"/>
      <c r="G39" s="24"/>
      <c r="H39" s="24"/>
      <c r="I39" s="24"/>
      <c r="J39" s="95"/>
      <c r="K39" s="96"/>
      <c r="L39" s="96"/>
      <c r="M39" s="96"/>
      <c r="N39" s="96"/>
      <c r="O39" s="97"/>
      <c r="P39" s="24"/>
      <c r="Q39" s="24"/>
      <c r="R39" s="24"/>
      <c r="S39" s="24"/>
    </row>
    <row r="40" spans="1:19" ht="18" customHeight="1" x14ac:dyDescent="0.15">
      <c r="B40" s="95"/>
      <c r="C40" s="96"/>
      <c r="D40" s="96"/>
      <c r="E40" s="97"/>
      <c r="F40" s="24"/>
      <c r="G40" s="24"/>
      <c r="H40" s="24"/>
      <c r="I40" s="24"/>
      <c r="J40" s="95"/>
      <c r="K40" s="96"/>
      <c r="L40" s="96"/>
      <c r="M40" s="96"/>
      <c r="N40" s="96"/>
      <c r="O40" s="97"/>
      <c r="P40" s="24"/>
      <c r="Q40" s="24"/>
      <c r="R40" s="24"/>
      <c r="S40" s="24"/>
    </row>
    <row r="41" spans="1:19" ht="18" customHeight="1" x14ac:dyDescent="0.15">
      <c r="B41" s="95"/>
      <c r="C41" s="96"/>
      <c r="D41" s="96"/>
      <c r="E41" s="97"/>
      <c r="F41" s="24"/>
      <c r="G41" s="24"/>
      <c r="H41" s="24"/>
      <c r="I41" s="24"/>
      <c r="J41" s="95"/>
      <c r="K41" s="96"/>
      <c r="L41" s="96"/>
      <c r="M41" s="96"/>
      <c r="N41" s="96"/>
      <c r="O41" s="97"/>
      <c r="P41" s="24"/>
      <c r="Q41" s="24"/>
      <c r="R41" s="24"/>
      <c r="S41" s="24"/>
    </row>
    <row r="42" spans="1:19" ht="18" customHeight="1" x14ac:dyDescent="0.15">
      <c r="B42" s="98"/>
      <c r="C42" s="99"/>
      <c r="D42" s="99"/>
      <c r="E42" s="100"/>
      <c r="F42" s="25"/>
      <c r="G42" s="25"/>
      <c r="H42" s="26"/>
      <c r="I42" s="26"/>
      <c r="J42" s="98"/>
      <c r="K42" s="99"/>
      <c r="L42" s="99"/>
      <c r="M42" s="99"/>
      <c r="N42" s="99"/>
      <c r="O42" s="100"/>
      <c r="P42" s="25"/>
      <c r="Q42" s="25"/>
      <c r="R42" s="26"/>
      <c r="S42" s="26"/>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104" t="s">
        <v>116</v>
      </c>
      <c r="B44" s="104"/>
      <c r="C44" s="104"/>
      <c r="D44" s="104"/>
      <c r="E44" s="104"/>
      <c r="F44" s="104"/>
      <c r="G44" s="104"/>
      <c r="H44" s="104"/>
      <c r="I44" s="104"/>
      <c r="J44" s="104"/>
      <c r="K44" s="104"/>
      <c r="L44" s="104"/>
      <c r="M44" s="104"/>
      <c r="N44" s="104"/>
      <c r="O44" s="104"/>
      <c r="P44" s="104"/>
      <c r="Q44" s="104"/>
      <c r="R44" s="104"/>
      <c r="S44" s="104"/>
    </row>
    <row r="45" spans="1:19" ht="18" customHeight="1" x14ac:dyDescent="0.15">
      <c r="A45" s="104"/>
      <c r="B45" s="104"/>
      <c r="C45" s="104"/>
      <c r="D45" s="104"/>
      <c r="E45" s="104"/>
      <c r="F45" s="104"/>
      <c r="G45" s="104"/>
      <c r="H45" s="104"/>
      <c r="I45" s="104"/>
      <c r="J45" s="104"/>
      <c r="K45" s="104"/>
      <c r="L45" s="104"/>
      <c r="M45" s="104"/>
      <c r="N45" s="104"/>
      <c r="O45" s="104"/>
      <c r="P45" s="104"/>
      <c r="Q45" s="104"/>
      <c r="R45" s="104"/>
      <c r="S45" s="104"/>
    </row>
    <row r="46" spans="1:19" ht="18" customHeight="1" x14ac:dyDescent="0.15">
      <c r="B46" s="101" t="s">
        <v>54</v>
      </c>
      <c r="C46" s="102"/>
      <c r="D46" s="102"/>
      <c r="E46" s="103"/>
      <c r="F46" s="53" t="s">
        <v>81</v>
      </c>
      <c r="G46" s="52" t="s">
        <v>85</v>
      </c>
      <c r="H46" s="22" t="s">
        <v>74</v>
      </c>
      <c r="I46" s="22" t="s">
        <v>75</v>
      </c>
      <c r="J46" s="101" t="s">
        <v>54</v>
      </c>
      <c r="K46" s="102"/>
      <c r="L46" s="102"/>
      <c r="M46" s="102"/>
      <c r="N46" s="102"/>
      <c r="O46" s="103"/>
      <c r="P46" s="53" t="s">
        <v>81</v>
      </c>
      <c r="Q46" s="52" t="s">
        <v>85</v>
      </c>
      <c r="R46" s="22" t="s">
        <v>74</v>
      </c>
      <c r="S46" s="22" t="s">
        <v>75</v>
      </c>
    </row>
    <row r="47" spans="1:19" ht="18" customHeight="1" x14ac:dyDescent="0.15">
      <c r="A47" s="3"/>
      <c r="B47" s="105" t="s">
        <v>143</v>
      </c>
      <c r="C47" s="106"/>
      <c r="D47" s="106"/>
      <c r="E47" s="107"/>
      <c r="F47" s="23">
        <v>2</v>
      </c>
      <c r="G47" s="23" t="s">
        <v>138</v>
      </c>
      <c r="H47" s="23" t="s">
        <v>138</v>
      </c>
      <c r="I47" s="23" t="s">
        <v>138</v>
      </c>
      <c r="J47" s="105"/>
      <c r="K47" s="106"/>
      <c r="L47" s="106"/>
      <c r="M47" s="106"/>
      <c r="N47" s="106"/>
      <c r="O47" s="107"/>
      <c r="P47" s="23"/>
      <c r="Q47" s="23"/>
      <c r="R47" s="23"/>
      <c r="S47" s="23"/>
    </row>
    <row r="48" spans="1:19" ht="18" customHeight="1" x14ac:dyDescent="0.15">
      <c r="A48" s="3"/>
      <c r="B48" s="95"/>
      <c r="C48" s="96"/>
      <c r="D48" s="96"/>
      <c r="E48" s="97"/>
      <c r="F48" s="24"/>
      <c r="G48" s="24"/>
      <c r="H48" s="24"/>
      <c r="I48" s="24"/>
      <c r="J48" s="95"/>
      <c r="K48" s="96"/>
      <c r="L48" s="96"/>
      <c r="M48" s="96"/>
      <c r="N48" s="96"/>
      <c r="O48" s="97"/>
      <c r="P48" s="24"/>
      <c r="Q48" s="24"/>
      <c r="R48" s="24"/>
      <c r="S48" s="24"/>
    </row>
    <row r="49" spans="1:19" ht="18" customHeight="1" x14ac:dyDescent="0.15">
      <c r="A49" s="3"/>
      <c r="B49" s="95"/>
      <c r="C49" s="96"/>
      <c r="D49" s="96"/>
      <c r="E49" s="97"/>
      <c r="F49" s="24"/>
      <c r="G49" s="24"/>
      <c r="H49" s="24"/>
      <c r="I49" s="24"/>
      <c r="J49" s="95"/>
      <c r="K49" s="96"/>
      <c r="L49" s="96"/>
      <c r="M49" s="96"/>
      <c r="N49" s="96"/>
      <c r="O49" s="97"/>
      <c r="P49" s="24"/>
      <c r="Q49" s="24"/>
      <c r="R49" s="24"/>
      <c r="S49" s="24"/>
    </row>
    <row r="50" spans="1:19" ht="18" customHeight="1" x14ac:dyDescent="0.15">
      <c r="A50" s="3"/>
      <c r="B50" s="95"/>
      <c r="C50" s="96"/>
      <c r="D50" s="96"/>
      <c r="E50" s="97"/>
      <c r="F50" s="24"/>
      <c r="G50" s="24"/>
      <c r="H50" s="24"/>
      <c r="I50" s="24"/>
      <c r="J50" s="95"/>
      <c r="K50" s="96"/>
      <c r="L50" s="96"/>
      <c r="M50" s="96"/>
      <c r="N50" s="96"/>
      <c r="O50" s="97"/>
      <c r="P50" s="24"/>
      <c r="Q50" s="24"/>
      <c r="R50" s="24"/>
      <c r="S50" s="24"/>
    </row>
    <row r="51" spans="1:19" ht="18" customHeight="1" x14ac:dyDescent="0.15">
      <c r="A51" s="3"/>
      <c r="B51" s="95"/>
      <c r="C51" s="96"/>
      <c r="D51" s="96"/>
      <c r="E51" s="97"/>
      <c r="F51" s="24"/>
      <c r="G51" s="24"/>
      <c r="H51" s="24"/>
      <c r="I51" s="24"/>
      <c r="J51" s="95"/>
      <c r="K51" s="96"/>
      <c r="L51" s="96"/>
      <c r="M51" s="96"/>
      <c r="N51" s="96"/>
      <c r="O51" s="97"/>
      <c r="P51" s="24"/>
      <c r="Q51" s="24"/>
      <c r="R51" s="24"/>
      <c r="S51" s="24"/>
    </row>
    <row r="52" spans="1:19" ht="18" customHeight="1" x14ac:dyDescent="0.15">
      <c r="A52" s="3"/>
      <c r="B52" s="95"/>
      <c r="C52" s="96"/>
      <c r="D52" s="96"/>
      <c r="E52" s="97"/>
      <c r="F52" s="24"/>
      <c r="G52" s="24"/>
      <c r="H52" s="24"/>
      <c r="I52" s="24"/>
      <c r="J52" s="95"/>
      <c r="K52" s="96"/>
      <c r="L52" s="96"/>
      <c r="M52" s="96"/>
      <c r="N52" s="96"/>
      <c r="O52" s="97"/>
      <c r="P52" s="24"/>
      <c r="Q52" s="24"/>
      <c r="R52" s="24"/>
      <c r="S52" s="24"/>
    </row>
    <row r="53" spans="1:19" ht="18" customHeight="1" x14ac:dyDescent="0.15">
      <c r="A53" s="3"/>
      <c r="B53" s="98"/>
      <c r="C53" s="99"/>
      <c r="D53" s="99"/>
      <c r="E53" s="100"/>
      <c r="F53" s="25"/>
      <c r="G53" s="25"/>
      <c r="H53" s="26"/>
      <c r="I53" s="26"/>
      <c r="J53" s="98"/>
      <c r="K53" s="99"/>
      <c r="L53" s="99"/>
      <c r="M53" s="99"/>
      <c r="N53" s="99"/>
      <c r="O53" s="100"/>
      <c r="P53" s="25"/>
      <c r="Q53" s="25"/>
      <c r="R53" s="26"/>
      <c r="S53" s="26"/>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104" t="s">
        <v>117</v>
      </c>
      <c r="B55" s="104"/>
      <c r="C55" s="104"/>
      <c r="D55" s="104"/>
      <c r="E55" s="104"/>
      <c r="F55" s="104"/>
      <c r="G55" s="104"/>
      <c r="H55" s="104"/>
      <c r="I55" s="104"/>
      <c r="J55" s="104"/>
      <c r="K55" s="104"/>
      <c r="L55" s="104"/>
      <c r="M55" s="104"/>
      <c r="N55" s="104"/>
      <c r="O55" s="104"/>
      <c r="P55" s="104"/>
      <c r="Q55" s="104"/>
      <c r="R55" s="104"/>
      <c r="S55" s="104"/>
    </row>
    <row r="56" spans="1:19" ht="18" customHeight="1" x14ac:dyDescent="0.15">
      <c r="A56" s="104"/>
      <c r="B56" s="104"/>
      <c r="C56" s="104"/>
      <c r="D56" s="104"/>
      <c r="E56" s="104"/>
      <c r="F56" s="104"/>
      <c r="G56" s="104"/>
      <c r="H56" s="104"/>
      <c r="I56" s="104"/>
      <c r="J56" s="104"/>
      <c r="K56" s="104"/>
      <c r="L56" s="104"/>
      <c r="M56" s="104"/>
      <c r="N56" s="104"/>
      <c r="O56" s="104"/>
      <c r="P56" s="104"/>
      <c r="Q56" s="104"/>
      <c r="R56" s="104"/>
      <c r="S56" s="104"/>
    </row>
    <row r="57" spans="1:19" ht="18" customHeight="1" x14ac:dyDescent="0.15">
      <c r="B57" s="101" t="s">
        <v>54</v>
      </c>
      <c r="C57" s="102"/>
      <c r="D57" s="102"/>
      <c r="E57" s="103"/>
      <c r="F57" s="53" t="s">
        <v>81</v>
      </c>
      <c r="G57" s="52" t="s">
        <v>85</v>
      </c>
      <c r="H57" s="22" t="s">
        <v>59</v>
      </c>
      <c r="I57" s="22" t="s">
        <v>61</v>
      </c>
      <c r="J57" s="101" t="s">
        <v>54</v>
      </c>
      <c r="K57" s="102"/>
      <c r="L57" s="102"/>
      <c r="M57" s="102"/>
      <c r="N57" s="102"/>
      <c r="O57" s="103"/>
      <c r="P57" s="53" t="s">
        <v>81</v>
      </c>
      <c r="Q57" s="52" t="s">
        <v>85</v>
      </c>
      <c r="R57" s="22" t="s">
        <v>59</v>
      </c>
      <c r="S57" s="22" t="s">
        <v>61</v>
      </c>
    </row>
    <row r="58" spans="1:19" ht="18" customHeight="1" x14ac:dyDescent="0.15">
      <c r="A58" s="3"/>
      <c r="B58" s="105" t="s">
        <v>143</v>
      </c>
      <c r="C58" s="106"/>
      <c r="D58" s="106"/>
      <c r="E58" s="107"/>
      <c r="F58" s="23">
        <v>2</v>
      </c>
      <c r="G58" s="23" t="s">
        <v>138</v>
      </c>
      <c r="H58" s="23" t="s">
        <v>138</v>
      </c>
      <c r="I58" s="23" t="s">
        <v>138</v>
      </c>
      <c r="J58" s="105"/>
      <c r="K58" s="106"/>
      <c r="L58" s="106"/>
      <c r="M58" s="106"/>
      <c r="N58" s="106"/>
      <c r="O58" s="107"/>
      <c r="P58" s="23"/>
      <c r="Q58" s="23"/>
      <c r="R58" s="23"/>
      <c r="S58" s="23"/>
    </row>
    <row r="59" spans="1:19" ht="18" customHeight="1" x14ac:dyDescent="0.15">
      <c r="A59" s="3"/>
      <c r="B59" s="95"/>
      <c r="C59" s="96"/>
      <c r="D59" s="96"/>
      <c r="E59" s="97"/>
      <c r="F59" s="24"/>
      <c r="G59" s="24"/>
      <c r="H59" s="24"/>
      <c r="I59" s="24"/>
      <c r="J59" s="95"/>
      <c r="K59" s="96"/>
      <c r="L59" s="96"/>
      <c r="M59" s="96"/>
      <c r="N59" s="96"/>
      <c r="O59" s="97"/>
      <c r="P59" s="24"/>
      <c r="Q59" s="24"/>
      <c r="R59" s="24"/>
      <c r="S59" s="24"/>
    </row>
    <row r="60" spans="1:19" ht="18" customHeight="1" x14ac:dyDescent="0.15">
      <c r="A60" s="3"/>
      <c r="B60" s="95"/>
      <c r="C60" s="96"/>
      <c r="D60" s="96"/>
      <c r="E60" s="97"/>
      <c r="F60" s="24"/>
      <c r="G60" s="24"/>
      <c r="H60" s="24"/>
      <c r="I60" s="24"/>
      <c r="J60" s="95"/>
      <c r="K60" s="96"/>
      <c r="L60" s="96"/>
      <c r="M60" s="96"/>
      <c r="N60" s="96"/>
      <c r="O60" s="97"/>
      <c r="P60" s="24"/>
      <c r="Q60" s="24"/>
      <c r="R60" s="24"/>
      <c r="S60" s="24"/>
    </row>
    <row r="61" spans="1:19" ht="18" customHeight="1" x14ac:dyDescent="0.15">
      <c r="A61" s="3"/>
      <c r="B61" s="95"/>
      <c r="C61" s="96"/>
      <c r="D61" s="96"/>
      <c r="E61" s="97"/>
      <c r="F61" s="24"/>
      <c r="G61" s="24"/>
      <c r="H61" s="24"/>
      <c r="I61" s="24"/>
      <c r="J61" s="95"/>
      <c r="K61" s="96"/>
      <c r="L61" s="96"/>
      <c r="M61" s="96"/>
      <c r="N61" s="96"/>
      <c r="O61" s="97"/>
      <c r="P61" s="24"/>
      <c r="Q61" s="24"/>
      <c r="R61" s="24"/>
      <c r="S61" s="24"/>
    </row>
    <row r="62" spans="1:19" ht="18" customHeight="1" x14ac:dyDescent="0.15">
      <c r="A62" s="3"/>
      <c r="B62" s="95"/>
      <c r="C62" s="96"/>
      <c r="D62" s="96"/>
      <c r="E62" s="97"/>
      <c r="F62" s="24"/>
      <c r="G62" s="24"/>
      <c r="H62" s="24"/>
      <c r="I62" s="24"/>
      <c r="J62" s="95"/>
      <c r="K62" s="96"/>
      <c r="L62" s="96"/>
      <c r="M62" s="96"/>
      <c r="N62" s="96"/>
      <c r="O62" s="97"/>
      <c r="P62" s="24"/>
      <c r="Q62" s="24"/>
      <c r="R62" s="24"/>
      <c r="S62" s="24"/>
    </row>
    <row r="63" spans="1:19" ht="18" customHeight="1" x14ac:dyDescent="0.15">
      <c r="A63" s="3"/>
      <c r="B63" s="95"/>
      <c r="C63" s="96"/>
      <c r="D63" s="96"/>
      <c r="E63" s="97"/>
      <c r="F63" s="24"/>
      <c r="G63" s="24"/>
      <c r="H63" s="24"/>
      <c r="I63" s="24"/>
      <c r="J63" s="95"/>
      <c r="K63" s="96"/>
      <c r="L63" s="96"/>
      <c r="M63" s="96"/>
      <c r="N63" s="96"/>
      <c r="O63" s="97"/>
      <c r="P63" s="24"/>
      <c r="Q63" s="24"/>
      <c r="R63" s="24"/>
      <c r="S63" s="24"/>
    </row>
    <row r="64" spans="1:19" ht="18" customHeight="1" x14ac:dyDescent="0.15">
      <c r="A64" s="3"/>
      <c r="B64" s="98"/>
      <c r="C64" s="99"/>
      <c r="D64" s="99"/>
      <c r="E64" s="100"/>
      <c r="F64" s="25"/>
      <c r="G64" s="25"/>
      <c r="H64" s="26"/>
      <c r="I64" s="26"/>
      <c r="J64" s="98"/>
      <c r="K64" s="99"/>
      <c r="L64" s="99"/>
      <c r="M64" s="99"/>
      <c r="N64" s="99"/>
      <c r="O64" s="100"/>
      <c r="P64" s="25"/>
      <c r="Q64" s="25"/>
      <c r="R64" s="26"/>
      <c r="S64" s="26"/>
    </row>
    <row r="65" spans="1:19" ht="7.5" customHeight="1" x14ac:dyDescent="0.15">
      <c r="B65" s="15"/>
      <c r="C65" s="15"/>
      <c r="D65" s="15"/>
      <c r="E65" s="15"/>
      <c r="F65" s="15"/>
      <c r="G65" s="15"/>
      <c r="H65" s="15"/>
      <c r="I65" s="15"/>
      <c r="J65" s="15"/>
      <c r="K65" s="15"/>
      <c r="L65" s="15"/>
      <c r="M65" s="15"/>
      <c r="N65" s="15"/>
      <c r="O65" s="15"/>
      <c r="P65" s="15"/>
      <c r="Q65" s="15"/>
      <c r="R65" s="15"/>
    </row>
    <row r="66" spans="1:19" ht="18" customHeight="1" x14ac:dyDescent="0.15">
      <c r="A66" s="104" t="s">
        <v>118</v>
      </c>
      <c r="B66" s="104"/>
      <c r="C66" s="104"/>
      <c r="D66" s="104"/>
      <c r="E66" s="104"/>
      <c r="F66" s="104"/>
      <c r="G66" s="104"/>
      <c r="H66" s="104"/>
      <c r="I66" s="104"/>
      <c r="J66" s="104"/>
      <c r="K66" s="104"/>
      <c r="L66" s="104"/>
      <c r="M66" s="104"/>
      <c r="N66" s="104"/>
      <c r="O66" s="104"/>
      <c r="P66" s="104"/>
      <c r="Q66" s="104"/>
      <c r="R66" s="104"/>
      <c r="S66" s="104"/>
    </row>
    <row r="67" spans="1:19" ht="18" customHeight="1" x14ac:dyDescent="0.15">
      <c r="A67" s="104"/>
      <c r="B67" s="104"/>
      <c r="C67" s="104"/>
      <c r="D67" s="104"/>
      <c r="E67" s="104"/>
      <c r="F67" s="104"/>
      <c r="G67" s="104"/>
      <c r="H67" s="104"/>
      <c r="I67" s="104"/>
      <c r="J67" s="104"/>
      <c r="K67" s="104"/>
      <c r="L67" s="104"/>
      <c r="M67" s="104"/>
      <c r="N67" s="104"/>
      <c r="O67" s="104"/>
      <c r="P67" s="104"/>
      <c r="Q67" s="104"/>
      <c r="R67" s="104"/>
      <c r="S67" s="104"/>
    </row>
    <row r="68" spans="1:19" ht="18" customHeight="1" x14ac:dyDescent="0.15">
      <c r="B68" s="101" t="s">
        <v>54</v>
      </c>
      <c r="C68" s="102"/>
      <c r="D68" s="102"/>
      <c r="E68" s="53" t="s">
        <v>81</v>
      </c>
      <c r="F68" s="52" t="s">
        <v>85</v>
      </c>
      <c r="G68" s="22" t="s">
        <v>102</v>
      </c>
      <c r="H68" s="22" t="s">
        <v>76</v>
      </c>
      <c r="I68" s="22" t="s">
        <v>77</v>
      </c>
      <c r="J68" s="101" t="s">
        <v>54</v>
      </c>
      <c r="K68" s="102"/>
      <c r="L68" s="102"/>
      <c r="M68" s="102"/>
      <c r="N68" s="103"/>
      <c r="O68" s="53" t="s">
        <v>81</v>
      </c>
      <c r="P68" s="52" t="s">
        <v>85</v>
      </c>
      <c r="Q68" s="22" t="s">
        <v>102</v>
      </c>
      <c r="R68" s="22" t="s">
        <v>76</v>
      </c>
      <c r="S68" s="22" t="s">
        <v>77</v>
      </c>
    </row>
    <row r="69" spans="1:19" ht="18" customHeight="1" x14ac:dyDescent="0.15">
      <c r="A69" s="3"/>
      <c r="B69" s="105" t="s">
        <v>143</v>
      </c>
      <c r="C69" s="106"/>
      <c r="D69" s="107"/>
      <c r="E69" s="23">
        <v>2</v>
      </c>
      <c r="F69" s="23" t="s">
        <v>138</v>
      </c>
      <c r="G69" s="23" t="s">
        <v>138</v>
      </c>
      <c r="H69" s="23" t="s">
        <v>138</v>
      </c>
      <c r="I69" s="23" t="s">
        <v>138</v>
      </c>
      <c r="J69" s="105"/>
      <c r="K69" s="106"/>
      <c r="L69" s="106"/>
      <c r="M69" s="106"/>
      <c r="N69" s="107"/>
      <c r="O69" s="23"/>
      <c r="P69" s="23"/>
      <c r="Q69" s="23"/>
      <c r="R69" s="23"/>
      <c r="S69" s="23"/>
    </row>
    <row r="70" spans="1:19" ht="18" customHeight="1" x14ac:dyDescent="0.15">
      <c r="A70" s="3"/>
      <c r="B70" s="95"/>
      <c r="C70" s="96"/>
      <c r="D70" s="96"/>
      <c r="E70" s="24"/>
      <c r="F70" s="24"/>
      <c r="G70" s="24"/>
      <c r="H70" s="24"/>
      <c r="I70" s="24"/>
      <c r="J70" s="95"/>
      <c r="K70" s="96"/>
      <c r="L70" s="96"/>
      <c r="M70" s="96"/>
      <c r="N70" s="97"/>
      <c r="O70" s="24"/>
      <c r="P70" s="24"/>
      <c r="Q70" s="24"/>
      <c r="R70" s="24"/>
      <c r="S70" s="24"/>
    </row>
    <row r="71" spans="1:19" ht="18" customHeight="1" x14ac:dyDescent="0.15">
      <c r="A71" s="3"/>
      <c r="B71" s="95"/>
      <c r="C71" s="96"/>
      <c r="D71" s="96"/>
      <c r="E71" s="24"/>
      <c r="F71" s="24"/>
      <c r="G71" s="24"/>
      <c r="H71" s="24"/>
      <c r="I71" s="24"/>
      <c r="J71" s="95"/>
      <c r="K71" s="96"/>
      <c r="L71" s="96"/>
      <c r="M71" s="96"/>
      <c r="N71" s="97"/>
      <c r="O71" s="24"/>
      <c r="P71" s="24"/>
      <c r="Q71" s="24"/>
      <c r="R71" s="24"/>
      <c r="S71" s="24"/>
    </row>
    <row r="72" spans="1:19" ht="18" customHeight="1" x14ac:dyDescent="0.15">
      <c r="A72" s="3"/>
      <c r="B72" s="95"/>
      <c r="C72" s="96"/>
      <c r="D72" s="96"/>
      <c r="E72" s="24"/>
      <c r="F72" s="24"/>
      <c r="G72" s="24"/>
      <c r="H72" s="24"/>
      <c r="I72" s="24"/>
      <c r="J72" s="95"/>
      <c r="K72" s="96"/>
      <c r="L72" s="96"/>
      <c r="M72" s="96"/>
      <c r="N72" s="97"/>
      <c r="O72" s="24"/>
      <c r="P72" s="24"/>
      <c r="Q72" s="24"/>
      <c r="R72" s="24"/>
      <c r="S72" s="24"/>
    </row>
    <row r="73" spans="1:19" ht="18" customHeight="1" x14ac:dyDescent="0.15">
      <c r="A73" s="3"/>
      <c r="B73" s="95"/>
      <c r="C73" s="96"/>
      <c r="D73" s="96"/>
      <c r="E73" s="24"/>
      <c r="F73" s="24"/>
      <c r="G73" s="24"/>
      <c r="H73" s="24"/>
      <c r="I73" s="24"/>
      <c r="J73" s="95"/>
      <c r="K73" s="96"/>
      <c r="L73" s="96"/>
      <c r="M73" s="96"/>
      <c r="N73" s="97"/>
      <c r="O73" s="24"/>
      <c r="P73" s="24"/>
      <c r="Q73" s="24"/>
      <c r="R73" s="24"/>
      <c r="S73" s="24"/>
    </row>
    <row r="74" spans="1:19" ht="18" customHeight="1" x14ac:dyDescent="0.15">
      <c r="A74" s="3"/>
      <c r="B74" s="95"/>
      <c r="C74" s="96"/>
      <c r="D74" s="96"/>
      <c r="E74" s="24"/>
      <c r="F74" s="24"/>
      <c r="G74" s="24"/>
      <c r="H74" s="24"/>
      <c r="I74" s="24"/>
      <c r="J74" s="95"/>
      <c r="K74" s="96"/>
      <c r="L74" s="96"/>
      <c r="M74" s="96"/>
      <c r="N74" s="97"/>
      <c r="O74" s="24"/>
      <c r="P74" s="24"/>
      <c r="Q74" s="24"/>
      <c r="R74" s="24"/>
      <c r="S74" s="24"/>
    </row>
    <row r="75" spans="1:19" ht="18" customHeight="1" x14ac:dyDescent="0.15">
      <c r="A75" s="3"/>
      <c r="B75" s="98"/>
      <c r="C75" s="99"/>
      <c r="D75" s="99"/>
      <c r="E75" s="25"/>
      <c r="F75" s="25"/>
      <c r="G75" s="26"/>
      <c r="H75" s="26"/>
      <c r="I75" s="26"/>
      <c r="J75" s="98"/>
      <c r="K75" s="99"/>
      <c r="L75" s="99"/>
      <c r="M75" s="99"/>
      <c r="N75" s="100"/>
      <c r="O75" s="25"/>
      <c r="P75" s="25"/>
      <c r="Q75" s="26"/>
      <c r="R75" s="26"/>
      <c r="S75" s="26"/>
    </row>
    <row r="76" spans="1:19" ht="7.5" customHeight="1" x14ac:dyDescent="0.15">
      <c r="B76" s="15"/>
      <c r="C76" s="15"/>
      <c r="D76" s="15"/>
      <c r="E76" s="15"/>
      <c r="F76" s="15"/>
      <c r="G76" s="15"/>
      <c r="H76" s="15"/>
      <c r="I76" s="15"/>
      <c r="J76" s="15"/>
      <c r="K76" s="15"/>
      <c r="L76" s="15"/>
      <c r="M76" s="15"/>
      <c r="N76" s="15"/>
      <c r="O76" s="15"/>
      <c r="P76" s="15"/>
      <c r="Q76" s="15"/>
      <c r="R76" s="15"/>
    </row>
    <row r="77" spans="1:19" ht="18" customHeight="1" x14ac:dyDescent="0.15">
      <c r="A77" s="1" t="s">
        <v>119</v>
      </c>
      <c r="H77" s="3"/>
      <c r="I77" s="3"/>
      <c r="J77" s="3"/>
      <c r="K77" s="3"/>
      <c r="L77" s="3"/>
      <c r="M77" s="3"/>
      <c r="N77" s="3"/>
      <c r="O77" s="3"/>
      <c r="P77" s="3"/>
      <c r="Q77" s="3"/>
      <c r="R77" s="3"/>
      <c r="S77" s="3"/>
    </row>
    <row r="78" spans="1:19" ht="18" customHeight="1" x14ac:dyDescent="0.15">
      <c r="B78" s="101" t="s">
        <v>54</v>
      </c>
      <c r="C78" s="102"/>
      <c r="D78" s="102"/>
      <c r="E78" s="103"/>
      <c r="F78" s="101" t="s">
        <v>83</v>
      </c>
      <c r="G78" s="102"/>
      <c r="H78" s="102"/>
      <c r="I78" s="103"/>
      <c r="J78" s="153" t="s">
        <v>54</v>
      </c>
      <c r="K78" s="154"/>
      <c r="L78" s="154"/>
      <c r="M78" s="154"/>
      <c r="N78" s="154"/>
      <c r="O78" s="155"/>
      <c r="P78" s="101" t="s">
        <v>83</v>
      </c>
      <c r="Q78" s="102"/>
      <c r="R78" s="102"/>
      <c r="S78" s="103"/>
    </row>
    <row r="79" spans="1:19" ht="18" customHeight="1" x14ac:dyDescent="0.15">
      <c r="A79" s="3"/>
      <c r="B79" s="105"/>
      <c r="C79" s="106"/>
      <c r="D79" s="106"/>
      <c r="E79" s="107"/>
      <c r="F79" s="170"/>
      <c r="G79" s="171"/>
      <c r="H79" s="171"/>
      <c r="I79" s="172"/>
      <c r="J79" s="105"/>
      <c r="K79" s="106"/>
      <c r="L79" s="106"/>
      <c r="M79" s="106"/>
      <c r="N79" s="106"/>
      <c r="O79" s="107"/>
      <c r="P79" s="170"/>
      <c r="Q79" s="171"/>
      <c r="R79" s="171"/>
      <c r="S79" s="172"/>
    </row>
    <row r="80" spans="1:19" ht="18" customHeight="1" x14ac:dyDescent="0.15">
      <c r="A80" s="3"/>
      <c r="B80" s="95"/>
      <c r="C80" s="96"/>
      <c r="D80" s="96"/>
      <c r="E80" s="97"/>
      <c r="F80" s="134"/>
      <c r="G80" s="135"/>
      <c r="H80" s="135"/>
      <c r="I80" s="136"/>
      <c r="J80" s="95"/>
      <c r="K80" s="96"/>
      <c r="L80" s="96"/>
      <c r="M80" s="96"/>
      <c r="N80" s="96"/>
      <c r="O80" s="97"/>
      <c r="P80" s="134"/>
      <c r="Q80" s="135"/>
      <c r="R80" s="135"/>
      <c r="S80" s="136"/>
    </row>
    <row r="81" spans="1:19" ht="18" customHeight="1" x14ac:dyDescent="0.15">
      <c r="A81" s="3"/>
      <c r="B81" s="95"/>
      <c r="C81" s="96"/>
      <c r="D81" s="96"/>
      <c r="E81" s="97"/>
      <c r="F81" s="134"/>
      <c r="G81" s="135"/>
      <c r="H81" s="135"/>
      <c r="I81" s="136"/>
      <c r="J81" s="95"/>
      <c r="K81" s="96"/>
      <c r="L81" s="96"/>
      <c r="M81" s="96"/>
      <c r="N81" s="96"/>
      <c r="O81" s="97"/>
      <c r="P81" s="134"/>
      <c r="Q81" s="135"/>
      <c r="R81" s="135"/>
      <c r="S81" s="136"/>
    </row>
    <row r="82" spans="1:19" ht="18" customHeight="1" x14ac:dyDescent="0.15">
      <c r="A82" s="3"/>
      <c r="B82" s="95"/>
      <c r="C82" s="96"/>
      <c r="D82" s="96"/>
      <c r="E82" s="97"/>
      <c r="F82" s="134"/>
      <c r="G82" s="135"/>
      <c r="H82" s="135"/>
      <c r="I82" s="136"/>
      <c r="J82" s="95"/>
      <c r="K82" s="96"/>
      <c r="L82" s="96"/>
      <c r="M82" s="96"/>
      <c r="N82" s="96"/>
      <c r="O82" s="97"/>
      <c r="P82" s="134"/>
      <c r="Q82" s="135"/>
      <c r="R82" s="135"/>
      <c r="S82" s="136"/>
    </row>
    <row r="83" spans="1:19" ht="18" customHeight="1" x14ac:dyDescent="0.15">
      <c r="A83" s="3"/>
      <c r="B83" s="95"/>
      <c r="C83" s="96"/>
      <c r="D83" s="96"/>
      <c r="E83" s="97"/>
      <c r="F83" s="134"/>
      <c r="G83" s="135"/>
      <c r="H83" s="135"/>
      <c r="I83" s="136"/>
      <c r="J83" s="95"/>
      <c r="K83" s="96"/>
      <c r="L83" s="96"/>
      <c r="M83" s="96"/>
      <c r="N83" s="96"/>
      <c r="O83" s="97"/>
      <c r="P83" s="134"/>
      <c r="Q83" s="135"/>
      <c r="R83" s="135"/>
      <c r="S83" s="136"/>
    </row>
    <row r="84" spans="1:19" ht="18" customHeight="1" x14ac:dyDescent="0.15">
      <c r="A84" s="3"/>
      <c r="B84" s="95"/>
      <c r="C84" s="96"/>
      <c r="D84" s="96"/>
      <c r="E84" s="97"/>
      <c r="F84" s="134"/>
      <c r="G84" s="135"/>
      <c r="H84" s="135"/>
      <c r="I84" s="136"/>
      <c r="J84" s="95"/>
      <c r="K84" s="96"/>
      <c r="L84" s="96"/>
      <c r="M84" s="96"/>
      <c r="N84" s="96"/>
      <c r="O84" s="97"/>
      <c r="P84" s="134"/>
      <c r="Q84" s="135"/>
      <c r="R84" s="135"/>
      <c r="S84" s="136"/>
    </row>
    <row r="85" spans="1:19" ht="18" customHeight="1" x14ac:dyDescent="0.15">
      <c r="A85" s="3"/>
      <c r="B85" s="98"/>
      <c r="C85" s="99"/>
      <c r="D85" s="99"/>
      <c r="E85" s="100"/>
      <c r="F85" s="131"/>
      <c r="G85" s="132"/>
      <c r="H85" s="132"/>
      <c r="I85" s="133"/>
      <c r="J85" s="98"/>
      <c r="K85" s="99"/>
      <c r="L85" s="99"/>
      <c r="M85" s="99"/>
      <c r="N85" s="99"/>
      <c r="O85" s="100"/>
      <c r="P85" s="131"/>
      <c r="Q85" s="132"/>
      <c r="R85" s="132"/>
      <c r="S85" s="133"/>
    </row>
    <row r="86" spans="1:19" ht="18" customHeight="1" x14ac:dyDescent="0.15">
      <c r="A86" s="3"/>
      <c r="B86" s="6"/>
      <c r="C86" s="6"/>
      <c r="D86" s="6"/>
      <c r="E86" s="6"/>
      <c r="F86" s="27"/>
      <c r="G86" s="27"/>
      <c r="H86" s="27"/>
      <c r="I86" s="27"/>
      <c r="J86" s="6"/>
      <c r="K86" s="6"/>
      <c r="L86" s="6"/>
      <c r="M86" s="6"/>
      <c r="N86" s="6"/>
      <c r="O86" s="6"/>
      <c r="P86" s="27"/>
      <c r="Q86" s="27"/>
      <c r="R86" s="27"/>
      <c r="S86" s="27"/>
    </row>
    <row r="87" spans="1:19" ht="18.75" customHeight="1" x14ac:dyDescent="0.15">
      <c r="A87" s="1" t="s">
        <v>120</v>
      </c>
    </row>
    <row r="88" spans="1:19" ht="18.75" customHeight="1" x14ac:dyDescent="0.15">
      <c r="B88" s="168" t="s">
        <v>55</v>
      </c>
      <c r="C88" s="169"/>
      <c r="D88" s="102" t="s">
        <v>56</v>
      </c>
      <c r="E88" s="102"/>
      <c r="F88" s="102"/>
      <c r="G88" s="102"/>
      <c r="H88" s="102"/>
      <c r="I88" s="102"/>
      <c r="J88" s="102"/>
      <c r="K88" s="102"/>
      <c r="L88" s="102"/>
      <c r="M88" s="102"/>
      <c r="N88" s="102"/>
      <c r="O88" s="102"/>
      <c r="P88" s="102"/>
      <c r="Q88" s="102"/>
      <c r="R88" s="102"/>
      <c r="S88" s="103"/>
    </row>
    <row r="89" spans="1:19" ht="99.75" customHeight="1" x14ac:dyDescent="0.15">
      <c r="B89" s="156" t="s">
        <v>62</v>
      </c>
      <c r="C89" s="82" t="s">
        <v>57</v>
      </c>
      <c r="D89" s="165" t="s">
        <v>158</v>
      </c>
      <c r="E89" s="166"/>
      <c r="F89" s="166"/>
      <c r="G89" s="166"/>
      <c r="H89" s="166"/>
      <c r="I89" s="166"/>
      <c r="J89" s="166"/>
      <c r="K89" s="166"/>
      <c r="L89" s="166"/>
      <c r="M89" s="166"/>
      <c r="N89" s="166"/>
      <c r="O89" s="166"/>
      <c r="P89" s="166"/>
      <c r="Q89" s="166"/>
      <c r="R89" s="166"/>
      <c r="S89" s="167"/>
    </row>
    <row r="90" spans="1:19" ht="97.5" customHeight="1" x14ac:dyDescent="0.15">
      <c r="B90" s="158"/>
      <c r="C90" s="83" t="s">
        <v>78</v>
      </c>
      <c r="D90" s="137" t="s">
        <v>159</v>
      </c>
      <c r="E90" s="138"/>
      <c r="F90" s="138"/>
      <c r="G90" s="138"/>
      <c r="H90" s="138"/>
      <c r="I90" s="138"/>
      <c r="J90" s="138"/>
      <c r="K90" s="138"/>
      <c r="L90" s="138"/>
      <c r="M90" s="138"/>
      <c r="N90" s="138"/>
      <c r="O90" s="138"/>
      <c r="P90" s="138"/>
      <c r="Q90" s="138"/>
      <c r="R90" s="138"/>
      <c r="S90" s="139"/>
    </row>
    <row r="91" spans="1:19" ht="97.5" customHeight="1" x14ac:dyDescent="0.15">
      <c r="B91" s="156" t="s">
        <v>63</v>
      </c>
      <c r="C91" s="84" t="s">
        <v>72</v>
      </c>
      <c r="D91" s="140" t="s">
        <v>166</v>
      </c>
      <c r="E91" s="140"/>
      <c r="F91" s="140"/>
      <c r="G91" s="140"/>
      <c r="H91" s="140"/>
      <c r="I91" s="140"/>
      <c r="J91" s="140"/>
      <c r="K91" s="140"/>
      <c r="L91" s="140"/>
      <c r="M91" s="140"/>
      <c r="N91" s="140"/>
      <c r="O91" s="140"/>
      <c r="P91" s="140"/>
      <c r="Q91" s="140"/>
      <c r="R91" s="140"/>
      <c r="S91" s="141"/>
    </row>
    <row r="92" spans="1:19" ht="97.5" customHeight="1" x14ac:dyDescent="0.15">
      <c r="B92" s="157"/>
      <c r="C92" s="85" t="s">
        <v>73</v>
      </c>
      <c r="D92" s="145" t="s">
        <v>160</v>
      </c>
      <c r="E92" s="146"/>
      <c r="F92" s="146"/>
      <c r="G92" s="146"/>
      <c r="H92" s="146"/>
      <c r="I92" s="146"/>
      <c r="J92" s="146"/>
      <c r="K92" s="146"/>
      <c r="L92" s="146"/>
      <c r="M92" s="146"/>
      <c r="N92" s="146"/>
      <c r="O92" s="146"/>
      <c r="P92" s="146"/>
      <c r="Q92" s="146"/>
      <c r="R92" s="146"/>
      <c r="S92" s="147"/>
    </row>
    <row r="93" spans="1:19" ht="97.5" customHeight="1" x14ac:dyDescent="0.15">
      <c r="B93" s="156" t="s">
        <v>64</v>
      </c>
      <c r="C93" s="84" t="s">
        <v>74</v>
      </c>
      <c r="D93" s="140" t="s">
        <v>161</v>
      </c>
      <c r="E93" s="148"/>
      <c r="F93" s="148"/>
      <c r="G93" s="148"/>
      <c r="H93" s="148"/>
      <c r="I93" s="148"/>
      <c r="J93" s="148"/>
      <c r="K93" s="148"/>
      <c r="L93" s="148"/>
      <c r="M93" s="148"/>
      <c r="N93" s="148"/>
      <c r="O93" s="148"/>
      <c r="P93" s="148"/>
      <c r="Q93" s="148"/>
      <c r="R93" s="148"/>
      <c r="S93" s="149"/>
    </row>
    <row r="94" spans="1:19" ht="133.5" customHeight="1" x14ac:dyDescent="0.15">
      <c r="B94" s="157"/>
      <c r="C94" s="86" t="s">
        <v>75</v>
      </c>
      <c r="D94" s="142" t="s">
        <v>162</v>
      </c>
      <c r="E94" s="143"/>
      <c r="F94" s="143"/>
      <c r="G94" s="143"/>
      <c r="H94" s="143"/>
      <c r="I94" s="143"/>
      <c r="J94" s="143"/>
      <c r="K94" s="143"/>
      <c r="L94" s="143"/>
      <c r="M94" s="143"/>
      <c r="N94" s="143"/>
      <c r="O94" s="143"/>
      <c r="P94" s="143"/>
      <c r="Q94" s="143"/>
      <c r="R94" s="143"/>
      <c r="S94" s="144"/>
    </row>
    <row r="95" spans="1:19" ht="119.25" customHeight="1" x14ac:dyDescent="0.15">
      <c r="B95" s="156" t="s">
        <v>79</v>
      </c>
      <c r="C95" s="82" t="s">
        <v>59</v>
      </c>
      <c r="D95" s="165" t="s">
        <v>163</v>
      </c>
      <c r="E95" s="166"/>
      <c r="F95" s="166"/>
      <c r="G95" s="166"/>
      <c r="H95" s="166"/>
      <c r="I95" s="166"/>
      <c r="J95" s="166"/>
      <c r="K95" s="166"/>
      <c r="L95" s="166"/>
      <c r="M95" s="166"/>
      <c r="N95" s="166"/>
      <c r="O95" s="166"/>
      <c r="P95" s="166"/>
      <c r="Q95" s="166"/>
      <c r="R95" s="166"/>
      <c r="S95" s="167"/>
    </row>
    <row r="96" spans="1:19" ht="97.5" customHeight="1" x14ac:dyDescent="0.15">
      <c r="B96" s="157"/>
      <c r="C96" s="85" t="s">
        <v>61</v>
      </c>
      <c r="D96" s="145" t="s">
        <v>164</v>
      </c>
      <c r="E96" s="146"/>
      <c r="F96" s="146"/>
      <c r="G96" s="146"/>
      <c r="H96" s="146"/>
      <c r="I96" s="146"/>
      <c r="J96" s="146"/>
      <c r="K96" s="146"/>
      <c r="L96" s="146"/>
      <c r="M96" s="146"/>
      <c r="N96" s="146"/>
      <c r="O96" s="146"/>
      <c r="P96" s="146"/>
      <c r="Q96" s="146"/>
      <c r="R96" s="146"/>
      <c r="S96" s="147"/>
    </row>
    <row r="97" spans="1:19" ht="126.75" customHeight="1" x14ac:dyDescent="0.15">
      <c r="B97" s="156" t="s">
        <v>80</v>
      </c>
      <c r="C97" s="84" t="s">
        <v>58</v>
      </c>
      <c r="D97" s="159" t="s">
        <v>168</v>
      </c>
      <c r="E97" s="160"/>
      <c r="F97" s="160"/>
      <c r="G97" s="160"/>
      <c r="H97" s="160"/>
      <c r="I97" s="160"/>
      <c r="J97" s="160"/>
      <c r="K97" s="160"/>
      <c r="L97" s="160"/>
      <c r="M97" s="160"/>
      <c r="N97" s="160"/>
      <c r="O97" s="160"/>
      <c r="P97" s="160"/>
      <c r="Q97" s="160"/>
      <c r="R97" s="160"/>
      <c r="S97" s="161"/>
    </row>
    <row r="98" spans="1:19" ht="97.5" customHeight="1" x14ac:dyDescent="0.15">
      <c r="B98" s="158"/>
      <c r="C98" s="87" t="s">
        <v>76</v>
      </c>
      <c r="D98" s="150" t="s">
        <v>167</v>
      </c>
      <c r="E98" s="151"/>
      <c r="F98" s="151"/>
      <c r="G98" s="151"/>
      <c r="H98" s="151"/>
      <c r="I98" s="151"/>
      <c r="J98" s="151"/>
      <c r="K98" s="151"/>
      <c r="L98" s="151"/>
      <c r="M98" s="151"/>
      <c r="N98" s="151"/>
      <c r="O98" s="151"/>
      <c r="P98" s="151"/>
      <c r="Q98" s="151"/>
      <c r="R98" s="151"/>
      <c r="S98" s="152"/>
    </row>
    <row r="99" spans="1:19" ht="97.5" customHeight="1" x14ac:dyDescent="0.15">
      <c r="B99" s="157"/>
      <c r="C99" s="86" t="s">
        <v>77</v>
      </c>
      <c r="D99" s="162" t="s">
        <v>165</v>
      </c>
      <c r="E99" s="163"/>
      <c r="F99" s="163"/>
      <c r="G99" s="163"/>
      <c r="H99" s="163"/>
      <c r="I99" s="163"/>
      <c r="J99" s="163"/>
      <c r="K99" s="163"/>
      <c r="L99" s="163"/>
      <c r="M99" s="163"/>
      <c r="N99" s="163"/>
      <c r="O99" s="163"/>
      <c r="P99" s="163"/>
      <c r="Q99" s="163"/>
      <c r="R99" s="163"/>
      <c r="S99" s="164"/>
    </row>
    <row r="100" spans="1:19" ht="6" customHeight="1" x14ac:dyDescent="0.15">
      <c r="B100" s="88"/>
      <c r="C100" s="88"/>
      <c r="D100" s="88"/>
      <c r="E100" s="88"/>
      <c r="F100" s="88"/>
      <c r="G100" s="88"/>
      <c r="H100" s="88"/>
      <c r="I100" s="88"/>
      <c r="J100" s="88"/>
      <c r="K100" s="88"/>
      <c r="L100" s="88"/>
      <c r="M100" s="88"/>
      <c r="N100" s="88"/>
      <c r="O100" s="88"/>
      <c r="P100" s="88"/>
      <c r="Q100" s="88"/>
      <c r="R100" s="88"/>
      <c r="S100" s="88"/>
    </row>
    <row r="101" spans="1:19" ht="18.75" customHeight="1" x14ac:dyDescent="0.15">
      <c r="A101" s="1" t="s">
        <v>121</v>
      </c>
      <c r="B101" s="88"/>
      <c r="C101" s="88"/>
      <c r="D101" s="88"/>
      <c r="E101" s="88"/>
      <c r="F101" s="88"/>
      <c r="G101" s="88"/>
      <c r="H101" s="88"/>
      <c r="I101" s="88"/>
      <c r="J101" s="88"/>
      <c r="K101" s="88"/>
      <c r="L101" s="88"/>
      <c r="M101" s="88"/>
      <c r="N101" s="88"/>
      <c r="O101" s="88"/>
      <c r="P101" s="88"/>
      <c r="Q101" s="88"/>
      <c r="R101" s="88"/>
      <c r="S101" s="88"/>
    </row>
    <row r="102" spans="1:19" ht="81.75" customHeight="1" x14ac:dyDescent="0.15">
      <c r="B102" s="128" t="s">
        <v>139</v>
      </c>
      <c r="C102" s="129"/>
      <c r="D102" s="129"/>
      <c r="E102" s="129"/>
      <c r="F102" s="129"/>
      <c r="G102" s="129"/>
      <c r="H102" s="129"/>
      <c r="I102" s="129"/>
      <c r="J102" s="129"/>
      <c r="K102" s="129"/>
      <c r="L102" s="129"/>
      <c r="M102" s="129"/>
      <c r="N102" s="129"/>
      <c r="O102" s="129"/>
      <c r="P102" s="129"/>
      <c r="Q102" s="129"/>
      <c r="R102" s="129"/>
      <c r="S102" s="130"/>
    </row>
    <row r="110" spans="1:19" ht="18" customHeight="1" x14ac:dyDescent="0.15"/>
  </sheetData>
  <mergeCells count="145">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60:E60"/>
    <mergeCell ref="B61:E61"/>
    <mergeCell ref="B62:E62"/>
    <mergeCell ref="B63:E63"/>
    <mergeCell ref="B64:E64"/>
    <mergeCell ref="J46:O46"/>
    <mergeCell ref="F78:I78"/>
    <mergeCell ref="J78:O78"/>
    <mergeCell ref="B69:D69"/>
    <mergeCell ref="B70:D70"/>
    <mergeCell ref="J53:O53"/>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s>
  <phoneticPr fontId="1"/>
  <conditionalFormatting sqref="B9:S10">
    <cfRule type="expression" dxfId="0" priority="1">
      <formula>$K$7="学部・学科によって、修了要件は相違しない"</formula>
    </cfRule>
  </conditionalFormatting>
  <dataValidations disablePrompts="1" count="5">
    <dataValidation type="list" allowBlank="1" showInputMessage="1" showErrorMessage="1" sqref="G25:I31 Q25:S31 P69:S75 Q36:S42 G36:I42 Q47:S53 G47:I53 Q58:S64 F69:I75 G58:I64">
      <formula1>"○"</formula1>
    </dataValidation>
    <dataValidation type="list" allowBlank="1" showInputMessage="1" showErrorMessage="1" sqref="S32 S43 D32:G32 D43:G43">
      <formula1>"全学開講,一部開講"</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formula1>$V$14:$V$16</formula1>
    </dataValidation>
  </dataValidations>
  <printOptions horizontalCentered="1"/>
  <pageMargins left="0.78740157480314965" right="0.78740157480314965" top="0.78740157480314965" bottom="0.19685039370078741" header="0.31496062992125984" footer="0.19685039370078741"/>
  <pageSetup paperSize="9" scale="74"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32"/>
  <sheetViews>
    <sheetView view="pageBreakPreview" zoomScaleNormal="100" zoomScaleSheetLayoutView="100" workbookViewId="0">
      <selection activeCell="J25" sqref="J25"/>
    </sheetView>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AQ1" s="1" t="s">
        <v>107</v>
      </c>
    </row>
    <row r="2" spans="1:45" ht="18" customHeight="1" x14ac:dyDescent="0.15">
      <c r="K2" s="29"/>
      <c r="Q2" s="29"/>
      <c r="W2" s="29"/>
      <c r="AC2" s="29"/>
      <c r="AI2" s="29"/>
      <c r="AL2" s="29" t="s">
        <v>109</v>
      </c>
      <c r="AM2" s="176" t="str">
        <f>'様式１　プログラムを構成する授業科目'!C2</f>
        <v>皇學館大学</v>
      </c>
      <c r="AN2" s="176"/>
      <c r="AO2" s="176"/>
      <c r="AP2" s="176"/>
      <c r="AQ2" s="176"/>
    </row>
    <row r="3" spans="1:45" ht="18" customHeight="1" x14ac:dyDescent="0.15">
      <c r="A3" s="115" t="s">
        <v>48</v>
      </c>
      <c r="B3" s="115"/>
      <c r="C3" s="115"/>
      <c r="D3" s="115"/>
      <c r="E3" s="115"/>
      <c r="F3" s="115"/>
      <c r="G3" s="115"/>
      <c r="H3" s="115"/>
      <c r="I3" s="115"/>
      <c r="J3" s="115"/>
      <c r="K3" s="115"/>
      <c r="L3" s="115"/>
      <c r="M3" s="115"/>
      <c r="N3" s="115"/>
      <c r="O3" s="115"/>
      <c r="P3" s="115"/>
      <c r="Q3" s="115"/>
      <c r="R3" s="115"/>
      <c r="S3" s="115"/>
      <c r="T3" s="115"/>
      <c r="U3" s="115"/>
      <c r="V3" s="115"/>
      <c r="W3" s="115"/>
      <c r="X3" s="115"/>
      <c r="Y3" s="115"/>
      <c r="Z3" s="115"/>
      <c r="AA3" s="115"/>
      <c r="AB3" s="115"/>
      <c r="AC3" s="115"/>
      <c r="AD3" s="115"/>
      <c r="AE3" s="115"/>
      <c r="AF3" s="115"/>
      <c r="AG3" s="115"/>
      <c r="AH3" s="115"/>
      <c r="AI3" s="115"/>
      <c r="AJ3" s="115"/>
      <c r="AK3" s="115"/>
      <c r="AL3" s="115"/>
      <c r="AM3" s="115"/>
      <c r="AN3" s="115"/>
      <c r="AO3" s="115"/>
      <c r="AP3" s="115"/>
      <c r="AQ3" s="115"/>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84</v>
      </c>
      <c r="C5" s="177">
        <v>2022</v>
      </c>
      <c r="D5" s="178"/>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79" t="s">
        <v>45</v>
      </c>
      <c r="C9" s="194" t="s">
        <v>87</v>
      </c>
      <c r="D9" s="182" t="s">
        <v>47</v>
      </c>
      <c r="E9" s="185" t="s">
        <v>40</v>
      </c>
      <c r="F9" s="175" t="s">
        <v>86</v>
      </c>
      <c r="G9" s="175"/>
      <c r="H9" s="175"/>
      <c r="I9" s="175"/>
      <c r="J9" s="175"/>
      <c r="K9" s="175"/>
      <c r="L9" s="175" t="s">
        <v>49</v>
      </c>
      <c r="M9" s="175"/>
      <c r="N9" s="175"/>
      <c r="O9" s="175"/>
      <c r="P9" s="175"/>
      <c r="Q9" s="175"/>
      <c r="R9" s="175" t="s">
        <v>50</v>
      </c>
      <c r="S9" s="175"/>
      <c r="T9" s="175"/>
      <c r="U9" s="175"/>
      <c r="V9" s="175"/>
      <c r="W9" s="175"/>
      <c r="X9" s="175" t="s">
        <v>101</v>
      </c>
      <c r="Y9" s="175"/>
      <c r="Z9" s="175"/>
      <c r="AA9" s="175"/>
      <c r="AB9" s="175"/>
      <c r="AC9" s="175"/>
      <c r="AD9" s="175" t="s">
        <v>51</v>
      </c>
      <c r="AE9" s="175"/>
      <c r="AF9" s="175"/>
      <c r="AG9" s="175"/>
      <c r="AH9" s="175"/>
      <c r="AI9" s="175"/>
      <c r="AJ9" s="175" t="s">
        <v>52</v>
      </c>
      <c r="AK9" s="175"/>
      <c r="AL9" s="175"/>
      <c r="AM9" s="175"/>
      <c r="AN9" s="175"/>
      <c r="AO9" s="175"/>
      <c r="AP9" s="188" t="s">
        <v>35</v>
      </c>
      <c r="AQ9" s="191" t="s">
        <v>32</v>
      </c>
      <c r="AS9" s="2"/>
    </row>
    <row r="10" spans="1:45" ht="16.899999999999999" customHeight="1" x14ac:dyDescent="0.15">
      <c r="B10" s="180"/>
      <c r="C10" s="195"/>
      <c r="D10" s="183"/>
      <c r="E10" s="186"/>
      <c r="F10" s="173" t="s">
        <v>97</v>
      </c>
      <c r="G10" s="174"/>
      <c r="H10" s="174"/>
      <c r="I10" s="173" t="s">
        <v>29</v>
      </c>
      <c r="J10" s="174"/>
      <c r="K10" s="174"/>
      <c r="L10" s="173" t="s">
        <v>97</v>
      </c>
      <c r="M10" s="174"/>
      <c r="N10" s="174"/>
      <c r="O10" s="173" t="s">
        <v>29</v>
      </c>
      <c r="P10" s="174"/>
      <c r="Q10" s="174"/>
      <c r="R10" s="173" t="s">
        <v>97</v>
      </c>
      <c r="S10" s="174"/>
      <c r="T10" s="174"/>
      <c r="U10" s="173" t="s">
        <v>29</v>
      </c>
      <c r="V10" s="174"/>
      <c r="W10" s="174"/>
      <c r="X10" s="173" t="s">
        <v>97</v>
      </c>
      <c r="Y10" s="174"/>
      <c r="Z10" s="174"/>
      <c r="AA10" s="173" t="s">
        <v>29</v>
      </c>
      <c r="AB10" s="174"/>
      <c r="AC10" s="174"/>
      <c r="AD10" s="173" t="s">
        <v>97</v>
      </c>
      <c r="AE10" s="174"/>
      <c r="AF10" s="174"/>
      <c r="AG10" s="173" t="s">
        <v>29</v>
      </c>
      <c r="AH10" s="174"/>
      <c r="AI10" s="174"/>
      <c r="AJ10" s="173" t="s">
        <v>97</v>
      </c>
      <c r="AK10" s="174"/>
      <c r="AL10" s="174"/>
      <c r="AM10" s="173" t="s">
        <v>29</v>
      </c>
      <c r="AN10" s="174"/>
      <c r="AO10" s="174"/>
      <c r="AP10" s="189"/>
      <c r="AQ10" s="192"/>
      <c r="AS10" s="2"/>
    </row>
    <row r="11" spans="1:45" ht="18" customHeight="1" x14ac:dyDescent="0.15">
      <c r="B11" s="181"/>
      <c r="C11" s="196"/>
      <c r="D11" s="184"/>
      <c r="E11" s="187"/>
      <c r="F11" s="17" t="s">
        <v>98</v>
      </c>
      <c r="G11" s="18" t="s">
        <v>99</v>
      </c>
      <c r="H11" s="19" t="s">
        <v>100</v>
      </c>
      <c r="I11" s="17" t="s">
        <v>98</v>
      </c>
      <c r="J11" s="18" t="s">
        <v>99</v>
      </c>
      <c r="K11" s="19" t="s">
        <v>100</v>
      </c>
      <c r="L11" s="17" t="s">
        <v>98</v>
      </c>
      <c r="M11" s="18" t="s">
        <v>99</v>
      </c>
      <c r="N11" s="19" t="s">
        <v>100</v>
      </c>
      <c r="O11" s="17" t="s">
        <v>98</v>
      </c>
      <c r="P11" s="18" t="s">
        <v>99</v>
      </c>
      <c r="Q11" s="19" t="s">
        <v>100</v>
      </c>
      <c r="R11" s="17" t="s">
        <v>98</v>
      </c>
      <c r="S11" s="18" t="s">
        <v>99</v>
      </c>
      <c r="T11" s="19" t="s">
        <v>100</v>
      </c>
      <c r="U11" s="17" t="s">
        <v>98</v>
      </c>
      <c r="V11" s="18" t="s">
        <v>99</v>
      </c>
      <c r="W11" s="19" t="s">
        <v>100</v>
      </c>
      <c r="X11" s="17" t="s">
        <v>98</v>
      </c>
      <c r="Y11" s="18" t="s">
        <v>99</v>
      </c>
      <c r="Z11" s="19" t="s">
        <v>100</v>
      </c>
      <c r="AA11" s="17" t="s">
        <v>98</v>
      </c>
      <c r="AB11" s="18" t="s">
        <v>99</v>
      </c>
      <c r="AC11" s="19" t="s">
        <v>100</v>
      </c>
      <c r="AD11" s="17" t="s">
        <v>98</v>
      </c>
      <c r="AE11" s="18" t="s">
        <v>99</v>
      </c>
      <c r="AF11" s="19" t="s">
        <v>100</v>
      </c>
      <c r="AG11" s="17" t="s">
        <v>98</v>
      </c>
      <c r="AH11" s="18" t="s">
        <v>99</v>
      </c>
      <c r="AI11" s="19" t="s">
        <v>100</v>
      </c>
      <c r="AJ11" s="17" t="s">
        <v>98</v>
      </c>
      <c r="AK11" s="18" t="s">
        <v>99</v>
      </c>
      <c r="AL11" s="19" t="s">
        <v>100</v>
      </c>
      <c r="AM11" s="17" t="s">
        <v>98</v>
      </c>
      <c r="AN11" s="18" t="s">
        <v>99</v>
      </c>
      <c r="AO11" s="19" t="s">
        <v>100</v>
      </c>
      <c r="AP11" s="190"/>
      <c r="AQ11" s="193"/>
      <c r="AS11" s="2"/>
    </row>
    <row r="12" spans="1:45" ht="18" customHeight="1" x14ac:dyDescent="0.15">
      <c r="A12" s="6"/>
      <c r="B12" s="11" t="s">
        <v>129</v>
      </c>
      <c r="C12" s="54">
        <v>1348</v>
      </c>
      <c r="D12" s="55">
        <v>300</v>
      </c>
      <c r="E12" s="56">
        <v>1210</v>
      </c>
      <c r="F12" s="76">
        <f>G12+H12</f>
        <v>103</v>
      </c>
      <c r="G12" s="77">
        <v>72</v>
      </c>
      <c r="H12" s="78">
        <v>31</v>
      </c>
      <c r="I12" s="76">
        <f>J12+K12</f>
        <v>94</v>
      </c>
      <c r="J12" s="79">
        <v>64</v>
      </c>
      <c r="K12" s="80">
        <v>30</v>
      </c>
      <c r="L12" s="56">
        <f>M12+N12</f>
        <v>0</v>
      </c>
      <c r="M12" s="57"/>
      <c r="N12" s="58"/>
      <c r="O12" s="56">
        <f>P12+Q12</f>
        <v>0</v>
      </c>
      <c r="P12" s="57"/>
      <c r="Q12" s="58"/>
      <c r="R12" s="56">
        <f>S12+T12</f>
        <v>0</v>
      </c>
      <c r="S12" s="57"/>
      <c r="T12" s="58"/>
      <c r="U12" s="56">
        <f>V12+W12</f>
        <v>0</v>
      </c>
      <c r="V12" s="57"/>
      <c r="W12" s="58"/>
      <c r="X12" s="56">
        <f>Y12+Z12</f>
        <v>0</v>
      </c>
      <c r="Y12" s="57"/>
      <c r="Z12" s="58"/>
      <c r="AA12" s="56">
        <f>AB12+AC12</f>
        <v>0</v>
      </c>
      <c r="AB12" s="57"/>
      <c r="AC12" s="58"/>
      <c r="AD12" s="56">
        <f>AE12+AF12</f>
        <v>0</v>
      </c>
      <c r="AE12" s="57"/>
      <c r="AF12" s="58"/>
      <c r="AG12" s="56">
        <f>AH12+AI12</f>
        <v>0</v>
      </c>
      <c r="AH12" s="57"/>
      <c r="AI12" s="58"/>
      <c r="AJ12" s="56">
        <f>AK12+AL12</f>
        <v>0</v>
      </c>
      <c r="AK12" s="57"/>
      <c r="AL12" s="58"/>
      <c r="AM12" s="56">
        <f>AN12+AO12</f>
        <v>0</v>
      </c>
      <c r="AN12" s="57"/>
      <c r="AO12" s="58"/>
      <c r="AP12" s="55">
        <f>F12+L12+R12+X12+AD12+AJ12</f>
        <v>103</v>
      </c>
      <c r="AQ12" s="21">
        <f t="shared" ref="AQ12:AQ32" si="0">AP12/E12</f>
        <v>8.5123966942148757E-2</v>
      </c>
    </row>
    <row r="13" spans="1:45" ht="18" customHeight="1" x14ac:dyDescent="0.15">
      <c r="A13" s="6"/>
      <c r="B13" s="12" t="s">
        <v>130</v>
      </c>
      <c r="C13" s="59">
        <v>915</v>
      </c>
      <c r="D13" s="60">
        <v>200</v>
      </c>
      <c r="E13" s="61">
        <v>810</v>
      </c>
      <c r="F13" s="81">
        <f t="shared" ref="F13:F31" si="1">G13+H13</f>
        <v>14</v>
      </c>
      <c r="G13" s="77">
        <v>4</v>
      </c>
      <c r="H13" s="78">
        <v>10</v>
      </c>
      <c r="I13" s="81">
        <f t="shared" ref="I13:I31" si="2">J13+K13</f>
        <v>13</v>
      </c>
      <c r="J13" s="77">
        <v>4</v>
      </c>
      <c r="K13" s="78">
        <v>9</v>
      </c>
      <c r="L13" s="62">
        <f t="shared" ref="L13:L31" si="3">M13+N13</f>
        <v>0</v>
      </c>
      <c r="M13" s="63"/>
      <c r="N13" s="64"/>
      <c r="O13" s="62">
        <f t="shared" ref="O13:O31" si="4">P13+Q13</f>
        <v>0</v>
      </c>
      <c r="P13" s="63"/>
      <c r="Q13" s="64"/>
      <c r="R13" s="62">
        <f t="shared" ref="R13:R31" si="5">S13+T13</f>
        <v>0</v>
      </c>
      <c r="S13" s="63"/>
      <c r="T13" s="64"/>
      <c r="U13" s="62">
        <f t="shared" ref="U13:U31" si="6">V13+W13</f>
        <v>0</v>
      </c>
      <c r="V13" s="63"/>
      <c r="W13" s="64"/>
      <c r="X13" s="62">
        <f t="shared" ref="X13:X31" si="7">Y13+Z13</f>
        <v>0</v>
      </c>
      <c r="Y13" s="63"/>
      <c r="Z13" s="64"/>
      <c r="AA13" s="62">
        <f t="shared" ref="AA13:AA31" si="8">AB13+AC13</f>
        <v>0</v>
      </c>
      <c r="AB13" s="63"/>
      <c r="AC13" s="64"/>
      <c r="AD13" s="62">
        <f t="shared" ref="AD13:AD31" si="9">AE13+AF13</f>
        <v>0</v>
      </c>
      <c r="AE13" s="63"/>
      <c r="AF13" s="64"/>
      <c r="AG13" s="62">
        <f t="shared" ref="AG13:AG31" si="10">AH13+AI13</f>
        <v>0</v>
      </c>
      <c r="AH13" s="63"/>
      <c r="AI13" s="64"/>
      <c r="AJ13" s="62">
        <f t="shared" ref="AJ13:AJ31" si="11">AK13+AL13</f>
        <v>0</v>
      </c>
      <c r="AK13" s="63"/>
      <c r="AL13" s="64"/>
      <c r="AM13" s="62">
        <f t="shared" ref="AM13:AM31" si="12">AN13+AO13</f>
        <v>0</v>
      </c>
      <c r="AN13" s="63"/>
      <c r="AO13" s="64"/>
      <c r="AP13" s="60">
        <f t="shared" ref="AP13:AP31" si="13">F13+L13+R13+X13+AD13+AJ13</f>
        <v>14</v>
      </c>
      <c r="AQ13" s="20">
        <f t="shared" si="0"/>
        <v>1.7283950617283949E-2</v>
      </c>
    </row>
    <row r="14" spans="1:45" ht="18" customHeight="1" x14ac:dyDescent="0.15">
      <c r="A14" s="6"/>
      <c r="B14" s="12" t="s">
        <v>131</v>
      </c>
      <c r="C14" s="59">
        <v>517</v>
      </c>
      <c r="D14" s="60">
        <v>120</v>
      </c>
      <c r="E14" s="61">
        <v>460</v>
      </c>
      <c r="F14" s="81">
        <f t="shared" si="1"/>
        <v>33</v>
      </c>
      <c r="G14" s="77">
        <v>32</v>
      </c>
      <c r="H14" s="78">
        <v>1</v>
      </c>
      <c r="I14" s="81">
        <f t="shared" si="2"/>
        <v>27</v>
      </c>
      <c r="J14" s="77">
        <v>26</v>
      </c>
      <c r="K14" s="78">
        <v>1</v>
      </c>
      <c r="L14" s="62">
        <f t="shared" si="3"/>
        <v>0</v>
      </c>
      <c r="M14" s="63"/>
      <c r="N14" s="64"/>
      <c r="O14" s="62">
        <f t="shared" si="4"/>
        <v>0</v>
      </c>
      <c r="P14" s="63"/>
      <c r="Q14" s="64"/>
      <c r="R14" s="62">
        <f t="shared" si="5"/>
        <v>0</v>
      </c>
      <c r="S14" s="63"/>
      <c r="T14" s="64"/>
      <c r="U14" s="62">
        <f t="shared" si="6"/>
        <v>0</v>
      </c>
      <c r="V14" s="63"/>
      <c r="W14" s="64"/>
      <c r="X14" s="62">
        <f t="shared" si="7"/>
        <v>0</v>
      </c>
      <c r="Y14" s="63"/>
      <c r="Z14" s="64"/>
      <c r="AA14" s="62">
        <f t="shared" si="8"/>
        <v>0</v>
      </c>
      <c r="AB14" s="63"/>
      <c r="AC14" s="64"/>
      <c r="AD14" s="62">
        <f t="shared" si="9"/>
        <v>0</v>
      </c>
      <c r="AE14" s="63"/>
      <c r="AF14" s="64"/>
      <c r="AG14" s="62">
        <f t="shared" si="10"/>
        <v>0</v>
      </c>
      <c r="AH14" s="63"/>
      <c r="AI14" s="64"/>
      <c r="AJ14" s="62">
        <f t="shared" si="11"/>
        <v>0</v>
      </c>
      <c r="AK14" s="63"/>
      <c r="AL14" s="64"/>
      <c r="AM14" s="62">
        <f t="shared" si="12"/>
        <v>0</v>
      </c>
      <c r="AN14" s="63"/>
      <c r="AO14" s="64"/>
      <c r="AP14" s="60">
        <f t="shared" si="13"/>
        <v>33</v>
      </c>
      <c r="AQ14" s="8">
        <f t="shared" si="0"/>
        <v>7.1739130434782611E-2</v>
      </c>
    </row>
    <row r="15" spans="1:45" ht="18" customHeight="1" x14ac:dyDescent="0.15">
      <c r="A15" s="6"/>
      <c r="B15" s="12"/>
      <c r="C15" s="59"/>
      <c r="D15" s="60"/>
      <c r="E15" s="61"/>
      <c r="F15" s="62">
        <f t="shared" si="1"/>
        <v>0</v>
      </c>
      <c r="G15" s="63"/>
      <c r="H15" s="64"/>
      <c r="I15" s="62">
        <f t="shared" si="2"/>
        <v>0</v>
      </c>
      <c r="J15" s="63"/>
      <c r="K15" s="64"/>
      <c r="L15" s="62">
        <f t="shared" si="3"/>
        <v>0</v>
      </c>
      <c r="M15" s="63"/>
      <c r="N15" s="64"/>
      <c r="O15" s="62">
        <f t="shared" si="4"/>
        <v>0</v>
      </c>
      <c r="P15" s="63"/>
      <c r="Q15" s="64"/>
      <c r="R15" s="62">
        <f t="shared" si="5"/>
        <v>0</v>
      </c>
      <c r="S15" s="63"/>
      <c r="T15" s="64"/>
      <c r="U15" s="62">
        <f t="shared" si="6"/>
        <v>0</v>
      </c>
      <c r="V15" s="63"/>
      <c r="W15" s="64"/>
      <c r="X15" s="62">
        <f t="shared" si="7"/>
        <v>0</v>
      </c>
      <c r="Y15" s="63"/>
      <c r="Z15" s="64"/>
      <c r="AA15" s="62">
        <f t="shared" si="8"/>
        <v>0</v>
      </c>
      <c r="AB15" s="63"/>
      <c r="AC15" s="64"/>
      <c r="AD15" s="62">
        <f t="shared" si="9"/>
        <v>0</v>
      </c>
      <c r="AE15" s="63"/>
      <c r="AF15" s="64"/>
      <c r="AG15" s="62">
        <f t="shared" si="10"/>
        <v>0</v>
      </c>
      <c r="AH15" s="63"/>
      <c r="AI15" s="64"/>
      <c r="AJ15" s="62">
        <f t="shared" si="11"/>
        <v>0</v>
      </c>
      <c r="AK15" s="63"/>
      <c r="AL15" s="64"/>
      <c r="AM15" s="62">
        <f t="shared" si="12"/>
        <v>0</v>
      </c>
      <c r="AN15" s="63"/>
      <c r="AO15" s="64"/>
      <c r="AP15" s="60">
        <f t="shared" si="13"/>
        <v>0</v>
      </c>
      <c r="AQ15" s="8" t="e">
        <f t="shared" si="0"/>
        <v>#DIV/0!</v>
      </c>
    </row>
    <row r="16" spans="1:45" ht="18" customHeight="1" x14ac:dyDescent="0.15">
      <c r="A16" s="6"/>
      <c r="B16" s="12"/>
      <c r="C16" s="59"/>
      <c r="D16" s="60"/>
      <c r="E16" s="61"/>
      <c r="F16" s="62">
        <f t="shared" si="1"/>
        <v>0</v>
      </c>
      <c r="G16" s="63"/>
      <c r="H16" s="64"/>
      <c r="I16" s="62">
        <f t="shared" si="2"/>
        <v>0</v>
      </c>
      <c r="J16" s="63"/>
      <c r="K16" s="64"/>
      <c r="L16" s="62">
        <f t="shared" si="3"/>
        <v>0</v>
      </c>
      <c r="M16" s="63"/>
      <c r="N16" s="64"/>
      <c r="O16" s="62">
        <f t="shared" si="4"/>
        <v>0</v>
      </c>
      <c r="P16" s="63"/>
      <c r="Q16" s="64"/>
      <c r="R16" s="62">
        <f t="shared" si="5"/>
        <v>0</v>
      </c>
      <c r="S16" s="63"/>
      <c r="T16" s="64"/>
      <c r="U16" s="62">
        <f t="shared" si="6"/>
        <v>0</v>
      </c>
      <c r="V16" s="63"/>
      <c r="W16" s="64"/>
      <c r="X16" s="62">
        <f t="shared" si="7"/>
        <v>0</v>
      </c>
      <c r="Y16" s="63"/>
      <c r="Z16" s="64"/>
      <c r="AA16" s="62">
        <f t="shared" si="8"/>
        <v>0</v>
      </c>
      <c r="AB16" s="63"/>
      <c r="AC16" s="64"/>
      <c r="AD16" s="62">
        <f t="shared" si="9"/>
        <v>0</v>
      </c>
      <c r="AE16" s="63"/>
      <c r="AF16" s="64"/>
      <c r="AG16" s="62">
        <f t="shared" si="10"/>
        <v>0</v>
      </c>
      <c r="AH16" s="63"/>
      <c r="AI16" s="64"/>
      <c r="AJ16" s="62">
        <f t="shared" si="11"/>
        <v>0</v>
      </c>
      <c r="AK16" s="63"/>
      <c r="AL16" s="64"/>
      <c r="AM16" s="62">
        <f t="shared" si="12"/>
        <v>0</v>
      </c>
      <c r="AN16" s="63"/>
      <c r="AO16" s="64"/>
      <c r="AP16" s="60">
        <f t="shared" si="13"/>
        <v>0</v>
      </c>
      <c r="AQ16" s="8" t="e">
        <f t="shared" si="0"/>
        <v>#DIV/0!</v>
      </c>
    </row>
    <row r="17" spans="1:43" ht="18" customHeight="1" x14ac:dyDescent="0.15">
      <c r="A17" s="6"/>
      <c r="B17" s="12"/>
      <c r="C17" s="59"/>
      <c r="D17" s="60"/>
      <c r="E17" s="61"/>
      <c r="F17" s="62">
        <f t="shared" si="1"/>
        <v>0</v>
      </c>
      <c r="G17" s="63"/>
      <c r="H17" s="64"/>
      <c r="I17" s="62">
        <f t="shared" si="2"/>
        <v>0</v>
      </c>
      <c r="J17" s="63"/>
      <c r="K17" s="64"/>
      <c r="L17" s="62">
        <f t="shared" si="3"/>
        <v>0</v>
      </c>
      <c r="M17" s="63"/>
      <c r="N17" s="64"/>
      <c r="O17" s="62">
        <f t="shared" si="4"/>
        <v>0</v>
      </c>
      <c r="P17" s="63"/>
      <c r="Q17" s="64"/>
      <c r="R17" s="62">
        <f t="shared" si="5"/>
        <v>0</v>
      </c>
      <c r="S17" s="63"/>
      <c r="T17" s="64"/>
      <c r="U17" s="62">
        <f t="shared" si="6"/>
        <v>0</v>
      </c>
      <c r="V17" s="63"/>
      <c r="W17" s="64"/>
      <c r="X17" s="62">
        <f t="shared" si="7"/>
        <v>0</v>
      </c>
      <c r="Y17" s="63"/>
      <c r="Z17" s="64"/>
      <c r="AA17" s="62">
        <f t="shared" si="8"/>
        <v>0</v>
      </c>
      <c r="AB17" s="63"/>
      <c r="AC17" s="64"/>
      <c r="AD17" s="62">
        <f t="shared" si="9"/>
        <v>0</v>
      </c>
      <c r="AE17" s="63"/>
      <c r="AF17" s="64"/>
      <c r="AG17" s="62">
        <f t="shared" si="10"/>
        <v>0</v>
      </c>
      <c r="AH17" s="63"/>
      <c r="AI17" s="64"/>
      <c r="AJ17" s="62">
        <f t="shared" si="11"/>
        <v>0</v>
      </c>
      <c r="AK17" s="63"/>
      <c r="AL17" s="64"/>
      <c r="AM17" s="62">
        <f t="shared" si="12"/>
        <v>0</v>
      </c>
      <c r="AN17" s="63"/>
      <c r="AO17" s="64"/>
      <c r="AP17" s="60">
        <f t="shared" si="13"/>
        <v>0</v>
      </c>
      <c r="AQ17" s="8" t="e">
        <f t="shared" si="0"/>
        <v>#DIV/0!</v>
      </c>
    </row>
    <row r="18" spans="1:43" ht="18" customHeight="1" x14ac:dyDescent="0.15">
      <c r="A18" s="6"/>
      <c r="B18" s="12"/>
      <c r="C18" s="59"/>
      <c r="D18" s="60"/>
      <c r="E18" s="61"/>
      <c r="F18" s="62">
        <f t="shared" si="1"/>
        <v>0</v>
      </c>
      <c r="G18" s="63"/>
      <c r="H18" s="64"/>
      <c r="I18" s="62">
        <f t="shared" si="2"/>
        <v>0</v>
      </c>
      <c r="J18" s="63"/>
      <c r="K18" s="64"/>
      <c r="L18" s="62">
        <f t="shared" si="3"/>
        <v>0</v>
      </c>
      <c r="M18" s="63"/>
      <c r="N18" s="64"/>
      <c r="O18" s="62">
        <f t="shared" si="4"/>
        <v>0</v>
      </c>
      <c r="P18" s="63"/>
      <c r="Q18" s="64"/>
      <c r="R18" s="62">
        <f t="shared" si="5"/>
        <v>0</v>
      </c>
      <c r="S18" s="63"/>
      <c r="T18" s="64"/>
      <c r="U18" s="62">
        <f t="shared" si="6"/>
        <v>0</v>
      </c>
      <c r="V18" s="63"/>
      <c r="W18" s="64"/>
      <c r="X18" s="62">
        <f t="shared" si="7"/>
        <v>0</v>
      </c>
      <c r="Y18" s="63"/>
      <c r="Z18" s="64"/>
      <c r="AA18" s="62">
        <f t="shared" si="8"/>
        <v>0</v>
      </c>
      <c r="AB18" s="63"/>
      <c r="AC18" s="64"/>
      <c r="AD18" s="62">
        <f t="shared" si="9"/>
        <v>0</v>
      </c>
      <c r="AE18" s="63"/>
      <c r="AF18" s="64"/>
      <c r="AG18" s="62">
        <f t="shared" si="10"/>
        <v>0</v>
      </c>
      <c r="AH18" s="63"/>
      <c r="AI18" s="64"/>
      <c r="AJ18" s="62">
        <f t="shared" si="11"/>
        <v>0</v>
      </c>
      <c r="AK18" s="63"/>
      <c r="AL18" s="64"/>
      <c r="AM18" s="62">
        <f t="shared" si="12"/>
        <v>0</v>
      </c>
      <c r="AN18" s="63"/>
      <c r="AO18" s="64"/>
      <c r="AP18" s="60">
        <f t="shared" si="13"/>
        <v>0</v>
      </c>
      <c r="AQ18" s="8" t="e">
        <f t="shared" si="0"/>
        <v>#DIV/0!</v>
      </c>
    </row>
    <row r="19" spans="1:43" ht="18" customHeight="1" x14ac:dyDescent="0.15">
      <c r="A19" s="6"/>
      <c r="B19" s="12"/>
      <c r="C19" s="59"/>
      <c r="D19" s="60"/>
      <c r="E19" s="61"/>
      <c r="F19" s="62">
        <f t="shared" si="1"/>
        <v>0</v>
      </c>
      <c r="G19" s="63"/>
      <c r="H19" s="64"/>
      <c r="I19" s="62">
        <f t="shared" si="2"/>
        <v>0</v>
      </c>
      <c r="J19" s="63"/>
      <c r="K19" s="64"/>
      <c r="L19" s="62">
        <f t="shared" si="3"/>
        <v>0</v>
      </c>
      <c r="M19" s="63"/>
      <c r="N19" s="64"/>
      <c r="O19" s="62">
        <f t="shared" si="4"/>
        <v>0</v>
      </c>
      <c r="P19" s="63"/>
      <c r="Q19" s="64"/>
      <c r="R19" s="62">
        <f t="shared" si="5"/>
        <v>0</v>
      </c>
      <c r="S19" s="63"/>
      <c r="T19" s="64"/>
      <c r="U19" s="62">
        <f t="shared" si="6"/>
        <v>0</v>
      </c>
      <c r="V19" s="63"/>
      <c r="W19" s="64"/>
      <c r="X19" s="62">
        <f t="shared" si="7"/>
        <v>0</v>
      </c>
      <c r="Y19" s="63"/>
      <c r="Z19" s="64"/>
      <c r="AA19" s="62">
        <f t="shared" si="8"/>
        <v>0</v>
      </c>
      <c r="AB19" s="63"/>
      <c r="AC19" s="64"/>
      <c r="AD19" s="62">
        <f t="shared" si="9"/>
        <v>0</v>
      </c>
      <c r="AE19" s="63"/>
      <c r="AF19" s="64"/>
      <c r="AG19" s="62">
        <f t="shared" si="10"/>
        <v>0</v>
      </c>
      <c r="AH19" s="63"/>
      <c r="AI19" s="64"/>
      <c r="AJ19" s="62">
        <f t="shared" si="11"/>
        <v>0</v>
      </c>
      <c r="AK19" s="63"/>
      <c r="AL19" s="64"/>
      <c r="AM19" s="62">
        <f t="shared" si="12"/>
        <v>0</v>
      </c>
      <c r="AN19" s="63"/>
      <c r="AO19" s="64"/>
      <c r="AP19" s="60">
        <f t="shared" si="13"/>
        <v>0</v>
      </c>
      <c r="AQ19" s="8" t="e">
        <f t="shared" si="0"/>
        <v>#DIV/0!</v>
      </c>
    </row>
    <row r="20" spans="1:43" ht="18" customHeight="1" x14ac:dyDescent="0.15">
      <c r="A20" s="6"/>
      <c r="B20" s="12"/>
      <c r="C20" s="59"/>
      <c r="D20" s="60"/>
      <c r="E20" s="61"/>
      <c r="F20" s="62">
        <f t="shared" si="1"/>
        <v>0</v>
      </c>
      <c r="G20" s="63"/>
      <c r="H20" s="64"/>
      <c r="I20" s="62">
        <f t="shared" si="2"/>
        <v>0</v>
      </c>
      <c r="J20" s="63"/>
      <c r="K20" s="64"/>
      <c r="L20" s="62">
        <f t="shared" si="3"/>
        <v>0</v>
      </c>
      <c r="M20" s="63"/>
      <c r="N20" s="64"/>
      <c r="O20" s="62">
        <f t="shared" si="4"/>
        <v>0</v>
      </c>
      <c r="P20" s="63"/>
      <c r="Q20" s="64"/>
      <c r="R20" s="62">
        <f t="shared" si="5"/>
        <v>0</v>
      </c>
      <c r="S20" s="63"/>
      <c r="T20" s="64"/>
      <c r="U20" s="62">
        <f t="shared" si="6"/>
        <v>0</v>
      </c>
      <c r="V20" s="63"/>
      <c r="W20" s="64"/>
      <c r="X20" s="62">
        <f t="shared" si="7"/>
        <v>0</v>
      </c>
      <c r="Y20" s="63"/>
      <c r="Z20" s="64"/>
      <c r="AA20" s="62">
        <f t="shared" si="8"/>
        <v>0</v>
      </c>
      <c r="AB20" s="63"/>
      <c r="AC20" s="64"/>
      <c r="AD20" s="62">
        <f t="shared" si="9"/>
        <v>0</v>
      </c>
      <c r="AE20" s="63"/>
      <c r="AF20" s="64"/>
      <c r="AG20" s="62">
        <f t="shared" si="10"/>
        <v>0</v>
      </c>
      <c r="AH20" s="63"/>
      <c r="AI20" s="64"/>
      <c r="AJ20" s="62">
        <f t="shared" si="11"/>
        <v>0</v>
      </c>
      <c r="AK20" s="63"/>
      <c r="AL20" s="64"/>
      <c r="AM20" s="62">
        <f t="shared" si="12"/>
        <v>0</v>
      </c>
      <c r="AN20" s="63"/>
      <c r="AO20" s="64"/>
      <c r="AP20" s="60">
        <f t="shared" si="13"/>
        <v>0</v>
      </c>
      <c r="AQ20" s="8" t="e">
        <f t="shared" si="0"/>
        <v>#DIV/0!</v>
      </c>
    </row>
    <row r="21" spans="1:43" ht="18" customHeight="1" x14ac:dyDescent="0.15">
      <c r="A21" s="6"/>
      <c r="B21" s="12"/>
      <c r="C21" s="59"/>
      <c r="D21" s="60"/>
      <c r="E21" s="61"/>
      <c r="F21" s="62">
        <f t="shared" si="1"/>
        <v>0</v>
      </c>
      <c r="G21" s="63"/>
      <c r="H21" s="64"/>
      <c r="I21" s="62">
        <f t="shared" si="2"/>
        <v>0</v>
      </c>
      <c r="J21" s="63"/>
      <c r="K21" s="64"/>
      <c r="L21" s="62">
        <f t="shared" si="3"/>
        <v>0</v>
      </c>
      <c r="M21" s="63"/>
      <c r="N21" s="64"/>
      <c r="O21" s="62">
        <f t="shared" si="4"/>
        <v>0</v>
      </c>
      <c r="P21" s="63"/>
      <c r="Q21" s="64"/>
      <c r="R21" s="62">
        <f t="shared" si="5"/>
        <v>0</v>
      </c>
      <c r="S21" s="63"/>
      <c r="T21" s="64"/>
      <c r="U21" s="62">
        <f t="shared" si="6"/>
        <v>0</v>
      </c>
      <c r="V21" s="63"/>
      <c r="W21" s="64"/>
      <c r="X21" s="62">
        <f t="shared" si="7"/>
        <v>0</v>
      </c>
      <c r="Y21" s="63"/>
      <c r="Z21" s="64"/>
      <c r="AA21" s="62">
        <f t="shared" si="8"/>
        <v>0</v>
      </c>
      <c r="AB21" s="63"/>
      <c r="AC21" s="64"/>
      <c r="AD21" s="62">
        <f t="shared" si="9"/>
        <v>0</v>
      </c>
      <c r="AE21" s="63"/>
      <c r="AF21" s="64"/>
      <c r="AG21" s="62">
        <f t="shared" si="10"/>
        <v>0</v>
      </c>
      <c r="AH21" s="63"/>
      <c r="AI21" s="64"/>
      <c r="AJ21" s="62">
        <f t="shared" si="11"/>
        <v>0</v>
      </c>
      <c r="AK21" s="63"/>
      <c r="AL21" s="64"/>
      <c r="AM21" s="62">
        <f t="shared" si="12"/>
        <v>0</v>
      </c>
      <c r="AN21" s="63"/>
      <c r="AO21" s="64"/>
      <c r="AP21" s="60">
        <f t="shared" si="13"/>
        <v>0</v>
      </c>
      <c r="AQ21" s="8" t="e">
        <f t="shared" si="0"/>
        <v>#DIV/0!</v>
      </c>
    </row>
    <row r="22" spans="1:43" ht="18" customHeight="1" x14ac:dyDescent="0.15">
      <c r="A22" s="6"/>
      <c r="B22" s="12"/>
      <c r="C22" s="59"/>
      <c r="D22" s="60"/>
      <c r="E22" s="61"/>
      <c r="F22" s="62">
        <f t="shared" si="1"/>
        <v>0</v>
      </c>
      <c r="G22" s="63"/>
      <c r="H22" s="64"/>
      <c r="I22" s="62">
        <f t="shared" si="2"/>
        <v>0</v>
      </c>
      <c r="J22" s="63"/>
      <c r="K22" s="64"/>
      <c r="L22" s="62">
        <f t="shared" si="3"/>
        <v>0</v>
      </c>
      <c r="M22" s="63"/>
      <c r="N22" s="64"/>
      <c r="O22" s="62">
        <f t="shared" si="4"/>
        <v>0</v>
      </c>
      <c r="P22" s="63"/>
      <c r="Q22" s="64"/>
      <c r="R22" s="62">
        <f t="shared" si="5"/>
        <v>0</v>
      </c>
      <c r="S22" s="63"/>
      <c r="T22" s="64"/>
      <c r="U22" s="62">
        <f t="shared" si="6"/>
        <v>0</v>
      </c>
      <c r="V22" s="63"/>
      <c r="W22" s="64"/>
      <c r="X22" s="62">
        <f t="shared" si="7"/>
        <v>0</v>
      </c>
      <c r="Y22" s="63"/>
      <c r="Z22" s="64"/>
      <c r="AA22" s="62">
        <f t="shared" si="8"/>
        <v>0</v>
      </c>
      <c r="AB22" s="63"/>
      <c r="AC22" s="64"/>
      <c r="AD22" s="62">
        <f t="shared" si="9"/>
        <v>0</v>
      </c>
      <c r="AE22" s="63"/>
      <c r="AF22" s="64"/>
      <c r="AG22" s="62">
        <f t="shared" si="10"/>
        <v>0</v>
      </c>
      <c r="AH22" s="63"/>
      <c r="AI22" s="64"/>
      <c r="AJ22" s="62">
        <f t="shared" si="11"/>
        <v>0</v>
      </c>
      <c r="AK22" s="63"/>
      <c r="AL22" s="64"/>
      <c r="AM22" s="62">
        <f t="shared" si="12"/>
        <v>0</v>
      </c>
      <c r="AN22" s="63"/>
      <c r="AO22" s="64"/>
      <c r="AP22" s="60">
        <f t="shared" si="13"/>
        <v>0</v>
      </c>
      <c r="AQ22" s="8" t="e">
        <f t="shared" si="0"/>
        <v>#DIV/0!</v>
      </c>
    </row>
    <row r="23" spans="1:43" ht="18" customHeight="1" x14ac:dyDescent="0.15">
      <c r="A23" s="6"/>
      <c r="B23" s="12"/>
      <c r="C23" s="59"/>
      <c r="D23" s="60"/>
      <c r="E23" s="61"/>
      <c r="F23" s="62">
        <f t="shared" si="1"/>
        <v>0</v>
      </c>
      <c r="G23" s="63"/>
      <c r="H23" s="64"/>
      <c r="I23" s="62">
        <f t="shared" si="2"/>
        <v>0</v>
      </c>
      <c r="J23" s="63"/>
      <c r="K23" s="64"/>
      <c r="L23" s="62">
        <f t="shared" si="3"/>
        <v>0</v>
      </c>
      <c r="M23" s="63"/>
      <c r="N23" s="64"/>
      <c r="O23" s="62">
        <f t="shared" si="4"/>
        <v>0</v>
      </c>
      <c r="P23" s="63"/>
      <c r="Q23" s="64"/>
      <c r="R23" s="62">
        <f t="shared" si="5"/>
        <v>0</v>
      </c>
      <c r="S23" s="63"/>
      <c r="T23" s="64"/>
      <c r="U23" s="62">
        <f t="shared" si="6"/>
        <v>0</v>
      </c>
      <c r="V23" s="63"/>
      <c r="W23" s="64"/>
      <c r="X23" s="62">
        <f t="shared" si="7"/>
        <v>0</v>
      </c>
      <c r="Y23" s="63"/>
      <c r="Z23" s="64"/>
      <c r="AA23" s="62">
        <f t="shared" si="8"/>
        <v>0</v>
      </c>
      <c r="AB23" s="63"/>
      <c r="AC23" s="64"/>
      <c r="AD23" s="62">
        <f t="shared" si="9"/>
        <v>0</v>
      </c>
      <c r="AE23" s="63"/>
      <c r="AF23" s="64"/>
      <c r="AG23" s="62">
        <f t="shared" si="10"/>
        <v>0</v>
      </c>
      <c r="AH23" s="63"/>
      <c r="AI23" s="64"/>
      <c r="AJ23" s="62">
        <f t="shared" si="11"/>
        <v>0</v>
      </c>
      <c r="AK23" s="63"/>
      <c r="AL23" s="64"/>
      <c r="AM23" s="62">
        <f t="shared" si="12"/>
        <v>0</v>
      </c>
      <c r="AN23" s="63"/>
      <c r="AO23" s="64"/>
      <c r="AP23" s="60">
        <f t="shared" si="13"/>
        <v>0</v>
      </c>
      <c r="AQ23" s="8" t="e">
        <f t="shared" si="0"/>
        <v>#DIV/0!</v>
      </c>
    </row>
    <row r="24" spans="1:43" ht="18" customHeight="1" x14ac:dyDescent="0.15">
      <c r="A24" s="6"/>
      <c r="B24" s="12"/>
      <c r="C24" s="59"/>
      <c r="D24" s="60"/>
      <c r="E24" s="61"/>
      <c r="F24" s="62">
        <f t="shared" si="1"/>
        <v>0</v>
      </c>
      <c r="G24" s="63"/>
      <c r="H24" s="64"/>
      <c r="I24" s="62">
        <f t="shared" si="2"/>
        <v>0</v>
      </c>
      <c r="J24" s="63"/>
      <c r="K24" s="64"/>
      <c r="L24" s="62">
        <f t="shared" si="3"/>
        <v>0</v>
      </c>
      <c r="M24" s="63"/>
      <c r="N24" s="64"/>
      <c r="O24" s="62">
        <f t="shared" si="4"/>
        <v>0</v>
      </c>
      <c r="P24" s="63"/>
      <c r="Q24" s="64"/>
      <c r="R24" s="62">
        <f t="shared" si="5"/>
        <v>0</v>
      </c>
      <c r="S24" s="63"/>
      <c r="T24" s="64"/>
      <c r="U24" s="62">
        <f t="shared" si="6"/>
        <v>0</v>
      </c>
      <c r="V24" s="63"/>
      <c r="W24" s="64"/>
      <c r="X24" s="62">
        <f t="shared" si="7"/>
        <v>0</v>
      </c>
      <c r="Y24" s="63"/>
      <c r="Z24" s="64"/>
      <c r="AA24" s="62">
        <f t="shared" si="8"/>
        <v>0</v>
      </c>
      <c r="AB24" s="63"/>
      <c r="AC24" s="64"/>
      <c r="AD24" s="62">
        <f t="shared" si="9"/>
        <v>0</v>
      </c>
      <c r="AE24" s="63"/>
      <c r="AF24" s="64"/>
      <c r="AG24" s="62">
        <f t="shared" si="10"/>
        <v>0</v>
      </c>
      <c r="AH24" s="63"/>
      <c r="AI24" s="64"/>
      <c r="AJ24" s="62">
        <f t="shared" si="11"/>
        <v>0</v>
      </c>
      <c r="AK24" s="63"/>
      <c r="AL24" s="64"/>
      <c r="AM24" s="62">
        <f t="shared" si="12"/>
        <v>0</v>
      </c>
      <c r="AN24" s="63"/>
      <c r="AO24" s="64"/>
      <c r="AP24" s="60">
        <f t="shared" si="13"/>
        <v>0</v>
      </c>
      <c r="AQ24" s="8" t="e">
        <f t="shared" si="0"/>
        <v>#DIV/0!</v>
      </c>
    </row>
    <row r="25" spans="1:43" ht="18" customHeight="1" x14ac:dyDescent="0.15">
      <c r="A25" s="6"/>
      <c r="B25" s="12"/>
      <c r="C25" s="59"/>
      <c r="D25" s="60"/>
      <c r="E25" s="61"/>
      <c r="F25" s="62">
        <f t="shared" si="1"/>
        <v>0</v>
      </c>
      <c r="G25" s="63"/>
      <c r="H25" s="64"/>
      <c r="I25" s="62">
        <f t="shared" si="2"/>
        <v>0</v>
      </c>
      <c r="J25" s="63"/>
      <c r="K25" s="64"/>
      <c r="L25" s="62">
        <f t="shared" si="3"/>
        <v>0</v>
      </c>
      <c r="M25" s="63"/>
      <c r="N25" s="64"/>
      <c r="O25" s="62">
        <f t="shared" si="4"/>
        <v>0</v>
      </c>
      <c r="P25" s="63"/>
      <c r="Q25" s="64"/>
      <c r="R25" s="62">
        <f t="shared" si="5"/>
        <v>0</v>
      </c>
      <c r="S25" s="63"/>
      <c r="T25" s="64"/>
      <c r="U25" s="62">
        <f t="shared" si="6"/>
        <v>0</v>
      </c>
      <c r="V25" s="63"/>
      <c r="W25" s="64"/>
      <c r="X25" s="62">
        <f t="shared" si="7"/>
        <v>0</v>
      </c>
      <c r="Y25" s="63"/>
      <c r="Z25" s="64"/>
      <c r="AA25" s="62">
        <f t="shared" si="8"/>
        <v>0</v>
      </c>
      <c r="AB25" s="63"/>
      <c r="AC25" s="64"/>
      <c r="AD25" s="62">
        <f t="shared" si="9"/>
        <v>0</v>
      </c>
      <c r="AE25" s="63"/>
      <c r="AF25" s="64"/>
      <c r="AG25" s="62">
        <f t="shared" si="10"/>
        <v>0</v>
      </c>
      <c r="AH25" s="63"/>
      <c r="AI25" s="64"/>
      <c r="AJ25" s="62">
        <f t="shared" si="11"/>
        <v>0</v>
      </c>
      <c r="AK25" s="63"/>
      <c r="AL25" s="64"/>
      <c r="AM25" s="62">
        <f t="shared" si="12"/>
        <v>0</v>
      </c>
      <c r="AN25" s="63"/>
      <c r="AO25" s="64"/>
      <c r="AP25" s="60">
        <f t="shared" si="13"/>
        <v>0</v>
      </c>
      <c r="AQ25" s="8" t="e">
        <f t="shared" si="0"/>
        <v>#DIV/0!</v>
      </c>
    </row>
    <row r="26" spans="1:43" ht="18" customHeight="1" x14ac:dyDescent="0.15">
      <c r="A26" s="6"/>
      <c r="B26" s="12"/>
      <c r="C26" s="59"/>
      <c r="D26" s="60"/>
      <c r="E26" s="61"/>
      <c r="F26" s="62">
        <f t="shared" si="1"/>
        <v>0</v>
      </c>
      <c r="G26" s="63"/>
      <c r="H26" s="64"/>
      <c r="I26" s="62">
        <f t="shared" si="2"/>
        <v>0</v>
      </c>
      <c r="J26" s="63"/>
      <c r="K26" s="64"/>
      <c r="L26" s="62">
        <f t="shared" si="3"/>
        <v>0</v>
      </c>
      <c r="M26" s="63"/>
      <c r="N26" s="64"/>
      <c r="O26" s="62">
        <f t="shared" si="4"/>
        <v>0</v>
      </c>
      <c r="P26" s="63"/>
      <c r="Q26" s="64"/>
      <c r="R26" s="62">
        <f t="shared" si="5"/>
        <v>0</v>
      </c>
      <c r="S26" s="63"/>
      <c r="T26" s="64"/>
      <c r="U26" s="62">
        <f t="shared" si="6"/>
        <v>0</v>
      </c>
      <c r="V26" s="63"/>
      <c r="W26" s="64"/>
      <c r="X26" s="62">
        <f t="shared" si="7"/>
        <v>0</v>
      </c>
      <c r="Y26" s="63"/>
      <c r="Z26" s="64"/>
      <c r="AA26" s="62">
        <f t="shared" si="8"/>
        <v>0</v>
      </c>
      <c r="AB26" s="63"/>
      <c r="AC26" s="64"/>
      <c r="AD26" s="62">
        <f t="shared" si="9"/>
        <v>0</v>
      </c>
      <c r="AE26" s="63"/>
      <c r="AF26" s="64"/>
      <c r="AG26" s="62">
        <f t="shared" si="10"/>
        <v>0</v>
      </c>
      <c r="AH26" s="63"/>
      <c r="AI26" s="64"/>
      <c r="AJ26" s="62">
        <f t="shared" si="11"/>
        <v>0</v>
      </c>
      <c r="AK26" s="63"/>
      <c r="AL26" s="64"/>
      <c r="AM26" s="62">
        <f t="shared" si="12"/>
        <v>0</v>
      </c>
      <c r="AN26" s="63"/>
      <c r="AO26" s="64"/>
      <c r="AP26" s="60">
        <f t="shared" si="13"/>
        <v>0</v>
      </c>
      <c r="AQ26" s="8" t="e">
        <f t="shared" si="0"/>
        <v>#DIV/0!</v>
      </c>
    </row>
    <row r="27" spans="1:43" ht="18" customHeight="1" x14ac:dyDescent="0.15">
      <c r="A27" s="6"/>
      <c r="B27" s="12"/>
      <c r="C27" s="59"/>
      <c r="D27" s="60"/>
      <c r="E27" s="61"/>
      <c r="F27" s="62">
        <f t="shared" si="1"/>
        <v>0</v>
      </c>
      <c r="G27" s="63"/>
      <c r="H27" s="64"/>
      <c r="I27" s="62">
        <f t="shared" si="2"/>
        <v>0</v>
      </c>
      <c r="J27" s="63"/>
      <c r="K27" s="64"/>
      <c r="L27" s="62">
        <f t="shared" si="3"/>
        <v>0</v>
      </c>
      <c r="M27" s="63"/>
      <c r="N27" s="64"/>
      <c r="O27" s="62">
        <f t="shared" si="4"/>
        <v>0</v>
      </c>
      <c r="P27" s="63"/>
      <c r="Q27" s="64"/>
      <c r="R27" s="62">
        <f t="shared" si="5"/>
        <v>0</v>
      </c>
      <c r="S27" s="63"/>
      <c r="T27" s="64"/>
      <c r="U27" s="62">
        <f t="shared" si="6"/>
        <v>0</v>
      </c>
      <c r="V27" s="63"/>
      <c r="W27" s="64"/>
      <c r="X27" s="62">
        <f t="shared" si="7"/>
        <v>0</v>
      </c>
      <c r="Y27" s="63"/>
      <c r="Z27" s="64"/>
      <c r="AA27" s="62">
        <f t="shared" si="8"/>
        <v>0</v>
      </c>
      <c r="AB27" s="63"/>
      <c r="AC27" s="64"/>
      <c r="AD27" s="62">
        <f t="shared" si="9"/>
        <v>0</v>
      </c>
      <c r="AE27" s="63"/>
      <c r="AF27" s="64"/>
      <c r="AG27" s="62">
        <f t="shared" si="10"/>
        <v>0</v>
      </c>
      <c r="AH27" s="63"/>
      <c r="AI27" s="64"/>
      <c r="AJ27" s="62">
        <f t="shared" si="11"/>
        <v>0</v>
      </c>
      <c r="AK27" s="63"/>
      <c r="AL27" s="64"/>
      <c r="AM27" s="62">
        <f t="shared" si="12"/>
        <v>0</v>
      </c>
      <c r="AN27" s="63"/>
      <c r="AO27" s="64"/>
      <c r="AP27" s="60">
        <f t="shared" si="13"/>
        <v>0</v>
      </c>
      <c r="AQ27" s="8" t="e">
        <f t="shared" si="0"/>
        <v>#DIV/0!</v>
      </c>
    </row>
    <row r="28" spans="1:43" ht="18" customHeight="1" x14ac:dyDescent="0.15">
      <c r="A28" s="6"/>
      <c r="B28" s="12"/>
      <c r="C28" s="59"/>
      <c r="D28" s="60"/>
      <c r="E28" s="61"/>
      <c r="F28" s="62">
        <f t="shared" si="1"/>
        <v>0</v>
      </c>
      <c r="G28" s="63"/>
      <c r="H28" s="64"/>
      <c r="I28" s="62">
        <f t="shared" si="2"/>
        <v>0</v>
      </c>
      <c r="J28" s="63"/>
      <c r="K28" s="64"/>
      <c r="L28" s="62">
        <f t="shared" si="3"/>
        <v>0</v>
      </c>
      <c r="M28" s="63"/>
      <c r="N28" s="64"/>
      <c r="O28" s="62">
        <f t="shared" si="4"/>
        <v>0</v>
      </c>
      <c r="P28" s="63"/>
      <c r="Q28" s="64"/>
      <c r="R28" s="62">
        <f t="shared" si="5"/>
        <v>0</v>
      </c>
      <c r="S28" s="63"/>
      <c r="T28" s="64"/>
      <c r="U28" s="62">
        <f t="shared" si="6"/>
        <v>0</v>
      </c>
      <c r="V28" s="63"/>
      <c r="W28" s="64"/>
      <c r="X28" s="62">
        <f t="shared" si="7"/>
        <v>0</v>
      </c>
      <c r="Y28" s="63"/>
      <c r="Z28" s="64"/>
      <c r="AA28" s="62">
        <f t="shared" si="8"/>
        <v>0</v>
      </c>
      <c r="AB28" s="63"/>
      <c r="AC28" s="64"/>
      <c r="AD28" s="62">
        <f t="shared" si="9"/>
        <v>0</v>
      </c>
      <c r="AE28" s="63"/>
      <c r="AF28" s="64"/>
      <c r="AG28" s="62">
        <f t="shared" si="10"/>
        <v>0</v>
      </c>
      <c r="AH28" s="63"/>
      <c r="AI28" s="64"/>
      <c r="AJ28" s="62">
        <f t="shared" si="11"/>
        <v>0</v>
      </c>
      <c r="AK28" s="63"/>
      <c r="AL28" s="64"/>
      <c r="AM28" s="62">
        <f t="shared" si="12"/>
        <v>0</v>
      </c>
      <c r="AN28" s="63"/>
      <c r="AO28" s="64"/>
      <c r="AP28" s="60">
        <f t="shared" si="13"/>
        <v>0</v>
      </c>
      <c r="AQ28" s="8" t="e">
        <f t="shared" si="0"/>
        <v>#DIV/0!</v>
      </c>
    </row>
    <row r="29" spans="1:43" ht="18" customHeight="1" x14ac:dyDescent="0.15">
      <c r="A29" s="6"/>
      <c r="B29" s="12"/>
      <c r="C29" s="59"/>
      <c r="D29" s="65"/>
      <c r="E29" s="61"/>
      <c r="F29" s="62">
        <f t="shared" si="1"/>
        <v>0</v>
      </c>
      <c r="G29" s="63"/>
      <c r="H29" s="64"/>
      <c r="I29" s="62">
        <f t="shared" si="2"/>
        <v>0</v>
      </c>
      <c r="J29" s="63"/>
      <c r="K29" s="64"/>
      <c r="L29" s="62">
        <f t="shared" si="3"/>
        <v>0</v>
      </c>
      <c r="M29" s="63"/>
      <c r="N29" s="64"/>
      <c r="O29" s="62">
        <f t="shared" si="4"/>
        <v>0</v>
      </c>
      <c r="P29" s="63"/>
      <c r="Q29" s="64"/>
      <c r="R29" s="62">
        <f t="shared" si="5"/>
        <v>0</v>
      </c>
      <c r="S29" s="63"/>
      <c r="T29" s="64"/>
      <c r="U29" s="62">
        <f t="shared" si="6"/>
        <v>0</v>
      </c>
      <c r="V29" s="63"/>
      <c r="W29" s="64"/>
      <c r="X29" s="62">
        <f t="shared" si="7"/>
        <v>0</v>
      </c>
      <c r="Y29" s="63"/>
      <c r="Z29" s="64"/>
      <c r="AA29" s="62">
        <f t="shared" si="8"/>
        <v>0</v>
      </c>
      <c r="AB29" s="63"/>
      <c r="AC29" s="64"/>
      <c r="AD29" s="62">
        <f t="shared" si="9"/>
        <v>0</v>
      </c>
      <c r="AE29" s="63"/>
      <c r="AF29" s="64"/>
      <c r="AG29" s="62">
        <f t="shared" si="10"/>
        <v>0</v>
      </c>
      <c r="AH29" s="63"/>
      <c r="AI29" s="64"/>
      <c r="AJ29" s="62">
        <f t="shared" si="11"/>
        <v>0</v>
      </c>
      <c r="AK29" s="63"/>
      <c r="AL29" s="64"/>
      <c r="AM29" s="62">
        <f t="shared" si="12"/>
        <v>0</v>
      </c>
      <c r="AN29" s="63"/>
      <c r="AO29" s="64"/>
      <c r="AP29" s="65">
        <f t="shared" si="13"/>
        <v>0</v>
      </c>
      <c r="AQ29" s="8" t="e">
        <f t="shared" si="0"/>
        <v>#DIV/0!</v>
      </c>
    </row>
    <row r="30" spans="1:43" ht="18" customHeight="1" x14ac:dyDescent="0.15">
      <c r="A30" s="6"/>
      <c r="B30" s="12"/>
      <c r="C30" s="59"/>
      <c r="D30" s="65"/>
      <c r="E30" s="61"/>
      <c r="F30" s="62">
        <f t="shared" si="1"/>
        <v>0</v>
      </c>
      <c r="G30" s="63"/>
      <c r="H30" s="64"/>
      <c r="I30" s="62">
        <f t="shared" si="2"/>
        <v>0</v>
      </c>
      <c r="J30" s="63"/>
      <c r="K30" s="64"/>
      <c r="L30" s="62">
        <f t="shared" si="3"/>
        <v>0</v>
      </c>
      <c r="M30" s="63"/>
      <c r="N30" s="64"/>
      <c r="O30" s="62">
        <f t="shared" si="4"/>
        <v>0</v>
      </c>
      <c r="P30" s="63"/>
      <c r="Q30" s="64"/>
      <c r="R30" s="62">
        <f t="shared" si="5"/>
        <v>0</v>
      </c>
      <c r="S30" s="63"/>
      <c r="T30" s="64"/>
      <c r="U30" s="62">
        <f t="shared" si="6"/>
        <v>0</v>
      </c>
      <c r="V30" s="63"/>
      <c r="W30" s="64"/>
      <c r="X30" s="62">
        <f t="shared" si="7"/>
        <v>0</v>
      </c>
      <c r="Y30" s="63"/>
      <c r="Z30" s="64"/>
      <c r="AA30" s="62">
        <f t="shared" si="8"/>
        <v>0</v>
      </c>
      <c r="AB30" s="63"/>
      <c r="AC30" s="64"/>
      <c r="AD30" s="62">
        <f t="shared" si="9"/>
        <v>0</v>
      </c>
      <c r="AE30" s="63"/>
      <c r="AF30" s="64"/>
      <c r="AG30" s="62">
        <f t="shared" si="10"/>
        <v>0</v>
      </c>
      <c r="AH30" s="63"/>
      <c r="AI30" s="64"/>
      <c r="AJ30" s="62">
        <f t="shared" si="11"/>
        <v>0</v>
      </c>
      <c r="AK30" s="63"/>
      <c r="AL30" s="64"/>
      <c r="AM30" s="62">
        <f t="shared" si="12"/>
        <v>0</v>
      </c>
      <c r="AN30" s="63"/>
      <c r="AO30" s="64"/>
      <c r="AP30" s="65">
        <f t="shared" si="13"/>
        <v>0</v>
      </c>
      <c r="AQ30" s="8" t="e">
        <f t="shared" si="0"/>
        <v>#DIV/0!</v>
      </c>
    </row>
    <row r="31" spans="1:43" ht="18" customHeight="1" thickBot="1" x14ac:dyDescent="0.2">
      <c r="A31" s="6"/>
      <c r="B31" s="13"/>
      <c r="C31" s="54"/>
      <c r="D31" s="66"/>
      <c r="E31" s="56"/>
      <c r="F31" s="56">
        <f t="shared" si="1"/>
        <v>0</v>
      </c>
      <c r="G31" s="67"/>
      <c r="H31" s="68"/>
      <c r="I31" s="56">
        <f t="shared" si="2"/>
        <v>0</v>
      </c>
      <c r="J31" s="67"/>
      <c r="K31" s="68"/>
      <c r="L31" s="56">
        <f t="shared" si="3"/>
        <v>0</v>
      </c>
      <c r="M31" s="67"/>
      <c r="N31" s="68"/>
      <c r="O31" s="56">
        <f t="shared" si="4"/>
        <v>0</v>
      </c>
      <c r="P31" s="67"/>
      <c r="Q31" s="68"/>
      <c r="R31" s="56">
        <f t="shared" si="5"/>
        <v>0</v>
      </c>
      <c r="S31" s="67"/>
      <c r="T31" s="68"/>
      <c r="U31" s="56">
        <f t="shared" si="6"/>
        <v>0</v>
      </c>
      <c r="V31" s="67"/>
      <c r="W31" s="68"/>
      <c r="X31" s="56">
        <f t="shared" si="7"/>
        <v>0</v>
      </c>
      <c r="Y31" s="67"/>
      <c r="Z31" s="68"/>
      <c r="AA31" s="56">
        <f t="shared" si="8"/>
        <v>0</v>
      </c>
      <c r="AB31" s="67"/>
      <c r="AC31" s="68"/>
      <c r="AD31" s="56">
        <f t="shared" si="9"/>
        <v>0</v>
      </c>
      <c r="AE31" s="67"/>
      <c r="AF31" s="68"/>
      <c r="AG31" s="56">
        <f t="shared" si="10"/>
        <v>0</v>
      </c>
      <c r="AH31" s="67"/>
      <c r="AI31" s="68"/>
      <c r="AJ31" s="56">
        <f t="shared" si="11"/>
        <v>0</v>
      </c>
      <c r="AK31" s="67"/>
      <c r="AL31" s="68"/>
      <c r="AM31" s="56">
        <f t="shared" si="12"/>
        <v>0</v>
      </c>
      <c r="AN31" s="67"/>
      <c r="AO31" s="68"/>
      <c r="AP31" s="66">
        <f t="shared" si="13"/>
        <v>0</v>
      </c>
      <c r="AQ31" s="7" t="e">
        <f t="shared" si="0"/>
        <v>#DIV/0!</v>
      </c>
    </row>
    <row r="32" spans="1:43" ht="18" customHeight="1" thickTop="1" x14ac:dyDescent="0.15">
      <c r="B32" s="14" t="s">
        <v>33</v>
      </c>
      <c r="C32" s="69">
        <f t="shared" ref="C32" si="14">SUM(C12:C31)</f>
        <v>2780</v>
      </c>
      <c r="D32" s="70">
        <f t="shared" ref="D32:AP32" si="15">SUM(D12:D31)</f>
        <v>620</v>
      </c>
      <c r="E32" s="71">
        <f t="shared" si="15"/>
        <v>2480</v>
      </c>
      <c r="F32" s="71">
        <f t="shared" si="15"/>
        <v>150</v>
      </c>
      <c r="G32" s="72">
        <f t="shared" si="15"/>
        <v>108</v>
      </c>
      <c r="H32" s="73">
        <f t="shared" si="15"/>
        <v>42</v>
      </c>
      <c r="I32" s="71">
        <f t="shared" ref="I32:N32" si="16">SUM(I12:I31)</f>
        <v>134</v>
      </c>
      <c r="J32" s="72">
        <f t="shared" si="16"/>
        <v>94</v>
      </c>
      <c r="K32" s="73">
        <f t="shared" si="16"/>
        <v>40</v>
      </c>
      <c r="L32" s="71">
        <f t="shared" si="16"/>
        <v>0</v>
      </c>
      <c r="M32" s="72">
        <f t="shared" si="16"/>
        <v>0</v>
      </c>
      <c r="N32" s="73">
        <f t="shared" si="16"/>
        <v>0</v>
      </c>
      <c r="O32" s="71">
        <f t="shared" ref="O32:T32" si="17">SUM(O12:O31)</f>
        <v>0</v>
      </c>
      <c r="P32" s="72">
        <f t="shared" si="17"/>
        <v>0</v>
      </c>
      <c r="Q32" s="73">
        <f t="shared" si="17"/>
        <v>0</v>
      </c>
      <c r="R32" s="71">
        <f t="shared" si="17"/>
        <v>0</v>
      </c>
      <c r="S32" s="72">
        <f t="shared" si="17"/>
        <v>0</v>
      </c>
      <c r="T32" s="73">
        <f t="shared" si="17"/>
        <v>0</v>
      </c>
      <c r="U32" s="71">
        <f t="shared" ref="U32:AI32" si="18">SUM(U12:U31)</f>
        <v>0</v>
      </c>
      <c r="V32" s="72">
        <f t="shared" si="18"/>
        <v>0</v>
      </c>
      <c r="W32" s="73">
        <f t="shared" si="18"/>
        <v>0</v>
      </c>
      <c r="X32" s="71">
        <f t="shared" si="18"/>
        <v>0</v>
      </c>
      <c r="Y32" s="72">
        <f t="shared" si="18"/>
        <v>0</v>
      </c>
      <c r="Z32" s="73">
        <f t="shared" si="18"/>
        <v>0</v>
      </c>
      <c r="AA32" s="71">
        <f t="shared" si="18"/>
        <v>0</v>
      </c>
      <c r="AB32" s="72">
        <f t="shared" si="18"/>
        <v>0</v>
      </c>
      <c r="AC32" s="73">
        <f t="shared" si="18"/>
        <v>0</v>
      </c>
      <c r="AD32" s="71">
        <f t="shared" si="18"/>
        <v>0</v>
      </c>
      <c r="AE32" s="72">
        <f t="shared" si="18"/>
        <v>0</v>
      </c>
      <c r="AF32" s="73">
        <f t="shared" si="18"/>
        <v>0</v>
      </c>
      <c r="AG32" s="71">
        <f t="shared" si="18"/>
        <v>0</v>
      </c>
      <c r="AH32" s="72">
        <f t="shared" si="18"/>
        <v>0</v>
      </c>
      <c r="AI32" s="73">
        <f t="shared" si="18"/>
        <v>0</v>
      </c>
      <c r="AJ32" s="71">
        <f t="shared" ref="AJ32:AO32" si="19">SUM(AJ12:AJ31)</f>
        <v>0</v>
      </c>
      <c r="AK32" s="72">
        <f t="shared" si="19"/>
        <v>0</v>
      </c>
      <c r="AL32" s="73">
        <f t="shared" si="19"/>
        <v>0</v>
      </c>
      <c r="AM32" s="71">
        <f t="shared" si="19"/>
        <v>0</v>
      </c>
      <c r="AN32" s="72">
        <f t="shared" si="19"/>
        <v>0</v>
      </c>
      <c r="AO32" s="73">
        <f t="shared" si="19"/>
        <v>0</v>
      </c>
      <c r="AP32" s="70">
        <f t="shared" si="15"/>
        <v>150</v>
      </c>
      <c r="AQ32" s="9">
        <f t="shared" si="0"/>
        <v>6.0483870967741937E-2</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view="pageBreakPreview" topLeftCell="A70" zoomScaleNormal="100" zoomScaleSheetLayoutView="100" workbookViewId="0">
      <selection activeCell="B22" sqref="B22:I32"/>
    </sheetView>
  </sheetViews>
  <sheetFormatPr defaultColWidth="11.375" defaultRowHeight="18.75" customHeight="1" x14ac:dyDescent="0.15"/>
  <cols>
    <col min="1" max="1" width="2.75" style="35"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35" t="s">
        <v>65</v>
      </c>
      <c r="I1" s="29" t="s">
        <v>106</v>
      </c>
    </row>
    <row r="2" spans="1:9" ht="18.75" customHeight="1" x14ac:dyDescent="0.15">
      <c r="G2" s="29" t="s">
        <v>109</v>
      </c>
      <c r="H2" s="101" t="str">
        <f>'様式１　プログラムを構成する授業科目'!C2</f>
        <v>皇學館大学</v>
      </c>
      <c r="I2" s="103"/>
    </row>
    <row r="3" spans="1:9" ht="18.75" customHeight="1" x14ac:dyDescent="0.15">
      <c r="G3" s="29"/>
      <c r="H3" s="10"/>
      <c r="I3" s="10"/>
    </row>
    <row r="4" spans="1:9" ht="18.600000000000001" customHeight="1" x14ac:dyDescent="0.15">
      <c r="A4" s="115" t="s">
        <v>36</v>
      </c>
      <c r="B4" s="115"/>
      <c r="C4" s="115"/>
      <c r="D4" s="115"/>
      <c r="E4" s="115"/>
      <c r="F4" s="115"/>
      <c r="G4" s="115"/>
      <c r="H4" s="115"/>
      <c r="I4" s="115"/>
    </row>
    <row r="5" spans="1:9" ht="13.15" customHeight="1" x14ac:dyDescent="0.15">
      <c r="B5" s="3"/>
      <c r="C5" s="3"/>
      <c r="D5" s="3"/>
      <c r="E5" s="3"/>
      <c r="F5" s="3"/>
      <c r="G5" s="3"/>
      <c r="H5" s="3"/>
      <c r="I5" s="3"/>
    </row>
    <row r="6" spans="1:9" ht="18" customHeight="1" x14ac:dyDescent="0.15">
      <c r="A6" s="1" t="s">
        <v>0</v>
      </c>
      <c r="B6" s="10" t="s">
        <v>91</v>
      </c>
      <c r="C6" s="247" t="s">
        <v>92</v>
      </c>
      <c r="D6" s="247"/>
      <c r="E6" s="28">
        <v>88</v>
      </c>
      <c r="F6" s="3" t="s">
        <v>1</v>
      </c>
      <c r="G6" s="3" t="s">
        <v>2</v>
      </c>
      <c r="H6" s="28">
        <v>128</v>
      </c>
      <c r="I6" s="10" t="s">
        <v>1</v>
      </c>
    </row>
    <row r="7" spans="1:9" ht="12" customHeight="1" x14ac:dyDescent="0.15">
      <c r="C7" s="2"/>
      <c r="D7" s="2"/>
      <c r="E7" s="2"/>
      <c r="F7" s="2"/>
      <c r="G7" s="2"/>
      <c r="H7" s="2"/>
      <c r="I7" s="36"/>
    </row>
    <row r="8" spans="1:9" ht="18" customHeight="1" x14ac:dyDescent="0.15">
      <c r="A8" s="1" t="s">
        <v>3</v>
      </c>
      <c r="B8" s="10" t="s">
        <v>93</v>
      </c>
      <c r="E8" s="3"/>
      <c r="F8" s="3"/>
      <c r="G8" s="3"/>
      <c r="H8" s="28">
        <v>1</v>
      </c>
      <c r="I8" s="10" t="s">
        <v>1</v>
      </c>
    </row>
    <row r="9" spans="1:9" ht="9" customHeight="1" x14ac:dyDescent="0.15">
      <c r="B9" s="3"/>
      <c r="C9" s="3"/>
      <c r="D9" s="3"/>
      <c r="E9" s="3"/>
      <c r="F9" s="3"/>
      <c r="G9" s="3"/>
      <c r="H9" s="3"/>
      <c r="I9" s="3"/>
    </row>
    <row r="10" spans="1:9" ht="18" customHeight="1" x14ac:dyDescent="0.15">
      <c r="A10" s="1" t="s">
        <v>4</v>
      </c>
      <c r="B10" s="10" t="s">
        <v>94</v>
      </c>
      <c r="C10" s="3"/>
      <c r="D10" s="3"/>
      <c r="E10" s="3"/>
      <c r="F10" s="3"/>
      <c r="G10" s="3"/>
      <c r="H10" s="3"/>
      <c r="I10" s="3"/>
    </row>
    <row r="11" spans="1:9" ht="18" customHeight="1" x14ac:dyDescent="0.15">
      <c r="B11" s="29" t="s">
        <v>43</v>
      </c>
      <c r="C11" s="242" t="s">
        <v>132</v>
      </c>
      <c r="D11" s="245"/>
      <c r="E11" s="246"/>
      <c r="F11" s="36"/>
      <c r="G11" s="29" t="s">
        <v>10</v>
      </c>
      <c r="H11" s="242" t="s">
        <v>133</v>
      </c>
      <c r="I11" s="246"/>
    </row>
    <row r="12" spans="1:9" ht="10.15" customHeight="1" x14ac:dyDescent="0.15">
      <c r="B12" s="29"/>
      <c r="C12" s="10"/>
      <c r="D12" s="36"/>
      <c r="E12" s="36"/>
      <c r="F12" s="36"/>
      <c r="G12" s="29"/>
      <c r="H12" s="10"/>
      <c r="I12" s="36"/>
    </row>
    <row r="13" spans="1:9" ht="18" customHeight="1" x14ac:dyDescent="0.15">
      <c r="A13" s="1" t="s">
        <v>7</v>
      </c>
      <c r="B13" s="10" t="s">
        <v>88</v>
      </c>
      <c r="C13" s="3"/>
      <c r="D13" s="3"/>
      <c r="E13" s="3"/>
      <c r="F13" s="3"/>
      <c r="G13" s="3"/>
      <c r="H13" s="3"/>
      <c r="I13" s="3"/>
    </row>
    <row r="14" spans="1:9" ht="18" customHeight="1" x14ac:dyDescent="0.15">
      <c r="B14" s="242" t="s">
        <v>135</v>
      </c>
      <c r="C14" s="243"/>
      <c r="D14" s="243"/>
      <c r="E14" s="243"/>
      <c r="F14" s="243"/>
      <c r="G14" s="243"/>
      <c r="H14" s="243"/>
      <c r="I14" s="244"/>
    </row>
    <row r="15" spans="1:9" ht="9" customHeight="1" x14ac:dyDescent="0.15">
      <c r="B15" s="3"/>
      <c r="C15" s="3"/>
      <c r="D15" s="3"/>
      <c r="E15" s="3"/>
      <c r="F15" s="3"/>
      <c r="G15" s="3"/>
      <c r="H15" s="3"/>
      <c r="I15" s="3"/>
    </row>
    <row r="16" spans="1:9" ht="18" customHeight="1" x14ac:dyDescent="0.15">
      <c r="B16" s="29" t="s">
        <v>43</v>
      </c>
      <c r="C16" s="242" t="s">
        <v>132</v>
      </c>
      <c r="D16" s="245"/>
      <c r="E16" s="246"/>
      <c r="F16" s="36"/>
      <c r="G16" s="29" t="s">
        <v>10</v>
      </c>
      <c r="H16" s="242" t="s">
        <v>134</v>
      </c>
      <c r="I16" s="246"/>
    </row>
    <row r="17" spans="1:9" ht="18" customHeight="1" x14ac:dyDescent="0.15">
      <c r="B17" s="3"/>
      <c r="C17" s="3"/>
      <c r="D17" s="3"/>
      <c r="E17" s="3"/>
      <c r="F17" s="3"/>
      <c r="G17" s="3"/>
      <c r="H17" s="3"/>
      <c r="I17" s="3"/>
    </row>
    <row r="18" spans="1:9" ht="18.75" customHeight="1" x14ac:dyDescent="0.15">
      <c r="A18" s="1" t="s">
        <v>5</v>
      </c>
      <c r="B18" s="1" t="s">
        <v>42</v>
      </c>
      <c r="I18" s="3"/>
    </row>
    <row r="19" spans="1:9" ht="18.75" customHeight="1" x14ac:dyDescent="0.15">
      <c r="A19" s="1"/>
      <c r="B19" s="234" t="s">
        <v>145</v>
      </c>
      <c r="C19" s="235"/>
      <c r="D19" s="235"/>
      <c r="E19" s="235"/>
      <c r="F19" s="235"/>
      <c r="G19" s="235"/>
      <c r="H19" s="235"/>
      <c r="I19" s="236"/>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5"/>
      <c r="B22" s="224" t="s">
        <v>141</v>
      </c>
      <c r="C22" s="225"/>
      <c r="D22" s="225"/>
      <c r="E22" s="225"/>
      <c r="F22" s="225"/>
      <c r="G22" s="225"/>
      <c r="H22" s="225"/>
      <c r="I22" s="226"/>
    </row>
    <row r="23" spans="1:9" ht="18.75" customHeight="1" x14ac:dyDescent="0.15">
      <c r="A23" s="15"/>
      <c r="B23" s="237"/>
      <c r="C23" s="238"/>
      <c r="D23" s="238"/>
      <c r="E23" s="238"/>
      <c r="F23" s="238"/>
      <c r="G23" s="238"/>
      <c r="H23" s="238"/>
      <c r="I23" s="229"/>
    </row>
    <row r="24" spans="1:9" ht="18.75" customHeight="1" x14ac:dyDescent="0.15">
      <c r="A24" s="15"/>
      <c r="B24" s="237"/>
      <c r="C24" s="238"/>
      <c r="D24" s="238"/>
      <c r="E24" s="238"/>
      <c r="F24" s="238"/>
      <c r="G24" s="238"/>
      <c r="H24" s="238"/>
      <c r="I24" s="229"/>
    </row>
    <row r="25" spans="1:9" ht="18.75" customHeight="1" x14ac:dyDescent="0.15">
      <c r="A25" s="15"/>
      <c r="B25" s="237"/>
      <c r="C25" s="238"/>
      <c r="D25" s="238"/>
      <c r="E25" s="238"/>
      <c r="F25" s="238"/>
      <c r="G25" s="238"/>
      <c r="H25" s="238"/>
      <c r="I25" s="229"/>
    </row>
    <row r="26" spans="1:9" ht="18.75" customHeight="1" x14ac:dyDescent="0.15">
      <c r="A26" s="15"/>
      <c r="B26" s="237"/>
      <c r="C26" s="238"/>
      <c r="D26" s="238"/>
      <c r="E26" s="238"/>
      <c r="F26" s="238"/>
      <c r="G26" s="238"/>
      <c r="H26" s="238"/>
      <c r="I26" s="229"/>
    </row>
    <row r="27" spans="1:9" ht="18.75" customHeight="1" x14ac:dyDescent="0.15">
      <c r="A27" s="15"/>
      <c r="B27" s="237"/>
      <c r="C27" s="238"/>
      <c r="D27" s="238"/>
      <c r="E27" s="238"/>
      <c r="F27" s="238"/>
      <c r="G27" s="238"/>
      <c r="H27" s="238"/>
      <c r="I27" s="229"/>
    </row>
    <row r="28" spans="1:9" ht="18.75" customHeight="1" x14ac:dyDescent="0.15">
      <c r="A28" s="15"/>
      <c r="B28" s="237"/>
      <c r="C28" s="238"/>
      <c r="D28" s="238"/>
      <c r="E28" s="238"/>
      <c r="F28" s="238"/>
      <c r="G28" s="238"/>
      <c r="H28" s="238"/>
      <c r="I28" s="229"/>
    </row>
    <row r="29" spans="1:9" ht="18.75" customHeight="1" x14ac:dyDescent="0.15">
      <c r="A29" s="15"/>
      <c r="B29" s="237"/>
      <c r="C29" s="238"/>
      <c r="D29" s="238"/>
      <c r="E29" s="238"/>
      <c r="F29" s="238"/>
      <c r="G29" s="238"/>
      <c r="H29" s="238"/>
      <c r="I29" s="229"/>
    </row>
    <row r="30" spans="1:9" ht="18.75" customHeight="1" x14ac:dyDescent="0.15">
      <c r="A30" s="15"/>
      <c r="B30" s="227"/>
      <c r="C30" s="228"/>
      <c r="D30" s="228"/>
      <c r="E30" s="228"/>
      <c r="F30" s="228"/>
      <c r="G30" s="228"/>
      <c r="H30" s="228"/>
      <c r="I30" s="229"/>
    </row>
    <row r="31" spans="1:9" ht="18.75" customHeight="1" x14ac:dyDescent="0.15">
      <c r="A31" s="15"/>
      <c r="B31" s="227"/>
      <c r="C31" s="228"/>
      <c r="D31" s="228"/>
      <c r="E31" s="228"/>
      <c r="F31" s="228"/>
      <c r="G31" s="228"/>
      <c r="H31" s="228"/>
      <c r="I31" s="229"/>
    </row>
    <row r="32" spans="1:9" ht="18.75" customHeight="1" x14ac:dyDescent="0.15">
      <c r="A32" s="15"/>
      <c r="B32" s="230"/>
      <c r="C32" s="231"/>
      <c r="D32" s="231"/>
      <c r="E32" s="231"/>
      <c r="F32" s="231"/>
      <c r="G32" s="231"/>
      <c r="H32" s="231"/>
      <c r="I32" s="232"/>
    </row>
    <row r="33" spans="1:9" ht="7.5" customHeight="1" x14ac:dyDescent="0.15">
      <c r="A33" s="15"/>
      <c r="B33" s="15"/>
      <c r="C33" s="15"/>
      <c r="D33" s="15"/>
      <c r="E33" s="15"/>
      <c r="F33" s="15"/>
      <c r="G33" s="15"/>
      <c r="H33" s="15"/>
      <c r="I33" s="15"/>
    </row>
    <row r="34" spans="1:9" ht="18.75" customHeight="1" x14ac:dyDescent="0.15">
      <c r="A34" s="16" t="s">
        <v>6</v>
      </c>
      <c r="B34" s="16" t="s">
        <v>9</v>
      </c>
      <c r="C34" s="10"/>
      <c r="D34" s="16"/>
      <c r="E34" s="16"/>
      <c r="F34" s="16"/>
      <c r="G34" s="16"/>
      <c r="H34" s="16"/>
      <c r="I34" s="16"/>
    </row>
    <row r="35" spans="1:9" ht="18.75" customHeight="1" x14ac:dyDescent="0.15">
      <c r="A35" s="15"/>
      <c r="B35" s="224" t="s">
        <v>157</v>
      </c>
      <c r="C35" s="225"/>
      <c r="D35" s="225"/>
      <c r="E35" s="225"/>
      <c r="F35" s="225"/>
      <c r="G35" s="225"/>
      <c r="H35" s="225"/>
      <c r="I35" s="226"/>
    </row>
    <row r="36" spans="1:9" ht="18.75" customHeight="1" x14ac:dyDescent="0.15">
      <c r="A36" s="15"/>
      <c r="B36" s="227"/>
      <c r="C36" s="228"/>
      <c r="D36" s="228"/>
      <c r="E36" s="228"/>
      <c r="F36" s="228"/>
      <c r="G36" s="228"/>
      <c r="H36" s="228"/>
      <c r="I36" s="229"/>
    </row>
    <row r="37" spans="1:9" ht="18.75" customHeight="1" x14ac:dyDescent="0.15">
      <c r="A37" s="15"/>
      <c r="B37" s="227"/>
      <c r="C37" s="228"/>
      <c r="D37" s="228"/>
      <c r="E37" s="228"/>
      <c r="F37" s="228"/>
      <c r="G37" s="228"/>
      <c r="H37" s="228"/>
      <c r="I37" s="229"/>
    </row>
    <row r="38" spans="1:9" ht="18.75" customHeight="1" x14ac:dyDescent="0.15">
      <c r="A38" s="15"/>
      <c r="B38" s="227"/>
      <c r="C38" s="228"/>
      <c r="D38" s="228"/>
      <c r="E38" s="228"/>
      <c r="F38" s="228"/>
      <c r="G38" s="228"/>
      <c r="H38" s="228"/>
      <c r="I38" s="229"/>
    </row>
    <row r="39" spans="1:9" ht="18.75" customHeight="1" x14ac:dyDescent="0.15">
      <c r="A39" s="15"/>
      <c r="B39" s="227"/>
      <c r="C39" s="228"/>
      <c r="D39" s="228"/>
      <c r="E39" s="228"/>
      <c r="F39" s="228"/>
      <c r="G39" s="228"/>
      <c r="H39" s="228"/>
      <c r="I39" s="229"/>
    </row>
    <row r="40" spans="1:9" ht="18.75" customHeight="1" x14ac:dyDescent="0.15">
      <c r="A40" s="15"/>
      <c r="B40" s="227"/>
      <c r="C40" s="228"/>
      <c r="D40" s="228"/>
      <c r="E40" s="228"/>
      <c r="F40" s="228"/>
      <c r="G40" s="228"/>
      <c r="H40" s="228"/>
      <c r="I40" s="229"/>
    </row>
    <row r="41" spans="1:9" ht="18.75" customHeight="1" x14ac:dyDescent="0.15">
      <c r="A41" s="15"/>
      <c r="B41" s="227"/>
      <c r="C41" s="228"/>
      <c r="D41" s="228"/>
      <c r="E41" s="228"/>
      <c r="F41" s="228"/>
      <c r="G41" s="228"/>
      <c r="H41" s="228"/>
      <c r="I41" s="229"/>
    </row>
    <row r="42" spans="1:9" ht="18.75" customHeight="1" x14ac:dyDescent="0.15">
      <c r="A42" s="15"/>
      <c r="B42" s="227"/>
      <c r="C42" s="228"/>
      <c r="D42" s="228"/>
      <c r="E42" s="228"/>
      <c r="F42" s="228"/>
      <c r="G42" s="228"/>
      <c r="H42" s="228"/>
      <c r="I42" s="229"/>
    </row>
    <row r="43" spans="1:9" ht="18.75" customHeight="1" x14ac:dyDescent="0.15">
      <c r="A43" s="15"/>
      <c r="B43" s="227"/>
      <c r="C43" s="228"/>
      <c r="D43" s="228"/>
      <c r="E43" s="228"/>
      <c r="F43" s="228"/>
      <c r="G43" s="228"/>
      <c r="H43" s="228"/>
      <c r="I43" s="229"/>
    </row>
    <row r="44" spans="1:9" ht="18.75" customHeight="1" x14ac:dyDescent="0.15">
      <c r="A44" s="15"/>
      <c r="B44" s="227"/>
      <c r="C44" s="228"/>
      <c r="D44" s="228"/>
      <c r="E44" s="228"/>
      <c r="F44" s="228"/>
      <c r="G44" s="228"/>
      <c r="H44" s="228"/>
      <c r="I44" s="229"/>
    </row>
    <row r="45" spans="1:9" ht="18.75" customHeight="1" x14ac:dyDescent="0.15">
      <c r="A45" s="15"/>
      <c r="B45" s="227"/>
      <c r="C45" s="228"/>
      <c r="D45" s="228"/>
      <c r="E45" s="228"/>
      <c r="F45" s="228"/>
      <c r="G45" s="228"/>
      <c r="H45" s="228"/>
      <c r="I45" s="229"/>
    </row>
    <row r="46" spans="1:9" ht="18.75" customHeight="1" x14ac:dyDescent="0.15">
      <c r="A46" s="15"/>
      <c r="B46" s="230"/>
      <c r="C46" s="231"/>
      <c r="D46" s="231"/>
      <c r="E46" s="231"/>
      <c r="F46" s="231"/>
      <c r="G46" s="231"/>
      <c r="H46" s="231"/>
      <c r="I46" s="232"/>
    </row>
    <row r="47" spans="1:9" ht="7.5" customHeight="1" x14ac:dyDescent="0.15">
      <c r="A47" s="4"/>
      <c r="B47" s="4"/>
      <c r="C47" s="4"/>
      <c r="D47" s="4"/>
      <c r="E47" s="4"/>
      <c r="F47" s="4"/>
      <c r="G47" s="4"/>
      <c r="H47" s="4"/>
      <c r="I47" s="4"/>
    </row>
    <row r="48" spans="1:9" ht="18.75" customHeight="1" x14ac:dyDescent="0.15">
      <c r="A48" s="1" t="s">
        <v>31</v>
      </c>
      <c r="B48" s="1" t="s">
        <v>123</v>
      </c>
    </row>
    <row r="49" spans="1:15" s="3" customFormat="1" ht="18.75" customHeight="1" x14ac:dyDescent="0.15">
      <c r="B49" s="37" t="s">
        <v>89</v>
      </c>
      <c r="C49" s="213">
        <f>'様式２ 履修者等数の実績'!AQ32</f>
        <v>6.0483870967741937E-2</v>
      </c>
      <c r="D49" s="213"/>
      <c r="E49" s="37" t="s">
        <v>66</v>
      </c>
      <c r="F49" s="213">
        <v>0.25</v>
      </c>
      <c r="G49" s="213"/>
      <c r="H49" s="37" t="s">
        <v>67</v>
      </c>
      <c r="I49" s="38">
        <v>0.5</v>
      </c>
      <c r="J49" s="1"/>
      <c r="M49" s="1"/>
      <c r="N49" s="39"/>
    </row>
    <row r="50" spans="1:15" s="3" customFormat="1" ht="18.75" customHeight="1" x14ac:dyDescent="0.15">
      <c r="B50" s="40" t="s">
        <v>68</v>
      </c>
      <c r="C50" s="214">
        <v>0.75</v>
      </c>
      <c r="D50" s="214"/>
      <c r="E50" s="40" t="s">
        <v>90</v>
      </c>
      <c r="F50" s="214">
        <v>1</v>
      </c>
      <c r="G50" s="214"/>
      <c r="H50" s="40" t="s">
        <v>69</v>
      </c>
      <c r="I50" s="41">
        <f>'様式２ 履修者等数の実績'!E32</f>
        <v>2480</v>
      </c>
      <c r="J50" s="1"/>
      <c r="M50" s="1"/>
      <c r="N50" s="39"/>
    </row>
    <row r="51" spans="1:15" ht="18.75" customHeight="1" x14ac:dyDescent="0.15">
      <c r="A51" s="1"/>
      <c r="B51" s="239" t="s">
        <v>70</v>
      </c>
      <c r="C51" s="240"/>
      <c r="D51" s="240"/>
      <c r="E51" s="240"/>
      <c r="F51" s="240"/>
      <c r="G51" s="240"/>
      <c r="H51" s="240"/>
      <c r="I51" s="241"/>
      <c r="N51" s="39"/>
      <c r="O51" s="3"/>
    </row>
    <row r="52" spans="1:15" ht="18.75" customHeight="1" x14ac:dyDescent="0.15">
      <c r="A52" s="1"/>
      <c r="B52" s="215" t="s">
        <v>146</v>
      </c>
      <c r="C52" s="216"/>
      <c r="D52" s="216"/>
      <c r="E52" s="216"/>
      <c r="F52" s="216"/>
      <c r="G52" s="216"/>
      <c r="H52" s="216"/>
      <c r="I52" s="217"/>
      <c r="N52" s="39"/>
      <c r="O52" s="3"/>
    </row>
    <row r="53" spans="1:15" ht="18.75" customHeight="1" x14ac:dyDescent="0.15">
      <c r="A53" s="1"/>
      <c r="B53" s="218"/>
      <c r="C53" s="219"/>
      <c r="D53" s="219"/>
      <c r="E53" s="219"/>
      <c r="F53" s="219"/>
      <c r="G53" s="219"/>
      <c r="H53" s="219"/>
      <c r="I53" s="220"/>
      <c r="N53" s="39"/>
      <c r="O53" s="3"/>
    </row>
    <row r="54" spans="1:15" ht="18.75" customHeight="1" x14ac:dyDescent="0.15">
      <c r="A54" s="1"/>
      <c r="B54" s="218"/>
      <c r="C54" s="219"/>
      <c r="D54" s="219"/>
      <c r="E54" s="219"/>
      <c r="F54" s="219"/>
      <c r="G54" s="219"/>
      <c r="H54" s="219"/>
      <c r="I54" s="220"/>
    </row>
    <row r="55" spans="1:15" ht="18.75" customHeight="1" x14ac:dyDescent="0.15">
      <c r="A55" s="1"/>
      <c r="B55" s="218"/>
      <c r="C55" s="219"/>
      <c r="D55" s="219"/>
      <c r="E55" s="219"/>
      <c r="F55" s="219"/>
      <c r="G55" s="219"/>
      <c r="H55" s="219"/>
      <c r="I55" s="220"/>
    </row>
    <row r="56" spans="1:15" ht="18.75" customHeight="1" x14ac:dyDescent="0.15">
      <c r="A56" s="1"/>
      <c r="B56" s="218"/>
      <c r="C56" s="219"/>
      <c r="D56" s="219"/>
      <c r="E56" s="219"/>
      <c r="F56" s="219"/>
      <c r="G56" s="219"/>
      <c r="H56" s="219"/>
      <c r="I56" s="220"/>
    </row>
    <row r="57" spans="1:15" ht="18.75" customHeight="1" x14ac:dyDescent="0.15">
      <c r="A57" s="1"/>
      <c r="B57" s="218"/>
      <c r="C57" s="219"/>
      <c r="D57" s="219"/>
      <c r="E57" s="219"/>
      <c r="F57" s="219"/>
      <c r="G57" s="219"/>
      <c r="H57" s="219"/>
      <c r="I57" s="220"/>
    </row>
    <row r="58" spans="1:15" ht="18.75" customHeight="1" x14ac:dyDescent="0.15">
      <c r="A58" s="1"/>
      <c r="B58" s="218"/>
      <c r="C58" s="219"/>
      <c r="D58" s="219"/>
      <c r="E58" s="219"/>
      <c r="F58" s="219"/>
      <c r="G58" s="219"/>
      <c r="H58" s="219"/>
      <c r="I58" s="220"/>
    </row>
    <row r="59" spans="1:15" ht="18.75" customHeight="1" x14ac:dyDescent="0.15">
      <c r="A59" s="1"/>
      <c r="B59" s="218"/>
      <c r="C59" s="219"/>
      <c r="D59" s="219"/>
      <c r="E59" s="219"/>
      <c r="F59" s="219"/>
      <c r="G59" s="219"/>
      <c r="H59" s="219"/>
      <c r="I59" s="220"/>
    </row>
    <row r="60" spans="1:15" ht="18.75" customHeight="1" x14ac:dyDescent="0.15">
      <c r="A60" s="1"/>
      <c r="B60" s="218"/>
      <c r="C60" s="219"/>
      <c r="D60" s="219"/>
      <c r="E60" s="219"/>
      <c r="F60" s="219"/>
      <c r="G60" s="219"/>
      <c r="H60" s="219"/>
      <c r="I60" s="220"/>
    </row>
    <row r="61" spans="1:15" ht="18.75" customHeight="1" x14ac:dyDescent="0.15">
      <c r="A61" s="1"/>
      <c r="B61" s="218"/>
      <c r="C61" s="219"/>
      <c r="D61" s="219"/>
      <c r="E61" s="219"/>
      <c r="F61" s="219"/>
      <c r="G61" s="219"/>
      <c r="H61" s="219"/>
      <c r="I61" s="220"/>
    </row>
    <row r="62" spans="1:15" ht="18.75" customHeight="1" x14ac:dyDescent="0.15">
      <c r="A62" s="1"/>
      <c r="B62" s="218"/>
      <c r="C62" s="219"/>
      <c r="D62" s="219"/>
      <c r="E62" s="219"/>
      <c r="F62" s="219"/>
      <c r="G62" s="219"/>
      <c r="H62" s="219"/>
      <c r="I62" s="220"/>
    </row>
    <row r="63" spans="1:15" ht="18.75" customHeight="1" x14ac:dyDescent="0.15">
      <c r="A63" s="1"/>
      <c r="B63" s="221"/>
      <c r="C63" s="222"/>
      <c r="D63" s="222"/>
      <c r="E63" s="222"/>
      <c r="F63" s="222"/>
      <c r="G63" s="222"/>
      <c r="H63" s="222"/>
      <c r="I63" s="223"/>
    </row>
    <row r="64" spans="1:15" ht="7.5" customHeight="1" x14ac:dyDescent="0.15">
      <c r="A64" s="15"/>
      <c r="B64" s="15"/>
      <c r="C64" s="15"/>
      <c r="D64" s="15"/>
      <c r="E64" s="15"/>
      <c r="F64" s="15"/>
      <c r="G64" s="15"/>
      <c r="H64" s="15"/>
      <c r="I64" s="15"/>
    </row>
    <row r="65" spans="1:9" ht="18.75" customHeight="1" x14ac:dyDescent="0.15">
      <c r="A65" s="16" t="s">
        <v>34</v>
      </c>
      <c r="B65" s="1" t="s">
        <v>37</v>
      </c>
      <c r="I65" s="16"/>
    </row>
    <row r="66" spans="1:9" ht="18.75" customHeight="1" x14ac:dyDescent="0.15">
      <c r="A66" s="4"/>
      <c r="B66" s="197" t="s">
        <v>147</v>
      </c>
      <c r="C66" s="198"/>
      <c r="D66" s="198"/>
      <c r="E66" s="198"/>
      <c r="F66" s="198"/>
      <c r="G66" s="198"/>
      <c r="H66" s="198"/>
      <c r="I66" s="199"/>
    </row>
    <row r="67" spans="1:9" ht="18.75" customHeight="1" x14ac:dyDescent="0.15">
      <c r="A67" s="4"/>
      <c r="B67" s="200"/>
      <c r="C67" s="201"/>
      <c r="D67" s="201"/>
      <c r="E67" s="201"/>
      <c r="F67" s="201"/>
      <c r="G67" s="201"/>
      <c r="H67" s="201"/>
      <c r="I67" s="202"/>
    </row>
    <row r="68" spans="1:9" ht="18.75" customHeight="1" x14ac:dyDescent="0.15">
      <c r="A68" s="4"/>
      <c r="B68" s="200"/>
      <c r="C68" s="201"/>
      <c r="D68" s="201"/>
      <c r="E68" s="201"/>
      <c r="F68" s="201"/>
      <c r="G68" s="201"/>
      <c r="H68" s="201"/>
      <c r="I68" s="202"/>
    </row>
    <row r="69" spans="1:9" ht="18.75" customHeight="1" x14ac:dyDescent="0.15">
      <c r="A69" s="4"/>
      <c r="B69" s="200"/>
      <c r="C69" s="201"/>
      <c r="D69" s="201"/>
      <c r="E69" s="201"/>
      <c r="F69" s="201"/>
      <c r="G69" s="201"/>
      <c r="H69" s="201"/>
      <c r="I69" s="202"/>
    </row>
    <row r="70" spans="1:9" ht="18.75" customHeight="1" x14ac:dyDescent="0.15">
      <c r="A70" s="4"/>
      <c r="B70" s="200"/>
      <c r="C70" s="201"/>
      <c r="D70" s="201"/>
      <c r="E70" s="201"/>
      <c r="F70" s="201"/>
      <c r="G70" s="201"/>
      <c r="H70" s="201"/>
      <c r="I70" s="202"/>
    </row>
    <row r="71" spans="1:9" ht="18.75" customHeight="1" x14ac:dyDescent="0.15">
      <c r="A71" s="4"/>
      <c r="B71" s="200"/>
      <c r="C71" s="201"/>
      <c r="D71" s="201"/>
      <c r="E71" s="201"/>
      <c r="F71" s="201"/>
      <c r="G71" s="201"/>
      <c r="H71" s="201"/>
      <c r="I71" s="202"/>
    </row>
    <row r="72" spans="1:9" ht="18.75" customHeight="1" x14ac:dyDescent="0.15">
      <c r="A72" s="4"/>
      <c r="B72" s="200"/>
      <c r="C72" s="201"/>
      <c r="D72" s="201"/>
      <c r="E72" s="201"/>
      <c r="F72" s="201"/>
      <c r="G72" s="201"/>
      <c r="H72" s="201"/>
      <c r="I72" s="202"/>
    </row>
    <row r="73" spans="1:9" ht="18.75" customHeight="1" x14ac:dyDescent="0.15">
      <c r="A73" s="4"/>
      <c r="B73" s="200"/>
      <c r="C73" s="201"/>
      <c r="D73" s="201"/>
      <c r="E73" s="201"/>
      <c r="F73" s="201"/>
      <c r="G73" s="201"/>
      <c r="H73" s="201"/>
      <c r="I73" s="202"/>
    </row>
    <row r="74" spans="1:9" ht="18.75" customHeight="1" x14ac:dyDescent="0.15">
      <c r="A74" s="4"/>
      <c r="B74" s="200"/>
      <c r="C74" s="201"/>
      <c r="D74" s="201"/>
      <c r="E74" s="201"/>
      <c r="F74" s="201"/>
      <c r="G74" s="201"/>
      <c r="H74" s="201"/>
      <c r="I74" s="202"/>
    </row>
    <row r="75" spans="1:9" ht="18.75" customHeight="1" x14ac:dyDescent="0.15">
      <c r="A75" s="4"/>
      <c r="B75" s="200"/>
      <c r="C75" s="201"/>
      <c r="D75" s="201"/>
      <c r="E75" s="201"/>
      <c r="F75" s="201"/>
      <c r="G75" s="201"/>
      <c r="H75" s="201"/>
      <c r="I75" s="202"/>
    </row>
    <row r="76" spans="1:9" ht="18.75" customHeight="1" x14ac:dyDescent="0.15">
      <c r="A76" s="4"/>
      <c r="B76" s="200"/>
      <c r="C76" s="201"/>
      <c r="D76" s="201"/>
      <c r="E76" s="201"/>
      <c r="F76" s="201"/>
      <c r="G76" s="201"/>
      <c r="H76" s="201"/>
      <c r="I76" s="202"/>
    </row>
    <row r="77" spans="1:9" ht="18.75" customHeight="1" x14ac:dyDescent="0.15">
      <c r="A77" s="4"/>
      <c r="B77" s="203"/>
      <c r="C77" s="204"/>
      <c r="D77" s="204"/>
      <c r="E77" s="204"/>
      <c r="F77" s="204"/>
      <c r="G77" s="204"/>
      <c r="H77" s="204"/>
      <c r="I77" s="205"/>
    </row>
    <row r="78" spans="1:9" ht="7.5" customHeight="1" x14ac:dyDescent="0.15">
      <c r="A78" s="4"/>
      <c r="B78" s="4"/>
      <c r="C78" s="4"/>
      <c r="D78" s="4"/>
      <c r="E78" s="4"/>
      <c r="F78" s="4"/>
      <c r="G78" s="4"/>
      <c r="H78" s="4"/>
      <c r="I78" s="4"/>
    </row>
    <row r="79" spans="1:9" ht="18.75" customHeight="1" x14ac:dyDescent="0.15">
      <c r="A79" s="1" t="s">
        <v>11</v>
      </c>
      <c r="B79" s="1" t="s">
        <v>41</v>
      </c>
    </row>
    <row r="80" spans="1:9" ht="18.75" customHeight="1" x14ac:dyDescent="0.15">
      <c r="A80" s="1"/>
      <c r="B80" s="197" t="s">
        <v>148</v>
      </c>
      <c r="C80" s="198"/>
      <c r="D80" s="198"/>
      <c r="E80" s="198"/>
      <c r="F80" s="198"/>
      <c r="G80" s="198"/>
      <c r="H80" s="198"/>
      <c r="I80" s="206"/>
    </row>
    <row r="81" spans="1:9" ht="18.75" customHeight="1" x14ac:dyDescent="0.15">
      <c r="A81" s="1"/>
      <c r="B81" s="207"/>
      <c r="C81" s="208"/>
      <c r="D81" s="208"/>
      <c r="E81" s="208"/>
      <c r="F81" s="208"/>
      <c r="G81" s="208"/>
      <c r="H81" s="208"/>
      <c r="I81" s="209"/>
    </row>
    <row r="82" spans="1:9" ht="18.75" customHeight="1" x14ac:dyDescent="0.15">
      <c r="A82" s="1"/>
      <c r="B82" s="207"/>
      <c r="C82" s="208"/>
      <c r="D82" s="208"/>
      <c r="E82" s="208"/>
      <c r="F82" s="208"/>
      <c r="G82" s="208"/>
      <c r="H82" s="208"/>
      <c r="I82" s="209"/>
    </row>
    <row r="83" spans="1:9" ht="18.75" customHeight="1" x14ac:dyDescent="0.15">
      <c r="A83" s="1"/>
      <c r="B83" s="207"/>
      <c r="C83" s="208"/>
      <c r="D83" s="208"/>
      <c r="E83" s="208"/>
      <c r="F83" s="208"/>
      <c r="G83" s="208"/>
      <c r="H83" s="208"/>
      <c r="I83" s="209"/>
    </row>
    <row r="84" spans="1:9" ht="18.75" customHeight="1" x14ac:dyDescent="0.15">
      <c r="A84" s="1"/>
      <c r="B84" s="207"/>
      <c r="C84" s="208"/>
      <c r="D84" s="208"/>
      <c r="E84" s="208"/>
      <c r="F84" s="208"/>
      <c r="G84" s="208"/>
      <c r="H84" s="208"/>
      <c r="I84" s="209"/>
    </row>
    <row r="85" spans="1:9" ht="18.75" customHeight="1" x14ac:dyDescent="0.15">
      <c r="A85" s="1"/>
      <c r="B85" s="207"/>
      <c r="C85" s="208"/>
      <c r="D85" s="208"/>
      <c r="E85" s="208"/>
      <c r="F85" s="208"/>
      <c r="G85" s="208"/>
      <c r="H85" s="208"/>
      <c r="I85" s="209"/>
    </row>
    <row r="86" spans="1:9" ht="18.75" customHeight="1" x14ac:dyDescent="0.15">
      <c r="A86" s="1"/>
      <c r="B86" s="207"/>
      <c r="C86" s="208"/>
      <c r="D86" s="208"/>
      <c r="E86" s="208"/>
      <c r="F86" s="208"/>
      <c r="G86" s="208"/>
      <c r="H86" s="208"/>
      <c r="I86" s="209"/>
    </row>
    <row r="87" spans="1:9" ht="18.75" customHeight="1" x14ac:dyDescent="0.15">
      <c r="A87" s="1"/>
      <c r="B87" s="207"/>
      <c r="C87" s="208"/>
      <c r="D87" s="208"/>
      <c r="E87" s="208"/>
      <c r="F87" s="208"/>
      <c r="G87" s="208"/>
      <c r="H87" s="208"/>
      <c r="I87" s="209"/>
    </row>
    <row r="88" spans="1:9" ht="18.75" customHeight="1" x14ac:dyDescent="0.15">
      <c r="A88" s="1"/>
      <c r="B88" s="207"/>
      <c r="C88" s="208"/>
      <c r="D88" s="208"/>
      <c r="E88" s="208"/>
      <c r="F88" s="208"/>
      <c r="G88" s="208"/>
      <c r="H88" s="208"/>
      <c r="I88" s="209"/>
    </row>
    <row r="89" spans="1:9" ht="18.75" customHeight="1" x14ac:dyDescent="0.15">
      <c r="A89" s="1"/>
      <c r="B89" s="207"/>
      <c r="C89" s="208"/>
      <c r="D89" s="208"/>
      <c r="E89" s="208"/>
      <c r="F89" s="208"/>
      <c r="G89" s="208"/>
      <c r="H89" s="208"/>
      <c r="I89" s="209"/>
    </row>
    <row r="90" spans="1:9" ht="18.75" customHeight="1" x14ac:dyDescent="0.15">
      <c r="A90" s="4"/>
      <c r="B90" s="207"/>
      <c r="C90" s="208"/>
      <c r="D90" s="208"/>
      <c r="E90" s="208"/>
      <c r="F90" s="208"/>
      <c r="G90" s="208"/>
      <c r="H90" s="208"/>
      <c r="I90" s="209"/>
    </row>
    <row r="91" spans="1:9" ht="18.75" customHeight="1" x14ac:dyDescent="0.15">
      <c r="A91" s="4"/>
      <c r="B91" s="210"/>
      <c r="C91" s="211"/>
      <c r="D91" s="211"/>
      <c r="E91" s="211"/>
      <c r="F91" s="211"/>
      <c r="G91" s="211"/>
      <c r="H91" s="211"/>
      <c r="I91" s="212"/>
    </row>
    <row r="92" spans="1:9" ht="7.5" customHeight="1" x14ac:dyDescent="0.15">
      <c r="A92" s="4"/>
      <c r="B92" s="4"/>
      <c r="C92" s="4"/>
      <c r="D92" s="4"/>
      <c r="E92" s="4"/>
      <c r="F92" s="4"/>
      <c r="G92" s="4"/>
      <c r="H92" s="4"/>
      <c r="I92" s="4"/>
    </row>
    <row r="93" spans="1:9" ht="18.75" customHeight="1" x14ac:dyDescent="0.15">
      <c r="A93" s="1" t="s">
        <v>44</v>
      </c>
      <c r="B93" s="1" t="s">
        <v>13</v>
      </c>
    </row>
    <row r="94" spans="1:9" ht="18.75" customHeight="1" x14ac:dyDescent="0.15">
      <c r="A94" s="1"/>
      <c r="B94" s="224" t="s">
        <v>149</v>
      </c>
      <c r="C94" s="225"/>
      <c r="D94" s="225"/>
      <c r="E94" s="225"/>
      <c r="F94" s="225"/>
      <c r="G94" s="225"/>
      <c r="H94" s="225"/>
      <c r="I94" s="226"/>
    </row>
    <row r="95" spans="1:9" ht="18.75" customHeight="1" x14ac:dyDescent="0.15">
      <c r="A95" s="1"/>
      <c r="B95" s="227"/>
      <c r="C95" s="228"/>
      <c r="D95" s="228"/>
      <c r="E95" s="228"/>
      <c r="F95" s="228"/>
      <c r="G95" s="228"/>
      <c r="H95" s="228"/>
      <c r="I95" s="229"/>
    </row>
    <row r="96" spans="1:9" ht="18.75" customHeight="1" x14ac:dyDescent="0.15">
      <c r="A96" s="1"/>
      <c r="B96" s="227"/>
      <c r="C96" s="228"/>
      <c r="D96" s="228"/>
      <c r="E96" s="228"/>
      <c r="F96" s="228"/>
      <c r="G96" s="228"/>
      <c r="H96" s="228"/>
      <c r="I96" s="229"/>
    </row>
    <row r="97" spans="1:9" ht="18.75" customHeight="1" x14ac:dyDescent="0.15">
      <c r="A97" s="1"/>
      <c r="B97" s="227"/>
      <c r="C97" s="228"/>
      <c r="D97" s="228"/>
      <c r="E97" s="228"/>
      <c r="F97" s="228"/>
      <c r="G97" s="228"/>
      <c r="H97" s="228"/>
      <c r="I97" s="229"/>
    </row>
    <row r="98" spans="1:9" ht="18.75" customHeight="1" x14ac:dyDescent="0.15">
      <c r="A98" s="1"/>
      <c r="B98" s="227"/>
      <c r="C98" s="228"/>
      <c r="D98" s="228"/>
      <c r="E98" s="228"/>
      <c r="F98" s="228"/>
      <c r="G98" s="228"/>
      <c r="H98" s="228"/>
      <c r="I98" s="229"/>
    </row>
    <row r="99" spans="1:9" ht="18.75" customHeight="1" x14ac:dyDescent="0.15">
      <c r="A99" s="1"/>
      <c r="B99" s="227"/>
      <c r="C99" s="228"/>
      <c r="D99" s="228"/>
      <c r="E99" s="228"/>
      <c r="F99" s="228"/>
      <c r="G99" s="228"/>
      <c r="H99" s="228"/>
      <c r="I99" s="229"/>
    </row>
    <row r="100" spans="1:9" ht="18.75" customHeight="1" x14ac:dyDescent="0.15">
      <c r="A100" s="1"/>
      <c r="B100" s="227"/>
      <c r="C100" s="228"/>
      <c r="D100" s="228"/>
      <c r="E100" s="228"/>
      <c r="F100" s="228"/>
      <c r="G100" s="228"/>
      <c r="H100" s="228"/>
      <c r="I100" s="229"/>
    </row>
    <row r="101" spans="1:9" ht="18.75" customHeight="1" x14ac:dyDescent="0.15">
      <c r="A101" s="1"/>
      <c r="B101" s="227"/>
      <c r="C101" s="228"/>
      <c r="D101" s="228"/>
      <c r="E101" s="228"/>
      <c r="F101" s="228"/>
      <c r="G101" s="228"/>
      <c r="H101" s="228"/>
      <c r="I101" s="229"/>
    </row>
    <row r="102" spans="1:9" ht="18.75" customHeight="1" x14ac:dyDescent="0.15">
      <c r="A102" s="1"/>
      <c r="B102" s="227"/>
      <c r="C102" s="228"/>
      <c r="D102" s="228"/>
      <c r="E102" s="228"/>
      <c r="F102" s="228"/>
      <c r="G102" s="228"/>
      <c r="H102" s="228"/>
      <c r="I102" s="229"/>
    </row>
    <row r="103" spans="1:9" ht="18.75" customHeight="1" x14ac:dyDescent="0.15">
      <c r="A103" s="1"/>
      <c r="B103" s="227"/>
      <c r="C103" s="228"/>
      <c r="D103" s="228"/>
      <c r="E103" s="228"/>
      <c r="F103" s="228"/>
      <c r="G103" s="228"/>
      <c r="H103" s="228"/>
      <c r="I103" s="229"/>
    </row>
    <row r="104" spans="1:9" ht="18.75" customHeight="1" x14ac:dyDescent="0.15">
      <c r="A104" s="1"/>
      <c r="B104" s="227"/>
      <c r="C104" s="228"/>
      <c r="D104" s="228"/>
      <c r="E104" s="228"/>
      <c r="F104" s="228"/>
      <c r="G104" s="228"/>
      <c r="H104" s="228"/>
      <c r="I104" s="229"/>
    </row>
    <row r="105" spans="1:9" ht="18.75" customHeight="1" x14ac:dyDescent="0.15">
      <c r="A105" s="4"/>
      <c r="B105" s="230"/>
      <c r="C105" s="231"/>
      <c r="D105" s="231"/>
      <c r="E105" s="231"/>
      <c r="F105" s="231"/>
      <c r="G105" s="231"/>
      <c r="H105" s="231"/>
      <c r="I105" s="232"/>
    </row>
    <row r="106" spans="1:9" ht="7.5" customHeight="1" x14ac:dyDescent="0.15">
      <c r="A106" s="4"/>
      <c r="B106" s="4"/>
      <c r="C106" s="4"/>
      <c r="D106" s="4"/>
      <c r="E106" s="4"/>
      <c r="F106" s="4"/>
      <c r="G106" s="4"/>
      <c r="H106" s="4"/>
      <c r="I106" s="4"/>
    </row>
    <row r="107" spans="1:9" ht="18.75" customHeight="1" x14ac:dyDescent="0.15">
      <c r="A107" s="1" t="s">
        <v>30</v>
      </c>
      <c r="B107" s="233" t="s">
        <v>46</v>
      </c>
      <c r="C107" s="233"/>
      <c r="D107" s="233"/>
      <c r="E107" s="233"/>
      <c r="F107" s="233"/>
      <c r="G107" s="233"/>
      <c r="H107" s="233"/>
      <c r="I107" s="233"/>
    </row>
    <row r="108" spans="1:9" ht="18.75" customHeight="1" x14ac:dyDescent="0.15">
      <c r="A108" s="4"/>
      <c r="B108" s="224" t="s">
        <v>150</v>
      </c>
      <c r="C108" s="225"/>
      <c r="D108" s="225"/>
      <c r="E108" s="225"/>
      <c r="F108" s="225"/>
      <c r="G108" s="225"/>
      <c r="H108" s="225"/>
      <c r="I108" s="226"/>
    </row>
    <row r="109" spans="1:9" ht="18.75" customHeight="1" x14ac:dyDescent="0.15">
      <c r="A109" s="4"/>
      <c r="B109" s="227"/>
      <c r="C109" s="228"/>
      <c r="D109" s="228"/>
      <c r="E109" s="228"/>
      <c r="F109" s="228"/>
      <c r="G109" s="228"/>
      <c r="H109" s="228"/>
      <c r="I109" s="229"/>
    </row>
    <row r="110" spans="1:9" ht="18.75" customHeight="1" x14ac:dyDescent="0.15">
      <c r="A110" s="4"/>
      <c r="B110" s="227"/>
      <c r="C110" s="228"/>
      <c r="D110" s="228"/>
      <c r="E110" s="228"/>
      <c r="F110" s="228"/>
      <c r="G110" s="228"/>
      <c r="H110" s="228"/>
      <c r="I110" s="229"/>
    </row>
    <row r="111" spans="1:9" ht="18.75" customHeight="1" x14ac:dyDescent="0.15">
      <c r="A111" s="4"/>
      <c r="B111" s="227"/>
      <c r="C111" s="228"/>
      <c r="D111" s="228"/>
      <c r="E111" s="228"/>
      <c r="F111" s="228"/>
      <c r="G111" s="228"/>
      <c r="H111" s="228"/>
      <c r="I111" s="229"/>
    </row>
    <row r="112" spans="1:9" ht="18.75" customHeight="1" x14ac:dyDescent="0.15">
      <c r="A112" s="4"/>
      <c r="B112" s="227"/>
      <c r="C112" s="228"/>
      <c r="D112" s="228"/>
      <c r="E112" s="228"/>
      <c r="F112" s="228"/>
      <c r="G112" s="228"/>
      <c r="H112" s="228"/>
      <c r="I112" s="229"/>
    </row>
    <row r="113" spans="1:9" ht="18.75" customHeight="1" x14ac:dyDescent="0.15">
      <c r="A113" s="4"/>
      <c r="B113" s="227"/>
      <c r="C113" s="228"/>
      <c r="D113" s="228"/>
      <c r="E113" s="228"/>
      <c r="F113" s="228"/>
      <c r="G113" s="228"/>
      <c r="H113" s="228"/>
      <c r="I113" s="229"/>
    </row>
    <row r="114" spans="1:9" ht="18.75" customHeight="1" x14ac:dyDescent="0.15">
      <c r="A114" s="4"/>
      <c r="B114" s="227"/>
      <c r="C114" s="228"/>
      <c r="D114" s="228"/>
      <c r="E114" s="228"/>
      <c r="F114" s="228"/>
      <c r="G114" s="228"/>
      <c r="H114" s="228"/>
      <c r="I114" s="229"/>
    </row>
    <row r="115" spans="1:9" ht="18.75" customHeight="1" x14ac:dyDescent="0.15">
      <c r="A115" s="4"/>
      <c r="B115" s="227"/>
      <c r="C115" s="228"/>
      <c r="D115" s="228"/>
      <c r="E115" s="228"/>
      <c r="F115" s="228"/>
      <c r="G115" s="228"/>
      <c r="H115" s="228"/>
      <c r="I115" s="229"/>
    </row>
    <row r="116" spans="1:9" ht="18.75" customHeight="1" x14ac:dyDescent="0.15">
      <c r="A116" s="4"/>
      <c r="B116" s="227"/>
      <c r="C116" s="228"/>
      <c r="D116" s="228"/>
      <c r="E116" s="228"/>
      <c r="F116" s="228"/>
      <c r="G116" s="228"/>
      <c r="H116" s="228"/>
      <c r="I116" s="229"/>
    </row>
    <row r="117" spans="1:9" ht="18.75" customHeight="1" x14ac:dyDescent="0.15">
      <c r="A117" s="4"/>
      <c r="B117" s="227"/>
      <c r="C117" s="228"/>
      <c r="D117" s="228"/>
      <c r="E117" s="228"/>
      <c r="F117" s="228"/>
      <c r="G117" s="228"/>
      <c r="H117" s="228"/>
      <c r="I117" s="229"/>
    </row>
    <row r="118" spans="1:9" ht="18.75" customHeight="1" x14ac:dyDescent="0.15">
      <c r="A118" s="4"/>
      <c r="B118" s="227"/>
      <c r="C118" s="228"/>
      <c r="D118" s="228"/>
      <c r="E118" s="228"/>
      <c r="F118" s="228"/>
      <c r="G118" s="228"/>
      <c r="H118" s="228"/>
      <c r="I118" s="229"/>
    </row>
    <row r="119" spans="1:9" ht="18.75" customHeight="1" x14ac:dyDescent="0.15">
      <c r="A119" s="4"/>
      <c r="B119" s="230"/>
      <c r="C119" s="231"/>
      <c r="D119" s="231"/>
      <c r="E119" s="231"/>
      <c r="F119" s="231"/>
      <c r="G119" s="231"/>
      <c r="H119" s="231"/>
      <c r="I119" s="232"/>
    </row>
    <row r="120" spans="1:9" ht="7.5" customHeight="1" x14ac:dyDescent="0.15">
      <c r="A120" s="4"/>
      <c r="B120" s="42"/>
      <c r="C120" s="42"/>
      <c r="D120" s="42"/>
      <c r="E120" s="42"/>
      <c r="F120" s="42"/>
      <c r="G120" s="42"/>
      <c r="H120" s="42"/>
      <c r="I120" s="42"/>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43"/>
      <c r="B134" s="43"/>
      <c r="C134" s="43"/>
      <c r="D134" s="43"/>
      <c r="E134" s="43"/>
      <c r="F134" s="43"/>
      <c r="G134" s="43"/>
      <c r="H134" s="43"/>
      <c r="I134" s="43"/>
    </row>
  </sheetData>
  <mergeCells count="22">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view="pageBreakPreview" topLeftCell="E19" zoomScale="90" zoomScaleNormal="100" zoomScaleSheetLayoutView="90" workbookViewId="0">
      <selection activeCell="E20" sqref="E20:I20"/>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71</v>
      </c>
      <c r="I1" s="29" t="s">
        <v>105</v>
      </c>
    </row>
    <row r="2" spans="1:9" ht="18.75" customHeight="1" x14ac:dyDescent="0.15">
      <c r="H2" s="29" t="s">
        <v>109</v>
      </c>
      <c r="I2" s="28" t="str">
        <f>'様式１　プログラムを構成する授業科目'!C2</f>
        <v>皇學館大学</v>
      </c>
    </row>
    <row r="3" spans="1:9" ht="18.75" customHeight="1" x14ac:dyDescent="0.15">
      <c r="A3" s="115" t="s">
        <v>28</v>
      </c>
      <c r="B3" s="115"/>
      <c r="C3" s="115"/>
      <c r="D3" s="115"/>
      <c r="E3" s="115"/>
      <c r="F3" s="115"/>
      <c r="G3" s="115"/>
      <c r="H3" s="115"/>
      <c r="I3" s="115"/>
    </row>
    <row r="4" spans="1:9" ht="18.75" customHeight="1" x14ac:dyDescent="0.15">
      <c r="A4" s="5"/>
      <c r="B4" s="5"/>
      <c r="C4" s="5"/>
      <c r="D4" s="5"/>
      <c r="E4" s="5"/>
      <c r="F4" s="5"/>
      <c r="G4" s="5"/>
      <c r="H4" s="5"/>
      <c r="I4" s="5"/>
    </row>
    <row r="5" spans="1:9" ht="18.75" customHeight="1" x14ac:dyDescent="0.15">
      <c r="A5" s="1" t="s">
        <v>0</v>
      </c>
      <c r="B5" s="10" t="s">
        <v>95</v>
      </c>
      <c r="C5" s="5"/>
      <c r="D5" s="5"/>
      <c r="E5" s="5"/>
      <c r="F5" s="5"/>
      <c r="G5" s="5"/>
      <c r="H5" s="5"/>
      <c r="I5" s="5"/>
    </row>
    <row r="6" spans="1:9" ht="26.25" customHeight="1" x14ac:dyDescent="0.15">
      <c r="A6" s="5"/>
      <c r="B6" s="242" t="s">
        <v>135</v>
      </c>
      <c r="C6" s="276"/>
      <c r="D6" s="276"/>
      <c r="E6" s="276"/>
      <c r="F6" s="276"/>
      <c r="G6" s="276"/>
      <c r="H6" s="277"/>
      <c r="I6" s="3"/>
    </row>
    <row r="7" spans="1:9" ht="9" customHeight="1" x14ac:dyDescent="0.15">
      <c r="A7" s="5"/>
      <c r="B7" s="10"/>
      <c r="C7" s="10"/>
      <c r="D7" s="10"/>
      <c r="E7" s="10"/>
      <c r="F7" s="10"/>
      <c r="G7" s="10"/>
      <c r="H7" s="10"/>
      <c r="I7" s="3"/>
    </row>
    <row r="8" spans="1:9" ht="18.75" customHeight="1" x14ac:dyDescent="0.15">
      <c r="A8" s="5"/>
      <c r="B8" s="3"/>
      <c r="C8" s="3"/>
      <c r="D8" s="29" t="s">
        <v>43</v>
      </c>
      <c r="E8" s="30" t="s">
        <v>132</v>
      </c>
      <c r="F8" s="3"/>
      <c r="G8" s="29" t="s">
        <v>10</v>
      </c>
      <c r="H8" s="30" t="s">
        <v>134</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101" t="s">
        <v>24</v>
      </c>
      <c r="C11" s="102"/>
      <c r="D11" s="103"/>
      <c r="E11" s="102" t="s">
        <v>26</v>
      </c>
      <c r="F11" s="102"/>
      <c r="G11" s="102"/>
      <c r="H11" s="102"/>
      <c r="I11" s="103"/>
    </row>
    <row r="12" spans="1:9" ht="26.25" customHeight="1" x14ac:dyDescent="0.15">
      <c r="B12" s="44" t="s">
        <v>14</v>
      </c>
      <c r="C12" s="50"/>
      <c r="D12" s="45"/>
      <c r="E12" s="51"/>
      <c r="F12" s="51"/>
      <c r="G12" s="51"/>
      <c r="H12" s="51"/>
      <c r="I12" s="45"/>
    </row>
    <row r="13" spans="1:9" ht="38.25" customHeight="1" x14ac:dyDescent="0.15">
      <c r="B13" s="46"/>
      <c r="C13" s="253" t="s">
        <v>15</v>
      </c>
      <c r="D13" s="254"/>
      <c r="E13" s="273" t="s">
        <v>144</v>
      </c>
      <c r="F13" s="274"/>
      <c r="G13" s="274"/>
      <c r="H13" s="274"/>
      <c r="I13" s="275"/>
    </row>
    <row r="14" spans="1:9" ht="112.5" customHeight="1" x14ac:dyDescent="0.15">
      <c r="B14" s="46"/>
      <c r="C14" s="271" t="s">
        <v>16</v>
      </c>
      <c r="D14" s="272"/>
      <c r="E14" s="273" t="s">
        <v>153</v>
      </c>
      <c r="F14" s="274"/>
      <c r="G14" s="274"/>
      <c r="H14" s="274"/>
      <c r="I14" s="275"/>
    </row>
    <row r="15" spans="1:9" ht="408.75" customHeight="1" x14ac:dyDescent="0.15">
      <c r="B15" s="46"/>
      <c r="C15" s="253" t="s">
        <v>17</v>
      </c>
      <c r="D15" s="254"/>
      <c r="E15" s="267" t="s">
        <v>151</v>
      </c>
      <c r="F15" s="268"/>
      <c r="G15" s="268"/>
      <c r="H15" s="268"/>
      <c r="I15" s="269"/>
    </row>
    <row r="16" spans="1:9" ht="102" customHeight="1" x14ac:dyDescent="0.15">
      <c r="B16" s="46"/>
      <c r="C16" s="253" t="s">
        <v>18</v>
      </c>
      <c r="D16" s="254"/>
      <c r="E16" s="267" t="s">
        <v>152</v>
      </c>
      <c r="F16" s="255"/>
      <c r="G16" s="255"/>
      <c r="H16" s="255"/>
      <c r="I16" s="256"/>
    </row>
    <row r="17" spans="2:9" ht="62.25" customHeight="1" x14ac:dyDescent="0.15">
      <c r="B17" s="47"/>
      <c r="C17" s="257" t="s">
        <v>19</v>
      </c>
      <c r="D17" s="258"/>
      <c r="E17" s="270" t="s">
        <v>154</v>
      </c>
      <c r="F17" s="259"/>
      <c r="G17" s="259"/>
      <c r="H17" s="259"/>
      <c r="I17" s="260"/>
    </row>
    <row r="18" spans="2:9" ht="24" customHeight="1" x14ac:dyDescent="0.15">
      <c r="B18" s="44" t="s">
        <v>20</v>
      </c>
      <c r="C18" s="48"/>
      <c r="D18" s="49"/>
      <c r="E18" s="74"/>
      <c r="F18" s="74"/>
      <c r="G18" s="74"/>
      <c r="H18" s="74"/>
      <c r="I18" s="75"/>
    </row>
    <row r="19" spans="2:9" ht="86.25" customHeight="1" x14ac:dyDescent="0.15">
      <c r="B19" s="46"/>
      <c r="C19" s="253" t="s">
        <v>21</v>
      </c>
      <c r="D19" s="254"/>
      <c r="E19" s="255" t="s">
        <v>136</v>
      </c>
      <c r="F19" s="255"/>
      <c r="G19" s="255"/>
      <c r="H19" s="255"/>
      <c r="I19" s="256"/>
    </row>
    <row r="20" spans="2:9" ht="75" customHeight="1" x14ac:dyDescent="0.15">
      <c r="B20" s="47"/>
      <c r="C20" s="257" t="s">
        <v>22</v>
      </c>
      <c r="D20" s="258"/>
      <c r="E20" s="259" t="s">
        <v>137</v>
      </c>
      <c r="F20" s="259"/>
      <c r="G20" s="259"/>
      <c r="H20" s="259"/>
      <c r="I20" s="260"/>
    </row>
    <row r="21" spans="2:9" ht="127.5" customHeight="1" x14ac:dyDescent="0.15">
      <c r="B21" s="261" t="s">
        <v>23</v>
      </c>
      <c r="C21" s="262"/>
      <c r="D21" s="263"/>
      <c r="E21" s="264" t="s">
        <v>156</v>
      </c>
      <c r="F21" s="265"/>
      <c r="G21" s="265"/>
      <c r="H21" s="265"/>
      <c r="I21" s="266"/>
    </row>
    <row r="22" spans="2:9" ht="342.75" customHeight="1" x14ac:dyDescent="0.15">
      <c r="B22" s="248" t="s">
        <v>38</v>
      </c>
      <c r="C22" s="249"/>
      <c r="D22" s="250"/>
      <c r="E22" s="251" t="s">
        <v>155</v>
      </c>
      <c r="F22" s="251"/>
      <c r="G22" s="251"/>
      <c r="H22" s="251"/>
      <c r="I22" s="252"/>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5"/>
      <c r="C28" s="15"/>
      <c r="D28" s="15"/>
      <c r="E28" s="15"/>
      <c r="F28" s="15"/>
      <c r="G28" s="15"/>
      <c r="H28" s="15"/>
      <c r="I28" s="15"/>
    </row>
    <row r="29" spans="2:9" ht="22.5" customHeight="1" x14ac:dyDescent="0.15">
      <c r="B29" s="15"/>
      <c r="C29" s="15"/>
      <c r="D29" s="15"/>
      <c r="E29" s="15"/>
      <c r="F29" s="15"/>
      <c r="G29" s="15"/>
      <c r="H29" s="15"/>
      <c r="I29" s="15"/>
    </row>
    <row r="30" spans="2:9" ht="22.5" customHeight="1" x14ac:dyDescent="0.15">
      <c r="B30" s="15"/>
      <c r="C30" s="15"/>
      <c r="D30" s="15"/>
      <c r="E30" s="15"/>
      <c r="F30" s="15"/>
      <c r="G30" s="15"/>
      <c r="H30" s="15"/>
      <c r="I30" s="15"/>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s-umekawa</cp:lastModifiedBy>
  <cp:lastPrinted>2023-06-26T02:28:47Z</cp:lastPrinted>
  <dcterms:created xsi:type="dcterms:W3CDTF">2011-06-14T05:32:50Z</dcterms:created>
  <dcterms:modified xsi:type="dcterms:W3CDTF">2023-06-26T06:38:38Z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