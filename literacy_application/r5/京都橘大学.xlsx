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L:\教務課\4010.教養教育・キャリア教育\20.情報教育科目\文科省申請関連\数理AI・データサイエンスプログラム\2023年度\2023-06-29再提出書類\"/>
    </mc:Choice>
  </mc:AlternateContent>
  <bookViews>
    <workbookView xWindow="0" yWindow="0" windowWidth="17256" windowHeight="5784"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<sst xmlns="http://schemas.openxmlformats.org/spreadsheetml/2006/main" count="420" uniqueCount="204">
  <si>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</si>
  <si>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</si>
  <si>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</si>
  <si>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京都橘大学</t>
    <rPh sb="0" eb="5">
      <t>キョウト</t>
    </rPh>
    <phoneticPr fontId="1"/>
  </si>
  <si>
    <t>プログラム名</t>
    <rPh sb="5" eb="6">
      <t>メイ</t>
    </rPh>
    <phoneticPr fontId="1"/>
  </si>
  <si>
    <t>たちばなAI・データサイエンスプログラム</t>
  </si>
  <si>
    <t>プログラムを構成する授業科目について</t>
    <phoneticPr fontId="1"/>
  </si>
  <si>
    <t>① 対象となる学部・学科名称</t>
    <phoneticPr fontId="1"/>
  </si>
  <si>
    <t>② 教育プログラムの修了要件</t>
    <phoneticPr fontId="1"/>
  </si>
  <si>
    <t>学部・学科によって、修了要件は相違しない</t>
  </si>
  <si>
    <t>文学部、国際英語学部、発達教育学部、経済学部、経営学部、工学部、看護学部、健康科学部</t>
    <rPh sb="0" eb="3">
      <t>ブンガクブ</t>
    </rPh>
    <rPh sb="4" eb="6">
      <t>コクサイ</t>
    </rPh>
    <rPh sb="6" eb="8">
      <t>エイゴ</t>
    </rPh>
    <rPh sb="8" eb="10">
      <t>ガクブ</t>
    </rPh>
    <rPh sb="11" eb="13">
      <t>ハッタツ</t>
    </rPh>
    <rPh sb="13" eb="17">
      <t>キョウイクガクブ</t>
    </rPh>
    <rPh sb="18" eb="22">
      <t>ケイザイガクブ</t>
    </rPh>
    <rPh sb="23" eb="27">
      <t>ケイエイガクブ</t>
    </rPh>
    <rPh sb="28" eb="31">
      <t>コウガクブ</t>
    </rPh>
    <rPh sb="32" eb="36">
      <t>カンゴガクブ</t>
    </rPh>
    <rPh sb="37" eb="42">
      <t>ケンコウカガクブ</t>
    </rPh>
    <phoneticPr fontId="1"/>
  </si>
  <si>
    <t>③ 修了要件</t>
    <phoneticPr fontId="1"/>
  </si>
  <si>
    <t>ベーシックレベル（入門）に配置された科目から4単位の修得に加えて、ベーシックレベル（初級）に配置された科目から4 単位修得すること。
※ベーシックレベル（入門）に配置される科目において、修得できる科目は学科によって異なる。
知へのマインドセット/ITリテラシー/データサイエンス基礎　情報工学科、看護学科を除く全学科
知へのマインドセット/コンピュータ演習　情報工学科
知へのマインドセット/情報科学Ⅰ/情報科学Ⅱ　看護学科</t>
  </si>
  <si>
    <t>【プルダウンリスト】</t>
    <phoneticPr fontId="1"/>
  </si>
  <si>
    <t>令和４年度以前より、履修することが必須のプログラムとして実施</t>
    <rPh sb="0" eb="2">
      <t>レイワ</t>
    </rPh>
    <rPh sb="3" eb="5">
      <t>ネンド</t>
    </rPh>
    <rPh sb="5" eb="7">
      <t>イゼン</t>
    </rPh>
    <phoneticPr fontId="1"/>
  </si>
  <si>
    <t>令和７年度までに履修必須とする計画</t>
    <rPh sb="3" eb="4">
      <t>ネン</t>
    </rPh>
    <phoneticPr fontId="1"/>
  </si>
  <si>
    <t>令和８年度以降に履修必須とする計画、又は未定</t>
    <rPh sb="18" eb="19">
      <t>マタ</t>
    </rPh>
    <rPh sb="20" eb="22">
      <t>ミテイ</t>
    </rPh>
    <phoneticPr fontId="1"/>
  </si>
  <si>
    <t>必要最低単位数</t>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</si>
  <si>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</si>
  <si>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</si>
  <si>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</si>
  <si>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</si>
  <si>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</si>
  <si>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</si>
  <si>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</si>
  <si>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</si>
  <si>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知へのマインドセット</t>
    <rPh sb="0" eb="1">
      <t>チ</t>
    </rPh>
    <phoneticPr fontId="1"/>
  </si>
  <si>
    <t>○</t>
  </si>
  <si>
    <t>データサイエンス基礎</t>
    <phoneticPr fontId="1"/>
  </si>
  <si>
    <t>AIリテラシー</t>
    <phoneticPr fontId="1"/>
  </si>
  <si>
    <t>情報社会論</t>
    <rPh sb="0" eb="5">
      <t>ジョウホウシャカイロン</t>
    </rPh>
    <phoneticPr fontId="1"/>
  </si>
  <si>
    <t>情報とビジネス</t>
    <rPh sb="0" eb="2">
      <t>ジョウホウ</t>
    </rPh>
    <phoneticPr fontId="1"/>
  </si>
  <si>
    <t>人工知能入門</t>
    <rPh sb="0" eb="6">
      <t>ジンコウチノウニュウモン</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</si>
  <si>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</si>
  <si>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</si>
  <si>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</si>
  <si>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情報科学Ⅱ</t>
    <phoneticPr fontId="1"/>
  </si>
  <si>
    <t>情報社会論</t>
    <rPh sb="0" eb="2">
      <t>ジョウホウ</t>
    </rPh>
    <rPh sb="2" eb="4">
      <t>シャカイ</t>
    </rPh>
    <rPh sb="4" eb="5">
      <t>ロン</t>
    </rPh>
    <phoneticPr fontId="1"/>
  </si>
  <si>
    <t>統計学概論</t>
    <rPh sb="0" eb="5">
      <t>トウケイガクガイロン</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</si>
  <si>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</si>
  <si>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</si>
  <si>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</si>
  <si>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データサイエンス基礎</t>
    <rPh sb="8" eb="10">
      <t>キソ</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</si>
  <si>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</si>
  <si>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</si>
  <si>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</si>
  <si>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ITリテラシー</t>
    <phoneticPr fontId="1"/>
  </si>
  <si>
    <t>情報科学Ⅰ</t>
    <phoneticPr fontId="1"/>
  </si>
  <si>
    <t>コンピュータ演習</t>
    <rPh sb="6" eb="8">
      <t>エンシュウ</t>
    </rPh>
    <phoneticPr fontId="1"/>
  </si>
  <si>
    <t>情報社会論</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</si>
  <si>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</si>
  <si>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</si>
  <si>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</si>
  <si>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</si>
  <si>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確率・統計</t>
    <rPh sb="0" eb="2">
      <t>カクリツ</t>
    </rPh>
    <rPh sb="3" eb="5">
      <t>トウケイ</t>
    </rPh>
    <phoneticPr fontId="1"/>
  </si>
  <si>
    <t>統計学基礎論</t>
    <rPh sb="0" eb="6">
      <t>トウケイガクキソロン</t>
    </rPh>
    <phoneticPr fontId="1"/>
  </si>
  <si>
    <t>心理学統計法Ⅰ</t>
    <phoneticPr fontId="1"/>
  </si>
  <si>
    <t>統計学基礎</t>
    <rPh sb="0" eb="5">
      <t>トウケイガクキソ</t>
    </rPh>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</si>
  <si>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</si>
  <si>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</si>
  <si>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プログラミング演習Ⅰ</t>
    <rPh sb="7" eb="9">
      <t>エンシュウ</t>
    </rPh>
    <phoneticPr fontId="1"/>
  </si>
  <si>
    <t>4‐3データ構造とプログラミング基礎</t>
  </si>
  <si>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</si>
  <si>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</si>
  <si>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</si>
  <si>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</si>
  <si>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1-6</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</si>
  <si>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</si>
  <si>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</si>
  <si>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</si>
  <si>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</si>
  <si>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</si>
  <si>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⑪ プログラムの学修成果（学生等が身に付けられる能力等）</t>
    <phoneticPr fontId="1"/>
  </si>
  <si>
    <t>・AI・データサイエンスに関する基礎的な技能
・統計やデータ分析に用いる各種アプリケーションソフトの活用能力
・統計やデータ分析を基に課題発見や、解決案を導く力</t>
    <phoneticPr fontId="1"/>
  </si>
  <si>
    <t>様式２</t>
    <phoneticPr fontId="1"/>
  </si>
  <si>
    <t>プログラムの履修者数等の実績について</t>
    <phoneticPr fontId="1"/>
  </si>
  <si>
    <t>①プログラム開設年度</t>
    <rPh sb="6" eb="8">
      <t>カイセツ</t>
    </rPh>
    <rPh sb="8" eb="10">
      <t>ネンド</t>
    </rPh>
    <phoneticPr fontId="1"/>
  </si>
  <si>
    <t>令和4</t>
    <rPh sb="0" eb="2">
      <t>レイワ</t>
    </rPh>
    <phoneticPr fontId="1"/>
  </si>
  <si>
    <t>年度</t>
    <rPh sb="0" eb="2">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</si>
  <si>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</si>
  <si>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</si>
  <si>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</si>
  <si>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</si>
  <si>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</si>
  <si>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</si>
  <si>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</si>
  <si>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</si>
  <si>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</si>
  <si>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</si>
  <si>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</si>
  <si>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</si>
  <si>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</si>
  <si>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</si>
  <si>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</si>
  <si>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合計</t>
    <rPh sb="0" eb="2">
      <t>ゴウケイ</t>
    </rPh>
    <phoneticPr fontId="1"/>
  </si>
  <si>
    <t>男性</t>
    <rPh sb="0" eb="2">
      <t>ダンセイ</t>
    </rPh>
    <phoneticPr fontId="1"/>
  </si>
  <si>
    <t>女性</t>
    <rPh sb="0" eb="2">
      <t>ジョセイ</t>
    </rPh>
    <phoneticPr fontId="1"/>
  </si>
  <si>
    <t>文学部</t>
    <rPh sb="0" eb="3">
      <t>ブンガクブ</t>
    </rPh>
    <phoneticPr fontId="1"/>
  </si>
  <si>
    <t>国際英語学部</t>
    <rPh sb="0" eb="6">
      <t>コク</t>
    </rPh>
    <phoneticPr fontId="1"/>
  </si>
  <si>
    <t>発達教育学部</t>
    <rPh sb="0" eb="6">
      <t>ハッ</t>
    </rPh>
    <phoneticPr fontId="1"/>
  </si>
  <si>
    <t>経済学部</t>
    <rPh sb="0" eb="4">
      <t>ケイザイガクブ</t>
    </rPh>
    <phoneticPr fontId="1"/>
  </si>
  <si>
    <t>経営学部</t>
    <rPh sb="0" eb="4">
      <t>ケイエイガクブ</t>
    </rPh>
    <phoneticPr fontId="1"/>
  </si>
  <si>
    <t>工学部</t>
    <rPh sb="0" eb="3">
      <t>コウガクブ</t>
    </rPh>
    <phoneticPr fontId="1"/>
  </si>
  <si>
    <t>看護学部</t>
    <rPh sb="0" eb="4">
      <t>カンゴ</t>
    </rPh>
    <phoneticPr fontId="1"/>
  </si>
  <si>
    <t>健康科学部</t>
    <rPh sb="0" eb="5">
      <t>ケンコウ</t>
    </rPh>
    <phoneticPr fontId="1"/>
  </si>
  <si>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</si>
  <si>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</si>
  <si>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</si>
  <si>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</si>
  <si>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</si>
  <si>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</si>
  <si>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</si>
  <si>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人</t>
    <rPh sb="0" eb="1">
      <t>ニン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</si>
  <si>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</si>
  <si>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</si>
  <si>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</si>
  <si>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</si>
  <si>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</si>
  <si>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</si>
  <si>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平尾　毅</t>
    <rPh sb="0" eb="4">
      <t>ヒラオ</t>
    </rPh>
    <phoneticPr fontId="1"/>
  </si>
  <si>
    <t>（役職名）</t>
    <rPh sb="1" eb="4">
      <t>ヤクショクメイ</t>
    </rPh>
    <phoneticPr fontId="1"/>
  </si>
  <si>
    <t>共通教育推進室長</t>
    <phoneticPr fontId="1"/>
  </si>
  <si>
    <t>④</t>
    <phoneticPr fontId="1"/>
  </si>
  <si>
    <t>プログラムを改善・進化させるための体制（委員会・組織等）</t>
    <phoneticPr fontId="1"/>
  </si>
  <si>
    <t>共通教育推進室・情報教育部会</t>
    <rPh sb="0" eb="2">
      <t>キョウツウ</t>
    </rPh>
    <rPh sb="2" eb="4">
      <t>キョウイク</t>
    </rPh>
    <rPh sb="4" eb="7">
      <t>スイシンシツ</t>
    </rPh>
    <rPh sb="8" eb="10">
      <t>ジョウホウ</t>
    </rPh>
    <rPh sb="10" eb="12">
      <t>キョウイク</t>
    </rPh>
    <rPh sb="12" eb="14">
      <t>ブカイ</t>
    </rPh>
    <phoneticPr fontId="1"/>
  </si>
  <si>
    <t>平尾　毅</t>
    <rPh sb="0" eb="4">
      <t>ヒラオタ</t>
    </rPh>
    <phoneticPr fontId="1"/>
  </si>
  <si>
    <t>⑤</t>
    <phoneticPr fontId="1"/>
  </si>
  <si>
    <t>プログラムを改善・進化させるための体制を定める規則名称</t>
    <phoneticPr fontId="1"/>
  </si>
  <si>
    <t>京都橘大学共通教育推進室規程</t>
    <phoneticPr fontId="1"/>
  </si>
  <si>
    <t>⑥</t>
    <phoneticPr fontId="1"/>
  </si>
  <si>
    <t>体制の目的</t>
    <rPh sb="0" eb="2">
      <t>タイセイ</t>
    </rPh>
    <rPh sb="3" eb="5">
      <t>モクテキ</t>
    </rPh>
    <phoneticPr fontId="1"/>
  </si>
  <si>
    <t>共通教育推進室は教養教育、基礎教育およびキャリア教育にかかわる基本方針の策定・運営、自己点検・評価活動、FD活動および研究・開発課題の推進を目的としている。推進室に設置される情報教育部会は基礎教育に含まれる情報教育について上記の内容を推進する役割を担う。全学共通の情報教育科目を基礎に構成される「たちばなAI・データサイエンスプログラム」の推進についても、情報教育部会がその役割を担っている。(194字)</t>
    <rPh sb="200" eb="201">
      <t>ジ</t>
    </rPh>
    <phoneticPr fontId="1"/>
  </si>
  <si>
    <t>⑦</t>
    <phoneticPr fontId="1"/>
  </si>
  <si>
    <t>具体的な構成員</t>
    <rPh sb="0" eb="3">
      <t>グタイテキ</t>
    </rPh>
    <rPh sb="4" eb="7">
      <t>コウセイイン</t>
    </rPh>
    <phoneticPr fontId="1"/>
  </si>
  <si>
    <t>⑧</t>
    <phoneticPr fontId="1"/>
  </si>
  <si>
    <r>
      <rPr>
        <sz val="12"/>
        <color rgb="FF000000"/>
        <rFont val="ＭＳ Ｐゴシック"/>
        <family val="3"/>
        <charset val="128"/>
      </rPr>
      <t xml:space="preserve">履修者数・履修率の向上に向けた計画 </t>
    </r>
    <r>
      <rPr>
        <sz val="6"/>
        <color rgb="FF000000"/>
        <rFont val="ＭＳ Ｐゴシック"/>
        <family val="3"/>
        <charset val="128"/>
      </rPr>
      <t>※様式１の「履修必須の有無」で「計画がある」としている場合は詳細について記載すること</t>
    </r>
  </si>
  <si>
    <t>令和４年度実績</t>
    <rPh sb="0" eb="2">
      <t>レイワ</t>
    </rPh>
    <rPh sb="3" eb="5">
      <t>ネンド</t>
    </rPh>
    <rPh sb="5" eb="7">
      <t>ジッセキ</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</si>
  <si>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</si>
  <si>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</si>
  <si>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</si>
  <si>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</si>
  <si>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</si>
  <si>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</si>
  <si>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</si>
  <si>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</si>
  <si>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情報教育部会の構成員として、社会系学部や医療系学部の教員も参画しており、文理問わずさまざまな学生にとって受講しやすいプログラムを検討する体制を構築することで、全学的な履修を促進している。
本プログラムのベーシックレベル（入門）には、全学必修科目を配置しており、全学生が必ずプログラムに触れる機会を提供している。またベーシックレベル（初級）には各学科の専門性に合わせ、AI、ICTと社会とのつながりおよび統計等を学ぶ科目を選択科目として配置しており、興味・関心をもちながら、データサイエンスの基礎的知識を身に着け、知識を深めることができる構成としている。
また、時代や社会の要請を踏まえて、新たな要素に触れ、学習することも重要となるため、必要に応じて授業計画、学習内容の再編の検討も予定している。（342字）</t>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</si>
  <si>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</si>
  <si>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</si>
  <si>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</si>
  <si>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</si>
  <si>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ポータルサイトシステムによる出席状況や課題提出状況を毎回の授業で確認し、授業内容の理解度や満足度の確認を行っている。
本プログラムを構成する一部科目は、オンデマンド授業として開講しており、履修生全員が授業終了後も繰り返し、復習できる環境を構築している。
また授業アンケート等の結果から、シラバスに基づく授業内容や成績評価方法、予習・復習時間等の適切性を確認し、必要に応じた検討を行う。
加えて、Officeソフト習熟を目的としたシステムの導入や学習支援に関する全学的なラーニングアシスタントを配置し、学生へのサポート体制を準備している。ラーニングアシスタントは相談学生が課題に対する疑問を解消し、自分自身の力で課題を遂行するためのアドバイスを行っている。そして、学習支援を担当する専任教員によるセミナー等も複数回実施し、教員によるスキルのレクチャーも実施する体制を構築している。（381字）</t>
  </si>
  <si>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</si>
  <si>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</si>
  <si>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</si>
  <si>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</si>
  <si>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</si>
  <si>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</si>
  <si>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共通教育推進室</t>
  </si>
  <si>
    <t>平尾　毅</t>
  </si>
  <si>
    <t>共通教育推進室長</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</si>
  <si>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</si>
  <si>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</si>
  <si>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</si>
  <si>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</si>
  <si>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</si>
  <si>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</si>
  <si>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</si>
  <si>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</si>
  <si>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授業終了時アンケートより、
・大学生活やこれからの将来でパソコンスキルが必要になってくるので、1回⽣前期にこの講義を受けられてよかった。
・Officeソフトの使い方を知らない状態で大学に入学したのでとても不安だったが丁寧に教えてもらえたので理解することができた。
・パソコンについての知識が何も無い状態からのスタートだったが、この授業のおかげでレポート作成などに困らなかった。
・パソコン操作が好きになり人に教えることもできるようになった。
・実践しながら覚えていくので、力が身に付きやすかった。
以上のように、この科目単体での感想というよりも、他の科目に波及して使用できる汎用性の高い科目であると学生は認識している。（299字）</t>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</si>
  <si>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</si>
  <si>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令和4年度は、「たちばなAI・データサイエンスプログラム」の制定年度であるため、達成状況としては評価することができないが、本プログラムを構成する一部の科目は、各学部・学科において必修科目であるため、単位取得率は 100％を目指している。また選択科目についても、ポータルサイトシステムや本学のホームページを活用した、積極的な周知・広報を行い、プログラム修了生の獲得を目指していく。
今後、学生に対しては、単に履修登録に関する推奨・促進を行うだけではなく、本プログラムを修了する意義を伝えることで、学生自身が主体的に学び、考える土壌を醸成したいと考える。（270字）</t>
    <rPh sb="40" eb="42">
      <t>タッセイ</t>
    </rPh>
    <rPh sb="61" eb="62">
      <t>ホン</t>
    </rPh>
    <phoneticPr fontId="1"/>
  </si>
  <si>
    <t>学外からの視点</t>
    <rPh sb="0" eb="2">
      <t>ガクガイ</t>
    </rPh>
    <rPh sb="5" eb="7">
      <t>シテン</t>
    </rPh>
    <phoneticPr fontId="1"/>
  </si>
  <si>
    <t>教育プログラム修了者の進路、活躍状況、企業等の評価</t>
  </si>
  <si>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</si>
  <si>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</si>
  <si>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</si>
  <si>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xml:space="preserve">「ITリテラシー」、「情報科学Ⅰ」の授業終了時アンケートより、理解度について、理解できた58%、やや理解できた38%と9割以上の学生が理解できていると回答している。授業内容について、難しかったが繰り返し学習を行い理解できるようになったと、自身の成長に直結することが実感できたと回答するものが多かった。
また、「データサイエンス基礎」、「情報科学Ⅱ」では、理解できた46%、やや理解できた48%と9割以上の学生が理解できていると回答している。
いずれの科目においても、データ社会に出る上で非常に役に立ったとの回答が多く、受講した学生の9割以上が、将来の役に立つと回答している。（276字）
</t>
    <phoneticPr fontId="1"/>
  </si>
  <si>
    <t>本プログラムの導入部分では、自身が学んでいる学問を通したデータやAIの活用状況を調べるなど、自分事として、自身のこれからにどのように関っているかを認識してもらう課題を組み込んでいる。またAIの活用事例では最新の事例を紹介し、AIを身近に感じでもらう内容を組み込んでいる。データ分析においても、自分の考察を入れることを条件設定し、ただ作業をしているのでは解決できない授業内容に設計している。本プログラムが段階的な教育プログラムとして構成されており、一部科目については必修科目として運用されているため、学生全員が数理・AI・データサイエンスの基礎的知識・能力を獲得することを目指している。（288字）</t>
    <phoneticPr fontId="1"/>
  </si>
  <si>
    <t>ベーシックレベル（入門）には、1回生全員を必修とした科目の配置をはじめ、各学科において、必修となる科目も複数配置することにより、できる限り多くの学生が履修できるような取組として、「たちばなAI・データサイエンスプログラム」を構成している。
上記で配置している科目以外については、本学のホームページ上およびポータルサイトシステムを利用し、本プログラムの対象となる科目一覧の公開も行っている。学生には上記で公開している情報を確認した上で、各自の履修計画に沿いつつも、本プログラムの認定に関する科目等の履修登録を検討するように、本学のポータルサイトシステムを通じて周知を行う予定にしている。さらに、今後の社会で求められる能力の習得につながる本プログラムの意義を、履修ガイダンス等において重ねて周知し、履修登録の促進を図ることとする。（361字）</t>
    <rPh sb="296" eb="298">
      <t>コンゴ</t>
    </rPh>
    <rPh sb="299" eb="301">
      <t>シャカイ</t>
    </rPh>
    <rPh sb="302" eb="303">
      <t>モト</t>
    </rPh>
    <rPh sb="307" eb="309">
      <t>ノウリョク</t>
    </rPh>
    <rPh sb="310" eb="312">
      <t>シュウトク</t>
    </rPh>
    <rPh sb="317" eb="318">
      <t>ホン</t>
    </rPh>
    <rPh sb="324" eb="326">
      <t>イギ</t>
    </rPh>
    <rPh sb="328" eb="330">
      <t>リシュウ</t>
    </rPh>
    <rPh sb="335" eb="336">
      <t>トウ</t>
    </rPh>
    <rPh sb="340" eb="341">
      <t>カサ</t>
    </rPh>
    <rPh sb="343" eb="345">
      <t>シュウチ</t>
    </rPh>
    <rPh sb="347" eb="351">
      <t>リシュウトウロク</t>
    </rPh>
    <rPh sb="352" eb="354">
      <t>ソクシン</t>
    </rPh>
    <rPh sb="355" eb="356">
      <t>ハカ</t>
    </rPh>
    <phoneticPr fontId="1"/>
  </si>
  <si>
    <r>
      <t>＜共通教育推進室＞
共通教育推進室長</t>
    </r>
    <r>
      <rPr>
        <sz val="12"/>
        <rFont val="ＭＳ Ｐゴシック"/>
        <family val="3"/>
        <charset val="128"/>
        <scheme val="minor"/>
      </rPr>
      <t>　経営学部　教授　平尾　毅
文学部　教授　野村　幸一郎
文学部　准教授　後藤　敦史
経済学部　准教授　乾　明紀
経営学部　講師　西野　毅朗
工学部　准教授　片岡　裕介
教務課長　倉田　翔平</t>
    </r>
    <r>
      <rPr>
        <sz val="12"/>
        <color theme="1"/>
        <rFont val="ＭＳ Ｐゴシック"/>
        <family val="3"/>
        <charset val="128"/>
        <scheme val="minor"/>
      </rPr>
      <t xml:space="preserve">
＜情報教育部会＞
工学部　准教授　片岡　裕介
工学部　講師　加藤　諒
経営学部　講師　桑　海侠
健康科学部　准教授　木村　智子
</t>
    </r>
    <rPh sb="19" eb="23">
      <t>ケイエイガクブ</t>
    </rPh>
    <rPh sb="24" eb="26">
      <t>キョウジュ</t>
    </rPh>
    <phoneticPr fontId="1"/>
  </si>
  <si>
    <r>
      <t>ベーシックレベル（入門）は必修科目である「知へのマインドセット」・「ITリテラシー」・「データサイエンス基礎」（看護学科においては「情報科学Ⅰ」・「情報科学Ⅱ」、情報工学科においては「コンピュータ演習」）を基礎としたプログラム構成とし、全学生がプログラムの一部を必ず履修するようにしている。
ベーシックレベル（初級）は、各学科の学びに応じた科目を選択できることで、継続的な興味を喚起するプログラム構成とし、履修を促進している。
また本学ホームページに本プログラムに関する特設サイトを開設し、 AI ・データサイエンス教育の重要性と、時代や社会から求められる能力を強く訴求することで、これまで、「データサイエンス」という概念が身近ではなかった学生に対しても、広く興味・関心を抱かせ、「データサイエンス」に関する知識や技能は、文系・理系に関わらず広く汎用的に、これからの社会で活躍するために求められている力であることを学生に周知している。　　　
また、令和７年度に全学カリキュラム改定を行い、リテラシーレベルに相当するベーシックレベルは全学必修科目</t>
    </r>
    <r>
      <rPr>
        <sz val="12"/>
        <rFont val="ＭＳ Ｐゴシック"/>
        <family val="3"/>
        <charset val="128"/>
        <scheme val="minor"/>
      </rPr>
      <t>のみ</t>
    </r>
    <r>
      <rPr>
        <sz val="12"/>
        <color theme="1"/>
        <rFont val="ＭＳ Ｐゴシック"/>
        <family val="3"/>
        <charset val="128"/>
        <scheme val="minor"/>
      </rPr>
      <t>の構成とし、応用基礎レベルに相当する科目についても整備する予定である。（500字）</t>
    </r>
    <phoneticPr fontId="1"/>
  </si>
  <si>
    <r>
      <t>Officeソフト習熟を目的とし、Officeソフト（ワード、エクセル、パワーポイント）における初級から応用レベルまでを網羅し、単元ごとに学習できるようシステムを導入している。これにより、在籍期間中は学生自身で苦手な単元を繰り返し学習し、内容の理解が定着できるような環境を整備している。
また、ポータルサイトおよびTeamsを通じて担当教員へ直接質問ができる仕組みづくりを行っており、授業時間外においても、学生のフォローアップを行っている。
さらに、学習支援を担当する専任教員１名および学部生によるラーニングアシスタン</t>
    </r>
    <r>
      <rPr>
        <sz val="12"/>
        <rFont val="ＭＳ Ｐゴシック"/>
        <family val="3"/>
        <charset val="128"/>
        <scheme val="minor"/>
      </rPr>
      <t>トを、学内に通年で学内に複数名配置している。学習支援の中で、Officeソフト（ワード、エクセル、パワーポイント）の利活用や、それらに関連する授業の質問を受け付ける仕組みを、対面・オンラインで構築し、学生に対してもポータルサイト等を通じて、アナウンスを行っている。</t>
    </r>
    <r>
      <rPr>
        <sz val="12"/>
        <color theme="1"/>
        <rFont val="ＭＳ Ｐゴシック"/>
        <family val="3"/>
        <charset val="128"/>
        <scheme val="minor"/>
      </rPr>
      <t>（367字）</t>
    </r>
    <rPh sb="262" eb="264">
      <t>ガクナイ</t>
    </rPh>
    <rPh sb="385" eb="386">
      <t>オコナ</t>
    </rPh>
    <phoneticPr fontId="1"/>
  </si>
  <si>
    <r>
      <t>本プログラムは、全学生にとって履修可能な科目により構成しており、必修科目として前期に開講している「ITリテラシー」、「情報科学Ⅰ」ではOfficeソフトの基礎的な活用方法等を中心に、個別の学習状況・理解度に応じて学修支援を行った。
後期の「データサイエンス基礎」、「情報科学Ⅱ」では数理・データサイエンス・ＡＩ教育プログラムのリテラシー部分を基に、用語の説明や実践事例の紹介、また、Excelを使ったデータ分析手法を学び、目的設定、情報取集、データ分析、表現までの一連の流れを実践した。
単位未修得者の割合について「ITリテラシー」、「情報科学Ⅰ」</t>
    </r>
    <r>
      <rPr>
        <sz val="12"/>
        <rFont val="ＭＳ Ｐゴシック"/>
        <family val="3"/>
        <charset val="128"/>
        <scheme val="minor"/>
      </rPr>
      <t>について</t>
    </r>
    <r>
      <rPr>
        <sz val="12"/>
        <color theme="1"/>
        <rFont val="ＭＳ Ｐゴシック"/>
        <family val="3"/>
        <charset val="128"/>
        <scheme val="minor"/>
      </rPr>
      <t>は7.4%、「データサイエンス基礎」、「情報科学Ⅱ」では6.9%に抑えられている。（300字）</t>
    </r>
    <phoneticPr fontId="1"/>
  </si>
  <si>
    <r>
      <t>令和4年度「ITリテラシー」、「情報科学Ⅰ」の最終成績は、S：54.4%、A：25.0%、B：8.9%、C：4.3%、D：7.4%、「データサイエンス基礎」、「情報科学Ⅱ」</t>
    </r>
    <r>
      <rPr>
        <sz val="12"/>
        <rFont val="ＭＳ Ｐゴシック"/>
        <family val="3"/>
        <charset val="128"/>
        <scheme val="minor"/>
      </rPr>
      <t>の最終成績について</t>
    </r>
    <r>
      <rPr>
        <sz val="12"/>
        <color theme="1"/>
        <rFont val="ＭＳ Ｐゴシック"/>
        <family val="3"/>
        <charset val="128"/>
        <scheme val="minor"/>
      </rPr>
      <t xml:space="preserve">は、S：42.9%、A：30.6%、B：11.5%、C：8.1%、D：6.9%であった。
授業アンケートの結果から、9割以上の学生がこれからの大学生活をはじめ、社会人になってからも役立つ内容であると回答していることから、データサイエンスの学習の意義を学生自身が強く感じていることが分かる。上記の結果から、「高度情報社会におけるITの基礎的知識ならびに専門教育に向けた基本的なITスキルの習得」や「データサイエンスに関する基礎的・汎用的能力の獲得」については達成できていると判断している。（299字）
</t>
    </r>
    <rPh sb="87" eb="89">
      <t>サイシュウ</t>
    </rPh>
    <rPh sb="89" eb="91">
      <t>セイセキ</t>
    </rPh>
    <phoneticPr fontId="1"/>
  </si>
  <si>
    <r>
      <t>本プログラムである、「たちばなAI・データサイエンスプログラム」は令和4年度に運用を開始しており、対象者についても令和4年度以降の入学生に限定しているため、現時点で本プログラム修了者の</t>
    </r>
    <r>
      <rPr>
        <sz val="12"/>
        <rFont val="ＭＳ Ｐゴシック"/>
        <family val="3"/>
        <charset val="128"/>
        <scheme val="minor"/>
      </rPr>
      <t>中に</t>
    </r>
    <r>
      <rPr>
        <sz val="12"/>
        <color theme="1"/>
        <rFont val="ＭＳ Ｐゴシック"/>
        <family val="3"/>
        <charset val="128"/>
        <scheme val="minor"/>
      </rPr>
      <t>卒業生は発生しておらず、現段階ではプログラム修了者の進路や企業等での活躍状況等を評価することはできない。
今後は、</t>
    </r>
    <r>
      <rPr>
        <sz val="12"/>
        <rFont val="ＭＳ Ｐゴシック"/>
        <family val="3"/>
        <charset val="128"/>
        <scheme val="minor"/>
      </rPr>
      <t>就職進路課</t>
    </r>
    <r>
      <rPr>
        <sz val="12"/>
        <color theme="1"/>
        <rFont val="ＭＳ Ｐゴシック"/>
        <family val="3"/>
        <charset val="128"/>
        <scheme val="minor"/>
      </rPr>
      <t>とも連携を行い、卒業生アンケートを通じて、業種・業界を問わず、プログラム修了生の進路状況やその後の活躍（課題発見能力、情報分析力といったデータを適切に扱うことができる、デジタルリテラシーが身についているか等）の調査・分析を実施していきたい。（274字）</t>
    </r>
    <rPh sb="123" eb="125">
      <t>キギョウ</t>
    </rPh>
    <rPh sb="125" eb="126">
      <t>トウ</t>
    </rPh>
    <phoneticPr fontId="1"/>
  </si>
  <si>
    <r>
      <t>本プログラムの認定科目の多くが、全学における教養科目として開講されており、科目個別では、授業アンケート結果を踏まえた改善や、教員個人による「授業改善集」</t>
    </r>
    <r>
      <rPr>
        <sz val="12"/>
        <rFont val="ＭＳ Ｐゴシック"/>
        <family val="3"/>
        <charset val="128"/>
        <scheme val="minor"/>
      </rPr>
      <t>という形</t>
    </r>
    <r>
      <rPr>
        <sz val="12"/>
        <color theme="1"/>
        <rFont val="ＭＳ Ｐゴシック"/>
        <family val="3"/>
        <charset val="128"/>
        <scheme val="minor"/>
      </rPr>
      <t>にまとめた教員自己点検を実施することによって鋭意改善を実施しているが、産業界からの視点は、得られて</t>
    </r>
    <r>
      <rPr>
        <sz val="12"/>
        <rFont val="ＭＳ Ｐゴシック"/>
        <family val="3"/>
        <charset val="128"/>
        <scheme val="minor"/>
      </rPr>
      <t>はいないというのが</t>
    </r>
    <r>
      <rPr>
        <sz val="12"/>
        <color theme="1"/>
        <rFont val="ＭＳ Ｐゴシック"/>
        <family val="3"/>
        <charset val="128"/>
        <scheme val="minor"/>
      </rPr>
      <t xml:space="preserve">現状である。
令和4年度から本プログラムを開始したため、本プログラムを修了した卒業生は発生していないが、今後、卒業生へのキャリアに関する卒後アンケート項目に、本プログラムの有用性を追記し、その効果を図るとともに、産業界からの視点を含めることが可能となるよう、カリキュラムの変更、科目運用について検討していきたい。（293字）
</t>
    </r>
    <phoneticPr fontId="1"/>
  </si>
  <si>
    <r>
      <t>「ITリテラシー」、「データサイエンス基礎」、「情報科学Ⅰ」、「情報科学Ⅱ」のいずれも、オンデマンド授業であるため、見やすさや理解のしやすさに重点を</t>
    </r>
    <r>
      <rPr>
        <sz val="12"/>
        <rFont val="ＭＳ Ｐゴシック"/>
        <family val="3"/>
        <charset val="128"/>
        <scheme val="minor"/>
      </rPr>
      <t>置き、学習動画を作成</t>
    </r>
    <r>
      <rPr>
        <sz val="12"/>
        <color theme="1"/>
        <rFont val="ＭＳ Ｐゴシック"/>
        <family val="3"/>
        <charset val="128"/>
        <scheme val="minor"/>
      </rPr>
      <t>している。アンケート結果も、「動画だと操作方法が分かりやすい」、「繰り返し見返す」等、これらの取組みに対して、肯定的な意見が多くあった。
授業内容についても、常に最新の情報を取り込むことで、学生の学習機会を増やす取り組みを継続していく。また、クラウド型成績管理システムを導入し、実際のOfficeソフトを使って解答操作を行う、実践的な学習を実施。能力値の分布や成長性を可視化し、学習の習慣化、動機づけを行っている。(284字)</t>
    </r>
    <rPh sb="74" eb="75">
      <t>オ</t>
    </rPh>
    <rPh sb="77" eb="79">
      <t>ガクシュウ</t>
    </rPh>
    <rPh sb="79" eb="81">
      <t>ドウガ</t>
    </rPh>
    <phoneticPr fontId="1"/>
  </si>
  <si>
    <t>・データ・AI利活用事例紹介「データサイエンス基礎」（第2～4回）、「AIリテラシー」（第2回）、「情報社会論」（第4～6回）、「情報とビジネス」（第5～14回）
・データサイエンスのサイクル「人工知能入門」（第1回）</t>
    <phoneticPr fontId="1"/>
  </si>
  <si>
    <t>・情報セキュリティ「ITリテラシー」（第3回）、「情報科学Ⅰ」（第2回）、「情報科学Ⅱ」（第4回）、「コンピュータ演習」（第1回）、「AIリテラシー」（第12回、第13回）、「情報社会論」（第8回）</t>
    <phoneticPr fontId="1"/>
  </si>
  <si>
    <t>・AI最新技術の活用例「データサイエンス基礎」（第2～4回）、「AIリテラシー」（第1回、第2回）、「人工知能入門」（第1回、第14回）
・AI等を活用した新しいビジネスモデル「情報社会論」（第7回）、「情報とビジネス」（第3回）</t>
    <phoneticPr fontId="1"/>
  </si>
  <si>
    <t>・データ解析：予測、グルーピング、パターン発見「データサイエンス基礎」（第5回）、「人工知能入門」（第2～13回）
・特化型AIと汎用AI、今のAIで出来ることと出来ないこと、AIとビッグデータ「AIリテラシー」（第3回）
・認識技術、ルールベース、自動化技術「情報社会論」（第10回）、「情報とビジネス」（第5～14回）</t>
    <phoneticPr fontId="1"/>
  </si>
  <si>
    <t>・個人情報保護「ITリテラシー」（第2回、第3回）、「コンピュータ演習」（第1回）、「情報科学Ⅰ」（第2回）、「情報科学Ⅱ」（第4回）
・データ倫理「ITリテラシー」（第3回）、「コンピュータ演習」（第1回）、「情報科学Ⅰ」（第2回）、「情報科学Ⅱ」（第4回）
・AIサービスの責任論「AIリテラシー」（第12回）
・データ・AI活用における負の事例紹介「情報社会論」（第13回、第14回）</t>
    <phoneticPr fontId="1"/>
  </si>
  <si>
    <t>情報科学Ⅰ</t>
    <rPh sb="0" eb="4">
      <t>ジョウホウカガク</t>
    </rPh>
    <phoneticPr fontId="1"/>
  </si>
  <si>
    <t>社会調査法</t>
    <rPh sb="0" eb="5">
      <t>シャカイチョウサホウ</t>
    </rPh>
    <phoneticPr fontId="1"/>
  </si>
  <si>
    <t>データサイエンスⅠ〈済〉</t>
    <rPh sb="10" eb="11">
      <t>スミ</t>
    </rPh>
    <phoneticPr fontId="1"/>
  </si>
  <si>
    <t>データサイエンスⅠ〈営〉</t>
    <rPh sb="10" eb="11">
      <t>エイ</t>
    </rPh>
    <phoneticPr fontId="1"/>
  </si>
  <si>
    <t>統計学基礎論〈理・救〉</t>
    <phoneticPr fontId="1"/>
  </si>
  <si>
    <t>統計学基礎論〈作・検〉</t>
    <rPh sb="9" eb="10">
      <t>ケン</t>
    </rPh>
    <phoneticPr fontId="1"/>
  </si>
  <si>
    <t xml:space="preserve">・データの集計「ITリテラシー」（第9～11回）、「データサイエンス基礎」（第6回）、「情報科学Ⅰ」（第10回、第11回）、「情報科学Ⅱ」（第5回）、「コンピュータ演習」（第10～12回）、「統計学概論」（第4回、第5回）、「統計学基礎」（第4回、第5回）、「確率・統計」（第2回、第3回、第12回）、「統計学基礎論」（第3回、第4回）、「統計学基礎論〈作・検〉」（第3回）、「データサイエンスⅠ〈営〉」（第3回）、「心理学統計法Ⅰ」（第3回、第4回）
・データの並び替え「ITリテラシー」（第7回、第8回）、「データサイエンス基礎」（第8～10回）、「情報科学Ⅰ」（第5～7回）、「情報科学Ⅱ」（第5～7回）、「コンピュータ演習」（第10～12回）、「統計学概論」（第2回）、「統計学基礎」（第2回）、「確率・統計」（第2回）、「データサイエンスⅠ〈営〉」（第3回）
・データ解析ツール「ITリテラシー」（第7～11回）、「データサイエンス基礎」（第8～10回）、「情報科学Ⅰ」（第5～7回、第10回、第11回）、「情報科学Ⅱ」（第5～7回）、「コンピュータ演習」（第10～12回）、「統計学概論」（第2回、第3回）、「統計学基礎」（第2～14回）、「確率・統計」（第2～14回）、「統計学基礎論〈理・救〉」（第3～14回）、「データサイエンスⅠ〈営〉」（第3～14回）
</t>
    <phoneticPr fontId="1"/>
  </si>
  <si>
    <t>・データ・AI活用領域の広がり「知へのマインドセット」（第7回）、「データサイエンス基礎」（第2～4回）、「AIリテラシー」（第1回、第2回）、「情報社会論」（第4～7回）、「人工知能入門」（第1回）
・仮説検証、知識発見、原因究明「情報科学Ⅱ」（第5～7回）、「統計学概論」（第13回）
・研究開発、調達、製造、物流、販売、マーケティング、サービス「データサイエンスⅠ〈済〉」（第6回、第9回）、「情報とビジネス」（第5～14回）</t>
    <rPh sb="186" eb="187">
      <t>ザイ</t>
    </rPh>
    <phoneticPr fontId="1"/>
  </si>
  <si>
    <t>・第4次産業革命、Society 5.0、データ駆動型社会「知へのマインドセット」（第7回）、「情報社会論」（第2回）、「情報とビジネス」（第2回、第4回）
・データを起点としたものの見方、人間の知的活動を起点としたものの見方「データサイエンス基礎」（第1～4回）
・人間の知的活動とAIの関係性「AIリテラシー」（第1回、第2回、第12回、第13回）、「人工知能入門」（第1回）</t>
    <phoneticPr fontId="1"/>
  </si>
  <si>
    <t>・データの種類「ITリテラシー」（第7～11回）、「コンピュータ演習」（第10～12回）、「情報科学Ⅰ」（第5回、第6回）、「統計学基礎」（第2回）、「確率・統計」（第1回）、「統計学基礎論」（第2回）、「統計学基礎論〈作・検〉」（第2回）、「統計学基礎論〈理・救〉」（第2回）、「データサイエンスⅠ〈営〉」（第3回）、「心理学統計法Ⅰ」（第2回）
・データの分布「データサイエンス基礎」（第6回、第11回、第12回）、「情報科学Ⅱ」（第5回）、「統計学概論」（第4回）、「統計学基礎」（第4回）、「確率・統計」（第2回）、「統計学基礎論」（第3回）、「統計学基礎論〈作・検〉」（第3回）、「データサイエンスⅠ〈営〉」（第3回）、「心理学統計法Ⅰ」（第3回）
・代表値の性質の違い「データサイエンス基礎」（第6回、第11回、第12回）、「情報科学Ⅱ」（第5回）、「統計学概論」（第5回）、「統計学基礎」（第5回）、「確率・統計」（第2回）、「統計学基礎論」（第4回）、「統計学基礎論〈作・検〉」（第3回）、「データサイエンスⅠ〈営〉」（第3回）、「心理学統計法Ⅰ」（第4回）
・データのばらつき「データサイエンス基礎」（第6回、第11回、第12回）、「情報科学Ⅱ」（第5回）、「統計学概論」（第5回）、「統計学基礎」（第5回）、「確率・統計」（第2回）、「統計学基礎論」（第5回、第14回）、「統計学基礎論〈作・検〉」（第3回）、「データサイエンスⅠ〈営〉」（第3回）、「心理学統計法Ⅰ」（第5回、第6回、第8回）
・相関と因果「データサイエンス基礎」（第6回、第11回、第12回）、「情報科学Ⅱ」（第5回）、「統計学概論」（第6回、第7回）、「統計学基礎」（第6回）、「確率・統計」（第3回、第12回）、「統計学基礎論」（第9～11回）、「統計学基礎論〈作・検〉」（第13回）、「統計学基礎論〈理・救〉」（第7回、第8回）、「データサイエンスⅠ〈営〉」（第5回、第6回）、「心理学統計法Ⅰ」（第9～11回）
・クロス集計表、分割表「確率・統計」（第11回）、「統計学基礎論」（第12回、第13回）、「統計学基礎論〈作・検〉」（第14回）、「統計学基礎論〈理・救〉」（第7回）、「データサイエンスⅠ〈営〉」（第11回）、「心理学統計法Ⅰ」（第12回）</t>
    <phoneticPr fontId="1"/>
  </si>
  <si>
    <t>・データ表現「ITリテラシー」（第7～11回）、「データサイエンス基礎」（第7回）、「情報科学Ⅰ」（第7回）、「情報科学Ⅱ」（第6回、第7回）、「コンピュータ演習」（第13回）、「統計学概論」（第3回、第4回）、「統計学基礎」（第3回、第4回）、「確率・統計」（第2回、第3回、第12回）、「統計学基礎論」（第3回）、「統計学基礎論〈作・検〉」（第3回）、「統計学基礎論〈理・救〉」（第2回）、「データサイエンスⅠ〈営〉」（第4回）、「心理学統計法Ⅰ」（第3回）</t>
    <phoneticPr fontId="1"/>
  </si>
  <si>
    <t>・調査データ、実験データ、人の行動ログデータ、機械の稼働ログデータ「知へのマインドセット」（第7回）、「情報社会論」（第4～6回）、「情報科学Ⅰ」（第10回、第11回）、「情報科学Ⅱ」（第9～14回）、「統計学概論」（第13回）、「データサイエンスⅠ〈済〉」（第6回、第9回）、「社会調査法」（第2回）、「情報とビジネス」（第5～14回）、「人工知能入門」（第1回）
・データのオープン化「データサイエンス基礎」（第2～4回）
・構造化データ、非構造化データ「AIリテラシー」（第1回、第2回）</t>
    <rPh sb="77" eb="78">
      <t>カイ</t>
    </rPh>
    <rPh sb="79" eb="80">
      <t>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</si>
</sst>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12"/>
      <color rgb="FF000000"/>
      <name val="ＭＳ Ｐゴシック"/>
      <family val="3"/>
      <charset val="128"/>
    </font>
    <font>
      <sz val="6"/>
      <color rgb="FF000000"/>
      <name val="ＭＳ Ｐゴシック"/>
      <family val="3"/>
      <charset val="128"/>
    </font>
    <font>
      <sz val="12"/>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FF"/>
        <bgColor indexed="64"/>
      </patternFill>
    </fill>
  </fills>
  <borders count="6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
      <left style="thin">
        <color auto="1"/>
      </left>
      <right style="hair">
        <color indexed="64"/>
      </right>
      <top style="hair">
        <color auto="1"/>
      </top>
      <bottom style="hair">
        <color auto="1"/>
      </bottom>
      <diagonal/>
    </border>
    <border diagonalUp="1">
      <left style="dotted">
        <color auto="1"/>
      </left>
      <right/>
      <top style="hair">
        <color auto="1"/>
      </top>
      <bottom style="hair">
        <color auto="1"/>
      </bottom>
      <diagonal style="dotted">
        <color auto="1"/>
      </diagonal>
    </border>
    <border diagonalUp="1">
      <left style="hair">
        <color auto="1"/>
      </left>
      <right style="thin">
        <color auto="1"/>
      </right>
      <top style="hair">
        <color auto="1"/>
      </top>
      <bottom style="hair">
        <color auto="1"/>
      </bottom>
      <diagonal style="dotted">
        <color auto="1"/>
      </diagonal>
    </border>
    <border>
      <left style="thin">
        <color auto="1"/>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30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0" borderId="50" xfId="2" applyFont="1" applyFill="1" applyBorder="1" applyAlignment="1">
      <alignment vertical="center" shrinkToFit="1"/>
    </xf>
    <xf numFmtId="38" fontId="2" fillId="0" borderId="0" xfId="2" applyFont="1" applyFill="1" applyAlignment="1">
      <alignment vertical="center" shrinkToFit="1"/>
    </xf>
    <xf numFmtId="38" fontId="2" fillId="0" borderId="5" xfId="2" applyFont="1" applyFill="1" applyBorder="1" applyAlignment="1">
      <alignment vertical="center" shrinkToFit="1"/>
    </xf>
    <xf numFmtId="38" fontId="2" fillId="0" borderId="23" xfId="2" applyFont="1" applyFill="1" applyBorder="1" applyAlignment="1">
      <alignment vertical="center" shrinkToFit="1"/>
    </xf>
    <xf numFmtId="38" fontId="2" fillId="0" borderId="20" xfId="2" applyFont="1" applyFill="1" applyBorder="1" applyAlignment="1">
      <alignment vertical="center" shrinkToFit="1"/>
    </xf>
    <xf numFmtId="38" fontId="2" fillId="0" borderId="19" xfId="2" applyFont="1" applyFill="1" applyBorder="1" applyAlignment="1">
      <alignment vertical="center" shrinkToFit="1"/>
    </xf>
    <xf numFmtId="38" fontId="2" fillId="0" borderId="54" xfId="2" applyFont="1" applyFill="1" applyBorder="1" applyAlignment="1">
      <alignment vertical="center" shrinkToFit="1"/>
    </xf>
    <xf numFmtId="38" fontId="2" fillId="0" borderId="30" xfId="2" applyFont="1" applyFill="1" applyBorder="1" applyAlignment="1">
      <alignment vertical="center" shrinkToFit="1"/>
    </xf>
    <xf numFmtId="38" fontId="2" fillId="0" borderId="55" xfId="2" applyFont="1" applyFill="1" applyBorder="1" applyAlignment="1">
      <alignment vertical="center" shrinkToFit="1"/>
    </xf>
    <xf numFmtId="38" fontId="2" fillId="0" borderId="32" xfId="2" applyFont="1" applyFill="1" applyBorder="1" applyAlignment="1">
      <alignment vertical="center" shrinkToFit="1"/>
    </xf>
    <xf numFmtId="0" fontId="10" fillId="0" borderId="0" xfId="0" applyFont="1">
      <alignmen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3" fillId="0" borderId="50" xfId="0" applyFont="1" applyBorder="1" applyAlignment="1">
      <alignment horizontal="center"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61"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38" fontId="2" fillId="0" borderId="62" xfId="2" applyFont="1" applyFill="1" applyBorder="1" applyAlignment="1">
      <alignment vertical="center" shrinkToFit="1"/>
    </xf>
    <xf numFmtId="38" fontId="2" fillId="0" borderId="63" xfId="2" applyFont="1" applyFill="1" applyBorder="1" applyAlignment="1">
      <alignment vertical="center" shrinkToFit="1"/>
    </xf>
    <xf numFmtId="0" fontId="2" fillId="0" borderId="50" xfId="0" applyFont="1" applyBorder="1" applyAlignment="1">
      <alignment horizontal="center" vertical="center" shrinkToFit="1"/>
    </xf>
    <xf numFmtId="0" fontId="2" fillId="0" borderId="64" xfId="0" applyFont="1" applyBorder="1" applyAlignment="1">
      <alignment horizontal="center" vertical="center" shrinkToFit="1"/>
    </xf>
    <xf numFmtId="0" fontId="2" fillId="0" borderId="34" xfId="0" applyFont="1" applyBorder="1" applyAlignment="1">
      <alignment horizontal="left" vertical="center" wrapText="1"/>
    </xf>
    <xf numFmtId="0" fontId="2" fillId="0" borderId="36" xfId="0" applyFont="1" applyBorder="1" applyAlignment="1">
      <alignment horizontal="left" vertical="center"/>
    </xf>
    <xf numFmtId="0" fontId="2" fillId="0" borderId="35" xfId="0" applyFont="1" applyBorder="1" applyAlignment="1">
      <alignment horizontal="lef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11" xfId="0" applyFont="1" applyBorder="1" applyAlignment="1">
      <alignment horizontal="left" vertical="center"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2" fillId="0" borderId="0" xfId="0" applyFont="1" applyAlignment="1">
      <alignmen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22" xfId="0" applyFont="1" applyBorder="1" applyAlignment="1">
      <alignment horizontal="left" vertical="top" wrapText="1" shrinkToFit="1"/>
    </xf>
    <xf numFmtId="0" fontId="2" fillId="0" borderId="22" xfId="0" applyFont="1" applyBorder="1" applyAlignment="1">
      <alignment horizontal="left" vertical="top" shrinkToFit="1"/>
    </xf>
    <xf numFmtId="0" fontId="2" fillId="0" borderId="21" xfId="0" applyFont="1" applyBorder="1" applyAlignment="1">
      <alignment horizontal="left" vertical="top" shrinkToFit="1"/>
    </xf>
    <xf numFmtId="0" fontId="2" fillId="0" borderId="36" xfId="0" applyFont="1" applyBorder="1" applyAlignment="1">
      <alignment horizontal="left" vertical="top" wrapText="1" shrinkToFit="1"/>
    </xf>
    <xf numFmtId="0" fontId="2" fillId="0" borderId="36" xfId="0" applyFont="1" applyBorder="1" applyAlignment="1">
      <alignment horizontal="left" vertical="top" shrinkToFit="1"/>
    </xf>
    <xf numFmtId="0" fontId="2" fillId="0" borderId="35"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38" xfId="0" applyFont="1" applyBorder="1" applyAlignment="1">
      <alignment horizontal="left" vertical="top" wrapText="1" shrinkToFit="1"/>
    </xf>
    <xf numFmtId="0" fontId="2" fillId="0" borderId="38" xfId="0" applyFont="1" applyBorder="1" applyAlignment="1">
      <alignment horizontal="left" vertical="top" shrinkToFit="1"/>
    </xf>
    <xf numFmtId="0" fontId="2" fillId="0" borderId="39" xfId="0" applyFont="1" applyBorder="1" applyAlignment="1">
      <alignment horizontal="left" vertical="top" shrinkToFit="1"/>
    </xf>
    <xf numFmtId="0" fontId="3" fillId="0" borderId="45" xfId="0" applyFont="1" applyBorder="1" applyAlignment="1">
      <alignment vertical="center" wrapText="1"/>
    </xf>
    <xf numFmtId="0" fontId="3" fillId="0" borderId="46" xfId="0" applyFont="1" applyBorder="1" applyAlignment="1">
      <alignment vertical="center" wrapText="1"/>
    </xf>
    <xf numFmtId="0" fontId="3" fillId="0" borderId="31" xfId="0" applyFont="1" applyBorder="1" applyAlignment="1">
      <alignment vertical="center" wrapText="1"/>
    </xf>
    <xf numFmtId="0" fontId="2" fillId="0" borderId="19" xfId="0" applyFont="1" applyBorder="1" applyAlignment="1">
      <alignment vertical="top" wrapText="1" shrinkToFit="1"/>
    </xf>
    <xf numFmtId="0" fontId="2" fillId="0" borderId="20" xfId="0" applyFont="1" applyBorder="1" applyAlignment="1">
      <alignment vertical="top" shrinkToFit="1"/>
    </xf>
    <xf numFmtId="0" fontId="2" fillId="0" borderId="18" xfId="0" applyFont="1" applyBorder="1" applyAlignment="1">
      <alignment vertical="top" shrinkToFit="1"/>
    </xf>
    <xf numFmtId="0" fontId="2" fillId="0" borderId="36" xfId="0" applyFont="1" applyBorder="1" applyAlignment="1">
      <alignment vertical="top" wrapText="1" shrinkToFit="1"/>
    </xf>
    <xf numFmtId="0" fontId="2" fillId="0" borderId="36" xfId="0" applyFont="1" applyBorder="1" applyAlignment="1">
      <alignment vertical="top" shrinkToFit="1"/>
    </xf>
    <xf numFmtId="0" fontId="2" fillId="0" borderId="35" xfId="0" applyFont="1" applyBorder="1" applyAlignment="1">
      <alignment vertical="top" shrinkToFit="1"/>
    </xf>
    <xf numFmtId="0" fontId="2" fillId="0" borderId="6" xfId="0" applyFont="1" applyBorder="1" applyAlignment="1">
      <alignment vertical="top" wrapText="1"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2" fillId="0" borderId="8" xfId="0" applyFont="1" applyBorder="1" applyAlignment="1">
      <alignment horizontal="left" vertical="top" wrapText="1" shrinkToFit="1"/>
    </xf>
    <xf numFmtId="0" fontId="12" fillId="0" borderId="8" xfId="0" applyFont="1" applyBorder="1" applyAlignment="1">
      <alignment horizontal="left" vertical="top" shrinkToFit="1"/>
    </xf>
    <xf numFmtId="0" fontId="12" fillId="0" borderId="9" xfId="0" applyFont="1" applyBorder="1" applyAlignment="1">
      <alignment horizontal="left" vertical="top"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4" xfId="0" applyFont="1" applyBorder="1" applyAlignment="1">
      <alignment vertical="center" wrapText="1" shrinkToFit="1"/>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4"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xf>
    <xf numFmtId="0" fontId="2" fillId="3" borderId="5" xfId="0" applyFont="1" applyFill="1" applyBorder="1" applyAlignment="1">
      <alignment vertical="top"/>
    </xf>
    <xf numFmtId="0" fontId="2" fillId="3" borderId="0" xfId="0" applyFont="1" applyFill="1" applyAlignment="1">
      <alignment vertical="top"/>
    </xf>
    <xf numFmtId="0" fontId="2" fillId="3" borderId="10" xfId="0" applyFont="1" applyFill="1" applyBorder="1" applyAlignment="1">
      <alignment vertical="top"/>
    </xf>
    <xf numFmtId="0" fontId="2" fillId="3" borderId="11" xfId="0" applyFont="1" applyFill="1" applyBorder="1" applyAlignment="1">
      <alignment vertical="top"/>
    </xf>
    <xf numFmtId="0" fontId="2" fillId="3" borderId="6" xfId="0" applyFont="1" applyFill="1" applyBorder="1" applyAlignment="1">
      <alignment vertical="top"/>
    </xf>
    <xf numFmtId="0" fontId="2" fillId="3" borderId="12" xfId="0" applyFont="1" applyFill="1" applyBorder="1" applyAlignment="1">
      <alignment vertical="top"/>
    </xf>
    <xf numFmtId="9" fontId="2" fillId="0" borderId="1" xfId="0" applyNumberFormat="1"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3" borderId="7" xfId="0" applyFont="1" applyFill="1" applyBorder="1" applyAlignment="1">
      <alignment vertical="top" wrapText="1" shrinkToFit="1"/>
    </xf>
    <xf numFmtId="0" fontId="2" fillId="3" borderId="8" xfId="0" applyFont="1" applyFill="1" applyBorder="1" applyAlignment="1">
      <alignment vertical="top" wrapText="1" shrinkToFit="1"/>
    </xf>
    <xf numFmtId="0" fontId="2" fillId="3" borderId="9" xfId="0" applyFont="1" applyFill="1" applyBorder="1" applyAlignment="1">
      <alignment vertical="top" shrinkToFit="1"/>
    </xf>
    <xf numFmtId="0" fontId="2" fillId="3" borderId="5" xfId="0" applyFont="1" applyFill="1" applyBorder="1" applyAlignment="1">
      <alignment vertical="top" wrapText="1" shrinkToFit="1"/>
    </xf>
    <xf numFmtId="0" fontId="2" fillId="3" borderId="0" xfId="0" applyFont="1" applyFill="1" applyAlignment="1">
      <alignment vertical="top" wrapText="1" shrinkToFit="1"/>
    </xf>
    <xf numFmtId="0" fontId="2" fillId="3" borderId="10" xfId="0" applyFont="1" applyFill="1" applyBorder="1" applyAlignment="1">
      <alignment vertical="top" shrinkToFit="1"/>
    </xf>
    <xf numFmtId="0" fontId="2" fillId="3" borderId="5" xfId="0" applyFont="1" applyFill="1" applyBorder="1" applyAlignment="1">
      <alignment vertical="top" shrinkToFit="1"/>
    </xf>
    <xf numFmtId="0" fontId="2" fillId="3" borderId="0" xfId="0" applyFont="1" applyFill="1" applyAlignment="1">
      <alignment vertical="top" shrinkToFit="1"/>
    </xf>
    <xf numFmtId="0" fontId="2" fillId="3" borderId="11" xfId="0" applyFont="1" applyFill="1" applyBorder="1" applyAlignment="1">
      <alignment vertical="top" shrinkToFit="1"/>
    </xf>
    <xf numFmtId="0" fontId="2" fillId="3" borderId="6" xfId="0" applyFont="1" applyFill="1" applyBorder="1" applyAlignment="1">
      <alignment vertical="top" shrinkToFit="1"/>
    </xf>
    <xf numFmtId="0" fontId="2" fillId="3" borderId="12" xfId="0" applyFont="1" applyFill="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2"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3" borderId="20" xfId="0" applyFont="1" applyFill="1" applyBorder="1" applyAlignment="1">
      <alignment vertical="top" wrapText="1" shrinkToFit="1"/>
    </xf>
    <xf numFmtId="0" fontId="2" fillId="3" borderId="18" xfId="0" applyFont="1" applyFill="1" applyBorder="1" applyAlignment="1">
      <alignment vertical="top" wrapText="1" shrinkToFit="1"/>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3" borderId="42" xfId="0" applyFont="1" applyFill="1" applyBorder="1" applyAlignment="1">
      <alignment vertical="top" wrapText="1" shrinkToFit="1"/>
    </xf>
    <xf numFmtId="0" fontId="2" fillId="3" borderId="43" xfId="0" applyFont="1" applyFill="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3" borderId="37" xfId="0" applyFont="1" applyFill="1" applyBorder="1" applyAlignment="1">
      <alignment vertical="top" wrapText="1" shrinkToFit="1"/>
    </xf>
    <xf numFmtId="0" fontId="2" fillId="3" borderId="38" xfId="0" applyFont="1" applyFill="1" applyBorder="1" applyAlignment="1">
      <alignment vertical="top" wrapText="1" shrinkToFit="1"/>
    </xf>
    <xf numFmtId="0" fontId="2" fillId="3" borderId="39" xfId="0" applyFont="1" applyFill="1" applyBorder="1" applyAlignment="1">
      <alignment vertical="top" wrapText="1" shrinkToFit="1"/>
    </xf>
    <xf numFmtId="0" fontId="2" fillId="0" borderId="17" xfId="0" applyFont="1" applyBorder="1">
      <alignment vertical="center"/>
    </xf>
    <xf numFmtId="0" fontId="5" fillId="0" borderId="18"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1" zoomScaleNormal="100" zoomScaleSheetLayoutView="100" workbookViewId="0">
      <selection activeCell="D91" sqref="D91:S91"/>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30" t="s">
        <v>0</v>
      </c>
      <c r="S1" s="130"/>
      <c r="T1" s="2" t="s">
        <v>1</v>
      </c>
    </row>
    <row r="2" spans="1:22" ht="18.75" customHeight="1" x14ac:dyDescent="0.2">
      <c r="B2" s="22" t="s">
        <v>2</v>
      </c>
      <c r="C2" s="105" t="s">
        <v>3</v>
      </c>
      <c r="D2" s="106"/>
      <c r="E2" s="106"/>
      <c r="F2" s="106"/>
      <c r="G2" s="106"/>
      <c r="H2" s="106"/>
      <c r="I2" s="107"/>
      <c r="J2" s="23"/>
      <c r="K2" s="6"/>
      <c r="L2" s="6"/>
      <c r="M2" s="6"/>
      <c r="N2" s="6"/>
      <c r="O2" s="6"/>
      <c r="P2" s="6"/>
      <c r="Q2" s="6"/>
      <c r="R2" s="6"/>
      <c r="S2" s="6"/>
    </row>
    <row r="3" spans="1:22" ht="18.75" customHeight="1" x14ac:dyDescent="0.2">
      <c r="B3" s="22" t="s">
        <v>4</v>
      </c>
      <c r="C3" s="105" t="s">
        <v>5</v>
      </c>
      <c r="D3" s="106"/>
      <c r="E3" s="106"/>
      <c r="F3" s="106"/>
      <c r="G3" s="106"/>
      <c r="H3" s="106"/>
      <c r="I3" s="107"/>
      <c r="J3" s="23"/>
      <c r="K3" s="6"/>
      <c r="L3" s="6"/>
      <c r="M3" s="6"/>
      <c r="N3" s="6"/>
      <c r="O3" s="6"/>
      <c r="P3" s="6"/>
      <c r="Q3" s="6"/>
      <c r="R3" s="6"/>
      <c r="S3" s="6"/>
    </row>
    <row r="4" spans="1:22" ht="15" customHeight="1" x14ac:dyDescent="0.2">
      <c r="K4" s="23"/>
      <c r="L4" s="75"/>
      <c r="M4" s="75"/>
      <c r="N4" s="75"/>
      <c r="O4" s="75"/>
      <c r="P4" s="75"/>
      <c r="Q4" s="75"/>
      <c r="R4" s="75"/>
      <c r="S4" s="75"/>
    </row>
    <row r="5" spans="1:22" ht="18" customHeight="1" x14ac:dyDescent="0.2">
      <c r="A5" s="134" t="s">
        <v>6</v>
      </c>
      <c r="B5" s="134"/>
      <c r="C5" s="134"/>
      <c r="D5" s="134"/>
      <c r="E5" s="134"/>
      <c r="F5" s="134"/>
      <c r="G5" s="134"/>
      <c r="H5" s="134"/>
      <c r="I5" s="134"/>
      <c r="J5" s="134"/>
      <c r="K5" s="134"/>
      <c r="L5" s="134"/>
      <c r="M5" s="134"/>
      <c r="N5" s="134"/>
      <c r="O5" s="134"/>
      <c r="P5" s="134"/>
      <c r="Q5" s="134"/>
      <c r="R5" s="134"/>
      <c r="S5" s="134"/>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7</v>
      </c>
      <c r="C7" s="3"/>
      <c r="J7" s="76" t="s">
        <v>8</v>
      </c>
      <c r="K7" s="144" t="s">
        <v>9</v>
      </c>
      <c r="L7" s="145"/>
      <c r="M7" s="145"/>
      <c r="N7" s="145"/>
      <c r="O7" s="145"/>
      <c r="P7" s="145"/>
      <c r="Q7" s="145"/>
      <c r="R7" s="145"/>
      <c r="S7" s="146"/>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21" t="s">
        <v>10</v>
      </c>
      <c r="C9" s="122"/>
      <c r="D9" s="122"/>
      <c r="E9" s="122"/>
      <c r="F9" s="122"/>
      <c r="G9" s="122"/>
      <c r="H9" s="122"/>
      <c r="I9" s="122"/>
      <c r="J9" s="122"/>
      <c r="K9" s="122"/>
      <c r="L9" s="122"/>
      <c r="M9" s="122"/>
      <c r="N9" s="122"/>
      <c r="O9" s="122"/>
      <c r="P9" s="122"/>
      <c r="Q9" s="122"/>
      <c r="R9" s="122"/>
      <c r="S9" s="123"/>
    </row>
    <row r="10" spans="1:22" ht="18" customHeight="1" x14ac:dyDescent="0.2">
      <c r="B10" s="124"/>
      <c r="C10" s="125"/>
      <c r="D10" s="125"/>
      <c r="E10" s="125"/>
      <c r="F10" s="125"/>
      <c r="G10" s="125"/>
      <c r="H10" s="125"/>
      <c r="I10" s="125"/>
      <c r="J10" s="125"/>
      <c r="K10" s="125"/>
      <c r="L10" s="125"/>
      <c r="M10" s="125"/>
      <c r="N10" s="125"/>
      <c r="O10" s="125"/>
      <c r="P10" s="125"/>
      <c r="Q10" s="125"/>
      <c r="R10" s="125"/>
      <c r="S10" s="126"/>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v>
      </c>
      <c r="B12" s="3"/>
      <c r="C12" s="3"/>
      <c r="D12" s="23"/>
      <c r="E12" s="23"/>
      <c r="F12" s="23"/>
      <c r="G12" s="23"/>
      <c r="H12" s="23"/>
      <c r="I12" s="23"/>
      <c r="J12" s="23"/>
      <c r="K12" s="77"/>
      <c r="L12" s="77"/>
      <c r="M12" s="77"/>
      <c r="N12" s="77"/>
      <c r="O12" s="77"/>
      <c r="P12" s="77"/>
      <c r="Q12" s="77"/>
      <c r="R12" s="77"/>
      <c r="S12" s="77"/>
    </row>
    <row r="13" spans="1:22" ht="18" customHeight="1" x14ac:dyDescent="0.2">
      <c r="B13" s="135" t="s">
        <v>12</v>
      </c>
      <c r="C13" s="136"/>
      <c r="D13" s="136"/>
      <c r="E13" s="136"/>
      <c r="F13" s="136"/>
      <c r="G13" s="136"/>
      <c r="H13" s="136"/>
      <c r="I13" s="136"/>
      <c r="J13" s="136"/>
      <c r="K13" s="136"/>
      <c r="L13" s="136"/>
      <c r="M13" s="136"/>
      <c r="N13" s="136"/>
      <c r="O13" s="136"/>
      <c r="P13" s="136"/>
      <c r="Q13" s="136"/>
      <c r="R13" s="136"/>
      <c r="S13" s="137"/>
      <c r="V13" s="1" t="s">
        <v>13</v>
      </c>
    </row>
    <row r="14" spans="1:22" ht="18" customHeight="1" x14ac:dyDescent="0.2">
      <c r="B14" s="138"/>
      <c r="C14" s="139"/>
      <c r="D14" s="139"/>
      <c r="E14" s="139"/>
      <c r="F14" s="139"/>
      <c r="G14" s="139"/>
      <c r="H14" s="139"/>
      <c r="I14" s="139"/>
      <c r="J14" s="139"/>
      <c r="K14" s="139"/>
      <c r="L14" s="139"/>
      <c r="M14" s="139"/>
      <c r="N14" s="139"/>
      <c r="O14" s="139"/>
      <c r="P14" s="139"/>
      <c r="Q14" s="139"/>
      <c r="R14" s="139"/>
      <c r="S14" s="140"/>
      <c r="V14" s="1" t="s">
        <v>14</v>
      </c>
    </row>
    <row r="15" spans="1:22" ht="18" customHeight="1" x14ac:dyDescent="0.2">
      <c r="B15" s="138"/>
      <c r="C15" s="139"/>
      <c r="D15" s="139"/>
      <c r="E15" s="139"/>
      <c r="F15" s="139"/>
      <c r="G15" s="139"/>
      <c r="H15" s="139"/>
      <c r="I15" s="139"/>
      <c r="J15" s="139"/>
      <c r="K15" s="139"/>
      <c r="L15" s="139"/>
      <c r="M15" s="139"/>
      <c r="N15" s="139"/>
      <c r="O15" s="139"/>
      <c r="P15" s="139"/>
      <c r="Q15" s="139"/>
      <c r="R15" s="139"/>
      <c r="S15" s="140"/>
      <c r="V15" s="1" t="s">
        <v>15</v>
      </c>
    </row>
    <row r="16" spans="1:22" ht="18" customHeight="1" x14ac:dyDescent="0.2">
      <c r="B16" s="138"/>
      <c r="C16" s="139"/>
      <c r="D16" s="139"/>
      <c r="E16" s="139"/>
      <c r="F16" s="139"/>
      <c r="G16" s="139"/>
      <c r="H16" s="139"/>
      <c r="I16" s="139"/>
      <c r="J16" s="139"/>
      <c r="K16" s="139"/>
      <c r="L16" s="139"/>
      <c r="M16" s="139"/>
      <c r="N16" s="139"/>
      <c r="O16" s="139"/>
      <c r="P16" s="139"/>
      <c r="Q16" s="139"/>
      <c r="R16" s="139"/>
      <c r="S16" s="140"/>
      <c r="V16" s="1" t="s">
        <v>16</v>
      </c>
    </row>
    <row r="17" spans="1:19" ht="18" customHeight="1" x14ac:dyDescent="0.2">
      <c r="B17" s="138"/>
      <c r="C17" s="139"/>
      <c r="D17" s="139"/>
      <c r="E17" s="139"/>
      <c r="F17" s="139"/>
      <c r="G17" s="139"/>
      <c r="H17" s="139"/>
      <c r="I17" s="139"/>
      <c r="J17" s="139"/>
      <c r="K17" s="139"/>
      <c r="L17" s="139"/>
      <c r="M17" s="139"/>
      <c r="N17" s="139"/>
      <c r="O17" s="139"/>
      <c r="P17" s="139"/>
      <c r="Q17" s="139"/>
      <c r="R17" s="139"/>
      <c r="S17" s="140"/>
    </row>
    <row r="18" spans="1:19" ht="27.6" customHeight="1" x14ac:dyDescent="0.2">
      <c r="B18" s="141"/>
      <c r="C18" s="142"/>
      <c r="D18" s="142"/>
      <c r="E18" s="142"/>
      <c r="F18" s="142"/>
      <c r="G18" s="142"/>
      <c r="H18" s="142"/>
      <c r="I18" s="142"/>
      <c r="J18" s="142"/>
      <c r="K18" s="142"/>
      <c r="L18" s="142"/>
      <c r="M18" s="142"/>
      <c r="N18" s="142"/>
      <c r="O18" s="142"/>
      <c r="P18" s="142"/>
      <c r="Q18" s="142"/>
      <c r="R18" s="142"/>
      <c r="S18" s="143"/>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17</v>
      </c>
      <c r="C20" s="105">
        <v>8</v>
      </c>
      <c r="D20" s="107"/>
      <c r="E20" s="78" t="s">
        <v>18</v>
      </c>
      <c r="G20" s="10"/>
      <c r="H20" s="3"/>
      <c r="I20" s="3"/>
      <c r="J20" s="23" t="s">
        <v>19</v>
      </c>
      <c r="K20" s="131" t="s">
        <v>15</v>
      </c>
      <c r="L20" s="132"/>
      <c r="M20" s="132"/>
      <c r="N20" s="132"/>
      <c r="O20" s="132"/>
      <c r="P20" s="132"/>
      <c r="Q20" s="132"/>
      <c r="R20" s="132"/>
      <c r="S20" s="133"/>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120" t="s">
        <v>20</v>
      </c>
      <c r="B22" s="120"/>
      <c r="C22" s="120"/>
      <c r="D22" s="120"/>
      <c r="E22" s="120"/>
      <c r="F22" s="120"/>
      <c r="G22" s="120"/>
      <c r="H22" s="120"/>
      <c r="I22" s="120"/>
      <c r="J22" s="120"/>
      <c r="K22" s="120"/>
      <c r="L22" s="120"/>
      <c r="M22" s="120"/>
      <c r="N22" s="120"/>
      <c r="O22" s="120"/>
      <c r="P22" s="120"/>
      <c r="Q22" s="120"/>
      <c r="R22" s="120"/>
      <c r="S22" s="120"/>
    </row>
    <row r="23" spans="1:19" ht="18" customHeight="1" x14ac:dyDescent="0.2">
      <c r="A23" s="120"/>
      <c r="B23" s="120"/>
      <c r="C23" s="120"/>
      <c r="D23" s="120"/>
      <c r="E23" s="120"/>
      <c r="F23" s="120"/>
      <c r="G23" s="120"/>
      <c r="H23" s="120"/>
      <c r="I23" s="120"/>
      <c r="J23" s="120"/>
      <c r="K23" s="120"/>
      <c r="L23" s="120"/>
      <c r="M23" s="120"/>
      <c r="N23" s="120"/>
      <c r="O23" s="120"/>
      <c r="P23" s="120"/>
      <c r="Q23" s="120"/>
      <c r="R23" s="120"/>
      <c r="S23" s="120"/>
    </row>
    <row r="24" spans="1:19" ht="18" customHeight="1" x14ac:dyDescent="0.2">
      <c r="B24" s="105" t="s">
        <v>21</v>
      </c>
      <c r="C24" s="106"/>
      <c r="D24" s="106"/>
      <c r="E24" s="107"/>
      <c r="F24" s="79" t="s">
        <v>22</v>
      </c>
      <c r="G24" s="80" t="s">
        <v>23</v>
      </c>
      <c r="H24" s="81" t="s">
        <v>24</v>
      </c>
      <c r="I24" s="81" t="s">
        <v>25</v>
      </c>
      <c r="J24" s="105" t="s">
        <v>21</v>
      </c>
      <c r="K24" s="106"/>
      <c r="L24" s="106"/>
      <c r="M24" s="106"/>
      <c r="N24" s="106"/>
      <c r="O24" s="107"/>
      <c r="P24" s="79" t="s">
        <v>22</v>
      </c>
      <c r="Q24" s="80" t="s">
        <v>23</v>
      </c>
      <c r="R24" s="81" t="s">
        <v>24</v>
      </c>
      <c r="S24" s="81" t="s">
        <v>25</v>
      </c>
    </row>
    <row r="25" spans="1:19" ht="18" customHeight="1" x14ac:dyDescent="0.2">
      <c r="B25" s="108" t="s">
        <v>26</v>
      </c>
      <c r="C25" s="109"/>
      <c r="D25" s="109"/>
      <c r="E25" s="110"/>
      <c r="F25" s="82">
        <v>2</v>
      </c>
      <c r="G25" s="82" t="s">
        <v>27</v>
      </c>
      <c r="H25" s="82" t="s">
        <v>27</v>
      </c>
      <c r="I25" s="82"/>
      <c r="J25" s="108"/>
      <c r="K25" s="109"/>
      <c r="L25" s="109"/>
      <c r="M25" s="109"/>
      <c r="N25" s="109"/>
      <c r="O25" s="110"/>
      <c r="P25" s="82"/>
      <c r="Q25" s="82"/>
      <c r="R25" s="82"/>
      <c r="S25" s="82"/>
    </row>
    <row r="26" spans="1:19" ht="18" customHeight="1" x14ac:dyDescent="0.2">
      <c r="B26" s="111" t="s">
        <v>28</v>
      </c>
      <c r="C26" s="112"/>
      <c r="D26" s="112"/>
      <c r="E26" s="113"/>
      <c r="F26" s="83">
        <v>1</v>
      </c>
      <c r="G26" s="83"/>
      <c r="H26" s="83" t="s">
        <v>27</v>
      </c>
      <c r="I26" s="83" t="s">
        <v>27</v>
      </c>
      <c r="J26" s="111"/>
      <c r="K26" s="112"/>
      <c r="L26" s="112"/>
      <c r="M26" s="112"/>
      <c r="N26" s="112"/>
      <c r="O26" s="113"/>
      <c r="P26" s="83"/>
      <c r="Q26" s="83"/>
      <c r="R26" s="83"/>
      <c r="S26" s="83"/>
    </row>
    <row r="27" spans="1:19" ht="18" customHeight="1" x14ac:dyDescent="0.2">
      <c r="B27" s="111" t="s">
        <v>29</v>
      </c>
      <c r="C27" s="112"/>
      <c r="D27" s="112"/>
      <c r="E27" s="113"/>
      <c r="F27" s="83">
        <v>2</v>
      </c>
      <c r="G27" s="83"/>
      <c r="H27" s="83" t="s">
        <v>27</v>
      </c>
      <c r="I27" s="83" t="s">
        <v>27</v>
      </c>
      <c r="J27" s="111"/>
      <c r="K27" s="112"/>
      <c r="L27" s="112"/>
      <c r="M27" s="112"/>
      <c r="N27" s="112"/>
      <c r="O27" s="113"/>
      <c r="P27" s="83"/>
      <c r="Q27" s="83"/>
      <c r="R27" s="83"/>
      <c r="S27" s="83"/>
    </row>
    <row r="28" spans="1:19" ht="18" customHeight="1" x14ac:dyDescent="0.2">
      <c r="B28" s="111" t="s">
        <v>30</v>
      </c>
      <c r="C28" s="112"/>
      <c r="D28" s="112"/>
      <c r="E28" s="113"/>
      <c r="F28" s="83">
        <v>2</v>
      </c>
      <c r="G28" s="83"/>
      <c r="H28" s="83" t="s">
        <v>27</v>
      </c>
      <c r="I28" s="83" t="s">
        <v>27</v>
      </c>
      <c r="J28" s="111"/>
      <c r="K28" s="112"/>
      <c r="L28" s="112"/>
      <c r="M28" s="112"/>
      <c r="N28" s="112"/>
      <c r="O28" s="113"/>
      <c r="P28" s="83"/>
      <c r="Q28" s="83"/>
      <c r="R28" s="83"/>
      <c r="S28" s="83"/>
    </row>
    <row r="29" spans="1:19" ht="18" customHeight="1" x14ac:dyDescent="0.2">
      <c r="B29" s="111" t="s">
        <v>31</v>
      </c>
      <c r="C29" s="112"/>
      <c r="D29" s="112"/>
      <c r="E29" s="113"/>
      <c r="F29" s="83">
        <v>2</v>
      </c>
      <c r="G29" s="83"/>
      <c r="H29" s="83" t="s">
        <v>27</v>
      </c>
      <c r="I29" s="83" t="s">
        <v>27</v>
      </c>
      <c r="J29" s="111"/>
      <c r="K29" s="112"/>
      <c r="L29" s="112"/>
      <c r="M29" s="112"/>
      <c r="N29" s="112"/>
      <c r="O29" s="113"/>
      <c r="P29" s="83"/>
      <c r="Q29" s="83"/>
      <c r="R29" s="83"/>
      <c r="S29" s="83"/>
    </row>
    <row r="30" spans="1:19" ht="18" customHeight="1" x14ac:dyDescent="0.2">
      <c r="A30" s="3"/>
      <c r="B30" s="111" t="s">
        <v>32</v>
      </c>
      <c r="C30" s="112"/>
      <c r="D30" s="112"/>
      <c r="E30" s="113"/>
      <c r="F30" s="83">
        <v>2</v>
      </c>
      <c r="G30" s="83"/>
      <c r="H30" s="83" t="s">
        <v>27</v>
      </c>
      <c r="I30" s="83" t="s">
        <v>27</v>
      </c>
      <c r="J30" s="111"/>
      <c r="K30" s="112"/>
      <c r="L30" s="112"/>
      <c r="M30" s="112"/>
      <c r="N30" s="112"/>
      <c r="O30" s="113"/>
      <c r="P30" s="83"/>
      <c r="Q30" s="83"/>
      <c r="R30" s="83"/>
      <c r="S30" s="83"/>
    </row>
    <row r="31" spans="1:19" ht="18" customHeight="1" x14ac:dyDescent="0.2">
      <c r="A31" s="3"/>
      <c r="B31" s="114"/>
      <c r="C31" s="115"/>
      <c r="D31" s="115"/>
      <c r="E31" s="116"/>
      <c r="F31" s="84"/>
      <c r="G31" s="84"/>
      <c r="H31" s="85"/>
      <c r="I31" s="85"/>
      <c r="J31" s="114"/>
      <c r="K31" s="115"/>
      <c r="L31" s="115"/>
      <c r="M31" s="115"/>
      <c r="N31" s="115"/>
      <c r="O31" s="116"/>
      <c r="P31" s="84"/>
      <c r="Q31" s="84"/>
      <c r="R31" s="85"/>
      <c r="S31" s="85"/>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120" t="s">
        <v>33</v>
      </c>
      <c r="B33" s="120"/>
      <c r="C33" s="120"/>
      <c r="D33" s="120"/>
      <c r="E33" s="120"/>
      <c r="F33" s="120"/>
      <c r="G33" s="120"/>
      <c r="H33" s="120"/>
      <c r="I33" s="120"/>
      <c r="J33" s="120"/>
      <c r="K33" s="120"/>
      <c r="L33" s="120"/>
      <c r="M33" s="120"/>
      <c r="N33" s="120"/>
      <c r="O33" s="120"/>
      <c r="P33" s="120"/>
      <c r="Q33" s="120"/>
      <c r="R33" s="120"/>
      <c r="S33" s="120"/>
    </row>
    <row r="34" spans="1:19" ht="18" customHeight="1" x14ac:dyDescent="0.2">
      <c r="A34" s="120"/>
      <c r="B34" s="120"/>
      <c r="C34" s="120"/>
      <c r="D34" s="120"/>
      <c r="E34" s="120"/>
      <c r="F34" s="120"/>
      <c r="G34" s="120"/>
      <c r="H34" s="120"/>
      <c r="I34" s="120"/>
      <c r="J34" s="120"/>
      <c r="K34" s="120"/>
      <c r="L34" s="120"/>
      <c r="M34" s="120"/>
      <c r="N34" s="120"/>
      <c r="O34" s="120"/>
      <c r="P34" s="120"/>
      <c r="Q34" s="120"/>
      <c r="R34" s="120"/>
      <c r="S34" s="120"/>
    </row>
    <row r="35" spans="1:19" ht="18" customHeight="1" x14ac:dyDescent="0.2">
      <c r="B35" s="105" t="s">
        <v>21</v>
      </c>
      <c r="C35" s="106"/>
      <c r="D35" s="106"/>
      <c r="E35" s="107"/>
      <c r="F35" s="79" t="s">
        <v>22</v>
      </c>
      <c r="G35" s="80" t="s">
        <v>23</v>
      </c>
      <c r="H35" s="81" t="s">
        <v>34</v>
      </c>
      <c r="I35" s="81" t="s">
        <v>35</v>
      </c>
      <c r="J35" s="105" t="s">
        <v>21</v>
      </c>
      <c r="K35" s="106"/>
      <c r="L35" s="106"/>
      <c r="M35" s="106"/>
      <c r="N35" s="106"/>
      <c r="O35" s="107"/>
      <c r="P35" s="79" t="s">
        <v>22</v>
      </c>
      <c r="Q35" s="80" t="s">
        <v>23</v>
      </c>
      <c r="R35" s="81" t="s">
        <v>34</v>
      </c>
      <c r="S35" s="81" t="s">
        <v>35</v>
      </c>
    </row>
    <row r="36" spans="1:19" ht="18" customHeight="1" x14ac:dyDescent="0.2">
      <c r="B36" s="108" t="s">
        <v>26</v>
      </c>
      <c r="C36" s="109"/>
      <c r="D36" s="109"/>
      <c r="E36" s="110"/>
      <c r="F36" s="82">
        <v>2</v>
      </c>
      <c r="G36" s="82" t="s">
        <v>27</v>
      </c>
      <c r="H36" s="82" t="s">
        <v>27</v>
      </c>
      <c r="I36" s="82" t="s">
        <v>27</v>
      </c>
      <c r="J36" s="108" t="s">
        <v>193</v>
      </c>
      <c r="K36" s="109"/>
      <c r="L36" s="109"/>
      <c r="M36" s="109"/>
      <c r="N36" s="109"/>
      <c r="O36" s="110"/>
      <c r="P36" s="82">
        <v>2</v>
      </c>
      <c r="Q36" s="82"/>
      <c r="R36" s="82" t="s">
        <v>27</v>
      </c>
      <c r="S36" s="82"/>
    </row>
    <row r="37" spans="1:19" ht="18" customHeight="1" x14ac:dyDescent="0.2">
      <c r="B37" s="111" t="s">
        <v>28</v>
      </c>
      <c r="C37" s="112"/>
      <c r="D37" s="112"/>
      <c r="E37" s="113"/>
      <c r="F37" s="83">
        <v>1</v>
      </c>
      <c r="G37" s="83"/>
      <c r="H37" s="83" t="s">
        <v>27</v>
      </c>
      <c r="I37" s="83" t="s">
        <v>27</v>
      </c>
      <c r="J37" s="111" t="s">
        <v>31</v>
      </c>
      <c r="K37" s="112"/>
      <c r="L37" s="112"/>
      <c r="M37" s="112"/>
      <c r="N37" s="112"/>
      <c r="O37" s="113"/>
      <c r="P37" s="83">
        <v>2</v>
      </c>
      <c r="Q37" s="83"/>
      <c r="R37" s="83" t="s">
        <v>27</v>
      </c>
      <c r="S37" s="83" t="s">
        <v>27</v>
      </c>
    </row>
    <row r="38" spans="1:19" ht="18" customHeight="1" x14ac:dyDescent="0.2">
      <c r="B38" s="111" t="s">
        <v>36</v>
      </c>
      <c r="C38" s="112"/>
      <c r="D38" s="112"/>
      <c r="E38" s="113"/>
      <c r="F38" s="83">
        <v>1</v>
      </c>
      <c r="G38" s="83"/>
      <c r="H38" s="83" t="s">
        <v>27</v>
      </c>
      <c r="I38" s="83" t="s">
        <v>27</v>
      </c>
      <c r="J38" s="111" t="s">
        <v>32</v>
      </c>
      <c r="K38" s="112"/>
      <c r="L38" s="112"/>
      <c r="M38" s="112"/>
      <c r="N38" s="112"/>
      <c r="O38" s="113"/>
      <c r="P38" s="83">
        <v>2</v>
      </c>
      <c r="Q38" s="83"/>
      <c r="R38" s="83" t="s">
        <v>27</v>
      </c>
      <c r="S38" s="83" t="s">
        <v>27</v>
      </c>
    </row>
    <row r="39" spans="1:19" ht="18" customHeight="1" x14ac:dyDescent="0.2">
      <c r="B39" s="111" t="s">
        <v>29</v>
      </c>
      <c r="C39" s="112"/>
      <c r="D39" s="112"/>
      <c r="E39" s="113"/>
      <c r="F39" s="83">
        <v>2</v>
      </c>
      <c r="G39" s="83"/>
      <c r="H39" s="83" t="s">
        <v>27</v>
      </c>
      <c r="I39" s="83" t="s">
        <v>27</v>
      </c>
      <c r="J39" s="111" t="s">
        <v>192</v>
      </c>
      <c r="K39" s="112"/>
      <c r="L39" s="112"/>
      <c r="M39" s="112"/>
      <c r="N39" s="112"/>
      <c r="O39" s="113"/>
      <c r="P39" s="83">
        <v>1</v>
      </c>
      <c r="Q39" s="83"/>
      <c r="R39" s="83" t="s">
        <v>27</v>
      </c>
      <c r="S39" s="83"/>
    </row>
    <row r="40" spans="1:19" ht="18" customHeight="1" x14ac:dyDescent="0.2">
      <c r="B40" s="111" t="s">
        <v>37</v>
      </c>
      <c r="C40" s="112"/>
      <c r="D40" s="112"/>
      <c r="E40" s="113"/>
      <c r="F40" s="83">
        <v>2</v>
      </c>
      <c r="G40" s="83"/>
      <c r="H40" s="83" t="s">
        <v>27</v>
      </c>
      <c r="I40" s="83" t="s">
        <v>27</v>
      </c>
      <c r="J40" s="111"/>
      <c r="K40" s="112"/>
      <c r="L40" s="112"/>
      <c r="M40" s="112"/>
      <c r="N40" s="112"/>
      <c r="O40" s="113"/>
      <c r="P40" s="83"/>
      <c r="Q40" s="83"/>
      <c r="R40" s="83"/>
      <c r="S40" s="83"/>
    </row>
    <row r="41" spans="1:19" ht="18" customHeight="1" x14ac:dyDescent="0.2">
      <c r="B41" s="127" t="s">
        <v>38</v>
      </c>
      <c r="C41" s="128"/>
      <c r="D41" s="128"/>
      <c r="E41" s="129"/>
      <c r="F41" s="100">
        <v>2</v>
      </c>
      <c r="G41" s="100"/>
      <c r="H41" s="101" t="s">
        <v>27</v>
      </c>
      <c r="I41" s="101" t="s">
        <v>27</v>
      </c>
      <c r="J41" s="111"/>
      <c r="K41" s="112"/>
      <c r="L41" s="112"/>
      <c r="M41" s="112"/>
      <c r="N41" s="112"/>
      <c r="O41" s="113"/>
      <c r="P41" s="83"/>
      <c r="Q41" s="83"/>
      <c r="R41" s="83"/>
      <c r="S41" s="83"/>
    </row>
    <row r="42" spans="1:19" ht="18" customHeight="1" x14ac:dyDescent="0.2">
      <c r="B42" s="117" t="s">
        <v>194</v>
      </c>
      <c r="C42" s="118"/>
      <c r="D42" s="118"/>
      <c r="E42" s="119"/>
      <c r="F42" s="85">
        <v>2</v>
      </c>
      <c r="G42" s="85"/>
      <c r="H42" s="85" t="s">
        <v>27</v>
      </c>
      <c r="I42" s="85" t="s">
        <v>27</v>
      </c>
      <c r="J42" s="114"/>
      <c r="K42" s="115"/>
      <c r="L42" s="115"/>
      <c r="M42" s="115"/>
      <c r="N42" s="115"/>
      <c r="O42" s="116"/>
      <c r="P42" s="84"/>
      <c r="Q42" s="84"/>
      <c r="R42" s="85"/>
      <c r="S42" s="85"/>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120" t="s">
        <v>39</v>
      </c>
      <c r="B44" s="120"/>
      <c r="C44" s="120"/>
      <c r="D44" s="120"/>
      <c r="E44" s="120"/>
      <c r="F44" s="120"/>
      <c r="G44" s="120"/>
      <c r="H44" s="120"/>
      <c r="I44" s="120"/>
      <c r="J44" s="120"/>
      <c r="K44" s="120"/>
      <c r="L44" s="120"/>
      <c r="M44" s="120"/>
      <c r="N44" s="120"/>
      <c r="O44" s="120"/>
      <c r="P44" s="120"/>
      <c r="Q44" s="120"/>
      <c r="R44" s="120"/>
      <c r="S44" s="120"/>
    </row>
    <row r="45" spans="1:19" ht="18" customHeight="1" x14ac:dyDescent="0.2">
      <c r="A45" s="120"/>
      <c r="B45" s="120"/>
      <c r="C45" s="120"/>
      <c r="D45" s="120"/>
      <c r="E45" s="120"/>
      <c r="F45" s="120"/>
      <c r="G45" s="120"/>
      <c r="H45" s="120"/>
      <c r="I45" s="120"/>
      <c r="J45" s="120"/>
      <c r="K45" s="120"/>
      <c r="L45" s="120"/>
      <c r="M45" s="120"/>
      <c r="N45" s="120"/>
      <c r="O45" s="120"/>
      <c r="P45" s="120"/>
      <c r="Q45" s="120"/>
      <c r="R45" s="120"/>
      <c r="S45" s="120"/>
    </row>
    <row r="46" spans="1:19" ht="18" customHeight="1" x14ac:dyDescent="0.2">
      <c r="B46" s="105" t="s">
        <v>21</v>
      </c>
      <c r="C46" s="106"/>
      <c r="D46" s="106"/>
      <c r="E46" s="107"/>
      <c r="F46" s="79" t="s">
        <v>22</v>
      </c>
      <c r="G46" s="80" t="s">
        <v>23</v>
      </c>
      <c r="H46" s="81" t="s">
        <v>40</v>
      </c>
      <c r="I46" s="81" t="s">
        <v>41</v>
      </c>
      <c r="J46" s="105" t="s">
        <v>21</v>
      </c>
      <c r="K46" s="106"/>
      <c r="L46" s="106"/>
      <c r="M46" s="106"/>
      <c r="N46" s="106"/>
      <c r="O46" s="107"/>
      <c r="P46" s="79" t="s">
        <v>22</v>
      </c>
      <c r="Q46" s="80" t="s">
        <v>23</v>
      </c>
      <c r="R46" s="81" t="s">
        <v>40</v>
      </c>
      <c r="S46" s="81" t="s">
        <v>41</v>
      </c>
    </row>
    <row r="47" spans="1:19" ht="18" customHeight="1" x14ac:dyDescent="0.2">
      <c r="A47" s="3"/>
      <c r="B47" s="108" t="s">
        <v>42</v>
      </c>
      <c r="C47" s="109"/>
      <c r="D47" s="109"/>
      <c r="E47" s="110"/>
      <c r="F47" s="82">
        <v>1</v>
      </c>
      <c r="G47" s="82"/>
      <c r="H47" s="82" t="s">
        <v>27</v>
      </c>
      <c r="I47" s="82" t="s">
        <v>27</v>
      </c>
      <c r="J47" s="108"/>
      <c r="K47" s="109"/>
      <c r="L47" s="109"/>
      <c r="M47" s="109"/>
      <c r="N47" s="109"/>
      <c r="O47" s="110"/>
      <c r="P47" s="82"/>
      <c r="Q47" s="82"/>
      <c r="R47" s="82"/>
      <c r="S47" s="82"/>
    </row>
    <row r="48" spans="1:19" ht="18" customHeight="1" x14ac:dyDescent="0.2">
      <c r="A48" s="3"/>
      <c r="B48" s="111" t="s">
        <v>29</v>
      </c>
      <c r="C48" s="112"/>
      <c r="D48" s="112"/>
      <c r="E48" s="113"/>
      <c r="F48" s="83">
        <v>2</v>
      </c>
      <c r="G48" s="83"/>
      <c r="H48" s="83" t="s">
        <v>27</v>
      </c>
      <c r="I48" s="83" t="s">
        <v>27</v>
      </c>
      <c r="J48" s="111"/>
      <c r="K48" s="112"/>
      <c r="L48" s="112"/>
      <c r="M48" s="112"/>
      <c r="N48" s="112"/>
      <c r="O48" s="113"/>
      <c r="P48" s="83"/>
      <c r="Q48" s="83"/>
      <c r="R48" s="83"/>
      <c r="S48" s="83"/>
    </row>
    <row r="49" spans="1:19" ht="18" customHeight="1" x14ac:dyDescent="0.2">
      <c r="A49" s="3"/>
      <c r="B49" s="111" t="s">
        <v>30</v>
      </c>
      <c r="C49" s="112"/>
      <c r="D49" s="112"/>
      <c r="E49" s="113"/>
      <c r="F49" s="83">
        <v>2</v>
      </c>
      <c r="G49" s="83"/>
      <c r="H49" s="83" t="s">
        <v>27</v>
      </c>
      <c r="I49" s="83" t="s">
        <v>27</v>
      </c>
      <c r="J49" s="111"/>
      <c r="K49" s="112"/>
      <c r="L49" s="112"/>
      <c r="M49" s="112"/>
      <c r="N49" s="112"/>
      <c r="O49" s="113"/>
      <c r="P49" s="83"/>
      <c r="Q49" s="83"/>
      <c r="R49" s="83"/>
      <c r="S49" s="83"/>
    </row>
    <row r="50" spans="1:19" ht="18" customHeight="1" x14ac:dyDescent="0.2">
      <c r="A50" s="3"/>
      <c r="B50" s="111" t="s">
        <v>31</v>
      </c>
      <c r="C50" s="112"/>
      <c r="D50" s="112"/>
      <c r="E50" s="113"/>
      <c r="F50" s="83">
        <v>2</v>
      </c>
      <c r="G50" s="83"/>
      <c r="H50" s="83" t="s">
        <v>27</v>
      </c>
      <c r="I50" s="83" t="s">
        <v>27</v>
      </c>
      <c r="J50" s="111"/>
      <c r="K50" s="112"/>
      <c r="L50" s="112"/>
      <c r="M50" s="112"/>
      <c r="N50" s="112"/>
      <c r="O50" s="113"/>
      <c r="P50" s="83"/>
      <c r="Q50" s="83"/>
      <c r="R50" s="83"/>
      <c r="S50" s="83"/>
    </row>
    <row r="51" spans="1:19" ht="18" customHeight="1" x14ac:dyDescent="0.2">
      <c r="A51" s="3"/>
      <c r="B51" s="111" t="s">
        <v>32</v>
      </c>
      <c r="C51" s="112"/>
      <c r="D51" s="112"/>
      <c r="E51" s="113"/>
      <c r="F51" s="83">
        <v>2</v>
      </c>
      <c r="G51" s="83"/>
      <c r="H51" s="83" t="s">
        <v>27</v>
      </c>
      <c r="I51" s="83" t="s">
        <v>27</v>
      </c>
      <c r="J51" s="111"/>
      <c r="K51" s="112"/>
      <c r="L51" s="112"/>
      <c r="M51" s="112"/>
      <c r="N51" s="112"/>
      <c r="O51" s="113"/>
      <c r="P51" s="83"/>
      <c r="Q51" s="83"/>
      <c r="R51" s="83"/>
      <c r="S51" s="83"/>
    </row>
    <row r="52" spans="1:19" ht="18" customHeight="1" x14ac:dyDescent="0.2">
      <c r="A52" s="3"/>
      <c r="B52" s="111"/>
      <c r="C52" s="112"/>
      <c r="D52" s="112"/>
      <c r="E52" s="113"/>
      <c r="F52" s="83"/>
      <c r="G52" s="83"/>
      <c r="H52" s="83"/>
      <c r="I52" s="83"/>
      <c r="J52" s="111"/>
      <c r="K52" s="112"/>
      <c r="L52" s="112"/>
      <c r="M52" s="112"/>
      <c r="N52" s="112"/>
      <c r="O52" s="113"/>
      <c r="P52" s="83"/>
      <c r="Q52" s="83"/>
      <c r="R52" s="83"/>
      <c r="S52" s="83"/>
    </row>
    <row r="53" spans="1:19" ht="18" customHeight="1" x14ac:dyDescent="0.2">
      <c r="A53" s="3"/>
      <c r="B53" s="114"/>
      <c r="C53" s="115"/>
      <c r="D53" s="115"/>
      <c r="E53" s="116"/>
      <c r="F53" s="84"/>
      <c r="G53" s="84"/>
      <c r="H53" s="85"/>
      <c r="I53" s="85"/>
      <c r="J53" s="114"/>
      <c r="K53" s="115"/>
      <c r="L53" s="115"/>
      <c r="M53" s="115"/>
      <c r="N53" s="115"/>
      <c r="O53" s="116"/>
      <c r="P53" s="84"/>
      <c r="Q53" s="84"/>
      <c r="R53" s="85"/>
      <c r="S53" s="85"/>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120" t="s">
        <v>43</v>
      </c>
      <c r="B55" s="120"/>
      <c r="C55" s="120"/>
      <c r="D55" s="120"/>
      <c r="E55" s="120"/>
      <c r="F55" s="120"/>
      <c r="G55" s="120"/>
      <c r="H55" s="120"/>
      <c r="I55" s="120"/>
      <c r="J55" s="120"/>
      <c r="K55" s="120"/>
      <c r="L55" s="120"/>
      <c r="M55" s="120"/>
      <c r="N55" s="120"/>
      <c r="O55" s="120"/>
      <c r="P55" s="120"/>
      <c r="Q55" s="120"/>
      <c r="R55" s="120"/>
      <c r="S55" s="120"/>
    </row>
    <row r="56" spans="1:19" ht="18" customHeight="1" x14ac:dyDescent="0.2">
      <c r="A56" s="120"/>
      <c r="B56" s="120"/>
      <c r="C56" s="120"/>
      <c r="D56" s="120"/>
      <c r="E56" s="120"/>
      <c r="F56" s="120"/>
      <c r="G56" s="120"/>
      <c r="H56" s="120"/>
      <c r="I56" s="120"/>
      <c r="J56" s="120"/>
      <c r="K56" s="120"/>
      <c r="L56" s="120"/>
      <c r="M56" s="120"/>
      <c r="N56" s="120"/>
      <c r="O56" s="120"/>
      <c r="P56" s="120"/>
      <c r="Q56" s="120"/>
      <c r="R56" s="120"/>
      <c r="S56" s="120"/>
    </row>
    <row r="57" spans="1:19" ht="18" customHeight="1" x14ac:dyDescent="0.2">
      <c r="B57" s="105" t="s">
        <v>21</v>
      </c>
      <c r="C57" s="106"/>
      <c r="D57" s="106"/>
      <c r="E57" s="107"/>
      <c r="F57" s="79" t="s">
        <v>22</v>
      </c>
      <c r="G57" s="80" t="s">
        <v>23</v>
      </c>
      <c r="H57" s="81" t="s">
        <v>44</v>
      </c>
      <c r="I57" s="81" t="s">
        <v>45</v>
      </c>
      <c r="J57" s="105" t="s">
        <v>21</v>
      </c>
      <c r="K57" s="106"/>
      <c r="L57" s="106"/>
      <c r="M57" s="106"/>
      <c r="N57" s="106"/>
      <c r="O57" s="107"/>
      <c r="P57" s="79" t="s">
        <v>22</v>
      </c>
      <c r="Q57" s="80" t="s">
        <v>23</v>
      </c>
      <c r="R57" s="81" t="s">
        <v>44</v>
      </c>
      <c r="S57" s="81" t="s">
        <v>45</v>
      </c>
    </row>
    <row r="58" spans="1:19" ht="18" customHeight="1" x14ac:dyDescent="0.2">
      <c r="A58" s="3"/>
      <c r="B58" s="102" t="s">
        <v>46</v>
      </c>
      <c r="C58" s="103"/>
      <c r="D58" s="103"/>
      <c r="E58" s="104"/>
      <c r="F58" s="86">
        <v>1</v>
      </c>
      <c r="G58" s="83"/>
      <c r="H58" s="83" t="s">
        <v>27</v>
      </c>
      <c r="I58" s="83" t="s">
        <v>27</v>
      </c>
      <c r="J58" s="108"/>
      <c r="K58" s="109"/>
      <c r="L58" s="109"/>
      <c r="M58" s="109"/>
      <c r="N58" s="109"/>
      <c r="O58" s="110"/>
      <c r="P58" s="82"/>
      <c r="Q58" s="82"/>
      <c r="R58" s="82"/>
      <c r="S58" s="82"/>
    </row>
    <row r="59" spans="1:19" ht="18" customHeight="1" x14ac:dyDescent="0.2">
      <c r="A59" s="3"/>
      <c r="B59" s="87" t="s">
        <v>47</v>
      </c>
      <c r="C59" s="88"/>
      <c r="D59" s="88"/>
      <c r="E59" s="89"/>
      <c r="F59" s="83">
        <v>1</v>
      </c>
      <c r="G59" s="83"/>
      <c r="H59" s="83" t="s">
        <v>27</v>
      </c>
      <c r="I59" s="83" t="s">
        <v>27</v>
      </c>
      <c r="J59" s="111"/>
      <c r="K59" s="112"/>
      <c r="L59" s="112"/>
      <c r="M59" s="112"/>
      <c r="N59" s="112"/>
      <c r="O59" s="113"/>
      <c r="P59" s="83"/>
      <c r="Q59" s="83"/>
      <c r="R59" s="83"/>
      <c r="S59" s="83"/>
    </row>
    <row r="60" spans="1:19" ht="18" customHeight="1" x14ac:dyDescent="0.2">
      <c r="A60" s="3"/>
      <c r="B60" s="87" t="s">
        <v>36</v>
      </c>
      <c r="C60" s="88"/>
      <c r="D60" s="88"/>
      <c r="E60" s="89"/>
      <c r="F60" s="83">
        <v>1</v>
      </c>
      <c r="G60" s="83"/>
      <c r="H60" s="90" t="s">
        <v>27</v>
      </c>
      <c r="I60" s="83" t="s">
        <v>27</v>
      </c>
      <c r="J60" s="111"/>
      <c r="K60" s="112"/>
      <c r="L60" s="112"/>
      <c r="M60" s="112"/>
      <c r="N60" s="112"/>
      <c r="O60" s="113"/>
      <c r="P60" s="83"/>
      <c r="Q60" s="83"/>
      <c r="R60" s="83"/>
      <c r="S60" s="83"/>
    </row>
    <row r="61" spans="1:19" ht="18" customHeight="1" x14ac:dyDescent="0.2">
      <c r="A61" s="3"/>
      <c r="B61" s="87" t="s">
        <v>48</v>
      </c>
      <c r="C61" s="88"/>
      <c r="D61" s="88"/>
      <c r="E61" s="89"/>
      <c r="F61" s="83">
        <v>2</v>
      </c>
      <c r="G61" s="83"/>
      <c r="H61" s="90" t="s">
        <v>27</v>
      </c>
      <c r="I61" s="83" t="s">
        <v>27</v>
      </c>
      <c r="J61" s="111"/>
      <c r="K61" s="112"/>
      <c r="L61" s="112"/>
      <c r="M61" s="112"/>
      <c r="N61" s="112"/>
      <c r="O61" s="113"/>
      <c r="P61" s="83"/>
      <c r="Q61" s="83"/>
      <c r="R61" s="83"/>
      <c r="S61" s="83"/>
    </row>
    <row r="62" spans="1:19" ht="18" customHeight="1" x14ac:dyDescent="0.2">
      <c r="A62" s="3"/>
      <c r="B62" s="111" t="s">
        <v>29</v>
      </c>
      <c r="C62" s="112"/>
      <c r="D62" s="112"/>
      <c r="E62" s="113"/>
      <c r="F62" s="83">
        <v>2</v>
      </c>
      <c r="G62" s="83"/>
      <c r="H62" s="83" t="s">
        <v>27</v>
      </c>
      <c r="I62" s="83" t="s">
        <v>27</v>
      </c>
      <c r="J62" s="111"/>
      <c r="K62" s="112"/>
      <c r="L62" s="112"/>
      <c r="M62" s="112"/>
      <c r="N62" s="112"/>
      <c r="O62" s="113"/>
      <c r="P62" s="83"/>
      <c r="Q62" s="83"/>
      <c r="R62" s="83"/>
      <c r="S62" s="83"/>
    </row>
    <row r="63" spans="1:19" ht="18" customHeight="1" x14ac:dyDescent="0.2">
      <c r="A63" s="3"/>
      <c r="B63" s="111" t="s">
        <v>49</v>
      </c>
      <c r="C63" s="112"/>
      <c r="D63" s="112"/>
      <c r="E63" s="113"/>
      <c r="F63" s="83">
        <v>2</v>
      </c>
      <c r="G63" s="83"/>
      <c r="H63" s="83" t="s">
        <v>27</v>
      </c>
      <c r="I63" s="83" t="s">
        <v>27</v>
      </c>
      <c r="J63" s="111"/>
      <c r="K63" s="112"/>
      <c r="L63" s="112"/>
      <c r="M63" s="112"/>
      <c r="N63" s="112"/>
      <c r="O63" s="113"/>
      <c r="P63" s="83"/>
      <c r="Q63" s="83"/>
      <c r="R63" s="83"/>
      <c r="S63" s="83"/>
    </row>
    <row r="64" spans="1:19" ht="18" customHeight="1" x14ac:dyDescent="0.2">
      <c r="A64" s="3"/>
      <c r="B64" s="114"/>
      <c r="C64" s="115"/>
      <c r="D64" s="115"/>
      <c r="E64" s="116"/>
      <c r="F64" s="84"/>
      <c r="G64" s="84"/>
      <c r="H64" s="85"/>
      <c r="I64" s="85"/>
      <c r="J64" s="114"/>
      <c r="K64" s="115"/>
      <c r="L64" s="115"/>
      <c r="M64" s="115"/>
      <c r="N64" s="115"/>
      <c r="O64" s="116"/>
      <c r="P64" s="84"/>
      <c r="Q64" s="84"/>
      <c r="R64" s="85"/>
      <c r="S64" s="85"/>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120" t="s">
        <v>50</v>
      </c>
      <c r="B66" s="120"/>
      <c r="C66" s="120"/>
      <c r="D66" s="120"/>
      <c r="E66" s="120"/>
      <c r="F66" s="120"/>
      <c r="G66" s="120"/>
      <c r="H66" s="120"/>
      <c r="I66" s="120"/>
      <c r="J66" s="120"/>
      <c r="K66" s="120"/>
      <c r="L66" s="120"/>
      <c r="M66" s="120"/>
      <c r="N66" s="120"/>
      <c r="O66" s="120"/>
      <c r="P66" s="120"/>
      <c r="Q66" s="120"/>
      <c r="R66" s="120"/>
      <c r="S66" s="120"/>
    </row>
    <row r="67" spans="1:19" ht="18" customHeight="1" x14ac:dyDescent="0.2">
      <c r="A67" s="120"/>
      <c r="B67" s="120"/>
      <c r="C67" s="120"/>
      <c r="D67" s="120"/>
      <c r="E67" s="120"/>
      <c r="F67" s="120"/>
      <c r="G67" s="120"/>
      <c r="H67" s="120"/>
      <c r="I67" s="120"/>
      <c r="J67" s="120"/>
      <c r="K67" s="120"/>
      <c r="L67" s="120"/>
      <c r="M67" s="120"/>
      <c r="N67" s="120"/>
      <c r="O67" s="120"/>
      <c r="P67" s="120"/>
      <c r="Q67" s="120"/>
      <c r="R67" s="120"/>
      <c r="S67" s="120"/>
    </row>
    <row r="68" spans="1:19" ht="18" customHeight="1" x14ac:dyDescent="0.2">
      <c r="B68" s="105" t="s">
        <v>21</v>
      </c>
      <c r="C68" s="106"/>
      <c r="D68" s="106"/>
      <c r="E68" s="79" t="s">
        <v>22</v>
      </c>
      <c r="F68" s="80" t="s">
        <v>23</v>
      </c>
      <c r="G68" s="81" t="s">
        <v>51</v>
      </c>
      <c r="H68" s="81" t="s">
        <v>52</v>
      </c>
      <c r="I68" s="81" t="s">
        <v>53</v>
      </c>
      <c r="J68" s="105" t="s">
        <v>21</v>
      </c>
      <c r="K68" s="106"/>
      <c r="L68" s="106"/>
      <c r="M68" s="106"/>
      <c r="N68" s="107"/>
      <c r="O68" s="79" t="s">
        <v>22</v>
      </c>
      <c r="P68" s="80" t="s">
        <v>23</v>
      </c>
      <c r="Q68" s="81" t="s">
        <v>51</v>
      </c>
      <c r="R68" s="81" t="s">
        <v>52</v>
      </c>
      <c r="S68" s="81" t="s">
        <v>53</v>
      </c>
    </row>
    <row r="69" spans="1:19" ht="18" customHeight="1" x14ac:dyDescent="0.2">
      <c r="A69" s="3"/>
      <c r="B69" s="192" t="s">
        <v>46</v>
      </c>
      <c r="C69" s="109"/>
      <c r="D69" s="110"/>
      <c r="E69" s="82">
        <v>1</v>
      </c>
      <c r="F69" s="82"/>
      <c r="G69" s="82" t="s">
        <v>27</v>
      </c>
      <c r="H69" s="82" t="s">
        <v>27</v>
      </c>
      <c r="I69" s="82" t="s">
        <v>27</v>
      </c>
      <c r="J69" s="108" t="s">
        <v>54</v>
      </c>
      <c r="K69" s="109"/>
      <c r="L69" s="109"/>
      <c r="M69" s="109"/>
      <c r="N69" s="110"/>
      <c r="O69" s="82">
        <v>2</v>
      </c>
      <c r="P69" s="82"/>
      <c r="Q69" s="82" t="s">
        <v>27</v>
      </c>
      <c r="R69" s="82" t="s">
        <v>27</v>
      </c>
      <c r="S69" s="82" t="s">
        <v>27</v>
      </c>
    </row>
    <row r="70" spans="1:19" ht="18" customHeight="1" x14ac:dyDescent="0.2">
      <c r="A70" s="3"/>
      <c r="B70" s="111" t="s">
        <v>42</v>
      </c>
      <c r="C70" s="112"/>
      <c r="D70" s="113"/>
      <c r="E70" s="83">
        <v>1</v>
      </c>
      <c r="F70" s="83"/>
      <c r="G70" s="83" t="s">
        <v>27</v>
      </c>
      <c r="H70" s="83" t="s">
        <v>27</v>
      </c>
      <c r="I70" s="83" t="s">
        <v>27</v>
      </c>
      <c r="J70" s="111" t="s">
        <v>55</v>
      </c>
      <c r="K70" s="112"/>
      <c r="L70" s="112"/>
      <c r="M70" s="112"/>
      <c r="N70" s="113"/>
      <c r="O70" s="83">
        <v>2</v>
      </c>
      <c r="P70" s="83"/>
      <c r="Q70" s="83" t="s">
        <v>27</v>
      </c>
      <c r="R70" s="83" t="s">
        <v>27</v>
      </c>
      <c r="S70" s="83" t="s">
        <v>27</v>
      </c>
    </row>
    <row r="71" spans="1:19" ht="18" customHeight="1" x14ac:dyDescent="0.2">
      <c r="A71" s="3"/>
      <c r="B71" s="111" t="s">
        <v>47</v>
      </c>
      <c r="C71" s="112"/>
      <c r="D71" s="112"/>
      <c r="E71" s="83">
        <v>1</v>
      </c>
      <c r="F71" s="83"/>
      <c r="G71" s="83" t="s">
        <v>27</v>
      </c>
      <c r="H71" s="83" t="s">
        <v>27</v>
      </c>
      <c r="I71" s="83" t="s">
        <v>27</v>
      </c>
      <c r="J71" s="111" t="s">
        <v>56</v>
      </c>
      <c r="K71" s="112"/>
      <c r="L71" s="112"/>
      <c r="M71" s="112"/>
      <c r="N71" s="113"/>
      <c r="O71" s="83">
        <v>2</v>
      </c>
      <c r="P71" s="83"/>
      <c r="Q71" s="83" t="s">
        <v>27</v>
      </c>
      <c r="R71" s="83" t="s">
        <v>27</v>
      </c>
      <c r="S71" s="83" t="s">
        <v>27</v>
      </c>
    </row>
    <row r="72" spans="1:19" ht="18" customHeight="1" x14ac:dyDescent="0.2">
      <c r="A72" s="3"/>
      <c r="B72" s="111" t="s">
        <v>36</v>
      </c>
      <c r="C72" s="112"/>
      <c r="D72" s="112"/>
      <c r="E72" s="83">
        <v>1</v>
      </c>
      <c r="F72" s="83"/>
      <c r="G72" s="83" t="s">
        <v>27</v>
      </c>
      <c r="H72" s="83" t="s">
        <v>27</v>
      </c>
      <c r="I72" s="83" t="s">
        <v>27</v>
      </c>
      <c r="J72" s="111" t="s">
        <v>196</v>
      </c>
      <c r="K72" s="112"/>
      <c r="L72" s="112"/>
      <c r="M72" s="112"/>
      <c r="N72" s="113"/>
      <c r="O72" s="83">
        <v>2</v>
      </c>
      <c r="P72" s="83"/>
      <c r="Q72" s="83" t="s">
        <v>27</v>
      </c>
      <c r="R72" s="83" t="s">
        <v>27</v>
      </c>
      <c r="S72" s="83" t="s">
        <v>27</v>
      </c>
    </row>
    <row r="73" spans="1:19" ht="18" customHeight="1" x14ac:dyDescent="0.2">
      <c r="A73" s="3"/>
      <c r="B73" s="111" t="s">
        <v>48</v>
      </c>
      <c r="C73" s="112"/>
      <c r="D73" s="112"/>
      <c r="E73" s="83">
        <v>2</v>
      </c>
      <c r="F73" s="83"/>
      <c r="G73" s="83" t="s">
        <v>27</v>
      </c>
      <c r="H73" s="83" t="s">
        <v>27</v>
      </c>
      <c r="I73" s="83" t="s">
        <v>27</v>
      </c>
      <c r="J73" s="111" t="s">
        <v>197</v>
      </c>
      <c r="K73" s="112"/>
      <c r="L73" s="112"/>
      <c r="M73" s="112"/>
      <c r="N73" s="113"/>
      <c r="O73" s="83">
        <v>2</v>
      </c>
      <c r="P73" s="83"/>
      <c r="Q73" s="83" t="s">
        <v>27</v>
      </c>
      <c r="R73" s="83" t="s">
        <v>27</v>
      </c>
      <c r="S73" s="83" t="s">
        <v>27</v>
      </c>
    </row>
    <row r="74" spans="1:19" ht="18" customHeight="1" x14ac:dyDescent="0.2">
      <c r="A74" s="3"/>
      <c r="B74" s="111" t="s">
        <v>38</v>
      </c>
      <c r="C74" s="112"/>
      <c r="D74" s="113"/>
      <c r="E74" s="83">
        <v>2</v>
      </c>
      <c r="F74" s="83"/>
      <c r="G74" s="83" t="s">
        <v>27</v>
      </c>
      <c r="H74" s="83" t="s">
        <v>27</v>
      </c>
      <c r="I74" s="83" t="s">
        <v>27</v>
      </c>
      <c r="J74" s="111" t="s">
        <v>195</v>
      </c>
      <c r="K74" s="112"/>
      <c r="L74" s="112"/>
      <c r="M74" s="112"/>
      <c r="N74" s="113"/>
      <c r="O74" s="83">
        <v>2</v>
      </c>
      <c r="P74" s="83"/>
      <c r="Q74" s="83" t="s">
        <v>27</v>
      </c>
      <c r="R74" s="83" t="s">
        <v>27</v>
      </c>
      <c r="S74" s="83" t="s">
        <v>27</v>
      </c>
    </row>
    <row r="75" spans="1:19" ht="18" customHeight="1" x14ac:dyDescent="0.2">
      <c r="A75" s="3"/>
      <c r="B75" s="114" t="s">
        <v>57</v>
      </c>
      <c r="C75" s="115"/>
      <c r="D75" s="115"/>
      <c r="E75" s="84">
        <v>2</v>
      </c>
      <c r="F75" s="84"/>
      <c r="G75" s="85" t="s">
        <v>27</v>
      </c>
      <c r="H75" s="85" t="s">
        <v>27</v>
      </c>
      <c r="I75" s="85" t="s">
        <v>27</v>
      </c>
      <c r="J75" s="114"/>
      <c r="K75" s="115"/>
      <c r="L75" s="115"/>
      <c r="M75" s="115"/>
      <c r="N75" s="116"/>
      <c r="O75" s="84"/>
      <c r="P75" s="84"/>
      <c r="Q75" s="85"/>
      <c r="R75" s="85"/>
      <c r="S75" s="85"/>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58</v>
      </c>
      <c r="H77" s="3"/>
      <c r="I77" s="3"/>
      <c r="J77" s="3"/>
      <c r="K77" s="3"/>
      <c r="L77" s="3"/>
      <c r="M77" s="3"/>
      <c r="N77" s="3"/>
      <c r="O77" s="3"/>
      <c r="P77" s="3"/>
      <c r="Q77" s="3"/>
      <c r="R77" s="3"/>
      <c r="S77" s="3"/>
    </row>
    <row r="78" spans="1:19" ht="18" customHeight="1" x14ac:dyDescent="0.2">
      <c r="B78" s="105" t="s">
        <v>21</v>
      </c>
      <c r="C78" s="106"/>
      <c r="D78" s="106"/>
      <c r="E78" s="107"/>
      <c r="F78" s="105" t="s">
        <v>59</v>
      </c>
      <c r="G78" s="106"/>
      <c r="H78" s="106"/>
      <c r="I78" s="107"/>
      <c r="J78" s="189" t="s">
        <v>21</v>
      </c>
      <c r="K78" s="190"/>
      <c r="L78" s="190"/>
      <c r="M78" s="190"/>
      <c r="N78" s="190"/>
      <c r="O78" s="191"/>
      <c r="P78" s="105" t="s">
        <v>59</v>
      </c>
      <c r="Q78" s="106"/>
      <c r="R78" s="106"/>
      <c r="S78" s="107"/>
    </row>
    <row r="79" spans="1:19" ht="18" customHeight="1" x14ac:dyDescent="0.2">
      <c r="A79" s="3"/>
      <c r="B79" s="108" t="s">
        <v>60</v>
      </c>
      <c r="C79" s="109"/>
      <c r="D79" s="109"/>
      <c r="E79" s="110"/>
      <c r="F79" s="186" t="s">
        <v>61</v>
      </c>
      <c r="G79" s="187"/>
      <c r="H79" s="187"/>
      <c r="I79" s="188"/>
      <c r="J79" s="108"/>
      <c r="K79" s="109"/>
      <c r="L79" s="109"/>
      <c r="M79" s="109"/>
      <c r="N79" s="109"/>
      <c r="O79" s="110"/>
      <c r="P79" s="186"/>
      <c r="Q79" s="187"/>
      <c r="R79" s="187"/>
      <c r="S79" s="188"/>
    </row>
    <row r="80" spans="1:19" ht="18" customHeight="1" x14ac:dyDescent="0.2">
      <c r="A80" s="3"/>
      <c r="B80" s="111"/>
      <c r="C80" s="112"/>
      <c r="D80" s="112"/>
      <c r="E80" s="113"/>
      <c r="F80" s="153"/>
      <c r="G80" s="154"/>
      <c r="H80" s="154"/>
      <c r="I80" s="155"/>
      <c r="J80" s="111"/>
      <c r="K80" s="112"/>
      <c r="L80" s="112"/>
      <c r="M80" s="112"/>
      <c r="N80" s="112"/>
      <c r="O80" s="113"/>
      <c r="P80" s="153"/>
      <c r="Q80" s="154"/>
      <c r="R80" s="154"/>
      <c r="S80" s="155"/>
    </row>
    <row r="81" spans="1:19" ht="18" customHeight="1" x14ac:dyDescent="0.2">
      <c r="A81" s="3"/>
      <c r="B81" s="111"/>
      <c r="C81" s="112"/>
      <c r="D81" s="112"/>
      <c r="E81" s="113"/>
      <c r="F81" s="153"/>
      <c r="G81" s="154"/>
      <c r="H81" s="154"/>
      <c r="I81" s="155"/>
      <c r="J81" s="111"/>
      <c r="K81" s="112"/>
      <c r="L81" s="112"/>
      <c r="M81" s="112"/>
      <c r="N81" s="112"/>
      <c r="O81" s="113"/>
      <c r="P81" s="153"/>
      <c r="Q81" s="154"/>
      <c r="R81" s="154"/>
      <c r="S81" s="155"/>
    </row>
    <row r="82" spans="1:19" ht="18" customHeight="1" x14ac:dyDescent="0.2">
      <c r="A82" s="3"/>
      <c r="B82" s="111"/>
      <c r="C82" s="112"/>
      <c r="D82" s="112"/>
      <c r="E82" s="113"/>
      <c r="F82" s="153"/>
      <c r="G82" s="154"/>
      <c r="H82" s="154"/>
      <c r="I82" s="155"/>
      <c r="J82" s="111"/>
      <c r="K82" s="112"/>
      <c r="L82" s="112"/>
      <c r="M82" s="112"/>
      <c r="N82" s="112"/>
      <c r="O82" s="113"/>
      <c r="P82" s="153"/>
      <c r="Q82" s="154"/>
      <c r="R82" s="154"/>
      <c r="S82" s="155"/>
    </row>
    <row r="83" spans="1:19" ht="18" customHeight="1" x14ac:dyDescent="0.2">
      <c r="A83" s="3"/>
      <c r="B83" s="111"/>
      <c r="C83" s="112"/>
      <c r="D83" s="112"/>
      <c r="E83" s="113"/>
      <c r="F83" s="153"/>
      <c r="G83" s="154"/>
      <c r="H83" s="154"/>
      <c r="I83" s="155"/>
      <c r="J83" s="111"/>
      <c r="K83" s="112"/>
      <c r="L83" s="112"/>
      <c r="M83" s="112"/>
      <c r="N83" s="112"/>
      <c r="O83" s="113"/>
      <c r="P83" s="153"/>
      <c r="Q83" s="154"/>
      <c r="R83" s="154"/>
      <c r="S83" s="155"/>
    </row>
    <row r="84" spans="1:19" ht="18" customHeight="1" x14ac:dyDescent="0.2">
      <c r="A84" s="3"/>
      <c r="B84" s="111"/>
      <c r="C84" s="112"/>
      <c r="D84" s="112"/>
      <c r="E84" s="113"/>
      <c r="F84" s="153"/>
      <c r="G84" s="154"/>
      <c r="H84" s="154"/>
      <c r="I84" s="155"/>
      <c r="J84" s="111"/>
      <c r="K84" s="112"/>
      <c r="L84" s="112"/>
      <c r="M84" s="112"/>
      <c r="N84" s="112"/>
      <c r="O84" s="113"/>
      <c r="P84" s="153"/>
      <c r="Q84" s="154"/>
      <c r="R84" s="154"/>
      <c r="S84" s="155"/>
    </row>
    <row r="85" spans="1:19" ht="18" customHeight="1" x14ac:dyDescent="0.2">
      <c r="A85" s="3"/>
      <c r="B85" s="114"/>
      <c r="C85" s="115"/>
      <c r="D85" s="115"/>
      <c r="E85" s="116"/>
      <c r="F85" s="150"/>
      <c r="G85" s="151"/>
      <c r="H85" s="151"/>
      <c r="I85" s="152"/>
      <c r="J85" s="114"/>
      <c r="K85" s="115"/>
      <c r="L85" s="115"/>
      <c r="M85" s="115"/>
      <c r="N85" s="115"/>
      <c r="O85" s="116"/>
      <c r="P85" s="150"/>
      <c r="Q85" s="151"/>
      <c r="R85" s="151"/>
      <c r="S85" s="152"/>
    </row>
    <row r="86" spans="1:19" ht="18" customHeight="1" x14ac:dyDescent="0.2">
      <c r="A86" s="3"/>
      <c r="B86" s="6"/>
      <c r="C86" s="6"/>
      <c r="D86" s="6"/>
      <c r="E86" s="6"/>
      <c r="F86" s="91"/>
      <c r="G86" s="91"/>
      <c r="H86" s="91"/>
      <c r="I86" s="91"/>
      <c r="J86" s="6"/>
      <c r="K86" s="6"/>
      <c r="L86" s="6"/>
      <c r="M86" s="6"/>
      <c r="N86" s="6"/>
      <c r="O86" s="6"/>
      <c r="P86" s="91"/>
      <c r="Q86" s="91"/>
      <c r="R86" s="91"/>
      <c r="S86" s="91"/>
    </row>
    <row r="87" spans="1:19" ht="18.75" customHeight="1" x14ac:dyDescent="0.2">
      <c r="A87" s="1" t="s">
        <v>62</v>
      </c>
    </row>
    <row r="88" spans="1:19" ht="18.75" customHeight="1" x14ac:dyDescent="0.2">
      <c r="B88" s="181" t="s">
        <v>63</v>
      </c>
      <c r="C88" s="182"/>
      <c r="D88" s="106" t="s">
        <v>64</v>
      </c>
      <c r="E88" s="106"/>
      <c r="F88" s="106"/>
      <c r="G88" s="106"/>
      <c r="H88" s="106"/>
      <c r="I88" s="106"/>
      <c r="J88" s="106"/>
      <c r="K88" s="106"/>
      <c r="L88" s="106"/>
      <c r="M88" s="106"/>
      <c r="N88" s="106"/>
      <c r="O88" s="106"/>
      <c r="P88" s="106"/>
      <c r="Q88" s="106"/>
      <c r="R88" s="106"/>
      <c r="S88" s="107"/>
    </row>
    <row r="89" spans="1:19" ht="150.6" customHeight="1" x14ac:dyDescent="0.2">
      <c r="B89" s="167" t="s">
        <v>65</v>
      </c>
      <c r="C89" s="92" t="s">
        <v>24</v>
      </c>
      <c r="D89" s="183" t="s">
        <v>200</v>
      </c>
      <c r="E89" s="184"/>
      <c r="F89" s="184"/>
      <c r="G89" s="184"/>
      <c r="H89" s="184"/>
      <c r="I89" s="184"/>
      <c r="J89" s="184"/>
      <c r="K89" s="184"/>
      <c r="L89" s="184"/>
      <c r="M89" s="184"/>
      <c r="N89" s="184"/>
      <c r="O89" s="184"/>
      <c r="P89" s="184"/>
      <c r="Q89" s="184"/>
      <c r="R89" s="184"/>
      <c r="S89" s="185"/>
    </row>
    <row r="90" spans="1:19" ht="114.6" customHeight="1" x14ac:dyDescent="0.2">
      <c r="B90" s="169"/>
      <c r="C90" s="93" t="s">
        <v>66</v>
      </c>
      <c r="D90" s="156" t="s">
        <v>189</v>
      </c>
      <c r="E90" s="157"/>
      <c r="F90" s="157"/>
      <c r="G90" s="157"/>
      <c r="H90" s="157"/>
      <c r="I90" s="157"/>
      <c r="J90" s="157"/>
      <c r="K90" s="157"/>
      <c r="L90" s="157"/>
      <c r="M90" s="157"/>
      <c r="N90" s="157"/>
      <c r="O90" s="157"/>
      <c r="P90" s="157"/>
      <c r="Q90" s="157"/>
      <c r="R90" s="157"/>
      <c r="S90" s="158"/>
    </row>
    <row r="91" spans="1:19" ht="327.60000000000002" customHeight="1" x14ac:dyDescent="0.2">
      <c r="B91" s="167" t="s">
        <v>67</v>
      </c>
      <c r="C91" s="94" t="s">
        <v>34</v>
      </c>
      <c r="D91" s="159" t="s">
        <v>203</v>
      </c>
      <c r="E91" s="160"/>
      <c r="F91" s="160"/>
      <c r="G91" s="160"/>
      <c r="H91" s="160"/>
      <c r="I91" s="160"/>
      <c r="J91" s="160"/>
      <c r="K91" s="160"/>
      <c r="L91" s="160"/>
      <c r="M91" s="160"/>
      <c r="N91" s="160"/>
      <c r="O91" s="160"/>
      <c r="P91" s="160"/>
      <c r="Q91" s="160"/>
      <c r="R91" s="160"/>
      <c r="S91" s="161"/>
    </row>
    <row r="92" spans="1:19" ht="288" customHeight="1" x14ac:dyDescent="0.2">
      <c r="B92" s="168"/>
      <c r="C92" s="95" t="s">
        <v>35</v>
      </c>
      <c r="D92" s="164" t="s">
        <v>199</v>
      </c>
      <c r="E92" s="165"/>
      <c r="F92" s="165"/>
      <c r="G92" s="165"/>
      <c r="H92" s="165"/>
      <c r="I92" s="165"/>
      <c r="J92" s="165"/>
      <c r="K92" s="165"/>
      <c r="L92" s="165"/>
      <c r="M92" s="165"/>
      <c r="N92" s="165"/>
      <c r="O92" s="165"/>
      <c r="P92" s="165"/>
      <c r="Q92" s="165"/>
      <c r="R92" s="165"/>
      <c r="S92" s="166"/>
    </row>
    <row r="93" spans="1:19" ht="171" customHeight="1" x14ac:dyDescent="0.2">
      <c r="B93" s="167" t="s">
        <v>68</v>
      </c>
      <c r="C93" s="94" t="s">
        <v>40</v>
      </c>
      <c r="D93" s="159" t="s">
        <v>190</v>
      </c>
      <c r="E93" s="160"/>
      <c r="F93" s="160"/>
      <c r="G93" s="160"/>
      <c r="H93" s="160"/>
      <c r="I93" s="160"/>
      <c r="J93" s="160"/>
      <c r="K93" s="160"/>
      <c r="L93" s="160"/>
      <c r="M93" s="160"/>
      <c r="N93" s="160"/>
      <c r="O93" s="160"/>
      <c r="P93" s="160"/>
      <c r="Q93" s="160"/>
      <c r="R93" s="160"/>
      <c r="S93" s="161"/>
    </row>
    <row r="94" spans="1:19" ht="142.94999999999999" customHeight="1" x14ac:dyDescent="0.2">
      <c r="B94" s="168"/>
      <c r="C94" s="96" t="s">
        <v>41</v>
      </c>
      <c r="D94" s="142" t="s">
        <v>187</v>
      </c>
      <c r="E94" s="162"/>
      <c r="F94" s="162"/>
      <c r="G94" s="162"/>
      <c r="H94" s="162"/>
      <c r="I94" s="162"/>
      <c r="J94" s="162"/>
      <c r="K94" s="162"/>
      <c r="L94" s="162"/>
      <c r="M94" s="162"/>
      <c r="N94" s="162"/>
      <c r="O94" s="162"/>
      <c r="P94" s="162"/>
      <c r="Q94" s="162"/>
      <c r="R94" s="162"/>
      <c r="S94" s="163"/>
    </row>
    <row r="95" spans="1:19" ht="130.19999999999999" customHeight="1" x14ac:dyDescent="0.2">
      <c r="B95" s="167" t="s">
        <v>69</v>
      </c>
      <c r="C95" s="92" t="s">
        <v>44</v>
      </c>
      <c r="D95" s="136" t="s">
        <v>191</v>
      </c>
      <c r="E95" s="179"/>
      <c r="F95" s="179"/>
      <c r="G95" s="179"/>
      <c r="H95" s="179"/>
      <c r="I95" s="179"/>
      <c r="J95" s="179"/>
      <c r="K95" s="179"/>
      <c r="L95" s="179"/>
      <c r="M95" s="179"/>
      <c r="N95" s="179"/>
      <c r="O95" s="179"/>
      <c r="P95" s="179"/>
      <c r="Q95" s="179"/>
      <c r="R95" s="179"/>
      <c r="S95" s="180"/>
    </row>
    <row r="96" spans="1:19" ht="121.2" customHeight="1" x14ac:dyDescent="0.2">
      <c r="B96" s="168"/>
      <c r="C96" s="95" t="s">
        <v>45</v>
      </c>
      <c r="D96" s="164" t="s">
        <v>188</v>
      </c>
      <c r="E96" s="165"/>
      <c r="F96" s="165"/>
      <c r="G96" s="165"/>
      <c r="H96" s="165"/>
      <c r="I96" s="165"/>
      <c r="J96" s="165"/>
      <c r="K96" s="165"/>
      <c r="L96" s="165"/>
      <c r="M96" s="165"/>
      <c r="N96" s="165"/>
      <c r="O96" s="165"/>
      <c r="P96" s="165"/>
      <c r="Q96" s="165"/>
      <c r="R96" s="165"/>
      <c r="S96" s="166"/>
    </row>
    <row r="97" spans="1:19" ht="391.95" customHeight="1" x14ac:dyDescent="0.2">
      <c r="B97" s="167" t="s">
        <v>70</v>
      </c>
      <c r="C97" s="94" t="s">
        <v>71</v>
      </c>
      <c r="D97" s="173" t="s">
        <v>201</v>
      </c>
      <c r="E97" s="174"/>
      <c r="F97" s="174"/>
      <c r="G97" s="174"/>
      <c r="H97" s="174"/>
      <c r="I97" s="174"/>
      <c r="J97" s="174"/>
      <c r="K97" s="174"/>
      <c r="L97" s="174"/>
      <c r="M97" s="174"/>
      <c r="N97" s="174"/>
      <c r="O97" s="174"/>
      <c r="P97" s="174"/>
      <c r="Q97" s="174"/>
      <c r="R97" s="174"/>
      <c r="S97" s="175"/>
    </row>
    <row r="98" spans="1:19" ht="281.39999999999998" customHeight="1" x14ac:dyDescent="0.2">
      <c r="B98" s="169"/>
      <c r="C98" s="97" t="s">
        <v>52</v>
      </c>
      <c r="D98" s="170" t="s">
        <v>202</v>
      </c>
      <c r="E98" s="171"/>
      <c r="F98" s="171"/>
      <c r="G98" s="171"/>
      <c r="H98" s="171"/>
      <c r="I98" s="171"/>
      <c r="J98" s="171"/>
      <c r="K98" s="171"/>
      <c r="L98" s="171"/>
      <c r="M98" s="171"/>
      <c r="N98" s="171"/>
      <c r="O98" s="171"/>
      <c r="P98" s="171"/>
      <c r="Q98" s="171"/>
      <c r="R98" s="171"/>
      <c r="S98" s="172"/>
    </row>
    <row r="99" spans="1:19" ht="333" customHeight="1" x14ac:dyDescent="0.2">
      <c r="B99" s="168"/>
      <c r="C99" s="96" t="s">
        <v>53</v>
      </c>
      <c r="D99" s="176" t="s">
        <v>198</v>
      </c>
      <c r="E99" s="177"/>
      <c r="F99" s="177"/>
      <c r="G99" s="177"/>
      <c r="H99" s="177"/>
      <c r="I99" s="177"/>
      <c r="J99" s="177"/>
      <c r="K99" s="177"/>
      <c r="L99" s="177"/>
      <c r="M99" s="177"/>
      <c r="N99" s="177"/>
      <c r="O99" s="177"/>
      <c r="P99" s="177"/>
      <c r="Q99" s="177"/>
      <c r="R99" s="177"/>
      <c r="S99" s="178"/>
    </row>
    <row r="100" spans="1:19" ht="6" customHeight="1" x14ac:dyDescent="0.2"/>
    <row r="101" spans="1:19" ht="18.75" customHeight="1" x14ac:dyDescent="0.2">
      <c r="A101" s="1" t="s">
        <v>72</v>
      </c>
    </row>
    <row r="102" spans="1:19" ht="81.75" customHeight="1" x14ac:dyDescent="0.2">
      <c r="B102" s="147" t="s">
        <v>73</v>
      </c>
      <c r="C102" s="148"/>
      <c r="D102" s="148"/>
      <c r="E102" s="148"/>
      <c r="F102" s="148"/>
      <c r="G102" s="148"/>
      <c r="H102" s="148"/>
      <c r="I102" s="148"/>
      <c r="J102" s="148"/>
      <c r="K102" s="148"/>
      <c r="L102" s="148"/>
      <c r="M102" s="148"/>
      <c r="N102" s="148"/>
      <c r="O102" s="148"/>
      <c r="P102" s="148"/>
      <c r="Q102" s="148"/>
      <c r="R102" s="148"/>
      <c r="S102" s="149"/>
    </row>
    <row r="110" spans="1:19" ht="18" customHeight="1" x14ac:dyDescent="0.2"/>
  </sheetData>
  <mergeCells count="142">
    <mergeCell ref="J69:N69"/>
    <mergeCell ref="J63:O63"/>
    <mergeCell ref="J64:O64"/>
    <mergeCell ref="A66:S67"/>
    <mergeCell ref="B62:E62"/>
    <mergeCell ref="B84:E84"/>
    <mergeCell ref="F84:I84"/>
    <mergeCell ref="J84:O84"/>
    <mergeCell ref="J70:N70"/>
    <mergeCell ref="J71:N71"/>
    <mergeCell ref="J81:O81"/>
    <mergeCell ref="J82:O82"/>
    <mergeCell ref="B73:D73"/>
    <mergeCell ref="B74:D74"/>
    <mergeCell ref="B75:D75"/>
    <mergeCell ref="J72:N72"/>
    <mergeCell ref="B71:D71"/>
    <mergeCell ref="B72:D72"/>
    <mergeCell ref="F78:I78"/>
    <mergeCell ref="J78:O78"/>
    <mergeCell ref="B69:D69"/>
    <mergeCell ref="B70:D70"/>
    <mergeCell ref="B68:D68"/>
    <mergeCell ref="J68:N68"/>
    <mergeCell ref="D97:S97"/>
    <mergeCell ref="D99:S99"/>
    <mergeCell ref="B95:B96"/>
    <mergeCell ref="D95:S95"/>
    <mergeCell ref="J73:N73"/>
    <mergeCell ref="J74:N74"/>
    <mergeCell ref="J75:N75"/>
    <mergeCell ref="J85:O85"/>
    <mergeCell ref="B88:C88"/>
    <mergeCell ref="D88:S88"/>
    <mergeCell ref="D89:S89"/>
    <mergeCell ref="J79:O79"/>
    <mergeCell ref="P79:S79"/>
    <mergeCell ref="P78:S78"/>
    <mergeCell ref="B79:E79"/>
    <mergeCell ref="B78:E78"/>
    <mergeCell ref="F79:I79"/>
    <mergeCell ref="P81:S81"/>
    <mergeCell ref="P82:S82"/>
    <mergeCell ref="B91:B92"/>
    <mergeCell ref="B82:E82"/>
    <mergeCell ref="F81:I81"/>
    <mergeCell ref="F82:I82"/>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93:B94"/>
    <mergeCell ref="B89:B90"/>
    <mergeCell ref="P84:S84"/>
    <mergeCell ref="B85:E85"/>
    <mergeCell ref="D96:S96"/>
    <mergeCell ref="F85:I85"/>
    <mergeCell ref="D98:S98"/>
    <mergeCell ref="B97:B99"/>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A33:S34"/>
    <mergeCell ref="B35:E35"/>
    <mergeCell ref="B36:E36"/>
    <mergeCell ref="B37:E37"/>
    <mergeCell ref="B57:E57"/>
    <mergeCell ref="B9:S10"/>
    <mergeCell ref="J60:O60"/>
    <mergeCell ref="J61:O61"/>
    <mergeCell ref="J62:O62"/>
    <mergeCell ref="C20:D20"/>
    <mergeCell ref="J46:O46"/>
    <mergeCell ref="B49:E49"/>
    <mergeCell ref="A55:S56"/>
    <mergeCell ref="J59:O59"/>
    <mergeCell ref="J36:O36"/>
    <mergeCell ref="J37:O37"/>
    <mergeCell ref="J38:O38"/>
    <mergeCell ref="J57:O57"/>
    <mergeCell ref="J58:O58"/>
    <mergeCell ref="B38:E38"/>
    <mergeCell ref="B39:E39"/>
    <mergeCell ref="B40:E40"/>
    <mergeCell ref="B41:E41"/>
    <mergeCell ref="J47:O47"/>
    <mergeCell ref="B58:E58"/>
    <mergeCell ref="B46:E46"/>
    <mergeCell ref="B47:E47"/>
    <mergeCell ref="B48:E48"/>
    <mergeCell ref="J35:O35"/>
    <mergeCell ref="B63:E63"/>
    <mergeCell ref="B64:E64"/>
    <mergeCell ref="J48:O48"/>
    <mergeCell ref="J49:O49"/>
    <mergeCell ref="J50:O50"/>
    <mergeCell ref="J51:O51"/>
    <mergeCell ref="B42:E42"/>
    <mergeCell ref="A44:S45"/>
    <mergeCell ref="J53:O53"/>
    <mergeCell ref="B50:E50"/>
    <mergeCell ref="B51:E51"/>
    <mergeCell ref="B52:E52"/>
    <mergeCell ref="B53:E53"/>
    <mergeCell ref="J52:O52"/>
    <mergeCell ref="J39:O39"/>
    <mergeCell ref="J40:O40"/>
    <mergeCell ref="J41:O41"/>
    <mergeCell ref="J42:O42"/>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Q36:S42 Q25:S31 G58:I64 G25:I31 G36:I42 Q47:S53 G47:I53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G79:I80 P79:P86 Q79:S80 G83:I86 Q83:S86 F79:F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zoomScaleNormal="100" zoomScaleSheetLayoutView="100" workbookViewId="0">
      <selection activeCell="M26" sqref="M26"/>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74</v>
      </c>
    </row>
    <row r="2" spans="1:45" ht="18" customHeight="1" x14ac:dyDescent="0.2">
      <c r="K2" s="23"/>
      <c r="Q2" s="23"/>
      <c r="W2" s="23"/>
      <c r="AC2" s="23"/>
      <c r="AI2" s="23"/>
      <c r="AL2" s="23" t="s">
        <v>2</v>
      </c>
      <c r="AM2" s="196" t="str">
        <f>'様式１　プログラムを構成する授業科目'!C2</f>
        <v>京都橘大学</v>
      </c>
      <c r="AN2" s="196"/>
      <c r="AO2" s="196"/>
      <c r="AP2" s="196"/>
      <c r="AQ2" s="196"/>
    </row>
    <row r="3" spans="1:45" ht="18" customHeight="1" x14ac:dyDescent="0.2">
      <c r="A3" s="134" t="s">
        <v>75</v>
      </c>
      <c r="B3" s="134"/>
      <c r="C3" s="134"/>
      <c r="D3" s="134"/>
      <c r="E3" s="134"/>
      <c r="F3" s="134"/>
      <c r="G3" s="134"/>
      <c r="H3" s="134"/>
      <c r="I3" s="134"/>
      <c r="J3" s="134"/>
      <c r="K3" s="134"/>
      <c r="L3" s="134"/>
      <c r="M3" s="134"/>
      <c r="N3" s="134"/>
      <c r="O3" s="134"/>
      <c r="P3" s="134"/>
      <c r="Q3" s="134"/>
      <c r="R3" s="134"/>
      <c r="S3" s="134"/>
      <c r="T3" s="134"/>
      <c r="U3" s="134"/>
      <c r="V3" s="134"/>
      <c r="W3" s="134"/>
      <c r="X3" s="134"/>
      <c r="Y3" s="134"/>
      <c r="Z3" s="134"/>
      <c r="AA3" s="134"/>
      <c r="AB3" s="134"/>
      <c r="AC3" s="134"/>
      <c r="AD3" s="134"/>
      <c r="AE3" s="134"/>
      <c r="AF3" s="134"/>
      <c r="AG3" s="134"/>
      <c r="AH3" s="134"/>
      <c r="AI3" s="134"/>
      <c r="AJ3" s="134"/>
      <c r="AK3" s="134"/>
      <c r="AL3" s="134"/>
      <c r="AM3" s="134"/>
      <c r="AN3" s="134"/>
      <c r="AO3" s="134"/>
      <c r="AP3" s="134"/>
      <c r="AQ3" s="134"/>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76</v>
      </c>
      <c r="C5" s="197" t="s">
        <v>77</v>
      </c>
      <c r="D5" s="198"/>
      <c r="E5" s="3" t="s">
        <v>78</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79</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99" t="s">
        <v>80</v>
      </c>
      <c r="C9" s="214" t="s">
        <v>81</v>
      </c>
      <c r="D9" s="202" t="s">
        <v>82</v>
      </c>
      <c r="E9" s="205" t="s">
        <v>83</v>
      </c>
      <c r="F9" s="195" t="s">
        <v>84</v>
      </c>
      <c r="G9" s="195"/>
      <c r="H9" s="195"/>
      <c r="I9" s="195"/>
      <c r="J9" s="195"/>
      <c r="K9" s="195"/>
      <c r="L9" s="195" t="s">
        <v>85</v>
      </c>
      <c r="M9" s="195"/>
      <c r="N9" s="195"/>
      <c r="O9" s="195"/>
      <c r="P9" s="195"/>
      <c r="Q9" s="195"/>
      <c r="R9" s="195" t="s">
        <v>86</v>
      </c>
      <c r="S9" s="195"/>
      <c r="T9" s="195"/>
      <c r="U9" s="195"/>
      <c r="V9" s="195"/>
      <c r="W9" s="195"/>
      <c r="X9" s="195" t="s">
        <v>87</v>
      </c>
      <c r="Y9" s="195"/>
      <c r="Z9" s="195"/>
      <c r="AA9" s="195"/>
      <c r="AB9" s="195"/>
      <c r="AC9" s="195"/>
      <c r="AD9" s="195" t="s">
        <v>88</v>
      </c>
      <c r="AE9" s="195"/>
      <c r="AF9" s="195"/>
      <c r="AG9" s="195"/>
      <c r="AH9" s="195"/>
      <c r="AI9" s="195"/>
      <c r="AJ9" s="195" t="s">
        <v>89</v>
      </c>
      <c r="AK9" s="195"/>
      <c r="AL9" s="195"/>
      <c r="AM9" s="195"/>
      <c r="AN9" s="195"/>
      <c r="AO9" s="195"/>
      <c r="AP9" s="208" t="s">
        <v>90</v>
      </c>
      <c r="AQ9" s="211" t="s">
        <v>91</v>
      </c>
      <c r="AS9" s="2"/>
    </row>
    <row r="10" spans="1:45" ht="16.95" customHeight="1" x14ac:dyDescent="0.2">
      <c r="B10" s="200"/>
      <c r="C10" s="215"/>
      <c r="D10" s="203"/>
      <c r="E10" s="206"/>
      <c r="F10" s="193" t="s">
        <v>92</v>
      </c>
      <c r="G10" s="194"/>
      <c r="H10" s="194"/>
      <c r="I10" s="193" t="s">
        <v>93</v>
      </c>
      <c r="J10" s="194"/>
      <c r="K10" s="194"/>
      <c r="L10" s="193" t="s">
        <v>92</v>
      </c>
      <c r="M10" s="194"/>
      <c r="N10" s="194"/>
      <c r="O10" s="193" t="s">
        <v>93</v>
      </c>
      <c r="P10" s="194"/>
      <c r="Q10" s="194"/>
      <c r="R10" s="193" t="s">
        <v>92</v>
      </c>
      <c r="S10" s="194"/>
      <c r="T10" s="194"/>
      <c r="U10" s="193" t="s">
        <v>93</v>
      </c>
      <c r="V10" s="194"/>
      <c r="W10" s="194"/>
      <c r="X10" s="193" t="s">
        <v>92</v>
      </c>
      <c r="Y10" s="194"/>
      <c r="Z10" s="194"/>
      <c r="AA10" s="193" t="s">
        <v>93</v>
      </c>
      <c r="AB10" s="194"/>
      <c r="AC10" s="194"/>
      <c r="AD10" s="193" t="s">
        <v>92</v>
      </c>
      <c r="AE10" s="194"/>
      <c r="AF10" s="194"/>
      <c r="AG10" s="193" t="s">
        <v>93</v>
      </c>
      <c r="AH10" s="194"/>
      <c r="AI10" s="194"/>
      <c r="AJ10" s="193" t="s">
        <v>92</v>
      </c>
      <c r="AK10" s="194"/>
      <c r="AL10" s="194"/>
      <c r="AM10" s="193" t="s">
        <v>93</v>
      </c>
      <c r="AN10" s="194"/>
      <c r="AO10" s="194"/>
      <c r="AP10" s="209"/>
      <c r="AQ10" s="212"/>
      <c r="AS10" s="2"/>
    </row>
    <row r="11" spans="1:45" ht="18" customHeight="1" x14ac:dyDescent="0.2">
      <c r="B11" s="201"/>
      <c r="C11" s="216"/>
      <c r="D11" s="204"/>
      <c r="E11" s="207"/>
      <c r="F11" s="17" t="s">
        <v>94</v>
      </c>
      <c r="G11" s="18" t="s">
        <v>95</v>
      </c>
      <c r="H11" s="19" t="s">
        <v>96</v>
      </c>
      <c r="I11" s="17" t="s">
        <v>94</v>
      </c>
      <c r="J11" s="18" t="s">
        <v>95</v>
      </c>
      <c r="K11" s="19" t="s">
        <v>96</v>
      </c>
      <c r="L11" s="17" t="s">
        <v>94</v>
      </c>
      <c r="M11" s="18" t="s">
        <v>95</v>
      </c>
      <c r="N11" s="19" t="s">
        <v>96</v>
      </c>
      <c r="O11" s="17" t="s">
        <v>94</v>
      </c>
      <c r="P11" s="18" t="s">
        <v>95</v>
      </c>
      <c r="Q11" s="19" t="s">
        <v>96</v>
      </c>
      <c r="R11" s="17" t="s">
        <v>94</v>
      </c>
      <c r="S11" s="18" t="s">
        <v>95</v>
      </c>
      <c r="T11" s="19" t="s">
        <v>96</v>
      </c>
      <c r="U11" s="17" t="s">
        <v>94</v>
      </c>
      <c r="V11" s="18" t="s">
        <v>95</v>
      </c>
      <c r="W11" s="19" t="s">
        <v>96</v>
      </c>
      <c r="X11" s="17" t="s">
        <v>94</v>
      </c>
      <c r="Y11" s="18" t="s">
        <v>95</v>
      </c>
      <c r="Z11" s="19" t="s">
        <v>96</v>
      </c>
      <c r="AA11" s="17" t="s">
        <v>94</v>
      </c>
      <c r="AB11" s="18" t="s">
        <v>95</v>
      </c>
      <c r="AC11" s="19" t="s">
        <v>96</v>
      </c>
      <c r="AD11" s="17" t="s">
        <v>94</v>
      </c>
      <c r="AE11" s="18" t="s">
        <v>95</v>
      </c>
      <c r="AF11" s="19" t="s">
        <v>96</v>
      </c>
      <c r="AG11" s="17" t="s">
        <v>94</v>
      </c>
      <c r="AH11" s="18" t="s">
        <v>95</v>
      </c>
      <c r="AI11" s="19" t="s">
        <v>96</v>
      </c>
      <c r="AJ11" s="17" t="s">
        <v>94</v>
      </c>
      <c r="AK11" s="18" t="s">
        <v>95</v>
      </c>
      <c r="AL11" s="19" t="s">
        <v>96</v>
      </c>
      <c r="AM11" s="17" t="s">
        <v>94</v>
      </c>
      <c r="AN11" s="18" t="s">
        <v>95</v>
      </c>
      <c r="AO11" s="19" t="s">
        <v>96</v>
      </c>
      <c r="AP11" s="210"/>
      <c r="AQ11" s="213"/>
      <c r="AS11" s="2"/>
    </row>
    <row r="12" spans="1:45" ht="18" customHeight="1" x14ac:dyDescent="0.2">
      <c r="A12" s="6"/>
      <c r="B12" s="11" t="s">
        <v>97</v>
      </c>
      <c r="C12" s="64">
        <v>981</v>
      </c>
      <c r="D12" s="65">
        <v>240</v>
      </c>
      <c r="E12" s="66">
        <v>960</v>
      </c>
      <c r="F12" s="46">
        <f>G12+H12</f>
        <v>242</v>
      </c>
      <c r="G12" s="70">
        <v>113</v>
      </c>
      <c r="H12" s="71">
        <v>129</v>
      </c>
      <c r="I12" s="46">
        <f>J12+K12</f>
        <v>0</v>
      </c>
      <c r="J12" s="70">
        <v>0</v>
      </c>
      <c r="K12" s="71">
        <v>0</v>
      </c>
      <c r="L12" s="46">
        <f>M12+N12</f>
        <v>0</v>
      </c>
      <c r="M12" s="47"/>
      <c r="N12" s="48"/>
      <c r="O12" s="46">
        <f>P12+Q12</f>
        <v>0</v>
      </c>
      <c r="P12" s="47"/>
      <c r="Q12" s="48"/>
      <c r="R12" s="46">
        <f>S12+T12</f>
        <v>0</v>
      </c>
      <c r="S12" s="47"/>
      <c r="T12" s="48"/>
      <c r="U12" s="46">
        <f>V12+W12</f>
        <v>0</v>
      </c>
      <c r="V12" s="47"/>
      <c r="W12" s="48"/>
      <c r="X12" s="46">
        <f>Y12+Z12</f>
        <v>0</v>
      </c>
      <c r="Y12" s="47"/>
      <c r="Z12" s="48"/>
      <c r="AA12" s="46">
        <f>AB12+AC12</f>
        <v>0</v>
      </c>
      <c r="AB12" s="47"/>
      <c r="AC12" s="48"/>
      <c r="AD12" s="46">
        <f>AE12+AF12</f>
        <v>0</v>
      </c>
      <c r="AE12" s="47"/>
      <c r="AF12" s="48"/>
      <c r="AG12" s="46">
        <f>AH12+AI12</f>
        <v>0</v>
      </c>
      <c r="AH12" s="47"/>
      <c r="AI12" s="48"/>
      <c r="AJ12" s="46">
        <f>AK12+AL12</f>
        <v>0</v>
      </c>
      <c r="AK12" s="47"/>
      <c r="AL12" s="48"/>
      <c r="AM12" s="46">
        <f>AN12+AO12</f>
        <v>0</v>
      </c>
      <c r="AN12" s="47"/>
      <c r="AO12" s="48"/>
      <c r="AP12" s="45">
        <f>F12+L12+R12+X12+AD12+AJ12</f>
        <v>242</v>
      </c>
      <c r="AQ12" s="21">
        <f t="shared" ref="AQ12:AQ32" si="0">AP12/E12</f>
        <v>0.25208333333333333</v>
      </c>
    </row>
    <row r="13" spans="1:45" ht="18" customHeight="1" x14ac:dyDescent="0.2">
      <c r="A13" s="6"/>
      <c r="B13" s="12" t="s">
        <v>98</v>
      </c>
      <c r="C13" s="67">
        <v>415</v>
      </c>
      <c r="D13" s="68">
        <v>120</v>
      </c>
      <c r="E13" s="69">
        <v>420</v>
      </c>
      <c r="F13" s="52">
        <f t="shared" ref="F13:F31" si="1">G13+H13</f>
        <v>126</v>
      </c>
      <c r="G13" s="72">
        <v>50</v>
      </c>
      <c r="H13" s="73">
        <v>76</v>
      </c>
      <c r="I13" s="52">
        <f t="shared" ref="I13:I31" si="2">J13+K13</f>
        <v>0</v>
      </c>
      <c r="J13" s="72">
        <v>0</v>
      </c>
      <c r="K13" s="73">
        <v>0</v>
      </c>
      <c r="L13" s="52">
        <f t="shared" ref="L13:L31" si="3">M13+N13</f>
        <v>0</v>
      </c>
      <c r="M13" s="53"/>
      <c r="N13" s="54"/>
      <c r="O13" s="52">
        <f t="shared" ref="O13:O31" si="4">P13+Q13</f>
        <v>0</v>
      </c>
      <c r="P13" s="53"/>
      <c r="Q13" s="54"/>
      <c r="R13" s="52">
        <f t="shared" ref="R13:R31" si="5">S13+T13</f>
        <v>0</v>
      </c>
      <c r="S13" s="53"/>
      <c r="T13" s="54"/>
      <c r="U13" s="52">
        <f t="shared" ref="U13:U31" si="6">V13+W13</f>
        <v>0</v>
      </c>
      <c r="V13" s="53"/>
      <c r="W13" s="54"/>
      <c r="X13" s="52">
        <f t="shared" ref="X13:X31" si="7">Y13+Z13</f>
        <v>0</v>
      </c>
      <c r="Y13" s="53"/>
      <c r="Z13" s="54"/>
      <c r="AA13" s="52">
        <f t="shared" ref="AA13:AA31" si="8">AB13+AC13</f>
        <v>0</v>
      </c>
      <c r="AB13" s="53"/>
      <c r="AC13" s="54"/>
      <c r="AD13" s="52">
        <f t="shared" ref="AD13:AD31" si="9">AE13+AF13</f>
        <v>0</v>
      </c>
      <c r="AE13" s="53"/>
      <c r="AF13" s="54"/>
      <c r="AG13" s="52">
        <f t="shared" ref="AG13:AG31" si="10">AH13+AI13</f>
        <v>0</v>
      </c>
      <c r="AH13" s="53"/>
      <c r="AI13" s="54"/>
      <c r="AJ13" s="52">
        <f t="shared" ref="AJ13:AJ31" si="11">AK13+AL13</f>
        <v>0</v>
      </c>
      <c r="AK13" s="53"/>
      <c r="AL13" s="54"/>
      <c r="AM13" s="52">
        <f t="shared" ref="AM13:AM31" si="12">AN13+AO13</f>
        <v>0</v>
      </c>
      <c r="AN13" s="53"/>
      <c r="AO13" s="54"/>
      <c r="AP13" s="50">
        <f t="shared" ref="AP13:AP31" si="13">F13+L13+R13+X13+AD13+AJ13</f>
        <v>126</v>
      </c>
      <c r="AQ13" s="20">
        <f t="shared" si="0"/>
        <v>0.3</v>
      </c>
    </row>
    <row r="14" spans="1:45" ht="18" customHeight="1" x14ac:dyDescent="0.2">
      <c r="A14" s="6"/>
      <c r="B14" s="12" t="s">
        <v>99</v>
      </c>
      <c r="C14" s="67">
        <v>567</v>
      </c>
      <c r="D14" s="68">
        <v>140</v>
      </c>
      <c r="E14" s="69">
        <v>560</v>
      </c>
      <c r="F14" s="52">
        <f t="shared" si="1"/>
        <v>141</v>
      </c>
      <c r="G14" s="72">
        <v>24</v>
      </c>
      <c r="H14" s="73">
        <v>117</v>
      </c>
      <c r="I14" s="52">
        <f t="shared" si="2"/>
        <v>0</v>
      </c>
      <c r="J14" s="72">
        <v>0</v>
      </c>
      <c r="K14" s="73">
        <v>0</v>
      </c>
      <c r="L14" s="52">
        <f t="shared" si="3"/>
        <v>0</v>
      </c>
      <c r="M14" s="53"/>
      <c r="N14" s="54"/>
      <c r="O14" s="52">
        <f t="shared" si="4"/>
        <v>0</v>
      </c>
      <c r="P14" s="53"/>
      <c r="Q14" s="54"/>
      <c r="R14" s="52">
        <f t="shared" si="5"/>
        <v>0</v>
      </c>
      <c r="S14" s="53"/>
      <c r="T14" s="54"/>
      <c r="U14" s="52">
        <f t="shared" si="6"/>
        <v>0</v>
      </c>
      <c r="V14" s="53"/>
      <c r="W14" s="54"/>
      <c r="X14" s="52">
        <f t="shared" si="7"/>
        <v>0</v>
      </c>
      <c r="Y14" s="53"/>
      <c r="Z14" s="54"/>
      <c r="AA14" s="52">
        <f t="shared" si="8"/>
        <v>0</v>
      </c>
      <c r="AB14" s="53"/>
      <c r="AC14" s="54"/>
      <c r="AD14" s="52">
        <f t="shared" si="9"/>
        <v>0</v>
      </c>
      <c r="AE14" s="53"/>
      <c r="AF14" s="54"/>
      <c r="AG14" s="52">
        <f t="shared" si="10"/>
        <v>0</v>
      </c>
      <c r="AH14" s="53"/>
      <c r="AI14" s="54"/>
      <c r="AJ14" s="52">
        <f t="shared" si="11"/>
        <v>0</v>
      </c>
      <c r="AK14" s="53"/>
      <c r="AL14" s="54"/>
      <c r="AM14" s="52">
        <f t="shared" si="12"/>
        <v>0</v>
      </c>
      <c r="AN14" s="53"/>
      <c r="AO14" s="54"/>
      <c r="AP14" s="50">
        <f t="shared" si="13"/>
        <v>141</v>
      </c>
      <c r="AQ14" s="8">
        <f t="shared" si="0"/>
        <v>0.25178571428571428</v>
      </c>
    </row>
    <row r="15" spans="1:45" ht="18" customHeight="1" x14ac:dyDescent="0.2">
      <c r="A15" s="6"/>
      <c r="B15" s="12" t="s">
        <v>100</v>
      </c>
      <c r="C15" s="67">
        <v>505</v>
      </c>
      <c r="D15" s="68">
        <v>240</v>
      </c>
      <c r="E15" s="69">
        <v>480</v>
      </c>
      <c r="F15" s="52">
        <f t="shared" si="1"/>
        <v>283</v>
      </c>
      <c r="G15" s="72">
        <v>204</v>
      </c>
      <c r="H15" s="73">
        <v>79</v>
      </c>
      <c r="I15" s="52">
        <f t="shared" si="2"/>
        <v>0</v>
      </c>
      <c r="J15" s="72">
        <v>0</v>
      </c>
      <c r="K15" s="73">
        <v>0</v>
      </c>
      <c r="L15" s="52">
        <f t="shared" si="3"/>
        <v>0</v>
      </c>
      <c r="M15" s="53"/>
      <c r="N15" s="54"/>
      <c r="O15" s="52">
        <f t="shared" si="4"/>
        <v>0</v>
      </c>
      <c r="P15" s="53"/>
      <c r="Q15" s="54"/>
      <c r="R15" s="52">
        <f t="shared" si="5"/>
        <v>0</v>
      </c>
      <c r="S15" s="53"/>
      <c r="T15" s="54"/>
      <c r="U15" s="52">
        <f t="shared" si="6"/>
        <v>0</v>
      </c>
      <c r="V15" s="53"/>
      <c r="W15" s="54"/>
      <c r="X15" s="52">
        <f t="shared" si="7"/>
        <v>0</v>
      </c>
      <c r="Y15" s="53"/>
      <c r="Z15" s="54"/>
      <c r="AA15" s="52">
        <f t="shared" si="8"/>
        <v>0</v>
      </c>
      <c r="AB15" s="53"/>
      <c r="AC15" s="54"/>
      <c r="AD15" s="52">
        <f t="shared" si="9"/>
        <v>0</v>
      </c>
      <c r="AE15" s="53"/>
      <c r="AF15" s="54"/>
      <c r="AG15" s="52">
        <f t="shared" si="10"/>
        <v>0</v>
      </c>
      <c r="AH15" s="53"/>
      <c r="AI15" s="54"/>
      <c r="AJ15" s="52">
        <f t="shared" si="11"/>
        <v>0</v>
      </c>
      <c r="AK15" s="53"/>
      <c r="AL15" s="54"/>
      <c r="AM15" s="52">
        <f t="shared" si="12"/>
        <v>0</v>
      </c>
      <c r="AN15" s="53"/>
      <c r="AO15" s="54"/>
      <c r="AP15" s="50">
        <f t="shared" si="13"/>
        <v>283</v>
      </c>
      <c r="AQ15" s="8">
        <f t="shared" si="0"/>
        <v>0.58958333333333335</v>
      </c>
    </row>
    <row r="16" spans="1:45" ht="18" customHeight="1" x14ac:dyDescent="0.2">
      <c r="A16" s="6"/>
      <c r="B16" s="12" t="s">
        <v>101</v>
      </c>
      <c r="C16" s="67">
        <v>535</v>
      </c>
      <c r="D16" s="68">
        <v>260</v>
      </c>
      <c r="E16" s="69">
        <v>520</v>
      </c>
      <c r="F16" s="52">
        <f t="shared" si="1"/>
        <v>293</v>
      </c>
      <c r="G16" s="72">
        <v>195</v>
      </c>
      <c r="H16" s="73">
        <v>98</v>
      </c>
      <c r="I16" s="52">
        <v>40</v>
      </c>
      <c r="J16" s="98"/>
      <c r="K16" s="99"/>
      <c r="L16" s="52">
        <f t="shared" si="3"/>
        <v>0</v>
      </c>
      <c r="M16" s="53"/>
      <c r="N16" s="54"/>
      <c r="O16" s="52">
        <f t="shared" si="4"/>
        <v>0</v>
      </c>
      <c r="P16" s="53"/>
      <c r="Q16" s="54"/>
      <c r="R16" s="52">
        <f t="shared" si="5"/>
        <v>0</v>
      </c>
      <c r="S16" s="53"/>
      <c r="T16" s="54"/>
      <c r="U16" s="52">
        <f t="shared" si="6"/>
        <v>0</v>
      </c>
      <c r="V16" s="53"/>
      <c r="W16" s="54"/>
      <c r="X16" s="52">
        <f t="shared" si="7"/>
        <v>0</v>
      </c>
      <c r="Y16" s="53"/>
      <c r="Z16" s="54"/>
      <c r="AA16" s="52">
        <f t="shared" si="8"/>
        <v>0</v>
      </c>
      <c r="AB16" s="53"/>
      <c r="AC16" s="54"/>
      <c r="AD16" s="52">
        <f t="shared" si="9"/>
        <v>0</v>
      </c>
      <c r="AE16" s="53"/>
      <c r="AF16" s="54"/>
      <c r="AG16" s="52">
        <f t="shared" si="10"/>
        <v>0</v>
      </c>
      <c r="AH16" s="53"/>
      <c r="AI16" s="54"/>
      <c r="AJ16" s="52">
        <f t="shared" si="11"/>
        <v>0</v>
      </c>
      <c r="AK16" s="53"/>
      <c r="AL16" s="54"/>
      <c r="AM16" s="52">
        <f t="shared" si="12"/>
        <v>0</v>
      </c>
      <c r="AN16" s="53"/>
      <c r="AO16" s="54"/>
      <c r="AP16" s="50">
        <f t="shared" si="13"/>
        <v>293</v>
      </c>
      <c r="AQ16" s="8">
        <f t="shared" si="0"/>
        <v>0.56346153846153846</v>
      </c>
    </row>
    <row r="17" spans="1:43" ht="18" customHeight="1" x14ac:dyDescent="0.2">
      <c r="A17" s="6"/>
      <c r="B17" s="12" t="s">
        <v>102</v>
      </c>
      <c r="C17" s="67">
        <v>459</v>
      </c>
      <c r="D17" s="68">
        <v>210</v>
      </c>
      <c r="E17" s="69">
        <v>420</v>
      </c>
      <c r="F17" s="52">
        <f t="shared" si="1"/>
        <v>249</v>
      </c>
      <c r="G17" s="72">
        <v>177</v>
      </c>
      <c r="H17" s="73">
        <v>72</v>
      </c>
      <c r="I17" s="52">
        <v>149</v>
      </c>
      <c r="J17" s="98"/>
      <c r="K17" s="99"/>
      <c r="L17" s="52">
        <f t="shared" si="3"/>
        <v>0</v>
      </c>
      <c r="M17" s="53"/>
      <c r="N17" s="54"/>
      <c r="O17" s="52">
        <f t="shared" si="4"/>
        <v>0</v>
      </c>
      <c r="P17" s="53"/>
      <c r="Q17" s="54"/>
      <c r="R17" s="52">
        <f t="shared" si="5"/>
        <v>0</v>
      </c>
      <c r="S17" s="53"/>
      <c r="T17" s="54"/>
      <c r="U17" s="52">
        <f t="shared" si="6"/>
        <v>0</v>
      </c>
      <c r="V17" s="53"/>
      <c r="W17" s="54"/>
      <c r="X17" s="52">
        <f t="shared" si="7"/>
        <v>0</v>
      </c>
      <c r="Y17" s="53"/>
      <c r="Z17" s="54"/>
      <c r="AA17" s="52">
        <f t="shared" si="8"/>
        <v>0</v>
      </c>
      <c r="AB17" s="53"/>
      <c r="AC17" s="54"/>
      <c r="AD17" s="52">
        <f t="shared" si="9"/>
        <v>0</v>
      </c>
      <c r="AE17" s="53"/>
      <c r="AF17" s="54"/>
      <c r="AG17" s="52">
        <f t="shared" si="10"/>
        <v>0</v>
      </c>
      <c r="AH17" s="53"/>
      <c r="AI17" s="54"/>
      <c r="AJ17" s="52">
        <f t="shared" si="11"/>
        <v>0</v>
      </c>
      <c r="AK17" s="53"/>
      <c r="AL17" s="54"/>
      <c r="AM17" s="52">
        <f t="shared" si="12"/>
        <v>0</v>
      </c>
      <c r="AN17" s="53"/>
      <c r="AO17" s="54"/>
      <c r="AP17" s="50">
        <f t="shared" si="13"/>
        <v>249</v>
      </c>
      <c r="AQ17" s="8">
        <f t="shared" si="0"/>
        <v>0.59285714285714286</v>
      </c>
    </row>
    <row r="18" spans="1:43" ht="18" customHeight="1" x14ac:dyDescent="0.2">
      <c r="A18" s="6"/>
      <c r="B18" s="12" t="s">
        <v>103</v>
      </c>
      <c r="C18" s="67">
        <v>399</v>
      </c>
      <c r="D18" s="68">
        <v>95</v>
      </c>
      <c r="E18" s="69">
        <v>380</v>
      </c>
      <c r="F18" s="52">
        <f t="shared" si="1"/>
        <v>107</v>
      </c>
      <c r="G18" s="72">
        <v>4</v>
      </c>
      <c r="H18" s="73">
        <v>103</v>
      </c>
      <c r="I18" s="52">
        <v>2</v>
      </c>
      <c r="J18" s="98"/>
      <c r="K18" s="99"/>
      <c r="L18" s="52">
        <f t="shared" si="3"/>
        <v>0</v>
      </c>
      <c r="M18" s="53"/>
      <c r="N18" s="54"/>
      <c r="O18" s="52">
        <f t="shared" si="4"/>
        <v>0</v>
      </c>
      <c r="P18" s="53"/>
      <c r="Q18" s="54"/>
      <c r="R18" s="52">
        <f t="shared" si="5"/>
        <v>0</v>
      </c>
      <c r="S18" s="53"/>
      <c r="T18" s="54"/>
      <c r="U18" s="52">
        <f t="shared" si="6"/>
        <v>0</v>
      </c>
      <c r="V18" s="53"/>
      <c r="W18" s="54"/>
      <c r="X18" s="52">
        <f t="shared" si="7"/>
        <v>0</v>
      </c>
      <c r="Y18" s="53"/>
      <c r="Z18" s="54"/>
      <c r="AA18" s="52">
        <f t="shared" si="8"/>
        <v>0</v>
      </c>
      <c r="AB18" s="53"/>
      <c r="AC18" s="54"/>
      <c r="AD18" s="52">
        <f t="shared" si="9"/>
        <v>0</v>
      </c>
      <c r="AE18" s="53"/>
      <c r="AF18" s="54"/>
      <c r="AG18" s="52">
        <f t="shared" si="10"/>
        <v>0</v>
      </c>
      <c r="AH18" s="53"/>
      <c r="AI18" s="54"/>
      <c r="AJ18" s="52">
        <f t="shared" si="11"/>
        <v>0</v>
      </c>
      <c r="AK18" s="53"/>
      <c r="AL18" s="54"/>
      <c r="AM18" s="52">
        <f t="shared" si="12"/>
        <v>0</v>
      </c>
      <c r="AN18" s="53"/>
      <c r="AO18" s="54"/>
      <c r="AP18" s="50">
        <f t="shared" si="13"/>
        <v>107</v>
      </c>
      <c r="AQ18" s="8">
        <f t="shared" si="0"/>
        <v>0.28157894736842104</v>
      </c>
    </row>
    <row r="19" spans="1:43" ht="18" customHeight="1" x14ac:dyDescent="0.2">
      <c r="A19" s="6"/>
      <c r="B19" s="12" t="s">
        <v>104</v>
      </c>
      <c r="C19" s="67">
        <v>1344</v>
      </c>
      <c r="D19" s="68">
        <v>326</v>
      </c>
      <c r="E19" s="69">
        <v>1304</v>
      </c>
      <c r="F19" s="52">
        <f t="shared" si="1"/>
        <v>352</v>
      </c>
      <c r="G19" s="72">
        <v>138</v>
      </c>
      <c r="H19" s="73">
        <v>214</v>
      </c>
      <c r="I19" s="52">
        <f t="shared" si="2"/>
        <v>0</v>
      </c>
      <c r="J19" s="98"/>
      <c r="K19" s="99"/>
      <c r="L19" s="52">
        <f t="shared" si="3"/>
        <v>0</v>
      </c>
      <c r="M19" s="53"/>
      <c r="N19" s="54"/>
      <c r="O19" s="52">
        <f t="shared" si="4"/>
        <v>0</v>
      </c>
      <c r="P19" s="53"/>
      <c r="Q19" s="54"/>
      <c r="R19" s="52">
        <f t="shared" si="5"/>
        <v>0</v>
      </c>
      <c r="S19" s="53"/>
      <c r="T19" s="54"/>
      <c r="U19" s="52">
        <f t="shared" si="6"/>
        <v>0</v>
      </c>
      <c r="V19" s="53"/>
      <c r="W19" s="54"/>
      <c r="X19" s="52">
        <f t="shared" si="7"/>
        <v>0</v>
      </c>
      <c r="Y19" s="53"/>
      <c r="Z19" s="54"/>
      <c r="AA19" s="52">
        <f t="shared" si="8"/>
        <v>0</v>
      </c>
      <c r="AB19" s="53"/>
      <c r="AC19" s="54"/>
      <c r="AD19" s="52">
        <f t="shared" si="9"/>
        <v>0</v>
      </c>
      <c r="AE19" s="53"/>
      <c r="AF19" s="54"/>
      <c r="AG19" s="52">
        <f t="shared" si="10"/>
        <v>0</v>
      </c>
      <c r="AH19" s="53"/>
      <c r="AI19" s="54"/>
      <c r="AJ19" s="52">
        <f t="shared" si="11"/>
        <v>0</v>
      </c>
      <c r="AK19" s="53"/>
      <c r="AL19" s="54"/>
      <c r="AM19" s="52">
        <f t="shared" si="12"/>
        <v>0</v>
      </c>
      <c r="AN19" s="53"/>
      <c r="AO19" s="54"/>
      <c r="AP19" s="50">
        <f t="shared" si="13"/>
        <v>352</v>
      </c>
      <c r="AQ19" s="8">
        <f t="shared" si="0"/>
        <v>0.26993865030674846</v>
      </c>
    </row>
    <row r="20" spans="1:43" ht="18" customHeight="1" x14ac:dyDescent="0.2">
      <c r="A20" s="6"/>
      <c r="B20" s="12"/>
      <c r="C20" s="49"/>
      <c r="D20" s="50"/>
      <c r="E20" s="51"/>
      <c r="F20" s="52">
        <f t="shared" si="1"/>
        <v>0</v>
      </c>
      <c r="G20" s="53"/>
      <c r="H20" s="54"/>
      <c r="I20" s="52">
        <f t="shared" si="2"/>
        <v>0</v>
      </c>
      <c r="J20" s="53"/>
      <c r="K20" s="54"/>
      <c r="L20" s="52">
        <f t="shared" si="3"/>
        <v>0</v>
      </c>
      <c r="M20" s="53"/>
      <c r="N20" s="54"/>
      <c r="O20" s="52">
        <f t="shared" si="4"/>
        <v>0</v>
      </c>
      <c r="P20" s="53"/>
      <c r="Q20" s="54"/>
      <c r="R20" s="52">
        <f t="shared" si="5"/>
        <v>0</v>
      </c>
      <c r="S20" s="53"/>
      <c r="T20" s="54"/>
      <c r="U20" s="52">
        <f t="shared" si="6"/>
        <v>0</v>
      </c>
      <c r="V20" s="53"/>
      <c r="W20" s="54"/>
      <c r="X20" s="52">
        <f t="shared" si="7"/>
        <v>0</v>
      </c>
      <c r="Y20" s="53"/>
      <c r="Z20" s="54"/>
      <c r="AA20" s="52">
        <f t="shared" si="8"/>
        <v>0</v>
      </c>
      <c r="AB20" s="53"/>
      <c r="AC20" s="54"/>
      <c r="AD20" s="52">
        <f t="shared" si="9"/>
        <v>0</v>
      </c>
      <c r="AE20" s="53"/>
      <c r="AF20" s="54"/>
      <c r="AG20" s="52">
        <f t="shared" si="10"/>
        <v>0</v>
      </c>
      <c r="AH20" s="53"/>
      <c r="AI20" s="54"/>
      <c r="AJ20" s="52">
        <f t="shared" si="11"/>
        <v>0</v>
      </c>
      <c r="AK20" s="53"/>
      <c r="AL20" s="54"/>
      <c r="AM20" s="52">
        <f t="shared" si="12"/>
        <v>0</v>
      </c>
      <c r="AN20" s="53"/>
      <c r="AO20" s="54"/>
      <c r="AP20" s="50">
        <f t="shared" si="13"/>
        <v>0</v>
      </c>
      <c r="AQ20" s="8" t="e">
        <f t="shared" si="0"/>
        <v>#DIV/0!</v>
      </c>
    </row>
    <row r="21" spans="1:43" ht="18" customHeight="1" x14ac:dyDescent="0.2">
      <c r="A21" s="6"/>
      <c r="B21" s="12"/>
      <c r="C21" s="49"/>
      <c r="D21" s="50"/>
      <c r="E21" s="51"/>
      <c r="F21" s="52">
        <f t="shared" si="1"/>
        <v>0</v>
      </c>
      <c r="G21" s="53"/>
      <c r="H21" s="54"/>
      <c r="I21" s="52">
        <f t="shared" si="2"/>
        <v>0</v>
      </c>
      <c r="J21" s="53"/>
      <c r="K21" s="54"/>
      <c r="L21" s="52">
        <f t="shared" si="3"/>
        <v>0</v>
      </c>
      <c r="M21" s="53"/>
      <c r="N21" s="54"/>
      <c r="O21" s="52">
        <f t="shared" si="4"/>
        <v>0</v>
      </c>
      <c r="P21" s="53"/>
      <c r="Q21" s="54"/>
      <c r="R21" s="52">
        <f t="shared" si="5"/>
        <v>0</v>
      </c>
      <c r="S21" s="53"/>
      <c r="T21" s="54"/>
      <c r="U21" s="52">
        <f t="shared" si="6"/>
        <v>0</v>
      </c>
      <c r="V21" s="53"/>
      <c r="W21" s="54"/>
      <c r="X21" s="52">
        <f t="shared" si="7"/>
        <v>0</v>
      </c>
      <c r="Y21" s="53"/>
      <c r="Z21" s="54"/>
      <c r="AA21" s="52">
        <f t="shared" si="8"/>
        <v>0</v>
      </c>
      <c r="AB21" s="53"/>
      <c r="AC21" s="54"/>
      <c r="AD21" s="52">
        <f t="shared" si="9"/>
        <v>0</v>
      </c>
      <c r="AE21" s="53"/>
      <c r="AF21" s="54"/>
      <c r="AG21" s="52">
        <f t="shared" si="10"/>
        <v>0</v>
      </c>
      <c r="AH21" s="53"/>
      <c r="AI21" s="54"/>
      <c r="AJ21" s="52">
        <f t="shared" si="11"/>
        <v>0</v>
      </c>
      <c r="AK21" s="53"/>
      <c r="AL21" s="54"/>
      <c r="AM21" s="52">
        <f t="shared" si="12"/>
        <v>0</v>
      </c>
      <c r="AN21" s="53"/>
      <c r="AO21" s="54"/>
      <c r="AP21" s="50">
        <f t="shared" si="13"/>
        <v>0</v>
      </c>
      <c r="AQ21" s="8" t="e">
        <f t="shared" si="0"/>
        <v>#DIV/0!</v>
      </c>
    </row>
    <row r="22" spans="1:43" ht="18" customHeight="1" x14ac:dyDescent="0.2">
      <c r="A22" s="6"/>
      <c r="B22" s="12"/>
      <c r="C22" s="49"/>
      <c r="D22" s="50"/>
      <c r="E22" s="51"/>
      <c r="F22" s="52">
        <f t="shared" si="1"/>
        <v>0</v>
      </c>
      <c r="G22" s="53"/>
      <c r="H22" s="54"/>
      <c r="I22" s="52">
        <f t="shared" si="2"/>
        <v>0</v>
      </c>
      <c r="J22" s="53"/>
      <c r="K22" s="54"/>
      <c r="L22" s="52">
        <f t="shared" si="3"/>
        <v>0</v>
      </c>
      <c r="M22" s="53"/>
      <c r="N22" s="54"/>
      <c r="O22" s="52">
        <f t="shared" si="4"/>
        <v>0</v>
      </c>
      <c r="P22" s="53"/>
      <c r="Q22" s="54"/>
      <c r="R22" s="52">
        <f t="shared" si="5"/>
        <v>0</v>
      </c>
      <c r="S22" s="53"/>
      <c r="T22" s="54"/>
      <c r="U22" s="52">
        <f t="shared" si="6"/>
        <v>0</v>
      </c>
      <c r="V22" s="53"/>
      <c r="W22" s="54"/>
      <c r="X22" s="52">
        <f t="shared" si="7"/>
        <v>0</v>
      </c>
      <c r="Y22" s="53"/>
      <c r="Z22" s="54"/>
      <c r="AA22" s="52">
        <f t="shared" si="8"/>
        <v>0</v>
      </c>
      <c r="AB22" s="53"/>
      <c r="AC22" s="54"/>
      <c r="AD22" s="52">
        <f t="shared" si="9"/>
        <v>0</v>
      </c>
      <c r="AE22" s="53"/>
      <c r="AF22" s="54"/>
      <c r="AG22" s="52">
        <f t="shared" si="10"/>
        <v>0</v>
      </c>
      <c r="AH22" s="53"/>
      <c r="AI22" s="54"/>
      <c r="AJ22" s="52">
        <f t="shared" si="11"/>
        <v>0</v>
      </c>
      <c r="AK22" s="53"/>
      <c r="AL22" s="54"/>
      <c r="AM22" s="52">
        <f t="shared" si="12"/>
        <v>0</v>
      </c>
      <c r="AN22" s="53"/>
      <c r="AO22" s="54"/>
      <c r="AP22" s="50">
        <f t="shared" si="13"/>
        <v>0</v>
      </c>
      <c r="AQ22" s="8" t="e">
        <f t="shared" si="0"/>
        <v>#DIV/0!</v>
      </c>
    </row>
    <row r="23" spans="1:43" ht="18" customHeight="1" x14ac:dyDescent="0.2">
      <c r="A23" s="6"/>
      <c r="B23" s="12"/>
      <c r="C23" s="49"/>
      <c r="D23" s="50"/>
      <c r="E23" s="51"/>
      <c r="F23" s="52">
        <f t="shared" si="1"/>
        <v>0</v>
      </c>
      <c r="G23" s="53"/>
      <c r="H23" s="54"/>
      <c r="I23" s="52">
        <f t="shared" si="2"/>
        <v>0</v>
      </c>
      <c r="J23" s="53"/>
      <c r="K23" s="54"/>
      <c r="L23" s="52">
        <f t="shared" si="3"/>
        <v>0</v>
      </c>
      <c r="M23" s="53"/>
      <c r="N23" s="54"/>
      <c r="O23" s="52">
        <f t="shared" si="4"/>
        <v>0</v>
      </c>
      <c r="P23" s="53"/>
      <c r="Q23" s="54"/>
      <c r="R23" s="52">
        <f t="shared" si="5"/>
        <v>0</v>
      </c>
      <c r="S23" s="53"/>
      <c r="T23" s="54"/>
      <c r="U23" s="52">
        <f t="shared" si="6"/>
        <v>0</v>
      </c>
      <c r="V23" s="53"/>
      <c r="W23" s="54"/>
      <c r="X23" s="52">
        <f t="shared" si="7"/>
        <v>0</v>
      </c>
      <c r="Y23" s="53"/>
      <c r="Z23" s="54"/>
      <c r="AA23" s="52">
        <f t="shared" si="8"/>
        <v>0</v>
      </c>
      <c r="AB23" s="53"/>
      <c r="AC23" s="54"/>
      <c r="AD23" s="52">
        <f t="shared" si="9"/>
        <v>0</v>
      </c>
      <c r="AE23" s="53"/>
      <c r="AF23" s="54"/>
      <c r="AG23" s="52">
        <f t="shared" si="10"/>
        <v>0</v>
      </c>
      <c r="AH23" s="53"/>
      <c r="AI23" s="54"/>
      <c r="AJ23" s="52">
        <f t="shared" si="11"/>
        <v>0</v>
      </c>
      <c r="AK23" s="53"/>
      <c r="AL23" s="54"/>
      <c r="AM23" s="52">
        <f t="shared" si="12"/>
        <v>0</v>
      </c>
      <c r="AN23" s="53"/>
      <c r="AO23" s="54"/>
      <c r="AP23" s="50">
        <f t="shared" si="13"/>
        <v>0</v>
      </c>
      <c r="AQ23" s="8" t="e">
        <f t="shared" si="0"/>
        <v>#DIV/0!</v>
      </c>
    </row>
    <row r="24" spans="1:43" ht="18" customHeight="1" x14ac:dyDescent="0.2">
      <c r="A24" s="6"/>
      <c r="B24" s="12"/>
      <c r="C24" s="49"/>
      <c r="D24" s="50"/>
      <c r="E24" s="51"/>
      <c r="F24" s="52">
        <f t="shared" si="1"/>
        <v>0</v>
      </c>
      <c r="G24" s="53"/>
      <c r="H24" s="54"/>
      <c r="I24" s="52">
        <f t="shared" si="2"/>
        <v>0</v>
      </c>
      <c r="J24" s="53"/>
      <c r="K24" s="54"/>
      <c r="L24" s="52">
        <f t="shared" si="3"/>
        <v>0</v>
      </c>
      <c r="M24" s="53"/>
      <c r="N24" s="54"/>
      <c r="O24" s="52">
        <f t="shared" si="4"/>
        <v>0</v>
      </c>
      <c r="P24" s="53"/>
      <c r="Q24" s="54"/>
      <c r="R24" s="52">
        <f t="shared" si="5"/>
        <v>0</v>
      </c>
      <c r="S24" s="53"/>
      <c r="T24" s="54"/>
      <c r="U24" s="52">
        <f t="shared" si="6"/>
        <v>0</v>
      </c>
      <c r="V24" s="53"/>
      <c r="W24" s="54"/>
      <c r="X24" s="52">
        <f t="shared" si="7"/>
        <v>0</v>
      </c>
      <c r="Y24" s="53"/>
      <c r="Z24" s="54"/>
      <c r="AA24" s="52">
        <f t="shared" si="8"/>
        <v>0</v>
      </c>
      <c r="AB24" s="53"/>
      <c r="AC24" s="54"/>
      <c r="AD24" s="52">
        <f t="shared" si="9"/>
        <v>0</v>
      </c>
      <c r="AE24" s="53"/>
      <c r="AF24" s="54"/>
      <c r="AG24" s="52">
        <f t="shared" si="10"/>
        <v>0</v>
      </c>
      <c r="AH24" s="53"/>
      <c r="AI24" s="54"/>
      <c r="AJ24" s="52">
        <f t="shared" si="11"/>
        <v>0</v>
      </c>
      <c r="AK24" s="53"/>
      <c r="AL24" s="54"/>
      <c r="AM24" s="52">
        <f t="shared" si="12"/>
        <v>0</v>
      </c>
      <c r="AN24" s="53"/>
      <c r="AO24" s="54"/>
      <c r="AP24" s="50">
        <f t="shared" si="13"/>
        <v>0</v>
      </c>
      <c r="AQ24" s="8" t="e">
        <f t="shared" si="0"/>
        <v>#DIV/0!</v>
      </c>
    </row>
    <row r="25" spans="1:43" ht="18" customHeight="1" x14ac:dyDescent="0.2">
      <c r="A25" s="6"/>
      <c r="B25" s="12"/>
      <c r="C25" s="49"/>
      <c r="D25" s="50"/>
      <c r="E25" s="51"/>
      <c r="F25" s="52">
        <f t="shared" si="1"/>
        <v>0</v>
      </c>
      <c r="G25" s="53"/>
      <c r="H25" s="54"/>
      <c r="I25" s="52">
        <f t="shared" si="2"/>
        <v>0</v>
      </c>
      <c r="J25" s="53"/>
      <c r="K25" s="54"/>
      <c r="L25" s="52">
        <f t="shared" si="3"/>
        <v>0</v>
      </c>
      <c r="M25" s="53"/>
      <c r="N25" s="54"/>
      <c r="O25" s="52">
        <f t="shared" si="4"/>
        <v>0</v>
      </c>
      <c r="P25" s="53"/>
      <c r="Q25" s="54"/>
      <c r="R25" s="52">
        <f t="shared" si="5"/>
        <v>0</v>
      </c>
      <c r="S25" s="53"/>
      <c r="T25" s="54"/>
      <c r="U25" s="52">
        <f t="shared" si="6"/>
        <v>0</v>
      </c>
      <c r="V25" s="53"/>
      <c r="W25" s="54"/>
      <c r="X25" s="52">
        <f t="shared" si="7"/>
        <v>0</v>
      </c>
      <c r="Y25" s="53"/>
      <c r="Z25" s="54"/>
      <c r="AA25" s="52">
        <f t="shared" si="8"/>
        <v>0</v>
      </c>
      <c r="AB25" s="53"/>
      <c r="AC25" s="54"/>
      <c r="AD25" s="52">
        <f t="shared" si="9"/>
        <v>0</v>
      </c>
      <c r="AE25" s="53"/>
      <c r="AF25" s="54"/>
      <c r="AG25" s="52">
        <f t="shared" si="10"/>
        <v>0</v>
      </c>
      <c r="AH25" s="53"/>
      <c r="AI25" s="54"/>
      <c r="AJ25" s="52">
        <f t="shared" si="11"/>
        <v>0</v>
      </c>
      <c r="AK25" s="53"/>
      <c r="AL25" s="54"/>
      <c r="AM25" s="52">
        <f t="shared" si="12"/>
        <v>0</v>
      </c>
      <c r="AN25" s="53"/>
      <c r="AO25" s="54"/>
      <c r="AP25" s="50">
        <f t="shared" si="13"/>
        <v>0</v>
      </c>
      <c r="AQ25" s="8" t="e">
        <f t="shared" si="0"/>
        <v>#DIV/0!</v>
      </c>
    </row>
    <row r="26" spans="1:43" ht="18" customHeight="1" x14ac:dyDescent="0.2">
      <c r="A26" s="6"/>
      <c r="B26" s="12"/>
      <c r="C26" s="49"/>
      <c r="D26" s="50"/>
      <c r="E26" s="51"/>
      <c r="F26" s="52">
        <f t="shared" si="1"/>
        <v>0</v>
      </c>
      <c r="G26" s="53"/>
      <c r="H26" s="54"/>
      <c r="I26" s="52">
        <f t="shared" si="2"/>
        <v>0</v>
      </c>
      <c r="J26" s="53"/>
      <c r="K26" s="54"/>
      <c r="L26" s="52">
        <f t="shared" si="3"/>
        <v>0</v>
      </c>
      <c r="M26" s="53"/>
      <c r="N26" s="54"/>
      <c r="O26" s="52">
        <f t="shared" si="4"/>
        <v>0</v>
      </c>
      <c r="P26" s="53"/>
      <c r="Q26" s="54"/>
      <c r="R26" s="52">
        <f t="shared" si="5"/>
        <v>0</v>
      </c>
      <c r="S26" s="53"/>
      <c r="T26" s="54"/>
      <c r="U26" s="52">
        <f t="shared" si="6"/>
        <v>0</v>
      </c>
      <c r="V26" s="53"/>
      <c r="W26" s="54"/>
      <c r="X26" s="52">
        <f t="shared" si="7"/>
        <v>0</v>
      </c>
      <c r="Y26" s="53"/>
      <c r="Z26" s="54"/>
      <c r="AA26" s="52">
        <f t="shared" si="8"/>
        <v>0</v>
      </c>
      <c r="AB26" s="53"/>
      <c r="AC26" s="54"/>
      <c r="AD26" s="52">
        <f t="shared" si="9"/>
        <v>0</v>
      </c>
      <c r="AE26" s="53"/>
      <c r="AF26" s="54"/>
      <c r="AG26" s="52">
        <f t="shared" si="10"/>
        <v>0</v>
      </c>
      <c r="AH26" s="53"/>
      <c r="AI26" s="54"/>
      <c r="AJ26" s="52">
        <f t="shared" si="11"/>
        <v>0</v>
      </c>
      <c r="AK26" s="53"/>
      <c r="AL26" s="54"/>
      <c r="AM26" s="52">
        <f t="shared" si="12"/>
        <v>0</v>
      </c>
      <c r="AN26" s="53"/>
      <c r="AO26" s="54"/>
      <c r="AP26" s="50">
        <f t="shared" si="13"/>
        <v>0</v>
      </c>
      <c r="AQ26" s="8" t="e">
        <f t="shared" si="0"/>
        <v>#DIV/0!</v>
      </c>
    </row>
    <row r="27" spans="1:43" ht="18" customHeight="1" x14ac:dyDescent="0.2">
      <c r="A27" s="6"/>
      <c r="B27" s="12"/>
      <c r="C27" s="49"/>
      <c r="D27" s="50"/>
      <c r="E27" s="51"/>
      <c r="F27" s="52">
        <f t="shared" si="1"/>
        <v>0</v>
      </c>
      <c r="G27" s="53"/>
      <c r="H27" s="54"/>
      <c r="I27" s="52">
        <f t="shared" si="2"/>
        <v>0</v>
      </c>
      <c r="J27" s="53"/>
      <c r="K27" s="54"/>
      <c r="L27" s="52">
        <f t="shared" si="3"/>
        <v>0</v>
      </c>
      <c r="M27" s="53"/>
      <c r="N27" s="54"/>
      <c r="O27" s="52">
        <f t="shared" si="4"/>
        <v>0</v>
      </c>
      <c r="P27" s="53"/>
      <c r="Q27" s="54"/>
      <c r="R27" s="52">
        <f t="shared" si="5"/>
        <v>0</v>
      </c>
      <c r="S27" s="53"/>
      <c r="T27" s="54"/>
      <c r="U27" s="52">
        <f t="shared" si="6"/>
        <v>0</v>
      </c>
      <c r="V27" s="53"/>
      <c r="W27" s="54"/>
      <c r="X27" s="52">
        <f t="shared" si="7"/>
        <v>0</v>
      </c>
      <c r="Y27" s="53"/>
      <c r="Z27" s="54"/>
      <c r="AA27" s="52">
        <f t="shared" si="8"/>
        <v>0</v>
      </c>
      <c r="AB27" s="53"/>
      <c r="AC27" s="54"/>
      <c r="AD27" s="52">
        <f t="shared" si="9"/>
        <v>0</v>
      </c>
      <c r="AE27" s="53"/>
      <c r="AF27" s="54"/>
      <c r="AG27" s="52">
        <f t="shared" si="10"/>
        <v>0</v>
      </c>
      <c r="AH27" s="53"/>
      <c r="AI27" s="54"/>
      <c r="AJ27" s="52">
        <f t="shared" si="11"/>
        <v>0</v>
      </c>
      <c r="AK27" s="53"/>
      <c r="AL27" s="54"/>
      <c r="AM27" s="52">
        <f t="shared" si="12"/>
        <v>0</v>
      </c>
      <c r="AN27" s="53"/>
      <c r="AO27" s="54"/>
      <c r="AP27" s="50">
        <f t="shared" si="13"/>
        <v>0</v>
      </c>
      <c r="AQ27" s="8" t="e">
        <f t="shared" si="0"/>
        <v>#DIV/0!</v>
      </c>
    </row>
    <row r="28" spans="1:43" ht="18" customHeight="1" x14ac:dyDescent="0.2">
      <c r="A28" s="6"/>
      <c r="B28" s="12"/>
      <c r="C28" s="49"/>
      <c r="D28" s="50"/>
      <c r="E28" s="51"/>
      <c r="F28" s="52">
        <f t="shared" si="1"/>
        <v>0</v>
      </c>
      <c r="G28" s="53"/>
      <c r="H28" s="54"/>
      <c r="I28" s="52">
        <f t="shared" si="2"/>
        <v>0</v>
      </c>
      <c r="J28" s="53"/>
      <c r="K28" s="54"/>
      <c r="L28" s="52">
        <f t="shared" si="3"/>
        <v>0</v>
      </c>
      <c r="M28" s="53"/>
      <c r="N28" s="54"/>
      <c r="O28" s="52">
        <f t="shared" si="4"/>
        <v>0</v>
      </c>
      <c r="P28" s="53"/>
      <c r="Q28" s="54"/>
      <c r="R28" s="52">
        <f t="shared" si="5"/>
        <v>0</v>
      </c>
      <c r="S28" s="53"/>
      <c r="T28" s="54"/>
      <c r="U28" s="52">
        <f t="shared" si="6"/>
        <v>0</v>
      </c>
      <c r="V28" s="53"/>
      <c r="W28" s="54"/>
      <c r="X28" s="52">
        <f t="shared" si="7"/>
        <v>0</v>
      </c>
      <c r="Y28" s="53"/>
      <c r="Z28" s="54"/>
      <c r="AA28" s="52">
        <f t="shared" si="8"/>
        <v>0</v>
      </c>
      <c r="AB28" s="53"/>
      <c r="AC28" s="54"/>
      <c r="AD28" s="52">
        <f t="shared" si="9"/>
        <v>0</v>
      </c>
      <c r="AE28" s="53"/>
      <c r="AF28" s="54"/>
      <c r="AG28" s="52">
        <f t="shared" si="10"/>
        <v>0</v>
      </c>
      <c r="AH28" s="53"/>
      <c r="AI28" s="54"/>
      <c r="AJ28" s="52">
        <f t="shared" si="11"/>
        <v>0</v>
      </c>
      <c r="AK28" s="53"/>
      <c r="AL28" s="54"/>
      <c r="AM28" s="52">
        <f t="shared" si="12"/>
        <v>0</v>
      </c>
      <c r="AN28" s="53"/>
      <c r="AO28" s="54"/>
      <c r="AP28" s="50">
        <f t="shared" si="13"/>
        <v>0</v>
      </c>
      <c r="AQ28" s="8" t="e">
        <f t="shared" si="0"/>
        <v>#DIV/0!</v>
      </c>
    </row>
    <row r="29" spans="1:43" ht="18" customHeight="1" x14ac:dyDescent="0.2">
      <c r="A29" s="6"/>
      <c r="B29" s="12"/>
      <c r="C29" s="49"/>
      <c r="D29" s="55"/>
      <c r="E29" s="51"/>
      <c r="F29" s="52">
        <f t="shared" si="1"/>
        <v>0</v>
      </c>
      <c r="G29" s="53"/>
      <c r="H29" s="54"/>
      <c r="I29" s="52">
        <f t="shared" si="2"/>
        <v>0</v>
      </c>
      <c r="J29" s="53"/>
      <c r="K29" s="54"/>
      <c r="L29" s="52">
        <f t="shared" si="3"/>
        <v>0</v>
      </c>
      <c r="M29" s="53"/>
      <c r="N29" s="54"/>
      <c r="O29" s="52">
        <f t="shared" si="4"/>
        <v>0</v>
      </c>
      <c r="P29" s="53"/>
      <c r="Q29" s="54"/>
      <c r="R29" s="52">
        <f t="shared" si="5"/>
        <v>0</v>
      </c>
      <c r="S29" s="53"/>
      <c r="T29" s="54"/>
      <c r="U29" s="52">
        <f t="shared" si="6"/>
        <v>0</v>
      </c>
      <c r="V29" s="53"/>
      <c r="W29" s="54"/>
      <c r="X29" s="52">
        <f t="shared" si="7"/>
        <v>0</v>
      </c>
      <c r="Y29" s="53"/>
      <c r="Z29" s="54"/>
      <c r="AA29" s="52">
        <f t="shared" si="8"/>
        <v>0</v>
      </c>
      <c r="AB29" s="53"/>
      <c r="AC29" s="54"/>
      <c r="AD29" s="52">
        <f t="shared" si="9"/>
        <v>0</v>
      </c>
      <c r="AE29" s="53"/>
      <c r="AF29" s="54"/>
      <c r="AG29" s="52">
        <f t="shared" si="10"/>
        <v>0</v>
      </c>
      <c r="AH29" s="53"/>
      <c r="AI29" s="54"/>
      <c r="AJ29" s="52">
        <f t="shared" si="11"/>
        <v>0</v>
      </c>
      <c r="AK29" s="53"/>
      <c r="AL29" s="54"/>
      <c r="AM29" s="52">
        <f t="shared" si="12"/>
        <v>0</v>
      </c>
      <c r="AN29" s="53"/>
      <c r="AO29" s="54"/>
      <c r="AP29" s="55">
        <f t="shared" si="13"/>
        <v>0</v>
      </c>
      <c r="AQ29" s="8" t="e">
        <f t="shared" si="0"/>
        <v>#DIV/0!</v>
      </c>
    </row>
    <row r="30" spans="1:43" ht="18" customHeight="1" x14ac:dyDescent="0.2">
      <c r="A30" s="6"/>
      <c r="B30" s="12"/>
      <c r="C30" s="49"/>
      <c r="D30" s="55"/>
      <c r="E30" s="51"/>
      <c r="F30" s="52">
        <f t="shared" si="1"/>
        <v>0</v>
      </c>
      <c r="G30" s="53"/>
      <c r="H30" s="54"/>
      <c r="I30" s="52">
        <f t="shared" si="2"/>
        <v>0</v>
      </c>
      <c r="J30" s="53"/>
      <c r="K30" s="54"/>
      <c r="L30" s="52">
        <f t="shared" si="3"/>
        <v>0</v>
      </c>
      <c r="M30" s="53"/>
      <c r="N30" s="54"/>
      <c r="O30" s="52">
        <f t="shared" si="4"/>
        <v>0</v>
      </c>
      <c r="P30" s="53"/>
      <c r="Q30" s="54"/>
      <c r="R30" s="52">
        <f t="shared" si="5"/>
        <v>0</v>
      </c>
      <c r="S30" s="53"/>
      <c r="T30" s="54"/>
      <c r="U30" s="52">
        <f t="shared" si="6"/>
        <v>0</v>
      </c>
      <c r="V30" s="53"/>
      <c r="W30" s="54"/>
      <c r="X30" s="52">
        <f t="shared" si="7"/>
        <v>0</v>
      </c>
      <c r="Y30" s="53"/>
      <c r="Z30" s="54"/>
      <c r="AA30" s="52">
        <f t="shared" si="8"/>
        <v>0</v>
      </c>
      <c r="AB30" s="53"/>
      <c r="AC30" s="54"/>
      <c r="AD30" s="52">
        <f t="shared" si="9"/>
        <v>0</v>
      </c>
      <c r="AE30" s="53"/>
      <c r="AF30" s="54"/>
      <c r="AG30" s="52">
        <f t="shared" si="10"/>
        <v>0</v>
      </c>
      <c r="AH30" s="53"/>
      <c r="AI30" s="54"/>
      <c r="AJ30" s="52">
        <f t="shared" si="11"/>
        <v>0</v>
      </c>
      <c r="AK30" s="53"/>
      <c r="AL30" s="54"/>
      <c r="AM30" s="52">
        <f t="shared" si="12"/>
        <v>0</v>
      </c>
      <c r="AN30" s="53"/>
      <c r="AO30" s="54"/>
      <c r="AP30" s="55">
        <f t="shared" si="13"/>
        <v>0</v>
      </c>
      <c r="AQ30" s="8" t="e">
        <f t="shared" si="0"/>
        <v>#DIV/0!</v>
      </c>
    </row>
    <row r="31" spans="1:43" ht="18" customHeight="1" thickBot="1" x14ac:dyDescent="0.25">
      <c r="A31" s="6"/>
      <c r="B31" s="13"/>
      <c r="C31" s="44"/>
      <c r="D31" s="56"/>
      <c r="E31" s="46"/>
      <c r="F31" s="46">
        <f t="shared" si="1"/>
        <v>0</v>
      </c>
      <c r="G31" s="57"/>
      <c r="H31" s="58"/>
      <c r="I31" s="46">
        <f t="shared" si="2"/>
        <v>0</v>
      </c>
      <c r="J31" s="57"/>
      <c r="K31" s="58"/>
      <c r="L31" s="46">
        <f t="shared" si="3"/>
        <v>0</v>
      </c>
      <c r="M31" s="57"/>
      <c r="N31" s="58"/>
      <c r="O31" s="46">
        <f t="shared" si="4"/>
        <v>0</v>
      </c>
      <c r="P31" s="57"/>
      <c r="Q31" s="58"/>
      <c r="R31" s="46">
        <f t="shared" si="5"/>
        <v>0</v>
      </c>
      <c r="S31" s="57"/>
      <c r="T31" s="58"/>
      <c r="U31" s="46">
        <f t="shared" si="6"/>
        <v>0</v>
      </c>
      <c r="V31" s="57"/>
      <c r="W31" s="58"/>
      <c r="X31" s="46">
        <f t="shared" si="7"/>
        <v>0</v>
      </c>
      <c r="Y31" s="57"/>
      <c r="Z31" s="58"/>
      <c r="AA31" s="46">
        <f t="shared" si="8"/>
        <v>0</v>
      </c>
      <c r="AB31" s="57"/>
      <c r="AC31" s="58"/>
      <c r="AD31" s="46">
        <f t="shared" si="9"/>
        <v>0</v>
      </c>
      <c r="AE31" s="57"/>
      <c r="AF31" s="58"/>
      <c r="AG31" s="46">
        <f t="shared" si="10"/>
        <v>0</v>
      </c>
      <c r="AH31" s="57"/>
      <c r="AI31" s="58"/>
      <c r="AJ31" s="46">
        <f t="shared" si="11"/>
        <v>0</v>
      </c>
      <c r="AK31" s="57"/>
      <c r="AL31" s="58"/>
      <c r="AM31" s="46">
        <f t="shared" si="12"/>
        <v>0</v>
      </c>
      <c r="AN31" s="57"/>
      <c r="AO31" s="58"/>
      <c r="AP31" s="56">
        <f t="shared" si="13"/>
        <v>0</v>
      </c>
      <c r="AQ31" s="7" t="e">
        <f t="shared" si="0"/>
        <v>#DIV/0!</v>
      </c>
    </row>
    <row r="32" spans="1:43" ht="18" customHeight="1" thickTop="1" x14ac:dyDescent="0.2">
      <c r="B32" s="14" t="s">
        <v>105</v>
      </c>
      <c r="C32" s="59">
        <f t="shared" ref="C32" si="14">SUM(C12:C31)</f>
        <v>5205</v>
      </c>
      <c r="D32" s="60">
        <f t="shared" ref="D32:AP32" si="15">SUM(D12:D31)</f>
        <v>1631</v>
      </c>
      <c r="E32" s="61">
        <f t="shared" si="15"/>
        <v>5044</v>
      </c>
      <c r="F32" s="61">
        <f t="shared" si="15"/>
        <v>1793</v>
      </c>
      <c r="G32" s="62">
        <f t="shared" si="15"/>
        <v>905</v>
      </c>
      <c r="H32" s="63">
        <f t="shared" si="15"/>
        <v>888</v>
      </c>
      <c r="I32" s="61">
        <f t="shared" ref="I32:N32" si="16">SUM(I12:I31)</f>
        <v>191</v>
      </c>
      <c r="J32" s="62">
        <f t="shared" si="16"/>
        <v>0</v>
      </c>
      <c r="K32" s="63">
        <f t="shared" si="16"/>
        <v>0</v>
      </c>
      <c r="L32" s="61">
        <f t="shared" si="16"/>
        <v>0</v>
      </c>
      <c r="M32" s="62">
        <f t="shared" si="16"/>
        <v>0</v>
      </c>
      <c r="N32" s="63">
        <f t="shared" si="16"/>
        <v>0</v>
      </c>
      <c r="O32" s="61">
        <f t="shared" ref="O32:T32" si="17">SUM(O12:O31)</f>
        <v>0</v>
      </c>
      <c r="P32" s="62">
        <f t="shared" si="17"/>
        <v>0</v>
      </c>
      <c r="Q32" s="63">
        <f t="shared" si="17"/>
        <v>0</v>
      </c>
      <c r="R32" s="61">
        <f t="shared" si="17"/>
        <v>0</v>
      </c>
      <c r="S32" s="62">
        <f t="shared" si="17"/>
        <v>0</v>
      </c>
      <c r="T32" s="63">
        <f t="shared" si="17"/>
        <v>0</v>
      </c>
      <c r="U32" s="61">
        <f t="shared" ref="U32:AI32" si="18">SUM(U12:U31)</f>
        <v>0</v>
      </c>
      <c r="V32" s="62">
        <f t="shared" si="18"/>
        <v>0</v>
      </c>
      <c r="W32" s="63">
        <f t="shared" si="18"/>
        <v>0</v>
      </c>
      <c r="X32" s="61">
        <f t="shared" si="18"/>
        <v>0</v>
      </c>
      <c r="Y32" s="62">
        <f t="shared" si="18"/>
        <v>0</v>
      </c>
      <c r="Z32" s="63">
        <f t="shared" si="18"/>
        <v>0</v>
      </c>
      <c r="AA32" s="61">
        <f t="shared" si="18"/>
        <v>0</v>
      </c>
      <c r="AB32" s="62">
        <f t="shared" si="18"/>
        <v>0</v>
      </c>
      <c r="AC32" s="63">
        <f t="shared" si="18"/>
        <v>0</v>
      </c>
      <c r="AD32" s="61">
        <f t="shared" si="18"/>
        <v>0</v>
      </c>
      <c r="AE32" s="62">
        <f t="shared" si="18"/>
        <v>0</v>
      </c>
      <c r="AF32" s="63">
        <f t="shared" si="18"/>
        <v>0</v>
      </c>
      <c r="AG32" s="61">
        <f t="shared" si="18"/>
        <v>0</v>
      </c>
      <c r="AH32" s="62">
        <f t="shared" si="18"/>
        <v>0</v>
      </c>
      <c r="AI32" s="63">
        <f t="shared" si="18"/>
        <v>0</v>
      </c>
      <c r="AJ32" s="61">
        <f t="shared" ref="AJ32:AO32" si="19">SUM(AJ12:AJ31)</f>
        <v>0</v>
      </c>
      <c r="AK32" s="62">
        <f t="shared" si="19"/>
        <v>0</v>
      </c>
      <c r="AL32" s="63">
        <f t="shared" si="19"/>
        <v>0</v>
      </c>
      <c r="AM32" s="61">
        <f t="shared" si="19"/>
        <v>0</v>
      </c>
      <c r="AN32" s="62">
        <f t="shared" si="19"/>
        <v>0</v>
      </c>
      <c r="AO32" s="63">
        <f t="shared" si="19"/>
        <v>0</v>
      </c>
      <c r="AP32" s="60">
        <f t="shared" si="15"/>
        <v>1793</v>
      </c>
      <c r="AQ32" s="9">
        <f t="shared" si="0"/>
        <v>0.35547184773988899</v>
      </c>
    </row>
  </sheetData>
  <mergeCells count="27">
    <mergeCell ref="AD9:AI9"/>
    <mergeCell ref="AD10:AF10"/>
    <mergeCell ref="AG10:AI10"/>
    <mergeCell ref="AJ9:AO9"/>
    <mergeCell ref="AJ10:AL10"/>
    <mergeCell ref="AM10:AO10"/>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I10:K10"/>
    <mergeCell ref="L9:Q9"/>
    <mergeCell ref="L10:N10"/>
    <mergeCell ref="O10:Q10"/>
    <mergeCell ref="R9:W9"/>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97" zoomScaleNormal="100" zoomScaleSheetLayoutView="100" workbookViewId="0">
      <selection activeCell="B94" sqref="B94:I105"/>
    </sheetView>
  </sheetViews>
  <sheetFormatPr defaultColWidth="11.33203125" defaultRowHeight="18.75" customHeight="1" x14ac:dyDescent="0.2"/>
  <cols>
    <col min="1" max="1" width="2.77734375" style="25"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5" t="s">
        <v>106</v>
      </c>
      <c r="I1" s="23" t="s">
        <v>107</v>
      </c>
    </row>
    <row r="2" spans="1:9" ht="18.75" customHeight="1" x14ac:dyDescent="0.2">
      <c r="G2" s="23" t="s">
        <v>2</v>
      </c>
      <c r="H2" s="105" t="str">
        <f>'様式１　プログラムを構成する授業科目'!C2</f>
        <v>京都橘大学</v>
      </c>
      <c r="I2" s="107"/>
    </row>
    <row r="3" spans="1:9" ht="18.75" customHeight="1" x14ac:dyDescent="0.2">
      <c r="G3" s="23"/>
      <c r="H3" s="10"/>
      <c r="I3" s="10"/>
    </row>
    <row r="4" spans="1:9" ht="18.600000000000001" customHeight="1" x14ac:dyDescent="0.2">
      <c r="A4" s="134" t="s">
        <v>108</v>
      </c>
      <c r="B4" s="134"/>
      <c r="C4" s="134"/>
      <c r="D4" s="134"/>
      <c r="E4" s="134"/>
      <c r="F4" s="134"/>
      <c r="G4" s="134"/>
      <c r="H4" s="134"/>
      <c r="I4" s="134"/>
    </row>
    <row r="5" spans="1:9" ht="13.2" customHeight="1" x14ac:dyDescent="0.2">
      <c r="B5" s="3"/>
      <c r="C5" s="3"/>
      <c r="D5" s="3"/>
      <c r="E5" s="3"/>
      <c r="F5" s="3"/>
      <c r="G5" s="3"/>
      <c r="H5" s="3"/>
      <c r="I5" s="3"/>
    </row>
    <row r="6" spans="1:9" ht="18" customHeight="1" x14ac:dyDescent="0.2">
      <c r="A6" s="1" t="s">
        <v>109</v>
      </c>
      <c r="B6" s="10" t="s">
        <v>110</v>
      </c>
      <c r="C6" s="276" t="s">
        <v>111</v>
      </c>
      <c r="D6" s="276"/>
      <c r="E6" s="22">
        <v>218</v>
      </c>
      <c r="F6" s="3" t="s">
        <v>112</v>
      </c>
      <c r="G6" s="3" t="s">
        <v>113</v>
      </c>
      <c r="H6" s="22">
        <v>327</v>
      </c>
      <c r="I6" s="10" t="s">
        <v>112</v>
      </c>
    </row>
    <row r="7" spans="1:9" ht="12" customHeight="1" x14ac:dyDescent="0.2">
      <c r="C7" s="2"/>
      <c r="D7" s="2"/>
      <c r="E7" s="2"/>
      <c r="F7" s="2"/>
      <c r="G7" s="2"/>
      <c r="H7" s="2"/>
      <c r="I7" s="26"/>
    </row>
    <row r="8" spans="1:9" ht="18" customHeight="1" x14ac:dyDescent="0.2">
      <c r="A8" s="1" t="s">
        <v>114</v>
      </c>
      <c r="B8" s="10" t="s">
        <v>115</v>
      </c>
      <c r="E8" s="3"/>
      <c r="F8" s="3"/>
      <c r="G8" s="3"/>
      <c r="H8" s="22">
        <v>31</v>
      </c>
      <c r="I8" s="10" t="s">
        <v>112</v>
      </c>
    </row>
    <row r="9" spans="1:9" ht="9" customHeight="1" x14ac:dyDescent="0.2">
      <c r="B9" s="3"/>
      <c r="C9" s="3"/>
      <c r="D9" s="3"/>
      <c r="E9" s="3"/>
      <c r="F9" s="3"/>
      <c r="G9" s="3"/>
      <c r="H9" s="3"/>
      <c r="I9" s="3"/>
    </row>
    <row r="10" spans="1:9" ht="18" customHeight="1" x14ac:dyDescent="0.2">
      <c r="A10" s="1" t="s">
        <v>116</v>
      </c>
      <c r="B10" s="10" t="s">
        <v>117</v>
      </c>
      <c r="C10" s="3"/>
      <c r="D10" s="3"/>
      <c r="E10" s="3"/>
      <c r="F10" s="3"/>
      <c r="G10" s="3"/>
      <c r="H10" s="3"/>
      <c r="I10" s="3"/>
    </row>
    <row r="11" spans="1:9" ht="18" customHeight="1" x14ac:dyDescent="0.2">
      <c r="B11" s="23" t="s">
        <v>118</v>
      </c>
      <c r="C11" s="271" t="s">
        <v>119</v>
      </c>
      <c r="D11" s="274"/>
      <c r="E11" s="275"/>
      <c r="F11" s="26"/>
      <c r="G11" s="23" t="s">
        <v>120</v>
      </c>
      <c r="H11" s="271" t="s">
        <v>121</v>
      </c>
      <c r="I11" s="275"/>
    </row>
    <row r="12" spans="1:9" ht="10.199999999999999" customHeight="1" x14ac:dyDescent="0.2">
      <c r="B12" s="23"/>
      <c r="C12" s="10"/>
      <c r="D12" s="26"/>
      <c r="E12" s="26"/>
      <c r="F12" s="26"/>
      <c r="G12" s="23"/>
      <c r="H12" s="10"/>
      <c r="I12" s="26"/>
    </row>
    <row r="13" spans="1:9" ht="18" customHeight="1" x14ac:dyDescent="0.2">
      <c r="A13" s="1" t="s">
        <v>122</v>
      </c>
      <c r="B13" s="10" t="s">
        <v>123</v>
      </c>
      <c r="C13" s="3"/>
      <c r="D13" s="3"/>
      <c r="E13" s="3"/>
      <c r="F13" s="3"/>
      <c r="G13" s="3"/>
      <c r="H13" s="3"/>
      <c r="I13" s="3"/>
    </row>
    <row r="14" spans="1:9" ht="18" customHeight="1" x14ac:dyDescent="0.2">
      <c r="B14" s="271" t="s">
        <v>124</v>
      </c>
      <c r="C14" s="272"/>
      <c r="D14" s="272"/>
      <c r="E14" s="272"/>
      <c r="F14" s="272"/>
      <c r="G14" s="272"/>
      <c r="H14" s="272"/>
      <c r="I14" s="273"/>
    </row>
    <row r="15" spans="1:9" ht="9" customHeight="1" x14ac:dyDescent="0.2">
      <c r="B15" s="3"/>
      <c r="C15" s="3"/>
      <c r="D15" s="3"/>
      <c r="E15" s="3"/>
      <c r="F15" s="3"/>
      <c r="G15" s="3"/>
      <c r="H15" s="3"/>
      <c r="I15" s="3"/>
    </row>
    <row r="16" spans="1:9" ht="18" customHeight="1" x14ac:dyDescent="0.2">
      <c r="B16" s="23" t="s">
        <v>118</v>
      </c>
      <c r="C16" s="271" t="s">
        <v>125</v>
      </c>
      <c r="D16" s="274"/>
      <c r="E16" s="275"/>
      <c r="F16" s="26"/>
      <c r="G16" s="23" t="s">
        <v>120</v>
      </c>
      <c r="H16" s="271" t="s">
        <v>121</v>
      </c>
      <c r="I16" s="275"/>
    </row>
    <row r="17" spans="1:9" ht="18" customHeight="1" x14ac:dyDescent="0.2">
      <c r="B17" s="3"/>
      <c r="C17" s="3"/>
      <c r="D17" s="3"/>
      <c r="E17" s="3"/>
      <c r="F17" s="3"/>
      <c r="G17" s="3"/>
      <c r="H17" s="3"/>
      <c r="I17" s="3"/>
    </row>
    <row r="18" spans="1:9" ht="18.75" customHeight="1" x14ac:dyDescent="0.2">
      <c r="A18" s="1" t="s">
        <v>126</v>
      </c>
      <c r="B18" s="1" t="s">
        <v>127</v>
      </c>
      <c r="I18" s="3"/>
    </row>
    <row r="19" spans="1:9" ht="18.75" customHeight="1" x14ac:dyDescent="0.2">
      <c r="A19" s="1"/>
      <c r="B19" s="254" t="s">
        <v>128</v>
      </c>
      <c r="C19" s="255"/>
      <c r="D19" s="255"/>
      <c r="E19" s="255"/>
      <c r="F19" s="255"/>
      <c r="G19" s="255"/>
      <c r="H19" s="255"/>
      <c r="I19" s="256"/>
    </row>
    <row r="20" spans="1:9" ht="7.5" customHeight="1" x14ac:dyDescent="0.2">
      <c r="B20" s="3"/>
      <c r="C20" s="3"/>
      <c r="D20" s="3"/>
      <c r="E20" s="3"/>
      <c r="F20" s="3"/>
      <c r="G20" s="3"/>
      <c r="H20" s="3"/>
      <c r="I20" s="3"/>
    </row>
    <row r="21" spans="1:9" ht="18.75" customHeight="1" x14ac:dyDescent="0.2">
      <c r="A21" s="1" t="s">
        <v>129</v>
      </c>
      <c r="B21" s="1" t="s">
        <v>130</v>
      </c>
    </row>
    <row r="22" spans="1:9" ht="18.75" customHeight="1" x14ac:dyDescent="0.2">
      <c r="A22" s="15"/>
      <c r="B22" s="257" t="s">
        <v>131</v>
      </c>
      <c r="C22" s="258"/>
      <c r="D22" s="258"/>
      <c r="E22" s="258"/>
      <c r="F22" s="258"/>
      <c r="G22" s="258"/>
      <c r="H22" s="258"/>
      <c r="I22" s="259"/>
    </row>
    <row r="23" spans="1:9" ht="18.75" customHeight="1" x14ac:dyDescent="0.2">
      <c r="A23" s="15"/>
      <c r="B23" s="260"/>
      <c r="C23" s="261"/>
      <c r="D23" s="261"/>
      <c r="E23" s="261"/>
      <c r="F23" s="261"/>
      <c r="G23" s="261"/>
      <c r="H23" s="261"/>
      <c r="I23" s="262"/>
    </row>
    <row r="24" spans="1:9" ht="18.75" customHeight="1" x14ac:dyDescent="0.2">
      <c r="A24" s="15"/>
      <c r="B24" s="260"/>
      <c r="C24" s="261"/>
      <c r="D24" s="261"/>
      <c r="E24" s="261"/>
      <c r="F24" s="261"/>
      <c r="G24" s="261"/>
      <c r="H24" s="261"/>
      <c r="I24" s="262"/>
    </row>
    <row r="25" spans="1:9" ht="18.75" customHeight="1" x14ac:dyDescent="0.2">
      <c r="A25" s="15"/>
      <c r="B25" s="260"/>
      <c r="C25" s="261"/>
      <c r="D25" s="261"/>
      <c r="E25" s="261"/>
      <c r="F25" s="261"/>
      <c r="G25" s="261"/>
      <c r="H25" s="261"/>
      <c r="I25" s="262"/>
    </row>
    <row r="26" spans="1:9" ht="18.75" customHeight="1" x14ac:dyDescent="0.2">
      <c r="A26" s="15"/>
      <c r="B26" s="260"/>
      <c r="C26" s="261"/>
      <c r="D26" s="261"/>
      <c r="E26" s="261"/>
      <c r="F26" s="261"/>
      <c r="G26" s="261"/>
      <c r="H26" s="261"/>
      <c r="I26" s="262"/>
    </row>
    <row r="27" spans="1:9" ht="18.75" customHeight="1" x14ac:dyDescent="0.2">
      <c r="A27" s="15"/>
      <c r="B27" s="260"/>
      <c r="C27" s="261"/>
      <c r="D27" s="261"/>
      <c r="E27" s="261"/>
      <c r="F27" s="261"/>
      <c r="G27" s="261"/>
      <c r="H27" s="261"/>
      <c r="I27" s="262"/>
    </row>
    <row r="28" spans="1:9" ht="18.75" customHeight="1" x14ac:dyDescent="0.2">
      <c r="A28" s="15"/>
      <c r="B28" s="260"/>
      <c r="C28" s="261"/>
      <c r="D28" s="261"/>
      <c r="E28" s="261"/>
      <c r="F28" s="261"/>
      <c r="G28" s="261"/>
      <c r="H28" s="261"/>
      <c r="I28" s="262"/>
    </row>
    <row r="29" spans="1:9" ht="18.75" customHeight="1" x14ac:dyDescent="0.2">
      <c r="A29" s="15"/>
      <c r="B29" s="260"/>
      <c r="C29" s="261"/>
      <c r="D29" s="261"/>
      <c r="E29" s="261"/>
      <c r="F29" s="261"/>
      <c r="G29" s="261"/>
      <c r="H29" s="261"/>
      <c r="I29" s="262"/>
    </row>
    <row r="30" spans="1:9" ht="18.75" customHeight="1" x14ac:dyDescent="0.2">
      <c r="A30" s="15"/>
      <c r="B30" s="263"/>
      <c r="C30" s="264"/>
      <c r="D30" s="264"/>
      <c r="E30" s="264"/>
      <c r="F30" s="264"/>
      <c r="G30" s="264"/>
      <c r="H30" s="264"/>
      <c r="I30" s="262"/>
    </row>
    <row r="31" spans="1:9" ht="18.75" customHeight="1" x14ac:dyDescent="0.2">
      <c r="A31" s="15"/>
      <c r="B31" s="263"/>
      <c r="C31" s="264"/>
      <c r="D31" s="264"/>
      <c r="E31" s="264"/>
      <c r="F31" s="264"/>
      <c r="G31" s="264"/>
      <c r="H31" s="264"/>
      <c r="I31" s="262"/>
    </row>
    <row r="32" spans="1:9" ht="18.75" customHeight="1" x14ac:dyDescent="0.2">
      <c r="A32" s="15"/>
      <c r="B32" s="265"/>
      <c r="C32" s="266"/>
      <c r="D32" s="266"/>
      <c r="E32" s="266"/>
      <c r="F32" s="266"/>
      <c r="G32" s="266"/>
      <c r="H32" s="266"/>
      <c r="I32" s="267"/>
    </row>
    <row r="33" spans="1:9" ht="7.5" customHeight="1" x14ac:dyDescent="0.2">
      <c r="A33" s="15"/>
      <c r="B33" s="15"/>
      <c r="C33" s="15"/>
      <c r="D33" s="15"/>
      <c r="E33" s="15"/>
      <c r="F33" s="15"/>
      <c r="G33" s="15"/>
      <c r="H33" s="15"/>
      <c r="I33" s="15"/>
    </row>
    <row r="34" spans="1:9" ht="18.75" customHeight="1" x14ac:dyDescent="0.2">
      <c r="A34" s="16" t="s">
        <v>132</v>
      </c>
      <c r="B34" s="16" t="s">
        <v>133</v>
      </c>
      <c r="C34" s="10"/>
      <c r="D34" s="16"/>
      <c r="E34" s="16"/>
      <c r="F34" s="16"/>
      <c r="G34" s="16"/>
      <c r="H34" s="16"/>
      <c r="I34" s="16"/>
    </row>
    <row r="35" spans="1:9" ht="18.75" customHeight="1" x14ac:dyDescent="0.2">
      <c r="A35" s="15"/>
      <c r="B35" s="246" t="s">
        <v>179</v>
      </c>
      <c r="C35" s="247"/>
      <c r="D35" s="247"/>
      <c r="E35" s="247"/>
      <c r="F35" s="247"/>
      <c r="G35" s="247"/>
      <c r="H35" s="247"/>
      <c r="I35" s="248"/>
    </row>
    <row r="36" spans="1:9" ht="18.75" customHeight="1" x14ac:dyDescent="0.2">
      <c r="A36" s="15"/>
      <c r="B36" s="249"/>
      <c r="C36" s="250"/>
      <c r="D36" s="250"/>
      <c r="E36" s="250"/>
      <c r="F36" s="250"/>
      <c r="G36" s="250"/>
      <c r="H36" s="250"/>
      <c r="I36" s="251"/>
    </row>
    <row r="37" spans="1:9" ht="18.75" customHeight="1" x14ac:dyDescent="0.2">
      <c r="A37" s="15"/>
      <c r="B37" s="249"/>
      <c r="C37" s="250"/>
      <c r="D37" s="250"/>
      <c r="E37" s="250"/>
      <c r="F37" s="250"/>
      <c r="G37" s="250"/>
      <c r="H37" s="250"/>
      <c r="I37" s="251"/>
    </row>
    <row r="38" spans="1:9" ht="18.75" customHeight="1" x14ac:dyDescent="0.2">
      <c r="A38" s="15"/>
      <c r="B38" s="249"/>
      <c r="C38" s="250"/>
      <c r="D38" s="250"/>
      <c r="E38" s="250"/>
      <c r="F38" s="250"/>
      <c r="G38" s="250"/>
      <c r="H38" s="250"/>
      <c r="I38" s="251"/>
    </row>
    <row r="39" spans="1:9" ht="18.75" customHeight="1" x14ac:dyDescent="0.2">
      <c r="A39" s="15"/>
      <c r="B39" s="249"/>
      <c r="C39" s="250"/>
      <c r="D39" s="250"/>
      <c r="E39" s="250"/>
      <c r="F39" s="250"/>
      <c r="G39" s="250"/>
      <c r="H39" s="250"/>
      <c r="I39" s="251"/>
    </row>
    <row r="40" spans="1:9" ht="18.75" customHeight="1" x14ac:dyDescent="0.2">
      <c r="A40" s="15"/>
      <c r="B40" s="249"/>
      <c r="C40" s="250"/>
      <c r="D40" s="250"/>
      <c r="E40" s="250"/>
      <c r="F40" s="250"/>
      <c r="G40" s="250"/>
      <c r="H40" s="250"/>
      <c r="I40" s="251"/>
    </row>
    <row r="41" spans="1:9" ht="18.75" customHeight="1" x14ac:dyDescent="0.2">
      <c r="A41" s="15"/>
      <c r="B41" s="249"/>
      <c r="C41" s="250"/>
      <c r="D41" s="250"/>
      <c r="E41" s="250"/>
      <c r="F41" s="250"/>
      <c r="G41" s="250"/>
      <c r="H41" s="250"/>
      <c r="I41" s="251"/>
    </row>
    <row r="42" spans="1:9" ht="18.75" customHeight="1" x14ac:dyDescent="0.2">
      <c r="A42" s="15"/>
      <c r="B42" s="249"/>
      <c r="C42" s="250"/>
      <c r="D42" s="250"/>
      <c r="E42" s="250"/>
      <c r="F42" s="250"/>
      <c r="G42" s="250"/>
      <c r="H42" s="250"/>
      <c r="I42" s="251"/>
    </row>
    <row r="43" spans="1:9" ht="18.75" customHeight="1" x14ac:dyDescent="0.2">
      <c r="A43" s="15"/>
      <c r="B43" s="249"/>
      <c r="C43" s="250"/>
      <c r="D43" s="250"/>
      <c r="E43" s="250"/>
      <c r="F43" s="250"/>
      <c r="G43" s="250"/>
      <c r="H43" s="250"/>
      <c r="I43" s="251"/>
    </row>
    <row r="44" spans="1:9" ht="18.75" customHeight="1" x14ac:dyDescent="0.2">
      <c r="A44" s="15"/>
      <c r="B44" s="249"/>
      <c r="C44" s="250"/>
      <c r="D44" s="250"/>
      <c r="E44" s="250"/>
      <c r="F44" s="250"/>
      <c r="G44" s="250"/>
      <c r="H44" s="250"/>
      <c r="I44" s="251"/>
    </row>
    <row r="45" spans="1:9" ht="18.75" customHeight="1" x14ac:dyDescent="0.2">
      <c r="A45" s="15"/>
      <c r="B45" s="249"/>
      <c r="C45" s="250"/>
      <c r="D45" s="250"/>
      <c r="E45" s="250"/>
      <c r="F45" s="250"/>
      <c r="G45" s="250"/>
      <c r="H45" s="250"/>
      <c r="I45" s="251"/>
    </row>
    <row r="46" spans="1:9" ht="18.75" customHeight="1" x14ac:dyDescent="0.2">
      <c r="A46" s="15"/>
      <c r="B46" s="252"/>
      <c r="C46" s="177"/>
      <c r="D46" s="177"/>
      <c r="E46" s="177"/>
      <c r="F46" s="177"/>
      <c r="G46" s="177"/>
      <c r="H46" s="177"/>
      <c r="I46" s="178"/>
    </row>
    <row r="47" spans="1:9" ht="7.5" customHeight="1" x14ac:dyDescent="0.2">
      <c r="A47" s="4"/>
      <c r="B47" s="4"/>
      <c r="C47" s="4"/>
      <c r="D47" s="4"/>
      <c r="E47" s="4"/>
      <c r="F47" s="4"/>
      <c r="G47" s="4"/>
      <c r="H47" s="4"/>
      <c r="I47" s="4"/>
    </row>
    <row r="48" spans="1:9" ht="18.75" customHeight="1" x14ac:dyDescent="0.2">
      <c r="A48" s="1" t="s">
        <v>134</v>
      </c>
      <c r="B48" s="74" t="s">
        <v>135</v>
      </c>
    </row>
    <row r="49" spans="1:15" s="3" customFormat="1" ht="18.75" customHeight="1" x14ac:dyDescent="0.2">
      <c r="B49" s="27" t="s">
        <v>136</v>
      </c>
      <c r="C49" s="235">
        <f>'様式２ 履修者等数の実績'!AQ32</f>
        <v>0.35547184773988899</v>
      </c>
      <c r="D49" s="235"/>
      <c r="E49" s="27" t="s">
        <v>137</v>
      </c>
      <c r="F49" s="235">
        <v>0.56000000000000005</v>
      </c>
      <c r="G49" s="235"/>
      <c r="H49" s="27" t="s">
        <v>138</v>
      </c>
      <c r="I49" s="28">
        <v>0.75</v>
      </c>
      <c r="J49" s="1"/>
      <c r="M49" s="1"/>
      <c r="N49" s="29"/>
    </row>
    <row r="50" spans="1:15" s="3" customFormat="1" ht="18.75" customHeight="1" x14ac:dyDescent="0.2">
      <c r="B50" s="30" t="s">
        <v>139</v>
      </c>
      <c r="C50" s="236">
        <v>1</v>
      </c>
      <c r="D50" s="236"/>
      <c r="E50" s="30" t="s">
        <v>140</v>
      </c>
      <c r="F50" s="236">
        <v>1</v>
      </c>
      <c r="G50" s="236"/>
      <c r="H50" s="30" t="s">
        <v>141</v>
      </c>
      <c r="I50" s="31">
        <f>'様式２ 履修者等数の実績'!E32</f>
        <v>5044</v>
      </c>
      <c r="J50" s="1"/>
      <c r="M50" s="1"/>
      <c r="N50" s="29"/>
    </row>
    <row r="51" spans="1:15" ht="18.75" customHeight="1" x14ac:dyDescent="0.2">
      <c r="A51" s="1"/>
      <c r="B51" s="268" t="s">
        <v>142</v>
      </c>
      <c r="C51" s="269"/>
      <c r="D51" s="269"/>
      <c r="E51" s="269"/>
      <c r="F51" s="269"/>
      <c r="G51" s="269"/>
      <c r="H51" s="269"/>
      <c r="I51" s="270"/>
      <c r="N51" s="29"/>
      <c r="O51" s="3"/>
    </row>
    <row r="52" spans="1:15" ht="18.75" customHeight="1" x14ac:dyDescent="0.2">
      <c r="A52" s="1"/>
      <c r="B52" s="237" t="s">
        <v>180</v>
      </c>
      <c r="C52" s="238"/>
      <c r="D52" s="238"/>
      <c r="E52" s="238"/>
      <c r="F52" s="238"/>
      <c r="G52" s="238"/>
      <c r="H52" s="238"/>
      <c r="I52" s="239"/>
      <c r="N52" s="29"/>
      <c r="O52" s="3"/>
    </row>
    <row r="53" spans="1:15" ht="18.75" customHeight="1" x14ac:dyDescent="0.2">
      <c r="A53" s="1"/>
      <c r="B53" s="240"/>
      <c r="C53" s="241"/>
      <c r="D53" s="241"/>
      <c r="E53" s="241"/>
      <c r="F53" s="241"/>
      <c r="G53" s="241"/>
      <c r="H53" s="241"/>
      <c r="I53" s="242"/>
      <c r="N53" s="29"/>
      <c r="O53" s="3"/>
    </row>
    <row r="54" spans="1:15" ht="18.75" customHeight="1" x14ac:dyDescent="0.2">
      <c r="A54" s="1"/>
      <c r="B54" s="240"/>
      <c r="C54" s="241"/>
      <c r="D54" s="241"/>
      <c r="E54" s="241"/>
      <c r="F54" s="241"/>
      <c r="G54" s="241"/>
      <c r="H54" s="241"/>
      <c r="I54" s="242"/>
    </row>
    <row r="55" spans="1:15" ht="18.75" customHeight="1" x14ac:dyDescent="0.2">
      <c r="A55" s="1"/>
      <c r="B55" s="240"/>
      <c r="C55" s="241"/>
      <c r="D55" s="241"/>
      <c r="E55" s="241"/>
      <c r="F55" s="241"/>
      <c r="G55" s="241"/>
      <c r="H55" s="241"/>
      <c r="I55" s="242"/>
    </row>
    <row r="56" spans="1:15" ht="18.75" customHeight="1" x14ac:dyDescent="0.2">
      <c r="A56" s="1"/>
      <c r="B56" s="240"/>
      <c r="C56" s="241"/>
      <c r="D56" s="241"/>
      <c r="E56" s="241"/>
      <c r="F56" s="241"/>
      <c r="G56" s="241"/>
      <c r="H56" s="241"/>
      <c r="I56" s="242"/>
    </row>
    <row r="57" spans="1:15" ht="18.75" customHeight="1" x14ac:dyDescent="0.2">
      <c r="A57" s="1"/>
      <c r="B57" s="240"/>
      <c r="C57" s="241"/>
      <c r="D57" s="241"/>
      <c r="E57" s="241"/>
      <c r="F57" s="241"/>
      <c r="G57" s="241"/>
      <c r="H57" s="241"/>
      <c r="I57" s="242"/>
    </row>
    <row r="58" spans="1:15" ht="18.75" customHeight="1" x14ac:dyDescent="0.2">
      <c r="A58" s="1"/>
      <c r="B58" s="240"/>
      <c r="C58" s="241"/>
      <c r="D58" s="241"/>
      <c r="E58" s="241"/>
      <c r="F58" s="241"/>
      <c r="G58" s="241"/>
      <c r="H58" s="241"/>
      <c r="I58" s="242"/>
    </row>
    <row r="59" spans="1:15" ht="18.75" customHeight="1" x14ac:dyDescent="0.2">
      <c r="A59" s="1"/>
      <c r="B59" s="240"/>
      <c r="C59" s="241"/>
      <c r="D59" s="241"/>
      <c r="E59" s="241"/>
      <c r="F59" s="241"/>
      <c r="G59" s="241"/>
      <c r="H59" s="241"/>
      <c r="I59" s="242"/>
    </row>
    <row r="60" spans="1:15" ht="18.75" customHeight="1" x14ac:dyDescent="0.2">
      <c r="A60" s="1"/>
      <c r="B60" s="240"/>
      <c r="C60" s="241"/>
      <c r="D60" s="241"/>
      <c r="E60" s="241"/>
      <c r="F60" s="241"/>
      <c r="G60" s="241"/>
      <c r="H60" s="241"/>
      <c r="I60" s="242"/>
    </row>
    <row r="61" spans="1:15" ht="18.75" customHeight="1" x14ac:dyDescent="0.2">
      <c r="A61" s="1"/>
      <c r="B61" s="240"/>
      <c r="C61" s="241"/>
      <c r="D61" s="241"/>
      <c r="E61" s="241"/>
      <c r="F61" s="241"/>
      <c r="G61" s="241"/>
      <c r="H61" s="241"/>
      <c r="I61" s="242"/>
    </row>
    <row r="62" spans="1:15" ht="18.75" customHeight="1" x14ac:dyDescent="0.2">
      <c r="A62" s="1"/>
      <c r="B62" s="240"/>
      <c r="C62" s="241"/>
      <c r="D62" s="241"/>
      <c r="E62" s="241"/>
      <c r="F62" s="241"/>
      <c r="G62" s="241"/>
      <c r="H62" s="241"/>
      <c r="I62" s="242"/>
    </row>
    <row r="63" spans="1:15" ht="18.75" customHeight="1" x14ac:dyDescent="0.2">
      <c r="A63" s="1"/>
      <c r="B63" s="243"/>
      <c r="C63" s="244"/>
      <c r="D63" s="244"/>
      <c r="E63" s="244"/>
      <c r="F63" s="244"/>
      <c r="G63" s="244"/>
      <c r="H63" s="244"/>
      <c r="I63" s="245"/>
    </row>
    <row r="64" spans="1:15" ht="7.5" customHeight="1" x14ac:dyDescent="0.2">
      <c r="A64" s="15"/>
      <c r="B64" s="15"/>
      <c r="C64" s="15"/>
      <c r="D64" s="15"/>
      <c r="E64" s="15"/>
      <c r="F64" s="15"/>
      <c r="G64" s="15"/>
      <c r="H64" s="15"/>
      <c r="I64" s="15"/>
    </row>
    <row r="65" spans="1:9" ht="18.75" customHeight="1" x14ac:dyDescent="0.2">
      <c r="A65" s="16" t="s">
        <v>143</v>
      </c>
      <c r="B65" s="1" t="s">
        <v>144</v>
      </c>
      <c r="I65" s="16"/>
    </row>
    <row r="66" spans="1:9" ht="18.75" customHeight="1" x14ac:dyDescent="0.2">
      <c r="A66" s="4"/>
      <c r="B66" s="217" t="s">
        <v>145</v>
      </c>
      <c r="C66" s="218"/>
      <c r="D66" s="218"/>
      <c r="E66" s="218"/>
      <c r="F66" s="218"/>
      <c r="G66" s="218"/>
      <c r="H66" s="218"/>
      <c r="I66" s="219"/>
    </row>
    <row r="67" spans="1:9" ht="18.75" customHeight="1" x14ac:dyDescent="0.2">
      <c r="A67" s="4"/>
      <c r="B67" s="220"/>
      <c r="C67" s="221"/>
      <c r="D67" s="221"/>
      <c r="E67" s="221"/>
      <c r="F67" s="221"/>
      <c r="G67" s="221"/>
      <c r="H67" s="221"/>
      <c r="I67" s="222"/>
    </row>
    <row r="68" spans="1:9" ht="18.75" customHeight="1" x14ac:dyDescent="0.2">
      <c r="A68" s="4"/>
      <c r="B68" s="220"/>
      <c r="C68" s="221"/>
      <c r="D68" s="221"/>
      <c r="E68" s="221"/>
      <c r="F68" s="221"/>
      <c r="G68" s="221"/>
      <c r="H68" s="221"/>
      <c r="I68" s="222"/>
    </row>
    <row r="69" spans="1:9" ht="18.75" customHeight="1" x14ac:dyDescent="0.2">
      <c r="A69" s="4"/>
      <c r="B69" s="220"/>
      <c r="C69" s="221"/>
      <c r="D69" s="221"/>
      <c r="E69" s="221"/>
      <c r="F69" s="221"/>
      <c r="G69" s="221"/>
      <c r="H69" s="221"/>
      <c r="I69" s="222"/>
    </row>
    <row r="70" spans="1:9" ht="18.75" customHeight="1" x14ac:dyDescent="0.2">
      <c r="A70" s="4"/>
      <c r="B70" s="220"/>
      <c r="C70" s="221"/>
      <c r="D70" s="221"/>
      <c r="E70" s="221"/>
      <c r="F70" s="221"/>
      <c r="G70" s="221"/>
      <c r="H70" s="221"/>
      <c r="I70" s="222"/>
    </row>
    <row r="71" spans="1:9" ht="18.75" customHeight="1" x14ac:dyDescent="0.2">
      <c r="A71" s="4"/>
      <c r="B71" s="220"/>
      <c r="C71" s="221"/>
      <c r="D71" s="221"/>
      <c r="E71" s="221"/>
      <c r="F71" s="221"/>
      <c r="G71" s="221"/>
      <c r="H71" s="221"/>
      <c r="I71" s="222"/>
    </row>
    <row r="72" spans="1:9" ht="18.75" customHeight="1" x14ac:dyDescent="0.2">
      <c r="A72" s="4"/>
      <c r="B72" s="220"/>
      <c r="C72" s="221"/>
      <c r="D72" s="221"/>
      <c r="E72" s="221"/>
      <c r="F72" s="221"/>
      <c r="G72" s="221"/>
      <c r="H72" s="221"/>
      <c r="I72" s="222"/>
    </row>
    <row r="73" spans="1:9" ht="18.75" customHeight="1" x14ac:dyDescent="0.2">
      <c r="A73" s="4"/>
      <c r="B73" s="220"/>
      <c r="C73" s="221"/>
      <c r="D73" s="221"/>
      <c r="E73" s="221"/>
      <c r="F73" s="221"/>
      <c r="G73" s="221"/>
      <c r="H73" s="221"/>
      <c r="I73" s="222"/>
    </row>
    <row r="74" spans="1:9" ht="18.75" customHeight="1" x14ac:dyDescent="0.2">
      <c r="A74" s="4"/>
      <c r="B74" s="220"/>
      <c r="C74" s="221"/>
      <c r="D74" s="221"/>
      <c r="E74" s="221"/>
      <c r="F74" s="221"/>
      <c r="G74" s="221"/>
      <c r="H74" s="221"/>
      <c r="I74" s="222"/>
    </row>
    <row r="75" spans="1:9" ht="18.75" customHeight="1" x14ac:dyDescent="0.2">
      <c r="A75" s="4"/>
      <c r="B75" s="220"/>
      <c r="C75" s="221"/>
      <c r="D75" s="221"/>
      <c r="E75" s="221"/>
      <c r="F75" s="221"/>
      <c r="G75" s="221"/>
      <c r="H75" s="221"/>
      <c r="I75" s="222"/>
    </row>
    <row r="76" spans="1:9" ht="18.75" customHeight="1" x14ac:dyDescent="0.2">
      <c r="A76" s="4"/>
      <c r="B76" s="220"/>
      <c r="C76" s="221"/>
      <c r="D76" s="221"/>
      <c r="E76" s="221"/>
      <c r="F76" s="221"/>
      <c r="G76" s="221"/>
      <c r="H76" s="221"/>
      <c r="I76" s="222"/>
    </row>
    <row r="77" spans="1:9" ht="18.75" customHeight="1" x14ac:dyDescent="0.2">
      <c r="A77" s="4"/>
      <c r="B77" s="223"/>
      <c r="C77" s="224"/>
      <c r="D77" s="224"/>
      <c r="E77" s="224"/>
      <c r="F77" s="224"/>
      <c r="G77" s="224"/>
      <c r="H77" s="224"/>
      <c r="I77" s="225"/>
    </row>
    <row r="78" spans="1:9" ht="7.5" customHeight="1" x14ac:dyDescent="0.2">
      <c r="A78" s="4"/>
      <c r="B78" s="4"/>
      <c r="C78" s="4"/>
      <c r="D78" s="4"/>
      <c r="E78" s="4"/>
      <c r="F78" s="4"/>
      <c r="G78" s="4"/>
      <c r="H78" s="4"/>
      <c r="I78" s="4"/>
    </row>
    <row r="79" spans="1:9" ht="18.75" customHeight="1" x14ac:dyDescent="0.2">
      <c r="A79" s="1" t="s">
        <v>146</v>
      </c>
      <c r="B79" s="1" t="s">
        <v>147</v>
      </c>
    </row>
    <row r="80" spans="1:9" ht="18.75" customHeight="1" x14ac:dyDescent="0.2">
      <c r="A80" s="1"/>
      <c r="B80" s="226" t="s">
        <v>178</v>
      </c>
      <c r="C80" s="227"/>
      <c r="D80" s="227"/>
      <c r="E80" s="227"/>
      <c r="F80" s="227"/>
      <c r="G80" s="227"/>
      <c r="H80" s="227"/>
      <c r="I80" s="228"/>
    </row>
    <row r="81" spans="1:9" ht="18.75" customHeight="1" x14ac:dyDescent="0.2">
      <c r="A81" s="1"/>
      <c r="B81" s="229"/>
      <c r="C81" s="230"/>
      <c r="D81" s="230"/>
      <c r="E81" s="230"/>
      <c r="F81" s="230"/>
      <c r="G81" s="230"/>
      <c r="H81" s="230"/>
      <c r="I81" s="231"/>
    </row>
    <row r="82" spans="1:9" ht="18.75" customHeight="1" x14ac:dyDescent="0.2">
      <c r="A82" s="1"/>
      <c r="B82" s="229"/>
      <c r="C82" s="230"/>
      <c r="D82" s="230"/>
      <c r="E82" s="230"/>
      <c r="F82" s="230"/>
      <c r="G82" s="230"/>
      <c r="H82" s="230"/>
      <c r="I82" s="231"/>
    </row>
    <row r="83" spans="1:9" ht="18.75" customHeight="1" x14ac:dyDescent="0.2">
      <c r="A83" s="1"/>
      <c r="B83" s="229"/>
      <c r="C83" s="230"/>
      <c r="D83" s="230"/>
      <c r="E83" s="230"/>
      <c r="F83" s="230"/>
      <c r="G83" s="230"/>
      <c r="H83" s="230"/>
      <c r="I83" s="231"/>
    </row>
    <row r="84" spans="1:9" ht="18.75" customHeight="1" x14ac:dyDescent="0.2">
      <c r="A84" s="1"/>
      <c r="B84" s="229"/>
      <c r="C84" s="230"/>
      <c r="D84" s="230"/>
      <c r="E84" s="230"/>
      <c r="F84" s="230"/>
      <c r="G84" s="230"/>
      <c r="H84" s="230"/>
      <c r="I84" s="231"/>
    </row>
    <row r="85" spans="1:9" ht="18.75" customHeight="1" x14ac:dyDescent="0.2">
      <c r="A85" s="1"/>
      <c r="B85" s="229"/>
      <c r="C85" s="230"/>
      <c r="D85" s="230"/>
      <c r="E85" s="230"/>
      <c r="F85" s="230"/>
      <c r="G85" s="230"/>
      <c r="H85" s="230"/>
      <c r="I85" s="231"/>
    </row>
    <row r="86" spans="1:9" ht="18.75" customHeight="1" x14ac:dyDescent="0.2">
      <c r="A86" s="1"/>
      <c r="B86" s="229"/>
      <c r="C86" s="230"/>
      <c r="D86" s="230"/>
      <c r="E86" s="230"/>
      <c r="F86" s="230"/>
      <c r="G86" s="230"/>
      <c r="H86" s="230"/>
      <c r="I86" s="231"/>
    </row>
    <row r="87" spans="1:9" ht="18.75" customHeight="1" x14ac:dyDescent="0.2">
      <c r="A87" s="1"/>
      <c r="B87" s="229"/>
      <c r="C87" s="230"/>
      <c r="D87" s="230"/>
      <c r="E87" s="230"/>
      <c r="F87" s="230"/>
      <c r="G87" s="230"/>
      <c r="H87" s="230"/>
      <c r="I87" s="231"/>
    </row>
    <row r="88" spans="1:9" ht="18.75" customHeight="1" x14ac:dyDescent="0.2">
      <c r="A88" s="1"/>
      <c r="B88" s="229"/>
      <c r="C88" s="230"/>
      <c r="D88" s="230"/>
      <c r="E88" s="230"/>
      <c r="F88" s="230"/>
      <c r="G88" s="230"/>
      <c r="H88" s="230"/>
      <c r="I88" s="231"/>
    </row>
    <row r="89" spans="1:9" ht="18.75" customHeight="1" x14ac:dyDescent="0.2">
      <c r="A89" s="1"/>
      <c r="B89" s="229"/>
      <c r="C89" s="230"/>
      <c r="D89" s="230"/>
      <c r="E89" s="230"/>
      <c r="F89" s="230"/>
      <c r="G89" s="230"/>
      <c r="H89" s="230"/>
      <c r="I89" s="231"/>
    </row>
    <row r="90" spans="1:9" ht="18.75" customHeight="1" x14ac:dyDescent="0.2">
      <c r="A90" s="4"/>
      <c r="B90" s="229"/>
      <c r="C90" s="230"/>
      <c r="D90" s="230"/>
      <c r="E90" s="230"/>
      <c r="F90" s="230"/>
      <c r="G90" s="230"/>
      <c r="H90" s="230"/>
      <c r="I90" s="231"/>
    </row>
    <row r="91" spans="1:9" ht="18.75" customHeight="1" x14ac:dyDescent="0.2">
      <c r="A91" s="4"/>
      <c r="B91" s="232"/>
      <c r="C91" s="233"/>
      <c r="D91" s="233"/>
      <c r="E91" s="233"/>
      <c r="F91" s="233"/>
      <c r="G91" s="233"/>
      <c r="H91" s="233"/>
      <c r="I91" s="234"/>
    </row>
    <row r="92" spans="1:9" ht="7.5" customHeight="1" x14ac:dyDescent="0.2">
      <c r="A92" s="4"/>
      <c r="B92" s="4"/>
      <c r="C92" s="4"/>
      <c r="D92" s="4"/>
      <c r="E92" s="4"/>
      <c r="F92" s="4"/>
      <c r="G92" s="4"/>
      <c r="H92" s="4"/>
      <c r="I92" s="4"/>
    </row>
    <row r="93" spans="1:9" ht="18.75" customHeight="1" x14ac:dyDescent="0.2">
      <c r="A93" s="1" t="s">
        <v>148</v>
      </c>
      <c r="B93" s="1" t="s">
        <v>149</v>
      </c>
    </row>
    <row r="94" spans="1:9" ht="18.75" customHeight="1" x14ac:dyDescent="0.2">
      <c r="A94" s="1"/>
      <c r="B94" s="246" t="s">
        <v>150</v>
      </c>
      <c r="C94" s="247"/>
      <c r="D94" s="247"/>
      <c r="E94" s="247"/>
      <c r="F94" s="247"/>
      <c r="G94" s="247"/>
      <c r="H94" s="247"/>
      <c r="I94" s="248"/>
    </row>
    <row r="95" spans="1:9" ht="18.75" customHeight="1" x14ac:dyDescent="0.2">
      <c r="A95" s="1"/>
      <c r="B95" s="249"/>
      <c r="C95" s="250"/>
      <c r="D95" s="250"/>
      <c r="E95" s="250"/>
      <c r="F95" s="250"/>
      <c r="G95" s="250"/>
      <c r="H95" s="250"/>
      <c r="I95" s="251"/>
    </row>
    <row r="96" spans="1:9" ht="18.75" customHeight="1" x14ac:dyDescent="0.2">
      <c r="A96" s="1"/>
      <c r="B96" s="249"/>
      <c r="C96" s="250"/>
      <c r="D96" s="250"/>
      <c r="E96" s="250"/>
      <c r="F96" s="250"/>
      <c r="G96" s="250"/>
      <c r="H96" s="250"/>
      <c r="I96" s="251"/>
    </row>
    <row r="97" spans="1:9" ht="18.75" customHeight="1" x14ac:dyDescent="0.2">
      <c r="A97" s="1"/>
      <c r="B97" s="249"/>
      <c r="C97" s="250"/>
      <c r="D97" s="250"/>
      <c r="E97" s="250"/>
      <c r="F97" s="250"/>
      <c r="G97" s="250"/>
      <c r="H97" s="250"/>
      <c r="I97" s="251"/>
    </row>
    <row r="98" spans="1:9" ht="18.75" customHeight="1" x14ac:dyDescent="0.2">
      <c r="A98" s="1"/>
      <c r="B98" s="249"/>
      <c r="C98" s="250"/>
      <c r="D98" s="250"/>
      <c r="E98" s="250"/>
      <c r="F98" s="250"/>
      <c r="G98" s="250"/>
      <c r="H98" s="250"/>
      <c r="I98" s="251"/>
    </row>
    <row r="99" spans="1:9" ht="18.75" customHeight="1" x14ac:dyDescent="0.2">
      <c r="A99" s="1"/>
      <c r="B99" s="249"/>
      <c r="C99" s="250"/>
      <c r="D99" s="250"/>
      <c r="E99" s="250"/>
      <c r="F99" s="250"/>
      <c r="G99" s="250"/>
      <c r="H99" s="250"/>
      <c r="I99" s="251"/>
    </row>
    <row r="100" spans="1:9" ht="18.75" customHeight="1" x14ac:dyDescent="0.2">
      <c r="A100" s="1"/>
      <c r="B100" s="249"/>
      <c r="C100" s="250"/>
      <c r="D100" s="250"/>
      <c r="E100" s="250"/>
      <c r="F100" s="250"/>
      <c r="G100" s="250"/>
      <c r="H100" s="250"/>
      <c r="I100" s="251"/>
    </row>
    <row r="101" spans="1:9" ht="18.75" customHeight="1" x14ac:dyDescent="0.2">
      <c r="A101" s="1"/>
      <c r="B101" s="249"/>
      <c r="C101" s="250"/>
      <c r="D101" s="250"/>
      <c r="E101" s="250"/>
      <c r="F101" s="250"/>
      <c r="G101" s="250"/>
      <c r="H101" s="250"/>
      <c r="I101" s="251"/>
    </row>
    <row r="102" spans="1:9" ht="18.75" customHeight="1" x14ac:dyDescent="0.2">
      <c r="A102" s="1"/>
      <c r="B102" s="249"/>
      <c r="C102" s="250"/>
      <c r="D102" s="250"/>
      <c r="E102" s="250"/>
      <c r="F102" s="250"/>
      <c r="G102" s="250"/>
      <c r="H102" s="250"/>
      <c r="I102" s="251"/>
    </row>
    <row r="103" spans="1:9" ht="18.75" customHeight="1" x14ac:dyDescent="0.2">
      <c r="A103" s="1"/>
      <c r="B103" s="249"/>
      <c r="C103" s="250"/>
      <c r="D103" s="250"/>
      <c r="E103" s="250"/>
      <c r="F103" s="250"/>
      <c r="G103" s="250"/>
      <c r="H103" s="250"/>
      <c r="I103" s="251"/>
    </row>
    <row r="104" spans="1:9" ht="18.75" customHeight="1" x14ac:dyDescent="0.2">
      <c r="A104" s="1"/>
      <c r="B104" s="249"/>
      <c r="C104" s="250"/>
      <c r="D104" s="250"/>
      <c r="E104" s="250"/>
      <c r="F104" s="250"/>
      <c r="G104" s="250"/>
      <c r="H104" s="250"/>
      <c r="I104" s="251"/>
    </row>
    <row r="105" spans="1:9" ht="18.75" customHeight="1" x14ac:dyDescent="0.2">
      <c r="A105" s="4"/>
      <c r="B105" s="252"/>
      <c r="C105" s="177"/>
      <c r="D105" s="177"/>
      <c r="E105" s="177"/>
      <c r="F105" s="177"/>
      <c r="G105" s="177"/>
      <c r="H105" s="177"/>
      <c r="I105" s="178"/>
    </row>
    <row r="106" spans="1:9" ht="7.5" customHeight="1" x14ac:dyDescent="0.2">
      <c r="A106" s="4"/>
      <c r="B106" s="4"/>
      <c r="C106" s="4"/>
      <c r="D106" s="4"/>
      <c r="E106" s="4"/>
      <c r="F106" s="4"/>
      <c r="G106" s="4"/>
      <c r="H106" s="4"/>
      <c r="I106" s="4"/>
    </row>
    <row r="107" spans="1:9" ht="18.75" customHeight="1" x14ac:dyDescent="0.2">
      <c r="A107" s="1" t="s">
        <v>151</v>
      </c>
      <c r="B107" s="253" t="s">
        <v>152</v>
      </c>
      <c r="C107" s="253"/>
      <c r="D107" s="253"/>
      <c r="E107" s="253"/>
      <c r="F107" s="253"/>
      <c r="G107" s="253"/>
      <c r="H107" s="253"/>
      <c r="I107" s="253"/>
    </row>
    <row r="108" spans="1:9" ht="18.75" customHeight="1" x14ac:dyDescent="0.2">
      <c r="A108" s="4"/>
      <c r="B108" s="246" t="s">
        <v>181</v>
      </c>
      <c r="C108" s="247"/>
      <c r="D108" s="247"/>
      <c r="E108" s="247"/>
      <c r="F108" s="247"/>
      <c r="G108" s="247"/>
      <c r="H108" s="247"/>
      <c r="I108" s="248"/>
    </row>
    <row r="109" spans="1:9" ht="18.75" customHeight="1" x14ac:dyDescent="0.2">
      <c r="A109" s="4"/>
      <c r="B109" s="249"/>
      <c r="C109" s="250"/>
      <c r="D109" s="250"/>
      <c r="E109" s="250"/>
      <c r="F109" s="250"/>
      <c r="G109" s="250"/>
      <c r="H109" s="250"/>
      <c r="I109" s="251"/>
    </row>
    <row r="110" spans="1:9" ht="18.75" customHeight="1" x14ac:dyDescent="0.2">
      <c r="A110" s="4"/>
      <c r="B110" s="249"/>
      <c r="C110" s="250"/>
      <c r="D110" s="250"/>
      <c r="E110" s="250"/>
      <c r="F110" s="250"/>
      <c r="G110" s="250"/>
      <c r="H110" s="250"/>
      <c r="I110" s="251"/>
    </row>
    <row r="111" spans="1:9" ht="18.75" customHeight="1" x14ac:dyDescent="0.2">
      <c r="A111" s="4"/>
      <c r="B111" s="249"/>
      <c r="C111" s="250"/>
      <c r="D111" s="250"/>
      <c r="E111" s="250"/>
      <c r="F111" s="250"/>
      <c r="G111" s="250"/>
      <c r="H111" s="250"/>
      <c r="I111" s="251"/>
    </row>
    <row r="112" spans="1:9" ht="18.75" customHeight="1" x14ac:dyDescent="0.2">
      <c r="A112" s="4"/>
      <c r="B112" s="249"/>
      <c r="C112" s="250"/>
      <c r="D112" s="250"/>
      <c r="E112" s="250"/>
      <c r="F112" s="250"/>
      <c r="G112" s="250"/>
      <c r="H112" s="250"/>
      <c r="I112" s="251"/>
    </row>
    <row r="113" spans="1:9" ht="18.75" customHeight="1" x14ac:dyDescent="0.2">
      <c r="A113" s="4"/>
      <c r="B113" s="249"/>
      <c r="C113" s="250"/>
      <c r="D113" s="250"/>
      <c r="E113" s="250"/>
      <c r="F113" s="250"/>
      <c r="G113" s="250"/>
      <c r="H113" s="250"/>
      <c r="I113" s="251"/>
    </row>
    <row r="114" spans="1:9" ht="18.75" customHeight="1" x14ac:dyDescent="0.2">
      <c r="A114" s="4"/>
      <c r="B114" s="249"/>
      <c r="C114" s="250"/>
      <c r="D114" s="250"/>
      <c r="E114" s="250"/>
      <c r="F114" s="250"/>
      <c r="G114" s="250"/>
      <c r="H114" s="250"/>
      <c r="I114" s="251"/>
    </row>
    <row r="115" spans="1:9" ht="18.75" customHeight="1" x14ac:dyDescent="0.2">
      <c r="A115" s="4"/>
      <c r="B115" s="249"/>
      <c r="C115" s="250"/>
      <c r="D115" s="250"/>
      <c r="E115" s="250"/>
      <c r="F115" s="250"/>
      <c r="G115" s="250"/>
      <c r="H115" s="250"/>
      <c r="I115" s="251"/>
    </row>
    <row r="116" spans="1:9" ht="18.75" customHeight="1" x14ac:dyDescent="0.2">
      <c r="A116" s="4"/>
      <c r="B116" s="249"/>
      <c r="C116" s="250"/>
      <c r="D116" s="250"/>
      <c r="E116" s="250"/>
      <c r="F116" s="250"/>
      <c r="G116" s="250"/>
      <c r="H116" s="250"/>
      <c r="I116" s="251"/>
    </row>
    <row r="117" spans="1:9" ht="18.75" customHeight="1" x14ac:dyDescent="0.2">
      <c r="A117" s="4"/>
      <c r="B117" s="249"/>
      <c r="C117" s="250"/>
      <c r="D117" s="250"/>
      <c r="E117" s="250"/>
      <c r="F117" s="250"/>
      <c r="G117" s="250"/>
      <c r="H117" s="250"/>
      <c r="I117" s="251"/>
    </row>
    <row r="118" spans="1:9" ht="18.75" customHeight="1" x14ac:dyDescent="0.2">
      <c r="A118" s="4"/>
      <c r="B118" s="249"/>
      <c r="C118" s="250"/>
      <c r="D118" s="250"/>
      <c r="E118" s="250"/>
      <c r="F118" s="250"/>
      <c r="G118" s="250"/>
      <c r="H118" s="250"/>
      <c r="I118" s="251"/>
    </row>
    <row r="119" spans="1:9" ht="18.75" customHeight="1" x14ac:dyDescent="0.2">
      <c r="A119" s="4"/>
      <c r="B119" s="252"/>
      <c r="C119" s="177"/>
      <c r="D119" s="177"/>
      <c r="E119" s="177"/>
      <c r="F119" s="177"/>
      <c r="G119" s="177"/>
      <c r="H119" s="177"/>
      <c r="I119" s="178"/>
    </row>
    <row r="120" spans="1:9" ht="7.5" customHeight="1" x14ac:dyDescent="0.2">
      <c r="A120" s="4"/>
      <c r="B120" s="32"/>
      <c r="C120" s="32"/>
      <c r="D120" s="32"/>
      <c r="E120" s="32"/>
      <c r="F120" s="32"/>
      <c r="G120" s="32"/>
      <c r="H120" s="32"/>
      <c r="I120" s="32"/>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33"/>
      <c r="B134" s="33"/>
      <c r="C134" s="33"/>
      <c r="D134" s="33"/>
      <c r="E134" s="33"/>
      <c r="F134" s="33"/>
      <c r="G134" s="33"/>
      <c r="H134" s="33"/>
      <c r="I134" s="33"/>
    </row>
  </sheetData>
  <mergeCells count="22">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2" zoomScaleNormal="100" zoomScaleSheetLayoutView="100" workbookViewId="0">
      <selection activeCell="E28" sqref="E28"/>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153</v>
      </c>
      <c r="I1" s="23" t="s">
        <v>154</v>
      </c>
    </row>
    <row r="2" spans="1:9" ht="18.75" customHeight="1" x14ac:dyDescent="0.2">
      <c r="H2" s="23" t="s">
        <v>2</v>
      </c>
      <c r="I2" s="22" t="str">
        <f>'様式１　プログラムを構成する授業科目'!C2</f>
        <v>京都橘大学</v>
      </c>
    </row>
    <row r="3" spans="1:9" ht="18.75" customHeight="1" x14ac:dyDescent="0.2">
      <c r="A3" s="134" t="s">
        <v>155</v>
      </c>
      <c r="B3" s="134"/>
      <c r="C3" s="134"/>
      <c r="D3" s="134"/>
      <c r="E3" s="134"/>
      <c r="F3" s="134"/>
      <c r="G3" s="134"/>
      <c r="H3" s="134"/>
      <c r="I3" s="134"/>
    </row>
    <row r="4" spans="1:9" ht="18.75" customHeight="1" x14ac:dyDescent="0.2">
      <c r="A4" s="5"/>
      <c r="B4" s="5"/>
      <c r="C4" s="5"/>
      <c r="D4" s="5"/>
      <c r="E4" s="5"/>
      <c r="F4" s="5"/>
      <c r="G4" s="5"/>
      <c r="H4" s="5"/>
      <c r="I4" s="5"/>
    </row>
    <row r="5" spans="1:9" ht="18.75" customHeight="1" x14ac:dyDescent="0.2">
      <c r="A5" s="1" t="s">
        <v>109</v>
      </c>
      <c r="B5" s="10" t="s">
        <v>156</v>
      </c>
      <c r="C5" s="5"/>
      <c r="D5" s="5"/>
      <c r="E5" s="5"/>
      <c r="F5" s="5"/>
      <c r="G5" s="5"/>
      <c r="H5" s="5"/>
      <c r="I5" s="5"/>
    </row>
    <row r="6" spans="1:9" ht="26.25" customHeight="1" x14ac:dyDescent="0.2">
      <c r="A6" s="5"/>
      <c r="B6" s="271" t="s">
        <v>157</v>
      </c>
      <c r="C6" s="301"/>
      <c r="D6" s="301"/>
      <c r="E6" s="301"/>
      <c r="F6" s="301"/>
      <c r="G6" s="301"/>
      <c r="H6" s="302"/>
      <c r="I6" s="3"/>
    </row>
    <row r="7" spans="1:9" ht="9" customHeight="1" x14ac:dyDescent="0.2">
      <c r="A7" s="5"/>
      <c r="B7" s="10"/>
      <c r="C7" s="10"/>
      <c r="D7" s="10"/>
      <c r="E7" s="10"/>
      <c r="F7" s="10"/>
      <c r="G7" s="10"/>
      <c r="H7" s="10"/>
      <c r="I7" s="3"/>
    </row>
    <row r="8" spans="1:9" ht="18.75" customHeight="1" x14ac:dyDescent="0.2">
      <c r="A8" s="5"/>
      <c r="B8" s="3"/>
      <c r="C8" s="3"/>
      <c r="D8" s="23" t="s">
        <v>118</v>
      </c>
      <c r="E8" s="24" t="s">
        <v>158</v>
      </c>
      <c r="F8" s="3"/>
      <c r="G8" s="23" t="s">
        <v>120</v>
      </c>
      <c r="H8" s="24" t="s">
        <v>159</v>
      </c>
      <c r="I8" s="3"/>
    </row>
    <row r="9" spans="1:9" ht="7.5" customHeight="1" x14ac:dyDescent="0.2">
      <c r="A9" s="5"/>
      <c r="B9" s="5"/>
      <c r="C9" s="5"/>
      <c r="D9" s="5"/>
      <c r="E9" s="5"/>
      <c r="F9" s="5"/>
      <c r="G9" s="5"/>
      <c r="H9" s="5"/>
      <c r="I9" s="5"/>
    </row>
    <row r="10" spans="1:9" ht="18.75" customHeight="1" x14ac:dyDescent="0.2">
      <c r="A10" s="1" t="s">
        <v>114</v>
      </c>
      <c r="B10" s="1" t="s">
        <v>160</v>
      </c>
      <c r="C10" s="4"/>
      <c r="D10" s="4"/>
      <c r="E10" s="4"/>
      <c r="F10" s="4"/>
      <c r="G10" s="4"/>
      <c r="H10" s="4"/>
      <c r="I10" s="4"/>
    </row>
    <row r="11" spans="1:9" ht="18.75" customHeight="1" x14ac:dyDescent="0.2">
      <c r="B11" s="105" t="s">
        <v>161</v>
      </c>
      <c r="C11" s="106"/>
      <c r="D11" s="107"/>
      <c r="E11" s="106" t="s">
        <v>162</v>
      </c>
      <c r="F11" s="106"/>
      <c r="G11" s="106"/>
      <c r="H11" s="106"/>
      <c r="I11" s="107"/>
    </row>
    <row r="12" spans="1:9" ht="26.25" customHeight="1" x14ac:dyDescent="0.2">
      <c r="B12" s="34" t="s">
        <v>163</v>
      </c>
      <c r="C12" s="41"/>
      <c r="D12" s="35"/>
      <c r="E12" s="42"/>
      <c r="F12" s="42"/>
      <c r="G12" s="42"/>
      <c r="H12" s="42"/>
      <c r="I12" s="35"/>
    </row>
    <row r="13" spans="1:9" ht="210.75" customHeight="1" x14ac:dyDescent="0.2">
      <c r="B13" s="36"/>
      <c r="C13" s="281" t="s">
        <v>164</v>
      </c>
      <c r="D13" s="282"/>
      <c r="E13" s="170" t="s">
        <v>182</v>
      </c>
      <c r="F13" s="294"/>
      <c r="G13" s="294"/>
      <c r="H13" s="294"/>
      <c r="I13" s="295"/>
    </row>
    <row r="14" spans="1:9" ht="210.75" customHeight="1" x14ac:dyDescent="0.2">
      <c r="B14" s="36"/>
      <c r="C14" s="299" t="s">
        <v>165</v>
      </c>
      <c r="D14" s="300"/>
      <c r="E14" s="170" t="s">
        <v>183</v>
      </c>
      <c r="F14" s="294"/>
      <c r="G14" s="294"/>
      <c r="H14" s="294"/>
      <c r="I14" s="295"/>
    </row>
    <row r="15" spans="1:9" ht="210.75" customHeight="1" x14ac:dyDescent="0.2">
      <c r="B15" s="36"/>
      <c r="C15" s="281" t="s">
        <v>166</v>
      </c>
      <c r="D15" s="282"/>
      <c r="E15" s="170" t="s">
        <v>176</v>
      </c>
      <c r="F15" s="294"/>
      <c r="G15" s="294"/>
      <c r="H15" s="294"/>
      <c r="I15" s="295"/>
    </row>
    <row r="16" spans="1:9" ht="210.75" customHeight="1" x14ac:dyDescent="0.2">
      <c r="B16" s="36"/>
      <c r="C16" s="281" t="s">
        <v>167</v>
      </c>
      <c r="D16" s="282"/>
      <c r="E16" s="170" t="s">
        <v>168</v>
      </c>
      <c r="F16" s="294"/>
      <c r="G16" s="294"/>
      <c r="H16" s="294"/>
      <c r="I16" s="295"/>
    </row>
    <row r="17" spans="2:9" ht="210.75" customHeight="1" x14ac:dyDescent="0.2">
      <c r="B17" s="37"/>
      <c r="C17" s="285" t="s">
        <v>169</v>
      </c>
      <c r="D17" s="286"/>
      <c r="E17" s="296" t="s">
        <v>170</v>
      </c>
      <c r="F17" s="297"/>
      <c r="G17" s="297"/>
      <c r="H17" s="297"/>
      <c r="I17" s="298"/>
    </row>
    <row r="18" spans="2:9" ht="24" customHeight="1" x14ac:dyDescent="0.2">
      <c r="B18" s="34" t="s">
        <v>171</v>
      </c>
      <c r="C18" s="38"/>
      <c r="D18" s="39"/>
      <c r="E18" s="40"/>
      <c r="F18" s="40"/>
      <c r="G18" s="40"/>
      <c r="H18" s="40"/>
      <c r="I18" s="43"/>
    </row>
    <row r="19" spans="2:9" ht="218.25" customHeight="1" x14ac:dyDescent="0.2">
      <c r="B19" s="36"/>
      <c r="C19" s="281" t="s">
        <v>172</v>
      </c>
      <c r="D19" s="282"/>
      <c r="E19" s="283" t="s">
        <v>184</v>
      </c>
      <c r="F19" s="283"/>
      <c r="G19" s="283"/>
      <c r="H19" s="283"/>
      <c r="I19" s="284"/>
    </row>
    <row r="20" spans="2:9" ht="218.25" customHeight="1" x14ac:dyDescent="0.2">
      <c r="B20" s="37"/>
      <c r="C20" s="285" t="s">
        <v>173</v>
      </c>
      <c r="D20" s="286"/>
      <c r="E20" s="287" t="s">
        <v>185</v>
      </c>
      <c r="F20" s="287"/>
      <c r="G20" s="287"/>
      <c r="H20" s="287"/>
      <c r="I20" s="288"/>
    </row>
    <row r="21" spans="2:9" ht="218.25" customHeight="1" x14ac:dyDescent="0.2">
      <c r="B21" s="289" t="s">
        <v>174</v>
      </c>
      <c r="C21" s="290"/>
      <c r="D21" s="291"/>
      <c r="E21" s="292" t="s">
        <v>177</v>
      </c>
      <c r="F21" s="292"/>
      <c r="G21" s="292"/>
      <c r="H21" s="292"/>
      <c r="I21" s="293"/>
    </row>
    <row r="22" spans="2:9" ht="218.25" customHeight="1" x14ac:dyDescent="0.2">
      <c r="B22" s="277" t="s">
        <v>175</v>
      </c>
      <c r="C22" s="278"/>
      <c r="D22" s="279"/>
      <c r="E22" s="176" t="s">
        <v>186</v>
      </c>
      <c r="F22" s="176"/>
      <c r="G22" s="176"/>
      <c r="H22" s="176"/>
      <c r="I22" s="280"/>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京都橘大学</cp:lastModifiedBy>
  <cp:revision/>
  <cp:lastPrinted>2023-06-26T09:56:17Z</cp:lastPrinted>
  <dcterms:created xsi:type="dcterms:W3CDTF">2011-06-14T05:32:50Z</dcterms:created>
  <dcterms:modified xsi:type="dcterms:W3CDTF">2023-06-27T01:59:53Z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