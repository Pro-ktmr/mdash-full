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9"/>
  <workbookPr defaultThemeVersion="124226"/>
  <mc:AlternateContent xmlns:mc="http://schemas.openxmlformats.org/markup-compatibility/2006">
    <mc:Choice Requires="x15">
      <x15ac:absPath xmlns:x15ac="http://schemas.microsoft.com/office/spreadsheetml/2010/11/ac" url="M:\kyogaku-g\kyogaku\56_データサイエンス教育プログラム\02_認定制度申請\2023年度\02_指摘後、再申請（リテラシー）\"/>
    </mc:Choice>
  </mc:AlternateContent>
  <xr:revisionPtr revIDLastSave="0" documentId="13_ncr:1_{50E79123-F49F-450E-8C43-04E440E31FCD}" xr6:coauthVersionLast="36" xr6:coauthVersionMax="47" xr10:uidLastSave="{00000000-0000-0000-0000-000000000000}"/>
  <bookViews>
    <workbookView xWindow="0" yWindow="0" windowWidth="28800" windowHeight="12135" xr2:uid="{D643AA97-EBAD-4A34-B616-1287E21C561A}"/>
  </bookViews>
  <sheets>
    <sheet name="様式１　プログラムを構成する授業科目 " sheetId="44" r:id="rId1"/>
    <sheet name="様式２ 履修者等数の実績" sheetId="40" r:id="rId2"/>
    <sheet name="様式３ 教育の質・履修者数を向上させるための体制・計画" sheetId="41" r:id="rId3"/>
    <sheet name="様式４　自己点検・評価" sheetId="42" r:id="rId4"/>
  </sheets>
  <externalReferences>
    <externalReference r:id="rId5"/>
  </externalReferences>
  <definedNames>
    <definedName name="_xlnm._FilterDatabase" localSheetId="0" hidden="1">'様式１　プログラムを構成する授業科目 '!$V$14:$V$16</definedName>
    <definedName name="_xlnm._FilterDatabase" localSheetId="1" hidden="1">'様式２ 履修者等数の実績'!#REF!</definedName>
    <definedName name="_xlnm.Print_Area" localSheetId="0">'様式１　プログラムを構成する授業科目 '!$A$1:$S$214</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<sst xmlns="http://schemas.openxmlformats.org/spreadsheetml/2006/main" count="966" uniqueCount="319">
  <si>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</si>
  <si>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</si>
  <si>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</si>
  <si>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</si>
  <si>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プログラムを構成する授業科目について</t>
    <phoneticPr fontId="1"/>
  </si>
  <si>
    <t>① 対象となる学部・学科名称</t>
    <phoneticPr fontId="1"/>
  </si>
  <si>
    <t>② 教育プログラムの修了要件</t>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</si>
  <si>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</si>
  <si>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</si>
  <si>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</si>
  <si>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</si>
  <si>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</si>
  <si>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</si>
  <si>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</si>
  <si>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</si>
  <si>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</si>
  <si>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</si>
  <si>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</si>
  <si>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</si>
  <si>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</si>
  <si>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</si>
  <si>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</si>
  <si>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</si>
  <si>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</si>
  <si>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</si>
  <si>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</si>
  <si>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</si>
  <si>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</si>
  <si>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</si>
  <si>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</si>
  <si>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</si>
  <si>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</si>
  <si>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</si>
  <si>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</si>
  <si>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</si>
  <si>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</si>
  <si>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</si>
  <si>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</si>
  <si>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</si>
  <si>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</si>
  <si>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</si>
  <si>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</si>
  <si>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</si>
  <si>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</si>
  <si>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</si>
  <si>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</si>
  <si>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</si>
  <si>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</si>
  <si>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</si>
  <si>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</si>
  <si>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</si>
  <si>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</si>
  <si>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</si>
  <si>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</si>
  <si>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</si>
  <si>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</si>
  <si>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</si>
  <si>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</si>
  <si>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</si>
  <si>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</si>
  <si>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</si>
  <si>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</si>
  <si>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</si>
  <si>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</si>
  <si>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</si>
  <si>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</si>
  <si>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</si>
  <si>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</si>
  <si>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</si>
  <si>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</si>
  <si>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</si>
  <si>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</si>
  <si>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</si>
  <si>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</si>
  <si>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</si>
  <si>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</si>
  <si>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</si>
  <si>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</si>
  <si>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</si>
  <si>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</si>
  <si>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</si>
  <si>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</si>
  <si>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</si>
  <si>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</si>
  <si>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</si>
  <si>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</si>
  <si>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</si>
  <si>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</si>
  <si>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</si>
  <si>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</si>
  <si>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</si>
  <si>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</si>
  <si>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</si>
  <si>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</si>
  <si>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</si>
  <si>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</si>
  <si>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</si>
  <si>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</si>
  <si>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</si>
  <si>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</si>
  <si>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</si>
  <si>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</si>
  <si>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</si>
  <si>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</si>
  <si>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</si>
  <si>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</si>
  <si>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</si>
  <si>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</si>
  <si>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</si>
  <si>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</si>
  <si>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</si>
  <si>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</si>
  <si>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</si>
  <si>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</si>
  <si>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</si>
  <si>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</si>
  <si>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</si>
  <si>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</si>
  <si>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</si>
  <si>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</si>
  <si>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</si>
  <si>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</si>
  <si>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</si>
  <si>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</si>
  <si>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</si>
  <si>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</si>
  <si>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</si>
  <si>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学部・学科によって、修了要件は相違しない</t>
  </si>
  <si>
    <t>データサイエンス・AIリテラシープログラム</t>
    <phoneticPr fontId="1"/>
  </si>
  <si>
    <t>龍谷大学</t>
    <rPh sb="0" eb="4">
      <t>リュウコクダイガク</t>
    </rPh>
    <phoneticPr fontId="1"/>
  </si>
  <si>
    <t>「データサイエンス・AI入門」（2単位）と「プログラム指定科目」（2単位以上）で構成し、2科目4単位の修得をプログラム修了要件としている。</t>
    <phoneticPr fontId="1"/>
  </si>
  <si>
    <t>データ思考の基礎的な知識・技能を有し、実際の簡単な統計データなどを適切にグラフ化し、それらに基づき判断できることができる。また、データを扱う上での個人情報などの取り扱い方に関して、注意すべき点を説明できる。</t>
    <phoneticPr fontId="1"/>
  </si>
  <si>
    <t>文学部</t>
    <rPh sb="0" eb="3">
      <t>ブンガクブ</t>
    </rPh>
    <phoneticPr fontId="1"/>
  </si>
  <si>
    <t>経済学部</t>
    <rPh sb="0" eb="4">
      <t>ケイザイガクブ</t>
    </rPh>
    <phoneticPr fontId="1"/>
  </si>
  <si>
    <t>経営学部</t>
    <rPh sb="0" eb="4">
      <t>ケイエイガクブ</t>
    </rPh>
    <phoneticPr fontId="1"/>
  </si>
  <si>
    <t>法学部</t>
    <rPh sb="0" eb="3">
      <t>ホウガクブ</t>
    </rPh>
    <phoneticPr fontId="1"/>
  </si>
  <si>
    <t>政策学部</t>
    <rPh sb="0" eb="4">
      <t>セイサクガクブ</t>
    </rPh>
    <phoneticPr fontId="1"/>
  </si>
  <si>
    <t>国際学部</t>
    <rPh sb="0" eb="4">
      <t>コクサイガクブ</t>
    </rPh>
    <phoneticPr fontId="1"/>
  </si>
  <si>
    <t>先端理工学部</t>
    <rPh sb="0" eb="6">
      <t>センタンリコウガクブ</t>
    </rPh>
    <phoneticPr fontId="1"/>
  </si>
  <si>
    <t>社会学部</t>
    <rPh sb="0" eb="4">
      <t>シャカイガクブ</t>
    </rPh>
    <phoneticPr fontId="1"/>
  </si>
  <si>
    <t>農学部</t>
    <rPh sb="0" eb="3">
      <t>ノウガクブ</t>
    </rPh>
    <phoneticPr fontId="1"/>
  </si>
  <si>
    <t>只友　景士</t>
    <rPh sb="0" eb="2">
      <t>タダトモ</t>
    </rPh>
    <rPh sb="3" eb="4">
      <t>ケイ</t>
    </rPh>
    <rPh sb="4" eb="5">
      <t>シ</t>
    </rPh>
    <phoneticPr fontId="1"/>
  </si>
  <si>
    <t>教学部長</t>
    <rPh sb="0" eb="4">
      <t>キョウガクブチョウ</t>
    </rPh>
    <phoneticPr fontId="1"/>
  </si>
  <si>
    <t>データサイエンス教育プログラム運営委員会</t>
    <phoneticPr fontId="1"/>
  </si>
  <si>
    <t>データサイエンス教育プログラム運営委員会内規</t>
    <rPh sb="20" eb="22">
      <t>ナイキ</t>
    </rPh>
    <phoneticPr fontId="1"/>
  </si>
  <si>
    <t>データサイエンス教育プログラム運営委員会は，次の各号に掲げる事項を協議する。
(1)プログラムの運営に関すること。（プログラムの編成や実施，履修要件の設定等） (2)プログラムを構成する科目の運営に関すること。（講義内容や実施方法，担当者，時間割の調整等）
(3) 文部科学省「数理・データサイエンス・ＡＩ教育プログラム認定制度」に関すること。（認定制度への申請・更新，認定要件の調整等）
(4)プログラム及び科目の質保証に関すること。
(5)その他，プログラム及び科目に関すること。</t>
    <phoneticPr fontId="1"/>
  </si>
  <si>
    <t>令和4（2022）年度から履修要項にデータサイエンス教育プログラムの説明を掲載するとともに、新入生向けオリエンテーションにおいて同プログラムの紹介チラシを配付し、周知している。また、同プログラムの説明動画の作成や履修者数・履修率の向上に向けてホームページの充実を図ることとしている。</t>
    <phoneticPr fontId="1"/>
  </si>
  <si>
    <t>只友　景士</t>
    <phoneticPr fontId="1"/>
  </si>
  <si>
    <t>教学部長</t>
    <phoneticPr fontId="1"/>
  </si>
  <si>
    <t>データサイエンス・AIリテラシープログラムは、2022年度入学生を対象として開始したことから、プログラム修了者の進路、活躍状況、企業等の評価を得るまでには至っていないが、今後、キャリアセンターが実施している卒業時進路データ、卒業後1年目および卒業後3年目を対象とした卒業生アンケートをもとにプログラム修了生の進路先や活躍状況を把握する予定である。</t>
    <rPh sb="27" eb="29">
      <t>ネンド</t>
    </rPh>
    <rPh sb="29" eb="32">
      <t>ニュウガクセイ</t>
    </rPh>
    <rPh sb="33" eb="35">
      <t>タイショウ</t>
    </rPh>
    <rPh sb="38" eb="40">
      <t>カイシ</t>
    </rPh>
    <rPh sb="71" eb="72">
      <t>エ</t>
    </rPh>
    <rPh sb="77" eb="78">
      <t>イタ</t>
    </rPh>
    <rPh sb="85" eb="87">
      <t>コンゴ</t>
    </rPh>
    <phoneticPr fontId="1"/>
  </si>
  <si>
    <t>データサイエンス・AIリテラシープログラムは、「データサイエンス・AI入門」（2単位）と「プログラム指定科目」（2単位以上）で構成し、2科目4単位の修得をプログラム修了要件としている。
令和4（2022）年度については、「データサイエンス・AI 入門」を1科目（1 クラス）、「プログラム指定科目」を31科目（77クラス）開講した。
履修者数及び修得者数については、以下のとおりである。
＜データサイエンス・ＡＩリテラシープログラム＞履修者数：57人、修得者数：32人
＜（参考）データサイエンス・ＡＩ入門＞履修者数：140人、修得者数：92人 
＜（参考）プログラム科目＞履修者数：1,811人、修得者数：1,621人</t>
    <rPh sb="217" eb="221">
      <t>リシュウシャスウ</t>
    </rPh>
    <rPh sb="226" eb="230">
      <t>シュウトクシャスウ</t>
    </rPh>
    <rPh sb="264" eb="268">
      <t>シュウトクシャスウ</t>
    </rPh>
    <rPh sb="271" eb="272">
      <t>ニン</t>
    </rPh>
    <rPh sb="297" eb="298">
      <t>ニン</t>
    </rPh>
    <rPh sb="299" eb="303">
      <t>シュウトクシャスウ</t>
    </rPh>
    <phoneticPr fontId="1"/>
  </si>
  <si>
    <t>龍谷大学ではLMS「manaba course」を導入しており、本プログラム科目においても授業資料の提示や学生からの質問受付、レポート課題の提出などで活用し、多くの学生が履修できるようサポートしている。その他、夏期集中講義期間も授業を開講することで、通常学期で履修出来なかった学生やキャンパスを越えて履修できる環境を整え、より多くの学生に履修機会を提供している。</t>
    <phoneticPr fontId="1"/>
  </si>
  <si>
    <t>授業時間外での質問については龍谷大学のLMS「manaba course」を活用し、受け付けている。また、質問内容は科目を受講するすべての学生が確認できる機能もあり、授業内容への学生の疑問点と教員による回答を共有することもできる。また、メールによる質問も受け付けており、学生からの質問受付の方法を複数用意している。
その他、モデルカリキュラム「基礎」の『データを扱う』の授業回で実習授業を取り入れているが、学内のスチューデントコモンズに大学院生のティーチングアシスタントを配置し、実習後のフォローアップを行う体制を整備し、学生をサポートしている。</t>
    <phoneticPr fontId="1"/>
  </si>
  <si>
    <t>令和4（2022）年度は、2022年度入学生を対象に新たな全学開講科目として「データサイエンス・AI入門」（必修科目）を開講したほか、教養教育科目、学部専攻科目、学部共有コース科目から31科目（77クラス）をプログラム科目と指定し開講した。
また、専用のWEBページを作成したほか、履修要項へのプログラム概要の掲載、新入生向けのオリエンテーションで同プログラムの紹介チラシを配布、プログラムの広報用動画を作成するなど、履修者数、履修率の向上にむけた取り組みを展開している。</t>
    <rPh sb="124" eb="126">
      <t>センヨウ</t>
    </rPh>
    <rPh sb="134" eb="136">
      <t>サクセイ</t>
    </rPh>
    <rPh sb="196" eb="201">
      <t>コウホウヨウドウガ</t>
    </rPh>
    <rPh sb="202" eb="204">
      <t>サクセイ</t>
    </rPh>
    <rPh sb="226" eb="227">
      <t>ク</t>
    </rPh>
    <rPh sb="229" eb="231">
      <t>テンカイ</t>
    </rPh>
    <phoneticPr fontId="1"/>
  </si>
  <si>
    <t>令和4（2022）年度に開講した「データサイエンス・AI入門」の授業では、オープンデータであるsignate.jpにおける「レンタル自転車の利用者数予測」の実データをもとに、Google Data Portal（BIツール）を用いて円グラフ、棒グラフ、積み上げ棒グラフ、折れ線グラフ、散布図を作成し、可視化を行った。
今後、社会や企業等で取り扱われている実データを用いた実習を行うことも想定しており、実データを提供してくれる企業や団体等との連携・協働の可能性を追求しているところである。さらに、その連携先企業から教育プログラム内容に対する意見等を収集し、改善に活用していく予定である。</t>
    <rPh sb="12" eb="14">
      <t>カイコウ</t>
    </rPh>
    <rPh sb="32" eb="34">
      <t>ジュギョウ</t>
    </rPh>
    <phoneticPr fontId="1"/>
  </si>
  <si>
    <t>データサイエンス・AIリテラシープログラムの必修科目である「データサイエンス・AI入門」の授業アンケートの設問「この授業のシラバスに示されている「到達目標（目的・ねらい）」を、どの程度達成できたと思いますか」の回答においては、「90～100％（12.9％）」「80～89％達成（55.9％）」「70～79％達成（20.4％）」と約9割の受講生より「70%以上達成できた」と回答を得た。
また、設問「データサイエンス教育プログラムに関連する科目 で学んだ内容は、将来、役に立つと思いますか」の回答においては、「強くそう思う（54.8％）」「そう思う（38.7％）」と9割以上の受講生より「将来役に立つ」と回答を得ることができた。
これらのことにより、「データサイエンス・AI入門」の授業目的の一つである「将来、社会でビッグデータの処理結果に基づく判断が求められた際に、困らずに取り扱うことができる」ことについては一定の水準において達成していると評価できる。</t>
    <rPh sb="340" eb="344">
      <t>ジュギョウモクテキ</t>
    </rPh>
    <rPh sb="345" eb="346">
      <t>ヒト</t>
    </rPh>
    <rPh sb="404" eb="406">
      <t>イッテイ</t>
    </rPh>
    <rPh sb="407" eb="409">
      <t>スイジュン</t>
    </rPh>
    <rPh sb="413" eb="415">
      <t>タッセイ</t>
    </rPh>
    <rPh sb="420" eb="422">
      <t>ヒョウカ</t>
    </rPh>
    <phoneticPr fontId="1"/>
  </si>
  <si>
    <t>「データサイエンス・AI入門」の授業アンケートの設問「この授業の内容は理解できましたか」の回答において、「よく理解できた（15.2％）」「理解できた（65.2％）」と約8割の受講生より「理解できた」と回答を得た。
また、「データサイエンス・AI入門」においては、授業中におけるグループワークや「データを扱う」実習授業のサポートを行う体制として大学院生のティーチングアシスタントを配置し、学生の理解度の把握及び向上を図っている。</t>
    <rPh sb="45" eb="47">
      <t>カイトウ</t>
    </rPh>
    <rPh sb="83" eb="84">
      <t>ヤク</t>
    </rPh>
    <rPh sb="85" eb="86">
      <t>ワリ</t>
    </rPh>
    <rPh sb="156" eb="158">
      <t>ジュギョウ</t>
    </rPh>
    <rPh sb="164" eb="165">
      <t>オコナ</t>
    </rPh>
    <rPh sb="166" eb="168">
      <t>タイセイ</t>
    </rPh>
    <rPh sb="193" eb="195">
      <t>ガクセイ</t>
    </rPh>
    <rPh sb="196" eb="199">
      <t>リカイド</t>
    </rPh>
    <rPh sb="200" eb="202">
      <t>ハアク</t>
    </rPh>
    <rPh sb="202" eb="203">
      <t>オヨ</t>
    </rPh>
    <rPh sb="204" eb="206">
      <t>コウジョウ</t>
    </rPh>
    <rPh sb="207" eb="208">
      <t>ハカ</t>
    </rPh>
    <phoneticPr fontId="1"/>
  </si>
  <si>
    <t>「データサイエンス・AI入門」の授業アンケートの設問「受講を後輩や他の学生に履修を推奨したいと思いますか」の回答において、「強くそう思う（30.4％）」「そう思う（46.7％）」と約7割以上の受講生より「推奨したい」と回答を得た。</t>
    <rPh sb="54" eb="56">
      <t>カイトウ</t>
    </rPh>
    <rPh sb="79" eb="80">
      <t>オモ</t>
    </rPh>
    <rPh sb="93" eb="95">
      <t>イジョウ</t>
    </rPh>
    <rPh sb="102" eb="104">
      <t>スイショウ</t>
    </rPh>
    <phoneticPr fontId="1"/>
  </si>
  <si>
    <t>「データサイエンス・AI入門」の授業では、文部科学省による「数理・データサイエンス・AI（リテラシーレベル)」のモデルカリキュラムに基づいて、「社会におけるデータ・AI利活用」（導入）、「データリテラシー」（基礎）、「データ・AI利活用における留意事項」（心得）について学ぶこととしている。
授業においては、一方向の講義とならないよう、「無人コンビニ」や「自動運転」をテーマとしたグループワークを実施した。また、「レンタル自転車の利用者数予測」といった身近な事例を取り上げて、BIツールを使用した計算機実習を行うことで、データサイエンスを自分事に感じられる仕掛けを構築した。
これらのことにより、「データサイエンス・AI入門」の授業アンケートの設問「データサイエンス教育プログラムに関連する科目を通じて「学ぶ楽しさ」や「学ぶことの意義」を感じましたか」の回答において、「強くそう思う（27.9％）」「そう思う（53.7％）」と約8割の受講生より「そう思う」と回答を得たことより、「データサイエンス・AI入門」を通して、「学ぶ楽しさ」や「学ぶことの意義」を理解してもらうことができた。</t>
    <rPh sb="16" eb="18">
      <t>ジュギョウ</t>
    </rPh>
    <rPh sb="89" eb="91">
      <t>ドウニュウ</t>
    </rPh>
    <rPh sb="104" eb="106">
      <t>キソ</t>
    </rPh>
    <rPh sb="128" eb="130">
      <t>ココロエ</t>
    </rPh>
    <rPh sb="135" eb="136">
      <t>マナ</t>
    </rPh>
    <rPh sb="146" eb="148">
      <t>ジュギョウ</t>
    </rPh>
    <rPh sb="226" eb="228">
      <t>ミジカ</t>
    </rPh>
    <rPh sb="229" eb="231">
      <t>ジレイ</t>
    </rPh>
    <rPh sb="232" eb="233">
      <t>ト</t>
    </rPh>
    <rPh sb="234" eb="235">
      <t>ア</t>
    </rPh>
    <rPh sb="244" eb="246">
      <t>シヨウ</t>
    </rPh>
    <rPh sb="248" eb="253">
      <t>ケイサンキジッシュウ</t>
    </rPh>
    <rPh sb="254" eb="255">
      <t>オコナ</t>
    </rPh>
    <rPh sb="269" eb="272">
      <t>ジブンゴト</t>
    </rPh>
    <rPh sb="273" eb="274">
      <t>カン</t>
    </rPh>
    <rPh sb="278" eb="280">
      <t>シカ</t>
    </rPh>
    <rPh sb="282" eb="284">
      <t>コウチク</t>
    </rPh>
    <rPh sb="424" eb="427">
      <t>ホンカモク</t>
    </rPh>
    <rPh sb="428" eb="429">
      <t>トオ</t>
    </rPh>
    <rPh sb="462" eb="464">
      <t>リカイ</t>
    </rPh>
    <phoneticPr fontId="1"/>
  </si>
  <si>
    <t>令和4（2022）年度の「データサイエンス・AI入門」は、全学部の学生が受講できるようキャンパス間をオンラインでつないだうえで、グループワークを取り入れた学舎間連携授業として実施した。実施後は、「『データサイエンス・AI入門』の授業展開」と題したFD研修会を開催することにより、授業において得られた知見を学内外に共有するとともに、次年度の複数担当者による複数クラス開講に向けて講義内容や水準を平準化するための情報共有や課題確認をおこなった。
また、令和5（2023）年度は、実習授業をサポートする体制として、授業時間外に質問を受け付ける大学院生のティーチングアシスタントを各キャンパスに配置する。このことにより、授業後の学生へのサポートをマンツーマンで行うことができ、学生の理解を促進することで「分かりやすい」授業とすることを目指している。</t>
    <rPh sb="152" eb="155">
      <t>ガクナイガイ</t>
    </rPh>
    <rPh sb="237" eb="241">
      <t>ジッシュウジュギョウ</t>
    </rPh>
    <rPh sb="306" eb="309">
      <t>ジュギョウゴ</t>
    </rPh>
    <rPh sb="310" eb="312">
      <t>ガクセイ</t>
    </rPh>
    <phoneticPr fontId="1"/>
  </si>
  <si>
    <t>データサイエンス・ＡＩ入門</t>
  </si>
  <si>
    <t>○</t>
  </si>
  <si>
    <t>統計学入門</t>
  </si>
  <si>
    <t>政策学のための統計・数学</t>
  </si>
  <si>
    <t>スポーツ統計学</t>
  </si>
  <si>
    <t>栄養疫学</t>
  </si>
  <si>
    <t>ITリテラシーA</t>
  </si>
  <si>
    <t>ITリテラシーB</t>
  </si>
  <si>
    <t>（公）心理学実験Ａ</t>
  </si>
  <si>
    <t>社会統計学Ⅰ</t>
  </si>
  <si>
    <t>（公）心理学実験Ｂ</t>
  </si>
  <si>
    <t>心理学研究法A</t>
  </si>
  <si>
    <t>社会統計学のすすめ</t>
  </si>
  <si>
    <t>心理学研究法B</t>
  </si>
  <si>
    <t>生活の中の統計技術</t>
  </si>
  <si>
    <t>生物統計学</t>
  </si>
  <si>
    <t>統計処理実習</t>
  </si>
  <si>
    <t>経営データの分析A</t>
  </si>
  <si>
    <t>確率・統計入門</t>
  </si>
  <si>
    <t>経営データの分析B</t>
  </si>
  <si>
    <t>社会調査情報処理実習A</t>
  </si>
  <si>
    <t>社会調査情報処理実習B</t>
  </si>
  <si>
    <t>情報処理実習ⅠA</t>
  </si>
  <si>
    <t>情報処理実習ⅠB</t>
  </si>
  <si>
    <t>情報処理実習ⅡA</t>
  </si>
  <si>
    <t>心理学統計法A</t>
  </si>
  <si>
    <t>情報処理実習ⅡB</t>
  </si>
  <si>
    <t>心理学統計法B</t>
  </si>
  <si>
    <t>社会統計学Ⅱ</t>
  </si>
  <si>
    <t>量的調査法</t>
  </si>
  <si>
    <t>社会調査法</t>
  </si>
  <si>
    <t>4‐4時系列データ解析</t>
  </si>
  <si>
    <t>4‐8データ活用実践（教師あり学習）</t>
  </si>
  <si>
    <t>4-1統計および数理基礎</t>
  </si>
  <si>
    <t>4‐7データハンドリング</t>
  </si>
  <si>
    <t>4‐3データ構造とプログラミング基礎</t>
  </si>
  <si>
    <t>令和4（2022）年度は、「データサイエンス・AI入門」を1科目（1クラス）新規開設し、「データサイエンス・AI入門」（2単位）と「プログラム指定科目」（2単位以上）の2科目4単位の修得をプログラム修了要件としている。「プログラム指定科目」は数理・データサイエンスに関連する教養教育科目や学部専攻科目等より選定し、30科目（77クラス）開講した。
令和5（2023）年度においては、「データサイエンス・AI入門」を7クラス開講し、履修者数向上を目指す。
また、令和6（2024）年度以降は、オンデマンド教材などの開発を行い、「データサイエンス・AI入門」のクラス数をさらに増やし、履修者・履修率の向上を図ることとする。</t>
    <rPh sb="137" eb="143">
      <t>キョウヨウキョウイクカモク</t>
    </rPh>
    <phoneticPr fontId="1"/>
  </si>
  <si>
    <t>生活の中の統計技術</t>
    <phoneticPr fontId="1"/>
  </si>
  <si>
    <t>本プログラムの対象科目は、キャンパスごとのすべての学生が受講できる教養教育科目を含めており、各学部で開講する専攻科目や卒業に必要となる必修科目と授業時間割が重ならないよう時間割配置の方針を定めた上で、各曜講時に配置している。</t>
    <rPh sb="7" eb="9">
      <t>タイショウ</t>
    </rPh>
    <rPh sb="40" eb="41">
      <t>フク</t>
    </rPh>
    <rPh sb="85" eb="90">
      <t>ジカンワリハイチ</t>
    </rPh>
    <rPh sb="91" eb="93">
      <t>ホウシン</t>
    </rPh>
    <rPh sb="94" eb="95">
      <t>サダ</t>
    </rPh>
    <phoneticPr fontId="1"/>
  </si>
  <si>
    <t>(1)教学部長
　　只友　景士（政策学部 教授）
(2)瀬田教学部長
　　竹歳　一紀（農学部 教授）
(3)教学企画部長
　　藤田　和弘（先端理工学部 教授）
(4)プログラムに科目を提供する学部の教務主任のうち，教学部長が指名する者 若干名
　　西岡　久充（経営学部 准教授）
(5)教養教育センター社会科学系科目部会委員長
　　松浦　さと子（政策学部 教授）
(6)教養教育センター自然科学系科目部会委員長
  　山田　誠（経済学部 准教授）
(7)データサイエンス分野の学内有識者のうち，教学部長が指名する者 若干名
    木村　昌弘（先端理工学部 教授）</t>
    <rPh sb="21" eb="23">
      <t>キョウジュ</t>
    </rPh>
    <rPh sb="47" eb="49">
      <t>キョウジュ</t>
    </rPh>
    <rPh sb="76" eb="78">
      <t>キョウジュ</t>
    </rPh>
    <rPh sb="135" eb="138">
      <t>ジュンキョウジュ</t>
    </rPh>
    <rPh sb="178" eb="180">
      <t>キョウジュ</t>
    </rPh>
    <rPh sb="219" eb="222">
      <t>ジュンキョウジュ</t>
    </rPh>
    <rPh sb="279" eb="281">
      <t>キョウジュ</t>
    </rPh>
    <phoneticPr fontId="1"/>
  </si>
  <si>
    <t>・データ・AI活用の現場・最新動向[放送大学オンデマンド教材]（5回目）
　ｷｰﾜｰﾄﾞ：データサイエンスのサイクル、流通におけるデータ・AI活用事例紹介、スポーツにおけるデータ・AI活用事例紹介、製造におけるデータ・AI利活用事例紹介、マーケティングにおけるデータ・AI活用事例紹介、AI最新技術の活用例（深層生成モデル、敵対的生成ネットワーク、強化学習、転移学修など</t>
    <phoneticPr fontId="1"/>
  </si>
  <si>
    <t xml:space="preserve">・データを読む＿[放送大学オンデマンド教材]「データサイエンス・ＡＩ入門」（7回目）（8回目）
　ｷｰﾜｰﾄﾞ：データの種類（量的変数、質的変数）、母集団と標本抽出（国勢調査、アンケート調査、全数調査、単純無作為抽出、層別抽出、多段抽出）、データの分布(ヒストグラム)と代表値（平均値、中央値、最頻値）、代表値の性質の違い（実社会では平均値＝最頻値でないことが多い）、データのばらつき（分散、標準偏差、偏差値）、相関と因果（相関係数）
</t>
    <phoneticPr fontId="1"/>
  </si>
  <si>
    <t xml:space="preserve">・オリエンテーションデータを読む1「経営データの分析Ａ」（1回目）
　ｷｰﾜｰﾄﾞ：データの種類（量的変数，質的変数）
・Excelリテラシー(4)データを読む2「経営データの分析Ａ」（5回目）
　ｷｰﾜｰﾄﾞ：代表値の性質
・分析リテラシー(2)分析のステップデータを読む4「経営データの分析Ａ」（8回目）
　ｷｰﾜｰﾄﾞ：統計情報の正しい理解
</t>
    <phoneticPr fontId="1"/>
  </si>
  <si>
    <t>・Excelリテラシー(3)データを説明する1「経営データの分析Ａ」（4回目）
　ｷｰﾜｰﾄﾞ：データの図表表現（グラフの作成・編集）
・分析リテラシー(3)分析のステップデータを説明する2「経営データの分析Ａ」（9回目）
　ｷｰﾜｰﾄﾞ：データの比較</t>
    <phoneticPr fontId="1"/>
  </si>
  <si>
    <t xml:space="preserve">・データを扱う＿[放送大学オンデマンド教材]「データサイエンス・ＡＩ入門」（11回目）
　ｷｰﾜｰﾄﾞ：表形式のデータ（csv）、データ解析ツール（スプレッドシート）
</t>
    <phoneticPr fontId="1"/>
  </si>
  <si>
    <t>・Excelリテラシー(5)データを扱う3「経営データの分析Ａ」（6回目）
　ｷｰﾜｰﾄﾞ：データ解析ツール
・データベース(2)並べ替えデータを扱う5「経営データの分析Ａ」（11回目）
　ｷｰﾜｰﾄﾞ：データの並び替え
・データベース(4)集計データを扱う7「経営データの分析Ａ」（13回目）
　ｷｰﾜｰﾄﾞ：データの集計1
・データベース(5)集計データを扱う8「経営データの分析Ａ」（14回目）
　ｷｰﾜｰﾄﾞ：データの集計2</t>
    <phoneticPr fontId="1"/>
  </si>
  <si>
    <t>・販売データの分析と活用（4）データを説明する「経営データの分析Ｂ」（14回目）
　ｷｰﾜｰﾄﾞ：データの図表表現</t>
    <phoneticPr fontId="1"/>
  </si>
  <si>
    <t xml:space="preserve">・統計資料の収集と解釈＜データを扱うための力を養う＞「社会調査情報処理実習A」（2回目）
　ｷｰﾜｰﾄﾞ：	データの集計、データの並び替え、ランキング、データ解析ツール、表形式のデータ
</t>
    <phoneticPr fontId="1"/>
  </si>
  <si>
    <t>・記述＜データを適切に説明する力を養う＞統計「社会調査情報処理実習A」（4回目）～（8回目）
　ｷｰﾜｰﾄﾞ：データ表現、データの図表表現、不適切なグラフ表現
・質的調査「社会調査情報処理実習A」（14回目）
　ｷｰﾜｰﾄﾞ：質的調査</t>
    <rPh sb="113" eb="115">
      <t>シツテキ</t>
    </rPh>
    <rPh sb="115" eb="117">
      <t>チョウサ</t>
    </rPh>
    <phoneticPr fontId="1"/>
  </si>
  <si>
    <t xml:space="preserve">・記述＜データを適切に説明する力を養う＞統計「社会調査情報処理実習A」（4回目）～（8回目）
　ｷｰﾜｰﾄﾞ：データ表現、データの図表表現、不適切なグラフ表現
</t>
    <phoneticPr fontId="1"/>
  </si>
  <si>
    <t>・導入：多変量解析について＜データを適切に読み解く力を養う＞「社会調査情報処理実習B」（1回目）
　ｷｰﾜｰﾄﾞ：データの種類
・記述統計の復習＜データを適切に説明する力を養う＞「社会調査情報処理実習B」（2回目）
　ｷｰﾜｰﾄﾞ：データの分布と代表値、データのばらつき、統計情報の正しい理解、データの図表表現
・クロス集計と検定＜データを適切に読み解く力を養う＞「社会調査情報処理実習B」（3回目）
　ｷｰﾜｰﾄﾞ：クロス集計表
・分散分析「社会調査情報処理実習B」（4回目）
　ｷｰﾜｰﾄﾞ：分散分析
・相関係数と偏相関係数＜データを適切に読み解く力を養う＞「社会調査情報処理実習B」（5回目）
　ｷｰﾜｰﾄﾞ：相関係数行列
・重回帰分析（１）：基本的な考え方＜データを適切に読み解く力を養う＞「社会調査情報処理実習B」（6回目）
　ｷｰﾜｰﾄﾞ：相関と因果</t>
    <phoneticPr fontId="1"/>
  </si>
  <si>
    <t>・記述統計の復習＜データを適切に説明する力を養う＞＜データを適切に説明する力を養う＞「社会調査情報処理実習B」（2回目）
ｷｰﾜｰﾄﾞ：データの分布と代表値、データのばらつき、統計情報の正しい理解、データの図表表現</t>
    <phoneticPr fontId="1"/>
  </si>
  <si>
    <t xml:space="preserve">・各種Googleサービスの使い方を学びながら、様々なデータを扱う。「情報処理実習ⅠＡ」（4回目）～（14回目）
　ｷｰﾜｰﾄﾞ：データの集計
</t>
    <phoneticPr fontId="1"/>
  </si>
  <si>
    <t xml:space="preserve">・統計情報の収集と編集、分析、発表方法を通じ、様々なデータの種類を知り、統計情報を正しく理解する。「情報処理実習ⅠＢ」（2回目）～（5回目）
　ｷｰﾜｰﾄﾞ：データの種類、データの収集 、データの並び替え、データのばらつき
・表計算①　Excel の基礎知識「情報処理実習ⅠＢ」（2回目）
　ｷｰﾜｰﾄﾞ：表形式のデータ（ｃｓｖ）
・表計算④　セルの書式設定と数式の入力（１）「情報処理実習ⅠＢ」（5回目）
　ｷｰﾜｰﾄﾞ：データの集計（和、平均）
・表計算⑤　セルの書式設定と数式の入力（２）「情報処理実習ⅠＢ」（6回目）
　ｷｰﾜｰﾄﾞ：データの集計（和、平均）
・表計算⑩　データベースの利用とデータ分析「情報処理実習ⅠＢ」（11回目）
　ｷｰﾜｰﾄﾞ：データの並び替え、ランキング
</t>
    <phoneticPr fontId="1"/>
  </si>
  <si>
    <t xml:space="preserve">・統計情報の収集と編集、分析、発表方法を通じ、様々なデータの種類を知り、統計情報を正しく理解する。「情報処理実習ⅠＢ」（2回目）～（5回目）
　ｷｰﾜｰﾄﾞ：データの種類、データの収集、データの並び替え、データのばらつき
・地域活動に応用可能な情報の記録・編集・発表方法の学習を通じて、データを利用した表現方法や、集計方法を学ぶ。「情報処理実習ⅠＢ」（7回目）～（13回目）
　ｷｰﾜｰﾄﾞ：データの表現（グラフ）、デ ータの比較、クロス集計表
・表計算②　データの入力と表作成（１）「情報処理実習ⅠＢ」（3回目）
　ｷｰﾜｰﾄﾞ：データの種類（量的変数・質的変数）
・表計算③　データの入力と表作成（２）「情報処理実習ⅠＢ」（4回目）
　ｷｰﾜｰﾄﾞ：データの種類（量的変数・質的変数）
・表計算⑥　関数の利用（１）「情報処理実習ⅠＢ」（7回目）
　ｷｰﾜｰﾄﾞ：統計情報の正しい理解
・表計算⑦　関数の利用（２）「情報処理実習ⅠＢ」（8回目）
　ｷｰﾜｰﾄﾞ：統計情報の正しい理解
</t>
    <phoneticPr fontId="1"/>
  </si>
  <si>
    <t>・地域活動に応用可能な情報の記録・編集・発表方法の学習を通じて、データを利用した表現方法や、集計方法を学ぶ。「情報処理実習ⅠＢ」（7回目）～（13回目）
　ｷｰﾜｰﾄﾞ：データの表現（グラフ）、デ ータの比較、クロス集計表
・表計算⑧　グラフの作成と印刷（１）「情報処理実習ⅠＢ」（9回目）
　ｷｰﾜｰﾄﾞ：データ表現（棒グラフ、折れ線グラフ、ヒートマップ）
・表計算⑨　グラフの作成と印刷（２）「情報処理実習ⅠＢ」（10回目）
　ｷｰﾜｰﾄﾞ：データ表現（棒グラフ、折れ線グラフ、ヒートマップ）</t>
    <phoneticPr fontId="1"/>
  </si>
  <si>
    <t xml:space="preserve">・データ分析の考え方「情報処理実習ⅡＡ」（3回目）
　ｷｰﾜｰﾄﾞ：データの種類(量的変数、質的変数)
・調査データをどう扱うか「情報処理実習ⅡＡ」（4回目）
　ｷｰﾜｰﾄﾞ：・	データの種類(量的変数、質的変数)
・個票データの見方と記述統計「情報処理実習ⅡＡ」（5回目）
　ｷｰﾜｰﾄﾞ：データの分布(ヒストグラム)と代表値(平均値、中央値 、最頻値)
・代表値と散らばりの尺度①　（平均値、中央値、最頻値、範囲、分散）「情報処理実習ⅡＡ」（8回目）
　ｷｰﾜｰﾄﾞ：データのばらつき(分散、標準偏差、偏差値)
・代表値と散らばりの尺度②（分散、標準偏差、歪度、尖度）「情報処理実習ⅡＡ」（9回目）
　ｷｰﾜｰﾄﾞ：クロス集計表
・作表①クロス表　変数間の関係「情報処理実習ⅡＡ」（10回目）
　ｷｰﾜｰﾄﾞ：クロス集計表
・作表②クロス表　％を出す「情報処理実習ⅡＡ」（11回目）
　ｷｰﾜｰﾄﾞ：クロス集計表
・クロス表からグラフの作成「情報処理実習ⅡＡ」（12回目）
　ｷｰﾜｰﾄﾞ：クロス集計表
・相関係数の考え方「情報処理実習ⅡＡ」（14回目）
　ｷｰﾜｰﾄﾞ：相関と因果(相関係数)
・ピボットテーブル「情報処理実習ⅡＡ」（7回目）
　ｷｰﾜｰﾄﾞ：度数分布表・クロス集計表
・クロス表集計表、グラフ化「情報処理実習ⅡＡ」（10回目）
　ｷｰﾜｰﾄﾞ：100%積み上げ棒グラフ
</t>
    <phoneticPr fontId="1"/>
  </si>
  <si>
    <t xml:space="preserve">・賢い分布のとらえ方（パレート分布の作成）「情報処理実習ⅡＡ」（7回目）
　ｷｰﾜｰﾄﾞ：データ表現（棒グラフ、折線グラフ）
・SPSSによる少しだけ複雑な集計（多重回答）。「情報処理実習ⅡＡ」（11回目）
　ｷｰﾜｰﾄﾞ：データ表現（散布図）
・分布をグラフに示す「情報処理実習ⅡＡ」（7回目）
　ｷｰﾜｰﾄﾞ：データ表現(棒グラフ、折線グラフ）
・クロス表からグラフの作成「情報処理実習ⅡＡ」（12回目）
　ｷｰﾜｰﾄﾞ：クロス集計表、データ表現(棒グラフ、折線グラフ）
・様々なグラフの作成「情報処理実習ⅡＡ」（13回目）
　ｷｰﾜｰﾄﾞ：データ表現(棒グラフ、折線グラフ）
・相関係数の考え方「情報処理実習ⅡＡ」（14回目）
　ｷｰﾜｰﾄﾞ：データ表現(散布図)
・結果をわかりやすく示す「情報処理実習ⅡＡ」（15回目）
　ｷｰﾜｰﾄﾞ：不適切なグラフ表現(チャ ートジャンク、不必要な視覚的要素)
・基本的なグラフ作成「情報処理実習ⅡＡ」（6回目）
　ｷｰﾜｰﾄﾞ：棒・折れ線・円
</t>
    <phoneticPr fontId="1"/>
  </si>
  <si>
    <t xml:space="preserve">・Excel復習「情報処理実習ⅡＡ」（1回目）
　ｷｰﾜｰﾄﾞ：データの集計（和、平均）
・Excelによるデータ分析の復習（演算，関数）（manaba の課題を提出してもらいます）「情報処理実習ⅡＡ」（1回目）
　ｷｰﾜｰﾄﾞ：データの集計(和、平均)、データの並び替え、ランキング
・Excelによるデータ分析の復習（統計データの扱い方）「情報処理実習ⅡＡ」（2回目）
　ｷｰﾜｰﾄﾞ：データ解析ツール(スプレ ッドシート)表形式のデータ(csv)
・変数の分布と加工「情報処理実習ⅡＡ」（6回目）
　ｷｰﾜｰﾄﾞ：データ解析ツール(スプレ ッドシート)
・データベース処理「情報処理実習ⅡＡ」（4回目）
　ｷｰﾜｰﾄﾞ：並び替え・フィルタ
・Excel、Wordの確認・復習「情報処理実習ⅡＡ」（3回目）
　ｷｰﾜｰﾄﾞ：データの集計（和、平均）、データの並び替え、ランキング
</t>
    <phoneticPr fontId="1"/>
  </si>
  <si>
    <t xml:space="preserve">・ExcelとWordの連携「情報処理実習ⅡＡ」（12回目）
　ｷｰﾜｰﾄﾞ：データの集計（和、平均）、データの並び替え、ランキング
・これまでの成果を用いてのレポート作成１「情報処理実習ⅡＡ」（13回目）
　ｷｰﾜｰﾄﾞ：データの集計（和、平均）、データの並び替え、ランキング
・これまでの成果を用いてのレポート作成2「情報処理実習ⅡＡ」（14回目）
　ｷｰﾜｰﾄﾞ：データの集計（和、平均）、データの並び替え、ランキング
</t>
    <phoneticPr fontId="1"/>
  </si>
  <si>
    <t xml:space="preserve">・乱数の発生と確率現象（母集団の考え方）。「情報処理実習ⅡＢ」（1回目）
　ｷｰﾜｰﾄﾞ：乱数の発生と確率現象（母集団の考え方）
・基本的な分布関数。「情報処理実習ⅡＢ」（3回目）
　ｷｰﾜｰﾄﾞ：基本的な分布関数
・平均値には誤差がある（標本抽出と統計量）「情報処理実習ⅡＢ」（4回目）
　ｷｰﾜｰﾄﾞ：平均値には誤差がある（標本抽出と統計量）
・線形モデルその1（分散分析）「情報処理実習ⅡＢ」（8回目）
　ｷｰﾜｰﾄﾞ：線形モデルその1（分散分析）
・分割表の解析その1（χ二乗検定）「情報処理実習ⅡＢ」（10回目）
　ｷｰﾜｰﾄﾞ：分割表の解析その1（χ二乗検定）
・分割表の解析その2「情報処理実習ⅡＢ」（11回目）
　ｷｰﾜｰﾄﾞ：分割表の解析その2
</t>
    <phoneticPr fontId="1"/>
  </si>
  <si>
    <t>・相関係数と回帰直線「情報処理実習ⅡＢ」（9回目）
　ｷｰﾜｰﾄﾞ：相関係数と回帰直線
・分散分析「情報処理実習ⅡＢ」（11回目）
　ｷｰﾜｰﾄﾞ：分散分析
・クロス表の検定（χ2乗検定）「情報処理実習ⅡＢ」（12回目）
　ｷｰﾜｰﾄﾞ：クロス表の検定（χ2乗検定）
・確率と分布「情報処理実習ⅡＢ」（3回目）
　ｷｰﾜｰﾄﾞ：データの分布(ヒストグラム)と代表値（平均値、中央値、最頻値）、代表値の性質の違い（実社会では平均値＝最頻値でないことが多い）
・偏差値と検定１「情報処理実習ⅡＢ」（4回目）
　ｷｰﾜｰﾄﾞ：データのばらつき（分散、標準偏差、偏差値）
・偏差値と検定２「情報処理実習ⅡＢ」（5回目）
　ｷｰﾜｰﾄﾞ：データのばらつき（分散、標準偏差、偏差値）
・Excelでの検定１「情報処理実習ⅡＢ」（6回目）
　ｷｰﾜｰﾄﾞ：データのばらつき（分散、標準偏差、偏差値）
・Excelでの検定２「情報処理実習ⅡＢ」（7回目）
　ｷｰﾜｰﾄﾞ：データのばらつき（分散、標準偏差、偏差値）
・ExcelとSPSS「情報処理実習ⅡＢ」（8回目）
　ｷｰﾜｰﾄﾞ：相関と因果（相関係数、擬似相関、交絡）</t>
    <phoneticPr fontId="1"/>
  </si>
  <si>
    <t xml:space="preserve">・社会的存在としての量的調査：データを読む「量的調査法」（2回目）
　ｷｰﾜｰﾄﾞ：データの種類
・サンプリング①（ランダムサンプリングはなぜ必要か）：データを読む「量的調査法」（7回目）
　ｷｰﾜｰﾄﾞ：母集団と標本抽出
・サンプリング②（調査票の配布から回収まで）：データを読む「量的調査法」（8回目）
　ｷｰﾜｰﾄﾞ：母集団と標本抽出
・データ分析①（記述統計）：データを読む・データを扱う「量的調査法」（12回目）
　ｷｰﾜｰﾄﾞ：データの分布、データの集計
・データ分析②（クロス分析）：データを読む・データを扱う「量的調査法」（13回目）
　ｷｰﾜｰﾄﾞ：クロス集計表、データの集計
・社会調査の種類「量的調査法」（2回目）
　ｷｰﾜｰﾄﾞ：データの種類（量的変数、質的変数）
・サンプリングと実査方法「量的調査法」（7回目）
　ｷｰﾜｰﾄﾞ：母集団と標本抽出（国勢調査 、アンケート調査、全数調査 、単純無作為抽出、層別抽出 、多段抽出）
・量的データのまとめ方(1)　度数分布「量的調査法」（11回目）
　ｷｰﾜｰﾄﾞ：データの分布
・量的データのまとめ方(2)　代表値と散らばり「量的調査法」（12回目）
　ｷｰﾜｰﾄﾞ：代表値（平均値、中央値、最頻値）、ばらつき（分散、標準偏差、偏差値）
・量的データのまとめ方(3)　相関係数「量的調査法」（13回目）
　ｷｰﾜｰﾄﾞ：相関と因果（相関係数、擬似相関、交絡）
・量的データのまとめ方(4)　平均の比較「量的調査法」（14回目）
　ｷｰﾜｰﾄﾞ：平均の比較、分散分析
</t>
    <phoneticPr fontId="1"/>
  </si>
  <si>
    <t>・社会調査の種類「量的調査法」（2回目）
　ｷｰﾜｰﾄﾞ：データの図表表現 、優れた可視化事例の紹介、不適切なグラフ表現</t>
    <phoneticPr fontId="1"/>
  </si>
  <si>
    <t xml:space="preserve">・調査データの作成②（SPSSデータ形式ファイルの作成）：データを扱う「量的調査法」（11回目）
　ｷｰﾜｰﾄﾞ：データの集計
・データ分析①（記述統計）：データを読む・データを扱う「量的調査法」（12回目）
　ｷｰﾜｰﾄﾞ：データの分布、データの集計
・データ分析②（クロス分析）：データを読む・データを扱う「量的調査法」13回目）
　ｷｰﾜｰﾄﾞ：クロス集計表、データの集計
・データ分析の準備「量的調査法」（10回目）
　ｷｰﾜｰﾄﾞ：表形式のデータ（csv）、デ ータ解析ツール（スプレッドシート）
</t>
    <phoneticPr fontId="1"/>
  </si>
  <si>
    <t xml:space="preserve">・はじめに、データの種類「統計学入門」（1回目）
　ｷｰﾜｰﾄﾞ：統計、量的変数、質的変数
・１章１節　度数の分布「統計学入門」（2回目）
　ｷｰﾜｰﾄﾞ：度数分布表、ヒストグラム
・１章２節　代表値「統計学入門」（3回目）
　ｷｰﾜｰﾄﾞ：平均値、中央値、最頻値、代表値の性質の違い
・１章４節　分散と標準偏差「統計学入門」（5回目）
　ｷｰﾜｰﾄﾞ：分散、標準偏差
・１章５節　データの変換「統計学入門」（6回目）
　ｷｰﾜｰﾄﾞ：標準化、偏差値
・２章１節　散布図と相関係数「統計学入門」（7回目）
　ｷｰﾜｰﾄﾞ：散布図、相関係数、擬似相関
・３章１節　標本調査「統計学入門」（9回目）
　ｷｰﾜｰﾄﾞ：全数調査、標本調査、無作為抽出
・３章２節　確率と確率分布「統計学入門」（10回目）
　ｷｰﾜｰﾄﾞ：確率変数、確率分布、二項分布、正規分布
・３章３節　推測統計「統計学入門」（11回目）（12回目）
　ｷｰﾜｰﾄﾞ：推測統計
</t>
    <phoneticPr fontId="1"/>
  </si>
  <si>
    <t>・２章１節　散布図と相関係数「統計学入門」（7回目）
　ｷｰﾜｰﾄﾞ：散布図、相関係数、擬似相関</t>
    <phoneticPr fontId="1"/>
  </si>
  <si>
    <t>・中心値　～ いわゆる"普通"とは何か ～ 「生活の中の統計技術」（4回目）
　ｷｰﾜｰﾄﾞ：算術平均，幾何平均，調和平均，中央値，最頻値，頑健性</t>
    <phoneticPr fontId="1"/>
  </si>
  <si>
    <t>・２変量データの散布図・共分散・相関係数「生活の中の統計技術」（6回目）]
　ｷｰﾜｰﾄﾞ：変量データの散布図・共分散・相関係数</t>
    <phoneticPr fontId="1"/>
  </si>
  <si>
    <t xml:space="preserve">・サンプリングの方法「政策学のための統計・数学」（2回目）
　ｷｰﾜｰﾄﾞ：母集団と標本抽出
・度数分布表とヒストグラム、データの特性値「政策学のための統計・数学」（3回目）
　ｷｰﾜｰﾄﾞ：データの種類、データの分布 、代表値の性質の違い
・離散型確率変数の分散、標準偏差「政策学のための統計・数学」（6回目）
　ｷｰﾜｰﾄﾞ：データのばらつき
・正規分布、中心極限定理「政策学のための統計・数学」（7回目）
　ｷｰﾜｰﾄﾞ：データのばらつき
・カイ二乗分布、F分布、t分布「政策学のための統計・数学」（8回目）
　ｷｰﾜｰﾄﾞ：データのばらつき
・2変数間の関係（散布図、共分散、相関係数、疑似相関）「政策学のための統計・数学」（13回目）
　ｷｰﾜｰﾄﾞ：相関と因果（相関係数、疑似相関）
</t>
    <phoneticPr fontId="1"/>
  </si>
  <si>
    <t>・資料の整理、確率分布＿統計的推測「確率・統計入門」（9回目）～（15回目）
　ｷｰﾜｰﾄﾞ：確率分布、統計的推測
・確率分布「確率・統計入門」（12回目）～（13回目）
　ｷｰﾜｰﾄﾞ：確率分布
・二項分布「確率・統計入門」（14回目）
　ｷｰﾜｰﾄﾞ：二項分布</t>
    <phoneticPr fontId="1"/>
  </si>
  <si>
    <t>・近隣農家のトマトはスーパーのトマトより大きさが不揃い。この散らばりの大きさを数値で表す尺度は? 平均と分散・標準偏差、変動係数、全数調査と標本調査、箱ひげ図「社会統計学のすすめ」（2回目）
　ｷｰﾜｰﾄﾞ：平均からの偏差、偏差平方和 、偏差2乗の平均、分散、標準偏差、変動係数、全数調査と標本調査、箱ひげ図
・プロ野球選手別本塁打数表のデータを用いて、本塁打数の分布がぱっと見ただけで分かるようにするためには?度数分布表、ヒストグラム、エクセル関数用いた度数の数え上げ。単純集計とクロス集計「社会統計学のすすめ」（3回目）
　ｷｰﾜｰﾄﾞ：階級、度数、度数分布表、相対度数、累積度数、累積相対度数、ヒストグラム、分割表
・社長を含む会社従業員の所得額の代表値は? 外れ値に強い代表値と散布度「社会統計学のすすめ」（4回目）
　ｷｰﾜｰﾄﾞ：外れ値、最頻値、中央値、パーセント点、四分位範囲、四分位分散係数
・標準化係数、偏差値とはどのような意味を持つ数字でどのように計算されているか? 標準化と偏差値、レーダーチャート「社会統計学のすすめ」（5回目）
　ｷｰﾜｰﾄﾞ：標準化係数(＝基準値)、偏差値、正規分布、チェビシェフの不等式、レーダーチャート
・平均点60点標準偏差15点の試験で、受験者500人のうちの上位100番以内に入るためには何点以上とればよいか? 正規分布「社会統計学のすすめ」（6回目）
　ｷｰﾜｰﾄﾞ：中心極限定理、正規分布、標準正規分布、標準正規分布表 、標準化係数、区間確率、累積確率、離散と連続
・全く勉強せずに、互いに無関係な問題全10問、各問選択肢5個の小テストで6問以上正解できる確率は??二項分布「社会統計学のすすめ」（7回目）
　ｷｰﾜｰﾄﾞ：成功と失敗、成功確率と失敗確率、成功回数、試行回数、ベルヌーイ試行、二項分布の正規近似
・通常、標本は1回だけ取り出すものだが、仮に何度も取り出してその都度平均、比率、分散などを算出するとしたら、それらの分布はどうなる?有限母集団の場合について。標本分布「社会統計学のすすめ」（8回目）
　ｷｰﾜｰﾄﾞ：母集団、母平均、無作為抽出 、標本、標本平均、標本比率 、標本平均の分布、大数法則 、中心極限定理、標本分散の分布、不偏分散、自由度、標本比率の分布、標本分散比の分布</t>
    <phoneticPr fontId="1"/>
  </si>
  <si>
    <t>・1回だけ標本を取り出して真の平均を予想する時どうすればいいか? 母平均の区間推定★母分散が既知の場合と未知の場合「社会統計学のすすめ」（9回目）
　ｷｰﾜｰﾄﾞ：5％の信頼区間、99％の信頼区間、信頼係数、母分散が既知の場合と未知の場合、標準正規分布、標本サイズ、 t分布
・1回だけ標本を取り出して真の平均が従来と異なることを証明するには? 母平均の仮説検定★母分散が既知の場合と未知の場合「社会統計学のすすめ」（10回目）
　ｷｰﾜｰﾄﾞ：帰無仮説、対立仮説、検定統計量、有意水準、臨界値、棄却域、帰無仮説の棄却、第一種の過誤、第二種の過誤、標準正規分布、t分布
・1回だけ標本を取り出して真の分散を予想する時どうすればいいか? 母分散の区間推定「社会統計学のすすめ」（11回目）
　ｷｰﾜｰﾄﾞ：χ2分布、自由度、標本分散 、不偏分散
・1回だけ標本を取り出して真の分散が従来と異なることを証明するには? 母分散の仮説検定「社会統計学のすすめ」（12回目）
　ｷｰﾜｰﾄﾞ：χ2分布、自由度、標本分散 、不偏分散</t>
    <phoneticPr fontId="1"/>
  </si>
  <si>
    <t xml:space="preserve">・現象を正しく理解するための手続きである「研究」の目的と、その目的を達成するための手続きとしての「測定」の特徴（利点と欠点）を理解する。「スポーツ統計学」（1回目）
　ｷｰﾜｰﾄﾞ：研究、測定、誤差、母集団と標本、ビックデータ
・研究には何らかの「データ（測定値）」を必要とし、データは「測定」によって取得できる。測定値の特徴についてまとめる。「スポーツ統計学」（2回目）
　ｷｰﾜｰﾄﾞ：測定値の誤差、尺度、分布、母集団と標本、確率、調査デ ータ、実験データ
・データを数値によって要約する手順と統計量の意味を理解し、実践する。「スポーツ統計学」（4回目）
　ｷｰﾜｰﾄﾞ：基礎統計量、代表値、散布度
・データを図表によって要約する手順と図表の利点、欠点を理解し、各尺度に応じた図表作成を実践する。「スポーツ統計学」 （5回目）
　ｷｰﾜｰﾄﾞ：度数分布、ヒストグラム、クロス表、散布図
・標本から母集団を推定する推測統計学の考え方を学習し、仮説検定の手順を理解する。「スポーツ統計学」（6回目）
　ｷｰﾜｰﾄﾞ：標準得点、正規分布、標本と母集団、大数の法則、中心極限定理
・平均値の差の前提条件、その手順（解析前に事前に設定すべき仮説、検定統計量を算出した後の判定方法）などについて学習し、統計的な有意差が意味することを正しく理解する。「スポーツ統計学」（7回目）
　ｷｰﾜｰﾄﾞ：平均値
</t>
    <phoneticPr fontId="1"/>
  </si>
  <si>
    <t xml:space="preserve">・2つの平均値の検定手順を学習し、検定の前提条件（尺度、条件数、対応の有無、正規性、分散の同質性など）によって分析方法が異なることを理解する。「スポーツ統計学」（8回目）
　ｷｰﾜｰﾄﾞ：平均値、分散の同質性
・二つの条件で測定した集団の平均値の差の分析を実践し、検定方法とその手順、結果のまとめ方を理解する。「スポーツ統計学」（9回目）
　ｷｰﾜｰﾄﾞ：平均値、分散の同質性
・３つ以上の条件で測定した集団の平均値の差の分析手順、結果のまとめ方を理解する。「スポーツ統計学」（10回目）
　ｷｰﾜｰﾄﾞ：平均値、分散の同質性
・一要因分散分析を実践し、前提条件の確認、検定方法選択、検定およびその結果のまとめ方を理解する。「スポーツ統計学」（11回目）
　ｷｰﾜｰﾄﾞ：分散の同質性
・二要因分散分析を実践し、前提条件の確認、検定方法の選択、検定およびその結果のまとめ方を理解する。「スポーツ統計学」（12回目）
　ｷｰﾜｰﾄﾞ：分散の同質性
・二つの集団の関係を把握するための分析を理解するととに、相関と因果関係の違い、回帰分析の考え方を理解する。「スポーツ統計学」（13回目）
　ｷｰﾜｰﾄﾞ：相関係数、因果関係、回帰分析、最小二乗法
・アンケート調査を行うときの留意点、調査票設計、データ処理手順を理解する。「スポーツ統計学」（14回目）
　ｷｰﾜｰﾄﾞ：アンケート調査
・アンケート調査によって得られた名義尺度、順序尺度によるデータ処理を実践し、結果のまとめ方を理解する。「スポーツ統計学」（15回目）
　ｷｰﾜｰﾄﾞ：アンケート調査
</t>
    <phoneticPr fontId="1"/>
  </si>
  <si>
    <t>・データを図表によって要約する手順と図表の利点、欠点を理解し、各尺度に応じた図表作成を実践する。「スポーツ統計学」（5回目）
　ｷｰﾜｰﾄﾞ：図表作成
・３つ以上の条件で測定した集団の平均値の差の分析手順、結果のまとめ方を理解する。「スポーツ統計学」（10回目）
　ｷｰﾜｰﾄﾞ：一要因分散分析、対応の有無 、分散の同質性、多重比較検定
・一要因分散分析を実践し、前提条件の確認、検定方法選択、検定およびその結果のまとめ方を理解する。「スポーツ統計学」（11回目）
　ｷｰﾜｰﾄﾞ：一要因分散分析、対応の有無 、分散の同質性、多重比較検定
・二要因分散分析を実践し、前提条件の確認、検定方法の選択、検定およびその結果のまとめ方を理解する。「スポーツ統計学」（12回目）
　ｷｰﾜｰﾄﾞ：二要因分散分析、球面性の仮定、分散の同質性、多重比較検定</t>
    <phoneticPr fontId="1"/>
  </si>
  <si>
    <t>・データ処理の基本的な手順を理解し、データ入力から集計まで実践する。「スポーツ統計学」（3回目）
　ｷｰﾜｰﾄﾞ：集計</t>
    <phoneticPr fontId="1"/>
  </si>
  <si>
    <t>・レポートの書き方について「（公）心理学実験A」（2回目）
　ｷｰﾜｰﾄﾞ：データの種類（量的、質的）個人情報保護、データ倫理
・ミュラーリヤーの錯視要求水準③「（公）心理学実験Ａ」（9回目）
　ｷｰﾜｰﾄﾞ：データ表現：折れ線グラフ、平均値、標準偏差
・SD法②「（公）心理学実験Ａ」（12回目）
　ｷｰﾜｰﾄﾞ：データ表現；レーダーチャート、Ｄ値、平均値</t>
    <phoneticPr fontId="1"/>
  </si>
  <si>
    <t>・ミュラーリヤーの錯視②「（公）心理学実験Ａ」（4回目）
　ｷｰﾜｰﾄﾞ：データ表現：折れ線グラフ
・ミュラーリヤーの錯視要求水準③「（公）心理学実験Ａ」（9回目）
　ｷｰﾜｰﾄﾞ：データ表現：折れ線グラフ、平均値、標準偏差
・SD法②「（公）心理学実験Ａ」（12回目）
　ｷｰﾜｰﾄﾞ：データ表現；レーダーチャート、Ｄ値、平均値</t>
    <phoneticPr fontId="1"/>
  </si>
  <si>
    <t xml:space="preserve">・調査におけるインタビュー①「（公）心理学実験Ｂ」（2回目）
　ｷｰﾜｰﾄﾞ：質的データ、トランスクリプト
</t>
    <phoneticPr fontId="1"/>
  </si>
  <si>
    <t>・質的研究の質「心理学研究法Ａ」（2回目）
　ｷｰﾜｰﾄﾞ：調査データ・信頼性・妥当性
・自由記述式質問紙法・KJ法実習「心理学研究法Ａ」（3回目）～（5回目）
　ｷｰﾜｰﾄﾞ：質的データ・KJ法・1匹狼
・質的研究の考察「心理学研究法A」（6回目）
　ｷｰﾜｰﾄﾞ：データの種類(量的変数、質的変数)、データの表現</t>
    <phoneticPr fontId="1"/>
  </si>
  <si>
    <t>・質的研究の考察「心理学研究法Ａ」（6回目）
　ｷｰﾜｰﾄﾞ：データの種類(量的変数、質的変数)、データの表現</t>
    <phoneticPr fontId="1"/>
  </si>
  <si>
    <t>・心理学研究法とは何か「心理学研究法B」（1回目）
　ｷｰﾜｰﾄﾞ：量的研究、質的研究
・心理尺度の基本「心理学研究法B」（3回目）
　ｷｰﾜｰﾄﾞ：量的変数・質的変数・記述統計・棒グラフ・折れ線グラフ 、散布度
・質問紙法実習「心理学研究法B」（4回目）～（5回目）
　ｷｰﾜｰﾄﾞ：平均値、中央値、最頻値、分散、標準偏差、偏差値
・推測統計の基礎「心理学研究法B」（8回目）～（10回目）
　ｷｰﾜｰﾄﾞ：t検定、X2検定、分散分析、相関係数、疑似相関</t>
    <phoneticPr fontId="1"/>
  </si>
  <si>
    <t>・心理尺度の基本「心理学研究法B」（3回目）
　ｷｰﾜｰﾄﾞ：量的変数・質的変数・記述統計・棒グラフ・折れ線グラフ 、散布度</t>
    <phoneticPr fontId="1"/>
  </si>
  <si>
    <t xml:space="preserve">・統計の基本的なグラフ（１）「社会統計学のすすめ」 （3回目）
　ｷｰﾜｰﾄﾞ：棒グラフ、折れ線グラフ、複合グラフ
・統計の基本的なグラフ（２）「社会統計学のすすめ」（4回目）
　ｷｰﾜｰﾄﾞ：円グラフ、帯グラフ、練習問題
・標準化係数、偏差値とはどのような意味を持つ数字でどのように計算されているか? 標準化と偏差値、レーダーチャート「社会統計学のすすめ」（5回目）
　ｷｰﾜｰﾄﾞ：標準化係数(＝基準値)、偏差値、正規分布、チェビシェフの不等式、レーダーチャート
</t>
    <phoneticPr fontId="1"/>
  </si>
  <si>
    <t>・授業のガイダンスと、教育臨床心理学の論文構成についての概論「心理学統計法Ａ」（1回目）（2回目）
　ｷｰﾜｰﾄﾞ：平均値、標準偏差、分散、中央値、最大値、最小値
・復習とまとめ「心理学統計法Ａ」（13回目）～（15回目）
　ｷｰﾜｰﾄﾞ：平均値、標準偏差、分散、中央値、最大値、最小値</t>
    <phoneticPr fontId="1"/>
  </si>
  <si>
    <t xml:space="preserve">・質問紙法（多変量解析）「心理学統計法Ｂ」（1回目）
　ｷｰﾜｰﾄﾞ：統計情報の正しい理解
・復習とまとめ「心理学統計法Ｂ」（2回目）～（10回目）
　ｷｰﾜｰﾄﾞ：データの分布、代表値、アンケート調査
</t>
    <phoneticPr fontId="1"/>
  </si>
  <si>
    <t xml:space="preserve">・データを説明する＿[放送大学オンデマンド教材]「データサイエンス・ＡＩ入門」（10回目）
　ｷｰﾜｰﾄﾞ：データ表現（棒グラフ、折線グラフ、散布図、ヒートマップ）、優れた可視化事例の紹介（可視化することによって新たな気づきがあった事例など）、データの比較（条件をそろえた比較、処理の前後での比較、A/Bテスト)、不適切なグラフ表現（チャートジャンク、不必要な視覚的要素）
</t>
    <phoneticPr fontId="1"/>
  </si>
  <si>
    <t xml:space="preserve">・データの種類「生物統計学」（2回目）
　ｷｰﾜｰﾄﾞ：データの種類
・母集団と標本「生物統計学」（4回目）
　ｷｰﾜｰﾄﾞ：母集団と標本
・正規分布まとめ「生物統計学」（5回目）
　ｷｰﾜｰﾄﾞ：正規分布
・一元配置の分散分析「生物統計学」（12回目）
　ｷｰﾜｰﾄﾞ：一元配置の分散分析
・二元配置の分散分析「生物統計学」（13回目）
　ｷｰﾜｰﾄﾞ：二元配置の分散分析
・分散分析まとめ「生物統計学」（14回目）
　ｷｰﾜｰﾄﾞ：分散分析
・データの扱い方と説明の仕方を学ぶ：記述統計「生物統計学」（3回目）
　ｷｰﾜｰﾄﾞ：データの種類・データの集計・データ表現
・データの読み方を学ぶ：推測統計の基礎「生物統計学」（4回目）
　ｷｰﾜｰﾄﾞ：母集団と標本抽出
</t>
    <phoneticPr fontId="1"/>
  </si>
  <si>
    <t xml:space="preserve">・データの読み方を学ぶ：正規分布「生物統計学」（5回目）
　ｷｰﾜｰﾄﾞ：データの分布・データのばらつき
・２群の平均値の比較「生物統計学」（7回目）
　ｷｰﾜｰﾄﾞ：平均値の比較
・2群の分散の比較「生物統計学」（8回目）
　ｷｰﾜｰﾄﾞ：確率・仮説検定・誤差の扱い
・分散分析（１）「生物統計学」 （9回目）
　ｷｰﾜｰﾄﾞ：確率・仮説検定・誤差の扱い
・分散分析（２）「生物統計学」 （10回目）
　ｷｰﾜｰﾄﾞ：確率・仮説検定・誤差の扱い
・分散分析（３）と多重比較 「生物統計学」（11回目）
　ｷｰﾜｰﾄﾞ：確率・仮説検定・誤差の扱い
・相関と回帰「生物統計学」（12回目）
　ｷｰﾜｰﾄﾞ：相関と因果
・独立性・適合度・比率の検定「生物統計学」（13回目）
　ｷｰﾜｰﾄﾞ： 確率・仮説検定・データの種類
</t>
    <phoneticPr fontId="1"/>
  </si>
  <si>
    <t xml:space="preserve">・データの扱い方と説明の仕方を学ぶ：記述統計「生物統計学」（3回目）
　ｷｰﾜｰﾄﾞ：データの種類・データの集計・データ表現
・分散分析（３）と多重比較「生物統計学」（11回目）
　ｷｰﾜｰﾄﾞ：多重比較
</t>
    <phoneticPr fontId="1"/>
  </si>
  <si>
    <t xml:space="preserve">・データの扱い方と説明の仕方を学ぶ：記述統計「生物統計学」（3回目）
　ｷｰﾜｰﾄﾞ：データの種類・データの集計・データ表現
</t>
    <phoneticPr fontId="1"/>
  </si>
  <si>
    <t>・データ・AI利活用のための技術＿[放送大学オンデマンド教材]「データサイエンス・ＡＩ入門」（4回目）
　ｷｰﾜｰﾄﾞ：データ分析：予測、グルーピング、パターン発見、最適化、シミュレーション、非構造化データ処理：言語処理、画像/動画処理、特化型AIと汎用AI、今のAIで出来ることと出来ないこと、AIとビッグデータ、多次元の可視化、関係性の可視化、地図上の可視化、挙動・軌跡の可視化、リアルタイム可視化、認識技術、ルールベース、最適化技術
・データを扱う_Excelによるグラフ作成⑤（パレート図と複合図）「統計処理実習」 （7回目）
　ｷｰﾜｰﾄﾞ：可視化</t>
    <rPh sb="63" eb="65">
      <t>ブンセキ</t>
    </rPh>
    <rPh sb="214" eb="216">
      <t>サイテキ</t>
    </rPh>
    <phoneticPr fontId="1"/>
  </si>
  <si>
    <t>・Excelの関数利用、番地参照、グラフ作成①（棒グラフ）「統計処理実習」（3回目）
　ｷｰﾜｰﾄﾞ：棒グラフ、データの比較
・Excelによる比率の計算、グラフ作成②（円グラフ）「統計処理実習」 （4回目）
　ｷｰﾜｰﾄﾞ：集計、円グラフ
・Excelによる時系列データの操作、増減率データの計算、グラフ作成③（折れ線グラフ）「統計処理実習」（5回目）
　ｷｰﾜｰﾄﾞ：折れ線グラフ、増減率
・Excelによる変化率の計算、グラフ作成④（積み上げ棒グラフ） 「統計処理実習」（6回目）
　ｷｰﾜｰﾄﾞ：積み上げ棒グラフ、変化率
・Excelによるグラフ作成⑤（パレート図と複合図）「統計処理実習」（7回目）
　ｷｰﾜｰﾄﾞ：可視化
・エクセルによるアンケートデータの処理（指摘率のグラフ、ピボットテーブルの利用）「統計処理実習」（15回目）
　ｷｰﾜｰﾄﾞ：指摘率のグラフ、ピボットテーブルの利用）</t>
    <phoneticPr fontId="1"/>
  </si>
  <si>
    <t>・栄養科学と統計学（栄養科学における統計学、統計学・データサイエンスを学ぶにあたって）「栄養疫学」（1回目）
　ｷｰﾜｰﾄﾞ：統計学
・データの種類（量的データと質的データ、連続データと離散データ） 「栄養疫学」（2回目）
　ｷｰﾜｰﾄﾞ：質的データ、量的データ
・代表値について１（代表値とは、四分位数、パーセンタイル値、最小値，最大値と範囲、代表値の特徴：平均値，中央値，最頻値の比較）「栄養疫学」（3回目）
　ｷｰﾜｰﾄﾞ：平均値，最頻値，中央値，四分位数、パーセンタイル値、最小値，最大値
・代表値のグラフでの表し方＿度数分布図（ヒストグラム）について・データ表現（棒グラフ、折線グラフ、散布図）「栄養疫学」（4回目）
　ｷｰﾜｰﾄﾞ：平均値，最頻値，中央値，四分位数、パーセンタイル値、最小値，最大値,最小値，四分位数,ヒストグラム
・データの散布度（散らばり）について（分散と標準偏差）「栄養疫学」（5回目）
　ｷｰﾜｰﾄﾞ：分散と標準偏差
・データの分布と標準化について（正規分布の性質、偏差値、データの正規性の検定、データの対数変換など）・確率の考え方・1変数関数の微分と積分・指数関数、対数関数「栄養疫学」（6回目）
　ｷｰﾜｰﾄﾞ：分散 ，標準偏差，変動係数
・母集団と標本抽出・確率、推定の考え方・食事摂取基準の栄養素の指標の概念について「栄養疫学」（7回目）
　ｷｰﾜｰﾄﾞ：母集団と標本抽出</t>
    <phoneticPr fontId="1"/>
  </si>
  <si>
    <t xml:space="preserve">・2標本の平均値の比較（対応のある2標本、t検定、）・データの比較（条件をそろえた比較、処理の前後での比較)「栄養疫学」（9回目）
　ｷｰﾜｰﾄﾞ：2標本の平均値の比較
・2標本の平均値の比較（対応のない2標本、F検定、ノンパラメトリックな2標本間の比較）・データの比較（条件をそろえた比較、処理の前後での比較)「栄養疫学」（10回目）
　ｷｰﾜｰﾄﾞ：2標本の平均値の比較
・2つの変数の相関（相関係数の考え方、ピアソンの相関係数、スピアマンの順位相関係数）「栄養疫学」（11回目）
　ｷｰﾜｰﾄﾞ：2つの変数の相関、相関係数
・クロス集計表の解析（カイ2乗検定、フィッシャーの直接確率検定、オッズ比の解析）・研究デザインとクロス集計表「栄養疫学」（13回目）
　ｷｰﾜｰﾄﾞ：クロス集計表
</t>
    <phoneticPr fontId="1"/>
  </si>
  <si>
    <t xml:space="preserve">・Excelによる比率の計算、グラフ作成②（円グラフ） 「統計処理実習」（4回目）
　ｷｰﾜｰﾄﾞ：集計、円グラフ
・様々な代表値（算術平均等）の計算「統計処理実習」（9回目）
　ｷｰﾜｰﾄﾞ：和、代表値、平均、移動平均
・データ解析ツールを使った統計解析（2標本間の比較、3群間以上の比較、相関、回帰分析について）・表形式のデータ（csv）「栄養疫学」（12回目）
　ｷｰﾜｰﾄﾞ：表形式のデータ（csv）
</t>
    <phoneticPr fontId="1"/>
  </si>
  <si>
    <t xml:space="preserve">・代表値のグラフでの表し方＿度数分布図（ヒストグラム）について・データ表現（棒グラフ、折線グラフ、散布図）「栄養疫学」（4回目）
　ｷｰﾜｰﾄﾞ：データ表現（棒グラフ、折線グラフ、散布図）
・データの散布度（散らばり）について（分散と標準偏差）「栄養疫学」（5回目）
　ｷｰﾜｰﾄﾞ：データの散布度
・2標本の平均値の比較（対応のある2標本、t検定、）・データの比較（条件をそろえた比較、処理の前後での比較)「栄養疫学」（9回目）
　ｷｰﾜｰﾄﾞ：データの比較
・2標本の平均値の比較（対応のない2標本、F検定、ノンパラメトリックな2標本間の比較）・データの比較（条件をそろえた比較、処理の前後での比較)「栄養疫学」（10回目）
　ｷｰﾜｰﾄﾞ：・データの比較
</t>
    <phoneticPr fontId="1"/>
  </si>
  <si>
    <t>・グループワーク②＿アンケートの回収＿データを読む（応用）「ＩＴリテラシーB」（14回目）
　ｷｰﾜｰﾄﾞ：データの分布(ヒストグラム）と代表値(平均値、中央値、最頻値)、クロス集計</t>
    <phoneticPr fontId="1"/>
  </si>
  <si>
    <t>・グループワーク③データを説明する（応用）「ＩＴリテラシーB」（15回目）
　ｷｰﾜｰﾄﾞ：データの図表表現(チャート化)</t>
    <phoneticPr fontId="1"/>
  </si>
  <si>
    <t>・質問紙調査の設計（1）「社会調査法」（1回目）
　ｷｰﾜｰﾄﾞ：データの種類（量的変数、質的変数）
・質問紙調査の設計（2）「社会調査法」（2回目）
　ｷｰﾜｰﾄﾞ：母集団と標本抽出（国勢調査 、アンケート調査、全数調査 、単純無作為抽出、層別抽出 、多段抽出）
・調査データの入力。データを扱う「社会調査法」（5回目）
　ｷｰﾜｰﾄﾞ：データの分布(ヒストグラム）と代表値（平均値、中央値 、最頻値
・1変数に関する基礎統計とグラフ（1）データを扱う「社会調査法」（7回目）
　ｷｰﾜｰﾄﾞ：データの分布(ヒストグラム）と代表値（平均値、中央値 、最頻値
・2つ以上の変数に関する統計分析（5）データを説明する。「社会調査法」（11回目）
　ｷｰﾜｰﾄﾞ：クロス集計表、分割表、相関係数行列、散布図行列
・2つ以上の変数に関する統計分析（7）データを説明する。「社会調査法」（13回目）
　ｷｰﾜｰﾄﾞ：相関と因果（相関係数、擬似相関、交絡）</t>
    <phoneticPr fontId="1"/>
  </si>
  <si>
    <t xml:space="preserve">・1変数に関する基礎統計とグラフ（2）データを扱う。「社会調査法」（8回目）
　ｷｰﾜｰﾄﾞ：データ表現（棒グラフ、折線グラフ、散布図、ヒートマップ）
・2つ以上の変数に関する統計分析（6）データを説明する。「社会調査法」（12回目）
　ｷｰﾜｰﾄﾞ：データの比較（条件をそろえた比較、処理の前後での比較 、A/Bテスト)
</t>
    <phoneticPr fontId="1"/>
  </si>
  <si>
    <t>ITリテラシーA</t>
    <phoneticPr fontId="1"/>
  </si>
  <si>
    <t>ITリテラシーB</t>
    <phoneticPr fontId="1"/>
  </si>
  <si>
    <t xml:space="preserve">・社会で活用されているデータ＿[放送大学オンデマンド教材]「データサイエンス・ＡＩ入門」（2回目）
　ｷｰﾜｰﾄﾞ：調査データ、実験データ、1次データ、2次データ、データのメタ化、構造化データ、非構造化データ（文章、画像/動画、音声/音楽など）
・研究には何らかの「データ（測定値）」を必要とし、データは「測定」によって取得できる。測定値の特徴についてまとめる。「スポーツ統計学」（２回目）
　ｷｰﾜｰﾄﾞ：調査デ ータ、実験データ
</t>
    <phoneticPr fontId="1"/>
  </si>
  <si>
    <t xml:space="preserve">・心理学実験について「（公）心理学実験Ａ」（１回目）
　ｷｰﾜｰﾄﾞ：実験データ
</t>
    <phoneticPr fontId="1"/>
  </si>
  <si>
    <t xml:space="preserve">・実験法「心理学研究法Ａ」（13回目）～（14回目）
　ｷｰﾜｰﾄﾞ：実験データ、実験デザイン
・心理学研究法とは「心理学研究法Ａ」（15回目）
　ｷｰﾜｰﾄﾞ：データ倫理・個人情報保護・データのオープン化
</t>
    <phoneticPr fontId="1"/>
  </si>
  <si>
    <t xml:space="preserve">・データ・AIの活用領域＿[放送大学オンデマンド教材]「データサイエンス・ＡＩ入門」（3回目）
　ｷｰﾜｰﾄﾞ：データ・AI活用領域の広がり(生産、消費、文化活動など)、研究開発、調達、製造、物流、販売、マーケティング、サービス、活動代替、新規生成
・社会調査法と社会統計学「社会統計学Ⅰ」（2回目）
　ｷｰﾜｰﾄﾞ：質的調査・量的調査、母集団、標本、標本調査、記述統計、推定統計、仮説、変数など
・３章３節　推測統計「統計学入門」（11回目）
　ｷｰﾜｰﾄﾞ：仮説検定
・1回だけ標本を取り出して真の平均が従来と異なることを証明するには? 母平均の仮説検定★母分散が既知の場合と未知の場合「社会統計学のすすめ」（10回目）
　ｷｰﾜｰﾄﾞ：帰無仮説、対立仮説、検定統計量、有意水準、臨界値、棄却域、帰無仮説の棄却、第一種の過誤、第二種の過誤、標準正規分布、t分布
・1回だけ標本を取り出して真の分散が従来と異なることを証明するには? 母分散の仮説検定「社会統計学のすすめ」（12回目）
　ｷｰﾜｰﾄﾞ：仮説検定
・2つの母集団から1回だけ標本をそれぞれ取り出して、双方の集団の母分散が異なることを証明するには? 分散比の仮説検定、2つの母集団から1回だけ標本をそれぞれ取り出して、双方の集団の母平均が異なることを証明するには? 母平均の差の仮説検定「社会統計学のすすめ」（13回目）
　ｷｰﾜｰﾄﾞ：仮説検定
</t>
    <phoneticPr fontId="1"/>
  </si>
  <si>
    <t>・仮説検定の考え方・母比率の検定「生活の中の統計技術」（13回目）
　ｷｰﾜｰﾄﾞ：仮説検定の考え方・母比率の検定</t>
    <phoneticPr fontId="1"/>
  </si>
  <si>
    <t>・ガイダンス、社会の中の統計学「政策学のための統計・数学」（1回目）
　ｷｰﾜｰﾄﾞ：データ・AI活用領域の広がり</t>
    <phoneticPr fontId="1"/>
  </si>
  <si>
    <t>・調査におけるインタビュー③「（公）心理学実験Ｂ」(4回目）
　ｷｰﾜｰﾄﾞ：仮説の生成</t>
    <phoneticPr fontId="1"/>
  </si>
  <si>
    <t>・心理学研究法の中の質的研究「心理学研究法Ａ」（1回目）
　ｷｰﾜｰﾄﾞ：仮説検証・仮設生成</t>
    <phoneticPr fontId="1"/>
  </si>
  <si>
    <t>・心理学研究法概論仮「心理学研究法B」（2回目）
　ｷｰﾜｰﾄﾞ：仮説・仮説生成・仮説検証</t>
    <phoneticPr fontId="1"/>
  </si>
  <si>
    <t>・仮説検定と信頼区間「生物統計学」（6回目）
　ｷｰﾜｰﾄﾞ：確率・仮説検定
・２群の平均値の比較「生物統計学」 （7回目）
　ｷｰﾜｰﾄﾞ：確率・仮説検定
・２群の分散の比較「生物統計学」（8回目）
　ｷｰﾜｰﾄﾞ：確率・仮説検定・誤差の扱い
・分散分析（１）「生物統計学」（9回目）
　ｷｰﾜｰﾄﾞ：確率・仮説検定・誤差の扱い
・分散分析（２） 「生物統計学」（10回目）
　ｷｰﾜｰﾄﾞ：確率・仮説検定・誤差の扱い
・分散分析（３）と多重比較 「生物統計学」（11回目）
　ｷｰﾜｰﾄﾞ：確率・仮説検定・誤差の扱い
・独立性・適合度・比率の検定「生物統計学」（13回目）
　ｷｰﾜｰﾄﾞ：確率・仮説検定・データの種類</t>
    <phoneticPr fontId="1"/>
  </si>
  <si>
    <t xml:space="preserve">・ELSI、個人情報保護＿[放送大学オンデマンド教材]「データサイエンス・ＡＩ入門」（13回目）
　ｷｰﾜｰﾄﾞ：ELSI（Ethical, Legal and Social Issues）、EU一般データ保護規則(GDPR)、個人情報保護、忘れられる権利、オプトアウト
・データ倫理、AI社会＿[放送大学オンデマンド教材]「データサイエンス・ＡＩ入門」（14回目）
　ｷｰﾜｰﾄﾞ：データ倫理：データのねつ造、改ざん、盗用、プライバシー保護　
・データバイアス・アルゴリズムバイアス＿[放送大学オンデマンド教材]「データサイエンス・ＡＩ入門」（15回目）
　ｷｰﾜｰﾄﾞ：データバイアス、アルゴリズムバイアス
・AIサービスの責任論、AI活用における負の事例＿[放送大学オンデマンド教材]「データサイエンス・ＡＩ入門」（16回目）
　ｷｰﾜｰﾄﾞ：AIサービスの責任論、AI活用における負の事例紹介
・レポートの書き方について「心理学実験A」（2回目）
　ｷｰﾜｰﾄﾞ：データの種類（量的、質的）個人情報保護、データ倫理
・ミュラーリヤーの錯視③「心理学実験A」（5回目）
　ｷｰﾜｰﾄﾞ：データ倫理、プライバシー保護
・ミュラーリヤーの錯視要求水準④「心理学実験A」（10回目）
　ｷｰﾜｰﾄﾞ：データ倫理、プライバシー保護
・SD法③「心理学実験A」（13回目）
　ｷｰﾜｰﾄﾞ：データ倫理、プライバシー保護
</t>
    <phoneticPr fontId="1"/>
  </si>
  <si>
    <t xml:space="preserve">・調査におけるインタビュー②「心理学実験B」（3回目）
　ｷｰﾜｰﾄﾞ：データ倫理、プライバシー保護
・質問紙法のパーソナリティテスト④「心理学実験B」（9回目）
　ｷｰﾜｰﾄﾞ：データ倫理、プライバシー保護
・投映法のパーソナリティテスト③「心理学実験B」（12回目）
　ｷｰﾜｰﾄﾞ：データ倫理、プライバシー保護
</t>
    <phoneticPr fontId="1"/>
  </si>
  <si>
    <t xml:space="preserve">・心理学研究法とは「心理学研究法A」（15回目）
　ｷｰﾜｰﾄﾞ：データ倫理・個人情報保護・データのオープン化
</t>
    <phoneticPr fontId="1"/>
  </si>
  <si>
    <t>・仮説検証型研究とは「心理学研究法B」（15回目）
　ｷｰﾜｰﾄﾞ：データ倫理、情報セキュリテ ィ</t>
    <phoneticPr fontId="1"/>
  </si>
  <si>
    <t>・ヒストグラムと正規分布 データを読む1「経営データの分析Ｂ」（2回目）
　ｷｰﾜｰﾄﾞ：データの分布（ヒストグラム ，正規分布）、データのばらつき（分散，標準偏差，偏差値）
・確率分布の利用（1）データを読む2「経営データの分析Ｂ」（3回目）
　ｷｰﾜｰﾄﾞ：データの収集，加工母集団と標本抽出
・確率分布の利用（2）データを読む3「経営データの分析Ｂ」（4回目）
　ｷｰﾜｰﾄﾞ：平均値の差の検定（1標本の検定）
・確率分布の利用（3）データを読む4「経営データの分析Ｂ」（5回目）
　ｷｰﾜｰﾄﾞ：平均値の差の検定（2標本の検定）
・変量間の関連性（1）データを読む6「経営データの分析Ｂ」（7回目）
　ｷｰﾜｰﾄﾞ：相関と因果（相関係数，疑似相関，交絡）</t>
    <phoneticPr fontId="1"/>
  </si>
  <si>
    <t xml:space="preserve">・データの色々な型（SPSS）とExcel、SPSS間でのデータ交換「情報処理実習ⅡＡ」（2回目）
　ｷｰﾜｰﾄﾞ：データの種類（量的変数・質的変数）
・個表データの見方「情報処理実習ⅡＡ」（3回目）
　ｷｰﾜｰﾄﾞ：観測データに含まれる誤差の扱い
・変数の分布をみる。「情報処理実習ⅡＡ」（4回目）
　ｷｰﾜｰﾄﾞ：データの分布（ヒストグラム）と代表値（平均値、中央値 、最頻値）
データのばらつき（分散、標準偏差、偏差値）
・重み付けや演算によって変数を変換･加工してみよう。「情報処理実習ⅡＡ」（5回目）
　ｷｰﾜｰﾄﾞ：打ち切りや脱落を含むデータ 、層別の必要なデータ
・コード化のテクニック。「情報処理実習ⅡＡ」（6回目）
　ｷｰﾜｰﾄﾞ：データの種類（量的変数、質的変数）
・賢い分布のとらえ方（パレート分布の作成）。「情報処理実習ⅡＡ」（7回目）
　ｷｰﾜｰﾄﾞ：データ表現（棒グラフ、折線グラフ）
・データの集約（平均と分散の考え方）「情報処理実習ⅡＡ」。（8回目）
　ｷｰﾜｰﾄﾞ：データの集約（平均と分散の考え方）
・クロス集計表とは。「情報処理実習ⅡＡ」（9回目）
　ｷｰﾜｰﾄﾞ：クロス集計表
・相関の見方。「情報処理実習ⅡＡ」（12回目）
　ｷｰﾜｰﾄﾞ：相関と因果（相関係数、疑似相関）
</t>
    <phoneticPr fontId="1"/>
  </si>
  <si>
    <t xml:space="preserve">・IIAの復習（統計について）「情報処理実習ⅡＢ」（1回目）
　ｷｰﾜｰﾄﾞ：データ表現(棒グラフ、折線グラフ、散布図、ヒートマ ップ)
・IIAの復習　（ピボットテーブル）「情報処理実習ⅡＢ」（2回目）
　ｷｰﾜｰﾄﾞ：クロス集計表
・クロス表の検定「情報処理実習ⅡＢ」（3回目）（4回目）
　ｷｰﾜｰﾄﾞ：クロス集計表
・母集団と標本「情報処理実習ⅡＢ」（5回目）
　ｷｰﾜｰﾄﾞ：母集団と標本、量的変数の比較
・母集団と標本「情報処理実習ⅡＢ」（7回目）
　ｷｰﾜｰﾄﾞ：量的変数
・量的変数の比較　分散分析「情報処理実習ⅡＢ」（8回目）
　ｷｰﾜｰﾄﾞ：量的変数の比較　分散分析
・量的変数の比較　応用「情報処理実習ⅡＢ」（9回目）
　ｷｰﾜｰﾄﾞ：量的変数の比較
・平均・分散・標準偏差・偏差値「情報処理実習ⅡＢ」（8回目）
　ｷｰﾜｰﾄﾞ：平均・分散・標準偏差・偏差値
</t>
    <phoneticPr fontId="1"/>
  </si>
  <si>
    <t xml:space="preserve">・社会調査法と社会統計学「社会統計学Ⅰ」（2回目）
　ｷｰﾜｰﾄﾞ：質的調査・量的調査、母集団、標本、標本調査、記述統計、推定統計、仮説、変数など
・度数分布（1）「社会統計学Ⅰ」（3回目）
　ｷｰﾜｰﾄﾞ：度数、度数分布、階級、絶対度数、相対度数、階級値、百分率、度数分布表など
・度数分布（2）「社会統計学Ⅰ」（4回目）
　ｷｰﾜｰﾄﾞ：ヒストグラム、度数分布多角形、累積度数分布、累積度数分布表、累積度数分布図など
・代表値と散らばり（1）「社会統計学Ⅰ」（5回目）
　ｷｰﾜｰﾄﾞ：代表値と散らばり、メディアン、モード、平均値など
・代表値と散らばり（2）「社会統計学Ⅰ」（6回目）
　ｷｰﾜｰﾄﾞ：はずれ値、レンジ、分散、標準偏差など
・クロス表（1）「社会統計学Ⅰ」（7回目）
　ｷｰﾜｰﾄﾞ：クロス表、セル、周辺度数、行和・列和など
・クロス表（2）「社会統計学Ⅰ」（8回目）
　ｷｰﾜｰﾄﾞ：度数クロス表、百分率クロス表、2×2表、k×l表など
・属性相関「社会統計学Ⅰ」（10回目）
　ｷｰﾜｰﾄﾞ：相関関係、属性相関、連関係数、ファイ係数、カイ2乗値 、クラメールの連関係数など
・散布図と相関係数（1）（2）「社会統計学Ⅰ」 （11回目）（12回目）
　ｷｰﾜｰﾄﾞ：散布図、相関係数など
</t>
    <phoneticPr fontId="1"/>
  </si>
  <si>
    <t xml:space="preserve">・講義案内「社会統計学Ⅱ」（1回目）
　ｷｰﾜｰﾄﾞ：統計学
・データの基礎集計（１）「社会統計学Ⅱ」（2回目）
　ｷｰﾜｰﾄﾞ：記述統計学
・データの基礎集計（２）「社会統計学Ⅱ」（3回目）
　ｷｰﾜｰﾄﾞ：記述統計学
・統計的推定と統計的検定（１）「社会統計学Ⅱ」（4回目）
　ｷｰﾜｰﾄﾞ：推測統計学，単純無作為抽出
・統計的推定と統計的検定（２）「社会統計学Ⅱ」（5回目）
　ｷｰﾜｰﾄﾞ：推測統計学，単純無作為抽出
・1量的変数の代表値の推定と検定（１）「社会統計学Ⅱ」（6回目）
　ｷｰﾜｰﾄﾞ：量的変数，平均値，分散
・1量的変数の代表値の推定と検定（２）「社会統計学Ⅱ」（7回目）
　ｷｰﾜｰﾄﾞ：量的変数，平均値，分散
・1質的変数の代表値の推定と検定「社会統計学Ⅱ」（8回目）
　ｷｰﾜｰﾄﾞ：質的変数，比率，棒グラフ
・2量的変数の関連の推定と検定「社会統計学Ⅱ」（10回目）
　ｷｰﾜｰﾄﾞ：量的変数，相関係数，散布図
・2質的変数の関連の推定と検定(「社会統計学Ⅱ」（11回目）
　ｷｰﾜｰﾄﾞ：質的変数，クロス集計表
・多変量解析入門：回帰分析（１）「社会統計学Ⅱ」（12回目）
　ｷｰﾜｰﾄﾞ：量的変数，散布図
・多変量解析入門：回帰分析（２）「社会統計学Ⅱ」（13回目）
　ｷｰﾜｰﾄﾞ：量的変数，散布図
・多変量解析入門：分散分析「社会統計学Ⅱ」（14回目）
　ｷｰﾜｰﾄﾞ：量的変数，質的変数，平均値 ，分散
</t>
    <phoneticPr fontId="1"/>
  </si>
  <si>
    <t>・2つの母集団から1回だけ標本をそれぞれ取り出して、双方の集団の母分散が異なることを証明するには? 分散比の仮説検定「社会統計学のすすめ」・2つの母集団から1回だけ標本をそれぞれ取り出して、双方の集団の母平均が異なることを証明するには? 母平均の差の仮説検定「社会統計学のすすめ」（13回目）
　ｷｰﾜｰﾄﾞ：F分布、自由度、標本分散、不偏分散、分散比、標本平均の差の標準化係数、母分散既知の場合、標準正規分布、母分散未知で等しい場合、母分散未知で等しくない場合、分散比検定、t分布
・変数のクロス集計されたデータをもとにして、2変数間に連関があるかないかを調べる方法は?独立性の検定「社会統計学のすすめ」（14回目）
　ｷｰﾜｰﾄﾞ：クロス集計、観測度数、期待度数、χ2検定、独立性</t>
    <phoneticPr fontId="1"/>
  </si>
  <si>
    <t>・クロス表集計表、グラフ化「情報処理実習ⅡＡ」（10回目）
　ｷｰﾜｰﾄﾞ：クロス表集計表、グラフ化、100%積み上げ棒グラフ
・データの視覚化・Excelの活用１「情報処理実習ⅡＡ」（8回目）
　ｷｰﾜｰﾄﾞ：データ表現（棒グラフ、折線グラフ、散布図、ヒートマ ップ）、データの図表表現（チャート化）
・データの視覚化・Excelの活用２「情報処理実習ⅡＡ」（9回目）
　ｷｰﾜｰﾄﾞ：データ表現（棒グラフ、折線グラフ、散布図、ヒートマ ップ）、データの図表表現（チャート化）
・相関関係について１「情報処理実習ⅡＡ」（10回目）
　ｷｰﾜｰﾄﾞ：データ表現（棒グラフ、折線グラフ、散布図、ヒートマ ップ）、データの図表表現（チャート化）
・相関関係について２「情報処理実習ⅡＡ」（11回目）
　ｷｰﾜｰﾄﾞ：データ表現（棒グラフ、折線グラフ、散布図、ヒートマ ップ）、データの図表表現（チャート化）
・これまでの成果を用いてのレポート作成１「情報処理実習ⅡＡ」（13回目）
　ｷｰﾜｰﾄﾞ：データ表現（棒グラフ、折線グラフ、散布図、ヒートマ ップ）、データの図表表現（チャート化）
・これまでの成果を用いてのレポート作成2「情報処理実習ⅡＡ」（14回目）
　ｷｰﾜｰﾄﾞ：データ表現（棒グラフ、折線グラフ、散布図、ヒートマ ップ）、データの図表表現（チャート化）
・レポート報告「情報処理実習ⅡA」（15回目）
　ｷｰﾜｰﾄﾞ：優れた可視化事例の紹介（可視化することによって新たな気づきがあった事例など ）</t>
    <phoneticPr fontId="1"/>
  </si>
  <si>
    <t xml:space="preserve">・IIAの復習（統計について）「情報処理実習ⅡＢ」（1回目）
　ｷｰﾜｰﾄﾞ：データ表現(棒グラフ、折線グラフ、散布図、ヒートマ ップ)
・表計算ソフトの復習（2）「情報処理実習ⅡＢ」（2回目）
　ｷｰﾜｰﾄﾞ：グラフ作成・構成比計算(絶対参照)
・モデル分析の結果を用いたレポート作成１「情報処理実習ⅡＢ」（13回目）
　ｷｰﾜｰﾄﾞ：データ表現（棒グラフ、折線グラフ、散布図、ヒートマ ップ）、データの図表表現（チャート化）
・モデル分析の結果を用いたレポート作成２「情報処理実習ⅡＢ」（14回目）
　ｷｰﾜｰﾄﾞ：データ表現（棒グラフ、折線グラフ、散布図、ヒートマ ップ）、データの図表表現（チャート化）
・レポート報告「情報処理実習ⅡＢ」（15回目）
　ｷｰﾜｰﾄﾞ：優れた可視化事例の紹介（可視化することによって新たな気づきがあった事例など ）
</t>
    <phoneticPr fontId="1"/>
  </si>
  <si>
    <t>・散布図と相関係数（1）（2）「社会統計学Ⅰ」（11回目）（12回目）
　ｷｰﾜｰﾄﾞ：散布図、相関係数など</t>
    <phoneticPr fontId="1"/>
  </si>
  <si>
    <t>・1質的変数の代表値の推定と検定「社会統計学Ⅱ」（8回目）
　ｷｰﾜｰﾄﾞ：質的変数，比率，棒グラフ</t>
    <phoneticPr fontId="1"/>
  </si>
  <si>
    <t>・情報セキュリティ＿[放送大学オンデマンド教材]「データサイエンス・ＡＩ入門」（17回目）
　ｷｰﾜｰﾄﾞ：情報セキュリティ（機密性、完全性、可用性）
・仮説検証型研究とは「心理学研究法B」（15回目）
　ｷｰﾜｰﾄﾞ：データ倫理、情報セキュリテ ィ
・情報の安全を確保する 「ITリテラシーA」（4回目）
　ｷｰﾜｰﾄﾞ：情報セキュリティ</t>
    <phoneticPr fontId="1"/>
  </si>
  <si>
    <t>・数値分析とは「ＩＴリテラシーＡ」 （6回目）
　ｷｰﾜｰﾄﾞ：質的データ、量的データ、尺度
・データを読む「ＩＴリテラシーＡ」（11回目）
　ｷｰﾜｰﾄﾞ：データの種類(量的変数、質的変数)
母集団と標本抽出(国勢調査 、アンケート調査、全数調査 、単純無作為抽出、層別抽出 、多段抽出)</t>
    <phoneticPr fontId="1"/>
  </si>
  <si>
    <t>・データを説明する「ＩＴリテラシーＡ」（10回目）
　ｷｰﾜｰﾄﾞ：データ表現(棒グラフ、折線グラフなど)優れた可視化事例の紹介(可視化することによって新たな気づきがあった事例など)</t>
    <phoneticPr fontId="1"/>
  </si>
  <si>
    <r>
      <t>・社会で起きている変化＿[放送大学オンデマンド教材]「データサイエンス・ＡＩ入門」（1回目）
　</t>
    </r>
    <r>
      <rPr>
        <sz val="12"/>
        <rFont val="ＭＳ Ｐゴシック"/>
        <family val="3"/>
        <charset val="128"/>
        <scheme val="minor"/>
      </rPr>
      <t>ｷｰﾜｰﾄﾞ：ビッグデータ、IoT、AI、ロボット、データ量の増加、計算機の処理性能の向上、複数技術を組み合わせたAI　サービス、第4次産業革命、Society 5.0、データ駆動型社会、人間の知的活動とAIの関係性、データを起点としたものの見方、人間の知的活動を起点としたものの見方</t>
    </r>
    <r>
      <rPr>
        <sz val="12"/>
        <color theme="1"/>
        <rFont val="ＭＳ Ｐゴシック"/>
        <family val="3"/>
        <charset val="128"/>
        <scheme val="minor"/>
      </rPr>
      <t xml:space="preserve">
・ガイダンス、社会の中の統計学「政策学のための統計・数学」（１回目）
　ｷｰﾜｰﾄﾞ：ビッグデータ
・現象を正しく理解するための手続きである「研究」の目的と、その目的を達成するための手続きとしての「測定」の特徴（利点と欠点）を理解する。「スポーツ統計学」（１回目）
　ｷｰﾜｰﾄﾞ：研究、測定、誤差、母集団と標本、ビックデータ
・人工知能とモラルジレンマ（DVD視聴とワーク）「ＩＴリテラシーＡ」（９回目）
　ｷｰﾜｰﾄﾞ：ビックデータ
・人間とAIやロボットとの共生社会を考える「ＩＴリテラシーB」（５回目）
　ｷｰﾜｰﾄﾞ：Society 5.0
</t>
    </r>
    <phoneticPr fontId="1"/>
  </si>
  <si>
    <t>・代表値と散らばりの尺度「情報処理実習ⅡＡ」（12回目）
　ｷｰﾜｰﾄﾞ：代表値と散らばりの尺度
・散布図と相関係数「情報処理実習ⅡＡ」（13回目）
　ｷｰﾜｰﾄﾞ：散布図と相関係数
・データの分析・変数の分布「情報処理実習ⅡＡ」（4回目）
　ｷｰﾜｰﾄﾞ：データの分布(ヒストグラム)と代表値（平均値、中央値、最頻値）
・データの分析・平均値、中央値、最頻値、範囲、分散「情報処理実習ⅡＡ」（5回目）
　ｷｰﾜｰﾄﾞ：クロス集計表、分割表、相関係数行列、散布図行列、データの分布(ヒストグラム)と代表値（平均値、中央値、最頻値）
・クロス集計表１「情報処理実習ⅡＡ」（6回目）
　ｷｰﾜｰﾄﾞ：クロス集計表、分割表、相関係数行列、散布図行列、データの分布(ヒストグラム)と代表値（平均値、中央値、最頻値）
・クロス集計表２「情報処理実習ⅡＡ」（7回目）
　ｷｰﾜｰﾄﾞ：クロス集計表、分割表、相関係数行列、散布図行列、データの分布(ヒストグラム)と代表値（平均値、中央値、最頻値）
・データの視覚化・Excelの活用１「情報処理実習ⅡＡ」（8回目）
　ｷｰﾜｰﾄﾞ：クロス集計表、分割表、相関係数行列、散布図行列、データの分布(ヒストグラム)と代表値（平均値、中央値、最頻値）
・データの視覚化・Excelの活用２「情報処理実習ⅡＡ」（9回目）
　ｷｰﾜｰﾄﾞ：クロス集計表、分割表、相関係数行列、散布図行列、データの分布(ヒストグラム)と代表値（平均値、中央値、最頻値）</t>
    <phoneticPr fontId="1"/>
  </si>
  <si>
    <t xml:space="preserve">・相関関係について１「情報処理実習ⅡＡ」（10回目）
　ｷｰﾜｰﾄﾞ：クロス集計表、分割表、相関係数行列、散布図行列、データの分布(ヒストグラム)と代表値（平均値、中央値、最頻値）
・相関関係について２「情報処理実習ⅡＡ」（11回目）
　ｷｰﾜｰﾄﾞ：クロス集計表、分割表、相関係数行列、散布図行列、データの分布(ヒストグラム)と代表値（平均値、中央値、最頻値）
</t>
    <phoneticPr fontId="1"/>
  </si>
  <si>
    <t>・度数分布表 　～ 資料分析のための第一歩 ～「生活の中の統計技術」（3回目）
　ｷｰﾜｰﾄﾞ：母集団，母数，度数分布，代表値，累積度数，密度分布
・散布度　～ "学力低下"が何故言える ～「生活の中の統計技術」（5回目）
　ｷｰﾜｰﾄﾞ：標本，分散，標準偏差，偏差値，平均偏差，四分位偏差
・アンケートの準備　～ アンケートを始める前に ～「生活の中の統計技術」（11回目）
　ｷｰﾜｰﾄﾞ：アンケートの準備　
・クロス集計　～ アンケート処理の第一歩 ～「生活の中の統計技術」（12回目）
　ｷｰﾜｰﾄﾞ：クロス項目，クロス集計，クロス分析，グラフ作成
・相関関係　～ 風吹けば桶屋が儲かるか ～「生活の中の統計技術」（13回目）
　ｷｰﾜｰﾄﾞ：相関性，散布図，共分散，ピアソン相関係数
・統計学とは？「生活の中の統計技術」（1回目）
　ｷｰﾜｰﾄﾞ：統計学</t>
    <phoneticPr fontId="1"/>
  </si>
  <si>
    <t xml:space="preserve">・箱ひげ図・度数分布・ヒストグラム「生活の中の統計技術」（2回目）
　ｷｰﾜｰﾄﾞ：箱ひげ図・度数分布・ヒストグラム
・データの平均「生活の中の統計技術」（3回目）
　ｷｰﾜｰﾄﾞ：データの平均
・データの分散・標準偏差・変動係「生活の中の統計技術」（4回目）
　ｷｰﾜｰﾄﾞ：データの分散・標準偏差・変動係数
・偏差値「生活の中の統計技術」（5回目）
　ｷｰﾜｰﾄﾞ：偏差値
・確率変数・期待値・分散「生活の中の統計技術」（8回目）
　ｷｰﾜｰﾄﾞ：確率変数・期待値・分散
</t>
    <phoneticPr fontId="1"/>
  </si>
  <si>
    <t>・PC及び大学のWebサービスの基本、統計学のすすめ「統計処理実習」（1回目）
　ｷｰﾜｰﾄﾞ：リテラシー、統計情報の正しい理解
・Excelの作表の基本操作、Webからの統計データの取得 「統計処理実習」（2回目）
　ｷｰﾜｰﾄﾞ：データの種類、国勢調査、全数調査
・Excelによる度数分布表の作成とヒストグラム「統計処理実習」 （8回目）
　ｷｰﾜｰﾄﾞ：分布、ヒストグラム
・様々な代表値（算術平均等）の計算「統計処理実習」（9回目）
　ｷｰﾜｰﾄﾞ：和、代表値、平均、移動平均</t>
    <phoneticPr fontId="1"/>
  </si>
  <si>
    <t xml:space="preserve">・バラつき指標（分散等）の計算「統計処理実習」（10回目）
　ｷｰﾜｰﾄﾞ：データのばらつき、分散、標準偏差
・分位点と箱ひげ図の利用と標本調査の基礎知識「統計処理実習」（11回目）
　ｷｰﾜｰﾄﾞ：箱ひげ図、分散
・散布図と相関係数「統計処理実習」（12回目）
　ｷｰﾜｰﾄﾞ：散布図、相関係数
・エクセルによるアンケートデータの処理（単純集計、クロス集計、条件付き平均）「統計処理実習」（14回目）
　ｷｰﾜｰﾄﾞ：クロス集計
</t>
    <phoneticPr fontId="1"/>
  </si>
  <si>
    <t>・確率と分布「情報処理実習ⅡＢ」（3回目）
　ｷｰﾜｰﾄﾞ：データの集計（和、平均）、データの並び替え、ランキング
・偏差値と検定１「情報処理実習ⅡＢ」（4回目）
　ｷｰﾜｰﾄﾞ：データの集計（和、平均）、データの並び替え、ランキング、データ解析ツール（スプレ ッドシート）
・偏差値と検定２「情報処理実習ⅡＢ」（5回目）
　ｷｰﾜｰﾄﾞ：データの集計（和、平均）、データの並び替え、ランキング、データ解析ツール（スプレ ッドシート）
・Excelでの検定１「情報処理実習ⅡＢ」（6回目）
　ｷｰﾜｰﾄﾞ：データの集計（和、平均）、データの並び替え、ランキング、データ解析ツール（スプレ ッドシート）
・Excelでの検定２「情報処理実習ⅡＢ」（7回目）
　ｷｰﾜｰﾄﾞ：データの集計（和、平均）、データの並び替え、ランキング、データ解析ツール（スプレ ッドシート）
・SPSSの操作１「情報処理実習ⅡＢ」（9回目）
　ｷｰﾜｰﾄﾞ：データ解析ツール
・SPSSの操作２「情報処理実習ⅡＢ」（10回目）
　ｷｰﾜｰﾄﾞ：データ解析ツール</t>
    <phoneticPr fontId="1"/>
  </si>
  <si>
    <t xml:space="preserve">・SPSSでの検定１「情報処理実習ⅡＢ」（11回目）
　ｷｰﾜｰﾄﾞ：データ解析ツール
・SPSSでの検定２「情報処理実習ⅡＢ」（12回目）
　ｷｰﾜｰﾄﾞ：データ解析ツール
・モデル分析の結果を用いたレポート作成１「情報処理実習ⅡＢ」（13回目）
　ｷｰﾜｰﾄﾞ：データの集計（和、平均）、データの並び替え、ランキング
・モデル分析の結果を用いたレポート作成２「情報処理実習ⅡＢ」（14回目）
　ｷｰﾜｰﾄﾞ：データの集計（和、平均）、データの並び替え、ランキング
</t>
    <phoneticPr fontId="1"/>
  </si>
  <si>
    <t>・SPSSによる調査データの読み込み。データを扱う。「社会調査法」（6回目）
　ｷｰﾜｰﾄﾞ：データ解析ツール（スプレッドシート）</t>
    <phoneticPr fontId="1"/>
  </si>
  <si>
    <t>2-1</t>
    <phoneticPr fontId="1"/>
  </si>
  <si>
    <t>2-2</t>
    <phoneticPr fontId="1"/>
  </si>
  <si>
    <t>2-3</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</si>
  <si>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</si>
  <si>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・データのばらつきの見方「社会統計学のすすめ」（5回目）
　ｷｰﾜｰﾄﾞ：データの種類
・質的データの分析（１）「社会統計学のすすめ」（6回目）
　ｷｰﾜｰﾄﾞ：度数分布表、質的データの度数を示す棒グラフ
・質的データの分析（２）「社会統計学のすすめ」（7回目）
　ｷｰﾜｰﾄﾞ：パレート図、クロス集計表
・量的データの分析（１）「社会統計学のすすめ」（8回目）
　ｷｰﾜｰﾄﾞ：度数分布表、ヒストグラム
・量的データの分析（２）「社会統計学のすすめ」（9回目）
　ｷｰﾜｰﾄﾞ：数値による分布の要約</t>
    <rPh sb="242" eb="243">
      <t>ズ</t>
    </rPh>
    <phoneticPr fontId="1"/>
  </si>
  <si>
    <t>・文章作成のポイント、文章の体裁を整える「ＩＴリテラシーB」（６回目）
　ｷｰﾜｰﾄﾞ：良い文章とは
・さまざまな文章「ＩＴリテラシーB」 （７回目）
　ｷｰﾜｰﾄﾞ：さまざまな文章</t>
    <phoneticPr fontId="1"/>
  </si>
  <si>
    <t>情報処理実習ⅡB</t>
    <phoneticPr fontId="1"/>
  </si>
  <si>
    <t>スポーツ統計学</t>
    <phoneticPr fontId="1"/>
  </si>
  <si>
    <t>（公）心理学実験Ｂ</t>
    <phoneticPr fontId="1"/>
  </si>
  <si>
    <t>心理学研究法B</t>
    <phoneticPr fontId="1"/>
  </si>
  <si>
    <t>生物統計学</t>
    <phoneticPr fontId="1"/>
  </si>
  <si>
    <t>ITリテラシーA</t>
    <phoneticPr fontId="1"/>
  </si>
  <si>
    <t>栄養疫学</t>
    <phoneticPr fontId="1"/>
  </si>
  <si>
    <t>統計処理実習</t>
    <phoneticPr fontId="1"/>
  </si>
  <si>
    <t>4‐9データ活用実践（教師なし学習）</t>
  </si>
  <si>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</si>
  <si>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・データ・AI活用の現場・最新動向＿[放送大学オンデマンド教材]「データサイエンス・ＡＩ入門」（5回目）
　ｷｰﾜｰﾄﾞ：データサイエンスのサイクル、流通におけるデータ・AI活用事例紹介、スポーツにおけるデータ・AI活用事例紹介、製造におけるデータ・AI利活用事例紹介、マーケティングにおけるデータ・AI活用事例紹介、AI最新技術の活用例（深層生成モデル、敵対的生成ネットワーク、強化学習、転移学修など
・15回の授業の目的と計画を説明できる＿ファイル・データ管理「ＩＴリテラシーB」 （1回目）
　ｷｰﾜｰﾄﾞ：データ管理</t>
    <rPh sb="75" eb="77">
      <t>リュウツウ</t>
    </rPh>
    <rPh sb="87" eb="89">
      <t>カツヨウ</t>
    </rPh>
    <rPh sb="89" eb="91">
      <t>ジレイ</t>
    </rPh>
    <rPh sb="91" eb="93">
      <t>ショウカイ</t>
    </rPh>
    <rPh sb="108" eb="114">
      <t>カツヨウジレイショウカイ</t>
    </rPh>
    <rPh sb="115" eb="117">
      <t>セイゾウ</t>
    </rPh>
    <rPh sb="127" eb="130">
      <t>リカツヨウ</t>
    </rPh>
    <rPh sb="130" eb="134">
      <t>ジレイショウカイ</t>
    </rPh>
    <rPh sb="152" eb="158">
      <t>カツヨウジレイショウカイ</t>
    </rPh>
    <rPh sb="161" eb="165">
      <t>サイシンギジュツ</t>
    </rPh>
    <rPh sb="166" eb="168">
      <t>カツヨウ</t>
    </rPh>
    <rPh sb="168" eb="169">
      <t>レイ</t>
    </rPh>
    <rPh sb="170" eb="172">
      <t>シンソウ</t>
    </rPh>
    <rPh sb="172" eb="174">
      <t>セイセイ</t>
    </rPh>
    <rPh sb="178" eb="180">
      <t>テキタイ</t>
    </rPh>
    <rPh sb="180" eb="181">
      <t>テキ</t>
    </rPh>
    <rPh sb="181" eb="183">
      <t>セイセイ</t>
    </rPh>
    <rPh sb="190" eb="194">
      <t>キョウカガクシュウ</t>
    </rPh>
    <rPh sb="195" eb="197">
      <t>テンイ</t>
    </rPh>
    <rPh sb="197" eb="199">
      <t>ガクシュウ</t>
    </rPh>
    <phoneticPr fontId="1"/>
  </si>
  <si>
    <t>・データを扱ってみる「ＩＴリテラシーＡ」（7回目）
　ｷｰﾜｰﾄﾞ：データの集計(和、平均)、データの並び替え、ランキング、データ解析ツール(スプレッドシート)</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</si>
</sst>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vertical="top" wrapTex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0" xfId="0" applyFont="1">
      <alignment vertical="center"/>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2" fillId="0" borderId="0" xfId="0" applyFont="1">
      <alignment vertical="center"/>
    </xf>
    <xf numFmtId="0" fontId="2" fillId="0" borderId="0" xfId="0" applyFont="1">
      <alignment vertical="center"/>
    </xf>
    <xf numFmtId="0" fontId="2" fillId="0" borderId="0" xfId="0" applyFont="1">
      <alignment vertical="center"/>
    </xf>
    <xf numFmtId="0" fontId="2" fillId="0" borderId="49" xfId="0" applyFont="1" applyBorder="1" applyAlignment="1">
      <alignment horizontal="center" vertical="center" shrinkToFit="1"/>
    </xf>
    <xf numFmtId="0" fontId="2" fillId="0" borderId="62" xfId="0" applyFont="1" applyBorder="1" applyAlignment="1">
      <alignment horizontal="center" vertical="center" shrinkToFit="1"/>
    </xf>
    <xf numFmtId="0" fontId="2" fillId="0" borderId="0" xfId="0" applyFont="1">
      <alignment vertical="center"/>
    </xf>
    <xf numFmtId="0" fontId="2" fillId="0" borderId="0" xfId="0" applyFont="1" applyAlignment="1">
      <alignment horizontal="center" vertical="center"/>
    </xf>
    <xf numFmtId="49" fontId="3" fillId="0" borderId="29" xfId="0" applyNumberFormat="1" applyFont="1" applyBorder="1" applyAlignment="1">
      <alignment horizontal="center" vertical="center"/>
    </xf>
    <xf numFmtId="49" fontId="3" fillId="0" borderId="60"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6" xfId="0" applyNumberFormat="1" applyFont="1" applyBorder="1" applyAlignment="1">
      <alignment horizontal="center" vertical="center"/>
    </xf>
    <xf numFmtId="0" fontId="2" fillId="0" borderId="16" xfId="0" applyFont="1" applyFill="1" applyBorder="1" applyAlignment="1">
      <alignment horizontal="left" vertical="top" wrapText="1" shrinkToFit="1"/>
    </xf>
    <xf numFmtId="0" fontId="2" fillId="0" borderId="21" xfId="0" applyFont="1" applyFill="1" applyBorder="1" applyAlignment="1">
      <alignment horizontal="left" vertical="top" wrapText="1" shrinkToFit="1"/>
    </xf>
    <xf numFmtId="0" fontId="2" fillId="0" borderId="61" xfId="0" applyFont="1" applyFill="1" applyBorder="1" applyAlignment="1">
      <alignment horizontal="left" vertical="top" wrapText="1" shrinkToFit="1"/>
    </xf>
    <xf numFmtId="0" fontId="2" fillId="0" borderId="19" xfId="0" applyFont="1" applyFill="1" applyBorder="1" applyAlignment="1">
      <alignment horizontal="left" vertical="top" wrapText="1" shrinkToFit="1"/>
    </xf>
    <xf numFmtId="0" fontId="2" fillId="0" borderId="20" xfId="0" applyFont="1" applyFill="1" applyBorder="1" applyAlignment="1">
      <alignment horizontal="left" vertical="top" wrapText="1" shrinkToFit="1"/>
    </xf>
    <xf numFmtId="0" fontId="2" fillId="0" borderId="18" xfId="0" applyFont="1" applyFill="1" applyBorder="1" applyAlignment="1">
      <alignment horizontal="left" vertical="top" wrapText="1" shrinkToFit="1"/>
    </xf>
    <xf numFmtId="49" fontId="3" fillId="0" borderId="47" xfId="0" applyNumberFormat="1" applyFont="1" applyBorder="1" applyAlignment="1">
      <alignment horizontal="center" vertical="center"/>
    </xf>
    <xf numFmtId="0" fontId="2" fillId="0" borderId="5" xfId="0" applyFont="1" applyFill="1" applyBorder="1" applyAlignment="1">
      <alignment horizontal="left" vertical="top" wrapText="1" shrinkToFit="1"/>
    </xf>
    <xf numFmtId="0" fontId="2" fillId="0" borderId="0" xfId="0" applyFont="1" applyFill="1" applyBorder="1" applyAlignment="1">
      <alignment horizontal="left" vertical="top" wrapText="1" shrinkToFit="1"/>
    </xf>
    <xf numFmtId="0" fontId="2" fillId="0" borderId="10" xfId="0" applyFont="1" applyFill="1" applyBorder="1" applyAlignment="1">
      <alignment horizontal="left" vertical="top" wrapText="1" shrinkToFit="1"/>
    </xf>
    <xf numFmtId="0" fontId="2" fillId="0" borderId="40" xfId="0" applyFont="1" applyFill="1" applyBorder="1" applyAlignment="1">
      <alignment horizontal="left" vertical="top" wrapText="1" shrinkToFit="1"/>
    </xf>
    <xf numFmtId="0" fontId="2" fillId="0" borderId="41" xfId="0" applyFont="1" applyFill="1" applyBorder="1" applyAlignment="1">
      <alignment horizontal="left" vertical="top" wrapText="1" shrinkToFit="1"/>
    </xf>
    <xf numFmtId="0" fontId="2" fillId="0" borderId="42" xfId="0" applyFont="1" applyFill="1" applyBorder="1" applyAlignment="1">
      <alignment horizontal="left" vertical="top" wrapText="1" shrinkToFit="1"/>
    </xf>
    <xf numFmtId="0" fontId="3" fillId="0" borderId="44" xfId="0" applyFont="1" applyBorder="1" applyAlignment="1">
      <alignment horizontal="center" vertical="center" wrapText="1"/>
    </xf>
    <xf numFmtId="0" fontId="3" fillId="0" borderId="30" xfId="0" applyFont="1" applyBorder="1" applyAlignment="1">
      <alignment horizontal="center" vertical="center" wrapText="1"/>
    </xf>
    <xf numFmtId="0" fontId="2" fillId="0" borderId="36" xfId="0" applyFont="1" applyFill="1" applyBorder="1" applyAlignment="1">
      <alignment horizontal="left" vertical="top" wrapText="1" shrinkToFit="1"/>
    </xf>
    <xf numFmtId="0" fontId="2" fillId="0" borderId="37" xfId="0" applyFont="1" applyFill="1" applyBorder="1" applyAlignment="1">
      <alignment horizontal="left" vertical="top" wrapText="1" shrinkToFit="1"/>
    </xf>
    <xf numFmtId="0" fontId="2" fillId="0" borderId="38" xfId="0" applyFont="1" applyFill="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2" fillId="0" borderId="33" xfId="0" applyFont="1" applyFill="1" applyBorder="1" applyAlignment="1">
      <alignment horizontal="left" vertical="top" wrapText="1" shrinkToFit="1"/>
    </xf>
    <xf numFmtId="0" fontId="2" fillId="0" borderId="35" xfId="0" applyFont="1" applyFill="1" applyBorder="1" applyAlignment="1">
      <alignment horizontal="left" vertical="top" wrapText="1" shrinkToFit="1"/>
    </xf>
    <xf numFmtId="0" fontId="2" fillId="0" borderId="34" xfId="0" applyFont="1" applyFill="1" applyBorder="1" applyAlignment="1">
      <alignment horizontal="left" vertical="top" wrapText="1" shrinkToFit="1"/>
    </xf>
    <xf numFmtId="0" fontId="2" fillId="0" borderId="35" xfId="0" applyFont="1" applyFill="1" applyBorder="1" applyAlignment="1">
      <alignment vertical="top" wrapText="1" shrinkToFit="1"/>
    </xf>
    <xf numFmtId="0" fontId="2" fillId="0" borderId="34" xfId="0" applyFont="1" applyFill="1" applyBorder="1" applyAlignment="1">
      <alignment vertical="top" wrapText="1" shrinkToFit="1"/>
    </xf>
    <xf numFmtId="0" fontId="2" fillId="0" borderId="33" xfId="0" applyFont="1" applyFill="1" applyBorder="1" applyAlignment="1">
      <alignment horizontal="left" vertical="center" wrapText="1" shrinkToFit="1"/>
    </xf>
    <xf numFmtId="0" fontId="2" fillId="0" borderId="35" xfId="0" applyFont="1" applyFill="1" applyBorder="1" applyAlignment="1">
      <alignment horizontal="left" vertical="center" shrinkToFit="1"/>
    </xf>
    <xf numFmtId="0" fontId="2" fillId="0" borderId="34" xfId="0" applyFont="1" applyFill="1" applyBorder="1" applyAlignment="1">
      <alignment horizontal="left" vertical="center" shrinkToFit="1"/>
    </xf>
    <xf numFmtId="0" fontId="2" fillId="0" borderId="36" xfId="0" applyFont="1" applyFill="1" applyBorder="1" applyAlignment="1">
      <alignment horizontal="left" vertical="center" wrapText="1" shrinkToFit="1"/>
    </xf>
    <xf numFmtId="0" fontId="2" fillId="0" borderId="37" xfId="0" applyFont="1" applyFill="1" applyBorder="1" applyAlignment="1">
      <alignment horizontal="left" vertical="center" shrinkToFit="1"/>
    </xf>
    <xf numFmtId="0" fontId="2" fillId="0" borderId="38" xfId="0" applyFont="1" applyFill="1" applyBorder="1" applyAlignment="1">
      <alignment horizontal="left" vertical="center" shrinkToFit="1"/>
    </xf>
    <xf numFmtId="0" fontId="2" fillId="0" borderId="33" xfId="0" applyFont="1" applyFill="1" applyBorder="1" applyAlignment="1">
      <alignment horizontal="left" vertical="top" wrapText="1"/>
    </xf>
    <xf numFmtId="0" fontId="2" fillId="0" borderId="35" xfId="0" applyFont="1" applyFill="1" applyBorder="1" applyAlignment="1">
      <alignment horizontal="left" vertical="top" wrapText="1"/>
    </xf>
    <xf numFmtId="0" fontId="2" fillId="0" borderId="34" xfId="0" applyFont="1" applyFill="1" applyBorder="1" applyAlignment="1">
      <alignment horizontal="left" vertical="top" wrapText="1"/>
    </xf>
    <xf numFmtId="0" fontId="2" fillId="0" borderId="35" xfId="0" applyFont="1" applyFill="1" applyBorder="1" applyAlignment="1">
      <alignment horizontal="left" vertical="top" shrinkToFit="1"/>
    </xf>
    <xf numFmtId="0" fontId="2" fillId="0" borderId="34" xfId="0" applyFont="1" applyFill="1" applyBorder="1" applyAlignment="1">
      <alignment horizontal="left" vertical="top" shrinkToFit="1"/>
    </xf>
    <xf numFmtId="0" fontId="2" fillId="0" borderId="37" xfId="0" applyFont="1" applyFill="1" applyBorder="1" applyAlignment="1">
      <alignment horizontal="left" vertical="top" shrinkToFit="1"/>
    </xf>
    <xf numFmtId="0" fontId="2" fillId="0" borderId="38" xfId="0" applyFont="1" applyFill="1" applyBorder="1" applyAlignment="1">
      <alignment horizontal="left" vertical="top" shrinkToFit="1"/>
    </xf>
    <xf numFmtId="0" fontId="3" fillId="0" borderId="45" xfId="0" applyFont="1" applyBorder="1" applyAlignment="1">
      <alignment horizontal="center" vertical="center" wrapText="1"/>
    </xf>
    <xf numFmtId="0" fontId="2" fillId="0" borderId="16" xfId="0" applyFont="1" applyFill="1" applyBorder="1" applyAlignment="1">
      <alignment horizontal="left" vertical="top" wrapText="1"/>
    </xf>
    <xf numFmtId="0" fontId="2" fillId="0" borderId="21" xfId="0" applyFont="1" applyFill="1" applyBorder="1" applyAlignment="1">
      <alignment horizontal="left" vertical="top" wrapText="1"/>
    </xf>
    <xf numFmtId="0" fontId="2" fillId="0" borderId="61" xfId="0" applyFont="1" applyFill="1" applyBorder="1" applyAlignment="1">
      <alignment horizontal="left" vertical="top" wrapText="1"/>
    </xf>
    <xf numFmtId="0" fontId="2" fillId="0" borderId="19" xfId="0" applyFont="1" applyFill="1" applyBorder="1" applyAlignment="1">
      <alignment horizontal="left" vertical="top" wrapText="1"/>
    </xf>
    <xf numFmtId="0" fontId="2" fillId="0" borderId="20" xfId="0" applyFont="1" applyFill="1" applyBorder="1" applyAlignment="1">
      <alignment horizontal="left" vertical="top" wrapText="1"/>
    </xf>
    <xf numFmtId="0" fontId="2" fillId="0" borderId="18" xfId="0" applyFont="1" applyFill="1" applyBorder="1" applyAlignment="1">
      <alignment horizontal="left" vertical="top" wrapText="1"/>
    </xf>
    <xf numFmtId="0" fontId="2" fillId="0" borderId="16"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61" xfId="0" applyFont="1" applyBorder="1" applyAlignment="1">
      <alignment horizontal="lef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36" xfId="0" applyFont="1" applyBorder="1" applyAlignment="1">
      <alignment horizontal="left" vertical="center"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xf numFmtId="0" fontId="2" fillId="0" borderId="19" xfId="0" applyFont="1" applyBorder="1" applyAlignment="1">
      <alignment vertical="top" wrapText="1" shrinkToFit="1"/>
    </xf>
    <xf numFmtId="0" fontId="2" fillId="0" borderId="36"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suser\home2$\kawabata-y\&#12487;&#12473;&#12463;&#12488;&#12483;&#12503;\&#12522;&#12486;&#12521;&#12471;&#12540;\01_&#9733;&#20316;&#26989;&#20013;(&#40845;&#35895;&#22823;&#23398;)_&#30003;&#35531;&#27096;&#24335;1_&#12522;&#12486;&#12521;&#12471;&#125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プログラムを構成する授業科目"/>
      <sheetName val="（1）様式１　プログラムを構成する授業科目 "/>
      <sheetName val="（④～⑨）並び替え"/>
      <sheetName val="（1-1～2-1）並び替え "/>
      <sheetName val="（2-2　）並び替え"/>
      <sheetName val="（2-3　）並び替え"/>
      <sheetName val="（3-1～）並び替え"/>
      <sheetName val="（完成）様式１　プログラムを構成する授業科目 "/>
      <sheetName val="様式２ 履修者等数の実績"/>
      <sheetName val="様式３ 教育の質・履修者数を向上させるための体制・計画"/>
      <sheetName val="様式４　自己点検・評価"/>
      <sheetName val="様式１　プログラムを構成する授業科目  (2)"/>
    </sheetNames>
    <sheetDataSet>
      <sheetData sheetId="0">
        <row r="2">
          <cell r="C2" t="str">
            <v>龍谷大学</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83A9C-0350-410C-9BD1-FDF34C17DEBE}">
  <sheetPr>
    <pageSetUpPr fitToPage="1"/>
  </sheetPr>
  <dimension ref="A1:V222"/>
  <sheetViews>
    <sheetView tabSelected="1" view="pageBreakPreview" topLeftCell="A182" zoomScale="85" zoomScaleNormal="100" zoomScaleSheetLayoutView="85" workbookViewId="0">
      <selection activeCell="AB211" sqref="AB211"/>
    </sheetView>
  </sheetViews>
  <sheetFormatPr defaultColWidth="9" defaultRowHeight="18.75" customHeight="1" x14ac:dyDescent="0.15"/>
  <cols>
    <col min="1" max="1" width="2.5" style="80" customWidth="1"/>
    <col min="2" max="2" width="16.5" style="80" customWidth="1"/>
    <col min="3" max="18" width="5.625" style="80" customWidth="1"/>
    <col min="19" max="19" width="11.875" style="80" customWidth="1"/>
    <col min="20" max="20" width="9" style="80"/>
    <col min="21" max="21" width="3.625" style="80" customWidth="1"/>
    <col min="22" max="22" width="48.625" style="80" hidden="1" customWidth="1"/>
    <col min="23" max="16384" width="9" style="80"/>
  </cols>
  <sheetData>
    <row r="1" spans="1:22" ht="18.600000000000001" customHeight="1" x14ac:dyDescent="0.15">
      <c r="R1" s="184" t="s">
        <v>0</v>
      </c>
      <c r="S1" s="184"/>
      <c r="T1" s="2" t="s">
        <v>1</v>
      </c>
    </row>
    <row r="2" spans="1:22" ht="18.75" customHeight="1" x14ac:dyDescent="0.15">
      <c r="B2" s="79" t="s">
        <v>2</v>
      </c>
      <c r="C2" s="173" t="s">
        <v>129</v>
      </c>
      <c r="D2" s="165"/>
      <c r="E2" s="165"/>
      <c r="F2" s="165"/>
      <c r="G2" s="165"/>
      <c r="H2" s="165"/>
      <c r="I2" s="166"/>
      <c r="J2" s="78"/>
      <c r="K2" s="5"/>
      <c r="L2" s="5"/>
      <c r="M2" s="5"/>
      <c r="N2" s="5"/>
      <c r="O2" s="5"/>
      <c r="P2" s="5"/>
      <c r="Q2" s="5"/>
      <c r="R2" s="5"/>
      <c r="S2" s="5"/>
    </row>
    <row r="3" spans="1:22" ht="18.75" customHeight="1" x14ac:dyDescent="0.15">
      <c r="B3" s="79" t="s">
        <v>3</v>
      </c>
      <c r="C3" s="173" t="s">
        <v>128</v>
      </c>
      <c r="D3" s="165"/>
      <c r="E3" s="165"/>
      <c r="F3" s="165"/>
      <c r="G3" s="165"/>
      <c r="H3" s="165"/>
      <c r="I3" s="166"/>
      <c r="J3" s="78"/>
      <c r="K3" s="5"/>
      <c r="L3" s="5"/>
      <c r="M3" s="5"/>
      <c r="N3" s="5"/>
      <c r="O3" s="5"/>
      <c r="P3" s="5"/>
      <c r="Q3" s="5"/>
      <c r="R3" s="5"/>
      <c r="S3" s="5"/>
    </row>
    <row r="4" spans="1:22" ht="15" customHeight="1" x14ac:dyDescent="0.15">
      <c r="K4" s="78"/>
      <c r="L4" s="30"/>
      <c r="M4" s="30"/>
      <c r="N4" s="30"/>
      <c r="O4" s="30"/>
      <c r="P4" s="30"/>
      <c r="Q4" s="30"/>
      <c r="R4" s="30"/>
      <c r="S4" s="30"/>
    </row>
    <row r="5" spans="1:22" ht="18" customHeight="1" x14ac:dyDescent="0.15">
      <c r="A5" s="185" t="s">
        <v>4</v>
      </c>
      <c r="B5" s="185"/>
      <c r="C5" s="185"/>
      <c r="D5" s="185"/>
      <c r="E5" s="185"/>
      <c r="F5" s="185"/>
      <c r="G5" s="185"/>
      <c r="H5" s="185"/>
      <c r="I5" s="185"/>
      <c r="J5" s="185"/>
      <c r="K5" s="185"/>
      <c r="L5" s="185"/>
      <c r="M5" s="185"/>
      <c r="N5" s="185"/>
      <c r="O5" s="185"/>
      <c r="P5" s="185"/>
      <c r="Q5" s="185"/>
      <c r="R5" s="185"/>
      <c r="S5" s="185"/>
    </row>
    <row r="6" spans="1:22" ht="15" customHeight="1" x14ac:dyDescent="0.15">
      <c r="B6" s="81"/>
      <c r="C6" s="81"/>
      <c r="D6" s="81"/>
      <c r="E6" s="81"/>
      <c r="F6" s="81"/>
      <c r="G6" s="81"/>
      <c r="H6" s="81"/>
      <c r="I6" s="81"/>
      <c r="J6" s="81"/>
      <c r="K6" s="81"/>
      <c r="L6" s="81"/>
      <c r="M6" s="81"/>
      <c r="N6" s="81"/>
      <c r="O6" s="81"/>
      <c r="P6" s="81"/>
      <c r="Q6" s="81"/>
      <c r="R6" s="81"/>
      <c r="S6" s="81"/>
    </row>
    <row r="7" spans="1:22" ht="18" customHeight="1" x14ac:dyDescent="0.15">
      <c r="A7" s="80" t="s">
        <v>5</v>
      </c>
      <c r="C7" s="81"/>
      <c r="J7" s="31" t="s">
        <v>6</v>
      </c>
      <c r="K7" s="186" t="s">
        <v>127</v>
      </c>
      <c r="L7" s="187"/>
      <c r="M7" s="187"/>
      <c r="N7" s="187"/>
      <c r="O7" s="187"/>
      <c r="P7" s="187"/>
      <c r="Q7" s="187"/>
      <c r="R7" s="187"/>
      <c r="S7" s="188"/>
    </row>
    <row r="8" spans="1:22" ht="6" customHeight="1" x14ac:dyDescent="0.15">
      <c r="B8" s="81"/>
      <c r="C8" s="81"/>
      <c r="D8" s="81"/>
      <c r="E8" s="81"/>
      <c r="F8" s="81"/>
      <c r="G8" s="81"/>
      <c r="H8" s="81"/>
      <c r="I8" s="81"/>
      <c r="J8" s="81"/>
      <c r="K8" s="9"/>
      <c r="L8" s="81"/>
      <c r="M8" s="81"/>
      <c r="N8" s="81"/>
      <c r="O8" s="81"/>
      <c r="P8" s="81"/>
      <c r="Q8" s="81"/>
      <c r="R8" s="81"/>
      <c r="S8" s="81"/>
    </row>
    <row r="9" spans="1:22" ht="18" customHeight="1" x14ac:dyDescent="0.15">
      <c r="B9" s="189"/>
      <c r="C9" s="190"/>
      <c r="D9" s="190"/>
      <c r="E9" s="190"/>
      <c r="F9" s="190"/>
      <c r="G9" s="190"/>
      <c r="H9" s="190"/>
      <c r="I9" s="190"/>
      <c r="J9" s="190"/>
      <c r="K9" s="190"/>
      <c r="L9" s="190"/>
      <c r="M9" s="190"/>
      <c r="N9" s="190"/>
      <c r="O9" s="190"/>
      <c r="P9" s="190"/>
      <c r="Q9" s="190"/>
      <c r="R9" s="190"/>
      <c r="S9" s="191"/>
    </row>
    <row r="10" spans="1:22" ht="18" customHeight="1" x14ac:dyDescent="0.15">
      <c r="B10" s="192"/>
      <c r="C10" s="193"/>
      <c r="D10" s="193"/>
      <c r="E10" s="193"/>
      <c r="F10" s="193"/>
      <c r="G10" s="193"/>
      <c r="H10" s="193"/>
      <c r="I10" s="193"/>
      <c r="J10" s="193"/>
      <c r="K10" s="193"/>
      <c r="L10" s="193"/>
      <c r="M10" s="193"/>
      <c r="N10" s="193"/>
      <c r="O10" s="193"/>
      <c r="P10" s="193"/>
      <c r="Q10" s="193"/>
      <c r="R10" s="193"/>
      <c r="S10" s="194"/>
    </row>
    <row r="11" spans="1:22" ht="6" customHeight="1" x14ac:dyDescent="0.15">
      <c r="B11" s="81"/>
      <c r="C11" s="81"/>
      <c r="D11" s="81"/>
      <c r="E11" s="81"/>
      <c r="F11" s="81"/>
      <c r="G11" s="81"/>
      <c r="H11" s="81"/>
      <c r="I11" s="81"/>
      <c r="J11" s="81"/>
      <c r="K11" s="9"/>
      <c r="L11" s="81"/>
      <c r="M11" s="81"/>
      <c r="N11" s="81"/>
      <c r="O11" s="81"/>
      <c r="P11" s="81"/>
      <c r="Q11" s="81"/>
      <c r="R11" s="81"/>
      <c r="S11" s="81"/>
    </row>
    <row r="12" spans="1:22" ht="18" customHeight="1" x14ac:dyDescent="0.15">
      <c r="A12" s="80" t="s">
        <v>7</v>
      </c>
      <c r="B12" s="81"/>
      <c r="C12" s="81"/>
      <c r="D12" s="78"/>
      <c r="E12" s="78"/>
      <c r="F12" s="78"/>
      <c r="G12" s="78"/>
      <c r="H12" s="78"/>
      <c r="I12" s="78"/>
      <c r="J12" s="78"/>
      <c r="K12" s="32"/>
      <c r="L12" s="32"/>
      <c r="M12" s="32"/>
      <c r="N12" s="32"/>
      <c r="O12" s="32"/>
      <c r="P12" s="32"/>
      <c r="Q12" s="32"/>
      <c r="R12" s="32"/>
      <c r="S12" s="32"/>
    </row>
    <row r="13" spans="1:22" ht="18" customHeight="1" x14ac:dyDescent="0.15">
      <c r="B13" s="195" t="s">
        <v>130</v>
      </c>
      <c r="C13" s="196"/>
      <c r="D13" s="196"/>
      <c r="E13" s="196"/>
      <c r="F13" s="196"/>
      <c r="G13" s="196"/>
      <c r="H13" s="196"/>
      <c r="I13" s="196"/>
      <c r="J13" s="196"/>
      <c r="K13" s="196"/>
      <c r="L13" s="196"/>
      <c r="M13" s="196"/>
      <c r="N13" s="196"/>
      <c r="O13" s="196"/>
      <c r="P13" s="196"/>
      <c r="Q13" s="196"/>
      <c r="R13" s="196"/>
      <c r="S13" s="197"/>
      <c r="V13" s="80" t="s">
        <v>8</v>
      </c>
    </row>
    <row r="14" spans="1:22" ht="18" customHeight="1" x14ac:dyDescent="0.15">
      <c r="B14" s="198"/>
      <c r="C14" s="199"/>
      <c r="D14" s="199"/>
      <c r="E14" s="199"/>
      <c r="F14" s="199"/>
      <c r="G14" s="199"/>
      <c r="H14" s="199"/>
      <c r="I14" s="199"/>
      <c r="J14" s="199"/>
      <c r="K14" s="199"/>
      <c r="L14" s="199"/>
      <c r="M14" s="199"/>
      <c r="N14" s="199"/>
      <c r="O14" s="199"/>
      <c r="P14" s="199"/>
      <c r="Q14" s="199"/>
      <c r="R14" s="199"/>
      <c r="S14" s="200"/>
      <c r="V14" s="80" t="s">
        <v>9</v>
      </c>
    </row>
    <row r="15" spans="1:22" ht="18" customHeight="1" x14ac:dyDescent="0.15">
      <c r="B15" s="198"/>
      <c r="C15" s="199"/>
      <c r="D15" s="199"/>
      <c r="E15" s="199"/>
      <c r="F15" s="199"/>
      <c r="G15" s="199"/>
      <c r="H15" s="199"/>
      <c r="I15" s="199"/>
      <c r="J15" s="199"/>
      <c r="K15" s="199"/>
      <c r="L15" s="199"/>
      <c r="M15" s="199"/>
      <c r="N15" s="199"/>
      <c r="O15" s="199"/>
      <c r="P15" s="199"/>
      <c r="Q15" s="199"/>
      <c r="R15" s="199"/>
      <c r="S15" s="200"/>
      <c r="V15" s="80" t="s">
        <v>10</v>
      </c>
    </row>
    <row r="16" spans="1:22" ht="18" customHeight="1" x14ac:dyDescent="0.15">
      <c r="B16" s="198"/>
      <c r="C16" s="199"/>
      <c r="D16" s="199"/>
      <c r="E16" s="199"/>
      <c r="F16" s="199"/>
      <c r="G16" s="199"/>
      <c r="H16" s="199"/>
      <c r="I16" s="199"/>
      <c r="J16" s="199"/>
      <c r="K16" s="199"/>
      <c r="L16" s="199"/>
      <c r="M16" s="199"/>
      <c r="N16" s="199"/>
      <c r="O16" s="199"/>
      <c r="P16" s="199"/>
      <c r="Q16" s="199"/>
      <c r="R16" s="199"/>
      <c r="S16" s="200"/>
      <c r="V16" s="80" t="s">
        <v>11</v>
      </c>
    </row>
    <row r="17" spans="1:19" ht="18" customHeight="1" x14ac:dyDescent="0.15">
      <c r="B17" s="198"/>
      <c r="C17" s="199"/>
      <c r="D17" s="199"/>
      <c r="E17" s="199"/>
      <c r="F17" s="199"/>
      <c r="G17" s="199"/>
      <c r="H17" s="199"/>
      <c r="I17" s="199"/>
      <c r="J17" s="199"/>
      <c r="K17" s="199"/>
      <c r="L17" s="199"/>
      <c r="M17" s="199"/>
      <c r="N17" s="199"/>
      <c r="O17" s="199"/>
      <c r="P17" s="199"/>
      <c r="Q17" s="199"/>
      <c r="R17" s="199"/>
      <c r="S17" s="200"/>
    </row>
    <row r="18" spans="1:19" ht="18" customHeight="1" x14ac:dyDescent="0.15">
      <c r="B18" s="201"/>
      <c r="C18" s="202"/>
      <c r="D18" s="202"/>
      <c r="E18" s="202"/>
      <c r="F18" s="202"/>
      <c r="G18" s="202"/>
      <c r="H18" s="202"/>
      <c r="I18" s="202"/>
      <c r="J18" s="202"/>
      <c r="K18" s="202"/>
      <c r="L18" s="202"/>
      <c r="M18" s="202"/>
      <c r="N18" s="202"/>
      <c r="O18" s="202"/>
      <c r="P18" s="202"/>
      <c r="Q18" s="202"/>
      <c r="R18" s="202"/>
      <c r="S18" s="203"/>
    </row>
    <row r="19" spans="1:19" ht="7.5" customHeight="1" x14ac:dyDescent="0.15">
      <c r="B19" s="81"/>
      <c r="C19" s="81"/>
      <c r="D19" s="81"/>
      <c r="E19" s="81"/>
      <c r="F19" s="81"/>
      <c r="G19" s="81"/>
      <c r="H19" s="81"/>
      <c r="I19" s="81"/>
      <c r="J19" s="81"/>
      <c r="K19" s="81"/>
      <c r="L19" s="81"/>
      <c r="M19" s="81"/>
      <c r="N19" s="81"/>
      <c r="O19" s="81"/>
      <c r="P19" s="81"/>
      <c r="Q19" s="81"/>
      <c r="R19" s="81"/>
      <c r="S19" s="81"/>
    </row>
    <row r="20" spans="1:19" ht="19.899999999999999" customHeight="1" x14ac:dyDescent="0.15">
      <c r="B20" s="80" t="s">
        <v>12</v>
      </c>
      <c r="C20" s="173">
        <v>4</v>
      </c>
      <c r="D20" s="166"/>
      <c r="E20" s="33" t="s">
        <v>13</v>
      </c>
      <c r="G20" s="9"/>
      <c r="H20" s="81"/>
      <c r="I20" s="81"/>
      <c r="J20" s="78" t="s">
        <v>14</v>
      </c>
      <c r="K20" s="204" t="s">
        <v>11</v>
      </c>
      <c r="L20" s="205"/>
      <c r="M20" s="205"/>
      <c r="N20" s="205"/>
      <c r="O20" s="205"/>
      <c r="P20" s="205"/>
      <c r="Q20" s="205"/>
      <c r="R20" s="205"/>
      <c r="S20" s="206"/>
    </row>
    <row r="21" spans="1:19" ht="7.5" customHeight="1" x14ac:dyDescent="0.15">
      <c r="B21" s="81"/>
      <c r="C21" s="81"/>
      <c r="D21" s="81"/>
      <c r="E21" s="81"/>
      <c r="F21" s="81"/>
      <c r="G21" s="81"/>
      <c r="H21" s="81"/>
      <c r="I21" s="81"/>
      <c r="J21" s="81"/>
      <c r="K21" s="81"/>
      <c r="L21" s="81"/>
      <c r="M21" s="81"/>
      <c r="N21" s="81"/>
      <c r="O21" s="81"/>
      <c r="P21" s="81"/>
      <c r="Q21" s="81"/>
      <c r="R21" s="81"/>
      <c r="S21" s="81"/>
    </row>
    <row r="22" spans="1:19" ht="18" customHeight="1" x14ac:dyDescent="0.15">
      <c r="A22" s="183" t="s">
        <v>15</v>
      </c>
      <c r="B22" s="183"/>
      <c r="C22" s="183"/>
      <c r="D22" s="183"/>
      <c r="E22" s="183"/>
      <c r="F22" s="183"/>
      <c r="G22" s="183"/>
      <c r="H22" s="183"/>
      <c r="I22" s="183"/>
      <c r="J22" s="183"/>
      <c r="K22" s="183"/>
      <c r="L22" s="183"/>
      <c r="M22" s="183"/>
      <c r="N22" s="183"/>
      <c r="O22" s="183"/>
      <c r="P22" s="183"/>
      <c r="Q22" s="183"/>
      <c r="R22" s="183"/>
      <c r="S22" s="183"/>
    </row>
    <row r="23" spans="1:19" ht="18" customHeight="1" x14ac:dyDescent="0.15">
      <c r="A23" s="183"/>
      <c r="B23" s="183"/>
      <c r="C23" s="183"/>
      <c r="D23" s="183"/>
      <c r="E23" s="183"/>
      <c r="F23" s="183"/>
      <c r="G23" s="183"/>
      <c r="H23" s="183"/>
      <c r="I23" s="183"/>
      <c r="J23" s="183"/>
      <c r="K23" s="183"/>
      <c r="L23" s="183"/>
      <c r="M23" s="183"/>
      <c r="N23" s="183"/>
      <c r="O23" s="183"/>
      <c r="P23" s="183"/>
      <c r="Q23" s="183"/>
      <c r="R23" s="183"/>
      <c r="S23" s="183"/>
    </row>
    <row r="24" spans="1:19" ht="18" customHeight="1" x14ac:dyDescent="0.15">
      <c r="B24" s="173" t="s">
        <v>16</v>
      </c>
      <c r="C24" s="165"/>
      <c r="D24" s="165"/>
      <c r="E24" s="166"/>
      <c r="F24" s="52" t="s">
        <v>17</v>
      </c>
      <c r="G24" s="51" t="s">
        <v>18</v>
      </c>
      <c r="H24" s="19" t="s">
        <v>19</v>
      </c>
      <c r="I24" s="19" t="s">
        <v>20</v>
      </c>
      <c r="J24" s="173" t="s">
        <v>16</v>
      </c>
      <c r="K24" s="165"/>
      <c r="L24" s="165"/>
      <c r="M24" s="165"/>
      <c r="N24" s="165"/>
      <c r="O24" s="166"/>
      <c r="P24" s="52" t="s">
        <v>17</v>
      </c>
      <c r="Q24" s="51" t="s">
        <v>18</v>
      </c>
      <c r="R24" s="19" t="s">
        <v>19</v>
      </c>
      <c r="S24" s="19" t="s">
        <v>20</v>
      </c>
    </row>
    <row r="25" spans="1:19" ht="18" customHeight="1" x14ac:dyDescent="0.15">
      <c r="B25" s="177" t="s">
        <v>160</v>
      </c>
      <c r="C25" s="178" t="s">
        <v>160</v>
      </c>
      <c r="D25" s="178" t="s">
        <v>160</v>
      </c>
      <c r="E25" s="179" t="s">
        <v>160</v>
      </c>
      <c r="F25" s="20">
        <v>2</v>
      </c>
      <c r="G25" s="20" t="s">
        <v>161</v>
      </c>
      <c r="H25" s="20" t="s">
        <v>161</v>
      </c>
      <c r="I25" s="20" t="s">
        <v>161</v>
      </c>
      <c r="J25" s="177"/>
      <c r="K25" s="178"/>
      <c r="L25" s="178"/>
      <c r="M25" s="178"/>
      <c r="N25" s="178"/>
      <c r="O25" s="179"/>
      <c r="P25" s="20"/>
      <c r="Q25" s="20"/>
      <c r="R25" s="20"/>
      <c r="S25" s="20"/>
    </row>
    <row r="26" spans="1:19" ht="18" customHeight="1" x14ac:dyDescent="0.15">
      <c r="B26" s="154" t="s">
        <v>163</v>
      </c>
      <c r="C26" s="155"/>
      <c r="D26" s="155"/>
      <c r="E26" s="156"/>
      <c r="F26" s="21">
        <v>2</v>
      </c>
      <c r="G26" s="21"/>
      <c r="H26" s="21" t="s">
        <v>161</v>
      </c>
      <c r="I26" s="21"/>
      <c r="J26" s="167"/>
      <c r="K26" s="168"/>
      <c r="L26" s="168"/>
      <c r="M26" s="168"/>
      <c r="N26" s="168"/>
      <c r="O26" s="169"/>
      <c r="P26" s="21"/>
      <c r="Q26" s="21"/>
      <c r="R26" s="21"/>
      <c r="S26" s="21"/>
    </row>
    <row r="27" spans="1:19" ht="18" customHeight="1" x14ac:dyDescent="0.15">
      <c r="B27" s="154" t="s">
        <v>164</v>
      </c>
      <c r="C27" s="155"/>
      <c r="D27" s="155"/>
      <c r="E27" s="156"/>
      <c r="F27" s="21">
        <v>2</v>
      </c>
      <c r="G27" s="21"/>
      <c r="H27" s="21" t="s">
        <v>161</v>
      </c>
      <c r="I27" s="21"/>
      <c r="J27" s="167"/>
      <c r="K27" s="168"/>
      <c r="L27" s="168"/>
      <c r="M27" s="168"/>
      <c r="N27" s="168"/>
      <c r="O27" s="169"/>
      <c r="P27" s="21"/>
      <c r="Q27" s="21"/>
      <c r="R27" s="21"/>
      <c r="S27" s="21"/>
    </row>
    <row r="28" spans="1:19" ht="18" customHeight="1" x14ac:dyDescent="0.15">
      <c r="B28" s="167" t="s">
        <v>262</v>
      </c>
      <c r="C28" s="168"/>
      <c r="D28" s="168"/>
      <c r="E28" s="169"/>
      <c r="F28" s="21">
        <v>2</v>
      </c>
      <c r="G28" s="21"/>
      <c r="H28" s="21" t="s">
        <v>161</v>
      </c>
      <c r="I28" s="21"/>
      <c r="J28" s="167"/>
      <c r="K28" s="168"/>
      <c r="L28" s="168"/>
      <c r="M28" s="168"/>
      <c r="N28" s="168"/>
      <c r="O28" s="169"/>
      <c r="P28" s="21"/>
      <c r="Q28" s="21"/>
      <c r="R28" s="21"/>
      <c r="S28" s="21"/>
    </row>
    <row r="29" spans="1:19" ht="18" customHeight="1" x14ac:dyDescent="0.15">
      <c r="B29" s="167" t="s">
        <v>263</v>
      </c>
      <c r="C29" s="168"/>
      <c r="D29" s="168"/>
      <c r="E29" s="169"/>
      <c r="F29" s="91">
        <v>2</v>
      </c>
      <c r="G29" s="21"/>
      <c r="H29" s="92" t="s">
        <v>161</v>
      </c>
      <c r="I29" s="21"/>
      <c r="J29" s="167"/>
      <c r="K29" s="168"/>
      <c r="L29" s="168"/>
      <c r="M29" s="168"/>
      <c r="N29" s="168"/>
      <c r="O29" s="169"/>
      <c r="P29" s="21"/>
      <c r="Q29" s="21"/>
      <c r="R29" s="21"/>
      <c r="S29" s="21"/>
    </row>
    <row r="30" spans="1:19" ht="18" customHeight="1" x14ac:dyDescent="0.15">
      <c r="A30" s="81"/>
      <c r="B30" s="167"/>
      <c r="C30" s="168" t="s">
        <v>166</v>
      </c>
      <c r="D30" s="168" t="s">
        <v>166</v>
      </c>
      <c r="E30" s="169" t="s">
        <v>166</v>
      </c>
      <c r="F30" s="21"/>
      <c r="G30" s="21"/>
      <c r="H30" s="21"/>
      <c r="I30" s="21"/>
      <c r="J30" s="167"/>
      <c r="K30" s="168"/>
      <c r="L30" s="168"/>
      <c r="M30" s="168"/>
      <c r="N30" s="168"/>
      <c r="O30" s="169"/>
      <c r="P30" s="21"/>
      <c r="Q30" s="21"/>
      <c r="R30" s="21"/>
      <c r="S30" s="21"/>
    </row>
    <row r="31" spans="1:19" ht="18" customHeight="1" x14ac:dyDescent="0.15">
      <c r="A31" s="81"/>
      <c r="B31" s="170"/>
      <c r="C31" s="171" t="s">
        <v>167</v>
      </c>
      <c r="D31" s="171" t="s">
        <v>167</v>
      </c>
      <c r="E31" s="172" t="s">
        <v>167</v>
      </c>
      <c r="F31" s="22"/>
      <c r="G31" s="22"/>
      <c r="H31" s="23"/>
      <c r="I31" s="23"/>
      <c r="J31" s="170"/>
      <c r="K31" s="171"/>
      <c r="L31" s="171"/>
      <c r="M31" s="171"/>
      <c r="N31" s="171"/>
      <c r="O31" s="172"/>
      <c r="P31" s="22"/>
      <c r="Q31" s="22"/>
      <c r="R31" s="23"/>
      <c r="S31" s="23"/>
    </row>
    <row r="32" spans="1:19" ht="7.5" customHeight="1" x14ac:dyDescent="0.15">
      <c r="A32" s="81"/>
      <c r="B32" s="5"/>
      <c r="C32" s="5"/>
      <c r="D32" s="81"/>
      <c r="E32" s="81"/>
      <c r="F32" s="81"/>
      <c r="G32" s="81"/>
      <c r="H32" s="5"/>
      <c r="I32" s="5"/>
      <c r="J32" s="5"/>
      <c r="K32" s="5"/>
      <c r="L32" s="5"/>
      <c r="M32" s="5"/>
      <c r="N32" s="5"/>
      <c r="O32" s="5"/>
      <c r="P32" s="5"/>
      <c r="Q32" s="5"/>
      <c r="R32" s="5"/>
      <c r="S32" s="81"/>
    </row>
    <row r="33" spans="1:19" ht="18" customHeight="1" x14ac:dyDescent="0.15">
      <c r="A33" s="183" t="s">
        <v>21</v>
      </c>
      <c r="B33" s="183"/>
      <c r="C33" s="183"/>
      <c r="D33" s="183"/>
      <c r="E33" s="183"/>
      <c r="F33" s="183"/>
      <c r="G33" s="183"/>
      <c r="H33" s="183"/>
      <c r="I33" s="183"/>
      <c r="J33" s="183"/>
      <c r="K33" s="183"/>
      <c r="L33" s="183"/>
      <c r="M33" s="183"/>
      <c r="N33" s="183"/>
      <c r="O33" s="183"/>
      <c r="P33" s="183"/>
      <c r="Q33" s="183"/>
      <c r="R33" s="183"/>
      <c r="S33" s="183"/>
    </row>
    <row r="34" spans="1:19" ht="18" customHeight="1" x14ac:dyDescent="0.15">
      <c r="A34" s="183"/>
      <c r="B34" s="183"/>
      <c r="C34" s="183"/>
      <c r="D34" s="183"/>
      <c r="E34" s="183"/>
      <c r="F34" s="183"/>
      <c r="G34" s="183"/>
      <c r="H34" s="183"/>
      <c r="I34" s="183"/>
      <c r="J34" s="183"/>
      <c r="K34" s="183"/>
      <c r="L34" s="183"/>
      <c r="M34" s="183"/>
      <c r="N34" s="183"/>
      <c r="O34" s="183"/>
      <c r="P34" s="183"/>
      <c r="Q34" s="183"/>
      <c r="R34" s="183"/>
      <c r="S34" s="183"/>
    </row>
    <row r="35" spans="1:19" ht="18" customHeight="1" x14ac:dyDescent="0.15">
      <c r="B35" s="173" t="s">
        <v>16</v>
      </c>
      <c r="C35" s="165"/>
      <c r="D35" s="165"/>
      <c r="E35" s="166"/>
      <c r="F35" s="52" t="s">
        <v>17</v>
      </c>
      <c r="G35" s="51" t="s">
        <v>18</v>
      </c>
      <c r="H35" s="19" t="s">
        <v>22</v>
      </c>
      <c r="I35" s="19" t="s">
        <v>23</v>
      </c>
      <c r="J35" s="173" t="s">
        <v>16</v>
      </c>
      <c r="K35" s="165"/>
      <c r="L35" s="165"/>
      <c r="M35" s="165"/>
      <c r="N35" s="165"/>
      <c r="O35" s="166"/>
      <c r="P35" s="52" t="s">
        <v>17</v>
      </c>
      <c r="Q35" s="51" t="s">
        <v>18</v>
      </c>
      <c r="R35" s="19" t="s">
        <v>22</v>
      </c>
      <c r="S35" s="19" t="s">
        <v>23</v>
      </c>
    </row>
    <row r="36" spans="1:19" ht="18" customHeight="1" x14ac:dyDescent="0.15">
      <c r="B36" s="177" t="s">
        <v>160</v>
      </c>
      <c r="C36" s="178" t="s">
        <v>160</v>
      </c>
      <c r="D36" s="178" t="s">
        <v>160</v>
      </c>
      <c r="E36" s="179" t="s">
        <v>160</v>
      </c>
      <c r="F36" s="20">
        <v>2</v>
      </c>
      <c r="G36" s="20" t="s">
        <v>161</v>
      </c>
      <c r="H36" s="20" t="s">
        <v>161</v>
      </c>
      <c r="I36" s="20" t="s">
        <v>161</v>
      </c>
      <c r="J36" s="177" t="s">
        <v>168</v>
      </c>
      <c r="K36" s="178" t="s">
        <v>168</v>
      </c>
      <c r="L36" s="178" t="s">
        <v>168</v>
      </c>
      <c r="M36" s="178" t="s">
        <v>168</v>
      </c>
      <c r="N36" s="178" t="s">
        <v>168</v>
      </c>
      <c r="O36" s="179" t="s">
        <v>168</v>
      </c>
      <c r="P36" s="20">
        <v>1</v>
      </c>
      <c r="Q36" s="20"/>
      <c r="R36" s="20" t="s">
        <v>161</v>
      </c>
      <c r="S36" s="20"/>
    </row>
    <row r="37" spans="1:19" ht="18" customHeight="1" x14ac:dyDescent="0.15">
      <c r="B37" s="167" t="s">
        <v>169</v>
      </c>
      <c r="C37" s="168" t="s">
        <v>169</v>
      </c>
      <c r="D37" s="168" t="s">
        <v>169</v>
      </c>
      <c r="E37" s="169" t="s">
        <v>169</v>
      </c>
      <c r="F37" s="21">
        <v>2</v>
      </c>
      <c r="G37" s="21"/>
      <c r="H37" s="21"/>
      <c r="I37" s="21" t="s">
        <v>161</v>
      </c>
      <c r="J37" s="167" t="s">
        <v>170</v>
      </c>
      <c r="K37" s="168" t="s">
        <v>170</v>
      </c>
      <c r="L37" s="168" t="s">
        <v>170</v>
      </c>
      <c r="M37" s="168" t="s">
        <v>170</v>
      </c>
      <c r="N37" s="168" t="s">
        <v>170</v>
      </c>
      <c r="O37" s="169" t="s">
        <v>170</v>
      </c>
      <c r="P37" s="21">
        <v>1</v>
      </c>
      <c r="Q37" s="21"/>
      <c r="R37" s="21"/>
      <c r="S37" s="21" t="s">
        <v>161</v>
      </c>
    </row>
    <row r="38" spans="1:19" ht="18" customHeight="1" x14ac:dyDescent="0.15">
      <c r="B38" s="167" t="s">
        <v>162</v>
      </c>
      <c r="C38" s="168" t="s">
        <v>162</v>
      </c>
      <c r="D38" s="168" t="s">
        <v>162</v>
      </c>
      <c r="E38" s="169" t="s">
        <v>162</v>
      </c>
      <c r="F38" s="21">
        <v>2</v>
      </c>
      <c r="G38" s="21"/>
      <c r="H38" s="21"/>
      <c r="I38" s="21" t="s">
        <v>161</v>
      </c>
      <c r="J38" s="167" t="s">
        <v>171</v>
      </c>
      <c r="K38" s="168" t="s">
        <v>171</v>
      </c>
      <c r="L38" s="168" t="s">
        <v>171</v>
      </c>
      <c r="M38" s="168" t="s">
        <v>171</v>
      </c>
      <c r="N38" s="168" t="s">
        <v>171</v>
      </c>
      <c r="O38" s="169" t="s">
        <v>171</v>
      </c>
      <c r="P38" s="21">
        <v>2</v>
      </c>
      <c r="Q38" s="21"/>
      <c r="R38" s="21" t="s">
        <v>161</v>
      </c>
      <c r="S38" s="21" t="s">
        <v>161</v>
      </c>
    </row>
    <row r="39" spans="1:19" ht="18" customHeight="1" x14ac:dyDescent="0.15">
      <c r="B39" s="167" t="s">
        <v>172</v>
      </c>
      <c r="C39" s="168" t="s">
        <v>172</v>
      </c>
      <c r="D39" s="168" t="s">
        <v>172</v>
      </c>
      <c r="E39" s="169" t="s">
        <v>172</v>
      </c>
      <c r="F39" s="21">
        <v>2</v>
      </c>
      <c r="G39" s="21"/>
      <c r="H39" s="21"/>
      <c r="I39" s="21" t="s">
        <v>161</v>
      </c>
      <c r="J39" s="167" t="s">
        <v>173</v>
      </c>
      <c r="K39" s="168" t="s">
        <v>173</v>
      </c>
      <c r="L39" s="168" t="s">
        <v>173</v>
      </c>
      <c r="M39" s="168" t="s">
        <v>173</v>
      </c>
      <c r="N39" s="168" t="s">
        <v>173</v>
      </c>
      <c r="O39" s="169" t="s">
        <v>173</v>
      </c>
      <c r="P39" s="21">
        <v>2</v>
      </c>
      <c r="Q39" s="21"/>
      <c r="R39" s="21"/>
      <c r="S39" s="21" t="s">
        <v>161</v>
      </c>
    </row>
    <row r="40" spans="1:19" ht="18" customHeight="1" x14ac:dyDescent="0.15">
      <c r="B40" s="167" t="s">
        <v>174</v>
      </c>
      <c r="C40" s="168" t="s">
        <v>174</v>
      </c>
      <c r="D40" s="168" t="s">
        <v>174</v>
      </c>
      <c r="E40" s="169" t="s">
        <v>174</v>
      </c>
      <c r="F40" s="21">
        <v>2</v>
      </c>
      <c r="G40" s="21"/>
      <c r="H40" s="21"/>
      <c r="I40" s="21" t="s">
        <v>161</v>
      </c>
      <c r="J40" s="167" t="s">
        <v>175</v>
      </c>
      <c r="K40" s="168" t="s">
        <v>175</v>
      </c>
      <c r="L40" s="168" t="s">
        <v>175</v>
      </c>
      <c r="M40" s="168" t="s">
        <v>175</v>
      </c>
      <c r="N40" s="168" t="s">
        <v>175</v>
      </c>
      <c r="O40" s="169" t="s">
        <v>175</v>
      </c>
      <c r="P40" s="21">
        <v>2</v>
      </c>
      <c r="Q40" s="21"/>
      <c r="R40" s="21"/>
      <c r="S40" s="21" t="s">
        <v>161</v>
      </c>
    </row>
    <row r="41" spans="1:19" ht="18" customHeight="1" x14ac:dyDescent="0.15">
      <c r="B41" s="167" t="s">
        <v>163</v>
      </c>
      <c r="C41" s="168" t="s">
        <v>163</v>
      </c>
      <c r="D41" s="168" t="s">
        <v>163</v>
      </c>
      <c r="E41" s="169" t="s">
        <v>163</v>
      </c>
      <c r="F41" s="21">
        <v>2</v>
      </c>
      <c r="G41" s="21"/>
      <c r="H41" s="21"/>
      <c r="I41" s="21" t="s">
        <v>161</v>
      </c>
      <c r="J41" s="167" t="s">
        <v>167</v>
      </c>
      <c r="K41" s="168" t="s">
        <v>167</v>
      </c>
      <c r="L41" s="168" t="s">
        <v>167</v>
      </c>
      <c r="M41" s="168" t="s">
        <v>167</v>
      </c>
      <c r="N41" s="168" t="s">
        <v>167</v>
      </c>
      <c r="O41" s="169" t="s">
        <v>167</v>
      </c>
      <c r="P41" s="21">
        <v>2</v>
      </c>
      <c r="Q41" s="21"/>
      <c r="R41" s="21" t="s">
        <v>161</v>
      </c>
      <c r="S41" s="21"/>
    </row>
    <row r="42" spans="1:19" ht="18" customHeight="1" x14ac:dyDescent="0.15">
      <c r="B42" s="170" t="s">
        <v>164</v>
      </c>
      <c r="C42" s="171" t="s">
        <v>164</v>
      </c>
      <c r="D42" s="171" t="s">
        <v>164</v>
      </c>
      <c r="E42" s="172" t="s">
        <v>164</v>
      </c>
      <c r="F42" s="22">
        <v>2</v>
      </c>
      <c r="G42" s="22"/>
      <c r="H42" s="23" t="s">
        <v>161</v>
      </c>
      <c r="I42" s="23"/>
      <c r="J42" s="170"/>
      <c r="K42" s="171"/>
      <c r="L42" s="171"/>
      <c r="M42" s="171"/>
      <c r="N42" s="171"/>
      <c r="O42" s="172"/>
      <c r="P42" s="22"/>
      <c r="Q42" s="22"/>
      <c r="R42" s="23"/>
      <c r="S42" s="23"/>
    </row>
    <row r="43" spans="1:19" ht="7.5" customHeight="1" x14ac:dyDescent="0.15">
      <c r="A43" s="81"/>
      <c r="B43" s="5"/>
      <c r="C43" s="5"/>
      <c r="D43" s="81"/>
      <c r="E43" s="81"/>
      <c r="F43" s="81"/>
      <c r="G43" s="81"/>
      <c r="H43" s="5"/>
      <c r="I43" s="5"/>
      <c r="J43" s="5"/>
      <c r="K43" s="5"/>
      <c r="L43" s="5"/>
      <c r="M43" s="5"/>
      <c r="N43" s="5"/>
      <c r="O43" s="5"/>
      <c r="P43" s="5"/>
      <c r="Q43" s="5"/>
      <c r="R43" s="5"/>
      <c r="S43" s="81"/>
    </row>
    <row r="44" spans="1:19" ht="18" customHeight="1" x14ac:dyDescent="0.15">
      <c r="A44" s="183" t="s">
        <v>24</v>
      </c>
      <c r="B44" s="183"/>
      <c r="C44" s="183"/>
      <c r="D44" s="183"/>
      <c r="E44" s="183"/>
      <c r="F44" s="183"/>
      <c r="G44" s="183"/>
      <c r="H44" s="183"/>
      <c r="I44" s="183"/>
      <c r="J44" s="183"/>
      <c r="K44" s="183"/>
      <c r="L44" s="183"/>
      <c r="M44" s="183"/>
      <c r="N44" s="183"/>
      <c r="O44" s="183"/>
      <c r="P44" s="183"/>
      <c r="Q44" s="183"/>
      <c r="R44" s="183"/>
      <c r="S44" s="183"/>
    </row>
    <row r="45" spans="1:19" ht="18" customHeight="1" x14ac:dyDescent="0.15">
      <c r="A45" s="183"/>
      <c r="B45" s="183"/>
      <c r="C45" s="183"/>
      <c r="D45" s="183"/>
      <c r="E45" s="183"/>
      <c r="F45" s="183"/>
      <c r="G45" s="183"/>
      <c r="H45" s="183"/>
      <c r="I45" s="183"/>
      <c r="J45" s="183"/>
      <c r="K45" s="183"/>
      <c r="L45" s="183"/>
      <c r="M45" s="183"/>
      <c r="N45" s="183"/>
      <c r="O45" s="183"/>
      <c r="P45" s="183"/>
      <c r="Q45" s="183"/>
      <c r="R45" s="183"/>
      <c r="S45" s="183"/>
    </row>
    <row r="46" spans="1:19" ht="18" customHeight="1" x14ac:dyDescent="0.15">
      <c r="B46" s="173" t="s">
        <v>16</v>
      </c>
      <c r="C46" s="165"/>
      <c r="D46" s="165"/>
      <c r="E46" s="166"/>
      <c r="F46" s="52" t="s">
        <v>17</v>
      </c>
      <c r="G46" s="51" t="s">
        <v>18</v>
      </c>
      <c r="H46" s="19" t="s">
        <v>25</v>
      </c>
      <c r="I46" s="19" t="s">
        <v>26</v>
      </c>
      <c r="J46" s="173" t="s">
        <v>16</v>
      </c>
      <c r="K46" s="165"/>
      <c r="L46" s="165"/>
      <c r="M46" s="165"/>
      <c r="N46" s="165"/>
      <c r="O46" s="166"/>
      <c r="P46" s="52" t="s">
        <v>17</v>
      </c>
      <c r="Q46" s="51" t="s">
        <v>18</v>
      </c>
      <c r="R46" s="19" t="s">
        <v>25</v>
      </c>
      <c r="S46" s="19" t="s">
        <v>26</v>
      </c>
    </row>
    <row r="47" spans="1:19" ht="18" customHeight="1" x14ac:dyDescent="0.15">
      <c r="A47" s="81"/>
      <c r="B47" s="177" t="s">
        <v>160</v>
      </c>
      <c r="C47" s="178" t="s">
        <v>160</v>
      </c>
      <c r="D47" s="178" t="s">
        <v>160</v>
      </c>
      <c r="E47" s="179" t="s">
        <v>160</v>
      </c>
      <c r="F47" s="20">
        <v>2</v>
      </c>
      <c r="G47" s="20" t="s">
        <v>161</v>
      </c>
      <c r="H47" s="20" t="s">
        <v>161</v>
      </c>
      <c r="I47" s="20" t="s">
        <v>161</v>
      </c>
      <c r="J47" s="177"/>
      <c r="K47" s="178"/>
      <c r="L47" s="178"/>
      <c r="M47" s="178"/>
      <c r="N47" s="178"/>
      <c r="O47" s="179"/>
      <c r="P47" s="20"/>
      <c r="Q47" s="20"/>
      <c r="R47" s="20"/>
      <c r="S47" s="20"/>
    </row>
    <row r="48" spans="1:19" ht="18" customHeight="1" x14ac:dyDescent="0.15">
      <c r="A48" s="81"/>
      <c r="B48" s="167" t="s">
        <v>176</v>
      </c>
      <c r="C48" s="168" t="s">
        <v>176</v>
      </c>
      <c r="D48" s="168" t="s">
        <v>176</v>
      </c>
      <c r="E48" s="169" t="s">
        <v>176</v>
      </c>
      <c r="F48" s="21">
        <v>2</v>
      </c>
      <c r="G48" s="21"/>
      <c r="H48" s="21" t="s">
        <v>161</v>
      </c>
      <c r="I48" s="21"/>
      <c r="J48" s="167"/>
      <c r="K48" s="168"/>
      <c r="L48" s="168"/>
      <c r="M48" s="168"/>
      <c r="N48" s="168"/>
      <c r="O48" s="169"/>
      <c r="P48" s="21"/>
      <c r="Q48" s="21"/>
      <c r="R48" s="21"/>
      <c r="S48" s="21"/>
    </row>
    <row r="49" spans="1:19" ht="18" customHeight="1" x14ac:dyDescent="0.15">
      <c r="A49" s="81"/>
      <c r="B49" s="167" t="s">
        <v>167</v>
      </c>
      <c r="C49" s="168" t="s">
        <v>167</v>
      </c>
      <c r="D49" s="168" t="s">
        <v>167</v>
      </c>
      <c r="E49" s="169" t="s">
        <v>167</v>
      </c>
      <c r="F49" s="21">
        <v>2</v>
      </c>
      <c r="G49" s="21"/>
      <c r="H49" s="21"/>
      <c r="I49" s="21" t="s">
        <v>161</v>
      </c>
      <c r="J49" s="167"/>
      <c r="K49" s="168"/>
      <c r="L49" s="168"/>
      <c r="M49" s="168"/>
      <c r="N49" s="168"/>
      <c r="O49" s="169"/>
      <c r="P49" s="21"/>
      <c r="Q49" s="21"/>
      <c r="R49" s="21"/>
      <c r="S49" s="21"/>
    </row>
    <row r="50" spans="1:19" ht="18" customHeight="1" x14ac:dyDescent="0.15">
      <c r="A50" s="81"/>
      <c r="B50" s="167"/>
      <c r="C50" s="168"/>
      <c r="D50" s="168"/>
      <c r="E50" s="169"/>
      <c r="F50" s="21"/>
      <c r="G50" s="21"/>
      <c r="H50" s="21"/>
      <c r="I50" s="21"/>
      <c r="J50" s="167"/>
      <c r="K50" s="168"/>
      <c r="L50" s="168"/>
      <c r="M50" s="168"/>
      <c r="N50" s="168"/>
      <c r="O50" s="169"/>
      <c r="P50" s="21"/>
      <c r="Q50" s="21"/>
      <c r="R50" s="21"/>
      <c r="S50" s="21"/>
    </row>
    <row r="51" spans="1:19" ht="18" customHeight="1" x14ac:dyDescent="0.15">
      <c r="A51" s="81"/>
      <c r="B51" s="167"/>
      <c r="C51" s="168"/>
      <c r="D51" s="168"/>
      <c r="E51" s="169"/>
      <c r="F51" s="21"/>
      <c r="G51" s="21"/>
      <c r="H51" s="21"/>
      <c r="I51" s="21"/>
      <c r="J51" s="167"/>
      <c r="K51" s="168"/>
      <c r="L51" s="168"/>
      <c r="M51" s="168"/>
      <c r="N51" s="168"/>
      <c r="O51" s="169"/>
      <c r="P51" s="21"/>
      <c r="Q51" s="21"/>
      <c r="R51" s="21"/>
      <c r="S51" s="21"/>
    </row>
    <row r="52" spans="1:19" ht="18" customHeight="1" x14ac:dyDescent="0.15">
      <c r="A52" s="81"/>
      <c r="B52" s="167"/>
      <c r="C52" s="168"/>
      <c r="D52" s="168"/>
      <c r="E52" s="169"/>
      <c r="F52" s="21"/>
      <c r="G52" s="21"/>
      <c r="H52" s="21"/>
      <c r="I52" s="21"/>
      <c r="J52" s="167"/>
      <c r="K52" s="168"/>
      <c r="L52" s="168"/>
      <c r="M52" s="168"/>
      <c r="N52" s="168"/>
      <c r="O52" s="169"/>
      <c r="P52" s="21"/>
      <c r="Q52" s="21"/>
      <c r="R52" s="21"/>
      <c r="S52" s="21"/>
    </row>
    <row r="53" spans="1:19" ht="18" customHeight="1" x14ac:dyDescent="0.15">
      <c r="A53" s="81"/>
      <c r="B53" s="170"/>
      <c r="C53" s="171"/>
      <c r="D53" s="171"/>
      <c r="E53" s="172"/>
      <c r="F53" s="22"/>
      <c r="G53" s="22"/>
      <c r="H53" s="23"/>
      <c r="I53" s="23"/>
      <c r="J53" s="170"/>
      <c r="K53" s="171"/>
      <c r="L53" s="171"/>
      <c r="M53" s="171"/>
      <c r="N53" s="171"/>
      <c r="O53" s="172"/>
      <c r="P53" s="22"/>
      <c r="Q53" s="22"/>
      <c r="R53" s="23"/>
      <c r="S53" s="23"/>
    </row>
    <row r="54" spans="1:19" ht="7.5" customHeight="1" x14ac:dyDescent="0.15">
      <c r="B54" s="82"/>
      <c r="C54" s="82"/>
      <c r="D54" s="82"/>
      <c r="E54" s="82"/>
      <c r="F54" s="82"/>
      <c r="G54" s="82"/>
      <c r="H54" s="82"/>
      <c r="I54" s="82"/>
      <c r="J54" s="82"/>
      <c r="K54" s="82"/>
      <c r="L54" s="82"/>
      <c r="M54" s="82"/>
      <c r="N54" s="82"/>
      <c r="O54" s="82"/>
      <c r="P54" s="82"/>
      <c r="Q54" s="82"/>
      <c r="R54" s="82"/>
    </row>
    <row r="55" spans="1:19" ht="18" customHeight="1" x14ac:dyDescent="0.15">
      <c r="A55" s="183" t="s">
        <v>27</v>
      </c>
      <c r="B55" s="183"/>
      <c r="C55" s="183"/>
      <c r="D55" s="183"/>
      <c r="E55" s="183"/>
      <c r="F55" s="183"/>
      <c r="G55" s="183"/>
      <c r="H55" s="183"/>
      <c r="I55" s="183"/>
      <c r="J55" s="183"/>
      <c r="K55" s="183"/>
      <c r="L55" s="183"/>
      <c r="M55" s="183"/>
      <c r="N55" s="183"/>
      <c r="O55" s="183"/>
      <c r="P55" s="183"/>
      <c r="Q55" s="183"/>
      <c r="R55" s="183"/>
      <c r="S55" s="183"/>
    </row>
    <row r="56" spans="1:19" ht="18" customHeight="1" x14ac:dyDescent="0.15">
      <c r="A56" s="183"/>
      <c r="B56" s="183"/>
      <c r="C56" s="183"/>
      <c r="D56" s="183"/>
      <c r="E56" s="183"/>
      <c r="F56" s="183"/>
      <c r="G56" s="183"/>
      <c r="H56" s="183"/>
      <c r="I56" s="183"/>
      <c r="J56" s="183"/>
      <c r="K56" s="183"/>
      <c r="L56" s="183"/>
      <c r="M56" s="183"/>
      <c r="N56" s="183"/>
      <c r="O56" s="183"/>
      <c r="P56" s="183"/>
      <c r="Q56" s="183"/>
      <c r="R56" s="183"/>
      <c r="S56" s="183"/>
    </row>
    <row r="57" spans="1:19" ht="18" customHeight="1" x14ac:dyDescent="0.15">
      <c r="B57" s="173" t="s">
        <v>16</v>
      </c>
      <c r="C57" s="165"/>
      <c r="D57" s="165"/>
      <c r="E57" s="166"/>
      <c r="F57" s="52" t="s">
        <v>17</v>
      </c>
      <c r="G57" s="51" t="s">
        <v>18</v>
      </c>
      <c r="H57" s="19" t="s">
        <v>28</v>
      </c>
      <c r="I57" s="19" t="s">
        <v>29</v>
      </c>
      <c r="J57" s="173" t="s">
        <v>16</v>
      </c>
      <c r="K57" s="165"/>
      <c r="L57" s="165"/>
      <c r="M57" s="165"/>
      <c r="N57" s="165"/>
      <c r="O57" s="166"/>
      <c r="P57" s="52" t="s">
        <v>17</v>
      </c>
      <c r="Q57" s="51" t="s">
        <v>18</v>
      </c>
      <c r="R57" s="19" t="s">
        <v>28</v>
      </c>
      <c r="S57" s="19" t="s">
        <v>29</v>
      </c>
    </row>
    <row r="58" spans="1:19" ht="18" customHeight="1" x14ac:dyDescent="0.15">
      <c r="A58" s="81"/>
      <c r="B58" s="177" t="s">
        <v>160</v>
      </c>
      <c r="C58" s="178" t="s">
        <v>160</v>
      </c>
      <c r="D58" s="178" t="s">
        <v>160</v>
      </c>
      <c r="E58" s="179" t="s">
        <v>160</v>
      </c>
      <c r="F58" s="20">
        <v>2</v>
      </c>
      <c r="G58" s="20" t="s">
        <v>161</v>
      </c>
      <c r="H58" s="20" t="s">
        <v>161</v>
      </c>
      <c r="I58" s="20" t="s">
        <v>161</v>
      </c>
      <c r="J58" s="177"/>
      <c r="K58" s="178"/>
      <c r="L58" s="178"/>
      <c r="M58" s="178"/>
      <c r="N58" s="178"/>
      <c r="O58" s="179"/>
      <c r="P58" s="20"/>
      <c r="Q58" s="20"/>
      <c r="R58" s="20"/>
      <c r="S58" s="20"/>
    </row>
    <row r="59" spans="1:19" ht="18" customHeight="1" x14ac:dyDescent="0.15">
      <c r="A59" s="81"/>
      <c r="B59" s="167" t="s">
        <v>168</v>
      </c>
      <c r="C59" s="168" t="s">
        <v>168</v>
      </c>
      <c r="D59" s="168" t="s">
        <v>168</v>
      </c>
      <c r="E59" s="169" t="s">
        <v>168</v>
      </c>
      <c r="F59" s="21">
        <v>1</v>
      </c>
      <c r="G59" s="21"/>
      <c r="H59" s="21" t="s">
        <v>161</v>
      </c>
      <c r="I59" s="21"/>
      <c r="J59" s="167"/>
      <c r="K59" s="168"/>
      <c r="L59" s="168"/>
      <c r="M59" s="168"/>
      <c r="N59" s="168"/>
      <c r="O59" s="169"/>
      <c r="P59" s="21"/>
      <c r="Q59" s="21"/>
      <c r="R59" s="21"/>
      <c r="S59" s="21"/>
    </row>
    <row r="60" spans="1:19" ht="18" customHeight="1" x14ac:dyDescent="0.15">
      <c r="A60" s="81"/>
      <c r="B60" s="167" t="s">
        <v>170</v>
      </c>
      <c r="C60" s="168" t="s">
        <v>170</v>
      </c>
      <c r="D60" s="168" t="s">
        <v>170</v>
      </c>
      <c r="E60" s="169" t="s">
        <v>170</v>
      </c>
      <c r="F60" s="21">
        <v>1</v>
      </c>
      <c r="G60" s="21"/>
      <c r="H60" s="21" t="s">
        <v>161</v>
      </c>
      <c r="I60" s="21"/>
      <c r="J60" s="167"/>
      <c r="K60" s="168"/>
      <c r="L60" s="168"/>
      <c r="M60" s="168"/>
      <c r="N60" s="168"/>
      <c r="O60" s="169"/>
      <c r="P60" s="21"/>
      <c r="Q60" s="21"/>
      <c r="R60" s="21"/>
      <c r="S60" s="21"/>
    </row>
    <row r="61" spans="1:19" ht="18" customHeight="1" x14ac:dyDescent="0.15">
      <c r="A61" s="81"/>
      <c r="B61" s="167" t="s">
        <v>171</v>
      </c>
      <c r="C61" s="168" t="s">
        <v>171</v>
      </c>
      <c r="D61" s="168" t="s">
        <v>171</v>
      </c>
      <c r="E61" s="169" t="s">
        <v>171</v>
      </c>
      <c r="F61" s="21">
        <v>2</v>
      </c>
      <c r="G61" s="21"/>
      <c r="H61" s="21" t="s">
        <v>161</v>
      </c>
      <c r="I61" s="21"/>
      <c r="J61" s="167"/>
      <c r="K61" s="168"/>
      <c r="L61" s="168"/>
      <c r="M61" s="168"/>
      <c r="N61" s="168"/>
      <c r="O61" s="169"/>
      <c r="P61" s="21"/>
      <c r="Q61" s="21"/>
      <c r="R61" s="21"/>
      <c r="S61" s="21"/>
    </row>
    <row r="62" spans="1:19" ht="18" customHeight="1" x14ac:dyDescent="0.15">
      <c r="A62" s="81"/>
      <c r="B62" s="167" t="s">
        <v>173</v>
      </c>
      <c r="C62" s="168" t="s">
        <v>173</v>
      </c>
      <c r="D62" s="168" t="s">
        <v>173</v>
      </c>
      <c r="E62" s="169" t="s">
        <v>173</v>
      </c>
      <c r="F62" s="21">
        <v>2</v>
      </c>
      <c r="G62" s="21"/>
      <c r="H62" s="21" t="s">
        <v>161</v>
      </c>
      <c r="I62" s="21" t="s">
        <v>161</v>
      </c>
      <c r="J62" s="167"/>
      <c r="K62" s="168"/>
      <c r="L62" s="168"/>
      <c r="M62" s="168"/>
      <c r="N62" s="168"/>
      <c r="O62" s="169"/>
      <c r="P62" s="21"/>
      <c r="Q62" s="21"/>
      <c r="R62" s="21"/>
      <c r="S62" s="21"/>
    </row>
    <row r="63" spans="1:19" ht="18" customHeight="1" x14ac:dyDescent="0.15">
      <c r="A63" s="81"/>
      <c r="B63" s="167" t="s">
        <v>166</v>
      </c>
      <c r="C63" s="168" t="s">
        <v>166</v>
      </c>
      <c r="D63" s="168" t="s">
        <v>166</v>
      </c>
      <c r="E63" s="169" t="s">
        <v>166</v>
      </c>
      <c r="F63" s="21">
        <v>2</v>
      </c>
      <c r="G63" s="21"/>
      <c r="H63" s="21"/>
      <c r="I63" s="21" t="s">
        <v>161</v>
      </c>
      <c r="J63" s="167"/>
      <c r="K63" s="168"/>
      <c r="L63" s="168"/>
      <c r="M63" s="168"/>
      <c r="N63" s="168"/>
      <c r="O63" s="169"/>
      <c r="P63" s="21"/>
      <c r="Q63" s="21"/>
      <c r="R63" s="21"/>
      <c r="S63" s="21"/>
    </row>
    <row r="64" spans="1:19" ht="18" customHeight="1" x14ac:dyDescent="0.15">
      <c r="A64" s="81"/>
      <c r="B64" s="170"/>
      <c r="C64" s="171"/>
      <c r="D64" s="171"/>
      <c r="E64" s="172"/>
      <c r="F64" s="22"/>
      <c r="G64" s="22"/>
      <c r="H64" s="23"/>
      <c r="I64" s="23"/>
      <c r="J64" s="170"/>
      <c r="K64" s="171"/>
      <c r="L64" s="171"/>
      <c r="M64" s="171"/>
      <c r="N64" s="171"/>
      <c r="O64" s="172"/>
      <c r="P64" s="22"/>
      <c r="Q64" s="22"/>
      <c r="R64" s="23"/>
      <c r="S64" s="23"/>
    </row>
    <row r="65" spans="1:19" ht="7.5" customHeight="1" x14ac:dyDescent="0.15">
      <c r="B65" s="82"/>
      <c r="C65" s="82"/>
      <c r="D65" s="82"/>
      <c r="E65" s="82"/>
      <c r="F65" s="82"/>
      <c r="G65" s="82"/>
      <c r="H65" s="82"/>
      <c r="I65" s="82"/>
      <c r="J65" s="82"/>
      <c r="K65" s="82"/>
      <c r="L65" s="82"/>
      <c r="M65" s="82"/>
      <c r="N65" s="82"/>
      <c r="O65" s="82"/>
      <c r="P65" s="82"/>
      <c r="Q65" s="82"/>
      <c r="R65" s="82"/>
    </row>
    <row r="66" spans="1:19" ht="18" customHeight="1" x14ac:dyDescent="0.15">
      <c r="A66" s="183" t="s">
        <v>30</v>
      </c>
      <c r="B66" s="183"/>
      <c r="C66" s="183"/>
      <c r="D66" s="183"/>
      <c r="E66" s="183"/>
      <c r="F66" s="183"/>
      <c r="G66" s="183"/>
      <c r="H66" s="183"/>
      <c r="I66" s="183"/>
      <c r="J66" s="183"/>
      <c r="K66" s="183"/>
      <c r="L66" s="183"/>
      <c r="M66" s="183"/>
      <c r="N66" s="183"/>
      <c r="O66" s="183"/>
      <c r="P66" s="183"/>
      <c r="Q66" s="183"/>
      <c r="R66" s="183"/>
      <c r="S66" s="183"/>
    </row>
    <row r="67" spans="1:19" ht="18" customHeight="1" x14ac:dyDescent="0.15">
      <c r="A67" s="183"/>
      <c r="B67" s="183"/>
      <c r="C67" s="183"/>
      <c r="D67" s="183"/>
      <c r="E67" s="183"/>
      <c r="F67" s="183"/>
      <c r="G67" s="183"/>
      <c r="H67" s="183"/>
      <c r="I67" s="183"/>
      <c r="J67" s="183"/>
      <c r="K67" s="183"/>
      <c r="L67" s="183"/>
      <c r="M67" s="183"/>
      <c r="N67" s="183"/>
      <c r="O67" s="183"/>
      <c r="P67" s="183"/>
      <c r="Q67" s="183"/>
      <c r="R67" s="183"/>
      <c r="S67" s="183"/>
    </row>
    <row r="68" spans="1:19" ht="18" customHeight="1" x14ac:dyDescent="0.15">
      <c r="B68" s="173" t="s">
        <v>16</v>
      </c>
      <c r="C68" s="165"/>
      <c r="D68" s="165"/>
      <c r="E68" s="52" t="s">
        <v>17</v>
      </c>
      <c r="F68" s="51" t="s">
        <v>18</v>
      </c>
      <c r="G68" s="19" t="s">
        <v>31</v>
      </c>
      <c r="H68" s="19" t="s">
        <v>32</v>
      </c>
      <c r="I68" s="19" t="s">
        <v>33</v>
      </c>
      <c r="J68" s="173" t="s">
        <v>16</v>
      </c>
      <c r="K68" s="165"/>
      <c r="L68" s="165"/>
      <c r="M68" s="165"/>
      <c r="N68" s="166"/>
      <c r="O68" s="52" t="s">
        <v>17</v>
      </c>
      <c r="P68" s="51" t="s">
        <v>18</v>
      </c>
      <c r="Q68" s="19" t="s">
        <v>31</v>
      </c>
      <c r="R68" s="19" t="s">
        <v>32</v>
      </c>
      <c r="S68" s="19" t="s">
        <v>33</v>
      </c>
    </row>
    <row r="69" spans="1:19" ht="18" customHeight="1" x14ac:dyDescent="0.15">
      <c r="A69" s="81"/>
      <c r="B69" s="177" t="s">
        <v>160</v>
      </c>
      <c r="C69" s="178" t="s">
        <v>160</v>
      </c>
      <c r="D69" s="178" t="s">
        <v>160</v>
      </c>
      <c r="E69" s="20">
        <v>2</v>
      </c>
      <c r="F69" s="20" t="s">
        <v>161</v>
      </c>
      <c r="G69" s="20" t="s">
        <v>161</v>
      </c>
      <c r="H69" s="20" t="s">
        <v>161</v>
      </c>
      <c r="I69" s="20" t="s">
        <v>161</v>
      </c>
      <c r="J69" s="177" t="s">
        <v>163</v>
      </c>
      <c r="K69" s="178" t="s">
        <v>163</v>
      </c>
      <c r="L69" s="178" t="s">
        <v>163</v>
      </c>
      <c r="M69" s="178" t="s">
        <v>163</v>
      </c>
      <c r="N69" s="179" t="s">
        <v>163</v>
      </c>
      <c r="O69" s="20">
        <v>2</v>
      </c>
      <c r="P69" s="20"/>
      <c r="Q69" s="20" t="s">
        <v>161</v>
      </c>
      <c r="R69" s="20"/>
      <c r="S69" s="20"/>
    </row>
    <row r="70" spans="1:19" ht="18" customHeight="1" x14ac:dyDescent="0.15">
      <c r="A70" s="81"/>
      <c r="B70" s="167" t="s">
        <v>177</v>
      </c>
      <c r="C70" s="168" t="s">
        <v>177</v>
      </c>
      <c r="D70" s="168" t="s">
        <v>177</v>
      </c>
      <c r="E70" s="21">
        <v>2</v>
      </c>
      <c r="F70" s="21"/>
      <c r="G70" s="21" t="s">
        <v>161</v>
      </c>
      <c r="H70" s="21" t="s">
        <v>161</v>
      </c>
      <c r="I70" s="21" t="s">
        <v>161</v>
      </c>
      <c r="J70" s="167" t="s">
        <v>178</v>
      </c>
      <c r="K70" s="168" t="s">
        <v>178</v>
      </c>
      <c r="L70" s="168" t="s">
        <v>178</v>
      </c>
      <c r="M70" s="168" t="s">
        <v>178</v>
      </c>
      <c r="N70" s="169" t="s">
        <v>178</v>
      </c>
      <c r="O70" s="21">
        <v>2</v>
      </c>
      <c r="P70" s="21"/>
      <c r="Q70" s="21" t="s">
        <v>161</v>
      </c>
      <c r="R70" s="21"/>
      <c r="S70" s="21"/>
    </row>
    <row r="71" spans="1:19" ht="18" customHeight="1" x14ac:dyDescent="0.15">
      <c r="A71" s="81"/>
      <c r="B71" s="167" t="s">
        <v>179</v>
      </c>
      <c r="C71" s="168" t="s">
        <v>179</v>
      </c>
      <c r="D71" s="168" t="s">
        <v>179</v>
      </c>
      <c r="E71" s="21">
        <v>2</v>
      </c>
      <c r="F71" s="21"/>
      <c r="G71" s="21" t="s">
        <v>161</v>
      </c>
      <c r="H71" s="21" t="s">
        <v>161</v>
      </c>
      <c r="I71" s="21"/>
      <c r="J71" s="167" t="s">
        <v>164</v>
      </c>
      <c r="K71" s="168" t="s">
        <v>164</v>
      </c>
      <c r="L71" s="168" t="s">
        <v>164</v>
      </c>
      <c r="M71" s="168" t="s">
        <v>164</v>
      </c>
      <c r="N71" s="169" t="s">
        <v>164</v>
      </c>
      <c r="O71" s="21">
        <v>2</v>
      </c>
      <c r="P71" s="21"/>
      <c r="Q71" s="21" t="s">
        <v>161</v>
      </c>
      <c r="R71" s="21" t="s">
        <v>161</v>
      </c>
      <c r="S71" s="21" t="s">
        <v>161</v>
      </c>
    </row>
    <row r="72" spans="1:19" ht="18" customHeight="1" x14ac:dyDescent="0.15">
      <c r="A72" s="81"/>
      <c r="B72" s="167" t="s">
        <v>180</v>
      </c>
      <c r="C72" s="168" t="s">
        <v>180</v>
      </c>
      <c r="D72" s="168" t="s">
        <v>180</v>
      </c>
      <c r="E72" s="21">
        <v>1</v>
      </c>
      <c r="F72" s="21"/>
      <c r="G72" s="21" t="s">
        <v>161</v>
      </c>
      <c r="H72" s="21" t="s">
        <v>161</v>
      </c>
      <c r="I72" s="21" t="s">
        <v>161</v>
      </c>
      <c r="J72" s="167" t="s">
        <v>168</v>
      </c>
      <c r="K72" s="168" t="s">
        <v>168</v>
      </c>
      <c r="L72" s="168" t="s">
        <v>168</v>
      </c>
      <c r="M72" s="168" t="s">
        <v>168</v>
      </c>
      <c r="N72" s="169" t="s">
        <v>168</v>
      </c>
      <c r="O72" s="21">
        <v>1</v>
      </c>
      <c r="P72" s="21"/>
      <c r="Q72" s="21" t="s">
        <v>161</v>
      </c>
      <c r="R72" s="21" t="s">
        <v>161</v>
      </c>
      <c r="S72" s="21"/>
    </row>
    <row r="73" spans="1:19" ht="18" customHeight="1" x14ac:dyDescent="0.15">
      <c r="A73" s="81"/>
      <c r="B73" s="167" t="s">
        <v>181</v>
      </c>
      <c r="C73" s="168" t="s">
        <v>181</v>
      </c>
      <c r="D73" s="168" t="s">
        <v>181</v>
      </c>
      <c r="E73" s="21">
        <v>1</v>
      </c>
      <c r="F73" s="21"/>
      <c r="G73" s="21" t="s">
        <v>161</v>
      </c>
      <c r="H73" s="21" t="s">
        <v>161</v>
      </c>
      <c r="I73" s="21"/>
      <c r="J73" s="167" t="s">
        <v>170</v>
      </c>
      <c r="K73" s="168" t="s">
        <v>170</v>
      </c>
      <c r="L73" s="168" t="s">
        <v>170</v>
      </c>
      <c r="M73" s="168" t="s">
        <v>170</v>
      </c>
      <c r="N73" s="169" t="s">
        <v>170</v>
      </c>
      <c r="O73" s="21">
        <v>1</v>
      </c>
      <c r="P73" s="21"/>
      <c r="Q73" s="21" t="s">
        <v>161</v>
      </c>
      <c r="R73" s="21"/>
      <c r="S73" s="21"/>
    </row>
    <row r="74" spans="1:19" ht="18" customHeight="1" x14ac:dyDescent="0.15">
      <c r="A74" s="81"/>
      <c r="B74" s="167" t="s">
        <v>182</v>
      </c>
      <c r="C74" s="168" t="s">
        <v>182</v>
      </c>
      <c r="D74" s="168" t="s">
        <v>182</v>
      </c>
      <c r="E74" s="21">
        <v>1</v>
      </c>
      <c r="F74" s="21"/>
      <c r="G74" s="21"/>
      <c r="H74" s="21"/>
      <c r="I74" s="21" t="s">
        <v>161</v>
      </c>
      <c r="J74" s="167" t="s">
        <v>171</v>
      </c>
      <c r="K74" s="168" t="s">
        <v>171</v>
      </c>
      <c r="L74" s="168" t="s">
        <v>171</v>
      </c>
      <c r="M74" s="168" t="s">
        <v>171</v>
      </c>
      <c r="N74" s="169" t="s">
        <v>171</v>
      </c>
      <c r="O74" s="21">
        <v>2</v>
      </c>
      <c r="P74" s="21"/>
      <c r="Q74" s="21" t="s">
        <v>161</v>
      </c>
      <c r="R74" s="21" t="s">
        <v>161</v>
      </c>
      <c r="S74" s="21"/>
    </row>
    <row r="75" spans="1:19" ht="18" customHeight="1" x14ac:dyDescent="0.15">
      <c r="A75" s="81"/>
      <c r="B75" s="167" t="s">
        <v>183</v>
      </c>
      <c r="C75" s="168" t="s">
        <v>183</v>
      </c>
      <c r="D75" s="168" t="s">
        <v>183</v>
      </c>
      <c r="E75" s="21">
        <v>1</v>
      </c>
      <c r="F75" s="21"/>
      <c r="G75" s="21" t="s">
        <v>161</v>
      </c>
      <c r="H75" s="21" t="s">
        <v>161</v>
      </c>
      <c r="I75" s="21" t="s">
        <v>161</v>
      </c>
      <c r="J75" s="167" t="s">
        <v>173</v>
      </c>
      <c r="K75" s="168" t="s">
        <v>173</v>
      </c>
      <c r="L75" s="168" t="s">
        <v>173</v>
      </c>
      <c r="M75" s="168" t="s">
        <v>173</v>
      </c>
      <c r="N75" s="169" t="s">
        <v>173</v>
      </c>
      <c r="O75" s="21">
        <v>2</v>
      </c>
      <c r="P75" s="21"/>
      <c r="Q75" s="21" t="s">
        <v>161</v>
      </c>
      <c r="R75" s="21" t="s">
        <v>161</v>
      </c>
      <c r="S75" s="21"/>
    </row>
    <row r="76" spans="1:19" ht="18" customHeight="1" x14ac:dyDescent="0.15">
      <c r="A76" s="81"/>
      <c r="B76" s="167" t="s">
        <v>184</v>
      </c>
      <c r="C76" s="168" t="s">
        <v>184</v>
      </c>
      <c r="D76" s="168" t="s">
        <v>184</v>
      </c>
      <c r="E76" s="21">
        <v>1</v>
      </c>
      <c r="F76" s="21"/>
      <c r="G76" s="21" t="s">
        <v>161</v>
      </c>
      <c r="H76" s="21" t="s">
        <v>161</v>
      </c>
      <c r="I76" s="21" t="s">
        <v>161</v>
      </c>
      <c r="J76" s="167" t="s">
        <v>185</v>
      </c>
      <c r="K76" s="168" t="s">
        <v>185</v>
      </c>
      <c r="L76" s="168" t="s">
        <v>185</v>
      </c>
      <c r="M76" s="168" t="s">
        <v>185</v>
      </c>
      <c r="N76" s="169" t="s">
        <v>185</v>
      </c>
      <c r="O76" s="21">
        <v>2</v>
      </c>
      <c r="P76" s="21"/>
      <c r="Q76" s="21" t="s">
        <v>161</v>
      </c>
      <c r="R76" s="21"/>
      <c r="S76" s="21"/>
    </row>
    <row r="77" spans="1:19" ht="18" customHeight="1" x14ac:dyDescent="0.15">
      <c r="A77" s="81"/>
      <c r="B77" s="167" t="s">
        <v>186</v>
      </c>
      <c r="C77" s="168" t="s">
        <v>186</v>
      </c>
      <c r="D77" s="168" t="s">
        <v>186</v>
      </c>
      <c r="E77" s="21">
        <v>1</v>
      </c>
      <c r="F77" s="21"/>
      <c r="G77" s="21" t="s">
        <v>161</v>
      </c>
      <c r="H77" s="21" t="s">
        <v>161</v>
      </c>
      <c r="I77" s="21" t="s">
        <v>161</v>
      </c>
      <c r="J77" s="167" t="s">
        <v>187</v>
      </c>
      <c r="K77" s="168" t="s">
        <v>187</v>
      </c>
      <c r="L77" s="168" t="s">
        <v>187</v>
      </c>
      <c r="M77" s="168" t="s">
        <v>187</v>
      </c>
      <c r="N77" s="169" t="s">
        <v>187</v>
      </c>
      <c r="O77" s="21">
        <v>2</v>
      </c>
      <c r="P77" s="21"/>
      <c r="Q77" s="21" t="s">
        <v>161</v>
      </c>
      <c r="R77" s="21"/>
      <c r="S77" s="21"/>
    </row>
    <row r="78" spans="1:19" ht="18" customHeight="1" x14ac:dyDescent="0.15">
      <c r="A78" s="81"/>
      <c r="B78" s="167" t="s">
        <v>169</v>
      </c>
      <c r="C78" s="168" t="s">
        <v>169</v>
      </c>
      <c r="D78" s="168" t="s">
        <v>169</v>
      </c>
      <c r="E78" s="21">
        <v>2</v>
      </c>
      <c r="F78" s="21"/>
      <c r="G78" s="21" t="s">
        <v>161</v>
      </c>
      <c r="H78" s="21" t="s">
        <v>161</v>
      </c>
      <c r="I78" s="21"/>
      <c r="J78" s="167" t="s">
        <v>175</v>
      </c>
      <c r="K78" s="168" t="s">
        <v>175</v>
      </c>
      <c r="L78" s="168" t="s">
        <v>175</v>
      </c>
      <c r="M78" s="168" t="s">
        <v>175</v>
      </c>
      <c r="N78" s="169" t="s">
        <v>175</v>
      </c>
      <c r="O78" s="21">
        <v>2</v>
      </c>
      <c r="P78" s="21"/>
      <c r="Q78" s="21" t="s">
        <v>161</v>
      </c>
      <c r="R78" s="21" t="s">
        <v>161</v>
      </c>
      <c r="S78" s="21" t="s">
        <v>161</v>
      </c>
    </row>
    <row r="79" spans="1:19" ht="18" customHeight="1" x14ac:dyDescent="0.15">
      <c r="A79" s="81"/>
      <c r="B79" s="167" t="s">
        <v>188</v>
      </c>
      <c r="C79" s="168" t="s">
        <v>188</v>
      </c>
      <c r="D79" s="168" t="s">
        <v>188</v>
      </c>
      <c r="E79" s="21">
        <v>2</v>
      </c>
      <c r="F79" s="21"/>
      <c r="G79" s="21" t="s">
        <v>161</v>
      </c>
      <c r="H79" s="21" t="s">
        <v>161</v>
      </c>
      <c r="I79" s="21"/>
      <c r="J79" s="167" t="s">
        <v>176</v>
      </c>
      <c r="K79" s="168" t="s">
        <v>176</v>
      </c>
      <c r="L79" s="168" t="s">
        <v>176</v>
      </c>
      <c r="M79" s="168" t="s">
        <v>176</v>
      </c>
      <c r="N79" s="169" t="s">
        <v>176</v>
      </c>
      <c r="O79" s="21">
        <v>2</v>
      </c>
      <c r="P79" s="21"/>
      <c r="Q79" s="21" t="s">
        <v>161</v>
      </c>
      <c r="R79" s="21" t="s">
        <v>161</v>
      </c>
      <c r="S79" s="21" t="s">
        <v>161</v>
      </c>
    </row>
    <row r="80" spans="1:19" ht="18" customHeight="1" x14ac:dyDescent="0.15">
      <c r="A80" s="81"/>
      <c r="B80" s="167" t="s">
        <v>189</v>
      </c>
      <c r="C80" s="168" t="s">
        <v>189</v>
      </c>
      <c r="D80" s="168" t="s">
        <v>189</v>
      </c>
      <c r="E80" s="21">
        <v>2</v>
      </c>
      <c r="F80" s="21"/>
      <c r="G80" s="21" t="s">
        <v>161</v>
      </c>
      <c r="H80" s="21" t="s">
        <v>161</v>
      </c>
      <c r="I80" s="21" t="s">
        <v>161</v>
      </c>
      <c r="J80" s="167" t="s">
        <v>165</v>
      </c>
      <c r="K80" s="168" t="s">
        <v>165</v>
      </c>
      <c r="L80" s="168" t="s">
        <v>165</v>
      </c>
      <c r="M80" s="168" t="s">
        <v>165</v>
      </c>
      <c r="N80" s="169" t="s">
        <v>165</v>
      </c>
      <c r="O80" s="21">
        <v>2</v>
      </c>
      <c r="P80" s="21"/>
      <c r="Q80" s="21" t="s">
        <v>161</v>
      </c>
      <c r="R80" s="21" t="s">
        <v>161</v>
      </c>
      <c r="S80" s="21" t="s">
        <v>161</v>
      </c>
    </row>
    <row r="81" spans="1:19" ht="18" customHeight="1" x14ac:dyDescent="0.15">
      <c r="A81" s="81"/>
      <c r="B81" s="167" t="s">
        <v>162</v>
      </c>
      <c r="C81" s="168" t="s">
        <v>162</v>
      </c>
      <c r="D81" s="168" t="s">
        <v>162</v>
      </c>
      <c r="E81" s="21">
        <v>2</v>
      </c>
      <c r="F81" s="21"/>
      <c r="G81" s="21" t="s">
        <v>161</v>
      </c>
      <c r="H81" s="21" t="s">
        <v>161</v>
      </c>
      <c r="I81" s="21"/>
      <c r="J81" s="167" t="s">
        <v>166</v>
      </c>
      <c r="K81" s="168" t="s">
        <v>166</v>
      </c>
      <c r="L81" s="168" t="s">
        <v>166</v>
      </c>
      <c r="M81" s="168" t="s">
        <v>166</v>
      </c>
      <c r="N81" s="169" t="s">
        <v>166</v>
      </c>
      <c r="O81" s="21">
        <v>2</v>
      </c>
      <c r="P81" s="21"/>
      <c r="Q81" s="21" t="s">
        <v>161</v>
      </c>
      <c r="R81" s="21" t="s">
        <v>161</v>
      </c>
      <c r="S81" s="21" t="s">
        <v>161</v>
      </c>
    </row>
    <row r="82" spans="1:19" ht="18" customHeight="1" x14ac:dyDescent="0.15">
      <c r="A82" s="81"/>
      <c r="B82" s="167" t="s">
        <v>172</v>
      </c>
      <c r="C82" s="168" t="s">
        <v>172</v>
      </c>
      <c r="D82" s="168" t="s">
        <v>172</v>
      </c>
      <c r="E82" s="21">
        <v>2</v>
      </c>
      <c r="F82" s="21"/>
      <c r="G82" s="21" t="s">
        <v>161</v>
      </c>
      <c r="H82" s="21" t="s">
        <v>161</v>
      </c>
      <c r="I82" s="21"/>
      <c r="J82" s="167" t="s">
        <v>167</v>
      </c>
      <c r="K82" s="168" t="s">
        <v>167</v>
      </c>
      <c r="L82" s="168" t="s">
        <v>167</v>
      </c>
      <c r="M82" s="168" t="s">
        <v>167</v>
      </c>
      <c r="N82" s="169" t="s">
        <v>167</v>
      </c>
      <c r="O82" s="21">
        <v>2</v>
      </c>
      <c r="P82" s="21"/>
      <c r="Q82" s="21" t="s">
        <v>161</v>
      </c>
      <c r="R82" s="21" t="s">
        <v>161</v>
      </c>
      <c r="S82" s="21"/>
    </row>
    <row r="83" spans="1:19" ht="18" customHeight="1" x14ac:dyDescent="0.15">
      <c r="A83" s="81"/>
      <c r="B83" s="170" t="s">
        <v>174</v>
      </c>
      <c r="C83" s="171" t="s">
        <v>174</v>
      </c>
      <c r="D83" s="171" t="s">
        <v>174</v>
      </c>
      <c r="E83" s="22">
        <v>2</v>
      </c>
      <c r="F83" s="22"/>
      <c r="G83" s="23" t="s">
        <v>161</v>
      </c>
      <c r="H83" s="23" t="s">
        <v>161</v>
      </c>
      <c r="I83" s="23" t="s">
        <v>161</v>
      </c>
      <c r="J83" s="170" t="s">
        <v>190</v>
      </c>
      <c r="K83" s="171" t="s">
        <v>190</v>
      </c>
      <c r="L83" s="171" t="s">
        <v>190</v>
      </c>
      <c r="M83" s="171" t="s">
        <v>190</v>
      </c>
      <c r="N83" s="172" t="s">
        <v>190</v>
      </c>
      <c r="O83" s="22">
        <v>2</v>
      </c>
      <c r="P83" s="22"/>
      <c r="Q83" s="23" t="s">
        <v>161</v>
      </c>
      <c r="R83" s="23" t="s">
        <v>161</v>
      </c>
      <c r="S83" s="23" t="s">
        <v>161</v>
      </c>
    </row>
    <row r="84" spans="1:19" ht="7.5" customHeight="1" x14ac:dyDescent="0.15">
      <c r="B84" s="82"/>
      <c r="C84" s="82"/>
      <c r="D84" s="82"/>
      <c r="E84" s="82"/>
      <c r="F84" s="82"/>
      <c r="G84" s="82"/>
      <c r="H84" s="82"/>
      <c r="I84" s="82"/>
      <c r="J84" s="82"/>
      <c r="K84" s="82"/>
      <c r="L84" s="82"/>
      <c r="M84" s="82"/>
      <c r="N84" s="82"/>
      <c r="O84" s="82"/>
      <c r="P84" s="82"/>
      <c r="Q84" s="82"/>
      <c r="R84" s="82"/>
    </row>
    <row r="85" spans="1:19" ht="18" customHeight="1" x14ac:dyDescent="0.15">
      <c r="A85" s="80" t="s">
        <v>34</v>
      </c>
      <c r="H85" s="81"/>
      <c r="I85" s="81"/>
      <c r="J85" s="81"/>
      <c r="K85" s="81"/>
      <c r="L85" s="81"/>
      <c r="M85" s="81"/>
      <c r="N85" s="81"/>
      <c r="O85" s="81"/>
      <c r="P85" s="81"/>
      <c r="Q85" s="81"/>
      <c r="R85" s="81"/>
      <c r="S85" s="81"/>
    </row>
    <row r="86" spans="1:19" ht="18" customHeight="1" x14ac:dyDescent="0.15">
      <c r="B86" s="173" t="s">
        <v>16</v>
      </c>
      <c r="C86" s="165"/>
      <c r="D86" s="165"/>
      <c r="E86" s="166"/>
      <c r="F86" s="173" t="s">
        <v>35</v>
      </c>
      <c r="G86" s="165"/>
      <c r="H86" s="165"/>
      <c r="I86" s="166"/>
      <c r="J86" s="174" t="s">
        <v>16</v>
      </c>
      <c r="K86" s="175"/>
      <c r="L86" s="175"/>
      <c r="M86" s="175"/>
      <c r="N86" s="175"/>
      <c r="O86" s="176"/>
      <c r="P86" s="173" t="s">
        <v>35</v>
      </c>
      <c r="Q86" s="165"/>
      <c r="R86" s="165"/>
      <c r="S86" s="166"/>
    </row>
    <row r="87" spans="1:19" ht="18" customHeight="1" x14ac:dyDescent="0.15">
      <c r="A87" s="81"/>
      <c r="B87" s="177" t="s">
        <v>179</v>
      </c>
      <c r="C87" s="178" t="s">
        <v>179</v>
      </c>
      <c r="D87" s="178" t="s">
        <v>179</v>
      </c>
      <c r="E87" s="179" t="s">
        <v>179</v>
      </c>
      <c r="F87" s="180" t="s">
        <v>191</v>
      </c>
      <c r="G87" s="181" t="s">
        <v>191</v>
      </c>
      <c r="H87" s="181" t="s">
        <v>191</v>
      </c>
      <c r="I87" s="182" t="s">
        <v>191</v>
      </c>
      <c r="J87" s="177" t="s">
        <v>163</v>
      </c>
      <c r="K87" s="178" t="s">
        <v>163</v>
      </c>
      <c r="L87" s="178" t="s">
        <v>163</v>
      </c>
      <c r="M87" s="178" t="s">
        <v>163</v>
      </c>
      <c r="N87" s="178" t="s">
        <v>163</v>
      </c>
      <c r="O87" s="179" t="s">
        <v>163</v>
      </c>
      <c r="P87" s="180" t="s">
        <v>193</v>
      </c>
      <c r="Q87" s="181"/>
      <c r="R87" s="181"/>
      <c r="S87" s="182"/>
    </row>
    <row r="88" spans="1:19" ht="18" customHeight="1" x14ac:dyDescent="0.15">
      <c r="A88" s="81"/>
      <c r="B88" s="167" t="s">
        <v>179</v>
      </c>
      <c r="C88" s="168" t="s">
        <v>179</v>
      </c>
      <c r="D88" s="168" t="s">
        <v>179</v>
      </c>
      <c r="E88" s="169" t="s">
        <v>179</v>
      </c>
      <c r="F88" s="151" t="s">
        <v>192</v>
      </c>
      <c r="G88" s="152" t="s">
        <v>192</v>
      </c>
      <c r="H88" s="152" t="s">
        <v>192</v>
      </c>
      <c r="I88" s="153" t="s">
        <v>192</v>
      </c>
      <c r="J88" s="167" t="s">
        <v>163</v>
      </c>
      <c r="K88" s="168" t="s">
        <v>163</v>
      </c>
      <c r="L88" s="168" t="s">
        <v>163</v>
      </c>
      <c r="M88" s="168" t="s">
        <v>163</v>
      </c>
      <c r="N88" s="168" t="s">
        <v>163</v>
      </c>
      <c r="O88" s="169" t="s">
        <v>163</v>
      </c>
      <c r="P88" s="151" t="s">
        <v>192</v>
      </c>
      <c r="Q88" s="152"/>
      <c r="R88" s="152"/>
      <c r="S88" s="153"/>
    </row>
    <row r="89" spans="1:19" ht="18" customHeight="1" x14ac:dyDescent="0.15">
      <c r="A89" s="81"/>
      <c r="B89" s="167" t="s">
        <v>181</v>
      </c>
      <c r="C89" s="168" t="s">
        <v>181</v>
      </c>
      <c r="D89" s="168" t="s">
        <v>181</v>
      </c>
      <c r="E89" s="169" t="s">
        <v>181</v>
      </c>
      <c r="F89" s="151" t="s">
        <v>192</v>
      </c>
      <c r="G89" s="152" t="s">
        <v>192</v>
      </c>
      <c r="H89" s="152" t="s">
        <v>192</v>
      </c>
      <c r="I89" s="153" t="s">
        <v>192</v>
      </c>
      <c r="J89" s="167" t="s">
        <v>178</v>
      </c>
      <c r="K89" s="168" t="s">
        <v>178</v>
      </c>
      <c r="L89" s="168" t="s">
        <v>178</v>
      </c>
      <c r="M89" s="168" t="s">
        <v>178</v>
      </c>
      <c r="N89" s="168" t="s">
        <v>178</v>
      </c>
      <c r="O89" s="169" t="s">
        <v>178</v>
      </c>
      <c r="P89" s="151" t="s">
        <v>193</v>
      </c>
      <c r="Q89" s="152"/>
      <c r="R89" s="152"/>
      <c r="S89" s="153"/>
    </row>
    <row r="90" spans="1:19" ht="18" customHeight="1" x14ac:dyDescent="0.15">
      <c r="A90" s="81"/>
      <c r="B90" s="167" t="s">
        <v>183</v>
      </c>
      <c r="C90" s="168" t="s">
        <v>183</v>
      </c>
      <c r="D90" s="168" t="s">
        <v>183</v>
      </c>
      <c r="E90" s="169" t="s">
        <v>183</v>
      </c>
      <c r="F90" s="151" t="s">
        <v>194</v>
      </c>
      <c r="G90" s="152" t="s">
        <v>194</v>
      </c>
      <c r="H90" s="152" t="s">
        <v>194</v>
      </c>
      <c r="I90" s="153" t="s">
        <v>194</v>
      </c>
      <c r="J90" s="167" t="s">
        <v>308</v>
      </c>
      <c r="K90" s="168"/>
      <c r="L90" s="168"/>
      <c r="M90" s="168"/>
      <c r="N90" s="168"/>
      <c r="O90" s="169"/>
      <c r="P90" s="151" t="s">
        <v>192</v>
      </c>
      <c r="Q90" s="152"/>
      <c r="R90" s="152"/>
      <c r="S90" s="153"/>
    </row>
    <row r="91" spans="1:19" ht="18" customHeight="1" x14ac:dyDescent="0.15">
      <c r="A91" s="81"/>
      <c r="B91" s="167" t="s">
        <v>183</v>
      </c>
      <c r="C91" s="168" t="s">
        <v>183</v>
      </c>
      <c r="D91" s="168" t="s">
        <v>183</v>
      </c>
      <c r="E91" s="169" t="s">
        <v>183</v>
      </c>
      <c r="F91" s="151" t="s">
        <v>192</v>
      </c>
      <c r="G91" s="152" t="s">
        <v>192</v>
      </c>
      <c r="H91" s="152" t="s">
        <v>192</v>
      </c>
      <c r="I91" s="153" t="s">
        <v>192</v>
      </c>
      <c r="J91" s="167" t="s">
        <v>309</v>
      </c>
      <c r="K91" s="168" t="s">
        <v>164</v>
      </c>
      <c r="L91" s="168" t="s">
        <v>164</v>
      </c>
      <c r="M91" s="168" t="s">
        <v>164</v>
      </c>
      <c r="N91" s="168" t="s">
        <v>164</v>
      </c>
      <c r="O91" s="169" t="s">
        <v>164</v>
      </c>
      <c r="P91" s="151" t="s">
        <v>192</v>
      </c>
      <c r="Q91" s="152"/>
      <c r="R91" s="152"/>
      <c r="S91" s="153"/>
    </row>
    <row r="92" spans="1:19" ht="18" customHeight="1" x14ac:dyDescent="0.15">
      <c r="A92" s="81"/>
      <c r="B92" s="167" t="s">
        <v>184</v>
      </c>
      <c r="C92" s="168" t="s">
        <v>184</v>
      </c>
      <c r="D92" s="168" t="s">
        <v>184</v>
      </c>
      <c r="E92" s="169" t="s">
        <v>184</v>
      </c>
      <c r="F92" s="151" t="s">
        <v>194</v>
      </c>
      <c r="G92" s="152" t="s">
        <v>194</v>
      </c>
      <c r="H92" s="152" t="s">
        <v>194</v>
      </c>
      <c r="I92" s="153" t="s">
        <v>194</v>
      </c>
      <c r="J92" s="167" t="s">
        <v>310</v>
      </c>
      <c r="K92" s="168" t="s">
        <v>170</v>
      </c>
      <c r="L92" s="168" t="s">
        <v>170</v>
      </c>
      <c r="M92" s="168" t="s">
        <v>170</v>
      </c>
      <c r="N92" s="168" t="s">
        <v>170</v>
      </c>
      <c r="O92" s="169" t="s">
        <v>170</v>
      </c>
      <c r="P92" s="151" t="s">
        <v>192</v>
      </c>
      <c r="Q92" s="152"/>
      <c r="R92" s="152"/>
      <c r="S92" s="153"/>
    </row>
    <row r="93" spans="1:19" ht="18" customHeight="1" x14ac:dyDescent="0.15">
      <c r="A93" s="81"/>
      <c r="B93" s="167" t="s">
        <v>184</v>
      </c>
      <c r="C93" s="168" t="s">
        <v>184</v>
      </c>
      <c r="D93" s="168" t="s">
        <v>184</v>
      </c>
      <c r="E93" s="169" t="s">
        <v>184</v>
      </c>
      <c r="F93" s="151" t="s">
        <v>192</v>
      </c>
      <c r="G93" s="152" t="s">
        <v>192</v>
      </c>
      <c r="H93" s="152" t="s">
        <v>192</v>
      </c>
      <c r="I93" s="153" t="s">
        <v>192</v>
      </c>
      <c r="J93" s="167" t="s">
        <v>311</v>
      </c>
      <c r="K93" s="168" t="s">
        <v>173</v>
      </c>
      <c r="L93" s="168" t="s">
        <v>173</v>
      </c>
      <c r="M93" s="168" t="s">
        <v>173</v>
      </c>
      <c r="N93" s="168" t="s">
        <v>173</v>
      </c>
      <c r="O93" s="169" t="s">
        <v>173</v>
      </c>
      <c r="P93" s="151" t="s">
        <v>193</v>
      </c>
      <c r="Q93" s="152"/>
      <c r="R93" s="152"/>
      <c r="S93" s="153"/>
    </row>
    <row r="94" spans="1:19" ht="18" customHeight="1" x14ac:dyDescent="0.15">
      <c r="A94" s="81"/>
      <c r="B94" s="167" t="s">
        <v>307</v>
      </c>
      <c r="C94" s="168" t="s">
        <v>186</v>
      </c>
      <c r="D94" s="168" t="s">
        <v>186</v>
      </c>
      <c r="E94" s="169" t="s">
        <v>186</v>
      </c>
      <c r="F94" s="151" t="s">
        <v>193</v>
      </c>
      <c r="G94" s="152" t="s">
        <v>192</v>
      </c>
      <c r="H94" s="152" t="s">
        <v>192</v>
      </c>
      <c r="I94" s="153" t="s">
        <v>192</v>
      </c>
      <c r="J94" s="167" t="s">
        <v>311</v>
      </c>
      <c r="K94" s="168"/>
      <c r="L94" s="168"/>
      <c r="M94" s="168"/>
      <c r="N94" s="168"/>
      <c r="O94" s="169"/>
      <c r="P94" s="151" t="s">
        <v>195</v>
      </c>
      <c r="Q94" s="152"/>
      <c r="R94" s="152"/>
      <c r="S94" s="153"/>
    </row>
    <row r="95" spans="1:19" s="93" customFormat="1" ht="18" customHeight="1" x14ac:dyDescent="0.15">
      <c r="A95" s="94"/>
      <c r="B95" s="154" t="s">
        <v>307</v>
      </c>
      <c r="C95" s="155"/>
      <c r="D95" s="155"/>
      <c r="E95" s="156"/>
      <c r="F95" s="151" t="s">
        <v>192</v>
      </c>
      <c r="G95" s="152"/>
      <c r="H95" s="152"/>
      <c r="I95" s="153"/>
      <c r="J95" s="154" t="s">
        <v>311</v>
      </c>
      <c r="K95" s="155"/>
      <c r="L95" s="155"/>
      <c r="M95" s="155"/>
      <c r="N95" s="155"/>
      <c r="O95" s="156"/>
      <c r="P95" s="151" t="s">
        <v>194</v>
      </c>
      <c r="Q95" s="152"/>
      <c r="R95" s="152"/>
      <c r="S95" s="153"/>
    </row>
    <row r="96" spans="1:19" ht="18" customHeight="1" x14ac:dyDescent="0.15">
      <c r="A96" s="81"/>
      <c r="B96" s="167" t="s">
        <v>169</v>
      </c>
      <c r="C96" s="168" t="s">
        <v>169</v>
      </c>
      <c r="D96" s="168" t="s">
        <v>169</v>
      </c>
      <c r="E96" s="169" t="s">
        <v>169</v>
      </c>
      <c r="F96" s="151" t="s">
        <v>192</v>
      </c>
      <c r="G96" s="152" t="s">
        <v>192</v>
      </c>
      <c r="H96" s="152" t="s">
        <v>192</v>
      </c>
      <c r="I96" s="153" t="s">
        <v>192</v>
      </c>
      <c r="J96" s="167" t="s">
        <v>311</v>
      </c>
      <c r="K96" s="168" t="s">
        <v>175</v>
      </c>
      <c r="L96" s="168" t="s">
        <v>175</v>
      </c>
      <c r="M96" s="168" t="s">
        <v>175</v>
      </c>
      <c r="N96" s="168" t="s">
        <v>175</v>
      </c>
      <c r="O96" s="169" t="s">
        <v>175</v>
      </c>
      <c r="P96" s="151" t="s">
        <v>192</v>
      </c>
      <c r="Q96" s="152"/>
      <c r="R96" s="152"/>
      <c r="S96" s="153"/>
    </row>
    <row r="97" spans="1:19" ht="18" customHeight="1" x14ac:dyDescent="0.15">
      <c r="A97" s="81"/>
      <c r="B97" s="167" t="s">
        <v>188</v>
      </c>
      <c r="C97" s="168" t="s">
        <v>188</v>
      </c>
      <c r="D97" s="168" t="s">
        <v>188</v>
      </c>
      <c r="E97" s="169" t="s">
        <v>188</v>
      </c>
      <c r="F97" s="151" t="s">
        <v>192</v>
      </c>
      <c r="G97" s="152" t="s">
        <v>192</v>
      </c>
      <c r="H97" s="152" t="s">
        <v>192</v>
      </c>
      <c r="I97" s="153" t="s">
        <v>192</v>
      </c>
      <c r="J97" s="167" t="s">
        <v>311</v>
      </c>
      <c r="K97" s="168" t="s">
        <v>175</v>
      </c>
      <c r="L97" s="168" t="s">
        <v>175</v>
      </c>
      <c r="M97" s="168" t="s">
        <v>175</v>
      </c>
      <c r="N97" s="168" t="s">
        <v>175</v>
      </c>
      <c r="O97" s="169" t="s">
        <v>175</v>
      </c>
      <c r="P97" s="151" t="s">
        <v>315</v>
      </c>
      <c r="Q97" s="152"/>
      <c r="R97" s="152"/>
      <c r="S97" s="153"/>
    </row>
    <row r="98" spans="1:19" ht="18" customHeight="1" x14ac:dyDescent="0.15">
      <c r="A98" s="81"/>
      <c r="B98" s="167" t="s">
        <v>189</v>
      </c>
      <c r="C98" s="168" t="s">
        <v>189</v>
      </c>
      <c r="D98" s="168" t="s">
        <v>189</v>
      </c>
      <c r="E98" s="169" t="s">
        <v>189</v>
      </c>
      <c r="F98" s="151" t="s">
        <v>192</v>
      </c>
      <c r="G98" s="152" t="s">
        <v>192</v>
      </c>
      <c r="H98" s="152" t="s">
        <v>192</v>
      </c>
      <c r="I98" s="153" t="s">
        <v>192</v>
      </c>
      <c r="J98" s="167" t="s">
        <v>314</v>
      </c>
      <c r="K98" s="168"/>
      <c r="L98" s="168"/>
      <c r="M98" s="168"/>
      <c r="N98" s="168"/>
      <c r="O98" s="169"/>
      <c r="P98" s="151" t="s">
        <v>191</v>
      </c>
      <c r="Q98" s="152"/>
      <c r="R98" s="152"/>
      <c r="S98" s="153"/>
    </row>
    <row r="99" spans="1:19" ht="18" customHeight="1" x14ac:dyDescent="0.15">
      <c r="A99" s="81"/>
      <c r="B99" s="167" t="s">
        <v>162</v>
      </c>
      <c r="C99" s="168" t="s">
        <v>162</v>
      </c>
      <c r="D99" s="168" t="s">
        <v>162</v>
      </c>
      <c r="E99" s="169" t="s">
        <v>162</v>
      </c>
      <c r="F99" s="151" t="s">
        <v>193</v>
      </c>
      <c r="G99" s="152" t="s">
        <v>193</v>
      </c>
      <c r="H99" s="152" t="s">
        <v>193</v>
      </c>
      <c r="I99" s="153" t="s">
        <v>193</v>
      </c>
      <c r="J99" s="167" t="s">
        <v>313</v>
      </c>
      <c r="K99" s="168" t="s">
        <v>165</v>
      </c>
      <c r="L99" s="168" t="s">
        <v>165</v>
      </c>
      <c r="M99" s="168" t="s">
        <v>165</v>
      </c>
      <c r="N99" s="168" t="s">
        <v>165</v>
      </c>
      <c r="O99" s="169" t="s">
        <v>165</v>
      </c>
      <c r="P99" s="151" t="s">
        <v>193</v>
      </c>
      <c r="Q99" s="152"/>
      <c r="R99" s="152"/>
      <c r="S99" s="153"/>
    </row>
    <row r="100" spans="1:19" ht="18" customHeight="1" x14ac:dyDescent="0.15">
      <c r="A100" s="81"/>
      <c r="B100" s="154" t="s">
        <v>162</v>
      </c>
      <c r="C100" s="155"/>
      <c r="D100" s="155"/>
      <c r="E100" s="156"/>
      <c r="F100" s="151" t="s">
        <v>192</v>
      </c>
      <c r="G100" s="152" t="s">
        <v>192</v>
      </c>
      <c r="H100" s="152" t="s">
        <v>192</v>
      </c>
      <c r="I100" s="153" t="s">
        <v>192</v>
      </c>
      <c r="J100" s="167" t="s">
        <v>313</v>
      </c>
      <c r="K100" s="168" t="s">
        <v>165</v>
      </c>
      <c r="L100" s="168" t="s">
        <v>165</v>
      </c>
      <c r="M100" s="168" t="s">
        <v>165</v>
      </c>
      <c r="N100" s="168" t="s">
        <v>165</v>
      </c>
      <c r="O100" s="169" t="s">
        <v>165</v>
      </c>
      <c r="P100" s="151" t="s">
        <v>195</v>
      </c>
      <c r="Q100" s="152"/>
      <c r="R100" s="152"/>
      <c r="S100" s="153"/>
    </row>
    <row r="101" spans="1:19" ht="18" customHeight="1" x14ac:dyDescent="0.15">
      <c r="A101" s="81"/>
      <c r="B101" s="154" t="s">
        <v>172</v>
      </c>
      <c r="C101" s="155"/>
      <c r="D101" s="155"/>
      <c r="E101" s="156"/>
      <c r="F101" s="151" t="s">
        <v>193</v>
      </c>
      <c r="G101" s="152" t="s">
        <v>193</v>
      </c>
      <c r="H101" s="152" t="s">
        <v>193</v>
      </c>
      <c r="I101" s="153" t="s">
        <v>193</v>
      </c>
      <c r="J101" s="154" t="s">
        <v>313</v>
      </c>
      <c r="K101" s="155" t="s">
        <v>165</v>
      </c>
      <c r="L101" s="155" t="s">
        <v>165</v>
      </c>
      <c r="M101" s="155" t="s">
        <v>165</v>
      </c>
      <c r="N101" s="155" t="s">
        <v>165</v>
      </c>
      <c r="O101" s="156" t="s">
        <v>165</v>
      </c>
      <c r="P101" s="151" t="s">
        <v>192</v>
      </c>
      <c r="Q101" s="152"/>
      <c r="R101" s="152"/>
      <c r="S101" s="153"/>
    </row>
    <row r="102" spans="1:19" ht="18" customHeight="1" x14ac:dyDescent="0.15">
      <c r="A102" s="81"/>
      <c r="B102" s="154" t="s">
        <v>172</v>
      </c>
      <c r="C102" s="155"/>
      <c r="D102" s="155"/>
      <c r="E102" s="156"/>
      <c r="F102" s="151" t="s">
        <v>191</v>
      </c>
      <c r="G102" s="152" t="s">
        <v>191</v>
      </c>
      <c r="H102" s="152" t="s">
        <v>191</v>
      </c>
      <c r="I102" s="153" t="s">
        <v>191</v>
      </c>
      <c r="J102" s="154" t="s">
        <v>312</v>
      </c>
      <c r="K102" s="155" t="s">
        <v>166</v>
      </c>
      <c r="L102" s="155" t="s">
        <v>166</v>
      </c>
      <c r="M102" s="155" t="s">
        <v>166</v>
      </c>
      <c r="N102" s="155" t="s">
        <v>166</v>
      </c>
      <c r="O102" s="156" t="s">
        <v>166</v>
      </c>
      <c r="P102" s="151" t="s">
        <v>193</v>
      </c>
      <c r="Q102" s="152"/>
      <c r="R102" s="152"/>
      <c r="S102" s="153"/>
    </row>
    <row r="103" spans="1:19" ht="18" customHeight="1" x14ac:dyDescent="0.15">
      <c r="A103" s="81"/>
      <c r="B103" s="154" t="s">
        <v>172</v>
      </c>
      <c r="C103" s="155"/>
      <c r="D103" s="155"/>
      <c r="E103" s="156"/>
      <c r="F103" s="151" t="s">
        <v>194</v>
      </c>
      <c r="G103" s="152" t="s">
        <v>194</v>
      </c>
      <c r="H103" s="152" t="s">
        <v>194</v>
      </c>
      <c r="I103" s="153" t="s">
        <v>194</v>
      </c>
      <c r="J103" s="154" t="s">
        <v>312</v>
      </c>
      <c r="K103" s="155" t="s">
        <v>166</v>
      </c>
      <c r="L103" s="155" t="s">
        <v>166</v>
      </c>
      <c r="M103" s="155" t="s">
        <v>166</v>
      </c>
      <c r="N103" s="155" t="s">
        <v>166</v>
      </c>
      <c r="O103" s="156" t="s">
        <v>166</v>
      </c>
      <c r="P103" s="151" t="s">
        <v>194</v>
      </c>
      <c r="Q103" s="152"/>
      <c r="R103" s="152"/>
      <c r="S103" s="153"/>
    </row>
    <row r="104" spans="1:19" ht="18" customHeight="1" x14ac:dyDescent="0.15">
      <c r="A104" s="81"/>
      <c r="B104" s="148" t="s">
        <v>174</v>
      </c>
      <c r="C104" s="149"/>
      <c r="D104" s="149"/>
      <c r="E104" s="150"/>
      <c r="F104" s="151" t="s">
        <v>193</v>
      </c>
      <c r="G104" s="152" t="s">
        <v>193</v>
      </c>
      <c r="H104" s="152" t="s">
        <v>193</v>
      </c>
      <c r="I104" s="153" t="s">
        <v>193</v>
      </c>
      <c r="J104" s="154" t="s">
        <v>312</v>
      </c>
      <c r="K104" s="155" t="s">
        <v>166</v>
      </c>
      <c r="L104" s="155" t="s">
        <v>166</v>
      </c>
      <c r="M104" s="155" t="s">
        <v>166</v>
      </c>
      <c r="N104" s="155" t="s">
        <v>166</v>
      </c>
      <c r="O104" s="156" t="s">
        <v>166</v>
      </c>
      <c r="P104" s="151" t="s">
        <v>192</v>
      </c>
      <c r="Q104" s="152"/>
      <c r="R104" s="152"/>
      <c r="S104" s="153"/>
    </row>
    <row r="105" spans="1:19" ht="18" customHeight="1" x14ac:dyDescent="0.15">
      <c r="A105" s="81"/>
      <c r="B105" s="157" t="s">
        <v>197</v>
      </c>
      <c r="C105" s="158"/>
      <c r="D105" s="158"/>
      <c r="E105" s="159"/>
      <c r="F105" s="160" t="s">
        <v>192</v>
      </c>
      <c r="G105" s="161"/>
      <c r="H105" s="161"/>
      <c r="I105" s="162"/>
      <c r="J105" s="157"/>
      <c r="K105" s="158"/>
      <c r="L105" s="158"/>
      <c r="M105" s="158"/>
      <c r="N105" s="158"/>
      <c r="O105" s="159"/>
      <c r="P105" s="160"/>
      <c r="Q105" s="161"/>
      <c r="R105" s="161"/>
      <c r="S105" s="162"/>
    </row>
    <row r="106" spans="1:19" ht="18" customHeight="1" x14ac:dyDescent="0.15">
      <c r="A106" s="81"/>
      <c r="B106" s="5"/>
      <c r="C106" s="5"/>
      <c r="D106" s="5"/>
      <c r="E106" s="5"/>
      <c r="F106" s="24"/>
      <c r="G106" s="24"/>
      <c r="H106" s="24"/>
      <c r="I106" s="24"/>
      <c r="J106" s="5"/>
      <c r="K106" s="5"/>
      <c r="L106" s="5"/>
      <c r="M106" s="5"/>
      <c r="N106" s="5"/>
      <c r="O106" s="5"/>
      <c r="P106" s="24"/>
      <c r="Q106" s="24"/>
      <c r="R106" s="24"/>
      <c r="S106" s="24"/>
    </row>
    <row r="107" spans="1:19" ht="18.75" customHeight="1" x14ac:dyDescent="0.15">
      <c r="A107" s="80" t="s">
        <v>36</v>
      </c>
    </row>
    <row r="108" spans="1:19" ht="18.75" customHeight="1" x14ac:dyDescent="0.15">
      <c r="B108" s="163" t="s">
        <v>37</v>
      </c>
      <c r="C108" s="164"/>
      <c r="D108" s="165" t="s">
        <v>38</v>
      </c>
      <c r="E108" s="165"/>
      <c r="F108" s="165"/>
      <c r="G108" s="165"/>
      <c r="H108" s="165"/>
      <c r="I108" s="165"/>
      <c r="J108" s="165"/>
      <c r="K108" s="165"/>
      <c r="L108" s="165"/>
      <c r="M108" s="165"/>
      <c r="N108" s="165"/>
      <c r="O108" s="165"/>
      <c r="P108" s="165"/>
      <c r="Q108" s="165"/>
      <c r="R108" s="165"/>
      <c r="S108" s="166"/>
    </row>
    <row r="109" spans="1:19" ht="226.5" customHeight="1" x14ac:dyDescent="0.15">
      <c r="B109" s="120" t="s">
        <v>39</v>
      </c>
      <c r="C109" s="25" t="s">
        <v>19</v>
      </c>
      <c r="D109" s="128" t="s">
        <v>291</v>
      </c>
      <c r="E109" s="129"/>
      <c r="F109" s="129"/>
      <c r="G109" s="129"/>
      <c r="H109" s="129"/>
      <c r="I109" s="129"/>
      <c r="J109" s="129"/>
      <c r="K109" s="129"/>
      <c r="L109" s="129"/>
      <c r="M109" s="129"/>
      <c r="N109" s="129"/>
      <c r="O109" s="129"/>
      <c r="P109" s="129"/>
      <c r="Q109" s="129"/>
      <c r="R109" s="129"/>
      <c r="S109" s="130"/>
    </row>
    <row r="110" spans="1:19" ht="123" customHeight="1" x14ac:dyDescent="0.15">
      <c r="B110" s="122"/>
      <c r="C110" s="27" t="s">
        <v>40</v>
      </c>
      <c r="D110" s="131" t="s">
        <v>200</v>
      </c>
      <c r="E110" s="132"/>
      <c r="F110" s="132"/>
      <c r="G110" s="132"/>
      <c r="H110" s="132"/>
      <c r="I110" s="132"/>
      <c r="J110" s="132"/>
      <c r="K110" s="132"/>
      <c r="L110" s="132"/>
      <c r="M110" s="132"/>
      <c r="N110" s="132"/>
      <c r="O110" s="132"/>
      <c r="P110" s="132"/>
      <c r="Q110" s="132"/>
      <c r="R110" s="132"/>
      <c r="S110" s="133"/>
    </row>
    <row r="111" spans="1:19" ht="91.5" customHeight="1" x14ac:dyDescent="0.15">
      <c r="B111" s="112" t="s">
        <v>41</v>
      </c>
      <c r="C111" s="105" t="s">
        <v>22</v>
      </c>
      <c r="D111" s="134" t="s">
        <v>264</v>
      </c>
      <c r="E111" s="135"/>
      <c r="F111" s="135"/>
      <c r="G111" s="135"/>
      <c r="H111" s="135"/>
      <c r="I111" s="135"/>
      <c r="J111" s="135"/>
      <c r="K111" s="135"/>
      <c r="L111" s="135"/>
      <c r="M111" s="135"/>
      <c r="N111" s="135"/>
      <c r="O111" s="135"/>
      <c r="P111" s="135"/>
      <c r="Q111" s="135"/>
      <c r="R111" s="135"/>
      <c r="S111" s="136"/>
    </row>
    <row r="112" spans="1:19" s="90" customFormat="1" ht="36.75" customHeight="1" x14ac:dyDescent="0.15">
      <c r="B112" s="113"/>
      <c r="C112" s="95"/>
      <c r="D112" s="142" t="s">
        <v>265</v>
      </c>
      <c r="E112" s="143"/>
      <c r="F112" s="143"/>
      <c r="G112" s="143"/>
      <c r="H112" s="143"/>
      <c r="I112" s="143"/>
      <c r="J112" s="143"/>
      <c r="K112" s="143"/>
      <c r="L112" s="143"/>
      <c r="M112" s="143"/>
      <c r="N112" s="143"/>
      <c r="O112" s="143"/>
      <c r="P112" s="143"/>
      <c r="Q112" s="143"/>
      <c r="R112" s="143"/>
      <c r="S112" s="144"/>
    </row>
    <row r="113" spans="2:19" s="90" customFormat="1" ht="66" customHeight="1" x14ac:dyDescent="0.15">
      <c r="B113" s="113"/>
      <c r="C113" s="95"/>
      <c r="D113" s="145" t="s">
        <v>266</v>
      </c>
      <c r="E113" s="146"/>
      <c r="F113" s="146"/>
      <c r="G113" s="146"/>
      <c r="H113" s="146"/>
      <c r="I113" s="146"/>
      <c r="J113" s="146"/>
      <c r="K113" s="146"/>
      <c r="L113" s="146"/>
      <c r="M113" s="146"/>
      <c r="N113" s="146"/>
      <c r="O113" s="146"/>
      <c r="P113" s="146"/>
      <c r="Q113" s="146"/>
      <c r="R113" s="146"/>
      <c r="S113" s="147"/>
    </row>
    <row r="114" spans="2:19" s="90" customFormat="1" ht="60" customHeight="1" x14ac:dyDescent="0.15">
      <c r="B114" s="113"/>
      <c r="C114" s="96"/>
      <c r="D114" s="142" t="s">
        <v>306</v>
      </c>
      <c r="E114" s="143"/>
      <c r="F114" s="143"/>
      <c r="G114" s="143"/>
      <c r="H114" s="143"/>
      <c r="I114" s="143"/>
      <c r="J114" s="143"/>
      <c r="K114" s="143"/>
      <c r="L114" s="143"/>
      <c r="M114" s="143"/>
      <c r="N114" s="143"/>
      <c r="O114" s="143"/>
      <c r="P114" s="143"/>
      <c r="Q114" s="143"/>
      <c r="R114" s="143"/>
      <c r="S114" s="144"/>
    </row>
    <row r="115" spans="2:19" ht="270" customHeight="1" x14ac:dyDescent="0.15">
      <c r="B115" s="113"/>
      <c r="C115" s="97" t="s">
        <v>23</v>
      </c>
      <c r="D115" s="99" t="s">
        <v>267</v>
      </c>
      <c r="E115" s="100"/>
      <c r="F115" s="100"/>
      <c r="G115" s="100"/>
      <c r="H115" s="100"/>
      <c r="I115" s="100"/>
      <c r="J115" s="100"/>
      <c r="K115" s="100"/>
      <c r="L115" s="100"/>
      <c r="M115" s="100"/>
      <c r="N115" s="100"/>
      <c r="O115" s="100"/>
      <c r="P115" s="100"/>
      <c r="Q115" s="100"/>
      <c r="R115" s="100"/>
      <c r="S115" s="101"/>
    </row>
    <row r="116" spans="2:19" s="90" customFormat="1" ht="33" customHeight="1" x14ac:dyDescent="0.15">
      <c r="B116" s="113"/>
      <c r="C116" s="95"/>
      <c r="D116" s="102" t="s">
        <v>268</v>
      </c>
      <c r="E116" s="103"/>
      <c r="F116" s="103"/>
      <c r="G116" s="103"/>
      <c r="H116" s="103"/>
      <c r="I116" s="103"/>
      <c r="J116" s="103"/>
      <c r="K116" s="103"/>
      <c r="L116" s="103"/>
      <c r="M116" s="103"/>
      <c r="N116" s="103"/>
      <c r="O116" s="103"/>
      <c r="P116" s="103"/>
      <c r="Q116" s="103"/>
      <c r="R116" s="103"/>
      <c r="S116" s="104"/>
    </row>
    <row r="117" spans="2:19" s="90" customFormat="1" ht="33" customHeight="1" x14ac:dyDescent="0.15">
      <c r="B117" s="113"/>
      <c r="C117" s="95"/>
      <c r="D117" s="102" t="s">
        <v>269</v>
      </c>
      <c r="E117" s="103"/>
      <c r="F117" s="103"/>
      <c r="G117" s="103"/>
      <c r="H117" s="103"/>
      <c r="I117" s="103"/>
      <c r="J117" s="103"/>
      <c r="K117" s="103"/>
      <c r="L117" s="103"/>
      <c r="M117" s="103"/>
      <c r="N117" s="103"/>
      <c r="O117" s="103"/>
      <c r="P117" s="103"/>
      <c r="Q117" s="103"/>
      <c r="R117" s="103"/>
      <c r="S117" s="104"/>
    </row>
    <row r="118" spans="2:19" s="90" customFormat="1" ht="33" customHeight="1" x14ac:dyDescent="0.15">
      <c r="B118" s="113"/>
      <c r="C118" s="95"/>
      <c r="D118" s="102" t="s">
        <v>270</v>
      </c>
      <c r="E118" s="103"/>
      <c r="F118" s="103"/>
      <c r="G118" s="103"/>
      <c r="H118" s="103"/>
      <c r="I118" s="103"/>
      <c r="J118" s="103"/>
      <c r="K118" s="103"/>
      <c r="L118" s="103"/>
      <c r="M118" s="103"/>
      <c r="N118" s="103"/>
      <c r="O118" s="103"/>
      <c r="P118" s="103"/>
      <c r="Q118" s="103"/>
      <c r="R118" s="103"/>
      <c r="S118" s="104"/>
    </row>
    <row r="119" spans="2:19" s="90" customFormat="1" ht="33" customHeight="1" x14ac:dyDescent="0.15">
      <c r="B119" s="113"/>
      <c r="C119" s="95"/>
      <c r="D119" s="102" t="s">
        <v>271</v>
      </c>
      <c r="E119" s="103"/>
      <c r="F119" s="103"/>
      <c r="G119" s="103"/>
      <c r="H119" s="103"/>
      <c r="I119" s="103"/>
      <c r="J119" s="103"/>
      <c r="K119" s="103"/>
      <c r="L119" s="103"/>
      <c r="M119" s="103"/>
      <c r="N119" s="103"/>
      <c r="O119" s="103"/>
      <c r="P119" s="103"/>
      <c r="Q119" s="103"/>
      <c r="R119" s="103"/>
      <c r="S119" s="104"/>
    </row>
    <row r="120" spans="2:19" s="90" customFormat="1" ht="33.75" customHeight="1" x14ac:dyDescent="0.15">
      <c r="B120" s="113"/>
      <c r="C120" s="95"/>
      <c r="D120" s="102" t="s">
        <v>272</v>
      </c>
      <c r="E120" s="103"/>
      <c r="F120" s="103"/>
      <c r="G120" s="103"/>
      <c r="H120" s="103"/>
      <c r="I120" s="103"/>
      <c r="J120" s="103"/>
      <c r="K120" s="103"/>
      <c r="L120" s="103"/>
      <c r="M120" s="103"/>
      <c r="N120" s="103"/>
      <c r="O120" s="103"/>
      <c r="P120" s="103"/>
      <c r="Q120" s="103"/>
      <c r="R120" s="103"/>
      <c r="S120" s="104"/>
    </row>
    <row r="121" spans="2:19" s="89" customFormat="1" ht="211.5" customHeight="1" x14ac:dyDescent="0.15">
      <c r="B121" s="141"/>
      <c r="C121" s="98"/>
      <c r="D121" s="114" t="s">
        <v>273</v>
      </c>
      <c r="E121" s="115"/>
      <c r="F121" s="115"/>
      <c r="G121" s="115"/>
      <c r="H121" s="115"/>
      <c r="I121" s="115"/>
      <c r="J121" s="115"/>
      <c r="K121" s="115"/>
      <c r="L121" s="115"/>
      <c r="M121" s="115"/>
      <c r="N121" s="115"/>
      <c r="O121" s="115"/>
      <c r="P121" s="115"/>
      <c r="Q121" s="115"/>
      <c r="R121" s="115"/>
      <c r="S121" s="116"/>
    </row>
    <row r="122" spans="2:19" ht="107.25" customHeight="1" x14ac:dyDescent="0.15">
      <c r="B122" s="120" t="s">
        <v>42</v>
      </c>
      <c r="C122" s="26" t="s">
        <v>25</v>
      </c>
      <c r="D122" s="123" t="s">
        <v>252</v>
      </c>
      <c r="E122" s="137"/>
      <c r="F122" s="137"/>
      <c r="G122" s="137"/>
      <c r="H122" s="137"/>
      <c r="I122" s="137"/>
      <c r="J122" s="137"/>
      <c r="K122" s="137"/>
      <c r="L122" s="137"/>
      <c r="M122" s="137"/>
      <c r="N122" s="137"/>
      <c r="O122" s="137"/>
      <c r="P122" s="137"/>
      <c r="Q122" s="137"/>
      <c r="R122" s="137"/>
      <c r="S122" s="138"/>
    </row>
    <row r="123" spans="2:19" ht="111.75" customHeight="1" x14ac:dyDescent="0.15">
      <c r="B123" s="122"/>
      <c r="C123" s="28" t="s">
        <v>26</v>
      </c>
      <c r="D123" s="114" t="s">
        <v>317</v>
      </c>
      <c r="E123" s="139"/>
      <c r="F123" s="139"/>
      <c r="G123" s="139"/>
      <c r="H123" s="139"/>
      <c r="I123" s="139"/>
      <c r="J123" s="139"/>
      <c r="K123" s="139"/>
      <c r="L123" s="139"/>
      <c r="M123" s="139"/>
      <c r="N123" s="139"/>
      <c r="O123" s="139"/>
      <c r="P123" s="139"/>
      <c r="Q123" s="139"/>
      <c r="R123" s="139"/>
      <c r="S123" s="140"/>
    </row>
    <row r="124" spans="2:19" ht="282" customHeight="1" x14ac:dyDescent="0.15">
      <c r="B124" s="120" t="s">
        <v>43</v>
      </c>
      <c r="C124" s="105" t="s">
        <v>28</v>
      </c>
      <c r="D124" s="123" t="s">
        <v>274</v>
      </c>
      <c r="E124" s="124"/>
      <c r="F124" s="124"/>
      <c r="G124" s="124"/>
      <c r="H124" s="124"/>
      <c r="I124" s="124"/>
      <c r="J124" s="124"/>
      <c r="K124" s="124"/>
      <c r="L124" s="124"/>
      <c r="M124" s="124"/>
      <c r="N124" s="124"/>
      <c r="O124" s="124"/>
      <c r="P124" s="124"/>
      <c r="Q124" s="124"/>
      <c r="R124" s="124"/>
      <c r="S124" s="125"/>
    </row>
    <row r="125" spans="2:19" s="90" customFormat="1" ht="91.5" customHeight="1" x14ac:dyDescent="0.15">
      <c r="B125" s="121"/>
      <c r="C125" s="95"/>
      <c r="D125" s="99" t="s">
        <v>275</v>
      </c>
      <c r="E125" s="100"/>
      <c r="F125" s="100"/>
      <c r="G125" s="100"/>
      <c r="H125" s="100"/>
      <c r="I125" s="100"/>
      <c r="J125" s="100"/>
      <c r="K125" s="100"/>
      <c r="L125" s="100"/>
      <c r="M125" s="100"/>
      <c r="N125" s="100"/>
      <c r="O125" s="100"/>
      <c r="P125" s="100"/>
      <c r="Q125" s="100"/>
      <c r="R125" s="100"/>
      <c r="S125" s="101"/>
    </row>
    <row r="126" spans="2:19" s="90" customFormat="1" ht="35.25" customHeight="1" x14ac:dyDescent="0.15">
      <c r="B126" s="121"/>
      <c r="C126" s="95"/>
      <c r="D126" s="102" t="s">
        <v>276</v>
      </c>
      <c r="E126" s="103"/>
      <c r="F126" s="103"/>
      <c r="G126" s="103"/>
      <c r="H126" s="103"/>
      <c r="I126" s="103"/>
      <c r="J126" s="103"/>
      <c r="K126" s="103"/>
      <c r="L126" s="103"/>
      <c r="M126" s="103"/>
      <c r="N126" s="103"/>
      <c r="O126" s="103"/>
      <c r="P126" s="103"/>
      <c r="Q126" s="103"/>
      <c r="R126" s="103"/>
      <c r="S126" s="104"/>
    </row>
    <row r="127" spans="2:19" s="90" customFormat="1" ht="34.5" customHeight="1" x14ac:dyDescent="0.15">
      <c r="B127" s="121"/>
      <c r="C127" s="96"/>
      <c r="D127" s="102" t="s">
        <v>277</v>
      </c>
      <c r="E127" s="103"/>
      <c r="F127" s="103"/>
      <c r="G127" s="103"/>
      <c r="H127" s="103"/>
      <c r="I127" s="103"/>
      <c r="J127" s="103"/>
      <c r="K127" s="103"/>
      <c r="L127" s="103"/>
      <c r="M127" s="103"/>
      <c r="N127" s="103"/>
      <c r="O127" s="103"/>
      <c r="P127" s="103"/>
      <c r="Q127" s="103"/>
      <c r="R127" s="103"/>
      <c r="S127" s="104"/>
    </row>
    <row r="128" spans="2:19" ht="97.5" customHeight="1" x14ac:dyDescent="0.15">
      <c r="B128" s="122"/>
      <c r="C128" s="27" t="s">
        <v>29</v>
      </c>
      <c r="D128" s="115" t="s">
        <v>288</v>
      </c>
      <c r="E128" s="115"/>
      <c r="F128" s="115"/>
      <c r="G128" s="115"/>
      <c r="H128" s="115"/>
      <c r="I128" s="115"/>
      <c r="J128" s="115"/>
      <c r="K128" s="115"/>
      <c r="L128" s="115"/>
      <c r="M128" s="115"/>
      <c r="N128" s="115"/>
      <c r="O128" s="115"/>
      <c r="P128" s="115"/>
      <c r="Q128" s="115"/>
      <c r="R128" s="115"/>
      <c r="S128" s="116"/>
    </row>
    <row r="129" spans="2:19" ht="80.25" customHeight="1" x14ac:dyDescent="0.15">
      <c r="B129" s="112" t="s">
        <v>44</v>
      </c>
      <c r="C129" s="105" t="s">
        <v>45</v>
      </c>
      <c r="D129" s="126" t="s">
        <v>201</v>
      </c>
      <c r="E129" s="126"/>
      <c r="F129" s="126"/>
      <c r="G129" s="126"/>
      <c r="H129" s="126"/>
      <c r="I129" s="126"/>
      <c r="J129" s="126"/>
      <c r="K129" s="126"/>
      <c r="L129" s="126"/>
      <c r="M129" s="126"/>
      <c r="N129" s="126"/>
      <c r="O129" s="126"/>
      <c r="P129" s="126"/>
      <c r="Q129" s="126"/>
      <c r="R129" s="126"/>
      <c r="S129" s="127"/>
    </row>
    <row r="130" spans="2:19" s="83" customFormat="1" ht="93.75" customHeight="1" x14ac:dyDescent="0.15">
      <c r="B130" s="113"/>
      <c r="C130" s="95"/>
      <c r="D130" s="102" t="s">
        <v>202</v>
      </c>
      <c r="E130" s="103"/>
      <c r="F130" s="103"/>
      <c r="G130" s="103"/>
      <c r="H130" s="103"/>
      <c r="I130" s="103"/>
      <c r="J130" s="103"/>
      <c r="K130" s="103"/>
      <c r="L130" s="103"/>
      <c r="M130" s="103"/>
      <c r="N130" s="103"/>
      <c r="O130" s="103"/>
      <c r="P130" s="103"/>
      <c r="Q130" s="103"/>
      <c r="R130" s="103"/>
      <c r="S130" s="104"/>
    </row>
    <row r="131" spans="2:19" s="83" customFormat="1" ht="150.75" customHeight="1" x14ac:dyDescent="0.15">
      <c r="B131" s="113"/>
      <c r="C131" s="95"/>
      <c r="D131" s="102" t="s">
        <v>278</v>
      </c>
      <c r="E131" s="103"/>
      <c r="F131" s="103"/>
      <c r="G131" s="103"/>
      <c r="H131" s="103"/>
      <c r="I131" s="103"/>
      <c r="J131" s="103"/>
      <c r="K131" s="103"/>
      <c r="L131" s="103"/>
      <c r="M131" s="103"/>
      <c r="N131" s="103"/>
      <c r="O131" s="103"/>
      <c r="P131" s="103"/>
      <c r="Q131" s="103"/>
      <c r="R131" s="103"/>
      <c r="S131" s="104"/>
    </row>
    <row r="132" spans="2:19" s="83" customFormat="1" ht="65.25" customHeight="1" x14ac:dyDescent="0.15">
      <c r="B132" s="113"/>
      <c r="C132" s="95"/>
      <c r="D132" s="102" t="s">
        <v>208</v>
      </c>
      <c r="E132" s="103"/>
      <c r="F132" s="103"/>
      <c r="G132" s="103"/>
      <c r="H132" s="103"/>
      <c r="I132" s="103"/>
      <c r="J132" s="103"/>
      <c r="K132" s="103"/>
      <c r="L132" s="103"/>
      <c r="M132" s="103"/>
      <c r="N132" s="103"/>
      <c r="O132" s="103"/>
      <c r="P132" s="103"/>
      <c r="Q132" s="103"/>
      <c r="R132" s="103"/>
      <c r="S132" s="104"/>
    </row>
    <row r="133" spans="2:19" s="83" customFormat="1" ht="195.75" customHeight="1" x14ac:dyDescent="0.15">
      <c r="B133" s="113"/>
      <c r="C133" s="95"/>
      <c r="D133" s="102" t="s">
        <v>210</v>
      </c>
      <c r="E133" s="103"/>
      <c r="F133" s="103"/>
      <c r="G133" s="103"/>
      <c r="H133" s="103"/>
      <c r="I133" s="103"/>
      <c r="J133" s="103"/>
      <c r="K133" s="103"/>
      <c r="L133" s="103"/>
      <c r="M133" s="103"/>
      <c r="N133" s="103"/>
      <c r="O133" s="103"/>
      <c r="P133" s="103"/>
      <c r="Q133" s="103"/>
      <c r="R133" s="103"/>
      <c r="S133" s="104"/>
    </row>
    <row r="134" spans="2:19" ht="207.75" customHeight="1" x14ac:dyDescent="0.15">
      <c r="B134" s="113" t="s">
        <v>304</v>
      </c>
      <c r="C134" s="95" t="s">
        <v>301</v>
      </c>
      <c r="D134" s="102" t="s">
        <v>214</v>
      </c>
      <c r="E134" s="103"/>
      <c r="F134" s="103"/>
      <c r="G134" s="103"/>
      <c r="H134" s="103"/>
      <c r="I134" s="103"/>
      <c r="J134" s="103"/>
      <c r="K134" s="103"/>
      <c r="L134" s="103"/>
      <c r="M134" s="103"/>
      <c r="N134" s="103"/>
      <c r="O134" s="103"/>
      <c r="P134" s="103"/>
      <c r="Q134" s="103"/>
      <c r="R134" s="103"/>
      <c r="S134" s="104"/>
    </row>
    <row r="135" spans="2:19" ht="279.75" customHeight="1" x14ac:dyDescent="0.15">
      <c r="B135" s="113"/>
      <c r="C135" s="95"/>
      <c r="D135" s="99" t="s">
        <v>279</v>
      </c>
      <c r="E135" s="100"/>
      <c r="F135" s="100"/>
      <c r="G135" s="100"/>
      <c r="H135" s="100"/>
      <c r="I135" s="100"/>
      <c r="J135" s="100"/>
      <c r="K135" s="100"/>
      <c r="L135" s="100"/>
      <c r="M135" s="100"/>
      <c r="N135" s="100"/>
      <c r="O135" s="100"/>
      <c r="P135" s="100"/>
      <c r="Q135" s="100"/>
      <c r="R135" s="100"/>
      <c r="S135" s="101"/>
    </row>
    <row r="136" spans="2:19" ht="322.5" customHeight="1" x14ac:dyDescent="0.15">
      <c r="B136" s="113"/>
      <c r="C136" s="95"/>
      <c r="D136" s="106" t="s">
        <v>216</v>
      </c>
      <c r="E136" s="107"/>
      <c r="F136" s="107"/>
      <c r="G136" s="107"/>
      <c r="H136" s="107"/>
      <c r="I136" s="107"/>
      <c r="J136" s="107"/>
      <c r="K136" s="107"/>
      <c r="L136" s="107"/>
      <c r="M136" s="107"/>
      <c r="N136" s="107"/>
      <c r="O136" s="107"/>
      <c r="P136" s="107"/>
      <c r="Q136" s="107"/>
      <c r="R136" s="107"/>
      <c r="S136" s="108"/>
    </row>
    <row r="137" spans="2:19" s="90" customFormat="1" ht="324" customHeight="1" x14ac:dyDescent="0.15">
      <c r="B137" s="113"/>
      <c r="C137" s="95"/>
      <c r="D137" s="106" t="s">
        <v>292</v>
      </c>
      <c r="E137" s="107"/>
      <c r="F137" s="107"/>
      <c r="G137" s="107"/>
      <c r="H137" s="107"/>
      <c r="I137" s="107"/>
      <c r="J137" s="107"/>
      <c r="K137" s="107"/>
      <c r="L137" s="107"/>
      <c r="M137" s="107"/>
      <c r="N137" s="107"/>
      <c r="O137" s="107"/>
      <c r="P137" s="107"/>
      <c r="Q137" s="107"/>
      <c r="R137" s="107"/>
      <c r="S137" s="108"/>
    </row>
    <row r="138" spans="2:19" ht="93" customHeight="1" x14ac:dyDescent="0.15">
      <c r="B138" s="113" t="s">
        <v>304</v>
      </c>
      <c r="C138" s="95" t="s">
        <v>301</v>
      </c>
      <c r="D138" s="109" t="s">
        <v>293</v>
      </c>
      <c r="E138" s="110"/>
      <c r="F138" s="110"/>
      <c r="G138" s="110"/>
      <c r="H138" s="110"/>
      <c r="I138" s="110"/>
      <c r="J138" s="110"/>
      <c r="K138" s="110"/>
      <c r="L138" s="110"/>
      <c r="M138" s="110"/>
      <c r="N138" s="110"/>
      <c r="O138" s="110"/>
      <c r="P138" s="110"/>
      <c r="Q138" s="110"/>
      <c r="R138" s="110"/>
      <c r="S138" s="111"/>
    </row>
    <row r="139" spans="2:19" ht="179.25" customHeight="1" x14ac:dyDescent="0.15">
      <c r="B139" s="113"/>
      <c r="C139" s="95"/>
      <c r="D139" s="99" t="s">
        <v>220</v>
      </c>
      <c r="E139" s="100"/>
      <c r="F139" s="100"/>
      <c r="G139" s="100"/>
      <c r="H139" s="100"/>
      <c r="I139" s="100"/>
      <c r="J139" s="100"/>
      <c r="K139" s="100"/>
      <c r="L139" s="100"/>
      <c r="M139" s="100"/>
      <c r="N139" s="100"/>
      <c r="O139" s="100"/>
      <c r="P139" s="100"/>
      <c r="Q139" s="100"/>
      <c r="R139" s="100"/>
      <c r="S139" s="101"/>
    </row>
    <row r="140" spans="2:19" ht="241.5" customHeight="1" x14ac:dyDescent="0.15">
      <c r="B140" s="113"/>
      <c r="C140" s="95"/>
      <c r="D140" s="106" t="s">
        <v>280</v>
      </c>
      <c r="E140" s="107"/>
      <c r="F140" s="107"/>
      <c r="G140" s="107"/>
      <c r="H140" s="107"/>
      <c r="I140" s="107"/>
      <c r="J140" s="107"/>
      <c r="K140" s="107"/>
      <c r="L140" s="107"/>
      <c r="M140" s="107"/>
      <c r="N140" s="107"/>
      <c r="O140" s="107"/>
      <c r="P140" s="107"/>
      <c r="Q140" s="107"/>
      <c r="R140" s="107"/>
      <c r="S140" s="108"/>
    </row>
    <row r="141" spans="2:19" ht="282" customHeight="1" x14ac:dyDescent="0.15">
      <c r="B141" s="113"/>
      <c r="C141" s="95"/>
      <c r="D141" s="109" t="s">
        <v>221</v>
      </c>
      <c r="E141" s="110"/>
      <c r="F141" s="110"/>
      <c r="G141" s="110"/>
      <c r="H141" s="110"/>
      <c r="I141" s="110"/>
      <c r="J141" s="110"/>
      <c r="K141" s="110"/>
      <c r="L141" s="110"/>
      <c r="M141" s="110"/>
      <c r="N141" s="110"/>
      <c r="O141" s="110"/>
      <c r="P141" s="110"/>
      <c r="Q141" s="110"/>
      <c r="R141" s="110"/>
      <c r="S141" s="111"/>
    </row>
    <row r="142" spans="2:19" ht="276.75" customHeight="1" x14ac:dyDescent="0.15">
      <c r="B142" s="113"/>
      <c r="C142" s="95"/>
      <c r="D142" s="102" t="s">
        <v>281</v>
      </c>
      <c r="E142" s="103"/>
      <c r="F142" s="103"/>
      <c r="G142" s="103"/>
      <c r="H142" s="103"/>
      <c r="I142" s="103"/>
      <c r="J142" s="103"/>
      <c r="K142" s="103"/>
      <c r="L142" s="103"/>
      <c r="M142" s="103"/>
      <c r="N142" s="103"/>
      <c r="O142" s="103"/>
      <c r="P142" s="103"/>
      <c r="Q142" s="103"/>
      <c r="R142" s="103"/>
      <c r="S142" s="104"/>
    </row>
    <row r="143" spans="2:19" ht="387.75" customHeight="1" x14ac:dyDescent="0.15">
      <c r="B143" s="113" t="s">
        <v>304</v>
      </c>
      <c r="C143" s="95" t="s">
        <v>301</v>
      </c>
      <c r="D143" s="102" t="s">
        <v>282</v>
      </c>
      <c r="E143" s="103"/>
      <c r="F143" s="103"/>
      <c r="G143" s="103"/>
      <c r="H143" s="103"/>
      <c r="I143" s="103"/>
      <c r="J143" s="103"/>
      <c r="K143" s="103"/>
      <c r="L143" s="103"/>
      <c r="M143" s="103"/>
      <c r="N143" s="103"/>
      <c r="O143" s="103"/>
      <c r="P143" s="103"/>
      <c r="Q143" s="103"/>
      <c r="R143" s="103"/>
      <c r="S143" s="104"/>
    </row>
    <row r="144" spans="2:19" ht="348" customHeight="1" x14ac:dyDescent="0.15">
      <c r="B144" s="113"/>
      <c r="C144" s="95"/>
      <c r="D144" s="102" t="s">
        <v>222</v>
      </c>
      <c r="E144" s="103"/>
      <c r="F144" s="103"/>
      <c r="G144" s="103"/>
      <c r="H144" s="103"/>
      <c r="I144" s="103"/>
      <c r="J144" s="103"/>
      <c r="K144" s="103"/>
      <c r="L144" s="103"/>
      <c r="M144" s="103"/>
      <c r="N144" s="103"/>
      <c r="O144" s="103"/>
      <c r="P144" s="103"/>
      <c r="Q144" s="103"/>
      <c r="R144" s="103"/>
      <c r="S144" s="104"/>
    </row>
    <row r="145" spans="2:19" ht="281.25" customHeight="1" x14ac:dyDescent="0.15">
      <c r="B145" s="113"/>
      <c r="C145" s="95"/>
      <c r="D145" s="102" t="s">
        <v>225</v>
      </c>
      <c r="E145" s="103"/>
      <c r="F145" s="103"/>
      <c r="G145" s="103"/>
      <c r="H145" s="103"/>
      <c r="I145" s="103"/>
      <c r="J145" s="103"/>
      <c r="K145" s="103"/>
      <c r="L145" s="103"/>
      <c r="M145" s="103"/>
      <c r="N145" s="103"/>
      <c r="O145" s="103"/>
      <c r="P145" s="103"/>
      <c r="Q145" s="103"/>
      <c r="R145" s="103"/>
      <c r="S145" s="104"/>
    </row>
    <row r="146" spans="2:19" ht="158.25" customHeight="1" x14ac:dyDescent="0.15">
      <c r="B146" s="113" t="s">
        <v>304</v>
      </c>
      <c r="C146" s="95" t="s">
        <v>301</v>
      </c>
      <c r="D146" s="99" t="s">
        <v>305</v>
      </c>
      <c r="E146" s="100"/>
      <c r="F146" s="100"/>
      <c r="G146" s="100"/>
      <c r="H146" s="100"/>
      <c r="I146" s="100"/>
      <c r="J146" s="100"/>
      <c r="K146" s="100"/>
      <c r="L146" s="100"/>
      <c r="M146" s="100"/>
      <c r="N146" s="100"/>
      <c r="O146" s="100"/>
      <c r="P146" s="100"/>
      <c r="Q146" s="100"/>
      <c r="R146" s="100"/>
      <c r="S146" s="101"/>
    </row>
    <row r="147" spans="2:19" s="89" customFormat="1" ht="408.75" customHeight="1" x14ac:dyDescent="0.15">
      <c r="B147" s="113"/>
      <c r="C147" s="95"/>
      <c r="D147" s="106" t="s">
        <v>231</v>
      </c>
      <c r="E147" s="107"/>
      <c r="F147" s="107"/>
      <c r="G147" s="107"/>
      <c r="H147" s="107"/>
      <c r="I147" s="107"/>
      <c r="J147" s="107"/>
      <c r="K147" s="107"/>
      <c r="L147" s="107"/>
      <c r="M147" s="107"/>
      <c r="N147" s="107"/>
      <c r="O147" s="107"/>
      <c r="P147" s="107"/>
      <c r="Q147" s="107"/>
      <c r="R147" s="107"/>
      <c r="S147" s="108"/>
    </row>
    <row r="148" spans="2:19" s="89" customFormat="1" ht="230.25" customHeight="1" x14ac:dyDescent="0.15">
      <c r="B148" s="113"/>
      <c r="C148" s="95"/>
      <c r="D148" s="106" t="s">
        <v>232</v>
      </c>
      <c r="E148" s="107"/>
      <c r="F148" s="107"/>
      <c r="G148" s="107"/>
      <c r="H148" s="107"/>
      <c r="I148" s="107"/>
      <c r="J148" s="107"/>
      <c r="K148" s="107"/>
      <c r="L148" s="107"/>
      <c r="M148" s="107"/>
      <c r="N148" s="107"/>
      <c r="O148" s="107"/>
      <c r="P148" s="107"/>
      <c r="Q148" s="107"/>
      <c r="R148" s="107"/>
      <c r="S148" s="108"/>
    </row>
    <row r="149" spans="2:19" ht="138.75" customHeight="1" x14ac:dyDescent="0.15">
      <c r="B149" s="113"/>
      <c r="C149" s="95"/>
      <c r="D149" s="109" t="s">
        <v>283</v>
      </c>
      <c r="E149" s="110"/>
      <c r="F149" s="110"/>
      <c r="G149" s="110"/>
      <c r="H149" s="110"/>
      <c r="I149" s="110"/>
      <c r="J149" s="110"/>
      <c r="K149" s="110"/>
      <c r="L149" s="110"/>
      <c r="M149" s="110"/>
      <c r="N149" s="110"/>
      <c r="O149" s="110"/>
      <c r="P149" s="110"/>
      <c r="Q149" s="110"/>
      <c r="R149" s="110"/>
      <c r="S149" s="111"/>
    </row>
    <row r="150" spans="2:19" s="90" customFormat="1" ht="181.5" customHeight="1" x14ac:dyDescent="0.15">
      <c r="B150" s="113"/>
      <c r="C150" s="95"/>
      <c r="D150" s="102" t="s">
        <v>294</v>
      </c>
      <c r="E150" s="103"/>
      <c r="F150" s="103"/>
      <c r="G150" s="103"/>
      <c r="H150" s="103"/>
      <c r="I150" s="103"/>
      <c r="J150" s="103"/>
      <c r="K150" s="103"/>
      <c r="L150" s="103"/>
      <c r="M150" s="103"/>
      <c r="N150" s="103"/>
      <c r="O150" s="103"/>
      <c r="P150" s="103"/>
      <c r="Q150" s="103"/>
      <c r="R150" s="103"/>
      <c r="S150" s="104"/>
    </row>
    <row r="151" spans="2:19" ht="167.25" customHeight="1" x14ac:dyDescent="0.15">
      <c r="B151" s="113" t="s">
        <v>44</v>
      </c>
      <c r="C151" s="95" t="s">
        <v>301</v>
      </c>
      <c r="D151" s="102" t="s">
        <v>295</v>
      </c>
      <c r="E151" s="103"/>
      <c r="F151" s="103"/>
      <c r="G151" s="103"/>
      <c r="H151" s="103"/>
      <c r="I151" s="103"/>
      <c r="J151" s="103"/>
      <c r="K151" s="103"/>
      <c r="L151" s="103"/>
      <c r="M151" s="103"/>
      <c r="N151" s="103"/>
      <c r="O151" s="103"/>
      <c r="P151" s="103"/>
      <c r="Q151" s="103"/>
      <c r="R151" s="103"/>
      <c r="S151" s="104"/>
    </row>
    <row r="152" spans="2:19" ht="199.5" customHeight="1" x14ac:dyDescent="0.15">
      <c r="B152" s="113"/>
      <c r="C152" s="95"/>
      <c r="D152" s="102" t="s">
        <v>229</v>
      </c>
      <c r="E152" s="103"/>
      <c r="F152" s="103"/>
      <c r="G152" s="103"/>
      <c r="H152" s="103"/>
      <c r="I152" s="103"/>
      <c r="J152" s="103"/>
      <c r="K152" s="103"/>
      <c r="L152" s="103"/>
      <c r="M152" s="103"/>
      <c r="N152" s="103"/>
      <c r="O152" s="103"/>
      <c r="P152" s="103"/>
      <c r="Q152" s="103"/>
      <c r="R152" s="103"/>
      <c r="S152" s="104"/>
    </row>
    <row r="153" spans="2:19" s="83" customFormat="1" ht="99" customHeight="1" x14ac:dyDescent="0.15">
      <c r="B153" s="113"/>
      <c r="C153" s="95"/>
      <c r="D153" s="102" t="s">
        <v>230</v>
      </c>
      <c r="E153" s="103"/>
      <c r="F153" s="103"/>
      <c r="G153" s="103"/>
      <c r="H153" s="103"/>
      <c r="I153" s="103"/>
      <c r="J153" s="103"/>
      <c r="K153" s="103"/>
      <c r="L153" s="103"/>
      <c r="M153" s="103"/>
      <c r="N153" s="103"/>
      <c r="O153" s="103"/>
      <c r="P153" s="103"/>
      <c r="Q153" s="103"/>
      <c r="R153" s="103"/>
      <c r="S153" s="104"/>
    </row>
    <row r="154" spans="2:19" ht="250.5" customHeight="1" x14ac:dyDescent="0.15">
      <c r="B154" s="113"/>
      <c r="C154" s="95"/>
      <c r="D154" s="99" t="s">
        <v>233</v>
      </c>
      <c r="E154" s="100"/>
      <c r="F154" s="100"/>
      <c r="G154" s="100"/>
      <c r="H154" s="100"/>
      <c r="I154" s="100"/>
      <c r="J154" s="100"/>
      <c r="K154" s="100"/>
      <c r="L154" s="100"/>
      <c r="M154" s="100"/>
      <c r="N154" s="100"/>
      <c r="O154" s="100"/>
      <c r="P154" s="100"/>
      <c r="Q154" s="100"/>
      <c r="R154" s="100"/>
      <c r="S154" s="101"/>
    </row>
    <row r="155" spans="2:19" ht="366" customHeight="1" x14ac:dyDescent="0.15">
      <c r="B155" s="113"/>
      <c r="C155" s="95"/>
      <c r="D155" s="109" t="s">
        <v>234</v>
      </c>
      <c r="E155" s="110"/>
      <c r="F155" s="110"/>
      <c r="G155" s="110"/>
      <c r="H155" s="110"/>
      <c r="I155" s="110"/>
      <c r="J155" s="110"/>
      <c r="K155" s="110"/>
      <c r="L155" s="110"/>
      <c r="M155" s="110"/>
      <c r="N155" s="110"/>
      <c r="O155" s="110"/>
      <c r="P155" s="110"/>
      <c r="Q155" s="110"/>
      <c r="R155" s="110"/>
      <c r="S155" s="111"/>
    </row>
    <row r="156" spans="2:19" s="83" customFormat="1" ht="95.25" customHeight="1" x14ac:dyDescent="0.15">
      <c r="B156" s="113" t="s">
        <v>316</v>
      </c>
      <c r="C156" s="95" t="s">
        <v>301</v>
      </c>
      <c r="D156" s="102" t="s">
        <v>237</v>
      </c>
      <c r="E156" s="103"/>
      <c r="F156" s="103"/>
      <c r="G156" s="103"/>
      <c r="H156" s="103"/>
      <c r="I156" s="103"/>
      <c r="J156" s="103"/>
      <c r="K156" s="103"/>
      <c r="L156" s="103"/>
      <c r="M156" s="103"/>
      <c r="N156" s="103"/>
      <c r="O156" s="103"/>
      <c r="P156" s="103"/>
      <c r="Q156" s="103"/>
      <c r="R156" s="103"/>
      <c r="S156" s="104"/>
    </row>
    <row r="157" spans="2:19" ht="38.25" customHeight="1" x14ac:dyDescent="0.15">
      <c r="B157" s="113"/>
      <c r="C157" s="95"/>
      <c r="D157" s="102" t="s">
        <v>239</v>
      </c>
      <c r="E157" s="103"/>
      <c r="F157" s="103"/>
      <c r="G157" s="103"/>
      <c r="H157" s="103"/>
      <c r="I157" s="103"/>
      <c r="J157" s="103"/>
      <c r="K157" s="103"/>
      <c r="L157" s="103"/>
      <c r="M157" s="103"/>
      <c r="N157" s="103"/>
      <c r="O157" s="103"/>
      <c r="P157" s="103"/>
      <c r="Q157" s="103"/>
      <c r="R157" s="103"/>
      <c r="S157" s="104"/>
    </row>
    <row r="158" spans="2:19" s="83" customFormat="1" ht="95.25" customHeight="1" x14ac:dyDescent="0.15">
      <c r="B158" s="113"/>
      <c r="C158" s="95"/>
      <c r="D158" s="102" t="s">
        <v>240</v>
      </c>
      <c r="E158" s="103"/>
      <c r="F158" s="103"/>
      <c r="G158" s="103"/>
      <c r="H158" s="103"/>
      <c r="I158" s="103"/>
      <c r="J158" s="103"/>
      <c r="K158" s="103"/>
      <c r="L158" s="103"/>
      <c r="M158" s="103"/>
      <c r="N158" s="103"/>
      <c r="O158" s="103"/>
      <c r="P158" s="103"/>
      <c r="Q158" s="103"/>
      <c r="R158" s="103"/>
      <c r="S158" s="104"/>
    </row>
    <row r="159" spans="2:19" s="83" customFormat="1" ht="126" customHeight="1" x14ac:dyDescent="0.15">
      <c r="B159" s="113"/>
      <c r="C159" s="95"/>
      <c r="D159" s="102" t="s">
        <v>242</v>
      </c>
      <c r="E159" s="103"/>
      <c r="F159" s="103"/>
      <c r="G159" s="103"/>
      <c r="H159" s="103"/>
      <c r="I159" s="103"/>
      <c r="J159" s="103"/>
      <c r="K159" s="103"/>
      <c r="L159" s="103"/>
      <c r="M159" s="103"/>
      <c r="N159" s="103"/>
      <c r="O159" s="103"/>
      <c r="P159" s="103"/>
      <c r="Q159" s="103"/>
      <c r="R159" s="103"/>
      <c r="S159" s="104"/>
    </row>
    <row r="160" spans="2:19" s="83" customFormat="1" ht="69.75" customHeight="1" x14ac:dyDescent="0.15">
      <c r="B160" s="113"/>
      <c r="C160" s="95"/>
      <c r="D160" s="102" t="s">
        <v>245</v>
      </c>
      <c r="E160" s="103"/>
      <c r="F160" s="103"/>
      <c r="G160" s="103"/>
      <c r="H160" s="103"/>
      <c r="I160" s="103"/>
      <c r="J160" s="103"/>
      <c r="K160" s="103"/>
      <c r="L160" s="103"/>
      <c r="M160" s="103"/>
      <c r="N160" s="103"/>
      <c r="O160" s="103"/>
      <c r="P160" s="103"/>
      <c r="Q160" s="103"/>
      <c r="R160" s="103"/>
      <c r="S160" s="104"/>
    </row>
    <row r="161" spans="2:19" ht="63.75" customHeight="1" x14ac:dyDescent="0.15">
      <c r="B161" s="113"/>
      <c r="C161" s="95"/>
      <c r="D161" s="102" t="s">
        <v>246</v>
      </c>
      <c r="E161" s="103"/>
      <c r="F161" s="103"/>
      <c r="G161" s="103"/>
      <c r="H161" s="103"/>
      <c r="I161" s="103"/>
      <c r="J161" s="103"/>
      <c r="K161" s="103"/>
      <c r="L161" s="103"/>
      <c r="M161" s="103"/>
      <c r="N161" s="103"/>
      <c r="O161" s="103"/>
      <c r="P161" s="103"/>
      <c r="Q161" s="103"/>
      <c r="R161" s="103"/>
      <c r="S161" s="104"/>
    </row>
    <row r="162" spans="2:19" ht="237.75" customHeight="1" x14ac:dyDescent="0.15">
      <c r="B162" s="113"/>
      <c r="C162" s="95"/>
      <c r="D162" s="99" t="s">
        <v>248</v>
      </c>
      <c r="E162" s="100"/>
      <c r="F162" s="100"/>
      <c r="G162" s="100"/>
      <c r="H162" s="100"/>
      <c r="I162" s="100"/>
      <c r="J162" s="100"/>
      <c r="K162" s="100"/>
      <c r="L162" s="100"/>
      <c r="M162" s="100"/>
      <c r="N162" s="100"/>
      <c r="O162" s="100"/>
      <c r="P162" s="100"/>
      <c r="Q162" s="100"/>
      <c r="R162" s="100"/>
      <c r="S162" s="101"/>
    </row>
    <row r="163" spans="2:19" ht="246.75" customHeight="1" x14ac:dyDescent="0.15">
      <c r="B163" s="113"/>
      <c r="C163" s="95"/>
      <c r="D163" s="109" t="s">
        <v>249</v>
      </c>
      <c r="E163" s="110"/>
      <c r="F163" s="110"/>
      <c r="G163" s="110"/>
      <c r="H163" s="110"/>
      <c r="I163" s="110"/>
      <c r="J163" s="110"/>
      <c r="K163" s="110"/>
      <c r="L163" s="110"/>
      <c r="M163" s="110"/>
      <c r="N163" s="110"/>
      <c r="O163" s="110"/>
      <c r="P163" s="110"/>
      <c r="Q163" s="110"/>
      <c r="R163" s="110"/>
      <c r="S163" s="111"/>
    </row>
    <row r="164" spans="2:19" s="90" customFormat="1" ht="128.25" customHeight="1" x14ac:dyDescent="0.15">
      <c r="B164" s="113"/>
      <c r="C164" s="95"/>
      <c r="D164" s="99" t="s">
        <v>296</v>
      </c>
      <c r="E164" s="100"/>
      <c r="F164" s="100"/>
      <c r="G164" s="100"/>
      <c r="H164" s="100"/>
      <c r="I164" s="100"/>
      <c r="J164" s="100"/>
      <c r="K164" s="100"/>
      <c r="L164" s="100"/>
      <c r="M164" s="100"/>
      <c r="N164" s="100"/>
      <c r="O164" s="100"/>
      <c r="P164" s="100"/>
      <c r="Q164" s="100"/>
      <c r="R164" s="100"/>
      <c r="S164" s="101"/>
    </row>
    <row r="165" spans="2:19" ht="138.75" customHeight="1" x14ac:dyDescent="0.15">
      <c r="B165" s="113" t="s">
        <v>316</v>
      </c>
      <c r="C165" s="95" t="s">
        <v>301</v>
      </c>
      <c r="D165" s="109" t="s">
        <v>297</v>
      </c>
      <c r="E165" s="110"/>
      <c r="F165" s="110"/>
      <c r="G165" s="110"/>
      <c r="H165" s="110"/>
      <c r="I165" s="110"/>
      <c r="J165" s="110"/>
      <c r="K165" s="110"/>
      <c r="L165" s="110"/>
      <c r="M165" s="110"/>
      <c r="N165" s="110"/>
      <c r="O165" s="110"/>
      <c r="P165" s="110"/>
      <c r="Q165" s="110"/>
      <c r="R165" s="110"/>
      <c r="S165" s="111"/>
    </row>
    <row r="166" spans="2:19" s="83" customFormat="1" ht="296.25" customHeight="1" x14ac:dyDescent="0.15">
      <c r="B166" s="113"/>
      <c r="C166" s="95"/>
      <c r="D166" s="102" t="s">
        <v>254</v>
      </c>
      <c r="E166" s="103"/>
      <c r="F166" s="103"/>
      <c r="G166" s="103"/>
      <c r="H166" s="103"/>
      <c r="I166" s="103"/>
      <c r="J166" s="103"/>
      <c r="K166" s="103"/>
      <c r="L166" s="103"/>
      <c r="M166" s="103"/>
      <c r="N166" s="103"/>
      <c r="O166" s="103"/>
      <c r="P166" s="103"/>
      <c r="Q166" s="103"/>
      <c r="R166" s="103"/>
      <c r="S166" s="104"/>
    </row>
    <row r="167" spans="2:19" ht="186.75" customHeight="1" x14ac:dyDescent="0.15">
      <c r="B167" s="113"/>
      <c r="C167" s="95"/>
      <c r="D167" s="102" t="s">
        <v>255</v>
      </c>
      <c r="E167" s="103"/>
      <c r="F167" s="103"/>
      <c r="G167" s="103"/>
      <c r="H167" s="103"/>
      <c r="I167" s="103"/>
      <c r="J167" s="103"/>
      <c r="K167" s="103"/>
      <c r="L167" s="103"/>
      <c r="M167" s="103"/>
      <c r="N167" s="103"/>
      <c r="O167" s="103"/>
      <c r="P167" s="103"/>
      <c r="Q167" s="103"/>
      <c r="R167" s="103"/>
      <c r="S167" s="104"/>
    </row>
    <row r="168" spans="2:19" s="83" customFormat="1" ht="81.75" customHeight="1" x14ac:dyDescent="0.15">
      <c r="B168" s="113"/>
      <c r="C168" s="95"/>
      <c r="D168" s="102" t="s">
        <v>289</v>
      </c>
      <c r="E168" s="103"/>
      <c r="F168" s="103"/>
      <c r="G168" s="103"/>
      <c r="H168" s="103"/>
      <c r="I168" s="103"/>
      <c r="J168" s="103"/>
      <c r="K168" s="103"/>
      <c r="L168" s="103"/>
      <c r="M168" s="103"/>
      <c r="N168" s="103"/>
      <c r="O168" s="103"/>
      <c r="P168" s="103"/>
      <c r="Q168" s="103"/>
      <c r="R168" s="103"/>
      <c r="S168" s="104"/>
    </row>
    <row r="169" spans="2:19" s="83" customFormat="1" ht="37.5" customHeight="1" x14ac:dyDescent="0.15">
      <c r="B169" s="113"/>
      <c r="C169" s="95"/>
      <c r="D169" s="102" t="s">
        <v>258</v>
      </c>
      <c r="E169" s="103"/>
      <c r="F169" s="103"/>
      <c r="G169" s="103"/>
      <c r="H169" s="103"/>
      <c r="I169" s="103"/>
      <c r="J169" s="103"/>
      <c r="K169" s="103"/>
      <c r="L169" s="103"/>
      <c r="M169" s="103"/>
      <c r="N169" s="103"/>
      <c r="O169" s="103"/>
      <c r="P169" s="103"/>
      <c r="Q169" s="103"/>
      <c r="R169" s="103"/>
      <c r="S169" s="104"/>
    </row>
    <row r="170" spans="2:19" ht="216.75" customHeight="1" x14ac:dyDescent="0.15">
      <c r="B170" s="113"/>
      <c r="C170" s="96"/>
      <c r="D170" s="102" t="s">
        <v>260</v>
      </c>
      <c r="E170" s="103"/>
      <c r="F170" s="103"/>
      <c r="G170" s="103"/>
      <c r="H170" s="103"/>
      <c r="I170" s="103"/>
      <c r="J170" s="103"/>
      <c r="K170" s="103"/>
      <c r="L170" s="103"/>
      <c r="M170" s="103"/>
      <c r="N170" s="103"/>
      <c r="O170" s="103"/>
      <c r="P170" s="103"/>
      <c r="Q170" s="103"/>
      <c r="R170" s="103"/>
      <c r="S170" s="104"/>
    </row>
    <row r="171" spans="2:19" ht="78" customHeight="1" x14ac:dyDescent="0.15">
      <c r="B171" s="113" t="s">
        <v>316</v>
      </c>
      <c r="C171" s="97" t="s">
        <v>32</v>
      </c>
      <c r="D171" s="102" t="s">
        <v>247</v>
      </c>
      <c r="E171" s="103"/>
      <c r="F171" s="103"/>
      <c r="G171" s="103"/>
      <c r="H171" s="103"/>
      <c r="I171" s="103"/>
      <c r="J171" s="103"/>
      <c r="K171" s="103"/>
      <c r="L171" s="103"/>
      <c r="M171" s="103"/>
      <c r="N171" s="103"/>
      <c r="O171" s="103"/>
      <c r="P171" s="103"/>
      <c r="Q171" s="103"/>
      <c r="R171" s="103"/>
      <c r="S171" s="104"/>
    </row>
    <row r="172" spans="2:19" s="83" customFormat="1" ht="67.5" customHeight="1" x14ac:dyDescent="0.15">
      <c r="B172" s="113"/>
      <c r="C172" s="95"/>
      <c r="D172" s="102" t="s">
        <v>203</v>
      </c>
      <c r="E172" s="103"/>
      <c r="F172" s="103"/>
      <c r="G172" s="103"/>
      <c r="H172" s="103"/>
      <c r="I172" s="103"/>
      <c r="J172" s="103"/>
      <c r="K172" s="103"/>
      <c r="L172" s="103"/>
      <c r="M172" s="103"/>
      <c r="N172" s="103"/>
      <c r="O172" s="103"/>
      <c r="P172" s="103"/>
      <c r="Q172" s="103"/>
      <c r="R172" s="103"/>
      <c r="S172" s="104"/>
    </row>
    <row r="173" spans="2:19" s="83" customFormat="1" ht="45" customHeight="1" x14ac:dyDescent="0.15">
      <c r="B173" s="113"/>
      <c r="C173" s="95"/>
      <c r="D173" s="102" t="s">
        <v>206</v>
      </c>
      <c r="E173" s="103"/>
      <c r="F173" s="103"/>
      <c r="G173" s="103"/>
      <c r="H173" s="103"/>
      <c r="I173" s="103"/>
      <c r="J173" s="103"/>
      <c r="K173" s="103"/>
      <c r="L173" s="103"/>
      <c r="M173" s="103"/>
      <c r="N173" s="103"/>
      <c r="O173" s="103"/>
      <c r="P173" s="103"/>
      <c r="Q173" s="103"/>
      <c r="R173" s="103"/>
      <c r="S173" s="104"/>
    </row>
    <row r="174" spans="2:19" s="83" customFormat="1" ht="38.25" customHeight="1" x14ac:dyDescent="0.15">
      <c r="B174" s="113"/>
      <c r="C174" s="95"/>
      <c r="D174" s="102" t="s">
        <v>209</v>
      </c>
      <c r="E174" s="103"/>
      <c r="F174" s="103"/>
      <c r="G174" s="103"/>
      <c r="H174" s="103"/>
      <c r="I174" s="103"/>
      <c r="J174" s="103"/>
      <c r="K174" s="103"/>
      <c r="L174" s="103"/>
      <c r="M174" s="103"/>
      <c r="N174" s="103"/>
      <c r="O174" s="103"/>
      <c r="P174" s="103"/>
      <c r="Q174" s="103"/>
      <c r="R174" s="103"/>
      <c r="S174" s="104"/>
    </row>
    <row r="175" spans="2:19" s="83" customFormat="1" ht="61.5" customHeight="1" x14ac:dyDescent="0.15">
      <c r="B175" s="113"/>
      <c r="C175" s="95"/>
      <c r="D175" s="102" t="s">
        <v>211</v>
      </c>
      <c r="E175" s="103"/>
      <c r="F175" s="103"/>
      <c r="G175" s="103"/>
      <c r="H175" s="103"/>
      <c r="I175" s="103"/>
      <c r="J175" s="103"/>
      <c r="K175" s="103"/>
      <c r="L175" s="103"/>
      <c r="M175" s="103"/>
      <c r="N175" s="103"/>
      <c r="O175" s="103"/>
      <c r="P175" s="103"/>
      <c r="Q175" s="103"/>
      <c r="R175" s="103"/>
      <c r="S175" s="104"/>
    </row>
    <row r="176" spans="2:19" s="83" customFormat="1" ht="137.25" customHeight="1" x14ac:dyDescent="0.15">
      <c r="B176" s="113"/>
      <c r="C176" s="95"/>
      <c r="D176" s="102" t="s">
        <v>215</v>
      </c>
      <c r="E176" s="103"/>
      <c r="F176" s="103"/>
      <c r="G176" s="103"/>
      <c r="H176" s="103"/>
      <c r="I176" s="103"/>
      <c r="J176" s="103"/>
      <c r="K176" s="103"/>
      <c r="L176" s="103"/>
      <c r="M176" s="103"/>
      <c r="N176" s="103"/>
      <c r="O176" s="103"/>
      <c r="P176" s="103"/>
      <c r="Q176" s="103"/>
      <c r="R176" s="103"/>
      <c r="S176" s="104"/>
    </row>
    <row r="177" spans="2:19" s="83" customFormat="1" ht="245.25" customHeight="1" x14ac:dyDescent="0.15">
      <c r="B177" s="113"/>
      <c r="C177" s="95"/>
      <c r="D177" s="102" t="s">
        <v>217</v>
      </c>
      <c r="E177" s="103"/>
      <c r="F177" s="103"/>
      <c r="G177" s="103"/>
      <c r="H177" s="103"/>
      <c r="I177" s="103"/>
      <c r="J177" s="103"/>
      <c r="K177" s="103"/>
      <c r="L177" s="103"/>
      <c r="M177" s="103"/>
      <c r="N177" s="103"/>
      <c r="O177" s="103"/>
      <c r="P177" s="103"/>
      <c r="Q177" s="103"/>
      <c r="R177" s="103"/>
      <c r="S177" s="104"/>
    </row>
    <row r="178" spans="2:19" s="88" customFormat="1" ht="240" customHeight="1" x14ac:dyDescent="0.15">
      <c r="B178" s="113"/>
      <c r="C178" s="95"/>
      <c r="D178" s="102" t="s">
        <v>284</v>
      </c>
      <c r="E178" s="103"/>
      <c r="F178" s="103"/>
      <c r="G178" s="103"/>
      <c r="H178" s="103"/>
      <c r="I178" s="103"/>
      <c r="J178" s="103"/>
      <c r="K178" s="103"/>
      <c r="L178" s="103"/>
      <c r="M178" s="103"/>
      <c r="N178" s="103"/>
      <c r="O178" s="103"/>
      <c r="P178" s="103"/>
      <c r="Q178" s="103"/>
      <c r="R178" s="103"/>
      <c r="S178" s="104"/>
    </row>
    <row r="179" spans="2:19" ht="153.75" customHeight="1" x14ac:dyDescent="0.15">
      <c r="B179" s="113"/>
      <c r="C179" s="95"/>
      <c r="D179" s="102" t="s">
        <v>285</v>
      </c>
      <c r="E179" s="103"/>
      <c r="F179" s="103"/>
      <c r="G179" s="103"/>
      <c r="H179" s="103"/>
      <c r="I179" s="103"/>
      <c r="J179" s="103"/>
      <c r="K179" s="103"/>
      <c r="L179" s="103"/>
      <c r="M179" s="103"/>
      <c r="N179" s="103"/>
      <c r="O179" s="103"/>
      <c r="P179" s="103"/>
      <c r="Q179" s="103"/>
      <c r="R179" s="103"/>
      <c r="S179" s="104"/>
    </row>
    <row r="180" spans="2:19" s="83" customFormat="1" ht="44.25" customHeight="1" x14ac:dyDescent="0.15">
      <c r="B180" s="113"/>
      <c r="C180" s="95"/>
      <c r="D180" s="102" t="s">
        <v>286</v>
      </c>
      <c r="E180" s="103"/>
      <c r="F180" s="103"/>
      <c r="G180" s="103"/>
      <c r="H180" s="103"/>
      <c r="I180" s="103"/>
      <c r="J180" s="103"/>
      <c r="K180" s="103"/>
      <c r="L180" s="103"/>
      <c r="M180" s="103"/>
      <c r="N180" s="103"/>
      <c r="O180" s="103"/>
      <c r="P180" s="103"/>
      <c r="Q180" s="103"/>
      <c r="R180" s="103"/>
      <c r="S180" s="104"/>
    </row>
    <row r="181" spans="2:19" s="83" customFormat="1" ht="37.5" customHeight="1" x14ac:dyDescent="0.15">
      <c r="B181" s="113" t="s">
        <v>316</v>
      </c>
      <c r="C181" s="95" t="s">
        <v>302</v>
      </c>
      <c r="D181" s="102" t="s">
        <v>287</v>
      </c>
      <c r="E181" s="103"/>
      <c r="F181" s="103"/>
      <c r="G181" s="103"/>
      <c r="H181" s="103"/>
      <c r="I181" s="103"/>
      <c r="J181" s="103"/>
      <c r="K181" s="103"/>
      <c r="L181" s="103"/>
      <c r="M181" s="103"/>
      <c r="N181" s="103"/>
      <c r="O181" s="103"/>
      <c r="P181" s="103"/>
      <c r="Q181" s="103"/>
      <c r="R181" s="103"/>
      <c r="S181" s="104"/>
    </row>
    <row r="182" spans="2:19" s="83" customFormat="1" ht="37.5" customHeight="1" x14ac:dyDescent="0.15">
      <c r="B182" s="113"/>
      <c r="C182" s="95"/>
      <c r="D182" s="102" t="s">
        <v>223</v>
      </c>
      <c r="E182" s="103"/>
      <c r="F182" s="103"/>
      <c r="G182" s="103"/>
      <c r="H182" s="103"/>
      <c r="I182" s="103"/>
      <c r="J182" s="103"/>
      <c r="K182" s="103"/>
      <c r="L182" s="103"/>
      <c r="M182" s="103"/>
      <c r="N182" s="103"/>
      <c r="O182" s="103"/>
      <c r="P182" s="103"/>
      <c r="Q182" s="103"/>
      <c r="R182" s="103"/>
      <c r="S182" s="104"/>
    </row>
    <row r="183" spans="2:19" s="83" customFormat="1" ht="39" customHeight="1" x14ac:dyDescent="0.15">
      <c r="B183" s="113"/>
      <c r="C183" s="95"/>
      <c r="D183" s="102" t="s">
        <v>226</v>
      </c>
      <c r="E183" s="103"/>
      <c r="F183" s="103"/>
      <c r="G183" s="103"/>
      <c r="H183" s="103"/>
      <c r="I183" s="103"/>
      <c r="J183" s="103"/>
      <c r="K183" s="103"/>
      <c r="L183" s="103"/>
      <c r="M183" s="103"/>
      <c r="N183" s="103"/>
      <c r="O183" s="103"/>
      <c r="P183" s="103"/>
      <c r="Q183" s="103"/>
      <c r="R183" s="103"/>
      <c r="S183" s="104"/>
    </row>
    <row r="184" spans="2:19" ht="109.5" customHeight="1" x14ac:dyDescent="0.15">
      <c r="B184" s="113"/>
      <c r="C184" s="95"/>
      <c r="D184" s="102" t="s">
        <v>244</v>
      </c>
      <c r="E184" s="103"/>
      <c r="F184" s="103"/>
      <c r="G184" s="103"/>
      <c r="H184" s="103"/>
      <c r="I184" s="103"/>
      <c r="J184" s="103"/>
      <c r="K184" s="103"/>
      <c r="L184" s="103"/>
      <c r="M184" s="103"/>
      <c r="N184" s="103"/>
      <c r="O184" s="103"/>
      <c r="P184" s="103"/>
      <c r="Q184" s="103"/>
      <c r="R184" s="103"/>
      <c r="S184" s="104"/>
    </row>
    <row r="185" spans="2:19" s="83" customFormat="1" ht="40.5" customHeight="1" x14ac:dyDescent="0.15">
      <c r="B185" s="113"/>
      <c r="C185" s="95"/>
      <c r="D185" s="102" t="s">
        <v>228</v>
      </c>
      <c r="E185" s="103"/>
      <c r="F185" s="103"/>
      <c r="G185" s="103"/>
      <c r="H185" s="103"/>
      <c r="I185" s="103"/>
      <c r="J185" s="103"/>
      <c r="K185" s="103"/>
      <c r="L185" s="103"/>
      <c r="M185" s="103"/>
      <c r="N185" s="103"/>
      <c r="O185" s="103"/>
      <c r="P185" s="103"/>
      <c r="Q185" s="103"/>
      <c r="R185" s="103"/>
      <c r="S185" s="104"/>
    </row>
    <row r="186" spans="2:19" s="83" customFormat="1" ht="186.75" customHeight="1" x14ac:dyDescent="0.15">
      <c r="B186" s="113"/>
      <c r="C186" s="95"/>
      <c r="D186" s="102" t="s">
        <v>235</v>
      </c>
      <c r="E186" s="103"/>
      <c r="F186" s="103"/>
      <c r="G186" s="103"/>
      <c r="H186" s="103"/>
      <c r="I186" s="103"/>
      <c r="J186" s="103"/>
      <c r="K186" s="103"/>
      <c r="L186" s="103"/>
      <c r="M186" s="103"/>
      <c r="N186" s="103"/>
      <c r="O186" s="103"/>
      <c r="P186" s="103"/>
      <c r="Q186" s="103"/>
      <c r="R186" s="103"/>
      <c r="S186" s="104"/>
    </row>
    <row r="187" spans="2:19" s="83" customFormat="1" ht="100.5" customHeight="1" x14ac:dyDescent="0.15">
      <c r="B187" s="113"/>
      <c r="C187" s="95"/>
      <c r="D187" s="102" t="s">
        <v>238</v>
      </c>
      <c r="E187" s="103"/>
      <c r="F187" s="103"/>
      <c r="G187" s="103"/>
      <c r="H187" s="103"/>
      <c r="I187" s="103"/>
      <c r="J187" s="103"/>
      <c r="K187" s="103"/>
      <c r="L187" s="103"/>
      <c r="M187" s="103"/>
      <c r="N187" s="103"/>
      <c r="O187" s="103"/>
      <c r="P187" s="103"/>
      <c r="Q187" s="103"/>
      <c r="R187" s="103"/>
      <c r="S187" s="104"/>
    </row>
    <row r="188" spans="2:19" s="83" customFormat="1" ht="35.25" customHeight="1" x14ac:dyDescent="0.15">
      <c r="B188" s="113"/>
      <c r="C188" s="95"/>
      <c r="D188" s="102" t="s">
        <v>241</v>
      </c>
      <c r="E188" s="103"/>
      <c r="F188" s="103"/>
      <c r="G188" s="103"/>
      <c r="H188" s="103"/>
      <c r="I188" s="103"/>
      <c r="J188" s="103"/>
      <c r="K188" s="103"/>
      <c r="L188" s="103"/>
      <c r="M188" s="103"/>
      <c r="N188" s="103"/>
      <c r="O188" s="103"/>
      <c r="P188" s="103"/>
      <c r="Q188" s="103"/>
      <c r="R188" s="103"/>
      <c r="S188" s="104"/>
    </row>
    <row r="189" spans="2:19" s="83" customFormat="1" ht="39.75" customHeight="1" x14ac:dyDescent="0.15">
      <c r="B189" s="113"/>
      <c r="C189" s="95"/>
      <c r="D189" s="102" t="s">
        <v>243</v>
      </c>
      <c r="E189" s="103"/>
      <c r="F189" s="103"/>
      <c r="G189" s="103"/>
      <c r="H189" s="103"/>
      <c r="I189" s="103"/>
      <c r="J189" s="103"/>
      <c r="K189" s="103"/>
      <c r="L189" s="103"/>
      <c r="M189" s="103"/>
      <c r="N189" s="103"/>
      <c r="O189" s="103"/>
      <c r="P189" s="103"/>
      <c r="Q189" s="103"/>
      <c r="R189" s="103"/>
      <c r="S189" s="104"/>
    </row>
    <row r="190" spans="2:19" ht="63" customHeight="1" x14ac:dyDescent="0.15">
      <c r="B190" s="113"/>
      <c r="C190" s="95"/>
      <c r="D190" s="102" t="s">
        <v>250</v>
      </c>
      <c r="E190" s="103"/>
      <c r="F190" s="103"/>
      <c r="G190" s="103"/>
      <c r="H190" s="103"/>
      <c r="I190" s="103"/>
      <c r="J190" s="103"/>
      <c r="K190" s="103"/>
      <c r="L190" s="103"/>
      <c r="M190" s="103"/>
      <c r="N190" s="103"/>
      <c r="O190" s="103"/>
      <c r="P190" s="103"/>
      <c r="Q190" s="103"/>
      <c r="R190" s="103"/>
      <c r="S190" s="104"/>
    </row>
    <row r="191" spans="2:19" s="83" customFormat="1" ht="207.75" customHeight="1" x14ac:dyDescent="0.15">
      <c r="B191" s="113"/>
      <c r="C191" s="95"/>
      <c r="D191" s="102" t="s">
        <v>253</v>
      </c>
      <c r="E191" s="103"/>
      <c r="F191" s="103"/>
      <c r="G191" s="103"/>
      <c r="H191" s="103"/>
      <c r="I191" s="103"/>
      <c r="J191" s="103"/>
      <c r="K191" s="103"/>
      <c r="L191" s="103"/>
      <c r="M191" s="103"/>
      <c r="N191" s="103"/>
      <c r="O191" s="103"/>
      <c r="P191" s="103"/>
      <c r="Q191" s="103"/>
      <c r="R191" s="103"/>
      <c r="S191" s="104"/>
    </row>
    <row r="192" spans="2:19" ht="169.5" customHeight="1" x14ac:dyDescent="0.15">
      <c r="B192" s="113"/>
      <c r="C192" s="95"/>
      <c r="D192" s="102" t="s">
        <v>257</v>
      </c>
      <c r="E192" s="103"/>
      <c r="F192" s="103"/>
      <c r="G192" s="103"/>
      <c r="H192" s="103"/>
      <c r="I192" s="103"/>
      <c r="J192" s="103"/>
      <c r="K192" s="103"/>
      <c r="L192" s="103"/>
      <c r="M192" s="103"/>
      <c r="N192" s="103"/>
      <c r="O192" s="103"/>
      <c r="P192" s="103"/>
      <c r="Q192" s="103"/>
      <c r="R192" s="103"/>
      <c r="S192" s="104"/>
    </row>
    <row r="193" spans="2:19" s="83" customFormat="1" ht="69" customHeight="1" x14ac:dyDescent="0.15">
      <c r="B193" s="113"/>
      <c r="C193" s="95"/>
      <c r="D193" s="102" t="s">
        <v>290</v>
      </c>
      <c r="E193" s="103"/>
      <c r="F193" s="103"/>
      <c r="G193" s="103"/>
      <c r="H193" s="103"/>
      <c r="I193" s="103"/>
      <c r="J193" s="103"/>
      <c r="K193" s="103"/>
      <c r="L193" s="103"/>
      <c r="M193" s="103"/>
      <c r="N193" s="103"/>
      <c r="O193" s="103"/>
      <c r="P193" s="103"/>
      <c r="Q193" s="103"/>
      <c r="R193" s="103"/>
      <c r="S193" s="104"/>
    </row>
    <row r="194" spans="2:19" s="83" customFormat="1" ht="39" customHeight="1" x14ac:dyDescent="0.15">
      <c r="B194" s="113" t="s">
        <v>316</v>
      </c>
      <c r="C194" s="95" t="s">
        <v>302</v>
      </c>
      <c r="D194" s="102" t="s">
        <v>259</v>
      </c>
      <c r="E194" s="103"/>
      <c r="F194" s="103"/>
      <c r="G194" s="103"/>
      <c r="H194" s="103"/>
      <c r="I194" s="103"/>
      <c r="J194" s="103"/>
      <c r="K194" s="103"/>
      <c r="L194" s="103"/>
      <c r="M194" s="103"/>
      <c r="N194" s="103"/>
      <c r="O194" s="103"/>
      <c r="P194" s="103"/>
      <c r="Q194" s="103"/>
      <c r="R194" s="103"/>
      <c r="S194" s="104"/>
    </row>
    <row r="195" spans="2:19" ht="72" customHeight="1" x14ac:dyDescent="0.15">
      <c r="B195" s="113"/>
      <c r="C195" s="96"/>
      <c r="D195" s="102" t="s">
        <v>261</v>
      </c>
      <c r="E195" s="103"/>
      <c r="F195" s="103"/>
      <c r="G195" s="103"/>
      <c r="H195" s="103"/>
      <c r="I195" s="103"/>
      <c r="J195" s="103"/>
      <c r="K195" s="103"/>
      <c r="L195" s="103"/>
      <c r="M195" s="103"/>
      <c r="N195" s="103"/>
      <c r="O195" s="103"/>
      <c r="P195" s="103"/>
      <c r="Q195" s="103"/>
      <c r="R195" s="103"/>
      <c r="S195" s="104"/>
    </row>
    <row r="196" spans="2:19" ht="33.75" customHeight="1" x14ac:dyDescent="0.15">
      <c r="B196" s="113"/>
      <c r="C196" s="97" t="s">
        <v>33</v>
      </c>
      <c r="D196" s="102" t="s">
        <v>204</v>
      </c>
      <c r="E196" s="103"/>
      <c r="F196" s="103"/>
      <c r="G196" s="103"/>
      <c r="H196" s="103"/>
      <c r="I196" s="103"/>
      <c r="J196" s="103"/>
      <c r="K196" s="103"/>
      <c r="L196" s="103"/>
      <c r="M196" s="103"/>
      <c r="N196" s="103"/>
      <c r="O196" s="103"/>
      <c r="P196" s="103"/>
      <c r="Q196" s="103"/>
      <c r="R196" s="103"/>
      <c r="S196" s="104"/>
    </row>
    <row r="197" spans="2:19" s="83" customFormat="1" ht="128.25" customHeight="1" x14ac:dyDescent="0.15">
      <c r="B197" s="113"/>
      <c r="C197" s="95"/>
      <c r="D197" s="102" t="s">
        <v>205</v>
      </c>
      <c r="E197" s="103"/>
      <c r="F197" s="103"/>
      <c r="G197" s="103"/>
      <c r="H197" s="103"/>
      <c r="I197" s="103"/>
      <c r="J197" s="103"/>
      <c r="K197" s="103"/>
      <c r="L197" s="103"/>
      <c r="M197" s="103"/>
      <c r="N197" s="103"/>
      <c r="O197" s="103"/>
      <c r="P197" s="103"/>
      <c r="Q197" s="103"/>
      <c r="R197" s="103"/>
      <c r="S197" s="104"/>
    </row>
    <row r="198" spans="2:19" s="83" customFormat="1" ht="39.75" customHeight="1" x14ac:dyDescent="0.15">
      <c r="B198" s="113"/>
      <c r="C198" s="95"/>
      <c r="D198" s="102" t="s">
        <v>207</v>
      </c>
      <c r="E198" s="103"/>
      <c r="F198" s="103"/>
      <c r="G198" s="103"/>
      <c r="H198" s="103"/>
      <c r="I198" s="103"/>
      <c r="J198" s="103"/>
      <c r="K198" s="103"/>
      <c r="L198" s="103"/>
      <c r="M198" s="103"/>
      <c r="N198" s="103"/>
      <c r="O198" s="103"/>
      <c r="P198" s="103"/>
      <c r="Q198" s="103"/>
      <c r="R198" s="103"/>
      <c r="S198" s="104"/>
    </row>
    <row r="199" spans="2:19" ht="47.25" customHeight="1" x14ac:dyDescent="0.15">
      <c r="B199" s="113"/>
      <c r="C199" s="95"/>
      <c r="D199" s="102" t="s">
        <v>212</v>
      </c>
      <c r="E199" s="103"/>
      <c r="F199" s="103"/>
      <c r="G199" s="103"/>
      <c r="H199" s="103"/>
      <c r="I199" s="103"/>
      <c r="J199" s="103"/>
      <c r="K199" s="103"/>
      <c r="L199" s="103"/>
      <c r="M199" s="103"/>
      <c r="N199" s="103"/>
      <c r="O199" s="103"/>
      <c r="P199" s="103"/>
      <c r="Q199" s="103"/>
      <c r="R199" s="103"/>
      <c r="S199" s="104"/>
    </row>
    <row r="200" spans="2:19" ht="164.25" customHeight="1" x14ac:dyDescent="0.15">
      <c r="B200" s="113"/>
      <c r="C200" s="95"/>
      <c r="D200" s="102" t="s">
        <v>213</v>
      </c>
      <c r="E200" s="103"/>
      <c r="F200" s="103"/>
      <c r="G200" s="103"/>
      <c r="H200" s="103"/>
      <c r="I200" s="103"/>
      <c r="J200" s="103"/>
      <c r="K200" s="103"/>
      <c r="L200" s="103"/>
      <c r="M200" s="103"/>
      <c r="N200" s="103"/>
      <c r="O200" s="103"/>
      <c r="P200" s="103"/>
      <c r="Q200" s="103"/>
      <c r="R200" s="103"/>
      <c r="S200" s="104"/>
    </row>
    <row r="201" spans="2:19" ht="196.5" customHeight="1" x14ac:dyDescent="0.15">
      <c r="B201" s="113"/>
      <c r="C201" s="95"/>
      <c r="D201" s="99" t="s">
        <v>218</v>
      </c>
      <c r="E201" s="100"/>
      <c r="F201" s="100"/>
      <c r="G201" s="100"/>
      <c r="H201" s="100"/>
      <c r="I201" s="100"/>
      <c r="J201" s="100"/>
      <c r="K201" s="100"/>
      <c r="L201" s="100"/>
      <c r="M201" s="100"/>
      <c r="N201" s="100"/>
      <c r="O201" s="100"/>
      <c r="P201" s="100"/>
      <c r="Q201" s="100"/>
      <c r="R201" s="100"/>
      <c r="S201" s="101"/>
    </row>
    <row r="202" spans="2:19" ht="104.25" customHeight="1" x14ac:dyDescent="0.15">
      <c r="B202" s="113"/>
      <c r="C202" s="95"/>
      <c r="D202" s="109" t="s">
        <v>219</v>
      </c>
      <c r="E202" s="110"/>
      <c r="F202" s="110"/>
      <c r="G202" s="110"/>
      <c r="H202" s="110"/>
      <c r="I202" s="110"/>
      <c r="J202" s="110"/>
      <c r="K202" s="110"/>
      <c r="L202" s="110"/>
      <c r="M202" s="110"/>
      <c r="N202" s="110"/>
      <c r="O202" s="110"/>
      <c r="P202" s="110"/>
      <c r="Q202" s="110"/>
      <c r="R202" s="110"/>
      <c r="S202" s="111"/>
    </row>
    <row r="203" spans="2:19" s="90" customFormat="1" ht="272.25" customHeight="1" x14ac:dyDescent="0.15">
      <c r="B203" s="113"/>
      <c r="C203" s="95"/>
      <c r="D203" s="99" t="s">
        <v>298</v>
      </c>
      <c r="E203" s="100"/>
      <c r="F203" s="100"/>
      <c r="G203" s="100"/>
      <c r="H203" s="100"/>
      <c r="I203" s="100"/>
      <c r="J203" s="100"/>
      <c r="K203" s="100"/>
      <c r="L203" s="100"/>
      <c r="M203" s="100"/>
      <c r="N203" s="100"/>
      <c r="O203" s="100"/>
      <c r="P203" s="100"/>
      <c r="Q203" s="100"/>
      <c r="R203" s="100"/>
      <c r="S203" s="101"/>
    </row>
    <row r="204" spans="2:19" ht="124.5" customHeight="1" x14ac:dyDescent="0.15">
      <c r="B204" s="113" t="s">
        <v>316</v>
      </c>
      <c r="C204" s="95" t="s">
        <v>303</v>
      </c>
      <c r="D204" s="109" t="s">
        <v>299</v>
      </c>
      <c r="E204" s="110"/>
      <c r="F204" s="110"/>
      <c r="G204" s="110"/>
      <c r="H204" s="110"/>
      <c r="I204" s="110"/>
      <c r="J204" s="110"/>
      <c r="K204" s="110"/>
      <c r="L204" s="110"/>
      <c r="M204" s="110"/>
      <c r="N204" s="110"/>
      <c r="O204" s="110"/>
      <c r="P204" s="110"/>
      <c r="Q204" s="110"/>
      <c r="R204" s="110"/>
      <c r="S204" s="111"/>
    </row>
    <row r="205" spans="2:19" ht="122.25" customHeight="1" x14ac:dyDescent="0.15">
      <c r="B205" s="113"/>
      <c r="C205" s="95"/>
      <c r="D205" s="102" t="s">
        <v>224</v>
      </c>
      <c r="E205" s="103"/>
      <c r="F205" s="103"/>
      <c r="G205" s="103"/>
      <c r="H205" s="103"/>
      <c r="I205" s="103"/>
      <c r="J205" s="103"/>
      <c r="K205" s="103"/>
      <c r="L205" s="103"/>
      <c r="M205" s="103"/>
      <c r="N205" s="103"/>
      <c r="O205" s="103"/>
      <c r="P205" s="103"/>
      <c r="Q205" s="103"/>
      <c r="R205" s="103"/>
      <c r="S205" s="104"/>
    </row>
    <row r="206" spans="2:19" s="83" customFormat="1" ht="40.5" customHeight="1" x14ac:dyDescent="0.15">
      <c r="B206" s="113"/>
      <c r="C206" s="95"/>
      <c r="D206" s="102" t="s">
        <v>227</v>
      </c>
      <c r="E206" s="103"/>
      <c r="F206" s="103"/>
      <c r="G206" s="103"/>
      <c r="H206" s="103"/>
      <c r="I206" s="103"/>
      <c r="J206" s="103"/>
      <c r="K206" s="103"/>
      <c r="L206" s="103"/>
      <c r="M206" s="103"/>
      <c r="N206" s="103"/>
      <c r="O206" s="103"/>
      <c r="P206" s="103"/>
      <c r="Q206" s="103"/>
      <c r="R206" s="103"/>
      <c r="S206" s="104"/>
    </row>
    <row r="207" spans="2:19" s="83" customFormat="1" ht="38.25" customHeight="1" x14ac:dyDescent="0.15">
      <c r="B207" s="113"/>
      <c r="C207" s="95"/>
      <c r="D207" s="102" t="s">
        <v>236</v>
      </c>
      <c r="E207" s="103"/>
      <c r="F207" s="103"/>
      <c r="G207" s="103"/>
      <c r="H207" s="103"/>
      <c r="I207" s="103"/>
      <c r="J207" s="103"/>
      <c r="K207" s="103"/>
      <c r="L207" s="103"/>
      <c r="M207" s="103"/>
      <c r="N207" s="103"/>
      <c r="O207" s="103"/>
      <c r="P207" s="103"/>
      <c r="Q207" s="103"/>
      <c r="R207" s="103"/>
      <c r="S207" s="104"/>
    </row>
    <row r="208" spans="2:19" ht="46.5" customHeight="1" x14ac:dyDescent="0.15">
      <c r="B208" s="113"/>
      <c r="C208" s="95"/>
      <c r="D208" s="102" t="s">
        <v>251</v>
      </c>
      <c r="E208" s="103"/>
      <c r="F208" s="103"/>
      <c r="G208" s="103"/>
      <c r="H208" s="103"/>
      <c r="I208" s="103"/>
      <c r="J208" s="103"/>
      <c r="K208" s="103"/>
      <c r="L208" s="103"/>
      <c r="M208" s="103"/>
      <c r="N208" s="103"/>
      <c r="O208" s="103"/>
      <c r="P208" s="103"/>
      <c r="Q208" s="103"/>
      <c r="R208" s="103"/>
      <c r="S208" s="104"/>
    </row>
    <row r="209" spans="1:19" ht="114.75" customHeight="1" x14ac:dyDescent="0.15">
      <c r="B209" s="113"/>
      <c r="C209" s="95"/>
      <c r="D209" s="102" t="s">
        <v>256</v>
      </c>
      <c r="E209" s="103"/>
      <c r="F209" s="103"/>
      <c r="G209" s="103"/>
      <c r="H209" s="103"/>
      <c r="I209" s="103"/>
      <c r="J209" s="103"/>
      <c r="K209" s="103"/>
      <c r="L209" s="103"/>
      <c r="M209" s="103"/>
      <c r="N209" s="103"/>
      <c r="O209" s="103"/>
      <c r="P209" s="103"/>
      <c r="Q209" s="103"/>
      <c r="R209" s="103"/>
      <c r="S209" s="104"/>
    </row>
    <row r="210" spans="1:19" s="83" customFormat="1" ht="45" customHeight="1" x14ac:dyDescent="0.15">
      <c r="B210" s="113"/>
      <c r="C210" s="95"/>
      <c r="D210" s="102" t="s">
        <v>318</v>
      </c>
      <c r="E210" s="103"/>
      <c r="F210" s="103"/>
      <c r="G210" s="103"/>
      <c r="H210" s="103"/>
      <c r="I210" s="103"/>
      <c r="J210" s="103"/>
      <c r="K210" s="103"/>
      <c r="L210" s="103"/>
      <c r="M210" s="103"/>
      <c r="N210" s="103"/>
      <c r="O210" s="103"/>
      <c r="P210" s="103"/>
      <c r="Q210" s="103"/>
      <c r="R210" s="103"/>
      <c r="S210" s="104"/>
    </row>
    <row r="211" spans="1:19" ht="51.75" customHeight="1" x14ac:dyDescent="0.15">
      <c r="B211" s="141"/>
      <c r="C211" s="98"/>
      <c r="D211" s="114" t="s">
        <v>300</v>
      </c>
      <c r="E211" s="115"/>
      <c r="F211" s="115"/>
      <c r="G211" s="115"/>
      <c r="H211" s="115"/>
      <c r="I211" s="115"/>
      <c r="J211" s="115"/>
      <c r="K211" s="115"/>
      <c r="L211" s="115"/>
      <c r="M211" s="115"/>
      <c r="N211" s="115"/>
      <c r="O211" s="115"/>
      <c r="P211" s="115"/>
      <c r="Q211" s="115"/>
      <c r="R211" s="115"/>
      <c r="S211" s="116"/>
    </row>
    <row r="212" spans="1:19" ht="6" customHeight="1" x14ac:dyDescent="0.15"/>
    <row r="213" spans="1:19" ht="18.75" customHeight="1" x14ac:dyDescent="0.15">
      <c r="A213" s="80" t="s">
        <v>46</v>
      </c>
    </row>
    <row r="214" spans="1:19" ht="81.75" customHeight="1" x14ac:dyDescent="0.15">
      <c r="B214" s="117" t="s">
        <v>131</v>
      </c>
      <c r="C214" s="118"/>
      <c r="D214" s="118"/>
      <c r="E214" s="118"/>
      <c r="F214" s="118"/>
      <c r="G214" s="118"/>
      <c r="H214" s="118"/>
      <c r="I214" s="118"/>
      <c r="J214" s="118"/>
      <c r="K214" s="118"/>
      <c r="L214" s="118"/>
      <c r="M214" s="118"/>
      <c r="N214" s="118"/>
      <c r="O214" s="118"/>
      <c r="P214" s="118"/>
      <c r="Q214" s="118"/>
      <c r="R214" s="118"/>
      <c r="S214" s="119"/>
    </row>
    <row r="222" spans="1:19" ht="18" customHeight="1" x14ac:dyDescent="0.15"/>
  </sheetData>
  <mergeCells count="328">
    <mergeCell ref="B156:B164"/>
    <mergeCell ref="B165:B170"/>
    <mergeCell ref="B171:B180"/>
    <mergeCell ref="B181:B193"/>
    <mergeCell ref="B194:B203"/>
    <mergeCell ref="B204:B211"/>
    <mergeCell ref="B151:B155"/>
    <mergeCell ref="R1:S1"/>
    <mergeCell ref="C2:I2"/>
    <mergeCell ref="C3:I3"/>
    <mergeCell ref="A5:S5"/>
    <mergeCell ref="K7:S7"/>
    <mergeCell ref="B9:S10"/>
    <mergeCell ref="B13:S18"/>
    <mergeCell ref="C20:D20"/>
    <mergeCell ref="K20:S20"/>
    <mergeCell ref="A22:S23"/>
    <mergeCell ref="B24:E24"/>
    <mergeCell ref="J24:O24"/>
    <mergeCell ref="B25:E25"/>
    <mergeCell ref="J25:O25"/>
    <mergeCell ref="B26:E26"/>
    <mergeCell ref="J26:O26"/>
    <mergeCell ref="B27:E27"/>
    <mergeCell ref="J27:O27"/>
    <mergeCell ref="B28:E28"/>
    <mergeCell ref="J28:O28"/>
    <mergeCell ref="B29:E29"/>
    <mergeCell ref="B95:E95"/>
    <mergeCell ref="F95:I95"/>
    <mergeCell ref="J29:O29"/>
    <mergeCell ref="B30:E30"/>
    <mergeCell ref="J30:O30"/>
    <mergeCell ref="B31:E31"/>
    <mergeCell ref="J31:O31"/>
    <mergeCell ref="A33:S34"/>
    <mergeCell ref="B35:E35"/>
    <mergeCell ref="J35:O35"/>
    <mergeCell ref="B36:E36"/>
    <mergeCell ref="J36:O36"/>
    <mergeCell ref="B37:E37"/>
    <mergeCell ref="J37:O37"/>
    <mergeCell ref="B38:E38"/>
    <mergeCell ref="J38:O38"/>
    <mergeCell ref="B39:E39"/>
    <mergeCell ref="J39:O39"/>
    <mergeCell ref="B40:E40"/>
    <mergeCell ref="J40:O40"/>
    <mergeCell ref="B41:E41"/>
    <mergeCell ref="J41:O41"/>
    <mergeCell ref="B42:E42"/>
    <mergeCell ref="J42:O42"/>
    <mergeCell ref="A44:S45"/>
    <mergeCell ref="B46:E46"/>
    <mergeCell ref="J46:O46"/>
    <mergeCell ref="B47:E47"/>
    <mergeCell ref="J47:O47"/>
    <mergeCell ref="B48:E48"/>
    <mergeCell ref="J48:O48"/>
    <mergeCell ref="B49:E49"/>
    <mergeCell ref="J49:O49"/>
    <mergeCell ref="B50:E50"/>
    <mergeCell ref="J50:O50"/>
    <mergeCell ref="B51:E51"/>
    <mergeCell ref="J51:O51"/>
    <mergeCell ref="B52:E52"/>
    <mergeCell ref="J52:O52"/>
    <mergeCell ref="B53:E53"/>
    <mergeCell ref="J53:O53"/>
    <mergeCell ref="A55:S56"/>
    <mergeCell ref="B57:E57"/>
    <mergeCell ref="J57:O57"/>
    <mergeCell ref="B58:E58"/>
    <mergeCell ref="J58:O58"/>
    <mergeCell ref="B59:E59"/>
    <mergeCell ref="J59:O59"/>
    <mergeCell ref="B60:E60"/>
    <mergeCell ref="J60:O60"/>
    <mergeCell ref="B61:E61"/>
    <mergeCell ref="J61:O61"/>
    <mergeCell ref="B62:E62"/>
    <mergeCell ref="J62:O62"/>
    <mergeCell ref="B63:E63"/>
    <mergeCell ref="J63:O63"/>
    <mergeCell ref="B64:E64"/>
    <mergeCell ref="J64:O64"/>
    <mergeCell ref="A66:S67"/>
    <mergeCell ref="B68:D68"/>
    <mergeCell ref="J68:N68"/>
    <mergeCell ref="B69:D69"/>
    <mergeCell ref="J69:N69"/>
    <mergeCell ref="B70:D70"/>
    <mergeCell ref="J70:N70"/>
    <mergeCell ref="B71:D71"/>
    <mergeCell ref="J71:N71"/>
    <mergeCell ref="B72:D72"/>
    <mergeCell ref="J72:N72"/>
    <mergeCell ref="B73:D73"/>
    <mergeCell ref="J73:N73"/>
    <mergeCell ref="B74:D74"/>
    <mergeCell ref="J74:N74"/>
    <mergeCell ref="B75:D75"/>
    <mergeCell ref="J75:N75"/>
    <mergeCell ref="B76:D76"/>
    <mergeCell ref="J76:N76"/>
    <mergeCell ref="B77:D77"/>
    <mergeCell ref="J77:N77"/>
    <mergeCell ref="B78:D78"/>
    <mergeCell ref="J78:N78"/>
    <mergeCell ref="B79:D79"/>
    <mergeCell ref="J79:N79"/>
    <mergeCell ref="B80:D80"/>
    <mergeCell ref="J80:N80"/>
    <mergeCell ref="B81:D81"/>
    <mergeCell ref="J81:N81"/>
    <mergeCell ref="B82:D82"/>
    <mergeCell ref="J82:N82"/>
    <mergeCell ref="B83:D83"/>
    <mergeCell ref="J83:N83"/>
    <mergeCell ref="B86:E86"/>
    <mergeCell ref="F86:I86"/>
    <mergeCell ref="J86:O86"/>
    <mergeCell ref="P86:S86"/>
    <mergeCell ref="B87:E87"/>
    <mergeCell ref="F87:I87"/>
    <mergeCell ref="J87:O87"/>
    <mergeCell ref="P87:S87"/>
    <mergeCell ref="B88:E88"/>
    <mergeCell ref="F88:I88"/>
    <mergeCell ref="J88:O88"/>
    <mergeCell ref="P88:S88"/>
    <mergeCell ref="B92:E92"/>
    <mergeCell ref="F92:I92"/>
    <mergeCell ref="J92:O92"/>
    <mergeCell ref="P92:S92"/>
    <mergeCell ref="B93:E93"/>
    <mergeCell ref="F93:I93"/>
    <mergeCell ref="J93:O93"/>
    <mergeCell ref="P93:S93"/>
    <mergeCell ref="B89:E89"/>
    <mergeCell ref="F89:I89"/>
    <mergeCell ref="J89:O89"/>
    <mergeCell ref="P89:S89"/>
    <mergeCell ref="B90:E90"/>
    <mergeCell ref="F90:I90"/>
    <mergeCell ref="J90:O90"/>
    <mergeCell ref="P90:S90"/>
    <mergeCell ref="B91:E91"/>
    <mergeCell ref="F91:I91"/>
    <mergeCell ref="J91:O91"/>
    <mergeCell ref="P91:S91"/>
    <mergeCell ref="B94:E94"/>
    <mergeCell ref="F94:I94"/>
    <mergeCell ref="J94:O94"/>
    <mergeCell ref="P94:S94"/>
    <mergeCell ref="B96:E96"/>
    <mergeCell ref="F96:I96"/>
    <mergeCell ref="J96:O96"/>
    <mergeCell ref="P96:S96"/>
    <mergeCell ref="B97:E97"/>
    <mergeCell ref="F97:I97"/>
    <mergeCell ref="J97:O97"/>
    <mergeCell ref="P97:S97"/>
    <mergeCell ref="J95:O95"/>
    <mergeCell ref="P95:S95"/>
    <mergeCell ref="B98:E98"/>
    <mergeCell ref="F98:I98"/>
    <mergeCell ref="J98:O98"/>
    <mergeCell ref="P98:S98"/>
    <mergeCell ref="B99:E99"/>
    <mergeCell ref="F99:I99"/>
    <mergeCell ref="J99:O99"/>
    <mergeCell ref="P99:S99"/>
    <mergeCell ref="B100:E100"/>
    <mergeCell ref="F100:I100"/>
    <mergeCell ref="J100:O100"/>
    <mergeCell ref="P100:S100"/>
    <mergeCell ref="B101:E101"/>
    <mergeCell ref="F101:I101"/>
    <mergeCell ref="J101:O101"/>
    <mergeCell ref="P101:S101"/>
    <mergeCell ref="B102:E102"/>
    <mergeCell ref="F102:I102"/>
    <mergeCell ref="J102:O102"/>
    <mergeCell ref="P102:S102"/>
    <mergeCell ref="B103:E103"/>
    <mergeCell ref="F103:I103"/>
    <mergeCell ref="J103:O103"/>
    <mergeCell ref="P103:S103"/>
    <mergeCell ref="B104:E104"/>
    <mergeCell ref="F104:I104"/>
    <mergeCell ref="J104:O104"/>
    <mergeCell ref="P104:S104"/>
    <mergeCell ref="B105:E105"/>
    <mergeCell ref="F105:I105"/>
    <mergeCell ref="J105:O105"/>
    <mergeCell ref="B108:C108"/>
    <mergeCell ref="D108:S108"/>
    <mergeCell ref="P105:S105"/>
    <mergeCell ref="D154:S154"/>
    <mergeCell ref="D155:S155"/>
    <mergeCell ref="B109:B110"/>
    <mergeCell ref="D109:S109"/>
    <mergeCell ref="D110:S110"/>
    <mergeCell ref="D111:S111"/>
    <mergeCell ref="D115:S115"/>
    <mergeCell ref="B122:B123"/>
    <mergeCell ref="D122:S122"/>
    <mergeCell ref="D123:S123"/>
    <mergeCell ref="C115:C121"/>
    <mergeCell ref="B111:B121"/>
    <mergeCell ref="D121:S121"/>
    <mergeCell ref="D114:S114"/>
    <mergeCell ref="D113:S113"/>
    <mergeCell ref="D112:S112"/>
    <mergeCell ref="C111:C114"/>
    <mergeCell ref="D116:S116"/>
    <mergeCell ref="D117:S117"/>
    <mergeCell ref="D118:S118"/>
    <mergeCell ref="D119:S119"/>
    <mergeCell ref="D120:S120"/>
    <mergeCell ref="B143:B145"/>
    <mergeCell ref="B146:B150"/>
    <mergeCell ref="B124:B128"/>
    <mergeCell ref="D124:S124"/>
    <mergeCell ref="D128:S128"/>
    <mergeCell ref="D129:S129"/>
    <mergeCell ref="D134:S134"/>
    <mergeCell ref="D135:S135"/>
    <mergeCell ref="D136:S136"/>
    <mergeCell ref="D138:S138"/>
    <mergeCell ref="D139:S139"/>
    <mergeCell ref="B134:B137"/>
    <mergeCell ref="B138:B142"/>
    <mergeCell ref="D133:S133"/>
    <mergeCell ref="D140:S140"/>
    <mergeCell ref="D141:S141"/>
    <mergeCell ref="D142:S142"/>
    <mergeCell ref="B214:S214"/>
    <mergeCell ref="D196:S196"/>
    <mergeCell ref="D199:S199"/>
    <mergeCell ref="D200:S200"/>
    <mergeCell ref="D201:S201"/>
    <mergeCell ref="D202:S202"/>
    <mergeCell ref="D204:S204"/>
    <mergeCell ref="D209:S209"/>
    <mergeCell ref="D203:S203"/>
    <mergeCell ref="D207:S207"/>
    <mergeCell ref="D210:S210"/>
    <mergeCell ref="D197:S197"/>
    <mergeCell ref="D198:S198"/>
    <mergeCell ref="D206:S206"/>
    <mergeCell ref="D205:S205"/>
    <mergeCell ref="D208:S208"/>
    <mergeCell ref="D211:S211"/>
    <mergeCell ref="D175:S175"/>
    <mergeCell ref="D166:S166"/>
    <mergeCell ref="D189:S189"/>
    <mergeCell ref="D191:S191"/>
    <mergeCell ref="D193:S193"/>
    <mergeCell ref="D194:S194"/>
    <mergeCell ref="D171:S171"/>
    <mergeCell ref="D179:S179"/>
    <mergeCell ref="D184:S184"/>
    <mergeCell ref="D190:S190"/>
    <mergeCell ref="D192:S192"/>
    <mergeCell ref="D195:S195"/>
    <mergeCell ref="D176:S176"/>
    <mergeCell ref="D180:S180"/>
    <mergeCell ref="D181:S181"/>
    <mergeCell ref="D182:S182"/>
    <mergeCell ref="D143:S143"/>
    <mergeCell ref="B129:B133"/>
    <mergeCell ref="C129:C133"/>
    <mergeCell ref="C134:C137"/>
    <mergeCell ref="C138:C142"/>
    <mergeCell ref="C143:C145"/>
    <mergeCell ref="C146:C150"/>
    <mergeCell ref="C151:C155"/>
    <mergeCell ref="C156:C164"/>
    <mergeCell ref="D157:S157"/>
    <mergeCell ref="D161:S161"/>
    <mergeCell ref="D153:S153"/>
    <mergeCell ref="D156:S156"/>
    <mergeCell ref="D158:S158"/>
    <mergeCell ref="D159:S159"/>
    <mergeCell ref="D160:S160"/>
    <mergeCell ref="D147:S147"/>
    <mergeCell ref="D148:S148"/>
    <mergeCell ref="D144:S144"/>
    <mergeCell ref="D145:S145"/>
    <mergeCell ref="D146:S146"/>
    <mergeCell ref="D149:S149"/>
    <mergeCell ref="D151:S151"/>
    <mergeCell ref="D152:S152"/>
    <mergeCell ref="D183:S183"/>
    <mergeCell ref="D185:S185"/>
    <mergeCell ref="D186:S186"/>
    <mergeCell ref="D187:S187"/>
    <mergeCell ref="D188:S188"/>
    <mergeCell ref="D178:S178"/>
    <mergeCell ref="D162:S162"/>
    <mergeCell ref="D163:S163"/>
    <mergeCell ref="D165:S165"/>
    <mergeCell ref="C165:C170"/>
    <mergeCell ref="C171:C180"/>
    <mergeCell ref="C181:C193"/>
    <mergeCell ref="C194:C195"/>
    <mergeCell ref="C196:C203"/>
    <mergeCell ref="C204:C211"/>
    <mergeCell ref="D125:S125"/>
    <mergeCell ref="D127:S127"/>
    <mergeCell ref="C124:C127"/>
    <mergeCell ref="D126:S126"/>
    <mergeCell ref="D137:S137"/>
    <mergeCell ref="D150:S150"/>
    <mergeCell ref="D164:S164"/>
    <mergeCell ref="D167:S167"/>
    <mergeCell ref="D170:S170"/>
    <mergeCell ref="D168:S168"/>
    <mergeCell ref="D169:S169"/>
    <mergeCell ref="D177:S177"/>
    <mergeCell ref="D172:S172"/>
    <mergeCell ref="D173:S173"/>
    <mergeCell ref="D174:S174"/>
    <mergeCell ref="D130:S130"/>
    <mergeCell ref="D131:S131"/>
    <mergeCell ref="D132:S132"/>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F15EB1AE-3E56-4584-85D4-248C79DA5D04}">
      <formula1>$V$14:$V$16</formula1>
    </dataValidation>
    <dataValidation type="list" allowBlank="1" showInputMessage="1" showErrorMessage="1" sqref="G104:I106 G96:I101 P87:P106 F87:F106 G87:I94 Q106:S106" xr:uid="{6B11AEED-19D8-484B-881F-E39EDFBA223A}">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12 K7" xr:uid="{42F53D61-30B2-48AC-A924-3B6123A799B8}">
      <formula1>"学部・学科によって、修了要件は相違する,学部・学科によって、修了要件は相違しない"</formula1>
    </dataValidation>
    <dataValidation type="list" allowBlank="1" showInputMessage="1" showErrorMessage="1" sqref="S32 S43 D32:G32 D43:G43" xr:uid="{E4BD3DF3-6CC0-4445-A727-B951BD89CAE7}">
      <formula1>"全学開講,一部開講"</formula1>
    </dataValidation>
    <dataValidation type="list" allowBlank="1" showInputMessage="1" showErrorMessage="1" sqref="P69:S83 Q25:S31 G36:I42 Q36:S42 G47:I53 Q47:S53 G58:I64 Q58:S64 F69:I83 G25:I31" xr:uid="{A184A80C-3805-4D48-B709-BA66E6BC8BD1}">
      <formula1>"○"</formula1>
    </dataValidation>
  </dataValidations>
  <printOptions horizontalCentered="1"/>
  <pageMargins left="0.78740157480314965" right="0.78740157480314965" top="0.78740157480314965" bottom="0.19685039370078741" header="0.31496062992125984" footer="0.19685039370078741"/>
  <pageSetup paperSize="9" scale="72" fitToHeight="0" orientation="portrait" r:id="rId1"/>
  <headerFooter>
    <oddHeader>&amp;C数理・データサイエンス・AI教育プログラム認定制度【リテラシーレベル】</oddHeader>
  </headerFooter>
  <rowBreaks count="12" manualBreakCount="12">
    <brk id="65" max="18" man="1"/>
    <brk id="110" max="18" man="1"/>
    <brk id="123" max="18" man="1"/>
    <brk id="133" max="18" man="1"/>
    <brk id="137" max="18" man="1"/>
    <brk id="142" max="18" man="1"/>
    <brk id="145" max="18" man="1"/>
    <brk id="150" max="18" man="1"/>
    <brk id="155" max="18" man="1"/>
    <brk id="164" max="18" man="1"/>
    <brk id="170" max="18" man="1"/>
    <brk id="180"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workbookViewId="0"/>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47</v>
      </c>
    </row>
    <row r="2" spans="1:45" ht="18" customHeight="1" x14ac:dyDescent="0.15">
      <c r="K2" s="74"/>
      <c r="Q2" s="74"/>
      <c r="W2" s="74"/>
      <c r="AC2" s="74"/>
      <c r="AI2" s="74"/>
      <c r="AL2" s="74" t="s">
        <v>2</v>
      </c>
      <c r="AM2" s="210" t="str">
        <f>'[1]様式１　プログラムを構成する授業科目'!C2</f>
        <v>龍谷大学</v>
      </c>
      <c r="AN2" s="210"/>
      <c r="AO2" s="210"/>
      <c r="AP2" s="210"/>
      <c r="AQ2" s="210"/>
    </row>
    <row r="3" spans="1:45" ht="18" customHeight="1" x14ac:dyDescent="0.15">
      <c r="A3" s="185" t="s">
        <v>48</v>
      </c>
      <c r="B3" s="185"/>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49</v>
      </c>
      <c r="C5" s="211">
        <v>2022</v>
      </c>
      <c r="D5" s="212"/>
      <c r="E5" s="3" t="s">
        <v>50</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5"/>
      <c r="AQ5" s="5"/>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51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13" t="s">
        <v>52</v>
      </c>
      <c r="C9" s="228" t="s">
        <v>53</v>
      </c>
      <c r="D9" s="216" t="s">
        <v>54</v>
      </c>
      <c r="E9" s="219" t="s">
        <v>55</v>
      </c>
      <c r="F9" s="209" t="s">
        <v>56</v>
      </c>
      <c r="G9" s="209"/>
      <c r="H9" s="209"/>
      <c r="I9" s="209"/>
      <c r="J9" s="209"/>
      <c r="K9" s="209"/>
      <c r="L9" s="209" t="s">
        <v>57</v>
      </c>
      <c r="M9" s="209"/>
      <c r="N9" s="209"/>
      <c r="O9" s="209"/>
      <c r="P9" s="209"/>
      <c r="Q9" s="209"/>
      <c r="R9" s="209" t="s">
        <v>58</v>
      </c>
      <c r="S9" s="209"/>
      <c r="T9" s="209"/>
      <c r="U9" s="209"/>
      <c r="V9" s="209"/>
      <c r="W9" s="209"/>
      <c r="X9" s="209" t="s">
        <v>59</v>
      </c>
      <c r="Y9" s="209"/>
      <c r="Z9" s="209"/>
      <c r="AA9" s="209"/>
      <c r="AB9" s="209"/>
      <c r="AC9" s="209"/>
      <c r="AD9" s="209" t="s">
        <v>60</v>
      </c>
      <c r="AE9" s="209"/>
      <c r="AF9" s="209"/>
      <c r="AG9" s="209"/>
      <c r="AH9" s="209"/>
      <c r="AI9" s="209"/>
      <c r="AJ9" s="209" t="s">
        <v>61</v>
      </c>
      <c r="AK9" s="209"/>
      <c r="AL9" s="209"/>
      <c r="AM9" s="209"/>
      <c r="AN9" s="209"/>
      <c r="AO9" s="209"/>
      <c r="AP9" s="222" t="s">
        <v>62</v>
      </c>
      <c r="AQ9" s="225" t="s">
        <v>63</v>
      </c>
      <c r="AS9" s="2"/>
    </row>
    <row r="10" spans="1:45" ht="16.899999999999999" customHeight="1" x14ac:dyDescent="0.15">
      <c r="B10" s="214"/>
      <c r="C10" s="229"/>
      <c r="D10" s="217"/>
      <c r="E10" s="220"/>
      <c r="F10" s="207" t="s">
        <v>64</v>
      </c>
      <c r="G10" s="208"/>
      <c r="H10" s="208"/>
      <c r="I10" s="207" t="s">
        <v>65</v>
      </c>
      <c r="J10" s="208"/>
      <c r="K10" s="208"/>
      <c r="L10" s="207" t="s">
        <v>64</v>
      </c>
      <c r="M10" s="208"/>
      <c r="N10" s="208"/>
      <c r="O10" s="207" t="s">
        <v>65</v>
      </c>
      <c r="P10" s="208"/>
      <c r="Q10" s="208"/>
      <c r="R10" s="207" t="s">
        <v>64</v>
      </c>
      <c r="S10" s="208"/>
      <c r="T10" s="208"/>
      <c r="U10" s="207" t="s">
        <v>65</v>
      </c>
      <c r="V10" s="208"/>
      <c r="W10" s="208"/>
      <c r="X10" s="207" t="s">
        <v>64</v>
      </c>
      <c r="Y10" s="208"/>
      <c r="Z10" s="208"/>
      <c r="AA10" s="207" t="s">
        <v>65</v>
      </c>
      <c r="AB10" s="208"/>
      <c r="AC10" s="208"/>
      <c r="AD10" s="207" t="s">
        <v>64</v>
      </c>
      <c r="AE10" s="208"/>
      <c r="AF10" s="208"/>
      <c r="AG10" s="207" t="s">
        <v>65</v>
      </c>
      <c r="AH10" s="208"/>
      <c r="AI10" s="208"/>
      <c r="AJ10" s="207" t="s">
        <v>64</v>
      </c>
      <c r="AK10" s="208"/>
      <c r="AL10" s="208"/>
      <c r="AM10" s="207" t="s">
        <v>65</v>
      </c>
      <c r="AN10" s="208"/>
      <c r="AO10" s="208"/>
      <c r="AP10" s="223"/>
      <c r="AQ10" s="226"/>
      <c r="AS10" s="2"/>
    </row>
    <row r="11" spans="1:45" ht="18" customHeight="1" x14ac:dyDescent="0.15">
      <c r="B11" s="215"/>
      <c r="C11" s="230"/>
      <c r="D11" s="218"/>
      <c r="E11" s="221"/>
      <c r="F11" s="14" t="s">
        <v>66</v>
      </c>
      <c r="G11" s="15" t="s">
        <v>67</v>
      </c>
      <c r="H11" s="16" t="s">
        <v>68</v>
      </c>
      <c r="I11" s="14" t="s">
        <v>66</v>
      </c>
      <c r="J11" s="15" t="s">
        <v>67</v>
      </c>
      <c r="K11" s="16" t="s">
        <v>68</v>
      </c>
      <c r="L11" s="14" t="s">
        <v>66</v>
      </c>
      <c r="M11" s="15" t="s">
        <v>67</v>
      </c>
      <c r="N11" s="16" t="s">
        <v>68</v>
      </c>
      <c r="O11" s="14" t="s">
        <v>66</v>
      </c>
      <c r="P11" s="15" t="s">
        <v>67</v>
      </c>
      <c r="Q11" s="16" t="s">
        <v>68</v>
      </c>
      <c r="R11" s="14" t="s">
        <v>66</v>
      </c>
      <c r="S11" s="15" t="s">
        <v>67</v>
      </c>
      <c r="T11" s="16" t="s">
        <v>68</v>
      </c>
      <c r="U11" s="14" t="s">
        <v>66</v>
      </c>
      <c r="V11" s="15" t="s">
        <v>67</v>
      </c>
      <c r="W11" s="16" t="s">
        <v>68</v>
      </c>
      <c r="X11" s="14" t="s">
        <v>66</v>
      </c>
      <c r="Y11" s="15" t="s">
        <v>67</v>
      </c>
      <c r="Z11" s="16" t="s">
        <v>68</v>
      </c>
      <c r="AA11" s="14" t="s">
        <v>66</v>
      </c>
      <c r="AB11" s="15" t="s">
        <v>67</v>
      </c>
      <c r="AC11" s="16" t="s">
        <v>68</v>
      </c>
      <c r="AD11" s="14" t="s">
        <v>66</v>
      </c>
      <c r="AE11" s="15" t="s">
        <v>67</v>
      </c>
      <c r="AF11" s="16" t="s">
        <v>68</v>
      </c>
      <c r="AG11" s="14" t="s">
        <v>66</v>
      </c>
      <c r="AH11" s="15" t="s">
        <v>67</v>
      </c>
      <c r="AI11" s="16" t="s">
        <v>68</v>
      </c>
      <c r="AJ11" s="14" t="s">
        <v>66</v>
      </c>
      <c r="AK11" s="15" t="s">
        <v>67</v>
      </c>
      <c r="AL11" s="16" t="s">
        <v>68</v>
      </c>
      <c r="AM11" s="14" t="s">
        <v>66</v>
      </c>
      <c r="AN11" s="15" t="s">
        <v>67</v>
      </c>
      <c r="AO11" s="16" t="s">
        <v>68</v>
      </c>
      <c r="AP11" s="224"/>
      <c r="AQ11" s="227"/>
      <c r="AS11" s="2"/>
    </row>
    <row r="12" spans="1:45" ht="18" customHeight="1" x14ac:dyDescent="0.15">
      <c r="A12" s="5"/>
      <c r="B12" s="10" t="s">
        <v>132</v>
      </c>
      <c r="C12" s="53">
        <v>3943</v>
      </c>
      <c r="D12" s="54">
        <v>979</v>
      </c>
      <c r="E12" s="55">
        <v>3927</v>
      </c>
      <c r="F12" s="55">
        <f>G12+H12</f>
        <v>153</v>
      </c>
      <c r="G12" s="56">
        <v>111</v>
      </c>
      <c r="H12" s="57">
        <v>42</v>
      </c>
      <c r="I12" s="55">
        <f>J12+K12</f>
        <v>3</v>
      </c>
      <c r="J12" s="56">
        <v>1</v>
      </c>
      <c r="K12" s="57">
        <v>2</v>
      </c>
      <c r="L12" s="55">
        <f>M12+N12</f>
        <v>0</v>
      </c>
      <c r="M12" s="56"/>
      <c r="N12" s="57"/>
      <c r="O12" s="55">
        <f>P12+Q12</f>
        <v>0</v>
      </c>
      <c r="P12" s="56"/>
      <c r="Q12" s="57"/>
      <c r="R12" s="55">
        <f>S12+T12</f>
        <v>0</v>
      </c>
      <c r="S12" s="56"/>
      <c r="T12" s="57"/>
      <c r="U12" s="55">
        <f>V12+W12</f>
        <v>0</v>
      </c>
      <c r="V12" s="56"/>
      <c r="W12" s="57"/>
      <c r="X12" s="55">
        <f>Y12+Z12</f>
        <v>0</v>
      </c>
      <c r="Y12" s="56"/>
      <c r="Z12" s="57"/>
      <c r="AA12" s="55">
        <f>AB12+AC12</f>
        <v>0</v>
      </c>
      <c r="AB12" s="56"/>
      <c r="AC12" s="57"/>
      <c r="AD12" s="55">
        <f>AE12+AF12</f>
        <v>0</v>
      </c>
      <c r="AE12" s="56"/>
      <c r="AF12" s="57"/>
      <c r="AG12" s="55">
        <f>AH12+AI12</f>
        <v>0</v>
      </c>
      <c r="AH12" s="56"/>
      <c r="AI12" s="57"/>
      <c r="AJ12" s="55">
        <f>AK12+AL12</f>
        <v>0</v>
      </c>
      <c r="AK12" s="56"/>
      <c r="AL12" s="57"/>
      <c r="AM12" s="55">
        <f>AN12+AO12</f>
        <v>0</v>
      </c>
      <c r="AN12" s="56"/>
      <c r="AO12" s="57"/>
      <c r="AP12" s="54">
        <f>F12+L12+R12+X12+AD12+AJ12</f>
        <v>153</v>
      </c>
      <c r="AQ12" s="18">
        <f t="shared" ref="AQ12:AQ32" si="0">AP12/E12</f>
        <v>3.896103896103896E-2</v>
      </c>
    </row>
    <row r="13" spans="1:45" ht="18" customHeight="1" x14ac:dyDescent="0.15">
      <c r="A13" s="5"/>
      <c r="B13" s="11" t="s">
        <v>133</v>
      </c>
      <c r="C13" s="58">
        <v>2379</v>
      </c>
      <c r="D13" s="59">
        <v>600</v>
      </c>
      <c r="E13" s="60">
        <v>2394</v>
      </c>
      <c r="F13" s="61">
        <f t="shared" ref="F13:F31" si="1">G13+H13</f>
        <v>589</v>
      </c>
      <c r="G13" s="62">
        <v>444</v>
      </c>
      <c r="H13" s="63">
        <v>145</v>
      </c>
      <c r="I13" s="61">
        <f t="shared" ref="I13:I31" si="2">J13+K13</f>
        <v>12</v>
      </c>
      <c r="J13" s="62">
        <v>9</v>
      </c>
      <c r="K13" s="63">
        <v>3</v>
      </c>
      <c r="L13" s="61">
        <f t="shared" ref="L13:L31" si="3">M13+N13</f>
        <v>0</v>
      </c>
      <c r="M13" s="62"/>
      <c r="N13" s="63"/>
      <c r="O13" s="61">
        <f t="shared" ref="O13:O31" si="4">P13+Q13</f>
        <v>0</v>
      </c>
      <c r="P13" s="62"/>
      <c r="Q13" s="63"/>
      <c r="R13" s="61">
        <f t="shared" ref="R13:R31" si="5">S13+T13</f>
        <v>0</v>
      </c>
      <c r="S13" s="62"/>
      <c r="T13" s="63"/>
      <c r="U13" s="61">
        <f t="shared" ref="U13:U31" si="6">V13+W13</f>
        <v>0</v>
      </c>
      <c r="V13" s="62"/>
      <c r="W13" s="63"/>
      <c r="X13" s="61">
        <f t="shared" ref="X13:X31" si="7">Y13+Z13</f>
        <v>0</v>
      </c>
      <c r="Y13" s="62"/>
      <c r="Z13" s="63"/>
      <c r="AA13" s="61">
        <f t="shared" ref="AA13:AA31" si="8">AB13+AC13</f>
        <v>0</v>
      </c>
      <c r="AB13" s="62"/>
      <c r="AC13" s="63"/>
      <c r="AD13" s="61">
        <f t="shared" ref="AD13:AD31" si="9">AE13+AF13</f>
        <v>0</v>
      </c>
      <c r="AE13" s="62"/>
      <c r="AF13" s="63"/>
      <c r="AG13" s="61">
        <f t="shared" ref="AG13:AG31" si="10">AH13+AI13</f>
        <v>0</v>
      </c>
      <c r="AH13" s="62"/>
      <c r="AI13" s="63"/>
      <c r="AJ13" s="61">
        <f t="shared" ref="AJ13:AJ31" si="11">AK13+AL13</f>
        <v>0</v>
      </c>
      <c r="AK13" s="62"/>
      <c r="AL13" s="63"/>
      <c r="AM13" s="61">
        <f t="shared" ref="AM13:AM31" si="12">AN13+AO13</f>
        <v>0</v>
      </c>
      <c r="AN13" s="62"/>
      <c r="AO13" s="63"/>
      <c r="AP13" s="59">
        <f t="shared" ref="AP13:AP31" si="13">F13+L13+R13+X13+AD13+AJ13</f>
        <v>589</v>
      </c>
      <c r="AQ13" s="17">
        <f t="shared" si="0"/>
        <v>0.24603174603174602</v>
      </c>
    </row>
    <row r="14" spans="1:45" ht="18" customHeight="1" x14ac:dyDescent="0.15">
      <c r="A14" s="5"/>
      <c r="B14" s="11" t="s">
        <v>134</v>
      </c>
      <c r="C14" s="58">
        <v>2039</v>
      </c>
      <c r="D14" s="59">
        <v>519</v>
      </c>
      <c r="E14" s="60">
        <v>2060</v>
      </c>
      <c r="F14" s="61">
        <f t="shared" si="1"/>
        <v>134</v>
      </c>
      <c r="G14" s="62">
        <v>99</v>
      </c>
      <c r="H14" s="63">
        <v>35</v>
      </c>
      <c r="I14" s="61">
        <f t="shared" si="2"/>
        <v>3</v>
      </c>
      <c r="J14" s="62">
        <v>3</v>
      </c>
      <c r="K14" s="63"/>
      <c r="L14" s="61">
        <f t="shared" si="3"/>
        <v>0</v>
      </c>
      <c r="M14" s="62"/>
      <c r="N14" s="63"/>
      <c r="O14" s="61">
        <f t="shared" si="4"/>
        <v>0</v>
      </c>
      <c r="P14" s="62"/>
      <c r="Q14" s="63"/>
      <c r="R14" s="61">
        <f t="shared" si="5"/>
        <v>0</v>
      </c>
      <c r="S14" s="62"/>
      <c r="T14" s="63"/>
      <c r="U14" s="61">
        <f t="shared" si="6"/>
        <v>0</v>
      </c>
      <c r="V14" s="62"/>
      <c r="W14" s="63"/>
      <c r="X14" s="61">
        <f t="shared" si="7"/>
        <v>0</v>
      </c>
      <c r="Y14" s="62"/>
      <c r="Z14" s="63"/>
      <c r="AA14" s="61">
        <f t="shared" si="8"/>
        <v>0</v>
      </c>
      <c r="AB14" s="62"/>
      <c r="AC14" s="63"/>
      <c r="AD14" s="61">
        <f t="shared" si="9"/>
        <v>0</v>
      </c>
      <c r="AE14" s="62"/>
      <c r="AF14" s="63"/>
      <c r="AG14" s="61">
        <f t="shared" si="10"/>
        <v>0</v>
      </c>
      <c r="AH14" s="62"/>
      <c r="AI14" s="63"/>
      <c r="AJ14" s="61">
        <f t="shared" si="11"/>
        <v>0</v>
      </c>
      <c r="AK14" s="62"/>
      <c r="AL14" s="63"/>
      <c r="AM14" s="61">
        <f t="shared" si="12"/>
        <v>0</v>
      </c>
      <c r="AN14" s="62"/>
      <c r="AO14" s="63"/>
      <c r="AP14" s="59">
        <f t="shared" si="13"/>
        <v>134</v>
      </c>
      <c r="AQ14" s="7">
        <f t="shared" si="0"/>
        <v>6.5048543689320393E-2</v>
      </c>
    </row>
    <row r="15" spans="1:45" ht="18" customHeight="1" x14ac:dyDescent="0.15">
      <c r="A15" s="5"/>
      <c r="B15" s="11" t="s">
        <v>135</v>
      </c>
      <c r="C15" s="58">
        <v>1838</v>
      </c>
      <c r="D15" s="59">
        <v>445</v>
      </c>
      <c r="E15" s="60">
        <v>1765</v>
      </c>
      <c r="F15" s="61">
        <f t="shared" si="1"/>
        <v>91</v>
      </c>
      <c r="G15" s="62">
        <v>52</v>
      </c>
      <c r="H15" s="63">
        <v>39</v>
      </c>
      <c r="I15" s="61">
        <f t="shared" si="2"/>
        <v>2</v>
      </c>
      <c r="J15" s="62">
        <v>2</v>
      </c>
      <c r="K15" s="63"/>
      <c r="L15" s="61">
        <f t="shared" si="3"/>
        <v>0</v>
      </c>
      <c r="M15" s="62"/>
      <c r="N15" s="63"/>
      <c r="O15" s="61">
        <f t="shared" si="4"/>
        <v>0</v>
      </c>
      <c r="P15" s="62"/>
      <c r="Q15" s="63"/>
      <c r="R15" s="61">
        <f t="shared" si="5"/>
        <v>0</v>
      </c>
      <c r="S15" s="62"/>
      <c r="T15" s="63"/>
      <c r="U15" s="61">
        <f t="shared" si="6"/>
        <v>0</v>
      </c>
      <c r="V15" s="62"/>
      <c r="W15" s="63"/>
      <c r="X15" s="61">
        <f t="shared" si="7"/>
        <v>0</v>
      </c>
      <c r="Y15" s="62"/>
      <c r="Z15" s="63"/>
      <c r="AA15" s="61">
        <f t="shared" si="8"/>
        <v>0</v>
      </c>
      <c r="AB15" s="62"/>
      <c r="AC15" s="63"/>
      <c r="AD15" s="61">
        <f t="shared" si="9"/>
        <v>0</v>
      </c>
      <c r="AE15" s="62"/>
      <c r="AF15" s="63"/>
      <c r="AG15" s="61">
        <f t="shared" si="10"/>
        <v>0</v>
      </c>
      <c r="AH15" s="62"/>
      <c r="AI15" s="63"/>
      <c r="AJ15" s="61">
        <f t="shared" si="11"/>
        <v>0</v>
      </c>
      <c r="AK15" s="62"/>
      <c r="AL15" s="63"/>
      <c r="AM15" s="61">
        <f t="shared" si="12"/>
        <v>0</v>
      </c>
      <c r="AN15" s="62"/>
      <c r="AO15" s="63"/>
      <c r="AP15" s="59">
        <f t="shared" si="13"/>
        <v>91</v>
      </c>
      <c r="AQ15" s="7">
        <f t="shared" si="0"/>
        <v>5.1558073654390933E-2</v>
      </c>
    </row>
    <row r="16" spans="1:45" ht="18" customHeight="1" x14ac:dyDescent="0.15">
      <c r="A16" s="5"/>
      <c r="B16" s="11" t="s">
        <v>136</v>
      </c>
      <c r="C16" s="58">
        <v>1242</v>
      </c>
      <c r="D16" s="59">
        <v>308</v>
      </c>
      <c r="E16" s="60">
        <v>1226</v>
      </c>
      <c r="F16" s="61">
        <f t="shared" si="1"/>
        <v>57</v>
      </c>
      <c r="G16" s="62">
        <v>33</v>
      </c>
      <c r="H16" s="63">
        <v>24</v>
      </c>
      <c r="I16" s="61">
        <f t="shared" si="2"/>
        <v>4</v>
      </c>
      <c r="J16" s="62">
        <v>4</v>
      </c>
      <c r="K16" s="63"/>
      <c r="L16" s="61">
        <f t="shared" si="3"/>
        <v>0</v>
      </c>
      <c r="M16" s="62"/>
      <c r="N16" s="63"/>
      <c r="O16" s="61">
        <f t="shared" si="4"/>
        <v>0</v>
      </c>
      <c r="P16" s="62"/>
      <c r="Q16" s="63"/>
      <c r="R16" s="61">
        <f t="shared" si="5"/>
        <v>0</v>
      </c>
      <c r="S16" s="62"/>
      <c r="T16" s="63"/>
      <c r="U16" s="61">
        <f t="shared" si="6"/>
        <v>0</v>
      </c>
      <c r="V16" s="62"/>
      <c r="W16" s="63"/>
      <c r="X16" s="61">
        <f t="shared" si="7"/>
        <v>0</v>
      </c>
      <c r="Y16" s="62"/>
      <c r="Z16" s="63"/>
      <c r="AA16" s="61">
        <f t="shared" si="8"/>
        <v>0</v>
      </c>
      <c r="AB16" s="62"/>
      <c r="AC16" s="63"/>
      <c r="AD16" s="61">
        <f t="shared" si="9"/>
        <v>0</v>
      </c>
      <c r="AE16" s="62"/>
      <c r="AF16" s="63"/>
      <c r="AG16" s="61">
        <f t="shared" si="10"/>
        <v>0</v>
      </c>
      <c r="AH16" s="62"/>
      <c r="AI16" s="63"/>
      <c r="AJ16" s="61">
        <f t="shared" si="11"/>
        <v>0</v>
      </c>
      <c r="AK16" s="62"/>
      <c r="AL16" s="63"/>
      <c r="AM16" s="61">
        <f t="shared" si="12"/>
        <v>0</v>
      </c>
      <c r="AN16" s="62"/>
      <c r="AO16" s="63"/>
      <c r="AP16" s="59">
        <f t="shared" si="13"/>
        <v>57</v>
      </c>
      <c r="AQ16" s="7">
        <f t="shared" si="0"/>
        <v>4.6492659053833603E-2</v>
      </c>
    </row>
    <row r="17" spans="1:43" ht="18" customHeight="1" x14ac:dyDescent="0.15">
      <c r="A17" s="5"/>
      <c r="B17" s="11" t="s">
        <v>137</v>
      </c>
      <c r="C17" s="58">
        <v>2116</v>
      </c>
      <c r="D17" s="59">
        <v>507</v>
      </c>
      <c r="E17" s="60">
        <v>2062</v>
      </c>
      <c r="F17" s="61">
        <f t="shared" si="1"/>
        <v>180</v>
      </c>
      <c r="G17" s="62">
        <v>86</v>
      </c>
      <c r="H17" s="63">
        <v>94</v>
      </c>
      <c r="I17" s="61">
        <f t="shared" si="2"/>
        <v>1</v>
      </c>
      <c r="J17" s="62">
        <v>1</v>
      </c>
      <c r="K17" s="63"/>
      <c r="L17" s="61">
        <f t="shared" si="3"/>
        <v>0</v>
      </c>
      <c r="M17" s="62"/>
      <c r="N17" s="63"/>
      <c r="O17" s="61">
        <f t="shared" si="4"/>
        <v>0</v>
      </c>
      <c r="P17" s="62"/>
      <c r="Q17" s="63"/>
      <c r="R17" s="61">
        <f t="shared" si="5"/>
        <v>0</v>
      </c>
      <c r="S17" s="62"/>
      <c r="T17" s="63"/>
      <c r="U17" s="61">
        <f t="shared" si="6"/>
        <v>0</v>
      </c>
      <c r="V17" s="62"/>
      <c r="W17" s="63"/>
      <c r="X17" s="61">
        <f t="shared" si="7"/>
        <v>0</v>
      </c>
      <c r="Y17" s="62"/>
      <c r="Z17" s="63"/>
      <c r="AA17" s="61">
        <f t="shared" si="8"/>
        <v>0</v>
      </c>
      <c r="AB17" s="62"/>
      <c r="AC17" s="63"/>
      <c r="AD17" s="61">
        <f t="shared" si="9"/>
        <v>0</v>
      </c>
      <c r="AE17" s="62"/>
      <c r="AF17" s="63"/>
      <c r="AG17" s="61">
        <f t="shared" si="10"/>
        <v>0</v>
      </c>
      <c r="AH17" s="62"/>
      <c r="AI17" s="63"/>
      <c r="AJ17" s="61">
        <f t="shared" si="11"/>
        <v>0</v>
      </c>
      <c r="AK17" s="62"/>
      <c r="AL17" s="63"/>
      <c r="AM17" s="61">
        <f t="shared" si="12"/>
        <v>0</v>
      </c>
      <c r="AN17" s="62"/>
      <c r="AO17" s="63"/>
      <c r="AP17" s="59">
        <f t="shared" si="13"/>
        <v>180</v>
      </c>
      <c r="AQ17" s="7">
        <f t="shared" si="0"/>
        <v>8.7293889427740065E-2</v>
      </c>
    </row>
    <row r="18" spans="1:43" ht="18" customHeight="1" x14ac:dyDescent="0.15">
      <c r="A18" s="5"/>
      <c r="B18" s="11" t="s">
        <v>138</v>
      </c>
      <c r="C18" s="58">
        <v>1715</v>
      </c>
      <c r="D18" s="59">
        <v>628</v>
      </c>
      <c r="E18" s="60">
        <v>1800</v>
      </c>
      <c r="F18" s="61">
        <f t="shared" si="1"/>
        <v>70</v>
      </c>
      <c r="G18" s="62">
        <v>63</v>
      </c>
      <c r="H18" s="63">
        <v>7</v>
      </c>
      <c r="I18" s="61">
        <f t="shared" si="2"/>
        <v>6</v>
      </c>
      <c r="J18" s="62">
        <v>6</v>
      </c>
      <c r="K18" s="63"/>
      <c r="L18" s="61">
        <f t="shared" si="3"/>
        <v>0</v>
      </c>
      <c r="M18" s="62"/>
      <c r="N18" s="63"/>
      <c r="O18" s="61">
        <f t="shared" si="4"/>
        <v>0</v>
      </c>
      <c r="P18" s="62"/>
      <c r="Q18" s="63"/>
      <c r="R18" s="61">
        <f t="shared" si="5"/>
        <v>0</v>
      </c>
      <c r="S18" s="62"/>
      <c r="T18" s="63"/>
      <c r="U18" s="61">
        <f t="shared" si="6"/>
        <v>0</v>
      </c>
      <c r="V18" s="62"/>
      <c r="W18" s="63"/>
      <c r="X18" s="61">
        <f t="shared" si="7"/>
        <v>0</v>
      </c>
      <c r="Y18" s="62"/>
      <c r="Z18" s="63"/>
      <c r="AA18" s="61">
        <f t="shared" si="8"/>
        <v>0</v>
      </c>
      <c r="AB18" s="62"/>
      <c r="AC18" s="63"/>
      <c r="AD18" s="61">
        <f t="shared" si="9"/>
        <v>0</v>
      </c>
      <c r="AE18" s="62"/>
      <c r="AF18" s="63"/>
      <c r="AG18" s="61">
        <f t="shared" si="10"/>
        <v>0</v>
      </c>
      <c r="AH18" s="62"/>
      <c r="AI18" s="63"/>
      <c r="AJ18" s="61">
        <f t="shared" si="11"/>
        <v>0</v>
      </c>
      <c r="AK18" s="62"/>
      <c r="AL18" s="63"/>
      <c r="AM18" s="61">
        <f t="shared" si="12"/>
        <v>0</v>
      </c>
      <c r="AN18" s="62"/>
      <c r="AO18" s="63"/>
      <c r="AP18" s="59">
        <f t="shared" si="13"/>
        <v>70</v>
      </c>
      <c r="AQ18" s="7">
        <f t="shared" si="0"/>
        <v>3.888888888888889E-2</v>
      </c>
    </row>
    <row r="19" spans="1:43" ht="18" customHeight="1" x14ac:dyDescent="0.15">
      <c r="A19" s="5"/>
      <c r="B19" s="11" t="s">
        <v>139</v>
      </c>
      <c r="C19" s="58">
        <v>2276</v>
      </c>
      <c r="D19" s="59">
        <v>558</v>
      </c>
      <c r="E19" s="60">
        <v>2280</v>
      </c>
      <c r="F19" s="61">
        <f t="shared" si="1"/>
        <v>449</v>
      </c>
      <c r="G19" s="62">
        <v>221</v>
      </c>
      <c r="H19" s="63">
        <v>228</v>
      </c>
      <c r="I19" s="61">
        <f>J19+K19</f>
        <v>0</v>
      </c>
      <c r="J19" s="62"/>
      <c r="K19" s="63"/>
      <c r="L19" s="61">
        <f t="shared" si="3"/>
        <v>0</v>
      </c>
      <c r="M19" s="62"/>
      <c r="N19" s="63"/>
      <c r="O19" s="61">
        <f t="shared" si="4"/>
        <v>0</v>
      </c>
      <c r="P19" s="62"/>
      <c r="Q19" s="63"/>
      <c r="R19" s="61">
        <f t="shared" si="5"/>
        <v>0</v>
      </c>
      <c r="S19" s="62"/>
      <c r="T19" s="63"/>
      <c r="U19" s="61">
        <f t="shared" si="6"/>
        <v>0</v>
      </c>
      <c r="V19" s="62"/>
      <c r="W19" s="63"/>
      <c r="X19" s="61">
        <f t="shared" si="7"/>
        <v>0</v>
      </c>
      <c r="Y19" s="62"/>
      <c r="Z19" s="63"/>
      <c r="AA19" s="61">
        <f t="shared" si="8"/>
        <v>0</v>
      </c>
      <c r="AB19" s="62"/>
      <c r="AC19" s="63"/>
      <c r="AD19" s="61">
        <f t="shared" si="9"/>
        <v>0</v>
      </c>
      <c r="AE19" s="62"/>
      <c r="AF19" s="63"/>
      <c r="AG19" s="61">
        <f t="shared" si="10"/>
        <v>0</v>
      </c>
      <c r="AH19" s="62"/>
      <c r="AI19" s="63"/>
      <c r="AJ19" s="61">
        <f t="shared" si="11"/>
        <v>0</v>
      </c>
      <c r="AK19" s="62"/>
      <c r="AL19" s="63"/>
      <c r="AM19" s="61">
        <f t="shared" si="12"/>
        <v>0</v>
      </c>
      <c r="AN19" s="62"/>
      <c r="AO19" s="63"/>
      <c r="AP19" s="59">
        <f t="shared" si="13"/>
        <v>449</v>
      </c>
      <c r="AQ19" s="7">
        <f t="shared" si="0"/>
        <v>0.19692982456140351</v>
      </c>
    </row>
    <row r="20" spans="1:43" ht="18" customHeight="1" x14ac:dyDescent="0.15">
      <c r="A20" s="5"/>
      <c r="B20" s="11" t="s">
        <v>140</v>
      </c>
      <c r="C20" s="58">
        <v>1768</v>
      </c>
      <c r="D20" s="59">
        <v>438</v>
      </c>
      <c r="E20" s="60">
        <v>1790</v>
      </c>
      <c r="F20" s="61">
        <f t="shared" si="1"/>
        <v>31</v>
      </c>
      <c r="G20" s="62">
        <v>18</v>
      </c>
      <c r="H20" s="63">
        <v>13</v>
      </c>
      <c r="I20" s="61">
        <f>J20+K20</f>
        <v>1</v>
      </c>
      <c r="J20" s="62"/>
      <c r="K20" s="63">
        <v>1</v>
      </c>
      <c r="L20" s="61">
        <f t="shared" si="3"/>
        <v>0</v>
      </c>
      <c r="M20" s="62"/>
      <c r="N20" s="63"/>
      <c r="O20" s="61">
        <f t="shared" si="4"/>
        <v>0</v>
      </c>
      <c r="P20" s="62"/>
      <c r="Q20" s="63"/>
      <c r="R20" s="61">
        <f t="shared" si="5"/>
        <v>0</v>
      </c>
      <c r="S20" s="62"/>
      <c r="T20" s="63"/>
      <c r="U20" s="61">
        <f t="shared" si="6"/>
        <v>0</v>
      </c>
      <c r="V20" s="62"/>
      <c r="W20" s="63"/>
      <c r="X20" s="61">
        <f t="shared" si="7"/>
        <v>0</v>
      </c>
      <c r="Y20" s="62"/>
      <c r="Z20" s="63"/>
      <c r="AA20" s="61">
        <f t="shared" si="8"/>
        <v>0</v>
      </c>
      <c r="AB20" s="62"/>
      <c r="AC20" s="63"/>
      <c r="AD20" s="61">
        <f t="shared" si="9"/>
        <v>0</v>
      </c>
      <c r="AE20" s="62"/>
      <c r="AF20" s="63"/>
      <c r="AG20" s="61">
        <f t="shared" si="10"/>
        <v>0</v>
      </c>
      <c r="AH20" s="62"/>
      <c r="AI20" s="63"/>
      <c r="AJ20" s="61">
        <f t="shared" si="11"/>
        <v>0</v>
      </c>
      <c r="AK20" s="62"/>
      <c r="AL20" s="63"/>
      <c r="AM20" s="61">
        <f t="shared" si="12"/>
        <v>0</v>
      </c>
      <c r="AN20" s="62"/>
      <c r="AO20" s="63"/>
      <c r="AP20" s="59">
        <f t="shared" si="13"/>
        <v>31</v>
      </c>
      <c r="AQ20" s="7">
        <f t="shared" si="0"/>
        <v>1.7318435754189943E-2</v>
      </c>
    </row>
    <row r="21" spans="1:43" ht="18" customHeight="1" x14ac:dyDescent="0.15">
      <c r="A21" s="5"/>
      <c r="B21" s="11"/>
      <c r="C21" s="58"/>
      <c r="D21" s="59"/>
      <c r="E21" s="60"/>
      <c r="F21" s="61">
        <f t="shared" si="1"/>
        <v>0</v>
      </c>
      <c r="G21" s="62"/>
      <c r="H21" s="63"/>
      <c r="I21" s="61">
        <f t="shared" si="2"/>
        <v>0</v>
      </c>
      <c r="J21" s="62"/>
      <c r="K21" s="63"/>
      <c r="L21" s="61">
        <f t="shared" si="3"/>
        <v>0</v>
      </c>
      <c r="M21" s="62"/>
      <c r="N21" s="63"/>
      <c r="O21" s="61">
        <f t="shared" si="4"/>
        <v>0</v>
      </c>
      <c r="P21" s="62"/>
      <c r="Q21" s="63"/>
      <c r="R21" s="61">
        <f t="shared" si="5"/>
        <v>0</v>
      </c>
      <c r="S21" s="62"/>
      <c r="T21" s="63"/>
      <c r="U21" s="61">
        <f t="shared" si="6"/>
        <v>0</v>
      </c>
      <c r="V21" s="62"/>
      <c r="W21" s="63"/>
      <c r="X21" s="61">
        <f t="shared" si="7"/>
        <v>0</v>
      </c>
      <c r="Y21" s="62"/>
      <c r="Z21" s="63"/>
      <c r="AA21" s="61">
        <f t="shared" si="8"/>
        <v>0</v>
      </c>
      <c r="AB21" s="62"/>
      <c r="AC21" s="63"/>
      <c r="AD21" s="61">
        <f t="shared" si="9"/>
        <v>0</v>
      </c>
      <c r="AE21" s="62"/>
      <c r="AF21" s="63"/>
      <c r="AG21" s="61">
        <f t="shared" si="10"/>
        <v>0</v>
      </c>
      <c r="AH21" s="62"/>
      <c r="AI21" s="63"/>
      <c r="AJ21" s="61">
        <f t="shared" si="11"/>
        <v>0</v>
      </c>
      <c r="AK21" s="62"/>
      <c r="AL21" s="63"/>
      <c r="AM21" s="61">
        <f t="shared" si="12"/>
        <v>0</v>
      </c>
      <c r="AN21" s="62"/>
      <c r="AO21" s="63"/>
      <c r="AP21" s="59">
        <f t="shared" si="13"/>
        <v>0</v>
      </c>
      <c r="AQ21" s="7" t="e">
        <f t="shared" si="0"/>
        <v>#DIV/0!</v>
      </c>
    </row>
    <row r="22" spans="1:43" ht="18" customHeight="1" x14ac:dyDescent="0.15">
      <c r="A22" s="5"/>
      <c r="B22" s="11"/>
      <c r="C22" s="58"/>
      <c r="D22" s="59"/>
      <c r="E22" s="60"/>
      <c r="F22" s="61">
        <f t="shared" si="1"/>
        <v>0</v>
      </c>
      <c r="G22" s="62"/>
      <c r="H22" s="63"/>
      <c r="I22" s="61">
        <f t="shared" si="2"/>
        <v>0</v>
      </c>
      <c r="J22" s="62"/>
      <c r="K22" s="63"/>
      <c r="L22" s="61">
        <f t="shared" si="3"/>
        <v>0</v>
      </c>
      <c r="M22" s="62"/>
      <c r="N22" s="63"/>
      <c r="O22" s="61">
        <f t="shared" si="4"/>
        <v>0</v>
      </c>
      <c r="P22" s="62"/>
      <c r="Q22" s="63"/>
      <c r="R22" s="61">
        <f t="shared" si="5"/>
        <v>0</v>
      </c>
      <c r="S22" s="62"/>
      <c r="T22" s="63"/>
      <c r="U22" s="61">
        <f t="shared" si="6"/>
        <v>0</v>
      </c>
      <c r="V22" s="62"/>
      <c r="W22" s="63"/>
      <c r="X22" s="61">
        <f t="shared" si="7"/>
        <v>0</v>
      </c>
      <c r="Y22" s="62"/>
      <c r="Z22" s="63"/>
      <c r="AA22" s="61">
        <f t="shared" si="8"/>
        <v>0</v>
      </c>
      <c r="AB22" s="62"/>
      <c r="AC22" s="63"/>
      <c r="AD22" s="61">
        <f t="shared" si="9"/>
        <v>0</v>
      </c>
      <c r="AE22" s="62"/>
      <c r="AF22" s="63"/>
      <c r="AG22" s="61">
        <f t="shared" si="10"/>
        <v>0</v>
      </c>
      <c r="AH22" s="62"/>
      <c r="AI22" s="63"/>
      <c r="AJ22" s="61">
        <f t="shared" si="11"/>
        <v>0</v>
      </c>
      <c r="AK22" s="62"/>
      <c r="AL22" s="63"/>
      <c r="AM22" s="61">
        <f t="shared" si="12"/>
        <v>0</v>
      </c>
      <c r="AN22" s="62"/>
      <c r="AO22" s="63"/>
      <c r="AP22" s="59">
        <f t="shared" si="13"/>
        <v>0</v>
      </c>
      <c r="AQ22" s="7" t="e">
        <f t="shared" si="0"/>
        <v>#DIV/0!</v>
      </c>
    </row>
    <row r="23" spans="1:43" ht="18" customHeight="1" x14ac:dyDescent="0.15">
      <c r="A23" s="5"/>
      <c r="B23" s="11"/>
      <c r="C23" s="58"/>
      <c r="D23" s="59"/>
      <c r="E23" s="60"/>
      <c r="F23" s="61">
        <f t="shared" si="1"/>
        <v>0</v>
      </c>
      <c r="G23" s="62"/>
      <c r="H23" s="63"/>
      <c r="I23" s="61">
        <f t="shared" si="2"/>
        <v>0</v>
      </c>
      <c r="J23" s="62"/>
      <c r="K23" s="63"/>
      <c r="L23" s="61">
        <f t="shared" si="3"/>
        <v>0</v>
      </c>
      <c r="M23" s="62"/>
      <c r="N23" s="63"/>
      <c r="O23" s="61">
        <f t="shared" si="4"/>
        <v>0</v>
      </c>
      <c r="P23" s="62"/>
      <c r="Q23" s="63"/>
      <c r="R23" s="61">
        <f t="shared" si="5"/>
        <v>0</v>
      </c>
      <c r="S23" s="62"/>
      <c r="T23" s="63"/>
      <c r="U23" s="61">
        <f t="shared" si="6"/>
        <v>0</v>
      </c>
      <c r="V23" s="62"/>
      <c r="W23" s="63"/>
      <c r="X23" s="61">
        <f t="shared" si="7"/>
        <v>0</v>
      </c>
      <c r="Y23" s="62"/>
      <c r="Z23" s="63"/>
      <c r="AA23" s="61">
        <f t="shared" si="8"/>
        <v>0</v>
      </c>
      <c r="AB23" s="62"/>
      <c r="AC23" s="63"/>
      <c r="AD23" s="61">
        <f t="shared" si="9"/>
        <v>0</v>
      </c>
      <c r="AE23" s="62"/>
      <c r="AF23" s="63"/>
      <c r="AG23" s="61">
        <f t="shared" si="10"/>
        <v>0</v>
      </c>
      <c r="AH23" s="62"/>
      <c r="AI23" s="63"/>
      <c r="AJ23" s="61">
        <f t="shared" si="11"/>
        <v>0</v>
      </c>
      <c r="AK23" s="62"/>
      <c r="AL23" s="63"/>
      <c r="AM23" s="61">
        <f t="shared" si="12"/>
        <v>0</v>
      </c>
      <c r="AN23" s="62"/>
      <c r="AO23" s="63"/>
      <c r="AP23" s="59">
        <f t="shared" si="13"/>
        <v>0</v>
      </c>
      <c r="AQ23" s="7" t="e">
        <f t="shared" si="0"/>
        <v>#DIV/0!</v>
      </c>
    </row>
    <row r="24" spans="1:43" ht="18" customHeight="1" x14ac:dyDescent="0.15">
      <c r="A24" s="5"/>
      <c r="B24" s="11"/>
      <c r="C24" s="58"/>
      <c r="D24" s="59"/>
      <c r="E24" s="60"/>
      <c r="F24" s="61">
        <f t="shared" si="1"/>
        <v>0</v>
      </c>
      <c r="G24" s="62"/>
      <c r="H24" s="63"/>
      <c r="I24" s="61">
        <f t="shared" si="2"/>
        <v>0</v>
      </c>
      <c r="J24" s="62"/>
      <c r="K24" s="63"/>
      <c r="L24" s="61">
        <f t="shared" si="3"/>
        <v>0</v>
      </c>
      <c r="M24" s="62"/>
      <c r="N24" s="63"/>
      <c r="O24" s="61">
        <f t="shared" si="4"/>
        <v>0</v>
      </c>
      <c r="P24" s="62"/>
      <c r="Q24" s="63"/>
      <c r="R24" s="61">
        <f t="shared" si="5"/>
        <v>0</v>
      </c>
      <c r="S24" s="62"/>
      <c r="T24" s="63"/>
      <c r="U24" s="61">
        <f t="shared" si="6"/>
        <v>0</v>
      </c>
      <c r="V24" s="62"/>
      <c r="W24" s="63"/>
      <c r="X24" s="61">
        <f t="shared" si="7"/>
        <v>0</v>
      </c>
      <c r="Y24" s="62"/>
      <c r="Z24" s="63"/>
      <c r="AA24" s="61">
        <f t="shared" si="8"/>
        <v>0</v>
      </c>
      <c r="AB24" s="62"/>
      <c r="AC24" s="63"/>
      <c r="AD24" s="61">
        <f t="shared" si="9"/>
        <v>0</v>
      </c>
      <c r="AE24" s="62"/>
      <c r="AF24" s="63"/>
      <c r="AG24" s="61">
        <f t="shared" si="10"/>
        <v>0</v>
      </c>
      <c r="AH24" s="62"/>
      <c r="AI24" s="63"/>
      <c r="AJ24" s="61">
        <f t="shared" si="11"/>
        <v>0</v>
      </c>
      <c r="AK24" s="62"/>
      <c r="AL24" s="63"/>
      <c r="AM24" s="61">
        <f t="shared" si="12"/>
        <v>0</v>
      </c>
      <c r="AN24" s="62"/>
      <c r="AO24" s="63"/>
      <c r="AP24" s="59">
        <f t="shared" si="13"/>
        <v>0</v>
      </c>
      <c r="AQ24" s="7" t="e">
        <f t="shared" si="0"/>
        <v>#DIV/0!</v>
      </c>
    </row>
    <row r="25" spans="1:43" ht="18" customHeight="1" x14ac:dyDescent="0.15">
      <c r="A25" s="5"/>
      <c r="B25" s="11"/>
      <c r="C25" s="58"/>
      <c r="D25" s="59"/>
      <c r="E25" s="60"/>
      <c r="F25" s="61">
        <f t="shared" si="1"/>
        <v>0</v>
      </c>
      <c r="G25" s="62"/>
      <c r="H25" s="63"/>
      <c r="I25" s="61">
        <f t="shared" si="2"/>
        <v>0</v>
      </c>
      <c r="J25" s="62"/>
      <c r="K25" s="63"/>
      <c r="L25" s="61">
        <f t="shared" si="3"/>
        <v>0</v>
      </c>
      <c r="M25" s="62"/>
      <c r="N25" s="63"/>
      <c r="O25" s="61">
        <f t="shared" si="4"/>
        <v>0</v>
      </c>
      <c r="P25" s="62"/>
      <c r="Q25" s="63"/>
      <c r="R25" s="61">
        <f t="shared" si="5"/>
        <v>0</v>
      </c>
      <c r="S25" s="62"/>
      <c r="T25" s="63"/>
      <c r="U25" s="61">
        <f t="shared" si="6"/>
        <v>0</v>
      </c>
      <c r="V25" s="62"/>
      <c r="W25" s="63"/>
      <c r="X25" s="61">
        <f t="shared" si="7"/>
        <v>0</v>
      </c>
      <c r="Y25" s="62"/>
      <c r="Z25" s="63"/>
      <c r="AA25" s="61">
        <f t="shared" si="8"/>
        <v>0</v>
      </c>
      <c r="AB25" s="62"/>
      <c r="AC25" s="63"/>
      <c r="AD25" s="61">
        <f t="shared" si="9"/>
        <v>0</v>
      </c>
      <c r="AE25" s="62"/>
      <c r="AF25" s="63"/>
      <c r="AG25" s="61">
        <f t="shared" si="10"/>
        <v>0</v>
      </c>
      <c r="AH25" s="62"/>
      <c r="AI25" s="63"/>
      <c r="AJ25" s="61">
        <f t="shared" si="11"/>
        <v>0</v>
      </c>
      <c r="AK25" s="62"/>
      <c r="AL25" s="63"/>
      <c r="AM25" s="61">
        <f t="shared" si="12"/>
        <v>0</v>
      </c>
      <c r="AN25" s="62"/>
      <c r="AO25" s="63"/>
      <c r="AP25" s="59">
        <f t="shared" si="13"/>
        <v>0</v>
      </c>
      <c r="AQ25" s="7" t="e">
        <f t="shared" si="0"/>
        <v>#DIV/0!</v>
      </c>
    </row>
    <row r="26" spans="1:43" ht="18" customHeight="1" x14ac:dyDescent="0.15">
      <c r="A26" s="5"/>
      <c r="B26" s="11"/>
      <c r="C26" s="58"/>
      <c r="D26" s="59"/>
      <c r="E26" s="60"/>
      <c r="F26" s="61">
        <f t="shared" si="1"/>
        <v>0</v>
      </c>
      <c r="G26" s="62"/>
      <c r="H26" s="63"/>
      <c r="I26" s="61">
        <f t="shared" si="2"/>
        <v>0</v>
      </c>
      <c r="J26" s="62"/>
      <c r="K26" s="63"/>
      <c r="L26" s="61">
        <f t="shared" si="3"/>
        <v>0</v>
      </c>
      <c r="M26" s="62"/>
      <c r="N26" s="63"/>
      <c r="O26" s="61">
        <f t="shared" si="4"/>
        <v>0</v>
      </c>
      <c r="P26" s="62"/>
      <c r="Q26" s="63"/>
      <c r="R26" s="61">
        <f t="shared" si="5"/>
        <v>0</v>
      </c>
      <c r="S26" s="62"/>
      <c r="T26" s="63"/>
      <c r="U26" s="61">
        <f t="shared" si="6"/>
        <v>0</v>
      </c>
      <c r="V26" s="62"/>
      <c r="W26" s="63"/>
      <c r="X26" s="61">
        <f t="shared" si="7"/>
        <v>0</v>
      </c>
      <c r="Y26" s="62"/>
      <c r="Z26" s="63"/>
      <c r="AA26" s="61">
        <f t="shared" si="8"/>
        <v>0</v>
      </c>
      <c r="AB26" s="62"/>
      <c r="AC26" s="63"/>
      <c r="AD26" s="61">
        <f t="shared" si="9"/>
        <v>0</v>
      </c>
      <c r="AE26" s="62"/>
      <c r="AF26" s="63"/>
      <c r="AG26" s="61">
        <f t="shared" si="10"/>
        <v>0</v>
      </c>
      <c r="AH26" s="62"/>
      <c r="AI26" s="63"/>
      <c r="AJ26" s="61">
        <f t="shared" si="11"/>
        <v>0</v>
      </c>
      <c r="AK26" s="62"/>
      <c r="AL26" s="63"/>
      <c r="AM26" s="61">
        <f t="shared" si="12"/>
        <v>0</v>
      </c>
      <c r="AN26" s="62"/>
      <c r="AO26" s="63"/>
      <c r="AP26" s="59">
        <f t="shared" si="13"/>
        <v>0</v>
      </c>
      <c r="AQ26" s="7" t="e">
        <f t="shared" si="0"/>
        <v>#DIV/0!</v>
      </c>
    </row>
    <row r="27" spans="1:43" ht="18" customHeight="1" x14ac:dyDescent="0.15">
      <c r="A27" s="5"/>
      <c r="B27" s="11"/>
      <c r="C27" s="58"/>
      <c r="D27" s="59"/>
      <c r="E27" s="60"/>
      <c r="F27" s="61">
        <f t="shared" si="1"/>
        <v>0</v>
      </c>
      <c r="G27" s="62"/>
      <c r="H27" s="63"/>
      <c r="I27" s="61">
        <f t="shared" si="2"/>
        <v>0</v>
      </c>
      <c r="J27" s="62"/>
      <c r="K27" s="63"/>
      <c r="L27" s="61">
        <f t="shared" si="3"/>
        <v>0</v>
      </c>
      <c r="M27" s="62"/>
      <c r="N27" s="63"/>
      <c r="O27" s="61">
        <f t="shared" si="4"/>
        <v>0</v>
      </c>
      <c r="P27" s="62"/>
      <c r="Q27" s="63"/>
      <c r="R27" s="61">
        <f t="shared" si="5"/>
        <v>0</v>
      </c>
      <c r="S27" s="62"/>
      <c r="T27" s="63"/>
      <c r="U27" s="61">
        <f t="shared" si="6"/>
        <v>0</v>
      </c>
      <c r="V27" s="62"/>
      <c r="W27" s="63"/>
      <c r="X27" s="61">
        <f t="shared" si="7"/>
        <v>0</v>
      </c>
      <c r="Y27" s="62"/>
      <c r="Z27" s="63"/>
      <c r="AA27" s="61">
        <f t="shared" si="8"/>
        <v>0</v>
      </c>
      <c r="AB27" s="62"/>
      <c r="AC27" s="63"/>
      <c r="AD27" s="61">
        <f t="shared" si="9"/>
        <v>0</v>
      </c>
      <c r="AE27" s="62"/>
      <c r="AF27" s="63"/>
      <c r="AG27" s="61">
        <f t="shared" si="10"/>
        <v>0</v>
      </c>
      <c r="AH27" s="62"/>
      <c r="AI27" s="63"/>
      <c r="AJ27" s="61">
        <f t="shared" si="11"/>
        <v>0</v>
      </c>
      <c r="AK27" s="62"/>
      <c r="AL27" s="63"/>
      <c r="AM27" s="61">
        <f t="shared" si="12"/>
        <v>0</v>
      </c>
      <c r="AN27" s="62"/>
      <c r="AO27" s="63"/>
      <c r="AP27" s="59">
        <f t="shared" si="13"/>
        <v>0</v>
      </c>
      <c r="AQ27" s="7" t="e">
        <f t="shared" si="0"/>
        <v>#DIV/0!</v>
      </c>
    </row>
    <row r="28" spans="1:43" ht="18" customHeight="1" x14ac:dyDescent="0.15">
      <c r="A28" s="5"/>
      <c r="B28" s="11"/>
      <c r="C28" s="58"/>
      <c r="D28" s="59"/>
      <c r="E28" s="60"/>
      <c r="F28" s="61">
        <f t="shared" si="1"/>
        <v>0</v>
      </c>
      <c r="G28" s="62"/>
      <c r="H28" s="63"/>
      <c r="I28" s="61">
        <f t="shared" si="2"/>
        <v>0</v>
      </c>
      <c r="J28" s="62"/>
      <c r="K28" s="63"/>
      <c r="L28" s="61">
        <f t="shared" si="3"/>
        <v>0</v>
      </c>
      <c r="M28" s="62"/>
      <c r="N28" s="63"/>
      <c r="O28" s="61">
        <f t="shared" si="4"/>
        <v>0</v>
      </c>
      <c r="P28" s="62"/>
      <c r="Q28" s="63"/>
      <c r="R28" s="61">
        <f t="shared" si="5"/>
        <v>0</v>
      </c>
      <c r="S28" s="62"/>
      <c r="T28" s="63"/>
      <c r="U28" s="61">
        <f t="shared" si="6"/>
        <v>0</v>
      </c>
      <c r="V28" s="62"/>
      <c r="W28" s="63"/>
      <c r="X28" s="61">
        <f t="shared" si="7"/>
        <v>0</v>
      </c>
      <c r="Y28" s="62"/>
      <c r="Z28" s="63"/>
      <c r="AA28" s="61">
        <f t="shared" si="8"/>
        <v>0</v>
      </c>
      <c r="AB28" s="62"/>
      <c r="AC28" s="63"/>
      <c r="AD28" s="61">
        <f t="shared" si="9"/>
        <v>0</v>
      </c>
      <c r="AE28" s="62"/>
      <c r="AF28" s="63"/>
      <c r="AG28" s="61">
        <f t="shared" si="10"/>
        <v>0</v>
      </c>
      <c r="AH28" s="62"/>
      <c r="AI28" s="63"/>
      <c r="AJ28" s="61">
        <f t="shared" si="11"/>
        <v>0</v>
      </c>
      <c r="AK28" s="62"/>
      <c r="AL28" s="63"/>
      <c r="AM28" s="61">
        <f t="shared" si="12"/>
        <v>0</v>
      </c>
      <c r="AN28" s="62"/>
      <c r="AO28" s="63"/>
      <c r="AP28" s="59">
        <f t="shared" si="13"/>
        <v>0</v>
      </c>
      <c r="AQ28" s="7" t="e">
        <f t="shared" si="0"/>
        <v>#DIV/0!</v>
      </c>
    </row>
    <row r="29" spans="1:43" ht="18" customHeight="1" x14ac:dyDescent="0.15">
      <c r="A29" s="5"/>
      <c r="B29" s="11"/>
      <c r="C29" s="58"/>
      <c r="D29" s="64"/>
      <c r="E29" s="60"/>
      <c r="F29" s="61">
        <f t="shared" si="1"/>
        <v>0</v>
      </c>
      <c r="G29" s="62"/>
      <c r="H29" s="63"/>
      <c r="I29" s="61">
        <f t="shared" si="2"/>
        <v>0</v>
      </c>
      <c r="J29" s="62"/>
      <c r="K29" s="63"/>
      <c r="L29" s="61">
        <f t="shared" si="3"/>
        <v>0</v>
      </c>
      <c r="M29" s="62"/>
      <c r="N29" s="63"/>
      <c r="O29" s="61">
        <f t="shared" si="4"/>
        <v>0</v>
      </c>
      <c r="P29" s="62"/>
      <c r="Q29" s="63"/>
      <c r="R29" s="61">
        <f t="shared" si="5"/>
        <v>0</v>
      </c>
      <c r="S29" s="62"/>
      <c r="T29" s="63"/>
      <c r="U29" s="61">
        <f t="shared" si="6"/>
        <v>0</v>
      </c>
      <c r="V29" s="62"/>
      <c r="W29" s="63"/>
      <c r="X29" s="61">
        <f t="shared" si="7"/>
        <v>0</v>
      </c>
      <c r="Y29" s="62"/>
      <c r="Z29" s="63"/>
      <c r="AA29" s="61">
        <f t="shared" si="8"/>
        <v>0</v>
      </c>
      <c r="AB29" s="62"/>
      <c r="AC29" s="63"/>
      <c r="AD29" s="61">
        <f t="shared" si="9"/>
        <v>0</v>
      </c>
      <c r="AE29" s="62"/>
      <c r="AF29" s="63"/>
      <c r="AG29" s="61">
        <f t="shared" si="10"/>
        <v>0</v>
      </c>
      <c r="AH29" s="62"/>
      <c r="AI29" s="63"/>
      <c r="AJ29" s="61">
        <f t="shared" si="11"/>
        <v>0</v>
      </c>
      <c r="AK29" s="62"/>
      <c r="AL29" s="63"/>
      <c r="AM29" s="61">
        <f t="shared" si="12"/>
        <v>0</v>
      </c>
      <c r="AN29" s="62"/>
      <c r="AO29" s="63"/>
      <c r="AP29" s="64">
        <f t="shared" si="13"/>
        <v>0</v>
      </c>
      <c r="AQ29" s="7" t="e">
        <f t="shared" si="0"/>
        <v>#DIV/0!</v>
      </c>
    </row>
    <row r="30" spans="1:43" ht="18" customHeight="1" x14ac:dyDescent="0.15">
      <c r="A30" s="5"/>
      <c r="B30" s="11"/>
      <c r="C30" s="58"/>
      <c r="D30" s="64"/>
      <c r="E30" s="60"/>
      <c r="F30" s="61">
        <f t="shared" si="1"/>
        <v>0</v>
      </c>
      <c r="G30" s="62"/>
      <c r="H30" s="63"/>
      <c r="I30" s="61">
        <f t="shared" si="2"/>
        <v>0</v>
      </c>
      <c r="J30" s="62"/>
      <c r="K30" s="63"/>
      <c r="L30" s="61">
        <f t="shared" si="3"/>
        <v>0</v>
      </c>
      <c r="M30" s="62"/>
      <c r="N30" s="63"/>
      <c r="O30" s="61">
        <f t="shared" si="4"/>
        <v>0</v>
      </c>
      <c r="P30" s="62"/>
      <c r="Q30" s="63"/>
      <c r="R30" s="61">
        <f t="shared" si="5"/>
        <v>0</v>
      </c>
      <c r="S30" s="62"/>
      <c r="T30" s="63"/>
      <c r="U30" s="61">
        <f t="shared" si="6"/>
        <v>0</v>
      </c>
      <c r="V30" s="62"/>
      <c r="W30" s="63"/>
      <c r="X30" s="61">
        <f t="shared" si="7"/>
        <v>0</v>
      </c>
      <c r="Y30" s="62"/>
      <c r="Z30" s="63"/>
      <c r="AA30" s="61">
        <f t="shared" si="8"/>
        <v>0</v>
      </c>
      <c r="AB30" s="62"/>
      <c r="AC30" s="63"/>
      <c r="AD30" s="61">
        <f t="shared" si="9"/>
        <v>0</v>
      </c>
      <c r="AE30" s="62"/>
      <c r="AF30" s="63"/>
      <c r="AG30" s="61">
        <f t="shared" si="10"/>
        <v>0</v>
      </c>
      <c r="AH30" s="62"/>
      <c r="AI30" s="63"/>
      <c r="AJ30" s="61">
        <f t="shared" si="11"/>
        <v>0</v>
      </c>
      <c r="AK30" s="62"/>
      <c r="AL30" s="63"/>
      <c r="AM30" s="61">
        <f t="shared" si="12"/>
        <v>0</v>
      </c>
      <c r="AN30" s="62"/>
      <c r="AO30" s="63"/>
      <c r="AP30" s="64">
        <f t="shared" si="13"/>
        <v>0</v>
      </c>
      <c r="AQ30" s="7" t="e">
        <f t="shared" si="0"/>
        <v>#DIV/0!</v>
      </c>
    </row>
    <row r="31" spans="1:43" ht="18" customHeight="1" thickBot="1" x14ac:dyDescent="0.2">
      <c r="A31" s="5"/>
      <c r="B31" s="12"/>
      <c r="C31" s="53"/>
      <c r="D31" s="65"/>
      <c r="E31" s="55"/>
      <c r="F31" s="55">
        <f t="shared" si="1"/>
        <v>0</v>
      </c>
      <c r="G31" s="66"/>
      <c r="H31" s="67"/>
      <c r="I31" s="55">
        <f t="shared" si="2"/>
        <v>0</v>
      </c>
      <c r="J31" s="66"/>
      <c r="K31" s="67"/>
      <c r="L31" s="55">
        <f t="shared" si="3"/>
        <v>0</v>
      </c>
      <c r="M31" s="66"/>
      <c r="N31" s="67"/>
      <c r="O31" s="55">
        <f t="shared" si="4"/>
        <v>0</v>
      </c>
      <c r="P31" s="66"/>
      <c r="Q31" s="67"/>
      <c r="R31" s="55">
        <f t="shared" si="5"/>
        <v>0</v>
      </c>
      <c r="S31" s="66"/>
      <c r="T31" s="67"/>
      <c r="U31" s="55">
        <f t="shared" si="6"/>
        <v>0</v>
      </c>
      <c r="V31" s="66"/>
      <c r="W31" s="67"/>
      <c r="X31" s="55">
        <f t="shared" si="7"/>
        <v>0</v>
      </c>
      <c r="Y31" s="66"/>
      <c r="Z31" s="67"/>
      <c r="AA31" s="55">
        <f t="shared" si="8"/>
        <v>0</v>
      </c>
      <c r="AB31" s="66"/>
      <c r="AC31" s="67"/>
      <c r="AD31" s="55">
        <f t="shared" si="9"/>
        <v>0</v>
      </c>
      <c r="AE31" s="66"/>
      <c r="AF31" s="67"/>
      <c r="AG31" s="55">
        <f t="shared" si="10"/>
        <v>0</v>
      </c>
      <c r="AH31" s="66"/>
      <c r="AI31" s="67"/>
      <c r="AJ31" s="55">
        <f t="shared" si="11"/>
        <v>0</v>
      </c>
      <c r="AK31" s="66"/>
      <c r="AL31" s="67"/>
      <c r="AM31" s="55">
        <f t="shared" si="12"/>
        <v>0</v>
      </c>
      <c r="AN31" s="66"/>
      <c r="AO31" s="67"/>
      <c r="AP31" s="65">
        <f t="shared" si="13"/>
        <v>0</v>
      </c>
      <c r="AQ31" s="6" t="e">
        <f t="shared" si="0"/>
        <v>#DIV/0!</v>
      </c>
    </row>
    <row r="32" spans="1:43" ht="18" customHeight="1" thickTop="1" x14ac:dyDescent="0.15">
      <c r="B32" s="13" t="s">
        <v>69</v>
      </c>
      <c r="C32" s="68">
        <f t="shared" ref="C32" si="14">SUM(C12:C31)</f>
        <v>19316</v>
      </c>
      <c r="D32" s="69">
        <f t="shared" ref="D32:AP32" si="15">SUM(D12:D31)</f>
        <v>4982</v>
      </c>
      <c r="E32" s="70">
        <f t="shared" si="15"/>
        <v>19304</v>
      </c>
      <c r="F32" s="70">
        <f t="shared" si="15"/>
        <v>1754</v>
      </c>
      <c r="G32" s="71">
        <f t="shared" si="15"/>
        <v>1127</v>
      </c>
      <c r="H32" s="72">
        <f t="shared" si="15"/>
        <v>627</v>
      </c>
      <c r="I32" s="70">
        <f t="shared" ref="I32:N32" si="16">SUM(I12:I31)</f>
        <v>32</v>
      </c>
      <c r="J32" s="71">
        <f t="shared" si="16"/>
        <v>26</v>
      </c>
      <c r="K32" s="72">
        <f t="shared" si="16"/>
        <v>6</v>
      </c>
      <c r="L32" s="70">
        <f t="shared" si="16"/>
        <v>0</v>
      </c>
      <c r="M32" s="71">
        <f t="shared" si="16"/>
        <v>0</v>
      </c>
      <c r="N32" s="72">
        <f t="shared" si="16"/>
        <v>0</v>
      </c>
      <c r="O32" s="70">
        <f t="shared" ref="O32:T32" si="17">SUM(O12:O31)</f>
        <v>0</v>
      </c>
      <c r="P32" s="71">
        <f t="shared" si="17"/>
        <v>0</v>
      </c>
      <c r="Q32" s="72">
        <f t="shared" si="17"/>
        <v>0</v>
      </c>
      <c r="R32" s="70">
        <f t="shared" si="17"/>
        <v>0</v>
      </c>
      <c r="S32" s="71">
        <f t="shared" si="17"/>
        <v>0</v>
      </c>
      <c r="T32" s="72">
        <f t="shared" si="17"/>
        <v>0</v>
      </c>
      <c r="U32" s="70">
        <f t="shared" ref="U32:AI32" si="18">SUM(U12:U31)</f>
        <v>0</v>
      </c>
      <c r="V32" s="71">
        <f t="shared" si="18"/>
        <v>0</v>
      </c>
      <c r="W32" s="72">
        <f t="shared" si="18"/>
        <v>0</v>
      </c>
      <c r="X32" s="70">
        <f t="shared" si="18"/>
        <v>0</v>
      </c>
      <c r="Y32" s="71">
        <f t="shared" si="18"/>
        <v>0</v>
      </c>
      <c r="Z32" s="72">
        <f t="shared" si="18"/>
        <v>0</v>
      </c>
      <c r="AA32" s="70">
        <f t="shared" si="18"/>
        <v>0</v>
      </c>
      <c r="AB32" s="71">
        <f t="shared" si="18"/>
        <v>0</v>
      </c>
      <c r="AC32" s="72">
        <f t="shared" si="18"/>
        <v>0</v>
      </c>
      <c r="AD32" s="70">
        <f t="shared" si="18"/>
        <v>0</v>
      </c>
      <c r="AE32" s="71">
        <f t="shared" si="18"/>
        <v>0</v>
      </c>
      <c r="AF32" s="72">
        <f t="shared" si="18"/>
        <v>0</v>
      </c>
      <c r="AG32" s="70">
        <f t="shared" si="18"/>
        <v>0</v>
      </c>
      <c r="AH32" s="71">
        <f t="shared" si="18"/>
        <v>0</v>
      </c>
      <c r="AI32" s="72">
        <f t="shared" si="18"/>
        <v>0</v>
      </c>
      <c r="AJ32" s="70">
        <f t="shared" ref="AJ32:AO32" si="19">SUM(AJ12:AJ31)</f>
        <v>0</v>
      </c>
      <c r="AK32" s="71">
        <f t="shared" si="19"/>
        <v>0</v>
      </c>
      <c r="AL32" s="72">
        <f t="shared" si="19"/>
        <v>0</v>
      </c>
      <c r="AM32" s="70">
        <f t="shared" si="19"/>
        <v>0</v>
      </c>
      <c r="AN32" s="71">
        <f t="shared" si="19"/>
        <v>0</v>
      </c>
      <c r="AO32" s="72">
        <f t="shared" si="19"/>
        <v>0</v>
      </c>
      <c r="AP32" s="69">
        <f t="shared" si="15"/>
        <v>1754</v>
      </c>
      <c r="AQ32" s="8">
        <f t="shared" si="0"/>
        <v>9.0861997513468712E-2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workbookViewId="0"/>
  </sheetViews>
  <sheetFormatPr defaultColWidth="11.375" defaultRowHeight="18.75" customHeight="1" x14ac:dyDescent="0.15"/>
  <cols>
    <col min="1" max="1" width="2.75" style="34"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4" t="s">
        <v>70</v>
      </c>
      <c r="I1" s="74" t="s">
        <v>71</v>
      </c>
    </row>
    <row r="2" spans="1:9" ht="18.75" customHeight="1" x14ac:dyDescent="0.15">
      <c r="G2" s="74" t="s">
        <v>2</v>
      </c>
      <c r="H2" s="173" t="str">
        <f>'[1]様式１　プログラムを構成する授業科目'!C2</f>
        <v>龍谷大学</v>
      </c>
      <c r="I2" s="166"/>
    </row>
    <row r="3" spans="1:9" ht="18.75" customHeight="1" x14ac:dyDescent="0.15">
      <c r="G3" s="74"/>
      <c r="H3" s="9"/>
      <c r="I3" s="9"/>
    </row>
    <row r="4" spans="1:9" ht="18.600000000000001" customHeight="1" x14ac:dyDescent="0.15">
      <c r="A4" s="185" t="s">
        <v>72</v>
      </c>
      <c r="B4" s="185"/>
      <c r="C4" s="185"/>
      <c r="D4" s="185"/>
      <c r="E4" s="185"/>
      <c r="F4" s="185"/>
      <c r="G4" s="185"/>
      <c r="H4" s="185"/>
      <c r="I4" s="185"/>
    </row>
    <row r="5" spans="1:9" ht="13.15" customHeight="1" x14ac:dyDescent="0.15">
      <c r="B5" s="3"/>
      <c r="C5" s="3"/>
      <c r="D5" s="3"/>
      <c r="E5" s="3"/>
      <c r="F5" s="3"/>
      <c r="G5" s="3"/>
      <c r="H5" s="3"/>
      <c r="I5" s="3"/>
    </row>
    <row r="6" spans="1:9" ht="18" customHeight="1" x14ac:dyDescent="0.15">
      <c r="A6" s="1" t="s">
        <v>73</v>
      </c>
      <c r="B6" s="9" t="s">
        <v>74</v>
      </c>
      <c r="C6" s="281" t="s">
        <v>75</v>
      </c>
      <c r="D6" s="281"/>
      <c r="E6" s="76">
        <v>513</v>
      </c>
      <c r="F6" s="3" t="s">
        <v>76</v>
      </c>
      <c r="G6" s="3" t="s">
        <v>77</v>
      </c>
      <c r="H6" s="76">
        <v>1062</v>
      </c>
      <c r="I6" s="9" t="s">
        <v>76</v>
      </c>
    </row>
    <row r="7" spans="1:9" ht="12" customHeight="1" x14ac:dyDescent="0.15">
      <c r="C7" s="2"/>
      <c r="D7" s="2"/>
      <c r="E7" s="2"/>
      <c r="F7" s="2"/>
      <c r="G7" s="2"/>
      <c r="H7" s="2"/>
      <c r="I7" s="35"/>
    </row>
    <row r="8" spans="1:9" ht="18" customHeight="1" x14ac:dyDescent="0.15">
      <c r="A8" s="1" t="s">
        <v>78</v>
      </c>
      <c r="B8" s="9" t="s">
        <v>79</v>
      </c>
      <c r="E8" s="3"/>
      <c r="F8" s="3"/>
      <c r="G8" s="3"/>
      <c r="H8" s="76">
        <v>43</v>
      </c>
      <c r="I8" s="9" t="s">
        <v>76</v>
      </c>
    </row>
    <row r="9" spans="1:9" ht="9" customHeight="1" x14ac:dyDescent="0.15">
      <c r="B9" s="3"/>
      <c r="C9" s="3"/>
      <c r="D9" s="3"/>
      <c r="E9" s="3"/>
      <c r="F9" s="3"/>
      <c r="G9" s="3"/>
      <c r="H9" s="3"/>
      <c r="I9" s="3"/>
    </row>
    <row r="10" spans="1:9" ht="18" customHeight="1" x14ac:dyDescent="0.15">
      <c r="A10" s="1" t="s">
        <v>80</v>
      </c>
      <c r="B10" s="9" t="s">
        <v>81</v>
      </c>
      <c r="C10" s="3"/>
      <c r="D10" s="3"/>
      <c r="E10" s="3"/>
      <c r="F10" s="3"/>
      <c r="G10" s="3"/>
      <c r="H10" s="3"/>
      <c r="I10" s="3"/>
    </row>
    <row r="11" spans="1:9" ht="18" customHeight="1" x14ac:dyDescent="0.15">
      <c r="B11" s="74" t="s">
        <v>82</v>
      </c>
      <c r="C11" s="276" t="s">
        <v>141</v>
      </c>
      <c r="D11" s="279"/>
      <c r="E11" s="280"/>
      <c r="F11" s="35"/>
      <c r="G11" s="74" t="s">
        <v>83</v>
      </c>
      <c r="H11" s="276" t="s">
        <v>142</v>
      </c>
      <c r="I11" s="280"/>
    </row>
    <row r="12" spans="1:9" ht="10.15" customHeight="1" x14ac:dyDescent="0.15">
      <c r="B12" s="74"/>
      <c r="C12" s="9"/>
      <c r="D12" s="35"/>
      <c r="E12" s="35"/>
      <c r="F12" s="35"/>
      <c r="G12" s="74"/>
      <c r="H12" s="9"/>
      <c r="I12" s="35"/>
    </row>
    <row r="13" spans="1:9" ht="18" customHeight="1" x14ac:dyDescent="0.15">
      <c r="A13" s="1" t="s">
        <v>84</v>
      </c>
      <c r="B13" s="9" t="s">
        <v>85</v>
      </c>
      <c r="C13" s="3"/>
      <c r="D13" s="3"/>
      <c r="E13" s="3"/>
      <c r="F13" s="3"/>
      <c r="G13" s="3"/>
      <c r="H13" s="3"/>
      <c r="I13" s="3"/>
    </row>
    <row r="14" spans="1:9" ht="18" customHeight="1" x14ac:dyDescent="0.15">
      <c r="B14" s="276" t="s">
        <v>143</v>
      </c>
      <c r="C14" s="277"/>
      <c r="D14" s="277"/>
      <c r="E14" s="277"/>
      <c r="F14" s="277"/>
      <c r="G14" s="277"/>
      <c r="H14" s="277"/>
      <c r="I14" s="278"/>
    </row>
    <row r="15" spans="1:9" ht="9" customHeight="1" x14ac:dyDescent="0.15">
      <c r="B15" s="3"/>
      <c r="C15" s="3"/>
      <c r="D15" s="3"/>
      <c r="E15" s="3"/>
      <c r="F15" s="3"/>
      <c r="G15" s="3"/>
      <c r="H15" s="3"/>
      <c r="I15" s="3"/>
    </row>
    <row r="16" spans="1:9" ht="18" customHeight="1" x14ac:dyDescent="0.15">
      <c r="B16" s="74" t="s">
        <v>82</v>
      </c>
      <c r="C16" s="276" t="s">
        <v>141</v>
      </c>
      <c r="D16" s="279"/>
      <c r="E16" s="280"/>
      <c r="F16" s="35"/>
      <c r="G16" s="74" t="s">
        <v>83</v>
      </c>
      <c r="H16" s="276" t="s">
        <v>142</v>
      </c>
      <c r="I16" s="280"/>
    </row>
    <row r="17" spans="1:9" ht="18" customHeight="1" x14ac:dyDescent="0.15">
      <c r="B17" s="3"/>
      <c r="C17" s="3"/>
      <c r="D17" s="3"/>
      <c r="E17" s="3"/>
      <c r="F17" s="3"/>
      <c r="G17" s="3"/>
      <c r="H17" s="3"/>
      <c r="I17" s="3"/>
    </row>
    <row r="18" spans="1:9" ht="18.75" customHeight="1" x14ac:dyDescent="0.15">
      <c r="A18" s="1" t="s">
        <v>86</v>
      </c>
      <c r="B18" s="1" t="s">
        <v>87</v>
      </c>
      <c r="I18" s="3"/>
    </row>
    <row r="19" spans="1:9" ht="18.75" customHeight="1" x14ac:dyDescent="0.15">
      <c r="A19" s="1"/>
      <c r="B19" s="268" t="s">
        <v>144</v>
      </c>
      <c r="C19" s="269"/>
      <c r="D19" s="269"/>
      <c r="E19" s="269"/>
      <c r="F19" s="269"/>
      <c r="G19" s="269"/>
      <c r="H19" s="269"/>
      <c r="I19" s="270"/>
    </row>
    <row r="20" spans="1:9" ht="7.5" customHeight="1" x14ac:dyDescent="0.15">
      <c r="B20" s="3"/>
      <c r="C20" s="3"/>
      <c r="D20" s="3"/>
      <c r="E20" s="3"/>
      <c r="F20" s="3"/>
      <c r="G20" s="3"/>
      <c r="H20" s="3"/>
      <c r="I20" s="3"/>
    </row>
    <row r="21" spans="1:9" ht="18.75" customHeight="1" x14ac:dyDescent="0.15">
      <c r="A21" s="1" t="s">
        <v>88</v>
      </c>
      <c r="B21" s="1" t="s">
        <v>89</v>
      </c>
    </row>
    <row r="22" spans="1:9" ht="18.75" customHeight="1" x14ac:dyDescent="0.15">
      <c r="A22" s="77"/>
      <c r="B22" s="258" t="s">
        <v>145</v>
      </c>
      <c r="C22" s="259"/>
      <c r="D22" s="259"/>
      <c r="E22" s="259"/>
      <c r="F22" s="259"/>
      <c r="G22" s="259"/>
      <c r="H22" s="259"/>
      <c r="I22" s="260"/>
    </row>
    <row r="23" spans="1:9" ht="18.75" customHeight="1" x14ac:dyDescent="0.15">
      <c r="A23" s="77"/>
      <c r="B23" s="271"/>
      <c r="C23" s="272"/>
      <c r="D23" s="272"/>
      <c r="E23" s="272"/>
      <c r="F23" s="272"/>
      <c r="G23" s="272"/>
      <c r="H23" s="272"/>
      <c r="I23" s="263"/>
    </row>
    <row r="24" spans="1:9" ht="18.75" customHeight="1" x14ac:dyDescent="0.15">
      <c r="A24" s="77"/>
      <c r="B24" s="271"/>
      <c r="C24" s="272"/>
      <c r="D24" s="272"/>
      <c r="E24" s="272"/>
      <c r="F24" s="272"/>
      <c r="G24" s="272"/>
      <c r="H24" s="272"/>
      <c r="I24" s="263"/>
    </row>
    <row r="25" spans="1:9" ht="18.75" customHeight="1" x14ac:dyDescent="0.15">
      <c r="A25" s="77"/>
      <c r="B25" s="271"/>
      <c r="C25" s="272"/>
      <c r="D25" s="272"/>
      <c r="E25" s="272"/>
      <c r="F25" s="272"/>
      <c r="G25" s="272"/>
      <c r="H25" s="272"/>
      <c r="I25" s="263"/>
    </row>
    <row r="26" spans="1:9" ht="18.75" customHeight="1" x14ac:dyDescent="0.15">
      <c r="A26" s="77"/>
      <c r="B26" s="271"/>
      <c r="C26" s="272"/>
      <c r="D26" s="272"/>
      <c r="E26" s="272"/>
      <c r="F26" s="272"/>
      <c r="G26" s="272"/>
      <c r="H26" s="272"/>
      <c r="I26" s="263"/>
    </row>
    <row r="27" spans="1:9" ht="18.75" customHeight="1" x14ac:dyDescent="0.15">
      <c r="A27" s="77"/>
      <c r="B27" s="271"/>
      <c r="C27" s="272"/>
      <c r="D27" s="272"/>
      <c r="E27" s="272"/>
      <c r="F27" s="272"/>
      <c r="G27" s="272"/>
      <c r="H27" s="272"/>
      <c r="I27" s="263"/>
    </row>
    <row r="28" spans="1:9" ht="18.75" customHeight="1" x14ac:dyDescent="0.15">
      <c r="A28" s="77"/>
      <c r="B28" s="271"/>
      <c r="C28" s="272"/>
      <c r="D28" s="272"/>
      <c r="E28" s="272"/>
      <c r="F28" s="272"/>
      <c r="G28" s="272"/>
      <c r="H28" s="272"/>
      <c r="I28" s="263"/>
    </row>
    <row r="29" spans="1:9" ht="18.75" customHeight="1" x14ac:dyDescent="0.15">
      <c r="A29" s="77"/>
      <c r="B29" s="271"/>
      <c r="C29" s="272"/>
      <c r="D29" s="272"/>
      <c r="E29" s="272"/>
      <c r="F29" s="272"/>
      <c r="G29" s="272"/>
      <c r="H29" s="272"/>
      <c r="I29" s="263"/>
    </row>
    <row r="30" spans="1:9" ht="18.75" customHeight="1" x14ac:dyDescent="0.15">
      <c r="A30" s="77"/>
      <c r="B30" s="261"/>
      <c r="C30" s="262"/>
      <c r="D30" s="262"/>
      <c r="E30" s="262"/>
      <c r="F30" s="262"/>
      <c r="G30" s="262"/>
      <c r="H30" s="262"/>
      <c r="I30" s="263"/>
    </row>
    <row r="31" spans="1:9" ht="18.75" customHeight="1" x14ac:dyDescent="0.15">
      <c r="A31" s="77"/>
      <c r="B31" s="261"/>
      <c r="C31" s="262"/>
      <c r="D31" s="262"/>
      <c r="E31" s="262"/>
      <c r="F31" s="262"/>
      <c r="G31" s="262"/>
      <c r="H31" s="262"/>
      <c r="I31" s="263"/>
    </row>
    <row r="32" spans="1:9" ht="18.75" customHeight="1" x14ac:dyDescent="0.15">
      <c r="A32" s="77"/>
      <c r="B32" s="264"/>
      <c r="C32" s="265"/>
      <c r="D32" s="265"/>
      <c r="E32" s="265"/>
      <c r="F32" s="265"/>
      <c r="G32" s="265"/>
      <c r="H32" s="265"/>
      <c r="I32" s="266"/>
    </row>
    <row r="33" spans="1:9" ht="7.5" customHeight="1" x14ac:dyDescent="0.15">
      <c r="A33" s="77"/>
      <c r="B33" s="77"/>
      <c r="C33" s="77"/>
      <c r="D33" s="77"/>
      <c r="E33" s="77"/>
      <c r="F33" s="77"/>
      <c r="G33" s="77"/>
      <c r="H33" s="77"/>
      <c r="I33" s="77"/>
    </row>
    <row r="34" spans="1:9" ht="18.75" customHeight="1" x14ac:dyDescent="0.15">
      <c r="A34" s="73" t="s">
        <v>90</v>
      </c>
      <c r="B34" s="73" t="s">
        <v>91</v>
      </c>
      <c r="C34" s="9"/>
      <c r="D34" s="73"/>
      <c r="E34" s="73"/>
      <c r="F34" s="73"/>
      <c r="G34" s="73"/>
      <c r="H34" s="73"/>
      <c r="I34" s="73"/>
    </row>
    <row r="35" spans="1:9" ht="18.75" customHeight="1" x14ac:dyDescent="0.15">
      <c r="A35" s="77"/>
      <c r="B35" s="258" t="s">
        <v>199</v>
      </c>
      <c r="C35" s="259"/>
      <c r="D35" s="259"/>
      <c r="E35" s="259"/>
      <c r="F35" s="259"/>
      <c r="G35" s="259"/>
      <c r="H35" s="259"/>
      <c r="I35" s="260"/>
    </row>
    <row r="36" spans="1:9" ht="18.75" customHeight="1" x14ac:dyDescent="0.15">
      <c r="A36" s="77"/>
      <c r="B36" s="261"/>
      <c r="C36" s="262"/>
      <c r="D36" s="262"/>
      <c r="E36" s="262"/>
      <c r="F36" s="262"/>
      <c r="G36" s="262"/>
      <c r="H36" s="262"/>
      <c r="I36" s="263"/>
    </row>
    <row r="37" spans="1:9" ht="18.75" customHeight="1" x14ac:dyDescent="0.15">
      <c r="A37" s="77"/>
      <c r="B37" s="261"/>
      <c r="C37" s="262"/>
      <c r="D37" s="262"/>
      <c r="E37" s="262"/>
      <c r="F37" s="262"/>
      <c r="G37" s="262"/>
      <c r="H37" s="262"/>
      <c r="I37" s="263"/>
    </row>
    <row r="38" spans="1:9" ht="18.75" customHeight="1" x14ac:dyDescent="0.15">
      <c r="A38" s="77"/>
      <c r="B38" s="261"/>
      <c r="C38" s="262"/>
      <c r="D38" s="262"/>
      <c r="E38" s="262"/>
      <c r="F38" s="262"/>
      <c r="G38" s="262"/>
      <c r="H38" s="262"/>
      <c r="I38" s="263"/>
    </row>
    <row r="39" spans="1:9" ht="18.75" customHeight="1" x14ac:dyDescent="0.15">
      <c r="A39" s="77"/>
      <c r="B39" s="261"/>
      <c r="C39" s="262"/>
      <c r="D39" s="262"/>
      <c r="E39" s="262"/>
      <c r="F39" s="262"/>
      <c r="G39" s="262"/>
      <c r="H39" s="262"/>
      <c r="I39" s="263"/>
    </row>
    <row r="40" spans="1:9" ht="18.75" customHeight="1" x14ac:dyDescent="0.15">
      <c r="A40" s="77"/>
      <c r="B40" s="261"/>
      <c r="C40" s="262"/>
      <c r="D40" s="262"/>
      <c r="E40" s="262"/>
      <c r="F40" s="262"/>
      <c r="G40" s="262"/>
      <c r="H40" s="262"/>
      <c r="I40" s="263"/>
    </row>
    <row r="41" spans="1:9" ht="18.75" customHeight="1" x14ac:dyDescent="0.15">
      <c r="A41" s="77"/>
      <c r="B41" s="261"/>
      <c r="C41" s="262"/>
      <c r="D41" s="262"/>
      <c r="E41" s="262"/>
      <c r="F41" s="262"/>
      <c r="G41" s="262"/>
      <c r="H41" s="262"/>
      <c r="I41" s="263"/>
    </row>
    <row r="42" spans="1:9" ht="18.75" customHeight="1" x14ac:dyDescent="0.15">
      <c r="A42" s="77"/>
      <c r="B42" s="261"/>
      <c r="C42" s="262"/>
      <c r="D42" s="262"/>
      <c r="E42" s="262"/>
      <c r="F42" s="262"/>
      <c r="G42" s="262"/>
      <c r="H42" s="262"/>
      <c r="I42" s="263"/>
    </row>
    <row r="43" spans="1:9" ht="18.75" customHeight="1" x14ac:dyDescent="0.15">
      <c r="A43" s="77"/>
      <c r="B43" s="261"/>
      <c r="C43" s="262"/>
      <c r="D43" s="262"/>
      <c r="E43" s="262"/>
      <c r="F43" s="262"/>
      <c r="G43" s="262"/>
      <c r="H43" s="262"/>
      <c r="I43" s="263"/>
    </row>
    <row r="44" spans="1:9" ht="18.75" customHeight="1" x14ac:dyDescent="0.15">
      <c r="A44" s="77"/>
      <c r="B44" s="261"/>
      <c r="C44" s="262"/>
      <c r="D44" s="262"/>
      <c r="E44" s="262"/>
      <c r="F44" s="262"/>
      <c r="G44" s="262"/>
      <c r="H44" s="262"/>
      <c r="I44" s="263"/>
    </row>
    <row r="45" spans="1:9" ht="18.75" customHeight="1" x14ac:dyDescent="0.15">
      <c r="A45" s="77"/>
      <c r="B45" s="261"/>
      <c r="C45" s="262"/>
      <c r="D45" s="262"/>
      <c r="E45" s="262"/>
      <c r="F45" s="262"/>
      <c r="G45" s="262"/>
      <c r="H45" s="262"/>
      <c r="I45" s="263"/>
    </row>
    <row r="46" spans="1:9" ht="18.75" customHeight="1" x14ac:dyDescent="0.15">
      <c r="A46" s="77"/>
      <c r="B46" s="264"/>
      <c r="C46" s="265"/>
      <c r="D46" s="265"/>
      <c r="E46" s="265"/>
      <c r="F46" s="265"/>
      <c r="G46" s="265"/>
      <c r="H46" s="265"/>
      <c r="I46" s="266"/>
    </row>
    <row r="47" spans="1:9" ht="7.5" customHeight="1" x14ac:dyDescent="0.15">
      <c r="A47" s="4"/>
      <c r="B47" s="4"/>
      <c r="C47" s="4"/>
      <c r="D47" s="4"/>
      <c r="E47" s="4"/>
      <c r="F47" s="4"/>
      <c r="G47" s="4"/>
      <c r="H47" s="4"/>
      <c r="I47" s="4"/>
    </row>
    <row r="48" spans="1:9" ht="18.75" customHeight="1" x14ac:dyDescent="0.15">
      <c r="A48" s="1" t="s">
        <v>92</v>
      </c>
      <c r="B48" s="1" t="s">
        <v>93</v>
      </c>
    </row>
    <row r="49" spans="1:15" s="3" customFormat="1" ht="18.75" customHeight="1" x14ac:dyDescent="0.15">
      <c r="B49" s="36" t="s">
        <v>94</v>
      </c>
      <c r="C49" s="247">
        <f>'様式２ 履修者等数の実績'!AQ32</f>
        <v>9.0861997513468712E-2</v>
      </c>
      <c r="D49" s="247"/>
      <c r="E49" s="84" t="s">
        <v>95</v>
      </c>
      <c r="F49" s="247">
        <v>0.1</v>
      </c>
      <c r="G49" s="247"/>
      <c r="H49" s="84" t="s">
        <v>96</v>
      </c>
      <c r="I49" s="85">
        <v>0.15</v>
      </c>
      <c r="J49" s="1"/>
      <c r="M49" s="1"/>
      <c r="N49" s="37"/>
    </row>
    <row r="50" spans="1:15" s="3" customFormat="1" ht="18.75" customHeight="1" x14ac:dyDescent="0.15">
      <c r="B50" s="38" t="s">
        <v>97</v>
      </c>
      <c r="C50" s="248">
        <v>0.2</v>
      </c>
      <c r="D50" s="248"/>
      <c r="E50" s="86" t="s">
        <v>98</v>
      </c>
      <c r="F50" s="248">
        <v>0.25</v>
      </c>
      <c r="G50" s="248"/>
      <c r="H50" s="86" t="s">
        <v>99</v>
      </c>
      <c r="I50" s="87">
        <f>'様式２ 履修者等数の実績'!E32</f>
        <v>19304</v>
      </c>
      <c r="J50" s="1"/>
      <c r="M50" s="1"/>
      <c r="N50" s="37"/>
    </row>
    <row r="51" spans="1:15" ht="18.75" customHeight="1" x14ac:dyDescent="0.15">
      <c r="A51" s="1"/>
      <c r="B51" s="273" t="s">
        <v>100</v>
      </c>
      <c r="C51" s="274"/>
      <c r="D51" s="274"/>
      <c r="E51" s="274"/>
      <c r="F51" s="274"/>
      <c r="G51" s="274"/>
      <c r="H51" s="274"/>
      <c r="I51" s="275"/>
      <c r="N51" s="37"/>
      <c r="O51" s="3"/>
    </row>
    <row r="52" spans="1:15" ht="18.75" customHeight="1" x14ac:dyDescent="0.15">
      <c r="A52" s="1"/>
      <c r="B52" s="249" t="s">
        <v>196</v>
      </c>
      <c r="C52" s="250"/>
      <c r="D52" s="250"/>
      <c r="E52" s="250"/>
      <c r="F52" s="250"/>
      <c r="G52" s="250"/>
      <c r="H52" s="250"/>
      <c r="I52" s="251"/>
      <c r="N52" s="37"/>
      <c r="O52" s="3"/>
    </row>
    <row r="53" spans="1:15" ht="18.75" customHeight="1" x14ac:dyDescent="0.15">
      <c r="A53" s="1"/>
      <c r="B53" s="252"/>
      <c r="C53" s="253"/>
      <c r="D53" s="253"/>
      <c r="E53" s="253"/>
      <c r="F53" s="253"/>
      <c r="G53" s="253"/>
      <c r="H53" s="253"/>
      <c r="I53" s="254"/>
      <c r="N53" s="37"/>
      <c r="O53" s="3"/>
    </row>
    <row r="54" spans="1:15" ht="18.75" customHeight="1" x14ac:dyDescent="0.15">
      <c r="A54" s="1"/>
      <c r="B54" s="252"/>
      <c r="C54" s="253"/>
      <c r="D54" s="253"/>
      <c r="E54" s="253"/>
      <c r="F54" s="253"/>
      <c r="G54" s="253"/>
      <c r="H54" s="253"/>
      <c r="I54" s="254"/>
    </row>
    <row r="55" spans="1:15" ht="18.75" customHeight="1" x14ac:dyDescent="0.15">
      <c r="A55" s="1"/>
      <c r="B55" s="252"/>
      <c r="C55" s="253"/>
      <c r="D55" s="253"/>
      <c r="E55" s="253"/>
      <c r="F55" s="253"/>
      <c r="G55" s="253"/>
      <c r="H55" s="253"/>
      <c r="I55" s="254"/>
    </row>
    <row r="56" spans="1:15" ht="18.75" customHeight="1" x14ac:dyDescent="0.15">
      <c r="A56" s="1"/>
      <c r="B56" s="252"/>
      <c r="C56" s="253"/>
      <c r="D56" s="253"/>
      <c r="E56" s="253"/>
      <c r="F56" s="253"/>
      <c r="G56" s="253"/>
      <c r="H56" s="253"/>
      <c r="I56" s="254"/>
    </row>
    <row r="57" spans="1:15" ht="18.75" customHeight="1" x14ac:dyDescent="0.15">
      <c r="A57" s="1"/>
      <c r="B57" s="252"/>
      <c r="C57" s="253"/>
      <c r="D57" s="253"/>
      <c r="E57" s="253"/>
      <c r="F57" s="253"/>
      <c r="G57" s="253"/>
      <c r="H57" s="253"/>
      <c r="I57" s="254"/>
    </row>
    <row r="58" spans="1:15" ht="18.75" customHeight="1" x14ac:dyDescent="0.15">
      <c r="A58" s="1"/>
      <c r="B58" s="252"/>
      <c r="C58" s="253"/>
      <c r="D58" s="253"/>
      <c r="E58" s="253"/>
      <c r="F58" s="253"/>
      <c r="G58" s="253"/>
      <c r="H58" s="253"/>
      <c r="I58" s="254"/>
    </row>
    <row r="59" spans="1:15" ht="18.75" customHeight="1" x14ac:dyDescent="0.15">
      <c r="A59" s="1"/>
      <c r="B59" s="252"/>
      <c r="C59" s="253"/>
      <c r="D59" s="253"/>
      <c r="E59" s="253"/>
      <c r="F59" s="253"/>
      <c r="G59" s="253"/>
      <c r="H59" s="253"/>
      <c r="I59" s="254"/>
    </row>
    <row r="60" spans="1:15" ht="18.75" customHeight="1" x14ac:dyDescent="0.15">
      <c r="A60" s="1"/>
      <c r="B60" s="252"/>
      <c r="C60" s="253"/>
      <c r="D60" s="253"/>
      <c r="E60" s="253"/>
      <c r="F60" s="253"/>
      <c r="G60" s="253"/>
      <c r="H60" s="253"/>
      <c r="I60" s="254"/>
    </row>
    <row r="61" spans="1:15" ht="18.75" customHeight="1" x14ac:dyDescent="0.15">
      <c r="A61" s="1"/>
      <c r="B61" s="252"/>
      <c r="C61" s="253"/>
      <c r="D61" s="253"/>
      <c r="E61" s="253"/>
      <c r="F61" s="253"/>
      <c r="G61" s="253"/>
      <c r="H61" s="253"/>
      <c r="I61" s="254"/>
    </row>
    <row r="62" spans="1:15" ht="18.75" customHeight="1" x14ac:dyDescent="0.15">
      <c r="A62" s="1"/>
      <c r="B62" s="252"/>
      <c r="C62" s="253"/>
      <c r="D62" s="253"/>
      <c r="E62" s="253"/>
      <c r="F62" s="253"/>
      <c r="G62" s="253"/>
      <c r="H62" s="253"/>
      <c r="I62" s="254"/>
    </row>
    <row r="63" spans="1:15" ht="18.75" customHeight="1" x14ac:dyDescent="0.15">
      <c r="A63" s="1"/>
      <c r="B63" s="255"/>
      <c r="C63" s="256"/>
      <c r="D63" s="256"/>
      <c r="E63" s="256"/>
      <c r="F63" s="256"/>
      <c r="G63" s="256"/>
      <c r="H63" s="256"/>
      <c r="I63" s="257"/>
    </row>
    <row r="64" spans="1:15" ht="7.5" customHeight="1" x14ac:dyDescent="0.15">
      <c r="A64" s="77"/>
      <c r="B64" s="77"/>
      <c r="C64" s="77"/>
      <c r="D64" s="77"/>
      <c r="E64" s="77"/>
      <c r="F64" s="77"/>
      <c r="G64" s="77"/>
      <c r="H64" s="77"/>
      <c r="I64" s="77"/>
    </row>
    <row r="65" spans="1:9" ht="18.75" customHeight="1" x14ac:dyDescent="0.15">
      <c r="A65" s="73" t="s">
        <v>101</v>
      </c>
      <c r="B65" s="1" t="s">
        <v>102</v>
      </c>
      <c r="I65" s="73"/>
    </row>
    <row r="66" spans="1:9" ht="18.75" customHeight="1" x14ac:dyDescent="0.15">
      <c r="A66" s="4"/>
      <c r="B66" s="231" t="s">
        <v>198</v>
      </c>
      <c r="C66" s="232"/>
      <c r="D66" s="232"/>
      <c r="E66" s="232"/>
      <c r="F66" s="232"/>
      <c r="G66" s="232"/>
      <c r="H66" s="232"/>
      <c r="I66" s="233"/>
    </row>
    <row r="67" spans="1:9" ht="18.75" customHeight="1" x14ac:dyDescent="0.15">
      <c r="A67" s="4"/>
      <c r="B67" s="234"/>
      <c r="C67" s="235"/>
      <c r="D67" s="235"/>
      <c r="E67" s="235"/>
      <c r="F67" s="235"/>
      <c r="G67" s="235"/>
      <c r="H67" s="235"/>
      <c r="I67" s="236"/>
    </row>
    <row r="68" spans="1:9" ht="18.75" customHeight="1" x14ac:dyDescent="0.15">
      <c r="A68" s="4"/>
      <c r="B68" s="234"/>
      <c r="C68" s="235"/>
      <c r="D68" s="235"/>
      <c r="E68" s="235"/>
      <c r="F68" s="235"/>
      <c r="G68" s="235"/>
      <c r="H68" s="235"/>
      <c r="I68" s="236"/>
    </row>
    <row r="69" spans="1:9" ht="18.75" customHeight="1" x14ac:dyDescent="0.15">
      <c r="A69" s="4"/>
      <c r="B69" s="234"/>
      <c r="C69" s="235"/>
      <c r="D69" s="235"/>
      <c r="E69" s="235"/>
      <c r="F69" s="235"/>
      <c r="G69" s="235"/>
      <c r="H69" s="235"/>
      <c r="I69" s="236"/>
    </row>
    <row r="70" spans="1:9" ht="18.75" customHeight="1" x14ac:dyDescent="0.15">
      <c r="A70" s="4"/>
      <c r="B70" s="234"/>
      <c r="C70" s="235"/>
      <c r="D70" s="235"/>
      <c r="E70" s="235"/>
      <c r="F70" s="235"/>
      <c r="G70" s="235"/>
      <c r="H70" s="235"/>
      <c r="I70" s="236"/>
    </row>
    <row r="71" spans="1:9" ht="18.75" customHeight="1" x14ac:dyDescent="0.15">
      <c r="A71" s="4"/>
      <c r="B71" s="234"/>
      <c r="C71" s="235"/>
      <c r="D71" s="235"/>
      <c r="E71" s="235"/>
      <c r="F71" s="235"/>
      <c r="G71" s="235"/>
      <c r="H71" s="235"/>
      <c r="I71" s="236"/>
    </row>
    <row r="72" spans="1:9" ht="18.75" customHeight="1" x14ac:dyDescent="0.15">
      <c r="A72" s="4"/>
      <c r="B72" s="234"/>
      <c r="C72" s="235"/>
      <c r="D72" s="235"/>
      <c r="E72" s="235"/>
      <c r="F72" s="235"/>
      <c r="G72" s="235"/>
      <c r="H72" s="235"/>
      <c r="I72" s="236"/>
    </row>
    <row r="73" spans="1:9" ht="18.75" customHeight="1" x14ac:dyDescent="0.15">
      <c r="A73" s="4"/>
      <c r="B73" s="234"/>
      <c r="C73" s="235"/>
      <c r="D73" s="235"/>
      <c r="E73" s="235"/>
      <c r="F73" s="235"/>
      <c r="G73" s="235"/>
      <c r="H73" s="235"/>
      <c r="I73" s="236"/>
    </row>
    <row r="74" spans="1:9" ht="18.75" customHeight="1" x14ac:dyDescent="0.15">
      <c r="A74" s="4"/>
      <c r="B74" s="234"/>
      <c r="C74" s="235"/>
      <c r="D74" s="235"/>
      <c r="E74" s="235"/>
      <c r="F74" s="235"/>
      <c r="G74" s="235"/>
      <c r="H74" s="235"/>
      <c r="I74" s="236"/>
    </row>
    <row r="75" spans="1:9" ht="18.75" customHeight="1" x14ac:dyDescent="0.15">
      <c r="A75" s="4"/>
      <c r="B75" s="234"/>
      <c r="C75" s="235"/>
      <c r="D75" s="235"/>
      <c r="E75" s="235"/>
      <c r="F75" s="235"/>
      <c r="G75" s="235"/>
      <c r="H75" s="235"/>
      <c r="I75" s="236"/>
    </row>
    <row r="76" spans="1:9" ht="18.75" customHeight="1" x14ac:dyDescent="0.15">
      <c r="A76" s="4"/>
      <c r="B76" s="234"/>
      <c r="C76" s="235"/>
      <c r="D76" s="235"/>
      <c r="E76" s="235"/>
      <c r="F76" s="235"/>
      <c r="G76" s="235"/>
      <c r="H76" s="235"/>
      <c r="I76" s="236"/>
    </row>
    <row r="77" spans="1:9" ht="18.75" customHeight="1" x14ac:dyDescent="0.15">
      <c r="A77" s="4"/>
      <c r="B77" s="237"/>
      <c r="C77" s="238"/>
      <c r="D77" s="238"/>
      <c r="E77" s="238"/>
      <c r="F77" s="238"/>
      <c r="G77" s="238"/>
      <c r="H77" s="238"/>
      <c r="I77" s="239"/>
    </row>
    <row r="78" spans="1:9" ht="7.5" customHeight="1" x14ac:dyDescent="0.15">
      <c r="A78" s="4"/>
      <c r="B78" s="4"/>
      <c r="C78" s="4"/>
      <c r="D78" s="4"/>
      <c r="E78" s="4"/>
      <c r="F78" s="4"/>
      <c r="G78" s="4"/>
      <c r="H78" s="4"/>
      <c r="I78" s="4"/>
    </row>
    <row r="79" spans="1:9" ht="18.75" customHeight="1" x14ac:dyDescent="0.15">
      <c r="A79" s="1" t="s">
        <v>103</v>
      </c>
      <c r="B79" s="1" t="s">
        <v>104</v>
      </c>
    </row>
    <row r="80" spans="1:9" ht="18.75" customHeight="1" x14ac:dyDescent="0.15">
      <c r="A80" s="1"/>
      <c r="B80" s="231" t="s">
        <v>146</v>
      </c>
      <c r="C80" s="232"/>
      <c r="D80" s="232"/>
      <c r="E80" s="232"/>
      <c r="F80" s="232"/>
      <c r="G80" s="232"/>
      <c r="H80" s="232"/>
      <c r="I80" s="240"/>
    </row>
    <row r="81" spans="1:9" ht="18.75" customHeight="1" x14ac:dyDescent="0.15">
      <c r="A81" s="1"/>
      <c r="B81" s="241"/>
      <c r="C81" s="242"/>
      <c r="D81" s="242"/>
      <c r="E81" s="242"/>
      <c r="F81" s="242"/>
      <c r="G81" s="242"/>
      <c r="H81" s="242"/>
      <c r="I81" s="243"/>
    </row>
    <row r="82" spans="1:9" ht="18.75" customHeight="1" x14ac:dyDescent="0.15">
      <c r="A82" s="1"/>
      <c r="B82" s="241"/>
      <c r="C82" s="242"/>
      <c r="D82" s="242"/>
      <c r="E82" s="242"/>
      <c r="F82" s="242"/>
      <c r="G82" s="242"/>
      <c r="H82" s="242"/>
      <c r="I82" s="243"/>
    </row>
    <row r="83" spans="1:9" ht="18.75" customHeight="1" x14ac:dyDescent="0.15">
      <c r="A83" s="1"/>
      <c r="B83" s="241"/>
      <c r="C83" s="242"/>
      <c r="D83" s="242"/>
      <c r="E83" s="242"/>
      <c r="F83" s="242"/>
      <c r="G83" s="242"/>
      <c r="H83" s="242"/>
      <c r="I83" s="243"/>
    </row>
    <row r="84" spans="1:9" ht="18.75" customHeight="1" x14ac:dyDescent="0.15">
      <c r="A84" s="1"/>
      <c r="B84" s="241"/>
      <c r="C84" s="242"/>
      <c r="D84" s="242"/>
      <c r="E84" s="242"/>
      <c r="F84" s="242"/>
      <c r="G84" s="242"/>
      <c r="H84" s="242"/>
      <c r="I84" s="243"/>
    </row>
    <row r="85" spans="1:9" ht="18.75" customHeight="1" x14ac:dyDescent="0.15">
      <c r="A85" s="1"/>
      <c r="B85" s="241"/>
      <c r="C85" s="242"/>
      <c r="D85" s="242"/>
      <c r="E85" s="242"/>
      <c r="F85" s="242"/>
      <c r="G85" s="242"/>
      <c r="H85" s="242"/>
      <c r="I85" s="243"/>
    </row>
    <row r="86" spans="1:9" ht="18.75" customHeight="1" x14ac:dyDescent="0.15">
      <c r="A86" s="1"/>
      <c r="B86" s="241"/>
      <c r="C86" s="242"/>
      <c r="D86" s="242"/>
      <c r="E86" s="242"/>
      <c r="F86" s="242"/>
      <c r="G86" s="242"/>
      <c r="H86" s="242"/>
      <c r="I86" s="243"/>
    </row>
    <row r="87" spans="1:9" ht="18.75" customHeight="1" x14ac:dyDescent="0.15">
      <c r="A87" s="1"/>
      <c r="B87" s="241"/>
      <c r="C87" s="242"/>
      <c r="D87" s="242"/>
      <c r="E87" s="242"/>
      <c r="F87" s="242"/>
      <c r="G87" s="242"/>
      <c r="H87" s="242"/>
      <c r="I87" s="243"/>
    </row>
    <row r="88" spans="1:9" ht="18.75" customHeight="1" x14ac:dyDescent="0.15">
      <c r="A88" s="1"/>
      <c r="B88" s="241"/>
      <c r="C88" s="242"/>
      <c r="D88" s="242"/>
      <c r="E88" s="242"/>
      <c r="F88" s="242"/>
      <c r="G88" s="242"/>
      <c r="H88" s="242"/>
      <c r="I88" s="243"/>
    </row>
    <row r="89" spans="1:9" ht="18.75" customHeight="1" x14ac:dyDescent="0.15">
      <c r="A89" s="1"/>
      <c r="B89" s="241"/>
      <c r="C89" s="242"/>
      <c r="D89" s="242"/>
      <c r="E89" s="242"/>
      <c r="F89" s="242"/>
      <c r="G89" s="242"/>
      <c r="H89" s="242"/>
      <c r="I89" s="243"/>
    </row>
    <row r="90" spans="1:9" ht="18.75" customHeight="1" x14ac:dyDescent="0.15">
      <c r="A90" s="4"/>
      <c r="B90" s="241"/>
      <c r="C90" s="242"/>
      <c r="D90" s="242"/>
      <c r="E90" s="242"/>
      <c r="F90" s="242"/>
      <c r="G90" s="242"/>
      <c r="H90" s="242"/>
      <c r="I90" s="243"/>
    </row>
    <row r="91" spans="1:9" ht="18.75" customHeight="1" x14ac:dyDescent="0.15">
      <c r="A91" s="4"/>
      <c r="B91" s="244"/>
      <c r="C91" s="245"/>
      <c r="D91" s="245"/>
      <c r="E91" s="245"/>
      <c r="F91" s="245"/>
      <c r="G91" s="245"/>
      <c r="H91" s="245"/>
      <c r="I91" s="246"/>
    </row>
    <row r="92" spans="1:9" ht="7.5" customHeight="1" x14ac:dyDescent="0.15">
      <c r="A92" s="4"/>
      <c r="B92" s="4"/>
      <c r="C92" s="4"/>
      <c r="D92" s="4"/>
      <c r="E92" s="4"/>
      <c r="F92" s="4"/>
      <c r="G92" s="4"/>
      <c r="H92" s="4"/>
      <c r="I92" s="4"/>
    </row>
    <row r="93" spans="1:9" ht="18.75" customHeight="1" x14ac:dyDescent="0.15">
      <c r="A93" s="1" t="s">
        <v>105</v>
      </c>
      <c r="B93" s="1" t="s">
        <v>106</v>
      </c>
    </row>
    <row r="94" spans="1:9" ht="18.75" customHeight="1" x14ac:dyDescent="0.15">
      <c r="A94" s="1"/>
      <c r="B94" s="258" t="s">
        <v>151</v>
      </c>
      <c r="C94" s="259"/>
      <c r="D94" s="259"/>
      <c r="E94" s="259"/>
      <c r="F94" s="259"/>
      <c r="G94" s="259"/>
      <c r="H94" s="259"/>
      <c r="I94" s="260"/>
    </row>
    <row r="95" spans="1:9" ht="18.75" customHeight="1" x14ac:dyDescent="0.15">
      <c r="A95" s="1"/>
      <c r="B95" s="261"/>
      <c r="C95" s="262"/>
      <c r="D95" s="262"/>
      <c r="E95" s="262"/>
      <c r="F95" s="262"/>
      <c r="G95" s="262"/>
      <c r="H95" s="262"/>
      <c r="I95" s="263"/>
    </row>
    <row r="96" spans="1:9" ht="18.75" customHeight="1" x14ac:dyDescent="0.15">
      <c r="A96" s="1"/>
      <c r="B96" s="261"/>
      <c r="C96" s="262"/>
      <c r="D96" s="262"/>
      <c r="E96" s="262"/>
      <c r="F96" s="262"/>
      <c r="G96" s="262"/>
      <c r="H96" s="262"/>
      <c r="I96" s="263"/>
    </row>
    <row r="97" spans="1:9" ht="18.75" customHeight="1" x14ac:dyDescent="0.15">
      <c r="A97" s="1"/>
      <c r="B97" s="261"/>
      <c r="C97" s="262"/>
      <c r="D97" s="262"/>
      <c r="E97" s="262"/>
      <c r="F97" s="262"/>
      <c r="G97" s="262"/>
      <c r="H97" s="262"/>
      <c r="I97" s="263"/>
    </row>
    <row r="98" spans="1:9" ht="18.75" customHeight="1" x14ac:dyDescent="0.15">
      <c r="A98" s="1"/>
      <c r="B98" s="261"/>
      <c r="C98" s="262"/>
      <c r="D98" s="262"/>
      <c r="E98" s="262"/>
      <c r="F98" s="262"/>
      <c r="G98" s="262"/>
      <c r="H98" s="262"/>
      <c r="I98" s="263"/>
    </row>
    <row r="99" spans="1:9" ht="18.75" customHeight="1" x14ac:dyDescent="0.15">
      <c r="A99" s="1"/>
      <c r="B99" s="261"/>
      <c r="C99" s="262"/>
      <c r="D99" s="262"/>
      <c r="E99" s="262"/>
      <c r="F99" s="262"/>
      <c r="G99" s="262"/>
      <c r="H99" s="262"/>
      <c r="I99" s="263"/>
    </row>
    <row r="100" spans="1:9" ht="18.75" customHeight="1" x14ac:dyDescent="0.15">
      <c r="A100" s="1"/>
      <c r="B100" s="261"/>
      <c r="C100" s="262"/>
      <c r="D100" s="262"/>
      <c r="E100" s="262"/>
      <c r="F100" s="262"/>
      <c r="G100" s="262"/>
      <c r="H100" s="262"/>
      <c r="I100" s="263"/>
    </row>
    <row r="101" spans="1:9" ht="18.75" customHeight="1" x14ac:dyDescent="0.15">
      <c r="A101" s="1"/>
      <c r="B101" s="261"/>
      <c r="C101" s="262"/>
      <c r="D101" s="262"/>
      <c r="E101" s="262"/>
      <c r="F101" s="262"/>
      <c r="G101" s="262"/>
      <c r="H101" s="262"/>
      <c r="I101" s="263"/>
    </row>
    <row r="102" spans="1:9" ht="18.75" customHeight="1" x14ac:dyDescent="0.15">
      <c r="A102" s="1"/>
      <c r="B102" s="261"/>
      <c r="C102" s="262"/>
      <c r="D102" s="262"/>
      <c r="E102" s="262"/>
      <c r="F102" s="262"/>
      <c r="G102" s="262"/>
      <c r="H102" s="262"/>
      <c r="I102" s="263"/>
    </row>
    <row r="103" spans="1:9" ht="18.75" customHeight="1" x14ac:dyDescent="0.15">
      <c r="A103" s="1"/>
      <c r="B103" s="261"/>
      <c r="C103" s="262"/>
      <c r="D103" s="262"/>
      <c r="E103" s="262"/>
      <c r="F103" s="262"/>
      <c r="G103" s="262"/>
      <c r="H103" s="262"/>
      <c r="I103" s="263"/>
    </row>
    <row r="104" spans="1:9" ht="18.75" customHeight="1" x14ac:dyDescent="0.15">
      <c r="A104" s="1"/>
      <c r="B104" s="261"/>
      <c r="C104" s="262"/>
      <c r="D104" s="262"/>
      <c r="E104" s="262"/>
      <c r="F104" s="262"/>
      <c r="G104" s="262"/>
      <c r="H104" s="262"/>
      <c r="I104" s="263"/>
    </row>
    <row r="105" spans="1:9" ht="18.75" customHeight="1" x14ac:dyDescent="0.15">
      <c r="A105" s="4"/>
      <c r="B105" s="264"/>
      <c r="C105" s="265"/>
      <c r="D105" s="265"/>
      <c r="E105" s="265"/>
      <c r="F105" s="265"/>
      <c r="G105" s="265"/>
      <c r="H105" s="265"/>
      <c r="I105" s="266"/>
    </row>
    <row r="106" spans="1:9" ht="7.5" customHeight="1" x14ac:dyDescent="0.15">
      <c r="A106" s="4"/>
      <c r="B106" s="4"/>
      <c r="C106" s="4"/>
      <c r="D106" s="4"/>
      <c r="E106" s="4"/>
      <c r="F106" s="4"/>
      <c r="G106" s="4"/>
      <c r="H106" s="4"/>
      <c r="I106" s="4"/>
    </row>
    <row r="107" spans="1:9" ht="18.75" customHeight="1" x14ac:dyDescent="0.15">
      <c r="A107" s="1" t="s">
        <v>107</v>
      </c>
      <c r="B107" s="267" t="s">
        <v>108</v>
      </c>
      <c r="C107" s="267"/>
      <c r="D107" s="267"/>
      <c r="E107" s="267"/>
      <c r="F107" s="267"/>
      <c r="G107" s="267"/>
      <c r="H107" s="267"/>
      <c r="I107" s="267"/>
    </row>
    <row r="108" spans="1:9" ht="18.75" customHeight="1" x14ac:dyDescent="0.15">
      <c r="A108" s="4"/>
      <c r="B108" s="258" t="s">
        <v>152</v>
      </c>
      <c r="C108" s="259"/>
      <c r="D108" s="259"/>
      <c r="E108" s="259"/>
      <c r="F108" s="259"/>
      <c r="G108" s="259"/>
      <c r="H108" s="259"/>
      <c r="I108" s="260"/>
    </row>
    <row r="109" spans="1:9" ht="18.75" customHeight="1" x14ac:dyDescent="0.15">
      <c r="A109" s="4"/>
      <c r="B109" s="261"/>
      <c r="C109" s="262"/>
      <c r="D109" s="262"/>
      <c r="E109" s="262"/>
      <c r="F109" s="262"/>
      <c r="G109" s="262"/>
      <c r="H109" s="262"/>
      <c r="I109" s="263"/>
    </row>
    <row r="110" spans="1:9" ht="18.75" customHeight="1" x14ac:dyDescent="0.15">
      <c r="A110" s="4"/>
      <c r="B110" s="261"/>
      <c r="C110" s="262"/>
      <c r="D110" s="262"/>
      <c r="E110" s="262"/>
      <c r="F110" s="262"/>
      <c r="G110" s="262"/>
      <c r="H110" s="262"/>
      <c r="I110" s="263"/>
    </row>
    <row r="111" spans="1:9" ht="18.75" customHeight="1" x14ac:dyDescent="0.15">
      <c r="A111" s="4"/>
      <c r="B111" s="261"/>
      <c r="C111" s="262"/>
      <c r="D111" s="262"/>
      <c r="E111" s="262"/>
      <c r="F111" s="262"/>
      <c r="G111" s="262"/>
      <c r="H111" s="262"/>
      <c r="I111" s="263"/>
    </row>
    <row r="112" spans="1:9" ht="18.75" customHeight="1" x14ac:dyDescent="0.15">
      <c r="A112" s="4"/>
      <c r="B112" s="261"/>
      <c r="C112" s="262"/>
      <c r="D112" s="262"/>
      <c r="E112" s="262"/>
      <c r="F112" s="262"/>
      <c r="G112" s="262"/>
      <c r="H112" s="262"/>
      <c r="I112" s="263"/>
    </row>
    <row r="113" spans="1:9" ht="18.75" customHeight="1" x14ac:dyDescent="0.15">
      <c r="A113" s="4"/>
      <c r="B113" s="261"/>
      <c r="C113" s="262"/>
      <c r="D113" s="262"/>
      <c r="E113" s="262"/>
      <c r="F113" s="262"/>
      <c r="G113" s="262"/>
      <c r="H113" s="262"/>
      <c r="I113" s="263"/>
    </row>
    <row r="114" spans="1:9" ht="18.75" customHeight="1" x14ac:dyDescent="0.15">
      <c r="A114" s="4"/>
      <c r="B114" s="261"/>
      <c r="C114" s="262"/>
      <c r="D114" s="262"/>
      <c r="E114" s="262"/>
      <c r="F114" s="262"/>
      <c r="G114" s="262"/>
      <c r="H114" s="262"/>
      <c r="I114" s="263"/>
    </row>
    <row r="115" spans="1:9" ht="18.75" customHeight="1" x14ac:dyDescent="0.15">
      <c r="A115" s="4"/>
      <c r="B115" s="261"/>
      <c r="C115" s="262"/>
      <c r="D115" s="262"/>
      <c r="E115" s="262"/>
      <c r="F115" s="262"/>
      <c r="G115" s="262"/>
      <c r="H115" s="262"/>
      <c r="I115" s="263"/>
    </row>
    <row r="116" spans="1:9" ht="18.75" customHeight="1" x14ac:dyDescent="0.15">
      <c r="A116" s="4"/>
      <c r="B116" s="261"/>
      <c r="C116" s="262"/>
      <c r="D116" s="262"/>
      <c r="E116" s="262"/>
      <c r="F116" s="262"/>
      <c r="G116" s="262"/>
      <c r="H116" s="262"/>
      <c r="I116" s="263"/>
    </row>
    <row r="117" spans="1:9" ht="18.75" customHeight="1" x14ac:dyDescent="0.15">
      <c r="A117" s="4"/>
      <c r="B117" s="261"/>
      <c r="C117" s="262"/>
      <c r="D117" s="262"/>
      <c r="E117" s="262"/>
      <c r="F117" s="262"/>
      <c r="G117" s="262"/>
      <c r="H117" s="262"/>
      <c r="I117" s="263"/>
    </row>
    <row r="118" spans="1:9" ht="18.75" customHeight="1" x14ac:dyDescent="0.15">
      <c r="A118" s="4"/>
      <c r="B118" s="261"/>
      <c r="C118" s="262"/>
      <c r="D118" s="262"/>
      <c r="E118" s="262"/>
      <c r="F118" s="262"/>
      <c r="G118" s="262"/>
      <c r="H118" s="262"/>
      <c r="I118" s="263"/>
    </row>
    <row r="119" spans="1:9" ht="18.75" customHeight="1" x14ac:dyDescent="0.15">
      <c r="A119" s="4"/>
      <c r="B119" s="264"/>
      <c r="C119" s="265"/>
      <c r="D119" s="265"/>
      <c r="E119" s="265"/>
      <c r="F119" s="265"/>
      <c r="G119" s="265"/>
      <c r="H119" s="265"/>
      <c r="I119" s="266"/>
    </row>
    <row r="120" spans="1:9" ht="7.5" customHeight="1" x14ac:dyDescent="0.15">
      <c r="A120" s="4"/>
      <c r="B120" s="39"/>
      <c r="C120" s="39"/>
      <c r="D120" s="39"/>
      <c r="E120" s="39"/>
      <c r="F120" s="39"/>
      <c r="G120" s="39"/>
      <c r="H120" s="39"/>
      <c r="I120" s="39"/>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0"/>
      <c r="B134" s="40"/>
      <c r="C134" s="40"/>
      <c r="D134" s="40"/>
      <c r="E134" s="40"/>
      <c r="F134" s="40"/>
      <c r="G134" s="40"/>
      <c r="H134" s="40"/>
      <c r="I134" s="40"/>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109</v>
      </c>
      <c r="I1" s="74" t="s">
        <v>110</v>
      </c>
    </row>
    <row r="2" spans="1:9" ht="18.75" customHeight="1" x14ac:dyDescent="0.15">
      <c r="H2" s="74" t="s">
        <v>2</v>
      </c>
      <c r="I2" s="76" t="str">
        <f>'[1]様式１　プログラムを構成する授業科目'!C2</f>
        <v>龍谷大学</v>
      </c>
    </row>
    <row r="3" spans="1:9" ht="18.75" customHeight="1" x14ac:dyDescent="0.15">
      <c r="A3" s="185" t="s">
        <v>111</v>
      </c>
      <c r="B3" s="185"/>
      <c r="C3" s="185"/>
      <c r="D3" s="185"/>
      <c r="E3" s="185"/>
      <c r="F3" s="185"/>
      <c r="G3" s="185"/>
      <c r="H3" s="185"/>
      <c r="I3" s="185"/>
    </row>
    <row r="4" spans="1:9" ht="18.75" customHeight="1" x14ac:dyDescent="0.15">
      <c r="A4" s="75"/>
      <c r="B4" s="75"/>
      <c r="C4" s="75"/>
      <c r="D4" s="75"/>
      <c r="E4" s="75"/>
      <c r="F4" s="75"/>
      <c r="G4" s="75"/>
      <c r="H4" s="75"/>
      <c r="I4" s="75"/>
    </row>
    <row r="5" spans="1:9" ht="18.75" customHeight="1" x14ac:dyDescent="0.15">
      <c r="A5" s="1" t="s">
        <v>73</v>
      </c>
      <c r="B5" s="9" t="s">
        <v>112</v>
      </c>
      <c r="C5" s="75"/>
      <c r="D5" s="75"/>
      <c r="E5" s="75"/>
      <c r="F5" s="75"/>
      <c r="G5" s="75"/>
      <c r="H5" s="75"/>
      <c r="I5" s="75"/>
    </row>
    <row r="6" spans="1:9" ht="26.25" customHeight="1" x14ac:dyDescent="0.15">
      <c r="A6" s="75"/>
      <c r="B6" s="276" t="s">
        <v>143</v>
      </c>
      <c r="C6" s="304"/>
      <c r="D6" s="304"/>
      <c r="E6" s="304"/>
      <c r="F6" s="304"/>
      <c r="G6" s="304"/>
      <c r="H6" s="305"/>
      <c r="I6" s="3"/>
    </row>
    <row r="7" spans="1:9" ht="9" customHeight="1" x14ac:dyDescent="0.15">
      <c r="A7" s="75"/>
      <c r="B7" s="9"/>
      <c r="C7" s="9"/>
      <c r="D7" s="9"/>
      <c r="E7" s="9"/>
      <c r="F7" s="9"/>
      <c r="G7" s="9"/>
      <c r="H7" s="9"/>
      <c r="I7" s="3"/>
    </row>
    <row r="8" spans="1:9" ht="18.75" customHeight="1" x14ac:dyDescent="0.15">
      <c r="A8" s="75"/>
      <c r="B8" s="3"/>
      <c r="C8" s="3"/>
      <c r="D8" s="74" t="s">
        <v>82</v>
      </c>
      <c r="E8" s="29" t="s">
        <v>147</v>
      </c>
      <c r="F8" s="3"/>
      <c r="G8" s="74" t="s">
        <v>83</v>
      </c>
      <c r="H8" s="29" t="s">
        <v>148</v>
      </c>
      <c r="I8" s="3"/>
    </row>
    <row r="9" spans="1:9" ht="7.5" customHeight="1" x14ac:dyDescent="0.15">
      <c r="A9" s="75"/>
      <c r="B9" s="75"/>
      <c r="C9" s="75"/>
      <c r="D9" s="75"/>
      <c r="E9" s="75"/>
      <c r="F9" s="75"/>
      <c r="G9" s="75"/>
      <c r="H9" s="75"/>
      <c r="I9" s="75"/>
    </row>
    <row r="10" spans="1:9" ht="18.75" customHeight="1" x14ac:dyDescent="0.15">
      <c r="A10" s="1" t="s">
        <v>78</v>
      </c>
      <c r="B10" s="1" t="s">
        <v>113</v>
      </c>
      <c r="C10" s="4"/>
      <c r="D10" s="4"/>
      <c r="E10" s="4"/>
      <c r="F10" s="4"/>
      <c r="G10" s="4"/>
      <c r="H10" s="4"/>
      <c r="I10" s="4"/>
    </row>
    <row r="11" spans="1:9" ht="18.75" customHeight="1" x14ac:dyDescent="0.15">
      <c r="B11" s="173" t="s">
        <v>114</v>
      </c>
      <c r="C11" s="165"/>
      <c r="D11" s="166"/>
      <c r="E11" s="165" t="s">
        <v>115</v>
      </c>
      <c r="F11" s="165"/>
      <c r="G11" s="165"/>
      <c r="H11" s="165"/>
      <c r="I11" s="166"/>
    </row>
    <row r="12" spans="1:9" ht="26.25" customHeight="1" x14ac:dyDescent="0.15">
      <c r="B12" s="41" t="s">
        <v>116</v>
      </c>
      <c r="C12" s="48"/>
      <c r="D12" s="42"/>
      <c r="E12" s="49"/>
      <c r="F12" s="49"/>
      <c r="G12" s="49"/>
      <c r="H12" s="49"/>
      <c r="I12" s="42"/>
    </row>
    <row r="13" spans="1:9" ht="210.75" customHeight="1" x14ac:dyDescent="0.15">
      <c r="B13" s="43"/>
      <c r="C13" s="287" t="s">
        <v>117</v>
      </c>
      <c r="D13" s="288"/>
      <c r="E13" s="300" t="s">
        <v>150</v>
      </c>
      <c r="F13" s="289"/>
      <c r="G13" s="289"/>
      <c r="H13" s="289"/>
      <c r="I13" s="290"/>
    </row>
    <row r="14" spans="1:9" ht="210.75" customHeight="1" x14ac:dyDescent="0.15">
      <c r="B14" s="43"/>
      <c r="C14" s="302" t="s">
        <v>118</v>
      </c>
      <c r="D14" s="303"/>
      <c r="E14" s="300" t="s">
        <v>155</v>
      </c>
      <c r="F14" s="289"/>
      <c r="G14" s="289"/>
      <c r="H14" s="289"/>
      <c r="I14" s="290"/>
    </row>
    <row r="15" spans="1:9" ht="210.75" customHeight="1" x14ac:dyDescent="0.15">
      <c r="B15" s="43"/>
      <c r="C15" s="287" t="s">
        <v>119</v>
      </c>
      <c r="D15" s="288"/>
      <c r="E15" s="300" t="s">
        <v>156</v>
      </c>
      <c r="F15" s="289"/>
      <c r="G15" s="289"/>
      <c r="H15" s="289"/>
      <c r="I15" s="290"/>
    </row>
    <row r="16" spans="1:9" ht="210.75" customHeight="1" x14ac:dyDescent="0.15">
      <c r="B16" s="43"/>
      <c r="C16" s="287" t="s">
        <v>120</v>
      </c>
      <c r="D16" s="288"/>
      <c r="E16" s="300" t="s">
        <v>157</v>
      </c>
      <c r="F16" s="289"/>
      <c r="G16" s="289"/>
      <c r="H16" s="289"/>
      <c r="I16" s="290"/>
    </row>
    <row r="17" spans="2:9" ht="210.75" customHeight="1" x14ac:dyDescent="0.15">
      <c r="B17" s="44"/>
      <c r="C17" s="291" t="s">
        <v>121</v>
      </c>
      <c r="D17" s="292"/>
      <c r="E17" s="301" t="s">
        <v>153</v>
      </c>
      <c r="F17" s="293"/>
      <c r="G17" s="293"/>
      <c r="H17" s="293"/>
      <c r="I17" s="294"/>
    </row>
    <row r="18" spans="2:9" ht="24" customHeight="1" x14ac:dyDescent="0.15">
      <c r="B18" s="41" t="s">
        <v>122</v>
      </c>
      <c r="C18" s="45"/>
      <c r="D18" s="46"/>
      <c r="E18" s="47"/>
      <c r="F18" s="47"/>
      <c r="G18" s="47"/>
      <c r="H18" s="47"/>
      <c r="I18" s="50"/>
    </row>
    <row r="19" spans="2:9" ht="218.25" customHeight="1" x14ac:dyDescent="0.15">
      <c r="B19" s="43"/>
      <c r="C19" s="287" t="s">
        <v>123</v>
      </c>
      <c r="D19" s="288"/>
      <c r="E19" s="289" t="s">
        <v>149</v>
      </c>
      <c r="F19" s="289"/>
      <c r="G19" s="289"/>
      <c r="H19" s="289"/>
      <c r="I19" s="290"/>
    </row>
    <row r="20" spans="2:9" ht="218.25" customHeight="1" x14ac:dyDescent="0.15">
      <c r="B20" s="44"/>
      <c r="C20" s="291" t="s">
        <v>124</v>
      </c>
      <c r="D20" s="292"/>
      <c r="E20" s="293" t="s">
        <v>154</v>
      </c>
      <c r="F20" s="293"/>
      <c r="G20" s="293"/>
      <c r="H20" s="293"/>
      <c r="I20" s="294"/>
    </row>
    <row r="21" spans="2:9" ht="218.25" customHeight="1" x14ac:dyDescent="0.15">
      <c r="B21" s="295" t="s">
        <v>125</v>
      </c>
      <c r="C21" s="296"/>
      <c r="D21" s="297"/>
      <c r="E21" s="298" t="s">
        <v>158</v>
      </c>
      <c r="F21" s="298"/>
      <c r="G21" s="298"/>
      <c r="H21" s="298"/>
      <c r="I21" s="299"/>
    </row>
    <row r="22" spans="2:9" ht="218.25" customHeight="1" x14ac:dyDescent="0.15">
      <c r="B22" s="282" t="s">
        <v>126</v>
      </c>
      <c r="C22" s="283"/>
      <c r="D22" s="284"/>
      <c r="E22" s="285" t="s">
        <v>159</v>
      </c>
      <c r="F22" s="285"/>
      <c r="G22" s="285"/>
      <c r="H22" s="285"/>
      <c r="I22" s="28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77"/>
      <c r="C28" s="77"/>
      <c r="D28" s="77"/>
      <c r="E28" s="77"/>
      <c r="F28" s="77"/>
      <c r="G28" s="77"/>
      <c r="H28" s="77"/>
      <c r="I28" s="77"/>
    </row>
    <row r="29" spans="2:9" ht="22.5" customHeight="1" x14ac:dyDescent="0.15">
      <c r="B29" s="77"/>
      <c r="C29" s="77"/>
      <c r="D29" s="77"/>
      <c r="E29" s="77"/>
      <c r="F29" s="77"/>
      <c r="G29" s="77"/>
      <c r="H29" s="77"/>
      <c r="I29" s="77"/>
    </row>
    <row r="30" spans="2:9" ht="22.5" customHeight="1" x14ac:dyDescent="0.15">
      <c r="B30" s="77"/>
      <c r="C30" s="77"/>
      <c r="D30" s="77"/>
      <c r="E30" s="77"/>
      <c r="F30" s="77"/>
      <c r="G30" s="77"/>
      <c r="H30" s="77"/>
      <c r="I30" s="77"/>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 </vt:lpstr>
      <vt:lpstr>様式２ 履修者等数の実績</vt:lpstr>
      <vt:lpstr>様式３ 教育の質・履修者数を向上させるための体制・計画</vt:lpstr>
      <vt:lpstr>様式４　自己点検・評価</vt:lpstr>
      <vt:lpstr>'様式１　プログラムを構成する授業科目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川畠 有紀</cp:lastModifiedBy>
  <cp:revision/>
  <cp:lastPrinted>2023-07-12T02:29:27Z</cp:lastPrinted>
  <dcterms:created xsi:type="dcterms:W3CDTF">2011-06-14T05:32:50Z</dcterms:created>
  <dcterms:modified xsi:type="dcterms:W3CDTF">2023-07-12T02:29:28Z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