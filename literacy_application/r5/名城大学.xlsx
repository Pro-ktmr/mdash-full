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72.28.150.142\group\大学教育開発センター\13.数理・データサイエンス・AI科目認定制度\数理・データサイエンス・AI教育プログラム（リテラシーレベル）認定申請\★文科省への申請書類\"/>
    </mc:Choice>
  </mc:AlternateContent>
  <bookViews>
    <workbookView xWindow="0" yWindow="0" windowWidth="24000" windowHeight="9135" tabRatio="885"/>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 name="Z_D8827541_ABA7_43EF_AD20_B47C9E2B0126_.wvu.Cols" localSheetId="0" hidden="1">'様式１　プログラムを構成する授業科目'!$V:$V</definedName>
    <definedName name="Z_D8827541_ABA7_43EF_AD20_B47C9E2B0126_.wvu.FilterData" localSheetId="0" hidden="1">'様式１　プログラムを構成する授業科目'!$V$14:$V$16</definedName>
    <definedName name="Z_D8827541_ABA7_43EF_AD20_B47C9E2B0126_.wvu.PrintArea" localSheetId="0" hidden="1">'様式１　プログラムを構成する授業科目'!$A$1:$S$102</definedName>
    <definedName name="Z_D8827541_ABA7_43EF_AD20_B47C9E2B0126_.wvu.PrintArea" localSheetId="1" hidden="1">'様式２ 履修者等数の実績'!$A$1:$AQ$32</definedName>
    <definedName name="Z_D8827541_ABA7_43EF_AD20_B47C9E2B0126_.wvu.PrintArea" localSheetId="2" hidden="1">'様式３ 教育の質・履修者数を向上させるための体制・計画'!$A$1:$I$120</definedName>
    <definedName name="Z_D8827541_ABA7_43EF_AD20_B47C9E2B0126_.wvu.PrintArea" localSheetId="3" hidden="1">'様式４　自己点検・評価'!$A$1:$I$22</definedName>
    <definedName name="Z_D8827541_ABA7_43EF_AD20_B47C9E2B0126_.wvu.PrintTitles" localSheetId="3" hidden="1">'様式４　自己点検・評価'!$11:$11</definedName>
    <definedName name="Z_D8827541_ABA7_43EF_AD20_B47C9E2B0126_.wvu.Rows" localSheetId="2" hidden="1">'様式３ 教育の質・履修者数を向上させるための体制・計画'!$60:$63,'様式３ 教育の質・履修者数を向上させるための体制・計画'!$76:$77,'様式３ 教育の質・履修者数を向上させるための体制・計画'!$90:$91,'様式３ 教育の質・履修者数を向上させるための体制・計画'!$102:$105,'様式３ 教育の質・履修者数を向上させるための体制・計画'!$117:$119</definedName>
  </definedNames>
  <calcPr calcId="162913"/>
  <customWorkbookViews>
    <customWorkbookView name="Windows ユーザー - 個人用ビュー" guid="{D8827541-ABA7-43EF-AD20-B47C9E2B0126}" mergeInterval="0" personalView="1" maximized="1" xWindow="-8" yWindow="-8" windowWidth="3456" windowHeight="1416" tabRatio="885" activeSheetId="3"/>
  </customWorkbookViews>
</workbook>
</file>

<file path=xl/calcChain.xml><?xml version="1.0" encoding="utf-8"?>
<calcChain xmlns="http://schemas.openxmlformats.org/spreadsheetml/2006/main">
  <c r="I2" i="4" l="1"/>
  <c r="J18" i="4" l="1"/>
  <c r="J23" i="3"/>
  <c r="J26" i="3"/>
  <c r="J28" i="3"/>
  <c r="J31" i="3"/>
  <c r="J34" i="3"/>
  <c r="J35" i="3"/>
  <c r="J36" i="3"/>
  <c r="J37" i="3"/>
  <c r="J38" i="3"/>
  <c r="J39" i="3"/>
  <c r="J40" i="3"/>
  <c r="J41" i="3"/>
  <c r="J42" i="3"/>
  <c r="J43" i="3"/>
  <c r="J44" i="3"/>
  <c r="J47" i="3"/>
  <c r="J48" i="3"/>
  <c r="J49" i="3"/>
  <c r="J50" i="3"/>
  <c r="J53" i="3"/>
  <c r="J54" i="3"/>
  <c r="J55" i="3"/>
  <c r="J56" i="3"/>
  <c r="J57" i="3"/>
  <c r="J58" i="3"/>
  <c r="J64" i="3"/>
  <c r="J67" i="3"/>
  <c r="J68" i="3"/>
  <c r="J69" i="3"/>
  <c r="J70" i="3"/>
  <c r="J71" i="3"/>
  <c r="J72" i="3"/>
  <c r="J73" i="3"/>
  <c r="J74" i="3"/>
  <c r="J75" i="3"/>
  <c r="F12" i="2" l="1"/>
  <c r="F13" i="2"/>
  <c r="F14" i="2"/>
  <c r="F15" i="2"/>
  <c r="F16" i="2"/>
  <c r="F17" i="2"/>
  <c r="F18" i="2"/>
  <c r="F19" i="2"/>
  <c r="F20" i="2"/>
  <c r="F21" i="2"/>
  <c r="H2" i="3" l="1"/>
  <c r="AM2" i="2"/>
  <c r="AO32" i="2" l="1"/>
  <c r="AN32" i="2"/>
  <c r="AL32" i="2"/>
  <c r="AK32" i="2"/>
  <c r="AM31" i="2"/>
  <c r="AJ31" i="2"/>
  <c r="AM30" i="2"/>
  <c r="AJ30" i="2"/>
  <c r="AM29" i="2"/>
  <c r="AJ29" i="2"/>
  <c r="AM28" i="2"/>
  <c r="AJ28" i="2"/>
  <c r="AM27" i="2"/>
  <c r="AJ27" i="2"/>
  <c r="AM26" i="2"/>
  <c r="AJ26" i="2"/>
  <c r="AM25" i="2"/>
  <c r="AJ25" i="2"/>
  <c r="AM24" i="2"/>
  <c r="AJ24" i="2"/>
  <c r="AM23" i="2"/>
  <c r="AJ23" i="2"/>
  <c r="AM22" i="2"/>
  <c r="AJ22" i="2"/>
  <c r="AM21" i="2"/>
  <c r="AJ21" i="2"/>
  <c r="AM20" i="2"/>
  <c r="AJ20" i="2"/>
  <c r="AM19" i="2"/>
  <c r="AJ19" i="2"/>
  <c r="AM18" i="2"/>
  <c r="AJ18" i="2"/>
  <c r="AM17" i="2"/>
  <c r="AJ17" i="2"/>
  <c r="AM16" i="2"/>
  <c r="AJ16" i="2"/>
  <c r="AM15" i="2"/>
  <c r="AJ15" i="2"/>
  <c r="AM14" i="2"/>
  <c r="AJ14" i="2"/>
  <c r="AM13" i="2"/>
  <c r="AJ13" i="2"/>
  <c r="AM12" i="2"/>
  <c r="AJ12" i="2"/>
  <c r="AI32" i="2"/>
  <c r="AH32" i="2"/>
  <c r="AF32" i="2"/>
  <c r="AE32" i="2"/>
  <c r="AG31" i="2"/>
  <c r="AD31" i="2"/>
  <c r="AG30" i="2"/>
  <c r="AD30" i="2"/>
  <c r="AG29" i="2"/>
  <c r="AD29" i="2"/>
  <c r="AG28" i="2"/>
  <c r="AD28" i="2"/>
  <c r="AG27" i="2"/>
  <c r="AD27" i="2"/>
  <c r="AG26" i="2"/>
  <c r="AD26" i="2"/>
  <c r="AG25" i="2"/>
  <c r="AD25" i="2"/>
  <c r="AG24" i="2"/>
  <c r="AD24" i="2"/>
  <c r="AG23" i="2"/>
  <c r="AD23" i="2"/>
  <c r="AG22" i="2"/>
  <c r="AD22" i="2"/>
  <c r="AG21" i="2"/>
  <c r="AD21" i="2"/>
  <c r="AG20" i="2"/>
  <c r="AD20" i="2"/>
  <c r="AG19" i="2"/>
  <c r="AD19" i="2"/>
  <c r="AG18" i="2"/>
  <c r="AD18" i="2"/>
  <c r="AG17" i="2"/>
  <c r="AD17" i="2"/>
  <c r="AG16" i="2"/>
  <c r="AD16" i="2"/>
  <c r="AG15" i="2"/>
  <c r="AD15" i="2"/>
  <c r="AG14" i="2"/>
  <c r="AD14" i="2"/>
  <c r="AG13" i="2"/>
  <c r="AD13" i="2"/>
  <c r="AG12" i="2"/>
  <c r="AD12" i="2"/>
  <c r="AC32" i="2"/>
  <c r="AB32" i="2"/>
  <c r="Z32" i="2"/>
  <c r="Y32" i="2"/>
  <c r="AA31" i="2"/>
  <c r="X31" i="2"/>
  <c r="AA30" i="2"/>
  <c r="X30" i="2"/>
  <c r="AA29" i="2"/>
  <c r="X29" i="2"/>
  <c r="AA28" i="2"/>
  <c r="X28" i="2"/>
  <c r="AA27" i="2"/>
  <c r="X27" i="2"/>
  <c r="AA26" i="2"/>
  <c r="X26" i="2"/>
  <c r="AA25" i="2"/>
  <c r="X25" i="2"/>
  <c r="AA24" i="2"/>
  <c r="X24" i="2"/>
  <c r="AA23" i="2"/>
  <c r="X23" i="2"/>
  <c r="AA22" i="2"/>
  <c r="X22" i="2"/>
  <c r="AA21" i="2"/>
  <c r="X21" i="2"/>
  <c r="AA20" i="2"/>
  <c r="X20" i="2"/>
  <c r="AA19" i="2"/>
  <c r="X19" i="2"/>
  <c r="AA18" i="2"/>
  <c r="X18" i="2"/>
  <c r="AA17" i="2"/>
  <c r="X17" i="2"/>
  <c r="AA16" i="2"/>
  <c r="X16" i="2"/>
  <c r="AA15" i="2"/>
  <c r="X15" i="2"/>
  <c r="AA14" i="2"/>
  <c r="X14" i="2"/>
  <c r="AA13" i="2"/>
  <c r="X13" i="2"/>
  <c r="AA12" i="2"/>
  <c r="X12" i="2"/>
  <c r="W32" i="2"/>
  <c r="V32" i="2"/>
  <c r="T32" i="2"/>
  <c r="S32" i="2"/>
  <c r="U31" i="2"/>
  <c r="R31" i="2"/>
  <c r="U30" i="2"/>
  <c r="R30" i="2"/>
  <c r="U29" i="2"/>
  <c r="R29" i="2"/>
  <c r="U28" i="2"/>
  <c r="R28" i="2"/>
  <c r="U27" i="2"/>
  <c r="R27" i="2"/>
  <c r="U26" i="2"/>
  <c r="R26" i="2"/>
  <c r="U25" i="2"/>
  <c r="R25" i="2"/>
  <c r="U24" i="2"/>
  <c r="R24" i="2"/>
  <c r="U23" i="2"/>
  <c r="R23" i="2"/>
  <c r="U22" i="2"/>
  <c r="R22" i="2"/>
  <c r="U21" i="2"/>
  <c r="R21" i="2"/>
  <c r="U20" i="2"/>
  <c r="R20" i="2"/>
  <c r="U19" i="2"/>
  <c r="R19" i="2"/>
  <c r="U18" i="2"/>
  <c r="R18" i="2"/>
  <c r="U17" i="2"/>
  <c r="R17" i="2"/>
  <c r="U16" i="2"/>
  <c r="R16" i="2"/>
  <c r="U15" i="2"/>
  <c r="R15" i="2"/>
  <c r="U14" i="2"/>
  <c r="R14" i="2"/>
  <c r="U13" i="2"/>
  <c r="R13" i="2"/>
  <c r="U12" i="2"/>
  <c r="R12" i="2"/>
  <c r="Q32" i="2"/>
  <c r="P32" i="2"/>
  <c r="N32" i="2"/>
  <c r="M32" i="2"/>
  <c r="O31" i="2"/>
  <c r="L31" i="2"/>
  <c r="O30" i="2"/>
  <c r="L30" i="2"/>
  <c r="O29" i="2"/>
  <c r="L29" i="2"/>
  <c r="O28" i="2"/>
  <c r="L28" i="2"/>
  <c r="O27" i="2"/>
  <c r="L27" i="2"/>
  <c r="O26" i="2"/>
  <c r="L26" i="2"/>
  <c r="O25" i="2"/>
  <c r="L25" i="2"/>
  <c r="O24" i="2"/>
  <c r="L24" i="2"/>
  <c r="O23" i="2"/>
  <c r="L23" i="2"/>
  <c r="O22" i="2"/>
  <c r="L22" i="2"/>
  <c r="O21" i="2"/>
  <c r="L21" i="2"/>
  <c r="O20" i="2"/>
  <c r="L20" i="2"/>
  <c r="O19" i="2"/>
  <c r="L19" i="2"/>
  <c r="O18" i="2"/>
  <c r="L18" i="2"/>
  <c r="O17" i="2"/>
  <c r="L17" i="2"/>
  <c r="O16" i="2"/>
  <c r="L16" i="2"/>
  <c r="O15" i="2"/>
  <c r="L15" i="2"/>
  <c r="O14" i="2"/>
  <c r="L14" i="2"/>
  <c r="O13" i="2"/>
  <c r="L13" i="2"/>
  <c r="O12" i="2"/>
  <c r="L12" i="2"/>
  <c r="O32" i="2" l="1"/>
  <c r="AA32" i="2"/>
  <c r="AJ32" i="2"/>
  <c r="AM32" i="2"/>
  <c r="AG32" i="2"/>
  <c r="AD32" i="2"/>
  <c r="X32" i="2"/>
  <c r="R32" i="2"/>
  <c r="U32" i="2"/>
  <c r="L32" i="2"/>
  <c r="K32" i="2" l="1"/>
  <c r="J32" i="2"/>
  <c r="I31" i="2"/>
  <c r="I30" i="2"/>
  <c r="I29" i="2"/>
  <c r="I28" i="2"/>
  <c r="I27" i="2"/>
  <c r="I26" i="2"/>
  <c r="I25" i="2"/>
  <c r="I24" i="2"/>
  <c r="I23" i="2"/>
  <c r="I22" i="2"/>
  <c r="I21" i="2"/>
  <c r="I20" i="2"/>
  <c r="I19" i="2"/>
  <c r="I18" i="2"/>
  <c r="I17" i="2"/>
  <c r="I16" i="2"/>
  <c r="I15" i="2"/>
  <c r="I14" i="2"/>
  <c r="I13" i="2"/>
  <c r="I12" i="2"/>
  <c r="G32" i="2"/>
  <c r="H32" i="2"/>
  <c r="AP13" i="2"/>
  <c r="AP14" i="2"/>
  <c r="AP15" i="2"/>
  <c r="AP16" i="2"/>
  <c r="AP17" i="2"/>
  <c r="AP18" i="2"/>
  <c r="AP19" i="2"/>
  <c r="AP20" i="2"/>
  <c r="AP21" i="2"/>
  <c r="F22" i="2"/>
  <c r="AP22" i="2" s="1"/>
  <c r="F23" i="2"/>
  <c r="AP23" i="2" s="1"/>
  <c r="F24" i="2"/>
  <c r="AP24" i="2" s="1"/>
  <c r="F25" i="2"/>
  <c r="AP25" i="2" s="1"/>
  <c r="F26" i="2"/>
  <c r="AP26" i="2" s="1"/>
  <c r="F27" i="2"/>
  <c r="AP27" i="2" s="1"/>
  <c r="F28" i="2"/>
  <c r="AP28" i="2" s="1"/>
  <c r="F29" i="2"/>
  <c r="AP29" i="2" s="1"/>
  <c r="F30" i="2"/>
  <c r="AP30" i="2" s="1"/>
  <c r="F31" i="2"/>
  <c r="AP31" i="2" s="1"/>
  <c r="AP12" i="2"/>
  <c r="AQ12" i="2" s="1"/>
  <c r="C32" i="2"/>
  <c r="I32" i="2" l="1"/>
  <c r="F32" i="2" l="1"/>
  <c r="E32" i="2"/>
  <c r="I50" i="3" s="1"/>
  <c r="D32" i="2"/>
  <c r="AQ31" i="2"/>
  <c r="AQ30" i="2"/>
  <c r="AQ29" i="2"/>
  <c r="AQ28" i="2"/>
  <c r="AQ27" i="2"/>
  <c r="AQ26" i="2"/>
  <c r="AQ25" i="2"/>
  <c r="AQ24" i="2"/>
  <c r="AQ23" i="2"/>
  <c r="AQ22" i="2"/>
  <c r="AQ21" i="2"/>
  <c r="AQ20" i="2"/>
  <c r="AQ19" i="2"/>
  <c r="AQ18" i="2"/>
  <c r="AQ17" i="2"/>
  <c r="AQ16" i="2"/>
  <c r="AQ15" i="2"/>
  <c r="AQ14" i="2"/>
  <c r="AQ13" i="2"/>
  <c r="AP32" i="2" l="1"/>
  <c r="AQ32" i="2" s="1"/>
  <c r="C49" i="3" s="1"/>
</calcChain>
</file>

<file path=xl/comments1.xml><?xml version="1.0" encoding="utf-8"?>
<comments xmlns="http://schemas.openxmlformats.org/spreadsheetml/2006/main">
  <authors>
    <author>佐藤 葉子</author>
  </authors>
  <commentList>
    <comment ref="C89" authorId="0" shapeId="0">
      <text>
        <r>
          <rPr>
            <b/>
            <sz val="9"/>
            <color indexed="81"/>
            <rFont val="MS P ゴシック"/>
            <family val="3"/>
            <charset val="128"/>
          </rPr>
          <t>社会で起きている変化</t>
        </r>
      </text>
    </comment>
    <comment ref="C90" authorId="0" shapeId="0">
      <text>
        <r>
          <rPr>
            <b/>
            <sz val="9"/>
            <color indexed="81"/>
            <rFont val="MS P ゴシック"/>
            <family val="3"/>
            <charset val="128"/>
          </rPr>
          <t>データ・AI利活用の最新動向</t>
        </r>
      </text>
    </comment>
    <comment ref="C91" authorId="0" shapeId="0">
      <text>
        <r>
          <rPr>
            <b/>
            <sz val="9"/>
            <color indexed="81"/>
            <rFont val="MS P ゴシック"/>
            <family val="3"/>
            <charset val="128"/>
          </rPr>
          <t>社会で活用されているデータ</t>
        </r>
      </text>
    </comment>
    <comment ref="C92" authorId="0" shapeId="0">
      <text>
        <r>
          <rPr>
            <b/>
            <sz val="9"/>
            <color indexed="81"/>
            <rFont val="MS P ゴシック"/>
            <family val="3"/>
            <charset val="128"/>
          </rPr>
          <t>データ・AIの活用領域</t>
        </r>
      </text>
    </comment>
    <comment ref="C93" authorId="0" shapeId="0">
      <text>
        <r>
          <rPr>
            <b/>
            <sz val="9"/>
            <color indexed="81"/>
            <rFont val="MS P ゴシック"/>
            <family val="3"/>
            <charset val="128"/>
          </rPr>
          <t>データ・AI利活用のための技術</t>
        </r>
      </text>
    </comment>
    <comment ref="C94" authorId="0" shapeId="0">
      <text>
        <r>
          <rPr>
            <b/>
            <sz val="9"/>
            <color indexed="81"/>
            <rFont val="MS P ゴシック"/>
            <family val="3"/>
            <charset val="128"/>
          </rPr>
          <t>データ・AI利活用の最新動向</t>
        </r>
      </text>
    </comment>
    <comment ref="C95" authorId="0" shapeId="0">
      <text>
        <r>
          <rPr>
            <b/>
            <sz val="9"/>
            <color indexed="81"/>
            <rFont val="MS P ゴシック"/>
            <family val="3"/>
            <charset val="128"/>
          </rPr>
          <t>データ・AIを扱う上での留意事項</t>
        </r>
      </text>
    </comment>
    <comment ref="C96" authorId="0" shapeId="0">
      <text>
        <r>
          <rPr>
            <b/>
            <sz val="9"/>
            <color indexed="81"/>
            <rFont val="MS P ゴシック"/>
            <family val="3"/>
            <charset val="128"/>
          </rPr>
          <t>データを守る上での留意事項</t>
        </r>
      </text>
    </comment>
    <comment ref="C97" authorId="0" shapeId="0">
      <text>
        <r>
          <rPr>
            <b/>
            <sz val="9"/>
            <color indexed="81"/>
            <rFont val="MS P ゴシック"/>
            <family val="3"/>
            <charset val="128"/>
          </rPr>
          <t>データを読む</t>
        </r>
      </text>
    </comment>
    <comment ref="C98" authorId="0" shapeId="0">
      <text>
        <r>
          <rPr>
            <b/>
            <sz val="9"/>
            <color indexed="81"/>
            <rFont val="MS P ゴシック"/>
            <family val="3"/>
            <charset val="128"/>
          </rPr>
          <t>データを説明する</t>
        </r>
      </text>
    </comment>
    <comment ref="C99" authorId="0" shapeId="0">
      <text>
        <r>
          <rPr>
            <b/>
            <sz val="9"/>
            <color indexed="81"/>
            <rFont val="MS P ゴシック"/>
            <family val="3"/>
            <charset val="128"/>
          </rPr>
          <t>データを扱う</t>
        </r>
      </text>
    </comment>
  </commentList>
</comments>
</file>

<file path=xl/sharedStrings.xml><?xml version="1.0" encoding="utf-8"?>
<sst xmlns="http://schemas.openxmlformats.org/spreadsheetml/2006/main" count="307" uniqueCount="177">
  <si>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</si>
  <si>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</si>
  <si>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</si>
  <si>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</si>
  <si>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</si>
  <si>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</si>
  <si>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</si>
  <si>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</si>
  <si>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</si>
  <si>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</si>
  <si>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</si>
  <si>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</si>
  <si>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</si>
  <si>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</si>
  <si>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</si>
  <si>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</si>
  <si>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</si>
  <si>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</si>
  <si>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</si>
  <si>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</si>
  <si>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</si>
  <si>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</si>
  <si>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</si>
  <si>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</si>
  <si>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</si>
  <si>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</si>
  <si>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</si>
  <si>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</si>
  <si>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</si>
  <si>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</si>
  <si>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</si>
  <si>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</si>
  <si>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</si>
  <si>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</si>
  <si>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</si>
  <si>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</si>
  <si>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</si>
  <si>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</si>
  <si>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</si>
  <si>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</si>
  <si>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</si>
  <si>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</si>
  <si>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</si>
  <si>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</si>
  <si>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</si>
  <si>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</si>
  <si>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</si>
  <si>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</si>
  <si>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</si>
  <si>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</si>
  <si>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</si>
  <si>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</si>
  <si>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</si>
  <si>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</si>
  <si>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</si>
  <si>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</si>
  <si>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</si>
  <si>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</si>
  <si>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</si>
  <si>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</si>
  <si>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</si>
  <si>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</si>
  <si>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</si>
  <si>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</si>
  <si>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</si>
  <si>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</si>
  <si>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</si>
  <si>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</si>
  <si>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</si>
  <si>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</si>
  <si>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</si>
  <si>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</si>
  <si>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</si>
  <si>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</si>
  <si>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</si>
  <si>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</si>
  <si>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</si>
  <si>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</si>
  <si>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</si>
  <si>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</si>
  <si>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</si>
  <si>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</si>
  <si>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</si>
  <si>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</si>
  <si>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</si>
  <si>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</si>
  <si>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</si>
  <si>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</si>
  <si>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</si>
  <si>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</si>
  <si>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</si>
  <si>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</si>
  <si>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</si>
  <si>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</si>
  <si>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</si>
  <si>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</si>
  <si>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</si>
  <si>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</si>
  <si>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</si>
  <si>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</si>
  <si>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</si>
  <si>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</si>
  <si>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</si>
  <si>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</si>
  <si>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</si>
  <si>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</si>
  <si>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</si>
  <si>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</si>
  <si>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</si>
  <si>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</si>
  <si>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</si>
  <si>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</si>
  <si>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</si>
  <si>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</si>
  <si>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</si>
  <si>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</si>
  <si>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</si>
  <si>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</si>
  <si>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</si>
  <si>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</si>
  <si>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</si>
  <si>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</si>
  <si>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</si>
  <si>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</si>
  <si>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</si>
  <si>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</si>
  <si>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</si>
  <si>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学部・学科によって、修了要件は相違しない</t>
  </si>
  <si>
    <t>データサイエンス・AI入門</t>
  </si>
  <si>
    <t>データサイエンス・AI入門</t>
    <rPh sb="11" eb="13">
      <t>ニュウモン</t>
    </rPh>
    <phoneticPr fontId="1"/>
  </si>
  <si>
    <t>○</t>
  </si>
  <si>
    <t>「データサイエンス・AI入門」科目運営委員会要項</t>
    <phoneticPr fontId="1"/>
  </si>
  <si>
    <t>山田　宗男</t>
    <rPh sb="0" eb="2">
      <t>ヤマダ</t>
    </rPh>
    <rPh sb="3" eb="5">
      <t>ムネオ</t>
    </rPh>
    <phoneticPr fontId="1"/>
  </si>
  <si>
    <t>「データサイエンス・AI入門」科目運営委員会</t>
    <phoneticPr fontId="1"/>
  </si>
  <si>
    <t>副学長、大学教育開発センター長</t>
    <rPh sb="0" eb="3">
      <t>フクガクチョウ</t>
    </rPh>
    <rPh sb="4" eb="10">
      <t>ダイガクキョウイクカイハツ</t>
    </rPh>
    <rPh sb="14" eb="15">
      <t>チョウ</t>
    </rPh>
    <phoneticPr fontId="1"/>
  </si>
  <si>
    <t>令和４</t>
    <rPh sb="0" eb="2">
      <t>レイワ</t>
    </rPh>
    <phoneticPr fontId="1"/>
  </si>
  <si>
    <t xml:space="preserve">「データサイエンス・AI入門」１科目２単位を修得すること。
全学部において、同一内容による合同講義としているが、以下の学部においては科目名称が異なる。
法学部：「教養特設科目B（データサイエンス・AI入門）」
経営学部・経済学部：「（特1）データサイエンス・AI入門」
農学部：「農学特別講義Ⅰ（データサイエンス・AI入門）」
</t>
    <rPh sb="22" eb="24">
      <t>シュウトク</t>
    </rPh>
    <rPh sb="31" eb="34">
      <t>ゼンガクブ</t>
    </rPh>
    <rPh sb="39" eb="41">
      <t>ドウイツ</t>
    </rPh>
    <rPh sb="41" eb="43">
      <t>ナイヨウ</t>
    </rPh>
    <rPh sb="46" eb="48">
      <t>ゴウドウ</t>
    </rPh>
    <rPh sb="48" eb="50">
      <t>コウギ</t>
    </rPh>
    <rPh sb="57" eb="59">
      <t>イカ</t>
    </rPh>
    <rPh sb="60" eb="62">
      <t>ガクブ</t>
    </rPh>
    <rPh sb="67" eb="69">
      <t>カモク</t>
    </rPh>
    <rPh sb="69" eb="71">
      <t>メイショウ</t>
    </rPh>
    <rPh sb="72" eb="73">
      <t>コト</t>
    </rPh>
    <rPh sb="77" eb="80">
      <t>ホウガクブ</t>
    </rPh>
    <rPh sb="82" eb="84">
      <t>キョウヨウ</t>
    </rPh>
    <rPh sb="84" eb="86">
      <t>トクセツ</t>
    </rPh>
    <rPh sb="86" eb="88">
      <t>カモク</t>
    </rPh>
    <rPh sb="101" eb="103">
      <t>ニュウモン</t>
    </rPh>
    <rPh sb="106" eb="108">
      <t>ケイエイ</t>
    </rPh>
    <rPh sb="108" eb="110">
      <t>ガクブ</t>
    </rPh>
    <rPh sb="111" eb="113">
      <t>ケイザイ</t>
    </rPh>
    <rPh sb="113" eb="115">
      <t>ガクブ</t>
    </rPh>
    <rPh sb="118" eb="119">
      <t>トク</t>
    </rPh>
    <rPh sb="132" eb="134">
      <t>ニュウモン</t>
    </rPh>
    <rPh sb="136" eb="139">
      <t>ノウガクブ</t>
    </rPh>
    <rPh sb="141" eb="143">
      <t>ノウガク</t>
    </rPh>
    <rPh sb="143" eb="145">
      <t>トクベツ</t>
    </rPh>
    <rPh sb="145" eb="147">
      <t>コウギ</t>
    </rPh>
    <rPh sb="160" eb="162">
      <t>ニュウモン</t>
    </rPh>
    <phoneticPr fontId="1"/>
  </si>
  <si>
    <t>法学部</t>
    <rPh sb="0" eb="3">
      <t>ホウガクブ</t>
    </rPh>
    <phoneticPr fontId="1"/>
  </si>
  <si>
    <t>経営学部</t>
    <rPh sb="0" eb="2">
      <t>ケイエイ</t>
    </rPh>
    <rPh sb="2" eb="4">
      <t>ガクブ</t>
    </rPh>
    <phoneticPr fontId="1"/>
  </si>
  <si>
    <t>経済学部</t>
    <rPh sb="0" eb="2">
      <t>ケイザイ</t>
    </rPh>
    <rPh sb="2" eb="4">
      <t>ガクブ</t>
    </rPh>
    <phoneticPr fontId="1"/>
  </si>
  <si>
    <t>理工学部</t>
    <rPh sb="0" eb="2">
      <t>リコウ</t>
    </rPh>
    <rPh sb="2" eb="4">
      <t>ガクブ</t>
    </rPh>
    <phoneticPr fontId="1"/>
  </si>
  <si>
    <t>農学部</t>
    <rPh sb="0" eb="3">
      <t>ノウガクブ</t>
    </rPh>
    <phoneticPr fontId="1"/>
  </si>
  <si>
    <t>薬学部</t>
    <rPh sb="0" eb="3">
      <t>ヤクガクブ</t>
    </rPh>
    <phoneticPr fontId="1"/>
  </si>
  <si>
    <t>都市情報学部</t>
    <rPh sb="0" eb="2">
      <t>トシ</t>
    </rPh>
    <rPh sb="2" eb="4">
      <t>ジョウホウ</t>
    </rPh>
    <rPh sb="4" eb="6">
      <t>ガクブ</t>
    </rPh>
    <phoneticPr fontId="1"/>
  </si>
  <si>
    <t>人間学部</t>
    <rPh sb="0" eb="2">
      <t>ニンゲン</t>
    </rPh>
    <rPh sb="2" eb="4">
      <t>ガクブ</t>
    </rPh>
    <phoneticPr fontId="1"/>
  </si>
  <si>
    <t>外国語学部</t>
    <rPh sb="0" eb="3">
      <t>ガイコクゴ</t>
    </rPh>
    <rPh sb="3" eb="5">
      <t>ガクブ</t>
    </rPh>
    <phoneticPr fontId="1"/>
  </si>
  <si>
    <t>情報工学部</t>
    <rPh sb="0" eb="2">
      <t>ジョウホウ</t>
    </rPh>
    <rPh sb="2" eb="5">
      <t>コウガクブ</t>
    </rPh>
    <phoneticPr fontId="1"/>
  </si>
  <si>
    <t xml:space="preserve">委員長
　副学長・大学教育開発センター長・情報工学部　教授　　山田宗男
副委員長
　キャリアセンター長（令和4年度）・経済学部　教授　　勝浦正樹
委員
　学務センター長・経済学部　教授　山本雄吾
　法学部　教授　　松本俊太
　入学センター長（令和4年度）・経営学部　教授　　鳥居弘志
　理工学部長（令和4年度）・理工学部　教授　　齊藤公明
　情報工学部　教授　　山本修身
　都市情報学部　准教授　　杉浦伸
</t>
    <rPh sb="0" eb="3">
      <t>イインチョウ</t>
    </rPh>
    <rPh sb="5" eb="8">
      <t>フクガクチョウ</t>
    </rPh>
    <rPh sb="9" eb="11">
      <t>ダイガク</t>
    </rPh>
    <rPh sb="11" eb="13">
      <t>キョウイク</t>
    </rPh>
    <rPh sb="13" eb="15">
      <t>カイハツ</t>
    </rPh>
    <rPh sb="19" eb="20">
      <t>チョウ</t>
    </rPh>
    <rPh sb="21" eb="23">
      <t>ジョウホウ</t>
    </rPh>
    <rPh sb="23" eb="26">
      <t>コウガクブ</t>
    </rPh>
    <rPh sb="27" eb="29">
      <t>キョウジュ</t>
    </rPh>
    <rPh sb="31" eb="33">
      <t>ヤマダ</t>
    </rPh>
    <rPh sb="33" eb="35">
      <t>ムネオ</t>
    </rPh>
    <rPh sb="36" eb="40">
      <t>フクイインチョウ</t>
    </rPh>
    <rPh sb="50" eb="51">
      <t>チョウ</t>
    </rPh>
    <rPh sb="52" eb="54">
      <t>レイワ</t>
    </rPh>
    <rPh sb="55" eb="57">
      <t>ネンド</t>
    </rPh>
    <rPh sb="59" eb="61">
      <t>ケイザイ</t>
    </rPh>
    <rPh sb="61" eb="63">
      <t>ガクブ</t>
    </rPh>
    <rPh sb="64" eb="66">
      <t>キョウジュ</t>
    </rPh>
    <rPh sb="68" eb="70">
      <t>カツウラ</t>
    </rPh>
    <rPh sb="70" eb="72">
      <t>マサキ</t>
    </rPh>
    <rPh sb="73" eb="75">
      <t>イイン</t>
    </rPh>
    <rPh sb="77" eb="79">
      <t>ガクム</t>
    </rPh>
    <rPh sb="83" eb="84">
      <t>チョウ</t>
    </rPh>
    <rPh sb="85" eb="87">
      <t>ケイザイ</t>
    </rPh>
    <rPh sb="87" eb="89">
      <t>ガクブ</t>
    </rPh>
    <rPh sb="90" eb="92">
      <t>キョウジュ</t>
    </rPh>
    <phoneticPr fontId="1"/>
  </si>
  <si>
    <t>「データサイエンス・AI入門」（7・8・9・10・11・12回目）
・データ表現
・データの図表表現
・データの比較
・不適切なグラフ表現
・優れた可視化事例の紹介</t>
    <rPh sb="12" eb="14">
      <t>ニュウモン</t>
    </rPh>
    <rPh sb="30" eb="32">
      <t>カイメ</t>
    </rPh>
    <rPh sb="38" eb="40">
      <t>ヒョウゲン</t>
    </rPh>
    <rPh sb="46" eb="48">
      <t>ズヒョウ</t>
    </rPh>
    <rPh sb="48" eb="50">
      <t>ヒョウゲン</t>
    </rPh>
    <rPh sb="56" eb="58">
      <t>ヒカク</t>
    </rPh>
    <rPh sb="60" eb="63">
      <t>フテキセツ</t>
    </rPh>
    <rPh sb="67" eb="69">
      <t>ヒョウゲン</t>
    </rPh>
    <rPh sb="71" eb="72">
      <t>スグ</t>
    </rPh>
    <rPh sb="74" eb="77">
      <t>カシカ</t>
    </rPh>
    <rPh sb="77" eb="79">
      <t>ジレイ</t>
    </rPh>
    <rPh sb="80" eb="82">
      <t>ショウカイ</t>
    </rPh>
    <phoneticPr fontId="1"/>
  </si>
  <si>
    <t>1. データサイエンスやAIが注目されるようになった社会背景と、様々な分野での活用事例を理解し、説明できるようになる。
2. データサイエンスの基本的な分析手法を身につけ、データ解析の結果を分析目的に即して解釈できるようになる。
3. データサイエンスやAIに関する倫理的・法的な心得を理解する。</t>
    <phoneticPr fontId="1"/>
  </si>
  <si>
    <t>目標を実現するために、本学ウェブサイト上に「データサイエンス教育の充実」に関する特設サイトを制作し、データサイエンス教育の重要性と必要性を発信するとともに、年度初めに実施する全学年対象のオリエンテーション・ガイダンスにおいて、「データサイエンス・AI入門」の履修を促進するチラシに基づき、全学生に周知すると共に履修を促進している。
また、履修登録期間中に開講される、第１回目の講義において、池上彰教授から、データサイエンス・AI教育の重要性と必要性を伝え、学生に履修を促進している。
今後も、これらを継続して実施する。</t>
    <rPh sb="0" eb="2">
      <t>モクヒョウ</t>
    </rPh>
    <rPh sb="3" eb="5">
      <t>ジツゲン</t>
    </rPh>
    <rPh sb="30" eb="32">
      <t>キョウイク</t>
    </rPh>
    <rPh sb="33" eb="35">
      <t>ジュウジツ</t>
    </rPh>
    <rPh sb="37" eb="38">
      <t>カン</t>
    </rPh>
    <rPh sb="58" eb="60">
      <t>キョウイク</t>
    </rPh>
    <rPh sb="61" eb="64">
      <t>ジュウヨウセイ</t>
    </rPh>
    <rPh sb="65" eb="68">
      <t>ヒツヨウセイ</t>
    </rPh>
    <rPh sb="69" eb="71">
      <t>ハッシン</t>
    </rPh>
    <rPh sb="78" eb="81">
      <t>ネンドハジ</t>
    </rPh>
    <rPh sb="83" eb="85">
      <t>ジッシ</t>
    </rPh>
    <rPh sb="125" eb="127">
      <t>ニュウモン</t>
    </rPh>
    <rPh sb="129" eb="131">
      <t>リシュウ</t>
    </rPh>
    <rPh sb="132" eb="134">
      <t>ソクシン</t>
    </rPh>
    <rPh sb="140" eb="141">
      <t>モト</t>
    </rPh>
    <rPh sb="144" eb="145">
      <t>ゼン</t>
    </rPh>
    <rPh sb="145" eb="147">
      <t>ガクセイ</t>
    </rPh>
    <rPh sb="148" eb="150">
      <t>シュウチ</t>
    </rPh>
    <rPh sb="153" eb="154">
      <t>トモ</t>
    </rPh>
    <rPh sb="155" eb="157">
      <t>リシュウ</t>
    </rPh>
    <rPh sb="158" eb="160">
      <t>ソクシン</t>
    </rPh>
    <rPh sb="169" eb="171">
      <t>リシュウ</t>
    </rPh>
    <rPh sb="171" eb="173">
      <t>トウロク</t>
    </rPh>
    <rPh sb="173" eb="176">
      <t>キカンチュウ</t>
    </rPh>
    <rPh sb="177" eb="179">
      <t>カイコウ</t>
    </rPh>
    <rPh sb="183" eb="184">
      <t>ダイ</t>
    </rPh>
    <rPh sb="185" eb="186">
      <t>カイ</t>
    </rPh>
    <rPh sb="186" eb="187">
      <t>メ</t>
    </rPh>
    <rPh sb="188" eb="190">
      <t>コウギ</t>
    </rPh>
    <rPh sb="195" eb="197">
      <t>イケガミ</t>
    </rPh>
    <rPh sb="197" eb="198">
      <t>アキラ</t>
    </rPh>
    <rPh sb="198" eb="200">
      <t>キョウジュ</t>
    </rPh>
    <rPh sb="214" eb="216">
      <t>キョウイク</t>
    </rPh>
    <rPh sb="217" eb="220">
      <t>ジュウヨウセイ</t>
    </rPh>
    <rPh sb="221" eb="224">
      <t>ヒツヨウセイ</t>
    </rPh>
    <rPh sb="225" eb="226">
      <t>ツタ</t>
    </rPh>
    <rPh sb="228" eb="230">
      <t>ガクセイ</t>
    </rPh>
    <rPh sb="231" eb="233">
      <t>リシュウ</t>
    </rPh>
    <rPh sb="234" eb="236">
      <t>ソクシン</t>
    </rPh>
    <rPh sb="242" eb="244">
      <t>コンゴ</t>
    </rPh>
    <rPh sb="250" eb="252">
      <t>ケイゾク</t>
    </rPh>
    <rPh sb="254" eb="256">
      <t>ジッシ</t>
    </rPh>
    <phoneticPr fontId="1"/>
  </si>
  <si>
    <t>名城大学</t>
    <rPh sb="0" eb="2">
      <t>メイジョウ</t>
    </rPh>
    <rPh sb="2" eb="4">
      <t>ダイガク</t>
    </rPh>
    <phoneticPr fontId="1"/>
  </si>
  <si>
    <t>プログラムの終了時に受講生を対象に実施した授業アンケートを通じて、本プログラムに掲げている到達目標の達成度を調査した。
回答率は80％であり、本プログラムが掲げる到達目標は3つあり、「データサイエンスやAIが注目されるようになった社会背景と、様々な分野での活用事例を理解し、説明できるようになる」の達成度は71.8％、 「データサイエンスの基本的な分析手法を身につけ、データ解析の結果を分析目的に即して解釈できるようになる」の達成度は64.4 ％、「データサイエンスやAIに関する倫理的・法的な心得を理解する」の達成度は79.4％となり、学修成果は概ね達成できていることを本委員会にて確認した。</t>
    <rPh sb="8" eb="9">
      <t>ジ</t>
    </rPh>
    <rPh sb="10" eb="13">
      <t>ジュコウセイ</t>
    </rPh>
    <rPh sb="14" eb="16">
      <t>タイショウ</t>
    </rPh>
    <rPh sb="17" eb="19">
      <t>ジッシ</t>
    </rPh>
    <rPh sb="29" eb="30">
      <t>ツウ</t>
    </rPh>
    <rPh sb="33" eb="34">
      <t>ホン</t>
    </rPh>
    <rPh sb="40" eb="41">
      <t>カカ</t>
    </rPh>
    <rPh sb="45" eb="47">
      <t>トウタツ</t>
    </rPh>
    <rPh sb="47" eb="49">
      <t>モクヒョウ</t>
    </rPh>
    <rPh sb="50" eb="52">
      <t>タッセイ</t>
    </rPh>
    <rPh sb="52" eb="53">
      <t>ド</t>
    </rPh>
    <rPh sb="54" eb="56">
      <t>チョウサ</t>
    </rPh>
    <rPh sb="60" eb="63">
      <t>カイトウリツ</t>
    </rPh>
    <rPh sb="274" eb="275">
      <t>オオム</t>
    </rPh>
    <rPh sb="276" eb="278">
      <t>タッセイ</t>
    </rPh>
    <rPh sb="286" eb="287">
      <t>ホン</t>
    </rPh>
    <rPh sb="292" eb="294">
      <t>カクニン</t>
    </rPh>
    <phoneticPr fontId="1"/>
  </si>
  <si>
    <t xml:space="preserve">「データサイエンス・AI入門」科目運営委員会において、学生の履修状況や、授業における各回の小テストの成績分布、定期試験の成績分布を本員会で共有し、教育内容の水準を維持・向上するため、次年度に向けて改善すべき事項を検討した。
学生の履修状況や成績結果、授業アンケートにおける学生の意見を反映した具体的な改善事項として、講義や小テストの内容を見直す他、小テストの正答に対する詳細な説明を行うことが決定しており、今後も内容・水準の維持向上に努めて、点検・改善を継続していく。
</t>
    <rPh sb="36" eb="38">
      <t>ジュギョウ</t>
    </rPh>
    <rPh sb="73" eb="75">
      <t>キョウイク</t>
    </rPh>
    <rPh sb="75" eb="77">
      <t>ナイヨウ</t>
    </rPh>
    <rPh sb="78" eb="80">
      <t>スイジュン</t>
    </rPh>
    <rPh sb="81" eb="83">
      <t>イジ</t>
    </rPh>
    <rPh sb="84" eb="86">
      <t>コウジョウ</t>
    </rPh>
    <rPh sb="91" eb="94">
      <t>ジネンド</t>
    </rPh>
    <rPh sb="95" eb="96">
      <t>ム</t>
    </rPh>
    <rPh sb="98" eb="100">
      <t>カイゼン</t>
    </rPh>
    <rPh sb="103" eb="105">
      <t>ジコウ</t>
    </rPh>
    <rPh sb="106" eb="108">
      <t>ケントウ</t>
    </rPh>
    <rPh sb="115" eb="117">
      <t>リシュウ</t>
    </rPh>
    <rPh sb="117" eb="119">
      <t>ジョウキョウ</t>
    </rPh>
    <rPh sb="122" eb="124">
      <t>ケッカ</t>
    </rPh>
    <rPh sb="146" eb="149">
      <t>グタイテキ</t>
    </rPh>
    <rPh sb="150" eb="152">
      <t>カイゼン</t>
    </rPh>
    <rPh sb="152" eb="154">
      <t>ジコウ</t>
    </rPh>
    <rPh sb="158" eb="160">
      <t>コウギ</t>
    </rPh>
    <rPh sb="161" eb="162">
      <t>ショウ</t>
    </rPh>
    <rPh sb="169" eb="171">
      <t>ミナオ</t>
    </rPh>
    <rPh sb="172" eb="173">
      <t>ホカ</t>
    </rPh>
    <rPh sb="174" eb="175">
      <t>ショウ</t>
    </rPh>
    <rPh sb="179" eb="181">
      <t>セイトウ</t>
    </rPh>
    <rPh sb="182" eb="183">
      <t>タイ</t>
    </rPh>
    <rPh sb="185" eb="187">
      <t>ショウサイ</t>
    </rPh>
    <rPh sb="188" eb="190">
      <t>セツメイ</t>
    </rPh>
    <rPh sb="191" eb="192">
      <t>オコナ</t>
    </rPh>
    <rPh sb="196" eb="198">
      <t>ケッテイ</t>
    </rPh>
    <rPh sb="203" eb="205">
      <t>コンゴ</t>
    </rPh>
    <rPh sb="221" eb="223">
      <t>テンケン</t>
    </rPh>
    <rPh sb="224" eb="226">
      <t>カイゼン</t>
    </rPh>
    <rPh sb="227" eb="229">
      <t>ケイゾク</t>
    </rPh>
    <phoneticPr fontId="1"/>
  </si>
  <si>
    <t>「データサイエンス・AI入門」（2回目）
・ビッグデータ、IoT、AI、ロボット
・データ量の増加、計算機の処理性能の向上、AIの非連続的進化
・第4次産業革命、Society5.0、データ駆動型社会
・データサイエンティストの役割、複数技術を組み合わせたAIサービス
・人間の知的活動とAIの関係性（AIと労働）
・データを起点としたものの見方、人間の知的活動を起点としたものの見方</t>
    <rPh sb="12" eb="14">
      <t>ニュウモン</t>
    </rPh>
    <rPh sb="17" eb="19">
      <t>カイメ</t>
    </rPh>
    <rPh sb="45" eb="46">
      <t>リョウ</t>
    </rPh>
    <rPh sb="47" eb="49">
      <t>ゾウカ</t>
    </rPh>
    <rPh sb="50" eb="53">
      <t>ケイサンキ</t>
    </rPh>
    <rPh sb="54" eb="56">
      <t>ショリ</t>
    </rPh>
    <rPh sb="56" eb="58">
      <t>セイノウ</t>
    </rPh>
    <rPh sb="59" eb="61">
      <t>コウジョウ</t>
    </rPh>
    <rPh sb="65" eb="69">
      <t>ヒレンゾクテキ</t>
    </rPh>
    <rPh sb="69" eb="71">
      <t>シンカ</t>
    </rPh>
    <rPh sb="73" eb="74">
      <t>ダイ</t>
    </rPh>
    <rPh sb="75" eb="76">
      <t>ジ</t>
    </rPh>
    <rPh sb="76" eb="78">
      <t>サンギョウ</t>
    </rPh>
    <rPh sb="78" eb="80">
      <t>カクメイ</t>
    </rPh>
    <rPh sb="114" eb="116">
      <t>ヤクワリ</t>
    </rPh>
    <rPh sb="117" eb="119">
      <t>フクスウ</t>
    </rPh>
    <rPh sb="119" eb="121">
      <t>ギジュツ</t>
    </rPh>
    <rPh sb="122" eb="123">
      <t>ク</t>
    </rPh>
    <rPh sb="124" eb="125">
      <t>ア</t>
    </rPh>
    <rPh sb="136" eb="138">
      <t>ニンゲン</t>
    </rPh>
    <rPh sb="139" eb="141">
      <t>チテキ</t>
    </rPh>
    <rPh sb="141" eb="143">
      <t>カツドウ</t>
    </rPh>
    <rPh sb="147" eb="150">
      <t>カンケイセイ</t>
    </rPh>
    <rPh sb="154" eb="156">
      <t>ロウドウ</t>
    </rPh>
    <rPh sb="163" eb="165">
      <t>キテン</t>
    </rPh>
    <rPh sb="171" eb="173">
      <t>ミカタ</t>
    </rPh>
    <rPh sb="174" eb="176">
      <t>ニンゲン</t>
    </rPh>
    <rPh sb="177" eb="179">
      <t>チテキ</t>
    </rPh>
    <rPh sb="179" eb="181">
      <t>カツドウ</t>
    </rPh>
    <rPh sb="182" eb="184">
      <t>キテン</t>
    </rPh>
    <rPh sb="190" eb="192">
      <t>ミカタ</t>
    </rPh>
    <phoneticPr fontId="1"/>
  </si>
  <si>
    <t xml:space="preserve">「データサイエンス・AI入門」（2・3・4・5・6・7回目）
・調査データ、実験データ、人の行動ログデータ、機械の稼働ログデータ
・1次データ、2次データ、データのメタ化
・構造化データ、非構造化データ
・データ作成
・データのオープン化
</t>
    <rPh sb="12" eb="14">
      <t>ニュウモン</t>
    </rPh>
    <rPh sb="27" eb="29">
      <t>カイメ</t>
    </rPh>
    <rPh sb="32" eb="34">
      <t>チョウサ</t>
    </rPh>
    <rPh sb="38" eb="40">
      <t>ジッケン</t>
    </rPh>
    <rPh sb="44" eb="45">
      <t>ヒト</t>
    </rPh>
    <rPh sb="46" eb="48">
      <t>コウドウ</t>
    </rPh>
    <rPh sb="54" eb="56">
      <t>キカイ</t>
    </rPh>
    <rPh sb="57" eb="59">
      <t>カドウ</t>
    </rPh>
    <rPh sb="67" eb="68">
      <t>ジ</t>
    </rPh>
    <rPh sb="73" eb="74">
      <t>ジ</t>
    </rPh>
    <rPh sb="84" eb="85">
      <t>カ</t>
    </rPh>
    <rPh sb="87" eb="90">
      <t>コウゾウカ</t>
    </rPh>
    <rPh sb="94" eb="95">
      <t>ヒ</t>
    </rPh>
    <rPh sb="95" eb="98">
      <t>コウゾウカ</t>
    </rPh>
    <rPh sb="106" eb="108">
      <t>サクセイ</t>
    </rPh>
    <rPh sb="118" eb="119">
      <t>カ</t>
    </rPh>
    <phoneticPr fontId="1"/>
  </si>
  <si>
    <t>「データサイエンス・AI入門」（3・4・5・6回目）
・データサイエンスのサイクル（課題抽出と定式化、データの取得・管理・加工、探索的データ解析、データ解析と推論、結果の共有・伝達、課題解決に向けた提案）
・社会科学、法・人文学、理工学、生命科学、薬学におけるデータサイエンス・AI利活用事例紹介</t>
    <rPh sb="12" eb="14">
      <t>ニュウモン</t>
    </rPh>
    <rPh sb="23" eb="25">
      <t>カイメ</t>
    </rPh>
    <rPh sb="42" eb="44">
      <t>カダイ</t>
    </rPh>
    <rPh sb="44" eb="46">
      <t>チュウシュツ</t>
    </rPh>
    <rPh sb="47" eb="50">
      <t>テイシキカ</t>
    </rPh>
    <rPh sb="55" eb="57">
      <t>シュトク</t>
    </rPh>
    <rPh sb="58" eb="60">
      <t>カンリ</t>
    </rPh>
    <rPh sb="61" eb="63">
      <t>カコウ</t>
    </rPh>
    <rPh sb="64" eb="67">
      <t>タンサクテキ</t>
    </rPh>
    <rPh sb="70" eb="72">
      <t>カイセキ</t>
    </rPh>
    <rPh sb="76" eb="78">
      <t>カイセキ</t>
    </rPh>
    <rPh sb="79" eb="81">
      <t>スイロン</t>
    </rPh>
    <rPh sb="82" eb="84">
      <t>ケッカ</t>
    </rPh>
    <rPh sb="85" eb="87">
      <t>キョウユウ</t>
    </rPh>
    <rPh sb="88" eb="90">
      <t>デンタツ</t>
    </rPh>
    <rPh sb="91" eb="93">
      <t>カダイ</t>
    </rPh>
    <rPh sb="93" eb="95">
      <t>カイケツ</t>
    </rPh>
    <rPh sb="96" eb="97">
      <t>ム</t>
    </rPh>
    <rPh sb="99" eb="101">
      <t>テイアン</t>
    </rPh>
    <rPh sb="104" eb="106">
      <t>シャカイ</t>
    </rPh>
    <rPh sb="106" eb="108">
      <t>カガク</t>
    </rPh>
    <rPh sb="109" eb="110">
      <t>ホウ</t>
    </rPh>
    <rPh sb="111" eb="113">
      <t>ジンブン</t>
    </rPh>
    <rPh sb="113" eb="114">
      <t>ガク</t>
    </rPh>
    <rPh sb="115" eb="118">
      <t>リコウガク</t>
    </rPh>
    <rPh sb="119" eb="121">
      <t>セイメイ</t>
    </rPh>
    <rPh sb="121" eb="123">
      <t>カガク</t>
    </rPh>
    <rPh sb="124" eb="126">
      <t>ヤクガク</t>
    </rPh>
    <rPh sb="141" eb="144">
      <t>リカツヨウ</t>
    </rPh>
    <rPh sb="144" eb="146">
      <t>ジレイ</t>
    </rPh>
    <rPh sb="146" eb="148">
      <t>ショウカイ</t>
    </rPh>
    <phoneticPr fontId="1"/>
  </si>
  <si>
    <t>「データサイエンス・AI入門」（13・14回目）
・ELSI
・個人情報・著作権・プライバシー保護
・研究におけるデータ倫理：データのねつ造、改ざん、盗用、プライバシー保護
・AI社会原則（公平性、説明責任、透明性、人間中心の判断）
・データバイアス、アルゴリズムバイアス
・AIサービスの責任論
・データ・AI活用における負の事例紹介（AIと差別など）</t>
    <rPh sb="12" eb="14">
      <t>ニュウモン</t>
    </rPh>
    <rPh sb="21" eb="23">
      <t>カイメ</t>
    </rPh>
    <rPh sb="32" eb="34">
      <t>コジン</t>
    </rPh>
    <rPh sb="34" eb="36">
      <t>ジョウホウ</t>
    </rPh>
    <rPh sb="37" eb="40">
      <t>チョサクケン</t>
    </rPh>
    <rPh sb="47" eb="49">
      <t>ホゴ</t>
    </rPh>
    <rPh sb="51" eb="53">
      <t>ケンキュウ</t>
    </rPh>
    <rPh sb="60" eb="62">
      <t>リンリ</t>
    </rPh>
    <rPh sb="69" eb="70">
      <t>ゾウ</t>
    </rPh>
    <rPh sb="71" eb="72">
      <t>カイ</t>
    </rPh>
    <rPh sb="75" eb="77">
      <t>トウヨウ</t>
    </rPh>
    <rPh sb="84" eb="86">
      <t>ホゴ</t>
    </rPh>
    <rPh sb="90" eb="92">
      <t>シャカイ</t>
    </rPh>
    <rPh sb="92" eb="94">
      <t>ゲンソク</t>
    </rPh>
    <rPh sb="95" eb="98">
      <t>コウヘイセイ</t>
    </rPh>
    <rPh sb="99" eb="101">
      <t>セツメイ</t>
    </rPh>
    <rPh sb="101" eb="103">
      <t>セキニン</t>
    </rPh>
    <rPh sb="104" eb="107">
      <t>トウメイセイ</t>
    </rPh>
    <rPh sb="108" eb="110">
      <t>ニンゲン</t>
    </rPh>
    <rPh sb="110" eb="112">
      <t>チュウシン</t>
    </rPh>
    <rPh sb="113" eb="115">
      <t>ハンダン</t>
    </rPh>
    <rPh sb="145" eb="147">
      <t>セキニン</t>
    </rPh>
    <rPh sb="147" eb="148">
      <t>ロン</t>
    </rPh>
    <rPh sb="156" eb="158">
      <t>カツヨウ</t>
    </rPh>
    <rPh sb="162" eb="163">
      <t>フ</t>
    </rPh>
    <rPh sb="164" eb="166">
      <t>ジレイ</t>
    </rPh>
    <rPh sb="166" eb="168">
      <t>ショウカイ</t>
    </rPh>
    <rPh sb="172" eb="174">
      <t>サベツ</t>
    </rPh>
    <phoneticPr fontId="1"/>
  </si>
  <si>
    <t>「データサイエンス・AI入門」（13・14回目）
・情報セキュリティ：機密性、完全性、可用性
・匿名加工情報、暗号化、パスワード、悪意ある情報搾取
・情報漏洩等によるセキュリティ事故の事例紹介</t>
    <rPh sb="26" eb="28">
      <t>ジョウホウ</t>
    </rPh>
    <rPh sb="35" eb="38">
      <t>キミツセイ</t>
    </rPh>
    <rPh sb="39" eb="42">
      <t>カンゼンセイ</t>
    </rPh>
    <rPh sb="43" eb="46">
      <t>カヨウセイ</t>
    </rPh>
    <rPh sb="48" eb="50">
      <t>トクメイ</t>
    </rPh>
    <rPh sb="50" eb="52">
      <t>カコウ</t>
    </rPh>
    <rPh sb="52" eb="54">
      <t>ジョウホウ</t>
    </rPh>
    <rPh sb="55" eb="58">
      <t>アンゴウカ</t>
    </rPh>
    <rPh sb="65" eb="67">
      <t>アクイ</t>
    </rPh>
    <rPh sb="69" eb="71">
      <t>ジョウホウ</t>
    </rPh>
    <rPh sb="71" eb="73">
      <t>サクシュ</t>
    </rPh>
    <rPh sb="75" eb="79">
      <t>ジョウホウロウエイ</t>
    </rPh>
    <rPh sb="79" eb="80">
      <t>トウ</t>
    </rPh>
    <rPh sb="89" eb="91">
      <t>ジコ</t>
    </rPh>
    <rPh sb="92" eb="94">
      <t>ジレイ</t>
    </rPh>
    <rPh sb="94" eb="96">
      <t>ショウカイ</t>
    </rPh>
    <phoneticPr fontId="1"/>
  </si>
  <si>
    <t>「データサイエンス・AI入門」（7・8・9・10・11・12回目）
・データの集計
・データの並び替え
・データ解析ツール （スプレッドシート、Rのインストールと利用）
・表形式のデータ</t>
    <rPh sb="39" eb="41">
      <t>シュウケイ</t>
    </rPh>
    <rPh sb="47" eb="48">
      <t>ナラ</t>
    </rPh>
    <rPh sb="49" eb="50">
      <t>カ</t>
    </rPh>
    <rPh sb="56" eb="58">
      <t>カイセキ</t>
    </rPh>
    <rPh sb="81" eb="83">
      <t>リヨウ</t>
    </rPh>
    <rPh sb="86" eb="89">
      <t>ヒョウケイシキ</t>
    </rPh>
    <phoneticPr fontId="1"/>
  </si>
  <si>
    <t xml:space="preserve">令和４年度から開始した本プログラムの履修状況としては、全学で2,479人が履修し、そのうち1年次の履修者数は1,387人であった。1年次の学生のうち37％が履修しており、多くの学生が履修した。
修得状況としては、2,479人の履修者のうち、2,001人が合格した。合格率（プログラム修得率）は80.7％であり、「データサイエンス・AI入門」科目運営委員会（以下、本委員会）において、履修・修得状況を点検した結果、プログラムの履修・修得状況は適正であると評価した。
</t>
    <rPh sb="0" eb="2">
      <t>レイワ</t>
    </rPh>
    <rPh sb="3" eb="5">
      <t>ネンド</t>
    </rPh>
    <rPh sb="11" eb="12">
      <t>ホン</t>
    </rPh>
    <rPh sb="35" eb="36">
      <t>ニン</t>
    </rPh>
    <rPh sb="37" eb="39">
      <t>リシュウ</t>
    </rPh>
    <rPh sb="49" eb="51">
      <t>リシュウ</t>
    </rPh>
    <rPh sb="51" eb="52">
      <t>シャ</t>
    </rPh>
    <rPh sb="52" eb="53">
      <t>スウ</t>
    </rPh>
    <rPh sb="59" eb="60">
      <t>ニン</t>
    </rPh>
    <rPh sb="66" eb="68">
      <t>ネンジ</t>
    </rPh>
    <rPh sb="69" eb="71">
      <t>ガクセイ</t>
    </rPh>
    <rPh sb="78" eb="80">
      <t>リシュウ</t>
    </rPh>
    <rPh sb="113" eb="115">
      <t>リシュウ</t>
    </rPh>
    <rPh sb="115" eb="116">
      <t>シャ</t>
    </rPh>
    <rPh sb="125" eb="126">
      <t>ニン</t>
    </rPh>
    <rPh sb="132" eb="135">
      <t>ゴウカクリツ</t>
    </rPh>
    <rPh sb="141" eb="143">
      <t>シュウトク</t>
    </rPh>
    <rPh sb="143" eb="144">
      <t>リツ</t>
    </rPh>
    <rPh sb="167" eb="169">
      <t>ニュウモン</t>
    </rPh>
    <rPh sb="170" eb="172">
      <t>カモク</t>
    </rPh>
    <rPh sb="172" eb="174">
      <t>ウンエイ</t>
    </rPh>
    <rPh sb="174" eb="177">
      <t>イインカイ</t>
    </rPh>
    <rPh sb="178" eb="180">
      <t>イカ</t>
    </rPh>
    <rPh sb="181" eb="182">
      <t>ホン</t>
    </rPh>
    <rPh sb="182" eb="185">
      <t>イインカイ</t>
    </rPh>
    <rPh sb="191" eb="193">
      <t>リシュウ</t>
    </rPh>
    <rPh sb="194" eb="196">
      <t>シュウトク</t>
    </rPh>
    <rPh sb="196" eb="198">
      <t>ジョウキョウ</t>
    </rPh>
    <rPh sb="199" eb="201">
      <t>テンケン</t>
    </rPh>
    <rPh sb="203" eb="205">
      <t>ケッカ</t>
    </rPh>
    <rPh sb="212" eb="214">
      <t>リシュウ</t>
    </rPh>
    <rPh sb="215" eb="217">
      <t>シュウトク</t>
    </rPh>
    <rPh sb="217" eb="219">
      <t>ジョウキョウ</t>
    </rPh>
    <rPh sb="220" eb="222">
      <t>テキセイ</t>
    </rPh>
    <rPh sb="226" eb="228">
      <t>ヒョウカ</t>
    </rPh>
    <phoneticPr fontId="1"/>
  </si>
  <si>
    <t xml:space="preserve">プログラムの終了時に受講生を対象に実施した授業アンケートを通じて、本プログラムの理解度を調査した。
学生からの意見として、「難易度は高かったが勉強になった」「普段学べない他学部の学習などを通じて自分自身の知識を深めることができた」「計算問題の難易度が高い」等の意見が挙がり、全体の72.0％が「よく理解できた・理解度できた」と回答しており、学生アンケート等を通じた内容の理解度は、概ね達成できたと評価できる。
学生からの要望としては、小テストの詳細な解説が欲しい等の要望も挙がったため、次年度も引き続き学生の声を聞きながら、理解度の向上を目指すべく授業改善を実施する。
</t>
    <rPh sb="6" eb="9">
      <t>シュウリョウジ</t>
    </rPh>
    <rPh sb="10" eb="13">
      <t>ジュコウセイ</t>
    </rPh>
    <rPh sb="14" eb="16">
      <t>タイショウ</t>
    </rPh>
    <rPh sb="17" eb="19">
      <t>ジッシ</t>
    </rPh>
    <rPh sb="21" eb="23">
      <t>ジュギョウ</t>
    </rPh>
    <rPh sb="29" eb="30">
      <t>ツウ</t>
    </rPh>
    <rPh sb="33" eb="34">
      <t>ホン</t>
    </rPh>
    <rPh sb="40" eb="43">
      <t>リカイド</t>
    </rPh>
    <rPh sb="44" eb="46">
      <t>チョウサ</t>
    </rPh>
    <rPh sb="50" eb="52">
      <t>ガクセイ</t>
    </rPh>
    <rPh sb="55" eb="57">
      <t>イケン</t>
    </rPh>
    <rPh sb="62" eb="65">
      <t>ナンイド</t>
    </rPh>
    <rPh sb="66" eb="67">
      <t>タカ</t>
    </rPh>
    <rPh sb="71" eb="73">
      <t>ベンキョウ</t>
    </rPh>
    <rPh sb="79" eb="81">
      <t>フダン</t>
    </rPh>
    <rPh sb="81" eb="82">
      <t>マナ</t>
    </rPh>
    <rPh sb="85" eb="88">
      <t>タガクブ</t>
    </rPh>
    <rPh sb="89" eb="91">
      <t>ガクシュウ</t>
    </rPh>
    <rPh sb="94" eb="95">
      <t>ツウ</t>
    </rPh>
    <rPh sb="97" eb="99">
      <t>ジブン</t>
    </rPh>
    <rPh sb="99" eb="101">
      <t>ジシン</t>
    </rPh>
    <rPh sb="102" eb="104">
      <t>チシキ</t>
    </rPh>
    <rPh sb="105" eb="106">
      <t>フカ</t>
    </rPh>
    <rPh sb="128" eb="129">
      <t>トウ</t>
    </rPh>
    <rPh sb="130" eb="132">
      <t>イケン</t>
    </rPh>
    <rPh sb="133" eb="134">
      <t>ア</t>
    </rPh>
    <rPh sb="137" eb="139">
      <t>ゼンタイ</t>
    </rPh>
    <rPh sb="149" eb="151">
      <t>リカイ</t>
    </rPh>
    <rPh sb="155" eb="158">
      <t>リカイド</t>
    </rPh>
    <rPh sb="163" eb="165">
      <t>カイトウ</t>
    </rPh>
    <rPh sb="170" eb="172">
      <t>ガクセイ</t>
    </rPh>
    <rPh sb="177" eb="178">
      <t>トウ</t>
    </rPh>
    <rPh sb="179" eb="180">
      <t>ツウ</t>
    </rPh>
    <rPh sb="182" eb="184">
      <t>ナイヨウ</t>
    </rPh>
    <rPh sb="185" eb="188">
      <t>リカイド</t>
    </rPh>
    <rPh sb="190" eb="191">
      <t>オオム</t>
    </rPh>
    <rPh sb="192" eb="194">
      <t>タッセイ</t>
    </rPh>
    <rPh sb="198" eb="200">
      <t>ヒョウカ</t>
    </rPh>
    <rPh sb="205" eb="207">
      <t>ガクセイ</t>
    </rPh>
    <rPh sb="210" eb="212">
      <t>ヨウボウ</t>
    </rPh>
    <rPh sb="217" eb="218">
      <t>ショウ</t>
    </rPh>
    <rPh sb="222" eb="224">
      <t>ショウサイ</t>
    </rPh>
    <rPh sb="225" eb="227">
      <t>カイセツ</t>
    </rPh>
    <rPh sb="228" eb="229">
      <t>ホ</t>
    </rPh>
    <rPh sb="231" eb="232">
      <t>トウ</t>
    </rPh>
    <rPh sb="233" eb="235">
      <t>ヨウボウ</t>
    </rPh>
    <rPh sb="236" eb="237">
      <t>ア</t>
    </rPh>
    <rPh sb="243" eb="246">
      <t>ジネンド</t>
    </rPh>
    <rPh sb="247" eb="248">
      <t>ヒ</t>
    </rPh>
    <rPh sb="249" eb="250">
      <t>ツヅ</t>
    </rPh>
    <rPh sb="251" eb="253">
      <t>ガクセイ</t>
    </rPh>
    <rPh sb="254" eb="255">
      <t>コエ</t>
    </rPh>
    <rPh sb="256" eb="257">
      <t>キ</t>
    </rPh>
    <rPh sb="262" eb="265">
      <t>リカイド</t>
    </rPh>
    <rPh sb="266" eb="268">
      <t>コウジョウ</t>
    </rPh>
    <rPh sb="269" eb="271">
      <t>メザ</t>
    </rPh>
    <rPh sb="274" eb="278">
      <t>ジュギョウカイゼン</t>
    </rPh>
    <rPh sb="279" eb="281">
      <t>ジッシ</t>
    </rPh>
    <phoneticPr fontId="1"/>
  </si>
  <si>
    <t>本教育プログラムについては、本学ウェブサイト上に「データサイエンス教育の充実」に関する特設サイトを制作し、データサイエンス教育の重要性と必要性を発信するとともに、全学年対象のオリエンテーション・ガイダンス資料において、「データサイエンス・AI入門」の履修を促進するチラシに基づき、全学生に履修を促進している。
また、履修登録期間中に開講される、第１回目の講義において、池上彰教授から、データサイエンス・AI教育の必要性を伝え、学生に履修を促進している。
今後も履修者数、履修率向上に向けて、これらを継続する予定である。</t>
    <rPh sb="0" eb="1">
      <t>ホン</t>
    </rPh>
    <rPh sb="1" eb="3">
      <t>キョウイク</t>
    </rPh>
    <rPh sb="64" eb="67">
      <t>ジュウヨウセイ</t>
    </rPh>
    <rPh sb="136" eb="137">
      <t>モト</t>
    </rPh>
    <rPh sb="230" eb="232">
      <t>リシュウ</t>
    </rPh>
    <rPh sb="232" eb="233">
      <t>シャ</t>
    </rPh>
    <rPh sb="233" eb="234">
      <t>スウ</t>
    </rPh>
    <rPh sb="235" eb="237">
      <t>リシュウ</t>
    </rPh>
    <rPh sb="237" eb="238">
      <t>リツ</t>
    </rPh>
    <rPh sb="238" eb="240">
      <t>コウジョウ</t>
    </rPh>
    <rPh sb="241" eb="242">
      <t>ム</t>
    </rPh>
    <rPh sb="253" eb="255">
      <t>ヨテイ</t>
    </rPh>
    <phoneticPr fontId="1"/>
  </si>
  <si>
    <t>令和４年度から本教育プログラムが開始されたため、現在、修了者の進路・活躍状況や企業等の評価は調査できていないが、名城大学では内部質保証の観点から、毎年、学生への卒業時アンケートや卒業後アンケートに加え企業アンケートを実施しているため、修了者の進路、活躍状況、企業等の評価については、本学の内部質保証の仕組みの中で、検証・評価していく予定である。</t>
    <rPh sb="0" eb="2">
      <t>レイワ</t>
    </rPh>
    <rPh sb="3" eb="5">
      <t>ネンド</t>
    </rPh>
    <rPh sb="7" eb="8">
      <t>ホン</t>
    </rPh>
    <rPh sb="16" eb="18">
      <t>カイシ</t>
    </rPh>
    <rPh sb="24" eb="26">
      <t>ゲンザイ</t>
    </rPh>
    <rPh sb="27" eb="30">
      <t>シュウリョウシャ</t>
    </rPh>
    <rPh sb="46" eb="48">
      <t>チョウサ</t>
    </rPh>
    <rPh sb="56" eb="58">
      <t>メイジョウ</t>
    </rPh>
    <rPh sb="58" eb="60">
      <t>ダイガク</t>
    </rPh>
    <rPh sb="62" eb="64">
      <t>ナイブ</t>
    </rPh>
    <rPh sb="64" eb="65">
      <t>シツ</t>
    </rPh>
    <rPh sb="65" eb="67">
      <t>ホショウ</t>
    </rPh>
    <rPh sb="68" eb="70">
      <t>カンテン</t>
    </rPh>
    <rPh sb="73" eb="75">
      <t>マイトシ</t>
    </rPh>
    <rPh sb="76" eb="78">
      <t>ガクセイ</t>
    </rPh>
    <rPh sb="98" eb="99">
      <t>クワ</t>
    </rPh>
    <rPh sb="100" eb="102">
      <t>キギョウ</t>
    </rPh>
    <rPh sb="108" eb="110">
      <t>ジッシ</t>
    </rPh>
    <rPh sb="141" eb="143">
      <t>ホンガク</t>
    </rPh>
    <rPh sb="144" eb="146">
      <t>ナイブ</t>
    </rPh>
    <rPh sb="146" eb="147">
      <t>シツ</t>
    </rPh>
    <rPh sb="147" eb="149">
      <t>ホショウ</t>
    </rPh>
    <rPh sb="150" eb="152">
      <t>シク</t>
    </rPh>
    <rPh sb="154" eb="155">
      <t>ナカ</t>
    </rPh>
    <rPh sb="160" eb="162">
      <t>ヒョウカ</t>
    </rPh>
    <rPh sb="166" eb="168">
      <t>ヨテイ</t>
    </rPh>
    <phoneticPr fontId="1"/>
  </si>
  <si>
    <t>令和４年度においては、2社の企業（人事担当者含む）による外部評価を実施した。産業界の視点による本教育プログラムの内容および講義手法等への意見聴取を行った。
企業からは、「全般的に高い評価に値する授業である」「全学部の学生を対象に、全学部の教員が授業を担当することは、学生にとってプラスである」「データ分析などを通じて、ロジカルに考える習慣がつくことが就職してからも必要で、そうしたことを意識して今後の授業を進めてほしい」「 実際の課題をデータに基づいて分析した経験を、面接でアピールできるとよい」等の意見をいただいた。この意見聴取結果は委員会で共有しており、今後の授業改善に役立てていく予定である。</t>
    <rPh sb="12" eb="13">
      <t>シャ</t>
    </rPh>
    <rPh sb="14" eb="16">
      <t>キギョウ</t>
    </rPh>
    <rPh sb="17" eb="19">
      <t>ジンジ</t>
    </rPh>
    <rPh sb="19" eb="22">
      <t>タントウシャ</t>
    </rPh>
    <rPh sb="22" eb="23">
      <t>フク</t>
    </rPh>
    <rPh sb="28" eb="32">
      <t>ガイブヒョウカ</t>
    </rPh>
    <rPh sb="33" eb="35">
      <t>ジッシ</t>
    </rPh>
    <rPh sb="47" eb="48">
      <t>ホン</t>
    </rPh>
    <rPh sb="61" eb="63">
      <t>コウギ</t>
    </rPh>
    <rPh sb="73" eb="74">
      <t>オコナ</t>
    </rPh>
    <rPh sb="78" eb="80">
      <t>キギョウ</t>
    </rPh>
    <rPh sb="248" eb="249">
      <t>トウ</t>
    </rPh>
    <rPh sb="261" eb="263">
      <t>イケン</t>
    </rPh>
    <rPh sb="263" eb="265">
      <t>チョウシュ</t>
    </rPh>
    <rPh sb="265" eb="267">
      <t>ケッカ</t>
    </rPh>
    <rPh sb="268" eb="271">
      <t>イインカイ</t>
    </rPh>
    <rPh sb="272" eb="274">
      <t>キョウユウ</t>
    </rPh>
    <rPh sb="279" eb="281">
      <t>コンゴ</t>
    </rPh>
    <rPh sb="282" eb="286">
      <t>ジュギョウカイゼン</t>
    </rPh>
    <rPh sb="287" eb="289">
      <t>ヤクダ</t>
    </rPh>
    <rPh sb="293" eb="295">
      <t>ヨテイ</t>
    </rPh>
    <phoneticPr fontId="1"/>
  </si>
  <si>
    <t xml:space="preserve">授業時間内の学習指導としては、毎回の授業の最後に、理解度を図る小テストを実施している。この小テストは、3回まで取り組むことができるようになっており、授業で得た知識等が確実に定着するように工夫している。また、毎回の授業において、単元ごとに自習課題を設けて、授業内外での自学自習を促進するように工夫している。
小テストの解答は、翌週に開示するとともに，解説を行うことで学習指導を行っている。
学生からの授業内容に関する質問については、各回の授業担当者に、LMSを通じてメッセージ機能を使って質問が届き、それに対して、授業担当者から質問に対する回答および詳細説明がメッセージ機能にて学生に送られる仕組みとなっている。
さらに、定型的・基礎的な質問や意見については、FAQとして、LMSを通じて受講者全員にフィードバックしている。
</t>
    <rPh sb="0" eb="2">
      <t>ジュギョウ</t>
    </rPh>
    <rPh sb="2" eb="4">
      <t>ジカン</t>
    </rPh>
    <rPh sb="4" eb="5">
      <t>ナイ</t>
    </rPh>
    <rPh sb="6" eb="8">
      <t>ガクシュウ</t>
    </rPh>
    <rPh sb="8" eb="10">
      <t>シドウ</t>
    </rPh>
    <rPh sb="15" eb="17">
      <t>マイカイ</t>
    </rPh>
    <rPh sb="18" eb="20">
      <t>ジュギョウ</t>
    </rPh>
    <rPh sb="21" eb="23">
      <t>サイゴ</t>
    </rPh>
    <rPh sb="25" eb="28">
      <t>リカイド</t>
    </rPh>
    <rPh sb="29" eb="30">
      <t>ハカ</t>
    </rPh>
    <rPh sb="36" eb="38">
      <t>ジッシ</t>
    </rPh>
    <rPh sb="45" eb="46">
      <t>ショウ</t>
    </rPh>
    <rPh sb="52" eb="53">
      <t>カイ</t>
    </rPh>
    <rPh sb="55" eb="56">
      <t>ト</t>
    </rPh>
    <rPh sb="57" eb="58">
      <t>ク</t>
    </rPh>
    <rPh sb="103" eb="105">
      <t>マイカイ</t>
    </rPh>
    <rPh sb="106" eb="108">
      <t>ジュギョウ</t>
    </rPh>
    <rPh sb="113" eb="115">
      <t>タンゲン</t>
    </rPh>
    <rPh sb="118" eb="122">
      <t>ジシュウカダイ</t>
    </rPh>
    <rPh sb="123" eb="124">
      <t>モウ</t>
    </rPh>
    <rPh sb="133" eb="137">
      <t>ジガクジシュウ</t>
    </rPh>
    <rPh sb="138" eb="140">
      <t>ソクシン</t>
    </rPh>
    <rPh sb="145" eb="147">
      <t>クフウ</t>
    </rPh>
    <rPh sb="153" eb="154">
      <t>ショウ</t>
    </rPh>
    <rPh sb="158" eb="160">
      <t>カイトウ</t>
    </rPh>
    <rPh sb="162" eb="164">
      <t>ヨクシュウ</t>
    </rPh>
    <rPh sb="165" eb="167">
      <t>カイジ</t>
    </rPh>
    <rPh sb="174" eb="176">
      <t>カイセツ</t>
    </rPh>
    <rPh sb="177" eb="178">
      <t>オコナ</t>
    </rPh>
    <rPh sb="182" eb="184">
      <t>ガクシュウ</t>
    </rPh>
    <rPh sb="184" eb="186">
      <t>シドウ</t>
    </rPh>
    <rPh sb="187" eb="188">
      <t>オコナ</t>
    </rPh>
    <rPh sb="194" eb="196">
      <t>ガクセイ</t>
    </rPh>
    <rPh sb="199" eb="201">
      <t>ジュギョウ</t>
    </rPh>
    <rPh sb="201" eb="203">
      <t>ナイヨウ</t>
    </rPh>
    <rPh sb="204" eb="205">
      <t>カン</t>
    </rPh>
    <rPh sb="237" eb="239">
      <t>キノウ</t>
    </rPh>
    <rPh sb="240" eb="241">
      <t>ツカ</t>
    </rPh>
    <rPh sb="243" eb="245">
      <t>シツモン</t>
    </rPh>
    <rPh sb="246" eb="247">
      <t>トド</t>
    </rPh>
    <rPh sb="252" eb="253">
      <t>タイ</t>
    </rPh>
    <rPh sb="256" eb="258">
      <t>ジュギョウ</t>
    </rPh>
    <rPh sb="258" eb="261">
      <t>タントウシャ</t>
    </rPh>
    <rPh sb="263" eb="265">
      <t>シツモン</t>
    </rPh>
    <rPh sb="266" eb="267">
      <t>タイ</t>
    </rPh>
    <rPh sb="269" eb="271">
      <t>カイトウ</t>
    </rPh>
    <rPh sb="274" eb="276">
      <t>ショウサイ</t>
    </rPh>
    <rPh sb="276" eb="278">
      <t>セツメイ</t>
    </rPh>
    <rPh sb="284" eb="286">
      <t>キノウ</t>
    </rPh>
    <rPh sb="288" eb="290">
      <t>ガクセイ</t>
    </rPh>
    <rPh sb="291" eb="292">
      <t>オク</t>
    </rPh>
    <rPh sb="295" eb="297">
      <t>シク</t>
    </rPh>
    <rPh sb="343" eb="346">
      <t>ジュコウシャ</t>
    </rPh>
    <rPh sb="346" eb="348">
      <t>ゼンイン</t>
    </rPh>
    <phoneticPr fontId="1"/>
  </si>
  <si>
    <t>「データサイエンス・AI入門」（1・2・3・5・15回目）
・AI等を活用した新しいビジネスモデル（商品のレコメンデーション）
・AI 最新技術の活用例</t>
    <rPh sb="33" eb="34">
      <t>トウ</t>
    </rPh>
    <rPh sb="35" eb="37">
      <t>カツヨウ</t>
    </rPh>
    <rPh sb="39" eb="40">
      <t>アタラ</t>
    </rPh>
    <rPh sb="50" eb="52">
      <t>ショウヒン</t>
    </rPh>
    <rPh sb="68" eb="70">
      <t>サイシン</t>
    </rPh>
    <rPh sb="70" eb="72">
      <t>ギジュツ</t>
    </rPh>
    <rPh sb="73" eb="75">
      <t>カツヨウ</t>
    </rPh>
    <rPh sb="75" eb="76">
      <t>レイ</t>
    </rPh>
    <phoneticPr fontId="1"/>
  </si>
  <si>
    <t>「データサイエンス・AI入門」（1・2・3・4・5・6・7回目） 
・データ解析：予測、グルーピング、パターン発見、最適化、シミュレーション・データ同化
・データ可視化：複合グラフ、２軸グラフ、関係性の可視化、リアルタイム可視化
・非構造化データ処理：言語処理、画像処理、音声処理
・特化型AIと汎用AI、今のAIで出来ることと出来ないこと、AIとビッグデータ
・認識技術、ルールベース、自動化技術</t>
    <rPh sb="12" eb="14">
      <t>ニュウモン</t>
    </rPh>
    <rPh sb="29" eb="31">
      <t>カイメ</t>
    </rPh>
    <rPh sb="38" eb="40">
      <t>カイセキ</t>
    </rPh>
    <rPh sb="41" eb="43">
      <t>ヨソク</t>
    </rPh>
    <rPh sb="55" eb="57">
      <t>ハッケン</t>
    </rPh>
    <rPh sb="58" eb="61">
      <t>サイテキカ</t>
    </rPh>
    <rPh sb="74" eb="76">
      <t>ドウカ</t>
    </rPh>
    <rPh sb="81" eb="84">
      <t>カシカ</t>
    </rPh>
    <rPh sb="85" eb="87">
      <t>フクゴウ</t>
    </rPh>
    <rPh sb="92" eb="93">
      <t>ジク</t>
    </rPh>
    <rPh sb="97" eb="100">
      <t>カンケイセイ</t>
    </rPh>
    <rPh sb="101" eb="104">
      <t>カシカ</t>
    </rPh>
    <rPh sb="111" eb="114">
      <t>カシカ</t>
    </rPh>
    <rPh sb="116" eb="117">
      <t>ヒ</t>
    </rPh>
    <rPh sb="117" eb="120">
      <t>コウゾウカ</t>
    </rPh>
    <rPh sb="123" eb="125">
      <t>ショリ</t>
    </rPh>
    <rPh sb="126" eb="128">
      <t>ゲンゴ</t>
    </rPh>
    <rPh sb="128" eb="130">
      <t>ショリ</t>
    </rPh>
    <rPh sb="131" eb="133">
      <t>ガゾウ</t>
    </rPh>
    <rPh sb="133" eb="135">
      <t>ショリ</t>
    </rPh>
    <rPh sb="136" eb="138">
      <t>オンセイ</t>
    </rPh>
    <rPh sb="138" eb="140">
      <t>ショリ</t>
    </rPh>
    <rPh sb="142" eb="145">
      <t>トッカガタ</t>
    </rPh>
    <rPh sb="148" eb="150">
      <t>ハンヨウ</t>
    </rPh>
    <rPh sb="153" eb="154">
      <t>イマ</t>
    </rPh>
    <rPh sb="158" eb="160">
      <t>デキ</t>
    </rPh>
    <rPh sb="164" eb="166">
      <t>デキ</t>
    </rPh>
    <rPh sb="182" eb="184">
      <t>ニンシキ</t>
    </rPh>
    <rPh sb="184" eb="186">
      <t>ギジュツ</t>
    </rPh>
    <rPh sb="194" eb="197">
      <t>ジドウカ</t>
    </rPh>
    <rPh sb="197" eb="199">
      <t>ギジュツ</t>
    </rPh>
    <phoneticPr fontId="1"/>
  </si>
  <si>
    <t>「データサイエンス・AI入門」（2・3・4・5・6回目）
・データ・AI活用領域の広がり
・研究開発、販売、マーケティング、サービス
・仮説検証、知識発見、原因究明、判断支援</t>
    <rPh sb="36" eb="38">
      <t>カツヨウ</t>
    </rPh>
    <rPh sb="38" eb="40">
      <t>リョウイキ</t>
    </rPh>
    <rPh sb="41" eb="42">
      <t>ヒロ</t>
    </rPh>
    <rPh sb="46" eb="48">
      <t>ケンキュウ</t>
    </rPh>
    <rPh sb="48" eb="50">
      <t>カイハツ</t>
    </rPh>
    <rPh sb="51" eb="53">
      <t>ハンバイ</t>
    </rPh>
    <rPh sb="68" eb="70">
      <t>カセツ</t>
    </rPh>
    <rPh sb="70" eb="72">
      <t>ケンショウ</t>
    </rPh>
    <rPh sb="73" eb="75">
      <t>チシキ</t>
    </rPh>
    <rPh sb="75" eb="77">
      <t>ハッケン</t>
    </rPh>
    <rPh sb="78" eb="80">
      <t>ゲンイン</t>
    </rPh>
    <rPh sb="80" eb="82">
      <t>キュウメイ</t>
    </rPh>
    <rPh sb="83" eb="85">
      <t>ハンダン</t>
    </rPh>
    <rPh sb="85" eb="87">
      <t>シエン</t>
    </rPh>
    <phoneticPr fontId="1"/>
  </si>
  <si>
    <t xml:space="preserve">「データサイエンス・AI入門」（7・8・9・10・11・12回目）
・データの種類（量的変数、質的変数）
・データの分布（ヒストグラム）と代表値（平均値、中央値、最頻値）
・代表値の性質の違い
・データのばらつき（分散、標準偏差）
・層別の必要なデータ
・相関と因果（相関係数、疑似相関）
・母集団と標本抽出
・クロス集計表、分割表
・統計情報の正しい理解
</t>
    <rPh sb="39" eb="41">
      <t>シュルイ</t>
    </rPh>
    <rPh sb="42" eb="44">
      <t>リョウテキ</t>
    </rPh>
    <rPh sb="44" eb="46">
      <t>ヘンスウ</t>
    </rPh>
    <rPh sb="47" eb="49">
      <t>シツテキ</t>
    </rPh>
    <rPh sb="49" eb="51">
      <t>ヘンスウ</t>
    </rPh>
    <rPh sb="58" eb="60">
      <t>ブンプ</t>
    </rPh>
    <rPh sb="69" eb="71">
      <t>ダイヒョウ</t>
    </rPh>
    <rPh sb="71" eb="72">
      <t>チ</t>
    </rPh>
    <rPh sb="73" eb="76">
      <t>ヘイキンチ</t>
    </rPh>
    <rPh sb="77" eb="79">
      <t>チュウオウ</t>
    </rPh>
    <rPh sb="79" eb="80">
      <t>チ</t>
    </rPh>
    <rPh sb="81" eb="84">
      <t>サイヒンチ</t>
    </rPh>
    <rPh sb="87" eb="89">
      <t>ダイヒョウ</t>
    </rPh>
    <rPh sb="89" eb="90">
      <t>チ</t>
    </rPh>
    <rPh sb="91" eb="93">
      <t>セイシツ</t>
    </rPh>
    <rPh sb="94" eb="95">
      <t>チガ</t>
    </rPh>
    <rPh sb="107" eb="109">
      <t>ブンサン</t>
    </rPh>
    <rPh sb="110" eb="112">
      <t>ヒョウジュン</t>
    </rPh>
    <rPh sb="112" eb="114">
      <t>ヘンサ</t>
    </rPh>
    <rPh sb="117" eb="119">
      <t>ソウベツ</t>
    </rPh>
    <rPh sb="120" eb="122">
      <t>ヒツヨウ</t>
    </rPh>
    <rPh sb="128" eb="130">
      <t>ソウカン</t>
    </rPh>
    <rPh sb="131" eb="133">
      <t>インガ</t>
    </rPh>
    <rPh sb="134" eb="136">
      <t>ソウカン</t>
    </rPh>
    <rPh sb="136" eb="138">
      <t>ケイスウ</t>
    </rPh>
    <rPh sb="139" eb="141">
      <t>ギジ</t>
    </rPh>
    <rPh sb="141" eb="143">
      <t>ソウカン</t>
    </rPh>
    <phoneticPr fontId="1"/>
  </si>
  <si>
    <t>本プログラム科目である「データサイエンス・AI入門」は、3キャンパスの学生が教室規模に関わらず、多くの学生が受講できるよう、LMSを活用したフルオンデマンド授業で実施している。本科目は、受講人数制限を設けず、履修希望者全員が履修できるようにしているため、令和4年度は履修者数が2,479人となった。また本科目は全10学部の教員が担当しており、学部ごとのサポートも可能な体制をとっている。
授業はフルオンデマンドで行われているが、LMSに授業用掲示板を設け、履修から授業の内容まで、幅広い質問や意見交換の場として活用され、興味を持つ履修対象者のサポートを行い、履修や修得につながる体制を整備している。</t>
    <rPh sb="38" eb="40">
      <t>キョウシツ</t>
    </rPh>
    <rPh sb="40" eb="42">
      <t>キボ</t>
    </rPh>
    <rPh sb="43" eb="44">
      <t>カカ</t>
    </rPh>
    <rPh sb="48" eb="49">
      <t>オオ</t>
    </rPh>
    <rPh sb="51" eb="53">
      <t>ガクセイ</t>
    </rPh>
    <rPh sb="54" eb="56">
      <t>ジュコウ</t>
    </rPh>
    <rPh sb="88" eb="89">
      <t>ホン</t>
    </rPh>
    <rPh sb="89" eb="91">
      <t>カモク</t>
    </rPh>
    <rPh sb="127" eb="129">
      <t>レイワ</t>
    </rPh>
    <rPh sb="130" eb="132">
      <t>ネンド</t>
    </rPh>
    <rPh sb="133" eb="135">
      <t>リシュウ</t>
    </rPh>
    <rPh sb="135" eb="136">
      <t>シャ</t>
    </rPh>
    <rPh sb="136" eb="137">
      <t>スウ</t>
    </rPh>
    <rPh sb="143" eb="144">
      <t>ニン</t>
    </rPh>
    <rPh sb="151" eb="152">
      <t>ホン</t>
    </rPh>
    <rPh sb="152" eb="154">
      <t>カモク</t>
    </rPh>
    <rPh sb="155" eb="156">
      <t>ゼン</t>
    </rPh>
    <rPh sb="158" eb="160">
      <t>ガクブ</t>
    </rPh>
    <rPh sb="161" eb="163">
      <t>キョウイン</t>
    </rPh>
    <rPh sb="164" eb="166">
      <t>タントウ</t>
    </rPh>
    <rPh sb="171" eb="173">
      <t>ガクブ</t>
    </rPh>
    <rPh sb="181" eb="183">
      <t>カノウ</t>
    </rPh>
    <rPh sb="184" eb="186">
      <t>タイセイ</t>
    </rPh>
    <rPh sb="194" eb="196">
      <t>ジュギョウ</t>
    </rPh>
    <rPh sb="218" eb="221">
      <t>ジュギョウヨウ</t>
    </rPh>
    <rPh sb="246" eb="248">
      <t>イケン</t>
    </rPh>
    <rPh sb="248" eb="250">
      <t>コウカン</t>
    </rPh>
    <rPh sb="251" eb="252">
      <t>バ</t>
    </rPh>
    <rPh sb="255" eb="257">
      <t>カツヨウ</t>
    </rPh>
    <phoneticPr fontId="1"/>
  </si>
  <si>
    <t>本学ウェブサイト上に「データサイエンス教育の充実」に関する特設サイトを制作し、データサイエンス教育の重要性や必要性を発信するとともに、年度初めに実施する全学年対象のオリエンテーション・ガイダンスにおいて、「データサイエンス・AI入門」の履修を促進するチラシに基づき、全学生に周知すると共に履修を促進している。
また、履修登録期間中に開講される、第１回目の講義において、池上彰教授から、データサイエンス・AI教育の重要性と必要性を伝え、学生に履修を促進している。
その他、旧カリキュラムの学生から科目聴講の希望があった場合、講義動画の視聴及び演習問題の取り組みを可能とし、自学自習ができるよう、プログラム履修者以外にも学習の機会を提供している。</t>
    <rPh sb="206" eb="209">
      <t>ジュウヨウセイ</t>
    </rPh>
    <rPh sb="233" eb="234">
      <t>ホカ</t>
    </rPh>
    <rPh sb="247" eb="249">
      <t>カモク</t>
    </rPh>
    <rPh sb="249" eb="251">
      <t>チョウコウ</t>
    </rPh>
    <rPh sb="252" eb="254">
      <t>キボウ</t>
    </rPh>
    <rPh sb="258" eb="260">
      <t>バアイ</t>
    </rPh>
    <rPh sb="261" eb="263">
      <t>コウギ</t>
    </rPh>
    <rPh sb="263" eb="265">
      <t>ドウガ</t>
    </rPh>
    <rPh sb="266" eb="268">
      <t>シチョウ</t>
    </rPh>
    <rPh sb="268" eb="269">
      <t>オヨ</t>
    </rPh>
    <rPh sb="270" eb="272">
      <t>エンシュウ</t>
    </rPh>
    <rPh sb="272" eb="274">
      <t>モンダイ</t>
    </rPh>
    <rPh sb="275" eb="276">
      <t>ト</t>
    </rPh>
    <rPh sb="277" eb="278">
      <t>ク</t>
    </rPh>
    <rPh sb="280" eb="282">
      <t>カノウ</t>
    </rPh>
    <rPh sb="285" eb="287">
      <t>ジガク</t>
    </rPh>
    <rPh sb="287" eb="289">
      <t>ジシュウ</t>
    </rPh>
    <phoneticPr fontId="1"/>
  </si>
  <si>
    <t xml:space="preserve">「データサイエンス・ＡＩ入門」科目の適切かつ円滑な運営を目的とし「データサイエンス・AI入門」科目運営委員会を設置した。
科目運営委員会の構成員は、当大学の「大学教育開発センター長」・「学務センター長」・「キャリアセンター長」などを兼ねており、他部署との連携も行いやすい。また、「データサイエンス・AI入門」科目運営委員会要項として以下の条項などを定め、実施、運営について対面・オンライン会議実施、体制を整えている。
第１条　名城大学における「データサイエンス・ＡＩ入門」科目（以下「本科目」という。）の円滑な運営や教育プログラムの改善、進化を図るため、「データサイエンス・ＡＩ入門」科目運営委員会（以下「運営委員会」という。）を置く。
第２条　運営委員会は、次の委員をもって構成する。
　(１)　副学長のうちから１名
　(２)　本科目を担当する専任教育職員のうちから数名
　(３)　学務センター長のうちから１名
　(４)　大学教育開発センター長
　(５)　その他、学長が指名する者
第３条　運営委員会は、次の事項を審議する。
　(１)　教育コンテンツに関する事項
　(２)　担当教育職員に関する事項
　(３)　本科目の自己点検・評価に関する事項
　(４)　その他、本科目運営に関する事項
</t>
    <rPh sb="151" eb="153">
      <t>ニュウモン</t>
    </rPh>
    <rPh sb="154" eb="156">
      <t>カモク</t>
    </rPh>
    <phoneticPr fontId="1"/>
  </si>
  <si>
    <t>既存9学部の教育課程に「データサイエンス・AI入門」を設置するとともに、令和4年度に新設された情報工学部は、理工学部開講科目を受講する仕組みを整備し、全学部において共通科目として開講している。
「「データサイエンス・AI入門」科目運営委員会」を設置し、運営体制を整えた。そして、全学的な教育コンテンツを作成し、文系・理系問わず、全学生が受講できるような授業内容にてオンデマンド教材を整備した。
本科目は、全学部で同一内容かつ同一開講のため、3キャンパスの全学生が移動を伴わず受講できるよう、LMSを活用したフルオンデマンド授業で実施し、受講人数制限を設けず、履修希望者全員が履修できるようにしている。
学生の受講状況については、電子掲示板やメッセージによる双方向のやり取りや、LMSへのログイン時間で把握するとともに、毎回の小テスト（確認テスト）によって、出席状況や理解度の定着を確認している。</t>
    <rPh sb="0" eb="2">
      <t>キゾン</t>
    </rPh>
    <rPh sb="3" eb="5">
      <t>ガクブ</t>
    </rPh>
    <rPh sb="6" eb="8">
      <t>キョウイク</t>
    </rPh>
    <rPh sb="8" eb="10">
      <t>カテイ</t>
    </rPh>
    <rPh sb="23" eb="25">
      <t>ニュウモン</t>
    </rPh>
    <rPh sb="27" eb="29">
      <t>セッチ</t>
    </rPh>
    <rPh sb="36" eb="38">
      <t>レイワ</t>
    </rPh>
    <rPh sb="39" eb="41">
      <t>ネンド</t>
    </rPh>
    <rPh sb="42" eb="44">
      <t>シンセツ</t>
    </rPh>
    <rPh sb="47" eb="49">
      <t>ジョウホウ</t>
    </rPh>
    <rPh sb="49" eb="52">
      <t>コウガクブ</t>
    </rPh>
    <rPh sb="54" eb="56">
      <t>リコウ</t>
    </rPh>
    <rPh sb="56" eb="58">
      <t>ガクブ</t>
    </rPh>
    <rPh sb="58" eb="60">
      <t>カイコウ</t>
    </rPh>
    <rPh sb="60" eb="62">
      <t>カモク</t>
    </rPh>
    <rPh sb="63" eb="65">
      <t>ジュコウ</t>
    </rPh>
    <rPh sb="67" eb="69">
      <t>シク</t>
    </rPh>
    <rPh sb="71" eb="73">
      <t>セイビ</t>
    </rPh>
    <rPh sb="110" eb="112">
      <t>ニュウモン</t>
    </rPh>
    <rPh sb="113" eb="115">
      <t>カモク</t>
    </rPh>
    <rPh sb="115" eb="117">
      <t>ウンエイ</t>
    </rPh>
    <rPh sb="126" eb="128">
      <t>ウンエイ</t>
    </rPh>
    <rPh sb="128" eb="130">
      <t>タイセイ</t>
    </rPh>
    <rPh sb="131" eb="132">
      <t>トトノ</t>
    </rPh>
    <rPh sb="155" eb="157">
      <t>ブンケイ</t>
    </rPh>
    <rPh sb="158" eb="160">
      <t>リケイ</t>
    </rPh>
    <rPh sb="160" eb="161">
      <t>ト</t>
    </rPh>
    <rPh sb="176" eb="178">
      <t>ジュギョウ</t>
    </rPh>
    <rPh sb="178" eb="180">
      <t>ナイヨウ</t>
    </rPh>
    <rPh sb="261" eb="263">
      <t>ジュギョウ</t>
    </rPh>
    <rPh sb="264" eb="266">
      <t>ジッシ</t>
    </rPh>
    <rPh sb="268" eb="270">
      <t>ジュコウ</t>
    </rPh>
    <rPh sb="279" eb="281">
      <t>リシュウ</t>
    </rPh>
    <rPh sb="301" eb="303">
      <t>ガクセイ</t>
    </rPh>
    <rPh sb="304" eb="306">
      <t>ジュコウ</t>
    </rPh>
    <rPh sb="306" eb="308">
      <t>ジョウキョウ</t>
    </rPh>
    <rPh sb="314" eb="319">
      <t>デンシケイジバン</t>
    </rPh>
    <rPh sb="328" eb="331">
      <t>ソウホウコウ</t>
    </rPh>
    <rPh sb="334" eb="335">
      <t>ト</t>
    </rPh>
    <rPh sb="347" eb="349">
      <t>ジカン</t>
    </rPh>
    <rPh sb="350" eb="352">
      <t>ハアク</t>
    </rPh>
    <rPh sb="367" eb="369">
      <t>カクニン</t>
    </rPh>
    <rPh sb="378" eb="380">
      <t>シュッセキ</t>
    </rPh>
    <rPh sb="380" eb="382">
      <t>ジョウキョウ</t>
    </rPh>
    <rPh sb="383" eb="386">
      <t>リカイド</t>
    </rPh>
    <phoneticPr fontId="1"/>
  </si>
  <si>
    <t>第1回目講義では、数理・データサイエンス・ＡＩの「学ぶ楽しさ」「学ぶことの意義」に関する講義を行い、学生に理解させている。第2回目講義では、社会で起きている変化、データサイエンスやAI について「学ぶことの意義」を説明し、学生に理解させている。第3回から6回目の講義では、10学部の学問分野と紐づけて自学部の専門分野に結び付くよう、様々な分野における活用事例を紹介しながら、自身の専門分野以外の事例にも触れ、学生に「学ぶ楽しさ」や「学ぶことの意義」を理解させている。
アンケート結果から、数理・データサイエンス・AI の「学ぶ楽しさ」「学ぶことの意義」を理解させていると確認できている。</t>
    <rPh sb="50" eb="52">
      <t>ガクセイ</t>
    </rPh>
    <rPh sb="53" eb="55">
      <t>リカイ</t>
    </rPh>
    <rPh sb="61" eb="62">
      <t>ダイ</t>
    </rPh>
    <rPh sb="63" eb="65">
      <t>カイメ</t>
    </rPh>
    <rPh sb="65" eb="67">
      <t>コウギ</t>
    </rPh>
    <rPh sb="70" eb="72">
      <t>シャカイ</t>
    </rPh>
    <rPh sb="73" eb="74">
      <t>オ</t>
    </rPh>
    <rPh sb="78" eb="80">
      <t>ヘンカ</t>
    </rPh>
    <rPh sb="98" eb="99">
      <t>マナ</t>
    </rPh>
    <rPh sb="103" eb="105">
      <t>イギ</t>
    </rPh>
    <rPh sb="107" eb="109">
      <t>セツメイ</t>
    </rPh>
    <rPh sb="111" eb="113">
      <t>ガクセイ</t>
    </rPh>
    <rPh sb="114" eb="116">
      <t>リカイ</t>
    </rPh>
    <rPh sb="122" eb="123">
      <t>ダイ</t>
    </rPh>
    <rPh sb="124" eb="125">
      <t>カイ</t>
    </rPh>
    <rPh sb="128" eb="129">
      <t>カイ</t>
    </rPh>
    <rPh sb="129" eb="130">
      <t>メ</t>
    </rPh>
    <rPh sb="131" eb="133">
      <t>コウギ</t>
    </rPh>
    <rPh sb="138" eb="140">
      <t>ガクブ</t>
    </rPh>
    <rPh sb="141" eb="143">
      <t>ガクモン</t>
    </rPh>
    <rPh sb="143" eb="145">
      <t>ブンヤ</t>
    </rPh>
    <rPh sb="146" eb="147">
      <t>ヒモ</t>
    </rPh>
    <rPh sb="150" eb="151">
      <t>ジ</t>
    </rPh>
    <rPh sb="151" eb="153">
      <t>ガクブ</t>
    </rPh>
    <rPh sb="154" eb="156">
      <t>センモン</t>
    </rPh>
    <rPh sb="156" eb="158">
      <t>ブンヤ</t>
    </rPh>
    <rPh sb="159" eb="160">
      <t>ムス</t>
    </rPh>
    <rPh sb="161" eb="162">
      <t>ツ</t>
    </rPh>
    <rPh sb="166" eb="168">
      <t>サマザマ</t>
    </rPh>
    <rPh sb="169" eb="171">
      <t>ブンヤ</t>
    </rPh>
    <rPh sb="175" eb="177">
      <t>カツヨウ</t>
    </rPh>
    <rPh sb="177" eb="179">
      <t>ジレイ</t>
    </rPh>
    <rPh sb="180" eb="182">
      <t>ショウカイ</t>
    </rPh>
    <rPh sb="187" eb="189">
      <t>ジシン</t>
    </rPh>
    <rPh sb="190" eb="192">
      <t>センモン</t>
    </rPh>
    <rPh sb="192" eb="194">
      <t>ブンヤ</t>
    </rPh>
    <rPh sb="194" eb="196">
      <t>イガイ</t>
    </rPh>
    <rPh sb="197" eb="199">
      <t>ジレイ</t>
    </rPh>
    <rPh sb="201" eb="202">
      <t>フ</t>
    </rPh>
    <rPh sb="204" eb="206">
      <t>ガクセイ</t>
    </rPh>
    <rPh sb="208" eb="209">
      <t>マナ</t>
    </rPh>
    <rPh sb="210" eb="211">
      <t>タノ</t>
    </rPh>
    <rPh sb="216" eb="217">
      <t>マナ</t>
    </rPh>
    <rPh sb="221" eb="223">
      <t>イギ</t>
    </rPh>
    <rPh sb="225" eb="227">
      <t>リカイ</t>
    </rPh>
    <rPh sb="239" eb="241">
      <t>ケッカ</t>
    </rPh>
    <rPh sb="244" eb="246">
      <t>スウリ</t>
    </rPh>
    <rPh sb="285" eb="287">
      <t>カクニン</t>
    </rPh>
    <phoneticPr fontId="1"/>
  </si>
  <si>
    <t>プログラムの終了時に受講生を対象に実施した授業アンケートを通じて、本プログラムの他の学生への推奨度を調査した。
学生からの意見として、「各学部の先生の授業は面白かったので続けてほしい」「データサイエンスという分野を初めて学び、興味深い内容ばかりだった」等の意見が挙がり、受講生の79.6％が、本プログラムを他の学生へ「強く奨める・奨める」と回答していることから、多くの学生が、他の学生や後輩学生に本科目を推奨したいと考えていることが確認できた。</t>
    <rPh sb="10" eb="13">
      <t>ジュコウセイ</t>
    </rPh>
    <rPh sb="14" eb="16">
      <t>タイショウ</t>
    </rPh>
    <rPh sb="40" eb="41">
      <t>タ</t>
    </rPh>
    <rPh sb="42" eb="44">
      <t>ガクセイ</t>
    </rPh>
    <rPh sb="46" eb="48">
      <t>スイショウ</t>
    </rPh>
    <rPh sb="48" eb="49">
      <t>ド</t>
    </rPh>
    <rPh sb="56" eb="58">
      <t>ガクセイ</t>
    </rPh>
    <rPh sb="61" eb="63">
      <t>イケン</t>
    </rPh>
    <rPh sb="68" eb="71">
      <t>カクガクブ</t>
    </rPh>
    <rPh sb="72" eb="74">
      <t>センセイ</t>
    </rPh>
    <rPh sb="75" eb="77">
      <t>ジュギョウ</t>
    </rPh>
    <rPh sb="78" eb="80">
      <t>オモシロ</t>
    </rPh>
    <rPh sb="85" eb="86">
      <t>ツヅ</t>
    </rPh>
    <rPh sb="104" eb="106">
      <t>ブンヤ</t>
    </rPh>
    <rPh sb="107" eb="108">
      <t>ハジ</t>
    </rPh>
    <rPh sb="110" eb="111">
      <t>マナ</t>
    </rPh>
    <rPh sb="113" eb="116">
      <t>キョウミブカ</t>
    </rPh>
    <rPh sb="117" eb="119">
      <t>ナイヨウ</t>
    </rPh>
    <rPh sb="126" eb="127">
      <t>トウ</t>
    </rPh>
    <rPh sb="128" eb="130">
      <t>イケン</t>
    </rPh>
    <rPh sb="131" eb="132">
      <t>ア</t>
    </rPh>
    <rPh sb="135" eb="138">
      <t>ジュコウセイ</t>
    </rPh>
    <rPh sb="159" eb="160">
      <t>ツヨ</t>
    </rPh>
    <rPh sb="161" eb="162">
      <t>スス</t>
    </rPh>
    <rPh sb="165" eb="166">
      <t>スス</t>
    </rPh>
    <rPh sb="170" eb="172">
      <t>カイトウ</t>
    </rPh>
    <rPh sb="208" eb="209">
      <t>カンガ</t>
    </rPh>
    <rPh sb="216" eb="218">
      <t>カクニン</t>
    </rPh>
    <phoneticPr fontId="1"/>
  </si>
  <si>
    <t>「データサイエンス・AI入門」（1・2回目）
・ビッグデータ、IoT、AI、ロボット
・データ量の増加、計算機の処理性能の向上、AIの非連続的進化
・第4次産業革命、Society5.0、データ駆動型社会
・データサイエンティストの役割
・人間の知的活動とAIの関係性（AIと労働）
・データを起点としたものの見方、人間の知的活動を起点としたものの見方</t>
    <rPh sb="12" eb="14">
      <t>ニュウモン</t>
    </rPh>
    <rPh sb="19" eb="21">
      <t>カイメ</t>
    </rPh>
    <rPh sb="47" eb="48">
      <t>リョウ</t>
    </rPh>
    <rPh sb="49" eb="51">
      <t>ゾウカ</t>
    </rPh>
    <rPh sb="52" eb="55">
      <t>ケイサンキ</t>
    </rPh>
    <rPh sb="56" eb="58">
      <t>ショリ</t>
    </rPh>
    <rPh sb="58" eb="60">
      <t>セイノウ</t>
    </rPh>
    <rPh sb="61" eb="63">
      <t>コウジョウ</t>
    </rPh>
    <rPh sb="67" eb="71">
      <t>ヒレンゾクテキ</t>
    </rPh>
    <rPh sb="71" eb="73">
      <t>シンカ</t>
    </rPh>
    <rPh sb="75" eb="76">
      <t>ダイ</t>
    </rPh>
    <rPh sb="77" eb="78">
      <t>ジ</t>
    </rPh>
    <rPh sb="78" eb="80">
      <t>サンギョウ</t>
    </rPh>
    <rPh sb="80" eb="82">
      <t>カクメイ</t>
    </rPh>
    <rPh sb="116" eb="118">
      <t>ヤクワリ</t>
    </rPh>
    <rPh sb="120" eb="122">
      <t>ニンゲン</t>
    </rPh>
    <rPh sb="123" eb="125">
      <t>チテキ</t>
    </rPh>
    <rPh sb="125" eb="127">
      <t>カツドウ</t>
    </rPh>
    <rPh sb="131" eb="134">
      <t>カンケイセイ</t>
    </rPh>
    <rPh sb="138" eb="140">
      <t>ロウドウ</t>
    </rPh>
    <rPh sb="147" eb="149">
      <t>キテン</t>
    </rPh>
    <rPh sb="155" eb="157">
      <t>ミカタ</t>
    </rPh>
    <rPh sb="158" eb="160">
      <t>ニンゲン</t>
    </rPh>
    <rPh sb="161" eb="163">
      <t>チテキ</t>
    </rPh>
    <rPh sb="163" eb="165">
      <t>カツドウ</t>
    </rPh>
    <rPh sb="166" eb="168">
      <t>キテン</t>
    </rPh>
    <rPh sb="174" eb="176">
      <t>ミカタ</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</si>
</sst>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4">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b/>
      <sz val="9"/>
      <color indexed="81"/>
      <name val="MS P ゴシック"/>
      <family val="3"/>
      <charset val="128"/>
    </font>
    <font>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2" xfId="0" applyNumberFormat="1" applyFont="1" applyBorder="1" applyAlignment="1">
      <alignment vertical="center" shrinkToFit="1"/>
    </xf>
    <xf numFmtId="9" fontId="2" fillId="0" borderId="26"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9" fontId="2" fillId="0" borderId="59"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49" fontId="3" fillId="0" borderId="47" xfId="0" applyNumberFormat="1" applyFont="1" applyBorder="1" applyAlignment="1">
      <alignment horizontal="center" vertical="center"/>
    </xf>
    <xf numFmtId="49" fontId="3" fillId="0" borderId="48"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3" fillId="0" borderId="46" xfId="0" applyNumberFormat="1" applyFont="1" applyBorder="1" applyAlignment="1">
      <alignment horizontal="center" vertical="center"/>
    </xf>
    <xf numFmtId="49" fontId="3" fillId="0" borderId="31"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1" xfId="0" applyFont="1" applyFill="1" applyBorder="1" applyAlignment="1">
      <alignment vertical="top" wrapText="1"/>
    </xf>
    <xf numFmtId="0" fontId="3" fillId="2" borderId="42"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9"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3" xfId="2" applyFont="1" applyBorder="1" applyAlignment="1">
      <alignment vertical="center" shrinkToFit="1"/>
    </xf>
    <xf numFmtId="38" fontId="2" fillId="0" borderId="29" xfId="2" applyFont="1" applyBorder="1" applyAlignment="1">
      <alignment vertical="center" shrinkToFit="1"/>
    </xf>
    <xf numFmtId="38" fontId="2" fillId="0" borderId="22"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6" xfId="2" applyFont="1" applyBorder="1" applyAlignment="1">
      <alignment vertical="center" shrinkToFit="1"/>
    </xf>
    <xf numFmtId="38" fontId="2" fillId="0" borderId="54" xfId="2" applyFont="1" applyBorder="1" applyAlignment="1">
      <alignment vertical="center" shrinkToFit="1"/>
    </xf>
    <xf numFmtId="38" fontId="2" fillId="0" borderId="31"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5" xfId="2" applyFont="1" applyBorder="1" applyAlignment="1">
      <alignment vertical="center" shrinkToFit="1"/>
    </xf>
    <xf numFmtId="38" fontId="2" fillId="0" borderId="50" xfId="2" applyFont="1" applyBorder="1" applyAlignment="1">
      <alignment vertical="center" shrinkToFit="1"/>
    </xf>
    <xf numFmtId="38" fontId="2" fillId="0" borderId="27" xfId="2" applyFont="1" applyBorder="1" applyAlignment="1">
      <alignment vertical="center" shrinkToFit="1"/>
    </xf>
    <xf numFmtId="38" fontId="2" fillId="0" borderId="25" xfId="2" applyFont="1" applyBorder="1" applyAlignment="1">
      <alignment vertical="center" shrinkToFit="1"/>
    </xf>
    <xf numFmtId="38" fontId="2" fillId="0" borderId="24" xfId="2" applyFont="1" applyBorder="1" applyAlignment="1">
      <alignment vertical="center" shrinkToFit="1"/>
    </xf>
    <xf numFmtId="38" fontId="2" fillId="0" borderId="57" xfId="2" applyFont="1" applyBorder="1" applyAlignment="1">
      <alignment vertical="center" shrinkToFit="1"/>
    </xf>
    <xf numFmtId="38" fontId="2" fillId="0" borderId="32" xfId="2"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5" xfId="0" applyFont="1" applyBorder="1" applyAlignment="1">
      <alignment vertical="center" shrinkToFit="1"/>
    </xf>
    <xf numFmtId="0" fontId="2" fillId="0" borderId="15" xfId="0" applyFont="1" applyBorder="1" applyAlignment="1">
      <alignment vertical="center" shrinkToFit="1"/>
    </xf>
    <xf numFmtId="0" fontId="2" fillId="0" borderId="22" xfId="0" applyFont="1" applyBorder="1" applyAlignment="1">
      <alignment vertical="center" shrinkToFit="1"/>
    </xf>
    <xf numFmtId="0" fontId="2" fillId="0" borderId="0" xfId="0" applyFont="1" applyAlignment="1">
      <alignment vertical="top"/>
    </xf>
    <xf numFmtId="9" fontId="2" fillId="0" borderId="14" xfId="0" applyNumberFormat="1" applyFont="1" applyBorder="1" applyAlignment="1">
      <alignment vertical="center" shrinkToFit="1"/>
    </xf>
    <xf numFmtId="0" fontId="2" fillId="0" borderId="1" xfId="0" applyFont="1" applyFill="1" applyBorder="1" applyAlignment="1">
      <alignment horizontal="center" vertical="center"/>
    </xf>
    <xf numFmtId="0" fontId="13" fillId="2" borderId="41" xfId="0" applyFont="1" applyFill="1" applyBorder="1" applyAlignment="1">
      <alignment vertical="top" shrinkToFit="1"/>
    </xf>
    <xf numFmtId="0" fontId="13" fillId="2" borderId="42" xfId="0" applyFont="1" applyFill="1" applyBorder="1" applyAlignment="1">
      <alignment vertical="top" shrinkToFit="1"/>
    </xf>
    <xf numFmtId="0" fontId="13" fillId="0" borderId="0" xfId="0" applyFont="1" applyAlignment="1">
      <alignment vertical="top" wrapText="1"/>
    </xf>
    <xf numFmtId="0" fontId="11" fillId="0" borderId="0" xfId="0" applyFont="1" applyAlignment="1">
      <alignment vertical="top" wrapText="1"/>
    </xf>
    <xf numFmtId="0" fontId="11" fillId="0" borderId="0" xfId="0" applyFont="1">
      <alignment vertical="center"/>
    </xf>
    <xf numFmtId="0" fontId="11" fillId="0" borderId="0" xfId="0" applyFont="1" applyAlignment="1">
      <alignment vertical="center" wrapText="1"/>
    </xf>
    <xf numFmtId="0" fontId="13" fillId="0" borderId="0" xfId="0" applyFont="1" applyAlignment="1">
      <alignment vertical="top" shrinkToFit="1"/>
    </xf>
    <xf numFmtId="0" fontId="2" fillId="0" borderId="0" xfId="0" applyFont="1" applyAlignment="1">
      <alignment vertical="center" wrapText="1"/>
    </xf>
    <xf numFmtId="0" fontId="2" fillId="0" borderId="1" xfId="0" applyFont="1" applyBorder="1" applyAlignment="1">
      <alignment horizontal="left" vertical="center" shrinkToFit="1"/>
    </xf>
    <xf numFmtId="0" fontId="11" fillId="0" borderId="0" xfId="0" applyFont="1" applyAlignment="1">
      <alignment vertical="top"/>
    </xf>
    <xf numFmtId="0" fontId="11" fillId="0" borderId="0" xfId="0" applyFont="1" applyAlignment="1">
      <alignment horizontal="left" vertical="center"/>
    </xf>
    <xf numFmtId="0" fontId="2" fillId="0" borderId="33"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0" xfId="0" applyFont="1" applyAlignment="1">
      <alignment vertical="center" wrapText="1"/>
    </xf>
    <xf numFmtId="0" fontId="3" fillId="0" borderId="44" xfId="0" applyFont="1" applyBorder="1" applyAlignment="1">
      <alignment vertical="center" wrapText="1"/>
    </xf>
    <xf numFmtId="0" fontId="3" fillId="0" borderId="30" xfId="0" applyFont="1" applyBorder="1" applyAlignment="1">
      <alignment vertical="center" wrapText="1"/>
    </xf>
    <xf numFmtId="0" fontId="3" fillId="0" borderId="45" xfId="0" applyFont="1" applyBorder="1" applyAlignment="1">
      <alignment vertical="center" wrapText="1"/>
    </xf>
    <xf numFmtId="0" fontId="2" fillId="0" borderId="33" xfId="0" applyFont="1" applyBorder="1" applyAlignment="1">
      <alignment vertical="top" wrapText="1" shrinkToFit="1"/>
    </xf>
    <xf numFmtId="0" fontId="2" fillId="0" borderId="35" xfId="0" applyFont="1" applyBorder="1" applyAlignment="1">
      <alignment vertical="top" shrinkToFit="1"/>
    </xf>
    <xf numFmtId="0" fontId="2" fillId="0" borderId="34" xfId="0" applyFont="1" applyBorder="1" applyAlignment="1">
      <alignment vertical="top" shrinkToFit="1"/>
    </xf>
    <xf numFmtId="0" fontId="2" fillId="0" borderId="36" xfId="0" applyFont="1" applyBorder="1" applyAlignment="1">
      <alignment vertical="top" wrapText="1" shrinkToFit="1"/>
    </xf>
    <xf numFmtId="0" fontId="2" fillId="0" borderId="37" xfId="0" applyFont="1" applyBorder="1" applyAlignment="1">
      <alignment vertical="top" shrinkToFit="1"/>
    </xf>
    <xf numFmtId="0" fontId="2" fillId="0" borderId="38" xfId="0" applyFont="1" applyBorder="1" applyAlignment="1">
      <alignment vertical="top" shrinkToFit="1"/>
    </xf>
    <xf numFmtId="0" fontId="2" fillId="0" borderId="33" xfId="0" applyFont="1" applyBorder="1" applyAlignment="1">
      <alignment horizontal="left" vertical="top" wrapText="1" shrinkToFit="1"/>
    </xf>
    <xf numFmtId="0" fontId="2" fillId="0" borderId="35" xfId="0" applyFont="1" applyBorder="1" applyAlignment="1">
      <alignment horizontal="left" vertical="top" shrinkToFit="1"/>
    </xf>
    <xf numFmtId="0" fontId="2" fillId="0" borderId="34" xfId="0" applyFont="1" applyBorder="1" applyAlignment="1">
      <alignment horizontal="left" vertical="top"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6" xfId="0" applyFont="1" applyBorder="1" applyAlignment="1">
      <alignment horizontal="left" vertical="top" wrapText="1" shrinkToFit="1"/>
    </xf>
    <xf numFmtId="0" fontId="2" fillId="0" borderId="37" xfId="0" applyFont="1" applyBorder="1" applyAlignment="1">
      <alignment horizontal="left" vertical="top" shrinkToFit="1"/>
    </xf>
    <xf numFmtId="0" fontId="2" fillId="0" borderId="38" xfId="0" applyFont="1" applyBorder="1" applyAlignment="1">
      <alignment horizontal="left" vertical="top" shrinkToFit="1"/>
    </xf>
    <xf numFmtId="0" fontId="11" fillId="0" borderId="33" xfId="0" applyFont="1" applyBorder="1" applyAlignment="1">
      <alignment horizontal="left" vertical="top" wrapText="1" shrinkToFit="1"/>
    </xf>
    <xf numFmtId="0" fontId="11" fillId="0" borderId="35" xfId="0" applyFont="1" applyBorder="1" applyAlignment="1">
      <alignment horizontal="left" vertical="top" shrinkToFit="1"/>
    </xf>
    <xf numFmtId="0" fontId="11" fillId="0" borderId="34" xfId="0" applyFont="1" applyBorder="1" applyAlignment="1">
      <alignment horizontal="left" vertical="top" shrinkToFit="1"/>
    </xf>
    <xf numFmtId="0" fontId="2" fillId="0" borderId="19" xfId="0" applyFont="1" applyBorder="1" applyAlignment="1">
      <alignment vertical="top" wrapText="1" shrinkToFit="1"/>
    </xf>
    <xf numFmtId="0" fontId="2" fillId="0" borderId="20" xfId="0" applyFont="1" applyBorder="1" applyAlignment="1">
      <alignment vertical="top" shrinkToFit="1"/>
    </xf>
    <xf numFmtId="0" fontId="2" fillId="0" borderId="18" xfId="0" applyFont="1" applyBorder="1" applyAlignment="1">
      <alignment vertical="top" shrinkToFit="1"/>
    </xf>
    <xf numFmtId="0" fontId="2" fillId="0" borderId="0" xfId="0" applyFont="1" applyAlignment="1">
      <alignment horizontal="right" vertical="center"/>
    </xf>
    <xf numFmtId="0" fontId="11" fillId="0" borderId="33" xfId="0" applyFont="1" applyBorder="1" applyAlignment="1">
      <alignment vertical="center" shrinkToFit="1"/>
    </xf>
    <xf numFmtId="0" fontId="11" fillId="0" borderId="35" xfId="0" applyFont="1" applyBorder="1" applyAlignment="1">
      <alignment vertical="center" shrinkToFit="1"/>
    </xf>
    <xf numFmtId="0" fontId="11" fillId="0" borderId="34" xfId="0" applyFont="1" applyBorder="1" applyAlignment="1">
      <alignment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9"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2" fillId="0" borderId="6" xfId="0" applyFont="1" applyFill="1" applyBorder="1" applyAlignment="1">
      <alignment horizontal="left" vertical="center" wrapText="1"/>
    </xf>
    <xf numFmtId="0" fontId="2" fillId="0" borderId="12" xfId="0" applyFont="1" applyFill="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11"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11" fillId="0" borderId="7" xfId="0" applyFont="1" applyBorder="1" applyAlignment="1">
      <alignment vertical="top" wrapText="1"/>
    </xf>
    <xf numFmtId="0" fontId="11" fillId="0" borderId="8" xfId="0" applyFont="1" applyBorder="1" applyAlignment="1">
      <alignment vertical="top" wrapText="1"/>
    </xf>
    <xf numFmtId="0" fontId="11" fillId="0" borderId="9" xfId="0" applyFont="1" applyBorder="1" applyAlignment="1">
      <alignment vertical="top" wrapText="1"/>
    </xf>
    <xf numFmtId="0" fontId="11" fillId="0" borderId="5" xfId="0" applyFont="1" applyBorder="1" applyAlignment="1">
      <alignment vertical="top" wrapText="1"/>
    </xf>
    <xf numFmtId="0" fontId="11" fillId="0" borderId="0" xfId="0" applyFont="1" applyAlignment="1">
      <alignment vertical="top" wrapText="1"/>
    </xf>
    <xf numFmtId="0" fontId="11" fillId="0" borderId="10" xfId="0" applyFont="1" applyBorder="1" applyAlignment="1">
      <alignment vertical="top" wrapText="1"/>
    </xf>
    <xf numFmtId="0" fontId="11" fillId="0" borderId="11" xfId="0" applyFont="1" applyBorder="1" applyAlignment="1">
      <alignment vertical="top" wrapText="1"/>
    </xf>
    <xf numFmtId="0" fontId="11" fillId="0" borderId="6" xfId="0" applyFont="1" applyBorder="1" applyAlignment="1">
      <alignment vertical="top" wrapText="1"/>
    </xf>
    <xf numFmtId="0" fontId="11" fillId="0" borderId="12" xfId="0" applyFont="1" applyBorder="1" applyAlignment="1">
      <alignment vertical="top" wrapText="1"/>
    </xf>
    <xf numFmtId="0" fontId="11" fillId="0" borderId="9" xfId="0" applyFont="1" applyBorder="1" applyAlignment="1">
      <alignment vertical="top"/>
    </xf>
    <xf numFmtId="0" fontId="11" fillId="0" borderId="5" xfId="0" applyFont="1" applyBorder="1" applyAlignment="1">
      <alignment vertical="top"/>
    </xf>
    <xf numFmtId="0" fontId="11" fillId="0" borderId="0" xfId="0" applyFont="1" applyAlignment="1">
      <alignment vertical="top"/>
    </xf>
    <xf numFmtId="0" fontId="11" fillId="0" borderId="10" xfId="0" applyFont="1" applyBorder="1" applyAlignment="1">
      <alignment vertical="top"/>
    </xf>
    <xf numFmtId="0" fontId="11" fillId="0" borderId="11" xfId="0" applyFont="1" applyBorder="1" applyAlignment="1">
      <alignment vertical="top"/>
    </xf>
    <xf numFmtId="0" fontId="11" fillId="0" borderId="6" xfId="0" applyFont="1" applyBorder="1" applyAlignment="1">
      <alignment vertical="top"/>
    </xf>
    <xf numFmtId="0" fontId="11"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6" xfId="0" applyFont="1" applyBorder="1" applyAlignment="1">
      <alignment horizontal="left" vertical="top" wrapText="1"/>
    </xf>
    <xf numFmtId="0" fontId="11"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11"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8" xfId="0" applyFont="1" applyBorder="1" applyAlignment="1">
      <alignment vertical="center" wrapText="1"/>
    </xf>
    <xf numFmtId="0" fontId="2" fillId="0" borderId="38" xfId="0" applyFont="1" applyBorder="1" applyAlignment="1">
      <alignment vertical="center" wrapText="1"/>
    </xf>
    <xf numFmtId="0" fontId="11" fillId="0" borderId="36" xfId="0" applyFont="1" applyBorder="1" applyAlignment="1">
      <alignment vertical="top" wrapText="1" shrinkToFit="1"/>
    </xf>
    <xf numFmtId="0" fontId="11" fillId="0" borderId="37" xfId="0" applyFont="1" applyBorder="1" applyAlignment="1">
      <alignment vertical="top" wrapText="1" shrinkToFit="1"/>
    </xf>
    <xf numFmtId="0" fontId="11" fillId="0" borderId="38"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11" fillId="0" borderId="41" xfId="0" applyFont="1" applyBorder="1" applyAlignment="1">
      <alignment vertical="top" wrapText="1" shrinkToFit="1"/>
    </xf>
    <xf numFmtId="0" fontId="11" fillId="0" borderId="42"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V110"/>
  <sheetViews>
    <sheetView showZeros="0" tabSelected="1" zoomScaleNormal="100" zoomScaleSheetLayoutView="100" workbookViewId="0">
      <selection activeCell="D90" sqref="D90:S90"/>
    </sheetView>
  </sheetViews>
  <sheetFormatPr defaultColWidth="9" defaultRowHeight="18.75" customHeight="1"/>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c r="R1" s="148" t="s">
        <v>12</v>
      </c>
      <c r="S1" s="148"/>
      <c r="T1" s="2" t="s">
        <v>110</v>
      </c>
    </row>
    <row r="2" spans="1:22" ht="18.75" customHeight="1">
      <c r="B2" s="33" t="s">
        <v>109</v>
      </c>
      <c r="C2" s="103" t="s">
        <v>151</v>
      </c>
      <c r="D2" s="104"/>
      <c r="E2" s="104"/>
      <c r="F2" s="104"/>
      <c r="G2" s="104"/>
      <c r="H2" s="104"/>
      <c r="I2" s="105"/>
      <c r="J2" s="34"/>
      <c r="K2" s="6"/>
      <c r="L2" s="6"/>
      <c r="M2" s="6"/>
      <c r="N2" s="6"/>
      <c r="O2" s="6"/>
      <c r="P2" s="6"/>
      <c r="Q2" s="6"/>
      <c r="R2" s="6"/>
      <c r="S2" s="6"/>
    </row>
    <row r="3" spans="1:22" ht="18.75" customHeight="1">
      <c r="B3" s="33" t="s">
        <v>103</v>
      </c>
      <c r="C3" s="103" t="s">
        <v>129</v>
      </c>
      <c r="D3" s="104"/>
      <c r="E3" s="104"/>
      <c r="F3" s="104"/>
      <c r="G3" s="104"/>
      <c r="H3" s="104"/>
      <c r="I3" s="105"/>
      <c r="J3" s="34"/>
      <c r="K3" s="6"/>
      <c r="L3" s="6"/>
      <c r="M3" s="6"/>
      <c r="N3" s="6"/>
      <c r="O3" s="6"/>
      <c r="P3" s="6"/>
      <c r="Q3" s="6"/>
      <c r="R3" s="6"/>
      <c r="S3" s="6"/>
    </row>
    <row r="4" spans="1:22" ht="15" customHeight="1">
      <c r="K4" s="34"/>
      <c r="L4" s="36"/>
      <c r="M4" s="36"/>
      <c r="N4" s="36"/>
      <c r="O4" s="36"/>
      <c r="P4" s="36"/>
      <c r="Q4" s="36"/>
      <c r="R4" s="36"/>
      <c r="S4" s="36"/>
    </row>
    <row r="5" spans="1:22" ht="18" customHeight="1">
      <c r="A5" s="155" t="s">
        <v>39</v>
      </c>
      <c r="B5" s="155"/>
      <c r="C5" s="155"/>
      <c r="D5" s="155"/>
      <c r="E5" s="155"/>
      <c r="F5" s="155"/>
      <c r="G5" s="155"/>
      <c r="H5" s="155"/>
      <c r="I5" s="155"/>
      <c r="J5" s="155"/>
      <c r="K5" s="155"/>
      <c r="L5" s="155"/>
      <c r="M5" s="155"/>
      <c r="N5" s="155"/>
      <c r="O5" s="155"/>
      <c r="P5" s="155"/>
      <c r="Q5" s="155"/>
      <c r="R5" s="155"/>
      <c r="S5" s="155"/>
    </row>
    <row r="6" spans="1:22" ht="15" customHeight="1">
      <c r="B6" s="3"/>
      <c r="C6" s="3"/>
      <c r="D6" s="3"/>
      <c r="E6" s="3"/>
      <c r="F6" s="3"/>
      <c r="G6" s="3"/>
      <c r="H6" s="3"/>
      <c r="I6" s="3"/>
      <c r="J6" s="3"/>
      <c r="K6" s="3"/>
      <c r="L6" s="3"/>
      <c r="M6" s="3"/>
      <c r="N6" s="3"/>
      <c r="O6" s="3"/>
      <c r="P6" s="3"/>
      <c r="Q6" s="3"/>
      <c r="R6" s="3"/>
      <c r="S6" s="3"/>
    </row>
    <row r="7" spans="1:22" ht="18" customHeight="1">
      <c r="A7" s="1" t="s">
        <v>125</v>
      </c>
      <c r="C7" s="3"/>
      <c r="J7" s="37" t="s">
        <v>108</v>
      </c>
      <c r="K7" s="165" t="s">
        <v>127</v>
      </c>
      <c r="L7" s="166"/>
      <c r="M7" s="166"/>
      <c r="N7" s="166"/>
      <c r="O7" s="166"/>
      <c r="P7" s="166"/>
      <c r="Q7" s="166"/>
      <c r="R7" s="166"/>
      <c r="S7" s="167"/>
    </row>
    <row r="8" spans="1:22" ht="6" customHeight="1">
      <c r="B8" s="3"/>
      <c r="C8" s="3"/>
      <c r="D8" s="3"/>
      <c r="E8" s="3"/>
      <c r="F8" s="3"/>
      <c r="G8" s="3"/>
      <c r="H8" s="3"/>
      <c r="I8" s="3"/>
      <c r="J8" s="3"/>
      <c r="K8" s="10"/>
      <c r="L8" s="3"/>
      <c r="M8" s="3"/>
      <c r="N8" s="3"/>
      <c r="O8" s="3"/>
      <c r="P8" s="3"/>
      <c r="Q8" s="3"/>
      <c r="R8" s="3"/>
      <c r="S8" s="3"/>
    </row>
    <row r="9" spans="1:22" ht="18" customHeight="1">
      <c r="B9" s="168"/>
      <c r="C9" s="169"/>
      <c r="D9" s="169"/>
      <c r="E9" s="169"/>
      <c r="F9" s="169"/>
      <c r="G9" s="169"/>
      <c r="H9" s="169"/>
      <c r="I9" s="169"/>
      <c r="J9" s="169"/>
      <c r="K9" s="169"/>
      <c r="L9" s="169"/>
      <c r="M9" s="169"/>
      <c r="N9" s="169"/>
      <c r="O9" s="169"/>
      <c r="P9" s="169"/>
      <c r="Q9" s="169"/>
      <c r="R9" s="169"/>
      <c r="S9" s="170"/>
    </row>
    <row r="10" spans="1:22" ht="18" customHeight="1">
      <c r="B10" s="171"/>
      <c r="C10" s="172"/>
      <c r="D10" s="172"/>
      <c r="E10" s="172"/>
      <c r="F10" s="172"/>
      <c r="G10" s="172"/>
      <c r="H10" s="172"/>
      <c r="I10" s="172"/>
      <c r="J10" s="172"/>
      <c r="K10" s="172"/>
      <c r="L10" s="172"/>
      <c r="M10" s="172"/>
      <c r="N10" s="172"/>
      <c r="O10" s="172"/>
      <c r="P10" s="172"/>
      <c r="Q10" s="172"/>
      <c r="R10" s="172"/>
      <c r="S10" s="173"/>
    </row>
    <row r="11" spans="1:22" ht="6" customHeight="1">
      <c r="B11" s="3"/>
      <c r="C11" s="3"/>
      <c r="D11" s="3"/>
      <c r="E11" s="3"/>
      <c r="F11" s="3"/>
      <c r="G11" s="3"/>
      <c r="H11" s="3"/>
      <c r="I11" s="3"/>
      <c r="J11" s="3"/>
      <c r="K11" s="10"/>
      <c r="L11" s="3"/>
      <c r="M11" s="3"/>
      <c r="N11" s="3"/>
      <c r="O11" s="3"/>
      <c r="P11" s="3"/>
      <c r="Q11" s="3"/>
      <c r="R11" s="3"/>
      <c r="S11" s="3"/>
    </row>
    <row r="12" spans="1:22" ht="18" customHeight="1">
      <c r="A12" s="1" t="s">
        <v>112</v>
      </c>
      <c r="B12" s="3"/>
      <c r="C12" s="3"/>
      <c r="D12" s="34"/>
      <c r="E12" s="34"/>
      <c r="F12" s="34"/>
      <c r="G12" s="34"/>
      <c r="H12" s="34"/>
      <c r="I12" s="34"/>
      <c r="J12" s="34"/>
      <c r="K12" s="38"/>
      <c r="L12" s="38"/>
      <c r="M12" s="38"/>
      <c r="N12" s="38"/>
      <c r="O12" s="38"/>
      <c r="P12" s="38"/>
      <c r="Q12" s="38"/>
      <c r="R12" s="38"/>
      <c r="S12" s="38"/>
    </row>
    <row r="13" spans="1:22" ht="18" customHeight="1">
      <c r="B13" s="156" t="s">
        <v>136</v>
      </c>
      <c r="C13" s="157"/>
      <c r="D13" s="157"/>
      <c r="E13" s="157"/>
      <c r="F13" s="157"/>
      <c r="G13" s="157"/>
      <c r="H13" s="157"/>
      <c r="I13" s="157"/>
      <c r="J13" s="157"/>
      <c r="K13" s="157"/>
      <c r="L13" s="157"/>
      <c r="M13" s="157"/>
      <c r="N13" s="157"/>
      <c r="O13" s="157"/>
      <c r="P13" s="157"/>
      <c r="Q13" s="157"/>
      <c r="R13" s="157"/>
      <c r="S13" s="158"/>
      <c r="V13" s="1" t="s">
        <v>104</v>
      </c>
    </row>
    <row r="14" spans="1:22" ht="18" customHeight="1">
      <c r="B14" s="159"/>
      <c r="C14" s="160"/>
      <c r="D14" s="160"/>
      <c r="E14" s="160"/>
      <c r="F14" s="160"/>
      <c r="G14" s="160"/>
      <c r="H14" s="160"/>
      <c r="I14" s="160"/>
      <c r="J14" s="160"/>
      <c r="K14" s="160"/>
      <c r="L14" s="160"/>
      <c r="M14" s="160"/>
      <c r="N14" s="160"/>
      <c r="O14" s="160"/>
      <c r="P14" s="160"/>
      <c r="Q14" s="160"/>
      <c r="R14" s="160"/>
      <c r="S14" s="161"/>
      <c r="V14" s="1" t="s">
        <v>111</v>
      </c>
    </row>
    <row r="15" spans="1:22" ht="18" customHeight="1">
      <c r="B15" s="159"/>
      <c r="C15" s="160"/>
      <c r="D15" s="160"/>
      <c r="E15" s="160"/>
      <c r="F15" s="160"/>
      <c r="G15" s="160"/>
      <c r="H15" s="160"/>
      <c r="I15" s="160"/>
      <c r="J15" s="160"/>
      <c r="K15" s="160"/>
      <c r="L15" s="160"/>
      <c r="M15" s="160"/>
      <c r="N15" s="160"/>
      <c r="O15" s="160"/>
      <c r="P15" s="160"/>
      <c r="Q15" s="160"/>
      <c r="R15" s="160"/>
      <c r="S15" s="161"/>
      <c r="V15" s="1" t="s">
        <v>124</v>
      </c>
    </row>
    <row r="16" spans="1:22" ht="18" customHeight="1">
      <c r="B16" s="159"/>
      <c r="C16" s="160"/>
      <c r="D16" s="160"/>
      <c r="E16" s="160"/>
      <c r="F16" s="160"/>
      <c r="G16" s="160"/>
      <c r="H16" s="160"/>
      <c r="I16" s="160"/>
      <c r="J16" s="160"/>
      <c r="K16" s="160"/>
      <c r="L16" s="160"/>
      <c r="M16" s="160"/>
      <c r="N16" s="160"/>
      <c r="O16" s="160"/>
      <c r="P16" s="160"/>
      <c r="Q16" s="160"/>
      <c r="R16" s="160"/>
      <c r="S16" s="161"/>
      <c r="V16" s="1" t="s">
        <v>126</v>
      </c>
    </row>
    <row r="17" spans="1:19" ht="18" customHeight="1">
      <c r="B17" s="159"/>
      <c r="C17" s="160"/>
      <c r="D17" s="160"/>
      <c r="E17" s="160"/>
      <c r="F17" s="160"/>
      <c r="G17" s="160"/>
      <c r="H17" s="160"/>
      <c r="I17" s="160"/>
      <c r="J17" s="160"/>
      <c r="K17" s="160"/>
      <c r="L17" s="160"/>
      <c r="M17" s="160"/>
      <c r="N17" s="160"/>
      <c r="O17" s="160"/>
      <c r="P17" s="160"/>
      <c r="Q17" s="160"/>
      <c r="R17" s="160"/>
      <c r="S17" s="161"/>
    </row>
    <row r="18" spans="1:19" ht="18" customHeight="1">
      <c r="B18" s="162"/>
      <c r="C18" s="163"/>
      <c r="D18" s="163"/>
      <c r="E18" s="163"/>
      <c r="F18" s="163"/>
      <c r="G18" s="163"/>
      <c r="H18" s="163"/>
      <c r="I18" s="163"/>
      <c r="J18" s="163"/>
      <c r="K18" s="163"/>
      <c r="L18" s="163"/>
      <c r="M18" s="163"/>
      <c r="N18" s="163"/>
      <c r="O18" s="163"/>
      <c r="P18" s="163"/>
      <c r="Q18" s="163"/>
      <c r="R18" s="163"/>
      <c r="S18" s="164"/>
    </row>
    <row r="19" spans="1:19" ht="7.5" customHeight="1">
      <c r="B19" s="3"/>
      <c r="C19" s="3"/>
      <c r="D19" s="3"/>
      <c r="E19" s="3"/>
      <c r="F19" s="3"/>
      <c r="G19" s="3"/>
      <c r="H19" s="3"/>
      <c r="I19" s="3"/>
      <c r="J19" s="3"/>
      <c r="K19" s="3"/>
      <c r="L19" s="3"/>
      <c r="M19" s="3"/>
      <c r="N19" s="3"/>
      <c r="O19" s="3"/>
      <c r="P19" s="3"/>
      <c r="Q19" s="3"/>
      <c r="R19" s="3"/>
      <c r="S19" s="3"/>
    </row>
    <row r="20" spans="1:19" ht="19.899999999999999" customHeight="1">
      <c r="B20" s="1" t="s">
        <v>113</v>
      </c>
      <c r="C20" s="103">
        <v>2</v>
      </c>
      <c r="D20" s="105"/>
      <c r="E20" s="39" t="s">
        <v>96</v>
      </c>
      <c r="G20" s="10"/>
      <c r="H20" s="3"/>
      <c r="I20" s="3"/>
      <c r="J20" s="34" t="s">
        <v>122</v>
      </c>
      <c r="K20" s="152" t="s">
        <v>126</v>
      </c>
      <c r="L20" s="153"/>
      <c r="M20" s="153"/>
      <c r="N20" s="153"/>
      <c r="O20" s="153"/>
      <c r="P20" s="153"/>
      <c r="Q20" s="153"/>
      <c r="R20" s="153"/>
      <c r="S20" s="154"/>
    </row>
    <row r="21" spans="1:19" ht="7.5" customHeight="1">
      <c r="B21" s="3"/>
      <c r="C21" s="3"/>
      <c r="D21" s="3"/>
      <c r="E21" s="3"/>
      <c r="F21" s="3"/>
      <c r="G21" s="3"/>
      <c r="H21" s="3"/>
      <c r="I21" s="3"/>
      <c r="J21" s="3"/>
      <c r="K21" s="3"/>
      <c r="L21" s="3"/>
      <c r="M21" s="3"/>
      <c r="N21" s="3"/>
      <c r="O21" s="3"/>
      <c r="P21" s="3"/>
      <c r="Q21" s="3"/>
      <c r="R21" s="3"/>
      <c r="S21" s="3"/>
    </row>
    <row r="22" spans="1:19" ht="18" customHeight="1">
      <c r="A22" s="109" t="s">
        <v>114</v>
      </c>
      <c r="B22" s="109"/>
      <c r="C22" s="109"/>
      <c r="D22" s="109"/>
      <c r="E22" s="109"/>
      <c r="F22" s="109"/>
      <c r="G22" s="109"/>
      <c r="H22" s="109"/>
      <c r="I22" s="109"/>
      <c r="J22" s="109"/>
      <c r="K22" s="109"/>
      <c r="L22" s="109"/>
      <c r="M22" s="109"/>
      <c r="N22" s="109"/>
      <c r="O22" s="109"/>
      <c r="P22" s="109"/>
      <c r="Q22" s="109"/>
      <c r="R22" s="109"/>
      <c r="S22" s="109"/>
    </row>
    <row r="23" spans="1:19" ht="18" customHeight="1">
      <c r="A23" s="109"/>
      <c r="B23" s="109"/>
      <c r="C23" s="109"/>
      <c r="D23" s="109"/>
      <c r="E23" s="109"/>
      <c r="F23" s="109"/>
      <c r="G23" s="109"/>
      <c r="H23" s="109"/>
      <c r="I23" s="109"/>
      <c r="J23" s="109"/>
      <c r="K23" s="109"/>
      <c r="L23" s="109"/>
      <c r="M23" s="109"/>
      <c r="N23" s="109"/>
      <c r="O23" s="109"/>
      <c r="P23" s="109"/>
      <c r="Q23" s="109"/>
      <c r="R23" s="109"/>
      <c r="S23" s="109"/>
    </row>
    <row r="24" spans="1:19" ht="18" customHeight="1">
      <c r="B24" s="103" t="s">
        <v>54</v>
      </c>
      <c r="C24" s="104"/>
      <c r="D24" s="104"/>
      <c r="E24" s="105"/>
      <c r="F24" s="57" t="s">
        <v>81</v>
      </c>
      <c r="G24" s="56" t="s">
        <v>85</v>
      </c>
      <c r="H24" s="21" t="s">
        <v>57</v>
      </c>
      <c r="I24" s="21" t="s">
        <v>60</v>
      </c>
      <c r="J24" s="103" t="s">
        <v>54</v>
      </c>
      <c r="K24" s="104"/>
      <c r="L24" s="104"/>
      <c r="M24" s="104"/>
      <c r="N24" s="104"/>
      <c r="O24" s="105"/>
      <c r="P24" s="57" t="s">
        <v>81</v>
      </c>
      <c r="Q24" s="56" t="s">
        <v>85</v>
      </c>
      <c r="R24" s="21" t="s">
        <v>57</v>
      </c>
      <c r="S24" s="21" t="s">
        <v>60</v>
      </c>
    </row>
    <row r="25" spans="1:19" ht="18" customHeight="1">
      <c r="B25" s="149" t="s">
        <v>128</v>
      </c>
      <c r="C25" s="150"/>
      <c r="D25" s="150"/>
      <c r="E25" s="151"/>
      <c r="F25" s="22">
        <v>2</v>
      </c>
      <c r="G25" s="22" t="s">
        <v>130</v>
      </c>
      <c r="H25" s="22" t="s">
        <v>130</v>
      </c>
      <c r="I25" s="22" t="s">
        <v>130</v>
      </c>
      <c r="J25" s="97"/>
      <c r="K25" s="98"/>
      <c r="L25" s="98"/>
      <c r="M25" s="98"/>
      <c r="N25" s="98"/>
      <c r="O25" s="99"/>
      <c r="P25" s="22"/>
      <c r="Q25" s="22"/>
      <c r="R25" s="22"/>
      <c r="S25" s="22"/>
    </row>
    <row r="26" spans="1:19" ht="18" customHeight="1">
      <c r="B26" s="100"/>
      <c r="C26" s="101"/>
      <c r="D26" s="101"/>
      <c r="E26" s="102"/>
      <c r="F26" s="23"/>
      <c r="G26" s="23"/>
      <c r="H26" s="23"/>
      <c r="I26" s="23"/>
      <c r="J26" s="100"/>
      <c r="K26" s="101"/>
      <c r="L26" s="101"/>
      <c r="M26" s="101"/>
      <c r="N26" s="101"/>
      <c r="O26" s="102"/>
      <c r="P26" s="23"/>
      <c r="Q26" s="23"/>
      <c r="R26" s="23"/>
      <c r="S26" s="23"/>
    </row>
    <row r="27" spans="1:19" ht="18" customHeight="1">
      <c r="B27" s="100"/>
      <c r="C27" s="101"/>
      <c r="D27" s="101"/>
      <c r="E27" s="102"/>
      <c r="F27" s="23"/>
      <c r="G27" s="23"/>
      <c r="H27" s="23"/>
      <c r="I27" s="23"/>
      <c r="J27" s="100"/>
      <c r="K27" s="101"/>
      <c r="L27" s="101"/>
      <c r="M27" s="101"/>
      <c r="N27" s="101"/>
      <c r="O27" s="102"/>
      <c r="P27" s="23"/>
      <c r="Q27" s="23"/>
      <c r="R27" s="23"/>
      <c r="S27" s="23"/>
    </row>
    <row r="28" spans="1:19" ht="18" customHeight="1">
      <c r="B28" s="100"/>
      <c r="C28" s="101"/>
      <c r="D28" s="101"/>
      <c r="E28" s="102"/>
      <c r="F28" s="23"/>
      <c r="G28" s="23"/>
      <c r="H28" s="23"/>
      <c r="I28" s="23"/>
      <c r="J28" s="100"/>
      <c r="K28" s="101"/>
      <c r="L28" s="101"/>
      <c r="M28" s="101"/>
      <c r="N28" s="101"/>
      <c r="O28" s="102"/>
      <c r="P28" s="23"/>
      <c r="Q28" s="23"/>
      <c r="R28" s="23"/>
      <c r="S28" s="23"/>
    </row>
    <row r="29" spans="1:19" ht="18" customHeight="1">
      <c r="B29" s="100"/>
      <c r="C29" s="101"/>
      <c r="D29" s="101"/>
      <c r="E29" s="102"/>
      <c r="F29" s="23"/>
      <c r="G29" s="23"/>
      <c r="H29" s="23"/>
      <c r="I29" s="23"/>
      <c r="J29" s="100"/>
      <c r="K29" s="101"/>
      <c r="L29" s="101"/>
      <c r="M29" s="101"/>
      <c r="N29" s="101"/>
      <c r="O29" s="102"/>
      <c r="P29" s="23"/>
      <c r="Q29" s="23"/>
      <c r="R29" s="23"/>
      <c r="S29" s="23"/>
    </row>
    <row r="30" spans="1:19" ht="18" customHeight="1">
      <c r="A30" s="3"/>
      <c r="B30" s="100"/>
      <c r="C30" s="101"/>
      <c r="D30" s="101"/>
      <c r="E30" s="102"/>
      <c r="F30" s="23"/>
      <c r="G30" s="23"/>
      <c r="H30" s="23"/>
      <c r="I30" s="23"/>
      <c r="J30" s="100"/>
      <c r="K30" s="101"/>
      <c r="L30" s="101"/>
      <c r="M30" s="101"/>
      <c r="N30" s="101"/>
      <c r="O30" s="102"/>
      <c r="P30" s="23"/>
      <c r="Q30" s="23"/>
      <c r="R30" s="23"/>
      <c r="S30" s="23"/>
    </row>
    <row r="31" spans="1:19" ht="18" customHeight="1">
      <c r="A31" s="3"/>
      <c r="B31" s="106"/>
      <c r="C31" s="107"/>
      <c r="D31" s="107"/>
      <c r="E31" s="108"/>
      <c r="F31" s="24"/>
      <c r="G31" s="24"/>
      <c r="H31" s="25"/>
      <c r="I31" s="25"/>
      <c r="J31" s="106"/>
      <c r="K31" s="107"/>
      <c r="L31" s="107"/>
      <c r="M31" s="107"/>
      <c r="N31" s="107"/>
      <c r="O31" s="108"/>
      <c r="P31" s="24"/>
      <c r="Q31" s="24"/>
      <c r="R31" s="25"/>
      <c r="S31" s="25"/>
    </row>
    <row r="32" spans="1:19" ht="7.5" customHeight="1">
      <c r="A32" s="3"/>
      <c r="B32" s="6"/>
      <c r="C32" s="6"/>
      <c r="D32" s="3"/>
      <c r="E32" s="3"/>
      <c r="F32" s="3"/>
      <c r="G32" s="3"/>
      <c r="H32" s="6"/>
      <c r="I32" s="6"/>
      <c r="J32" s="6"/>
      <c r="K32" s="6"/>
      <c r="L32" s="6"/>
      <c r="M32" s="6"/>
      <c r="N32" s="6"/>
      <c r="O32" s="6"/>
      <c r="P32" s="6"/>
      <c r="Q32" s="6"/>
      <c r="R32" s="6"/>
      <c r="S32" s="3"/>
    </row>
    <row r="33" spans="1:19" ht="18" customHeight="1">
      <c r="A33" s="109" t="s">
        <v>115</v>
      </c>
      <c r="B33" s="109"/>
      <c r="C33" s="109"/>
      <c r="D33" s="109"/>
      <c r="E33" s="109"/>
      <c r="F33" s="109"/>
      <c r="G33" s="109"/>
      <c r="H33" s="109"/>
      <c r="I33" s="109"/>
      <c r="J33" s="109"/>
      <c r="K33" s="109"/>
      <c r="L33" s="109"/>
      <c r="M33" s="109"/>
      <c r="N33" s="109"/>
      <c r="O33" s="109"/>
      <c r="P33" s="109"/>
      <c r="Q33" s="109"/>
      <c r="R33" s="109"/>
      <c r="S33" s="109"/>
    </row>
    <row r="34" spans="1:19" ht="18" customHeight="1">
      <c r="A34" s="109"/>
      <c r="B34" s="109"/>
      <c r="C34" s="109"/>
      <c r="D34" s="109"/>
      <c r="E34" s="109"/>
      <c r="F34" s="109"/>
      <c r="G34" s="109"/>
      <c r="H34" s="109"/>
      <c r="I34" s="109"/>
      <c r="J34" s="109"/>
      <c r="K34" s="109"/>
      <c r="L34" s="109"/>
      <c r="M34" s="109"/>
      <c r="N34" s="109"/>
      <c r="O34" s="109"/>
      <c r="P34" s="109"/>
      <c r="Q34" s="109"/>
      <c r="R34" s="109"/>
      <c r="S34" s="109"/>
    </row>
    <row r="35" spans="1:19" ht="18" customHeight="1">
      <c r="B35" s="103" t="s">
        <v>54</v>
      </c>
      <c r="C35" s="104"/>
      <c r="D35" s="104"/>
      <c r="E35" s="105"/>
      <c r="F35" s="57" t="s">
        <v>81</v>
      </c>
      <c r="G35" s="56" t="s">
        <v>85</v>
      </c>
      <c r="H35" s="21" t="s">
        <v>72</v>
      </c>
      <c r="I35" s="21" t="s">
        <v>73</v>
      </c>
      <c r="J35" s="103" t="s">
        <v>54</v>
      </c>
      <c r="K35" s="104"/>
      <c r="L35" s="104"/>
      <c r="M35" s="104"/>
      <c r="N35" s="104"/>
      <c r="O35" s="105"/>
      <c r="P35" s="57" t="s">
        <v>81</v>
      </c>
      <c r="Q35" s="56" t="s">
        <v>85</v>
      </c>
      <c r="R35" s="21" t="s">
        <v>72</v>
      </c>
      <c r="S35" s="21" t="s">
        <v>73</v>
      </c>
    </row>
    <row r="36" spans="1:19" ht="18" customHeight="1">
      <c r="B36" s="149" t="s">
        <v>128</v>
      </c>
      <c r="C36" s="150"/>
      <c r="D36" s="150"/>
      <c r="E36" s="151"/>
      <c r="F36" s="22">
        <v>2</v>
      </c>
      <c r="G36" s="22" t="s">
        <v>130</v>
      </c>
      <c r="H36" s="22" t="s">
        <v>130</v>
      </c>
      <c r="I36" s="22" t="s">
        <v>130</v>
      </c>
      <c r="J36" s="97"/>
      <c r="K36" s="98"/>
      <c r="L36" s="98"/>
      <c r="M36" s="98"/>
      <c r="N36" s="98"/>
      <c r="O36" s="99"/>
      <c r="P36" s="22"/>
      <c r="Q36" s="22"/>
      <c r="R36" s="22"/>
      <c r="S36" s="22"/>
    </row>
    <row r="37" spans="1:19" ht="18" customHeight="1">
      <c r="B37" s="100"/>
      <c r="C37" s="101"/>
      <c r="D37" s="101"/>
      <c r="E37" s="102"/>
      <c r="F37" s="23"/>
      <c r="G37" s="23"/>
      <c r="H37" s="23"/>
      <c r="I37" s="23"/>
      <c r="J37" s="100"/>
      <c r="K37" s="101"/>
      <c r="L37" s="101"/>
      <c r="M37" s="101"/>
      <c r="N37" s="101"/>
      <c r="O37" s="102"/>
      <c r="P37" s="23"/>
      <c r="Q37" s="23"/>
      <c r="R37" s="23"/>
      <c r="S37" s="23"/>
    </row>
    <row r="38" spans="1:19" ht="18" customHeight="1">
      <c r="B38" s="100"/>
      <c r="C38" s="101"/>
      <c r="D38" s="101"/>
      <c r="E38" s="102"/>
      <c r="F38" s="23"/>
      <c r="G38" s="23"/>
      <c r="H38" s="23"/>
      <c r="I38" s="23"/>
      <c r="J38" s="100"/>
      <c r="K38" s="101"/>
      <c r="L38" s="101"/>
      <c r="M38" s="101"/>
      <c r="N38" s="101"/>
      <c r="O38" s="102"/>
      <c r="P38" s="23"/>
      <c r="Q38" s="23"/>
      <c r="R38" s="23"/>
      <c r="S38" s="23"/>
    </row>
    <row r="39" spans="1:19" ht="18" customHeight="1">
      <c r="B39" s="100"/>
      <c r="C39" s="101"/>
      <c r="D39" s="101"/>
      <c r="E39" s="102"/>
      <c r="F39" s="23"/>
      <c r="G39" s="23"/>
      <c r="H39" s="23"/>
      <c r="I39" s="23"/>
      <c r="J39" s="100"/>
      <c r="K39" s="101"/>
      <c r="L39" s="101"/>
      <c r="M39" s="101"/>
      <c r="N39" s="101"/>
      <c r="O39" s="102"/>
      <c r="P39" s="23"/>
      <c r="Q39" s="23"/>
      <c r="R39" s="23"/>
      <c r="S39" s="23"/>
    </row>
    <row r="40" spans="1:19" ht="18" customHeight="1">
      <c r="B40" s="100"/>
      <c r="C40" s="101"/>
      <c r="D40" s="101"/>
      <c r="E40" s="102"/>
      <c r="F40" s="23"/>
      <c r="G40" s="23"/>
      <c r="H40" s="23"/>
      <c r="I40" s="23"/>
      <c r="J40" s="100"/>
      <c r="K40" s="101"/>
      <c r="L40" s="101"/>
      <c r="M40" s="101"/>
      <c r="N40" s="101"/>
      <c r="O40" s="102"/>
      <c r="P40" s="23"/>
      <c r="Q40" s="23"/>
      <c r="R40" s="23"/>
      <c r="S40" s="23"/>
    </row>
    <row r="41" spans="1:19" ht="18" customHeight="1">
      <c r="B41" s="100"/>
      <c r="C41" s="101"/>
      <c r="D41" s="101"/>
      <c r="E41" s="102"/>
      <c r="F41" s="23"/>
      <c r="G41" s="23"/>
      <c r="H41" s="23"/>
      <c r="I41" s="23"/>
      <c r="J41" s="100"/>
      <c r="K41" s="101"/>
      <c r="L41" s="101"/>
      <c r="M41" s="101"/>
      <c r="N41" s="101"/>
      <c r="O41" s="102"/>
      <c r="P41" s="23"/>
      <c r="Q41" s="23"/>
      <c r="R41" s="23"/>
      <c r="S41" s="23"/>
    </row>
    <row r="42" spans="1:19" ht="18" customHeight="1">
      <c r="B42" s="106"/>
      <c r="C42" s="107"/>
      <c r="D42" s="107"/>
      <c r="E42" s="108"/>
      <c r="F42" s="24"/>
      <c r="G42" s="24"/>
      <c r="H42" s="25"/>
      <c r="I42" s="25"/>
      <c r="J42" s="106"/>
      <c r="K42" s="107"/>
      <c r="L42" s="107"/>
      <c r="M42" s="107"/>
      <c r="N42" s="107"/>
      <c r="O42" s="108"/>
      <c r="P42" s="24"/>
      <c r="Q42" s="24"/>
      <c r="R42" s="25"/>
      <c r="S42" s="25"/>
    </row>
    <row r="43" spans="1:19" ht="7.5" customHeight="1">
      <c r="A43" s="3"/>
      <c r="B43" s="6"/>
      <c r="C43" s="6"/>
      <c r="D43" s="3"/>
      <c r="E43" s="3"/>
      <c r="F43" s="3"/>
      <c r="G43" s="3"/>
      <c r="H43" s="6"/>
      <c r="I43" s="6"/>
      <c r="J43" s="6"/>
      <c r="K43" s="6"/>
      <c r="L43" s="6"/>
      <c r="M43" s="6"/>
      <c r="N43" s="6"/>
      <c r="O43" s="6"/>
      <c r="P43" s="6"/>
      <c r="Q43" s="6"/>
      <c r="R43" s="6"/>
      <c r="S43" s="3"/>
    </row>
    <row r="44" spans="1:19" ht="18" customHeight="1">
      <c r="A44" s="109" t="s">
        <v>116</v>
      </c>
      <c r="B44" s="109"/>
      <c r="C44" s="109"/>
      <c r="D44" s="109"/>
      <c r="E44" s="109"/>
      <c r="F44" s="109"/>
      <c r="G44" s="109"/>
      <c r="H44" s="109"/>
      <c r="I44" s="109"/>
      <c r="J44" s="109"/>
      <c r="K44" s="109"/>
      <c r="L44" s="109"/>
      <c r="M44" s="109"/>
      <c r="N44" s="109"/>
      <c r="O44" s="109"/>
      <c r="P44" s="109"/>
      <c r="Q44" s="109"/>
      <c r="R44" s="109"/>
      <c r="S44" s="109"/>
    </row>
    <row r="45" spans="1:19" ht="18" customHeight="1">
      <c r="A45" s="109"/>
      <c r="B45" s="109"/>
      <c r="C45" s="109"/>
      <c r="D45" s="109"/>
      <c r="E45" s="109"/>
      <c r="F45" s="109"/>
      <c r="G45" s="109"/>
      <c r="H45" s="109"/>
      <c r="I45" s="109"/>
      <c r="J45" s="109"/>
      <c r="K45" s="109"/>
      <c r="L45" s="109"/>
      <c r="M45" s="109"/>
      <c r="N45" s="109"/>
      <c r="O45" s="109"/>
      <c r="P45" s="109"/>
      <c r="Q45" s="109"/>
      <c r="R45" s="109"/>
      <c r="S45" s="109"/>
    </row>
    <row r="46" spans="1:19" ht="18" customHeight="1">
      <c r="B46" s="103" t="s">
        <v>54</v>
      </c>
      <c r="C46" s="104"/>
      <c r="D46" s="104"/>
      <c r="E46" s="105"/>
      <c r="F46" s="57" t="s">
        <v>81</v>
      </c>
      <c r="G46" s="56" t="s">
        <v>85</v>
      </c>
      <c r="H46" s="21" t="s">
        <v>74</v>
      </c>
      <c r="I46" s="21" t="s">
        <v>75</v>
      </c>
      <c r="J46" s="103" t="s">
        <v>54</v>
      </c>
      <c r="K46" s="104"/>
      <c r="L46" s="104"/>
      <c r="M46" s="104"/>
      <c r="N46" s="104"/>
      <c r="O46" s="105"/>
      <c r="P46" s="57" t="s">
        <v>81</v>
      </c>
      <c r="Q46" s="56" t="s">
        <v>85</v>
      </c>
      <c r="R46" s="21" t="s">
        <v>74</v>
      </c>
      <c r="S46" s="21" t="s">
        <v>75</v>
      </c>
    </row>
    <row r="47" spans="1:19" ht="18" customHeight="1">
      <c r="A47" s="3"/>
      <c r="B47" s="149" t="s">
        <v>128</v>
      </c>
      <c r="C47" s="150"/>
      <c r="D47" s="150"/>
      <c r="E47" s="151"/>
      <c r="F47" s="22">
        <v>2</v>
      </c>
      <c r="G47" s="22" t="s">
        <v>130</v>
      </c>
      <c r="H47" s="22" t="s">
        <v>130</v>
      </c>
      <c r="I47" s="22" t="s">
        <v>130</v>
      </c>
      <c r="J47" s="97"/>
      <c r="K47" s="98"/>
      <c r="L47" s="98"/>
      <c r="M47" s="98"/>
      <c r="N47" s="98"/>
      <c r="O47" s="99"/>
      <c r="P47" s="22"/>
      <c r="Q47" s="22"/>
      <c r="R47" s="22"/>
      <c r="S47" s="22"/>
    </row>
    <row r="48" spans="1:19" ht="18" customHeight="1">
      <c r="A48" s="3"/>
      <c r="B48" s="100"/>
      <c r="C48" s="101"/>
      <c r="D48" s="101"/>
      <c r="E48" s="102"/>
      <c r="F48" s="23"/>
      <c r="G48" s="23"/>
      <c r="H48" s="23"/>
      <c r="I48" s="23"/>
      <c r="J48" s="100"/>
      <c r="K48" s="101"/>
      <c r="L48" s="101"/>
      <c r="M48" s="101"/>
      <c r="N48" s="101"/>
      <c r="O48" s="102"/>
      <c r="P48" s="23"/>
      <c r="Q48" s="23"/>
      <c r="R48" s="23"/>
      <c r="S48" s="23"/>
    </row>
    <row r="49" spans="1:19" ht="18" customHeight="1">
      <c r="A49" s="3"/>
      <c r="B49" s="100"/>
      <c r="C49" s="101"/>
      <c r="D49" s="101"/>
      <c r="E49" s="102"/>
      <c r="F49" s="23"/>
      <c r="G49" s="23"/>
      <c r="H49" s="23"/>
      <c r="I49" s="23"/>
      <c r="J49" s="100"/>
      <c r="K49" s="101"/>
      <c r="L49" s="101"/>
      <c r="M49" s="101"/>
      <c r="N49" s="101"/>
      <c r="O49" s="102"/>
      <c r="P49" s="23"/>
      <c r="Q49" s="23"/>
      <c r="R49" s="23"/>
      <c r="S49" s="23"/>
    </row>
    <row r="50" spans="1:19" ht="18" customHeight="1">
      <c r="A50" s="3"/>
      <c r="B50" s="100"/>
      <c r="C50" s="101"/>
      <c r="D50" s="101"/>
      <c r="E50" s="102"/>
      <c r="F50" s="23"/>
      <c r="G50" s="23"/>
      <c r="H50" s="23"/>
      <c r="I50" s="23"/>
      <c r="J50" s="100"/>
      <c r="K50" s="101"/>
      <c r="L50" s="101"/>
      <c r="M50" s="101"/>
      <c r="N50" s="101"/>
      <c r="O50" s="102"/>
      <c r="P50" s="23"/>
      <c r="Q50" s="23"/>
      <c r="R50" s="23"/>
      <c r="S50" s="23"/>
    </row>
    <row r="51" spans="1:19" ht="18" customHeight="1">
      <c r="A51" s="3"/>
      <c r="B51" s="100"/>
      <c r="C51" s="101"/>
      <c r="D51" s="101"/>
      <c r="E51" s="102"/>
      <c r="F51" s="23"/>
      <c r="G51" s="23"/>
      <c r="H51" s="23"/>
      <c r="I51" s="23"/>
      <c r="J51" s="100"/>
      <c r="K51" s="101"/>
      <c r="L51" s="101"/>
      <c r="M51" s="101"/>
      <c r="N51" s="101"/>
      <c r="O51" s="102"/>
      <c r="P51" s="23"/>
      <c r="Q51" s="23"/>
      <c r="R51" s="23"/>
      <c r="S51" s="23"/>
    </row>
    <row r="52" spans="1:19" ht="18" customHeight="1">
      <c r="A52" s="3"/>
      <c r="B52" s="100"/>
      <c r="C52" s="101"/>
      <c r="D52" s="101"/>
      <c r="E52" s="102"/>
      <c r="F52" s="23"/>
      <c r="G52" s="23"/>
      <c r="H52" s="23"/>
      <c r="I52" s="23"/>
      <c r="J52" s="100"/>
      <c r="K52" s="101"/>
      <c r="L52" s="101"/>
      <c r="M52" s="101"/>
      <c r="N52" s="101"/>
      <c r="O52" s="102"/>
      <c r="P52" s="23"/>
      <c r="Q52" s="23"/>
      <c r="R52" s="23"/>
      <c r="S52" s="23"/>
    </row>
    <row r="53" spans="1:19" ht="18" customHeight="1">
      <c r="A53" s="3"/>
      <c r="B53" s="106"/>
      <c r="C53" s="107"/>
      <c r="D53" s="107"/>
      <c r="E53" s="108"/>
      <c r="F53" s="24"/>
      <c r="G53" s="24"/>
      <c r="H53" s="25"/>
      <c r="I53" s="25"/>
      <c r="J53" s="106"/>
      <c r="K53" s="107"/>
      <c r="L53" s="107"/>
      <c r="M53" s="107"/>
      <c r="N53" s="107"/>
      <c r="O53" s="108"/>
      <c r="P53" s="24"/>
      <c r="Q53" s="24"/>
      <c r="R53" s="25"/>
      <c r="S53" s="25"/>
    </row>
    <row r="54" spans="1:19" ht="7.5" customHeight="1">
      <c r="B54" s="15"/>
      <c r="C54" s="15"/>
      <c r="D54" s="15"/>
      <c r="E54" s="15"/>
      <c r="F54" s="15"/>
      <c r="G54" s="15"/>
      <c r="H54" s="15"/>
      <c r="I54" s="15"/>
      <c r="J54" s="15"/>
      <c r="K54" s="15"/>
      <c r="L54" s="15"/>
      <c r="M54" s="15"/>
      <c r="N54" s="15"/>
      <c r="O54" s="15"/>
      <c r="P54" s="15"/>
      <c r="Q54" s="15"/>
      <c r="R54" s="15"/>
    </row>
    <row r="55" spans="1:19" ht="18" customHeight="1">
      <c r="A55" s="109" t="s">
        <v>117</v>
      </c>
      <c r="B55" s="109"/>
      <c r="C55" s="109"/>
      <c r="D55" s="109"/>
      <c r="E55" s="109"/>
      <c r="F55" s="109"/>
      <c r="G55" s="109"/>
      <c r="H55" s="109"/>
      <c r="I55" s="109"/>
      <c r="J55" s="109"/>
      <c r="K55" s="109"/>
      <c r="L55" s="109"/>
      <c r="M55" s="109"/>
      <c r="N55" s="109"/>
      <c r="O55" s="109"/>
      <c r="P55" s="109"/>
      <c r="Q55" s="109"/>
      <c r="R55" s="109"/>
      <c r="S55" s="109"/>
    </row>
    <row r="56" spans="1:19" ht="18" customHeight="1">
      <c r="A56" s="109"/>
      <c r="B56" s="109"/>
      <c r="C56" s="109"/>
      <c r="D56" s="109"/>
      <c r="E56" s="109"/>
      <c r="F56" s="109"/>
      <c r="G56" s="109"/>
      <c r="H56" s="109"/>
      <c r="I56" s="109"/>
      <c r="J56" s="109"/>
      <c r="K56" s="109"/>
      <c r="L56" s="109"/>
      <c r="M56" s="109"/>
      <c r="N56" s="109"/>
      <c r="O56" s="109"/>
      <c r="P56" s="109"/>
      <c r="Q56" s="109"/>
      <c r="R56" s="109"/>
      <c r="S56" s="109"/>
    </row>
    <row r="57" spans="1:19" ht="18" customHeight="1">
      <c r="B57" s="103" t="s">
        <v>54</v>
      </c>
      <c r="C57" s="104"/>
      <c r="D57" s="104"/>
      <c r="E57" s="105"/>
      <c r="F57" s="57" t="s">
        <v>81</v>
      </c>
      <c r="G57" s="56" t="s">
        <v>85</v>
      </c>
      <c r="H57" s="21" t="s">
        <v>59</v>
      </c>
      <c r="I57" s="21" t="s">
        <v>61</v>
      </c>
      <c r="J57" s="103" t="s">
        <v>54</v>
      </c>
      <c r="K57" s="104"/>
      <c r="L57" s="104"/>
      <c r="M57" s="104"/>
      <c r="N57" s="104"/>
      <c r="O57" s="105"/>
      <c r="P57" s="57" t="s">
        <v>81</v>
      </c>
      <c r="Q57" s="56" t="s">
        <v>85</v>
      </c>
      <c r="R57" s="21" t="s">
        <v>59</v>
      </c>
      <c r="S57" s="21" t="s">
        <v>61</v>
      </c>
    </row>
    <row r="58" spans="1:19" ht="18" customHeight="1">
      <c r="A58" s="3"/>
      <c r="B58" s="149" t="s">
        <v>128</v>
      </c>
      <c r="C58" s="150"/>
      <c r="D58" s="150"/>
      <c r="E58" s="151"/>
      <c r="F58" s="22">
        <v>2</v>
      </c>
      <c r="G58" s="22" t="s">
        <v>130</v>
      </c>
      <c r="H58" s="22" t="s">
        <v>130</v>
      </c>
      <c r="I58" s="22" t="s">
        <v>130</v>
      </c>
      <c r="J58" s="97"/>
      <c r="K58" s="98"/>
      <c r="L58" s="98"/>
      <c r="M58" s="98"/>
      <c r="N58" s="98"/>
      <c r="O58" s="99"/>
      <c r="P58" s="22"/>
      <c r="Q58" s="22"/>
      <c r="R58" s="22"/>
      <c r="S58" s="22"/>
    </row>
    <row r="59" spans="1:19" ht="18" customHeight="1">
      <c r="A59" s="3"/>
      <c r="B59" s="100"/>
      <c r="C59" s="101"/>
      <c r="D59" s="101"/>
      <c r="E59" s="102"/>
      <c r="F59" s="23"/>
      <c r="G59" s="23"/>
      <c r="H59" s="23"/>
      <c r="I59" s="23"/>
      <c r="J59" s="100"/>
      <c r="K59" s="101"/>
      <c r="L59" s="101"/>
      <c r="M59" s="101"/>
      <c r="N59" s="101"/>
      <c r="O59" s="102"/>
      <c r="P59" s="23"/>
      <c r="Q59" s="23"/>
      <c r="R59" s="23"/>
      <c r="S59" s="23"/>
    </row>
    <row r="60" spans="1:19" ht="18" customHeight="1">
      <c r="A60" s="3"/>
      <c r="B60" s="100"/>
      <c r="C60" s="101"/>
      <c r="D60" s="101"/>
      <c r="E60" s="102"/>
      <c r="F60" s="23"/>
      <c r="G60" s="23"/>
      <c r="H60" s="23"/>
      <c r="I60" s="23"/>
      <c r="J60" s="100"/>
      <c r="K60" s="101"/>
      <c r="L60" s="101"/>
      <c r="M60" s="101"/>
      <c r="N60" s="101"/>
      <c r="O60" s="102"/>
      <c r="P60" s="23"/>
      <c r="Q60" s="23"/>
      <c r="R60" s="23"/>
      <c r="S60" s="23"/>
    </row>
    <row r="61" spans="1:19" ht="18" customHeight="1">
      <c r="A61" s="3"/>
      <c r="B61" s="100"/>
      <c r="C61" s="101"/>
      <c r="D61" s="101"/>
      <c r="E61" s="102"/>
      <c r="F61" s="23"/>
      <c r="G61" s="23"/>
      <c r="H61" s="23"/>
      <c r="I61" s="23"/>
      <c r="J61" s="100"/>
      <c r="K61" s="101"/>
      <c r="L61" s="101"/>
      <c r="M61" s="101"/>
      <c r="N61" s="101"/>
      <c r="O61" s="102"/>
      <c r="P61" s="23"/>
      <c r="Q61" s="23"/>
      <c r="R61" s="23"/>
      <c r="S61" s="23"/>
    </row>
    <row r="62" spans="1:19" ht="18" customHeight="1">
      <c r="A62" s="3"/>
      <c r="B62" s="100"/>
      <c r="C62" s="101"/>
      <c r="D62" s="101"/>
      <c r="E62" s="102"/>
      <c r="F62" s="23"/>
      <c r="G62" s="23"/>
      <c r="H62" s="23"/>
      <c r="I62" s="23"/>
      <c r="J62" s="100"/>
      <c r="K62" s="101"/>
      <c r="L62" s="101"/>
      <c r="M62" s="101"/>
      <c r="N62" s="101"/>
      <c r="O62" s="102"/>
      <c r="P62" s="23"/>
      <c r="Q62" s="23"/>
      <c r="R62" s="23"/>
      <c r="S62" s="23"/>
    </row>
    <row r="63" spans="1:19" ht="18" customHeight="1">
      <c r="A63" s="3"/>
      <c r="B63" s="100"/>
      <c r="C63" s="101"/>
      <c r="D63" s="101"/>
      <c r="E63" s="102"/>
      <c r="F63" s="23"/>
      <c r="G63" s="23"/>
      <c r="H63" s="23"/>
      <c r="I63" s="23"/>
      <c r="J63" s="100"/>
      <c r="K63" s="101"/>
      <c r="L63" s="101"/>
      <c r="M63" s="101"/>
      <c r="N63" s="101"/>
      <c r="O63" s="102"/>
      <c r="P63" s="23"/>
      <c r="Q63" s="23"/>
      <c r="R63" s="23"/>
      <c r="S63" s="23"/>
    </row>
    <row r="64" spans="1:19" ht="18" customHeight="1">
      <c r="A64" s="3"/>
      <c r="B64" s="106"/>
      <c r="C64" s="107"/>
      <c r="D64" s="107"/>
      <c r="E64" s="108"/>
      <c r="F64" s="24"/>
      <c r="G64" s="24"/>
      <c r="H64" s="25"/>
      <c r="I64" s="25"/>
      <c r="J64" s="106"/>
      <c r="K64" s="107"/>
      <c r="L64" s="107"/>
      <c r="M64" s="107"/>
      <c r="N64" s="107"/>
      <c r="O64" s="108"/>
      <c r="P64" s="24"/>
      <c r="Q64" s="24"/>
      <c r="R64" s="25"/>
      <c r="S64" s="25"/>
    </row>
    <row r="65" spans="1:19" ht="7.5" customHeight="1">
      <c r="B65" s="15"/>
      <c r="C65" s="15"/>
      <c r="D65" s="15"/>
      <c r="E65" s="15"/>
      <c r="F65" s="15"/>
      <c r="G65" s="15"/>
      <c r="H65" s="15"/>
      <c r="I65" s="15"/>
      <c r="J65" s="15"/>
      <c r="K65" s="15"/>
      <c r="L65" s="15"/>
      <c r="M65" s="15"/>
      <c r="N65" s="15"/>
      <c r="O65" s="15"/>
      <c r="P65" s="15"/>
      <c r="Q65" s="15"/>
      <c r="R65" s="15"/>
    </row>
    <row r="66" spans="1:19" ht="18" customHeight="1">
      <c r="A66" s="109" t="s">
        <v>118</v>
      </c>
      <c r="B66" s="109"/>
      <c r="C66" s="109"/>
      <c r="D66" s="109"/>
      <c r="E66" s="109"/>
      <c r="F66" s="109"/>
      <c r="G66" s="109"/>
      <c r="H66" s="109"/>
      <c r="I66" s="109"/>
      <c r="J66" s="109"/>
      <c r="K66" s="109"/>
      <c r="L66" s="109"/>
      <c r="M66" s="109"/>
      <c r="N66" s="109"/>
      <c r="O66" s="109"/>
      <c r="P66" s="109"/>
      <c r="Q66" s="109"/>
      <c r="R66" s="109"/>
      <c r="S66" s="109"/>
    </row>
    <row r="67" spans="1:19" ht="18" customHeight="1">
      <c r="A67" s="109"/>
      <c r="B67" s="109"/>
      <c r="C67" s="109"/>
      <c r="D67" s="109"/>
      <c r="E67" s="109"/>
      <c r="F67" s="109"/>
      <c r="G67" s="109"/>
      <c r="H67" s="109"/>
      <c r="I67" s="109"/>
      <c r="J67" s="109"/>
      <c r="K67" s="109"/>
      <c r="L67" s="109"/>
      <c r="M67" s="109"/>
      <c r="N67" s="109"/>
      <c r="O67" s="109"/>
      <c r="P67" s="109"/>
      <c r="Q67" s="109"/>
      <c r="R67" s="109"/>
      <c r="S67" s="109"/>
    </row>
    <row r="68" spans="1:19" ht="18" customHeight="1">
      <c r="B68" s="103" t="s">
        <v>54</v>
      </c>
      <c r="C68" s="104"/>
      <c r="D68" s="104"/>
      <c r="E68" s="57" t="s">
        <v>81</v>
      </c>
      <c r="F68" s="56" t="s">
        <v>85</v>
      </c>
      <c r="G68" s="21" t="s">
        <v>102</v>
      </c>
      <c r="H68" s="21" t="s">
        <v>76</v>
      </c>
      <c r="I68" s="21" t="s">
        <v>77</v>
      </c>
      <c r="J68" s="103" t="s">
        <v>54</v>
      </c>
      <c r="K68" s="104"/>
      <c r="L68" s="104"/>
      <c r="M68" s="104"/>
      <c r="N68" s="105"/>
      <c r="O68" s="57" t="s">
        <v>81</v>
      </c>
      <c r="P68" s="56" t="s">
        <v>85</v>
      </c>
      <c r="Q68" s="21" t="s">
        <v>102</v>
      </c>
      <c r="R68" s="21" t="s">
        <v>76</v>
      </c>
      <c r="S68" s="21" t="s">
        <v>77</v>
      </c>
    </row>
    <row r="69" spans="1:19" ht="18" customHeight="1">
      <c r="A69" s="3"/>
      <c r="B69" s="97" t="s">
        <v>128</v>
      </c>
      <c r="C69" s="98"/>
      <c r="D69" s="98"/>
      <c r="E69" s="22">
        <v>2</v>
      </c>
      <c r="F69" s="22" t="s">
        <v>130</v>
      </c>
      <c r="G69" s="22" t="s">
        <v>130</v>
      </c>
      <c r="H69" s="22" t="s">
        <v>130</v>
      </c>
      <c r="I69" s="22" t="s">
        <v>130</v>
      </c>
      <c r="J69" s="97"/>
      <c r="K69" s="98"/>
      <c r="L69" s="98"/>
      <c r="M69" s="98"/>
      <c r="N69" s="99"/>
      <c r="O69" s="22"/>
      <c r="P69" s="22"/>
      <c r="Q69" s="22"/>
      <c r="R69" s="22"/>
      <c r="S69" s="22"/>
    </row>
    <row r="70" spans="1:19" ht="18" customHeight="1">
      <c r="A70" s="3"/>
      <c r="B70" s="100"/>
      <c r="C70" s="101"/>
      <c r="D70" s="101"/>
      <c r="E70" s="23"/>
      <c r="F70" s="23"/>
      <c r="G70" s="23"/>
      <c r="H70" s="23"/>
      <c r="I70" s="23"/>
      <c r="J70" s="100"/>
      <c r="K70" s="101"/>
      <c r="L70" s="101"/>
      <c r="M70" s="101"/>
      <c r="N70" s="102"/>
      <c r="O70" s="23"/>
      <c r="P70" s="23"/>
      <c r="Q70" s="23"/>
      <c r="R70" s="23"/>
      <c r="S70" s="23"/>
    </row>
    <row r="71" spans="1:19" ht="18" customHeight="1">
      <c r="A71" s="3"/>
      <c r="B71" s="100"/>
      <c r="C71" s="101"/>
      <c r="D71" s="101"/>
      <c r="E71" s="23"/>
      <c r="F71" s="23"/>
      <c r="G71" s="23"/>
      <c r="H71" s="23"/>
      <c r="I71" s="23"/>
      <c r="J71" s="100"/>
      <c r="K71" s="101"/>
      <c r="L71" s="101"/>
      <c r="M71" s="101"/>
      <c r="N71" s="102"/>
      <c r="O71" s="23"/>
      <c r="P71" s="23"/>
      <c r="Q71" s="23"/>
      <c r="R71" s="23"/>
      <c r="S71" s="23"/>
    </row>
    <row r="72" spans="1:19" ht="18" customHeight="1">
      <c r="A72" s="3"/>
      <c r="B72" s="100"/>
      <c r="C72" s="101"/>
      <c r="D72" s="101"/>
      <c r="E72" s="23"/>
      <c r="F72" s="23"/>
      <c r="G72" s="23"/>
      <c r="H72" s="23"/>
      <c r="I72" s="23"/>
      <c r="J72" s="100"/>
      <c r="K72" s="101"/>
      <c r="L72" s="101"/>
      <c r="M72" s="101"/>
      <c r="N72" s="102"/>
      <c r="O72" s="23"/>
      <c r="P72" s="23"/>
      <c r="Q72" s="23"/>
      <c r="R72" s="23"/>
      <c r="S72" s="23"/>
    </row>
    <row r="73" spans="1:19" ht="18" customHeight="1">
      <c r="A73" s="3"/>
      <c r="B73" s="100"/>
      <c r="C73" s="101"/>
      <c r="D73" s="101"/>
      <c r="E73" s="23"/>
      <c r="F73" s="23"/>
      <c r="G73" s="23"/>
      <c r="H73" s="23"/>
      <c r="I73" s="23"/>
      <c r="J73" s="100"/>
      <c r="K73" s="101"/>
      <c r="L73" s="101"/>
      <c r="M73" s="101"/>
      <c r="N73" s="102"/>
      <c r="O73" s="23"/>
      <c r="P73" s="23"/>
      <c r="Q73" s="23"/>
      <c r="R73" s="23"/>
      <c r="S73" s="23"/>
    </row>
    <row r="74" spans="1:19" ht="18" customHeight="1">
      <c r="A74" s="3"/>
      <c r="B74" s="100"/>
      <c r="C74" s="101"/>
      <c r="D74" s="101"/>
      <c r="E74" s="23"/>
      <c r="F74" s="23"/>
      <c r="G74" s="23"/>
      <c r="H74" s="23"/>
      <c r="I74" s="23"/>
      <c r="J74" s="100"/>
      <c r="K74" s="101"/>
      <c r="L74" s="101"/>
      <c r="M74" s="101"/>
      <c r="N74" s="102"/>
      <c r="O74" s="23"/>
      <c r="P74" s="23"/>
      <c r="Q74" s="23"/>
      <c r="R74" s="23"/>
      <c r="S74" s="23"/>
    </row>
    <row r="75" spans="1:19" ht="18" customHeight="1">
      <c r="A75" s="3"/>
      <c r="B75" s="106"/>
      <c r="C75" s="107"/>
      <c r="D75" s="107"/>
      <c r="E75" s="24"/>
      <c r="F75" s="24"/>
      <c r="G75" s="25"/>
      <c r="H75" s="25"/>
      <c r="I75" s="25"/>
      <c r="J75" s="106"/>
      <c r="K75" s="107"/>
      <c r="L75" s="107"/>
      <c r="M75" s="107"/>
      <c r="N75" s="108"/>
      <c r="O75" s="24"/>
      <c r="P75" s="24"/>
      <c r="Q75" s="25"/>
      <c r="R75" s="25"/>
      <c r="S75" s="25"/>
    </row>
    <row r="76" spans="1:19" ht="7.5" customHeight="1">
      <c r="B76" s="15"/>
      <c r="C76" s="15"/>
      <c r="D76" s="15"/>
      <c r="E76" s="15"/>
      <c r="F76" s="15"/>
      <c r="G76" s="15"/>
      <c r="H76" s="15"/>
      <c r="I76" s="15"/>
      <c r="J76" s="15"/>
      <c r="K76" s="15"/>
      <c r="L76" s="15"/>
      <c r="M76" s="15"/>
      <c r="N76" s="15"/>
      <c r="O76" s="15"/>
      <c r="P76" s="15"/>
      <c r="Q76" s="15"/>
      <c r="R76" s="15"/>
    </row>
    <row r="77" spans="1:19" ht="18" customHeight="1">
      <c r="A77" s="1" t="s">
        <v>119</v>
      </c>
      <c r="H77" s="3"/>
      <c r="I77" s="3"/>
      <c r="J77" s="3"/>
      <c r="K77" s="3"/>
      <c r="L77" s="3"/>
      <c r="M77" s="3"/>
      <c r="N77" s="3"/>
      <c r="O77" s="3"/>
      <c r="P77" s="3"/>
      <c r="Q77" s="3"/>
      <c r="R77" s="3"/>
      <c r="S77" s="3"/>
    </row>
    <row r="78" spans="1:19" ht="18" customHeight="1">
      <c r="B78" s="103" t="s">
        <v>54</v>
      </c>
      <c r="C78" s="104"/>
      <c r="D78" s="104"/>
      <c r="E78" s="105"/>
      <c r="F78" s="103" t="s">
        <v>83</v>
      </c>
      <c r="G78" s="104"/>
      <c r="H78" s="104"/>
      <c r="I78" s="105"/>
      <c r="J78" s="130" t="s">
        <v>54</v>
      </c>
      <c r="K78" s="131"/>
      <c r="L78" s="131"/>
      <c r="M78" s="131"/>
      <c r="N78" s="131"/>
      <c r="O78" s="132"/>
      <c r="P78" s="103" t="s">
        <v>83</v>
      </c>
      <c r="Q78" s="104"/>
      <c r="R78" s="104"/>
      <c r="S78" s="105"/>
    </row>
    <row r="79" spans="1:19" ht="18" customHeight="1">
      <c r="A79" s="3"/>
      <c r="B79" s="97"/>
      <c r="C79" s="98"/>
      <c r="D79" s="98"/>
      <c r="E79" s="99"/>
      <c r="F79" s="124"/>
      <c r="G79" s="125"/>
      <c r="H79" s="125"/>
      <c r="I79" s="126"/>
      <c r="J79" s="97"/>
      <c r="K79" s="98"/>
      <c r="L79" s="98"/>
      <c r="M79" s="98"/>
      <c r="N79" s="98"/>
      <c r="O79" s="99"/>
      <c r="P79" s="124"/>
      <c r="Q79" s="125"/>
      <c r="R79" s="125"/>
      <c r="S79" s="126"/>
    </row>
    <row r="80" spans="1:19" ht="18" customHeight="1">
      <c r="A80" s="3"/>
      <c r="B80" s="100"/>
      <c r="C80" s="101"/>
      <c r="D80" s="101"/>
      <c r="E80" s="102"/>
      <c r="F80" s="127"/>
      <c r="G80" s="128"/>
      <c r="H80" s="128"/>
      <c r="I80" s="129"/>
      <c r="J80" s="100"/>
      <c r="K80" s="101"/>
      <c r="L80" s="101"/>
      <c r="M80" s="101"/>
      <c r="N80" s="101"/>
      <c r="O80" s="102"/>
      <c r="P80" s="127"/>
      <c r="Q80" s="128"/>
      <c r="R80" s="128"/>
      <c r="S80" s="129"/>
    </row>
    <row r="81" spans="1:19" ht="18" customHeight="1">
      <c r="A81" s="3"/>
      <c r="B81" s="100"/>
      <c r="C81" s="101"/>
      <c r="D81" s="101"/>
      <c r="E81" s="102"/>
      <c r="F81" s="127"/>
      <c r="G81" s="128"/>
      <c r="H81" s="128"/>
      <c r="I81" s="129"/>
      <c r="J81" s="100"/>
      <c r="K81" s="101"/>
      <c r="L81" s="101"/>
      <c r="M81" s="101"/>
      <c r="N81" s="101"/>
      <c r="O81" s="102"/>
      <c r="P81" s="127"/>
      <c r="Q81" s="128"/>
      <c r="R81" s="128"/>
      <c r="S81" s="129"/>
    </row>
    <row r="82" spans="1:19" ht="18" customHeight="1">
      <c r="A82" s="3"/>
      <c r="B82" s="100"/>
      <c r="C82" s="101"/>
      <c r="D82" s="101"/>
      <c r="E82" s="102"/>
      <c r="F82" s="127"/>
      <c r="G82" s="128"/>
      <c r="H82" s="128"/>
      <c r="I82" s="129"/>
      <c r="J82" s="100"/>
      <c r="K82" s="101"/>
      <c r="L82" s="101"/>
      <c r="M82" s="101"/>
      <c r="N82" s="101"/>
      <c r="O82" s="102"/>
      <c r="P82" s="127"/>
      <c r="Q82" s="128"/>
      <c r="R82" s="128"/>
      <c r="S82" s="129"/>
    </row>
    <row r="83" spans="1:19" ht="18" customHeight="1">
      <c r="A83" s="3"/>
      <c r="B83" s="100"/>
      <c r="C83" s="101"/>
      <c r="D83" s="101"/>
      <c r="E83" s="102"/>
      <c r="F83" s="127"/>
      <c r="G83" s="128"/>
      <c r="H83" s="128"/>
      <c r="I83" s="129"/>
      <c r="J83" s="100"/>
      <c r="K83" s="101"/>
      <c r="L83" s="101"/>
      <c r="M83" s="101"/>
      <c r="N83" s="101"/>
      <c r="O83" s="102"/>
      <c r="P83" s="127"/>
      <c r="Q83" s="128"/>
      <c r="R83" s="128"/>
      <c r="S83" s="129"/>
    </row>
    <row r="84" spans="1:19" ht="18" customHeight="1">
      <c r="A84" s="3"/>
      <c r="B84" s="100"/>
      <c r="C84" s="101"/>
      <c r="D84" s="101"/>
      <c r="E84" s="102"/>
      <c r="F84" s="127"/>
      <c r="G84" s="128"/>
      <c r="H84" s="128"/>
      <c r="I84" s="129"/>
      <c r="J84" s="100"/>
      <c r="K84" s="101"/>
      <c r="L84" s="101"/>
      <c r="M84" s="101"/>
      <c r="N84" s="101"/>
      <c r="O84" s="102"/>
      <c r="P84" s="127"/>
      <c r="Q84" s="128"/>
      <c r="R84" s="128"/>
      <c r="S84" s="129"/>
    </row>
    <row r="85" spans="1:19" ht="18" customHeight="1">
      <c r="A85" s="3"/>
      <c r="B85" s="106"/>
      <c r="C85" s="107"/>
      <c r="D85" s="107"/>
      <c r="E85" s="108"/>
      <c r="F85" s="136"/>
      <c r="G85" s="137"/>
      <c r="H85" s="137"/>
      <c r="I85" s="138"/>
      <c r="J85" s="106"/>
      <c r="K85" s="107"/>
      <c r="L85" s="107"/>
      <c r="M85" s="107"/>
      <c r="N85" s="107"/>
      <c r="O85" s="108"/>
      <c r="P85" s="136"/>
      <c r="Q85" s="137"/>
      <c r="R85" s="137"/>
      <c r="S85" s="138"/>
    </row>
    <row r="86" spans="1:19" ht="18" customHeight="1">
      <c r="A86" s="3"/>
      <c r="B86" s="6"/>
      <c r="C86" s="6"/>
      <c r="D86" s="6"/>
      <c r="E86" s="6"/>
      <c r="F86" s="26"/>
      <c r="G86" s="26"/>
      <c r="H86" s="26"/>
      <c r="I86" s="26"/>
      <c r="J86" s="6"/>
      <c r="K86" s="6"/>
      <c r="L86" s="6"/>
      <c r="M86" s="6"/>
      <c r="N86" s="6"/>
      <c r="O86" s="6"/>
      <c r="P86" s="26"/>
      <c r="Q86" s="26"/>
      <c r="R86" s="26"/>
      <c r="S86" s="26"/>
    </row>
    <row r="87" spans="1:19" ht="18.75" customHeight="1">
      <c r="A87" s="1" t="s">
        <v>120</v>
      </c>
    </row>
    <row r="88" spans="1:19" ht="18.75" customHeight="1">
      <c r="B88" s="122" t="s">
        <v>55</v>
      </c>
      <c r="C88" s="123"/>
      <c r="D88" s="104" t="s">
        <v>56</v>
      </c>
      <c r="E88" s="104"/>
      <c r="F88" s="104"/>
      <c r="G88" s="104"/>
      <c r="H88" s="104"/>
      <c r="I88" s="104"/>
      <c r="J88" s="104"/>
      <c r="K88" s="104"/>
      <c r="L88" s="104"/>
      <c r="M88" s="104"/>
      <c r="N88" s="104"/>
      <c r="O88" s="104"/>
      <c r="P88" s="104"/>
      <c r="Q88" s="104"/>
      <c r="R88" s="104"/>
      <c r="S88" s="105"/>
    </row>
    <row r="89" spans="1:19" ht="111" customHeight="1">
      <c r="B89" s="110" t="s">
        <v>62</v>
      </c>
      <c r="C89" s="27" t="s">
        <v>57</v>
      </c>
      <c r="D89" s="119" t="s">
        <v>176</v>
      </c>
      <c r="E89" s="120"/>
      <c r="F89" s="120"/>
      <c r="G89" s="120"/>
      <c r="H89" s="120"/>
      <c r="I89" s="120"/>
      <c r="J89" s="120"/>
      <c r="K89" s="120"/>
      <c r="L89" s="120"/>
      <c r="M89" s="120"/>
      <c r="N89" s="120"/>
      <c r="O89" s="120"/>
      <c r="P89" s="120"/>
      <c r="Q89" s="120"/>
      <c r="R89" s="120"/>
      <c r="S89" s="121"/>
    </row>
    <row r="90" spans="1:19" ht="56.25" customHeight="1">
      <c r="B90" s="111"/>
      <c r="C90" s="28" t="s">
        <v>78</v>
      </c>
      <c r="D90" s="139" t="s">
        <v>166</v>
      </c>
      <c r="E90" s="140"/>
      <c r="F90" s="140"/>
      <c r="G90" s="140"/>
      <c r="H90" s="140"/>
      <c r="I90" s="140"/>
      <c r="J90" s="140"/>
      <c r="K90" s="140"/>
      <c r="L90" s="140"/>
      <c r="M90" s="140"/>
      <c r="N90" s="140"/>
      <c r="O90" s="140"/>
      <c r="P90" s="140"/>
      <c r="Q90" s="140"/>
      <c r="R90" s="140"/>
      <c r="S90" s="141"/>
    </row>
    <row r="91" spans="1:19" ht="93.75" customHeight="1">
      <c r="B91" s="110" t="s">
        <v>63</v>
      </c>
      <c r="C91" s="29" t="s">
        <v>72</v>
      </c>
      <c r="D91" s="142" t="s">
        <v>155</v>
      </c>
      <c r="E91" s="143"/>
      <c r="F91" s="143"/>
      <c r="G91" s="143"/>
      <c r="H91" s="143"/>
      <c r="I91" s="143"/>
      <c r="J91" s="143"/>
      <c r="K91" s="143"/>
      <c r="L91" s="143"/>
      <c r="M91" s="143"/>
      <c r="N91" s="143"/>
      <c r="O91" s="143"/>
      <c r="P91" s="143"/>
      <c r="Q91" s="143"/>
      <c r="R91" s="143"/>
      <c r="S91" s="144"/>
    </row>
    <row r="92" spans="1:19" ht="72" customHeight="1">
      <c r="B92" s="112"/>
      <c r="C92" s="30" t="s">
        <v>73</v>
      </c>
      <c r="D92" s="139" t="s">
        <v>168</v>
      </c>
      <c r="E92" s="140"/>
      <c r="F92" s="140"/>
      <c r="G92" s="140"/>
      <c r="H92" s="140"/>
      <c r="I92" s="140"/>
      <c r="J92" s="140"/>
      <c r="K92" s="140"/>
      <c r="L92" s="140"/>
      <c r="M92" s="140"/>
      <c r="N92" s="140"/>
      <c r="O92" s="140"/>
      <c r="P92" s="140"/>
      <c r="Q92" s="140"/>
      <c r="R92" s="140"/>
      <c r="S92" s="141"/>
    </row>
    <row r="93" spans="1:19" ht="103.5" customHeight="1">
      <c r="B93" s="110" t="s">
        <v>64</v>
      </c>
      <c r="C93" s="29" t="s">
        <v>74</v>
      </c>
      <c r="D93" s="119" t="s">
        <v>167</v>
      </c>
      <c r="E93" s="120"/>
      <c r="F93" s="120"/>
      <c r="G93" s="120"/>
      <c r="H93" s="120"/>
      <c r="I93" s="120"/>
      <c r="J93" s="120"/>
      <c r="K93" s="120"/>
      <c r="L93" s="120"/>
      <c r="M93" s="120"/>
      <c r="N93" s="120"/>
      <c r="O93" s="120"/>
      <c r="P93" s="120"/>
      <c r="Q93" s="120"/>
      <c r="R93" s="120"/>
      <c r="S93" s="121"/>
    </row>
    <row r="94" spans="1:19" ht="76.5" customHeight="1">
      <c r="B94" s="112"/>
      <c r="C94" s="31" t="s">
        <v>75</v>
      </c>
      <c r="D94" s="139" t="s">
        <v>156</v>
      </c>
      <c r="E94" s="140"/>
      <c r="F94" s="140"/>
      <c r="G94" s="140"/>
      <c r="H94" s="140"/>
      <c r="I94" s="140"/>
      <c r="J94" s="140"/>
      <c r="K94" s="140"/>
      <c r="L94" s="140"/>
      <c r="M94" s="140"/>
      <c r="N94" s="140"/>
      <c r="O94" s="140"/>
      <c r="P94" s="140"/>
      <c r="Q94" s="140"/>
      <c r="R94" s="140"/>
      <c r="S94" s="141"/>
    </row>
    <row r="95" spans="1:19" ht="129" customHeight="1">
      <c r="B95" s="110" t="s">
        <v>79</v>
      </c>
      <c r="C95" s="27" t="s">
        <v>59</v>
      </c>
      <c r="D95" s="119" t="s">
        <v>157</v>
      </c>
      <c r="E95" s="120"/>
      <c r="F95" s="120"/>
      <c r="G95" s="120"/>
      <c r="H95" s="120"/>
      <c r="I95" s="120"/>
      <c r="J95" s="120"/>
      <c r="K95" s="120"/>
      <c r="L95" s="120"/>
      <c r="M95" s="120"/>
      <c r="N95" s="120"/>
      <c r="O95" s="120"/>
      <c r="P95" s="120"/>
      <c r="Q95" s="120"/>
      <c r="R95" s="120"/>
      <c r="S95" s="121"/>
    </row>
    <row r="96" spans="1:19" ht="73.5" customHeight="1">
      <c r="B96" s="112"/>
      <c r="C96" s="30" t="s">
        <v>61</v>
      </c>
      <c r="D96" s="139" t="s">
        <v>158</v>
      </c>
      <c r="E96" s="140"/>
      <c r="F96" s="140"/>
      <c r="G96" s="140"/>
      <c r="H96" s="140"/>
      <c r="I96" s="140"/>
      <c r="J96" s="140"/>
      <c r="K96" s="140"/>
      <c r="L96" s="140"/>
      <c r="M96" s="140"/>
      <c r="N96" s="140"/>
      <c r="O96" s="140"/>
      <c r="P96" s="140"/>
      <c r="Q96" s="140"/>
      <c r="R96" s="140"/>
      <c r="S96" s="141"/>
    </row>
    <row r="97" spans="1:19" ht="181.5" customHeight="1">
      <c r="B97" s="110" t="s">
        <v>80</v>
      </c>
      <c r="C97" s="29" t="s">
        <v>58</v>
      </c>
      <c r="D97" s="113" t="s">
        <v>169</v>
      </c>
      <c r="E97" s="114"/>
      <c r="F97" s="114"/>
      <c r="G97" s="114"/>
      <c r="H97" s="114"/>
      <c r="I97" s="114"/>
      <c r="J97" s="114"/>
      <c r="K97" s="114"/>
      <c r="L97" s="114"/>
      <c r="M97" s="114"/>
      <c r="N97" s="114"/>
      <c r="O97" s="114"/>
      <c r="P97" s="114"/>
      <c r="Q97" s="114"/>
      <c r="R97" s="114"/>
      <c r="S97" s="115"/>
    </row>
    <row r="98" spans="1:19" ht="111" customHeight="1">
      <c r="B98" s="111"/>
      <c r="C98" s="32" t="s">
        <v>76</v>
      </c>
      <c r="D98" s="145" t="s">
        <v>148</v>
      </c>
      <c r="E98" s="146"/>
      <c r="F98" s="146"/>
      <c r="G98" s="146"/>
      <c r="H98" s="146"/>
      <c r="I98" s="146"/>
      <c r="J98" s="146"/>
      <c r="K98" s="146"/>
      <c r="L98" s="146"/>
      <c r="M98" s="146"/>
      <c r="N98" s="146"/>
      <c r="O98" s="146"/>
      <c r="P98" s="146"/>
      <c r="Q98" s="146"/>
      <c r="R98" s="146"/>
      <c r="S98" s="147"/>
    </row>
    <row r="99" spans="1:19" ht="88.5" customHeight="1">
      <c r="B99" s="112"/>
      <c r="C99" s="31" t="s">
        <v>77</v>
      </c>
      <c r="D99" s="116" t="s">
        <v>159</v>
      </c>
      <c r="E99" s="117"/>
      <c r="F99" s="117"/>
      <c r="G99" s="117"/>
      <c r="H99" s="117"/>
      <c r="I99" s="117"/>
      <c r="J99" s="117"/>
      <c r="K99" s="117"/>
      <c r="L99" s="117"/>
      <c r="M99" s="117"/>
      <c r="N99" s="117"/>
      <c r="O99" s="117"/>
      <c r="P99" s="117"/>
      <c r="Q99" s="117"/>
      <c r="R99" s="117"/>
      <c r="S99" s="118"/>
    </row>
    <row r="100" spans="1:19" ht="6" customHeight="1"/>
    <row r="101" spans="1:19" ht="18.75" customHeight="1">
      <c r="A101" s="1" t="s">
        <v>121</v>
      </c>
    </row>
    <row r="102" spans="1:19" ht="81.75" customHeight="1">
      <c r="B102" s="133" t="s">
        <v>149</v>
      </c>
      <c r="C102" s="134"/>
      <c r="D102" s="134"/>
      <c r="E102" s="134"/>
      <c r="F102" s="134"/>
      <c r="G102" s="134"/>
      <c r="H102" s="134"/>
      <c r="I102" s="134"/>
      <c r="J102" s="134"/>
      <c r="K102" s="134"/>
      <c r="L102" s="134"/>
      <c r="M102" s="134"/>
      <c r="N102" s="134"/>
      <c r="O102" s="134"/>
      <c r="P102" s="134"/>
      <c r="Q102" s="134"/>
      <c r="R102" s="134"/>
      <c r="S102" s="135"/>
    </row>
    <row r="110" spans="1:19" ht="18" customHeight="1"/>
  </sheetData>
  <customSheetViews>
    <customSheetView guid="{D8827541-ABA7-43EF-AD20-B47C9E2B0126}" showPageBreaks="1" zeroValues="0" fitToPage="1" printArea="1" hiddenColumns="1" view="pageBreakPreview" topLeftCell="B1">
      <selection activeCell="B103" sqref="B103"/>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1"/>
      <headerFooter>
        <oddHeader>&amp;C数理・データサイエンス・AI教育プログラム認定制度【リテラシーレベル】</oddHeader>
      </headerFooter>
    </customSheetView>
  </customSheetViews>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2"/>
  <headerFooter>
    <oddHeader>&amp;C数理・データサイエンス・AI教育プログラム認定制度【リテラシーレベル】</oddHeader>
  </headerFooter>
  <rowBreaks count="2" manualBreakCount="2">
    <brk id="65" max="18" man="1"/>
    <brk id="94" max="18" man="1"/>
  </rowBreaks>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89"/>
  <sheetViews>
    <sheetView view="pageBreakPreview" topLeftCell="F1" zoomScaleNormal="100" zoomScaleSheetLayoutView="100" workbookViewId="0">
      <selection activeCell="D90" sqref="D90:S90"/>
    </sheetView>
  </sheetViews>
  <sheetFormatPr defaultColWidth="9" defaultRowHeight="18.75" customHeight="1"/>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c r="AQ1" s="1" t="s">
        <v>107</v>
      </c>
    </row>
    <row r="2" spans="1:45" ht="18" customHeight="1">
      <c r="K2" s="34"/>
      <c r="Q2" s="34"/>
      <c r="W2" s="34"/>
      <c r="AC2" s="34"/>
      <c r="AI2" s="34"/>
      <c r="AL2" s="34" t="s">
        <v>109</v>
      </c>
      <c r="AM2" s="177" t="str">
        <f>'様式１　プログラムを構成する授業科目'!C2</f>
        <v>名城大学</v>
      </c>
      <c r="AN2" s="177"/>
      <c r="AO2" s="177"/>
      <c r="AP2" s="177"/>
      <c r="AQ2" s="177"/>
    </row>
    <row r="3" spans="1:45" ht="18" customHeight="1">
      <c r="A3" s="155" t="s">
        <v>48</v>
      </c>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row>
    <row r="4" spans="1:45" ht="7.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c r="A5" s="1" t="s">
        <v>84</v>
      </c>
      <c r="C5" s="178" t="s">
        <v>135</v>
      </c>
      <c r="D5" s="179"/>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c r="B9" s="180" t="s">
        <v>45</v>
      </c>
      <c r="C9" s="195" t="s">
        <v>87</v>
      </c>
      <c r="D9" s="183" t="s">
        <v>47</v>
      </c>
      <c r="E9" s="186" t="s">
        <v>40</v>
      </c>
      <c r="F9" s="174" t="s">
        <v>86</v>
      </c>
      <c r="G9" s="174"/>
      <c r="H9" s="174"/>
      <c r="I9" s="174"/>
      <c r="J9" s="174"/>
      <c r="K9" s="174"/>
      <c r="L9" s="174" t="s">
        <v>49</v>
      </c>
      <c r="M9" s="174"/>
      <c r="N9" s="174"/>
      <c r="O9" s="174"/>
      <c r="P9" s="174"/>
      <c r="Q9" s="174"/>
      <c r="R9" s="174" t="s">
        <v>50</v>
      </c>
      <c r="S9" s="174"/>
      <c r="T9" s="174"/>
      <c r="U9" s="174"/>
      <c r="V9" s="174"/>
      <c r="W9" s="174"/>
      <c r="X9" s="174" t="s">
        <v>101</v>
      </c>
      <c r="Y9" s="174"/>
      <c r="Z9" s="174"/>
      <c r="AA9" s="174"/>
      <c r="AB9" s="174"/>
      <c r="AC9" s="174"/>
      <c r="AD9" s="174" t="s">
        <v>51</v>
      </c>
      <c r="AE9" s="174"/>
      <c r="AF9" s="174"/>
      <c r="AG9" s="174"/>
      <c r="AH9" s="174"/>
      <c r="AI9" s="174"/>
      <c r="AJ9" s="174" t="s">
        <v>52</v>
      </c>
      <c r="AK9" s="174"/>
      <c r="AL9" s="174"/>
      <c r="AM9" s="174"/>
      <c r="AN9" s="174"/>
      <c r="AO9" s="174"/>
      <c r="AP9" s="189" t="s">
        <v>35</v>
      </c>
      <c r="AQ9" s="192" t="s">
        <v>32</v>
      </c>
      <c r="AS9" s="2"/>
    </row>
    <row r="10" spans="1:45" ht="16.899999999999999" customHeight="1">
      <c r="B10" s="181"/>
      <c r="C10" s="196"/>
      <c r="D10" s="184"/>
      <c r="E10" s="187"/>
      <c r="F10" s="175" t="s">
        <v>97</v>
      </c>
      <c r="G10" s="176"/>
      <c r="H10" s="176"/>
      <c r="I10" s="175" t="s">
        <v>29</v>
      </c>
      <c r="J10" s="176"/>
      <c r="K10" s="176"/>
      <c r="L10" s="175" t="s">
        <v>97</v>
      </c>
      <c r="M10" s="176"/>
      <c r="N10" s="176"/>
      <c r="O10" s="175" t="s">
        <v>29</v>
      </c>
      <c r="P10" s="176"/>
      <c r="Q10" s="176"/>
      <c r="R10" s="175" t="s">
        <v>97</v>
      </c>
      <c r="S10" s="176"/>
      <c r="T10" s="176"/>
      <c r="U10" s="175" t="s">
        <v>29</v>
      </c>
      <c r="V10" s="176"/>
      <c r="W10" s="176"/>
      <c r="X10" s="175" t="s">
        <v>97</v>
      </c>
      <c r="Y10" s="176"/>
      <c r="Z10" s="176"/>
      <c r="AA10" s="175" t="s">
        <v>29</v>
      </c>
      <c r="AB10" s="176"/>
      <c r="AC10" s="176"/>
      <c r="AD10" s="175" t="s">
        <v>97</v>
      </c>
      <c r="AE10" s="176"/>
      <c r="AF10" s="176"/>
      <c r="AG10" s="175" t="s">
        <v>29</v>
      </c>
      <c r="AH10" s="176"/>
      <c r="AI10" s="176"/>
      <c r="AJ10" s="175" t="s">
        <v>97</v>
      </c>
      <c r="AK10" s="176"/>
      <c r="AL10" s="176"/>
      <c r="AM10" s="175" t="s">
        <v>29</v>
      </c>
      <c r="AN10" s="176"/>
      <c r="AO10" s="176"/>
      <c r="AP10" s="190"/>
      <c r="AQ10" s="193"/>
      <c r="AS10" s="2"/>
    </row>
    <row r="11" spans="1:45" ht="18" customHeight="1">
      <c r="B11" s="182"/>
      <c r="C11" s="197"/>
      <c r="D11" s="185"/>
      <c r="E11" s="188"/>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91"/>
      <c r="AQ11" s="194"/>
      <c r="AS11" s="2"/>
    </row>
    <row r="12" spans="1:45" ht="18" customHeight="1">
      <c r="A12" s="6"/>
      <c r="B12" s="11" t="s">
        <v>137</v>
      </c>
      <c r="C12" s="81">
        <v>1679</v>
      </c>
      <c r="D12" s="6">
        <v>400</v>
      </c>
      <c r="E12" s="80">
        <v>1600</v>
      </c>
      <c r="F12" s="60">
        <f>G12+H12</f>
        <v>273</v>
      </c>
      <c r="G12" s="61">
        <v>196</v>
      </c>
      <c r="H12" s="62">
        <v>77</v>
      </c>
      <c r="I12" s="60">
        <f>J12+K12</f>
        <v>176</v>
      </c>
      <c r="J12" s="61">
        <v>115</v>
      </c>
      <c r="K12" s="62">
        <v>61</v>
      </c>
      <c r="L12" s="60">
        <f>M12+N12</f>
        <v>0</v>
      </c>
      <c r="M12" s="61"/>
      <c r="N12" s="62"/>
      <c r="O12" s="60">
        <f>P12+Q12</f>
        <v>0</v>
      </c>
      <c r="P12" s="61"/>
      <c r="Q12" s="62"/>
      <c r="R12" s="60">
        <f>S12+T12</f>
        <v>0</v>
      </c>
      <c r="S12" s="61"/>
      <c r="T12" s="62"/>
      <c r="U12" s="60">
        <f>V12+W12</f>
        <v>0</v>
      </c>
      <c r="V12" s="61"/>
      <c r="W12" s="62"/>
      <c r="X12" s="60">
        <f>Y12+Z12</f>
        <v>0</v>
      </c>
      <c r="Y12" s="61"/>
      <c r="Z12" s="62"/>
      <c r="AA12" s="60">
        <f>AB12+AC12</f>
        <v>0</v>
      </c>
      <c r="AB12" s="61"/>
      <c r="AC12" s="62"/>
      <c r="AD12" s="60">
        <f>AE12+AF12</f>
        <v>0</v>
      </c>
      <c r="AE12" s="61"/>
      <c r="AF12" s="62"/>
      <c r="AG12" s="60">
        <f>AH12+AI12</f>
        <v>0</v>
      </c>
      <c r="AH12" s="61"/>
      <c r="AI12" s="62"/>
      <c r="AJ12" s="60">
        <f>AK12+AL12</f>
        <v>0</v>
      </c>
      <c r="AK12" s="61"/>
      <c r="AL12" s="62"/>
      <c r="AM12" s="60">
        <f>AN12+AO12</f>
        <v>0</v>
      </c>
      <c r="AN12" s="61"/>
      <c r="AO12" s="62"/>
      <c r="AP12" s="59">
        <f>F12+L12+R12+X12+AD12+AJ12</f>
        <v>273</v>
      </c>
      <c r="AQ12" s="84">
        <f t="shared" ref="AQ12:AQ32" si="0">AP12/E12</f>
        <v>0.170625</v>
      </c>
    </row>
    <row r="13" spans="1:45" ht="18" customHeight="1">
      <c r="A13" s="6"/>
      <c r="B13" s="12" t="s">
        <v>138</v>
      </c>
      <c r="C13" s="82">
        <v>1331</v>
      </c>
      <c r="D13" s="79">
        <v>310</v>
      </c>
      <c r="E13" s="78">
        <v>1240</v>
      </c>
      <c r="F13" s="66">
        <f t="shared" ref="F13:F31" si="1">G13+H13</f>
        <v>616</v>
      </c>
      <c r="G13" s="67">
        <v>338</v>
      </c>
      <c r="H13" s="68">
        <v>278</v>
      </c>
      <c r="I13" s="66">
        <f t="shared" ref="I13:I31" si="2">J13+K13</f>
        <v>507</v>
      </c>
      <c r="J13" s="67">
        <v>265</v>
      </c>
      <c r="K13" s="68">
        <v>242</v>
      </c>
      <c r="L13" s="66">
        <f t="shared" ref="L13:L31" si="3">M13+N13</f>
        <v>0</v>
      </c>
      <c r="M13" s="67"/>
      <c r="N13" s="68"/>
      <c r="O13" s="66">
        <f t="shared" ref="O13:O31" si="4">P13+Q13</f>
        <v>0</v>
      </c>
      <c r="P13" s="67"/>
      <c r="Q13" s="68"/>
      <c r="R13" s="66">
        <f t="shared" ref="R13:R31" si="5">S13+T13</f>
        <v>0</v>
      </c>
      <c r="S13" s="67"/>
      <c r="T13" s="68"/>
      <c r="U13" s="66">
        <f t="shared" ref="U13:U31" si="6">V13+W13</f>
        <v>0</v>
      </c>
      <c r="V13" s="67"/>
      <c r="W13" s="68"/>
      <c r="X13" s="66">
        <f t="shared" ref="X13:X31" si="7">Y13+Z13</f>
        <v>0</v>
      </c>
      <c r="Y13" s="67"/>
      <c r="Z13" s="68"/>
      <c r="AA13" s="66">
        <f t="shared" ref="AA13:AA31" si="8">AB13+AC13</f>
        <v>0</v>
      </c>
      <c r="AB13" s="67"/>
      <c r="AC13" s="68"/>
      <c r="AD13" s="66">
        <f t="shared" ref="AD13:AD31" si="9">AE13+AF13</f>
        <v>0</v>
      </c>
      <c r="AE13" s="67"/>
      <c r="AF13" s="68"/>
      <c r="AG13" s="66">
        <f t="shared" ref="AG13:AG31" si="10">AH13+AI13</f>
        <v>0</v>
      </c>
      <c r="AH13" s="67"/>
      <c r="AI13" s="68"/>
      <c r="AJ13" s="66">
        <f t="shared" ref="AJ13:AJ31" si="11">AK13+AL13</f>
        <v>0</v>
      </c>
      <c r="AK13" s="67"/>
      <c r="AL13" s="68"/>
      <c r="AM13" s="66">
        <f t="shared" ref="AM13:AM31" si="12">AN13+AO13</f>
        <v>0</v>
      </c>
      <c r="AN13" s="67"/>
      <c r="AO13" s="68"/>
      <c r="AP13" s="64">
        <f t="shared" ref="AP13:AP31" si="13">F13+L13+R13+X13+AD13+AJ13</f>
        <v>616</v>
      </c>
      <c r="AQ13" s="20">
        <f t="shared" si="0"/>
        <v>0.49677419354838709</v>
      </c>
    </row>
    <row r="14" spans="1:45" ht="18" customHeight="1">
      <c r="A14" s="6"/>
      <c r="B14" s="12" t="s">
        <v>139</v>
      </c>
      <c r="C14" s="82">
        <v>1303</v>
      </c>
      <c r="D14" s="79">
        <v>310</v>
      </c>
      <c r="E14" s="78">
        <v>1240</v>
      </c>
      <c r="F14" s="66">
        <f t="shared" si="1"/>
        <v>231</v>
      </c>
      <c r="G14" s="67">
        <v>155</v>
      </c>
      <c r="H14" s="68">
        <v>76</v>
      </c>
      <c r="I14" s="66">
        <f t="shared" si="2"/>
        <v>178</v>
      </c>
      <c r="J14" s="67">
        <v>117</v>
      </c>
      <c r="K14" s="68">
        <v>61</v>
      </c>
      <c r="L14" s="66">
        <f t="shared" si="3"/>
        <v>0</v>
      </c>
      <c r="M14" s="67"/>
      <c r="N14" s="68"/>
      <c r="O14" s="66">
        <f t="shared" si="4"/>
        <v>0</v>
      </c>
      <c r="P14" s="67"/>
      <c r="Q14" s="68"/>
      <c r="R14" s="66">
        <f t="shared" si="5"/>
        <v>0</v>
      </c>
      <c r="S14" s="67"/>
      <c r="T14" s="68"/>
      <c r="U14" s="66">
        <f t="shared" si="6"/>
        <v>0</v>
      </c>
      <c r="V14" s="67"/>
      <c r="W14" s="68"/>
      <c r="X14" s="66">
        <f t="shared" si="7"/>
        <v>0</v>
      </c>
      <c r="Y14" s="67"/>
      <c r="Z14" s="68"/>
      <c r="AA14" s="66">
        <f t="shared" si="8"/>
        <v>0</v>
      </c>
      <c r="AB14" s="67"/>
      <c r="AC14" s="68"/>
      <c r="AD14" s="66">
        <f t="shared" si="9"/>
        <v>0</v>
      </c>
      <c r="AE14" s="67"/>
      <c r="AF14" s="68"/>
      <c r="AG14" s="66">
        <f t="shared" si="10"/>
        <v>0</v>
      </c>
      <c r="AH14" s="67"/>
      <c r="AI14" s="68"/>
      <c r="AJ14" s="66">
        <f t="shared" si="11"/>
        <v>0</v>
      </c>
      <c r="AK14" s="67"/>
      <c r="AL14" s="68"/>
      <c r="AM14" s="66">
        <f t="shared" si="12"/>
        <v>0</v>
      </c>
      <c r="AN14" s="67"/>
      <c r="AO14" s="68"/>
      <c r="AP14" s="64">
        <f t="shared" si="13"/>
        <v>231</v>
      </c>
      <c r="AQ14" s="8">
        <f t="shared" si="0"/>
        <v>0.18629032258064515</v>
      </c>
    </row>
    <row r="15" spans="1:45" ht="18" customHeight="1">
      <c r="A15" s="6"/>
      <c r="B15" s="12" t="s">
        <v>140</v>
      </c>
      <c r="C15" s="82">
        <v>4741</v>
      </c>
      <c r="D15" s="79">
        <v>1035</v>
      </c>
      <c r="E15" s="78">
        <v>4590</v>
      </c>
      <c r="F15" s="66">
        <f t="shared" si="1"/>
        <v>431</v>
      </c>
      <c r="G15" s="67">
        <v>361</v>
      </c>
      <c r="H15" s="68">
        <v>70</v>
      </c>
      <c r="I15" s="66">
        <f t="shared" si="2"/>
        <v>352</v>
      </c>
      <c r="J15" s="67">
        <v>291</v>
      </c>
      <c r="K15" s="68">
        <v>61</v>
      </c>
      <c r="L15" s="66">
        <f t="shared" si="3"/>
        <v>0</v>
      </c>
      <c r="M15" s="67"/>
      <c r="N15" s="68"/>
      <c r="O15" s="66">
        <f t="shared" si="4"/>
        <v>0</v>
      </c>
      <c r="P15" s="67"/>
      <c r="Q15" s="68"/>
      <c r="R15" s="66">
        <f t="shared" si="5"/>
        <v>0</v>
      </c>
      <c r="S15" s="67"/>
      <c r="T15" s="68"/>
      <c r="U15" s="66">
        <f t="shared" si="6"/>
        <v>0</v>
      </c>
      <c r="V15" s="67"/>
      <c r="W15" s="68"/>
      <c r="X15" s="66">
        <f t="shared" si="7"/>
        <v>0</v>
      </c>
      <c r="Y15" s="67"/>
      <c r="Z15" s="68"/>
      <c r="AA15" s="66">
        <f t="shared" si="8"/>
        <v>0</v>
      </c>
      <c r="AB15" s="67"/>
      <c r="AC15" s="68"/>
      <c r="AD15" s="66">
        <f t="shared" si="9"/>
        <v>0</v>
      </c>
      <c r="AE15" s="67"/>
      <c r="AF15" s="68"/>
      <c r="AG15" s="66">
        <f t="shared" si="10"/>
        <v>0</v>
      </c>
      <c r="AH15" s="67"/>
      <c r="AI15" s="68"/>
      <c r="AJ15" s="66">
        <f t="shared" si="11"/>
        <v>0</v>
      </c>
      <c r="AK15" s="67"/>
      <c r="AL15" s="68"/>
      <c r="AM15" s="66">
        <f t="shared" si="12"/>
        <v>0</v>
      </c>
      <c r="AN15" s="67"/>
      <c r="AO15" s="68"/>
      <c r="AP15" s="64">
        <f t="shared" si="13"/>
        <v>431</v>
      </c>
      <c r="AQ15" s="8">
        <f t="shared" si="0"/>
        <v>9.3899782135076257E-2</v>
      </c>
    </row>
    <row r="16" spans="1:45" ht="18" customHeight="1">
      <c r="A16" s="6"/>
      <c r="B16" s="12" t="s">
        <v>141</v>
      </c>
      <c r="C16" s="82">
        <v>1381</v>
      </c>
      <c r="D16" s="79">
        <v>330</v>
      </c>
      <c r="E16" s="78">
        <v>1320</v>
      </c>
      <c r="F16" s="66">
        <f t="shared" si="1"/>
        <v>515</v>
      </c>
      <c r="G16" s="67">
        <v>244</v>
      </c>
      <c r="H16" s="68">
        <v>271</v>
      </c>
      <c r="I16" s="66">
        <f t="shared" si="2"/>
        <v>449</v>
      </c>
      <c r="J16" s="67">
        <v>206</v>
      </c>
      <c r="K16" s="68">
        <v>243</v>
      </c>
      <c r="L16" s="66">
        <f t="shared" si="3"/>
        <v>0</v>
      </c>
      <c r="M16" s="67"/>
      <c r="N16" s="68"/>
      <c r="O16" s="66">
        <f t="shared" si="4"/>
        <v>0</v>
      </c>
      <c r="P16" s="67"/>
      <c r="Q16" s="68"/>
      <c r="R16" s="66">
        <f t="shared" si="5"/>
        <v>0</v>
      </c>
      <c r="S16" s="67"/>
      <c r="T16" s="68"/>
      <c r="U16" s="66">
        <f t="shared" si="6"/>
        <v>0</v>
      </c>
      <c r="V16" s="67"/>
      <c r="W16" s="68"/>
      <c r="X16" s="66">
        <f t="shared" si="7"/>
        <v>0</v>
      </c>
      <c r="Y16" s="67"/>
      <c r="Z16" s="68"/>
      <c r="AA16" s="66">
        <f t="shared" si="8"/>
        <v>0</v>
      </c>
      <c r="AB16" s="67"/>
      <c r="AC16" s="68"/>
      <c r="AD16" s="66">
        <f t="shared" si="9"/>
        <v>0</v>
      </c>
      <c r="AE16" s="67"/>
      <c r="AF16" s="68"/>
      <c r="AG16" s="66">
        <f t="shared" si="10"/>
        <v>0</v>
      </c>
      <c r="AH16" s="67"/>
      <c r="AI16" s="68"/>
      <c r="AJ16" s="66">
        <f t="shared" si="11"/>
        <v>0</v>
      </c>
      <c r="AK16" s="67"/>
      <c r="AL16" s="68"/>
      <c r="AM16" s="66">
        <f t="shared" si="12"/>
        <v>0</v>
      </c>
      <c r="AN16" s="67"/>
      <c r="AO16" s="68"/>
      <c r="AP16" s="64">
        <f t="shared" si="13"/>
        <v>515</v>
      </c>
      <c r="AQ16" s="8">
        <f t="shared" si="0"/>
        <v>0.39015151515151514</v>
      </c>
    </row>
    <row r="17" spans="1:43" ht="18" customHeight="1">
      <c r="A17" s="6"/>
      <c r="B17" s="12" t="s">
        <v>142</v>
      </c>
      <c r="C17" s="82">
        <v>1664</v>
      </c>
      <c r="D17" s="79">
        <v>265</v>
      </c>
      <c r="E17" s="78">
        <v>1590</v>
      </c>
      <c r="F17" s="66">
        <f t="shared" si="1"/>
        <v>187</v>
      </c>
      <c r="G17" s="67">
        <v>68</v>
      </c>
      <c r="H17" s="68">
        <v>119</v>
      </c>
      <c r="I17" s="66">
        <f t="shared" si="2"/>
        <v>180</v>
      </c>
      <c r="J17" s="67">
        <v>64</v>
      </c>
      <c r="K17" s="68">
        <v>116</v>
      </c>
      <c r="L17" s="66">
        <f t="shared" si="3"/>
        <v>0</v>
      </c>
      <c r="M17" s="67"/>
      <c r="N17" s="68"/>
      <c r="O17" s="66">
        <f t="shared" si="4"/>
        <v>0</v>
      </c>
      <c r="P17" s="67"/>
      <c r="Q17" s="68"/>
      <c r="R17" s="66">
        <f t="shared" si="5"/>
        <v>0</v>
      </c>
      <c r="S17" s="67"/>
      <c r="T17" s="68"/>
      <c r="U17" s="66">
        <f t="shared" si="6"/>
        <v>0</v>
      </c>
      <c r="V17" s="67"/>
      <c r="W17" s="68"/>
      <c r="X17" s="66">
        <f t="shared" si="7"/>
        <v>0</v>
      </c>
      <c r="Y17" s="67"/>
      <c r="Z17" s="68"/>
      <c r="AA17" s="66">
        <f t="shared" si="8"/>
        <v>0</v>
      </c>
      <c r="AB17" s="67"/>
      <c r="AC17" s="68"/>
      <c r="AD17" s="66">
        <f t="shared" si="9"/>
        <v>0</v>
      </c>
      <c r="AE17" s="67"/>
      <c r="AF17" s="68"/>
      <c r="AG17" s="66">
        <f t="shared" si="10"/>
        <v>0</v>
      </c>
      <c r="AH17" s="67"/>
      <c r="AI17" s="68"/>
      <c r="AJ17" s="66">
        <f t="shared" si="11"/>
        <v>0</v>
      </c>
      <c r="AK17" s="67"/>
      <c r="AL17" s="68"/>
      <c r="AM17" s="66">
        <f t="shared" si="12"/>
        <v>0</v>
      </c>
      <c r="AN17" s="67"/>
      <c r="AO17" s="68"/>
      <c r="AP17" s="64">
        <f t="shared" si="13"/>
        <v>187</v>
      </c>
      <c r="AQ17" s="8">
        <f t="shared" si="0"/>
        <v>0.11761006289308176</v>
      </c>
    </row>
    <row r="18" spans="1:43" ht="18" customHeight="1">
      <c r="A18" s="6"/>
      <c r="B18" s="12" t="s">
        <v>143</v>
      </c>
      <c r="C18" s="82">
        <v>947</v>
      </c>
      <c r="D18" s="79">
        <v>235</v>
      </c>
      <c r="E18" s="78">
        <v>895</v>
      </c>
      <c r="F18" s="66">
        <f t="shared" si="1"/>
        <v>160</v>
      </c>
      <c r="G18" s="67">
        <v>117</v>
      </c>
      <c r="H18" s="68">
        <v>43</v>
      </c>
      <c r="I18" s="66">
        <f t="shared" si="2"/>
        <v>123</v>
      </c>
      <c r="J18" s="67">
        <v>83</v>
      </c>
      <c r="K18" s="68">
        <v>40</v>
      </c>
      <c r="L18" s="66">
        <f t="shared" si="3"/>
        <v>0</v>
      </c>
      <c r="M18" s="67"/>
      <c r="N18" s="68"/>
      <c r="O18" s="66">
        <f t="shared" si="4"/>
        <v>0</v>
      </c>
      <c r="P18" s="67"/>
      <c r="Q18" s="68"/>
      <c r="R18" s="66">
        <f t="shared" si="5"/>
        <v>0</v>
      </c>
      <c r="S18" s="67"/>
      <c r="T18" s="68"/>
      <c r="U18" s="66">
        <f t="shared" si="6"/>
        <v>0</v>
      </c>
      <c r="V18" s="67"/>
      <c r="W18" s="68"/>
      <c r="X18" s="66">
        <f t="shared" si="7"/>
        <v>0</v>
      </c>
      <c r="Y18" s="67"/>
      <c r="Z18" s="68"/>
      <c r="AA18" s="66">
        <f t="shared" si="8"/>
        <v>0</v>
      </c>
      <c r="AB18" s="67"/>
      <c r="AC18" s="68"/>
      <c r="AD18" s="66">
        <f t="shared" si="9"/>
        <v>0</v>
      </c>
      <c r="AE18" s="67"/>
      <c r="AF18" s="68"/>
      <c r="AG18" s="66">
        <f t="shared" si="10"/>
        <v>0</v>
      </c>
      <c r="AH18" s="67"/>
      <c r="AI18" s="68"/>
      <c r="AJ18" s="66">
        <f t="shared" si="11"/>
        <v>0</v>
      </c>
      <c r="AK18" s="67"/>
      <c r="AL18" s="68"/>
      <c r="AM18" s="66">
        <f t="shared" si="12"/>
        <v>0</v>
      </c>
      <c r="AN18" s="67"/>
      <c r="AO18" s="68"/>
      <c r="AP18" s="64">
        <f t="shared" si="13"/>
        <v>160</v>
      </c>
      <c r="AQ18" s="8">
        <f t="shared" si="0"/>
        <v>0.1787709497206704</v>
      </c>
    </row>
    <row r="19" spans="1:43" ht="18" customHeight="1">
      <c r="A19" s="6"/>
      <c r="B19" s="12" t="s">
        <v>144</v>
      </c>
      <c r="C19" s="82">
        <v>921</v>
      </c>
      <c r="D19" s="79">
        <v>220</v>
      </c>
      <c r="E19" s="78">
        <v>880</v>
      </c>
      <c r="F19" s="66">
        <f t="shared" si="1"/>
        <v>44</v>
      </c>
      <c r="G19" s="67">
        <v>16</v>
      </c>
      <c r="H19" s="68">
        <v>28</v>
      </c>
      <c r="I19" s="66">
        <f t="shared" si="2"/>
        <v>23</v>
      </c>
      <c r="J19" s="67">
        <v>6</v>
      </c>
      <c r="K19" s="68">
        <v>17</v>
      </c>
      <c r="L19" s="66">
        <f t="shared" si="3"/>
        <v>0</v>
      </c>
      <c r="M19" s="67"/>
      <c r="N19" s="68"/>
      <c r="O19" s="66">
        <f t="shared" si="4"/>
        <v>0</v>
      </c>
      <c r="P19" s="67"/>
      <c r="Q19" s="68"/>
      <c r="R19" s="66">
        <f t="shared" si="5"/>
        <v>0</v>
      </c>
      <c r="S19" s="67"/>
      <c r="T19" s="68"/>
      <c r="U19" s="66">
        <f t="shared" si="6"/>
        <v>0</v>
      </c>
      <c r="V19" s="67"/>
      <c r="W19" s="68"/>
      <c r="X19" s="66">
        <f t="shared" si="7"/>
        <v>0</v>
      </c>
      <c r="Y19" s="67"/>
      <c r="Z19" s="68"/>
      <c r="AA19" s="66">
        <f t="shared" si="8"/>
        <v>0</v>
      </c>
      <c r="AB19" s="67"/>
      <c r="AC19" s="68"/>
      <c r="AD19" s="66">
        <f t="shared" si="9"/>
        <v>0</v>
      </c>
      <c r="AE19" s="67"/>
      <c r="AF19" s="68"/>
      <c r="AG19" s="66">
        <f t="shared" si="10"/>
        <v>0</v>
      </c>
      <c r="AH19" s="67"/>
      <c r="AI19" s="68"/>
      <c r="AJ19" s="66">
        <f t="shared" si="11"/>
        <v>0</v>
      </c>
      <c r="AK19" s="67"/>
      <c r="AL19" s="68"/>
      <c r="AM19" s="66">
        <f t="shared" si="12"/>
        <v>0</v>
      </c>
      <c r="AN19" s="67"/>
      <c r="AO19" s="68"/>
      <c r="AP19" s="64">
        <f t="shared" si="13"/>
        <v>44</v>
      </c>
      <c r="AQ19" s="8">
        <f t="shared" si="0"/>
        <v>0.05</v>
      </c>
    </row>
    <row r="20" spans="1:43" ht="18" customHeight="1">
      <c r="A20" s="6"/>
      <c r="B20" s="12" t="s">
        <v>145</v>
      </c>
      <c r="C20" s="82">
        <v>529</v>
      </c>
      <c r="D20" s="79">
        <v>130</v>
      </c>
      <c r="E20" s="78">
        <v>520</v>
      </c>
      <c r="F20" s="66">
        <f t="shared" si="1"/>
        <v>17</v>
      </c>
      <c r="G20" s="67">
        <v>8</v>
      </c>
      <c r="H20" s="68">
        <v>9</v>
      </c>
      <c r="I20" s="66">
        <f t="shared" si="2"/>
        <v>10</v>
      </c>
      <c r="J20" s="67">
        <v>6</v>
      </c>
      <c r="K20" s="68">
        <v>4</v>
      </c>
      <c r="L20" s="66">
        <f t="shared" si="3"/>
        <v>0</v>
      </c>
      <c r="M20" s="67"/>
      <c r="N20" s="68"/>
      <c r="O20" s="66">
        <f t="shared" si="4"/>
        <v>0</v>
      </c>
      <c r="P20" s="67"/>
      <c r="Q20" s="68"/>
      <c r="R20" s="66">
        <f t="shared" si="5"/>
        <v>0</v>
      </c>
      <c r="S20" s="67"/>
      <c r="T20" s="68"/>
      <c r="U20" s="66">
        <f t="shared" si="6"/>
        <v>0</v>
      </c>
      <c r="V20" s="67"/>
      <c r="W20" s="68"/>
      <c r="X20" s="66">
        <f t="shared" si="7"/>
        <v>0</v>
      </c>
      <c r="Y20" s="67"/>
      <c r="Z20" s="68"/>
      <c r="AA20" s="66">
        <f t="shared" si="8"/>
        <v>0</v>
      </c>
      <c r="AB20" s="67"/>
      <c r="AC20" s="68"/>
      <c r="AD20" s="66">
        <f t="shared" si="9"/>
        <v>0</v>
      </c>
      <c r="AE20" s="67"/>
      <c r="AF20" s="68"/>
      <c r="AG20" s="66">
        <f t="shared" si="10"/>
        <v>0</v>
      </c>
      <c r="AH20" s="67"/>
      <c r="AI20" s="68"/>
      <c r="AJ20" s="66">
        <f t="shared" si="11"/>
        <v>0</v>
      </c>
      <c r="AK20" s="67"/>
      <c r="AL20" s="68"/>
      <c r="AM20" s="66">
        <f t="shared" si="12"/>
        <v>0</v>
      </c>
      <c r="AN20" s="67"/>
      <c r="AO20" s="68"/>
      <c r="AP20" s="64">
        <f t="shared" si="13"/>
        <v>17</v>
      </c>
      <c r="AQ20" s="8">
        <f t="shared" si="0"/>
        <v>3.2692307692307694E-2</v>
      </c>
    </row>
    <row r="21" spans="1:43" ht="18" customHeight="1">
      <c r="A21" s="6"/>
      <c r="B21" s="12" t="s">
        <v>146</v>
      </c>
      <c r="C21" s="82">
        <v>188</v>
      </c>
      <c r="D21" s="79">
        <v>180</v>
      </c>
      <c r="E21" s="78">
        <v>180</v>
      </c>
      <c r="F21" s="66">
        <f t="shared" si="1"/>
        <v>5</v>
      </c>
      <c r="G21" s="67">
        <v>5</v>
      </c>
      <c r="H21" s="68">
        <v>0</v>
      </c>
      <c r="I21" s="66">
        <f t="shared" si="2"/>
        <v>3</v>
      </c>
      <c r="J21" s="67">
        <v>3</v>
      </c>
      <c r="K21" s="68">
        <v>0</v>
      </c>
      <c r="L21" s="66">
        <f t="shared" si="3"/>
        <v>0</v>
      </c>
      <c r="M21" s="67"/>
      <c r="N21" s="68"/>
      <c r="O21" s="66">
        <f t="shared" si="4"/>
        <v>0</v>
      </c>
      <c r="P21" s="67"/>
      <c r="Q21" s="68"/>
      <c r="R21" s="66">
        <f t="shared" si="5"/>
        <v>0</v>
      </c>
      <c r="S21" s="67"/>
      <c r="T21" s="68"/>
      <c r="U21" s="66">
        <f t="shared" si="6"/>
        <v>0</v>
      </c>
      <c r="V21" s="67"/>
      <c r="W21" s="68"/>
      <c r="X21" s="66">
        <f t="shared" si="7"/>
        <v>0</v>
      </c>
      <c r="Y21" s="67"/>
      <c r="Z21" s="68"/>
      <c r="AA21" s="66">
        <f t="shared" si="8"/>
        <v>0</v>
      </c>
      <c r="AB21" s="67"/>
      <c r="AC21" s="68"/>
      <c r="AD21" s="66">
        <f t="shared" si="9"/>
        <v>0</v>
      </c>
      <c r="AE21" s="67"/>
      <c r="AF21" s="68"/>
      <c r="AG21" s="66">
        <f t="shared" si="10"/>
        <v>0</v>
      </c>
      <c r="AH21" s="67"/>
      <c r="AI21" s="68"/>
      <c r="AJ21" s="66">
        <f t="shared" si="11"/>
        <v>0</v>
      </c>
      <c r="AK21" s="67"/>
      <c r="AL21" s="68"/>
      <c r="AM21" s="66">
        <f t="shared" si="12"/>
        <v>0</v>
      </c>
      <c r="AN21" s="67"/>
      <c r="AO21" s="68"/>
      <c r="AP21" s="64">
        <f t="shared" si="13"/>
        <v>5</v>
      </c>
      <c r="AQ21" s="8">
        <f t="shared" si="0"/>
        <v>2.7777777777777776E-2</v>
      </c>
    </row>
    <row r="22" spans="1:43" ht="18" customHeight="1">
      <c r="A22" s="6"/>
      <c r="B22" s="12"/>
      <c r="C22" s="63"/>
      <c r="D22" s="64"/>
      <c r="E22" s="65"/>
      <c r="F22" s="66">
        <f t="shared" si="1"/>
        <v>0</v>
      </c>
      <c r="G22" s="67"/>
      <c r="H22" s="68"/>
      <c r="I22" s="66">
        <f t="shared" si="2"/>
        <v>0</v>
      </c>
      <c r="J22" s="67"/>
      <c r="K22" s="68"/>
      <c r="L22" s="66">
        <f t="shared" si="3"/>
        <v>0</v>
      </c>
      <c r="M22" s="67"/>
      <c r="N22" s="68"/>
      <c r="O22" s="66">
        <f t="shared" si="4"/>
        <v>0</v>
      </c>
      <c r="P22" s="67"/>
      <c r="Q22" s="68"/>
      <c r="R22" s="66">
        <f t="shared" si="5"/>
        <v>0</v>
      </c>
      <c r="S22" s="67"/>
      <c r="T22" s="68"/>
      <c r="U22" s="66">
        <f t="shared" si="6"/>
        <v>0</v>
      </c>
      <c r="V22" s="67"/>
      <c r="W22" s="68"/>
      <c r="X22" s="66">
        <f t="shared" si="7"/>
        <v>0</v>
      </c>
      <c r="Y22" s="67"/>
      <c r="Z22" s="68"/>
      <c r="AA22" s="66">
        <f t="shared" si="8"/>
        <v>0</v>
      </c>
      <c r="AB22" s="67"/>
      <c r="AC22" s="68"/>
      <c r="AD22" s="66">
        <f t="shared" si="9"/>
        <v>0</v>
      </c>
      <c r="AE22" s="67"/>
      <c r="AF22" s="68"/>
      <c r="AG22" s="66">
        <f t="shared" si="10"/>
        <v>0</v>
      </c>
      <c r="AH22" s="67"/>
      <c r="AI22" s="68"/>
      <c r="AJ22" s="66">
        <f t="shared" si="11"/>
        <v>0</v>
      </c>
      <c r="AK22" s="67"/>
      <c r="AL22" s="68"/>
      <c r="AM22" s="66">
        <f t="shared" si="12"/>
        <v>0</v>
      </c>
      <c r="AN22" s="67"/>
      <c r="AO22" s="68"/>
      <c r="AP22" s="64">
        <f t="shared" si="13"/>
        <v>0</v>
      </c>
      <c r="AQ22" s="8" t="e">
        <f t="shared" si="0"/>
        <v>#DIV/0!</v>
      </c>
    </row>
    <row r="23" spans="1:43" ht="18" customHeight="1">
      <c r="A23" s="6"/>
      <c r="B23" s="12"/>
      <c r="C23" s="63"/>
      <c r="D23" s="64"/>
      <c r="E23" s="65"/>
      <c r="F23" s="66">
        <f t="shared" si="1"/>
        <v>0</v>
      </c>
      <c r="G23" s="67"/>
      <c r="H23" s="68"/>
      <c r="I23" s="66">
        <f t="shared" si="2"/>
        <v>0</v>
      </c>
      <c r="J23" s="67"/>
      <c r="K23" s="68"/>
      <c r="L23" s="66">
        <f t="shared" si="3"/>
        <v>0</v>
      </c>
      <c r="M23" s="67"/>
      <c r="N23" s="68"/>
      <c r="O23" s="66">
        <f t="shared" si="4"/>
        <v>0</v>
      </c>
      <c r="P23" s="67"/>
      <c r="Q23" s="68"/>
      <c r="R23" s="66">
        <f t="shared" si="5"/>
        <v>0</v>
      </c>
      <c r="S23" s="67"/>
      <c r="T23" s="68"/>
      <c r="U23" s="66">
        <f t="shared" si="6"/>
        <v>0</v>
      </c>
      <c r="V23" s="67"/>
      <c r="W23" s="68"/>
      <c r="X23" s="66">
        <f t="shared" si="7"/>
        <v>0</v>
      </c>
      <c r="Y23" s="67"/>
      <c r="Z23" s="68"/>
      <c r="AA23" s="66">
        <f t="shared" si="8"/>
        <v>0</v>
      </c>
      <c r="AB23" s="67"/>
      <c r="AC23" s="68"/>
      <c r="AD23" s="66">
        <f t="shared" si="9"/>
        <v>0</v>
      </c>
      <c r="AE23" s="67"/>
      <c r="AF23" s="68"/>
      <c r="AG23" s="66">
        <f t="shared" si="10"/>
        <v>0</v>
      </c>
      <c r="AH23" s="67"/>
      <c r="AI23" s="68"/>
      <c r="AJ23" s="66">
        <f t="shared" si="11"/>
        <v>0</v>
      </c>
      <c r="AK23" s="67"/>
      <c r="AL23" s="68"/>
      <c r="AM23" s="66">
        <f t="shared" si="12"/>
        <v>0</v>
      </c>
      <c r="AN23" s="67"/>
      <c r="AO23" s="68"/>
      <c r="AP23" s="64">
        <f t="shared" si="13"/>
        <v>0</v>
      </c>
      <c r="AQ23" s="8" t="e">
        <f t="shared" si="0"/>
        <v>#DIV/0!</v>
      </c>
    </row>
    <row r="24" spans="1:43" ht="18" customHeight="1">
      <c r="A24" s="6"/>
      <c r="B24" s="12"/>
      <c r="C24" s="63"/>
      <c r="D24" s="64"/>
      <c r="E24" s="65"/>
      <c r="F24" s="66">
        <f t="shared" si="1"/>
        <v>0</v>
      </c>
      <c r="G24" s="67"/>
      <c r="H24" s="68"/>
      <c r="I24" s="66">
        <f t="shared" si="2"/>
        <v>0</v>
      </c>
      <c r="J24" s="67"/>
      <c r="K24" s="68"/>
      <c r="L24" s="66">
        <f t="shared" si="3"/>
        <v>0</v>
      </c>
      <c r="M24" s="67"/>
      <c r="N24" s="68"/>
      <c r="O24" s="66">
        <f t="shared" si="4"/>
        <v>0</v>
      </c>
      <c r="P24" s="67"/>
      <c r="Q24" s="68"/>
      <c r="R24" s="66">
        <f t="shared" si="5"/>
        <v>0</v>
      </c>
      <c r="S24" s="67"/>
      <c r="T24" s="68"/>
      <c r="U24" s="66">
        <f t="shared" si="6"/>
        <v>0</v>
      </c>
      <c r="V24" s="67"/>
      <c r="W24" s="68"/>
      <c r="X24" s="66">
        <f t="shared" si="7"/>
        <v>0</v>
      </c>
      <c r="Y24" s="67"/>
      <c r="Z24" s="68"/>
      <c r="AA24" s="66">
        <f t="shared" si="8"/>
        <v>0</v>
      </c>
      <c r="AB24" s="67"/>
      <c r="AC24" s="68"/>
      <c r="AD24" s="66">
        <f t="shared" si="9"/>
        <v>0</v>
      </c>
      <c r="AE24" s="67"/>
      <c r="AF24" s="68"/>
      <c r="AG24" s="66">
        <f t="shared" si="10"/>
        <v>0</v>
      </c>
      <c r="AH24" s="67"/>
      <c r="AI24" s="68"/>
      <c r="AJ24" s="66">
        <f t="shared" si="11"/>
        <v>0</v>
      </c>
      <c r="AK24" s="67"/>
      <c r="AL24" s="68"/>
      <c r="AM24" s="66">
        <f t="shared" si="12"/>
        <v>0</v>
      </c>
      <c r="AN24" s="67"/>
      <c r="AO24" s="68"/>
      <c r="AP24" s="64">
        <f t="shared" si="13"/>
        <v>0</v>
      </c>
      <c r="AQ24" s="8" t="e">
        <f t="shared" si="0"/>
        <v>#DIV/0!</v>
      </c>
    </row>
    <row r="25" spans="1:43" ht="18" customHeight="1">
      <c r="A25" s="6"/>
      <c r="B25" s="12"/>
      <c r="C25" s="63"/>
      <c r="D25" s="64"/>
      <c r="E25" s="65"/>
      <c r="F25" s="66">
        <f t="shared" si="1"/>
        <v>0</v>
      </c>
      <c r="G25" s="67"/>
      <c r="H25" s="68"/>
      <c r="I25" s="66">
        <f t="shared" si="2"/>
        <v>0</v>
      </c>
      <c r="J25" s="67"/>
      <c r="K25" s="68"/>
      <c r="L25" s="66">
        <f t="shared" si="3"/>
        <v>0</v>
      </c>
      <c r="M25" s="67"/>
      <c r="N25" s="68"/>
      <c r="O25" s="66">
        <f t="shared" si="4"/>
        <v>0</v>
      </c>
      <c r="P25" s="67"/>
      <c r="Q25" s="68"/>
      <c r="R25" s="66">
        <f t="shared" si="5"/>
        <v>0</v>
      </c>
      <c r="S25" s="67"/>
      <c r="T25" s="68"/>
      <c r="U25" s="66">
        <f t="shared" si="6"/>
        <v>0</v>
      </c>
      <c r="V25" s="67"/>
      <c r="W25" s="68"/>
      <c r="X25" s="66">
        <f t="shared" si="7"/>
        <v>0</v>
      </c>
      <c r="Y25" s="67"/>
      <c r="Z25" s="68"/>
      <c r="AA25" s="66">
        <f t="shared" si="8"/>
        <v>0</v>
      </c>
      <c r="AB25" s="67"/>
      <c r="AC25" s="68"/>
      <c r="AD25" s="66">
        <f t="shared" si="9"/>
        <v>0</v>
      </c>
      <c r="AE25" s="67"/>
      <c r="AF25" s="68"/>
      <c r="AG25" s="66">
        <f t="shared" si="10"/>
        <v>0</v>
      </c>
      <c r="AH25" s="67"/>
      <c r="AI25" s="68"/>
      <c r="AJ25" s="66">
        <f t="shared" si="11"/>
        <v>0</v>
      </c>
      <c r="AK25" s="67"/>
      <c r="AL25" s="68"/>
      <c r="AM25" s="66">
        <f t="shared" si="12"/>
        <v>0</v>
      </c>
      <c r="AN25" s="67"/>
      <c r="AO25" s="68"/>
      <c r="AP25" s="64">
        <f t="shared" si="13"/>
        <v>0</v>
      </c>
      <c r="AQ25" s="8" t="e">
        <f t="shared" si="0"/>
        <v>#DIV/0!</v>
      </c>
    </row>
    <row r="26" spans="1:43" ht="18" customHeight="1">
      <c r="A26" s="6"/>
      <c r="B26" s="12"/>
      <c r="C26" s="63"/>
      <c r="D26" s="64"/>
      <c r="E26" s="65"/>
      <c r="F26" s="66">
        <f t="shared" si="1"/>
        <v>0</v>
      </c>
      <c r="G26" s="67"/>
      <c r="H26" s="68"/>
      <c r="I26" s="66">
        <f t="shared" si="2"/>
        <v>0</v>
      </c>
      <c r="J26" s="67"/>
      <c r="K26" s="68"/>
      <c r="L26" s="66">
        <f t="shared" si="3"/>
        <v>0</v>
      </c>
      <c r="M26" s="67"/>
      <c r="N26" s="68"/>
      <c r="O26" s="66">
        <f t="shared" si="4"/>
        <v>0</v>
      </c>
      <c r="P26" s="67"/>
      <c r="Q26" s="68"/>
      <c r="R26" s="66">
        <f t="shared" si="5"/>
        <v>0</v>
      </c>
      <c r="S26" s="67"/>
      <c r="T26" s="68"/>
      <c r="U26" s="66">
        <f t="shared" si="6"/>
        <v>0</v>
      </c>
      <c r="V26" s="67"/>
      <c r="W26" s="68"/>
      <c r="X26" s="66">
        <f t="shared" si="7"/>
        <v>0</v>
      </c>
      <c r="Y26" s="67"/>
      <c r="Z26" s="68"/>
      <c r="AA26" s="66">
        <f t="shared" si="8"/>
        <v>0</v>
      </c>
      <c r="AB26" s="67"/>
      <c r="AC26" s="68"/>
      <c r="AD26" s="66">
        <f t="shared" si="9"/>
        <v>0</v>
      </c>
      <c r="AE26" s="67"/>
      <c r="AF26" s="68"/>
      <c r="AG26" s="66">
        <f t="shared" si="10"/>
        <v>0</v>
      </c>
      <c r="AH26" s="67"/>
      <c r="AI26" s="68"/>
      <c r="AJ26" s="66">
        <f t="shared" si="11"/>
        <v>0</v>
      </c>
      <c r="AK26" s="67"/>
      <c r="AL26" s="68"/>
      <c r="AM26" s="66">
        <f t="shared" si="12"/>
        <v>0</v>
      </c>
      <c r="AN26" s="67"/>
      <c r="AO26" s="68"/>
      <c r="AP26" s="64">
        <f t="shared" si="13"/>
        <v>0</v>
      </c>
      <c r="AQ26" s="8" t="e">
        <f t="shared" si="0"/>
        <v>#DIV/0!</v>
      </c>
    </row>
    <row r="27" spans="1:43" ht="18" customHeight="1">
      <c r="A27" s="6"/>
      <c r="B27" s="12"/>
      <c r="C27" s="63"/>
      <c r="D27" s="64"/>
      <c r="E27" s="65"/>
      <c r="F27" s="66">
        <f t="shared" si="1"/>
        <v>0</v>
      </c>
      <c r="G27" s="67"/>
      <c r="H27" s="68"/>
      <c r="I27" s="66">
        <f t="shared" si="2"/>
        <v>0</v>
      </c>
      <c r="J27" s="67"/>
      <c r="K27" s="68"/>
      <c r="L27" s="66">
        <f t="shared" si="3"/>
        <v>0</v>
      </c>
      <c r="M27" s="67"/>
      <c r="N27" s="68"/>
      <c r="O27" s="66">
        <f t="shared" si="4"/>
        <v>0</v>
      </c>
      <c r="P27" s="67"/>
      <c r="Q27" s="68"/>
      <c r="R27" s="66">
        <f t="shared" si="5"/>
        <v>0</v>
      </c>
      <c r="S27" s="67"/>
      <c r="T27" s="68"/>
      <c r="U27" s="66">
        <f t="shared" si="6"/>
        <v>0</v>
      </c>
      <c r="V27" s="67"/>
      <c r="W27" s="68"/>
      <c r="X27" s="66">
        <f t="shared" si="7"/>
        <v>0</v>
      </c>
      <c r="Y27" s="67"/>
      <c r="Z27" s="68"/>
      <c r="AA27" s="66">
        <f t="shared" si="8"/>
        <v>0</v>
      </c>
      <c r="AB27" s="67"/>
      <c r="AC27" s="68"/>
      <c r="AD27" s="66">
        <f t="shared" si="9"/>
        <v>0</v>
      </c>
      <c r="AE27" s="67"/>
      <c r="AF27" s="68"/>
      <c r="AG27" s="66">
        <f t="shared" si="10"/>
        <v>0</v>
      </c>
      <c r="AH27" s="67"/>
      <c r="AI27" s="68"/>
      <c r="AJ27" s="66">
        <f t="shared" si="11"/>
        <v>0</v>
      </c>
      <c r="AK27" s="67"/>
      <c r="AL27" s="68"/>
      <c r="AM27" s="66">
        <f t="shared" si="12"/>
        <v>0</v>
      </c>
      <c r="AN27" s="67"/>
      <c r="AO27" s="68"/>
      <c r="AP27" s="64">
        <f t="shared" si="13"/>
        <v>0</v>
      </c>
      <c r="AQ27" s="8" t="e">
        <f t="shared" si="0"/>
        <v>#DIV/0!</v>
      </c>
    </row>
    <row r="28" spans="1:43" ht="18" customHeight="1">
      <c r="A28" s="6"/>
      <c r="B28" s="12"/>
      <c r="C28" s="63"/>
      <c r="D28" s="64"/>
      <c r="E28" s="65"/>
      <c r="F28" s="66">
        <f t="shared" si="1"/>
        <v>0</v>
      </c>
      <c r="G28" s="67"/>
      <c r="H28" s="68"/>
      <c r="I28" s="66">
        <f t="shared" si="2"/>
        <v>0</v>
      </c>
      <c r="J28" s="67"/>
      <c r="K28" s="68"/>
      <c r="L28" s="66">
        <f t="shared" si="3"/>
        <v>0</v>
      </c>
      <c r="M28" s="67"/>
      <c r="N28" s="68"/>
      <c r="O28" s="66">
        <f t="shared" si="4"/>
        <v>0</v>
      </c>
      <c r="P28" s="67"/>
      <c r="Q28" s="68"/>
      <c r="R28" s="66">
        <f t="shared" si="5"/>
        <v>0</v>
      </c>
      <c r="S28" s="67"/>
      <c r="T28" s="68"/>
      <c r="U28" s="66">
        <f t="shared" si="6"/>
        <v>0</v>
      </c>
      <c r="V28" s="67"/>
      <c r="W28" s="68"/>
      <c r="X28" s="66">
        <f t="shared" si="7"/>
        <v>0</v>
      </c>
      <c r="Y28" s="67"/>
      <c r="Z28" s="68"/>
      <c r="AA28" s="66">
        <f t="shared" si="8"/>
        <v>0</v>
      </c>
      <c r="AB28" s="67"/>
      <c r="AC28" s="68"/>
      <c r="AD28" s="66">
        <f t="shared" si="9"/>
        <v>0</v>
      </c>
      <c r="AE28" s="67"/>
      <c r="AF28" s="68"/>
      <c r="AG28" s="66">
        <f t="shared" si="10"/>
        <v>0</v>
      </c>
      <c r="AH28" s="67"/>
      <c r="AI28" s="68"/>
      <c r="AJ28" s="66">
        <f t="shared" si="11"/>
        <v>0</v>
      </c>
      <c r="AK28" s="67"/>
      <c r="AL28" s="68"/>
      <c r="AM28" s="66">
        <f t="shared" si="12"/>
        <v>0</v>
      </c>
      <c r="AN28" s="67"/>
      <c r="AO28" s="68"/>
      <c r="AP28" s="64">
        <f t="shared" si="13"/>
        <v>0</v>
      </c>
      <c r="AQ28" s="8" t="e">
        <f t="shared" si="0"/>
        <v>#DIV/0!</v>
      </c>
    </row>
    <row r="29" spans="1:43" ht="18" customHeight="1">
      <c r="A29" s="6"/>
      <c r="B29" s="12"/>
      <c r="C29" s="63"/>
      <c r="D29" s="69"/>
      <c r="E29" s="65"/>
      <c r="F29" s="66">
        <f t="shared" si="1"/>
        <v>0</v>
      </c>
      <c r="G29" s="67"/>
      <c r="H29" s="68"/>
      <c r="I29" s="66">
        <f t="shared" si="2"/>
        <v>0</v>
      </c>
      <c r="J29" s="67"/>
      <c r="K29" s="68"/>
      <c r="L29" s="66">
        <f t="shared" si="3"/>
        <v>0</v>
      </c>
      <c r="M29" s="67"/>
      <c r="N29" s="68"/>
      <c r="O29" s="66">
        <f t="shared" si="4"/>
        <v>0</v>
      </c>
      <c r="P29" s="67"/>
      <c r="Q29" s="68"/>
      <c r="R29" s="66">
        <f t="shared" si="5"/>
        <v>0</v>
      </c>
      <c r="S29" s="67"/>
      <c r="T29" s="68"/>
      <c r="U29" s="66">
        <f t="shared" si="6"/>
        <v>0</v>
      </c>
      <c r="V29" s="67"/>
      <c r="W29" s="68"/>
      <c r="X29" s="66">
        <f t="shared" si="7"/>
        <v>0</v>
      </c>
      <c r="Y29" s="67"/>
      <c r="Z29" s="68"/>
      <c r="AA29" s="66">
        <f t="shared" si="8"/>
        <v>0</v>
      </c>
      <c r="AB29" s="67"/>
      <c r="AC29" s="68"/>
      <c r="AD29" s="66">
        <f t="shared" si="9"/>
        <v>0</v>
      </c>
      <c r="AE29" s="67"/>
      <c r="AF29" s="68"/>
      <c r="AG29" s="66">
        <f t="shared" si="10"/>
        <v>0</v>
      </c>
      <c r="AH29" s="67"/>
      <c r="AI29" s="68"/>
      <c r="AJ29" s="66">
        <f t="shared" si="11"/>
        <v>0</v>
      </c>
      <c r="AK29" s="67"/>
      <c r="AL29" s="68"/>
      <c r="AM29" s="66">
        <f t="shared" si="12"/>
        <v>0</v>
      </c>
      <c r="AN29" s="67"/>
      <c r="AO29" s="68"/>
      <c r="AP29" s="69">
        <f t="shared" si="13"/>
        <v>0</v>
      </c>
      <c r="AQ29" s="8" t="e">
        <f t="shared" si="0"/>
        <v>#DIV/0!</v>
      </c>
    </row>
    <row r="30" spans="1:43" ht="18" customHeight="1">
      <c r="A30" s="6"/>
      <c r="B30" s="12"/>
      <c r="C30" s="63"/>
      <c r="D30" s="69"/>
      <c r="E30" s="65"/>
      <c r="F30" s="66">
        <f t="shared" si="1"/>
        <v>0</v>
      </c>
      <c r="G30" s="67"/>
      <c r="H30" s="68"/>
      <c r="I30" s="66">
        <f t="shared" si="2"/>
        <v>0</v>
      </c>
      <c r="J30" s="67"/>
      <c r="K30" s="68"/>
      <c r="L30" s="66">
        <f t="shared" si="3"/>
        <v>0</v>
      </c>
      <c r="M30" s="67"/>
      <c r="N30" s="68"/>
      <c r="O30" s="66">
        <f t="shared" si="4"/>
        <v>0</v>
      </c>
      <c r="P30" s="67"/>
      <c r="Q30" s="68"/>
      <c r="R30" s="66">
        <f t="shared" si="5"/>
        <v>0</v>
      </c>
      <c r="S30" s="67"/>
      <c r="T30" s="68"/>
      <c r="U30" s="66">
        <f t="shared" si="6"/>
        <v>0</v>
      </c>
      <c r="V30" s="67"/>
      <c r="W30" s="68"/>
      <c r="X30" s="66">
        <f t="shared" si="7"/>
        <v>0</v>
      </c>
      <c r="Y30" s="67"/>
      <c r="Z30" s="68"/>
      <c r="AA30" s="66">
        <f t="shared" si="8"/>
        <v>0</v>
      </c>
      <c r="AB30" s="67"/>
      <c r="AC30" s="68"/>
      <c r="AD30" s="66">
        <f t="shared" si="9"/>
        <v>0</v>
      </c>
      <c r="AE30" s="67"/>
      <c r="AF30" s="68"/>
      <c r="AG30" s="66">
        <f t="shared" si="10"/>
        <v>0</v>
      </c>
      <c r="AH30" s="67"/>
      <c r="AI30" s="68"/>
      <c r="AJ30" s="66">
        <f t="shared" si="11"/>
        <v>0</v>
      </c>
      <c r="AK30" s="67"/>
      <c r="AL30" s="68"/>
      <c r="AM30" s="66">
        <f t="shared" si="12"/>
        <v>0</v>
      </c>
      <c r="AN30" s="67"/>
      <c r="AO30" s="68"/>
      <c r="AP30" s="69">
        <f t="shared" si="13"/>
        <v>0</v>
      </c>
      <c r="AQ30" s="8" t="e">
        <f t="shared" si="0"/>
        <v>#DIV/0!</v>
      </c>
    </row>
    <row r="31" spans="1:43" ht="18" customHeight="1" thickBot="1">
      <c r="A31" s="6"/>
      <c r="B31" s="13"/>
      <c r="C31" s="58"/>
      <c r="D31" s="70"/>
      <c r="E31" s="60"/>
      <c r="F31" s="60">
        <f t="shared" si="1"/>
        <v>0</v>
      </c>
      <c r="G31" s="71"/>
      <c r="H31" s="72"/>
      <c r="I31" s="60">
        <f t="shared" si="2"/>
        <v>0</v>
      </c>
      <c r="J31" s="71"/>
      <c r="K31" s="72"/>
      <c r="L31" s="60">
        <f t="shared" si="3"/>
        <v>0</v>
      </c>
      <c r="M31" s="71"/>
      <c r="N31" s="72"/>
      <c r="O31" s="60">
        <f t="shared" si="4"/>
        <v>0</v>
      </c>
      <c r="P31" s="71"/>
      <c r="Q31" s="72"/>
      <c r="R31" s="60">
        <f t="shared" si="5"/>
        <v>0</v>
      </c>
      <c r="S31" s="71"/>
      <c r="T31" s="72"/>
      <c r="U31" s="60">
        <f t="shared" si="6"/>
        <v>0</v>
      </c>
      <c r="V31" s="71"/>
      <c r="W31" s="72"/>
      <c r="X31" s="60">
        <f t="shared" si="7"/>
        <v>0</v>
      </c>
      <c r="Y31" s="71"/>
      <c r="Z31" s="72"/>
      <c r="AA31" s="60">
        <f t="shared" si="8"/>
        <v>0</v>
      </c>
      <c r="AB31" s="71"/>
      <c r="AC31" s="72"/>
      <c r="AD31" s="60">
        <f t="shared" si="9"/>
        <v>0</v>
      </c>
      <c r="AE31" s="71"/>
      <c r="AF31" s="72"/>
      <c r="AG31" s="60">
        <f t="shared" si="10"/>
        <v>0</v>
      </c>
      <c r="AH31" s="71"/>
      <c r="AI31" s="72"/>
      <c r="AJ31" s="60">
        <f t="shared" si="11"/>
        <v>0</v>
      </c>
      <c r="AK31" s="71"/>
      <c r="AL31" s="72"/>
      <c r="AM31" s="60">
        <f t="shared" si="12"/>
        <v>0</v>
      </c>
      <c r="AN31" s="71"/>
      <c r="AO31" s="72"/>
      <c r="AP31" s="70">
        <f t="shared" si="13"/>
        <v>0</v>
      </c>
      <c r="AQ31" s="7" t="e">
        <f t="shared" si="0"/>
        <v>#DIV/0!</v>
      </c>
    </row>
    <row r="32" spans="1:43" ht="18" customHeight="1" thickTop="1">
      <c r="B32" s="14" t="s">
        <v>33</v>
      </c>
      <c r="C32" s="73">
        <f t="shared" ref="C32" si="14">SUM(C12:C31)</f>
        <v>14684</v>
      </c>
      <c r="D32" s="74">
        <f t="shared" ref="D32:AP32" si="15">SUM(D12:D31)</f>
        <v>3415</v>
      </c>
      <c r="E32" s="75">
        <f t="shared" si="15"/>
        <v>14055</v>
      </c>
      <c r="F32" s="75">
        <f t="shared" si="15"/>
        <v>2479</v>
      </c>
      <c r="G32" s="76">
        <f t="shared" si="15"/>
        <v>1508</v>
      </c>
      <c r="H32" s="77">
        <f t="shared" si="15"/>
        <v>971</v>
      </c>
      <c r="I32" s="75">
        <f t="shared" ref="I32:N32" si="16">SUM(I12:I31)</f>
        <v>2001</v>
      </c>
      <c r="J32" s="76">
        <f t="shared" si="16"/>
        <v>1156</v>
      </c>
      <c r="K32" s="77">
        <f t="shared" si="16"/>
        <v>845</v>
      </c>
      <c r="L32" s="75">
        <f t="shared" si="16"/>
        <v>0</v>
      </c>
      <c r="M32" s="76">
        <f t="shared" si="16"/>
        <v>0</v>
      </c>
      <c r="N32" s="77">
        <f t="shared" si="16"/>
        <v>0</v>
      </c>
      <c r="O32" s="75">
        <f t="shared" ref="O32:T32" si="17">SUM(O12:O31)</f>
        <v>0</v>
      </c>
      <c r="P32" s="76">
        <f t="shared" si="17"/>
        <v>0</v>
      </c>
      <c r="Q32" s="77">
        <f t="shared" si="17"/>
        <v>0</v>
      </c>
      <c r="R32" s="75">
        <f t="shared" si="17"/>
        <v>0</v>
      </c>
      <c r="S32" s="76">
        <f t="shared" si="17"/>
        <v>0</v>
      </c>
      <c r="T32" s="77">
        <f t="shared" si="17"/>
        <v>0</v>
      </c>
      <c r="U32" s="75">
        <f t="shared" ref="U32:AI32" si="18">SUM(U12:U31)</f>
        <v>0</v>
      </c>
      <c r="V32" s="76">
        <f t="shared" si="18"/>
        <v>0</v>
      </c>
      <c r="W32" s="77">
        <f t="shared" si="18"/>
        <v>0</v>
      </c>
      <c r="X32" s="75">
        <f t="shared" si="18"/>
        <v>0</v>
      </c>
      <c r="Y32" s="76">
        <f t="shared" si="18"/>
        <v>0</v>
      </c>
      <c r="Z32" s="77">
        <f t="shared" si="18"/>
        <v>0</v>
      </c>
      <c r="AA32" s="75">
        <f t="shared" si="18"/>
        <v>0</v>
      </c>
      <c r="AB32" s="76">
        <f t="shared" si="18"/>
        <v>0</v>
      </c>
      <c r="AC32" s="77">
        <f t="shared" si="18"/>
        <v>0</v>
      </c>
      <c r="AD32" s="75">
        <f t="shared" si="18"/>
        <v>0</v>
      </c>
      <c r="AE32" s="76">
        <f t="shared" si="18"/>
        <v>0</v>
      </c>
      <c r="AF32" s="77">
        <f t="shared" si="18"/>
        <v>0</v>
      </c>
      <c r="AG32" s="75">
        <f t="shared" si="18"/>
        <v>0</v>
      </c>
      <c r="AH32" s="76">
        <f t="shared" si="18"/>
        <v>0</v>
      </c>
      <c r="AI32" s="77">
        <f t="shared" si="18"/>
        <v>0</v>
      </c>
      <c r="AJ32" s="75">
        <f t="shared" ref="AJ32:AO32" si="19">SUM(AJ12:AJ31)</f>
        <v>0</v>
      </c>
      <c r="AK32" s="76">
        <f t="shared" si="19"/>
        <v>0</v>
      </c>
      <c r="AL32" s="77">
        <f t="shared" si="19"/>
        <v>0</v>
      </c>
      <c r="AM32" s="75">
        <f t="shared" si="19"/>
        <v>0</v>
      </c>
      <c r="AN32" s="76">
        <f t="shared" si="19"/>
        <v>0</v>
      </c>
      <c r="AO32" s="77">
        <f t="shared" si="19"/>
        <v>0</v>
      </c>
      <c r="AP32" s="74">
        <f t="shared" si="15"/>
        <v>2479</v>
      </c>
      <c r="AQ32" s="9">
        <f t="shared" si="0"/>
        <v>0.17637851298470295</v>
      </c>
    </row>
    <row r="89" spans="4:4" ht="18.75" customHeight="1">
      <c r="D89" s="93" t="s">
        <v>154</v>
      </c>
    </row>
  </sheetData>
  <customSheetViews>
    <customSheetView guid="{D8827541-ABA7-43EF-AD20-B47C9E2B0126}" showPageBreaks="1" fitToPage="1" printArea="1" view="pageBreakPreview">
      <selection activeCell="AK20" sqref="AK20"/>
      <pageMargins left="0.78740157480314965" right="0.78740157480314965" top="0.78740157480314965" bottom="0.59055118110236227" header="0.31496062992125984" footer="0.31496062992125984"/>
      <printOptions horizontalCentered="1"/>
      <pageSetup paperSize="9" scale="57" orientation="landscape" r:id="rId1"/>
      <headerFooter>
        <oddHeader>&amp;C数理・データサイエンス・AI教育プログラム認定制度【リテラシーレベル】</oddHeader>
      </headerFooter>
    </customSheetView>
  </customSheetViews>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2"/>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zoomScale="130" zoomScaleNormal="130" zoomScaleSheetLayoutView="100" workbookViewId="0">
      <selection activeCell="J46" sqref="J46"/>
    </sheetView>
  </sheetViews>
  <sheetFormatPr defaultColWidth="11.375" defaultRowHeight="18.75" customHeight="1"/>
  <cols>
    <col min="1" max="1" width="2.75" style="4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0" width="5.625" style="10" customWidth="1"/>
    <col min="11" max="16384" width="11.375" style="1"/>
  </cols>
  <sheetData>
    <row r="1" spans="1:9" ht="18.75" customHeight="1">
      <c r="A1" s="40" t="s">
        <v>65</v>
      </c>
      <c r="I1" s="34" t="s">
        <v>106</v>
      </c>
    </row>
    <row r="2" spans="1:9" ht="18.75" customHeight="1">
      <c r="G2" s="34" t="s">
        <v>109</v>
      </c>
      <c r="H2" s="103" t="str">
        <f>'様式１　プログラムを構成する授業科目'!C2</f>
        <v>名城大学</v>
      </c>
      <c r="I2" s="105"/>
    </row>
    <row r="3" spans="1:9" ht="18.75" customHeight="1">
      <c r="G3" s="34"/>
      <c r="H3" s="10"/>
      <c r="I3" s="10"/>
    </row>
    <row r="4" spans="1:9" ht="18.600000000000001" customHeight="1">
      <c r="A4" s="155" t="s">
        <v>36</v>
      </c>
      <c r="B4" s="155"/>
      <c r="C4" s="155"/>
      <c r="D4" s="155"/>
      <c r="E4" s="155"/>
      <c r="F4" s="155"/>
      <c r="G4" s="155"/>
      <c r="H4" s="155"/>
      <c r="I4" s="155"/>
    </row>
    <row r="5" spans="1:9" ht="13.15" customHeight="1">
      <c r="B5" s="3"/>
      <c r="C5" s="3"/>
      <c r="D5" s="3"/>
      <c r="E5" s="3"/>
      <c r="F5" s="3"/>
      <c r="G5" s="3"/>
      <c r="H5" s="3"/>
      <c r="I5" s="3"/>
    </row>
    <row r="6" spans="1:9" ht="18" customHeight="1">
      <c r="A6" s="1" t="s">
        <v>0</v>
      </c>
      <c r="B6" s="10" t="s">
        <v>91</v>
      </c>
      <c r="C6" s="232" t="s">
        <v>92</v>
      </c>
      <c r="D6" s="232"/>
      <c r="E6" s="85">
        <v>503</v>
      </c>
      <c r="F6" s="3" t="s">
        <v>1</v>
      </c>
      <c r="G6" s="3" t="s">
        <v>2</v>
      </c>
      <c r="H6" s="85">
        <v>795</v>
      </c>
      <c r="I6" s="10" t="s">
        <v>1</v>
      </c>
    </row>
    <row r="7" spans="1:9" ht="12" customHeight="1">
      <c r="C7" s="2"/>
      <c r="D7" s="2"/>
      <c r="E7" s="2"/>
      <c r="F7" s="2"/>
      <c r="G7" s="2"/>
      <c r="H7" s="2"/>
      <c r="I7" s="41"/>
    </row>
    <row r="8" spans="1:9" ht="18" customHeight="1">
      <c r="A8" s="1" t="s">
        <v>3</v>
      </c>
      <c r="B8" s="10" t="s">
        <v>93</v>
      </c>
      <c r="E8" s="3"/>
      <c r="F8" s="3"/>
      <c r="G8" s="3"/>
      <c r="H8" s="33">
        <v>20</v>
      </c>
      <c r="I8" s="10" t="s">
        <v>1</v>
      </c>
    </row>
    <row r="9" spans="1:9" ht="9" customHeight="1">
      <c r="B9" s="3"/>
      <c r="C9" s="3"/>
      <c r="D9" s="3"/>
      <c r="E9" s="3"/>
      <c r="F9" s="3"/>
      <c r="G9" s="3"/>
      <c r="H9" s="3"/>
      <c r="I9" s="3"/>
    </row>
    <row r="10" spans="1:9" ht="18" customHeight="1">
      <c r="A10" s="1" t="s">
        <v>4</v>
      </c>
      <c r="B10" s="10" t="s">
        <v>94</v>
      </c>
      <c r="C10" s="3"/>
      <c r="D10" s="3"/>
      <c r="E10" s="3"/>
      <c r="F10" s="3"/>
      <c r="G10" s="3"/>
      <c r="H10" s="3"/>
      <c r="I10" s="3"/>
    </row>
    <row r="11" spans="1:9" ht="18" customHeight="1">
      <c r="B11" s="34" t="s">
        <v>43</v>
      </c>
      <c r="C11" s="225" t="s">
        <v>132</v>
      </c>
      <c r="D11" s="228"/>
      <c r="E11" s="229"/>
      <c r="F11" s="41"/>
      <c r="G11" s="34" t="s">
        <v>10</v>
      </c>
      <c r="H11" s="230" t="s">
        <v>134</v>
      </c>
      <c r="I11" s="231"/>
    </row>
    <row r="12" spans="1:9" ht="10.15" customHeight="1">
      <c r="B12" s="34"/>
      <c r="C12" s="10"/>
      <c r="D12" s="41"/>
      <c r="E12" s="41"/>
      <c r="F12" s="41"/>
      <c r="G12" s="34"/>
      <c r="H12" s="10"/>
      <c r="I12" s="41"/>
    </row>
    <row r="13" spans="1:9" ht="18" customHeight="1">
      <c r="A13" s="1" t="s">
        <v>7</v>
      </c>
      <c r="B13" s="10" t="s">
        <v>88</v>
      </c>
      <c r="C13" s="3"/>
      <c r="D13" s="3"/>
      <c r="E13" s="3"/>
      <c r="F13" s="3"/>
      <c r="G13" s="3"/>
      <c r="H13" s="3"/>
      <c r="I13" s="3"/>
    </row>
    <row r="14" spans="1:9" ht="18" customHeight="1">
      <c r="B14" s="225" t="s">
        <v>133</v>
      </c>
      <c r="C14" s="226"/>
      <c r="D14" s="226"/>
      <c r="E14" s="226"/>
      <c r="F14" s="226"/>
      <c r="G14" s="226"/>
      <c r="H14" s="226"/>
      <c r="I14" s="227"/>
    </row>
    <row r="15" spans="1:9" ht="9" customHeight="1">
      <c r="B15" s="3"/>
      <c r="C15" s="3"/>
      <c r="D15" s="3"/>
      <c r="E15" s="3"/>
      <c r="F15" s="3"/>
      <c r="G15" s="3"/>
      <c r="H15" s="3"/>
      <c r="I15" s="3"/>
    </row>
    <row r="16" spans="1:9" ht="18" customHeight="1">
      <c r="B16" s="34" t="s">
        <v>43</v>
      </c>
      <c r="C16" s="225" t="s">
        <v>132</v>
      </c>
      <c r="D16" s="228"/>
      <c r="E16" s="229"/>
      <c r="F16" s="41"/>
      <c r="G16" s="34" t="s">
        <v>10</v>
      </c>
      <c r="H16" s="230" t="s">
        <v>134</v>
      </c>
      <c r="I16" s="231"/>
    </row>
    <row r="17" spans="1:10" ht="18" customHeight="1">
      <c r="B17" s="3"/>
      <c r="C17" s="3"/>
      <c r="D17" s="3"/>
      <c r="E17" s="3"/>
      <c r="F17" s="3"/>
      <c r="G17" s="3"/>
      <c r="H17" s="3"/>
      <c r="I17" s="3"/>
    </row>
    <row r="18" spans="1:10" ht="18.75" customHeight="1">
      <c r="A18" s="1" t="s">
        <v>5</v>
      </c>
      <c r="B18" s="1" t="s">
        <v>42</v>
      </c>
      <c r="I18" s="3"/>
    </row>
    <row r="19" spans="1:10" ht="18.75" customHeight="1">
      <c r="A19" s="1"/>
      <c r="B19" s="208" t="s">
        <v>131</v>
      </c>
      <c r="C19" s="209"/>
      <c r="D19" s="209"/>
      <c r="E19" s="209"/>
      <c r="F19" s="209"/>
      <c r="G19" s="209"/>
      <c r="H19" s="209"/>
      <c r="I19" s="210"/>
    </row>
    <row r="20" spans="1:10" ht="7.5" customHeight="1">
      <c r="B20" s="3"/>
      <c r="C20" s="3"/>
      <c r="D20" s="3"/>
      <c r="E20" s="3"/>
      <c r="F20" s="3"/>
      <c r="G20" s="3"/>
      <c r="H20" s="3"/>
      <c r="I20" s="3"/>
    </row>
    <row r="21" spans="1:10" ht="18.75" customHeight="1">
      <c r="A21" s="1" t="s">
        <v>8</v>
      </c>
      <c r="B21" s="1" t="s">
        <v>25</v>
      </c>
    </row>
    <row r="22" spans="1:10" ht="62.25" customHeight="1">
      <c r="A22" s="15"/>
      <c r="B22" s="211" t="s">
        <v>172</v>
      </c>
      <c r="C22" s="212"/>
      <c r="D22" s="212"/>
      <c r="E22" s="212"/>
      <c r="F22" s="212"/>
      <c r="G22" s="212"/>
      <c r="H22" s="212"/>
      <c r="I22" s="213"/>
    </row>
    <row r="23" spans="1:10" ht="18.75" customHeight="1">
      <c r="A23" s="15"/>
      <c r="B23" s="214"/>
      <c r="C23" s="215"/>
      <c r="D23" s="215"/>
      <c r="E23" s="215"/>
      <c r="F23" s="215"/>
      <c r="G23" s="215"/>
      <c r="H23" s="215"/>
      <c r="I23" s="216"/>
      <c r="J23" s="10">
        <f t="shared" ref="J23:J75" si="0">LEN(B12)</f>
        <v>0</v>
      </c>
    </row>
    <row r="24" spans="1:10" ht="18.75" customHeight="1">
      <c r="A24" s="15"/>
      <c r="B24" s="214"/>
      <c r="C24" s="215"/>
      <c r="D24" s="215"/>
      <c r="E24" s="215"/>
      <c r="F24" s="215"/>
      <c r="G24" s="215"/>
      <c r="H24" s="215"/>
      <c r="I24" s="216"/>
    </row>
    <row r="25" spans="1:10" ht="18.75" customHeight="1">
      <c r="A25" s="15"/>
      <c r="B25" s="214"/>
      <c r="C25" s="215"/>
      <c r="D25" s="215"/>
      <c r="E25" s="215"/>
      <c r="F25" s="215"/>
      <c r="G25" s="215"/>
      <c r="H25" s="215"/>
      <c r="I25" s="216"/>
    </row>
    <row r="26" spans="1:10" ht="18.75" customHeight="1">
      <c r="A26" s="15"/>
      <c r="B26" s="214"/>
      <c r="C26" s="215"/>
      <c r="D26" s="215"/>
      <c r="E26" s="215"/>
      <c r="F26" s="215"/>
      <c r="G26" s="215"/>
      <c r="H26" s="215"/>
      <c r="I26" s="216"/>
      <c r="J26" s="10">
        <f t="shared" si="0"/>
        <v>0</v>
      </c>
    </row>
    <row r="27" spans="1:10" ht="18.75" customHeight="1">
      <c r="A27" s="15"/>
      <c r="B27" s="214"/>
      <c r="C27" s="215"/>
      <c r="D27" s="215"/>
      <c r="E27" s="215"/>
      <c r="F27" s="215"/>
      <c r="G27" s="215"/>
      <c r="H27" s="215"/>
      <c r="I27" s="216"/>
    </row>
    <row r="28" spans="1:10" ht="18.75" customHeight="1">
      <c r="A28" s="15"/>
      <c r="B28" s="214"/>
      <c r="C28" s="215"/>
      <c r="D28" s="215"/>
      <c r="E28" s="215"/>
      <c r="F28" s="215"/>
      <c r="G28" s="215"/>
      <c r="H28" s="215"/>
      <c r="I28" s="216"/>
      <c r="J28" s="10">
        <f t="shared" si="0"/>
        <v>0</v>
      </c>
    </row>
    <row r="29" spans="1:10" ht="18.75" customHeight="1">
      <c r="A29" s="15"/>
      <c r="B29" s="214"/>
      <c r="C29" s="215"/>
      <c r="D29" s="215"/>
      <c r="E29" s="215"/>
      <c r="F29" s="215"/>
      <c r="G29" s="215"/>
      <c r="H29" s="215"/>
      <c r="I29" s="216"/>
    </row>
    <row r="30" spans="1:10" ht="18.75" customHeight="1">
      <c r="A30" s="15"/>
      <c r="B30" s="217"/>
      <c r="C30" s="218"/>
      <c r="D30" s="218"/>
      <c r="E30" s="218"/>
      <c r="F30" s="218"/>
      <c r="G30" s="218"/>
      <c r="H30" s="218"/>
      <c r="I30" s="216"/>
    </row>
    <row r="31" spans="1:10" ht="18.75" customHeight="1">
      <c r="A31" s="15"/>
      <c r="B31" s="217"/>
      <c r="C31" s="218"/>
      <c r="D31" s="218"/>
      <c r="E31" s="218"/>
      <c r="F31" s="218"/>
      <c r="G31" s="218"/>
      <c r="H31" s="218"/>
      <c r="I31" s="216"/>
      <c r="J31" s="10">
        <f t="shared" si="0"/>
        <v>0</v>
      </c>
    </row>
    <row r="32" spans="1:10" ht="18.75" customHeight="1">
      <c r="A32" s="15"/>
      <c r="B32" s="219"/>
      <c r="C32" s="220"/>
      <c r="D32" s="220"/>
      <c r="E32" s="220"/>
      <c r="F32" s="220"/>
      <c r="G32" s="220"/>
      <c r="H32" s="220"/>
      <c r="I32" s="221"/>
    </row>
    <row r="33" spans="1:10" ht="7.5" customHeight="1">
      <c r="A33" s="15"/>
      <c r="B33" s="15"/>
      <c r="C33" s="15"/>
      <c r="D33" s="15"/>
      <c r="E33" s="15"/>
      <c r="F33" s="15"/>
      <c r="G33" s="15"/>
      <c r="H33" s="15"/>
      <c r="I33" s="15"/>
    </row>
    <row r="34" spans="1:10" ht="18.75" customHeight="1">
      <c r="A34" s="16" t="s">
        <v>6</v>
      </c>
      <c r="B34" s="16" t="s">
        <v>9</v>
      </c>
      <c r="C34" s="10"/>
      <c r="D34" s="16"/>
      <c r="E34" s="16"/>
      <c r="F34" s="16"/>
      <c r="G34" s="16"/>
      <c r="H34" s="16"/>
      <c r="I34" s="16"/>
      <c r="J34" s="10">
        <f t="shared" si="0"/>
        <v>0</v>
      </c>
    </row>
    <row r="35" spans="1:10" ht="18.75" customHeight="1">
      <c r="A35" s="15"/>
      <c r="B35" s="211" t="s">
        <v>147</v>
      </c>
      <c r="C35" s="212"/>
      <c r="D35" s="212"/>
      <c r="E35" s="212"/>
      <c r="F35" s="212"/>
      <c r="G35" s="212"/>
      <c r="H35" s="212"/>
      <c r="I35" s="213"/>
      <c r="J35" s="10">
        <f t="shared" si="0"/>
        <v>0</v>
      </c>
    </row>
    <row r="36" spans="1:10" ht="18.75" customHeight="1">
      <c r="A36" s="15"/>
      <c r="B36" s="217"/>
      <c r="C36" s="218"/>
      <c r="D36" s="218"/>
      <c r="E36" s="218"/>
      <c r="F36" s="218"/>
      <c r="G36" s="218"/>
      <c r="H36" s="218"/>
      <c r="I36" s="216"/>
      <c r="J36" s="10">
        <f t="shared" si="0"/>
        <v>0</v>
      </c>
    </row>
    <row r="37" spans="1:10" ht="18.75" customHeight="1">
      <c r="A37" s="15"/>
      <c r="B37" s="217"/>
      <c r="C37" s="218"/>
      <c r="D37" s="218"/>
      <c r="E37" s="218"/>
      <c r="F37" s="218"/>
      <c r="G37" s="218"/>
      <c r="H37" s="218"/>
      <c r="I37" s="216"/>
      <c r="J37" s="10">
        <f t="shared" si="0"/>
        <v>0</v>
      </c>
    </row>
    <row r="38" spans="1:10" ht="18.75" customHeight="1">
      <c r="A38" s="15"/>
      <c r="B38" s="217"/>
      <c r="C38" s="218"/>
      <c r="D38" s="218"/>
      <c r="E38" s="218"/>
      <c r="F38" s="218"/>
      <c r="G38" s="218"/>
      <c r="H38" s="218"/>
      <c r="I38" s="216"/>
      <c r="J38" s="10">
        <f t="shared" si="0"/>
        <v>0</v>
      </c>
    </row>
    <row r="39" spans="1:10" ht="18.75" customHeight="1">
      <c r="A39" s="15"/>
      <c r="B39" s="217"/>
      <c r="C39" s="218"/>
      <c r="D39" s="218"/>
      <c r="E39" s="218"/>
      <c r="F39" s="218"/>
      <c r="G39" s="218"/>
      <c r="H39" s="218"/>
      <c r="I39" s="216"/>
      <c r="J39" s="10">
        <f t="shared" si="0"/>
        <v>0</v>
      </c>
    </row>
    <row r="40" spans="1:10" ht="18.75" customHeight="1">
      <c r="A40" s="15"/>
      <c r="B40" s="217"/>
      <c r="C40" s="218"/>
      <c r="D40" s="218"/>
      <c r="E40" s="218"/>
      <c r="F40" s="218"/>
      <c r="G40" s="218"/>
      <c r="H40" s="218"/>
      <c r="I40" s="216"/>
      <c r="J40" s="10">
        <f t="shared" si="0"/>
        <v>0</v>
      </c>
    </row>
    <row r="41" spans="1:10" ht="18.75" customHeight="1">
      <c r="A41" s="15"/>
      <c r="B41" s="217"/>
      <c r="C41" s="218"/>
      <c r="D41" s="218"/>
      <c r="E41" s="218"/>
      <c r="F41" s="218"/>
      <c r="G41" s="218"/>
      <c r="H41" s="218"/>
      <c r="I41" s="216"/>
      <c r="J41" s="10">
        <f t="shared" si="0"/>
        <v>0</v>
      </c>
    </row>
    <row r="42" spans="1:10" ht="18.75" customHeight="1">
      <c r="A42" s="15"/>
      <c r="B42" s="217"/>
      <c r="C42" s="218"/>
      <c r="D42" s="218"/>
      <c r="E42" s="218"/>
      <c r="F42" s="218"/>
      <c r="G42" s="218"/>
      <c r="H42" s="218"/>
      <c r="I42" s="216"/>
      <c r="J42" s="10">
        <f t="shared" si="0"/>
        <v>0</v>
      </c>
    </row>
    <row r="43" spans="1:10" ht="10.5" customHeight="1">
      <c r="A43" s="15"/>
      <c r="B43" s="217"/>
      <c r="C43" s="218"/>
      <c r="D43" s="218"/>
      <c r="E43" s="218"/>
      <c r="F43" s="218"/>
      <c r="G43" s="218"/>
      <c r="H43" s="218"/>
      <c r="I43" s="216"/>
      <c r="J43" s="10">
        <f t="shared" si="0"/>
        <v>0</v>
      </c>
    </row>
    <row r="44" spans="1:10" ht="12" customHeight="1">
      <c r="A44" s="15"/>
      <c r="B44" s="217"/>
      <c r="C44" s="218"/>
      <c r="D44" s="218"/>
      <c r="E44" s="218"/>
      <c r="F44" s="218"/>
      <c r="G44" s="218"/>
      <c r="H44" s="218"/>
      <c r="I44" s="216"/>
      <c r="J44" s="10">
        <f t="shared" si="0"/>
        <v>0</v>
      </c>
    </row>
    <row r="45" spans="1:10" ht="11.25" customHeight="1">
      <c r="A45" s="15"/>
      <c r="B45" s="217"/>
      <c r="C45" s="218"/>
      <c r="D45" s="218"/>
      <c r="E45" s="218"/>
      <c r="F45" s="218"/>
      <c r="G45" s="218"/>
      <c r="H45" s="218"/>
      <c r="I45" s="216"/>
    </row>
    <row r="46" spans="1:10" ht="12" customHeight="1">
      <c r="A46" s="15"/>
      <c r="B46" s="219"/>
      <c r="C46" s="220"/>
      <c r="D46" s="220"/>
      <c r="E46" s="220"/>
      <c r="F46" s="220"/>
      <c r="G46" s="220"/>
      <c r="H46" s="220"/>
      <c r="I46" s="221"/>
    </row>
    <row r="47" spans="1:10" ht="7.5" customHeight="1">
      <c r="A47" s="4"/>
      <c r="B47" s="4"/>
      <c r="C47" s="4"/>
      <c r="D47" s="4"/>
      <c r="E47" s="4"/>
      <c r="F47" s="4"/>
      <c r="G47" s="4"/>
      <c r="H47" s="4"/>
      <c r="I47" s="4"/>
      <c r="J47" s="10">
        <f t="shared" si="0"/>
        <v>0</v>
      </c>
    </row>
    <row r="48" spans="1:10" ht="18.75" customHeight="1">
      <c r="A48" s="1" t="s">
        <v>31</v>
      </c>
      <c r="B48" s="1" t="s">
        <v>123</v>
      </c>
      <c r="J48" s="10">
        <f t="shared" si="0"/>
        <v>0</v>
      </c>
    </row>
    <row r="49" spans="1:15" s="3" customFormat="1" ht="18.75" customHeight="1">
      <c r="B49" s="42" t="s">
        <v>89</v>
      </c>
      <c r="C49" s="250">
        <f>'様式２ 履修者等数の実績'!AQ32</f>
        <v>0.17637851298470295</v>
      </c>
      <c r="D49" s="250"/>
      <c r="E49" s="42" t="s">
        <v>66</v>
      </c>
      <c r="F49" s="250">
        <v>0.25</v>
      </c>
      <c r="G49" s="250"/>
      <c r="H49" s="42" t="s">
        <v>67</v>
      </c>
      <c r="I49" s="43">
        <v>0.3</v>
      </c>
      <c r="J49" s="10">
        <f t="shared" si="0"/>
        <v>0</v>
      </c>
      <c r="M49" s="1"/>
      <c r="N49" s="44"/>
    </row>
    <row r="50" spans="1:15" s="3" customFormat="1" ht="18.75" customHeight="1">
      <c r="B50" s="45" t="s">
        <v>68</v>
      </c>
      <c r="C50" s="233">
        <v>0.35</v>
      </c>
      <c r="D50" s="233"/>
      <c r="E50" s="45" t="s">
        <v>90</v>
      </c>
      <c r="F50" s="233">
        <v>0.4</v>
      </c>
      <c r="G50" s="233"/>
      <c r="H50" s="45" t="s">
        <v>69</v>
      </c>
      <c r="I50" s="46">
        <f>'様式２ 履修者等数の実績'!E32</f>
        <v>14055</v>
      </c>
      <c r="J50" s="10">
        <f t="shared" si="0"/>
        <v>0</v>
      </c>
      <c r="M50" s="1"/>
      <c r="N50" s="44"/>
    </row>
    <row r="51" spans="1:15" ht="18.75" customHeight="1">
      <c r="A51" s="1"/>
      <c r="B51" s="222" t="s">
        <v>70</v>
      </c>
      <c r="C51" s="223"/>
      <c r="D51" s="223"/>
      <c r="E51" s="223"/>
      <c r="F51" s="223"/>
      <c r="G51" s="223"/>
      <c r="H51" s="223"/>
      <c r="I51" s="224"/>
      <c r="N51" s="44"/>
      <c r="O51" s="3"/>
    </row>
    <row r="52" spans="1:15" ht="18.75" customHeight="1">
      <c r="A52" s="1"/>
      <c r="B52" s="251" t="s">
        <v>150</v>
      </c>
      <c r="C52" s="252"/>
      <c r="D52" s="252"/>
      <c r="E52" s="252"/>
      <c r="F52" s="252"/>
      <c r="G52" s="252"/>
      <c r="H52" s="252"/>
      <c r="I52" s="253"/>
      <c r="N52" s="44"/>
      <c r="O52" s="3"/>
    </row>
    <row r="53" spans="1:15" ht="18.75" customHeight="1">
      <c r="A53" s="1"/>
      <c r="B53" s="254"/>
      <c r="C53" s="255"/>
      <c r="D53" s="255"/>
      <c r="E53" s="255"/>
      <c r="F53" s="255"/>
      <c r="G53" s="255"/>
      <c r="H53" s="255"/>
      <c r="I53" s="256"/>
      <c r="J53" s="10">
        <f t="shared" si="0"/>
        <v>0</v>
      </c>
      <c r="N53" s="44"/>
      <c r="O53" s="3"/>
    </row>
    <row r="54" spans="1:15" ht="18.75" customHeight="1">
      <c r="A54" s="1"/>
      <c r="B54" s="254"/>
      <c r="C54" s="255"/>
      <c r="D54" s="255"/>
      <c r="E54" s="255"/>
      <c r="F54" s="255"/>
      <c r="G54" s="255"/>
      <c r="H54" s="255"/>
      <c r="I54" s="256"/>
      <c r="J54" s="10">
        <f t="shared" si="0"/>
        <v>0</v>
      </c>
    </row>
    <row r="55" spans="1:15" ht="18.75" customHeight="1">
      <c r="A55" s="1"/>
      <c r="B55" s="254"/>
      <c r="C55" s="255"/>
      <c r="D55" s="255"/>
      <c r="E55" s="255"/>
      <c r="F55" s="255"/>
      <c r="G55" s="255"/>
      <c r="H55" s="255"/>
      <c r="I55" s="256"/>
      <c r="J55" s="10">
        <f t="shared" si="0"/>
        <v>0</v>
      </c>
    </row>
    <row r="56" spans="1:15" ht="18.75" customHeight="1">
      <c r="A56" s="1"/>
      <c r="B56" s="254"/>
      <c r="C56" s="255"/>
      <c r="D56" s="255"/>
      <c r="E56" s="255"/>
      <c r="F56" s="255"/>
      <c r="G56" s="255"/>
      <c r="H56" s="255"/>
      <c r="I56" s="256"/>
      <c r="J56" s="10">
        <f t="shared" si="0"/>
        <v>0</v>
      </c>
    </row>
    <row r="57" spans="1:15" ht="18.75" customHeight="1">
      <c r="A57" s="1"/>
      <c r="B57" s="254"/>
      <c r="C57" s="255"/>
      <c r="D57" s="255"/>
      <c r="E57" s="255"/>
      <c r="F57" s="255"/>
      <c r="G57" s="255"/>
      <c r="H57" s="255"/>
      <c r="I57" s="256"/>
      <c r="J57" s="10">
        <f t="shared" si="0"/>
        <v>0</v>
      </c>
    </row>
    <row r="58" spans="1:15" ht="18.75" customHeight="1">
      <c r="A58" s="1"/>
      <c r="B58" s="254"/>
      <c r="C58" s="255"/>
      <c r="D58" s="255"/>
      <c r="E58" s="255"/>
      <c r="F58" s="255"/>
      <c r="G58" s="255"/>
      <c r="H58" s="255"/>
      <c r="I58" s="256"/>
      <c r="J58" s="10">
        <f t="shared" si="0"/>
        <v>0</v>
      </c>
    </row>
    <row r="59" spans="1:15" ht="9" customHeight="1">
      <c r="A59" s="1"/>
      <c r="B59" s="254"/>
      <c r="C59" s="255"/>
      <c r="D59" s="255"/>
      <c r="E59" s="255"/>
      <c r="F59" s="255"/>
      <c r="G59" s="255"/>
      <c r="H59" s="255"/>
      <c r="I59" s="256"/>
    </row>
    <row r="60" spans="1:15" ht="18.75" hidden="1" customHeight="1">
      <c r="A60" s="1"/>
      <c r="B60" s="254"/>
      <c r="C60" s="255"/>
      <c r="D60" s="255"/>
      <c r="E60" s="255"/>
      <c r="F60" s="255"/>
      <c r="G60" s="255"/>
      <c r="H60" s="255"/>
      <c r="I60" s="256"/>
    </row>
    <row r="61" spans="1:15" ht="18.75" hidden="1" customHeight="1">
      <c r="A61" s="1"/>
      <c r="B61" s="254"/>
      <c r="C61" s="255"/>
      <c r="D61" s="255"/>
      <c r="E61" s="255"/>
      <c r="F61" s="255"/>
      <c r="G61" s="255"/>
      <c r="H61" s="255"/>
      <c r="I61" s="256"/>
    </row>
    <row r="62" spans="1:15" ht="18.75" hidden="1" customHeight="1">
      <c r="A62" s="1"/>
      <c r="B62" s="254"/>
      <c r="C62" s="255"/>
      <c r="D62" s="255"/>
      <c r="E62" s="255"/>
      <c r="F62" s="255"/>
      <c r="G62" s="255"/>
      <c r="H62" s="255"/>
      <c r="I62" s="256"/>
    </row>
    <row r="63" spans="1:15" ht="6" customHeight="1">
      <c r="A63" s="1"/>
      <c r="B63" s="257"/>
      <c r="C63" s="258"/>
      <c r="D63" s="258"/>
      <c r="E63" s="258"/>
      <c r="F63" s="258"/>
      <c r="G63" s="258"/>
      <c r="H63" s="258"/>
      <c r="I63" s="259"/>
    </row>
    <row r="64" spans="1:15" ht="7.5" customHeight="1">
      <c r="A64" s="15"/>
      <c r="B64" s="89"/>
      <c r="C64" s="89"/>
      <c r="D64" s="89"/>
      <c r="E64" s="89"/>
      <c r="F64" s="89"/>
      <c r="G64" s="89"/>
      <c r="H64" s="89"/>
      <c r="I64" s="89"/>
      <c r="J64" s="10">
        <f t="shared" si="0"/>
        <v>0</v>
      </c>
    </row>
    <row r="65" spans="1:10" ht="18.75" customHeight="1">
      <c r="A65" s="16" t="s">
        <v>34</v>
      </c>
      <c r="B65" s="90" t="s">
        <v>37</v>
      </c>
      <c r="C65" s="90"/>
      <c r="D65" s="90"/>
      <c r="E65" s="90"/>
      <c r="F65" s="90"/>
      <c r="G65" s="90"/>
      <c r="H65" s="90"/>
      <c r="I65" s="91"/>
    </row>
    <row r="66" spans="1:10" ht="18.75" customHeight="1">
      <c r="A66" s="4"/>
      <c r="B66" s="234" t="s">
        <v>173</v>
      </c>
      <c r="C66" s="235"/>
      <c r="D66" s="235"/>
      <c r="E66" s="235"/>
      <c r="F66" s="235"/>
      <c r="G66" s="235"/>
      <c r="H66" s="235"/>
      <c r="I66" s="236"/>
      <c r="J66" s="96"/>
    </row>
    <row r="67" spans="1:10" ht="18.75" customHeight="1">
      <c r="A67" s="4"/>
      <c r="B67" s="237"/>
      <c r="C67" s="238"/>
      <c r="D67" s="238"/>
      <c r="E67" s="238"/>
      <c r="F67" s="238"/>
      <c r="G67" s="238"/>
      <c r="H67" s="238"/>
      <c r="I67" s="239"/>
      <c r="J67" s="10">
        <f t="shared" si="0"/>
        <v>0</v>
      </c>
    </row>
    <row r="68" spans="1:10" ht="18.75" customHeight="1">
      <c r="A68" s="4"/>
      <c r="B68" s="237"/>
      <c r="C68" s="238"/>
      <c r="D68" s="238"/>
      <c r="E68" s="238"/>
      <c r="F68" s="238"/>
      <c r="G68" s="238"/>
      <c r="H68" s="238"/>
      <c r="I68" s="239"/>
      <c r="J68" s="10">
        <f t="shared" si="0"/>
        <v>0</v>
      </c>
    </row>
    <row r="69" spans="1:10" ht="18.75" customHeight="1">
      <c r="A69" s="4"/>
      <c r="B69" s="237"/>
      <c r="C69" s="238"/>
      <c r="D69" s="238"/>
      <c r="E69" s="238"/>
      <c r="F69" s="238"/>
      <c r="G69" s="238"/>
      <c r="H69" s="238"/>
      <c r="I69" s="239"/>
      <c r="J69" s="10">
        <f t="shared" si="0"/>
        <v>0</v>
      </c>
    </row>
    <row r="70" spans="1:10" ht="18.75" customHeight="1">
      <c r="A70" s="4"/>
      <c r="B70" s="237"/>
      <c r="C70" s="238"/>
      <c r="D70" s="238"/>
      <c r="E70" s="238"/>
      <c r="F70" s="238"/>
      <c r="G70" s="238"/>
      <c r="H70" s="238"/>
      <c r="I70" s="239"/>
      <c r="J70" s="10">
        <f t="shared" si="0"/>
        <v>0</v>
      </c>
    </row>
    <row r="71" spans="1:10" ht="18.75" customHeight="1">
      <c r="A71" s="4"/>
      <c r="B71" s="237"/>
      <c r="C71" s="238"/>
      <c r="D71" s="238"/>
      <c r="E71" s="238"/>
      <c r="F71" s="238"/>
      <c r="G71" s="238"/>
      <c r="H71" s="238"/>
      <c r="I71" s="239"/>
      <c r="J71" s="10">
        <f t="shared" si="0"/>
        <v>0</v>
      </c>
    </row>
    <row r="72" spans="1:10" ht="18.75" customHeight="1">
      <c r="A72" s="4"/>
      <c r="B72" s="237"/>
      <c r="C72" s="238"/>
      <c r="D72" s="238"/>
      <c r="E72" s="238"/>
      <c r="F72" s="238"/>
      <c r="G72" s="238"/>
      <c r="H72" s="238"/>
      <c r="I72" s="239"/>
      <c r="J72" s="10">
        <f t="shared" si="0"/>
        <v>0</v>
      </c>
    </row>
    <row r="73" spans="1:10" ht="18.75" customHeight="1">
      <c r="A73" s="4"/>
      <c r="B73" s="237"/>
      <c r="C73" s="238"/>
      <c r="D73" s="238"/>
      <c r="E73" s="238"/>
      <c r="F73" s="238"/>
      <c r="G73" s="238"/>
      <c r="H73" s="238"/>
      <c r="I73" s="239"/>
      <c r="J73" s="10">
        <f t="shared" si="0"/>
        <v>0</v>
      </c>
    </row>
    <row r="74" spans="1:10" ht="18.75" customHeight="1">
      <c r="A74" s="4"/>
      <c r="B74" s="237"/>
      <c r="C74" s="238"/>
      <c r="D74" s="238"/>
      <c r="E74" s="238"/>
      <c r="F74" s="238"/>
      <c r="G74" s="238"/>
      <c r="H74" s="238"/>
      <c r="I74" s="239"/>
      <c r="J74" s="10">
        <f t="shared" si="0"/>
        <v>0</v>
      </c>
    </row>
    <row r="75" spans="1:10" ht="4.5" customHeight="1">
      <c r="A75" s="4"/>
      <c r="B75" s="237"/>
      <c r="C75" s="238"/>
      <c r="D75" s="238"/>
      <c r="E75" s="238"/>
      <c r="F75" s="238"/>
      <c r="G75" s="238"/>
      <c r="H75" s="238"/>
      <c r="I75" s="239"/>
      <c r="J75" s="10">
        <f t="shared" si="0"/>
        <v>0</v>
      </c>
    </row>
    <row r="76" spans="1:10" ht="18.75" hidden="1" customHeight="1">
      <c r="A76" s="4"/>
      <c r="B76" s="237"/>
      <c r="C76" s="238"/>
      <c r="D76" s="238"/>
      <c r="E76" s="238"/>
      <c r="F76" s="238"/>
      <c r="G76" s="238"/>
      <c r="H76" s="238"/>
      <c r="I76" s="239"/>
    </row>
    <row r="77" spans="1:10" ht="6.75" customHeight="1">
      <c r="A77" s="4"/>
      <c r="B77" s="240"/>
      <c r="C77" s="241"/>
      <c r="D77" s="241"/>
      <c r="E77" s="241"/>
      <c r="F77" s="241"/>
      <c r="G77" s="241"/>
      <c r="H77" s="241"/>
      <c r="I77" s="242"/>
    </row>
    <row r="78" spans="1:10" ht="7.5" customHeight="1">
      <c r="A78" s="4"/>
      <c r="B78" s="88"/>
      <c r="C78" s="88"/>
      <c r="D78" s="88"/>
      <c r="E78" s="88"/>
      <c r="F78" s="88"/>
      <c r="G78" s="88"/>
      <c r="H78" s="88"/>
      <c r="I78" s="88"/>
    </row>
    <row r="79" spans="1:10" ht="18.75" customHeight="1">
      <c r="A79" s="1" t="s">
        <v>11</v>
      </c>
      <c r="B79" s="90" t="s">
        <v>41</v>
      </c>
      <c r="C79" s="90"/>
      <c r="D79" s="90"/>
      <c r="E79" s="90"/>
      <c r="F79" s="90"/>
      <c r="G79" s="90"/>
      <c r="H79" s="90"/>
      <c r="I79" s="90"/>
    </row>
    <row r="80" spans="1:10" ht="18.75" customHeight="1">
      <c r="A80" s="1"/>
      <c r="B80" s="234" t="s">
        <v>171</v>
      </c>
      <c r="C80" s="235"/>
      <c r="D80" s="235"/>
      <c r="E80" s="235"/>
      <c r="F80" s="235"/>
      <c r="G80" s="235"/>
      <c r="H80" s="235"/>
      <c r="I80" s="243"/>
    </row>
    <row r="81" spans="1:9" ht="18.75" customHeight="1">
      <c r="A81" s="1"/>
      <c r="B81" s="244"/>
      <c r="C81" s="245"/>
      <c r="D81" s="245"/>
      <c r="E81" s="245"/>
      <c r="F81" s="245"/>
      <c r="G81" s="245"/>
      <c r="H81" s="245"/>
      <c r="I81" s="246"/>
    </row>
    <row r="82" spans="1:9" ht="18.75" customHeight="1">
      <c r="A82" s="1"/>
      <c r="B82" s="244"/>
      <c r="C82" s="245"/>
      <c r="D82" s="245"/>
      <c r="E82" s="245"/>
      <c r="F82" s="245"/>
      <c r="G82" s="245"/>
      <c r="H82" s="245"/>
      <c r="I82" s="246"/>
    </row>
    <row r="83" spans="1:9" ht="18.75" customHeight="1">
      <c r="A83" s="1"/>
      <c r="B83" s="244"/>
      <c r="C83" s="245"/>
      <c r="D83" s="245"/>
      <c r="E83" s="245"/>
      <c r="F83" s="245"/>
      <c r="G83" s="245"/>
      <c r="H83" s="245"/>
      <c r="I83" s="246"/>
    </row>
    <row r="84" spans="1:9" ht="18.75" customHeight="1">
      <c r="A84" s="1"/>
      <c r="B84" s="244"/>
      <c r="C84" s="245"/>
      <c r="D84" s="245"/>
      <c r="E84" s="245"/>
      <c r="F84" s="245"/>
      <c r="G84" s="245"/>
      <c r="H84" s="245"/>
      <c r="I84" s="246"/>
    </row>
    <row r="85" spans="1:9" ht="18.75" customHeight="1">
      <c r="A85" s="1"/>
      <c r="B85" s="244"/>
      <c r="C85" s="245"/>
      <c r="D85" s="245"/>
      <c r="E85" s="245"/>
      <c r="F85" s="245"/>
      <c r="G85" s="245"/>
      <c r="H85" s="245"/>
      <c r="I85" s="246"/>
    </row>
    <row r="86" spans="1:9" ht="18.75" customHeight="1">
      <c r="A86" s="1"/>
      <c r="B86" s="244"/>
      <c r="C86" s="245"/>
      <c r="D86" s="245"/>
      <c r="E86" s="245"/>
      <c r="F86" s="245"/>
      <c r="G86" s="245"/>
      <c r="H86" s="245"/>
      <c r="I86" s="246"/>
    </row>
    <row r="87" spans="1:9" ht="18.75" customHeight="1">
      <c r="A87" s="1"/>
      <c r="B87" s="244"/>
      <c r="C87" s="245"/>
      <c r="D87" s="245"/>
      <c r="E87" s="245"/>
      <c r="F87" s="245"/>
      <c r="G87" s="245"/>
      <c r="H87" s="245"/>
      <c r="I87" s="246"/>
    </row>
    <row r="88" spans="1:9" ht="2.25" customHeight="1">
      <c r="A88" s="1"/>
      <c r="B88" s="244"/>
      <c r="C88" s="245"/>
      <c r="D88" s="245"/>
      <c r="E88" s="245"/>
      <c r="F88" s="245"/>
      <c r="G88" s="245"/>
      <c r="H88" s="245"/>
      <c r="I88" s="246"/>
    </row>
    <row r="89" spans="1:9" ht="1.5" customHeight="1">
      <c r="A89" s="1"/>
      <c r="B89" s="244"/>
      <c r="C89" s="245"/>
      <c r="D89" s="245"/>
      <c r="E89" s="245"/>
      <c r="F89" s="245"/>
      <c r="G89" s="245"/>
      <c r="H89" s="245"/>
      <c r="I89" s="246"/>
    </row>
    <row r="90" spans="1:9" ht="18.75" hidden="1" customHeight="1">
      <c r="A90" s="4"/>
      <c r="B90" s="244"/>
      <c r="C90" s="245"/>
      <c r="D90" s="245"/>
      <c r="E90" s="245"/>
      <c r="F90" s="245"/>
      <c r="G90" s="245"/>
      <c r="H90" s="245"/>
      <c r="I90" s="246"/>
    </row>
    <row r="91" spans="1:9" ht="3.75" customHeight="1">
      <c r="A91" s="4"/>
      <c r="B91" s="247"/>
      <c r="C91" s="248"/>
      <c r="D91" s="248"/>
      <c r="E91" s="248"/>
      <c r="F91" s="248"/>
      <c r="G91" s="248"/>
      <c r="H91" s="248"/>
      <c r="I91" s="249"/>
    </row>
    <row r="92" spans="1:9" ht="7.5" customHeight="1">
      <c r="A92" s="4"/>
      <c r="B92" s="88"/>
      <c r="C92" s="88"/>
      <c r="D92" s="88"/>
      <c r="E92" s="88"/>
      <c r="F92" s="88"/>
      <c r="G92" s="88"/>
      <c r="H92" s="88"/>
      <c r="I92" s="88"/>
    </row>
    <row r="93" spans="1:9" ht="18.75" customHeight="1">
      <c r="A93" s="1" t="s">
        <v>44</v>
      </c>
      <c r="B93" s="90" t="s">
        <v>13</v>
      </c>
      <c r="C93" s="90"/>
      <c r="D93" s="90"/>
      <c r="E93" s="90"/>
      <c r="F93" s="90"/>
      <c r="G93" s="90"/>
      <c r="H93" s="90"/>
      <c r="I93" s="90"/>
    </row>
    <row r="94" spans="1:9" ht="18.75" customHeight="1">
      <c r="A94" s="1"/>
      <c r="B94" s="198" t="s">
        <v>170</v>
      </c>
      <c r="C94" s="199"/>
      <c r="D94" s="199"/>
      <c r="E94" s="199"/>
      <c r="F94" s="199"/>
      <c r="G94" s="199"/>
      <c r="H94" s="199"/>
      <c r="I94" s="200"/>
    </row>
    <row r="95" spans="1:9" ht="18.75" customHeight="1">
      <c r="A95" s="1"/>
      <c r="B95" s="201"/>
      <c r="C95" s="202"/>
      <c r="D95" s="202"/>
      <c r="E95" s="202"/>
      <c r="F95" s="202"/>
      <c r="G95" s="202"/>
      <c r="H95" s="202"/>
      <c r="I95" s="203"/>
    </row>
    <row r="96" spans="1:9" ht="18.75" customHeight="1">
      <c r="A96" s="1"/>
      <c r="B96" s="201"/>
      <c r="C96" s="202"/>
      <c r="D96" s="202"/>
      <c r="E96" s="202"/>
      <c r="F96" s="202"/>
      <c r="G96" s="202"/>
      <c r="H96" s="202"/>
      <c r="I96" s="203"/>
    </row>
    <row r="97" spans="1:9" ht="18.75" customHeight="1">
      <c r="A97" s="1"/>
      <c r="B97" s="201"/>
      <c r="C97" s="202"/>
      <c r="D97" s="202"/>
      <c r="E97" s="202"/>
      <c r="F97" s="202"/>
      <c r="G97" s="202"/>
      <c r="H97" s="202"/>
      <c r="I97" s="203"/>
    </row>
    <row r="98" spans="1:9" ht="18.75" customHeight="1">
      <c r="A98" s="1"/>
      <c r="B98" s="201"/>
      <c r="C98" s="202"/>
      <c r="D98" s="202"/>
      <c r="E98" s="202"/>
      <c r="F98" s="202"/>
      <c r="G98" s="202"/>
      <c r="H98" s="202"/>
      <c r="I98" s="203"/>
    </row>
    <row r="99" spans="1:9" ht="18.75" customHeight="1">
      <c r="A99" s="1"/>
      <c r="B99" s="201"/>
      <c r="C99" s="202"/>
      <c r="D99" s="202"/>
      <c r="E99" s="202"/>
      <c r="F99" s="202"/>
      <c r="G99" s="202"/>
      <c r="H99" s="202"/>
      <c r="I99" s="203"/>
    </row>
    <row r="100" spans="1:9" ht="18.75" customHeight="1">
      <c r="A100" s="1"/>
      <c r="B100" s="201"/>
      <c r="C100" s="202"/>
      <c r="D100" s="202"/>
      <c r="E100" s="202"/>
      <c r="F100" s="202"/>
      <c r="G100" s="202"/>
      <c r="H100" s="202"/>
      <c r="I100" s="203"/>
    </row>
    <row r="101" spans="1:9" ht="8.25" customHeight="1">
      <c r="A101" s="1"/>
      <c r="B101" s="201"/>
      <c r="C101" s="202"/>
      <c r="D101" s="202"/>
      <c r="E101" s="202"/>
      <c r="F101" s="202"/>
      <c r="G101" s="202"/>
      <c r="H101" s="202"/>
      <c r="I101" s="203"/>
    </row>
    <row r="102" spans="1:9" ht="9" hidden="1" customHeight="1">
      <c r="A102" s="1"/>
      <c r="B102" s="201"/>
      <c r="C102" s="202"/>
      <c r="D102" s="202"/>
      <c r="E102" s="202"/>
      <c r="F102" s="202"/>
      <c r="G102" s="202"/>
      <c r="H102" s="202"/>
      <c r="I102" s="203"/>
    </row>
    <row r="103" spans="1:9" ht="18.75" hidden="1" customHeight="1">
      <c r="A103" s="1"/>
      <c r="B103" s="201"/>
      <c r="C103" s="202"/>
      <c r="D103" s="202"/>
      <c r="E103" s="202"/>
      <c r="F103" s="202"/>
      <c r="G103" s="202"/>
      <c r="H103" s="202"/>
      <c r="I103" s="203"/>
    </row>
    <row r="104" spans="1:9" ht="6" customHeight="1">
      <c r="A104" s="1"/>
      <c r="B104" s="201"/>
      <c r="C104" s="202"/>
      <c r="D104" s="202"/>
      <c r="E104" s="202"/>
      <c r="F104" s="202"/>
      <c r="G104" s="202"/>
      <c r="H104" s="202"/>
      <c r="I104" s="203"/>
    </row>
    <row r="105" spans="1:9" ht="1.5" customHeight="1">
      <c r="A105" s="4"/>
      <c r="B105" s="204"/>
      <c r="C105" s="205"/>
      <c r="D105" s="205"/>
      <c r="E105" s="205"/>
      <c r="F105" s="205"/>
      <c r="G105" s="205"/>
      <c r="H105" s="205"/>
      <c r="I105" s="206"/>
    </row>
    <row r="106" spans="1:9" ht="7.5" customHeight="1">
      <c r="A106" s="4"/>
      <c r="B106" s="88"/>
      <c r="C106" s="88"/>
      <c r="D106" s="88"/>
      <c r="E106" s="88"/>
      <c r="F106" s="88"/>
      <c r="G106" s="88"/>
      <c r="H106" s="88"/>
      <c r="I106" s="88"/>
    </row>
    <row r="107" spans="1:9" ht="18.75" customHeight="1">
      <c r="A107" s="1" t="s">
        <v>30</v>
      </c>
      <c r="B107" s="207" t="s">
        <v>46</v>
      </c>
      <c r="C107" s="207"/>
      <c r="D107" s="207"/>
      <c r="E107" s="207"/>
      <c r="F107" s="207"/>
      <c r="G107" s="207"/>
      <c r="H107" s="207"/>
      <c r="I107" s="207"/>
    </row>
    <row r="108" spans="1:9" ht="18.75" customHeight="1">
      <c r="A108" s="4"/>
      <c r="B108" s="198" t="s">
        <v>165</v>
      </c>
      <c r="C108" s="199"/>
      <c r="D108" s="199"/>
      <c r="E108" s="199"/>
      <c r="F108" s="199"/>
      <c r="G108" s="199"/>
      <c r="H108" s="199"/>
      <c r="I108" s="200"/>
    </row>
    <row r="109" spans="1:9" ht="18.75" customHeight="1">
      <c r="A109" s="4"/>
      <c r="B109" s="201"/>
      <c r="C109" s="202"/>
      <c r="D109" s="202"/>
      <c r="E109" s="202"/>
      <c r="F109" s="202"/>
      <c r="G109" s="202"/>
      <c r="H109" s="202"/>
      <c r="I109" s="203"/>
    </row>
    <row r="110" spans="1:9" ht="18.75" customHeight="1">
      <c r="A110" s="4"/>
      <c r="B110" s="201"/>
      <c r="C110" s="202"/>
      <c r="D110" s="202"/>
      <c r="E110" s="202"/>
      <c r="F110" s="202"/>
      <c r="G110" s="202"/>
      <c r="H110" s="202"/>
      <c r="I110" s="203"/>
    </row>
    <row r="111" spans="1:9" ht="18.75" customHeight="1">
      <c r="A111" s="4"/>
      <c r="B111" s="201"/>
      <c r="C111" s="202"/>
      <c r="D111" s="202"/>
      <c r="E111" s="202"/>
      <c r="F111" s="202"/>
      <c r="G111" s="202"/>
      <c r="H111" s="202"/>
      <c r="I111" s="203"/>
    </row>
    <row r="112" spans="1:9" ht="18.75" customHeight="1">
      <c r="A112" s="4"/>
      <c r="B112" s="201"/>
      <c r="C112" s="202"/>
      <c r="D112" s="202"/>
      <c r="E112" s="202"/>
      <c r="F112" s="202"/>
      <c r="G112" s="202"/>
      <c r="H112" s="202"/>
      <c r="I112" s="203"/>
    </row>
    <row r="113" spans="1:9" ht="18.75" customHeight="1">
      <c r="A113" s="4"/>
      <c r="B113" s="201"/>
      <c r="C113" s="202"/>
      <c r="D113" s="202"/>
      <c r="E113" s="202"/>
      <c r="F113" s="202"/>
      <c r="G113" s="202"/>
      <c r="H113" s="202"/>
      <c r="I113" s="203"/>
    </row>
    <row r="114" spans="1:9" ht="18.75" customHeight="1">
      <c r="A114" s="4"/>
      <c r="B114" s="201"/>
      <c r="C114" s="202"/>
      <c r="D114" s="202"/>
      <c r="E114" s="202"/>
      <c r="F114" s="202"/>
      <c r="G114" s="202"/>
      <c r="H114" s="202"/>
      <c r="I114" s="203"/>
    </row>
    <row r="115" spans="1:9" ht="7.5" customHeight="1">
      <c r="A115" s="4"/>
      <c r="B115" s="201"/>
      <c r="C115" s="202"/>
      <c r="D115" s="202"/>
      <c r="E115" s="202"/>
      <c r="F115" s="202"/>
      <c r="G115" s="202"/>
      <c r="H115" s="202"/>
      <c r="I115" s="203"/>
    </row>
    <row r="116" spans="1:9" ht="8.25" customHeight="1">
      <c r="A116" s="4"/>
      <c r="B116" s="201"/>
      <c r="C116" s="202"/>
      <c r="D116" s="202"/>
      <c r="E116" s="202"/>
      <c r="F116" s="202"/>
      <c r="G116" s="202"/>
      <c r="H116" s="202"/>
      <c r="I116" s="203"/>
    </row>
    <row r="117" spans="1:9" ht="18.75" hidden="1" customHeight="1">
      <c r="A117" s="4"/>
      <c r="B117" s="201"/>
      <c r="C117" s="202"/>
      <c r="D117" s="202"/>
      <c r="E117" s="202"/>
      <c r="F117" s="202"/>
      <c r="G117" s="202"/>
      <c r="H117" s="202"/>
      <c r="I117" s="203"/>
    </row>
    <row r="118" spans="1:9" ht="18.75" hidden="1" customHeight="1">
      <c r="A118" s="4"/>
      <c r="B118" s="201"/>
      <c r="C118" s="202"/>
      <c r="D118" s="202"/>
      <c r="E118" s="202"/>
      <c r="F118" s="202"/>
      <c r="G118" s="202"/>
      <c r="H118" s="202"/>
      <c r="I118" s="203"/>
    </row>
    <row r="119" spans="1:9" ht="16.5" customHeight="1">
      <c r="A119" s="4"/>
      <c r="B119" s="204"/>
      <c r="C119" s="205"/>
      <c r="D119" s="205"/>
      <c r="E119" s="205"/>
      <c r="F119" s="205"/>
      <c r="G119" s="205"/>
      <c r="H119" s="205"/>
      <c r="I119" s="206"/>
    </row>
    <row r="120" spans="1:9" ht="7.5" customHeight="1">
      <c r="A120" s="4"/>
      <c r="B120" s="92"/>
      <c r="C120" s="92"/>
      <c r="D120" s="92"/>
      <c r="E120" s="92"/>
      <c r="F120" s="92"/>
      <c r="G120" s="92"/>
      <c r="H120" s="92"/>
      <c r="I120" s="92"/>
    </row>
    <row r="121" spans="1:9" ht="18.75" customHeight="1">
      <c r="A121" s="4"/>
      <c r="B121" s="88"/>
      <c r="C121" s="88"/>
      <c r="D121" s="88"/>
      <c r="E121" s="88"/>
      <c r="F121" s="88"/>
      <c r="G121" s="88"/>
      <c r="H121" s="88"/>
      <c r="I121" s="88"/>
    </row>
    <row r="122" spans="1:9" ht="18.75" customHeight="1">
      <c r="A122" s="4"/>
      <c r="B122" s="88"/>
      <c r="C122" s="88"/>
      <c r="D122" s="88"/>
      <c r="E122" s="88"/>
      <c r="F122" s="88"/>
      <c r="G122" s="88"/>
      <c r="H122" s="88"/>
      <c r="I122" s="88"/>
    </row>
    <row r="123" spans="1:9" ht="18.75" customHeight="1">
      <c r="A123" s="4"/>
      <c r="B123" s="88"/>
      <c r="C123" s="88"/>
      <c r="D123" s="88"/>
      <c r="E123" s="88"/>
      <c r="F123" s="88"/>
      <c r="G123" s="88"/>
      <c r="H123" s="88"/>
      <c r="I123" s="88"/>
    </row>
    <row r="124" spans="1:9" ht="18.75" customHeight="1">
      <c r="A124" s="4"/>
      <c r="B124" s="88"/>
      <c r="C124" s="88"/>
      <c r="D124" s="88"/>
      <c r="E124" s="88"/>
      <c r="F124" s="88"/>
      <c r="G124" s="88"/>
      <c r="H124" s="88"/>
      <c r="I124" s="88"/>
    </row>
    <row r="125" spans="1:9" ht="18.75" customHeight="1">
      <c r="A125" s="4"/>
      <c r="B125" s="88"/>
      <c r="C125" s="88"/>
      <c r="D125" s="88"/>
      <c r="E125" s="88"/>
      <c r="F125" s="88"/>
      <c r="G125" s="88"/>
      <c r="H125" s="88"/>
      <c r="I125" s="88"/>
    </row>
    <row r="126" spans="1:9" ht="18.75" customHeight="1">
      <c r="A126" s="4"/>
      <c r="B126" s="88"/>
      <c r="C126" s="88"/>
      <c r="D126" s="88"/>
      <c r="E126" s="88"/>
      <c r="F126" s="88"/>
      <c r="G126" s="88"/>
      <c r="H126" s="88"/>
      <c r="I126" s="88"/>
    </row>
    <row r="127" spans="1:9" ht="18.75" customHeight="1">
      <c r="A127" s="4"/>
      <c r="B127" s="88"/>
      <c r="C127" s="88"/>
      <c r="D127" s="88"/>
      <c r="E127" s="88"/>
      <c r="F127" s="88"/>
      <c r="G127" s="88"/>
      <c r="H127" s="88"/>
      <c r="I127" s="88"/>
    </row>
    <row r="128" spans="1:9" ht="18.75" customHeight="1">
      <c r="A128" s="4"/>
      <c r="B128" s="88"/>
      <c r="C128" s="88"/>
      <c r="D128" s="88"/>
      <c r="E128" s="88"/>
      <c r="F128" s="88"/>
      <c r="G128" s="88"/>
      <c r="H128" s="88"/>
      <c r="I128" s="88"/>
    </row>
    <row r="129" spans="1:9" ht="18.75" customHeight="1">
      <c r="A129" s="4"/>
      <c r="B129" s="4"/>
      <c r="C129" s="4"/>
      <c r="D129" s="4"/>
      <c r="E129" s="4"/>
      <c r="F129" s="4"/>
      <c r="G129" s="4"/>
      <c r="H129" s="4"/>
      <c r="I129" s="4"/>
    </row>
    <row r="130" spans="1:9" ht="18.75" customHeight="1">
      <c r="A130" s="4"/>
      <c r="B130" s="4"/>
      <c r="C130" s="4"/>
      <c r="D130" s="4"/>
      <c r="E130" s="4"/>
      <c r="F130" s="4"/>
      <c r="G130" s="4"/>
      <c r="H130" s="4"/>
      <c r="I130" s="4"/>
    </row>
    <row r="131" spans="1:9" ht="18.75" customHeight="1">
      <c r="A131" s="4"/>
      <c r="B131" s="4"/>
      <c r="C131" s="4"/>
      <c r="D131" s="4"/>
      <c r="E131" s="4"/>
      <c r="F131" s="4"/>
      <c r="G131" s="4"/>
      <c r="H131" s="4"/>
      <c r="I131" s="4"/>
    </row>
    <row r="132" spans="1:9" ht="18.75" customHeight="1">
      <c r="A132" s="4"/>
      <c r="B132" s="4"/>
      <c r="C132" s="4"/>
      <c r="D132" s="4"/>
      <c r="E132" s="4"/>
      <c r="F132" s="4"/>
      <c r="G132" s="4"/>
      <c r="H132" s="4"/>
      <c r="I132" s="4"/>
    </row>
    <row r="133" spans="1:9" ht="14.25">
      <c r="A133" s="4"/>
      <c r="B133" s="4"/>
      <c r="C133" s="4"/>
      <c r="D133" s="4"/>
      <c r="E133" s="4"/>
      <c r="F133" s="4"/>
      <c r="G133" s="4"/>
      <c r="H133" s="4"/>
      <c r="I133" s="4"/>
    </row>
    <row r="134" spans="1:9" ht="7.5" customHeight="1">
      <c r="A134" s="47"/>
      <c r="B134" s="47"/>
      <c r="C134" s="47"/>
      <c r="D134" s="47"/>
      <c r="E134" s="47"/>
      <c r="F134" s="47"/>
      <c r="G134" s="47"/>
      <c r="H134" s="47"/>
      <c r="I134" s="47"/>
    </row>
  </sheetData>
  <customSheetViews>
    <customSheetView guid="{D8827541-ABA7-43EF-AD20-B47C9E2B0126}" scale="130" showPageBreaks="1" zeroValues="0" fitToPage="1" printArea="1" hiddenRows="1">
      <selection activeCell="H9" sqref="H9"/>
      <rowBreaks count="2" manualBreakCount="2">
        <brk id="47" max="9" man="1"/>
        <brk id="92" max="9" man="1"/>
      </rowBreaks>
      <pageMargins left="0.59055118110236227" right="0.59055118110236227" top="0.78740157480314965" bottom="0.39370078740157483" header="0.31496062992125984" footer="0.19685039370078741"/>
      <printOptions horizontalCentered="1"/>
      <pageSetup paperSize="9" fitToHeight="0" orientation="portrait" r:id="rId1"/>
      <headerFooter>
        <oddHeader>&amp;C数理・データサイエンス・AI教育プログラム認定制度【リテラシーレベル】</oddHeader>
      </headerFooter>
    </customSheetView>
  </customSheetViews>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2"/>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9"/>
  <sheetViews>
    <sheetView showZeros="0" zoomScaleNormal="100" zoomScaleSheetLayoutView="100" workbookViewId="0">
      <selection activeCell="J17" sqref="J17"/>
    </sheetView>
  </sheetViews>
  <sheetFormatPr defaultColWidth="11.375" defaultRowHeight="22.5" customHeight="1"/>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10" ht="18.75" customHeight="1">
      <c r="A1" s="1" t="s">
        <v>71</v>
      </c>
      <c r="I1" s="34" t="s">
        <v>105</v>
      </c>
    </row>
    <row r="2" spans="1:10" ht="18.75" customHeight="1">
      <c r="H2" s="34" t="s">
        <v>109</v>
      </c>
      <c r="I2" s="33" t="str">
        <f>'様式１　プログラムを構成する授業科目'!C2</f>
        <v>名城大学</v>
      </c>
    </row>
    <row r="3" spans="1:10" ht="18.75" customHeight="1">
      <c r="A3" s="155" t="s">
        <v>28</v>
      </c>
      <c r="B3" s="155"/>
      <c r="C3" s="155"/>
      <c r="D3" s="155"/>
      <c r="E3" s="155"/>
      <c r="F3" s="155"/>
      <c r="G3" s="155"/>
      <c r="H3" s="155"/>
      <c r="I3" s="155"/>
    </row>
    <row r="4" spans="1:10" ht="18.75" customHeight="1">
      <c r="A4" s="5"/>
      <c r="B4" s="5"/>
      <c r="C4" s="5"/>
      <c r="D4" s="5"/>
      <c r="E4" s="5"/>
      <c r="F4" s="5"/>
      <c r="G4" s="5"/>
      <c r="H4" s="5"/>
      <c r="I4" s="5"/>
    </row>
    <row r="5" spans="1:10" ht="18.75" customHeight="1">
      <c r="A5" s="1" t="s">
        <v>0</v>
      </c>
      <c r="B5" s="10" t="s">
        <v>95</v>
      </c>
      <c r="C5" s="5"/>
      <c r="D5" s="5"/>
      <c r="E5" s="5"/>
      <c r="F5" s="5"/>
      <c r="G5" s="5"/>
      <c r="H5" s="5"/>
      <c r="I5" s="5"/>
    </row>
    <row r="6" spans="1:10" ht="26.25" customHeight="1">
      <c r="A6" s="5"/>
      <c r="B6" s="225" t="s">
        <v>133</v>
      </c>
      <c r="C6" s="267"/>
      <c r="D6" s="267"/>
      <c r="E6" s="267"/>
      <c r="F6" s="267"/>
      <c r="G6" s="267"/>
      <c r="H6" s="268"/>
      <c r="I6" s="3"/>
    </row>
    <row r="7" spans="1:10" ht="9" customHeight="1">
      <c r="A7" s="5"/>
      <c r="B7" s="10"/>
      <c r="C7" s="10"/>
      <c r="D7" s="10"/>
      <c r="E7" s="10"/>
      <c r="F7" s="10"/>
      <c r="G7" s="10"/>
      <c r="H7" s="10"/>
      <c r="I7" s="3"/>
    </row>
    <row r="8" spans="1:10" ht="18.75" customHeight="1">
      <c r="A8" s="5"/>
      <c r="B8" s="3"/>
      <c r="C8" s="3"/>
      <c r="D8" s="34" t="s">
        <v>43</v>
      </c>
      <c r="E8" s="35" t="s">
        <v>132</v>
      </c>
      <c r="F8" s="3"/>
      <c r="G8" s="34" t="s">
        <v>10</v>
      </c>
      <c r="H8" s="94" t="s">
        <v>134</v>
      </c>
      <c r="I8" s="3"/>
    </row>
    <row r="9" spans="1:10" ht="7.5" customHeight="1">
      <c r="A9" s="5"/>
      <c r="B9" s="5"/>
      <c r="C9" s="5"/>
      <c r="D9" s="5"/>
      <c r="E9" s="5"/>
      <c r="F9" s="5"/>
      <c r="G9" s="5"/>
      <c r="H9" s="5"/>
      <c r="I9" s="5"/>
    </row>
    <row r="10" spans="1:10" ht="18.75" customHeight="1">
      <c r="A10" s="1" t="s">
        <v>3</v>
      </c>
      <c r="B10" s="1" t="s">
        <v>27</v>
      </c>
      <c r="C10" s="4"/>
      <c r="D10" s="4"/>
      <c r="E10" s="4"/>
      <c r="F10" s="4"/>
      <c r="G10" s="4"/>
      <c r="H10" s="4"/>
      <c r="I10" s="4"/>
    </row>
    <row r="11" spans="1:10" ht="18.75" customHeight="1">
      <c r="B11" s="103" t="s">
        <v>24</v>
      </c>
      <c r="C11" s="104"/>
      <c r="D11" s="105"/>
      <c r="E11" s="104" t="s">
        <v>26</v>
      </c>
      <c r="F11" s="104"/>
      <c r="G11" s="104"/>
      <c r="H11" s="104"/>
      <c r="I11" s="105"/>
    </row>
    <row r="12" spans="1:10" ht="26.25" customHeight="1">
      <c r="B12" s="48" t="s">
        <v>14</v>
      </c>
      <c r="C12" s="54"/>
      <c r="D12" s="49"/>
      <c r="E12" s="55"/>
      <c r="F12" s="55"/>
      <c r="G12" s="55"/>
      <c r="H12" s="55"/>
      <c r="I12" s="49"/>
    </row>
    <row r="13" spans="1:10" ht="133.5" customHeight="1">
      <c r="B13" s="50"/>
      <c r="C13" s="265" t="s">
        <v>15</v>
      </c>
      <c r="D13" s="266"/>
      <c r="E13" s="262" t="s">
        <v>160</v>
      </c>
      <c r="F13" s="263"/>
      <c r="G13" s="263"/>
      <c r="H13" s="263"/>
      <c r="I13" s="264"/>
      <c r="J13" s="83"/>
    </row>
    <row r="14" spans="1:10" ht="133.5" customHeight="1">
      <c r="B14" s="50"/>
      <c r="C14" s="260" t="s">
        <v>16</v>
      </c>
      <c r="D14" s="261"/>
      <c r="E14" s="262" t="s">
        <v>152</v>
      </c>
      <c r="F14" s="263"/>
      <c r="G14" s="263"/>
      <c r="H14" s="263"/>
      <c r="I14" s="264"/>
      <c r="J14" s="83"/>
    </row>
    <row r="15" spans="1:10" ht="133.5" customHeight="1">
      <c r="B15" s="50"/>
      <c r="C15" s="265" t="s">
        <v>17</v>
      </c>
      <c r="D15" s="266"/>
      <c r="E15" s="262" t="s">
        <v>161</v>
      </c>
      <c r="F15" s="263"/>
      <c r="G15" s="263"/>
      <c r="H15" s="263"/>
      <c r="I15" s="264"/>
      <c r="J15" s="83"/>
    </row>
    <row r="16" spans="1:10" ht="133.5" customHeight="1">
      <c r="B16" s="50"/>
      <c r="C16" s="265" t="s">
        <v>18</v>
      </c>
      <c r="D16" s="266"/>
      <c r="E16" s="262" t="s">
        <v>175</v>
      </c>
      <c r="F16" s="263"/>
      <c r="G16" s="263"/>
      <c r="H16" s="263"/>
      <c r="I16" s="264"/>
      <c r="J16" s="83"/>
    </row>
    <row r="17" spans="2:10" ht="133.5" customHeight="1">
      <c r="B17" s="51"/>
      <c r="C17" s="269" t="s">
        <v>19</v>
      </c>
      <c r="D17" s="270"/>
      <c r="E17" s="271" t="s">
        <v>162</v>
      </c>
      <c r="F17" s="272"/>
      <c r="G17" s="272"/>
      <c r="H17" s="272"/>
      <c r="I17" s="273"/>
      <c r="J17" s="83"/>
    </row>
    <row r="18" spans="2:10" ht="22.5" customHeight="1">
      <c r="B18" s="48" t="s">
        <v>20</v>
      </c>
      <c r="C18" s="52"/>
      <c r="D18" s="53"/>
      <c r="E18" s="86"/>
      <c r="F18" s="86"/>
      <c r="G18" s="86"/>
      <c r="H18" s="86"/>
      <c r="I18" s="87"/>
      <c r="J18" s="83">
        <f t="shared" ref="J16:J22" si="0">LEN(E18)</f>
        <v>0</v>
      </c>
    </row>
    <row r="19" spans="2:10" ht="150" customHeight="1">
      <c r="B19" s="50"/>
      <c r="C19" s="265" t="s">
        <v>21</v>
      </c>
      <c r="D19" s="266"/>
      <c r="E19" s="263" t="s">
        <v>163</v>
      </c>
      <c r="F19" s="263"/>
      <c r="G19" s="263"/>
      <c r="H19" s="263"/>
      <c r="I19" s="264"/>
      <c r="J19" s="83"/>
    </row>
    <row r="20" spans="2:10" ht="150" customHeight="1">
      <c r="B20" s="51"/>
      <c r="C20" s="269" t="s">
        <v>22</v>
      </c>
      <c r="D20" s="270"/>
      <c r="E20" s="272" t="s">
        <v>164</v>
      </c>
      <c r="F20" s="272"/>
      <c r="G20" s="272"/>
      <c r="H20" s="272"/>
      <c r="I20" s="273"/>
      <c r="J20" s="83"/>
    </row>
    <row r="21" spans="2:10" ht="150" customHeight="1">
      <c r="B21" s="279" t="s">
        <v>23</v>
      </c>
      <c r="C21" s="280"/>
      <c r="D21" s="281"/>
      <c r="E21" s="282" t="s">
        <v>174</v>
      </c>
      <c r="F21" s="282"/>
      <c r="G21" s="282"/>
      <c r="H21" s="282"/>
      <c r="I21" s="283"/>
      <c r="J21" s="95"/>
    </row>
    <row r="22" spans="2:10" ht="150" customHeight="1">
      <c r="B22" s="274" t="s">
        <v>38</v>
      </c>
      <c r="C22" s="275"/>
      <c r="D22" s="276"/>
      <c r="E22" s="277" t="s">
        <v>153</v>
      </c>
      <c r="F22" s="277"/>
      <c r="G22" s="277"/>
      <c r="H22" s="277"/>
      <c r="I22" s="278"/>
      <c r="J22" s="83"/>
    </row>
    <row r="23" spans="2:10" ht="22.5" customHeight="1">
      <c r="B23" s="4"/>
      <c r="C23" s="4"/>
      <c r="D23" s="4"/>
      <c r="E23" s="88"/>
      <c r="F23" s="88"/>
      <c r="G23" s="88"/>
      <c r="H23" s="88"/>
      <c r="I23" s="88"/>
    </row>
    <row r="24" spans="2:10" ht="22.5" customHeight="1">
      <c r="B24" s="4"/>
      <c r="C24" s="4"/>
      <c r="D24" s="4"/>
      <c r="E24" s="4"/>
      <c r="F24" s="4"/>
      <c r="G24" s="4"/>
      <c r="H24" s="4"/>
      <c r="I24" s="4"/>
    </row>
    <row r="25" spans="2:10" ht="22.5" customHeight="1">
      <c r="B25" s="4"/>
      <c r="C25" s="4"/>
      <c r="D25" s="4"/>
      <c r="E25" s="4"/>
      <c r="F25" s="4"/>
      <c r="G25" s="4"/>
      <c r="H25" s="4"/>
      <c r="I25" s="4"/>
    </row>
    <row r="26" spans="2:10" ht="22.5" customHeight="1">
      <c r="B26" s="4"/>
      <c r="C26" s="4"/>
      <c r="D26" s="4"/>
      <c r="E26" s="4"/>
      <c r="F26" s="4"/>
      <c r="G26" s="4"/>
      <c r="H26" s="4"/>
      <c r="I26" s="4"/>
    </row>
    <row r="27" spans="2:10" ht="22.5" customHeight="1">
      <c r="B27" s="4"/>
      <c r="C27" s="4"/>
      <c r="D27" s="4"/>
      <c r="E27" s="4"/>
      <c r="F27" s="4"/>
      <c r="G27" s="4"/>
      <c r="H27" s="4"/>
      <c r="I27" s="4"/>
    </row>
    <row r="28" spans="2:10" ht="22.5" customHeight="1">
      <c r="B28" s="15"/>
      <c r="C28" s="15"/>
      <c r="D28" s="15"/>
      <c r="E28" s="15"/>
      <c r="F28" s="15"/>
      <c r="G28" s="15"/>
      <c r="H28" s="15"/>
      <c r="I28" s="15"/>
    </row>
    <row r="29" spans="2:10" ht="22.5" customHeight="1">
      <c r="B29" s="15"/>
      <c r="C29" s="15"/>
      <c r="D29" s="15"/>
      <c r="E29" s="15"/>
      <c r="F29" s="15"/>
      <c r="G29" s="15"/>
      <c r="H29" s="15"/>
      <c r="I29" s="15"/>
    </row>
    <row r="30" spans="2:10" ht="22.5" customHeight="1">
      <c r="B30" s="15"/>
      <c r="C30" s="15"/>
      <c r="D30" s="15"/>
      <c r="E30" s="15"/>
      <c r="F30" s="15"/>
      <c r="G30" s="15"/>
      <c r="H30" s="15"/>
      <c r="I30" s="15"/>
    </row>
    <row r="89" spans="4:4" ht="22.5" customHeight="1">
      <c r="D89" s="93" t="s">
        <v>154</v>
      </c>
    </row>
  </sheetData>
  <customSheetViews>
    <customSheetView guid="{D8827541-ABA7-43EF-AD20-B47C9E2B0126}" showPageBreaks="1" zeroValues="0" fitToPage="1" printArea="1" view="pageBreakPreview">
      <selection activeCell="A19" sqref="A19:XFD22"/>
      <rowBreaks count="1" manualBreakCount="1">
        <brk id="17" max="9" man="1"/>
      </rowBreaks>
      <pageMargins left="0.78740157480314965" right="0.78740157480314965" top="0.78740157480314965" bottom="0.59055118110236227" header="0.31496062992125984" footer="0.31496062992125984"/>
      <printOptions horizontalCentered="1"/>
      <pageSetup paperSize="9" scale="62" fitToHeight="0" orientation="portrait" r:id="rId1"/>
      <headerFooter>
        <oddHeader>&amp;C数理・データサイエンス・AI教育プログラム認定制度【リテラシーレベル】</oddHeader>
      </headerFooter>
    </customSheetView>
  </customSheetViews>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2"/>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佐藤 葉子</cp:lastModifiedBy>
  <cp:lastPrinted>2023-04-13T07:59:15Z</cp:lastPrinted>
  <dcterms:created xsi:type="dcterms:W3CDTF">2011-06-14T05:32:50Z</dcterms:created>
  <dcterms:modified xsi:type="dcterms:W3CDTF">2023-04-13T08:35:04Z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