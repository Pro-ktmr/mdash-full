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O:\杢尾作業用（教務課）R040314以降\数理・データサイエンス・ＡＩ教育プログラムの認定等における公募関連（R050718外付けHDDからコピー）\R050411　R5年度　数理・DS・AI教育プログラム認定制度（申請関連様式等）文科省HPよりDL\申請書類（提出用）R050712確認事項対応（R050719再提出）\"/>
    </mc:Choice>
  </mc:AlternateContent>
  <bookViews>
    <workbookView xWindow="0" yWindow="0" windowWidth="28800" windowHeight="12210" tabRatio="885"/>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6" i="40" l="1"/>
  <c r="L16" i="40"/>
  <c r="O14" i="40"/>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G32" i="40"/>
  <c r="H32" i="40"/>
  <c r="AP13" i="40"/>
  <c r="AP14" i="40"/>
  <c r="AP15" i="40"/>
  <c r="AP16" i="40"/>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<sst xmlns="http://schemas.openxmlformats.org/spreadsheetml/2006/main" count="306" uniqueCount="178">
  <si>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</si>
  <si>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</si>
  <si>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</si>
  <si>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</si>
  <si>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</si>
  <si>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</si>
  <si>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</si>
  <si>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</si>
  <si>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</si>
  <si>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</si>
  <si>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</si>
  <si>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</si>
  <si>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</si>
  <si>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</si>
  <si>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</si>
  <si>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</si>
  <si>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</si>
  <si>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</si>
  <si>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</si>
  <si>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</si>
  <si>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</si>
  <si>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</si>
  <si>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</si>
  <si>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</si>
  <si>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</si>
  <si>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</si>
  <si>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</si>
  <si>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</si>
  <si>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</si>
  <si>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</si>
  <si>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</si>
  <si>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</si>
  <si>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</si>
  <si>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</si>
  <si>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</si>
  <si>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</si>
  <si>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</si>
  <si>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</si>
  <si>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</si>
  <si>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</si>
  <si>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</si>
  <si>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</si>
  <si>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</si>
  <si>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</si>
  <si>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</si>
  <si>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</si>
  <si>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</si>
  <si>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</si>
  <si>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</si>
  <si>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</si>
  <si>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</si>
  <si>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</si>
  <si>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</si>
  <si>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</si>
  <si>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</si>
  <si>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</si>
  <si>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</si>
  <si>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</si>
  <si>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</si>
  <si>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</si>
  <si>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</si>
  <si>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</si>
  <si>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</si>
  <si>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</si>
  <si>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</si>
  <si>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</si>
  <si>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</si>
  <si>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</si>
  <si>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</si>
  <si>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</si>
  <si>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</si>
  <si>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</si>
  <si>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</si>
  <si>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</si>
  <si>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</si>
  <si>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</si>
  <si>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</si>
  <si>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</si>
  <si>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</si>
  <si>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</si>
  <si>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</si>
  <si>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</si>
  <si>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</si>
  <si>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</si>
  <si>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</si>
  <si>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</si>
  <si>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</si>
  <si>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</si>
  <si>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</si>
  <si>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</si>
  <si>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</si>
  <si>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</si>
  <si>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</si>
  <si>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</si>
  <si>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</si>
  <si>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</si>
  <si>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</si>
  <si>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</si>
  <si>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</si>
  <si>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</si>
  <si>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</si>
  <si>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</si>
  <si>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</si>
  <si>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</si>
  <si>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</si>
  <si>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</si>
  <si>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</si>
  <si>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</si>
  <si>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</si>
  <si>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</si>
  <si>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</si>
  <si>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</si>
  <si>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</si>
  <si>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</si>
  <si>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</si>
  <si>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</si>
  <si>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</si>
  <si>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</si>
  <si>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</si>
  <si>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</si>
  <si>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</si>
  <si>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</si>
  <si>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</si>
  <si>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</si>
  <si>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</si>
  <si>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</si>
  <si>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</si>
  <si>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西九州大学</t>
    <rPh sb="0" eb="1">
      <t>ニシ</t>
    </rPh>
    <rPh sb="1" eb="3">
      <t>キュウシュウ</t>
    </rPh>
    <rPh sb="3" eb="5">
      <t>ダイガク</t>
    </rPh>
    <phoneticPr fontId="1"/>
  </si>
  <si>
    <t>データサイエンスの理解</t>
    <rPh sb="9" eb="11">
      <t>リカイ</t>
    </rPh>
    <phoneticPr fontId="1"/>
  </si>
  <si>
    <t>学部・学科によって、修了要件は相違しない</t>
  </si>
  <si>
    <t>データサイエンス入門</t>
    <rPh sb="8" eb="10">
      <t>ニュウモン</t>
    </rPh>
    <phoneticPr fontId="1"/>
  </si>
  <si>
    <t>健康福祉学部</t>
    <rPh sb="0" eb="2">
      <t>ケンコウ</t>
    </rPh>
    <rPh sb="2" eb="4">
      <t>フクシ</t>
    </rPh>
    <rPh sb="4" eb="6">
      <t>ガクブ</t>
    </rPh>
    <phoneticPr fontId="1"/>
  </si>
  <si>
    <t>健康栄養学部</t>
    <rPh sb="0" eb="2">
      <t>ケンコウ</t>
    </rPh>
    <rPh sb="2" eb="4">
      <t>エイヨウ</t>
    </rPh>
    <rPh sb="4" eb="6">
      <t>ガクブ</t>
    </rPh>
    <phoneticPr fontId="1"/>
  </si>
  <si>
    <t>リハビリテーション学部</t>
    <rPh sb="9" eb="11">
      <t>ガクブ</t>
    </rPh>
    <phoneticPr fontId="1"/>
  </si>
  <si>
    <t>子ども学部</t>
    <rPh sb="0" eb="1">
      <t>コ</t>
    </rPh>
    <rPh sb="3" eb="5">
      <t>ガクブ</t>
    </rPh>
    <phoneticPr fontId="1"/>
  </si>
  <si>
    <t>看護学部</t>
    <rPh sb="0" eb="2">
      <t>カンゴ</t>
    </rPh>
    <rPh sb="2" eb="4">
      <t>ガクブ</t>
    </rPh>
    <phoneticPr fontId="1"/>
  </si>
  <si>
    <t>大田尾　浩</t>
    <rPh sb="0" eb="3">
      <t>オオタオ</t>
    </rPh>
    <rPh sb="4" eb="5">
      <t>ヒロシ</t>
    </rPh>
    <phoneticPr fontId="1"/>
  </si>
  <si>
    <t>リテラシーレベルのデータサイエンスを教授する科目として「データサイエンス入門」（講義科目２単位）と「データサイエンス演習」（演習科目１単位）を開設しており、これらの科目をあわせて「データサイエンスの理解」という名称で括り、１年次に学ぶ必修科目としている。</t>
    <phoneticPr fontId="1"/>
  </si>
  <si>
    <t>学部・学科に関係なく1年次生は、共通教育科目である「データサイエンスの理解（「デーサイエンス入門」「データサイエンス演習」）を必修科目として受講する体制をとっている。</t>
    <phoneticPr fontId="1"/>
  </si>
  <si>
    <t>入学時のオリエンテーション時に、「データサイエンスの理解」テキストを配布し、受講の説明を行っている。</t>
    <phoneticPr fontId="1"/>
  </si>
  <si>
    <t>橋本　健夫</t>
    <rPh sb="0" eb="2">
      <t>ハシモト</t>
    </rPh>
    <rPh sb="3" eb="5">
      <t>タテオ</t>
    </rPh>
    <phoneticPr fontId="1"/>
  </si>
  <si>
    <t>○</t>
  </si>
  <si>
    <t>データサイエンス入門</t>
    <rPh sb="8" eb="10">
      <t>ニュウモン</t>
    </rPh>
    <phoneticPr fontId="1"/>
  </si>
  <si>
    <t>データサイエンス演習</t>
    <rPh sb="8" eb="10">
      <t>エンシュウ</t>
    </rPh>
    <phoneticPr fontId="1"/>
  </si>
  <si>
    <t>その他</t>
  </si>
  <si>
    <t>・AI等の利活用が、さまざまな産業分野で発展していることを具体的に講義「データサイエンス入門」（14回目）
・教師あり学習、教師なし学習、強化学習、クラスタリング、深層学習など「データサイエンス入門」（15回目）</t>
    <rPh sb="44" eb="46">
      <t>ニュウモン</t>
    </rPh>
    <rPh sb="50" eb="51">
      <t>カイ</t>
    </rPh>
    <rPh sb="51" eb="52">
      <t>メ</t>
    </rPh>
    <rPh sb="104" eb="105">
      <t>メ</t>
    </rPh>
    <phoneticPr fontId="1"/>
  </si>
  <si>
    <t>・データ駆動型社会、Society 5.0、第 4 次産業革命等とその基礎にあるデータサイエンス・AI開発の意義について、そうした社会変化がこれからの生活や仕事にどのような影響をもたらすか「データサイエンス入門」（１回目）</t>
    <rPh sb="109" eb="110">
      <t>メ</t>
    </rPh>
    <phoneticPr fontId="1"/>
  </si>
  <si>
    <t>数理・データサイエンス・AI教育プログラム（リテラシーレベル）を西九州大学では「データサイエンスの理解」という名称で表し、講義科目である「データサイエンス入門」（２単位）と演習科目である「データサイエンス演習」（１単位）の２科目で構成している。「データサイエンス入門」は、全学の１年次学生を対象に春学期に遠隔授業で実施し、講義の各回に行う小テストと定期試験の成績の合計が６０点以上であれば合格とする。「データサイエンス演習」は、学科単位で担当教員を決めて小グループ演習形式で実施し、所定の目標を達成できれば合格とする。２科目合わせて３単位を取得することによって修了としている。</t>
    <phoneticPr fontId="1"/>
  </si>
  <si>
    <t>　R４年度の授業終了後に「データサイエンスの理解」の受講生に無記名式のアンケート調査を実施した（回答364名／476名、回収率76.5％）。
　その結果、92.3％の学生が真面目に受講していた。また、78.3％の学生が講義内容を理解できたと回答した。一方で、少数ではあるが8.5％の学生が理解できなかったとの回答もあったことから、引き続き教務委員会および数理・データサイエンス・AI教育プログラム検討部会において教育内容を検討していく。</t>
    <rPh sb="3" eb="5">
      <t>ネンド</t>
    </rPh>
    <rPh sb="10" eb="11">
      <t>ゴ</t>
    </rPh>
    <rPh sb="22" eb="24">
      <t>リカイ</t>
    </rPh>
    <rPh sb="26" eb="29">
      <t>ジュコウセイ</t>
    </rPh>
    <rPh sb="30" eb="34">
      <t>ムキメイシキ</t>
    </rPh>
    <rPh sb="40" eb="42">
      <t>チョウサ</t>
    </rPh>
    <rPh sb="43" eb="45">
      <t>ジッシ</t>
    </rPh>
    <rPh sb="48" eb="50">
      <t>カイトウ</t>
    </rPh>
    <rPh sb="53" eb="54">
      <t>メイ</t>
    </rPh>
    <rPh sb="58" eb="59">
      <t>メイ</t>
    </rPh>
    <rPh sb="60" eb="63">
      <t>カイシュウリツ</t>
    </rPh>
    <rPh sb="74" eb="76">
      <t>ケッカ</t>
    </rPh>
    <rPh sb="83" eb="85">
      <t>ガクセイ</t>
    </rPh>
    <rPh sb="86" eb="89">
      <t>マジメ</t>
    </rPh>
    <rPh sb="90" eb="92">
      <t>ジュコウ</t>
    </rPh>
    <rPh sb="125" eb="127">
      <t>イッポウ</t>
    </rPh>
    <rPh sb="141" eb="143">
      <t>ガクセイ</t>
    </rPh>
    <rPh sb="144" eb="146">
      <t>リカイ</t>
    </rPh>
    <rPh sb="154" eb="156">
      <t>カイトウ</t>
    </rPh>
    <rPh sb="165" eb="166">
      <t>ヒ</t>
    </rPh>
    <rPh sb="167" eb="168">
      <t>ツヅ</t>
    </rPh>
    <rPh sb="169" eb="174">
      <t>キョウムイインカイ</t>
    </rPh>
    <rPh sb="206" eb="210">
      <t>キョウイクナイヨウ</t>
    </rPh>
    <rPh sb="211" eb="213">
      <t>ケントウ</t>
    </rPh>
    <phoneticPr fontId="1"/>
  </si>
  <si>
    <t>・ビッグデータ、オープンデータ、データの種類（数値データ、テキストデータ、画像/動画データ、音声/音楽など）、データマイニング「データサイエンス入門」（１回目、３回目）</t>
    <rPh sb="78" eb="79">
      <t>メ</t>
    </rPh>
    <rPh sb="81" eb="82">
      <t>カイ</t>
    </rPh>
    <rPh sb="82" eb="83">
      <t>メ</t>
    </rPh>
    <phoneticPr fontId="1"/>
  </si>
  <si>
    <r>
      <t xml:space="preserve">・今のAIで出来ることと出来ないこと、AIとビッグデータ、データ解析：予測、パターン発見、最適化、教師あり学習、教師なし学習、強化学習、クラスタリング、深層学習など「データサイエンス入門」（２回目、15回目）
</t>
    </r>
    <r>
      <rPr>
        <sz val="12"/>
        <color rgb="FFFF0000"/>
        <rFont val="ＭＳ Ｐゴシック"/>
        <family val="3"/>
        <charset val="128"/>
        <scheme val="minor"/>
      </rPr>
      <t/>
    </r>
    <rPh sb="91" eb="93">
      <t>ニュウモン</t>
    </rPh>
    <rPh sb="96" eb="97">
      <t>カイ</t>
    </rPh>
    <rPh sb="97" eb="98">
      <t>メ</t>
    </rPh>
    <rPh sb="101" eb="102">
      <t>カイ</t>
    </rPh>
    <rPh sb="102" eb="103">
      <t>メ</t>
    </rPh>
    <phoneticPr fontId="1"/>
  </si>
  <si>
    <t>・佐賀県の２つのIT関連企業（木村情報技術株式会社、オプティム・バンクテクノロジーズ株式会社）から、現場で開発されているAI技術についての講義「データサイエンス入門」（４回目、13回目）
・販売業、製造業、自動運転、医療分野、介護・看護分野、物流、水産・農業、金融・保険、教育、芸術などのさまざまな分野におけるAI活用事例を紹介「データサイエンス入門」（14回目）</t>
    <rPh sb="19" eb="21">
      <t>ギジュツ</t>
    </rPh>
    <rPh sb="42" eb="46">
      <t>カブシキガイシャ</t>
    </rPh>
    <rPh sb="80" eb="82">
      <t>ニュウモン</t>
    </rPh>
    <rPh sb="85" eb="86">
      <t>カイ</t>
    </rPh>
    <rPh sb="86" eb="87">
      <t>メ</t>
    </rPh>
    <rPh sb="90" eb="91">
      <t>カイ</t>
    </rPh>
    <rPh sb="91" eb="92">
      <t>メ</t>
    </rPh>
    <rPh sb="173" eb="175">
      <t>ニュウモン</t>
    </rPh>
    <rPh sb="179" eb="180">
      <t>カイ</t>
    </rPh>
    <rPh sb="180" eb="181">
      <t>メ</t>
    </rPh>
    <phoneticPr fontId="1"/>
  </si>
  <si>
    <t>・データの種類（量的変数、質的変数）、データの分布(ヒストグラム)と代表値（平均値、中央値、最頻値）、代表値の性質の違い、データのばらつき（分散、標準偏差）、母集団と標本抽出（全数調査、単純無作為抽出、層別抽出、多段抽出）「データサイエンス入門」（５回目、６回目）</t>
    <rPh sb="120" eb="122">
      <t>ニュウモン</t>
    </rPh>
    <rPh sb="125" eb="126">
      <t>カイ</t>
    </rPh>
    <rPh sb="126" eb="127">
      <t>メ</t>
    </rPh>
    <rPh sb="129" eb="130">
      <t>カイ</t>
    </rPh>
    <rPh sb="130" eb="131">
      <t>メ</t>
    </rPh>
    <phoneticPr fontId="1"/>
  </si>
  <si>
    <t>・データ表現、グラフ化の方法（棒グラフ、折線グラフ、散布図、ヒートマップ、チャート化、層別の必要なデータ、相関と因果（相関係数、擬似相関、交絡）、データに騙されない「データサイエンス入門」（７回目、８回目）
・データ表現（棒グラフ、折線グラフ、散布図、ヒートマップ）、データの図表表現（チャート化）「データサイエンス演習（健康栄養学科）」(11回目、12回目)
・データ表現（棒グラフ、折線グラフ、散布図）、データの図表表現「データサイエンス演習（社会福祉学科）」（7回目）
・データ表現（棒グラフ、折線グラフ、散布図、ヒートマップ）、データの図表表現（チャート化）、優れた可視化事例の紹介（可視化することによって新たな気づきがあった事例など）　「データサイエンス演習（スポーツ健康福祉学科）」（5回目～7回目）
・データ表現（棒グラフ、折線グラフ、散布図、ヒートマップ）、不適切なグラフ表現（チャートジャンク、不必要な視覚的要素）、優れた可視化事例の紹介（可視化することによって新たな気づきがあった事例など）「データサイエンス演習（リハビリテーション学科）」（10回目～１２回目）
・Excelによるデータの可視化(グラフ作成)、データ表現（棒グラフ、折線グラフ、散布図、ヒートマップ）、不適切なグラフ表現（チャートジャンク、不必要な視覚的要素）、優れた可視化事例の紹介（可視化することによって新たな気づきがあった事例など）「データサイエンス演習（子ども学科）」（8回目、9回目、14回目、15回目）
・データ表現（棒グラフ、折線グラフ、散布図、ヒートマップ）「データサイエンス演習（心理カウンセリング学科）」（6回目）
・データ表現（棒グラフ、折線グラフ、散布図、ヒートマップ）、データの図表表現（チャート化）、データの比較（条件をそろえた比較、処理の前後での比較、A/Bテスト)「データサイエンス演習（看護学科）」（10回目）</t>
    <rPh sb="91" eb="93">
      <t>ニュウモン</t>
    </rPh>
    <rPh sb="96" eb="97">
      <t>カイ</t>
    </rPh>
    <rPh sb="97" eb="98">
      <t>メ</t>
    </rPh>
    <rPh sb="100" eb="101">
      <t>カイ</t>
    </rPh>
    <rPh sb="101" eb="102">
      <t>メ</t>
    </rPh>
    <rPh sb="173" eb="174">
      <t>メ</t>
    </rPh>
    <rPh sb="178" eb="179">
      <t>メ</t>
    </rPh>
    <rPh sb="353" eb="355">
      <t>カイメ</t>
    </rPh>
    <phoneticPr fontId="1"/>
  </si>
  <si>
    <t>・ネットから気象庁が公開している気象情報をダウンロードさせ、表計算ソフト（スプレッドシート）を用いて、表の整形、レコードの抽出、並び替え、集計を実際に行わせる「データサイエンス入門」（９回目、10回目）
・データの集計（和、平均）、データ解析ツール（スプレッドシート）、表形式のデータ（csv）「データサイエンス演習（健康栄養学科）」(第7回～12回)
・データ解析ツール（スプレッドシート）、データの集計（和、平均）、データの並び替え、ランキング「データサイエンス演習（社会福祉学科）」（5回目、6回目）
・データの集計（和、平均）、データの並び替え、ランキング「データサイエンス演習（スポーツ健康福祉学科）」（2回目、3回目）
・データの並び替え、ランキング「データサイエンス演習（リハビリテーション学科）」（１２回目）
・Excelによるデータの可視化(グラフ作成)、官公庁等の実データ、実課題の取り組みについて、データの並び替え、ランキング「データサイエンス演習（子ども学科）」（8回目、9回目、13回目）
・データの集計（和、平均）、データの並び替え、ランキング「データサイエンス演習（心理カウンセリング学科）」（4回目）
・データの集計（和、平均）、データの並び替え、ランキング、データ解析ツール（スプレッドシート）「データサイエンス演習（看護学科）」（８回目、９回目、11回目、12回目）</t>
    <rPh sb="88" eb="90">
      <t>ニュウモン</t>
    </rPh>
    <rPh sb="93" eb="94">
      <t>カイ</t>
    </rPh>
    <rPh sb="94" eb="95">
      <t>メ</t>
    </rPh>
    <rPh sb="98" eb="99">
      <t>カイ</t>
    </rPh>
    <rPh sb="99" eb="100">
      <t>メ</t>
    </rPh>
    <rPh sb="312" eb="313">
      <t>カイ</t>
    </rPh>
    <rPh sb="313" eb="314">
      <t>メ</t>
    </rPh>
    <rPh sb="454" eb="455">
      <t>カイ</t>
    </rPh>
    <rPh sb="455" eb="456">
      <t>メ</t>
    </rPh>
    <phoneticPr fontId="1"/>
  </si>
  <si>
    <r>
      <rPr>
        <sz val="12"/>
        <color theme="1"/>
        <rFont val="Wingdings"/>
        <family val="3"/>
        <charset val="2"/>
      </rPr>
      <t></t>
    </r>
    <r>
      <rPr>
        <sz val="12"/>
        <color theme="1"/>
        <rFont val="ＭＳ Ｐゴシック"/>
        <family val="3"/>
        <charset val="128"/>
        <scheme val="minor"/>
      </rPr>
      <t>データ・</t>
    </r>
    <r>
      <rPr>
        <sz val="12"/>
        <color theme="1"/>
        <rFont val="Calibri"/>
        <family val="3"/>
      </rPr>
      <t>AI</t>
    </r>
    <r>
      <rPr>
        <sz val="12"/>
        <color theme="1"/>
        <rFont val="ＭＳ Ｐゴシック"/>
        <family val="3"/>
        <charset val="128"/>
        <scheme val="minor"/>
      </rPr>
      <t>によって、社会および日常生活が大きく変化していることを理解する。「数理</t>
    </r>
    <r>
      <rPr>
        <sz val="12"/>
        <color theme="1"/>
        <rFont val="Calibri"/>
        <family val="3"/>
      </rPr>
      <t>/</t>
    </r>
    <r>
      <rPr>
        <sz val="12"/>
        <color theme="1"/>
        <rFont val="ＭＳ Ｐゴシック"/>
        <family val="3"/>
        <charset val="128"/>
        <scheme val="minor"/>
      </rPr>
      <t>データサイエンス</t>
    </r>
    <r>
      <rPr>
        <sz val="12"/>
        <color theme="1"/>
        <rFont val="Calibri"/>
        <family val="3"/>
      </rPr>
      <t>/AI</t>
    </r>
    <r>
      <rPr>
        <sz val="12"/>
        <color theme="1"/>
        <rFont val="ＭＳ Ｐゴシック"/>
        <family val="3"/>
        <charset val="128"/>
        <scheme val="minor"/>
      </rPr>
      <t>」が、今後の社会における「読み</t>
    </r>
    <r>
      <rPr>
        <sz val="12"/>
        <color theme="1"/>
        <rFont val="Calibri"/>
        <family val="3"/>
      </rPr>
      <t>/</t>
    </r>
    <r>
      <rPr>
        <sz val="12"/>
        <color theme="1"/>
        <rFont val="ＭＳ Ｐゴシック"/>
        <family val="3"/>
        <charset val="128"/>
        <scheme val="minor"/>
      </rPr>
      <t>書き</t>
    </r>
    <r>
      <rPr>
        <sz val="12"/>
        <color theme="1"/>
        <rFont val="Calibri"/>
        <family val="3"/>
      </rPr>
      <t>/</t>
    </r>
    <r>
      <rPr>
        <sz val="12"/>
        <color theme="1"/>
        <rFont val="ＭＳ Ｐゴシック"/>
        <family val="3"/>
        <charset val="128"/>
        <scheme val="minor"/>
      </rPr>
      <t>そろばん」であることを理解する。今の</t>
    </r>
    <r>
      <rPr>
        <sz val="12"/>
        <color theme="1"/>
        <rFont val="Calibri"/>
        <family val="3"/>
      </rPr>
      <t>AI</t>
    </r>
    <r>
      <rPr>
        <sz val="12"/>
        <color theme="1"/>
        <rFont val="ＭＳ Ｐゴシック"/>
        <family val="3"/>
        <charset val="128"/>
        <scheme val="minor"/>
      </rPr>
      <t>で出来ること、出来ないことを理解する。</t>
    </r>
    <r>
      <rPr>
        <sz val="12"/>
        <color theme="1"/>
        <rFont val="Calibri"/>
        <family val="3"/>
      </rPr>
      <t>AI</t>
    </r>
    <r>
      <rPr>
        <sz val="12"/>
        <color theme="1"/>
        <rFont val="ＭＳ Ｐゴシック"/>
        <family val="3"/>
        <charset val="128"/>
        <scheme val="minor"/>
      </rPr>
      <t>を活用した新しいビジネス</t>
    </r>
    <r>
      <rPr>
        <sz val="12"/>
        <color theme="1"/>
        <rFont val="Calibri"/>
        <family val="3"/>
      </rPr>
      <t>/</t>
    </r>
    <r>
      <rPr>
        <sz val="12"/>
        <color theme="1"/>
        <rFont val="ＭＳ Ｐゴシック"/>
        <family val="3"/>
        <charset val="128"/>
        <scheme val="minor"/>
      </rPr>
      <t>サービスは、複数の技術が組み合わされて実現していることを理解する。</t>
    </r>
    <r>
      <rPr>
        <sz val="12"/>
        <color theme="1"/>
        <rFont val="Wingdings"/>
        <family val="3"/>
        <charset val="2"/>
      </rPr>
      <t></t>
    </r>
    <r>
      <rPr>
        <sz val="12"/>
        <color theme="1"/>
        <rFont val="ＭＳ Ｐゴシック"/>
        <family val="3"/>
        <charset val="128"/>
        <scheme val="minor"/>
      </rPr>
      <t>データの特徴を読み解き、起きている事象の背景や意味合いを理解できる。データの発生現場を確認することの重要性を理解する。データの比較対象を正しく設定し、数字を比べることができる。適切な可視化手法を選択し、他者にデータを説明できる。文献や現象を読み解き、それらの関係を分析・考察し表現することができる。表計算ソフト（スプレッドシート）等を使って、小規模データを集計・加工ができる。</t>
    </r>
    <r>
      <rPr>
        <sz val="12"/>
        <color theme="1"/>
        <rFont val="Wingdings"/>
        <family val="3"/>
        <charset val="2"/>
      </rPr>
      <t></t>
    </r>
    <r>
      <rPr>
        <sz val="12"/>
        <color theme="1"/>
        <rFont val="ＭＳ Ｐゴシック"/>
        <family val="3"/>
        <charset val="128"/>
        <scheme val="minor"/>
      </rPr>
      <t>個人情報保護法など、データを取り巻く国際的な動きを理解する。データ・</t>
    </r>
    <r>
      <rPr>
        <sz val="12"/>
        <color theme="1"/>
        <rFont val="Calibri"/>
        <family val="3"/>
      </rPr>
      <t>AI</t>
    </r>
    <r>
      <rPr>
        <sz val="12"/>
        <color theme="1"/>
        <rFont val="ＭＳ Ｐゴシック"/>
        <family val="3"/>
        <charset val="128"/>
        <scheme val="minor"/>
      </rPr>
      <t>を利活用する際に求められるモラルや倫理について理解する。個人のデータを守るために留意すべき事項を理解する。</t>
    </r>
    <phoneticPr fontId="1"/>
  </si>
  <si>
    <t>・AI開発の歴史、機械学習、深層学習、データ・AI活用領域の広がり(識別系AI、予測系AI、会話系AI、実行系AI)、AIが出来ること・得意なこととAIの限界「データサイエンス入門」（１回目、２回目、４回目、13～14回目）</t>
    <rPh sb="88" eb="90">
      <t>ニュウモン</t>
    </rPh>
    <rPh sb="93" eb="94">
      <t>カイ</t>
    </rPh>
    <rPh sb="94" eb="95">
      <t>メ</t>
    </rPh>
    <rPh sb="97" eb="98">
      <t>カイ</t>
    </rPh>
    <rPh sb="98" eb="99">
      <t>メ</t>
    </rPh>
    <rPh sb="101" eb="103">
      <t>カイメ</t>
    </rPh>
    <rPh sb="109" eb="110">
      <t>カイ</t>
    </rPh>
    <rPh sb="110" eb="111">
      <t>メ</t>
    </rPh>
    <phoneticPr fontId="1"/>
  </si>
  <si>
    <t>・データ・AI活用における負の事例紹介.。データを扱う際にしてはいけないこと、ねつ造、改ざん、盗用。プライバシー保護の重要性。個人情報保護法、プライバシー保護と個人データの流通に関するOECD８原則、事業者が守るべきルール、安全に管理するためのルール「データサイエンス入門」（11回目、12回目）</t>
    <phoneticPr fontId="1"/>
  </si>
  <si>
    <t>・データを安全に管理するためのルール。情報セキュリティ　「データサイエンス入門」（11回目、12回目）</t>
    <phoneticPr fontId="1"/>
  </si>
  <si>
    <t>　「データサイエンスの理解」科目群は、令和３年度に開設し、５学科（健康栄養学科、社会福祉学科、スポーツ健康福祉学科、子ども学科、心理カウンセリング学科）の１年生321名が受講し、303名が修了した（修了率94.5％）。令和４年度からは、リハビリテーション学科と看護学科においても開設され、全７学科の必修科目となり、476名が履修し461名が修了（修了率96.8％）した。
　教務委員会および数理・データサイエンス・AI教育プログラム検討部会で検討した結果、さらに修了率を改善するために講義毎に課題の提出状況を確認し、各学科の担当教員から学生に指導をしている。</t>
    <rPh sb="83" eb="84">
      <t>メイ</t>
    </rPh>
    <rPh sb="92" eb="93">
      <t>メイ</t>
    </rPh>
    <rPh sb="94" eb="96">
      <t>シュウリョウ</t>
    </rPh>
    <rPh sb="99" eb="102">
      <t>シュウリョウリツ</t>
    </rPh>
    <rPh sb="109" eb="111">
      <t>レイワ</t>
    </rPh>
    <rPh sb="112" eb="114">
      <t>ネンド</t>
    </rPh>
    <rPh sb="139" eb="141">
      <t>カイセツ</t>
    </rPh>
    <rPh sb="149" eb="153">
      <t>ヒッシュウカモク</t>
    </rPh>
    <rPh sb="160" eb="161">
      <t>メイ</t>
    </rPh>
    <rPh sb="168" eb="169">
      <t>メイ</t>
    </rPh>
    <rPh sb="170" eb="172">
      <t>シュウリョウ</t>
    </rPh>
    <rPh sb="173" eb="176">
      <t>シュウリョウリツ</t>
    </rPh>
    <rPh sb="221" eb="223">
      <t>ケントウ</t>
    </rPh>
    <rPh sb="225" eb="227">
      <t>ケッカ</t>
    </rPh>
    <rPh sb="231" eb="234">
      <t>シュウリョウリツ</t>
    </rPh>
    <rPh sb="235" eb="237">
      <t>カイゼン</t>
    </rPh>
    <rPh sb="242" eb="245">
      <t>コウギマイ</t>
    </rPh>
    <rPh sb="246" eb="248">
      <t>カダイ</t>
    </rPh>
    <rPh sb="249" eb="253">
      <t>テイシュツジョウキョウ</t>
    </rPh>
    <rPh sb="254" eb="256">
      <t>カクニン</t>
    </rPh>
    <rPh sb="258" eb="261">
      <t>カクガッカ</t>
    </rPh>
    <rPh sb="262" eb="264">
      <t>タントウ</t>
    </rPh>
    <rPh sb="268" eb="270">
      <t>ガクセイ</t>
    </rPh>
    <rPh sb="271" eb="273">
      <t>シドウ</t>
    </rPh>
    <phoneticPr fontId="1"/>
  </si>
  <si>
    <t>　「データサイエンスの理解」は、全７学科において、１年次学生が履修し、所定の学習成果を修めて履修を修了した。学生のアンケート結果から、72.5%の学生がデータサイエンスに興味を持つことができたとの回答を得た。教育内容を充実させるために、教務委員会および数理・データサイエンス・AI教育プログラム検討部会において「授業評価の結果」を活用し、本教育プログラムの評価・改善を図っている。</t>
    <rPh sb="11" eb="13">
      <t>リカイ</t>
    </rPh>
    <rPh sb="16" eb="17">
      <t>ゼン</t>
    </rPh>
    <rPh sb="54" eb="56">
      <t>ガクセイ</t>
    </rPh>
    <rPh sb="62" eb="64">
      <t>ケッカ</t>
    </rPh>
    <rPh sb="73" eb="75">
      <t>ガクセイ</t>
    </rPh>
    <rPh sb="85" eb="87">
      <t>キョウミ</t>
    </rPh>
    <rPh sb="88" eb="89">
      <t>モ</t>
    </rPh>
    <rPh sb="98" eb="100">
      <t>カイトウ</t>
    </rPh>
    <rPh sb="101" eb="102">
      <t>エ</t>
    </rPh>
    <rPh sb="104" eb="108">
      <t>キョウイクナイヨウ</t>
    </rPh>
    <rPh sb="109" eb="111">
      <t>ジュウジツ</t>
    </rPh>
    <rPh sb="118" eb="123">
      <t>キョウムイインカイ</t>
    </rPh>
    <rPh sb="165" eb="167">
      <t>カツヨウ</t>
    </rPh>
    <rPh sb="169" eb="172">
      <t>ホンキョウイク</t>
    </rPh>
    <rPh sb="178" eb="180">
      <t>ヒョウカ</t>
    </rPh>
    <rPh sb="184" eb="185">
      <t>ハカ</t>
    </rPh>
    <phoneticPr fontId="1"/>
  </si>
  <si>
    <t>　学生アンケートの結果では、73.1％の学生が「データサイエンスの理解」の受講を後輩に推奨するとの回答を得た。概ね、受講した学生はデータサイエンスを学修することの意義を見いだせたと考えるが、一方で少数ではあるが5.2％の学生が推奨しないと回答していた。引き続き、教務委員会およ数理・データサイエンス・AI教育プログラム検討部会において教育内容の検討を続けていく。</t>
    <rPh sb="20" eb="22">
      <t>ガクセイ</t>
    </rPh>
    <rPh sb="33" eb="35">
      <t>リカイ</t>
    </rPh>
    <rPh sb="37" eb="39">
      <t>ジュコウ</t>
    </rPh>
    <rPh sb="40" eb="42">
      <t>コウハイ</t>
    </rPh>
    <rPh sb="43" eb="45">
      <t>スイショウ</t>
    </rPh>
    <rPh sb="49" eb="51">
      <t>カイトウ</t>
    </rPh>
    <rPh sb="52" eb="53">
      <t>エ</t>
    </rPh>
    <rPh sb="55" eb="56">
      <t>オオム</t>
    </rPh>
    <rPh sb="58" eb="60">
      <t>ジュコウ</t>
    </rPh>
    <rPh sb="62" eb="64">
      <t>ガクセイ</t>
    </rPh>
    <rPh sb="74" eb="76">
      <t>ガクシュウ</t>
    </rPh>
    <rPh sb="81" eb="83">
      <t>イギ</t>
    </rPh>
    <rPh sb="84" eb="85">
      <t>ミ</t>
    </rPh>
    <rPh sb="90" eb="91">
      <t>カンガ</t>
    </rPh>
    <rPh sb="95" eb="97">
      <t>イッポウ</t>
    </rPh>
    <rPh sb="98" eb="100">
      <t>ショウスウ</t>
    </rPh>
    <rPh sb="110" eb="112">
      <t>ガクセイ</t>
    </rPh>
    <rPh sb="113" eb="115">
      <t>スイショウ</t>
    </rPh>
    <rPh sb="119" eb="121">
      <t>カイトウ</t>
    </rPh>
    <rPh sb="131" eb="136">
      <t>キョウムイインカイ</t>
    </rPh>
    <rPh sb="175" eb="176">
      <t>ツヅ</t>
    </rPh>
    <phoneticPr fontId="1"/>
  </si>
  <si>
    <t>　令和３年度は西九州大学を構成する７学科のうち、５学科において「データサイエンスの理解」科目群を開設したが、令和４年度以降は全学科において開設した。全学生が必修科目として「データサイエンス入門」と「データサイエンス演習」を履修している。</t>
    <phoneticPr fontId="1"/>
  </si>
  <si>
    <t>　「データサイエンスの理解」を履修して卒業した学生はまだおらず、当該視点からの評価は将来の課題とする。西九州大学と協定を結ぶ株式会社ミズからの評価では「官公庁のデータを解釈する実践的な取り組みは、一般企業において求められる重要スキルであり、データを正しく理解し活用する能力を育んで欲しい」との意見を得ている。</t>
    <rPh sb="11" eb="13">
      <t>リカイ</t>
    </rPh>
    <rPh sb="51" eb="56">
      <t>ニシキュウシュウダイガク</t>
    </rPh>
    <rPh sb="57" eb="59">
      <t>キョウテイ</t>
    </rPh>
    <rPh sb="60" eb="61">
      <t>ムス</t>
    </rPh>
    <rPh sb="62" eb="66">
      <t>カブシキガイシャ</t>
    </rPh>
    <rPh sb="71" eb="73">
      <t>ヒョウカ</t>
    </rPh>
    <rPh sb="76" eb="79">
      <t>カンコウチョウ</t>
    </rPh>
    <rPh sb="84" eb="86">
      <t>カイシャク</t>
    </rPh>
    <rPh sb="88" eb="91">
      <t>ジッセンテキ</t>
    </rPh>
    <rPh sb="92" eb="93">
      <t>ト</t>
    </rPh>
    <rPh sb="94" eb="95">
      <t>ク</t>
    </rPh>
    <rPh sb="98" eb="102">
      <t>イッパンキギョウ</t>
    </rPh>
    <rPh sb="106" eb="107">
      <t>モト</t>
    </rPh>
    <rPh sb="111" eb="113">
      <t>ジュウヨウ</t>
    </rPh>
    <rPh sb="124" eb="125">
      <t>タダ</t>
    </rPh>
    <rPh sb="127" eb="129">
      <t>リカイ</t>
    </rPh>
    <rPh sb="130" eb="132">
      <t>カツヨウ</t>
    </rPh>
    <rPh sb="134" eb="136">
      <t>ノウリョク</t>
    </rPh>
    <rPh sb="137" eb="138">
      <t>ハグク</t>
    </rPh>
    <rPh sb="140" eb="141">
      <t>ホ</t>
    </rPh>
    <rPh sb="146" eb="148">
      <t>イケン</t>
    </rPh>
    <rPh sb="149" eb="150">
      <t>エ</t>
    </rPh>
    <phoneticPr fontId="1"/>
  </si>
  <si>
    <t>　佐賀市に本社が所在する木村情報技術株式会社およびオプティム・バンクテクノロジーズ株式会社（いずれもICT・AIの開発を事業としている）と西九州大学は、データサイエンス教育を進めるための交流協定を締結し、非常勤講師として「データサイエンス入門」の授業等にも参画してもらっている。これらの産業界の意見も取り入れて、今後、「データサイエンスの理解」プログラムの改善を図っていく。また、健康医療分野で事業を展開する株式会社ミズから「データサイエンスの理解」において、データを正しく理解し活用する能力を育むことに加えて、官公庁のデータを用いた広い視点と、地元佐賀を意識した地域の視点を持てる教育プログラムを展開すると、より有益であろう」とのコメントいただいた。数理・データサイエンス・AI教育プログラム検討部会において、企業からの意見を活用し、本教育プログラムの充実を図っていく。</t>
    <rPh sb="16" eb="18">
      <t>ギジュツ</t>
    </rPh>
    <rPh sb="41" eb="45">
      <t>カブシキガイシャ</t>
    </rPh>
    <rPh sb="169" eb="171">
      <t>リカイ</t>
    </rPh>
    <rPh sb="190" eb="192">
      <t>ケンコウ</t>
    </rPh>
    <rPh sb="192" eb="196">
      <t>イリョウブンヤ</t>
    </rPh>
    <rPh sb="197" eb="199">
      <t>ジギョウ</t>
    </rPh>
    <rPh sb="200" eb="202">
      <t>テンカイ</t>
    </rPh>
    <rPh sb="204" eb="208">
      <t>カブシキガイシャ</t>
    </rPh>
    <rPh sb="222" eb="224">
      <t>リカイ</t>
    </rPh>
    <rPh sb="234" eb="235">
      <t>タダ</t>
    </rPh>
    <rPh sb="237" eb="239">
      <t>リカイ</t>
    </rPh>
    <rPh sb="240" eb="242">
      <t>カツヨウ</t>
    </rPh>
    <rPh sb="244" eb="246">
      <t>ノウリョク</t>
    </rPh>
    <rPh sb="247" eb="248">
      <t>ハグク</t>
    </rPh>
    <rPh sb="252" eb="253">
      <t>クワ</t>
    </rPh>
    <rPh sb="256" eb="259">
      <t>カンコウチョウ</t>
    </rPh>
    <rPh sb="264" eb="265">
      <t>モチ</t>
    </rPh>
    <rPh sb="267" eb="268">
      <t>ヒロ</t>
    </rPh>
    <rPh sb="269" eb="271">
      <t>シテン</t>
    </rPh>
    <rPh sb="273" eb="277">
      <t>ジモトサガ</t>
    </rPh>
    <rPh sb="278" eb="280">
      <t>イシキ</t>
    </rPh>
    <rPh sb="282" eb="284">
      <t>チイキ</t>
    </rPh>
    <rPh sb="285" eb="287">
      <t>シテン</t>
    </rPh>
    <rPh sb="288" eb="289">
      <t>モ</t>
    </rPh>
    <rPh sb="291" eb="293">
      <t>キョウイク</t>
    </rPh>
    <rPh sb="299" eb="301">
      <t>テンカイ</t>
    </rPh>
    <rPh sb="307" eb="309">
      <t>ユウエキ</t>
    </rPh>
    <rPh sb="356" eb="358">
      <t>キギョウ</t>
    </rPh>
    <rPh sb="361" eb="363">
      <t>イケン</t>
    </rPh>
    <rPh sb="377" eb="379">
      <t>ジュウジツ</t>
    </rPh>
    <phoneticPr fontId="1"/>
  </si>
  <si>
    <t>　「データサイエンス入門」では、「学ぶ楽しさ」「学ぶことの意義」が伝わるようできるだけ分かりやすい授業を心がけている。毎回、講義に関連した内容の小テストを実施し、学生の理解の定着を図っている。「データサイエンス演習」では、学生自身が調べ学習を通じて調べてきたことを、演習グループ内で発表しあうという方法を取り入れている。また、学生へのアンケート結果から、88.5％の学生がデータサイエンスを学ぶ必要性を理解できたと回答しており、多くの学生に学ぶことの意義が伝わる講義が展開できたと思われる。各学科の専門分野を意識した演習、グループワークを通じて協力し合って課題を解決する、成果を共有する報告会開催など、多様な方法で実践的な学びができるよう、引き続き数理データサイエンスAI教育プログラム検討部会において検討を重ねていく。</t>
    <rPh sb="163" eb="165">
      <t>ガクセイ</t>
    </rPh>
    <rPh sb="172" eb="174">
      <t>ケッカ</t>
    </rPh>
    <rPh sb="214" eb="215">
      <t>オオ</t>
    </rPh>
    <rPh sb="217" eb="219">
      <t>ガクセイ</t>
    </rPh>
    <rPh sb="220" eb="221">
      <t>マナ</t>
    </rPh>
    <rPh sb="225" eb="227">
      <t>イギ</t>
    </rPh>
    <rPh sb="228" eb="229">
      <t>ツタ</t>
    </rPh>
    <rPh sb="231" eb="233">
      <t>コウギ</t>
    </rPh>
    <rPh sb="234" eb="236">
      <t>テンカイ</t>
    </rPh>
    <rPh sb="240" eb="241">
      <t>オモ</t>
    </rPh>
    <rPh sb="245" eb="248">
      <t>カクガッカ</t>
    </rPh>
    <rPh sb="249" eb="253">
      <t>センモンブンヤ</t>
    </rPh>
    <rPh sb="254" eb="256">
      <t>イシキ</t>
    </rPh>
    <rPh sb="258" eb="260">
      <t>エンシュウ</t>
    </rPh>
    <rPh sb="269" eb="270">
      <t>ツウ</t>
    </rPh>
    <rPh sb="272" eb="274">
      <t>キョウリョク</t>
    </rPh>
    <rPh sb="275" eb="276">
      <t>ア</t>
    </rPh>
    <rPh sb="278" eb="280">
      <t>カダイ</t>
    </rPh>
    <rPh sb="281" eb="283">
      <t>カイケツ</t>
    </rPh>
    <rPh sb="286" eb="288">
      <t>セイカ</t>
    </rPh>
    <rPh sb="289" eb="291">
      <t>キョウユウ</t>
    </rPh>
    <rPh sb="293" eb="295">
      <t>ホウコク</t>
    </rPh>
    <rPh sb="295" eb="296">
      <t>カイ</t>
    </rPh>
    <rPh sb="296" eb="298">
      <t>カイサイ</t>
    </rPh>
    <rPh sb="301" eb="303">
      <t>タヨウ</t>
    </rPh>
    <rPh sb="304" eb="306">
      <t>ホウホウ</t>
    </rPh>
    <rPh sb="307" eb="310">
      <t>ジッセンテキ</t>
    </rPh>
    <rPh sb="311" eb="312">
      <t>マナ</t>
    </rPh>
    <rPh sb="320" eb="321">
      <t>ヒ</t>
    </rPh>
    <rPh sb="322" eb="323">
      <t>ツヅ</t>
    </rPh>
    <rPh sb="351" eb="353">
      <t>ケントウ</t>
    </rPh>
    <rPh sb="354" eb="355">
      <t>カサ</t>
    </rPh>
    <phoneticPr fontId="1"/>
  </si>
  <si>
    <t>　「データサイエンス入門」では、毎回、講義に関連した内容の小テストを実施し、学生の理解の定着を図っている。小テストは、Microsoft Formsを用いて出題し採点をしている。その方法は来年度以降も継続する予定である。「データサイエンス演習」では、学生自身が調べ学習を通じて演習グループ内で発表しあうという方法を取り入れているが、今後もこうしたアクティブラーニングの手法を積極的に活用していく。また、学生アンケートの結果から、73.7％の学生が分かりやすい講義であったと評価しており、79.6%の学生が講義に満足したと回答している。一方で、少数ではあるが9.9％の学生が分からなかった、6.6％の学生が満足できなかったと回答している。引き続き、教務委員会および数理・データサイエンス・AI教育プログラム検討部会において教育内容と方法について検討を続けていく。</t>
    <rPh sb="201" eb="203">
      <t>ガクセイ</t>
    </rPh>
    <rPh sb="209" eb="211">
      <t>ケッカ</t>
    </rPh>
    <rPh sb="236" eb="238">
      <t>ヒョウカ</t>
    </rPh>
    <rPh sb="267" eb="269">
      <t>イッポウ</t>
    </rPh>
    <rPh sb="271" eb="273">
      <t>ショウスウ</t>
    </rPh>
    <rPh sb="283" eb="285">
      <t>ガクセイ</t>
    </rPh>
    <rPh sb="286" eb="287">
      <t>ワ</t>
    </rPh>
    <rPh sb="299" eb="301">
      <t>ガクセイ</t>
    </rPh>
    <rPh sb="302" eb="304">
      <t>マンゾク</t>
    </rPh>
    <rPh sb="311" eb="313">
      <t>カイトウ</t>
    </rPh>
    <rPh sb="323" eb="328">
      <t>キョウムイインカイ</t>
    </rPh>
    <rPh sb="365" eb="367">
      <t>ホウホウ</t>
    </rPh>
    <phoneticPr fontId="1"/>
  </si>
  <si>
    <t>橋本健夫</t>
    <rPh sb="0" eb="2">
      <t>ハシモト</t>
    </rPh>
    <rPh sb="2" eb="4">
      <t>タテオ</t>
    </rPh>
    <phoneticPr fontId="1"/>
  </si>
  <si>
    <t>数理・データサイエンス・AI教育プログラム検討部会、西九州大学教務委員会</t>
    <rPh sb="0" eb="2">
      <t>スウリ</t>
    </rPh>
    <rPh sb="26" eb="27">
      <t>ニシ</t>
    </rPh>
    <rPh sb="27" eb="29">
      <t>キュウシュウ</t>
    </rPh>
    <rPh sb="29" eb="31">
      <t>ダイガク</t>
    </rPh>
    <rPh sb="31" eb="33">
      <t>キョウム</t>
    </rPh>
    <rPh sb="33" eb="36">
      <t>イインカイ</t>
    </rPh>
    <phoneticPr fontId="1"/>
  </si>
  <si>
    <t>副学長</t>
    <rPh sb="0" eb="3">
      <t>フクガクチョウ</t>
    </rPh>
    <phoneticPr fontId="1"/>
  </si>
  <si>
    <t>数理・データサイエンス・AI教育プログラムを全学的に普及させるために、授業内容の検討を行い、受講学生の成績評価の方法、および授業プログラムの改善について継続的に検討することを目的に、「数理・データサイエンス・AI教育プログラム検討部会」を設置している。また、「西九州大学教務委員会」において、数理・データサイエンス・AI教育プログラムを本学の教育全体の中に位置づけ、他の授業との調整や各学科における推進を図っている。</t>
    <phoneticPr fontId="1"/>
  </si>
  <si>
    <t>西九州大学教務委員会、数理・データサイエンス・AI教育プログラム検討部会</t>
    <phoneticPr fontId="1"/>
  </si>
  <si>
    <t>●数理・データサイエンス・AI教育プログラム検討部会
部会長　大田尾浩教授（教務部副部長）／健康栄養学科　古賀浩二教授、横尾美智代教授、安部恵代教授／社会福祉学科　黒田研二教授、占部尊士准教授／スポーツ健康福祉学科　甲木秀典講師／リハビリテーション学科　宮原洋八教授　小松洋平准教授／子ども学科　松本大輔准教授／心理カウンセリング学科　赤川力准教授／看護学科　大塚和良講師
●西九州大学教務委員会
副学長　橋本健夫教授（委員長）、管原正志教授／教務部副部長　大田尾浩教授／健康栄養学科　古賀浩二教授、堀田徳子教授、園部ニコル講師／社会福祉学科　井本浩之教授、加藤稔子准教授／スポーツ健康福祉学科　山田力也教授、甲木秀典講師、山口裕嗣講師／リハビリテーション学科　松谷信也准教授、八谷瑞紀准教授／子ども学科　田中麻里教授、久野隆裕准教授、飯盛啓生准教授／心理カウンセリング学科　西村喜文教授、利光恵准教授、赤川力准教授／看護学科　馬塲才悟教授、小林幸恵教授、池田佐知子准教授／事務局長　上野恒信</t>
    <rPh sb="27" eb="30">
      <t>ブカイチョウ</t>
    </rPh>
    <rPh sb="31" eb="34">
      <t>オオタオ</t>
    </rPh>
    <rPh sb="34" eb="35">
      <t>ヒロシ</t>
    </rPh>
    <rPh sb="35" eb="37">
      <t>キョウジュ</t>
    </rPh>
    <rPh sb="38" eb="40">
      <t>キョウム</t>
    </rPh>
    <rPh sb="40" eb="41">
      <t>ブ</t>
    </rPh>
    <rPh sb="41" eb="44">
      <t>フクブチョウ</t>
    </rPh>
    <rPh sb="46" eb="48">
      <t>ケンコウ</t>
    </rPh>
    <rPh sb="48" eb="50">
      <t>エイヨウ</t>
    </rPh>
    <rPh sb="50" eb="52">
      <t>ガッカ</t>
    </rPh>
    <rPh sb="53" eb="55">
      <t>コガ</t>
    </rPh>
    <rPh sb="55" eb="57">
      <t>コウジ</t>
    </rPh>
    <rPh sb="57" eb="59">
      <t>キョウジュ</t>
    </rPh>
    <rPh sb="82" eb="84">
      <t>クロダ</t>
    </rPh>
    <rPh sb="84" eb="86">
      <t>ケンジ</t>
    </rPh>
    <rPh sb="86" eb="88">
      <t>キョウジュ</t>
    </rPh>
    <rPh sb="108" eb="110">
      <t>カツキ</t>
    </rPh>
    <rPh sb="110" eb="112">
      <t>ヒデノリ</t>
    </rPh>
    <rPh sb="112" eb="114">
      <t>コウシ</t>
    </rPh>
    <rPh sb="175" eb="177">
      <t>カンゴ</t>
    </rPh>
    <rPh sb="180" eb="182">
      <t>オオツカ</t>
    </rPh>
    <rPh sb="182" eb="184">
      <t>カズヨシ</t>
    </rPh>
    <rPh sb="184" eb="186">
      <t>コウシ</t>
    </rPh>
    <rPh sb="189" eb="190">
      <t>ニシ</t>
    </rPh>
    <rPh sb="190" eb="192">
      <t>キュウシュウ</t>
    </rPh>
    <rPh sb="192" eb="194">
      <t>ダイガク</t>
    </rPh>
    <rPh sb="194" eb="196">
      <t>キョウム</t>
    </rPh>
    <rPh sb="196" eb="199">
      <t>イインカイ</t>
    </rPh>
    <rPh sb="200" eb="203">
      <t>フクガクチョウ</t>
    </rPh>
    <rPh sb="204" eb="206">
      <t>ハシモト</t>
    </rPh>
    <rPh sb="206" eb="208">
      <t>タテオ</t>
    </rPh>
    <rPh sb="208" eb="210">
      <t>キョウジュ</t>
    </rPh>
    <rPh sb="211" eb="214">
      <t>イインチョウ</t>
    </rPh>
    <rPh sb="216" eb="218">
      <t>スガワラ</t>
    </rPh>
    <rPh sb="218" eb="220">
      <t>マサシ</t>
    </rPh>
    <rPh sb="220" eb="222">
      <t>キョウジュ</t>
    </rPh>
    <rPh sb="223" eb="225">
      <t>キョウム</t>
    </rPh>
    <rPh sb="225" eb="226">
      <t>ブ</t>
    </rPh>
    <rPh sb="226" eb="229">
      <t>フクブチョウ</t>
    </rPh>
    <rPh sb="230" eb="233">
      <t>オオタオ</t>
    </rPh>
    <rPh sb="233" eb="234">
      <t>ヒロシ</t>
    </rPh>
    <rPh sb="234" eb="236">
      <t>キョウジュ</t>
    </rPh>
    <rPh sb="237" eb="239">
      <t>ケンコウ</t>
    </rPh>
    <rPh sb="239" eb="241">
      <t>エイヨウ</t>
    </rPh>
    <rPh sb="241" eb="243">
      <t>ガッカ</t>
    </rPh>
    <rPh sb="244" eb="246">
      <t>コガ</t>
    </rPh>
    <rPh sb="246" eb="248">
      <t>コウジ</t>
    </rPh>
    <rPh sb="248" eb="250">
      <t>キョウジュ</t>
    </rPh>
    <rPh sb="251" eb="253">
      <t>ホリタ</t>
    </rPh>
    <rPh sb="253" eb="255">
      <t>ノリコ</t>
    </rPh>
    <rPh sb="255" eb="257">
      <t>キョウジュ</t>
    </rPh>
    <rPh sb="258" eb="260">
      <t>ソノベ</t>
    </rPh>
    <rPh sb="263" eb="265">
      <t>コウシ</t>
    </rPh>
    <rPh sb="266" eb="268">
      <t>シャカイ</t>
    </rPh>
    <rPh sb="268" eb="270">
      <t>フクシ</t>
    </rPh>
    <rPh sb="270" eb="272">
      <t>ガッカ</t>
    </rPh>
    <rPh sb="273" eb="275">
      <t>イモト</t>
    </rPh>
    <rPh sb="275" eb="277">
      <t>ヒロユキ</t>
    </rPh>
    <rPh sb="277" eb="279">
      <t>キョウジュ</t>
    </rPh>
    <rPh sb="280" eb="282">
      <t>カトウ</t>
    </rPh>
    <rPh sb="282" eb="284">
      <t>トシコ</t>
    </rPh>
    <rPh sb="284" eb="287">
      <t>ジュンキョウジュ</t>
    </rPh>
    <rPh sb="292" eb="294">
      <t>ケンコウ</t>
    </rPh>
    <rPh sb="294" eb="296">
      <t>フクシ</t>
    </rPh>
    <rPh sb="296" eb="298">
      <t>ガッカ</t>
    </rPh>
    <rPh sb="299" eb="301">
      <t>ヤマダ</t>
    </rPh>
    <rPh sb="301" eb="303">
      <t>リキヤ</t>
    </rPh>
    <rPh sb="303" eb="305">
      <t>キョウジュ</t>
    </rPh>
    <rPh sb="306" eb="308">
      <t>カツキ</t>
    </rPh>
    <rPh sb="308" eb="310">
      <t>ヒデノリ</t>
    </rPh>
    <rPh sb="310" eb="312">
      <t>コウシ</t>
    </rPh>
    <rPh sb="313" eb="315">
      <t>ヤマグチ</t>
    </rPh>
    <rPh sb="315" eb="316">
      <t>ユウ</t>
    </rPh>
    <rPh sb="316" eb="317">
      <t>ジ</t>
    </rPh>
    <rPh sb="317" eb="319">
      <t>コウシ</t>
    </rPh>
    <rPh sb="329" eb="331">
      <t>ガッカ</t>
    </rPh>
    <rPh sb="332" eb="334">
      <t>マツタニ</t>
    </rPh>
    <rPh sb="334" eb="336">
      <t>シンヤ</t>
    </rPh>
    <rPh sb="336" eb="339">
      <t>ジュンキョウジュ</t>
    </rPh>
    <rPh sb="340" eb="342">
      <t>ハチヤ</t>
    </rPh>
    <rPh sb="342" eb="344">
      <t>ミズキ</t>
    </rPh>
    <rPh sb="344" eb="347">
      <t>ジュンキョウジュ</t>
    </rPh>
    <rPh sb="348" eb="349">
      <t>コ</t>
    </rPh>
    <rPh sb="351" eb="353">
      <t>ガッカ</t>
    </rPh>
    <rPh sb="354" eb="356">
      <t>タナカ</t>
    </rPh>
    <rPh sb="356" eb="358">
      <t>マリ</t>
    </rPh>
    <rPh sb="358" eb="360">
      <t>キョウジュ</t>
    </rPh>
    <rPh sb="361" eb="363">
      <t>ヒサノ</t>
    </rPh>
    <rPh sb="363" eb="364">
      <t>タカ</t>
    </rPh>
    <rPh sb="364" eb="365">
      <t>ヒロ</t>
    </rPh>
    <rPh sb="365" eb="368">
      <t>ジュンキョウジュ</t>
    </rPh>
    <rPh sb="369" eb="371">
      <t>イサガイ</t>
    </rPh>
    <rPh sb="371" eb="372">
      <t>ケイ</t>
    </rPh>
    <rPh sb="372" eb="373">
      <t>イ</t>
    </rPh>
    <rPh sb="373" eb="376">
      <t>ジュンキョウジュ</t>
    </rPh>
    <rPh sb="377" eb="379">
      <t>シンリ</t>
    </rPh>
    <rPh sb="386" eb="388">
      <t>ガッカ</t>
    </rPh>
    <rPh sb="389" eb="391">
      <t>ニシムラ</t>
    </rPh>
    <rPh sb="391" eb="392">
      <t>ヨロコ</t>
    </rPh>
    <rPh sb="392" eb="393">
      <t>フミ</t>
    </rPh>
    <rPh sb="393" eb="395">
      <t>キョウジュ</t>
    </rPh>
    <rPh sb="396" eb="398">
      <t>トシミツ</t>
    </rPh>
    <rPh sb="398" eb="399">
      <t>ケイ</t>
    </rPh>
    <rPh sb="399" eb="402">
      <t>ジュンキョウジュ</t>
    </rPh>
    <rPh sb="403" eb="405">
      <t>アカガワ</t>
    </rPh>
    <rPh sb="405" eb="406">
      <t>チカラ</t>
    </rPh>
    <rPh sb="406" eb="409">
      <t>ジュンキョウジュ</t>
    </rPh>
    <rPh sb="410" eb="412">
      <t>カンゴ</t>
    </rPh>
    <rPh sb="412" eb="414">
      <t>ガッカ</t>
    </rPh>
    <rPh sb="415" eb="417">
      <t>ババ</t>
    </rPh>
    <rPh sb="417" eb="418">
      <t>サイ</t>
    </rPh>
    <rPh sb="418" eb="419">
      <t>ゴ</t>
    </rPh>
    <rPh sb="419" eb="421">
      <t>キョウジュ</t>
    </rPh>
    <rPh sb="422" eb="424">
      <t>コバヤシ</t>
    </rPh>
    <rPh sb="424" eb="426">
      <t>ユキエ</t>
    </rPh>
    <rPh sb="426" eb="428">
      <t>キョウジュ</t>
    </rPh>
    <rPh sb="429" eb="431">
      <t>イケダ</t>
    </rPh>
    <rPh sb="431" eb="434">
      <t>サチコ</t>
    </rPh>
    <rPh sb="434" eb="437">
      <t>ジュンキョウジュ</t>
    </rPh>
    <rPh sb="438" eb="440">
      <t>ジム</t>
    </rPh>
    <rPh sb="440" eb="442">
      <t>キョクチョウ</t>
    </rPh>
    <rPh sb="443" eb="445">
      <t>ウエノ</t>
    </rPh>
    <rPh sb="445" eb="447">
      <t>ツネノブ</t>
    </rPh>
    <phoneticPr fontId="1"/>
  </si>
  <si>
    <t>数理・データサイエンス・AI教育プログラム検討部会要項、西九州大学教務委員会規程</t>
    <rPh sb="25" eb="27">
      <t>ヨウコウ</t>
    </rPh>
    <rPh sb="28" eb="29">
      <t>ニシ</t>
    </rPh>
    <rPh sb="29" eb="31">
      <t>キュウシュウ</t>
    </rPh>
    <rPh sb="31" eb="33">
      <t>ダイガク</t>
    </rPh>
    <rPh sb="33" eb="35">
      <t>キョウム</t>
    </rPh>
    <rPh sb="35" eb="38">
      <t>イインカイ</t>
    </rPh>
    <rPh sb="38" eb="40">
      <t>キテイ</t>
    </rPh>
    <phoneticPr fontId="1"/>
  </si>
  <si>
    <t>教務部副部長（大学担当）</t>
    <rPh sb="0" eb="2">
      <t>キョウム</t>
    </rPh>
    <rPh sb="2" eb="3">
      <t>ブ</t>
    </rPh>
    <rPh sb="3" eb="6">
      <t>フクブチョウ</t>
    </rPh>
    <rPh sb="7" eb="9">
      <t>ダイガク</t>
    </rPh>
    <rPh sb="9" eb="11">
      <t>タントウ</t>
    </rPh>
    <phoneticPr fontId="1"/>
  </si>
  <si>
    <t>令和４</t>
    <rPh sb="0" eb="2">
      <t>レイワ</t>
    </rPh>
    <phoneticPr fontId="1"/>
  </si>
  <si>
    <t>講義科目である「データサイエンス入門」は、Microsoft Teamsを用いたオンラインの遠隔授業として実施しており、授業の中で学生からの質問を受けるようにしている。また、Teamsのチャット機能を通じて、時間外でも質問に回答している。演習科目である「データサイエンス演習」は、学科単位で担当教員を選任し、学生を小グループに分け、スケジュール管理、成績評価を行っている。演習を通じて、随時学生からの質問への説明や学習指導を行っている。</t>
    <phoneticPr fontId="1"/>
  </si>
  <si>
    <t>本教育プログラムは、全学共通開講の必修科目としている。科目担当教員と各学科の担任とが連携を密にし、講義毎に学習状況を把握して、個々の学生をサポートする体制がとられている。また、「データサイエンス入門」は、PC必携化としているため、Microsoft Teamsによる遠隔授業により受講しやすい環境を整えている。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</si>
</sst>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5"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color theme="1"/>
      <name val="ＭＳ Ｐゴシック"/>
      <family val="3"/>
      <charset val="2"/>
      <scheme val="minor"/>
    </font>
    <font>
      <sz val="12"/>
      <color theme="1"/>
      <name val="Wingdings"/>
      <family val="3"/>
      <charset val="2"/>
    </font>
    <font>
      <sz val="12"/>
      <color theme="1"/>
      <name val="Calibri"/>
      <family val="3"/>
    </font>
  </fonts>
  <fills count="3">
    <fill>
      <patternFill patternType="none"/>
    </fill>
    <fill>
      <patternFill patternType="gray125"/>
    </fill>
    <fill>
      <patternFill patternType="solid">
        <fgColor theme="0" tint="-4.9989318521683403E-2"/>
        <bgColor indexed="64"/>
      </patternFill>
    </fill>
  </fills>
  <borders count="6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diagonalUp="1">
      <left style="dotted">
        <color auto="1"/>
      </left>
      <right/>
      <top style="thin">
        <color auto="1"/>
      </top>
      <bottom/>
      <diagonal style="dotted">
        <color auto="1"/>
      </diagonal>
    </border>
    <border diagonalUp="1">
      <left style="hair">
        <color auto="1"/>
      </left>
      <right style="thin">
        <color auto="1"/>
      </right>
      <top style="thin">
        <color auto="1"/>
      </top>
      <bottom/>
      <diagonal style="dotted">
        <color auto="1"/>
      </diagonal>
    </border>
    <border diagonalUp="1">
      <left style="dotted">
        <color auto="1"/>
      </left>
      <right/>
      <top style="hair">
        <color auto="1"/>
      </top>
      <bottom style="hair">
        <color auto="1"/>
      </bottom>
      <diagonal style="dotted">
        <color auto="1"/>
      </diagonal>
    </border>
    <border diagonalUp="1">
      <left style="hair">
        <color auto="1"/>
      </left>
      <right style="thin">
        <color auto="1"/>
      </right>
      <top style="hair">
        <color auto="1"/>
      </top>
      <bottom style="hair">
        <color auto="1"/>
      </bottom>
      <diagonal style="dotted">
        <color auto="1"/>
      </diagonal>
    </border>
    <border>
      <left style="dotted">
        <color auto="1"/>
      </left>
      <right/>
      <top style="thin">
        <color auto="1"/>
      </top>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2">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0" xfId="0" applyFont="1" applyFill="1" applyAlignment="1">
      <alignment vertical="top" wrapText="1"/>
    </xf>
    <xf numFmtId="0" fontId="2" fillId="2" borderId="0" xfId="0" applyFont="1" applyFill="1">
      <alignment vertical="center"/>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38" fontId="2" fillId="0" borderId="0" xfId="0" applyNumberFormat="1" applyFont="1" applyAlignment="1">
      <alignment horizontal="center" vertical="center"/>
    </xf>
    <xf numFmtId="38" fontId="2" fillId="0" borderId="61" xfId="2" applyFont="1" applyBorder="1" applyAlignment="1">
      <alignment vertical="center" shrinkToFit="1"/>
    </xf>
    <xf numFmtId="38" fontId="2" fillId="0" borderId="62" xfId="2" applyFont="1" applyBorder="1" applyAlignment="1">
      <alignment vertical="center" shrinkToFit="1"/>
    </xf>
    <xf numFmtId="38" fontId="2" fillId="0" borderId="63" xfId="2" applyFont="1" applyBorder="1" applyAlignment="1">
      <alignment vertical="center" shrinkToFit="1"/>
    </xf>
    <xf numFmtId="38" fontId="2" fillId="0" borderId="64" xfId="2" applyFont="1" applyBorder="1" applyAlignment="1">
      <alignment vertical="center" shrinkToFit="1"/>
    </xf>
    <xf numFmtId="0" fontId="2" fillId="0" borderId="0" xfId="0" applyFont="1" applyAlignment="1">
      <alignment horizontal="right" vertical="center"/>
    </xf>
    <xf numFmtId="0" fontId="2" fillId="0" borderId="0" xfId="0" applyFont="1">
      <alignment vertical="center"/>
    </xf>
    <xf numFmtId="0" fontId="2" fillId="0" borderId="0" xfId="0" applyFont="1" applyAlignment="1">
      <alignment horizontal="center" vertical="center"/>
    </xf>
    <xf numFmtId="0" fontId="2" fillId="0" borderId="0" xfId="0" applyFont="1" applyAlignment="1">
      <alignment vertical="center" wrapText="1"/>
    </xf>
    <xf numFmtId="0" fontId="2" fillId="0" borderId="0" xfId="0" applyFont="1" applyAlignment="1">
      <alignment horizontal="right" vertical="center"/>
    </xf>
    <xf numFmtId="0" fontId="2" fillId="0" borderId="0" xfId="0" applyFont="1">
      <alignment vertical="center"/>
    </xf>
    <xf numFmtId="0" fontId="2" fillId="0" borderId="0" xfId="0" applyFont="1" applyAlignment="1">
      <alignment horizontal="center" vertical="center"/>
    </xf>
    <xf numFmtId="0" fontId="2" fillId="0" borderId="1" xfId="0" applyFont="1" applyBorder="1" applyAlignment="1">
      <alignment horizontal="center" vertical="center"/>
    </xf>
    <xf numFmtId="0" fontId="2" fillId="0" borderId="14" xfId="0" applyFont="1" applyBorder="1" applyAlignment="1">
      <alignment horizontal="left" vertical="center" shrinkToFit="1"/>
    </xf>
    <xf numFmtId="0" fontId="3" fillId="2" borderId="42" xfId="0" applyFont="1" applyFill="1" applyBorder="1" applyAlignment="1">
      <alignment vertical="top" shrinkToFit="1"/>
    </xf>
    <xf numFmtId="0" fontId="3" fillId="2" borderId="43" xfId="0" applyFont="1" applyFill="1" applyBorder="1" applyAlignment="1">
      <alignment vertical="top" shrinkToFit="1"/>
    </xf>
    <xf numFmtId="0" fontId="2" fillId="0" borderId="1" xfId="0" applyFont="1" applyBorder="1" applyAlignment="1">
      <alignment horizontal="left" vertical="center"/>
    </xf>
    <xf numFmtId="38" fontId="2" fillId="0" borderId="65" xfId="2" applyFont="1" applyBorder="1" applyAlignment="1">
      <alignment vertical="center" shrinkToFit="1"/>
    </xf>
    <xf numFmtId="38" fontId="2" fillId="0" borderId="48" xfId="2" applyFont="1" applyBorder="1" applyAlignment="1">
      <alignment vertical="center" shrinkToFi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0" xfId="0" applyFont="1" applyAlignment="1">
      <alignment vertical="center" wrapText="1"/>
    </xf>
    <xf numFmtId="0" fontId="3" fillId="0" borderId="45" xfId="0" applyFont="1" applyBorder="1" applyAlignment="1">
      <alignment vertical="center" wrapText="1"/>
    </xf>
    <xf numFmtId="0" fontId="3" fillId="0" borderId="31" xfId="0" applyFont="1" applyBorder="1" applyAlignment="1">
      <alignment vertical="center" wrapText="1"/>
    </xf>
    <xf numFmtId="0" fontId="3" fillId="0" borderId="46" xfId="0" applyFont="1" applyBorder="1" applyAlignment="1">
      <alignment vertical="center" wrapText="1"/>
    </xf>
    <xf numFmtId="0" fontId="2" fillId="0" borderId="36" xfId="0" applyFont="1" applyBorder="1" applyAlignment="1">
      <alignment vertical="center" wrapText="1" shrinkToFi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1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22" xfId="0" applyFont="1" applyBorder="1" applyAlignment="1">
      <alignment horizontal="left" vertical="center" wrapText="1" shrinkToFit="1"/>
    </xf>
    <xf numFmtId="0" fontId="2" fillId="0" borderId="22"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6" xfId="0" applyFont="1" applyBorder="1" applyAlignment="1">
      <alignment horizontal="left" vertical="center" wrapText="1"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38"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2" fillId="0" borderId="19" xfId="0" applyFont="1" applyBorder="1" applyAlignment="1">
      <alignment vertical="center" wrapText="1"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tabSelected="1" view="pageBreakPreview" zoomScale="115" zoomScaleNormal="100" zoomScaleSheetLayoutView="115" workbookViewId="0">
      <selection activeCell="B7" sqref="B7"/>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50" t="s">
        <v>12</v>
      </c>
      <c r="S1" s="150"/>
      <c r="T1" s="2" t="s">
        <v>110</v>
      </c>
    </row>
    <row r="2" spans="1:22" ht="18.75" customHeight="1" x14ac:dyDescent="0.15">
      <c r="A2" s="84"/>
      <c r="B2" s="33" t="s">
        <v>109</v>
      </c>
      <c r="C2" s="103" t="s">
        <v>127</v>
      </c>
      <c r="D2" s="104"/>
      <c r="E2" s="104"/>
      <c r="F2" s="104"/>
      <c r="G2" s="104"/>
      <c r="H2" s="104"/>
      <c r="I2" s="105"/>
      <c r="J2" s="83"/>
      <c r="K2" s="6"/>
      <c r="L2" s="6"/>
      <c r="M2" s="6"/>
      <c r="N2" s="6"/>
      <c r="O2" s="6"/>
      <c r="P2" s="6"/>
      <c r="Q2" s="6"/>
      <c r="R2" s="6"/>
      <c r="S2" s="6"/>
    </row>
    <row r="3" spans="1:22" ht="18.75" customHeight="1" x14ac:dyDescent="0.15">
      <c r="A3" s="84"/>
      <c r="B3" s="33" t="s">
        <v>103</v>
      </c>
      <c r="C3" s="103" t="s">
        <v>128</v>
      </c>
      <c r="D3" s="104"/>
      <c r="E3" s="104"/>
      <c r="F3" s="104"/>
      <c r="G3" s="104"/>
      <c r="H3" s="104"/>
      <c r="I3" s="105"/>
      <c r="J3" s="83"/>
      <c r="K3" s="6"/>
      <c r="L3" s="6"/>
      <c r="M3" s="6"/>
      <c r="N3" s="6"/>
      <c r="O3" s="6"/>
      <c r="P3" s="6"/>
      <c r="Q3" s="6"/>
      <c r="R3" s="6"/>
      <c r="S3" s="6"/>
    </row>
    <row r="4" spans="1:22" ht="15" customHeight="1" x14ac:dyDescent="0.15">
      <c r="A4" s="84"/>
      <c r="B4" s="84"/>
      <c r="C4" s="84"/>
      <c r="D4" s="84"/>
      <c r="E4" s="84"/>
      <c r="F4" s="84"/>
      <c r="G4" s="84"/>
      <c r="H4" s="84"/>
      <c r="I4" s="84"/>
      <c r="J4" s="84"/>
      <c r="K4" s="83"/>
      <c r="L4" s="35"/>
      <c r="M4" s="35"/>
      <c r="N4" s="35"/>
      <c r="O4" s="35"/>
      <c r="P4" s="35"/>
      <c r="Q4" s="35"/>
      <c r="R4" s="35"/>
      <c r="S4" s="35"/>
    </row>
    <row r="5" spans="1:22" ht="18" customHeight="1" x14ac:dyDescent="0.15">
      <c r="A5" s="154" t="s">
        <v>39</v>
      </c>
      <c r="B5" s="154"/>
      <c r="C5" s="154"/>
      <c r="D5" s="154"/>
      <c r="E5" s="154"/>
      <c r="F5" s="154"/>
      <c r="G5" s="154"/>
      <c r="H5" s="154"/>
      <c r="I5" s="154"/>
      <c r="J5" s="154"/>
      <c r="K5" s="154"/>
      <c r="L5" s="154"/>
      <c r="M5" s="154"/>
      <c r="N5" s="154"/>
      <c r="O5" s="154"/>
      <c r="P5" s="154"/>
      <c r="Q5" s="154"/>
      <c r="R5" s="154"/>
      <c r="S5" s="154"/>
    </row>
    <row r="6" spans="1:22" ht="15" customHeight="1" x14ac:dyDescent="0.15">
      <c r="A6" s="84"/>
      <c r="B6" s="85"/>
      <c r="C6" s="85"/>
      <c r="D6" s="85"/>
      <c r="E6" s="85"/>
      <c r="F6" s="85"/>
      <c r="G6" s="85"/>
      <c r="H6" s="85"/>
      <c r="I6" s="85"/>
      <c r="J6" s="85"/>
      <c r="K6" s="85"/>
      <c r="L6" s="85"/>
      <c r="M6" s="85"/>
      <c r="N6" s="85"/>
      <c r="O6" s="85"/>
      <c r="P6" s="85"/>
      <c r="Q6" s="85"/>
      <c r="R6" s="85"/>
      <c r="S6" s="85"/>
    </row>
    <row r="7" spans="1:22" ht="18" customHeight="1" x14ac:dyDescent="0.15">
      <c r="A7" s="84" t="s">
        <v>125</v>
      </c>
      <c r="B7" s="84"/>
      <c r="C7" s="85"/>
      <c r="D7" s="84"/>
      <c r="E7" s="84"/>
      <c r="F7" s="84"/>
      <c r="G7" s="84"/>
      <c r="H7" s="84"/>
      <c r="I7" s="84"/>
      <c r="J7" s="36" t="s">
        <v>108</v>
      </c>
      <c r="K7" s="164" t="s">
        <v>129</v>
      </c>
      <c r="L7" s="165"/>
      <c r="M7" s="165"/>
      <c r="N7" s="165"/>
      <c r="O7" s="165"/>
      <c r="P7" s="165"/>
      <c r="Q7" s="165"/>
      <c r="R7" s="165"/>
      <c r="S7" s="166"/>
    </row>
    <row r="8" spans="1:22" ht="6" customHeight="1" x14ac:dyDescent="0.15">
      <c r="A8" s="84"/>
      <c r="B8" s="85"/>
      <c r="C8" s="85"/>
      <c r="D8" s="85"/>
      <c r="E8" s="85"/>
      <c r="F8" s="85"/>
      <c r="G8" s="85"/>
      <c r="H8" s="85"/>
      <c r="I8" s="85"/>
      <c r="J8" s="85"/>
      <c r="K8" s="10"/>
      <c r="L8" s="85"/>
      <c r="M8" s="85"/>
      <c r="N8" s="85"/>
      <c r="O8" s="85"/>
      <c r="P8" s="85"/>
      <c r="Q8" s="85"/>
      <c r="R8" s="85"/>
      <c r="S8" s="85"/>
    </row>
    <row r="9" spans="1:22" ht="18" customHeight="1" x14ac:dyDescent="0.15">
      <c r="A9" s="84"/>
      <c r="B9" s="167"/>
      <c r="C9" s="168"/>
      <c r="D9" s="168"/>
      <c r="E9" s="168"/>
      <c r="F9" s="168"/>
      <c r="G9" s="168"/>
      <c r="H9" s="168"/>
      <c r="I9" s="168"/>
      <c r="J9" s="168"/>
      <c r="K9" s="168"/>
      <c r="L9" s="168"/>
      <c r="M9" s="168"/>
      <c r="N9" s="168"/>
      <c r="O9" s="168"/>
      <c r="P9" s="168"/>
      <c r="Q9" s="168"/>
      <c r="R9" s="168"/>
      <c r="S9" s="169"/>
    </row>
    <row r="10" spans="1:22" ht="18" customHeight="1" x14ac:dyDescent="0.15">
      <c r="A10" s="84"/>
      <c r="B10" s="170"/>
      <c r="C10" s="171"/>
      <c r="D10" s="171"/>
      <c r="E10" s="171"/>
      <c r="F10" s="171"/>
      <c r="G10" s="171"/>
      <c r="H10" s="171"/>
      <c r="I10" s="171"/>
      <c r="J10" s="171"/>
      <c r="K10" s="171"/>
      <c r="L10" s="171"/>
      <c r="M10" s="171"/>
      <c r="N10" s="171"/>
      <c r="O10" s="171"/>
      <c r="P10" s="171"/>
      <c r="Q10" s="171"/>
      <c r="R10" s="171"/>
      <c r="S10" s="172"/>
    </row>
    <row r="11" spans="1:22" ht="6" customHeight="1" x14ac:dyDescent="0.15">
      <c r="A11" s="84"/>
      <c r="B11" s="85"/>
      <c r="C11" s="85"/>
      <c r="D11" s="85"/>
      <c r="E11" s="85"/>
      <c r="F11" s="85"/>
      <c r="G11" s="85"/>
      <c r="H11" s="85"/>
      <c r="I11" s="85"/>
      <c r="J11" s="85"/>
      <c r="K11" s="10"/>
      <c r="L11" s="85"/>
      <c r="M11" s="85"/>
      <c r="N11" s="85"/>
      <c r="O11" s="85"/>
      <c r="P11" s="85"/>
      <c r="Q11" s="85"/>
      <c r="R11" s="85"/>
      <c r="S11" s="85"/>
    </row>
    <row r="12" spans="1:22" ht="18" customHeight="1" x14ac:dyDescent="0.15">
      <c r="A12" s="84" t="s">
        <v>112</v>
      </c>
      <c r="B12" s="85"/>
      <c r="C12" s="85"/>
      <c r="D12" s="83"/>
      <c r="E12" s="83"/>
      <c r="F12" s="83"/>
      <c r="G12" s="83"/>
      <c r="H12" s="83"/>
      <c r="I12" s="83"/>
      <c r="J12" s="83"/>
      <c r="K12" s="37"/>
      <c r="L12" s="37"/>
      <c r="M12" s="37"/>
      <c r="N12" s="37"/>
      <c r="O12" s="37"/>
      <c r="P12" s="37"/>
      <c r="Q12" s="37"/>
      <c r="R12" s="37"/>
      <c r="S12" s="37"/>
    </row>
    <row r="13" spans="1:22" ht="18" customHeight="1" x14ac:dyDescent="0.15">
      <c r="A13" s="84"/>
      <c r="B13" s="155" t="s">
        <v>147</v>
      </c>
      <c r="C13" s="156"/>
      <c r="D13" s="156"/>
      <c r="E13" s="156"/>
      <c r="F13" s="156"/>
      <c r="G13" s="156"/>
      <c r="H13" s="156"/>
      <c r="I13" s="156"/>
      <c r="J13" s="156"/>
      <c r="K13" s="156"/>
      <c r="L13" s="156"/>
      <c r="M13" s="156"/>
      <c r="N13" s="156"/>
      <c r="O13" s="156"/>
      <c r="P13" s="156"/>
      <c r="Q13" s="156"/>
      <c r="R13" s="156"/>
      <c r="S13" s="157"/>
      <c r="V13" s="1" t="s">
        <v>104</v>
      </c>
    </row>
    <row r="14" spans="1:22" ht="18" customHeight="1" x14ac:dyDescent="0.15">
      <c r="A14" s="84"/>
      <c r="B14" s="158"/>
      <c r="C14" s="159"/>
      <c r="D14" s="159"/>
      <c r="E14" s="159"/>
      <c r="F14" s="159"/>
      <c r="G14" s="159"/>
      <c r="H14" s="159"/>
      <c r="I14" s="159"/>
      <c r="J14" s="159"/>
      <c r="K14" s="159"/>
      <c r="L14" s="159"/>
      <c r="M14" s="159"/>
      <c r="N14" s="159"/>
      <c r="O14" s="159"/>
      <c r="P14" s="159"/>
      <c r="Q14" s="159"/>
      <c r="R14" s="159"/>
      <c r="S14" s="160"/>
      <c r="V14" s="1" t="s">
        <v>111</v>
      </c>
    </row>
    <row r="15" spans="1:22" ht="18" customHeight="1" x14ac:dyDescent="0.15">
      <c r="A15" s="84"/>
      <c r="B15" s="158"/>
      <c r="C15" s="159"/>
      <c r="D15" s="159"/>
      <c r="E15" s="159"/>
      <c r="F15" s="159"/>
      <c r="G15" s="159"/>
      <c r="H15" s="159"/>
      <c r="I15" s="159"/>
      <c r="J15" s="159"/>
      <c r="K15" s="159"/>
      <c r="L15" s="159"/>
      <c r="M15" s="159"/>
      <c r="N15" s="159"/>
      <c r="O15" s="159"/>
      <c r="P15" s="159"/>
      <c r="Q15" s="159"/>
      <c r="R15" s="159"/>
      <c r="S15" s="160"/>
      <c r="V15" s="1" t="s">
        <v>124</v>
      </c>
    </row>
    <row r="16" spans="1:22" ht="18" customHeight="1" x14ac:dyDescent="0.15">
      <c r="A16" s="84"/>
      <c r="B16" s="158"/>
      <c r="C16" s="159"/>
      <c r="D16" s="159"/>
      <c r="E16" s="159"/>
      <c r="F16" s="159"/>
      <c r="G16" s="159"/>
      <c r="H16" s="159"/>
      <c r="I16" s="159"/>
      <c r="J16" s="159"/>
      <c r="K16" s="159"/>
      <c r="L16" s="159"/>
      <c r="M16" s="159"/>
      <c r="N16" s="159"/>
      <c r="O16" s="159"/>
      <c r="P16" s="159"/>
      <c r="Q16" s="159"/>
      <c r="R16" s="159"/>
      <c r="S16" s="160"/>
      <c r="V16" s="1" t="s">
        <v>126</v>
      </c>
    </row>
    <row r="17" spans="1:19" ht="18" customHeight="1" x14ac:dyDescent="0.15">
      <c r="A17" s="84"/>
      <c r="B17" s="158"/>
      <c r="C17" s="159"/>
      <c r="D17" s="159"/>
      <c r="E17" s="159"/>
      <c r="F17" s="159"/>
      <c r="G17" s="159"/>
      <c r="H17" s="159"/>
      <c r="I17" s="159"/>
      <c r="J17" s="159"/>
      <c r="K17" s="159"/>
      <c r="L17" s="159"/>
      <c r="M17" s="159"/>
      <c r="N17" s="159"/>
      <c r="O17" s="159"/>
      <c r="P17" s="159"/>
      <c r="Q17" s="159"/>
      <c r="R17" s="159"/>
      <c r="S17" s="160"/>
    </row>
    <row r="18" spans="1:19" ht="18" customHeight="1" x14ac:dyDescent="0.15">
      <c r="A18" s="84"/>
      <c r="B18" s="161"/>
      <c r="C18" s="162"/>
      <c r="D18" s="162"/>
      <c r="E18" s="162"/>
      <c r="F18" s="162"/>
      <c r="G18" s="162"/>
      <c r="H18" s="162"/>
      <c r="I18" s="162"/>
      <c r="J18" s="162"/>
      <c r="K18" s="162"/>
      <c r="L18" s="162"/>
      <c r="M18" s="162"/>
      <c r="N18" s="162"/>
      <c r="O18" s="162"/>
      <c r="P18" s="162"/>
      <c r="Q18" s="162"/>
      <c r="R18" s="162"/>
      <c r="S18" s="163"/>
    </row>
    <row r="19" spans="1:19" ht="7.5" customHeight="1" x14ac:dyDescent="0.15">
      <c r="A19" s="84"/>
      <c r="B19" s="85"/>
      <c r="C19" s="85"/>
      <c r="D19" s="85"/>
      <c r="E19" s="85"/>
      <c r="F19" s="85"/>
      <c r="G19" s="85"/>
      <c r="H19" s="85"/>
      <c r="I19" s="85"/>
      <c r="J19" s="85"/>
      <c r="K19" s="85"/>
      <c r="L19" s="85"/>
      <c r="M19" s="85"/>
      <c r="N19" s="85"/>
      <c r="O19" s="85"/>
      <c r="P19" s="85"/>
      <c r="Q19" s="85"/>
      <c r="R19" s="85"/>
      <c r="S19" s="85"/>
    </row>
    <row r="20" spans="1:19" ht="19.899999999999999" customHeight="1" x14ac:dyDescent="0.15">
      <c r="A20" s="84"/>
      <c r="B20" s="84" t="s">
        <v>113</v>
      </c>
      <c r="C20" s="103">
        <v>3</v>
      </c>
      <c r="D20" s="105"/>
      <c r="E20" s="38" t="s">
        <v>96</v>
      </c>
      <c r="F20" s="84"/>
      <c r="G20" s="10"/>
      <c r="H20" s="85"/>
      <c r="I20" s="85"/>
      <c r="J20" s="83" t="s">
        <v>122</v>
      </c>
      <c r="K20" s="151" t="s">
        <v>111</v>
      </c>
      <c r="L20" s="152"/>
      <c r="M20" s="152"/>
      <c r="N20" s="152"/>
      <c r="O20" s="152"/>
      <c r="P20" s="152"/>
      <c r="Q20" s="152"/>
      <c r="R20" s="152"/>
      <c r="S20" s="153"/>
    </row>
    <row r="21" spans="1:19" ht="7.5" customHeight="1" x14ac:dyDescent="0.15">
      <c r="A21" s="84"/>
      <c r="B21" s="85"/>
      <c r="C21" s="85"/>
      <c r="D21" s="85"/>
      <c r="E21" s="85"/>
      <c r="F21" s="85"/>
      <c r="G21" s="85"/>
      <c r="H21" s="85"/>
      <c r="I21" s="85"/>
      <c r="J21" s="85"/>
      <c r="K21" s="85"/>
      <c r="L21" s="85"/>
      <c r="M21" s="85"/>
      <c r="N21" s="85"/>
      <c r="O21" s="85"/>
      <c r="P21" s="85"/>
      <c r="Q21" s="85"/>
      <c r="R21" s="85"/>
      <c r="S21" s="85"/>
    </row>
    <row r="22" spans="1:19" ht="18" customHeight="1" x14ac:dyDescent="0.15">
      <c r="A22" s="109" t="s">
        <v>114</v>
      </c>
      <c r="B22" s="109"/>
      <c r="C22" s="109"/>
      <c r="D22" s="109"/>
      <c r="E22" s="109"/>
      <c r="F22" s="109"/>
      <c r="G22" s="109"/>
      <c r="H22" s="109"/>
      <c r="I22" s="109"/>
      <c r="J22" s="109"/>
      <c r="K22" s="109"/>
      <c r="L22" s="109"/>
      <c r="M22" s="109"/>
      <c r="N22" s="109"/>
      <c r="O22" s="109"/>
      <c r="P22" s="109"/>
      <c r="Q22" s="109"/>
      <c r="R22" s="109"/>
      <c r="S22" s="109"/>
    </row>
    <row r="23" spans="1:19" ht="18" customHeight="1" x14ac:dyDescent="0.15">
      <c r="A23" s="109"/>
      <c r="B23" s="109"/>
      <c r="C23" s="109"/>
      <c r="D23" s="109"/>
      <c r="E23" s="109"/>
      <c r="F23" s="109"/>
      <c r="G23" s="109"/>
      <c r="H23" s="109"/>
      <c r="I23" s="109"/>
      <c r="J23" s="109"/>
      <c r="K23" s="109"/>
      <c r="L23" s="109"/>
      <c r="M23" s="109"/>
      <c r="N23" s="109"/>
      <c r="O23" s="109"/>
      <c r="P23" s="109"/>
      <c r="Q23" s="109"/>
      <c r="R23" s="109"/>
      <c r="S23" s="109"/>
    </row>
    <row r="24" spans="1:19" ht="18" customHeight="1" x14ac:dyDescent="0.15">
      <c r="A24" s="84"/>
      <c r="B24" s="103" t="s">
        <v>54</v>
      </c>
      <c r="C24" s="104"/>
      <c r="D24" s="104"/>
      <c r="E24" s="105"/>
      <c r="F24" s="57" t="s">
        <v>81</v>
      </c>
      <c r="G24" s="56" t="s">
        <v>85</v>
      </c>
      <c r="H24" s="21" t="s">
        <v>57</v>
      </c>
      <c r="I24" s="21" t="s">
        <v>60</v>
      </c>
      <c r="J24" s="103" t="s">
        <v>54</v>
      </c>
      <c r="K24" s="104"/>
      <c r="L24" s="104"/>
      <c r="M24" s="104"/>
      <c r="N24" s="104"/>
      <c r="O24" s="105"/>
      <c r="P24" s="57" t="s">
        <v>81</v>
      </c>
      <c r="Q24" s="56" t="s">
        <v>85</v>
      </c>
      <c r="R24" s="21" t="s">
        <v>57</v>
      </c>
      <c r="S24" s="21" t="s">
        <v>60</v>
      </c>
    </row>
    <row r="25" spans="1:19" ht="18" customHeight="1" x14ac:dyDescent="0.15">
      <c r="A25" s="84"/>
      <c r="B25" s="97" t="s">
        <v>130</v>
      </c>
      <c r="C25" s="98"/>
      <c r="D25" s="98"/>
      <c r="E25" s="99"/>
      <c r="F25" s="22">
        <v>2</v>
      </c>
      <c r="G25" s="22" t="s">
        <v>141</v>
      </c>
      <c r="H25" s="22" t="s">
        <v>141</v>
      </c>
      <c r="I25" s="22" t="s">
        <v>141</v>
      </c>
      <c r="J25" s="97"/>
      <c r="K25" s="98"/>
      <c r="L25" s="98"/>
      <c r="M25" s="98"/>
      <c r="N25" s="98"/>
      <c r="O25" s="99"/>
      <c r="P25" s="22"/>
      <c r="Q25" s="22"/>
      <c r="R25" s="22"/>
      <c r="S25" s="22"/>
    </row>
    <row r="26" spans="1:19" ht="18" customHeight="1" x14ac:dyDescent="0.15">
      <c r="A26" s="84"/>
      <c r="B26" s="100"/>
      <c r="C26" s="101"/>
      <c r="D26" s="101"/>
      <c r="E26" s="102"/>
      <c r="F26" s="23"/>
      <c r="G26" s="23"/>
      <c r="H26" s="23"/>
      <c r="I26" s="23"/>
      <c r="J26" s="100"/>
      <c r="K26" s="101"/>
      <c r="L26" s="101"/>
      <c r="M26" s="101"/>
      <c r="N26" s="101"/>
      <c r="O26" s="102"/>
      <c r="P26" s="23"/>
      <c r="Q26" s="23"/>
      <c r="R26" s="23"/>
      <c r="S26" s="23"/>
    </row>
    <row r="27" spans="1:19" ht="18" customHeight="1" x14ac:dyDescent="0.15">
      <c r="A27" s="84"/>
      <c r="B27" s="100"/>
      <c r="C27" s="101"/>
      <c r="D27" s="101"/>
      <c r="E27" s="102"/>
      <c r="F27" s="23"/>
      <c r="G27" s="23"/>
      <c r="H27" s="23"/>
      <c r="I27" s="23"/>
      <c r="J27" s="100"/>
      <c r="K27" s="101"/>
      <c r="L27" s="101"/>
      <c r="M27" s="101"/>
      <c r="N27" s="101"/>
      <c r="O27" s="102"/>
      <c r="P27" s="23"/>
      <c r="Q27" s="23"/>
      <c r="R27" s="23"/>
      <c r="S27" s="23"/>
    </row>
    <row r="28" spans="1:19" ht="18" customHeight="1" x14ac:dyDescent="0.15">
      <c r="A28" s="84"/>
      <c r="B28" s="100"/>
      <c r="C28" s="101"/>
      <c r="D28" s="101"/>
      <c r="E28" s="102"/>
      <c r="F28" s="23"/>
      <c r="G28" s="23"/>
      <c r="H28" s="23"/>
      <c r="I28" s="23"/>
      <c r="J28" s="100"/>
      <c r="K28" s="101"/>
      <c r="L28" s="101"/>
      <c r="M28" s="101"/>
      <c r="N28" s="101"/>
      <c r="O28" s="102"/>
      <c r="P28" s="23"/>
      <c r="Q28" s="23"/>
      <c r="R28" s="23"/>
      <c r="S28" s="23"/>
    </row>
    <row r="29" spans="1:19" ht="18" customHeight="1" x14ac:dyDescent="0.15">
      <c r="A29" s="84"/>
      <c r="B29" s="100"/>
      <c r="C29" s="101"/>
      <c r="D29" s="101"/>
      <c r="E29" s="102"/>
      <c r="F29" s="23"/>
      <c r="G29" s="23"/>
      <c r="H29" s="23"/>
      <c r="I29" s="23"/>
      <c r="J29" s="100"/>
      <c r="K29" s="101"/>
      <c r="L29" s="101"/>
      <c r="M29" s="101"/>
      <c r="N29" s="101"/>
      <c r="O29" s="102"/>
      <c r="P29" s="23"/>
      <c r="Q29" s="23"/>
      <c r="R29" s="23"/>
      <c r="S29" s="23"/>
    </row>
    <row r="30" spans="1:19" ht="18" customHeight="1" x14ac:dyDescent="0.15">
      <c r="A30" s="85"/>
      <c r="B30" s="100"/>
      <c r="C30" s="101"/>
      <c r="D30" s="101"/>
      <c r="E30" s="102"/>
      <c r="F30" s="23"/>
      <c r="G30" s="23"/>
      <c r="H30" s="23"/>
      <c r="I30" s="23"/>
      <c r="J30" s="100"/>
      <c r="K30" s="101"/>
      <c r="L30" s="101"/>
      <c r="M30" s="101"/>
      <c r="N30" s="101"/>
      <c r="O30" s="102"/>
      <c r="P30" s="23"/>
      <c r="Q30" s="23"/>
      <c r="R30" s="23"/>
      <c r="S30" s="23"/>
    </row>
    <row r="31" spans="1:19" ht="18" customHeight="1" x14ac:dyDescent="0.15">
      <c r="A31" s="85"/>
      <c r="B31" s="106"/>
      <c r="C31" s="107"/>
      <c r="D31" s="107"/>
      <c r="E31" s="108"/>
      <c r="F31" s="24"/>
      <c r="G31" s="24"/>
      <c r="H31" s="25"/>
      <c r="I31" s="25"/>
      <c r="J31" s="106"/>
      <c r="K31" s="107"/>
      <c r="L31" s="107"/>
      <c r="M31" s="107"/>
      <c r="N31" s="107"/>
      <c r="O31" s="108"/>
      <c r="P31" s="24"/>
      <c r="Q31" s="24"/>
      <c r="R31" s="25"/>
      <c r="S31" s="25"/>
    </row>
    <row r="32" spans="1:19" ht="7.5" customHeight="1" x14ac:dyDescent="0.15">
      <c r="A32" s="85"/>
      <c r="B32" s="6"/>
      <c r="C32" s="6"/>
      <c r="D32" s="85"/>
      <c r="E32" s="85"/>
      <c r="F32" s="85"/>
      <c r="G32" s="85"/>
      <c r="H32" s="6"/>
      <c r="I32" s="6"/>
      <c r="J32" s="6"/>
      <c r="K32" s="6"/>
      <c r="L32" s="6"/>
      <c r="M32" s="6"/>
      <c r="N32" s="6"/>
      <c r="O32" s="6"/>
      <c r="P32" s="6"/>
      <c r="Q32" s="6"/>
      <c r="R32" s="6"/>
      <c r="S32" s="85"/>
    </row>
    <row r="33" spans="1:19" ht="18" customHeight="1" x14ac:dyDescent="0.15">
      <c r="A33" s="109" t="s">
        <v>115</v>
      </c>
      <c r="B33" s="109"/>
      <c r="C33" s="109"/>
      <c r="D33" s="109"/>
      <c r="E33" s="109"/>
      <c r="F33" s="109"/>
      <c r="G33" s="109"/>
      <c r="H33" s="109"/>
      <c r="I33" s="109"/>
      <c r="J33" s="109"/>
      <c r="K33" s="109"/>
      <c r="L33" s="109"/>
      <c r="M33" s="109"/>
      <c r="N33" s="109"/>
      <c r="O33" s="109"/>
      <c r="P33" s="109"/>
      <c r="Q33" s="109"/>
      <c r="R33" s="109"/>
      <c r="S33" s="109"/>
    </row>
    <row r="34" spans="1:19" ht="18" customHeight="1" x14ac:dyDescent="0.15">
      <c r="A34" s="109"/>
      <c r="B34" s="109"/>
      <c r="C34" s="109"/>
      <c r="D34" s="109"/>
      <c r="E34" s="109"/>
      <c r="F34" s="109"/>
      <c r="G34" s="109"/>
      <c r="H34" s="109"/>
      <c r="I34" s="109"/>
      <c r="J34" s="109"/>
      <c r="K34" s="109"/>
      <c r="L34" s="109"/>
      <c r="M34" s="109"/>
      <c r="N34" s="109"/>
      <c r="O34" s="109"/>
      <c r="P34" s="109"/>
      <c r="Q34" s="109"/>
      <c r="R34" s="109"/>
      <c r="S34" s="109"/>
    </row>
    <row r="35" spans="1:19" ht="18" customHeight="1" x14ac:dyDescent="0.15">
      <c r="A35" s="84"/>
      <c r="B35" s="103" t="s">
        <v>54</v>
      </c>
      <c r="C35" s="104"/>
      <c r="D35" s="104"/>
      <c r="E35" s="105"/>
      <c r="F35" s="57" t="s">
        <v>81</v>
      </c>
      <c r="G35" s="56" t="s">
        <v>85</v>
      </c>
      <c r="H35" s="21" t="s">
        <v>72</v>
      </c>
      <c r="I35" s="21" t="s">
        <v>73</v>
      </c>
      <c r="J35" s="103" t="s">
        <v>54</v>
      </c>
      <c r="K35" s="104"/>
      <c r="L35" s="104"/>
      <c r="M35" s="104"/>
      <c r="N35" s="104"/>
      <c r="O35" s="105"/>
      <c r="P35" s="57" t="s">
        <v>81</v>
      </c>
      <c r="Q35" s="56" t="s">
        <v>85</v>
      </c>
      <c r="R35" s="21" t="s">
        <v>72</v>
      </c>
      <c r="S35" s="21" t="s">
        <v>73</v>
      </c>
    </row>
    <row r="36" spans="1:19" ht="18" customHeight="1" x14ac:dyDescent="0.15">
      <c r="A36" s="84"/>
      <c r="B36" s="97" t="s">
        <v>130</v>
      </c>
      <c r="C36" s="98"/>
      <c r="D36" s="98"/>
      <c r="E36" s="99"/>
      <c r="F36" s="22">
        <v>2</v>
      </c>
      <c r="G36" s="22" t="s">
        <v>141</v>
      </c>
      <c r="H36" s="22" t="s">
        <v>141</v>
      </c>
      <c r="I36" s="22" t="s">
        <v>141</v>
      </c>
      <c r="J36" s="97"/>
      <c r="K36" s="98"/>
      <c r="L36" s="98"/>
      <c r="M36" s="98"/>
      <c r="N36" s="98"/>
      <c r="O36" s="99"/>
      <c r="P36" s="22"/>
      <c r="Q36" s="22"/>
      <c r="R36" s="22"/>
      <c r="S36" s="22"/>
    </row>
    <row r="37" spans="1:19" ht="18" customHeight="1" x14ac:dyDescent="0.15">
      <c r="A37" s="84"/>
      <c r="B37" s="100"/>
      <c r="C37" s="101"/>
      <c r="D37" s="101"/>
      <c r="E37" s="102"/>
      <c r="F37" s="23"/>
      <c r="G37" s="23"/>
      <c r="H37" s="23"/>
      <c r="I37" s="23"/>
      <c r="J37" s="100"/>
      <c r="K37" s="101"/>
      <c r="L37" s="101"/>
      <c r="M37" s="101"/>
      <c r="N37" s="101"/>
      <c r="O37" s="102"/>
      <c r="P37" s="23"/>
      <c r="Q37" s="23"/>
      <c r="R37" s="23"/>
      <c r="S37" s="23"/>
    </row>
    <row r="38" spans="1:19" ht="18" customHeight="1" x14ac:dyDescent="0.15">
      <c r="A38" s="84"/>
      <c r="B38" s="100"/>
      <c r="C38" s="101"/>
      <c r="D38" s="101"/>
      <c r="E38" s="102"/>
      <c r="F38" s="23"/>
      <c r="G38" s="23"/>
      <c r="H38" s="23"/>
      <c r="I38" s="23"/>
      <c r="J38" s="100"/>
      <c r="K38" s="101"/>
      <c r="L38" s="101"/>
      <c r="M38" s="101"/>
      <c r="N38" s="101"/>
      <c r="O38" s="102"/>
      <c r="P38" s="23"/>
      <c r="Q38" s="23"/>
      <c r="R38" s="23"/>
      <c r="S38" s="23"/>
    </row>
    <row r="39" spans="1:19" ht="18" customHeight="1" x14ac:dyDescent="0.15">
      <c r="A39" s="84"/>
      <c r="B39" s="100"/>
      <c r="C39" s="101"/>
      <c r="D39" s="101"/>
      <c r="E39" s="102"/>
      <c r="F39" s="23"/>
      <c r="G39" s="23"/>
      <c r="H39" s="23"/>
      <c r="I39" s="23"/>
      <c r="J39" s="100"/>
      <c r="K39" s="101"/>
      <c r="L39" s="101"/>
      <c r="M39" s="101"/>
      <c r="N39" s="101"/>
      <c r="O39" s="102"/>
      <c r="P39" s="23"/>
      <c r="Q39" s="23"/>
      <c r="R39" s="23"/>
      <c r="S39" s="23"/>
    </row>
    <row r="40" spans="1:19" ht="18" customHeight="1" x14ac:dyDescent="0.15">
      <c r="A40" s="84"/>
      <c r="B40" s="100"/>
      <c r="C40" s="101"/>
      <c r="D40" s="101"/>
      <c r="E40" s="102"/>
      <c r="F40" s="23"/>
      <c r="G40" s="23"/>
      <c r="H40" s="23"/>
      <c r="I40" s="23"/>
      <c r="J40" s="100"/>
      <c r="K40" s="101"/>
      <c r="L40" s="101"/>
      <c r="M40" s="101"/>
      <c r="N40" s="101"/>
      <c r="O40" s="102"/>
      <c r="P40" s="23"/>
      <c r="Q40" s="23"/>
      <c r="R40" s="23"/>
      <c r="S40" s="23"/>
    </row>
    <row r="41" spans="1:19" ht="18" customHeight="1" x14ac:dyDescent="0.15">
      <c r="A41" s="84"/>
      <c r="B41" s="100"/>
      <c r="C41" s="101"/>
      <c r="D41" s="101"/>
      <c r="E41" s="102"/>
      <c r="F41" s="23"/>
      <c r="G41" s="23"/>
      <c r="H41" s="23"/>
      <c r="I41" s="23"/>
      <c r="J41" s="100"/>
      <c r="K41" s="101"/>
      <c r="L41" s="101"/>
      <c r="M41" s="101"/>
      <c r="N41" s="101"/>
      <c r="O41" s="102"/>
      <c r="P41" s="23"/>
      <c r="Q41" s="23"/>
      <c r="R41" s="23"/>
      <c r="S41" s="23"/>
    </row>
    <row r="42" spans="1:19" ht="18" customHeight="1" x14ac:dyDescent="0.15">
      <c r="A42" s="84"/>
      <c r="B42" s="106"/>
      <c r="C42" s="107"/>
      <c r="D42" s="107"/>
      <c r="E42" s="108"/>
      <c r="F42" s="24"/>
      <c r="G42" s="24"/>
      <c r="H42" s="25"/>
      <c r="I42" s="25"/>
      <c r="J42" s="106"/>
      <c r="K42" s="107"/>
      <c r="L42" s="107"/>
      <c r="M42" s="107"/>
      <c r="N42" s="107"/>
      <c r="O42" s="108"/>
      <c r="P42" s="24"/>
      <c r="Q42" s="24"/>
      <c r="R42" s="25"/>
      <c r="S42" s="25"/>
    </row>
    <row r="43" spans="1:19" ht="7.5" customHeight="1" x14ac:dyDescent="0.15">
      <c r="A43" s="85"/>
      <c r="B43" s="6"/>
      <c r="C43" s="6"/>
      <c r="D43" s="85"/>
      <c r="E43" s="85"/>
      <c r="F43" s="85"/>
      <c r="G43" s="85"/>
      <c r="H43" s="6"/>
      <c r="I43" s="6"/>
      <c r="J43" s="6"/>
      <c r="K43" s="6"/>
      <c r="L43" s="6"/>
      <c r="M43" s="6"/>
      <c r="N43" s="6"/>
      <c r="O43" s="6"/>
      <c r="P43" s="6"/>
      <c r="Q43" s="6"/>
      <c r="R43" s="6"/>
      <c r="S43" s="85"/>
    </row>
    <row r="44" spans="1:19" ht="18" customHeight="1" x14ac:dyDescent="0.15">
      <c r="A44" s="109" t="s">
        <v>116</v>
      </c>
      <c r="B44" s="109"/>
      <c r="C44" s="109"/>
      <c r="D44" s="109"/>
      <c r="E44" s="109"/>
      <c r="F44" s="109"/>
      <c r="G44" s="109"/>
      <c r="H44" s="109"/>
      <c r="I44" s="109"/>
      <c r="J44" s="109"/>
      <c r="K44" s="109"/>
      <c r="L44" s="109"/>
      <c r="M44" s="109"/>
      <c r="N44" s="109"/>
      <c r="O44" s="109"/>
      <c r="P44" s="109"/>
      <c r="Q44" s="109"/>
      <c r="R44" s="109"/>
      <c r="S44" s="109"/>
    </row>
    <row r="45" spans="1:19" ht="18" customHeight="1" x14ac:dyDescent="0.15">
      <c r="A45" s="109"/>
      <c r="B45" s="109"/>
      <c r="C45" s="109"/>
      <c r="D45" s="109"/>
      <c r="E45" s="109"/>
      <c r="F45" s="109"/>
      <c r="G45" s="109"/>
      <c r="H45" s="109"/>
      <c r="I45" s="109"/>
      <c r="J45" s="109"/>
      <c r="K45" s="109"/>
      <c r="L45" s="109"/>
      <c r="M45" s="109"/>
      <c r="N45" s="109"/>
      <c r="O45" s="109"/>
      <c r="P45" s="109"/>
      <c r="Q45" s="109"/>
      <c r="R45" s="109"/>
      <c r="S45" s="109"/>
    </row>
    <row r="46" spans="1:19" ht="18" customHeight="1" x14ac:dyDescent="0.15">
      <c r="A46" s="84"/>
      <c r="B46" s="103" t="s">
        <v>54</v>
      </c>
      <c r="C46" s="104"/>
      <c r="D46" s="104"/>
      <c r="E46" s="105"/>
      <c r="F46" s="57" t="s">
        <v>81</v>
      </c>
      <c r="G46" s="56" t="s">
        <v>85</v>
      </c>
      <c r="H46" s="21" t="s">
        <v>74</v>
      </c>
      <c r="I46" s="21" t="s">
        <v>75</v>
      </c>
      <c r="J46" s="103" t="s">
        <v>54</v>
      </c>
      <c r="K46" s="104"/>
      <c r="L46" s="104"/>
      <c r="M46" s="104"/>
      <c r="N46" s="104"/>
      <c r="O46" s="105"/>
      <c r="P46" s="57" t="s">
        <v>81</v>
      </c>
      <c r="Q46" s="56" t="s">
        <v>85</v>
      </c>
      <c r="R46" s="21" t="s">
        <v>74</v>
      </c>
      <c r="S46" s="21" t="s">
        <v>75</v>
      </c>
    </row>
    <row r="47" spans="1:19" ht="18" customHeight="1" x14ac:dyDescent="0.15">
      <c r="A47" s="85"/>
      <c r="B47" s="97" t="s">
        <v>130</v>
      </c>
      <c r="C47" s="98"/>
      <c r="D47" s="98"/>
      <c r="E47" s="99"/>
      <c r="F47" s="22">
        <v>2</v>
      </c>
      <c r="G47" s="22" t="s">
        <v>141</v>
      </c>
      <c r="H47" s="22" t="s">
        <v>141</v>
      </c>
      <c r="I47" s="22" t="s">
        <v>141</v>
      </c>
      <c r="J47" s="97"/>
      <c r="K47" s="98"/>
      <c r="L47" s="98"/>
      <c r="M47" s="98"/>
      <c r="N47" s="98"/>
      <c r="O47" s="99"/>
      <c r="P47" s="22"/>
      <c r="Q47" s="22"/>
      <c r="R47" s="22"/>
      <c r="S47" s="22"/>
    </row>
    <row r="48" spans="1:19" ht="18" customHeight="1" x14ac:dyDescent="0.15">
      <c r="A48" s="85"/>
      <c r="B48" s="100"/>
      <c r="C48" s="101"/>
      <c r="D48" s="101"/>
      <c r="E48" s="102"/>
      <c r="F48" s="23"/>
      <c r="G48" s="23"/>
      <c r="H48" s="23"/>
      <c r="I48" s="23"/>
      <c r="J48" s="100"/>
      <c r="K48" s="101"/>
      <c r="L48" s="101"/>
      <c r="M48" s="101"/>
      <c r="N48" s="101"/>
      <c r="O48" s="102"/>
      <c r="P48" s="23"/>
      <c r="Q48" s="23"/>
      <c r="R48" s="23"/>
      <c r="S48" s="23"/>
    </row>
    <row r="49" spans="1:19" ht="18" customHeight="1" x14ac:dyDescent="0.15">
      <c r="A49" s="85"/>
      <c r="B49" s="100"/>
      <c r="C49" s="101"/>
      <c r="D49" s="101"/>
      <c r="E49" s="102"/>
      <c r="F49" s="23"/>
      <c r="G49" s="23"/>
      <c r="H49" s="23"/>
      <c r="I49" s="23"/>
      <c r="J49" s="100"/>
      <c r="K49" s="101"/>
      <c r="L49" s="101"/>
      <c r="M49" s="101"/>
      <c r="N49" s="101"/>
      <c r="O49" s="102"/>
      <c r="P49" s="23"/>
      <c r="Q49" s="23"/>
      <c r="R49" s="23"/>
      <c r="S49" s="23"/>
    </row>
    <row r="50" spans="1:19" ht="18" customHeight="1" x14ac:dyDescent="0.15">
      <c r="A50" s="85"/>
      <c r="B50" s="100"/>
      <c r="C50" s="101"/>
      <c r="D50" s="101"/>
      <c r="E50" s="102"/>
      <c r="F50" s="23"/>
      <c r="G50" s="23"/>
      <c r="H50" s="23"/>
      <c r="I50" s="23"/>
      <c r="J50" s="100"/>
      <c r="K50" s="101"/>
      <c r="L50" s="101"/>
      <c r="M50" s="101"/>
      <c r="N50" s="101"/>
      <c r="O50" s="102"/>
      <c r="P50" s="23"/>
      <c r="Q50" s="23"/>
      <c r="R50" s="23"/>
      <c r="S50" s="23"/>
    </row>
    <row r="51" spans="1:19" ht="18" customHeight="1" x14ac:dyDescent="0.15">
      <c r="A51" s="85"/>
      <c r="B51" s="100"/>
      <c r="C51" s="101"/>
      <c r="D51" s="101"/>
      <c r="E51" s="102"/>
      <c r="F51" s="23"/>
      <c r="G51" s="23"/>
      <c r="H51" s="23"/>
      <c r="I51" s="23"/>
      <c r="J51" s="100"/>
      <c r="K51" s="101"/>
      <c r="L51" s="101"/>
      <c r="M51" s="101"/>
      <c r="N51" s="101"/>
      <c r="O51" s="102"/>
      <c r="P51" s="23"/>
      <c r="Q51" s="23"/>
      <c r="R51" s="23"/>
      <c r="S51" s="23"/>
    </row>
    <row r="52" spans="1:19" ht="18" customHeight="1" x14ac:dyDescent="0.15">
      <c r="A52" s="85"/>
      <c r="B52" s="100"/>
      <c r="C52" s="101"/>
      <c r="D52" s="101"/>
      <c r="E52" s="102"/>
      <c r="F52" s="23"/>
      <c r="G52" s="23"/>
      <c r="H52" s="23"/>
      <c r="I52" s="23"/>
      <c r="J52" s="100"/>
      <c r="K52" s="101"/>
      <c r="L52" s="101"/>
      <c r="M52" s="101"/>
      <c r="N52" s="101"/>
      <c r="O52" s="102"/>
      <c r="P52" s="23"/>
      <c r="Q52" s="23"/>
      <c r="R52" s="23"/>
      <c r="S52" s="23"/>
    </row>
    <row r="53" spans="1:19" ht="18" customHeight="1" x14ac:dyDescent="0.15">
      <c r="A53" s="85"/>
      <c r="B53" s="106"/>
      <c r="C53" s="107"/>
      <c r="D53" s="107"/>
      <c r="E53" s="108"/>
      <c r="F53" s="24"/>
      <c r="G53" s="24"/>
      <c r="H53" s="25"/>
      <c r="I53" s="25"/>
      <c r="J53" s="106"/>
      <c r="K53" s="107"/>
      <c r="L53" s="107"/>
      <c r="M53" s="107"/>
      <c r="N53" s="107"/>
      <c r="O53" s="108"/>
      <c r="P53" s="24"/>
      <c r="Q53" s="24"/>
      <c r="R53" s="25"/>
      <c r="S53" s="25"/>
    </row>
    <row r="54" spans="1:19" ht="7.5" customHeight="1" x14ac:dyDescent="0.15">
      <c r="A54" s="84"/>
      <c r="B54" s="14"/>
      <c r="C54" s="14"/>
      <c r="D54" s="14"/>
      <c r="E54" s="14"/>
      <c r="F54" s="14"/>
      <c r="G54" s="14"/>
      <c r="H54" s="14"/>
      <c r="I54" s="14"/>
      <c r="J54" s="14"/>
      <c r="K54" s="14"/>
      <c r="L54" s="14"/>
      <c r="M54" s="14"/>
      <c r="N54" s="14"/>
      <c r="O54" s="14"/>
      <c r="P54" s="14"/>
      <c r="Q54" s="14"/>
      <c r="R54" s="14"/>
      <c r="S54" s="84"/>
    </row>
    <row r="55" spans="1:19" ht="18" customHeight="1" x14ac:dyDescent="0.15">
      <c r="A55" s="109" t="s">
        <v>117</v>
      </c>
      <c r="B55" s="109"/>
      <c r="C55" s="109"/>
      <c r="D55" s="109"/>
      <c r="E55" s="109"/>
      <c r="F55" s="109"/>
      <c r="G55" s="109"/>
      <c r="H55" s="109"/>
      <c r="I55" s="109"/>
      <c r="J55" s="109"/>
      <c r="K55" s="109"/>
      <c r="L55" s="109"/>
      <c r="M55" s="109"/>
      <c r="N55" s="109"/>
      <c r="O55" s="109"/>
      <c r="P55" s="109"/>
      <c r="Q55" s="109"/>
      <c r="R55" s="109"/>
      <c r="S55" s="109"/>
    </row>
    <row r="56" spans="1:19" ht="18" customHeight="1" x14ac:dyDescent="0.15">
      <c r="A56" s="109"/>
      <c r="B56" s="109"/>
      <c r="C56" s="109"/>
      <c r="D56" s="109"/>
      <c r="E56" s="109"/>
      <c r="F56" s="109"/>
      <c r="G56" s="109"/>
      <c r="H56" s="109"/>
      <c r="I56" s="109"/>
      <c r="J56" s="109"/>
      <c r="K56" s="109"/>
      <c r="L56" s="109"/>
      <c r="M56" s="109"/>
      <c r="N56" s="109"/>
      <c r="O56" s="109"/>
      <c r="P56" s="109"/>
      <c r="Q56" s="109"/>
      <c r="R56" s="109"/>
      <c r="S56" s="109"/>
    </row>
    <row r="57" spans="1:19" ht="18" customHeight="1" x14ac:dyDescent="0.15">
      <c r="A57" s="84"/>
      <c r="B57" s="103" t="s">
        <v>54</v>
      </c>
      <c r="C57" s="104"/>
      <c r="D57" s="104"/>
      <c r="E57" s="105"/>
      <c r="F57" s="57" t="s">
        <v>81</v>
      </c>
      <c r="G57" s="56" t="s">
        <v>85</v>
      </c>
      <c r="H57" s="21" t="s">
        <v>59</v>
      </c>
      <c r="I57" s="21" t="s">
        <v>61</v>
      </c>
      <c r="J57" s="103" t="s">
        <v>54</v>
      </c>
      <c r="K57" s="104"/>
      <c r="L57" s="104"/>
      <c r="M57" s="104"/>
      <c r="N57" s="104"/>
      <c r="O57" s="105"/>
      <c r="P57" s="57" t="s">
        <v>81</v>
      </c>
      <c r="Q57" s="56" t="s">
        <v>85</v>
      </c>
      <c r="R57" s="21" t="s">
        <v>59</v>
      </c>
      <c r="S57" s="21" t="s">
        <v>61</v>
      </c>
    </row>
    <row r="58" spans="1:19" ht="18" customHeight="1" x14ac:dyDescent="0.15">
      <c r="A58" s="85"/>
      <c r="B58" s="97" t="s">
        <v>130</v>
      </c>
      <c r="C58" s="98"/>
      <c r="D58" s="98"/>
      <c r="E58" s="99"/>
      <c r="F58" s="22">
        <v>2</v>
      </c>
      <c r="G58" s="22" t="s">
        <v>141</v>
      </c>
      <c r="H58" s="22" t="s">
        <v>141</v>
      </c>
      <c r="I58" s="22" t="s">
        <v>141</v>
      </c>
      <c r="J58" s="97"/>
      <c r="K58" s="98"/>
      <c r="L58" s="98"/>
      <c r="M58" s="98"/>
      <c r="N58" s="98"/>
      <c r="O58" s="99"/>
      <c r="P58" s="22"/>
      <c r="Q58" s="22"/>
      <c r="R58" s="22"/>
      <c r="S58" s="22"/>
    </row>
    <row r="59" spans="1:19" ht="18" customHeight="1" x14ac:dyDescent="0.15">
      <c r="A59" s="85"/>
      <c r="B59" s="100"/>
      <c r="C59" s="101"/>
      <c r="D59" s="101"/>
      <c r="E59" s="102"/>
      <c r="F59" s="23"/>
      <c r="G59" s="23"/>
      <c r="H59" s="23"/>
      <c r="I59" s="23"/>
      <c r="J59" s="100"/>
      <c r="K59" s="101"/>
      <c r="L59" s="101"/>
      <c r="M59" s="101"/>
      <c r="N59" s="101"/>
      <c r="O59" s="102"/>
      <c r="P59" s="23"/>
      <c r="Q59" s="23"/>
      <c r="R59" s="23"/>
      <c r="S59" s="23"/>
    </row>
    <row r="60" spans="1:19" ht="18" customHeight="1" x14ac:dyDescent="0.15">
      <c r="A60" s="85"/>
      <c r="B60" s="100"/>
      <c r="C60" s="101"/>
      <c r="D60" s="101"/>
      <c r="E60" s="102"/>
      <c r="F60" s="23"/>
      <c r="G60" s="23"/>
      <c r="H60" s="23"/>
      <c r="I60" s="23"/>
      <c r="J60" s="100"/>
      <c r="K60" s="101"/>
      <c r="L60" s="101"/>
      <c r="M60" s="101"/>
      <c r="N60" s="101"/>
      <c r="O60" s="102"/>
      <c r="P60" s="23"/>
      <c r="Q60" s="23"/>
      <c r="R60" s="23"/>
      <c r="S60" s="23"/>
    </row>
    <row r="61" spans="1:19" ht="18" customHeight="1" x14ac:dyDescent="0.15">
      <c r="A61" s="85"/>
      <c r="B61" s="100"/>
      <c r="C61" s="101"/>
      <c r="D61" s="101"/>
      <c r="E61" s="102"/>
      <c r="F61" s="23"/>
      <c r="G61" s="23"/>
      <c r="H61" s="23"/>
      <c r="I61" s="23"/>
      <c r="J61" s="100"/>
      <c r="K61" s="101"/>
      <c r="L61" s="101"/>
      <c r="M61" s="101"/>
      <c r="N61" s="101"/>
      <c r="O61" s="102"/>
      <c r="P61" s="23"/>
      <c r="Q61" s="23"/>
      <c r="R61" s="23"/>
      <c r="S61" s="23"/>
    </row>
    <row r="62" spans="1:19" ht="18" customHeight="1" x14ac:dyDescent="0.15">
      <c r="A62" s="85"/>
      <c r="B62" s="100"/>
      <c r="C62" s="101"/>
      <c r="D62" s="101"/>
      <c r="E62" s="102"/>
      <c r="F62" s="23"/>
      <c r="G62" s="23"/>
      <c r="H62" s="23"/>
      <c r="I62" s="23"/>
      <c r="J62" s="100"/>
      <c r="K62" s="101"/>
      <c r="L62" s="101"/>
      <c r="M62" s="101"/>
      <c r="N62" s="101"/>
      <c r="O62" s="102"/>
      <c r="P62" s="23"/>
      <c r="Q62" s="23"/>
      <c r="R62" s="23"/>
      <c r="S62" s="23"/>
    </row>
    <row r="63" spans="1:19" ht="18" customHeight="1" x14ac:dyDescent="0.15">
      <c r="A63" s="85"/>
      <c r="B63" s="100"/>
      <c r="C63" s="101"/>
      <c r="D63" s="101"/>
      <c r="E63" s="102"/>
      <c r="F63" s="23"/>
      <c r="G63" s="23"/>
      <c r="H63" s="23"/>
      <c r="I63" s="23"/>
      <c r="J63" s="100"/>
      <c r="K63" s="101"/>
      <c r="L63" s="101"/>
      <c r="M63" s="101"/>
      <c r="N63" s="101"/>
      <c r="O63" s="102"/>
      <c r="P63" s="23"/>
      <c r="Q63" s="23"/>
      <c r="R63" s="23"/>
      <c r="S63" s="23"/>
    </row>
    <row r="64" spans="1:19" ht="18" customHeight="1" x14ac:dyDescent="0.15">
      <c r="A64" s="85"/>
      <c r="B64" s="106"/>
      <c r="C64" s="107"/>
      <c r="D64" s="107"/>
      <c r="E64" s="108"/>
      <c r="F64" s="24"/>
      <c r="G64" s="24"/>
      <c r="H64" s="25"/>
      <c r="I64" s="25"/>
      <c r="J64" s="106"/>
      <c r="K64" s="107"/>
      <c r="L64" s="107"/>
      <c r="M64" s="107"/>
      <c r="N64" s="107"/>
      <c r="O64" s="108"/>
      <c r="P64" s="24"/>
      <c r="Q64" s="24"/>
      <c r="R64" s="25"/>
      <c r="S64" s="25"/>
    </row>
    <row r="65" spans="1:19" ht="7.5" customHeight="1" x14ac:dyDescent="0.15">
      <c r="A65" s="84"/>
      <c r="B65" s="14"/>
      <c r="C65" s="14"/>
      <c r="D65" s="14"/>
      <c r="E65" s="14"/>
      <c r="F65" s="14"/>
      <c r="G65" s="14"/>
      <c r="H65" s="14"/>
      <c r="I65" s="14"/>
      <c r="J65" s="14"/>
      <c r="K65" s="14"/>
      <c r="L65" s="14"/>
      <c r="M65" s="14"/>
      <c r="N65" s="14"/>
      <c r="O65" s="14"/>
      <c r="P65" s="14"/>
      <c r="Q65" s="14"/>
      <c r="R65" s="14"/>
      <c r="S65" s="84"/>
    </row>
    <row r="66" spans="1:19" ht="18" customHeight="1" x14ac:dyDescent="0.15">
      <c r="A66" s="109" t="s">
        <v>118</v>
      </c>
      <c r="B66" s="109"/>
      <c r="C66" s="109"/>
      <c r="D66" s="109"/>
      <c r="E66" s="109"/>
      <c r="F66" s="109"/>
      <c r="G66" s="109"/>
      <c r="H66" s="109"/>
      <c r="I66" s="109"/>
      <c r="J66" s="109"/>
      <c r="K66" s="109"/>
      <c r="L66" s="109"/>
      <c r="M66" s="109"/>
      <c r="N66" s="109"/>
      <c r="O66" s="109"/>
      <c r="P66" s="109"/>
      <c r="Q66" s="109"/>
      <c r="R66" s="109"/>
      <c r="S66" s="109"/>
    </row>
    <row r="67" spans="1:19" ht="18" customHeight="1" x14ac:dyDescent="0.15">
      <c r="A67" s="109"/>
      <c r="B67" s="109"/>
      <c r="C67" s="109"/>
      <c r="D67" s="109"/>
      <c r="E67" s="109"/>
      <c r="F67" s="109"/>
      <c r="G67" s="109"/>
      <c r="H67" s="109"/>
      <c r="I67" s="109"/>
      <c r="J67" s="109"/>
      <c r="K67" s="109"/>
      <c r="L67" s="109"/>
      <c r="M67" s="109"/>
      <c r="N67" s="109"/>
      <c r="O67" s="109"/>
      <c r="P67" s="109"/>
      <c r="Q67" s="109"/>
      <c r="R67" s="109"/>
      <c r="S67" s="109"/>
    </row>
    <row r="68" spans="1:19" ht="18" customHeight="1" x14ac:dyDescent="0.15">
      <c r="A68" s="84"/>
      <c r="B68" s="103" t="s">
        <v>54</v>
      </c>
      <c r="C68" s="104"/>
      <c r="D68" s="104"/>
      <c r="E68" s="57" t="s">
        <v>81</v>
      </c>
      <c r="F68" s="56" t="s">
        <v>85</v>
      </c>
      <c r="G68" s="21" t="s">
        <v>102</v>
      </c>
      <c r="H68" s="21" t="s">
        <v>76</v>
      </c>
      <c r="I68" s="21" t="s">
        <v>77</v>
      </c>
      <c r="J68" s="103" t="s">
        <v>54</v>
      </c>
      <c r="K68" s="104"/>
      <c r="L68" s="104"/>
      <c r="M68" s="104"/>
      <c r="N68" s="105"/>
      <c r="O68" s="57" t="s">
        <v>81</v>
      </c>
      <c r="P68" s="56" t="s">
        <v>85</v>
      </c>
      <c r="Q68" s="21" t="s">
        <v>102</v>
      </c>
      <c r="R68" s="21" t="s">
        <v>76</v>
      </c>
      <c r="S68" s="21" t="s">
        <v>77</v>
      </c>
    </row>
    <row r="69" spans="1:19" ht="18" customHeight="1" x14ac:dyDescent="0.15">
      <c r="A69" s="85"/>
      <c r="B69" s="97" t="s">
        <v>142</v>
      </c>
      <c r="C69" s="98"/>
      <c r="D69" s="99"/>
      <c r="E69" s="22">
        <v>2</v>
      </c>
      <c r="F69" s="22" t="s">
        <v>141</v>
      </c>
      <c r="G69" s="22" t="s">
        <v>141</v>
      </c>
      <c r="H69" s="22" t="s">
        <v>141</v>
      </c>
      <c r="I69" s="22" t="s">
        <v>141</v>
      </c>
      <c r="J69" s="97"/>
      <c r="K69" s="98"/>
      <c r="L69" s="98"/>
      <c r="M69" s="98"/>
      <c r="N69" s="99"/>
      <c r="O69" s="22"/>
      <c r="P69" s="22"/>
      <c r="Q69" s="22"/>
      <c r="R69" s="22"/>
      <c r="S69" s="22"/>
    </row>
    <row r="70" spans="1:19" ht="18" customHeight="1" x14ac:dyDescent="0.15">
      <c r="A70" s="85"/>
      <c r="B70" s="100" t="s">
        <v>143</v>
      </c>
      <c r="C70" s="101"/>
      <c r="D70" s="102"/>
      <c r="E70" s="23">
        <v>1</v>
      </c>
      <c r="F70" s="23" t="s">
        <v>141</v>
      </c>
      <c r="G70" s="23"/>
      <c r="H70" s="23" t="s">
        <v>141</v>
      </c>
      <c r="I70" s="23" t="s">
        <v>141</v>
      </c>
      <c r="J70" s="100"/>
      <c r="K70" s="101"/>
      <c r="L70" s="101"/>
      <c r="M70" s="101"/>
      <c r="N70" s="102"/>
      <c r="O70" s="23"/>
      <c r="P70" s="23"/>
      <c r="Q70" s="23"/>
      <c r="R70" s="23"/>
      <c r="S70" s="23"/>
    </row>
    <row r="71" spans="1:19" ht="18" customHeight="1" x14ac:dyDescent="0.15">
      <c r="A71" s="85"/>
      <c r="B71" s="100"/>
      <c r="C71" s="101"/>
      <c r="D71" s="101"/>
      <c r="E71" s="23"/>
      <c r="F71" s="23"/>
      <c r="G71" s="23"/>
      <c r="H71" s="23"/>
      <c r="I71" s="23"/>
      <c r="J71" s="100"/>
      <c r="K71" s="101"/>
      <c r="L71" s="101"/>
      <c r="M71" s="101"/>
      <c r="N71" s="102"/>
      <c r="O71" s="23"/>
      <c r="P71" s="23"/>
      <c r="Q71" s="23"/>
      <c r="R71" s="23"/>
      <c r="S71" s="23"/>
    </row>
    <row r="72" spans="1:19" ht="18" customHeight="1" x14ac:dyDescent="0.15">
      <c r="A72" s="85"/>
      <c r="B72" s="100"/>
      <c r="C72" s="101"/>
      <c r="D72" s="101"/>
      <c r="E72" s="23"/>
      <c r="F72" s="23"/>
      <c r="G72" s="23"/>
      <c r="H72" s="23"/>
      <c r="I72" s="23"/>
      <c r="J72" s="100"/>
      <c r="K72" s="101"/>
      <c r="L72" s="101"/>
      <c r="M72" s="101"/>
      <c r="N72" s="102"/>
      <c r="O72" s="23"/>
      <c r="P72" s="23"/>
      <c r="Q72" s="23"/>
      <c r="R72" s="23"/>
      <c r="S72" s="23"/>
    </row>
    <row r="73" spans="1:19" ht="18" customHeight="1" x14ac:dyDescent="0.15">
      <c r="A73" s="85"/>
      <c r="B73" s="100"/>
      <c r="C73" s="101"/>
      <c r="D73" s="101"/>
      <c r="E73" s="23"/>
      <c r="F73" s="23"/>
      <c r="G73" s="23"/>
      <c r="H73" s="23"/>
      <c r="I73" s="23"/>
      <c r="J73" s="100"/>
      <c r="K73" s="101"/>
      <c r="L73" s="101"/>
      <c r="M73" s="101"/>
      <c r="N73" s="102"/>
      <c r="O73" s="23"/>
      <c r="P73" s="23"/>
      <c r="Q73" s="23"/>
      <c r="R73" s="23"/>
      <c r="S73" s="23"/>
    </row>
    <row r="74" spans="1:19" ht="18" customHeight="1" x14ac:dyDescent="0.15">
      <c r="A74" s="85"/>
      <c r="B74" s="100"/>
      <c r="C74" s="101"/>
      <c r="D74" s="101"/>
      <c r="E74" s="23"/>
      <c r="F74" s="23"/>
      <c r="G74" s="23"/>
      <c r="H74" s="23"/>
      <c r="I74" s="23"/>
      <c r="J74" s="100"/>
      <c r="K74" s="101"/>
      <c r="L74" s="101"/>
      <c r="M74" s="101"/>
      <c r="N74" s="102"/>
      <c r="O74" s="23"/>
      <c r="P74" s="23"/>
      <c r="Q74" s="23"/>
      <c r="R74" s="23"/>
      <c r="S74" s="23"/>
    </row>
    <row r="75" spans="1:19" ht="18" customHeight="1" x14ac:dyDescent="0.15">
      <c r="A75" s="85"/>
      <c r="B75" s="106"/>
      <c r="C75" s="107"/>
      <c r="D75" s="107"/>
      <c r="E75" s="24"/>
      <c r="F75" s="24"/>
      <c r="G75" s="25"/>
      <c r="H75" s="25"/>
      <c r="I75" s="25"/>
      <c r="J75" s="106"/>
      <c r="K75" s="107"/>
      <c r="L75" s="107"/>
      <c r="M75" s="107"/>
      <c r="N75" s="108"/>
      <c r="O75" s="24"/>
      <c r="P75" s="24"/>
      <c r="Q75" s="25"/>
      <c r="R75" s="25"/>
      <c r="S75" s="25"/>
    </row>
    <row r="76" spans="1:19" ht="7.5" customHeight="1" x14ac:dyDescent="0.15">
      <c r="A76" s="84"/>
      <c r="B76" s="14"/>
      <c r="C76" s="14"/>
      <c r="D76" s="14"/>
      <c r="E76" s="14"/>
      <c r="F76" s="14"/>
      <c r="G76" s="14"/>
      <c r="H76" s="14"/>
      <c r="I76" s="14"/>
      <c r="J76" s="14"/>
      <c r="K76" s="14"/>
      <c r="L76" s="14"/>
      <c r="M76" s="14"/>
      <c r="N76" s="14"/>
      <c r="O76" s="14"/>
      <c r="P76" s="14"/>
      <c r="Q76" s="14"/>
      <c r="R76" s="14"/>
      <c r="S76" s="84"/>
    </row>
    <row r="77" spans="1:19" ht="18" customHeight="1" x14ac:dyDescent="0.15">
      <c r="A77" s="84" t="s">
        <v>119</v>
      </c>
      <c r="B77" s="84"/>
      <c r="C77" s="84"/>
      <c r="D77" s="84"/>
      <c r="E77" s="84"/>
      <c r="F77" s="84"/>
      <c r="G77" s="84"/>
      <c r="H77" s="85"/>
      <c r="I77" s="85"/>
      <c r="J77" s="85"/>
      <c r="K77" s="85"/>
      <c r="L77" s="85"/>
      <c r="M77" s="85"/>
      <c r="N77" s="85"/>
      <c r="O77" s="85"/>
      <c r="P77" s="85"/>
      <c r="Q77" s="85"/>
      <c r="R77" s="85"/>
      <c r="S77" s="85"/>
    </row>
    <row r="78" spans="1:19" ht="18" customHeight="1" x14ac:dyDescent="0.15">
      <c r="A78" s="84"/>
      <c r="B78" s="103" t="s">
        <v>54</v>
      </c>
      <c r="C78" s="104"/>
      <c r="D78" s="104"/>
      <c r="E78" s="105"/>
      <c r="F78" s="103" t="s">
        <v>83</v>
      </c>
      <c r="G78" s="104"/>
      <c r="H78" s="104"/>
      <c r="I78" s="105"/>
      <c r="J78" s="128" t="s">
        <v>54</v>
      </c>
      <c r="K78" s="129"/>
      <c r="L78" s="129"/>
      <c r="M78" s="129"/>
      <c r="N78" s="129"/>
      <c r="O78" s="130"/>
      <c r="P78" s="103" t="s">
        <v>83</v>
      </c>
      <c r="Q78" s="104"/>
      <c r="R78" s="104"/>
      <c r="S78" s="105"/>
    </row>
    <row r="79" spans="1:19" ht="18" customHeight="1" x14ac:dyDescent="0.15">
      <c r="A79" s="85"/>
      <c r="B79" s="97" t="s">
        <v>130</v>
      </c>
      <c r="C79" s="98"/>
      <c r="D79" s="98"/>
      <c r="E79" s="99"/>
      <c r="F79" s="122" t="s">
        <v>144</v>
      </c>
      <c r="G79" s="123"/>
      <c r="H79" s="123"/>
      <c r="I79" s="124"/>
      <c r="J79" s="97"/>
      <c r="K79" s="98"/>
      <c r="L79" s="98"/>
      <c r="M79" s="98"/>
      <c r="N79" s="98"/>
      <c r="O79" s="99"/>
      <c r="P79" s="122"/>
      <c r="Q79" s="123"/>
      <c r="R79" s="123"/>
      <c r="S79" s="124"/>
    </row>
    <row r="80" spans="1:19" ht="18" customHeight="1" x14ac:dyDescent="0.15">
      <c r="A80" s="85"/>
      <c r="B80" s="100"/>
      <c r="C80" s="101"/>
      <c r="D80" s="101"/>
      <c r="E80" s="102"/>
      <c r="F80" s="125"/>
      <c r="G80" s="126"/>
      <c r="H80" s="126"/>
      <c r="I80" s="127"/>
      <c r="J80" s="100"/>
      <c r="K80" s="101"/>
      <c r="L80" s="101"/>
      <c r="M80" s="101"/>
      <c r="N80" s="101"/>
      <c r="O80" s="102"/>
      <c r="P80" s="125"/>
      <c r="Q80" s="126"/>
      <c r="R80" s="126"/>
      <c r="S80" s="127"/>
    </row>
    <row r="81" spans="1:19" ht="18" customHeight="1" x14ac:dyDescent="0.15">
      <c r="A81" s="85"/>
      <c r="B81" s="100"/>
      <c r="C81" s="101"/>
      <c r="D81" s="101"/>
      <c r="E81" s="102"/>
      <c r="F81" s="125"/>
      <c r="G81" s="126"/>
      <c r="H81" s="126"/>
      <c r="I81" s="127"/>
      <c r="J81" s="100"/>
      <c r="K81" s="101"/>
      <c r="L81" s="101"/>
      <c r="M81" s="101"/>
      <c r="N81" s="101"/>
      <c r="O81" s="102"/>
      <c r="P81" s="125"/>
      <c r="Q81" s="126"/>
      <c r="R81" s="126"/>
      <c r="S81" s="127"/>
    </row>
    <row r="82" spans="1:19" ht="18" customHeight="1" x14ac:dyDescent="0.15">
      <c r="A82" s="85"/>
      <c r="B82" s="100"/>
      <c r="C82" s="101"/>
      <c r="D82" s="101"/>
      <c r="E82" s="102"/>
      <c r="F82" s="125"/>
      <c r="G82" s="126"/>
      <c r="H82" s="126"/>
      <c r="I82" s="127"/>
      <c r="J82" s="100"/>
      <c r="K82" s="101"/>
      <c r="L82" s="101"/>
      <c r="M82" s="101"/>
      <c r="N82" s="101"/>
      <c r="O82" s="102"/>
      <c r="P82" s="125"/>
      <c r="Q82" s="126"/>
      <c r="R82" s="126"/>
      <c r="S82" s="127"/>
    </row>
    <row r="83" spans="1:19" ht="18" customHeight="1" x14ac:dyDescent="0.15">
      <c r="A83" s="85"/>
      <c r="B83" s="100"/>
      <c r="C83" s="101"/>
      <c r="D83" s="101"/>
      <c r="E83" s="102"/>
      <c r="F83" s="125"/>
      <c r="G83" s="126"/>
      <c r="H83" s="126"/>
      <c r="I83" s="127"/>
      <c r="J83" s="100"/>
      <c r="K83" s="101"/>
      <c r="L83" s="101"/>
      <c r="M83" s="101"/>
      <c r="N83" s="101"/>
      <c r="O83" s="102"/>
      <c r="P83" s="125"/>
      <c r="Q83" s="126"/>
      <c r="R83" s="126"/>
      <c r="S83" s="127"/>
    </row>
    <row r="84" spans="1:19" ht="18" customHeight="1" x14ac:dyDescent="0.15">
      <c r="A84" s="85"/>
      <c r="B84" s="100"/>
      <c r="C84" s="101"/>
      <c r="D84" s="101"/>
      <c r="E84" s="102"/>
      <c r="F84" s="125"/>
      <c r="G84" s="126"/>
      <c r="H84" s="126"/>
      <c r="I84" s="127"/>
      <c r="J84" s="100"/>
      <c r="K84" s="101"/>
      <c r="L84" s="101"/>
      <c r="M84" s="101"/>
      <c r="N84" s="101"/>
      <c r="O84" s="102"/>
      <c r="P84" s="125"/>
      <c r="Q84" s="126"/>
      <c r="R84" s="126"/>
      <c r="S84" s="127"/>
    </row>
    <row r="85" spans="1:19" ht="18" customHeight="1" x14ac:dyDescent="0.15">
      <c r="A85" s="85"/>
      <c r="B85" s="106"/>
      <c r="C85" s="107"/>
      <c r="D85" s="107"/>
      <c r="E85" s="108"/>
      <c r="F85" s="134"/>
      <c r="G85" s="135"/>
      <c r="H85" s="135"/>
      <c r="I85" s="136"/>
      <c r="J85" s="106"/>
      <c r="K85" s="107"/>
      <c r="L85" s="107"/>
      <c r="M85" s="107"/>
      <c r="N85" s="107"/>
      <c r="O85" s="108"/>
      <c r="P85" s="134"/>
      <c r="Q85" s="135"/>
      <c r="R85" s="135"/>
      <c r="S85" s="136"/>
    </row>
    <row r="86" spans="1:19" ht="18" customHeight="1" x14ac:dyDescent="0.15">
      <c r="A86" s="3"/>
      <c r="B86" s="6"/>
      <c r="C86" s="6"/>
      <c r="D86" s="6"/>
      <c r="E86" s="6"/>
      <c r="F86" s="26"/>
      <c r="G86" s="26"/>
      <c r="H86" s="26"/>
      <c r="I86" s="26"/>
      <c r="J86" s="6"/>
      <c r="K86" s="6"/>
      <c r="L86" s="6"/>
      <c r="M86" s="6"/>
      <c r="N86" s="6"/>
      <c r="O86" s="6"/>
      <c r="P86" s="26"/>
      <c r="Q86" s="26"/>
      <c r="R86" s="26"/>
      <c r="S86" s="26"/>
    </row>
    <row r="87" spans="1:19" ht="18.75" customHeight="1" x14ac:dyDescent="0.15">
      <c r="A87" s="1" t="s">
        <v>120</v>
      </c>
    </row>
    <row r="88" spans="1:19" ht="18.75" customHeight="1" x14ac:dyDescent="0.15">
      <c r="B88" s="120" t="s">
        <v>55</v>
      </c>
      <c r="C88" s="121"/>
      <c r="D88" s="104" t="s">
        <v>56</v>
      </c>
      <c r="E88" s="104"/>
      <c r="F88" s="104"/>
      <c r="G88" s="104"/>
      <c r="H88" s="104"/>
      <c r="I88" s="104"/>
      <c r="J88" s="104"/>
      <c r="K88" s="104"/>
      <c r="L88" s="104"/>
      <c r="M88" s="104"/>
      <c r="N88" s="104"/>
      <c r="O88" s="104"/>
      <c r="P88" s="104"/>
      <c r="Q88" s="104"/>
      <c r="R88" s="104"/>
      <c r="S88" s="105"/>
    </row>
    <row r="89" spans="1:19" ht="97.5" customHeight="1" x14ac:dyDescent="0.15">
      <c r="B89" s="110" t="s">
        <v>62</v>
      </c>
      <c r="C89" s="27" t="s">
        <v>57</v>
      </c>
      <c r="D89" s="117" t="s">
        <v>146</v>
      </c>
      <c r="E89" s="118"/>
      <c r="F89" s="118"/>
      <c r="G89" s="118"/>
      <c r="H89" s="118"/>
      <c r="I89" s="118"/>
      <c r="J89" s="118"/>
      <c r="K89" s="118"/>
      <c r="L89" s="118"/>
      <c r="M89" s="118"/>
      <c r="N89" s="118"/>
      <c r="O89" s="118"/>
      <c r="P89" s="118"/>
      <c r="Q89" s="118"/>
      <c r="R89" s="118"/>
      <c r="S89" s="119"/>
    </row>
    <row r="90" spans="1:19" ht="97.5" customHeight="1" x14ac:dyDescent="0.15">
      <c r="B90" s="111"/>
      <c r="C90" s="28" t="s">
        <v>78</v>
      </c>
      <c r="D90" s="137" t="s">
        <v>145</v>
      </c>
      <c r="E90" s="138"/>
      <c r="F90" s="138"/>
      <c r="G90" s="138"/>
      <c r="H90" s="138"/>
      <c r="I90" s="138"/>
      <c r="J90" s="138"/>
      <c r="K90" s="138"/>
      <c r="L90" s="138"/>
      <c r="M90" s="138"/>
      <c r="N90" s="138"/>
      <c r="O90" s="138"/>
      <c r="P90" s="138"/>
      <c r="Q90" s="138"/>
      <c r="R90" s="138"/>
      <c r="S90" s="139"/>
    </row>
    <row r="91" spans="1:19" ht="97.5" customHeight="1" x14ac:dyDescent="0.15">
      <c r="B91" s="110" t="s">
        <v>63</v>
      </c>
      <c r="C91" s="29" t="s">
        <v>72</v>
      </c>
      <c r="D91" s="140" t="s">
        <v>149</v>
      </c>
      <c r="E91" s="141"/>
      <c r="F91" s="141"/>
      <c r="G91" s="141"/>
      <c r="H91" s="141"/>
      <c r="I91" s="141"/>
      <c r="J91" s="141"/>
      <c r="K91" s="141"/>
      <c r="L91" s="141"/>
      <c r="M91" s="141"/>
      <c r="N91" s="141"/>
      <c r="O91" s="141"/>
      <c r="P91" s="141"/>
      <c r="Q91" s="141"/>
      <c r="R91" s="141"/>
      <c r="S91" s="142"/>
    </row>
    <row r="92" spans="1:19" ht="97.5" customHeight="1" x14ac:dyDescent="0.15">
      <c r="B92" s="112"/>
      <c r="C92" s="30" t="s">
        <v>73</v>
      </c>
      <c r="D92" s="146" t="s">
        <v>156</v>
      </c>
      <c r="E92" s="147"/>
      <c r="F92" s="147"/>
      <c r="G92" s="147"/>
      <c r="H92" s="147"/>
      <c r="I92" s="147"/>
      <c r="J92" s="147"/>
      <c r="K92" s="147"/>
      <c r="L92" s="147"/>
      <c r="M92" s="147"/>
      <c r="N92" s="147"/>
      <c r="O92" s="147"/>
      <c r="P92" s="147"/>
      <c r="Q92" s="147"/>
      <c r="R92" s="147"/>
      <c r="S92" s="148"/>
    </row>
    <row r="93" spans="1:19" ht="97.5" customHeight="1" x14ac:dyDescent="0.15">
      <c r="B93" s="110" t="s">
        <v>64</v>
      </c>
      <c r="C93" s="29" t="s">
        <v>74</v>
      </c>
      <c r="D93" s="140" t="s">
        <v>150</v>
      </c>
      <c r="E93" s="141"/>
      <c r="F93" s="141"/>
      <c r="G93" s="141"/>
      <c r="H93" s="141"/>
      <c r="I93" s="141"/>
      <c r="J93" s="141"/>
      <c r="K93" s="141"/>
      <c r="L93" s="141"/>
      <c r="M93" s="141"/>
      <c r="N93" s="141"/>
      <c r="O93" s="141"/>
      <c r="P93" s="141"/>
      <c r="Q93" s="141"/>
      <c r="R93" s="141"/>
      <c r="S93" s="142"/>
    </row>
    <row r="94" spans="1:19" ht="97.5" customHeight="1" x14ac:dyDescent="0.15">
      <c r="B94" s="112"/>
      <c r="C94" s="31" t="s">
        <v>75</v>
      </c>
      <c r="D94" s="143" t="s">
        <v>151</v>
      </c>
      <c r="E94" s="144"/>
      <c r="F94" s="144"/>
      <c r="G94" s="144"/>
      <c r="H94" s="144"/>
      <c r="I94" s="144"/>
      <c r="J94" s="144"/>
      <c r="K94" s="144"/>
      <c r="L94" s="144"/>
      <c r="M94" s="144"/>
      <c r="N94" s="144"/>
      <c r="O94" s="144"/>
      <c r="P94" s="144"/>
      <c r="Q94" s="144"/>
      <c r="R94" s="144"/>
      <c r="S94" s="145"/>
    </row>
    <row r="95" spans="1:19" ht="97.5" customHeight="1" x14ac:dyDescent="0.15">
      <c r="B95" s="110" t="s">
        <v>79</v>
      </c>
      <c r="C95" s="27" t="s">
        <v>59</v>
      </c>
      <c r="D95" s="117" t="s">
        <v>157</v>
      </c>
      <c r="E95" s="118"/>
      <c r="F95" s="118"/>
      <c r="G95" s="118"/>
      <c r="H95" s="118"/>
      <c r="I95" s="118"/>
      <c r="J95" s="118"/>
      <c r="K95" s="118"/>
      <c r="L95" s="118"/>
      <c r="M95" s="118"/>
      <c r="N95" s="118"/>
      <c r="O95" s="118"/>
      <c r="P95" s="118"/>
      <c r="Q95" s="118"/>
      <c r="R95" s="118"/>
      <c r="S95" s="119"/>
    </row>
    <row r="96" spans="1:19" ht="97.5" customHeight="1" x14ac:dyDescent="0.15">
      <c r="B96" s="112"/>
      <c r="C96" s="30" t="s">
        <v>61</v>
      </c>
      <c r="D96" s="146" t="s">
        <v>158</v>
      </c>
      <c r="E96" s="147"/>
      <c r="F96" s="147"/>
      <c r="G96" s="147"/>
      <c r="H96" s="147"/>
      <c r="I96" s="147"/>
      <c r="J96" s="147"/>
      <c r="K96" s="147"/>
      <c r="L96" s="147"/>
      <c r="M96" s="147"/>
      <c r="N96" s="147"/>
      <c r="O96" s="147"/>
      <c r="P96" s="147"/>
      <c r="Q96" s="147"/>
      <c r="R96" s="147"/>
      <c r="S96" s="148"/>
    </row>
    <row r="97" spans="1:19" ht="97.5" customHeight="1" x14ac:dyDescent="0.15">
      <c r="B97" s="110" t="s">
        <v>80</v>
      </c>
      <c r="C97" s="29" t="s">
        <v>58</v>
      </c>
      <c r="D97" s="113" t="s">
        <v>152</v>
      </c>
      <c r="E97" s="98"/>
      <c r="F97" s="98"/>
      <c r="G97" s="98"/>
      <c r="H97" s="98"/>
      <c r="I97" s="98"/>
      <c r="J97" s="98"/>
      <c r="K97" s="98"/>
      <c r="L97" s="98"/>
      <c r="M97" s="98"/>
      <c r="N97" s="98"/>
      <c r="O97" s="98"/>
      <c r="P97" s="98"/>
      <c r="Q97" s="98"/>
      <c r="R97" s="98"/>
      <c r="S97" s="99"/>
    </row>
    <row r="98" spans="1:19" ht="328.5" customHeight="1" x14ac:dyDescent="0.15">
      <c r="B98" s="111"/>
      <c r="C98" s="32" t="s">
        <v>76</v>
      </c>
      <c r="D98" s="149" t="s">
        <v>153</v>
      </c>
      <c r="E98" s="101"/>
      <c r="F98" s="101"/>
      <c r="G98" s="101"/>
      <c r="H98" s="101"/>
      <c r="I98" s="101"/>
      <c r="J98" s="101"/>
      <c r="K98" s="101"/>
      <c r="L98" s="101"/>
      <c r="M98" s="101"/>
      <c r="N98" s="101"/>
      <c r="O98" s="101"/>
      <c r="P98" s="101"/>
      <c r="Q98" s="101"/>
      <c r="R98" s="101"/>
      <c r="S98" s="102"/>
    </row>
    <row r="99" spans="1:19" ht="237.75" customHeight="1" x14ac:dyDescent="0.15">
      <c r="B99" s="112"/>
      <c r="C99" s="31" t="s">
        <v>77</v>
      </c>
      <c r="D99" s="114" t="s">
        <v>154</v>
      </c>
      <c r="E99" s="115"/>
      <c r="F99" s="115"/>
      <c r="G99" s="115"/>
      <c r="H99" s="115"/>
      <c r="I99" s="115"/>
      <c r="J99" s="115"/>
      <c r="K99" s="115"/>
      <c r="L99" s="115"/>
      <c r="M99" s="115"/>
      <c r="N99" s="115"/>
      <c r="O99" s="115"/>
      <c r="P99" s="115"/>
      <c r="Q99" s="115"/>
      <c r="R99" s="115"/>
      <c r="S99" s="116"/>
    </row>
    <row r="100" spans="1:19" ht="6" customHeight="1" x14ac:dyDescent="0.15"/>
    <row r="101" spans="1:19" ht="18.75" customHeight="1" x14ac:dyDescent="0.15">
      <c r="A101" s="1" t="s">
        <v>121</v>
      </c>
    </row>
    <row r="102" spans="1:19" ht="136.5" customHeight="1" x14ac:dyDescent="0.15">
      <c r="B102" s="131" t="s">
        <v>155</v>
      </c>
      <c r="C102" s="132"/>
      <c r="D102" s="132"/>
      <c r="E102" s="132"/>
      <c r="F102" s="132"/>
      <c r="G102" s="132"/>
      <c r="H102" s="132"/>
      <c r="I102" s="132"/>
      <c r="J102" s="132"/>
      <c r="K102" s="132"/>
      <c r="L102" s="132"/>
      <c r="M102" s="132"/>
      <c r="N102" s="132"/>
      <c r="O102" s="132"/>
      <c r="P102" s="132"/>
      <c r="Q102" s="132"/>
      <c r="R102" s="132"/>
      <c r="S102" s="133"/>
    </row>
    <row r="110" spans="1:19" ht="18" customHeight="1" x14ac:dyDescent="0.15"/>
  </sheetData>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0" priority="1">
      <formula>$K$7="学部・学科によって、修了要件は相違しない"</formula>
    </cfRule>
  </conditionalFormatting>
  <dataValidations disablePrompts="1" count="5">
    <dataValidation type="list" allowBlank="1" showInputMessage="1" showErrorMessage="1" sqref="G25:I31 Q25:S31 G36:I42 Q36:S42 G47:I53 Q47:S53 G58:I64 Q58:S64 F69:I75 P69:S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view="pageBreakPreview" zoomScaleNormal="100" zoomScaleSheetLayoutView="100" workbookViewId="0">
      <selection activeCell="AQ32" sqref="AQ32"/>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34"/>
      <c r="Q2" s="34"/>
      <c r="W2" s="34"/>
      <c r="AC2" s="34"/>
      <c r="AI2" s="34"/>
      <c r="AL2" s="34" t="s">
        <v>109</v>
      </c>
      <c r="AM2" s="176" t="str">
        <f>'様式１　プログラムを構成する授業科目'!C2</f>
        <v>西九州大学</v>
      </c>
      <c r="AN2" s="176"/>
      <c r="AO2" s="176"/>
      <c r="AP2" s="176"/>
      <c r="AQ2" s="176"/>
    </row>
    <row r="3" spans="1:45" ht="18" customHeight="1" x14ac:dyDescent="0.15">
      <c r="A3" s="154" t="s">
        <v>48</v>
      </c>
      <c r="B3" s="154"/>
      <c r="C3" s="154"/>
      <c r="D3" s="154"/>
      <c r="E3" s="154"/>
      <c r="F3" s="154"/>
      <c r="G3" s="154"/>
      <c r="H3" s="154"/>
      <c r="I3" s="154"/>
      <c r="J3" s="154"/>
      <c r="K3" s="154"/>
      <c r="L3" s="154"/>
      <c r="M3" s="154"/>
      <c r="N3" s="154"/>
      <c r="O3" s="154"/>
      <c r="P3" s="154"/>
      <c r="Q3" s="154"/>
      <c r="R3" s="154"/>
      <c r="S3" s="154"/>
      <c r="T3" s="154"/>
      <c r="U3" s="154"/>
      <c r="V3" s="154"/>
      <c r="W3" s="154"/>
      <c r="X3" s="154"/>
      <c r="Y3" s="154"/>
      <c r="Z3" s="154"/>
      <c r="AA3" s="154"/>
      <c r="AB3" s="154"/>
      <c r="AC3" s="154"/>
      <c r="AD3" s="154"/>
      <c r="AE3" s="154"/>
      <c r="AF3" s="154"/>
      <c r="AG3" s="154"/>
      <c r="AH3" s="154"/>
      <c r="AI3" s="154"/>
      <c r="AJ3" s="154"/>
      <c r="AK3" s="154"/>
      <c r="AL3" s="154"/>
      <c r="AM3" s="154"/>
      <c r="AN3" s="154"/>
      <c r="AO3" s="154"/>
      <c r="AP3" s="154"/>
      <c r="AQ3" s="154"/>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77" t="s">
        <v>175</v>
      </c>
      <c r="D5" s="178"/>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78"/>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79" t="s">
        <v>45</v>
      </c>
      <c r="C9" s="194" t="s">
        <v>87</v>
      </c>
      <c r="D9" s="182" t="s">
        <v>47</v>
      </c>
      <c r="E9" s="185" t="s">
        <v>40</v>
      </c>
      <c r="F9" s="173" t="s">
        <v>86</v>
      </c>
      <c r="G9" s="173"/>
      <c r="H9" s="173"/>
      <c r="I9" s="173"/>
      <c r="J9" s="173"/>
      <c r="K9" s="173"/>
      <c r="L9" s="173" t="s">
        <v>49</v>
      </c>
      <c r="M9" s="173"/>
      <c r="N9" s="173"/>
      <c r="O9" s="173"/>
      <c r="P9" s="173"/>
      <c r="Q9" s="173"/>
      <c r="R9" s="173" t="s">
        <v>50</v>
      </c>
      <c r="S9" s="173"/>
      <c r="T9" s="173"/>
      <c r="U9" s="173"/>
      <c r="V9" s="173"/>
      <c r="W9" s="173"/>
      <c r="X9" s="173" t="s">
        <v>101</v>
      </c>
      <c r="Y9" s="173"/>
      <c r="Z9" s="173"/>
      <c r="AA9" s="173"/>
      <c r="AB9" s="173"/>
      <c r="AC9" s="173"/>
      <c r="AD9" s="173" t="s">
        <v>51</v>
      </c>
      <c r="AE9" s="173"/>
      <c r="AF9" s="173"/>
      <c r="AG9" s="173"/>
      <c r="AH9" s="173"/>
      <c r="AI9" s="173"/>
      <c r="AJ9" s="173" t="s">
        <v>52</v>
      </c>
      <c r="AK9" s="173"/>
      <c r="AL9" s="173"/>
      <c r="AM9" s="173"/>
      <c r="AN9" s="173"/>
      <c r="AO9" s="173"/>
      <c r="AP9" s="188" t="s">
        <v>35</v>
      </c>
      <c r="AQ9" s="191" t="s">
        <v>32</v>
      </c>
      <c r="AS9" s="2"/>
    </row>
    <row r="10" spans="1:45" ht="16.899999999999999" customHeight="1" x14ac:dyDescent="0.15">
      <c r="B10" s="180"/>
      <c r="C10" s="195"/>
      <c r="D10" s="183"/>
      <c r="E10" s="186"/>
      <c r="F10" s="174" t="s">
        <v>97</v>
      </c>
      <c r="G10" s="175"/>
      <c r="H10" s="175"/>
      <c r="I10" s="174" t="s">
        <v>29</v>
      </c>
      <c r="J10" s="175"/>
      <c r="K10" s="175"/>
      <c r="L10" s="174" t="s">
        <v>97</v>
      </c>
      <c r="M10" s="175"/>
      <c r="N10" s="175"/>
      <c r="O10" s="174" t="s">
        <v>29</v>
      </c>
      <c r="P10" s="175"/>
      <c r="Q10" s="175"/>
      <c r="R10" s="174" t="s">
        <v>97</v>
      </c>
      <c r="S10" s="175"/>
      <c r="T10" s="175"/>
      <c r="U10" s="174" t="s">
        <v>29</v>
      </c>
      <c r="V10" s="175"/>
      <c r="W10" s="175"/>
      <c r="X10" s="174" t="s">
        <v>97</v>
      </c>
      <c r="Y10" s="175"/>
      <c r="Z10" s="175"/>
      <c r="AA10" s="174" t="s">
        <v>29</v>
      </c>
      <c r="AB10" s="175"/>
      <c r="AC10" s="175"/>
      <c r="AD10" s="174" t="s">
        <v>97</v>
      </c>
      <c r="AE10" s="175"/>
      <c r="AF10" s="175"/>
      <c r="AG10" s="174" t="s">
        <v>29</v>
      </c>
      <c r="AH10" s="175"/>
      <c r="AI10" s="175"/>
      <c r="AJ10" s="174" t="s">
        <v>97</v>
      </c>
      <c r="AK10" s="175"/>
      <c r="AL10" s="175"/>
      <c r="AM10" s="174" t="s">
        <v>29</v>
      </c>
      <c r="AN10" s="175"/>
      <c r="AO10" s="175"/>
      <c r="AP10" s="189"/>
      <c r="AQ10" s="192"/>
      <c r="AS10" s="2"/>
    </row>
    <row r="11" spans="1:45" ht="18" customHeight="1" x14ac:dyDescent="0.15">
      <c r="B11" s="181"/>
      <c r="C11" s="196"/>
      <c r="D11" s="184"/>
      <c r="E11" s="187"/>
      <c r="F11" s="16" t="s">
        <v>98</v>
      </c>
      <c r="G11" s="17" t="s">
        <v>99</v>
      </c>
      <c r="H11" s="18" t="s">
        <v>100</v>
      </c>
      <c r="I11" s="16" t="s">
        <v>98</v>
      </c>
      <c r="J11" s="17" t="s">
        <v>99</v>
      </c>
      <c r="K11" s="18" t="s">
        <v>100</v>
      </c>
      <c r="L11" s="16" t="s">
        <v>98</v>
      </c>
      <c r="M11" s="17" t="s">
        <v>99</v>
      </c>
      <c r="N11" s="18" t="s">
        <v>100</v>
      </c>
      <c r="O11" s="16" t="s">
        <v>98</v>
      </c>
      <c r="P11" s="17" t="s">
        <v>99</v>
      </c>
      <c r="Q11" s="18" t="s">
        <v>100</v>
      </c>
      <c r="R11" s="16" t="s">
        <v>98</v>
      </c>
      <c r="S11" s="17" t="s">
        <v>99</v>
      </c>
      <c r="T11" s="18" t="s">
        <v>100</v>
      </c>
      <c r="U11" s="16" t="s">
        <v>98</v>
      </c>
      <c r="V11" s="17" t="s">
        <v>99</v>
      </c>
      <c r="W11" s="18" t="s">
        <v>100</v>
      </c>
      <c r="X11" s="16" t="s">
        <v>98</v>
      </c>
      <c r="Y11" s="17" t="s">
        <v>99</v>
      </c>
      <c r="Z11" s="18" t="s">
        <v>100</v>
      </c>
      <c r="AA11" s="16" t="s">
        <v>98</v>
      </c>
      <c r="AB11" s="17" t="s">
        <v>99</v>
      </c>
      <c r="AC11" s="18" t="s">
        <v>100</v>
      </c>
      <c r="AD11" s="16" t="s">
        <v>98</v>
      </c>
      <c r="AE11" s="17" t="s">
        <v>99</v>
      </c>
      <c r="AF11" s="18" t="s">
        <v>100</v>
      </c>
      <c r="AG11" s="16" t="s">
        <v>98</v>
      </c>
      <c r="AH11" s="17" t="s">
        <v>99</v>
      </c>
      <c r="AI11" s="18" t="s">
        <v>100</v>
      </c>
      <c r="AJ11" s="16" t="s">
        <v>98</v>
      </c>
      <c r="AK11" s="17" t="s">
        <v>99</v>
      </c>
      <c r="AL11" s="18" t="s">
        <v>100</v>
      </c>
      <c r="AM11" s="16" t="s">
        <v>98</v>
      </c>
      <c r="AN11" s="17" t="s">
        <v>99</v>
      </c>
      <c r="AO11" s="18" t="s">
        <v>100</v>
      </c>
      <c r="AP11" s="190"/>
      <c r="AQ11" s="193"/>
      <c r="AS11" s="2"/>
    </row>
    <row r="12" spans="1:45" ht="18" customHeight="1" x14ac:dyDescent="0.15">
      <c r="A12" s="6"/>
      <c r="B12" s="91" t="s">
        <v>132</v>
      </c>
      <c r="C12" s="58">
        <v>374</v>
      </c>
      <c r="D12" s="59">
        <v>120</v>
      </c>
      <c r="E12" s="60">
        <v>480</v>
      </c>
      <c r="F12" s="60">
        <v>98</v>
      </c>
      <c r="G12" s="79"/>
      <c r="H12" s="80"/>
      <c r="I12" s="60">
        <v>91</v>
      </c>
      <c r="J12" s="79"/>
      <c r="K12" s="80"/>
      <c r="L12" s="60">
        <v>0</v>
      </c>
      <c r="M12" s="95"/>
      <c r="N12" s="96"/>
      <c r="O12" s="60">
        <v>0</v>
      </c>
      <c r="P12" s="95"/>
      <c r="Q12" s="96"/>
      <c r="R12" s="60">
        <f>S12+T12</f>
        <v>0</v>
      </c>
      <c r="S12" s="61"/>
      <c r="T12" s="62"/>
      <c r="U12" s="60">
        <f>V12+W12</f>
        <v>0</v>
      </c>
      <c r="V12" s="61"/>
      <c r="W12" s="62"/>
      <c r="X12" s="60">
        <f>Y12+Z12</f>
        <v>0</v>
      </c>
      <c r="Y12" s="61"/>
      <c r="Z12" s="62"/>
      <c r="AA12" s="60">
        <f>AB12+AC12</f>
        <v>0</v>
      </c>
      <c r="AB12" s="61"/>
      <c r="AC12" s="62"/>
      <c r="AD12" s="60">
        <f>AE12+AF12</f>
        <v>0</v>
      </c>
      <c r="AE12" s="61"/>
      <c r="AF12" s="62"/>
      <c r="AG12" s="60">
        <f>AH12+AI12</f>
        <v>0</v>
      </c>
      <c r="AH12" s="61"/>
      <c r="AI12" s="62"/>
      <c r="AJ12" s="60">
        <f>AK12+AL12</f>
        <v>0</v>
      </c>
      <c r="AK12" s="61"/>
      <c r="AL12" s="62"/>
      <c r="AM12" s="60">
        <f>AN12+AO12</f>
        <v>0</v>
      </c>
      <c r="AN12" s="61"/>
      <c r="AO12" s="62"/>
      <c r="AP12" s="59">
        <f>F12+L12+R12+X12+AD12+AJ12</f>
        <v>98</v>
      </c>
      <c r="AQ12" s="20">
        <f t="shared" ref="AQ12:AQ32" si="0">AP12/E12</f>
        <v>0.20416666666666666</v>
      </c>
    </row>
    <row r="13" spans="1:45" ht="18" customHeight="1" x14ac:dyDescent="0.15">
      <c r="A13" s="6"/>
      <c r="B13" s="11" t="s">
        <v>131</v>
      </c>
      <c r="C13" s="63">
        <v>363</v>
      </c>
      <c r="D13" s="64">
        <v>130</v>
      </c>
      <c r="E13" s="65">
        <v>540</v>
      </c>
      <c r="F13" s="66">
        <v>86</v>
      </c>
      <c r="G13" s="81"/>
      <c r="H13" s="82"/>
      <c r="I13" s="66">
        <v>83</v>
      </c>
      <c r="J13" s="81"/>
      <c r="K13" s="82"/>
      <c r="L13" s="66">
        <v>0</v>
      </c>
      <c r="M13" s="67"/>
      <c r="N13" s="68"/>
      <c r="O13" s="66">
        <v>0</v>
      </c>
      <c r="P13" s="67"/>
      <c r="Q13" s="68"/>
      <c r="R13" s="66">
        <f t="shared" ref="R13:R31" si="1">S13+T13</f>
        <v>0</v>
      </c>
      <c r="S13" s="67"/>
      <c r="T13" s="68"/>
      <c r="U13" s="66">
        <f t="shared" ref="U13:U31" si="2">V13+W13</f>
        <v>0</v>
      </c>
      <c r="V13" s="67"/>
      <c r="W13" s="68"/>
      <c r="X13" s="66">
        <f t="shared" ref="X13:X31" si="3">Y13+Z13</f>
        <v>0</v>
      </c>
      <c r="Y13" s="67"/>
      <c r="Z13" s="68"/>
      <c r="AA13" s="66">
        <f t="shared" ref="AA13:AA31" si="4">AB13+AC13</f>
        <v>0</v>
      </c>
      <c r="AB13" s="67"/>
      <c r="AC13" s="68"/>
      <c r="AD13" s="66">
        <f t="shared" ref="AD13:AD31" si="5">AE13+AF13</f>
        <v>0</v>
      </c>
      <c r="AE13" s="67"/>
      <c r="AF13" s="68"/>
      <c r="AG13" s="66">
        <f t="shared" ref="AG13:AG31" si="6">AH13+AI13</f>
        <v>0</v>
      </c>
      <c r="AH13" s="67"/>
      <c r="AI13" s="68"/>
      <c r="AJ13" s="66">
        <f t="shared" ref="AJ13:AJ31" si="7">AK13+AL13</f>
        <v>0</v>
      </c>
      <c r="AK13" s="67"/>
      <c r="AL13" s="68"/>
      <c r="AM13" s="66">
        <f t="shared" ref="AM13:AM31" si="8">AN13+AO13</f>
        <v>0</v>
      </c>
      <c r="AN13" s="67"/>
      <c r="AO13" s="68"/>
      <c r="AP13" s="64">
        <f t="shared" ref="AP13:AP31" si="9">F13+L13+R13+X13+AD13+AJ13</f>
        <v>86</v>
      </c>
      <c r="AQ13" s="19">
        <f t="shared" si="0"/>
        <v>0.15925925925925927</v>
      </c>
    </row>
    <row r="14" spans="1:45" ht="18" customHeight="1" x14ac:dyDescent="0.15">
      <c r="A14" s="6"/>
      <c r="B14" s="11" t="s">
        <v>133</v>
      </c>
      <c r="C14" s="63">
        <v>247</v>
      </c>
      <c r="D14" s="64">
        <v>80</v>
      </c>
      <c r="E14" s="65">
        <v>320</v>
      </c>
      <c r="F14" s="66">
        <v>59</v>
      </c>
      <c r="G14" s="81"/>
      <c r="H14" s="82"/>
      <c r="I14" s="66">
        <v>56</v>
      </c>
      <c r="J14" s="81"/>
      <c r="K14" s="82"/>
      <c r="L14" s="66">
        <v>0</v>
      </c>
      <c r="M14" s="67"/>
      <c r="N14" s="68"/>
      <c r="O14" s="66">
        <f t="shared" ref="O14:O16" si="10">P14+Q14</f>
        <v>0</v>
      </c>
      <c r="P14" s="67"/>
      <c r="Q14" s="68"/>
      <c r="R14" s="66">
        <f t="shared" si="1"/>
        <v>0</v>
      </c>
      <c r="S14" s="67"/>
      <c r="T14" s="68"/>
      <c r="U14" s="66">
        <f t="shared" si="2"/>
        <v>0</v>
      </c>
      <c r="V14" s="67"/>
      <c r="W14" s="68"/>
      <c r="X14" s="66">
        <f t="shared" si="3"/>
        <v>0</v>
      </c>
      <c r="Y14" s="67"/>
      <c r="Z14" s="68"/>
      <c r="AA14" s="66">
        <f t="shared" si="4"/>
        <v>0</v>
      </c>
      <c r="AB14" s="67"/>
      <c r="AC14" s="68"/>
      <c r="AD14" s="66">
        <f t="shared" si="5"/>
        <v>0</v>
      </c>
      <c r="AE14" s="67"/>
      <c r="AF14" s="68"/>
      <c r="AG14" s="66">
        <f t="shared" si="6"/>
        <v>0</v>
      </c>
      <c r="AH14" s="67"/>
      <c r="AI14" s="68"/>
      <c r="AJ14" s="66">
        <f t="shared" si="7"/>
        <v>0</v>
      </c>
      <c r="AK14" s="67"/>
      <c r="AL14" s="68"/>
      <c r="AM14" s="66">
        <f t="shared" si="8"/>
        <v>0</v>
      </c>
      <c r="AN14" s="67"/>
      <c r="AO14" s="68"/>
      <c r="AP14" s="64">
        <f t="shared" si="9"/>
        <v>59</v>
      </c>
      <c r="AQ14" s="8">
        <f t="shared" si="0"/>
        <v>0.18437500000000001</v>
      </c>
    </row>
    <row r="15" spans="1:45" ht="18" customHeight="1" x14ac:dyDescent="0.15">
      <c r="A15" s="6"/>
      <c r="B15" s="11" t="s">
        <v>134</v>
      </c>
      <c r="C15" s="63">
        <v>548</v>
      </c>
      <c r="D15" s="64">
        <v>120</v>
      </c>
      <c r="E15" s="65">
        <v>500</v>
      </c>
      <c r="F15" s="66">
        <v>125</v>
      </c>
      <c r="G15" s="81"/>
      <c r="H15" s="82"/>
      <c r="I15" s="66">
        <v>124</v>
      </c>
      <c r="J15" s="81"/>
      <c r="K15" s="82"/>
      <c r="L15" s="66">
        <v>0</v>
      </c>
      <c r="M15" s="67"/>
      <c r="N15" s="68"/>
      <c r="O15" s="66">
        <v>0</v>
      </c>
      <c r="P15" s="67"/>
      <c r="Q15" s="68"/>
      <c r="R15" s="66">
        <f t="shared" si="1"/>
        <v>0</v>
      </c>
      <c r="S15" s="67"/>
      <c r="T15" s="68"/>
      <c r="U15" s="66">
        <f t="shared" si="2"/>
        <v>0</v>
      </c>
      <c r="V15" s="67"/>
      <c r="W15" s="68"/>
      <c r="X15" s="66">
        <f t="shared" si="3"/>
        <v>0</v>
      </c>
      <c r="Y15" s="67"/>
      <c r="Z15" s="68"/>
      <c r="AA15" s="66">
        <f t="shared" si="4"/>
        <v>0</v>
      </c>
      <c r="AB15" s="67"/>
      <c r="AC15" s="68"/>
      <c r="AD15" s="66">
        <f t="shared" si="5"/>
        <v>0</v>
      </c>
      <c r="AE15" s="67"/>
      <c r="AF15" s="68"/>
      <c r="AG15" s="66">
        <f t="shared" si="6"/>
        <v>0</v>
      </c>
      <c r="AH15" s="67"/>
      <c r="AI15" s="68"/>
      <c r="AJ15" s="66">
        <f t="shared" si="7"/>
        <v>0</v>
      </c>
      <c r="AK15" s="67"/>
      <c r="AL15" s="68"/>
      <c r="AM15" s="66">
        <f t="shared" si="8"/>
        <v>0</v>
      </c>
      <c r="AN15" s="67"/>
      <c r="AO15" s="68"/>
      <c r="AP15" s="64">
        <f t="shared" si="9"/>
        <v>125</v>
      </c>
      <c r="AQ15" s="8">
        <f t="shared" si="0"/>
        <v>0.25</v>
      </c>
    </row>
    <row r="16" spans="1:45" ht="18" customHeight="1" x14ac:dyDescent="0.15">
      <c r="A16" s="6"/>
      <c r="B16" s="11" t="s">
        <v>135</v>
      </c>
      <c r="C16" s="63">
        <v>385</v>
      </c>
      <c r="D16" s="64">
        <v>90</v>
      </c>
      <c r="E16" s="65">
        <v>360</v>
      </c>
      <c r="F16" s="66">
        <v>108</v>
      </c>
      <c r="G16" s="81"/>
      <c r="H16" s="82"/>
      <c r="I16" s="66">
        <v>107</v>
      </c>
      <c r="J16" s="81"/>
      <c r="K16" s="82"/>
      <c r="L16" s="66">
        <f t="shared" ref="L16" si="11">M16+N16</f>
        <v>0</v>
      </c>
      <c r="M16" s="67"/>
      <c r="N16" s="68"/>
      <c r="O16" s="66">
        <f t="shared" si="10"/>
        <v>0</v>
      </c>
      <c r="P16" s="67"/>
      <c r="Q16" s="68"/>
      <c r="R16" s="66">
        <f t="shared" si="1"/>
        <v>0</v>
      </c>
      <c r="S16" s="67"/>
      <c r="T16" s="68"/>
      <c r="U16" s="66">
        <f t="shared" si="2"/>
        <v>0</v>
      </c>
      <c r="V16" s="67"/>
      <c r="W16" s="68"/>
      <c r="X16" s="66">
        <f t="shared" si="3"/>
        <v>0</v>
      </c>
      <c r="Y16" s="67"/>
      <c r="Z16" s="68"/>
      <c r="AA16" s="66">
        <f t="shared" si="4"/>
        <v>0</v>
      </c>
      <c r="AB16" s="67"/>
      <c r="AC16" s="68"/>
      <c r="AD16" s="66">
        <f t="shared" si="5"/>
        <v>0</v>
      </c>
      <c r="AE16" s="67"/>
      <c r="AF16" s="68"/>
      <c r="AG16" s="66">
        <f t="shared" si="6"/>
        <v>0</v>
      </c>
      <c r="AH16" s="67"/>
      <c r="AI16" s="68"/>
      <c r="AJ16" s="66">
        <f t="shared" si="7"/>
        <v>0</v>
      </c>
      <c r="AK16" s="67"/>
      <c r="AL16" s="68"/>
      <c r="AM16" s="66">
        <f t="shared" si="8"/>
        <v>0</v>
      </c>
      <c r="AN16" s="67"/>
      <c r="AO16" s="68"/>
      <c r="AP16" s="64">
        <f t="shared" si="9"/>
        <v>108</v>
      </c>
      <c r="AQ16" s="8">
        <f t="shared" si="0"/>
        <v>0.3</v>
      </c>
    </row>
    <row r="17" spans="1:43" ht="18" customHeight="1" x14ac:dyDescent="0.15">
      <c r="A17" s="6"/>
      <c r="B17" s="11"/>
      <c r="C17" s="63"/>
      <c r="D17" s="64"/>
      <c r="E17" s="65"/>
      <c r="F17" s="66">
        <f t="shared" ref="F17:F31" si="12">G17+H17</f>
        <v>0</v>
      </c>
      <c r="G17" s="67"/>
      <c r="H17" s="68"/>
      <c r="I17" s="66">
        <f t="shared" ref="I17:I31" si="13">J17+K17</f>
        <v>0</v>
      </c>
      <c r="J17" s="67"/>
      <c r="K17" s="68"/>
      <c r="L17" s="66">
        <f t="shared" ref="L17:L31" si="14">M17+N17</f>
        <v>0</v>
      </c>
      <c r="M17" s="67"/>
      <c r="N17" s="68"/>
      <c r="O17" s="66">
        <f t="shared" ref="O17:O31" si="15">P17+Q17</f>
        <v>0</v>
      </c>
      <c r="P17" s="67"/>
      <c r="Q17" s="68"/>
      <c r="R17" s="66">
        <f t="shared" si="1"/>
        <v>0</v>
      </c>
      <c r="S17" s="67"/>
      <c r="T17" s="68"/>
      <c r="U17" s="66">
        <f t="shared" si="2"/>
        <v>0</v>
      </c>
      <c r="V17" s="67"/>
      <c r="W17" s="68"/>
      <c r="X17" s="66">
        <f t="shared" si="3"/>
        <v>0</v>
      </c>
      <c r="Y17" s="67"/>
      <c r="Z17" s="68"/>
      <c r="AA17" s="66">
        <f t="shared" si="4"/>
        <v>0</v>
      </c>
      <c r="AB17" s="67"/>
      <c r="AC17" s="68"/>
      <c r="AD17" s="66">
        <f t="shared" si="5"/>
        <v>0</v>
      </c>
      <c r="AE17" s="67"/>
      <c r="AF17" s="68"/>
      <c r="AG17" s="66">
        <f t="shared" si="6"/>
        <v>0</v>
      </c>
      <c r="AH17" s="67"/>
      <c r="AI17" s="68"/>
      <c r="AJ17" s="66">
        <f t="shared" si="7"/>
        <v>0</v>
      </c>
      <c r="AK17" s="67"/>
      <c r="AL17" s="68"/>
      <c r="AM17" s="66">
        <f t="shared" si="8"/>
        <v>0</v>
      </c>
      <c r="AN17" s="67"/>
      <c r="AO17" s="68"/>
      <c r="AP17" s="64">
        <f t="shared" si="9"/>
        <v>0</v>
      </c>
      <c r="AQ17" s="8" t="e">
        <f t="shared" si="0"/>
        <v>#DIV/0!</v>
      </c>
    </row>
    <row r="18" spans="1:43" ht="18" customHeight="1" x14ac:dyDescent="0.15">
      <c r="A18" s="6"/>
      <c r="B18" s="11"/>
      <c r="C18" s="63"/>
      <c r="D18" s="64"/>
      <c r="E18" s="65"/>
      <c r="F18" s="66">
        <f t="shared" si="12"/>
        <v>0</v>
      </c>
      <c r="G18" s="67"/>
      <c r="H18" s="68"/>
      <c r="I18" s="66">
        <f t="shared" si="13"/>
        <v>0</v>
      </c>
      <c r="J18" s="67"/>
      <c r="K18" s="68"/>
      <c r="L18" s="66">
        <f t="shared" si="14"/>
        <v>0</v>
      </c>
      <c r="M18" s="67"/>
      <c r="N18" s="68"/>
      <c r="O18" s="66">
        <f t="shared" si="15"/>
        <v>0</v>
      </c>
      <c r="P18" s="67"/>
      <c r="Q18" s="68"/>
      <c r="R18" s="66">
        <f t="shared" si="1"/>
        <v>0</v>
      </c>
      <c r="S18" s="67"/>
      <c r="T18" s="68"/>
      <c r="U18" s="66">
        <f t="shared" si="2"/>
        <v>0</v>
      </c>
      <c r="V18" s="67"/>
      <c r="W18" s="68"/>
      <c r="X18" s="66">
        <f t="shared" si="3"/>
        <v>0</v>
      </c>
      <c r="Y18" s="67"/>
      <c r="Z18" s="68"/>
      <c r="AA18" s="66">
        <f t="shared" si="4"/>
        <v>0</v>
      </c>
      <c r="AB18" s="67"/>
      <c r="AC18" s="68"/>
      <c r="AD18" s="66">
        <f t="shared" si="5"/>
        <v>0</v>
      </c>
      <c r="AE18" s="67"/>
      <c r="AF18" s="68"/>
      <c r="AG18" s="66">
        <f t="shared" si="6"/>
        <v>0</v>
      </c>
      <c r="AH18" s="67"/>
      <c r="AI18" s="68"/>
      <c r="AJ18" s="66">
        <f t="shared" si="7"/>
        <v>0</v>
      </c>
      <c r="AK18" s="67"/>
      <c r="AL18" s="68"/>
      <c r="AM18" s="66">
        <f t="shared" si="8"/>
        <v>0</v>
      </c>
      <c r="AN18" s="67"/>
      <c r="AO18" s="68"/>
      <c r="AP18" s="64">
        <f t="shared" si="9"/>
        <v>0</v>
      </c>
      <c r="AQ18" s="8" t="e">
        <f t="shared" si="0"/>
        <v>#DIV/0!</v>
      </c>
    </row>
    <row r="19" spans="1:43" ht="18" customHeight="1" x14ac:dyDescent="0.15">
      <c r="A19" s="6"/>
      <c r="B19" s="11"/>
      <c r="C19" s="63"/>
      <c r="D19" s="64"/>
      <c r="E19" s="65"/>
      <c r="F19" s="66">
        <f t="shared" si="12"/>
        <v>0</v>
      </c>
      <c r="G19" s="67"/>
      <c r="H19" s="68"/>
      <c r="I19" s="66">
        <f t="shared" si="13"/>
        <v>0</v>
      </c>
      <c r="J19" s="67"/>
      <c r="K19" s="68"/>
      <c r="L19" s="66">
        <f t="shared" si="14"/>
        <v>0</v>
      </c>
      <c r="M19" s="67"/>
      <c r="N19" s="68"/>
      <c r="O19" s="66">
        <f t="shared" si="15"/>
        <v>0</v>
      </c>
      <c r="P19" s="67"/>
      <c r="Q19" s="68"/>
      <c r="R19" s="66">
        <f t="shared" si="1"/>
        <v>0</v>
      </c>
      <c r="S19" s="67"/>
      <c r="T19" s="68"/>
      <c r="U19" s="66">
        <f t="shared" si="2"/>
        <v>0</v>
      </c>
      <c r="V19" s="67"/>
      <c r="W19" s="68"/>
      <c r="X19" s="66">
        <f t="shared" si="3"/>
        <v>0</v>
      </c>
      <c r="Y19" s="67"/>
      <c r="Z19" s="68"/>
      <c r="AA19" s="66">
        <f t="shared" si="4"/>
        <v>0</v>
      </c>
      <c r="AB19" s="67"/>
      <c r="AC19" s="68"/>
      <c r="AD19" s="66">
        <f t="shared" si="5"/>
        <v>0</v>
      </c>
      <c r="AE19" s="67"/>
      <c r="AF19" s="68"/>
      <c r="AG19" s="66">
        <f t="shared" si="6"/>
        <v>0</v>
      </c>
      <c r="AH19" s="67"/>
      <c r="AI19" s="68"/>
      <c r="AJ19" s="66">
        <f t="shared" si="7"/>
        <v>0</v>
      </c>
      <c r="AK19" s="67"/>
      <c r="AL19" s="68"/>
      <c r="AM19" s="66">
        <f t="shared" si="8"/>
        <v>0</v>
      </c>
      <c r="AN19" s="67"/>
      <c r="AO19" s="68"/>
      <c r="AP19" s="64">
        <f t="shared" si="9"/>
        <v>0</v>
      </c>
      <c r="AQ19" s="8" t="e">
        <f t="shared" si="0"/>
        <v>#DIV/0!</v>
      </c>
    </row>
    <row r="20" spans="1:43" ht="18" customHeight="1" x14ac:dyDescent="0.15">
      <c r="A20" s="6"/>
      <c r="B20" s="11"/>
      <c r="C20" s="63"/>
      <c r="D20" s="64"/>
      <c r="E20" s="65"/>
      <c r="F20" s="66">
        <f t="shared" si="12"/>
        <v>0</v>
      </c>
      <c r="G20" s="67"/>
      <c r="H20" s="68"/>
      <c r="I20" s="66">
        <f t="shared" si="13"/>
        <v>0</v>
      </c>
      <c r="J20" s="67"/>
      <c r="K20" s="68"/>
      <c r="L20" s="66">
        <f t="shared" si="14"/>
        <v>0</v>
      </c>
      <c r="M20" s="67"/>
      <c r="N20" s="68"/>
      <c r="O20" s="66">
        <f t="shared" si="15"/>
        <v>0</v>
      </c>
      <c r="P20" s="67"/>
      <c r="Q20" s="68"/>
      <c r="R20" s="66">
        <f t="shared" si="1"/>
        <v>0</v>
      </c>
      <c r="S20" s="67"/>
      <c r="T20" s="68"/>
      <c r="U20" s="66">
        <f t="shared" si="2"/>
        <v>0</v>
      </c>
      <c r="V20" s="67"/>
      <c r="W20" s="68"/>
      <c r="X20" s="66">
        <f t="shared" si="3"/>
        <v>0</v>
      </c>
      <c r="Y20" s="67"/>
      <c r="Z20" s="68"/>
      <c r="AA20" s="66">
        <f t="shared" si="4"/>
        <v>0</v>
      </c>
      <c r="AB20" s="67"/>
      <c r="AC20" s="68"/>
      <c r="AD20" s="66">
        <f t="shared" si="5"/>
        <v>0</v>
      </c>
      <c r="AE20" s="67"/>
      <c r="AF20" s="68"/>
      <c r="AG20" s="66">
        <f t="shared" si="6"/>
        <v>0</v>
      </c>
      <c r="AH20" s="67"/>
      <c r="AI20" s="68"/>
      <c r="AJ20" s="66">
        <f t="shared" si="7"/>
        <v>0</v>
      </c>
      <c r="AK20" s="67"/>
      <c r="AL20" s="68"/>
      <c r="AM20" s="66">
        <f t="shared" si="8"/>
        <v>0</v>
      </c>
      <c r="AN20" s="67"/>
      <c r="AO20" s="68"/>
      <c r="AP20" s="64">
        <f t="shared" si="9"/>
        <v>0</v>
      </c>
      <c r="AQ20" s="8" t="e">
        <f t="shared" si="0"/>
        <v>#DIV/0!</v>
      </c>
    </row>
    <row r="21" spans="1:43" ht="18" customHeight="1" x14ac:dyDescent="0.15">
      <c r="A21" s="6"/>
      <c r="B21" s="11"/>
      <c r="C21" s="63"/>
      <c r="D21" s="64"/>
      <c r="E21" s="65"/>
      <c r="F21" s="66">
        <f t="shared" si="12"/>
        <v>0</v>
      </c>
      <c r="G21" s="67"/>
      <c r="H21" s="68"/>
      <c r="I21" s="66">
        <f t="shared" si="13"/>
        <v>0</v>
      </c>
      <c r="J21" s="67"/>
      <c r="K21" s="68"/>
      <c r="L21" s="66">
        <f t="shared" si="14"/>
        <v>0</v>
      </c>
      <c r="M21" s="67"/>
      <c r="N21" s="68"/>
      <c r="O21" s="66">
        <f t="shared" si="15"/>
        <v>0</v>
      </c>
      <c r="P21" s="67"/>
      <c r="Q21" s="68"/>
      <c r="R21" s="66">
        <f t="shared" si="1"/>
        <v>0</v>
      </c>
      <c r="S21" s="67"/>
      <c r="T21" s="68"/>
      <c r="U21" s="66">
        <f t="shared" si="2"/>
        <v>0</v>
      </c>
      <c r="V21" s="67"/>
      <c r="W21" s="68"/>
      <c r="X21" s="66">
        <f t="shared" si="3"/>
        <v>0</v>
      </c>
      <c r="Y21" s="67"/>
      <c r="Z21" s="68"/>
      <c r="AA21" s="66">
        <f t="shared" si="4"/>
        <v>0</v>
      </c>
      <c r="AB21" s="67"/>
      <c r="AC21" s="68"/>
      <c r="AD21" s="66">
        <f t="shared" si="5"/>
        <v>0</v>
      </c>
      <c r="AE21" s="67"/>
      <c r="AF21" s="68"/>
      <c r="AG21" s="66">
        <f t="shared" si="6"/>
        <v>0</v>
      </c>
      <c r="AH21" s="67"/>
      <c r="AI21" s="68"/>
      <c r="AJ21" s="66">
        <f t="shared" si="7"/>
        <v>0</v>
      </c>
      <c r="AK21" s="67"/>
      <c r="AL21" s="68"/>
      <c r="AM21" s="66">
        <f t="shared" si="8"/>
        <v>0</v>
      </c>
      <c r="AN21" s="67"/>
      <c r="AO21" s="68"/>
      <c r="AP21" s="64">
        <f t="shared" si="9"/>
        <v>0</v>
      </c>
      <c r="AQ21" s="8" t="e">
        <f t="shared" si="0"/>
        <v>#DIV/0!</v>
      </c>
    </row>
    <row r="22" spans="1:43" ht="18" customHeight="1" x14ac:dyDescent="0.15">
      <c r="A22" s="6"/>
      <c r="B22" s="11"/>
      <c r="C22" s="63"/>
      <c r="D22" s="64"/>
      <c r="E22" s="65"/>
      <c r="F22" s="66">
        <f t="shared" si="12"/>
        <v>0</v>
      </c>
      <c r="G22" s="67"/>
      <c r="H22" s="68"/>
      <c r="I22" s="66">
        <f t="shared" si="13"/>
        <v>0</v>
      </c>
      <c r="J22" s="67"/>
      <c r="K22" s="68"/>
      <c r="L22" s="66">
        <f t="shared" si="14"/>
        <v>0</v>
      </c>
      <c r="M22" s="67"/>
      <c r="N22" s="68"/>
      <c r="O22" s="66">
        <f t="shared" si="15"/>
        <v>0</v>
      </c>
      <c r="P22" s="67"/>
      <c r="Q22" s="68"/>
      <c r="R22" s="66">
        <f t="shared" si="1"/>
        <v>0</v>
      </c>
      <c r="S22" s="67"/>
      <c r="T22" s="68"/>
      <c r="U22" s="66">
        <f t="shared" si="2"/>
        <v>0</v>
      </c>
      <c r="V22" s="67"/>
      <c r="W22" s="68"/>
      <c r="X22" s="66">
        <f t="shared" si="3"/>
        <v>0</v>
      </c>
      <c r="Y22" s="67"/>
      <c r="Z22" s="68"/>
      <c r="AA22" s="66">
        <f t="shared" si="4"/>
        <v>0</v>
      </c>
      <c r="AB22" s="67"/>
      <c r="AC22" s="68"/>
      <c r="AD22" s="66">
        <f t="shared" si="5"/>
        <v>0</v>
      </c>
      <c r="AE22" s="67"/>
      <c r="AF22" s="68"/>
      <c r="AG22" s="66">
        <f t="shared" si="6"/>
        <v>0</v>
      </c>
      <c r="AH22" s="67"/>
      <c r="AI22" s="68"/>
      <c r="AJ22" s="66">
        <f t="shared" si="7"/>
        <v>0</v>
      </c>
      <c r="AK22" s="67"/>
      <c r="AL22" s="68"/>
      <c r="AM22" s="66">
        <f t="shared" si="8"/>
        <v>0</v>
      </c>
      <c r="AN22" s="67"/>
      <c r="AO22" s="68"/>
      <c r="AP22" s="64">
        <f t="shared" si="9"/>
        <v>0</v>
      </c>
      <c r="AQ22" s="8" t="e">
        <f t="shared" si="0"/>
        <v>#DIV/0!</v>
      </c>
    </row>
    <row r="23" spans="1:43" ht="18" customHeight="1" x14ac:dyDescent="0.15">
      <c r="A23" s="6"/>
      <c r="B23" s="11"/>
      <c r="C23" s="63"/>
      <c r="D23" s="64"/>
      <c r="E23" s="65"/>
      <c r="F23" s="66">
        <f t="shared" si="12"/>
        <v>0</v>
      </c>
      <c r="G23" s="67"/>
      <c r="H23" s="68"/>
      <c r="I23" s="66">
        <f t="shared" si="13"/>
        <v>0</v>
      </c>
      <c r="J23" s="67"/>
      <c r="K23" s="68"/>
      <c r="L23" s="66">
        <f t="shared" si="14"/>
        <v>0</v>
      </c>
      <c r="M23" s="67"/>
      <c r="N23" s="68"/>
      <c r="O23" s="66">
        <f t="shared" si="15"/>
        <v>0</v>
      </c>
      <c r="P23" s="67"/>
      <c r="Q23" s="68"/>
      <c r="R23" s="66">
        <f t="shared" si="1"/>
        <v>0</v>
      </c>
      <c r="S23" s="67"/>
      <c r="T23" s="68"/>
      <c r="U23" s="66">
        <f t="shared" si="2"/>
        <v>0</v>
      </c>
      <c r="V23" s="67"/>
      <c r="W23" s="68"/>
      <c r="X23" s="66">
        <f t="shared" si="3"/>
        <v>0</v>
      </c>
      <c r="Y23" s="67"/>
      <c r="Z23" s="68"/>
      <c r="AA23" s="66">
        <f t="shared" si="4"/>
        <v>0</v>
      </c>
      <c r="AB23" s="67"/>
      <c r="AC23" s="68"/>
      <c r="AD23" s="66">
        <f t="shared" si="5"/>
        <v>0</v>
      </c>
      <c r="AE23" s="67"/>
      <c r="AF23" s="68"/>
      <c r="AG23" s="66">
        <f t="shared" si="6"/>
        <v>0</v>
      </c>
      <c r="AH23" s="67"/>
      <c r="AI23" s="68"/>
      <c r="AJ23" s="66">
        <f t="shared" si="7"/>
        <v>0</v>
      </c>
      <c r="AK23" s="67"/>
      <c r="AL23" s="68"/>
      <c r="AM23" s="66">
        <f t="shared" si="8"/>
        <v>0</v>
      </c>
      <c r="AN23" s="67"/>
      <c r="AO23" s="68"/>
      <c r="AP23" s="64">
        <f t="shared" si="9"/>
        <v>0</v>
      </c>
      <c r="AQ23" s="8" t="e">
        <f t="shared" si="0"/>
        <v>#DIV/0!</v>
      </c>
    </row>
    <row r="24" spans="1:43" ht="18" customHeight="1" x14ac:dyDescent="0.15">
      <c r="A24" s="6"/>
      <c r="B24" s="11"/>
      <c r="C24" s="63"/>
      <c r="D24" s="64"/>
      <c r="E24" s="65"/>
      <c r="F24" s="66">
        <f t="shared" si="12"/>
        <v>0</v>
      </c>
      <c r="G24" s="67"/>
      <c r="H24" s="68"/>
      <c r="I24" s="66">
        <f t="shared" si="13"/>
        <v>0</v>
      </c>
      <c r="J24" s="67"/>
      <c r="K24" s="68"/>
      <c r="L24" s="66">
        <f t="shared" si="14"/>
        <v>0</v>
      </c>
      <c r="M24" s="67"/>
      <c r="N24" s="68"/>
      <c r="O24" s="66">
        <f t="shared" si="15"/>
        <v>0</v>
      </c>
      <c r="P24" s="67"/>
      <c r="Q24" s="68"/>
      <c r="R24" s="66">
        <f t="shared" si="1"/>
        <v>0</v>
      </c>
      <c r="S24" s="67"/>
      <c r="T24" s="68"/>
      <c r="U24" s="66">
        <f t="shared" si="2"/>
        <v>0</v>
      </c>
      <c r="V24" s="67"/>
      <c r="W24" s="68"/>
      <c r="X24" s="66">
        <f t="shared" si="3"/>
        <v>0</v>
      </c>
      <c r="Y24" s="67"/>
      <c r="Z24" s="68"/>
      <c r="AA24" s="66">
        <f t="shared" si="4"/>
        <v>0</v>
      </c>
      <c r="AB24" s="67"/>
      <c r="AC24" s="68"/>
      <c r="AD24" s="66">
        <f t="shared" si="5"/>
        <v>0</v>
      </c>
      <c r="AE24" s="67"/>
      <c r="AF24" s="68"/>
      <c r="AG24" s="66">
        <f t="shared" si="6"/>
        <v>0</v>
      </c>
      <c r="AH24" s="67"/>
      <c r="AI24" s="68"/>
      <c r="AJ24" s="66">
        <f t="shared" si="7"/>
        <v>0</v>
      </c>
      <c r="AK24" s="67"/>
      <c r="AL24" s="68"/>
      <c r="AM24" s="66">
        <f t="shared" si="8"/>
        <v>0</v>
      </c>
      <c r="AN24" s="67"/>
      <c r="AO24" s="68"/>
      <c r="AP24" s="64">
        <f t="shared" si="9"/>
        <v>0</v>
      </c>
      <c r="AQ24" s="8" t="e">
        <f t="shared" si="0"/>
        <v>#DIV/0!</v>
      </c>
    </row>
    <row r="25" spans="1:43" ht="18" customHeight="1" x14ac:dyDescent="0.15">
      <c r="A25" s="6"/>
      <c r="B25" s="11"/>
      <c r="C25" s="63"/>
      <c r="D25" s="64"/>
      <c r="E25" s="65"/>
      <c r="F25" s="66">
        <f t="shared" si="12"/>
        <v>0</v>
      </c>
      <c r="G25" s="67"/>
      <c r="H25" s="68"/>
      <c r="I25" s="66">
        <f t="shared" si="13"/>
        <v>0</v>
      </c>
      <c r="J25" s="67"/>
      <c r="K25" s="68"/>
      <c r="L25" s="66">
        <f t="shared" si="14"/>
        <v>0</v>
      </c>
      <c r="M25" s="67"/>
      <c r="N25" s="68"/>
      <c r="O25" s="66">
        <f t="shared" si="15"/>
        <v>0</v>
      </c>
      <c r="P25" s="67"/>
      <c r="Q25" s="68"/>
      <c r="R25" s="66">
        <f t="shared" si="1"/>
        <v>0</v>
      </c>
      <c r="S25" s="67"/>
      <c r="T25" s="68"/>
      <c r="U25" s="66">
        <f t="shared" si="2"/>
        <v>0</v>
      </c>
      <c r="V25" s="67"/>
      <c r="W25" s="68"/>
      <c r="X25" s="66">
        <f t="shared" si="3"/>
        <v>0</v>
      </c>
      <c r="Y25" s="67"/>
      <c r="Z25" s="68"/>
      <c r="AA25" s="66">
        <f t="shared" si="4"/>
        <v>0</v>
      </c>
      <c r="AB25" s="67"/>
      <c r="AC25" s="68"/>
      <c r="AD25" s="66">
        <f t="shared" si="5"/>
        <v>0</v>
      </c>
      <c r="AE25" s="67"/>
      <c r="AF25" s="68"/>
      <c r="AG25" s="66">
        <f t="shared" si="6"/>
        <v>0</v>
      </c>
      <c r="AH25" s="67"/>
      <c r="AI25" s="68"/>
      <c r="AJ25" s="66">
        <f t="shared" si="7"/>
        <v>0</v>
      </c>
      <c r="AK25" s="67"/>
      <c r="AL25" s="68"/>
      <c r="AM25" s="66">
        <f t="shared" si="8"/>
        <v>0</v>
      </c>
      <c r="AN25" s="67"/>
      <c r="AO25" s="68"/>
      <c r="AP25" s="64">
        <f t="shared" si="9"/>
        <v>0</v>
      </c>
      <c r="AQ25" s="8" t="e">
        <f t="shared" si="0"/>
        <v>#DIV/0!</v>
      </c>
    </row>
    <row r="26" spans="1:43" ht="18" customHeight="1" x14ac:dyDescent="0.15">
      <c r="A26" s="6"/>
      <c r="B26" s="11"/>
      <c r="C26" s="63"/>
      <c r="D26" s="64"/>
      <c r="E26" s="65"/>
      <c r="F26" s="66">
        <f t="shared" si="12"/>
        <v>0</v>
      </c>
      <c r="G26" s="67"/>
      <c r="H26" s="68"/>
      <c r="I26" s="66">
        <f t="shared" si="13"/>
        <v>0</v>
      </c>
      <c r="J26" s="67"/>
      <c r="K26" s="68"/>
      <c r="L26" s="66">
        <f t="shared" si="14"/>
        <v>0</v>
      </c>
      <c r="M26" s="67"/>
      <c r="N26" s="68"/>
      <c r="O26" s="66">
        <f t="shared" si="15"/>
        <v>0</v>
      </c>
      <c r="P26" s="67"/>
      <c r="Q26" s="68"/>
      <c r="R26" s="66">
        <f t="shared" si="1"/>
        <v>0</v>
      </c>
      <c r="S26" s="67"/>
      <c r="T26" s="68"/>
      <c r="U26" s="66">
        <f t="shared" si="2"/>
        <v>0</v>
      </c>
      <c r="V26" s="67"/>
      <c r="W26" s="68"/>
      <c r="X26" s="66">
        <f t="shared" si="3"/>
        <v>0</v>
      </c>
      <c r="Y26" s="67"/>
      <c r="Z26" s="68"/>
      <c r="AA26" s="66">
        <f t="shared" si="4"/>
        <v>0</v>
      </c>
      <c r="AB26" s="67"/>
      <c r="AC26" s="68"/>
      <c r="AD26" s="66">
        <f t="shared" si="5"/>
        <v>0</v>
      </c>
      <c r="AE26" s="67"/>
      <c r="AF26" s="68"/>
      <c r="AG26" s="66">
        <f t="shared" si="6"/>
        <v>0</v>
      </c>
      <c r="AH26" s="67"/>
      <c r="AI26" s="68"/>
      <c r="AJ26" s="66">
        <f t="shared" si="7"/>
        <v>0</v>
      </c>
      <c r="AK26" s="67"/>
      <c r="AL26" s="68"/>
      <c r="AM26" s="66">
        <f t="shared" si="8"/>
        <v>0</v>
      </c>
      <c r="AN26" s="67"/>
      <c r="AO26" s="68"/>
      <c r="AP26" s="64">
        <f t="shared" si="9"/>
        <v>0</v>
      </c>
      <c r="AQ26" s="8" t="e">
        <f t="shared" si="0"/>
        <v>#DIV/0!</v>
      </c>
    </row>
    <row r="27" spans="1:43" ht="18" customHeight="1" x14ac:dyDescent="0.15">
      <c r="A27" s="6"/>
      <c r="B27" s="11"/>
      <c r="C27" s="63"/>
      <c r="D27" s="64"/>
      <c r="E27" s="65"/>
      <c r="F27" s="66">
        <f t="shared" si="12"/>
        <v>0</v>
      </c>
      <c r="G27" s="67"/>
      <c r="H27" s="68"/>
      <c r="I27" s="66">
        <f t="shared" si="13"/>
        <v>0</v>
      </c>
      <c r="J27" s="67"/>
      <c r="K27" s="68"/>
      <c r="L27" s="66">
        <f t="shared" si="14"/>
        <v>0</v>
      </c>
      <c r="M27" s="67"/>
      <c r="N27" s="68"/>
      <c r="O27" s="66">
        <f t="shared" si="15"/>
        <v>0</v>
      </c>
      <c r="P27" s="67"/>
      <c r="Q27" s="68"/>
      <c r="R27" s="66">
        <f t="shared" si="1"/>
        <v>0</v>
      </c>
      <c r="S27" s="67"/>
      <c r="T27" s="68"/>
      <c r="U27" s="66">
        <f t="shared" si="2"/>
        <v>0</v>
      </c>
      <c r="V27" s="67"/>
      <c r="W27" s="68"/>
      <c r="X27" s="66">
        <f t="shared" si="3"/>
        <v>0</v>
      </c>
      <c r="Y27" s="67"/>
      <c r="Z27" s="68"/>
      <c r="AA27" s="66">
        <f t="shared" si="4"/>
        <v>0</v>
      </c>
      <c r="AB27" s="67"/>
      <c r="AC27" s="68"/>
      <c r="AD27" s="66">
        <f t="shared" si="5"/>
        <v>0</v>
      </c>
      <c r="AE27" s="67"/>
      <c r="AF27" s="68"/>
      <c r="AG27" s="66">
        <f t="shared" si="6"/>
        <v>0</v>
      </c>
      <c r="AH27" s="67"/>
      <c r="AI27" s="68"/>
      <c r="AJ27" s="66">
        <f t="shared" si="7"/>
        <v>0</v>
      </c>
      <c r="AK27" s="67"/>
      <c r="AL27" s="68"/>
      <c r="AM27" s="66">
        <f t="shared" si="8"/>
        <v>0</v>
      </c>
      <c r="AN27" s="67"/>
      <c r="AO27" s="68"/>
      <c r="AP27" s="64">
        <f t="shared" si="9"/>
        <v>0</v>
      </c>
      <c r="AQ27" s="8" t="e">
        <f t="shared" si="0"/>
        <v>#DIV/0!</v>
      </c>
    </row>
    <row r="28" spans="1:43" ht="18" customHeight="1" x14ac:dyDescent="0.15">
      <c r="A28" s="6"/>
      <c r="B28" s="11"/>
      <c r="C28" s="63"/>
      <c r="D28" s="64"/>
      <c r="E28" s="65"/>
      <c r="F28" s="66">
        <f t="shared" si="12"/>
        <v>0</v>
      </c>
      <c r="G28" s="67"/>
      <c r="H28" s="68"/>
      <c r="I28" s="66">
        <f t="shared" si="13"/>
        <v>0</v>
      </c>
      <c r="J28" s="67"/>
      <c r="K28" s="68"/>
      <c r="L28" s="66">
        <f t="shared" si="14"/>
        <v>0</v>
      </c>
      <c r="M28" s="67"/>
      <c r="N28" s="68"/>
      <c r="O28" s="66">
        <f t="shared" si="15"/>
        <v>0</v>
      </c>
      <c r="P28" s="67"/>
      <c r="Q28" s="68"/>
      <c r="R28" s="66">
        <f t="shared" si="1"/>
        <v>0</v>
      </c>
      <c r="S28" s="67"/>
      <c r="T28" s="68"/>
      <c r="U28" s="66">
        <f t="shared" si="2"/>
        <v>0</v>
      </c>
      <c r="V28" s="67"/>
      <c r="W28" s="68"/>
      <c r="X28" s="66">
        <f t="shared" si="3"/>
        <v>0</v>
      </c>
      <c r="Y28" s="67"/>
      <c r="Z28" s="68"/>
      <c r="AA28" s="66">
        <f t="shared" si="4"/>
        <v>0</v>
      </c>
      <c r="AB28" s="67"/>
      <c r="AC28" s="68"/>
      <c r="AD28" s="66">
        <f t="shared" si="5"/>
        <v>0</v>
      </c>
      <c r="AE28" s="67"/>
      <c r="AF28" s="68"/>
      <c r="AG28" s="66">
        <f t="shared" si="6"/>
        <v>0</v>
      </c>
      <c r="AH28" s="67"/>
      <c r="AI28" s="68"/>
      <c r="AJ28" s="66">
        <f t="shared" si="7"/>
        <v>0</v>
      </c>
      <c r="AK28" s="67"/>
      <c r="AL28" s="68"/>
      <c r="AM28" s="66">
        <f t="shared" si="8"/>
        <v>0</v>
      </c>
      <c r="AN28" s="67"/>
      <c r="AO28" s="68"/>
      <c r="AP28" s="64">
        <f t="shared" si="9"/>
        <v>0</v>
      </c>
      <c r="AQ28" s="8" t="e">
        <f t="shared" si="0"/>
        <v>#DIV/0!</v>
      </c>
    </row>
    <row r="29" spans="1:43" ht="18" customHeight="1" x14ac:dyDescent="0.15">
      <c r="A29" s="6"/>
      <c r="B29" s="11"/>
      <c r="C29" s="63"/>
      <c r="D29" s="69"/>
      <c r="E29" s="65"/>
      <c r="F29" s="66">
        <f t="shared" si="12"/>
        <v>0</v>
      </c>
      <c r="G29" s="67"/>
      <c r="H29" s="68"/>
      <c r="I29" s="66">
        <f t="shared" si="13"/>
        <v>0</v>
      </c>
      <c r="J29" s="67"/>
      <c r="K29" s="68"/>
      <c r="L29" s="66">
        <f t="shared" si="14"/>
        <v>0</v>
      </c>
      <c r="M29" s="67"/>
      <c r="N29" s="68"/>
      <c r="O29" s="66">
        <f t="shared" si="15"/>
        <v>0</v>
      </c>
      <c r="P29" s="67"/>
      <c r="Q29" s="68"/>
      <c r="R29" s="66">
        <f t="shared" si="1"/>
        <v>0</v>
      </c>
      <c r="S29" s="67"/>
      <c r="T29" s="68"/>
      <c r="U29" s="66">
        <f t="shared" si="2"/>
        <v>0</v>
      </c>
      <c r="V29" s="67"/>
      <c r="W29" s="68"/>
      <c r="X29" s="66">
        <f t="shared" si="3"/>
        <v>0</v>
      </c>
      <c r="Y29" s="67"/>
      <c r="Z29" s="68"/>
      <c r="AA29" s="66">
        <f t="shared" si="4"/>
        <v>0</v>
      </c>
      <c r="AB29" s="67"/>
      <c r="AC29" s="68"/>
      <c r="AD29" s="66">
        <f t="shared" si="5"/>
        <v>0</v>
      </c>
      <c r="AE29" s="67"/>
      <c r="AF29" s="68"/>
      <c r="AG29" s="66">
        <f t="shared" si="6"/>
        <v>0</v>
      </c>
      <c r="AH29" s="67"/>
      <c r="AI29" s="68"/>
      <c r="AJ29" s="66">
        <f t="shared" si="7"/>
        <v>0</v>
      </c>
      <c r="AK29" s="67"/>
      <c r="AL29" s="68"/>
      <c r="AM29" s="66">
        <f t="shared" si="8"/>
        <v>0</v>
      </c>
      <c r="AN29" s="67"/>
      <c r="AO29" s="68"/>
      <c r="AP29" s="69">
        <f t="shared" si="9"/>
        <v>0</v>
      </c>
      <c r="AQ29" s="8" t="e">
        <f t="shared" si="0"/>
        <v>#DIV/0!</v>
      </c>
    </row>
    <row r="30" spans="1:43" ht="18" customHeight="1" x14ac:dyDescent="0.15">
      <c r="A30" s="6"/>
      <c r="B30" s="11"/>
      <c r="C30" s="63"/>
      <c r="D30" s="69"/>
      <c r="E30" s="65"/>
      <c r="F30" s="66">
        <f t="shared" si="12"/>
        <v>0</v>
      </c>
      <c r="G30" s="67"/>
      <c r="H30" s="68"/>
      <c r="I30" s="66">
        <f t="shared" si="13"/>
        <v>0</v>
      </c>
      <c r="J30" s="67"/>
      <c r="K30" s="68"/>
      <c r="L30" s="66">
        <f t="shared" si="14"/>
        <v>0</v>
      </c>
      <c r="M30" s="67"/>
      <c r="N30" s="68"/>
      <c r="O30" s="66">
        <f t="shared" si="15"/>
        <v>0</v>
      </c>
      <c r="P30" s="67"/>
      <c r="Q30" s="68"/>
      <c r="R30" s="66">
        <f t="shared" si="1"/>
        <v>0</v>
      </c>
      <c r="S30" s="67"/>
      <c r="T30" s="68"/>
      <c r="U30" s="66">
        <f t="shared" si="2"/>
        <v>0</v>
      </c>
      <c r="V30" s="67"/>
      <c r="W30" s="68"/>
      <c r="X30" s="66">
        <f t="shared" si="3"/>
        <v>0</v>
      </c>
      <c r="Y30" s="67"/>
      <c r="Z30" s="68"/>
      <c r="AA30" s="66">
        <f t="shared" si="4"/>
        <v>0</v>
      </c>
      <c r="AB30" s="67"/>
      <c r="AC30" s="68"/>
      <c r="AD30" s="66">
        <f t="shared" si="5"/>
        <v>0</v>
      </c>
      <c r="AE30" s="67"/>
      <c r="AF30" s="68"/>
      <c r="AG30" s="66">
        <f t="shared" si="6"/>
        <v>0</v>
      </c>
      <c r="AH30" s="67"/>
      <c r="AI30" s="68"/>
      <c r="AJ30" s="66">
        <f t="shared" si="7"/>
        <v>0</v>
      </c>
      <c r="AK30" s="67"/>
      <c r="AL30" s="68"/>
      <c r="AM30" s="66">
        <f t="shared" si="8"/>
        <v>0</v>
      </c>
      <c r="AN30" s="67"/>
      <c r="AO30" s="68"/>
      <c r="AP30" s="69">
        <f t="shared" si="9"/>
        <v>0</v>
      </c>
      <c r="AQ30" s="8" t="e">
        <f t="shared" si="0"/>
        <v>#DIV/0!</v>
      </c>
    </row>
    <row r="31" spans="1:43" ht="18" customHeight="1" thickBot="1" x14ac:dyDescent="0.2">
      <c r="A31" s="6"/>
      <c r="B31" s="12"/>
      <c r="C31" s="58"/>
      <c r="D31" s="70"/>
      <c r="E31" s="60"/>
      <c r="F31" s="60">
        <f t="shared" si="12"/>
        <v>0</v>
      </c>
      <c r="G31" s="71"/>
      <c r="H31" s="72"/>
      <c r="I31" s="60">
        <f t="shared" si="13"/>
        <v>0</v>
      </c>
      <c r="J31" s="71"/>
      <c r="K31" s="72"/>
      <c r="L31" s="60">
        <f t="shared" si="14"/>
        <v>0</v>
      </c>
      <c r="M31" s="71"/>
      <c r="N31" s="72"/>
      <c r="O31" s="60">
        <f t="shared" si="15"/>
        <v>0</v>
      </c>
      <c r="P31" s="71"/>
      <c r="Q31" s="72"/>
      <c r="R31" s="60">
        <f t="shared" si="1"/>
        <v>0</v>
      </c>
      <c r="S31" s="71"/>
      <c r="T31" s="72"/>
      <c r="U31" s="60">
        <f t="shared" si="2"/>
        <v>0</v>
      </c>
      <c r="V31" s="71"/>
      <c r="W31" s="72"/>
      <c r="X31" s="60">
        <f t="shared" si="3"/>
        <v>0</v>
      </c>
      <c r="Y31" s="71"/>
      <c r="Z31" s="72"/>
      <c r="AA31" s="60">
        <f t="shared" si="4"/>
        <v>0</v>
      </c>
      <c r="AB31" s="71"/>
      <c r="AC31" s="72"/>
      <c r="AD31" s="60">
        <f t="shared" si="5"/>
        <v>0</v>
      </c>
      <c r="AE31" s="71"/>
      <c r="AF31" s="72"/>
      <c r="AG31" s="60">
        <f t="shared" si="6"/>
        <v>0</v>
      </c>
      <c r="AH31" s="71"/>
      <c r="AI31" s="72"/>
      <c r="AJ31" s="60">
        <f t="shared" si="7"/>
        <v>0</v>
      </c>
      <c r="AK31" s="71"/>
      <c r="AL31" s="72"/>
      <c r="AM31" s="60">
        <f t="shared" si="8"/>
        <v>0</v>
      </c>
      <c r="AN31" s="71"/>
      <c r="AO31" s="72"/>
      <c r="AP31" s="70">
        <f t="shared" si="9"/>
        <v>0</v>
      </c>
      <c r="AQ31" s="7" t="e">
        <f t="shared" si="0"/>
        <v>#DIV/0!</v>
      </c>
    </row>
    <row r="32" spans="1:43" ht="18" customHeight="1" thickTop="1" x14ac:dyDescent="0.15">
      <c r="B32" s="13" t="s">
        <v>33</v>
      </c>
      <c r="C32" s="73">
        <f t="shared" ref="C32" si="16">SUM(C12:C31)</f>
        <v>1917</v>
      </c>
      <c r="D32" s="74">
        <f t="shared" ref="D32:AP32" si="17">SUM(D12:D31)</f>
        <v>540</v>
      </c>
      <c r="E32" s="75">
        <f t="shared" si="17"/>
        <v>2200</v>
      </c>
      <c r="F32" s="75">
        <f t="shared" si="17"/>
        <v>476</v>
      </c>
      <c r="G32" s="76">
        <f t="shared" si="17"/>
        <v>0</v>
      </c>
      <c r="H32" s="77">
        <f t="shared" si="17"/>
        <v>0</v>
      </c>
      <c r="I32" s="75">
        <f t="shared" ref="I32:N32" si="18">SUM(I12:I31)</f>
        <v>461</v>
      </c>
      <c r="J32" s="76">
        <f t="shared" si="18"/>
        <v>0</v>
      </c>
      <c r="K32" s="77">
        <f t="shared" si="18"/>
        <v>0</v>
      </c>
      <c r="L32" s="75">
        <f t="shared" si="18"/>
        <v>0</v>
      </c>
      <c r="M32" s="76">
        <f t="shared" si="18"/>
        <v>0</v>
      </c>
      <c r="N32" s="77">
        <f t="shared" si="18"/>
        <v>0</v>
      </c>
      <c r="O32" s="75">
        <f t="shared" ref="O32:T32" si="19">SUM(O12:O31)</f>
        <v>0</v>
      </c>
      <c r="P32" s="76">
        <f t="shared" si="19"/>
        <v>0</v>
      </c>
      <c r="Q32" s="77">
        <f t="shared" si="19"/>
        <v>0</v>
      </c>
      <c r="R32" s="75">
        <f t="shared" si="19"/>
        <v>0</v>
      </c>
      <c r="S32" s="76">
        <f t="shared" si="19"/>
        <v>0</v>
      </c>
      <c r="T32" s="77">
        <f t="shared" si="19"/>
        <v>0</v>
      </c>
      <c r="U32" s="75">
        <f t="shared" ref="U32:AI32" si="20">SUM(U12:U31)</f>
        <v>0</v>
      </c>
      <c r="V32" s="76">
        <f t="shared" si="20"/>
        <v>0</v>
      </c>
      <c r="W32" s="77">
        <f t="shared" si="20"/>
        <v>0</v>
      </c>
      <c r="X32" s="75">
        <f t="shared" si="20"/>
        <v>0</v>
      </c>
      <c r="Y32" s="76">
        <f t="shared" si="20"/>
        <v>0</v>
      </c>
      <c r="Z32" s="77">
        <f t="shared" si="20"/>
        <v>0</v>
      </c>
      <c r="AA32" s="75">
        <f t="shared" si="20"/>
        <v>0</v>
      </c>
      <c r="AB32" s="76">
        <f t="shared" si="20"/>
        <v>0</v>
      </c>
      <c r="AC32" s="77">
        <f t="shared" si="20"/>
        <v>0</v>
      </c>
      <c r="AD32" s="75">
        <f t="shared" si="20"/>
        <v>0</v>
      </c>
      <c r="AE32" s="76">
        <f t="shared" si="20"/>
        <v>0</v>
      </c>
      <c r="AF32" s="77">
        <f t="shared" si="20"/>
        <v>0</v>
      </c>
      <c r="AG32" s="75">
        <f t="shared" si="20"/>
        <v>0</v>
      </c>
      <c r="AH32" s="76">
        <f t="shared" si="20"/>
        <v>0</v>
      </c>
      <c r="AI32" s="77">
        <f t="shared" si="20"/>
        <v>0</v>
      </c>
      <c r="AJ32" s="75">
        <f t="shared" ref="AJ32:AO32" si="21">SUM(AJ12:AJ31)</f>
        <v>0</v>
      </c>
      <c r="AK32" s="76">
        <f t="shared" si="21"/>
        <v>0</v>
      </c>
      <c r="AL32" s="77">
        <f t="shared" si="21"/>
        <v>0</v>
      </c>
      <c r="AM32" s="75">
        <f t="shared" si="21"/>
        <v>0</v>
      </c>
      <c r="AN32" s="76">
        <f t="shared" si="21"/>
        <v>0</v>
      </c>
      <c r="AO32" s="77">
        <f t="shared" si="21"/>
        <v>0</v>
      </c>
      <c r="AP32" s="74">
        <f t="shared" si="17"/>
        <v>476</v>
      </c>
      <c r="AQ32" s="9">
        <f t="shared" si="0"/>
        <v>0.21636363636363637</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topLeftCell="A37" zoomScale="115" zoomScaleNormal="100" zoomScaleSheetLayoutView="115" workbookViewId="0">
      <selection activeCell="H49" sqref="H49"/>
    </sheetView>
  </sheetViews>
  <sheetFormatPr defaultColWidth="11.375" defaultRowHeight="18.75" customHeight="1" x14ac:dyDescent="0.15"/>
  <cols>
    <col min="1" max="1" width="2.75" style="39"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9" t="s">
        <v>65</v>
      </c>
      <c r="I1" s="34" t="s">
        <v>106</v>
      </c>
    </row>
    <row r="2" spans="1:9" ht="18.75" customHeight="1" x14ac:dyDescent="0.15">
      <c r="B2" s="88"/>
      <c r="C2" s="88"/>
      <c r="D2" s="88"/>
      <c r="E2" s="88"/>
      <c r="F2" s="88"/>
      <c r="G2" s="87" t="s">
        <v>109</v>
      </c>
      <c r="H2" s="103" t="str">
        <f>'様式１　プログラムを構成する授業科目'!C2</f>
        <v>西九州大学</v>
      </c>
      <c r="I2" s="105"/>
    </row>
    <row r="3" spans="1:9" ht="18.75" customHeight="1" x14ac:dyDescent="0.15">
      <c r="B3" s="88"/>
      <c r="C3" s="88"/>
      <c r="D3" s="88"/>
      <c r="E3" s="88"/>
      <c r="F3" s="88"/>
      <c r="G3" s="87"/>
      <c r="H3" s="10"/>
      <c r="I3" s="10"/>
    </row>
    <row r="4" spans="1:9" ht="18.600000000000001" customHeight="1" x14ac:dyDescent="0.15">
      <c r="A4" s="154" t="s">
        <v>36</v>
      </c>
      <c r="B4" s="154"/>
      <c r="C4" s="154"/>
      <c r="D4" s="154"/>
      <c r="E4" s="154"/>
      <c r="F4" s="154"/>
      <c r="G4" s="154"/>
      <c r="H4" s="154"/>
      <c r="I4" s="154"/>
    </row>
    <row r="5" spans="1:9" ht="13.15" customHeight="1" x14ac:dyDescent="0.15">
      <c r="B5" s="89"/>
      <c r="C5" s="89"/>
      <c r="D5" s="89"/>
      <c r="E5" s="89"/>
      <c r="F5" s="89"/>
      <c r="G5" s="89"/>
      <c r="H5" s="89"/>
      <c r="I5" s="89"/>
    </row>
    <row r="6" spans="1:9" ht="18" customHeight="1" x14ac:dyDescent="0.15">
      <c r="A6" s="88" t="s">
        <v>0</v>
      </c>
      <c r="B6" s="10" t="s">
        <v>91</v>
      </c>
      <c r="C6" s="220" t="s">
        <v>92</v>
      </c>
      <c r="D6" s="220"/>
      <c r="E6" s="90">
        <v>115</v>
      </c>
      <c r="F6" s="89" t="s">
        <v>1</v>
      </c>
      <c r="G6" s="89" t="s">
        <v>2</v>
      </c>
      <c r="H6" s="90">
        <v>220</v>
      </c>
      <c r="I6" s="10" t="s">
        <v>1</v>
      </c>
    </row>
    <row r="7" spans="1:9" ht="12" customHeight="1" x14ac:dyDescent="0.15">
      <c r="B7" s="88"/>
      <c r="C7" s="2"/>
      <c r="D7" s="2"/>
      <c r="E7" s="2"/>
      <c r="F7" s="2"/>
      <c r="G7" s="2"/>
      <c r="H7" s="2"/>
      <c r="I7" s="40"/>
    </row>
    <row r="8" spans="1:9" ht="18" customHeight="1" x14ac:dyDescent="0.15">
      <c r="A8" s="88" t="s">
        <v>3</v>
      </c>
      <c r="B8" s="10" t="s">
        <v>93</v>
      </c>
      <c r="C8" s="88"/>
      <c r="D8" s="88"/>
      <c r="E8" s="89"/>
      <c r="F8" s="89"/>
      <c r="G8" s="89"/>
      <c r="H8" s="90">
        <v>74</v>
      </c>
      <c r="I8" s="10" t="s">
        <v>1</v>
      </c>
    </row>
    <row r="9" spans="1:9" ht="9" customHeight="1" x14ac:dyDescent="0.15">
      <c r="B9" s="89"/>
      <c r="C9" s="89"/>
      <c r="D9" s="89"/>
      <c r="E9" s="89"/>
      <c r="F9" s="89"/>
      <c r="G9" s="89"/>
      <c r="H9" s="89"/>
      <c r="I9" s="89"/>
    </row>
    <row r="10" spans="1:9" ht="18" customHeight="1" x14ac:dyDescent="0.15">
      <c r="A10" s="88" t="s">
        <v>4</v>
      </c>
      <c r="B10" s="10" t="s">
        <v>94</v>
      </c>
      <c r="C10" s="89"/>
      <c r="D10" s="89"/>
      <c r="E10" s="89"/>
      <c r="F10" s="89"/>
      <c r="G10" s="89"/>
      <c r="H10" s="89"/>
      <c r="I10" s="89"/>
    </row>
    <row r="11" spans="1:9" ht="18" customHeight="1" x14ac:dyDescent="0.15">
      <c r="B11" s="87" t="s">
        <v>43</v>
      </c>
      <c r="C11" s="215" t="s">
        <v>167</v>
      </c>
      <c r="D11" s="218"/>
      <c r="E11" s="219"/>
      <c r="F11" s="40"/>
      <c r="G11" s="87" t="s">
        <v>10</v>
      </c>
      <c r="H11" s="215" t="s">
        <v>169</v>
      </c>
      <c r="I11" s="219"/>
    </row>
    <row r="12" spans="1:9" ht="10.15" customHeight="1" x14ac:dyDescent="0.15">
      <c r="B12" s="87"/>
      <c r="C12" s="10"/>
      <c r="D12" s="40"/>
      <c r="E12" s="40"/>
      <c r="F12" s="40"/>
      <c r="G12" s="87"/>
      <c r="H12" s="10"/>
      <c r="I12" s="40"/>
    </row>
    <row r="13" spans="1:9" ht="18" customHeight="1" x14ac:dyDescent="0.15">
      <c r="A13" s="88" t="s">
        <v>7</v>
      </c>
      <c r="B13" s="10" t="s">
        <v>88</v>
      </c>
      <c r="C13" s="89"/>
      <c r="D13" s="89"/>
      <c r="E13" s="89"/>
      <c r="F13" s="89"/>
      <c r="G13" s="89"/>
      <c r="H13" s="89"/>
      <c r="I13" s="89"/>
    </row>
    <row r="14" spans="1:9" ht="18" customHeight="1" x14ac:dyDescent="0.15">
      <c r="B14" s="215" t="s">
        <v>168</v>
      </c>
      <c r="C14" s="216"/>
      <c r="D14" s="216"/>
      <c r="E14" s="216"/>
      <c r="F14" s="216"/>
      <c r="G14" s="216"/>
      <c r="H14" s="216"/>
      <c r="I14" s="217"/>
    </row>
    <row r="15" spans="1:9" ht="9" customHeight="1" x14ac:dyDescent="0.15">
      <c r="B15" s="89"/>
      <c r="C15" s="89"/>
      <c r="D15" s="89"/>
      <c r="E15" s="89"/>
      <c r="F15" s="89"/>
      <c r="G15" s="89"/>
      <c r="H15" s="89"/>
      <c r="I15" s="89"/>
    </row>
    <row r="16" spans="1:9" ht="18" customHeight="1" x14ac:dyDescent="0.15">
      <c r="B16" s="87" t="s">
        <v>43</v>
      </c>
      <c r="C16" s="215" t="s">
        <v>136</v>
      </c>
      <c r="D16" s="218"/>
      <c r="E16" s="219"/>
      <c r="F16" s="40"/>
      <c r="G16" s="87" t="s">
        <v>10</v>
      </c>
      <c r="H16" s="215" t="s">
        <v>174</v>
      </c>
      <c r="I16" s="219"/>
    </row>
    <row r="17" spans="1:9" ht="18" customHeight="1" x14ac:dyDescent="0.15">
      <c r="B17" s="89"/>
      <c r="C17" s="89"/>
      <c r="D17" s="89"/>
      <c r="E17" s="89"/>
      <c r="F17" s="89"/>
      <c r="G17" s="89"/>
      <c r="H17" s="89"/>
      <c r="I17" s="89"/>
    </row>
    <row r="18" spans="1:9" ht="18.75" customHeight="1" x14ac:dyDescent="0.15">
      <c r="A18" s="88" t="s">
        <v>5</v>
      </c>
      <c r="B18" s="88" t="s">
        <v>42</v>
      </c>
      <c r="C18" s="88"/>
      <c r="D18" s="88"/>
      <c r="E18" s="88"/>
      <c r="F18" s="88"/>
      <c r="G18" s="88"/>
      <c r="H18" s="88"/>
      <c r="I18" s="89"/>
    </row>
    <row r="19" spans="1:9" ht="18.75" customHeight="1" x14ac:dyDescent="0.15">
      <c r="A19" s="88"/>
      <c r="B19" s="207" t="s">
        <v>173</v>
      </c>
      <c r="C19" s="208"/>
      <c r="D19" s="208"/>
      <c r="E19" s="208"/>
      <c r="F19" s="208"/>
      <c r="G19" s="208"/>
      <c r="H19" s="208"/>
      <c r="I19" s="209"/>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197" t="s">
        <v>170</v>
      </c>
      <c r="C22" s="198"/>
      <c r="D22" s="198"/>
      <c r="E22" s="198"/>
      <c r="F22" s="198"/>
      <c r="G22" s="198"/>
      <c r="H22" s="198"/>
      <c r="I22" s="199"/>
    </row>
    <row r="23" spans="1:9" ht="18.75" customHeight="1" x14ac:dyDescent="0.15">
      <c r="A23" s="14"/>
      <c r="B23" s="210"/>
      <c r="C23" s="211"/>
      <c r="D23" s="211"/>
      <c r="E23" s="211"/>
      <c r="F23" s="211"/>
      <c r="G23" s="211"/>
      <c r="H23" s="211"/>
      <c r="I23" s="202"/>
    </row>
    <row r="24" spans="1:9" ht="18.75" customHeight="1" x14ac:dyDescent="0.15">
      <c r="A24" s="14"/>
      <c r="B24" s="210"/>
      <c r="C24" s="211"/>
      <c r="D24" s="211"/>
      <c r="E24" s="211"/>
      <c r="F24" s="211"/>
      <c r="G24" s="211"/>
      <c r="H24" s="211"/>
      <c r="I24" s="202"/>
    </row>
    <row r="25" spans="1:9" ht="18.75" customHeight="1" x14ac:dyDescent="0.15">
      <c r="A25" s="14"/>
      <c r="B25" s="210"/>
      <c r="C25" s="211"/>
      <c r="D25" s="211"/>
      <c r="E25" s="211"/>
      <c r="F25" s="211"/>
      <c r="G25" s="211"/>
      <c r="H25" s="211"/>
      <c r="I25" s="202"/>
    </row>
    <row r="26" spans="1:9" ht="18.75" customHeight="1" x14ac:dyDescent="0.15">
      <c r="A26" s="14"/>
      <c r="B26" s="210"/>
      <c r="C26" s="211"/>
      <c r="D26" s="211"/>
      <c r="E26" s="211"/>
      <c r="F26" s="211"/>
      <c r="G26" s="211"/>
      <c r="H26" s="211"/>
      <c r="I26" s="202"/>
    </row>
    <row r="27" spans="1:9" ht="18.75" customHeight="1" x14ac:dyDescent="0.15">
      <c r="A27" s="14"/>
      <c r="B27" s="210"/>
      <c r="C27" s="211"/>
      <c r="D27" s="211"/>
      <c r="E27" s="211"/>
      <c r="F27" s="211"/>
      <c r="G27" s="211"/>
      <c r="H27" s="211"/>
      <c r="I27" s="202"/>
    </row>
    <row r="28" spans="1:9" ht="18.75" customHeight="1" x14ac:dyDescent="0.15">
      <c r="A28" s="14"/>
      <c r="B28" s="210"/>
      <c r="C28" s="211"/>
      <c r="D28" s="211"/>
      <c r="E28" s="211"/>
      <c r="F28" s="211"/>
      <c r="G28" s="211"/>
      <c r="H28" s="211"/>
      <c r="I28" s="202"/>
    </row>
    <row r="29" spans="1:9" ht="18.75" customHeight="1" x14ac:dyDescent="0.15">
      <c r="A29" s="14"/>
      <c r="B29" s="210"/>
      <c r="C29" s="211"/>
      <c r="D29" s="211"/>
      <c r="E29" s="211"/>
      <c r="F29" s="211"/>
      <c r="G29" s="211"/>
      <c r="H29" s="211"/>
      <c r="I29" s="202"/>
    </row>
    <row r="30" spans="1:9" ht="18.75" customHeight="1" x14ac:dyDescent="0.15">
      <c r="A30" s="14"/>
      <c r="B30" s="200"/>
      <c r="C30" s="201"/>
      <c r="D30" s="201"/>
      <c r="E30" s="201"/>
      <c r="F30" s="201"/>
      <c r="G30" s="201"/>
      <c r="H30" s="201"/>
      <c r="I30" s="202"/>
    </row>
    <row r="31" spans="1:9" ht="18.75" customHeight="1" x14ac:dyDescent="0.15">
      <c r="A31" s="14"/>
      <c r="B31" s="200"/>
      <c r="C31" s="201"/>
      <c r="D31" s="201"/>
      <c r="E31" s="201"/>
      <c r="F31" s="201"/>
      <c r="G31" s="201"/>
      <c r="H31" s="201"/>
      <c r="I31" s="202"/>
    </row>
    <row r="32" spans="1:9" ht="18.75" customHeight="1" x14ac:dyDescent="0.15">
      <c r="A32" s="14"/>
      <c r="B32" s="203"/>
      <c r="C32" s="204"/>
      <c r="D32" s="204"/>
      <c r="E32" s="204"/>
      <c r="F32" s="204"/>
      <c r="G32" s="204"/>
      <c r="H32" s="204"/>
      <c r="I32" s="205"/>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197" t="s">
        <v>172</v>
      </c>
      <c r="C35" s="198"/>
      <c r="D35" s="198"/>
      <c r="E35" s="198"/>
      <c r="F35" s="198"/>
      <c r="G35" s="198"/>
      <c r="H35" s="198"/>
      <c r="I35" s="199"/>
    </row>
    <row r="36" spans="1:9" ht="18.75" customHeight="1" x14ac:dyDescent="0.15">
      <c r="A36" s="14"/>
      <c r="B36" s="200"/>
      <c r="C36" s="201"/>
      <c r="D36" s="201"/>
      <c r="E36" s="201"/>
      <c r="F36" s="201"/>
      <c r="G36" s="201"/>
      <c r="H36" s="201"/>
      <c r="I36" s="202"/>
    </row>
    <row r="37" spans="1:9" ht="18.75" customHeight="1" x14ac:dyDescent="0.15">
      <c r="A37" s="14"/>
      <c r="B37" s="200"/>
      <c r="C37" s="201"/>
      <c r="D37" s="201"/>
      <c r="E37" s="201"/>
      <c r="F37" s="201"/>
      <c r="G37" s="201"/>
      <c r="H37" s="201"/>
      <c r="I37" s="202"/>
    </row>
    <row r="38" spans="1:9" ht="18.75" customHeight="1" x14ac:dyDescent="0.15">
      <c r="A38" s="14"/>
      <c r="B38" s="200"/>
      <c r="C38" s="201"/>
      <c r="D38" s="201"/>
      <c r="E38" s="201"/>
      <c r="F38" s="201"/>
      <c r="G38" s="201"/>
      <c r="H38" s="201"/>
      <c r="I38" s="202"/>
    </row>
    <row r="39" spans="1:9" ht="18.75" customHeight="1" x14ac:dyDescent="0.15">
      <c r="A39" s="14"/>
      <c r="B39" s="200"/>
      <c r="C39" s="201"/>
      <c r="D39" s="201"/>
      <c r="E39" s="201"/>
      <c r="F39" s="201"/>
      <c r="G39" s="201"/>
      <c r="H39" s="201"/>
      <c r="I39" s="202"/>
    </row>
    <row r="40" spans="1:9" ht="18.75" customHeight="1" x14ac:dyDescent="0.15">
      <c r="A40" s="14"/>
      <c r="B40" s="200"/>
      <c r="C40" s="201"/>
      <c r="D40" s="201"/>
      <c r="E40" s="201"/>
      <c r="F40" s="201"/>
      <c r="G40" s="201"/>
      <c r="H40" s="201"/>
      <c r="I40" s="202"/>
    </row>
    <row r="41" spans="1:9" ht="18.75" customHeight="1" x14ac:dyDescent="0.15">
      <c r="A41" s="14"/>
      <c r="B41" s="200"/>
      <c r="C41" s="201"/>
      <c r="D41" s="201"/>
      <c r="E41" s="201"/>
      <c r="F41" s="201"/>
      <c r="G41" s="201"/>
      <c r="H41" s="201"/>
      <c r="I41" s="202"/>
    </row>
    <row r="42" spans="1:9" ht="18.75" customHeight="1" x14ac:dyDescent="0.15">
      <c r="A42" s="14"/>
      <c r="B42" s="200"/>
      <c r="C42" s="201"/>
      <c r="D42" s="201"/>
      <c r="E42" s="201"/>
      <c r="F42" s="201"/>
      <c r="G42" s="201"/>
      <c r="H42" s="201"/>
      <c r="I42" s="202"/>
    </row>
    <row r="43" spans="1:9" ht="18.75" customHeight="1" x14ac:dyDescent="0.15">
      <c r="A43" s="14"/>
      <c r="B43" s="200"/>
      <c r="C43" s="201"/>
      <c r="D43" s="201"/>
      <c r="E43" s="201"/>
      <c r="F43" s="201"/>
      <c r="G43" s="201"/>
      <c r="H43" s="201"/>
      <c r="I43" s="202"/>
    </row>
    <row r="44" spans="1:9" ht="18.75" customHeight="1" x14ac:dyDescent="0.15">
      <c r="A44" s="14"/>
      <c r="B44" s="200"/>
      <c r="C44" s="201"/>
      <c r="D44" s="201"/>
      <c r="E44" s="201"/>
      <c r="F44" s="201"/>
      <c r="G44" s="201"/>
      <c r="H44" s="201"/>
      <c r="I44" s="202"/>
    </row>
    <row r="45" spans="1:9" ht="18.75" customHeight="1" x14ac:dyDescent="0.15">
      <c r="A45" s="14"/>
      <c r="B45" s="200"/>
      <c r="C45" s="201"/>
      <c r="D45" s="201"/>
      <c r="E45" s="201"/>
      <c r="F45" s="201"/>
      <c r="G45" s="201"/>
      <c r="H45" s="201"/>
      <c r="I45" s="202"/>
    </row>
    <row r="46" spans="1:9" ht="18.75" customHeight="1" x14ac:dyDescent="0.15">
      <c r="A46" s="14"/>
      <c r="B46" s="203"/>
      <c r="C46" s="204"/>
      <c r="D46" s="204"/>
      <c r="E46" s="204"/>
      <c r="F46" s="204"/>
      <c r="G46" s="204"/>
      <c r="H46" s="204"/>
      <c r="I46" s="205"/>
    </row>
    <row r="47" spans="1:9" ht="7.5" customHeight="1" x14ac:dyDescent="0.15">
      <c r="A47" s="4"/>
      <c r="B47" s="4"/>
      <c r="C47" s="4"/>
      <c r="D47" s="4"/>
      <c r="E47" s="4"/>
      <c r="F47" s="4"/>
      <c r="G47" s="4"/>
      <c r="H47" s="4"/>
      <c r="I47" s="4"/>
    </row>
    <row r="48" spans="1:9" ht="18.75" customHeight="1" x14ac:dyDescent="0.15">
      <c r="A48" s="1" t="s">
        <v>31</v>
      </c>
      <c r="B48" s="1" t="s">
        <v>123</v>
      </c>
    </row>
    <row r="49" spans="1:15" s="3" customFormat="1" ht="18.75" customHeight="1" x14ac:dyDescent="0.15">
      <c r="B49" s="41" t="s">
        <v>89</v>
      </c>
      <c r="C49" s="238">
        <f>'様式２ 履修者等数の実績'!AQ32</f>
        <v>0.21636363636363637</v>
      </c>
      <c r="D49" s="238"/>
      <c r="E49" s="41" t="s">
        <v>66</v>
      </c>
      <c r="F49" s="238">
        <v>0.43</v>
      </c>
      <c r="G49" s="238"/>
      <c r="H49" s="41" t="s">
        <v>67</v>
      </c>
      <c r="I49" s="42">
        <v>0.67</v>
      </c>
      <c r="J49" s="1"/>
      <c r="M49" s="1"/>
      <c r="N49" s="43"/>
    </row>
    <row r="50" spans="1:15" s="3" customFormat="1" ht="18.75" customHeight="1" x14ac:dyDescent="0.15">
      <c r="B50" s="44" t="s">
        <v>68</v>
      </c>
      <c r="C50" s="221">
        <v>0.92</v>
      </c>
      <c r="D50" s="221"/>
      <c r="E50" s="44" t="s">
        <v>90</v>
      </c>
      <c r="F50" s="221">
        <v>0.95</v>
      </c>
      <c r="G50" s="221"/>
      <c r="H50" s="44" t="s">
        <v>69</v>
      </c>
      <c r="I50" s="45">
        <f>'様式２ 履修者等数の実績'!E32</f>
        <v>2200</v>
      </c>
      <c r="J50" s="1"/>
      <c r="M50" s="1"/>
      <c r="N50" s="43"/>
    </row>
    <row r="51" spans="1:15" ht="18.75" customHeight="1" x14ac:dyDescent="0.15">
      <c r="A51" s="1"/>
      <c r="B51" s="212" t="s">
        <v>70</v>
      </c>
      <c r="C51" s="213"/>
      <c r="D51" s="213"/>
      <c r="E51" s="213"/>
      <c r="F51" s="213"/>
      <c r="G51" s="213"/>
      <c r="H51" s="213"/>
      <c r="I51" s="214"/>
      <c r="N51" s="43"/>
      <c r="O51" s="3"/>
    </row>
    <row r="52" spans="1:15" ht="18.75" customHeight="1" x14ac:dyDescent="0.15">
      <c r="A52" s="1"/>
      <c r="B52" s="239" t="s">
        <v>137</v>
      </c>
      <c r="C52" s="240"/>
      <c r="D52" s="240"/>
      <c r="E52" s="240"/>
      <c r="F52" s="240"/>
      <c r="G52" s="240"/>
      <c r="H52" s="240"/>
      <c r="I52" s="241"/>
      <c r="N52" s="43"/>
      <c r="O52" s="3"/>
    </row>
    <row r="53" spans="1:15" ht="18.75" customHeight="1" x14ac:dyDescent="0.15">
      <c r="A53" s="1"/>
      <c r="B53" s="242"/>
      <c r="C53" s="243"/>
      <c r="D53" s="243"/>
      <c r="E53" s="243"/>
      <c r="F53" s="243"/>
      <c r="G53" s="243"/>
      <c r="H53" s="243"/>
      <c r="I53" s="244"/>
      <c r="N53" s="43"/>
      <c r="O53" s="3"/>
    </row>
    <row r="54" spans="1:15" ht="18.75" customHeight="1" x14ac:dyDescent="0.15">
      <c r="A54" s="1"/>
      <c r="B54" s="242"/>
      <c r="C54" s="243"/>
      <c r="D54" s="243"/>
      <c r="E54" s="243"/>
      <c r="F54" s="243"/>
      <c r="G54" s="243"/>
      <c r="H54" s="243"/>
      <c r="I54" s="244"/>
    </row>
    <row r="55" spans="1:15" ht="18.75" customHeight="1" x14ac:dyDescent="0.15">
      <c r="A55" s="1"/>
      <c r="B55" s="242"/>
      <c r="C55" s="243"/>
      <c r="D55" s="243"/>
      <c r="E55" s="243"/>
      <c r="F55" s="243"/>
      <c r="G55" s="243"/>
      <c r="H55" s="243"/>
      <c r="I55" s="244"/>
    </row>
    <row r="56" spans="1:15" ht="18.75" customHeight="1" x14ac:dyDescent="0.15">
      <c r="A56" s="1"/>
      <c r="B56" s="242"/>
      <c r="C56" s="243"/>
      <c r="D56" s="243"/>
      <c r="E56" s="243"/>
      <c r="F56" s="243"/>
      <c r="G56" s="243"/>
      <c r="H56" s="243"/>
      <c r="I56" s="244"/>
    </row>
    <row r="57" spans="1:15" ht="18.75" customHeight="1" x14ac:dyDescent="0.15">
      <c r="A57" s="1"/>
      <c r="B57" s="242"/>
      <c r="C57" s="243"/>
      <c r="D57" s="243"/>
      <c r="E57" s="243"/>
      <c r="F57" s="243"/>
      <c r="G57" s="243"/>
      <c r="H57" s="243"/>
      <c r="I57" s="244"/>
    </row>
    <row r="58" spans="1:15" ht="18.75" customHeight="1" x14ac:dyDescent="0.15">
      <c r="A58" s="1"/>
      <c r="B58" s="242"/>
      <c r="C58" s="243"/>
      <c r="D58" s="243"/>
      <c r="E58" s="243"/>
      <c r="F58" s="243"/>
      <c r="G58" s="243"/>
      <c r="H58" s="243"/>
      <c r="I58" s="244"/>
    </row>
    <row r="59" spans="1:15" ht="18.75" customHeight="1" x14ac:dyDescent="0.15">
      <c r="A59" s="1"/>
      <c r="B59" s="242"/>
      <c r="C59" s="243"/>
      <c r="D59" s="243"/>
      <c r="E59" s="243"/>
      <c r="F59" s="243"/>
      <c r="G59" s="243"/>
      <c r="H59" s="243"/>
      <c r="I59" s="244"/>
    </row>
    <row r="60" spans="1:15" ht="18.75" customHeight="1" x14ac:dyDescent="0.15">
      <c r="A60" s="1"/>
      <c r="B60" s="242"/>
      <c r="C60" s="243"/>
      <c r="D60" s="243"/>
      <c r="E60" s="243"/>
      <c r="F60" s="243"/>
      <c r="G60" s="243"/>
      <c r="H60" s="243"/>
      <c r="I60" s="244"/>
    </row>
    <row r="61" spans="1:15" ht="18.75" customHeight="1" x14ac:dyDescent="0.15">
      <c r="A61" s="1"/>
      <c r="B61" s="242"/>
      <c r="C61" s="243"/>
      <c r="D61" s="243"/>
      <c r="E61" s="243"/>
      <c r="F61" s="243"/>
      <c r="G61" s="243"/>
      <c r="H61" s="243"/>
      <c r="I61" s="244"/>
    </row>
    <row r="62" spans="1:15" ht="18.75" customHeight="1" x14ac:dyDescent="0.15">
      <c r="A62" s="1"/>
      <c r="B62" s="242"/>
      <c r="C62" s="243"/>
      <c r="D62" s="243"/>
      <c r="E62" s="243"/>
      <c r="F62" s="243"/>
      <c r="G62" s="243"/>
      <c r="H62" s="243"/>
      <c r="I62" s="244"/>
    </row>
    <row r="63" spans="1:15" ht="18.75" customHeight="1" x14ac:dyDescent="0.15">
      <c r="A63" s="1"/>
      <c r="B63" s="245"/>
      <c r="C63" s="246"/>
      <c r="D63" s="246"/>
      <c r="E63" s="246"/>
      <c r="F63" s="246"/>
      <c r="G63" s="246"/>
      <c r="H63" s="246"/>
      <c r="I63" s="247"/>
    </row>
    <row r="64" spans="1:15" ht="7.5" customHeight="1" x14ac:dyDescent="0.15">
      <c r="A64" s="14"/>
      <c r="B64" s="14"/>
      <c r="C64" s="14"/>
      <c r="D64" s="14"/>
      <c r="E64" s="14"/>
      <c r="F64" s="14"/>
      <c r="G64" s="14"/>
      <c r="H64" s="14"/>
      <c r="I64" s="14"/>
    </row>
    <row r="65" spans="1:9" ht="18.75" customHeight="1" x14ac:dyDescent="0.15">
      <c r="A65" s="15" t="s">
        <v>34</v>
      </c>
      <c r="B65" s="88" t="s">
        <v>37</v>
      </c>
      <c r="C65" s="88"/>
      <c r="D65" s="88"/>
      <c r="E65" s="88"/>
      <c r="F65" s="88"/>
      <c r="G65" s="88"/>
      <c r="H65" s="88"/>
      <c r="I65" s="86"/>
    </row>
    <row r="66" spans="1:9" ht="18.75" customHeight="1" x14ac:dyDescent="0.15">
      <c r="A66" s="4"/>
      <c r="B66" s="222" t="s">
        <v>138</v>
      </c>
      <c r="C66" s="223"/>
      <c r="D66" s="223"/>
      <c r="E66" s="223"/>
      <c r="F66" s="223"/>
      <c r="G66" s="223"/>
      <c r="H66" s="223"/>
      <c r="I66" s="224"/>
    </row>
    <row r="67" spans="1:9" ht="18.75" customHeight="1" x14ac:dyDescent="0.15">
      <c r="A67" s="4"/>
      <c r="B67" s="225"/>
      <c r="C67" s="226"/>
      <c r="D67" s="226"/>
      <c r="E67" s="226"/>
      <c r="F67" s="226"/>
      <c r="G67" s="226"/>
      <c r="H67" s="226"/>
      <c r="I67" s="227"/>
    </row>
    <row r="68" spans="1:9" ht="18.75" customHeight="1" x14ac:dyDescent="0.15">
      <c r="A68" s="4"/>
      <c r="B68" s="225"/>
      <c r="C68" s="226"/>
      <c r="D68" s="226"/>
      <c r="E68" s="226"/>
      <c r="F68" s="226"/>
      <c r="G68" s="226"/>
      <c r="H68" s="226"/>
      <c r="I68" s="227"/>
    </row>
    <row r="69" spans="1:9" ht="18.75" customHeight="1" x14ac:dyDescent="0.15">
      <c r="A69" s="4"/>
      <c r="B69" s="225"/>
      <c r="C69" s="226"/>
      <c r="D69" s="226"/>
      <c r="E69" s="226"/>
      <c r="F69" s="226"/>
      <c r="G69" s="226"/>
      <c r="H69" s="226"/>
      <c r="I69" s="227"/>
    </row>
    <row r="70" spans="1:9" ht="18.75" customHeight="1" x14ac:dyDescent="0.15">
      <c r="A70" s="4"/>
      <c r="B70" s="225"/>
      <c r="C70" s="226"/>
      <c r="D70" s="226"/>
      <c r="E70" s="226"/>
      <c r="F70" s="226"/>
      <c r="G70" s="226"/>
      <c r="H70" s="226"/>
      <c r="I70" s="227"/>
    </row>
    <row r="71" spans="1:9" ht="18.75" customHeight="1" x14ac:dyDescent="0.15">
      <c r="A71" s="4"/>
      <c r="B71" s="225"/>
      <c r="C71" s="226"/>
      <c r="D71" s="226"/>
      <c r="E71" s="226"/>
      <c r="F71" s="226"/>
      <c r="G71" s="226"/>
      <c r="H71" s="226"/>
      <c r="I71" s="227"/>
    </row>
    <row r="72" spans="1:9" ht="18.75" customHeight="1" x14ac:dyDescent="0.15">
      <c r="A72" s="4"/>
      <c r="B72" s="225"/>
      <c r="C72" s="226"/>
      <c r="D72" s="226"/>
      <c r="E72" s="226"/>
      <c r="F72" s="226"/>
      <c r="G72" s="226"/>
      <c r="H72" s="226"/>
      <c r="I72" s="227"/>
    </row>
    <row r="73" spans="1:9" ht="18.75" customHeight="1" x14ac:dyDescent="0.15">
      <c r="A73" s="4"/>
      <c r="B73" s="225"/>
      <c r="C73" s="226"/>
      <c r="D73" s="226"/>
      <c r="E73" s="226"/>
      <c r="F73" s="226"/>
      <c r="G73" s="226"/>
      <c r="H73" s="226"/>
      <c r="I73" s="227"/>
    </row>
    <row r="74" spans="1:9" ht="18.75" customHeight="1" x14ac:dyDescent="0.15">
      <c r="A74" s="4"/>
      <c r="B74" s="225"/>
      <c r="C74" s="226"/>
      <c r="D74" s="226"/>
      <c r="E74" s="226"/>
      <c r="F74" s="226"/>
      <c r="G74" s="226"/>
      <c r="H74" s="226"/>
      <c r="I74" s="227"/>
    </row>
    <row r="75" spans="1:9" ht="18.75" customHeight="1" x14ac:dyDescent="0.15">
      <c r="A75" s="4"/>
      <c r="B75" s="225"/>
      <c r="C75" s="226"/>
      <c r="D75" s="226"/>
      <c r="E75" s="226"/>
      <c r="F75" s="226"/>
      <c r="G75" s="226"/>
      <c r="H75" s="226"/>
      <c r="I75" s="227"/>
    </row>
    <row r="76" spans="1:9" ht="18.75" customHeight="1" x14ac:dyDescent="0.15">
      <c r="A76" s="4"/>
      <c r="B76" s="225"/>
      <c r="C76" s="226"/>
      <c r="D76" s="226"/>
      <c r="E76" s="226"/>
      <c r="F76" s="226"/>
      <c r="G76" s="226"/>
      <c r="H76" s="226"/>
      <c r="I76" s="227"/>
    </row>
    <row r="77" spans="1:9" ht="18.75" customHeight="1" x14ac:dyDescent="0.15">
      <c r="A77" s="4"/>
      <c r="B77" s="228"/>
      <c r="C77" s="229"/>
      <c r="D77" s="229"/>
      <c r="E77" s="229"/>
      <c r="F77" s="229"/>
      <c r="G77" s="229"/>
      <c r="H77" s="229"/>
      <c r="I77" s="230"/>
    </row>
    <row r="78" spans="1:9" ht="7.5" customHeight="1" x14ac:dyDescent="0.15">
      <c r="A78" s="4"/>
      <c r="B78" s="4"/>
      <c r="C78" s="4"/>
      <c r="D78" s="4"/>
      <c r="E78" s="4"/>
      <c r="F78" s="4"/>
      <c r="G78" s="4"/>
      <c r="H78" s="4"/>
      <c r="I78" s="4"/>
    </row>
    <row r="79" spans="1:9" ht="18.75" customHeight="1" x14ac:dyDescent="0.15">
      <c r="A79" s="1" t="s">
        <v>11</v>
      </c>
      <c r="B79" s="88" t="s">
        <v>41</v>
      </c>
      <c r="C79" s="88"/>
      <c r="D79" s="88"/>
      <c r="E79" s="88"/>
      <c r="F79" s="88"/>
      <c r="G79" s="88"/>
      <c r="H79" s="88"/>
      <c r="I79" s="88"/>
    </row>
    <row r="80" spans="1:9" ht="18.75" customHeight="1" x14ac:dyDescent="0.15">
      <c r="A80" s="1"/>
      <c r="B80" s="222" t="s">
        <v>139</v>
      </c>
      <c r="C80" s="223"/>
      <c r="D80" s="223"/>
      <c r="E80" s="223"/>
      <c r="F80" s="223"/>
      <c r="G80" s="223"/>
      <c r="H80" s="223"/>
      <c r="I80" s="231"/>
    </row>
    <row r="81" spans="1:9" ht="18.75" customHeight="1" x14ac:dyDescent="0.15">
      <c r="A81" s="1"/>
      <c r="B81" s="232"/>
      <c r="C81" s="233"/>
      <c r="D81" s="233"/>
      <c r="E81" s="233"/>
      <c r="F81" s="233"/>
      <c r="G81" s="233"/>
      <c r="H81" s="233"/>
      <c r="I81" s="234"/>
    </row>
    <row r="82" spans="1:9" ht="18.75" customHeight="1" x14ac:dyDescent="0.15">
      <c r="A82" s="1"/>
      <c r="B82" s="232"/>
      <c r="C82" s="233"/>
      <c r="D82" s="233"/>
      <c r="E82" s="233"/>
      <c r="F82" s="233"/>
      <c r="G82" s="233"/>
      <c r="H82" s="233"/>
      <c r="I82" s="234"/>
    </row>
    <row r="83" spans="1:9" ht="18.75" customHeight="1" x14ac:dyDescent="0.15">
      <c r="A83" s="1"/>
      <c r="B83" s="232"/>
      <c r="C83" s="233"/>
      <c r="D83" s="233"/>
      <c r="E83" s="233"/>
      <c r="F83" s="233"/>
      <c r="G83" s="233"/>
      <c r="H83" s="233"/>
      <c r="I83" s="234"/>
    </row>
    <row r="84" spans="1:9" ht="18.75" customHeight="1" x14ac:dyDescent="0.15">
      <c r="A84" s="1"/>
      <c r="B84" s="232"/>
      <c r="C84" s="233"/>
      <c r="D84" s="233"/>
      <c r="E84" s="233"/>
      <c r="F84" s="233"/>
      <c r="G84" s="233"/>
      <c r="H84" s="233"/>
      <c r="I84" s="234"/>
    </row>
    <row r="85" spans="1:9" ht="18.75" customHeight="1" x14ac:dyDescent="0.15">
      <c r="A85" s="1"/>
      <c r="B85" s="232"/>
      <c r="C85" s="233"/>
      <c r="D85" s="233"/>
      <c r="E85" s="233"/>
      <c r="F85" s="233"/>
      <c r="G85" s="233"/>
      <c r="H85" s="233"/>
      <c r="I85" s="234"/>
    </row>
    <row r="86" spans="1:9" ht="18.75" customHeight="1" x14ac:dyDescent="0.15">
      <c r="A86" s="1"/>
      <c r="B86" s="232"/>
      <c r="C86" s="233"/>
      <c r="D86" s="233"/>
      <c r="E86" s="233"/>
      <c r="F86" s="233"/>
      <c r="G86" s="233"/>
      <c r="H86" s="233"/>
      <c r="I86" s="234"/>
    </row>
    <row r="87" spans="1:9" ht="18.75" customHeight="1" x14ac:dyDescent="0.15">
      <c r="A87" s="1"/>
      <c r="B87" s="232"/>
      <c r="C87" s="233"/>
      <c r="D87" s="233"/>
      <c r="E87" s="233"/>
      <c r="F87" s="233"/>
      <c r="G87" s="233"/>
      <c r="H87" s="233"/>
      <c r="I87" s="234"/>
    </row>
    <row r="88" spans="1:9" ht="18.75" customHeight="1" x14ac:dyDescent="0.15">
      <c r="A88" s="1"/>
      <c r="B88" s="232"/>
      <c r="C88" s="233"/>
      <c r="D88" s="233"/>
      <c r="E88" s="233"/>
      <c r="F88" s="233"/>
      <c r="G88" s="233"/>
      <c r="H88" s="233"/>
      <c r="I88" s="234"/>
    </row>
    <row r="89" spans="1:9" ht="18.75" customHeight="1" x14ac:dyDescent="0.15">
      <c r="A89" s="1"/>
      <c r="B89" s="232"/>
      <c r="C89" s="233"/>
      <c r="D89" s="233"/>
      <c r="E89" s="233"/>
      <c r="F89" s="233"/>
      <c r="G89" s="233"/>
      <c r="H89" s="233"/>
      <c r="I89" s="234"/>
    </row>
    <row r="90" spans="1:9" ht="18.75" customHeight="1" x14ac:dyDescent="0.15">
      <c r="A90" s="4"/>
      <c r="B90" s="232"/>
      <c r="C90" s="233"/>
      <c r="D90" s="233"/>
      <c r="E90" s="233"/>
      <c r="F90" s="233"/>
      <c r="G90" s="233"/>
      <c r="H90" s="233"/>
      <c r="I90" s="234"/>
    </row>
    <row r="91" spans="1:9" ht="18.75" customHeight="1" x14ac:dyDescent="0.15">
      <c r="A91" s="4"/>
      <c r="B91" s="235"/>
      <c r="C91" s="236"/>
      <c r="D91" s="236"/>
      <c r="E91" s="236"/>
      <c r="F91" s="236"/>
      <c r="G91" s="236"/>
      <c r="H91" s="236"/>
      <c r="I91" s="237"/>
    </row>
    <row r="92" spans="1:9" ht="7.5" customHeight="1" x14ac:dyDescent="0.15">
      <c r="A92" s="4"/>
      <c r="B92" s="4"/>
      <c r="C92" s="4"/>
      <c r="D92" s="4"/>
      <c r="E92" s="4"/>
      <c r="F92" s="4"/>
      <c r="G92" s="4"/>
      <c r="H92" s="4"/>
      <c r="I92" s="4"/>
    </row>
    <row r="93" spans="1:9" ht="18.75" customHeight="1" x14ac:dyDescent="0.15">
      <c r="A93" s="1" t="s">
        <v>44</v>
      </c>
      <c r="B93" s="88" t="s">
        <v>13</v>
      </c>
      <c r="C93" s="88"/>
      <c r="D93" s="88"/>
      <c r="E93" s="88"/>
      <c r="F93" s="88"/>
      <c r="G93" s="88"/>
      <c r="H93" s="88"/>
      <c r="I93" s="88"/>
    </row>
    <row r="94" spans="1:9" ht="18.75" customHeight="1" x14ac:dyDescent="0.15">
      <c r="A94" s="1"/>
      <c r="B94" s="197" t="s">
        <v>177</v>
      </c>
      <c r="C94" s="198"/>
      <c r="D94" s="198"/>
      <c r="E94" s="198"/>
      <c r="F94" s="198"/>
      <c r="G94" s="198"/>
      <c r="H94" s="198"/>
      <c r="I94" s="199"/>
    </row>
    <row r="95" spans="1:9" ht="18.75" customHeight="1" x14ac:dyDescent="0.15">
      <c r="A95" s="1"/>
      <c r="B95" s="200"/>
      <c r="C95" s="201"/>
      <c r="D95" s="201"/>
      <c r="E95" s="201"/>
      <c r="F95" s="201"/>
      <c r="G95" s="201"/>
      <c r="H95" s="201"/>
      <c r="I95" s="202"/>
    </row>
    <row r="96" spans="1:9" ht="18.75" customHeight="1" x14ac:dyDescent="0.15">
      <c r="A96" s="1"/>
      <c r="B96" s="200"/>
      <c r="C96" s="201"/>
      <c r="D96" s="201"/>
      <c r="E96" s="201"/>
      <c r="F96" s="201"/>
      <c r="G96" s="201"/>
      <c r="H96" s="201"/>
      <c r="I96" s="202"/>
    </row>
    <row r="97" spans="1:9" ht="18.75" customHeight="1" x14ac:dyDescent="0.15">
      <c r="A97" s="1"/>
      <c r="B97" s="200"/>
      <c r="C97" s="201"/>
      <c r="D97" s="201"/>
      <c r="E97" s="201"/>
      <c r="F97" s="201"/>
      <c r="G97" s="201"/>
      <c r="H97" s="201"/>
      <c r="I97" s="202"/>
    </row>
    <row r="98" spans="1:9" ht="18.75" customHeight="1" x14ac:dyDescent="0.15">
      <c r="A98" s="1"/>
      <c r="B98" s="200"/>
      <c r="C98" s="201"/>
      <c r="D98" s="201"/>
      <c r="E98" s="201"/>
      <c r="F98" s="201"/>
      <c r="G98" s="201"/>
      <c r="H98" s="201"/>
      <c r="I98" s="202"/>
    </row>
    <row r="99" spans="1:9" ht="18.75" customHeight="1" x14ac:dyDescent="0.15">
      <c r="A99" s="1"/>
      <c r="B99" s="200"/>
      <c r="C99" s="201"/>
      <c r="D99" s="201"/>
      <c r="E99" s="201"/>
      <c r="F99" s="201"/>
      <c r="G99" s="201"/>
      <c r="H99" s="201"/>
      <c r="I99" s="202"/>
    </row>
    <row r="100" spans="1:9" ht="18.75" customHeight="1" x14ac:dyDescent="0.15">
      <c r="A100" s="1"/>
      <c r="B100" s="200"/>
      <c r="C100" s="201"/>
      <c r="D100" s="201"/>
      <c r="E100" s="201"/>
      <c r="F100" s="201"/>
      <c r="G100" s="201"/>
      <c r="H100" s="201"/>
      <c r="I100" s="202"/>
    </row>
    <row r="101" spans="1:9" ht="18.75" customHeight="1" x14ac:dyDescent="0.15">
      <c r="A101" s="1"/>
      <c r="B101" s="200"/>
      <c r="C101" s="201"/>
      <c r="D101" s="201"/>
      <c r="E101" s="201"/>
      <c r="F101" s="201"/>
      <c r="G101" s="201"/>
      <c r="H101" s="201"/>
      <c r="I101" s="202"/>
    </row>
    <row r="102" spans="1:9" ht="18.75" customHeight="1" x14ac:dyDescent="0.15">
      <c r="A102" s="1"/>
      <c r="B102" s="200"/>
      <c r="C102" s="201"/>
      <c r="D102" s="201"/>
      <c r="E102" s="201"/>
      <c r="F102" s="201"/>
      <c r="G102" s="201"/>
      <c r="H102" s="201"/>
      <c r="I102" s="202"/>
    </row>
    <row r="103" spans="1:9" ht="18.75" customHeight="1" x14ac:dyDescent="0.15">
      <c r="A103" s="1"/>
      <c r="B103" s="200"/>
      <c r="C103" s="201"/>
      <c r="D103" s="201"/>
      <c r="E103" s="201"/>
      <c r="F103" s="201"/>
      <c r="G103" s="201"/>
      <c r="H103" s="201"/>
      <c r="I103" s="202"/>
    </row>
    <row r="104" spans="1:9" ht="18.75" customHeight="1" x14ac:dyDescent="0.15">
      <c r="A104" s="1"/>
      <c r="B104" s="200"/>
      <c r="C104" s="201"/>
      <c r="D104" s="201"/>
      <c r="E104" s="201"/>
      <c r="F104" s="201"/>
      <c r="G104" s="201"/>
      <c r="H104" s="201"/>
      <c r="I104" s="202"/>
    </row>
    <row r="105" spans="1:9" ht="18.75" customHeight="1" x14ac:dyDescent="0.15">
      <c r="A105" s="4"/>
      <c r="B105" s="203"/>
      <c r="C105" s="204"/>
      <c r="D105" s="204"/>
      <c r="E105" s="204"/>
      <c r="F105" s="204"/>
      <c r="G105" s="204"/>
      <c r="H105" s="204"/>
      <c r="I105" s="205"/>
    </row>
    <row r="106" spans="1:9" ht="7.5" customHeight="1" x14ac:dyDescent="0.15">
      <c r="A106" s="4"/>
      <c r="B106" s="4"/>
      <c r="C106" s="4"/>
      <c r="D106" s="4"/>
      <c r="E106" s="4"/>
      <c r="F106" s="4"/>
      <c r="G106" s="4"/>
      <c r="H106" s="4"/>
      <c r="I106" s="4"/>
    </row>
    <row r="107" spans="1:9" ht="18.75" customHeight="1" x14ac:dyDescent="0.15">
      <c r="A107" s="1" t="s">
        <v>30</v>
      </c>
      <c r="B107" s="206" t="s">
        <v>46</v>
      </c>
      <c r="C107" s="206"/>
      <c r="D107" s="206"/>
      <c r="E107" s="206"/>
      <c r="F107" s="206"/>
      <c r="G107" s="206"/>
      <c r="H107" s="206"/>
      <c r="I107" s="206"/>
    </row>
    <row r="108" spans="1:9" ht="18.75" customHeight="1" x14ac:dyDescent="0.15">
      <c r="A108" s="4"/>
      <c r="B108" s="197" t="s">
        <v>176</v>
      </c>
      <c r="C108" s="198"/>
      <c r="D108" s="198"/>
      <c r="E108" s="198"/>
      <c r="F108" s="198"/>
      <c r="G108" s="198"/>
      <c r="H108" s="198"/>
      <c r="I108" s="199"/>
    </row>
    <row r="109" spans="1:9" ht="18.75" customHeight="1" x14ac:dyDescent="0.15">
      <c r="A109" s="4"/>
      <c r="B109" s="200"/>
      <c r="C109" s="201"/>
      <c r="D109" s="201"/>
      <c r="E109" s="201"/>
      <c r="F109" s="201"/>
      <c r="G109" s="201"/>
      <c r="H109" s="201"/>
      <c r="I109" s="202"/>
    </row>
    <row r="110" spans="1:9" ht="18.75" customHeight="1" x14ac:dyDescent="0.15">
      <c r="A110" s="4"/>
      <c r="B110" s="200"/>
      <c r="C110" s="201"/>
      <c r="D110" s="201"/>
      <c r="E110" s="201"/>
      <c r="F110" s="201"/>
      <c r="G110" s="201"/>
      <c r="H110" s="201"/>
      <c r="I110" s="202"/>
    </row>
    <row r="111" spans="1:9" ht="18.75" customHeight="1" x14ac:dyDescent="0.15">
      <c r="A111" s="4"/>
      <c r="B111" s="200"/>
      <c r="C111" s="201"/>
      <c r="D111" s="201"/>
      <c r="E111" s="201"/>
      <c r="F111" s="201"/>
      <c r="G111" s="201"/>
      <c r="H111" s="201"/>
      <c r="I111" s="202"/>
    </row>
    <row r="112" spans="1:9" ht="18.75" customHeight="1" x14ac:dyDescent="0.15">
      <c r="A112" s="4"/>
      <c r="B112" s="200"/>
      <c r="C112" s="201"/>
      <c r="D112" s="201"/>
      <c r="E112" s="201"/>
      <c r="F112" s="201"/>
      <c r="G112" s="201"/>
      <c r="H112" s="201"/>
      <c r="I112" s="202"/>
    </row>
    <row r="113" spans="1:9" ht="18.75" customHeight="1" x14ac:dyDescent="0.15">
      <c r="A113" s="4"/>
      <c r="B113" s="200"/>
      <c r="C113" s="201"/>
      <c r="D113" s="201"/>
      <c r="E113" s="201"/>
      <c r="F113" s="201"/>
      <c r="G113" s="201"/>
      <c r="H113" s="201"/>
      <c r="I113" s="202"/>
    </row>
    <row r="114" spans="1:9" ht="18.75" customHeight="1" x14ac:dyDescent="0.15">
      <c r="A114" s="4"/>
      <c r="B114" s="200"/>
      <c r="C114" s="201"/>
      <c r="D114" s="201"/>
      <c r="E114" s="201"/>
      <c r="F114" s="201"/>
      <c r="G114" s="201"/>
      <c r="H114" s="201"/>
      <c r="I114" s="202"/>
    </row>
    <row r="115" spans="1:9" ht="18.75" customHeight="1" x14ac:dyDescent="0.15">
      <c r="A115" s="4"/>
      <c r="B115" s="200"/>
      <c r="C115" s="201"/>
      <c r="D115" s="201"/>
      <c r="E115" s="201"/>
      <c r="F115" s="201"/>
      <c r="G115" s="201"/>
      <c r="H115" s="201"/>
      <c r="I115" s="202"/>
    </row>
    <row r="116" spans="1:9" ht="18.75" customHeight="1" x14ac:dyDescent="0.15">
      <c r="A116" s="4"/>
      <c r="B116" s="200"/>
      <c r="C116" s="201"/>
      <c r="D116" s="201"/>
      <c r="E116" s="201"/>
      <c r="F116" s="201"/>
      <c r="G116" s="201"/>
      <c r="H116" s="201"/>
      <c r="I116" s="202"/>
    </row>
    <row r="117" spans="1:9" ht="18.75" customHeight="1" x14ac:dyDescent="0.15">
      <c r="A117" s="4"/>
      <c r="B117" s="200"/>
      <c r="C117" s="201"/>
      <c r="D117" s="201"/>
      <c r="E117" s="201"/>
      <c r="F117" s="201"/>
      <c r="G117" s="201"/>
      <c r="H117" s="201"/>
      <c r="I117" s="202"/>
    </row>
    <row r="118" spans="1:9" ht="18.75" customHeight="1" x14ac:dyDescent="0.15">
      <c r="A118" s="4"/>
      <c r="B118" s="200"/>
      <c r="C118" s="201"/>
      <c r="D118" s="201"/>
      <c r="E118" s="201"/>
      <c r="F118" s="201"/>
      <c r="G118" s="201"/>
      <c r="H118" s="201"/>
      <c r="I118" s="202"/>
    </row>
    <row r="119" spans="1:9" ht="18.75" customHeight="1" x14ac:dyDescent="0.15">
      <c r="A119" s="4"/>
      <c r="B119" s="203"/>
      <c r="C119" s="204"/>
      <c r="D119" s="204"/>
      <c r="E119" s="204"/>
      <c r="F119" s="204"/>
      <c r="G119" s="204"/>
      <c r="H119" s="204"/>
      <c r="I119" s="205"/>
    </row>
    <row r="120" spans="1:9" ht="7.5" customHeight="1" x14ac:dyDescent="0.15">
      <c r="A120" s="4"/>
      <c r="B120" s="46"/>
      <c r="C120" s="46"/>
      <c r="D120" s="46"/>
      <c r="E120" s="46"/>
      <c r="F120" s="46"/>
      <c r="G120" s="46"/>
      <c r="H120" s="46"/>
      <c r="I120" s="46"/>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7"/>
      <c r="B134" s="47"/>
      <c r="C134" s="47"/>
      <c r="D134" s="47"/>
      <c r="E134" s="47"/>
      <c r="F134" s="47"/>
      <c r="G134" s="47"/>
      <c r="H134" s="47"/>
      <c r="I134" s="47"/>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zoomScaleNormal="100" zoomScaleSheetLayoutView="100" workbookViewId="0">
      <selection activeCell="E13" sqref="E13:I13"/>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71</v>
      </c>
      <c r="I1" s="34" t="s">
        <v>105</v>
      </c>
    </row>
    <row r="2" spans="1:9" ht="18.75" customHeight="1" x14ac:dyDescent="0.15">
      <c r="H2" s="34" t="s">
        <v>109</v>
      </c>
      <c r="I2" s="90" t="str">
        <f>'様式１　プログラムを構成する授業科目'!C2</f>
        <v>西九州大学</v>
      </c>
    </row>
    <row r="3" spans="1:9" ht="18.75" customHeight="1" x14ac:dyDescent="0.15">
      <c r="A3" s="154" t="s">
        <v>28</v>
      </c>
      <c r="B3" s="154"/>
      <c r="C3" s="154"/>
      <c r="D3" s="154"/>
      <c r="E3" s="154"/>
      <c r="F3" s="154"/>
      <c r="G3" s="154"/>
      <c r="H3" s="154"/>
      <c r="I3" s="154"/>
    </row>
    <row r="4" spans="1:9" ht="18.75" customHeight="1" x14ac:dyDescent="0.15">
      <c r="A4" s="5"/>
      <c r="B4" s="5"/>
      <c r="C4" s="5"/>
      <c r="D4" s="5"/>
      <c r="E4" s="5"/>
      <c r="F4" s="5"/>
      <c r="G4" s="5"/>
      <c r="H4" s="5"/>
      <c r="I4" s="5"/>
    </row>
    <row r="5" spans="1:9" ht="18.75" customHeight="1" x14ac:dyDescent="0.15">
      <c r="A5" s="1" t="s">
        <v>0</v>
      </c>
      <c r="B5" s="10" t="s">
        <v>95</v>
      </c>
      <c r="C5" s="5"/>
      <c r="D5" s="5"/>
      <c r="E5" s="5"/>
      <c r="F5" s="5"/>
      <c r="G5" s="5"/>
      <c r="H5" s="5"/>
      <c r="I5" s="5"/>
    </row>
    <row r="6" spans="1:9" ht="26.25" customHeight="1" x14ac:dyDescent="0.15">
      <c r="A6" s="5"/>
      <c r="B6" s="215" t="s">
        <v>171</v>
      </c>
      <c r="C6" s="255"/>
      <c r="D6" s="255"/>
      <c r="E6" s="255"/>
      <c r="F6" s="255"/>
      <c r="G6" s="255"/>
      <c r="H6" s="256"/>
      <c r="I6" s="3"/>
    </row>
    <row r="7" spans="1:9" ht="9" customHeight="1" x14ac:dyDescent="0.15">
      <c r="A7" s="5"/>
      <c r="B7" s="10"/>
      <c r="C7" s="10"/>
      <c r="D7" s="10"/>
      <c r="E7" s="10"/>
      <c r="F7" s="10"/>
      <c r="G7" s="10"/>
      <c r="H7" s="10"/>
      <c r="I7" s="3"/>
    </row>
    <row r="8" spans="1:9" ht="18.75" customHeight="1" x14ac:dyDescent="0.15">
      <c r="A8" s="5"/>
      <c r="B8" s="89"/>
      <c r="C8" s="89"/>
      <c r="D8" s="87" t="s">
        <v>43</v>
      </c>
      <c r="E8" s="94" t="s">
        <v>140</v>
      </c>
      <c r="F8" s="89"/>
      <c r="G8" s="87" t="s">
        <v>10</v>
      </c>
      <c r="H8" s="94" t="s">
        <v>169</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103" t="s">
        <v>24</v>
      </c>
      <c r="C11" s="104"/>
      <c r="D11" s="105"/>
      <c r="E11" s="104" t="s">
        <v>26</v>
      </c>
      <c r="F11" s="104"/>
      <c r="G11" s="104"/>
      <c r="H11" s="104"/>
      <c r="I11" s="105"/>
    </row>
    <row r="12" spans="1:9" ht="26.25" customHeight="1" x14ac:dyDescent="0.15">
      <c r="B12" s="48" t="s">
        <v>14</v>
      </c>
      <c r="C12" s="54"/>
      <c r="D12" s="49"/>
      <c r="E12" s="55"/>
      <c r="F12" s="55"/>
      <c r="G12" s="55"/>
      <c r="H12" s="55"/>
      <c r="I12" s="49"/>
    </row>
    <row r="13" spans="1:9" ht="210.75" customHeight="1" x14ac:dyDescent="0.15">
      <c r="B13" s="50"/>
      <c r="C13" s="253" t="s">
        <v>15</v>
      </c>
      <c r="D13" s="254"/>
      <c r="E13" s="250" t="s">
        <v>159</v>
      </c>
      <c r="F13" s="251"/>
      <c r="G13" s="251"/>
      <c r="H13" s="251"/>
      <c r="I13" s="252"/>
    </row>
    <row r="14" spans="1:9" ht="210.75" customHeight="1" x14ac:dyDescent="0.15">
      <c r="B14" s="50"/>
      <c r="C14" s="248" t="s">
        <v>16</v>
      </c>
      <c r="D14" s="249"/>
      <c r="E14" s="250" t="s">
        <v>160</v>
      </c>
      <c r="F14" s="251"/>
      <c r="G14" s="251"/>
      <c r="H14" s="251"/>
      <c r="I14" s="252"/>
    </row>
    <row r="15" spans="1:9" ht="210.75" customHeight="1" x14ac:dyDescent="0.15">
      <c r="B15" s="50"/>
      <c r="C15" s="253" t="s">
        <v>17</v>
      </c>
      <c r="D15" s="254"/>
      <c r="E15" s="250" t="s">
        <v>148</v>
      </c>
      <c r="F15" s="251"/>
      <c r="G15" s="251"/>
      <c r="H15" s="251"/>
      <c r="I15" s="252"/>
    </row>
    <row r="16" spans="1:9" ht="210.75" customHeight="1" x14ac:dyDescent="0.15">
      <c r="B16" s="50"/>
      <c r="C16" s="253" t="s">
        <v>18</v>
      </c>
      <c r="D16" s="254"/>
      <c r="E16" s="250" t="s">
        <v>161</v>
      </c>
      <c r="F16" s="251"/>
      <c r="G16" s="251"/>
      <c r="H16" s="251"/>
      <c r="I16" s="252"/>
    </row>
    <row r="17" spans="2:9" ht="210.75" customHeight="1" x14ac:dyDescent="0.15">
      <c r="B17" s="51"/>
      <c r="C17" s="257" t="s">
        <v>19</v>
      </c>
      <c r="D17" s="258"/>
      <c r="E17" s="259" t="s">
        <v>162</v>
      </c>
      <c r="F17" s="260"/>
      <c r="G17" s="260"/>
      <c r="H17" s="260"/>
      <c r="I17" s="261"/>
    </row>
    <row r="18" spans="2:9" ht="24" customHeight="1" x14ac:dyDescent="0.15">
      <c r="B18" s="48" t="s">
        <v>20</v>
      </c>
      <c r="C18" s="52"/>
      <c r="D18" s="53"/>
      <c r="E18" s="92"/>
      <c r="F18" s="92"/>
      <c r="G18" s="92"/>
      <c r="H18" s="92"/>
      <c r="I18" s="93"/>
    </row>
    <row r="19" spans="2:9" ht="218.25" customHeight="1" x14ac:dyDescent="0.15">
      <c r="B19" s="50"/>
      <c r="C19" s="253" t="s">
        <v>21</v>
      </c>
      <c r="D19" s="254"/>
      <c r="E19" s="251" t="s">
        <v>163</v>
      </c>
      <c r="F19" s="251"/>
      <c r="G19" s="251"/>
      <c r="H19" s="251"/>
      <c r="I19" s="252"/>
    </row>
    <row r="20" spans="2:9" ht="218.25" customHeight="1" x14ac:dyDescent="0.15">
      <c r="B20" s="51"/>
      <c r="C20" s="257" t="s">
        <v>22</v>
      </c>
      <c r="D20" s="258"/>
      <c r="E20" s="260" t="s">
        <v>164</v>
      </c>
      <c r="F20" s="260"/>
      <c r="G20" s="260"/>
      <c r="H20" s="260"/>
      <c r="I20" s="261"/>
    </row>
    <row r="21" spans="2:9" ht="218.25" customHeight="1" x14ac:dyDescent="0.15">
      <c r="B21" s="267" t="s">
        <v>23</v>
      </c>
      <c r="C21" s="268"/>
      <c r="D21" s="269"/>
      <c r="E21" s="270" t="s">
        <v>165</v>
      </c>
      <c r="F21" s="270"/>
      <c r="G21" s="270"/>
      <c r="H21" s="270"/>
      <c r="I21" s="271"/>
    </row>
    <row r="22" spans="2:9" ht="218.25" customHeight="1" x14ac:dyDescent="0.15">
      <c r="B22" s="262" t="s">
        <v>38</v>
      </c>
      <c r="C22" s="263"/>
      <c r="D22" s="264"/>
      <c r="E22" s="265" t="s">
        <v>166</v>
      </c>
      <c r="F22" s="265"/>
      <c r="G22" s="265"/>
      <c r="H22" s="265"/>
      <c r="I22" s="266"/>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a</cp:lastModifiedBy>
  <cp:lastPrinted>2023-05-15T05:13:49Z</cp:lastPrinted>
  <dcterms:created xsi:type="dcterms:W3CDTF">2011-06-14T05:32:50Z</dcterms:created>
  <dcterms:modified xsi:type="dcterms:W3CDTF">2023-07-18T11:02:41Z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