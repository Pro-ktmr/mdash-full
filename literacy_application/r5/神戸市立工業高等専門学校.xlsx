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waseda\Desktop\20230620-数理DSAI修正\修正提出版\"/>
    </mc:Choice>
  </mc:AlternateContent>
  <bookViews>
    <workbookView xWindow="5880" yWindow="750" windowWidth="17280" windowHeight="897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<sst xmlns="http://schemas.openxmlformats.org/spreadsheetml/2006/main" count="301" uniqueCount="178">
  <si>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</si>
  <si>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</si>
  <si>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</si>
  <si>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</si>
  <si>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</si>
  <si>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</si>
  <si>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</si>
  <si>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</si>
  <si>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</si>
  <si>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</si>
  <si>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</si>
  <si>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</si>
  <si>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</si>
  <si>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</si>
  <si>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</si>
  <si>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</si>
  <si>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</si>
  <si>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</si>
  <si>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</si>
  <si>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</si>
  <si>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</si>
  <si>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</si>
  <si>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</si>
  <si>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</si>
  <si>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</si>
  <si>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</si>
  <si>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</si>
  <si>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</si>
  <si>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</si>
  <si>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</si>
  <si>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</si>
  <si>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</si>
  <si>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</si>
  <si>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</si>
  <si>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</si>
  <si>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</si>
  <si>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</si>
  <si>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</si>
  <si>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</si>
  <si>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</si>
  <si>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</si>
  <si>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</si>
  <si>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</si>
  <si>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</si>
  <si>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</si>
  <si>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</si>
  <si>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</si>
  <si>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</si>
  <si>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</si>
  <si>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</si>
  <si>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</si>
  <si>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</si>
  <si>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</si>
  <si>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</si>
  <si>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</si>
  <si>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</si>
  <si>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</si>
  <si>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</si>
  <si>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</si>
  <si>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</si>
  <si>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</si>
  <si>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</si>
  <si>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</si>
  <si>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</si>
  <si>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</si>
  <si>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</si>
  <si>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</si>
  <si>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</si>
  <si>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</si>
  <si>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</si>
  <si>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</si>
  <si>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</si>
  <si>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</si>
  <si>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</si>
  <si>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</si>
  <si>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</si>
  <si>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</si>
  <si>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</si>
  <si>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</si>
  <si>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</si>
  <si>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</si>
  <si>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</si>
  <si>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</si>
  <si>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</si>
  <si>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</si>
  <si>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</si>
  <si>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</si>
  <si>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</si>
  <si>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</si>
  <si>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</si>
  <si>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</si>
  <si>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</si>
  <si>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</si>
  <si>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</si>
  <si>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</si>
  <si>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</si>
  <si>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</si>
  <si>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</si>
  <si>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</si>
  <si>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</si>
  <si>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</si>
  <si>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</si>
  <si>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</si>
  <si>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</si>
  <si>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</si>
  <si>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</si>
  <si>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</si>
  <si>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</si>
  <si>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</si>
  <si>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</si>
  <si>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</si>
  <si>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</si>
  <si>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</si>
  <si>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</si>
  <si>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</si>
  <si>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</si>
  <si>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</si>
  <si>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</si>
  <si>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</si>
  <si>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</si>
  <si>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</si>
  <si>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</si>
  <si>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</si>
  <si>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</si>
  <si>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</si>
  <si>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</si>
  <si>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</si>
  <si>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神戸市立工業高等専門学校</t>
    <phoneticPr fontId="1"/>
  </si>
  <si>
    <t>学部・学科によって、修了要件は相違しない</t>
  </si>
  <si>
    <t>情報基礎</t>
    <rPh sb="0" eb="2">
      <t>ジョウホウ</t>
    </rPh>
    <rPh sb="2" eb="4">
      <t>キソ</t>
    </rPh>
    <phoneticPr fontId="1"/>
  </si>
  <si>
    <t xml:space="preserve">全学科（機械工学科、電気工学科、電子工学科、応用化学科、都市工学科）とも情報基礎（第1学年　必修　2単位）を取得することにより教育プログラムを修了できる。
</t>
    <rPh sb="41" eb="42">
      <t>ダイ</t>
    </rPh>
    <rPh sb="43" eb="45">
      <t>ガクネン</t>
    </rPh>
    <phoneticPr fontId="1"/>
  </si>
  <si>
    <t>○</t>
  </si>
  <si>
    <t>情報基礎</t>
    <phoneticPr fontId="1"/>
  </si>
  <si>
    <t>機械工学科</t>
    <rPh sb="0" eb="2">
      <t>キカイ</t>
    </rPh>
    <rPh sb="2" eb="5">
      <t>コウガッカ</t>
    </rPh>
    <phoneticPr fontId="1"/>
  </si>
  <si>
    <t>電気工学科</t>
    <rPh sb="0" eb="2">
      <t>デンキ</t>
    </rPh>
    <rPh sb="2" eb="5">
      <t>コウガッカ</t>
    </rPh>
    <phoneticPr fontId="1"/>
  </si>
  <si>
    <t>電子工学科</t>
    <rPh sb="0" eb="2">
      <t>デンシ</t>
    </rPh>
    <rPh sb="2" eb="5">
      <t>コウガッカ</t>
    </rPh>
    <phoneticPr fontId="1"/>
  </si>
  <si>
    <t>応用化学科</t>
    <rPh sb="0" eb="5">
      <t>オウヨウカガクカ</t>
    </rPh>
    <phoneticPr fontId="1"/>
  </si>
  <si>
    <t>都市工学科</t>
    <rPh sb="0" eb="2">
      <t>トシ</t>
    </rPh>
    <rPh sb="2" eb="5">
      <t>コウガッカ</t>
    </rPh>
    <phoneticPr fontId="1"/>
  </si>
  <si>
    <t>令和4</t>
    <rPh sb="0" eb="2">
      <t>レイワ</t>
    </rPh>
    <phoneticPr fontId="1"/>
  </si>
  <si>
    <t>校長</t>
    <rPh sb="0" eb="2">
      <t>コウチョウ</t>
    </rPh>
    <phoneticPr fontId="1"/>
  </si>
  <si>
    <t>戸崎 哲也</t>
    <phoneticPr fontId="1"/>
  </si>
  <si>
    <t>教務主事</t>
    <phoneticPr fontId="1"/>
  </si>
  <si>
    <t>林　泰三</t>
    <rPh sb="0" eb="1">
      <t>ハヤシ</t>
    </rPh>
    <rPh sb="2" eb="4">
      <t>タイゾウ</t>
    </rPh>
    <phoneticPr fontId="1"/>
  </si>
  <si>
    <t>柿木 哲哉</t>
    <phoneticPr fontId="1"/>
  </si>
  <si>
    <t>自己評価委員長（研究担当教務主事）</t>
    <rPh sb="0" eb="2">
      <t>ジコ</t>
    </rPh>
    <rPh sb="2" eb="4">
      <t>ヒョウカ</t>
    </rPh>
    <rPh sb="4" eb="7">
      <t>イインチョウ</t>
    </rPh>
    <phoneticPr fontId="1"/>
  </si>
  <si>
    <t>教務委員会，総合情報センター，自己評価委員会</t>
    <phoneticPr fontId="1"/>
  </si>
  <si>
    <t>自己評価委員会</t>
    <phoneticPr fontId="1"/>
  </si>
  <si>
    <t xml:space="preserve"> </t>
    <phoneticPr fontId="1"/>
  </si>
  <si>
    <t xml:space="preserve">　神戸市立工業高等専門学校の本科の正課教育の運営を円滑にするために、教務委員会を置く。教務委員会は本教育プログラムを含む全学のカリキュラムや単位、成績の認定など全学科の教務に関する事項を掌握しており、教務委員会で本教育プログラムの質・履修者数の向上に関する事項を取り扱う。
　情報教育の充実を支援する総合情報センターが設置する数理・データサイエンス・ AI 教育支援専門部会により具体的な本プログラムの授業を支援し教育の質向上を目指す。
　総合情報センターは、本教育プログラムの学生アンケートを実施・分析し、数理・データサイエンス・ AI 教育支援専門部会と情報を共有し授業改善案を教務委員会へ提案する。
　これらの情報は情報基礎担当者会議にて情報基礎担当教員にも共有され、本教育プログラムの教育活動の改善を継続的に推進（ＰＤＣＡサイクル）するものとする。　
　また、上記体制が適切に運用されているのかについては、自己評価委員会が学習・教育目標の達成度や教育等の状況について点検および評価を行う。
</t>
    <rPh sb="194" eb="195">
      <t>ホン</t>
    </rPh>
    <rPh sb="201" eb="203">
      <t>ジュギョウ</t>
    </rPh>
    <rPh sb="207" eb="209">
      <t>キョウイク</t>
    </rPh>
    <rPh sb="210" eb="211">
      <t>シツ</t>
    </rPh>
    <rPh sb="211" eb="213">
      <t>コウジョウ</t>
    </rPh>
    <rPh sb="214" eb="216">
      <t>メザ</t>
    </rPh>
    <rPh sb="220" eb="224">
      <t>ソウゴウジョウホウ</t>
    </rPh>
    <rPh sb="230" eb="231">
      <t>ホン</t>
    </rPh>
    <rPh sb="231" eb="233">
      <t>キョウイク</t>
    </rPh>
    <rPh sb="239" eb="241">
      <t>ガクセイ</t>
    </rPh>
    <rPh sb="247" eb="249">
      <t>ジッシ</t>
    </rPh>
    <rPh sb="250" eb="252">
      <t>ブンセキ</t>
    </rPh>
    <rPh sb="279" eb="281">
      <t>ジョウホウ</t>
    </rPh>
    <rPh sb="282" eb="284">
      <t>キョウユウ</t>
    </rPh>
    <rPh sb="285" eb="287">
      <t>ジュギョウ</t>
    </rPh>
    <rPh sb="287" eb="289">
      <t>カイゼン</t>
    </rPh>
    <rPh sb="289" eb="290">
      <t>アン</t>
    </rPh>
    <rPh sb="291" eb="293">
      <t>キョウム</t>
    </rPh>
    <rPh sb="293" eb="295">
      <t>イイン</t>
    </rPh>
    <rPh sb="295" eb="296">
      <t>カイ</t>
    </rPh>
    <rPh sb="297" eb="299">
      <t>テイアン</t>
    </rPh>
    <rPh sb="308" eb="310">
      <t>ジョウホウ</t>
    </rPh>
    <rPh sb="317" eb="318">
      <t>シャ</t>
    </rPh>
    <rPh sb="318" eb="320">
      <t>カイギ</t>
    </rPh>
    <rPh sb="322" eb="324">
      <t>ジョウホウ</t>
    </rPh>
    <rPh sb="324" eb="326">
      <t>キソ</t>
    </rPh>
    <rPh sb="326" eb="328">
      <t>タントウ</t>
    </rPh>
    <rPh sb="328" eb="330">
      <t>キョウイン</t>
    </rPh>
    <rPh sb="332" eb="334">
      <t>キョウユウ</t>
    </rPh>
    <rPh sb="338" eb="340">
      <t>キョウイク</t>
    </rPh>
    <rPh sb="384" eb="386">
      <t>ジョウキ</t>
    </rPh>
    <rPh sb="389" eb="391">
      <t>テキセツ</t>
    </rPh>
    <rPh sb="392" eb="394">
      <t>ウンヨウ</t>
    </rPh>
    <phoneticPr fontId="1"/>
  </si>
  <si>
    <t>　各学科の情報基礎は常勤教員が担当しており、教員はオフィスアワーズにて学生からの質問を受け付けられるような体制になっている。
　本校は、学習管理Webサービス＆アプリのGoogle Classroomを利用しており，（学生にはスマートフォンへのアプリインストールを推奨）このGoogle Classroomにて動画やスライドによる教材や理解度を確認するための課題などの教育コンテンツを提供しているため、授業の進度に対応できなかった学生（出席停止や忌引なども含む）は自宅で講義内容をさかのぼって復習が可能であり，講義を終えた学生は，課題により自分自身の理解度を確認できるようになっている。
　なお，学生はGoogle Classroomのストリーム機能にてコメントが可能なので、授業時間内外を問わず授業担当者に質問が可能である。そして、平日の放課後には、総合情報センター演習室の放課後開放を実施しているため、学生が自主的に放課後に演習室PCで動画を視聴したり課題を行うことが可能である（スマートフォンでも動画の視聴や質問も可能）。</t>
    <rPh sb="12" eb="14">
      <t>キョウイン</t>
    </rPh>
    <rPh sb="15" eb="17">
      <t>タントウ</t>
    </rPh>
    <rPh sb="22" eb="24">
      <t>キョウイン</t>
    </rPh>
    <rPh sb="35" eb="37">
      <t>ガクセイ</t>
    </rPh>
    <rPh sb="53" eb="55">
      <t>タイセイ</t>
    </rPh>
    <rPh sb="64" eb="66">
      <t>ホンコウ</t>
    </rPh>
    <rPh sb="101" eb="103">
      <t>リヨウ</t>
    </rPh>
    <rPh sb="109" eb="111">
      <t>ガクセイ</t>
    </rPh>
    <rPh sb="132" eb="134">
      <t>スイショウ</t>
    </rPh>
    <rPh sb="165" eb="167">
      <t>キョウザイ</t>
    </rPh>
    <rPh sb="168" eb="171">
      <t>リカイド</t>
    </rPh>
    <rPh sb="172" eb="174">
      <t>カクニン</t>
    </rPh>
    <rPh sb="179" eb="181">
      <t>カダイ</t>
    </rPh>
    <rPh sb="201" eb="203">
      <t>ジュギョウ</t>
    </rPh>
    <rPh sb="204" eb="206">
      <t>シンド</t>
    </rPh>
    <rPh sb="207" eb="209">
      <t>タイオウ</t>
    </rPh>
    <rPh sb="215" eb="217">
      <t>ガクセイ</t>
    </rPh>
    <rPh sb="218" eb="220">
      <t>シュッセキ</t>
    </rPh>
    <rPh sb="220" eb="222">
      <t>テイシ</t>
    </rPh>
    <rPh sb="223" eb="225">
      <t>キビキ</t>
    </rPh>
    <rPh sb="228" eb="229">
      <t>フク</t>
    </rPh>
    <rPh sb="255" eb="257">
      <t>コウギ</t>
    </rPh>
    <rPh sb="258" eb="259">
      <t>オ</t>
    </rPh>
    <rPh sb="261" eb="263">
      <t>ガクセイ</t>
    </rPh>
    <rPh sb="265" eb="267">
      <t>カダイ</t>
    </rPh>
    <rPh sb="270" eb="274">
      <t>ジブンジシン</t>
    </rPh>
    <rPh sb="275" eb="278">
      <t>リカイド</t>
    </rPh>
    <rPh sb="279" eb="281">
      <t>カクニン</t>
    </rPh>
    <rPh sb="299" eb="301">
      <t>ガクセイ</t>
    </rPh>
    <rPh sb="324" eb="326">
      <t>キノウ</t>
    </rPh>
    <rPh sb="333" eb="335">
      <t>カノウ</t>
    </rPh>
    <rPh sb="339" eb="341">
      <t>ジュギョウ</t>
    </rPh>
    <rPh sb="341" eb="343">
      <t>ジカン</t>
    </rPh>
    <rPh sb="343" eb="344">
      <t>ナイ</t>
    </rPh>
    <rPh sb="344" eb="345">
      <t>ガイ</t>
    </rPh>
    <rPh sb="346" eb="347">
      <t>ト</t>
    </rPh>
    <rPh sb="349" eb="351">
      <t>ジュギョウ</t>
    </rPh>
    <rPh sb="351" eb="353">
      <t>タントウ</t>
    </rPh>
    <rPh sb="353" eb="354">
      <t>シャ</t>
    </rPh>
    <rPh sb="355" eb="357">
      <t>シツモン</t>
    </rPh>
    <rPh sb="358" eb="360">
      <t>カノウ</t>
    </rPh>
    <rPh sb="377" eb="379">
      <t>ソウゴウ</t>
    </rPh>
    <rPh sb="379" eb="381">
      <t>ジョウホウ</t>
    </rPh>
    <rPh sb="424" eb="426">
      <t>シチョウ</t>
    </rPh>
    <rPh sb="431" eb="432">
      <t>オコナ</t>
    </rPh>
    <rPh sb="452" eb="454">
      <t>ドウガ</t>
    </rPh>
    <rPh sb="455" eb="457">
      <t>シチョウ</t>
    </rPh>
    <rPh sb="458" eb="460">
      <t>シツモン</t>
    </rPh>
    <rPh sb="461" eb="463">
      <t>カノウ</t>
    </rPh>
    <phoneticPr fontId="1"/>
  </si>
  <si>
    <t>　全学科に共通の科目として情報基礎を必修科目として設置しており、1年次入学者が全員履修できる体制となっている。</t>
    <phoneticPr fontId="1"/>
  </si>
  <si>
    <t>　全学科に共通の科目として情報基礎を必修科目として設置しており、1年次入学者全員が履修する。</t>
    <phoneticPr fontId="1"/>
  </si>
  <si>
    <t>　全学科に共通の科目として情報基礎を必修科目として設置しており、1年次入学者が全員履修できる体制となっている。12名いる担当教員に対しては、スライドや動画による教材を提供し、統一の試験を実施することで教育内容の質を担保している。</t>
    <phoneticPr fontId="1"/>
  </si>
  <si>
    <t xml:space="preserve">　情報基礎については、令和4年度からすべての1年生の必修科目として設置している。
5年後には、1年次入学者に対する履修率は100％となる計画である。
</t>
    <rPh sb="42" eb="44">
      <t>ネンゴ</t>
    </rPh>
    <phoneticPr fontId="1"/>
  </si>
  <si>
    <t>【評価結果】
　十分に実施している。
【意見】
　全学科に対し、本プログラムに関わる情報基礎を第1学年に必修科目として設定し、進級認定会議および教務委員会において単位の履修状況及び単位取得状況を確認している。</t>
    <rPh sb="48" eb="49">
      <t>ダイ</t>
    </rPh>
    <rPh sb="73" eb="75">
      <t>キョウム</t>
    </rPh>
    <rPh sb="75" eb="77">
      <t>イイン</t>
    </rPh>
    <rPh sb="77" eb="78">
      <t>カイ</t>
    </rPh>
    <phoneticPr fontId="1"/>
  </si>
  <si>
    <t>【評価結果】
　十分に実施している。
【意見】
　本プログラムに関わる情報基礎は、必修科目として設定されており、全学生が1年時に履修する体制が確立している。</t>
    <rPh sb="62" eb="63">
      <t>ネン</t>
    </rPh>
    <rPh sb="63" eb="64">
      <t>ジ</t>
    </rPh>
    <phoneticPr fontId="1"/>
  </si>
  <si>
    <t>【評価結果】
　実施している。
【意見】
　全学科共通の前期定期試験を実施し、学生の学習内容の理解度が把握できている。また、情報基礎独自の理解度アンケートおよび（神戸高専の通常の）授業アンケートを実施しており、学生の学習内容の理解度が把握できている。
　情報基礎独自の理解度アンケート結果は、総合情報センターと数理・DS・AI教育支援専門部会にて集計・分析され次年度への授業改善のために、情報基礎担当者に共有されている（教育プログラム内のPDCAが回っていることを確認した）。</t>
    <rPh sb="43" eb="45">
      <t>ガクシュウ</t>
    </rPh>
    <rPh sb="45" eb="47">
      <t>ナイヨウ</t>
    </rPh>
    <rPh sb="109" eb="111">
      <t>ガクシュウ</t>
    </rPh>
    <rPh sb="143" eb="145">
      <t>ケッカ</t>
    </rPh>
    <rPh sb="147" eb="151">
      <t>ソウゴウジョウホウ</t>
    </rPh>
    <rPh sb="174" eb="176">
      <t>シュウケイ</t>
    </rPh>
    <rPh sb="177" eb="179">
      <t>ブンセキ</t>
    </rPh>
    <rPh sb="181" eb="184">
      <t>ジネンド</t>
    </rPh>
    <rPh sb="186" eb="188">
      <t>ジュギョウ</t>
    </rPh>
    <rPh sb="188" eb="190">
      <t>カイゼン</t>
    </rPh>
    <rPh sb="195" eb="197">
      <t>ジョウホウ</t>
    </rPh>
    <rPh sb="197" eb="199">
      <t>キソ</t>
    </rPh>
    <rPh sb="199" eb="202">
      <t>タントウシャ</t>
    </rPh>
    <rPh sb="203" eb="205">
      <t>キョウユウ</t>
    </rPh>
    <rPh sb="211" eb="213">
      <t>キョウイク</t>
    </rPh>
    <rPh sb="218" eb="219">
      <t>ナイ</t>
    </rPh>
    <rPh sb="225" eb="226">
      <t>マワ</t>
    </rPh>
    <rPh sb="233" eb="235">
      <t>カクニン</t>
    </rPh>
    <phoneticPr fontId="1"/>
  </si>
  <si>
    <t>　情報基礎については、1年生全員の必修科目として開講しているため、後輩他の学生への推奨については該当しない。</t>
    <phoneticPr fontId="1"/>
  </si>
  <si>
    <t>　令和5年3月時点で本プログラム修了者の中で卒業した学生はいない。</t>
    <phoneticPr fontId="1"/>
  </si>
  <si>
    <t>教務委員会規程，総合情報センター規程，自己評価委員会規程</t>
    <rPh sb="26" eb="28">
      <t>キテイ</t>
    </rPh>
    <phoneticPr fontId="1"/>
  </si>
  <si>
    <r>
      <rPr>
        <b/>
        <sz val="9"/>
        <rFont val="ＭＳ Ｐゴシック"/>
        <family val="3"/>
        <charset val="128"/>
        <scheme val="minor"/>
      </rPr>
      <t>●教務委員会：教務主事1名，副主事 （教育 ）4名，教務委員 8名， 事務室2名</t>
    </r>
    <r>
      <rPr>
        <sz val="9"/>
        <rFont val="ＭＳ Ｐゴシック"/>
        <family val="3"/>
        <charset val="128"/>
        <scheme val="minor"/>
      </rPr>
      <t xml:space="preserve">
</t>
    </r>
    <r>
      <rPr>
        <b/>
        <sz val="9"/>
        <rFont val="ＭＳ Ｐゴシック"/>
        <family val="3"/>
        <charset val="128"/>
        <scheme val="minor"/>
      </rPr>
      <t>教務主事</t>
    </r>
    <r>
      <rPr>
        <sz val="9"/>
        <rFont val="ＭＳ Ｐゴシック"/>
        <family val="3"/>
        <charset val="128"/>
        <scheme val="minor"/>
      </rPr>
      <t xml:space="preserve">（電子工学科 教授 戸崎 哲也 ）
</t>
    </r>
    <r>
      <rPr>
        <b/>
        <sz val="9"/>
        <rFont val="ＭＳ Ｐゴシック"/>
        <family val="3"/>
        <charset val="128"/>
        <scheme val="minor"/>
      </rPr>
      <t>副主事 （教育 ）</t>
    </r>
    <r>
      <rPr>
        <sz val="9"/>
        <rFont val="ＭＳ Ｐゴシック"/>
        <family val="3"/>
        <charset val="128"/>
        <scheme val="minor"/>
      </rPr>
      <t xml:space="preserve">（電気工学科 准教授 南 政孝, 都市工学科 准教授 小塚 みすず, 機械工学科 准教授 橋本 英樹, 一般科 准教授 高見 健太郎）
</t>
    </r>
    <r>
      <rPr>
        <b/>
        <sz val="9"/>
        <rFont val="ＭＳ Ｐゴシック"/>
        <family val="3"/>
        <charset val="128"/>
        <scheme val="minor"/>
      </rPr>
      <t>教務委員</t>
    </r>
    <r>
      <rPr>
        <sz val="9"/>
        <rFont val="ＭＳ Ｐゴシック"/>
        <family val="3"/>
        <charset val="128"/>
        <scheme val="minor"/>
      </rPr>
      <t xml:space="preserve">（機械工学科 教授 尾崎純一、准教授　東 義隆, 電気工学科 教授 茂木 進一, 電子工学科 教授 荻原 昭文, 応用化学科 教授 九鬼 導隆, 都市工学科 准教授 田島 喜美恵, 一般科　教授 北村 知徳, 准教授 林田 定男）
</t>
    </r>
    <r>
      <rPr>
        <b/>
        <sz val="9"/>
        <rFont val="ＭＳ Ｐゴシック"/>
        <family val="3"/>
        <charset val="128"/>
        <scheme val="minor"/>
      </rPr>
      <t>事務室</t>
    </r>
    <r>
      <rPr>
        <sz val="9"/>
        <rFont val="ＭＳ Ｐゴシック"/>
        <family val="3"/>
        <charset val="128"/>
        <scheme val="minor"/>
      </rPr>
      <t xml:space="preserve">（学生係長 藤田 智也、事務職員　神垣 竜二）
</t>
    </r>
    <r>
      <rPr>
        <b/>
        <sz val="9"/>
        <rFont val="ＭＳ Ｐゴシック"/>
        <family val="3"/>
        <charset val="128"/>
        <scheme val="minor"/>
      </rPr>
      <t>●総合情報センター：センタ長1名， 副センター長2名，事務室2名</t>
    </r>
    <r>
      <rPr>
        <sz val="9"/>
        <rFont val="ＭＳ Ｐゴシック"/>
        <family val="3"/>
        <charset val="128"/>
        <scheme val="minor"/>
      </rPr>
      <t xml:space="preserve">
</t>
    </r>
    <r>
      <rPr>
        <b/>
        <sz val="9"/>
        <rFont val="ＭＳ Ｐゴシック"/>
        <family val="3"/>
        <charset val="128"/>
        <scheme val="minor"/>
      </rPr>
      <t>センター長</t>
    </r>
    <r>
      <rPr>
        <sz val="9"/>
        <rFont val="ＭＳ Ｐゴシック"/>
        <family val="3"/>
        <charset val="128"/>
        <scheme val="minor"/>
      </rPr>
      <t xml:space="preserve">（機械工学科　教授　早稲田 一嘉）
</t>
    </r>
    <r>
      <rPr>
        <b/>
        <sz val="9"/>
        <rFont val="ＭＳ Ｐゴシック"/>
        <family val="3"/>
        <charset val="128"/>
        <scheme val="minor"/>
      </rPr>
      <t>副センター長</t>
    </r>
    <r>
      <rPr>
        <sz val="9"/>
        <rFont val="ＭＳ Ｐゴシック"/>
        <family val="3"/>
        <charset val="128"/>
        <scheme val="minor"/>
      </rPr>
      <t xml:space="preserve">(電気工学科准教授  酒井 昌彦, 電子工学科 教授  橋本 好幸,　応用化学科 准教授 増田興司）
</t>
    </r>
    <r>
      <rPr>
        <b/>
        <sz val="9"/>
        <rFont val="ＭＳ Ｐゴシック"/>
        <family val="3"/>
        <charset val="128"/>
        <scheme val="minor"/>
      </rPr>
      <t>事務室</t>
    </r>
    <r>
      <rPr>
        <sz val="9"/>
        <rFont val="ＭＳ Ｐゴシック"/>
        <family val="3"/>
        <charset val="128"/>
        <scheme val="minor"/>
      </rPr>
      <t xml:space="preserve">（事務職員 東大樹,　事務職員 清田実花）
</t>
    </r>
    <r>
      <rPr>
        <b/>
        <sz val="9"/>
        <rFont val="ＭＳ Ｐゴシック"/>
        <family val="3"/>
        <charset val="128"/>
        <scheme val="minor"/>
      </rPr>
      <t xml:space="preserve">●数理・データサイエンス・ AI 教育支援専門部会(総合情報センターから委任)：3名
</t>
    </r>
    <r>
      <rPr>
        <sz val="9"/>
        <rFont val="ＭＳ Ｐゴシック"/>
        <family val="3"/>
        <charset val="128"/>
        <scheme val="minor"/>
      </rPr>
      <t xml:space="preserve">（応用化学科 准教授 増田興司（副センター長兼任）, 電子工学科 教授 藤本健司 電気工学科 准教授 中村 佳敬）
</t>
    </r>
    <r>
      <rPr>
        <b/>
        <sz val="9"/>
        <rFont val="ＭＳ Ｐゴシック"/>
        <family val="3"/>
        <charset val="128"/>
        <scheme val="minor"/>
      </rPr>
      <t>●自己評価委員会：教務主事(研究担当)1名，副主事（研究）3名，自己評価委員6名，事務室3名</t>
    </r>
    <r>
      <rPr>
        <sz val="9"/>
        <rFont val="ＭＳ Ｐゴシック"/>
        <family val="3"/>
        <charset val="128"/>
        <scheme val="minor"/>
      </rPr>
      <t xml:space="preserve">
</t>
    </r>
    <r>
      <rPr>
        <b/>
        <sz val="9"/>
        <rFont val="ＭＳ Ｐゴシック"/>
        <family val="3"/>
        <charset val="128"/>
        <scheme val="minor"/>
      </rPr>
      <t>教務主事（研究担当）　</t>
    </r>
    <r>
      <rPr>
        <sz val="9"/>
        <rFont val="ＭＳ Ｐゴシック"/>
        <family val="3"/>
        <charset val="128"/>
        <scheme val="minor"/>
      </rPr>
      <t xml:space="preserve">(都市工学科 教授 柿木 哲哉 )
</t>
    </r>
    <r>
      <rPr>
        <b/>
        <sz val="9"/>
        <rFont val="ＭＳ Ｐゴシック"/>
        <family val="3"/>
        <charset val="128"/>
        <scheme val="minor"/>
      </rPr>
      <t>副主事（研究）</t>
    </r>
    <r>
      <rPr>
        <sz val="9"/>
        <rFont val="ＭＳ Ｐゴシック"/>
        <family val="3"/>
        <charset val="128"/>
        <scheme val="minor"/>
      </rPr>
      <t xml:space="preserve">  (電気工学科 准教授 中村 佳敬, 応用化学科 教授 小泉 拓也, 一般科　教授 谷口 博)
</t>
    </r>
    <r>
      <rPr>
        <b/>
        <sz val="9"/>
        <rFont val="ＭＳ Ｐゴシック"/>
        <family val="3"/>
        <charset val="128"/>
        <scheme val="minor"/>
      </rPr>
      <t>自己評価委員</t>
    </r>
    <r>
      <rPr>
        <sz val="9"/>
        <rFont val="ＭＳ Ｐゴシック"/>
        <family val="3"/>
        <charset val="128"/>
        <scheme val="minor"/>
      </rPr>
      <t xml:space="preserve">  (機械工学科 准教授　熊野 智之, 電気工学科 教授 森田 二朗, 電子工学科 講師 髙田 崚介, 応用化学科 准教授 下村 憲司朗, 都市工学科 教授 鳥居 宣之, 一般科　教授 菅野 聡子)
</t>
    </r>
    <r>
      <rPr>
        <b/>
        <sz val="9"/>
        <rFont val="ＭＳ Ｐゴシック"/>
        <family val="3"/>
        <charset val="128"/>
        <scheme val="minor"/>
      </rPr>
      <t>事務室</t>
    </r>
    <r>
      <rPr>
        <sz val="9"/>
        <rFont val="ＭＳ Ｐゴシック"/>
        <family val="3"/>
        <charset val="128"/>
        <scheme val="minor"/>
      </rPr>
      <t xml:space="preserve">  (総務課長 田中 庸公 、学生係長 藤田 智也, 事務職員 東 大樹)</t>
    </r>
    <rPh sb="7" eb="9">
      <t>キョウム</t>
    </rPh>
    <rPh sb="9" eb="11">
      <t>シュジ</t>
    </rPh>
    <rPh sb="12" eb="13">
      <t>メイ</t>
    </rPh>
    <rPh sb="24" eb="25">
      <t>メイ</t>
    </rPh>
    <rPh sb="26" eb="30">
      <t>キョウムイイン</t>
    </rPh>
    <rPh sb="32" eb="33">
      <t>メイ</t>
    </rPh>
    <rPh sb="35" eb="38">
      <t>ジムシツ</t>
    </rPh>
    <rPh sb="39" eb="40">
      <t>メイ</t>
    </rPh>
    <rPh sb="260" eb="263">
      <t>ジムシツ</t>
    </rPh>
    <rPh sb="300" eb="301">
      <t>チョウ</t>
    </rPh>
    <rPh sb="302" eb="303">
      <t>メイ</t>
    </rPh>
    <rPh sb="305" eb="306">
      <t>フク</t>
    </rPh>
    <rPh sb="310" eb="311">
      <t>チョウ</t>
    </rPh>
    <rPh sb="312" eb="313">
      <t>メイ</t>
    </rPh>
    <rPh sb="314" eb="317">
      <t>ジムシツ</t>
    </rPh>
    <rPh sb="318" eb="319">
      <t>メイ</t>
    </rPh>
    <rPh sb="324" eb="325">
      <t>チョウ</t>
    </rPh>
    <rPh sb="343" eb="344">
      <t>フク</t>
    </rPh>
    <rPh sb="348" eb="349">
      <t>チョウ</t>
    </rPh>
    <rPh sb="350" eb="355">
      <t>デンキコウガッカ</t>
    </rPh>
    <rPh sb="367" eb="372">
      <t>デンシコウガッカ</t>
    </rPh>
    <rPh sb="400" eb="402">
      <t>ジム</t>
    </rPh>
    <rPh sb="402" eb="403">
      <t>シツ</t>
    </rPh>
    <rPh sb="404" eb="408">
      <t>ジムショクイン</t>
    </rPh>
    <rPh sb="409" eb="410">
      <t>アズマ</t>
    </rPh>
    <rPh sb="410" eb="412">
      <t>ダイジュ</t>
    </rPh>
    <rPh sb="414" eb="418">
      <t>ジムショクイン</t>
    </rPh>
    <rPh sb="451" eb="453">
      <t>ソウゴウ</t>
    </rPh>
    <rPh sb="453" eb="455">
      <t>ジョウホウ</t>
    </rPh>
    <rPh sb="461" eb="463">
      <t>イニン</t>
    </rPh>
    <rPh sb="466" eb="467">
      <t>メイ</t>
    </rPh>
    <rPh sb="484" eb="485">
      <t>フク</t>
    </rPh>
    <rPh sb="489" eb="490">
      <t>チョウ</t>
    </rPh>
    <rPh sb="535" eb="539">
      <t>キョウムシュジ</t>
    </rPh>
    <rPh sb="540" eb="544">
      <t>ケンキュウタントウ</t>
    </rPh>
    <rPh sb="546" eb="547">
      <t>メイ</t>
    </rPh>
    <rPh sb="556" eb="557">
      <t>メイ</t>
    </rPh>
    <rPh sb="558" eb="562">
      <t>ジコヒョウカ</t>
    </rPh>
    <rPh sb="562" eb="564">
      <t>イイン</t>
    </rPh>
    <rPh sb="565" eb="566">
      <t>メイ</t>
    </rPh>
    <rPh sb="567" eb="570">
      <t>ジムシツ</t>
    </rPh>
    <rPh sb="571" eb="572">
      <t>メイ</t>
    </rPh>
    <rPh sb="764" eb="767">
      <t>ジムシツ</t>
    </rPh>
    <phoneticPr fontId="1"/>
  </si>
  <si>
    <t>　情報基礎については1年生全員の必修科目として開講しているため、休学などで不履修となる学生を除いて、5年後には履修率は100%になる計画であることを確認した。</t>
    <rPh sb="32" eb="34">
      <t>キュウガク</t>
    </rPh>
    <rPh sb="37" eb="38">
      <t>フ</t>
    </rPh>
    <rPh sb="38" eb="40">
      <t>リシュウ</t>
    </rPh>
    <rPh sb="43" eb="45">
      <t>ガクセイ</t>
    </rPh>
    <rPh sb="46" eb="47">
      <t>ノゾ</t>
    </rPh>
    <rPh sb="51" eb="53">
      <t>ネンゴ</t>
    </rPh>
    <rPh sb="55" eb="57">
      <t>リシュウ</t>
    </rPh>
    <rPh sb="57" eb="58">
      <t>リツ</t>
    </rPh>
    <rPh sb="66" eb="68">
      <t>ケイカク</t>
    </rPh>
    <rPh sb="74" eb="76">
      <t>カクニン</t>
    </rPh>
    <phoneticPr fontId="1"/>
  </si>
  <si>
    <t>「現在の社会変化に数理・データサイエンス・AIが与える影響および自身の生活との関係」，「深層学習などの先進技術やそれを活用した新しい社会サービスなどの動向」．「数理・データサイエンス・AIを活用する上で遵守するべき法律やモラルについて」について理解し，情報処理を行う上で必要なコンピュータやネットワークに関する基本的知識を持ち，それらを説明することができる。また，様々な種類のデータを扱う上での基本的知識を持ち，それらを統計的に解析することができる．</t>
    <rPh sb="122" eb="124">
      <t>リカイ</t>
    </rPh>
    <phoneticPr fontId="1"/>
  </si>
  <si>
    <t>　令和4年9月に実施した特別外部評価では、産業界、大学などからの有識者を招き、本校の教育、研究、地域貢献等に関する現状を共有したうえで、評価・講評を受けた。政府のAI戦略に基づいて、本校では令和4年度から「情報基礎」のシラバスを”Python演習を含んだ”数理・データサイエンス・AI（リテラシーレベル）の内容へと大幅に一新し、全学科の学生に対して「現代版よみかきそろばん」として数理・データサイエンス・AI（リテラシーレベル）の習得を目指したことを報告し、評価を受けた。
　令和5年4月の特別外部評価においては、オリジナルの教材に一定の評価を受けるなど同様の評価や意見を得た（産業界からの有識者からは市販のオンライン教材の購入についての一考も助言がなされた）。</t>
    <rPh sb="74" eb="75">
      <t>ウ</t>
    </rPh>
    <rPh sb="91" eb="93">
      <t>ホンコウ</t>
    </rPh>
    <rPh sb="153" eb="155">
      <t>ナイヨウ</t>
    </rPh>
    <rPh sb="164" eb="165">
      <t>スベ</t>
    </rPh>
    <rPh sb="165" eb="167">
      <t>ガッカ</t>
    </rPh>
    <rPh sb="168" eb="170">
      <t>ガクセイ</t>
    </rPh>
    <rPh sb="171" eb="172">
      <t>タイ</t>
    </rPh>
    <rPh sb="175" eb="177">
      <t>ゲンダイ</t>
    </rPh>
    <rPh sb="177" eb="178">
      <t>バン</t>
    </rPh>
    <rPh sb="190" eb="192">
      <t>スウリ</t>
    </rPh>
    <rPh sb="215" eb="217">
      <t>シュウトク</t>
    </rPh>
    <rPh sb="218" eb="220">
      <t>メザ</t>
    </rPh>
    <rPh sb="229" eb="231">
      <t>ヒョウカ</t>
    </rPh>
    <rPh sb="232" eb="233">
      <t>ウ</t>
    </rPh>
    <rPh sb="238" eb="240">
      <t>レイワ</t>
    </rPh>
    <rPh sb="241" eb="242">
      <t>ネン</t>
    </rPh>
    <rPh sb="243" eb="244">
      <t>ガツ</t>
    </rPh>
    <rPh sb="245" eb="247">
      <t>トクベツ</t>
    </rPh>
    <rPh sb="247" eb="249">
      <t>ガイブ</t>
    </rPh>
    <rPh sb="249" eb="251">
      <t>ヒョウカ</t>
    </rPh>
    <rPh sb="263" eb="265">
      <t>キョウザイ</t>
    </rPh>
    <rPh sb="266" eb="268">
      <t>イッテイ</t>
    </rPh>
    <rPh sb="269" eb="271">
      <t>ヒョウカ</t>
    </rPh>
    <rPh sb="272" eb="273">
      <t>ウ</t>
    </rPh>
    <rPh sb="277" eb="279">
      <t>ドウヨウ</t>
    </rPh>
    <rPh sb="280" eb="282">
      <t>ヒョウカ</t>
    </rPh>
    <rPh sb="283" eb="285">
      <t>イケン</t>
    </rPh>
    <rPh sb="286" eb="287">
      <t>エ</t>
    </rPh>
    <rPh sb="289" eb="292">
      <t>サンギョウカイ</t>
    </rPh>
    <rPh sb="295" eb="298">
      <t>ユウシキシャ</t>
    </rPh>
    <rPh sb="301" eb="303">
      <t>シハン</t>
    </rPh>
    <rPh sb="309" eb="311">
      <t>キョウザイ</t>
    </rPh>
    <rPh sb="312" eb="314">
      <t>コウニュウ</t>
    </rPh>
    <rPh sb="319" eb="321">
      <t>イッコウ</t>
    </rPh>
    <rPh sb="322" eb="324">
      <t>ジョゲン</t>
    </rPh>
    <phoneticPr fontId="1"/>
  </si>
  <si>
    <t>　大学の数理・データサイエンス・AI（リテラシーレベル）向け専門書では、高校を卒業し大学に入学した学生ならば理解できそうな内容ではあるが、中学を卒業して入学してくる高専1年生には記載されている”具体的な例”のイメージがわきにくいことが懸念された。よって、後述する科研費に採択された研究成果を踏まえたオリジナル教材を採用し、”例”については中学を卒業して間もない1年生（15～16歳）でも容易にイメージの沸くものとしていた。また、前期には表計算ソフトウェアで，後期にはPythonによる演習をすることで、実際のデータの取り扱いや可視化の方法を”例題をこなすこと”で実践した。早期に専門を学びたいという動機で入学してきた高専1年生らに、数理・データサイエンス・AIを学ぶ意義や楽しさを体験してもらうようにしていた。（「情報基礎」科目担当教員用Google　Classroomの実地評価にて確認した。）</t>
    <rPh sb="89" eb="91">
      <t>キサイ</t>
    </rPh>
    <rPh sb="97" eb="100">
      <t>グタイテキ</t>
    </rPh>
    <rPh sb="162" eb="163">
      <t>レイ</t>
    </rPh>
    <rPh sb="357" eb="359">
      <t>ジョウホウ</t>
    </rPh>
    <rPh sb="359" eb="361">
      <t>キソ</t>
    </rPh>
    <rPh sb="362" eb="364">
      <t>カモク</t>
    </rPh>
    <rPh sb="364" eb="366">
      <t>タントウ</t>
    </rPh>
    <rPh sb="368" eb="369">
      <t>ヨウ</t>
    </rPh>
    <rPh sb="386" eb="388">
      <t>ジッチ</t>
    </rPh>
    <rPh sb="388" eb="390">
      <t>ヒョウカ</t>
    </rPh>
    <rPh sb="392" eb="394">
      <t>カクニン</t>
    </rPh>
    <phoneticPr fontId="1"/>
  </si>
  <si>
    <t>　科研費基盤研究（C)”高等専門学校における実践的AI技術者育成用教材の開発（研究課題/領域番号 20K03115 ）”において得られた知見を生かした教材の提供およびその研究代表者の助言に基づき各学科の情報基礎担当者が授業を受け持つことで、内容・水準の平準化を保っていた。
　高等学校の”情報Ⅰ”および”情報Ⅱ”の教科書では不足する内容・水準、大学の数理・データサイエンス・AI（リテラシーレベル）向けの専門書では”具体例”などは中学卒業直後の高専1年生にはイメージが湧きにくいものも多く、オリジナル教材を用いることで、中学を卒業して間もない1年生（15～16歳）でもわかりやすい授業になっていた。
　また、Google Classroomによる動画による教育コンテンツを提供しているため、授業の進度に対応できなかった学生（出席停止や忌引なども含む）が自宅で講義内容をさかのぼって復習が可能になるようにしていた。12名いる担当教員に対しては、情報基礎教員専用のGoogle Classroomにてスライドや動画による教材を提供し、教育内容の質を担保しており、水準を維持する仕組みを整えていた。（「情報基礎」科目担当教員用Google Classroomの実地評価にて確認した。）</t>
    <rPh sb="208" eb="210">
      <t>グタイ</t>
    </rPh>
    <rPh sb="210" eb="211">
      <t>レイ</t>
    </rPh>
    <rPh sb="234" eb="235">
      <t>ワ</t>
    </rPh>
    <phoneticPr fontId="1"/>
  </si>
  <si>
    <t>・コンピュータのハードウェアおよびソフトウェアの一般的な知識「情報基礎」（第2週）
・社会を支える情報通信ネットワークの仕組みとそれを支える技術「情報基礎」（第3週）
・データの種類や表現したい内容における様々な可視化方法「情報基礎」（第13週）</t>
    <rPh sb="31" eb="35">
      <t>ジョウホウキソ</t>
    </rPh>
    <rPh sb="73" eb="77">
      <t>ジョウホウキソ</t>
    </rPh>
    <rPh sb="79" eb="80">
      <t>ダイ</t>
    </rPh>
    <rPh sb="81" eb="82">
      <t>シュウ</t>
    </rPh>
    <rPh sb="112" eb="116">
      <t>ジョウホウキソ</t>
    </rPh>
    <rPh sb="118" eb="119">
      <t>ダイ</t>
    </rPh>
    <phoneticPr fontId="1"/>
  </si>
  <si>
    <t>・ビッグデータ、IoT、AI、ロボット「情報基礎」（第3週）
・データ量の増加、計算機の処理性能の向上、AIの非連続的進化「情報基礎」（第3週）
・第4次産業革命、Society 5.0、データ駆動型社会「情報基礎」（第3週）
・複数技術を組み合わせたAIサービス「情報基礎」（第3週）
・人間の知的活動とAIの関係性「情報基礎」（第3週）
・データを起点としたものの見方、人間の知的活動を起点としたものの見方「情報基礎」（第3週）</t>
    <rPh sb="206" eb="208">
      <t>ジョウホウ</t>
    </rPh>
    <rPh sb="208" eb="210">
      <t>キソ</t>
    </rPh>
    <phoneticPr fontId="1"/>
  </si>
  <si>
    <t>・AI等を活用した新しいビジネスモデル「情報基礎」(第6週）
・AI最新技術の活用例「情報基礎」（第6週）</t>
    <rPh sb="3" eb="4">
      <t>トウ</t>
    </rPh>
    <rPh sb="5" eb="7">
      <t>カツヨウ</t>
    </rPh>
    <rPh sb="9" eb="10">
      <t>アタラ</t>
    </rPh>
    <rPh sb="20" eb="24">
      <t>ジョウホウキソ</t>
    </rPh>
    <rPh sb="26" eb="27">
      <t>ダイ</t>
    </rPh>
    <rPh sb="28" eb="29">
      <t>シュウ</t>
    </rPh>
    <rPh sb="43" eb="47">
      <t>ジョウホウキソ</t>
    </rPh>
    <phoneticPr fontId="1"/>
  </si>
  <si>
    <t>・調査データ、実験データ、人の行動ログデータ、機械の稼働ログデータなど「情報基礎」（第5週）
・1次データ、2次データ、データのメタ化「情報基礎」（第5週）
・構造化データ、非構造化データ「情報基礎」（第5週）
・データ作成「情報基礎」（第5週）
・データのオープン化「情報基礎」（第5週）</t>
    <rPh sb="135" eb="139">
      <t>ジョウホウキソ</t>
    </rPh>
    <phoneticPr fontId="1"/>
  </si>
  <si>
    <t>・ELSI（Ethical, Legal and Social Issues）「情報基礎」（第6週）
・個人情報保護、EU一般データ保護規則(GDPR)、忘れられる権利、オプトアウト「情報基礎」（第6週）
・データ倫理：データのねつ造、改ざん、盗用、プライバシー保護「情報基礎」（第6週）
・AI社会原則（公平性、説明責任、透明性、人間中心の判断）「情報基礎」（第6週）
・データバイアス、アルゴリズムバイアス「情報基礎」（第6週）
・AIサービスの責任論「情報基礎」（第6週）
・データ・AI活用における負の事例紹介「情報基礎」（第6週）</t>
    <phoneticPr fontId="1"/>
  </si>
  <si>
    <t>・情報セキュリティ：機密性、完全性、可用性「情報基礎」（第7週）
・匿名加工情報、暗号化、パスワード、悪意ある情報搾取「情報基礎」（第7週）
・情報漏洩等によるセキュリティ事故の事例紹介「情報基礎」（第7週）</t>
    <rPh sb="94" eb="98">
      <t>ジョウホウキソ</t>
    </rPh>
    <phoneticPr fontId="1"/>
  </si>
  <si>
    <t>・データの集計（和、平均）「情報基礎」（第10週，第14週）
・データの並び替え、ランキング「情報基礎」（第10週，第14週）
・データ解析ツール（スプレッドシート）「情報基礎」（第10週，第14週）
・表形式のデータ（csv）「情報基礎」（第14週）</t>
    <rPh sb="20" eb="21">
      <t>ダイ</t>
    </rPh>
    <rPh sb="23" eb="24">
      <t>シュウ</t>
    </rPh>
    <rPh sb="53" eb="54">
      <t>ダイ</t>
    </rPh>
    <rPh sb="56" eb="57">
      <t>シュウ</t>
    </rPh>
    <rPh sb="90" eb="91">
      <t>ダイ</t>
    </rPh>
    <rPh sb="93" eb="94">
      <t>シュウ</t>
    </rPh>
    <rPh sb="115" eb="119">
      <t>ジョウホウキソ</t>
    </rPh>
    <phoneticPr fontId="1"/>
  </si>
  <si>
    <t>神戸市立工業高等専門学校 数理・データサイエンス・AI教育プログラム</t>
    <rPh sb="0" eb="12">
      <t>コウベシリツコウギョウコウトウセンモンガッコウ</t>
    </rPh>
    <phoneticPr fontId="1"/>
  </si>
  <si>
    <r>
      <rPr>
        <sz val="10"/>
        <rFont val="ＭＳ Ｐゴシック"/>
        <family val="3"/>
        <charset val="128"/>
        <scheme val="minor"/>
      </rPr>
      <t>・データ解析：予測、グルーピング、パターン発見、最適化、シミュレーション・データ同化など「情報基礎」（第5週）</t>
    </r>
    <r>
      <rPr>
        <sz val="11"/>
        <rFont val="ＭＳ Ｐゴシック"/>
        <family val="3"/>
        <charset val="128"/>
        <scheme val="minor"/>
      </rPr>
      <t xml:space="preserve">
・データ可視化：複合グラフ、2軸グラフ、多次元の可視化、関係性の可視化、地図上の可視化、挙動・軌跡の可視化、リアルタイム可視化など「情報基礎」（第5週，第13週，第14週）
・非構造化データ処理：言語処理、画像/動画処理、音声/音楽処理など「情報基礎」（第5週）
・特化型AIと汎用AI、今のAIで出来ることと出来ないこと、AIとビッグデータ「情報基礎」（第5週）
・認識技術、ルールベース、自動化技術「情報基礎」（第5週）</t>
    </r>
    <rPh sb="132" eb="133">
      <t>ダイ</t>
    </rPh>
    <rPh sb="135" eb="136">
      <t>シュウ</t>
    </rPh>
    <rPh sb="137" eb="138">
      <t>ダイ</t>
    </rPh>
    <rPh sb="140" eb="141">
      <t>シュウ</t>
    </rPh>
    <rPh sb="258" eb="262">
      <t>ジョウホウキソ</t>
    </rPh>
    <phoneticPr fontId="1"/>
  </si>
  <si>
    <t>・データの種類（量的変数、質的変数）「情報基礎」（第9週）   ・データの分布(ヒストグラム)と代表値「情報基礎」（第9週）
・代表値の性質の違い（実社会では平均値＝最頻値でないことが多い）「情報基礎」（第9週）
・データのばらつき（分散、標準偏差、偏差値）「情報基礎」（第10週）  
・観測データに含まれる誤差の扱い「情報基礎」（第10週）
・打ち切りや脱落を含むデータ、層別の必要なデータ「情報基礎」（第11週） 
・相関と因果「情報基礎」（第12週）  ・母集団と標本抽出「情報基礎」（第11週）
・クロス集計表、分割表、相関係数行列、散布図行列「情報基礎」（第11週）
・統計情報の正しい理解「情報基礎」（第11週，第12週）</t>
    <rPh sb="313" eb="314">
      <t>ダイ</t>
    </rPh>
    <rPh sb="316" eb="317">
      <t>シュウ</t>
    </rPh>
    <phoneticPr fontId="1"/>
  </si>
  <si>
    <r>
      <t xml:space="preserve">・データ表現（棒グラフ、折線グラフ、散布図、ヒートマップ）「情報基礎」 （第10週）
・データの図表表現（チャート化）「情報基礎」 （第13週）
・データの比較（条件をそろえた比較、処理の前後での比較、A/Bテスト)「情報基礎」 （第12週）
・不適切なグラフ表現（チャートジャンク、不必要な視覚的要素）「情報基礎」 （第13週）
</t>
    </r>
    <r>
      <rPr>
        <sz val="11"/>
        <rFont val="ＭＳ Ｐゴシック"/>
        <family val="3"/>
        <charset val="128"/>
        <scheme val="minor"/>
      </rPr>
      <t>・優れた可視化事例の紹介（可視化することによって新たな気づきがあった事例など）「情報基礎」 （第13週）</t>
    </r>
    <phoneticPr fontId="1"/>
  </si>
  <si>
    <r>
      <t xml:space="preserve">・データ・AI活用領域の広がり「情報基礎」（第4週）
・研究開発、調達、製造、物流、販売、マーケティング、サービスなど「情報基礎」（第4週）
</t>
    </r>
    <r>
      <rPr>
        <sz val="11"/>
        <rFont val="ＭＳ Ｐゴシック"/>
        <family val="3"/>
        <charset val="128"/>
        <scheme val="minor"/>
      </rPr>
      <t>・仮説検証、知識発見、原因究明、計画策定、判断支援、活動代替、新規生成など「情報基礎」（第4週）</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</si>
</sst>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9"/>
      <name val="ＭＳ Ｐゴシック"/>
      <family val="3"/>
      <charset val="128"/>
      <scheme val="minor"/>
    </font>
    <font>
      <sz val="11"/>
      <name val="ＭＳ Ｐゴシック"/>
      <family val="3"/>
      <charset val="128"/>
      <scheme val="minor"/>
    </font>
    <font>
      <b/>
      <sz val="9"/>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49" fontId="12" fillId="0" borderId="49" xfId="0" applyNumberFormat="1" applyFont="1" applyBorder="1" applyAlignment="1">
      <alignment horizontal="center" vertical="center"/>
    </xf>
    <xf numFmtId="49" fontId="12" fillId="0" borderId="47" xfId="0" applyNumberFormat="1" applyFont="1" applyBorder="1" applyAlignment="1">
      <alignment horizontal="center" vertical="center"/>
    </xf>
    <xf numFmtId="49" fontId="12" fillId="0" borderId="48" xfId="0" applyNumberFormat="1" applyFont="1" applyBorder="1" applyAlignment="1">
      <alignment horizontal="center" vertical="center"/>
    </xf>
    <xf numFmtId="49" fontId="12" fillId="0" borderId="29" xfId="0" applyNumberFormat="1" applyFont="1" applyBorder="1" applyAlignment="1">
      <alignment horizontal="center" vertical="center"/>
    </xf>
    <xf numFmtId="49" fontId="12" fillId="0" borderId="44" xfId="0" applyNumberFormat="1" applyFont="1" applyBorder="1" applyAlignment="1">
      <alignment horizontal="center" vertical="center"/>
    </xf>
    <xf numFmtId="49" fontId="12" fillId="0" borderId="32" xfId="0" applyNumberFormat="1" applyFont="1" applyBorder="1" applyAlignment="1">
      <alignment horizontal="center" vertical="center"/>
    </xf>
    <xf numFmtId="0" fontId="15" fillId="0" borderId="0" xfId="0" applyFont="1">
      <alignment vertical="center"/>
    </xf>
    <xf numFmtId="0" fontId="7" fillId="0" borderId="1" xfId="0" applyFont="1" applyBorder="1" applyAlignment="1">
      <alignment horizontal="left" vertical="center"/>
    </xf>
    <xf numFmtId="0" fontId="11"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5" fillId="0" borderId="22" xfId="0" applyFont="1" applyBorder="1" applyAlignment="1">
      <alignment horizontal="left" vertical="center" wrapText="1" shrinkToFit="1"/>
    </xf>
    <xf numFmtId="0" fontId="15" fillId="0" borderId="21" xfId="0" applyFont="1" applyBorder="1" applyAlignment="1">
      <alignment horizontal="left" vertical="center" wrapText="1" shrinkToFit="1"/>
    </xf>
    <xf numFmtId="0" fontId="15" fillId="0" borderId="36" xfId="0" applyFont="1" applyBorder="1" applyAlignment="1">
      <alignment horizontal="left" vertical="center" wrapText="1" shrinkToFit="1"/>
    </xf>
    <xf numFmtId="0" fontId="15" fillId="0" borderId="35" xfId="0" applyFont="1" applyBorder="1" applyAlignment="1">
      <alignment horizontal="left" vertical="center" wrapText="1" shrinkToFit="1"/>
    </xf>
    <xf numFmtId="0" fontId="13" fillId="0" borderId="6" xfId="0" applyFont="1" applyBorder="1" applyAlignment="1">
      <alignment horizontal="left" vertical="center" wrapText="1" shrinkToFit="1"/>
    </xf>
    <xf numFmtId="0" fontId="13" fillId="0" borderId="12" xfId="0" applyFont="1" applyBorder="1" applyAlignment="1">
      <alignment horizontal="left" vertical="center" wrapText="1" shrinkToFit="1"/>
    </xf>
    <xf numFmtId="0" fontId="15" fillId="0" borderId="38" xfId="0" applyFont="1" applyBorder="1" applyAlignment="1">
      <alignment horizontal="left" vertical="center" wrapText="1" shrinkToFit="1"/>
    </xf>
    <xf numFmtId="0" fontId="15" fillId="0" borderId="38" xfId="0" applyFont="1" applyBorder="1" applyAlignment="1">
      <alignment horizontal="left" vertical="center" shrinkToFit="1"/>
    </xf>
    <xf numFmtId="0" fontId="15" fillId="0" borderId="39" xfId="0" applyFont="1" applyBorder="1" applyAlignment="1">
      <alignment horizontal="left" vertical="center" shrinkToFit="1"/>
    </xf>
    <xf numFmtId="0" fontId="15" fillId="0" borderId="39" xfId="0" applyFont="1" applyBorder="1" applyAlignment="1">
      <alignment horizontal="left" vertical="center" wrapText="1" shrinkToFit="1"/>
    </xf>
    <xf numFmtId="0" fontId="15" fillId="0" borderId="19" xfId="0" applyFont="1" applyBorder="1" applyAlignment="1">
      <alignment vertical="center" wrapText="1" shrinkToFit="1"/>
    </xf>
    <xf numFmtId="0" fontId="15" fillId="0" borderId="20" xfId="0" applyFont="1" applyBorder="1" applyAlignment="1">
      <alignment vertical="center" wrapText="1" shrinkToFit="1"/>
    </xf>
    <xf numFmtId="0" fontId="15"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16" fillId="0" borderId="36" xfId="0" applyFont="1" applyBorder="1" applyAlignment="1">
      <alignment vertical="center" wrapText="1" shrinkToFit="1"/>
    </xf>
    <xf numFmtId="0" fontId="16" fillId="0" borderId="35" xfId="0" applyFont="1" applyBorder="1" applyAlignment="1">
      <alignment vertical="center" wrapText="1" shrinkToFit="1"/>
    </xf>
    <xf numFmtId="0" fontId="15" fillId="0" borderId="6" xfId="0" applyFont="1" applyBorder="1" applyAlignment="1">
      <alignment vertical="center" wrapText="1" shrinkToFit="1"/>
    </xf>
    <xf numFmtId="0" fontId="15" fillId="0" borderId="12" xfId="0" applyFont="1" applyBorder="1" applyAlignment="1">
      <alignment vertical="center" wrapText="1" shrinkToFit="1"/>
    </xf>
    <xf numFmtId="0" fontId="13" fillId="0" borderId="8" xfId="0" applyFont="1" applyBorder="1" applyAlignment="1">
      <alignment horizontal="left" vertical="center" wrapText="1" shrinkToFit="1"/>
    </xf>
    <xf numFmtId="0" fontId="13" fillId="0" borderId="9" xfId="0" applyFont="1" applyBorder="1" applyAlignment="1">
      <alignment horizontal="left" vertical="center" wrapText="1" shrinkToFit="1"/>
    </xf>
    <xf numFmtId="0" fontId="15" fillId="0" borderId="8" xfId="0" applyFont="1" applyBorder="1" applyAlignment="1">
      <alignment horizontal="left" vertical="center" wrapText="1" shrinkToFit="1"/>
    </xf>
    <xf numFmtId="0" fontId="15" fillId="0" borderId="8" xfId="0" applyFont="1" applyBorder="1" applyAlignment="1">
      <alignment horizontal="left" vertical="center" shrinkToFit="1"/>
    </xf>
    <xf numFmtId="0" fontId="15"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5" fillId="0" borderId="7" xfId="0" applyFont="1" applyBorder="1" applyAlignment="1">
      <alignment vertical="top" wrapText="1" shrinkToFit="1"/>
    </xf>
    <xf numFmtId="0" fontId="15" fillId="0" borderId="8" xfId="0" applyFont="1" applyBorder="1" applyAlignment="1">
      <alignment vertical="top" wrapText="1" shrinkToFit="1"/>
    </xf>
    <xf numFmtId="0" fontId="15" fillId="0" borderId="9" xfId="0" applyFont="1" applyBorder="1" applyAlignment="1">
      <alignment vertical="top" shrinkToFit="1"/>
    </xf>
    <xf numFmtId="0" fontId="15" fillId="0" borderId="5" xfId="0" applyFont="1" applyBorder="1" applyAlignment="1">
      <alignment vertical="top" shrinkToFit="1"/>
    </xf>
    <xf numFmtId="0" fontId="15" fillId="0" borderId="0" xfId="0" applyFont="1" applyAlignment="1">
      <alignment vertical="top" shrinkToFit="1"/>
    </xf>
    <xf numFmtId="0" fontId="15" fillId="0" borderId="10" xfId="0" applyFont="1" applyBorder="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K3" sqref="K3"/>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12</v>
      </c>
      <c r="S1" s="106"/>
      <c r="T1" s="2" t="s">
        <v>110</v>
      </c>
    </row>
    <row r="2" spans="1:22" ht="18.75" customHeight="1" x14ac:dyDescent="0.15">
      <c r="B2" s="31" t="s">
        <v>109</v>
      </c>
      <c r="C2" s="99" t="s">
        <v>127</v>
      </c>
      <c r="D2" s="100"/>
      <c r="E2" s="100"/>
      <c r="F2" s="100"/>
      <c r="G2" s="100"/>
      <c r="H2" s="100"/>
      <c r="I2" s="101"/>
      <c r="J2" s="32"/>
      <c r="K2" s="6"/>
      <c r="L2" s="6"/>
      <c r="M2" s="6"/>
      <c r="N2" s="6"/>
      <c r="O2" s="6"/>
      <c r="P2" s="6"/>
      <c r="Q2" s="6"/>
      <c r="R2" s="6"/>
      <c r="S2" s="6"/>
    </row>
    <row r="3" spans="1:22" ht="18.75" customHeight="1" x14ac:dyDescent="0.15">
      <c r="B3" s="31" t="s">
        <v>103</v>
      </c>
      <c r="C3" s="110" t="s">
        <v>173</v>
      </c>
      <c r="D3" s="111"/>
      <c r="E3" s="111"/>
      <c r="F3" s="111"/>
      <c r="G3" s="111"/>
      <c r="H3" s="111"/>
      <c r="I3" s="112"/>
      <c r="J3" s="32"/>
      <c r="K3" s="6"/>
      <c r="L3" s="6"/>
      <c r="M3" s="6"/>
      <c r="N3" s="6"/>
      <c r="O3" s="6"/>
      <c r="P3" s="6"/>
      <c r="Q3" s="6"/>
      <c r="R3" s="6"/>
      <c r="S3" s="6"/>
    </row>
    <row r="4" spans="1:22" ht="15" customHeight="1" x14ac:dyDescent="0.15">
      <c r="K4" s="32"/>
      <c r="L4" s="34"/>
      <c r="M4" s="34"/>
      <c r="N4" s="34"/>
      <c r="O4" s="34"/>
      <c r="P4" s="34"/>
      <c r="Q4" s="34"/>
      <c r="R4" s="34"/>
      <c r="S4" s="34"/>
    </row>
    <row r="5" spans="1:22" ht="18" customHeight="1" x14ac:dyDescent="0.15">
      <c r="A5" s="113" t="s">
        <v>39</v>
      </c>
      <c r="B5" s="113"/>
      <c r="C5" s="113"/>
      <c r="D5" s="113"/>
      <c r="E5" s="113"/>
      <c r="F5" s="113"/>
      <c r="G5" s="113"/>
      <c r="H5" s="113"/>
      <c r="I5" s="113"/>
      <c r="J5" s="113"/>
      <c r="K5" s="113"/>
      <c r="L5" s="113"/>
      <c r="M5" s="113"/>
      <c r="N5" s="113"/>
      <c r="O5" s="113"/>
      <c r="P5" s="113"/>
      <c r="Q5" s="113"/>
      <c r="R5" s="113"/>
      <c r="S5" s="11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5" t="s">
        <v>108</v>
      </c>
      <c r="K7" s="123" t="s">
        <v>128</v>
      </c>
      <c r="L7" s="124"/>
      <c r="M7" s="124"/>
      <c r="N7" s="124"/>
      <c r="O7" s="124"/>
      <c r="P7" s="124"/>
      <c r="Q7" s="124"/>
      <c r="R7" s="124"/>
      <c r="S7" s="12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7"/>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2"/>
      <c r="E12" s="32"/>
      <c r="F12" s="32"/>
      <c r="G12" s="32"/>
      <c r="H12" s="32"/>
      <c r="I12" s="32"/>
      <c r="J12" s="32"/>
      <c r="K12" s="36"/>
      <c r="L12" s="36"/>
      <c r="M12" s="36"/>
      <c r="N12" s="36"/>
      <c r="O12" s="36"/>
      <c r="P12" s="36"/>
      <c r="Q12" s="36"/>
      <c r="R12" s="36"/>
      <c r="S12" s="36"/>
    </row>
    <row r="13" spans="1:22" ht="18" customHeight="1" x14ac:dyDescent="0.15">
      <c r="B13" s="114" t="s">
        <v>130</v>
      </c>
      <c r="C13" s="115"/>
      <c r="D13" s="115"/>
      <c r="E13" s="115"/>
      <c r="F13" s="115"/>
      <c r="G13" s="115"/>
      <c r="H13" s="115"/>
      <c r="I13" s="115"/>
      <c r="J13" s="115"/>
      <c r="K13" s="115"/>
      <c r="L13" s="115"/>
      <c r="M13" s="115"/>
      <c r="N13" s="115"/>
      <c r="O13" s="115"/>
      <c r="P13" s="115"/>
      <c r="Q13" s="115"/>
      <c r="R13" s="115"/>
      <c r="S13" s="116"/>
      <c r="V13" s="1" t="s">
        <v>104</v>
      </c>
    </row>
    <row r="14" spans="1:22" ht="18" customHeight="1" x14ac:dyDescent="0.15">
      <c r="B14" s="117"/>
      <c r="C14" s="118"/>
      <c r="D14" s="118"/>
      <c r="E14" s="118"/>
      <c r="F14" s="118"/>
      <c r="G14" s="118"/>
      <c r="H14" s="118"/>
      <c r="I14" s="118"/>
      <c r="J14" s="118"/>
      <c r="K14" s="118"/>
      <c r="L14" s="118"/>
      <c r="M14" s="118"/>
      <c r="N14" s="118"/>
      <c r="O14" s="118"/>
      <c r="P14" s="118"/>
      <c r="Q14" s="118"/>
      <c r="R14" s="118"/>
      <c r="S14" s="119"/>
      <c r="V14" s="1" t="s">
        <v>111</v>
      </c>
    </row>
    <row r="15" spans="1:22" ht="18" customHeight="1" x14ac:dyDescent="0.15">
      <c r="B15" s="117"/>
      <c r="C15" s="118"/>
      <c r="D15" s="118"/>
      <c r="E15" s="118"/>
      <c r="F15" s="118"/>
      <c r="G15" s="118"/>
      <c r="H15" s="118"/>
      <c r="I15" s="118"/>
      <c r="J15" s="118"/>
      <c r="K15" s="118"/>
      <c r="L15" s="118"/>
      <c r="M15" s="118"/>
      <c r="N15" s="118"/>
      <c r="O15" s="118"/>
      <c r="P15" s="118"/>
      <c r="Q15" s="118"/>
      <c r="R15" s="118"/>
      <c r="S15" s="119"/>
      <c r="V15" s="1" t="s">
        <v>124</v>
      </c>
    </row>
    <row r="16" spans="1:22" ht="18" customHeight="1" x14ac:dyDescent="0.15">
      <c r="B16" s="117"/>
      <c r="C16" s="118"/>
      <c r="D16" s="118"/>
      <c r="E16" s="118"/>
      <c r="F16" s="118"/>
      <c r="G16" s="118"/>
      <c r="H16" s="118"/>
      <c r="I16" s="118"/>
      <c r="J16" s="118"/>
      <c r="K16" s="118"/>
      <c r="L16" s="118"/>
      <c r="M16" s="118"/>
      <c r="N16" s="118"/>
      <c r="O16" s="118"/>
      <c r="P16" s="118"/>
      <c r="Q16" s="118"/>
      <c r="R16" s="118"/>
      <c r="S16" s="119"/>
      <c r="V16" s="1" t="s">
        <v>126</v>
      </c>
    </row>
    <row r="17" spans="1:19" ht="18" customHeight="1" x14ac:dyDescent="0.15">
      <c r="B17" s="117"/>
      <c r="C17" s="118"/>
      <c r="D17" s="118"/>
      <c r="E17" s="118"/>
      <c r="F17" s="118"/>
      <c r="G17" s="118"/>
      <c r="H17" s="118"/>
      <c r="I17" s="118"/>
      <c r="J17" s="118"/>
      <c r="K17" s="118"/>
      <c r="L17" s="118"/>
      <c r="M17" s="118"/>
      <c r="N17" s="118"/>
      <c r="O17" s="118"/>
      <c r="P17" s="118"/>
      <c r="Q17" s="118"/>
      <c r="R17" s="118"/>
      <c r="S17" s="119"/>
    </row>
    <row r="18" spans="1:19" ht="18"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9">
        <v>2</v>
      </c>
      <c r="D20" s="101"/>
      <c r="E20" s="37" t="s">
        <v>96</v>
      </c>
      <c r="G20" s="10"/>
      <c r="H20" s="3"/>
      <c r="I20" s="3"/>
      <c r="J20" s="32" t="s">
        <v>122</v>
      </c>
      <c r="K20" s="107" t="s">
        <v>111</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114</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54</v>
      </c>
      <c r="C24" s="100"/>
      <c r="D24" s="100"/>
      <c r="E24" s="101"/>
      <c r="F24" s="58" t="s">
        <v>81</v>
      </c>
      <c r="G24" s="57" t="s">
        <v>85</v>
      </c>
      <c r="H24" s="22" t="s">
        <v>57</v>
      </c>
      <c r="I24" s="22" t="s">
        <v>60</v>
      </c>
      <c r="J24" s="99" t="s">
        <v>54</v>
      </c>
      <c r="K24" s="100"/>
      <c r="L24" s="100"/>
      <c r="M24" s="100"/>
      <c r="N24" s="100"/>
      <c r="O24" s="101"/>
      <c r="P24" s="58" t="s">
        <v>81</v>
      </c>
      <c r="Q24" s="57" t="s">
        <v>85</v>
      </c>
      <c r="R24" s="22" t="s">
        <v>57</v>
      </c>
      <c r="S24" s="22" t="s">
        <v>60</v>
      </c>
    </row>
    <row r="25" spans="1:19" ht="18" customHeight="1" x14ac:dyDescent="0.15">
      <c r="B25" s="103" t="s">
        <v>129</v>
      </c>
      <c r="C25" s="104"/>
      <c r="D25" s="104"/>
      <c r="E25" s="105"/>
      <c r="F25" s="23">
        <v>2</v>
      </c>
      <c r="G25" s="23" t="s">
        <v>131</v>
      </c>
      <c r="H25" s="23" t="s">
        <v>131</v>
      </c>
      <c r="I25" s="23" t="s">
        <v>131</v>
      </c>
      <c r="J25" s="103"/>
      <c r="K25" s="104"/>
      <c r="L25" s="104"/>
      <c r="M25" s="104"/>
      <c r="N25" s="104"/>
      <c r="O25" s="105"/>
      <c r="P25" s="23"/>
      <c r="Q25" s="23"/>
      <c r="R25" s="23"/>
      <c r="S25" s="23"/>
    </row>
    <row r="26" spans="1:19" ht="18" customHeight="1" x14ac:dyDescent="0.15">
      <c r="B26" s="93"/>
      <c r="C26" s="94"/>
      <c r="D26" s="94"/>
      <c r="E26" s="95"/>
      <c r="F26" s="24"/>
      <c r="G26" s="24"/>
      <c r="H26" s="24"/>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115</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54</v>
      </c>
      <c r="C35" s="100"/>
      <c r="D35" s="100"/>
      <c r="E35" s="101"/>
      <c r="F35" s="58" t="s">
        <v>81</v>
      </c>
      <c r="G35" s="57" t="s">
        <v>85</v>
      </c>
      <c r="H35" s="22" t="s">
        <v>72</v>
      </c>
      <c r="I35" s="22" t="s">
        <v>73</v>
      </c>
      <c r="J35" s="99" t="s">
        <v>54</v>
      </c>
      <c r="K35" s="100"/>
      <c r="L35" s="100"/>
      <c r="M35" s="100"/>
      <c r="N35" s="100"/>
      <c r="O35" s="101"/>
      <c r="P35" s="58" t="s">
        <v>81</v>
      </c>
      <c r="Q35" s="57" t="s">
        <v>85</v>
      </c>
      <c r="R35" s="22" t="s">
        <v>72</v>
      </c>
      <c r="S35" s="22" t="s">
        <v>73</v>
      </c>
    </row>
    <row r="36" spans="1:19" ht="18" customHeight="1" x14ac:dyDescent="0.15">
      <c r="B36" s="103" t="s">
        <v>129</v>
      </c>
      <c r="C36" s="104"/>
      <c r="D36" s="104"/>
      <c r="E36" s="105"/>
      <c r="F36" s="23">
        <v>2</v>
      </c>
      <c r="G36" s="23" t="s">
        <v>131</v>
      </c>
      <c r="H36" s="23" t="s">
        <v>131</v>
      </c>
      <c r="I36" s="23" t="s">
        <v>131</v>
      </c>
      <c r="J36" s="103"/>
      <c r="K36" s="104"/>
      <c r="L36" s="104"/>
      <c r="M36" s="104"/>
      <c r="N36" s="104"/>
      <c r="O36" s="105"/>
      <c r="P36" s="23"/>
      <c r="Q36" s="23"/>
      <c r="R36" s="23"/>
      <c r="S36" s="23"/>
    </row>
    <row r="37" spans="1:19" ht="18" customHeight="1" x14ac:dyDescent="0.15">
      <c r="B37" s="93"/>
      <c r="C37" s="94"/>
      <c r="D37" s="94"/>
      <c r="E37" s="95"/>
      <c r="F37" s="24"/>
      <c r="G37" s="24"/>
      <c r="H37" s="24"/>
      <c r="I37" s="24"/>
      <c r="J37" s="93"/>
      <c r="K37" s="94"/>
      <c r="L37" s="94"/>
      <c r="M37" s="94"/>
      <c r="N37" s="94"/>
      <c r="O37" s="95"/>
      <c r="P37" s="24"/>
      <c r="Q37" s="24"/>
      <c r="R37" s="24"/>
      <c r="S37" s="24"/>
    </row>
    <row r="38" spans="1:19" ht="18" customHeight="1" x14ac:dyDescent="0.15">
      <c r="B38" s="93"/>
      <c r="C38" s="94"/>
      <c r="D38" s="94"/>
      <c r="E38" s="95"/>
      <c r="F38" s="24"/>
      <c r="G38" s="24"/>
      <c r="H38" s="24"/>
      <c r="I38" s="24"/>
      <c r="J38" s="93"/>
      <c r="K38" s="94"/>
      <c r="L38" s="94"/>
      <c r="M38" s="94"/>
      <c r="N38" s="94"/>
      <c r="O38" s="95"/>
      <c r="P38" s="24"/>
      <c r="Q38" s="24"/>
      <c r="R38" s="24"/>
      <c r="S38" s="24"/>
    </row>
    <row r="39" spans="1:19" ht="18" customHeight="1" x14ac:dyDescent="0.15">
      <c r="B39" s="93"/>
      <c r="C39" s="94"/>
      <c r="D39" s="94"/>
      <c r="E39" s="95"/>
      <c r="F39" s="24"/>
      <c r="G39" s="24"/>
      <c r="H39" s="24"/>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116</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54</v>
      </c>
      <c r="C46" s="100"/>
      <c r="D46" s="100"/>
      <c r="E46" s="101"/>
      <c r="F46" s="58" t="s">
        <v>81</v>
      </c>
      <c r="G46" s="57" t="s">
        <v>85</v>
      </c>
      <c r="H46" s="22" t="s">
        <v>74</v>
      </c>
      <c r="I46" s="22" t="s">
        <v>75</v>
      </c>
      <c r="J46" s="99" t="s">
        <v>54</v>
      </c>
      <c r="K46" s="100"/>
      <c r="L46" s="100"/>
      <c r="M46" s="100"/>
      <c r="N46" s="100"/>
      <c r="O46" s="101"/>
      <c r="P46" s="58" t="s">
        <v>81</v>
      </c>
      <c r="Q46" s="57" t="s">
        <v>85</v>
      </c>
      <c r="R46" s="22" t="s">
        <v>74</v>
      </c>
      <c r="S46" s="22" t="s">
        <v>75</v>
      </c>
    </row>
    <row r="47" spans="1:19" ht="18" customHeight="1" x14ac:dyDescent="0.15">
      <c r="A47" s="3"/>
      <c r="B47" s="103" t="s">
        <v>129</v>
      </c>
      <c r="C47" s="104"/>
      <c r="D47" s="104"/>
      <c r="E47" s="105"/>
      <c r="F47" s="23">
        <v>2</v>
      </c>
      <c r="G47" s="23" t="s">
        <v>131</v>
      </c>
      <c r="H47" s="23" t="s">
        <v>131</v>
      </c>
      <c r="I47" s="23" t="s">
        <v>131</v>
      </c>
      <c r="J47" s="103"/>
      <c r="K47" s="104"/>
      <c r="L47" s="104"/>
      <c r="M47" s="104"/>
      <c r="N47" s="104"/>
      <c r="O47" s="105"/>
      <c r="P47" s="23"/>
      <c r="Q47" s="23"/>
      <c r="R47" s="23"/>
      <c r="S47" s="23"/>
    </row>
    <row r="48" spans="1:19" ht="18" customHeight="1" x14ac:dyDescent="0.15">
      <c r="A48" s="3"/>
      <c r="B48" s="93"/>
      <c r="C48" s="94"/>
      <c r="D48" s="94"/>
      <c r="E48" s="95"/>
      <c r="F48" s="24"/>
      <c r="G48" s="24"/>
      <c r="H48" s="24"/>
      <c r="I48" s="24"/>
      <c r="J48" s="93"/>
      <c r="K48" s="94"/>
      <c r="L48" s="94"/>
      <c r="M48" s="94"/>
      <c r="N48" s="94"/>
      <c r="O48" s="95"/>
      <c r="P48" s="24"/>
      <c r="Q48" s="24"/>
      <c r="R48" s="24"/>
      <c r="S48" s="24"/>
    </row>
    <row r="49" spans="1:19" ht="18" customHeight="1" x14ac:dyDescent="0.15">
      <c r="A49" s="3"/>
      <c r="B49" s="93"/>
      <c r="C49" s="94"/>
      <c r="D49" s="94"/>
      <c r="E49" s="95"/>
      <c r="F49" s="24"/>
      <c r="G49" s="24"/>
      <c r="H49" s="24"/>
      <c r="I49" s="24"/>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117</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54</v>
      </c>
      <c r="C57" s="100"/>
      <c r="D57" s="100"/>
      <c r="E57" s="101"/>
      <c r="F57" s="58" t="s">
        <v>81</v>
      </c>
      <c r="G57" s="57" t="s">
        <v>85</v>
      </c>
      <c r="H57" s="22" t="s">
        <v>59</v>
      </c>
      <c r="I57" s="22" t="s">
        <v>61</v>
      </c>
      <c r="J57" s="99" t="s">
        <v>54</v>
      </c>
      <c r="K57" s="100"/>
      <c r="L57" s="100"/>
      <c r="M57" s="100"/>
      <c r="N57" s="100"/>
      <c r="O57" s="101"/>
      <c r="P57" s="58" t="s">
        <v>81</v>
      </c>
      <c r="Q57" s="57" t="s">
        <v>85</v>
      </c>
      <c r="R57" s="22" t="s">
        <v>59</v>
      </c>
      <c r="S57" s="22" t="s">
        <v>61</v>
      </c>
    </row>
    <row r="58" spans="1:19" ht="18" customHeight="1" x14ac:dyDescent="0.15">
      <c r="A58" s="3"/>
      <c r="B58" s="103" t="s">
        <v>129</v>
      </c>
      <c r="C58" s="104"/>
      <c r="D58" s="104"/>
      <c r="E58" s="105"/>
      <c r="F58" s="23">
        <v>2</v>
      </c>
      <c r="G58" s="23" t="s">
        <v>131</v>
      </c>
      <c r="H58" s="23" t="s">
        <v>131</v>
      </c>
      <c r="I58" s="23" t="s">
        <v>131</v>
      </c>
      <c r="J58" s="103"/>
      <c r="K58" s="104"/>
      <c r="L58" s="104"/>
      <c r="M58" s="104"/>
      <c r="N58" s="104"/>
      <c r="O58" s="105"/>
      <c r="P58" s="23"/>
      <c r="Q58" s="23"/>
      <c r="R58" s="23"/>
      <c r="S58" s="23"/>
    </row>
    <row r="59" spans="1:19" ht="18" customHeight="1" x14ac:dyDescent="0.15">
      <c r="A59" s="3"/>
      <c r="B59" s="93"/>
      <c r="C59" s="94"/>
      <c r="D59" s="94"/>
      <c r="E59" s="95"/>
      <c r="F59" s="24"/>
      <c r="G59" s="24"/>
      <c r="H59" s="24"/>
      <c r="I59" s="24"/>
      <c r="J59" s="93"/>
      <c r="K59" s="94"/>
      <c r="L59" s="94"/>
      <c r="M59" s="94"/>
      <c r="N59" s="94"/>
      <c r="O59" s="95"/>
      <c r="P59" s="24"/>
      <c r="Q59" s="24"/>
      <c r="R59" s="24"/>
      <c r="S59" s="24"/>
    </row>
    <row r="60" spans="1:19" ht="18" customHeight="1" x14ac:dyDescent="0.15">
      <c r="A60" s="3"/>
      <c r="B60" s="93"/>
      <c r="C60" s="94"/>
      <c r="D60" s="94"/>
      <c r="E60" s="95"/>
      <c r="F60" s="24"/>
      <c r="G60" s="24"/>
      <c r="H60" s="24"/>
      <c r="I60" s="24"/>
      <c r="J60" s="93"/>
      <c r="K60" s="94"/>
      <c r="L60" s="94"/>
      <c r="M60" s="94"/>
      <c r="N60" s="94"/>
      <c r="O60" s="95"/>
      <c r="P60" s="24"/>
      <c r="Q60" s="24"/>
      <c r="R60" s="24"/>
      <c r="S60" s="24"/>
    </row>
    <row r="61" spans="1:19" ht="18" customHeight="1" x14ac:dyDescent="0.15">
      <c r="A61" s="3"/>
      <c r="B61" s="93"/>
      <c r="C61" s="94"/>
      <c r="D61" s="94"/>
      <c r="E61" s="95"/>
      <c r="F61" s="24"/>
      <c r="G61" s="24"/>
      <c r="H61" s="24"/>
      <c r="I61" s="24"/>
      <c r="J61" s="93"/>
      <c r="K61" s="94"/>
      <c r="L61" s="94"/>
      <c r="M61" s="94"/>
      <c r="N61" s="94"/>
      <c r="O61" s="95"/>
      <c r="P61" s="24"/>
      <c r="Q61" s="24"/>
      <c r="R61" s="24"/>
      <c r="S61" s="24"/>
    </row>
    <row r="62" spans="1:19" ht="18" customHeight="1" x14ac:dyDescent="0.15">
      <c r="A62" s="3"/>
      <c r="B62" s="93"/>
      <c r="C62" s="94"/>
      <c r="D62" s="94"/>
      <c r="E62" s="95"/>
      <c r="F62" s="24"/>
      <c r="G62" s="24"/>
      <c r="H62" s="24"/>
      <c r="I62" s="24"/>
      <c r="J62" s="93"/>
      <c r="K62" s="94"/>
      <c r="L62" s="94"/>
      <c r="M62" s="94"/>
      <c r="N62" s="94"/>
      <c r="O62" s="95"/>
      <c r="P62" s="24"/>
      <c r="Q62" s="24"/>
      <c r="R62" s="24"/>
      <c r="S62" s="24"/>
    </row>
    <row r="63" spans="1:19" ht="18" customHeight="1" x14ac:dyDescent="0.15">
      <c r="A63" s="3"/>
      <c r="B63" s="93"/>
      <c r="C63" s="94"/>
      <c r="D63" s="94"/>
      <c r="E63" s="95"/>
      <c r="F63" s="24"/>
      <c r="G63" s="24"/>
      <c r="H63" s="24"/>
      <c r="I63" s="24"/>
      <c r="J63" s="93"/>
      <c r="K63" s="94"/>
      <c r="L63" s="94"/>
      <c r="M63" s="94"/>
      <c r="N63" s="94"/>
      <c r="O63" s="95"/>
      <c r="P63" s="24"/>
      <c r="Q63" s="24"/>
      <c r="R63" s="24"/>
      <c r="S63" s="24"/>
    </row>
    <row r="64" spans="1:19" ht="18" customHeight="1" x14ac:dyDescent="0.15">
      <c r="A64" s="3"/>
      <c r="B64" s="96"/>
      <c r="C64" s="97"/>
      <c r="D64" s="97"/>
      <c r="E64" s="98"/>
      <c r="F64" s="25"/>
      <c r="G64" s="25"/>
      <c r="H64" s="26"/>
      <c r="I64" s="26"/>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118</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54</v>
      </c>
      <c r="C68" s="100"/>
      <c r="D68" s="100"/>
      <c r="E68" s="58" t="s">
        <v>81</v>
      </c>
      <c r="F68" s="57" t="s">
        <v>85</v>
      </c>
      <c r="G68" s="22" t="s">
        <v>102</v>
      </c>
      <c r="H68" s="22" t="s">
        <v>76</v>
      </c>
      <c r="I68" s="22" t="s">
        <v>77</v>
      </c>
      <c r="J68" s="99" t="s">
        <v>54</v>
      </c>
      <c r="K68" s="100"/>
      <c r="L68" s="100"/>
      <c r="M68" s="100"/>
      <c r="N68" s="101"/>
      <c r="O68" s="58" t="s">
        <v>81</v>
      </c>
      <c r="P68" s="57" t="s">
        <v>85</v>
      </c>
      <c r="Q68" s="22" t="s">
        <v>102</v>
      </c>
      <c r="R68" s="22" t="s">
        <v>76</v>
      </c>
      <c r="S68" s="22" t="s">
        <v>77</v>
      </c>
    </row>
    <row r="69" spans="1:19" ht="18" customHeight="1" x14ac:dyDescent="0.15">
      <c r="A69" s="3"/>
      <c r="B69" s="103" t="s">
        <v>132</v>
      </c>
      <c r="C69" s="104"/>
      <c r="D69" s="105"/>
      <c r="E69" s="23">
        <v>2</v>
      </c>
      <c r="F69" s="23" t="s">
        <v>131</v>
      </c>
      <c r="G69" s="23" t="s">
        <v>131</v>
      </c>
      <c r="H69" s="23" t="s">
        <v>131</v>
      </c>
      <c r="I69" s="23" t="s">
        <v>131</v>
      </c>
      <c r="J69" s="103"/>
      <c r="K69" s="104"/>
      <c r="L69" s="104"/>
      <c r="M69" s="104"/>
      <c r="N69" s="105"/>
      <c r="O69" s="23"/>
      <c r="P69" s="23"/>
      <c r="Q69" s="23"/>
      <c r="R69" s="23"/>
      <c r="S69" s="23"/>
    </row>
    <row r="70" spans="1:19" ht="18" customHeight="1" x14ac:dyDescent="0.15">
      <c r="A70" s="3"/>
      <c r="B70" s="93"/>
      <c r="C70" s="94"/>
      <c r="D70" s="94"/>
      <c r="E70" s="24"/>
      <c r="F70" s="24"/>
      <c r="G70" s="24"/>
      <c r="H70" s="24"/>
      <c r="I70" s="24"/>
      <c r="J70" s="93"/>
      <c r="K70" s="94"/>
      <c r="L70" s="94"/>
      <c r="M70" s="94"/>
      <c r="N70" s="95"/>
      <c r="O70" s="24"/>
      <c r="P70" s="24"/>
      <c r="Q70" s="24"/>
      <c r="R70" s="24"/>
      <c r="S70" s="24"/>
    </row>
    <row r="71" spans="1:19" ht="18" customHeight="1" x14ac:dyDescent="0.15">
      <c r="A71" s="3"/>
      <c r="B71" s="93"/>
      <c r="C71" s="94"/>
      <c r="D71" s="94"/>
      <c r="E71" s="24"/>
      <c r="F71" s="24"/>
      <c r="G71" s="24"/>
      <c r="H71" s="24"/>
      <c r="I71" s="24"/>
      <c r="J71" s="93"/>
      <c r="K71" s="94"/>
      <c r="L71" s="94"/>
      <c r="M71" s="94"/>
      <c r="N71" s="95"/>
      <c r="O71" s="24"/>
      <c r="P71" s="24"/>
      <c r="Q71" s="24"/>
      <c r="R71" s="24"/>
      <c r="S71" s="24"/>
    </row>
    <row r="72" spans="1:19" ht="18" customHeight="1" x14ac:dyDescent="0.15">
      <c r="A72" s="3"/>
      <c r="B72" s="93"/>
      <c r="C72" s="94"/>
      <c r="D72" s="94"/>
      <c r="E72" s="24"/>
      <c r="F72" s="24"/>
      <c r="G72" s="24"/>
      <c r="H72" s="24"/>
      <c r="I72" s="24"/>
      <c r="J72" s="93"/>
      <c r="K72" s="94"/>
      <c r="L72" s="94"/>
      <c r="M72" s="94"/>
      <c r="N72" s="95"/>
      <c r="O72" s="24"/>
      <c r="P72" s="24"/>
      <c r="Q72" s="24"/>
      <c r="R72" s="24"/>
      <c r="S72" s="24"/>
    </row>
    <row r="73" spans="1:19" ht="18" customHeight="1" x14ac:dyDescent="0.15">
      <c r="A73" s="3"/>
      <c r="B73" s="93"/>
      <c r="C73" s="94"/>
      <c r="D73" s="94"/>
      <c r="E73" s="24"/>
      <c r="F73" s="24"/>
      <c r="G73" s="24"/>
      <c r="H73" s="24"/>
      <c r="I73" s="24"/>
      <c r="J73" s="93"/>
      <c r="K73" s="94"/>
      <c r="L73" s="94"/>
      <c r="M73" s="94"/>
      <c r="N73" s="95"/>
      <c r="O73" s="24"/>
      <c r="P73" s="24"/>
      <c r="Q73" s="24"/>
      <c r="R73" s="24"/>
      <c r="S73" s="24"/>
    </row>
    <row r="74" spans="1:19" ht="18" customHeight="1" x14ac:dyDescent="0.15">
      <c r="A74" s="3"/>
      <c r="B74" s="93"/>
      <c r="C74" s="94"/>
      <c r="D74" s="94"/>
      <c r="E74" s="24"/>
      <c r="F74" s="24"/>
      <c r="G74" s="24"/>
      <c r="H74" s="24"/>
      <c r="I74" s="24"/>
      <c r="J74" s="93"/>
      <c r="K74" s="94"/>
      <c r="L74" s="94"/>
      <c r="M74" s="94"/>
      <c r="N74" s="95"/>
      <c r="O74" s="24"/>
      <c r="P74" s="24"/>
      <c r="Q74" s="24"/>
      <c r="R74" s="24"/>
      <c r="S74" s="24"/>
    </row>
    <row r="75" spans="1:19" ht="18" customHeight="1" x14ac:dyDescent="0.15">
      <c r="A75" s="3"/>
      <c r="B75" s="96"/>
      <c r="C75" s="97"/>
      <c r="D75" s="97"/>
      <c r="E75" s="25"/>
      <c r="F75" s="25"/>
      <c r="G75" s="26"/>
      <c r="H75" s="26"/>
      <c r="I75" s="26"/>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9" t="s">
        <v>54</v>
      </c>
      <c r="C78" s="100"/>
      <c r="D78" s="100"/>
      <c r="E78" s="101"/>
      <c r="F78" s="99" t="s">
        <v>83</v>
      </c>
      <c r="G78" s="100"/>
      <c r="H78" s="100"/>
      <c r="I78" s="101"/>
      <c r="J78" s="148" t="s">
        <v>54</v>
      </c>
      <c r="K78" s="149"/>
      <c r="L78" s="149"/>
      <c r="M78" s="149"/>
      <c r="N78" s="149"/>
      <c r="O78" s="150"/>
      <c r="P78" s="99" t="s">
        <v>83</v>
      </c>
      <c r="Q78" s="100"/>
      <c r="R78" s="100"/>
      <c r="S78" s="101"/>
    </row>
    <row r="79" spans="1:19" ht="18" customHeight="1" x14ac:dyDescent="0.15">
      <c r="A79" s="3"/>
      <c r="B79" s="103"/>
      <c r="C79" s="104"/>
      <c r="D79" s="104"/>
      <c r="E79" s="105"/>
      <c r="F79" s="163"/>
      <c r="G79" s="164"/>
      <c r="H79" s="164"/>
      <c r="I79" s="165"/>
      <c r="J79" s="103"/>
      <c r="K79" s="104"/>
      <c r="L79" s="104"/>
      <c r="M79" s="104"/>
      <c r="N79" s="104"/>
      <c r="O79" s="105"/>
      <c r="P79" s="163"/>
      <c r="Q79" s="164"/>
      <c r="R79" s="164"/>
      <c r="S79" s="165"/>
    </row>
    <row r="80" spans="1:19" ht="18" customHeight="1" x14ac:dyDescent="0.15">
      <c r="A80" s="3"/>
      <c r="B80" s="93"/>
      <c r="C80" s="94"/>
      <c r="D80" s="94"/>
      <c r="E80" s="95"/>
      <c r="F80" s="132"/>
      <c r="G80" s="133"/>
      <c r="H80" s="133"/>
      <c r="I80" s="134"/>
      <c r="J80" s="93"/>
      <c r="K80" s="94"/>
      <c r="L80" s="94"/>
      <c r="M80" s="94"/>
      <c r="N80" s="94"/>
      <c r="O80" s="95"/>
      <c r="P80" s="132"/>
      <c r="Q80" s="133"/>
      <c r="R80" s="133"/>
      <c r="S80" s="134"/>
    </row>
    <row r="81" spans="1:19" ht="18" customHeight="1" x14ac:dyDescent="0.15">
      <c r="A81" s="3"/>
      <c r="B81" s="93"/>
      <c r="C81" s="94"/>
      <c r="D81" s="94"/>
      <c r="E81" s="95"/>
      <c r="F81" s="132"/>
      <c r="G81" s="133"/>
      <c r="H81" s="133"/>
      <c r="I81" s="134"/>
      <c r="J81" s="93"/>
      <c r="K81" s="94"/>
      <c r="L81" s="94"/>
      <c r="M81" s="94"/>
      <c r="N81" s="94"/>
      <c r="O81" s="95"/>
      <c r="P81" s="132"/>
      <c r="Q81" s="133"/>
      <c r="R81" s="133"/>
      <c r="S81" s="134"/>
    </row>
    <row r="82" spans="1:19" ht="18" customHeight="1" x14ac:dyDescent="0.15">
      <c r="A82" s="3"/>
      <c r="B82" s="93"/>
      <c r="C82" s="94"/>
      <c r="D82" s="94"/>
      <c r="E82" s="95"/>
      <c r="F82" s="132"/>
      <c r="G82" s="133"/>
      <c r="H82" s="133"/>
      <c r="I82" s="134"/>
      <c r="J82" s="93"/>
      <c r="K82" s="94"/>
      <c r="L82" s="94"/>
      <c r="M82" s="94"/>
      <c r="N82" s="94"/>
      <c r="O82" s="95"/>
      <c r="P82" s="132"/>
      <c r="Q82" s="133"/>
      <c r="R82" s="133"/>
      <c r="S82" s="134"/>
    </row>
    <row r="83" spans="1:19" ht="18" customHeight="1" x14ac:dyDescent="0.15">
      <c r="A83" s="3"/>
      <c r="B83" s="93"/>
      <c r="C83" s="94"/>
      <c r="D83" s="94"/>
      <c r="E83" s="95"/>
      <c r="F83" s="132"/>
      <c r="G83" s="133"/>
      <c r="H83" s="133"/>
      <c r="I83" s="134"/>
      <c r="J83" s="93"/>
      <c r="K83" s="94"/>
      <c r="L83" s="94"/>
      <c r="M83" s="94"/>
      <c r="N83" s="94"/>
      <c r="O83" s="95"/>
      <c r="P83" s="132"/>
      <c r="Q83" s="133"/>
      <c r="R83" s="133"/>
      <c r="S83" s="134"/>
    </row>
    <row r="84" spans="1:19" ht="18" customHeight="1" x14ac:dyDescent="0.15">
      <c r="A84" s="3"/>
      <c r="B84" s="93"/>
      <c r="C84" s="94"/>
      <c r="D84" s="94"/>
      <c r="E84" s="95"/>
      <c r="F84" s="132"/>
      <c r="G84" s="133"/>
      <c r="H84" s="133"/>
      <c r="I84" s="134"/>
      <c r="J84" s="93"/>
      <c r="K84" s="94"/>
      <c r="L84" s="94"/>
      <c r="M84" s="94"/>
      <c r="N84" s="94"/>
      <c r="O84" s="95"/>
      <c r="P84" s="132"/>
      <c r="Q84" s="133"/>
      <c r="R84" s="133"/>
      <c r="S84" s="134"/>
    </row>
    <row r="85" spans="1:19" ht="18" customHeight="1" x14ac:dyDescent="0.15">
      <c r="A85" s="3"/>
      <c r="B85" s="96"/>
      <c r="C85" s="97"/>
      <c r="D85" s="97"/>
      <c r="E85" s="98"/>
      <c r="F85" s="129"/>
      <c r="G85" s="130"/>
      <c r="H85" s="130"/>
      <c r="I85" s="131"/>
      <c r="J85" s="96"/>
      <c r="K85" s="97"/>
      <c r="L85" s="97"/>
      <c r="M85" s="97"/>
      <c r="N85" s="97"/>
      <c r="O85" s="98"/>
      <c r="P85" s="129"/>
      <c r="Q85" s="130"/>
      <c r="R85" s="130"/>
      <c r="S85" s="13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10" t="s">
        <v>55</v>
      </c>
      <c r="C88" s="112"/>
      <c r="D88" s="100" t="s">
        <v>56</v>
      </c>
      <c r="E88" s="100"/>
      <c r="F88" s="100"/>
      <c r="G88" s="100"/>
      <c r="H88" s="100"/>
      <c r="I88" s="100"/>
      <c r="J88" s="100"/>
      <c r="K88" s="100"/>
      <c r="L88" s="100"/>
      <c r="M88" s="100"/>
      <c r="N88" s="100"/>
      <c r="O88" s="100"/>
      <c r="P88" s="100"/>
      <c r="Q88" s="100"/>
      <c r="R88" s="100"/>
      <c r="S88" s="101"/>
    </row>
    <row r="89" spans="1:19" ht="97.5" customHeight="1" x14ac:dyDescent="0.15">
      <c r="B89" s="151" t="s">
        <v>62</v>
      </c>
      <c r="C89" s="28" t="s">
        <v>57</v>
      </c>
      <c r="D89" s="160" t="s">
        <v>167</v>
      </c>
      <c r="E89" s="161"/>
      <c r="F89" s="161"/>
      <c r="G89" s="161"/>
      <c r="H89" s="161"/>
      <c r="I89" s="161"/>
      <c r="J89" s="161"/>
      <c r="K89" s="161"/>
      <c r="L89" s="161"/>
      <c r="M89" s="161"/>
      <c r="N89" s="161"/>
      <c r="O89" s="161"/>
      <c r="P89" s="161"/>
      <c r="Q89" s="161"/>
      <c r="R89" s="161"/>
      <c r="S89" s="162"/>
    </row>
    <row r="90" spans="1:19" ht="97.5" customHeight="1" x14ac:dyDescent="0.15">
      <c r="B90" s="153"/>
      <c r="C90" s="79" t="s">
        <v>78</v>
      </c>
      <c r="D90" s="135" t="s">
        <v>168</v>
      </c>
      <c r="E90" s="135"/>
      <c r="F90" s="135"/>
      <c r="G90" s="135"/>
      <c r="H90" s="135"/>
      <c r="I90" s="135"/>
      <c r="J90" s="135"/>
      <c r="K90" s="135"/>
      <c r="L90" s="135"/>
      <c r="M90" s="135"/>
      <c r="N90" s="135"/>
      <c r="O90" s="135"/>
      <c r="P90" s="135"/>
      <c r="Q90" s="135"/>
      <c r="R90" s="135"/>
      <c r="S90" s="136"/>
    </row>
    <row r="91" spans="1:19" ht="97.5" customHeight="1" x14ac:dyDescent="0.15">
      <c r="B91" s="151" t="s">
        <v>63</v>
      </c>
      <c r="C91" s="29" t="s">
        <v>72</v>
      </c>
      <c r="D91" s="137" t="s">
        <v>169</v>
      </c>
      <c r="E91" s="137"/>
      <c r="F91" s="137"/>
      <c r="G91" s="137"/>
      <c r="H91" s="137"/>
      <c r="I91" s="137"/>
      <c r="J91" s="137"/>
      <c r="K91" s="137"/>
      <c r="L91" s="137"/>
      <c r="M91" s="137"/>
      <c r="N91" s="137"/>
      <c r="O91" s="137"/>
      <c r="P91" s="137"/>
      <c r="Q91" s="137"/>
      <c r="R91" s="137"/>
      <c r="S91" s="138"/>
    </row>
    <row r="92" spans="1:19" ht="97.5" customHeight="1" x14ac:dyDescent="0.15">
      <c r="B92" s="152"/>
      <c r="C92" s="30" t="s">
        <v>73</v>
      </c>
      <c r="D92" s="141" t="s">
        <v>177</v>
      </c>
      <c r="E92" s="142"/>
      <c r="F92" s="142"/>
      <c r="G92" s="142"/>
      <c r="H92" s="142"/>
      <c r="I92" s="142"/>
      <c r="J92" s="142"/>
      <c r="K92" s="142"/>
      <c r="L92" s="142"/>
      <c r="M92" s="142"/>
      <c r="N92" s="142"/>
      <c r="O92" s="142"/>
      <c r="P92" s="142"/>
      <c r="Q92" s="142"/>
      <c r="R92" s="142"/>
      <c r="S92" s="143"/>
    </row>
    <row r="93" spans="1:19" ht="97.5" customHeight="1" x14ac:dyDescent="0.15">
      <c r="B93" s="151" t="s">
        <v>64</v>
      </c>
      <c r="C93" s="29" t="s">
        <v>74</v>
      </c>
      <c r="D93" s="137" t="s">
        <v>166</v>
      </c>
      <c r="E93" s="137"/>
      <c r="F93" s="137"/>
      <c r="G93" s="137"/>
      <c r="H93" s="137"/>
      <c r="I93" s="137"/>
      <c r="J93" s="137"/>
      <c r="K93" s="137"/>
      <c r="L93" s="137"/>
      <c r="M93" s="137"/>
      <c r="N93" s="137"/>
      <c r="O93" s="137"/>
      <c r="P93" s="137"/>
      <c r="Q93" s="137"/>
      <c r="R93" s="137"/>
      <c r="S93" s="138"/>
    </row>
    <row r="94" spans="1:19" ht="97.5" customHeight="1" x14ac:dyDescent="0.15">
      <c r="B94" s="152"/>
      <c r="C94" s="80" t="s">
        <v>75</v>
      </c>
      <c r="D94" s="139" t="s">
        <v>174</v>
      </c>
      <c r="E94" s="139"/>
      <c r="F94" s="139"/>
      <c r="G94" s="139"/>
      <c r="H94" s="139"/>
      <c r="I94" s="139"/>
      <c r="J94" s="139"/>
      <c r="K94" s="139"/>
      <c r="L94" s="139"/>
      <c r="M94" s="139"/>
      <c r="N94" s="139"/>
      <c r="O94" s="139"/>
      <c r="P94" s="139"/>
      <c r="Q94" s="139"/>
      <c r="R94" s="139"/>
      <c r="S94" s="140"/>
    </row>
    <row r="95" spans="1:19" ht="97.5" customHeight="1" x14ac:dyDescent="0.15">
      <c r="B95" s="151" t="s">
        <v>79</v>
      </c>
      <c r="C95" s="81" t="s">
        <v>59</v>
      </c>
      <c r="D95" s="158" t="s">
        <v>170</v>
      </c>
      <c r="E95" s="158"/>
      <c r="F95" s="158"/>
      <c r="G95" s="158"/>
      <c r="H95" s="158"/>
      <c r="I95" s="158"/>
      <c r="J95" s="158"/>
      <c r="K95" s="158"/>
      <c r="L95" s="158"/>
      <c r="M95" s="158"/>
      <c r="N95" s="158"/>
      <c r="O95" s="158"/>
      <c r="P95" s="158"/>
      <c r="Q95" s="158"/>
      <c r="R95" s="158"/>
      <c r="S95" s="159"/>
    </row>
    <row r="96" spans="1:19" ht="97.5" customHeight="1" x14ac:dyDescent="0.15">
      <c r="B96" s="152"/>
      <c r="C96" s="82" t="s">
        <v>61</v>
      </c>
      <c r="D96" s="141" t="s">
        <v>171</v>
      </c>
      <c r="E96" s="141"/>
      <c r="F96" s="141"/>
      <c r="G96" s="141"/>
      <c r="H96" s="141"/>
      <c r="I96" s="141"/>
      <c r="J96" s="141"/>
      <c r="K96" s="141"/>
      <c r="L96" s="141"/>
      <c r="M96" s="141"/>
      <c r="N96" s="141"/>
      <c r="O96" s="141"/>
      <c r="P96" s="141"/>
      <c r="Q96" s="141"/>
      <c r="R96" s="141"/>
      <c r="S96" s="144"/>
    </row>
    <row r="97" spans="1:19" ht="97.5" customHeight="1" x14ac:dyDescent="0.15">
      <c r="B97" s="151" t="s">
        <v>80</v>
      </c>
      <c r="C97" s="83" t="s">
        <v>58</v>
      </c>
      <c r="D97" s="154" t="s">
        <v>175</v>
      </c>
      <c r="E97" s="154"/>
      <c r="F97" s="154"/>
      <c r="G97" s="154"/>
      <c r="H97" s="154"/>
      <c r="I97" s="154"/>
      <c r="J97" s="154"/>
      <c r="K97" s="154"/>
      <c r="L97" s="154"/>
      <c r="M97" s="154"/>
      <c r="N97" s="154"/>
      <c r="O97" s="154"/>
      <c r="P97" s="154"/>
      <c r="Q97" s="154"/>
      <c r="R97" s="154"/>
      <c r="S97" s="155"/>
    </row>
    <row r="98" spans="1:19" ht="97.5" customHeight="1" x14ac:dyDescent="0.15">
      <c r="B98" s="153"/>
      <c r="C98" s="84" t="s">
        <v>76</v>
      </c>
      <c r="D98" s="145" t="s">
        <v>176</v>
      </c>
      <c r="E98" s="146"/>
      <c r="F98" s="146"/>
      <c r="G98" s="146"/>
      <c r="H98" s="146"/>
      <c r="I98" s="146"/>
      <c r="J98" s="146"/>
      <c r="K98" s="146"/>
      <c r="L98" s="146"/>
      <c r="M98" s="146"/>
      <c r="N98" s="146"/>
      <c r="O98" s="146"/>
      <c r="P98" s="146"/>
      <c r="Q98" s="146"/>
      <c r="R98" s="146"/>
      <c r="S98" s="147"/>
    </row>
    <row r="99" spans="1:19" ht="97.5" customHeight="1" x14ac:dyDescent="0.15">
      <c r="B99" s="152"/>
      <c r="C99" s="80" t="s">
        <v>77</v>
      </c>
      <c r="D99" s="156" t="s">
        <v>172</v>
      </c>
      <c r="E99" s="156"/>
      <c r="F99" s="156"/>
      <c r="G99" s="156"/>
      <c r="H99" s="156"/>
      <c r="I99" s="156"/>
      <c r="J99" s="156"/>
      <c r="K99" s="156"/>
      <c r="L99" s="156"/>
      <c r="M99" s="156"/>
      <c r="N99" s="156"/>
      <c r="O99" s="156"/>
      <c r="P99" s="156"/>
      <c r="Q99" s="156"/>
      <c r="R99" s="156"/>
      <c r="S99" s="157"/>
    </row>
    <row r="100" spans="1:19" ht="6" customHeight="1" x14ac:dyDescent="0.15"/>
    <row r="101" spans="1:19" ht="18.75" customHeight="1" x14ac:dyDescent="0.15">
      <c r="A101" s="1" t="s">
        <v>121</v>
      </c>
    </row>
    <row r="102" spans="1:19" ht="81.75" customHeight="1" x14ac:dyDescent="0.15">
      <c r="B102" s="126" t="s">
        <v>162</v>
      </c>
      <c r="C102" s="127"/>
      <c r="D102" s="127"/>
      <c r="E102" s="127"/>
      <c r="F102" s="127"/>
      <c r="G102" s="127"/>
      <c r="H102" s="127"/>
      <c r="I102" s="127"/>
      <c r="J102" s="127"/>
      <c r="K102" s="127"/>
      <c r="L102" s="127"/>
      <c r="M102" s="127"/>
      <c r="N102" s="127"/>
      <c r="O102" s="127"/>
      <c r="P102" s="127"/>
      <c r="Q102" s="127"/>
      <c r="R102" s="127"/>
      <c r="S102" s="128"/>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P27" zoomScaleNormal="100" zoomScaleSheetLayoutView="100" workbookViewId="0">
      <selection activeCell="U91" sqref="U91"/>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2"/>
      <c r="Q2" s="32"/>
      <c r="W2" s="32"/>
      <c r="AC2" s="32"/>
      <c r="AI2" s="32"/>
      <c r="AL2" s="32" t="s">
        <v>109</v>
      </c>
      <c r="AM2" s="169" t="str">
        <f>'様式１　プログラムを構成する授業科目'!C2</f>
        <v>神戸市立工業高等専門学校</v>
      </c>
      <c r="AN2" s="169"/>
      <c r="AO2" s="169"/>
      <c r="AP2" s="169"/>
      <c r="AQ2" s="169"/>
    </row>
    <row r="3" spans="1:45" ht="18" customHeight="1" x14ac:dyDescent="0.15">
      <c r="A3" s="113" t="s">
        <v>48</v>
      </c>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0" t="s">
        <v>138</v>
      </c>
      <c r="D5" s="17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2" t="s">
        <v>45</v>
      </c>
      <c r="C9" s="187" t="s">
        <v>87</v>
      </c>
      <c r="D9" s="175" t="s">
        <v>47</v>
      </c>
      <c r="E9" s="178" t="s">
        <v>40</v>
      </c>
      <c r="F9" s="168" t="s">
        <v>86</v>
      </c>
      <c r="G9" s="168"/>
      <c r="H9" s="168"/>
      <c r="I9" s="168"/>
      <c r="J9" s="168"/>
      <c r="K9" s="168"/>
      <c r="L9" s="168" t="s">
        <v>49</v>
      </c>
      <c r="M9" s="168"/>
      <c r="N9" s="168"/>
      <c r="O9" s="168"/>
      <c r="P9" s="168"/>
      <c r="Q9" s="168"/>
      <c r="R9" s="168" t="s">
        <v>50</v>
      </c>
      <c r="S9" s="168"/>
      <c r="T9" s="168"/>
      <c r="U9" s="168"/>
      <c r="V9" s="168"/>
      <c r="W9" s="168"/>
      <c r="X9" s="168" t="s">
        <v>101</v>
      </c>
      <c r="Y9" s="168"/>
      <c r="Z9" s="168"/>
      <c r="AA9" s="168"/>
      <c r="AB9" s="168"/>
      <c r="AC9" s="168"/>
      <c r="AD9" s="168" t="s">
        <v>51</v>
      </c>
      <c r="AE9" s="168"/>
      <c r="AF9" s="168"/>
      <c r="AG9" s="168"/>
      <c r="AH9" s="168"/>
      <c r="AI9" s="168"/>
      <c r="AJ9" s="168" t="s">
        <v>52</v>
      </c>
      <c r="AK9" s="168"/>
      <c r="AL9" s="168"/>
      <c r="AM9" s="168"/>
      <c r="AN9" s="168"/>
      <c r="AO9" s="168"/>
      <c r="AP9" s="181" t="s">
        <v>35</v>
      </c>
      <c r="AQ9" s="184" t="s">
        <v>32</v>
      </c>
      <c r="AS9" s="2"/>
    </row>
    <row r="10" spans="1:45" ht="16.899999999999999" customHeight="1" x14ac:dyDescent="0.15">
      <c r="B10" s="173"/>
      <c r="C10" s="188"/>
      <c r="D10" s="176"/>
      <c r="E10" s="179"/>
      <c r="F10" s="166" t="s">
        <v>97</v>
      </c>
      <c r="G10" s="167"/>
      <c r="H10" s="167"/>
      <c r="I10" s="166" t="s">
        <v>29</v>
      </c>
      <c r="J10" s="167"/>
      <c r="K10" s="167"/>
      <c r="L10" s="166" t="s">
        <v>97</v>
      </c>
      <c r="M10" s="167"/>
      <c r="N10" s="167"/>
      <c r="O10" s="166" t="s">
        <v>29</v>
      </c>
      <c r="P10" s="167"/>
      <c r="Q10" s="167"/>
      <c r="R10" s="166" t="s">
        <v>97</v>
      </c>
      <c r="S10" s="167"/>
      <c r="T10" s="167"/>
      <c r="U10" s="166" t="s">
        <v>29</v>
      </c>
      <c r="V10" s="167"/>
      <c r="W10" s="167"/>
      <c r="X10" s="166" t="s">
        <v>97</v>
      </c>
      <c r="Y10" s="167"/>
      <c r="Z10" s="167"/>
      <c r="AA10" s="166" t="s">
        <v>29</v>
      </c>
      <c r="AB10" s="167"/>
      <c r="AC10" s="167"/>
      <c r="AD10" s="166" t="s">
        <v>97</v>
      </c>
      <c r="AE10" s="167"/>
      <c r="AF10" s="167"/>
      <c r="AG10" s="166" t="s">
        <v>29</v>
      </c>
      <c r="AH10" s="167"/>
      <c r="AI10" s="167"/>
      <c r="AJ10" s="166" t="s">
        <v>97</v>
      </c>
      <c r="AK10" s="167"/>
      <c r="AL10" s="167"/>
      <c r="AM10" s="166" t="s">
        <v>29</v>
      </c>
      <c r="AN10" s="167"/>
      <c r="AO10" s="167"/>
      <c r="AP10" s="182"/>
      <c r="AQ10" s="185"/>
      <c r="AS10" s="2"/>
    </row>
    <row r="11" spans="1:45" ht="18" customHeight="1" x14ac:dyDescent="0.15">
      <c r="B11" s="174"/>
      <c r="C11" s="189"/>
      <c r="D11" s="177"/>
      <c r="E11" s="180"/>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3"/>
      <c r="AQ11" s="186"/>
      <c r="AS11" s="2"/>
    </row>
    <row r="12" spans="1:45" ht="18" customHeight="1" x14ac:dyDescent="0.15">
      <c r="A12" s="6"/>
      <c r="B12" s="11" t="s">
        <v>133</v>
      </c>
      <c r="C12" s="59">
        <v>398</v>
      </c>
      <c r="D12" s="60">
        <v>80</v>
      </c>
      <c r="E12" s="61">
        <v>400</v>
      </c>
      <c r="F12" s="61">
        <f>G12+H12</f>
        <v>84</v>
      </c>
      <c r="G12" s="62">
        <v>80</v>
      </c>
      <c r="H12" s="63">
        <v>4</v>
      </c>
      <c r="I12" s="61">
        <f>J12+K12</f>
        <v>83</v>
      </c>
      <c r="J12" s="62">
        <v>79</v>
      </c>
      <c r="K12" s="63">
        <v>4</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84</v>
      </c>
      <c r="AQ12" s="21">
        <f t="shared" ref="AQ12:AQ32" si="0">AP12/E12</f>
        <v>0.21</v>
      </c>
    </row>
    <row r="13" spans="1:45" ht="18" customHeight="1" x14ac:dyDescent="0.15">
      <c r="A13" s="6"/>
      <c r="B13" s="12" t="s">
        <v>134</v>
      </c>
      <c r="C13" s="64">
        <v>195</v>
      </c>
      <c r="D13" s="65">
        <v>40</v>
      </c>
      <c r="E13" s="66">
        <v>200</v>
      </c>
      <c r="F13" s="67">
        <f t="shared" ref="F13:F31" si="1">G13+H13</f>
        <v>41</v>
      </c>
      <c r="G13" s="68">
        <v>36</v>
      </c>
      <c r="H13" s="69">
        <v>5</v>
      </c>
      <c r="I13" s="67">
        <f t="shared" ref="I13:I31" si="2">J13+K13</f>
        <v>41</v>
      </c>
      <c r="J13" s="68">
        <v>36</v>
      </c>
      <c r="K13" s="69">
        <v>5</v>
      </c>
      <c r="L13" s="67">
        <f t="shared" ref="L13:L31" si="3">M13+N13</f>
        <v>0</v>
      </c>
      <c r="M13" s="68"/>
      <c r="N13" s="69"/>
      <c r="O13" s="67">
        <f t="shared" ref="O13:O31" si="4">P13+Q13</f>
        <v>0</v>
      </c>
      <c r="P13" s="68"/>
      <c r="Q13" s="69"/>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41</v>
      </c>
      <c r="AQ13" s="20">
        <f t="shared" si="0"/>
        <v>0.20499999999999999</v>
      </c>
    </row>
    <row r="14" spans="1:45" ht="18" customHeight="1" x14ac:dyDescent="0.15">
      <c r="A14" s="6"/>
      <c r="B14" s="12" t="s">
        <v>135</v>
      </c>
      <c r="C14" s="64">
        <v>201</v>
      </c>
      <c r="D14" s="65">
        <v>40</v>
      </c>
      <c r="E14" s="66">
        <v>200</v>
      </c>
      <c r="F14" s="67">
        <f t="shared" si="1"/>
        <v>40</v>
      </c>
      <c r="G14" s="68">
        <v>36</v>
      </c>
      <c r="H14" s="69">
        <v>4</v>
      </c>
      <c r="I14" s="67">
        <f t="shared" si="2"/>
        <v>40</v>
      </c>
      <c r="J14" s="68">
        <v>36</v>
      </c>
      <c r="K14" s="69">
        <v>4</v>
      </c>
      <c r="L14" s="67">
        <f t="shared" si="3"/>
        <v>0</v>
      </c>
      <c r="M14" s="68"/>
      <c r="N14" s="69"/>
      <c r="O14" s="67">
        <f t="shared" si="4"/>
        <v>0</v>
      </c>
      <c r="P14" s="68"/>
      <c r="Q14" s="69"/>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40</v>
      </c>
      <c r="AQ14" s="8">
        <f t="shared" si="0"/>
        <v>0.2</v>
      </c>
    </row>
    <row r="15" spans="1:45" ht="18" customHeight="1" x14ac:dyDescent="0.15">
      <c r="A15" s="6"/>
      <c r="B15" s="12" t="s">
        <v>136</v>
      </c>
      <c r="C15" s="64">
        <v>198</v>
      </c>
      <c r="D15" s="65">
        <v>40</v>
      </c>
      <c r="E15" s="66">
        <v>200</v>
      </c>
      <c r="F15" s="67">
        <f t="shared" si="1"/>
        <v>41</v>
      </c>
      <c r="G15" s="68">
        <v>19</v>
      </c>
      <c r="H15" s="69">
        <v>22</v>
      </c>
      <c r="I15" s="67">
        <f t="shared" si="2"/>
        <v>40</v>
      </c>
      <c r="J15" s="68">
        <v>18</v>
      </c>
      <c r="K15" s="69">
        <v>22</v>
      </c>
      <c r="L15" s="67">
        <f t="shared" si="3"/>
        <v>0</v>
      </c>
      <c r="M15" s="68"/>
      <c r="N15" s="69"/>
      <c r="O15" s="67">
        <f t="shared" si="4"/>
        <v>0</v>
      </c>
      <c r="P15" s="68"/>
      <c r="Q15" s="69"/>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41</v>
      </c>
      <c r="AQ15" s="8">
        <f t="shared" si="0"/>
        <v>0.20499999999999999</v>
      </c>
    </row>
    <row r="16" spans="1:45" ht="18" customHeight="1" x14ac:dyDescent="0.15">
      <c r="A16" s="6"/>
      <c r="B16" s="12" t="s">
        <v>137</v>
      </c>
      <c r="C16" s="64">
        <v>200</v>
      </c>
      <c r="D16" s="65">
        <v>40</v>
      </c>
      <c r="E16" s="66">
        <v>200</v>
      </c>
      <c r="F16" s="67">
        <f t="shared" si="1"/>
        <v>41</v>
      </c>
      <c r="G16" s="68">
        <v>26</v>
      </c>
      <c r="H16" s="69">
        <v>15</v>
      </c>
      <c r="I16" s="67">
        <f t="shared" si="2"/>
        <v>39</v>
      </c>
      <c r="J16" s="68">
        <v>24</v>
      </c>
      <c r="K16" s="69">
        <v>15</v>
      </c>
      <c r="L16" s="67">
        <f t="shared" si="3"/>
        <v>0</v>
      </c>
      <c r="M16" s="68"/>
      <c r="N16" s="69"/>
      <c r="O16" s="67">
        <f t="shared" si="4"/>
        <v>0</v>
      </c>
      <c r="P16" s="68"/>
      <c r="Q16" s="69"/>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41</v>
      </c>
      <c r="AQ16" s="8">
        <f t="shared" si="0"/>
        <v>0.20499999999999999</v>
      </c>
    </row>
    <row r="17" spans="1:43" ht="18" customHeight="1" x14ac:dyDescent="0.15">
      <c r="A17" s="6"/>
      <c r="B17" s="12"/>
      <c r="C17" s="64"/>
      <c r="D17" s="65"/>
      <c r="E17" s="66"/>
      <c r="F17" s="67">
        <f t="shared" si="1"/>
        <v>0</v>
      </c>
      <c r="G17" s="68"/>
      <c r="H17" s="69"/>
      <c r="I17" s="67">
        <f t="shared" si="2"/>
        <v>0</v>
      </c>
      <c r="J17" s="68"/>
      <c r="K17" s="69"/>
      <c r="L17" s="67">
        <f t="shared" si="3"/>
        <v>0</v>
      </c>
      <c r="M17" s="68"/>
      <c r="N17" s="69"/>
      <c r="O17" s="67">
        <f t="shared" si="4"/>
        <v>0</v>
      </c>
      <c r="P17" s="68"/>
      <c r="Q17" s="69"/>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0</v>
      </c>
      <c r="AQ17" s="8" t="e">
        <f t="shared" si="0"/>
        <v>#DIV/0!</v>
      </c>
    </row>
    <row r="18" spans="1:43" ht="18" customHeight="1" x14ac:dyDescent="0.15">
      <c r="A18" s="6"/>
      <c r="B18" s="12"/>
      <c r="C18" s="64"/>
      <c r="D18" s="65"/>
      <c r="E18" s="66"/>
      <c r="F18" s="67">
        <f t="shared" si="1"/>
        <v>0</v>
      </c>
      <c r="G18" s="68"/>
      <c r="H18" s="69"/>
      <c r="I18" s="67">
        <f t="shared" si="2"/>
        <v>0</v>
      </c>
      <c r="J18" s="68"/>
      <c r="K18" s="69"/>
      <c r="L18" s="67">
        <f t="shared" si="3"/>
        <v>0</v>
      </c>
      <c r="M18" s="68"/>
      <c r="N18" s="69"/>
      <c r="O18" s="67">
        <f t="shared" si="4"/>
        <v>0</v>
      </c>
      <c r="P18" s="68"/>
      <c r="Q18" s="69"/>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0</v>
      </c>
      <c r="AQ18" s="8" t="e">
        <f t="shared" si="0"/>
        <v>#DIV/0!</v>
      </c>
    </row>
    <row r="19" spans="1:43" ht="18" customHeight="1" x14ac:dyDescent="0.15">
      <c r="A19" s="6"/>
      <c r="B19" s="12"/>
      <c r="C19" s="64"/>
      <c r="D19" s="65"/>
      <c r="E19" s="66"/>
      <c r="F19" s="67">
        <f t="shared" si="1"/>
        <v>0</v>
      </c>
      <c r="G19" s="68"/>
      <c r="H19" s="69"/>
      <c r="I19" s="67">
        <f t="shared" si="2"/>
        <v>0</v>
      </c>
      <c r="J19" s="68"/>
      <c r="K19" s="69"/>
      <c r="L19" s="67">
        <f t="shared" si="3"/>
        <v>0</v>
      </c>
      <c r="M19" s="68"/>
      <c r="N19" s="69"/>
      <c r="O19" s="67">
        <f t="shared" si="4"/>
        <v>0</v>
      </c>
      <c r="P19" s="68"/>
      <c r="Q19" s="69"/>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0</v>
      </c>
      <c r="AQ19" s="8" t="e">
        <f t="shared" si="0"/>
        <v>#DIV/0!</v>
      </c>
    </row>
    <row r="20" spans="1:43" ht="18" customHeight="1" x14ac:dyDescent="0.15">
      <c r="A20" s="6"/>
      <c r="B20" s="12"/>
      <c r="C20" s="64"/>
      <c r="D20" s="65"/>
      <c r="E20" s="66"/>
      <c r="F20" s="67">
        <f t="shared" si="1"/>
        <v>0</v>
      </c>
      <c r="G20" s="68"/>
      <c r="H20" s="69"/>
      <c r="I20" s="67">
        <f t="shared" si="2"/>
        <v>0</v>
      </c>
      <c r="J20" s="68"/>
      <c r="K20" s="69"/>
      <c r="L20" s="67">
        <f t="shared" si="3"/>
        <v>0</v>
      </c>
      <c r="M20" s="68"/>
      <c r="N20" s="69"/>
      <c r="O20" s="67">
        <f t="shared" si="4"/>
        <v>0</v>
      </c>
      <c r="P20" s="68"/>
      <c r="Q20" s="69"/>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0</v>
      </c>
      <c r="AQ20" s="8" t="e">
        <f t="shared" si="0"/>
        <v>#DIV/0!</v>
      </c>
    </row>
    <row r="21" spans="1:43" ht="18" customHeight="1" x14ac:dyDescent="0.15">
      <c r="A21" s="6"/>
      <c r="B21" s="12"/>
      <c r="C21" s="64"/>
      <c r="D21" s="65"/>
      <c r="E21" s="66"/>
      <c r="F21" s="67">
        <f t="shared" si="1"/>
        <v>0</v>
      </c>
      <c r="G21" s="68"/>
      <c r="H21" s="69"/>
      <c r="I21" s="67">
        <f t="shared" si="2"/>
        <v>0</v>
      </c>
      <c r="J21" s="68"/>
      <c r="K21" s="69"/>
      <c r="L21" s="67">
        <f t="shared" si="3"/>
        <v>0</v>
      </c>
      <c r="M21" s="68"/>
      <c r="N21" s="69"/>
      <c r="O21" s="67">
        <f t="shared" si="4"/>
        <v>0</v>
      </c>
      <c r="P21" s="68"/>
      <c r="Q21" s="69"/>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0</v>
      </c>
      <c r="AQ21" s="8" t="e">
        <f t="shared" si="0"/>
        <v>#DIV/0!</v>
      </c>
    </row>
    <row r="22" spans="1:43" ht="18" customHeight="1" x14ac:dyDescent="0.15">
      <c r="A22" s="6"/>
      <c r="B22" s="12"/>
      <c r="C22" s="64"/>
      <c r="D22" s="65"/>
      <c r="E22" s="66"/>
      <c r="F22" s="67">
        <f t="shared" si="1"/>
        <v>0</v>
      </c>
      <c r="G22" s="68"/>
      <c r="H22" s="69"/>
      <c r="I22" s="67">
        <f t="shared" si="2"/>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 t="e">
        <f t="shared" si="0"/>
        <v>#DIV/0!</v>
      </c>
    </row>
    <row r="23" spans="1:43" ht="18" customHeight="1" x14ac:dyDescent="0.15">
      <c r="A23" s="6"/>
      <c r="B23" s="12"/>
      <c r="C23" s="64"/>
      <c r="D23" s="65"/>
      <c r="E23" s="66"/>
      <c r="F23" s="67">
        <f t="shared" si="1"/>
        <v>0</v>
      </c>
      <c r="G23" s="68"/>
      <c r="H23" s="69"/>
      <c r="I23" s="67">
        <f t="shared" si="2"/>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 t="e">
        <f t="shared" si="0"/>
        <v>#DIV/0!</v>
      </c>
    </row>
    <row r="24" spans="1:43" ht="18" customHeight="1" x14ac:dyDescent="0.15">
      <c r="A24" s="6"/>
      <c r="B24" s="12"/>
      <c r="C24" s="64"/>
      <c r="D24" s="65"/>
      <c r="E24" s="66"/>
      <c r="F24" s="67">
        <f t="shared" si="1"/>
        <v>0</v>
      </c>
      <c r="G24" s="68"/>
      <c r="H24" s="69"/>
      <c r="I24" s="67">
        <f t="shared" si="2"/>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 t="e">
        <f t="shared" si="0"/>
        <v>#DIV/0!</v>
      </c>
    </row>
    <row r="25" spans="1:43" ht="18" customHeight="1" x14ac:dyDescent="0.15">
      <c r="A25" s="6"/>
      <c r="B25" s="12"/>
      <c r="C25" s="64"/>
      <c r="D25" s="65"/>
      <c r="E25" s="66"/>
      <c r="F25" s="67">
        <f t="shared" si="1"/>
        <v>0</v>
      </c>
      <c r="G25" s="68"/>
      <c r="H25" s="69"/>
      <c r="I25" s="67">
        <f t="shared" si="2"/>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 t="e">
        <f t="shared" si="0"/>
        <v>#DIV/0!</v>
      </c>
    </row>
    <row r="26" spans="1:43" ht="18" customHeight="1" x14ac:dyDescent="0.15">
      <c r="A26" s="6"/>
      <c r="B26" s="12"/>
      <c r="C26" s="64"/>
      <c r="D26" s="65"/>
      <c r="E26" s="66"/>
      <c r="F26" s="67">
        <f t="shared" si="1"/>
        <v>0</v>
      </c>
      <c r="G26" s="68"/>
      <c r="H26" s="69"/>
      <c r="I26" s="67">
        <f t="shared" si="2"/>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 t="e">
        <f t="shared" si="0"/>
        <v>#DIV/0!</v>
      </c>
    </row>
    <row r="27" spans="1:43" ht="18" customHeight="1" x14ac:dyDescent="0.15">
      <c r="A27" s="6"/>
      <c r="B27" s="12"/>
      <c r="C27" s="64"/>
      <c r="D27" s="65"/>
      <c r="E27" s="66"/>
      <c r="F27" s="67">
        <f t="shared" si="1"/>
        <v>0</v>
      </c>
      <c r="G27" s="68"/>
      <c r="H27" s="69"/>
      <c r="I27" s="67">
        <f t="shared" si="2"/>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 t="e">
        <f t="shared" si="0"/>
        <v>#DIV/0!</v>
      </c>
    </row>
    <row r="28" spans="1:43" ht="18" customHeight="1" x14ac:dyDescent="0.15">
      <c r="A28" s="6"/>
      <c r="B28" s="12"/>
      <c r="C28" s="64"/>
      <c r="D28" s="65"/>
      <c r="E28" s="66"/>
      <c r="F28" s="67">
        <f t="shared" si="1"/>
        <v>0</v>
      </c>
      <c r="G28" s="68"/>
      <c r="H28" s="69"/>
      <c r="I28" s="67">
        <f t="shared" si="2"/>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 t="e">
        <f t="shared" si="0"/>
        <v>#DIV/0!</v>
      </c>
    </row>
    <row r="29" spans="1:43" ht="18" customHeight="1" x14ac:dyDescent="0.15">
      <c r="A29" s="6"/>
      <c r="B29" s="12"/>
      <c r="C29" s="64"/>
      <c r="D29" s="70"/>
      <c r="E29" s="66"/>
      <c r="F29" s="67">
        <f t="shared" si="1"/>
        <v>0</v>
      </c>
      <c r="G29" s="68"/>
      <c r="H29" s="69"/>
      <c r="I29" s="67">
        <f t="shared" si="2"/>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 t="e">
        <f t="shared" si="0"/>
        <v>#DIV/0!</v>
      </c>
    </row>
    <row r="30" spans="1:43" ht="18" customHeight="1" x14ac:dyDescent="0.15">
      <c r="A30" s="6"/>
      <c r="B30" s="12"/>
      <c r="C30" s="64"/>
      <c r="D30" s="70"/>
      <c r="E30" s="66"/>
      <c r="F30" s="67">
        <f t="shared" si="1"/>
        <v>0</v>
      </c>
      <c r="G30" s="68"/>
      <c r="H30" s="69"/>
      <c r="I30" s="67">
        <f t="shared" si="2"/>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 t="e">
        <f t="shared" si="0"/>
        <v>#DIV/0!</v>
      </c>
    </row>
    <row r="31" spans="1:43" ht="18" customHeight="1" thickBot="1" x14ac:dyDescent="0.2">
      <c r="A31" s="6"/>
      <c r="B31" s="13"/>
      <c r="C31" s="59"/>
      <c r="D31" s="71"/>
      <c r="E31" s="61"/>
      <c r="F31" s="61">
        <f t="shared" si="1"/>
        <v>0</v>
      </c>
      <c r="G31" s="72"/>
      <c r="H31" s="73"/>
      <c r="I31" s="61">
        <f t="shared" si="2"/>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7" t="e">
        <f t="shared" si="0"/>
        <v>#DIV/0!</v>
      </c>
    </row>
    <row r="32" spans="1:43" ht="18" customHeight="1" thickTop="1" x14ac:dyDescent="0.15">
      <c r="B32" s="14" t="s">
        <v>33</v>
      </c>
      <c r="C32" s="74">
        <f t="shared" ref="C32" si="14">SUM(C12:C31)</f>
        <v>1192</v>
      </c>
      <c r="D32" s="75">
        <f t="shared" ref="D32:AP32" si="15">SUM(D12:D31)</f>
        <v>240</v>
      </c>
      <c r="E32" s="76">
        <f t="shared" si="15"/>
        <v>1200</v>
      </c>
      <c r="F32" s="76">
        <f t="shared" si="15"/>
        <v>247</v>
      </c>
      <c r="G32" s="77">
        <f t="shared" si="15"/>
        <v>197</v>
      </c>
      <c r="H32" s="78">
        <f t="shared" si="15"/>
        <v>50</v>
      </c>
      <c r="I32" s="76">
        <f t="shared" ref="I32:N32" si="16">SUM(I12:I31)</f>
        <v>243</v>
      </c>
      <c r="J32" s="77">
        <f t="shared" si="16"/>
        <v>193</v>
      </c>
      <c r="K32" s="78">
        <f t="shared" si="16"/>
        <v>50</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247</v>
      </c>
      <c r="AQ32" s="9">
        <f t="shared" si="0"/>
        <v>0.20583333333333334</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 zoomScaleNormal="100" zoomScaleSheetLayoutView="100" workbookViewId="0">
      <selection activeCell="U91" sqref="U91"/>
    </sheetView>
  </sheetViews>
  <sheetFormatPr defaultColWidth="11.375" defaultRowHeight="18.75" customHeight="1" x14ac:dyDescent="0.15"/>
  <cols>
    <col min="1" max="1" width="2.75" style="3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8" t="s">
        <v>65</v>
      </c>
      <c r="I1" s="32" t="s">
        <v>106</v>
      </c>
    </row>
    <row r="2" spans="1:9" ht="18.75" customHeight="1" x14ac:dyDescent="0.15">
      <c r="G2" s="32" t="s">
        <v>109</v>
      </c>
      <c r="H2" s="99" t="str">
        <f>'様式１　プログラムを構成する授業科目'!C2</f>
        <v>神戸市立工業高等専門学校</v>
      </c>
      <c r="I2" s="101"/>
    </row>
    <row r="3" spans="1:9" ht="18.75" customHeight="1" x14ac:dyDescent="0.15">
      <c r="G3" s="32"/>
      <c r="H3" s="10"/>
      <c r="I3" s="10"/>
    </row>
    <row r="4" spans="1:9" ht="18.600000000000001" customHeight="1" x14ac:dyDescent="0.15">
      <c r="A4" s="113" t="s">
        <v>36</v>
      </c>
      <c r="B4" s="113"/>
      <c r="C4" s="113"/>
      <c r="D4" s="113"/>
      <c r="E4" s="113"/>
      <c r="F4" s="113"/>
      <c r="G4" s="113"/>
      <c r="H4" s="113"/>
      <c r="I4" s="113"/>
    </row>
    <row r="5" spans="1:9" ht="13.15" customHeight="1" x14ac:dyDescent="0.15">
      <c r="B5" s="3"/>
      <c r="C5" s="3"/>
      <c r="D5" s="3"/>
      <c r="E5" s="3"/>
      <c r="F5" s="3"/>
      <c r="G5" s="3"/>
      <c r="H5" s="3"/>
      <c r="I5" s="3"/>
    </row>
    <row r="6" spans="1:9" ht="18" customHeight="1" x14ac:dyDescent="0.15">
      <c r="A6" s="1" t="s">
        <v>0</v>
      </c>
      <c r="B6" s="10" t="s">
        <v>91</v>
      </c>
      <c r="C6" s="253" t="s">
        <v>92</v>
      </c>
      <c r="D6" s="253"/>
      <c r="E6" s="31">
        <v>96</v>
      </c>
      <c r="F6" s="3" t="s">
        <v>1</v>
      </c>
      <c r="G6" s="3" t="s">
        <v>2</v>
      </c>
      <c r="H6" s="31">
        <v>47</v>
      </c>
      <c r="I6" s="10" t="s">
        <v>1</v>
      </c>
    </row>
    <row r="7" spans="1:9" ht="12" customHeight="1" x14ac:dyDescent="0.15">
      <c r="C7" s="2"/>
      <c r="D7" s="2"/>
      <c r="E7" s="2"/>
      <c r="F7" s="2"/>
      <c r="G7" s="2"/>
      <c r="H7" s="2"/>
      <c r="I7" s="39"/>
    </row>
    <row r="8" spans="1:9" ht="18" customHeight="1" x14ac:dyDescent="0.15">
      <c r="A8" s="1" t="s">
        <v>3</v>
      </c>
      <c r="B8" s="10" t="s">
        <v>93</v>
      </c>
      <c r="E8" s="3"/>
      <c r="F8" s="3"/>
      <c r="G8" s="3"/>
      <c r="H8" s="31">
        <v>12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2" t="s">
        <v>43</v>
      </c>
      <c r="C11" s="99" t="s">
        <v>142</v>
      </c>
      <c r="D11" s="124"/>
      <c r="E11" s="125"/>
      <c r="F11" s="39"/>
      <c r="G11" s="32" t="s">
        <v>10</v>
      </c>
      <c r="H11" s="99" t="s">
        <v>139</v>
      </c>
      <c r="I11" s="125"/>
    </row>
    <row r="12" spans="1:9" ht="10.15" customHeight="1" x14ac:dyDescent="0.15">
      <c r="B12" s="32"/>
      <c r="C12" s="10"/>
      <c r="D12" s="39"/>
      <c r="E12" s="39"/>
      <c r="F12" s="39"/>
      <c r="G12" s="32"/>
      <c r="H12" s="10"/>
      <c r="I12" s="39"/>
    </row>
    <row r="13" spans="1:9" ht="18" customHeight="1" x14ac:dyDescent="0.15">
      <c r="A13" s="1" t="s">
        <v>7</v>
      </c>
      <c r="B13" s="10" t="s">
        <v>88</v>
      </c>
      <c r="C13" s="3"/>
      <c r="D13" s="3"/>
      <c r="E13" s="3"/>
      <c r="F13" s="3"/>
      <c r="G13" s="3"/>
      <c r="H13" s="3"/>
      <c r="I13" s="3"/>
    </row>
    <row r="14" spans="1:9" ht="18" customHeight="1" x14ac:dyDescent="0.15">
      <c r="B14" s="99" t="s">
        <v>145</v>
      </c>
      <c r="C14" s="124"/>
      <c r="D14" s="124"/>
      <c r="E14" s="124"/>
      <c r="F14" s="124"/>
      <c r="G14" s="124"/>
      <c r="H14" s="124"/>
      <c r="I14" s="125"/>
    </row>
    <row r="15" spans="1:9" ht="9" customHeight="1" x14ac:dyDescent="0.15">
      <c r="B15" s="3"/>
      <c r="C15" s="3"/>
      <c r="D15" s="3"/>
      <c r="E15" s="3"/>
      <c r="F15" s="3"/>
      <c r="G15" s="3"/>
      <c r="H15" s="3"/>
      <c r="I15" s="3"/>
    </row>
    <row r="16" spans="1:9" ht="18" customHeight="1" x14ac:dyDescent="0.15">
      <c r="B16" s="32" t="s">
        <v>43</v>
      </c>
      <c r="C16" s="99" t="s">
        <v>140</v>
      </c>
      <c r="D16" s="124"/>
      <c r="E16" s="125"/>
      <c r="F16" s="39"/>
      <c r="G16" s="32" t="s">
        <v>10</v>
      </c>
      <c r="H16" s="99" t="s">
        <v>141</v>
      </c>
      <c r="I16" s="125"/>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36" t="s">
        <v>159</v>
      </c>
      <c r="C19" s="237"/>
      <c r="D19" s="237"/>
      <c r="E19" s="237"/>
      <c r="F19" s="237"/>
      <c r="G19" s="237"/>
      <c r="H19" s="237"/>
      <c r="I19" s="238"/>
    </row>
    <row r="20" spans="1:9" ht="7.5" customHeight="1" x14ac:dyDescent="0.15">
      <c r="B20" s="3"/>
      <c r="C20" s="3"/>
      <c r="D20" s="3"/>
      <c r="E20" s="3"/>
      <c r="F20" s="3"/>
      <c r="G20" s="3"/>
      <c r="H20" s="3"/>
      <c r="I20" s="3"/>
    </row>
    <row r="21" spans="1:9" ht="18.75" customHeight="1" x14ac:dyDescent="0.15">
      <c r="A21" s="1" t="s">
        <v>8</v>
      </c>
      <c r="B21" s="85" t="s">
        <v>25</v>
      </c>
    </row>
    <row r="22" spans="1:9" ht="18.75" customHeight="1" x14ac:dyDescent="0.15">
      <c r="A22" s="15"/>
      <c r="B22" s="217" t="s">
        <v>148</v>
      </c>
      <c r="C22" s="218"/>
      <c r="D22" s="218"/>
      <c r="E22" s="218"/>
      <c r="F22" s="218"/>
      <c r="G22" s="218"/>
      <c r="H22" s="218"/>
      <c r="I22" s="219"/>
    </row>
    <row r="23" spans="1:9" ht="18.75" customHeight="1" x14ac:dyDescent="0.15">
      <c r="A23" s="15"/>
      <c r="B23" s="239"/>
      <c r="C23" s="240"/>
      <c r="D23" s="240"/>
      <c r="E23" s="240"/>
      <c r="F23" s="240"/>
      <c r="G23" s="240"/>
      <c r="H23" s="240"/>
      <c r="I23" s="222"/>
    </row>
    <row r="24" spans="1:9" ht="18.75" customHeight="1" x14ac:dyDescent="0.15">
      <c r="A24" s="15"/>
      <c r="B24" s="239"/>
      <c r="C24" s="240"/>
      <c r="D24" s="240"/>
      <c r="E24" s="240"/>
      <c r="F24" s="240"/>
      <c r="G24" s="240"/>
      <c r="H24" s="240"/>
      <c r="I24" s="222"/>
    </row>
    <row r="25" spans="1:9" ht="18.75" customHeight="1" x14ac:dyDescent="0.15">
      <c r="A25" s="15"/>
      <c r="B25" s="239"/>
      <c r="C25" s="240"/>
      <c r="D25" s="240"/>
      <c r="E25" s="240"/>
      <c r="F25" s="240"/>
      <c r="G25" s="240"/>
      <c r="H25" s="240"/>
      <c r="I25" s="222"/>
    </row>
    <row r="26" spans="1:9" ht="18.75" customHeight="1" x14ac:dyDescent="0.15">
      <c r="A26" s="15"/>
      <c r="B26" s="239"/>
      <c r="C26" s="240"/>
      <c r="D26" s="240"/>
      <c r="E26" s="240"/>
      <c r="F26" s="240"/>
      <c r="G26" s="240"/>
      <c r="H26" s="240"/>
      <c r="I26" s="222"/>
    </row>
    <row r="27" spans="1:9" ht="18.75" customHeight="1" x14ac:dyDescent="0.15">
      <c r="A27" s="15"/>
      <c r="B27" s="239"/>
      <c r="C27" s="240"/>
      <c r="D27" s="240"/>
      <c r="E27" s="240"/>
      <c r="F27" s="240"/>
      <c r="G27" s="240"/>
      <c r="H27" s="240"/>
      <c r="I27" s="222"/>
    </row>
    <row r="28" spans="1:9" ht="18.75" customHeight="1" x14ac:dyDescent="0.15">
      <c r="A28" s="15"/>
      <c r="B28" s="239"/>
      <c r="C28" s="240"/>
      <c r="D28" s="240"/>
      <c r="E28" s="240"/>
      <c r="F28" s="240"/>
      <c r="G28" s="240"/>
      <c r="H28" s="240"/>
      <c r="I28" s="222"/>
    </row>
    <row r="29" spans="1:9" ht="18.75" customHeight="1" x14ac:dyDescent="0.15">
      <c r="A29" s="15"/>
      <c r="B29" s="239"/>
      <c r="C29" s="240"/>
      <c r="D29" s="240"/>
      <c r="E29" s="240"/>
      <c r="F29" s="240"/>
      <c r="G29" s="240"/>
      <c r="H29" s="240"/>
      <c r="I29" s="222"/>
    </row>
    <row r="30" spans="1:9" ht="18.75" customHeight="1" x14ac:dyDescent="0.15">
      <c r="A30" s="15"/>
      <c r="B30" s="220"/>
      <c r="C30" s="221"/>
      <c r="D30" s="221"/>
      <c r="E30" s="221"/>
      <c r="F30" s="221"/>
      <c r="G30" s="221"/>
      <c r="H30" s="221"/>
      <c r="I30" s="222"/>
    </row>
    <row r="31" spans="1:9" ht="18.75" customHeight="1" x14ac:dyDescent="0.15">
      <c r="A31" s="15"/>
      <c r="B31" s="220"/>
      <c r="C31" s="221"/>
      <c r="D31" s="221"/>
      <c r="E31" s="221"/>
      <c r="F31" s="221"/>
      <c r="G31" s="221"/>
      <c r="H31" s="221"/>
      <c r="I31" s="222"/>
    </row>
    <row r="32" spans="1:9" ht="18.75" customHeight="1" x14ac:dyDescent="0.15">
      <c r="A32" s="15"/>
      <c r="B32" s="223"/>
      <c r="C32" s="224"/>
      <c r="D32" s="224"/>
      <c r="E32" s="224"/>
      <c r="F32" s="224"/>
      <c r="G32" s="224"/>
      <c r="H32" s="224"/>
      <c r="I32" s="225"/>
    </row>
    <row r="33" spans="1:9" ht="7.5" customHeight="1" x14ac:dyDescent="0.15">
      <c r="A33" s="15"/>
      <c r="B33" s="15" t="s">
        <v>147</v>
      </c>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41" t="s">
        <v>160</v>
      </c>
      <c r="C35" s="242"/>
      <c r="D35" s="242"/>
      <c r="E35" s="242"/>
      <c r="F35" s="242"/>
      <c r="G35" s="242"/>
      <c r="H35" s="242"/>
      <c r="I35" s="243"/>
    </row>
    <row r="36" spans="1:9" ht="18.75" customHeight="1" x14ac:dyDescent="0.15">
      <c r="A36" s="15"/>
      <c r="B36" s="244"/>
      <c r="C36" s="245"/>
      <c r="D36" s="245"/>
      <c r="E36" s="245"/>
      <c r="F36" s="245"/>
      <c r="G36" s="245"/>
      <c r="H36" s="245"/>
      <c r="I36" s="246"/>
    </row>
    <row r="37" spans="1:9" ht="18.75" customHeight="1" x14ac:dyDescent="0.15">
      <c r="A37" s="15"/>
      <c r="B37" s="244"/>
      <c r="C37" s="245"/>
      <c r="D37" s="245"/>
      <c r="E37" s="245"/>
      <c r="F37" s="245"/>
      <c r="G37" s="245"/>
      <c r="H37" s="245"/>
      <c r="I37" s="246"/>
    </row>
    <row r="38" spans="1:9" ht="18.75" customHeight="1" x14ac:dyDescent="0.15">
      <c r="A38" s="15"/>
      <c r="B38" s="244"/>
      <c r="C38" s="245"/>
      <c r="D38" s="245"/>
      <c r="E38" s="245"/>
      <c r="F38" s="245"/>
      <c r="G38" s="245"/>
      <c r="H38" s="245"/>
      <c r="I38" s="246"/>
    </row>
    <row r="39" spans="1:9" ht="18.75" customHeight="1" x14ac:dyDescent="0.15">
      <c r="A39" s="15"/>
      <c r="B39" s="244"/>
      <c r="C39" s="245"/>
      <c r="D39" s="245"/>
      <c r="E39" s="245"/>
      <c r="F39" s="245"/>
      <c r="G39" s="245"/>
      <c r="H39" s="245"/>
      <c r="I39" s="246"/>
    </row>
    <row r="40" spans="1:9" ht="18.75" customHeight="1" x14ac:dyDescent="0.15">
      <c r="A40" s="15"/>
      <c r="B40" s="244"/>
      <c r="C40" s="245"/>
      <c r="D40" s="245"/>
      <c r="E40" s="245"/>
      <c r="F40" s="245"/>
      <c r="G40" s="245"/>
      <c r="H40" s="245"/>
      <c r="I40" s="246"/>
    </row>
    <row r="41" spans="1:9" ht="18.75" customHeight="1" x14ac:dyDescent="0.15">
      <c r="A41" s="15"/>
      <c r="B41" s="244"/>
      <c r="C41" s="245"/>
      <c r="D41" s="245"/>
      <c r="E41" s="245"/>
      <c r="F41" s="245"/>
      <c r="G41" s="245"/>
      <c r="H41" s="245"/>
      <c r="I41" s="246"/>
    </row>
    <row r="42" spans="1:9" ht="18.75" customHeight="1" x14ac:dyDescent="0.15">
      <c r="A42" s="15"/>
      <c r="B42" s="244"/>
      <c r="C42" s="245"/>
      <c r="D42" s="245"/>
      <c r="E42" s="245"/>
      <c r="F42" s="245"/>
      <c r="G42" s="245"/>
      <c r="H42" s="245"/>
      <c r="I42" s="246"/>
    </row>
    <row r="43" spans="1:9" ht="18.75" customHeight="1" x14ac:dyDescent="0.15">
      <c r="A43" s="15"/>
      <c r="B43" s="244"/>
      <c r="C43" s="245"/>
      <c r="D43" s="245"/>
      <c r="E43" s="245"/>
      <c r="F43" s="245"/>
      <c r="G43" s="245"/>
      <c r="H43" s="245"/>
      <c r="I43" s="246"/>
    </row>
    <row r="44" spans="1:9" ht="18.75" customHeight="1" x14ac:dyDescent="0.15">
      <c r="A44" s="15"/>
      <c r="B44" s="244"/>
      <c r="C44" s="245"/>
      <c r="D44" s="245"/>
      <c r="E44" s="245"/>
      <c r="F44" s="245"/>
      <c r="G44" s="245"/>
      <c r="H44" s="245"/>
      <c r="I44" s="246"/>
    </row>
    <row r="45" spans="1:9" ht="18.75" customHeight="1" x14ac:dyDescent="0.15">
      <c r="A45" s="15"/>
      <c r="B45" s="244"/>
      <c r="C45" s="245"/>
      <c r="D45" s="245"/>
      <c r="E45" s="245"/>
      <c r="F45" s="245"/>
      <c r="G45" s="245"/>
      <c r="H45" s="245"/>
      <c r="I45" s="246"/>
    </row>
    <row r="46" spans="1:9" ht="18.75" customHeight="1" x14ac:dyDescent="0.15">
      <c r="A46" s="15"/>
      <c r="B46" s="247"/>
      <c r="C46" s="248"/>
      <c r="D46" s="248"/>
      <c r="E46" s="248"/>
      <c r="F46" s="248"/>
      <c r="G46" s="248"/>
      <c r="H46" s="248"/>
      <c r="I46" s="249"/>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0" t="s">
        <v>89</v>
      </c>
      <c r="C49" s="206">
        <f>'様式２ 履修者等数の実績'!AQ32</f>
        <v>0.20583333333333334</v>
      </c>
      <c r="D49" s="206"/>
      <c r="E49" s="40" t="s">
        <v>66</v>
      </c>
      <c r="F49" s="206">
        <v>0.4</v>
      </c>
      <c r="G49" s="206"/>
      <c r="H49" s="40" t="s">
        <v>67</v>
      </c>
      <c r="I49" s="41">
        <v>0.6</v>
      </c>
      <c r="J49" s="1"/>
      <c r="M49" s="1"/>
      <c r="N49" s="42"/>
    </row>
    <row r="50" spans="1:15" s="3" customFormat="1" ht="18.75" customHeight="1" x14ac:dyDescent="0.15">
      <c r="B50" s="43" t="s">
        <v>68</v>
      </c>
      <c r="C50" s="207">
        <v>0.8</v>
      </c>
      <c r="D50" s="207"/>
      <c r="E50" s="43" t="s">
        <v>90</v>
      </c>
      <c r="F50" s="207">
        <v>1</v>
      </c>
      <c r="G50" s="207"/>
      <c r="H50" s="43" t="s">
        <v>69</v>
      </c>
      <c r="I50" s="44">
        <f>'様式２ 履修者等数の実績'!E32</f>
        <v>1200</v>
      </c>
      <c r="J50" s="1"/>
      <c r="M50" s="1"/>
      <c r="N50" s="42"/>
    </row>
    <row r="51" spans="1:15" ht="18.75" customHeight="1" x14ac:dyDescent="0.15">
      <c r="A51" s="1"/>
      <c r="B51" s="250" t="s">
        <v>70</v>
      </c>
      <c r="C51" s="251"/>
      <c r="D51" s="251"/>
      <c r="E51" s="251"/>
      <c r="F51" s="251"/>
      <c r="G51" s="251"/>
      <c r="H51" s="251"/>
      <c r="I51" s="252"/>
      <c r="N51" s="42"/>
      <c r="O51" s="3"/>
    </row>
    <row r="52" spans="1:15" ht="18.75" customHeight="1" x14ac:dyDescent="0.15">
      <c r="A52" s="1"/>
      <c r="B52" s="208" t="s">
        <v>153</v>
      </c>
      <c r="C52" s="209"/>
      <c r="D52" s="209"/>
      <c r="E52" s="209"/>
      <c r="F52" s="209"/>
      <c r="G52" s="209"/>
      <c r="H52" s="209"/>
      <c r="I52" s="210"/>
      <c r="N52" s="42"/>
      <c r="O52" s="3"/>
    </row>
    <row r="53" spans="1:15" ht="18.75" customHeight="1" x14ac:dyDescent="0.15">
      <c r="A53" s="1"/>
      <c r="B53" s="211"/>
      <c r="C53" s="212"/>
      <c r="D53" s="212"/>
      <c r="E53" s="212"/>
      <c r="F53" s="212"/>
      <c r="G53" s="212"/>
      <c r="H53" s="212"/>
      <c r="I53" s="213"/>
      <c r="N53" s="42"/>
      <c r="O53" s="3"/>
    </row>
    <row r="54" spans="1:15" ht="18.75" customHeight="1" x14ac:dyDescent="0.15">
      <c r="A54" s="1"/>
      <c r="B54" s="211"/>
      <c r="C54" s="212"/>
      <c r="D54" s="212"/>
      <c r="E54" s="212"/>
      <c r="F54" s="212"/>
      <c r="G54" s="212"/>
      <c r="H54" s="212"/>
      <c r="I54" s="213"/>
    </row>
    <row r="55" spans="1:15" ht="18.75" customHeight="1" x14ac:dyDescent="0.15">
      <c r="A55" s="1"/>
      <c r="B55" s="211"/>
      <c r="C55" s="212"/>
      <c r="D55" s="212"/>
      <c r="E55" s="212"/>
      <c r="F55" s="212"/>
      <c r="G55" s="212"/>
      <c r="H55" s="212"/>
      <c r="I55" s="213"/>
    </row>
    <row r="56" spans="1:15" ht="18.75" customHeight="1" x14ac:dyDescent="0.15">
      <c r="A56" s="1"/>
      <c r="B56" s="211"/>
      <c r="C56" s="212"/>
      <c r="D56" s="212"/>
      <c r="E56" s="212"/>
      <c r="F56" s="212"/>
      <c r="G56" s="212"/>
      <c r="H56" s="212"/>
      <c r="I56" s="213"/>
    </row>
    <row r="57" spans="1:15" ht="18.75" customHeight="1" x14ac:dyDescent="0.15">
      <c r="A57" s="1"/>
      <c r="B57" s="211"/>
      <c r="C57" s="212"/>
      <c r="D57" s="212"/>
      <c r="E57" s="212"/>
      <c r="F57" s="212"/>
      <c r="G57" s="212"/>
      <c r="H57" s="212"/>
      <c r="I57" s="213"/>
    </row>
    <row r="58" spans="1:15" ht="18.75" customHeight="1" x14ac:dyDescent="0.15">
      <c r="A58" s="1"/>
      <c r="B58" s="211"/>
      <c r="C58" s="212"/>
      <c r="D58" s="212"/>
      <c r="E58" s="212"/>
      <c r="F58" s="212"/>
      <c r="G58" s="212"/>
      <c r="H58" s="212"/>
      <c r="I58" s="213"/>
    </row>
    <row r="59" spans="1:15" ht="18.75" customHeight="1" x14ac:dyDescent="0.15">
      <c r="A59" s="1"/>
      <c r="B59" s="211"/>
      <c r="C59" s="212"/>
      <c r="D59" s="212"/>
      <c r="E59" s="212"/>
      <c r="F59" s="212"/>
      <c r="G59" s="212"/>
      <c r="H59" s="212"/>
      <c r="I59" s="213"/>
    </row>
    <row r="60" spans="1:15" ht="18.75" customHeight="1" x14ac:dyDescent="0.15">
      <c r="A60" s="1"/>
      <c r="B60" s="211"/>
      <c r="C60" s="212"/>
      <c r="D60" s="212"/>
      <c r="E60" s="212"/>
      <c r="F60" s="212"/>
      <c r="G60" s="212"/>
      <c r="H60" s="212"/>
      <c r="I60" s="213"/>
    </row>
    <row r="61" spans="1:15" ht="18.75" customHeight="1" x14ac:dyDescent="0.15">
      <c r="A61" s="1"/>
      <c r="B61" s="211"/>
      <c r="C61" s="212"/>
      <c r="D61" s="212"/>
      <c r="E61" s="212"/>
      <c r="F61" s="212"/>
      <c r="G61" s="212"/>
      <c r="H61" s="212"/>
      <c r="I61" s="213"/>
    </row>
    <row r="62" spans="1:15" ht="18.75" customHeight="1" x14ac:dyDescent="0.15">
      <c r="A62" s="1"/>
      <c r="B62" s="211"/>
      <c r="C62" s="212"/>
      <c r="D62" s="212"/>
      <c r="E62" s="212"/>
      <c r="F62" s="212"/>
      <c r="G62" s="212"/>
      <c r="H62" s="212"/>
      <c r="I62" s="213"/>
    </row>
    <row r="63" spans="1:15" ht="18.75" customHeight="1" x14ac:dyDescent="0.15">
      <c r="A63" s="1"/>
      <c r="B63" s="214"/>
      <c r="C63" s="215"/>
      <c r="D63" s="215"/>
      <c r="E63" s="215"/>
      <c r="F63" s="215"/>
      <c r="G63" s="215"/>
      <c r="H63" s="215"/>
      <c r="I63" s="216"/>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0" t="s">
        <v>152</v>
      </c>
      <c r="C66" s="191"/>
      <c r="D66" s="191"/>
      <c r="E66" s="191"/>
      <c r="F66" s="191"/>
      <c r="G66" s="191"/>
      <c r="H66" s="191"/>
      <c r="I66" s="192"/>
    </row>
    <row r="67" spans="1:9" ht="18.75" customHeight="1" x14ac:dyDescent="0.15">
      <c r="A67" s="4"/>
      <c r="B67" s="193"/>
      <c r="C67" s="194"/>
      <c r="D67" s="194"/>
      <c r="E67" s="194"/>
      <c r="F67" s="194"/>
      <c r="G67" s="194"/>
      <c r="H67" s="194"/>
      <c r="I67" s="195"/>
    </row>
    <row r="68" spans="1:9" ht="18.75" customHeight="1" x14ac:dyDescent="0.15">
      <c r="A68" s="4"/>
      <c r="B68" s="193"/>
      <c r="C68" s="194"/>
      <c r="D68" s="194"/>
      <c r="E68" s="194"/>
      <c r="F68" s="194"/>
      <c r="G68" s="194"/>
      <c r="H68" s="194"/>
      <c r="I68" s="195"/>
    </row>
    <row r="69" spans="1:9" ht="18.75" customHeight="1" x14ac:dyDescent="0.15">
      <c r="A69" s="4"/>
      <c r="B69" s="193"/>
      <c r="C69" s="194"/>
      <c r="D69" s="194"/>
      <c r="E69" s="194"/>
      <c r="F69" s="194"/>
      <c r="G69" s="194"/>
      <c r="H69" s="194"/>
      <c r="I69" s="195"/>
    </row>
    <row r="70" spans="1:9" ht="18.75" customHeight="1" x14ac:dyDescent="0.15">
      <c r="A70" s="4"/>
      <c r="B70" s="193"/>
      <c r="C70" s="194"/>
      <c r="D70" s="194"/>
      <c r="E70" s="194"/>
      <c r="F70" s="194"/>
      <c r="G70" s="194"/>
      <c r="H70" s="194"/>
      <c r="I70" s="195"/>
    </row>
    <row r="71" spans="1:9" ht="18.75" customHeight="1" x14ac:dyDescent="0.15">
      <c r="A71" s="4"/>
      <c r="B71" s="193"/>
      <c r="C71" s="194"/>
      <c r="D71" s="194"/>
      <c r="E71" s="194"/>
      <c r="F71" s="194"/>
      <c r="G71" s="194"/>
      <c r="H71" s="194"/>
      <c r="I71" s="195"/>
    </row>
    <row r="72" spans="1:9" ht="18.75" customHeight="1" x14ac:dyDescent="0.15">
      <c r="A72" s="4"/>
      <c r="B72" s="193"/>
      <c r="C72" s="194"/>
      <c r="D72" s="194"/>
      <c r="E72" s="194"/>
      <c r="F72" s="194"/>
      <c r="G72" s="194"/>
      <c r="H72" s="194"/>
      <c r="I72" s="195"/>
    </row>
    <row r="73" spans="1:9" ht="18.75" customHeight="1" x14ac:dyDescent="0.15">
      <c r="A73" s="4"/>
      <c r="B73" s="193"/>
      <c r="C73" s="194"/>
      <c r="D73" s="194"/>
      <c r="E73" s="194"/>
      <c r="F73" s="194"/>
      <c r="G73" s="194"/>
      <c r="H73" s="194"/>
      <c r="I73" s="195"/>
    </row>
    <row r="74" spans="1:9" ht="18.75" customHeight="1" x14ac:dyDescent="0.15">
      <c r="A74" s="4"/>
      <c r="B74" s="193"/>
      <c r="C74" s="194"/>
      <c r="D74" s="194"/>
      <c r="E74" s="194"/>
      <c r="F74" s="194"/>
      <c r="G74" s="194"/>
      <c r="H74" s="194"/>
      <c r="I74" s="195"/>
    </row>
    <row r="75" spans="1:9" ht="18.75" customHeight="1" x14ac:dyDescent="0.15">
      <c r="A75" s="4"/>
      <c r="B75" s="193"/>
      <c r="C75" s="194"/>
      <c r="D75" s="194"/>
      <c r="E75" s="194"/>
      <c r="F75" s="194"/>
      <c r="G75" s="194"/>
      <c r="H75" s="194"/>
      <c r="I75" s="195"/>
    </row>
    <row r="76" spans="1:9" ht="18.75" customHeight="1" x14ac:dyDescent="0.15">
      <c r="A76" s="4"/>
      <c r="B76" s="193"/>
      <c r="C76" s="194"/>
      <c r="D76" s="194"/>
      <c r="E76" s="194"/>
      <c r="F76" s="194"/>
      <c r="G76" s="194"/>
      <c r="H76" s="194"/>
      <c r="I76" s="195"/>
    </row>
    <row r="77" spans="1:9" ht="18.75" customHeight="1" x14ac:dyDescent="0.15">
      <c r="A77" s="4"/>
      <c r="B77" s="196"/>
      <c r="C77" s="197"/>
      <c r="D77" s="197"/>
      <c r="E77" s="197"/>
      <c r="F77" s="197"/>
      <c r="G77" s="197"/>
      <c r="H77" s="197"/>
      <c r="I77" s="198"/>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0" t="s">
        <v>151</v>
      </c>
      <c r="C80" s="191"/>
      <c r="D80" s="191"/>
      <c r="E80" s="191"/>
      <c r="F80" s="191"/>
      <c r="G80" s="191"/>
      <c r="H80" s="191"/>
      <c r="I80" s="199"/>
    </row>
    <row r="81" spans="1:9" ht="18.75" customHeight="1" x14ac:dyDescent="0.15">
      <c r="A81" s="1"/>
      <c r="B81" s="200"/>
      <c r="C81" s="201"/>
      <c r="D81" s="201"/>
      <c r="E81" s="201"/>
      <c r="F81" s="201"/>
      <c r="G81" s="201"/>
      <c r="H81" s="201"/>
      <c r="I81" s="202"/>
    </row>
    <row r="82" spans="1:9" ht="18.75" customHeight="1" x14ac:dyDescent="0.15">
      <c r="A82" s="1"/>
      <c r="B82" s="200"/>
      <c r="C82" s="201"/>
      <c r="D82" s="201"/>
      <c r="E82" s="201"/>
      <c r="F82" s="201"/>
      <c r="G82" s="201"/>
      <c r="H82" s="201"/>
      <c r="I82" s="202"/>
    </row>
    <row r="83" spans="1:9" ht="18.75" customHeight="1" x14ac:dyDescent="0.15">
      <c r="A83" s="1"/>
      <c r="B83" s="200"/>
      <c r="C83" s="201"/>
      <c r="D83" s="201"/>
      <c r="E83" s="201"/>
      <c r="F83" s="201"/>
      <c r="G83" s="201"/>
      <c r="H83" s="201"/>
      <c r="I83" s="202"/>
    </row>
    <row r="84" spans="1:9" ht="18.75" customHeight="1" x14ac:dyDescent="0.15">
      <c r="A84" s="1"/>
      <c r="B84" s="200"/>
      <c r="C84" s="201"/>
      <c r="D84" s="201"/>
      <c r="E84" s="201"/>
      <c r="F84" s="201"/>
      <c r="G84" s="201"/>
      <c r="H84" s="201"/>
      <c r="I84" s="202"/>
    </row>
    <row r="85" spans="1:9" ht="18.75" customHeight="1" x14ac:dyDescent="0.15">
      <c r="A85" s="1"/>
      <c r="B85" s="200"/>
      <c r="C85" s="201"/>
      <c r="D85" s="201"/>
      <c r="E85" s="201"/>
      <c r="F85" s="201"/>
      <c r="G85" s="201"/>
      <c r="H85" s="201"/>
      <c r="I85" s="202"/>
    </row>
    <row r="86" spans="1:9" ht="18.75" customHeight="1" x14ac:dyDescent="0.15">
      <c r="A86" s="1"/>
      <c r="B86" s="200"/>
      <c r="C86" s="201"/>
      <c r="D86" s="201"/>
      <c r="E86" s="201"/>
      <c r="F86" s="201"/>
      <c r="G86" s="201"/>
      <c r="H86" s="201"/>
      <c r="I86" s="202"/>
    </row>
    <row r="87" spans="1:9" ht="18.75" customHeight="1" x14ac:dyDescent="0.15">
      <c r="A87" s="1"/>
      <c r="B87" s="200"/>
      <c r="C87" s="201"/>
      <c r="D87" s="201"/>
      <c r="E87" s="201"/>
      <c r="F87" s="201"/>
      <c r="G87" s="201"/>
      <c r="H87" s="201"/>
      <c r="I87" s="202"/>
    </row>
    <row r="88" spans="1:9" ht="18.75" customHeight="1" x14ac:dyDescent="0.15">
      <c r="A88" s="1"/>
      <c r="B88" s="200"/>
      <c r="C88" s="201"/>
      <c r="D88" s="201"/>
      <c r="E88" s="201"/>
      <c r="F88" s="201"/>
      <c r="G88" s="201"/>
      <c r="H88" s="201"/>
      <c r="I88" s="202"/>
    </row>
    <row r="89" spans="1:9" ht="18.75" customHeight="1" x14ac:dyDescent="0.15">
      <c r="A89" s="1"/>
      <c r="B89" s="200"/>
      <c r="C89" s="201"/>
      <c r="D89" s="201"/>
      <c r="E89" s="201"/>
      <c r="F89" s="201"/>
      <c r="G89" s="201"/>
      <c r="H89" s="201"/>
      <c r="I89" s="202"/>
    </row>
    <row r="90" spans="1:9" ht="18.75" customHeight="1" x14ac:dyDescent="0.15">
      <c r="A90" s="4"/>
      <c r="B90" s="200"/>
      <c r="C90" s="201"/>
      <c r="D90" s="201"/>
      <c r="E90" s="201"/>
      <c r="F90" s="201"/>
      <c r="G90" s="201"/>
      <c r="H90" s="201"/>
      <c r="I90" s="202"/>
    </row>
    <row r="91" spans="1:9" ht="18.75" customHeight="1" x14ac:dyDescent="0.15">
      <c r="A91" s="4"/>
      <c r="B91" s="203"/>
      <c r="C91" s="204"/>
      <c r="D91" s="204"/>
      <c r="E91" s="204"/>
      <c r="F91" s="204"/>
      <c r="G91" s="204"/>
      <c r="H91" s="204"/>
      <c r="I91" s="205"/>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7" t="s">
        <v>150</v>
      </c>
      <c r="C94" s="218"/>
      <c r="D94" s="218"/>
      <c r="E94" s="218"/>
      <c r="F94" s="218"/>
      <c r="G94" s="218"/>
      <c r="H94" s="218"/>
      <c r="I94" s="219"/>
    </row>
    <row r="95" spans="1:9" ht="18.75" customHeight="1" x14ac:dyDescent="0.15">
      <c r="A95" s="1"/>
      <c r="B95" s="220"/>
      <c r="C95" s="221"/>
      <c r="D95" s="221"/>
      <c r="E95" s="221"/>
      <c r="F95" s="221"/>
      <c r="G95" s="221"/>
      <c r="H95" s="221"/>
      <c r="I95" s="222"/>
    </row>
    <row r="96" spans="1:9" ht="18.75" customHeight="1" x14ac:dyDescent="0.15">
      <c r="A96" s="1"/>
      <c r="B96" s="220"/>
      <c r="C96" s="221"/>
      <c r="D96" s="221"/>
      <c r="E96" s="221"/>
      <c r="F96" s="221"/>
      <c r="G96" s="221"/>
      <c r="H96" s="221"/>
      <c r="I96" s="222"/>
    </row>
    <row r="97" spans="1:9" ht="18.75" customHeight="1" x14ac:dyDescent="0.15">
      <c r="A97" s="1"/>
      <c r="B97" s="220"/>
      <c r="C97" s="221"/>
      <c r="D97" s="221"/>
      <c r="E97" s="221"/>
      <c r="F97" s="221"/>
      <c r="G97" s="221"/>
      <c r="H97" s="221"/>
      <c r="I97" s="222"/>
    </row>
    <row r="98" spans="1:9" ht="18.75" customHeight="1" x14ac:dyDescent="0.15">
      <c r="A98" s="1"/>
      <c r="B98" s="220"/>
      <c r="C98" s="221"/>
      <c r="D98" s="221"/>
      <c r="E98" s="221"/>
      <c r="F98" s="221"/>
      <c r="G98" s="221"/>
      <c r="H98" s="221"/>
      <c r="I98" s="222"/>
    </row>
    <row r="99" spans="1:9" ht="18.75" customHeight="1" x14ac:dyDescent="0.15">
      <c r="A99" s="1"/>
      <c r="B99" s="220"/>
      <c r="C99" s="221"/>
      <c r="D99" s="221"/>
      <c r="E99" s="221"/>
      <c r="F99" s="221"/>
      <c r="G99" s="221"/>
      <c r="H99" s="221"/>
      <c r="I99" s="222"/>
    </row>
    <row r="100" spans="1:9" ht="18.75" customHeight="1" x14ac:dyDescent="0.15">
      <c r="A100" s="1"/>
      <c r="B100" s="220"/>
      <c r="C100" s="221"/>
      <c r="D100" s="221"/>
      <c r="E100" s="221"/>
      <c r="F100" s="221"/>
      <c r="G100" s="221"/>
      <c r="H100" s="221"/>
      <c r="I100" s="222"/>
    </row>
    <row r="101" spans="1:9" ht="18.75" customHeight="1" x14ac:dyDescent="0.15">
      <c r="A101" s="1"/>
      <c r="B101" s="220"/>
      <c r="C101" s="221"/>
      <c r="D101" s="221"/>
      <c r="E101" s="221"/>
      <c r="F101" s="221"/>
      <c r="G101" s="221"/>
      <c r="H101" s="221"/>
      <c r="I101" s="222"/>
    </row>
    <row r="102" spans="1:9" ht="18.75" customHeight="1" x14ac:dyDescent="0.15">
      <c r="A102" s="1"/>
      <c r="B102" s="220"/>
      <c r="C102" s="221"/>
      <c r="D102" s="221"/>
      <c r="E102" s="221"/>
      <c r="F102" s="221"/>
      <c r="G102" s="221"/>
      <c r="H102" s="221"/>
      <c r="I102" s="222"/>
    </row>
    <row r="103" spans="1:9" ht="18.75" customHeight="1" x14ac:dyDescent="0.15">
      <c r="A103" s="1"/>
      <c r="B103" s="220"/>
      <c r="C103" s="221"/>
      <c r="D103" s="221"/>
      <c r="E103" s="221"/>
      <c r="F103" s="221"/>
      <c r="G103" s="221"/>
      <c r="H103" s="221"/>
      <c r="I103" s="222"/>
    </row>
    <row r="104" spans="1:9" ht="18.75" customHeight="1" x14ac:dyDescent="0.15">
      <c r="A104" s="1"/>
      <c r="B104" s="220"/>
      <c r="C104" s="221"/>
      <c r="D104" s="221"/>
      <c r="E104" s="221"/>
      <c r="F104" s="221"/>
      <c r="G104" s="221"/>
      <c r="H104" s="221"/>
      <c r="I104" s="222"/>
    </row>
    <row r="105" spans="1:9" ht="18.75" customHeight="1" x14ac:dyDescent="0.15">
      <c r="A105" s="4"/>
      <c r="B105" s="223"/>
      <c r="C105" s="224"/>
      <c r="D105" s="224"/>
      <c r="E105" s="224"/>
      <c r="F105" s="224"/>
      <c r="G105" s="224"/>
      <c r="H105" s="224"/>
      <c r="I105" s="225"/>
    </row>
    <row r="106" spans="1:9" ht="7.5" customHeight="1" x14ac:dyDescent="0.15">
      <c r="A106" s="4"/>
      <c r="B106" s="4"/>
      <c r="C106" s="4"/>
      <c r="D106" s="4"/>
      <c r="E106" s="4"/>
      <c r="F106" s="4"/>
      <c r="G106" s="4"/>
      <c r="H106" s="4"/>
      <c r="I106" s="4"/>
    </row>
    <row r="107" spans="1:9" ht="18.75" customHeight="1" x14ac:dyDescent="0.15">
      <c r="A107" s="1" t="s">
        <v>30</v>
      </c>
      <c r="B107" s="226" t="s">
        <v>46</v>
      </c>
      <c r="C107" s="226"/>
      <c r="D107" s="226"/>
      <c r="E107" s="226"/>
      <c r="F107" s="226"/>
      <c r="G107" s="226"/>
      <c r="H107" s="226"/>
      <c r="I107" s="226"/>
    </row>
    <row r="108" spans="1:9" ht="18.75" customHeight="1" x14ac:dyDescent="0.15">
      <c r="A108" s="4"/>
      <c r="B108" s="227" t="s">
        <v>149</v>
      </c>
      <c r="C108" s="228"/>
      <c r="D108" s="228"/>
      <c r="E108" s="228"/>
      <c r="F108" s="228"/>
      <c r="G108" s="228"/>
      <c r="H108" s="228"/>
      <c r="I108" s="229"/>
    </row>
    <row r="109" spans="1:9" ht="18.75" customHeight="1" x14ac:dyDescent="0.15">
      <c r="A109" s="4"/>
      <c r="B109" s="230"/>
      <c r="C109" s="231"/>
      <c r="D109" s="231"/>
      <c r="E109" s="231"/>
      <c r="F109" s="231"/>
      <c r="G109" s="231"/>
      <c r="H109" s="231"/>
      <c r="I109" s="232"/>
    </row>
    <row r="110" spans="1:9" ht="18.75" customHeight="1" x14ac:dyDescent="0.15">
      <c r="A110" s="4"/>
      <c r="B110" s="230"/>
      <c r="C110" s="231"/>
      <c r="D110" s="231"/>
      <c r="E110" s="231"/>
      <c r="F110" s="231"/>
      <c r="G110" s="231"/>
      <c r="H110" s="231"/>
      <c r="I110" s="232"/>
    </row>
    <row r="111" spans="1:9" ht="18.75" customHeight="1" x14ac:dyDescent="0.15">
      <c r="A111" s="4"/>
      <c r="B111" s="230"/>
      <c r="C111" s="231"/>
      <c r="D111" s="231"/>
      <c r="E111" s="231"/>
      <c r="F111" s="231"/>
      <c r="G111" s="231"/>
      <c r="H111" s="231"/>
      <c r="I111" s="232"/>
    </row>
    <row r="112" spans="1:9" ht="18.75" customHeight="1" x14ac:dyDescent="0.15">
      <c r="A112" s="4"/>
      <c r="B112" s="230"/>
      <c r="C112" s="231"/>
      <c r="D112" s="231"/>
      <c r="E112" s="231"/>
      <c r="F112" s="231"/>
      <c r="G112" s="231"/>
      <c r="H112" s="231"/>
      <c r="I112" s="232"/>
    </row>
    <row r="113" spans="1:9" ht="18.75" customHeight="1" x14ac:dyDescent="0.15">
      <c r="A113" s="4"/>
      <c r="B113" s="230"/>
      <c r="C113" s="231"/>
      <c r="D113" s="231"/>
      <c r="E113" s="231"/>
      <c r="F113" s="231"/>
      <c r="G113" s="231"/>
      <c r="H113" s="231"/>
      <c r="I113" s="232"/>
    </row>
    <row r="114" spans="1:9" ht="18.75" customHeight="1" x14ac:dyDescent="0.15">
      <c r="A114" s="4"/>
      <c r="B114" s="230"/>
      <c r="C114" s="231"/>
      <c r="D114" s="231"/>
      <c r="E114" s="231"/>
      <c r="F114" s="231"/>
      <c r="G114" s="231"/>
      <c r="H114" s="231"/>
      <c r="I114" s="232"/>
    </row>
    <row r="115" spans="1:9" ht="18.75" customHeight="1" x14ac:dyDescent="0.15">
      <c r="A115" s="4"/>
      <c r="B115" s="230"/>
      <c r="C115" s="231"/>
      <c r="D115" s="231"/>
      <c r="E115" s="231"/>
      <c r="F115" s="231"/>
      <c r="G115" s="231"/>
      <c r="H115" s="231"/>
      <c r="I115" s="232"/>
    </row>
    <row r="116" spans="1:9" ht="18.75" customHeight="1" x14ac:dyDescent="0.15">
      <c r="A116" s="4"/>
      <c r="B116" s="230"/>
      <c r="C116" s="231"/>
      <c r="D116" s="231"/>
      <c r="E116" s="231"/>
      <c r="F116" s="231"/>
      <c r="G116" s="231"/>
      <c r="H116" s="231"/>
      <c r="I116" s="232"/>
    </row>
    <row r="117" spans="1:9" ht="18.75" customHeight="1" x14ac:dyDescent="0.15">
      <c r="A117" s="4"/>
      <c r="B117" s="230"/>
      <c r="C117" s="231"/>
      <c r="D117" s="231"/>
      <c r="E117" s="231"/>
      <c r="F117" s="231"/>
      <c r="G117" s="231"/>
      <c r="H117" s="231"/>
      <c r="I117" s="232"/>
    </row>
    <row r="118" spans="1:9" ht="18.75" customHeight="1" x14ac:dyDescent="0.15">
      <c r="A118" s="4"/>
      <c r="B118" s="230"/>
      <c r="C118" s="231"/>
      <c r="D118" s="231"/>
      <c r="E118" s="231"/>
      <c r="F118" s="231"/>
      <c r="G118" s="231"/>
      <c r="H118" s="231"/>
      <c r="I118" s="232"/>
    </row>
    <row r="119" spans="1:9" ht="18.75" customHeight="1" x14ac:dyDescent="0.15">
      <c r="A119" s="4"/>
      <c r="B119" s="233"/>
      <c r="C119" s="234"/>
      <c r="D119" s="234"/>
      <c r="E119" s="234"/>
      <c r="F119" s="234"/>
      <c r="G119" s="234"/>
      <c r="H119" s="234"/>
      <c r="I119" s="235"/>
    </row>
    <row r="120" spans="1:9" ht="7.5" customHeight="1" x14ac:dyDescent="0.15">
      <c r="A120" s="4"/>
      <c r="B120" s="45"/>
      <c r="C120" s="45"/>
      <c r="D120" s="45"/>
      <c r="E120" s="45"/>
      <c r="F120" s="45"/>
      <c r="G120" s="45"/>
      <c r="H120" s="45"/>
      <c r="I120" s="45"/>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U91" sqref="U9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2" t="s">
        <v>105</v>
      </c>
    </row>
    <row r="2" spans="1:9" ht="18.75" customHeight="1" x14ac:dyDescent="0.15">
      <c r="H2" s="32" t="s">
        <v>109</v>
      </c>
      <c r="I2" s="31" t="str">
        <f>'様式１　プログラムを構成する授業科目'!C2</f>
        <v>神戸市立工業高等専門学校</v>
      </c>
    </row>
    <row r="3" spans="1:9" ht="18.75" customHeight="1" x14ac:dyDescent="0.15">
      <c r="A3" s="113" t="s">
        <v>28</v>
      </c>
      <c r="B3" s="113"/>
      <c r="C3" s="113"/>
      <c r="D3" s="113"/>
      <c r="E3" s="113"/>
      <c r="F3" s="113"/>
      <c r="G3" s="113"/>
      <c r="H3" s="113"/>
      <c r="I3" s="113"/>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76" t="s">
        <v>146</v>
      </c>
      <c r="C6" s="277"/>
      <c r="D6" s="277"/>
      <c r="E6" s="277"/>
      <c r="F6" s="277"/>
      <c r="G6" s="277"/>
      <c r="H6" s="278"/>
      <c r="I6" s="3"/>
    </row>
    <row r="7" spans="1:9" ht="9" customHeight="1" x14ac:dyDescent="0.15">
      <c r="A7" s="5"/>
      <c r="B7" s="10"/>
      <c r="C7" s="10"/>
      <c r="D7" s="10"/>
      <c r="E7" s="10"/>
      <c r="F7" s="10"/>
      <c r="G7" s="10"/>
      <c r="H7" s="10"/>
      <c r="I7" s="3"/>
    </row>
    <row r="8" spans="1:9" ht="18.75" customHeight="1" x14ac:dyDescent="0.15">
      <c r="A8" s="5"/>
      <c r="B8" s="3"/>
      <c r="C8" s="3"/>
      <c r="D8" s="32" t="s">
        <v>43</v>
      </c>
      <c r="E8" s="33" t="s">
        <v>143</v>
      </c>
      <c r="F8" s="3"/>
      <c r="G8" s="32" t="s">
        <v>10</v>
      </c>
      <c r="H8" s="86" t="s">
        <v>144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9" t="s">
        <v>24</v>
      </c>
      <c r="C11" s="100"/>
      <c r="D11" s="101"/>
      <c r="E11" s="100" t="s">
        <v>26</v>
      </c>
      <c r="F11" s="100"/>
      <c r="G11" s="100"/>
      <c r="H11" s="100"/>
      <c r="I11" s="101"/>
    </row>
    <row r="12" spans="1:9" ht="26.25" customHeight="1" x14ac:dyDescent="0.15">
      <c r="B12" s="47" t="s">
        <v>14</v>
      </c>
      <c r="C12" s="54"/>
      <c r="D12" s="48"/>
      <c r="E12" s="55"/>
      <c r="F12" s="55"/>
      <c r="G12" s="55"/>
      <c r="H12" s="55"/>
      <c r="I12" s="48"/>
    </row>
    <row r="13" spans="1:9" ht="210.75" customHeight="1" x14ac:dyDescent="0.15">
      <c r="B13" s="49"/>
      <c r="C13" s="259" t="s">
        <v>15</v>
      </c>
      <c r="D13" s="260"/>
      <c r="E13" s="272" t="s">
        <v>154</v>
      </c>
      <c r="F13" s="261"/>
      <c r="G13" s="261"/>
      <c r="H13" s="261"/>
      <c r="I13" s="262"/>
    </row>
    <row r="14" spans="1:9" ht="210.75" customHeight="1" x14ac:dyDescent="0.15">
      <c r="B14" s="49"/>
      <c r="C14" s="274" t="s">
        <v>16</v>
      </c>
      <c r="D14" s="275"/>
      <c r="E14" s="272" t="s">
        <v>155</v>
      </c>
      <c r="F14" s="261"/>
      <c r="G14" s="261"/>
      <c r="H14" s="261"/>
      <c r="I14" s="262"/>
    </row>
    <row r="15" spans="1:9" ht="210.75" customHeight="1" x14ac:dyDescent="0.15">
      <c r="B15" s="49"/>
      <c r="C15" s="259" t="s">
        <v>17</v>
      </c>
      <c r="D15" s="260"/>
      <c r="E15" s="272" t="s">
        <v>156</v>
      </c>
      <c r="F15" s="261"/>
      <c r="G15" s="261"/>
      <c r="H15" s="261"/>
      <c r="I15" s="262"/>
    </row>
    <row r="16" spans="1:9" ht="210.75" customHeight="1" x14ac:dyDescent="0.15">
      <c r="B16" s="49"/>
      <c r="C16" s="259" t="s">
        <v>18</v>
      </c>
      <c r="D16" s="260"/>
      <c r="E16" s="272" t="s">
        <v>157</v>
      </c>
      <c r="F16" s="261"/>
      <c r="G16" s="261"/>
      <c r="H16" s="261"/>
      <c r="I16" s="262"/>
    </row>
    <row r="17" spans="2:9" ht="210.75" customHeight="1" x14ac:dyDescent="0.15">
      <c r="B17" s="50"/>
      <c r="C17" s="263" t="s">
        <v>19</v>
      </c>
      <c r="D17" s="264"/>
      <c r="E17" s="273" t="s">
        <v>161</v>
      </c>
      <c r="F17" s="265"/>
      <c r="G17" s="265"/>
      <c r="H17" s="265"/>
      <c r="I17" s="266"/>
    </row>
    <row r="18" spans="2:9" ht="24" customHeight="1" x14ac:dyDescent="0.15">
      <c r="B18" s="47" t="s">
        <v>20</v>
      </c>
      <c r="C18" s="51"/>
      <c r="D18" s="52"/>
      <c r="E18" s="53"/>
      <c r="F18" s="53"/>
      <c r="G18" s="53"/>
      <c r="H18" s="53"/>
      <c r="I18" s="56"/>
    </row>
    <row r="19" spans="2:9" ht="218.25" customHeight="1" x14ac:dyDescent="0.15">
      <c r="B19" s="49"/>
      <c r="C19" s="259" t="s">
        <v>21</v>
      </c>
      <c r="D19" s="260"/>
      <c r="E19" s="261" t="s">
        <v>158</v>
      </c>
      <c r="F19" s="261"/>
      <c r="G19" s="261"/>
      <c r="H19" s="261"/>
      <c r="I19" s="262"/>
    </row>
    <row r="20" spans="2:9" ht="218.25" customHeight="1" x14ac:dyDescent="0.15">
      <c r="B20" s="50"/>
      <c r="C20" s="263" t="s">
        <v>22</v>
      </c>
      <c r="D20" s="264"/>
      <c r="E20" s="265" t="s">
        <v>163</v>
      </c>
      <c r="F20" s="265"/>
      <c r="G20" s="265"/>
      <c r="H20" s="265"/>
      <c r="I20" s="266"/>
    </row>
    <row r="21" spans="2:9" ht="218.25" customHeight="1" x14ac:dyDescent="0.15">
      <c r="B21" s="267" t="s">
        <v>23</v>
      </c>
      <c r="C21" s="268"/>
      <c r="D21" s="269"/>
      <c r="E21" s="270" t="s">
        <v>164</v>
      </c>
      <c r="F21" s="270"/>
      <c r="G21" s="270"/>
      <c r="H21" s="270"/>
      <c r="I21" s="271"/>
    </row>
    <row r="22" spans="2:9" ht="218.25" customHeight="1" x14ac:dyDescent="0.15">
      <c r="B22" s="254" t="s">
        <v>38</v>
      </c>
      <c r="C22" s="255"/>
      <c r="D22" s="256"/>
      <c r="E22" s="257" t="s">
        <v>165</v>
      </c>
      <c r="F22" s="257"/>
      <c r="G22" s="257"/>
      <c r="H22" s="257"/>
      <c r="I22" s="25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2023-06-22T12:01:28Z</cp:lastPrinted>
  <dcterms:created xsi:type="dcterms:W3CDTF">2011-06-14T05:32:50Z</dcterms:created>
  <dcterms:modified xsi:type="dcterms:W3CDTF">2023-06-22T12:06:21Z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