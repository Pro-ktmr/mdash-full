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G:\共有ドライブ\情報教育研究室\2023\MDASH申請\MDASH提出書類まとめ-提出ver\"/>
    </mc:Choice>
  </mc:AlternateContent>
  <xr:revisionPtr revIDLastSave="0" documentId="13_ncr:1_{EB014AC5-79F9-469F-82A5-1ECE0691EC6C}" xr6:coauthVersionLast="47" xr6:coauthVersionMax="47" xr10:uidLastSave="{00000000-0000-0000-0000-000000000000}"/>
  <bookViews>
    <workbookView xWindow="-98" yWindow="-98" windowWidth="20715" windowHeight="1315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40" l="1"/>
  <c r="F23" i="40"/>
  <c r="I22" i="40"/>
  <c r="F22" i="40"/>
  <c r="I21" i="40"/>
  <c r="F21" i="40"/>
  <c r="I20" i="40"/>
  <c r="F20" i="40"/>
  <c r="E19" i="40"/>
  <c r="H2" i="41" l="1"/>
  <c r="I2" i="42"/>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G32" i="40"/>
  <c r="H32" i="40"/>
  <c r="AP13" i="40"/>
  <c r="AP14" i="40"/>
  <c r="AP15" i="40"/>
  <c r="AP16" i="40"/>
  <c r="AP17" i="40"/>
  <c r="AP18" i="40"/>
  <c r="AP19" i="40"/>
  <c r="AP20" i="40"/>
  <c r="AP21" i="40"/>
  <c r="AP22" i="40"/>
  <c r="AP23" i="40"/>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<sst xmlns="http://schemas.openxmlformats.org/spreadsheetml/2006/main" count="308" uniqueCount="180">
  <si>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</si>
  <si>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</si>
  <si>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</si>
  <si>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</si>
  <si>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</si>
  <si>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</si>
  <si>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</si>
  <si>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</si>
  <si>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</si>
  <si>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</si>
  <si>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</si>
  <si>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</si>
  <si>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</si>
  <si>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</si>
  <si>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</si>
  <si>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</si>
  <si>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</si>
  <si>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</si>
  <si>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</si>
  <si>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</si>
  <si>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</si>
  <si>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</si>
  <si>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</si>
  <si>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</si>
  <si>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</si>
  <si>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</si>
  <si>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</si>
  <si>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</si>
  <si>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</si>
  <si>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</si>
  <si>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</si>
  <si>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</si>
  <si>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</si>
  <si>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</si>
  <si>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</si>
  <si>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</si>
  <si>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</si>
  <si>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</si>
  <si>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</si>
  <si>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</si>
  <si>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</si>
  <si>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</si>
  <si>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</si>
  <si>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</si>
  <si>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</si>
  <si>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</si>
  <si>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</si>
  <si>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</si>
  <si>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</si>
  <si>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</si>
  <si>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</si>
  <si>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</si>
  <si>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</si>
  <si>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</si>
  <si>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</si>
  <si>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</si>
  <si>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</si>
  <si>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</si>
  <si>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</si>
  <si>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</si>
  <si>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</si>
  <si>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</si>
  <si>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</si>
  <si>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</si>
  <si>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</si>
  <si>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</si>
  <si>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</si>
  <si>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</si>
  <si>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</si>
  <si>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</si>
  <si>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</si>
  <si>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</si>
  <si>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</si>
  <si>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</si>
  <si>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</si>
  <si>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</si>
  <si>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</si>
  <si>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</si>
  <si>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</si>
  <si>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</si>
  <si>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</si>
  <si>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</si>
  <si>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</si>
  <si>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</si>
  <si>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</si>
  <si>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</si>
  <si>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</si>
  <si>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</si>
  <si>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</si>
  <si>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</si>
  <si>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</si>
  <si>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</si>
  <si>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</si>
  <si>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</si>
  <si>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</si>
  <si>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</si>
  <si>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</si>
  <si>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</si>
  <si>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</si>
  <si>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</si>
  <si>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</si>
  <si>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</si>
  <si>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</si>
  <si>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</si>
  <si>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</si>
  <si>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</si>
  <si>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</si>
  <si>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</si>
  <si>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</si>
  <si>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</si>
  <si>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</si>
  <si>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</si>
  <si>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</si>
  <si>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</si>
  <si>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</si>
  <si>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</si>
  <si>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</si>
  <si>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</si>
  <si>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</si>
  <si>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</si>
  <si>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</si>
  <si>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</si>
  <si>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</si>
  <si>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</si>
  <si>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</si>
  <si>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</si>
  <si>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</si>
  <si>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目白大学</t>
    <rPh sb="0" eb="4">
      <t xml:space="preserve">メジロダイガク </t>
    </rPh>
    <phoneticPr fontId="1"/>
  </si>
  <si>
    <t>AI・データサイエンス教育プログラム</t>
    <rPh sb="11" eb="13">
      <t xml:space="preserve">キョウイク </t>
    </rPh>
    <phoneticPr fontId="1"/>
  </si>
  <si>
    <t>学部・学科によって、修了要件は相違しない</t>
  </si>
  <si>
    <t>プログラムを構成する授業科目である共通科目「情報活用演習I」（2単位） と 共通科目「情報活用演習II」(2単位)の計4単位を取得すること</t>
    <rPh sb="6" eb="8">
      <t xml:space="preserve">コウセイスル </t>
    </rPh>
    <rPh sb="10" eb="14">
      <t xml:space="preserve">ジュギョウカモクデアル </t>
    </rPh>
    <rPh sb="17" eb="21">
      <t xml:space="preserve">ゼンガクキョウツウカモク </t>
    </rPh>
    <rPh sb="22" eb="28">
      <t xml:space="preserve">ジョウホウカツヨウエンシュウ </t>
    </rPh>
    <rPh sb="32" eb="34">
      <t xml:space="preserve">タンイ </t>
    </rPh>
    <rPh sb="38" eb="42">
      <t xml:space="preserve">キョウツウカモク </t>
    </rPh>
    <rPh sb="43" eb="47">
      <t xml:space="preserve">ジョウホウカツヨウｒンシュウ </t>
    </rPh>
    <rPh sb="47" eb="49">
      <t xml:space="preserve">エンシュウ </t>
    </rPh>
    <rPh sb="54" eb="56">
      <t xml:space="preserve">タンイ </t>
    </rPh>
    <rPh sb="58" eb="59">
      <t xml:space="preserve">ケイ </t>
    </rPh>
    <rPh sb="60" eb="62">
      <t xml:space="preserve">タンイヲ </t>
    </rPh>
    <rPh sb="63" eb="65">
      <t xml:space="preserve">シュトクスル </t>
    </rPh>
    <phoneticPr fontId="1"/>
  </si>
  <si>
    <t>情報活用演習I</t>
    <rPh sb="0" eb="6">
      <t xml:space="preserve">ジョウホウカツヨウエンシュウ </t>
    </rPh>
    <phoneticPr fontId="1"/>
  </si>
  <si>
    <t>情報活用演習II</t>
    <rPh sb="0" eb="6">
      <t xml:space="preserve">ジョウホウカツヨウエンシュウ </t>
    </rPh>
    <phoneticPr fontId="1"/>
  </si>
  <si>
    <t>○</t>
  </si>
  <si>
    <t>心理学部</t>
    <rPh sb="0" eb="4">
      <t>シンリガクブ</t>
    </rPh>
    <phoneticPr fontId="1"/>
  </si>
  <si>
    <t>人間学部</t>
    <rPh sb="0" eb="4">
      <t>ニンゲンガクブ</t>
    </rPh>
    <phoneticPr fontId="1"/>
  </si>
  <si>
    <t>社会学部</t>
    <rPh sb="0" eb="4">
      <t>シャカイガクブ</t>
    </rPh>
    <phoneticPr fontId="1"/>
  </si>
  <si>
    <t>メディア学部</t>
    <rPh sb="4" eb="6">
      <t>ガクブ</t>
    </rPh>
    <phoneticPr fontId="1"/>
  </si>
  <si>
    <t>経営学部</t>
    <rPh sb="0" eb="2">
      <t>ケイエイ</t>
    </rPh>
    <rPh sb="2" eb="4">
      <t>ガクブ</t>
    </rPh>
    <phoneticPr fontId="1"/>
  </si>
  <si>
    <t>外国語学部</t>
    <rPh sb="0" eb="5">
      <t>ガイコクゴガクブ</t>
    </rPh>
    <phoneticPr fontId="1"/>
  </si>
  <si>
    <t>皆川武</t>
    <rPh sb="0" eb="2">
      <t xml:space="preserve">ミナガワ </t>
    </rPh>
    <rPh sb="2" eb="3">
      <t xml:space="preserve">タケシ </t>
    </rPh>
    <phoneticPr fontId="1"/>
  </si>
  <si>
    <t>土井正</t>
    <rPh sb="0" eb="2">
      <t xml:space="preserve">ドイ </t>
    </rPh>
    <rPh sb="2" eb="3">
      <t xml:space="preserve">タダシイ </t>
    </rPh>
    <phoneticPr fontId="1"/>
  </si>
  <si>
    <t>令和4年度より、本教育プログラムを構成する科目（情報活用演習I , II）を1年次の春学期および秋学期の必修科目とすることにより、全ての学生が履修するカリキュラムを実施しており、令和7年度までの4年間の実施により、履修率が100%に到達する計画である。</t>
    <rPh sb="24" eb="30">
      <t xml:space="preserve">ジョウホウカツヨウエンシュウ </t>
    </rPh>
    <rPh sb="39" eb="41">
      <t xml:space="preserve">ネンジ </t>
    </rPh>
    <rPh sb="42" eb="45">
      <t xml:space="preserve">ハルガッキ </t>
    </rPh>
    <rPh sb="48" eb="51">
      <t xml:space="preserve">アキガッキノ </t>
    </rPh>
    <rPh sb="89" eb="91">
      <t xml:space="preserve">レイワ </t>
    </rPh>
    <rPh sb="92" eb="94">
      <t xml:space="preserve">ネンドニオイテ </t>
    </rPh>
    <rPh sb="99" eb="100">
      <t xml:space="preserve">カンヲ </t>
    </rPh>
    <rPh sb="101" eb="103">
      <t xml:space="preserve">ジッシニヨリ </t>
    </rPh>
    <rPh sb="107" eb="110">
      <t xml:space="preserve">リシュウリツ </t>
    </rPh>
    <rPh sb="116" eb="118">
      <t xml:space="preserve">トウタツ </t>
    </rPh>
    <rPh sb="120" eb="122">
      <t xml:space="preserve">ケイカク </t>
    </rPh>
    <phoneticPr fontId="1"/>
  </si>
  <si>
    <t>情報教育部会長・情報教育センター長</t>
    <rPh sb="0" eb="4">
      <t xml:space="preserve">ジョウホウキョウイクセンター </t>
    </rPh>
    <rPh sb="4" eb="6">
      <t xml:space="preserve">ブカイ </t>
    </rPh>
    <rPh sb="6" eb="7">
      <t xml:space="preserve">チョウ </t>
    </rPh>
    <rPh sb="8" eb="12">
      <t xml:space="preserve">ジョウホウキョウイクセンター </t>
    </rPh>
    <rPh sb="16" eb="17">
      <t xml:space="preserve">チョウ </t>
    </rPh>
    <phoneticPr fontId="1"/>
  </si>
  <si>
    <t xml:space="preserve">担当教員は授業時間内で質問を受け付けるだけではなく、SA(Student Assistant)を配置することにより学習指導の補助ができる体制を整備している。授業時間外に履修者が直接学習指導を受けることができるようオフィスアワーを設けると同時に、学生自身のノートPC必携化(BYOD)を実施するとともにLMSを利用した授業を展開しており、授業時間外においてもオンラインで質問や学習指導ができる仕組みを構築している。
</t>
    <rPh sb="0" eb="4">
      <t xml:space="preserve">タントウキョウインハ </t>
    </rPh>
    <rPh sb="5" eb="10">
      <t xml:space="preserve">ジュギョウジカンナイデ </t>
    </rPh>
    <rPh sb="11" eb="13">
      <t xml:space="preserve">シツモンヲ </t>
    </rPh>
    <rPh sb="14" eb="15">
      <t xml:space="preserve">ウケツケテ </t>
    </rPh>
    <rPh sb="48" eb="50">
      <t xml:space="preserve">ハイチスル </t>
    </rPh>
    <rPh sb="57" eb="59">
      <t xml:space="preserve">ガクシュウ </t>
    </rPh>
    <rPh sb="59" eb="61">
      <t xml:space="preserve">シドウ </t>
    </rPh>
    <rPh sb="62" eb="64">
      <t xml:space="preserve">ホジョヲ </t>
    </rPh>
    <rPh sb="68" eb="70">
      <t xml:space="preserve">タイセイヲ </t>
    </rPh>
    <rPh sb="71" eb="73">
      <t xml:space="preserve">セイビシテイル </t>
    </rPh>
    <rPh sb="78" eb="83">
      <t xml:space="preserve">ジュギョウジカンガイ </t>
    </rPh>
    <rPh sb="96" eb="97">
      <t xml:space="preserve">モウケルコトニヨリ </t>
    </rPh>
    <rPh sb="114" eb="115">
      <t xml:space="preserve">モウケルト </t>
    </rPh>
    <rPh sb="118" eb="120">
      <t xml:space="preserve">ドウジニ </t>
    </rPh>
    <rPh sb="122" eb="123">
      <t xml:space="preserve">ガクシュウシドウヲ </t>
    </rPh>
    <rPh sb="124" eb="125">
      <t xml:space="preserve">ウケルコトガ </t>
    </rPh>
    <rPh sb="133" eb="135">
      <t xml:space="preserve">リシュウシャ </t>
    </rPh>
    <rPh sb="165" eb="169">
      <t xml:space="preserve">ジュギョウジカンガ </t>
    </rPh>
    <rPh sb="169" eb="170">
      <t xml:space="preserve">ガイ </t>
    </rPh>
    <rPh sb="181" eb="183">
      <t xml:space="preserve">シツモンヤ </t>
    </rPh>
    <rPh sb="184" eb="186">
      <t xml:space="preserve">ガクシュウ </t>
    </rPh>
    <rPh sb="186" eb="188">
      <t xml:space="preserve">シドウｓガ </t>
    </rPh>
    <rPh sb="192" eb="194">
      <t xml:space="preserve">シクミヲ </t>
    </rPh>
    <rPh sb="196" eb="198">
      <t xml:space="preserve">コウチクシテイル </t>
    </rPh>
    <phoneticPr fontId="1"/>
  </si>
  <si>
    <t>AI・データサイエンス教育検討委員会</t>
    <phoneticPr fontId="1"/>
  </si>
  <si>
    <t xml:space="preserve">副学長・教養教育副機構長	</t>
    <phoneticPr fontId="1"/>
  </si>
  <si>
    <t>データ表現(棒グラフ、折線グラフなど）、データの図表表現、不適切なグラフ表現、優れた可視化事例の紹介 「情報活用演習I」（第10回）
データの比較(条件をそろえた比較、処理の前後での比較、A/Bテスト) 「情報活用演習II」（第12回）</t>
    <phoneticPr fontId="1"/>
  </si>
  <si>
    <t>非構造化データ処理:言語処理、画像/動画処理、音声/音楽処理など、認識技術、ルールベース、自動化技術、今のAIで出来ることと出来ないこと、AIとビッグデータ、機械学習、教師あり学習、教師なし学習 「情報活用演習II」（第4回）</t>
    <rPh sb="79" eb="83">
      <t xml:space="preserve">キカイガクシュウ </t>
    </rPh>
    <rPh sb="84" eb="86">
      <t xml:space="preserve">キョウシアリ </t>
    </rPh>
    <rPh sb="88" eb="90">
      <t xml:space="preserve">ガクシュウ </t>
    </rPh>
    <rPh sb="91" eb="93">
      <t xml:space="preserve">キョウシナシ </t>
    </rPh>
    <rPh sb="95" eb="97">
      <t xml:space="preserve">ガクシュウ </t>
    </rPh>
    <phoneticPr fontId="1"/>
  </si>
  <si>
    <t>・ビッグデータ、IoT 、 AI 、 ロボット、データ量の増加、計算機の処理性能の向上、AIの非連続的進化、第4次産業革命、Society 5.0、データ駆動型社会、複数技術を組み合わせたAIサービス「情報活用演習II」（第2回）</t>
    <rPh sb="25" eb="31">
      <t xml:space="preserve">ジョウホウカツヨウエンシュウ </t>
    </rPh>
    <rPh sb="35" eb="36">
      <t xml:space="preserve">ダイ </t>
    </rPh>
    <rPh sb="37" eb="38">
      <t xml:space="preserve">カイ </t>
    </rPh>
    <phoneticPr fontId="1"/>
  </si>
  <si>
    <t>令和4年度より、本教育プログラムを構成する科目を必修科目として配置することにより、本学に入学する全ての学生が履修できるカリキュラムとしている。入学後の履修ガイダンスや新入生向け共通科目のちらしにおいて当該科目の周知を行うなどの取組を実施している。</t>
    <rPh sb="37" eb="39">
      <t xml:space="preserve">ホンガクニニュウガクスル </t>
    </rPh>
    <phoneticPr fontId="1"/>
  </si>
  <si>
    <t xml:space="preserve">令和4年度より、本教育プログラムを構成する科目を必修科目として配置することにより、本学に入学する全ての学生が履修できるカリキュラムとしている。本学では情報教育部会および情報教育センターを設置して、全学的な教育コンテンツの開発を行い、情報教育を専門とする専担教員を配置して、新宿キャンパスおよびさいたま岩槻キャンパスの各学科を含め全学的な教育を実施している。
</t>
    <rPh sb="0" eb="4">
      <t xml:space="preserve">ジョウホウキョウイク </t>
    </rPh>
    <rPh sb="4" eb="6">
      <t xml:space="preserve">ブカイ </t>
    </rPh>
    <rPh sb="9" eb="13">
      <t xml:space="preserve">ジョウホウキョウイクセンター </t>
    </rPh>
    <rPh sb="18" eb="20">
      <t xml:space="preserve">セッチ </t>
    </rPh>
    <rPh sb="23" eb="26">
      <t xml:space="preserve">ゼンガクテキナ </t>
    </rPh>
    <rPh sb="27" eb="29">
      <t xml:space="preserve">キョウイクコンテンツノ </t>
    </rPh>
    <rPh sb="31" eb="33">
      <t xml:space="preserve">ハイチ </t>
    </rPh>
    <rPh sb="39" eb="41">
      <t xml:space="preserve">カイハツ </t>
    </rPh>
    <rPh sb="42" eb="43">
      <t xml:space="preserve">オコナイ </t>
    </rPh>
    <rPh sb="66" eb="68">
      <t xml:space="preserve">ホンガクデハ </t>
    </rPh>
    <rPh sb="70" eb="72">
      <t xml:space="preserve">ホンガクデハ </t>
    </rPh>
    <rPh sb="74" eb="78">
      <t xml:space="preserve">キョウヨウキョウイクキコウ </t>
    </rPh>
    <rPh sb="78" eb="80">
      <t xml:space="preserve">キコウ </t>
    </rPh>
    <rPh sb="81" eb="87">
      <t xml:space="preserve">ジョウホウキョウイクブカイヲ </t>
    </rPh>
    <rPh sb="88" eb="90">
      <t xml:space="preserve">セッチシ </t>
    </rPh>
    <rPh sb="92" eb="96">
      <t xml:space="preserve">ジョウホウキョウイクニ </t>
    </rPh>
    <rPh sb="97" eb="99">
      <t xml:space="preserve">センモントスル </t>
    </rPh>
    <rPh sb="102" eb="104">
      <t xml:space="preserve">センタン </t>
    </rPh>
    <rPh sb="104" eb="106">
      <t xml:space="preserve">キョウインヲ </t>
    </rPh>
    <rPh sb="107" eb="109">
      <t xml:space="preserve">ハイチシテ </t>
    </rPh>
    <rPh sb="112" eb="115">
      <t xml:space="preserve">カクガッカ </t>
    </rPh>
    <rPh sb="138" eb="139">
      <t xml:space="preserve">フクメ </t>
    </rPh>
    <rPh sb="140" eb="143">
      <t xml:space="preserve">ゼンガクテキナ </t>
    </rPh>
    <rPh sb="144" eb="146">
      <t xml:space="preserve">キョウイクヲ </t>
    </rPh>
    <rPh sb="147" eb="149">
      <t xml:space="preserve">ジッシ ジョウホウキョウイク キョウイクスル </t>
    </rPh>
    <phoneticPr fontId="1"/>
  </si>
  <si>
    <t>看護学部</t>
    <rPh sb="0" eb="2">
      <t>カンゴガッカ</t>
    </rPh>
    <rPh sb="2" eb="4">
      <t xml:space="preserve">ガクブ </t>
    </rPh>
    <phoneticPr fontId="1"/>
  </si>
  <si>
    <t>保健医療学部</t>
  </si>
  <si>
    <t>令和4</t>
    <rPh sb="0" eb="2">
      <t xml:space="preserve">レイワ </t>
    </rPh>
    <phoneticPr fontId="1"/>
  </si>
  <si>
    <t>令和4年度より、本教育プログラムを構成する科目を必修とすることで、1年次の全ての学生が履修できるカリキュラムを実践している。本学では全学的に履修登録システムを導入することにより､担当教員はシステムを介して履修者数や修得状況を随時確認できる環境を構築している。また、授業においてはLMSの利用を必須としており、受講者の課題などの進捗状況を把握できるよう整備している。令和4年度における本プログラムの修得者は、1年生履修者に対し約9割であった。今後は本プログラム未修得者の要因を調査することにより、修了者数の向上をめざすよう努める。</t>
    <rPh sb="34" eb="36">
      <t xml:space="preserve">ネンジノ </t>
    </rPh>
    <rPh sb="37" eb="38">
      <t xml:space="preserve">スベテノ </t>
    </rPh>
    <rPh sb="40" eb="42">
      <t xml:space="preserve">ガクセイガ </t>
    </rPh>
    <rPh sb="55" eb="57">
      <t xml:space="preserve">ジッセン </t>
    </rPh>
    <rPh sb="62" eb="64">
      <t xml:space="preserve">ホンガクデハ </t>
    </rPh>
    <rPh sb="66" eb="69">
      <t xml:space="preserve">ゼンガクテキニ </t>
    </rPh>
    <rPh sb="119" eb="121">
      <t xml:space="preserve">カンキョウヲ </t>
    </rPh>
    <rPh sb="122" eb="124">
      <t xml:space="preserve">コウチクシテイル </t>
    </rPh>
    <rPh sb="152" eb="154">
      <t xml:space="preserve">カダイナドノ </t>
    </rPh>
    <rPh sb="157" eb="159">
      <t xml:space="preserve">シンチョク </t>
    </rPh>
    <rPh sb="176" eb="178">
      <t xml:space="preserve">レイワ４ネンドノ </t>
    </rPh>
    <rPh sb="182" eb="186">
      <t xml:space="preserve">シュウリョウシャスウハ </t>
    </rPh>
    <rPh sb="188" eb="189">
      <t xml:space="preserve">ゼン </t>
    </rPh>
    <rPh sb="189" eb="192">
      <t xml:space="preserve">リシュウシャニ </t>
    </rPh>
    <rPh sb="193" eb="194">
      <t xml:space="preserve">タイシ </t>
    </rPh>
    <rPh sb="198" eb="200">
      <t xml:space="preserve">シュウトク </t>
    </rPh>
    <rPh sb="200" eb="202">
      <t xml:space="preserve">ネンセイ </t>
    </rPh>
    <rPh sb="203" eb="204">
      <t xml:space="preserve">ホンプログラムヲ </t>
    </rPh>
    <rPh sb="205" eb="206">
      <t xml:space="preserve">ワリ </t>
    </rPh>
    <rPh sb="209" eb="212">
      <t xml:space="preserve">ミシュウリョウシャノ </t>
    </rPh>
    <rPh sb="213" eb="215">
      <t xml:space="preserve">ヨウインヲ </t>
    </rPh>
    <rPh sb="216" eb="218">
      <t xml:space="preserve">チョウサ </t>
    </rPh>
    <rPh sb="224" eb="225">
      <t xml:space="preserve">シュウリョウシャスウノ </t>
    </rPh>
    <rPh sb="226" eb="228">
      <t xml:space="preserve">コウジョウ </t>
    </rPh>
    <rPh sb="230" eb="232">
      <t xml:space="preserve">シュウトク </t>
    </rPh>
    <rPh sb="234" eb="235">
      <t xml:space="preserve">ツトメル </t>
    </rPh>
    <phoneticPr fontId="3"/>
  </si>
  <si>
    <t>本学では全科目について学生による授業評価アンケートを実施しており、授業の「満足度」や「理解度」などを把握することができる。集計したデータは情報教育部会と情報教育センターにおいて報告および検討することにより、本教育プログラムの評価・改善に向けた取り組みを行っている。今後は、アンケート調査による評価だけではなく、AI・データサイエンス教育プログラムの教育効果をはかることも含めて、ルーブリック評価を取り入れた授業を推進していくことを計画している。</t>
    <rPh sb="0" eb="2">
      <t xml:space="preserve">ホンガクデ </t>
    </rPh>
    <rPh sb="4" eb="7">
      <t xml:space="preserve">ゼンカモクニツイテ </t>
    </rPh>
    <rPh sb="11" eb="15">
      <t xml:space="preserve">ジュギョウヒョウカアンケートヲ </t>
    </rPh>
    <rPh sb="21" eb="23">
      <t xml:space="preserve">ジッシシテイル </t>
    </rPh>
    <rPh sb="33" eb="35">
      <t xml:space="preserve">ガクセイノ </t>
    </rPh>
    <rPh sb="36" eb="39">
      <t xml:space="preserve">リカイドヤ </t>
    </rPh>
    <rPh sb="40" eb="43">
      <t xml:space="preserve">マンゾクド </t>
    </rPh>
    <rPh sb="46" eb="48">
      <t xml:space="preserve">ハアクスル </t>
    </rPh>
    <rPh sb="57" eb="59">
      <t xml:space="preserve">シュウケイシタ </t>
    </rPh>
    <rPh sb="65" eb="69">
      <t xml:space="preserve">ジョウホウキョウイクブカイ </t>
    </rPh>
    <rPh sb="69" eb="71">
      <t xml:space="preserve">ブカイ </t>
    </rPh>
    <rPh sb="72" eb="76">
      <t xml:space="preserve">ジョウホウキョウイクセンター </t>
    </rPh>
    <rPh sb="84" eb="86">
      <t xml:space="preserve">キョウユウ </t>
    </rPh>
    <rPh sb="89" eb="91">
      <t xml:space="preserve">ケントウ </t>
    </rPh>
    <rPh sb="103" eb="104">
      <t xml:space="preserve">ホンキョウイク </t>
    </rPh>
    <rPh sb="108" eb="110">
      <t xml:space="preserve">ヒョウカ </t>
    </rPh>
    <rPh sb="111" eb="113">
      <t xml:space="preserve">カイゼンニ </t>
    </rPh>
    <rPh sb="114" eb="116">
      <t xml:space="preserve">カツヨウシテイル </t>
    </rPh>
    <rPh sb="119" eb="120">
      <t xml:space="preserve">ムケタ </t>
    </rPh>
    <rPh sb="122" eb="123">
      <t xml:space="preserve">トリクミヲ </t>
    </rPh>
    <rPh sb="127" eb="128">
      <t xml:space="preserve">オコナッテイル </t>
    </rPh>
    <rPh sb="133" eb="135">
      <t xml:space="preserve">コンゴハ </t>
    </rPh>
    <rPh sb="147" eb="149">
      <t xml:space="preserve">ヒョウカ </t>
    </rPh>
    <rPh sb="167" eb="169">
      <t xml:space="preserve">キョウイク </t>
    </rPh>
    <rPh sb="175" eb="177">
      <t xml:space="preserve">キョウイクコウカヲ </t>
    </rPh>
    <rPh sb="177" eb="179">
      <t xml:space="preserve">コウカヲ </t>
    </rPh>
    <rPh sb="186" eb="187">
      <t xml:space="preserve">フクメテ </t>
    </rPh>
    <rPh sb="196" eb="198">
      <t xml:space="preserve">ヒョウカヲ </t>
    </rPh>
    <rPh sb="199" eb="200">
      <t xml:space="preserve">トリイレタ </t>
    </rPh>
    <rPh sb="204" eb="206">
      <t xml:space="preserve">ジュギョウヲ </t>
    </rPh>
    <rPh sb="207" eb="209">
      <t xml:space="preserve">スイシン </t>
    </rPh>
    <rPh sb="216" eb="218">
      <t xml:space="preserve">ケイカクシテイル </t>
    </rPh>
    <phoneticPr fontId="3"/>
  </si>
  <si>
    <t>本学では全科目について学生による授業評価アンケートを実施しており、授業への「積極的な参加」や「真剣に受けた」、授業の内容は「今後役立つ」などを把握することができる。授業への「積極的な参加」については、全体で約7割強の学生が肯定的な評価を示しており、授業を「真剣に受けた」についても、全体で約8割の学生が肯定的な評価を示している。また、授業の内容は「今後役立つ」についても全体の約8割の学生が肯定的に捉えており、これらの結果をまとめることにより新入生に推奨することができるよう整備する。
今後は、学生による授業評価アンケートだけではなく、情報教育部会として他の学生や高校生への推奨度を含めたアンケートを別途実施するなど、より詳細な調査･分析をすすめることを計画している。</t>
    <rPh sb="33" eb="35">
      <t xml:space="preserve">ジュギョウヘノ </t>
    </rPh>
    <rPh sb="38" eb="41">
      <t xml:space="preserve">セッキョクテキナ </t>
    </rPh>
    <rPh sb="42" eb="44">
      <t xml:space="preserve">サンカドヤ </t>
    </rPh>
    <rPh sb="46" eb="47">
      <t xml:space="preserve">コンゴ </t>
    </rPh>
    <rPh sb="47" eb="48">
      <t xml:space="preserve">ヤクニタツ </t>
    </rPh>
    <rPh sb="50" eb="52">
      <t xml:space="preserve">ジュギョウ </t>
    </rPh>
    <rPh sb="55" eb="57">
      <t xml:space="preserve">ジュギョウノナイヨウハ </t>
    </rPh>
    <rPh sb="62" eb="63">
      <t xml:space="preserve">トラエテイル </t>
    </rPh>
    <rPh sb="71" eb="73">
      <t xml:space="preserve">ハアクスルコトガ </t>
    </rPh>
    <rPh sb="89" eb="91">
      <t xml:space="preserve">ゼンタイノ </t>
    </rPh>
    <rPh sb="92" eb="93">
      <t xml:space="preserve">ヤク </t>
    </rPh>
    <rPh sb="97" eb="99">
      <t xml:space="preserve">ガクセイガ </t>
    </rPh>
    <rPh sb="100" eb="103">
      <t xml:space="preserve">コウテイテキナ </t>
    </rPh>
    <rPh sb="105" eb="106">
      <t xml:space="preserve">ワリ </t>
    </rPh>
    <rPh sb="106" eb="107">
      <t xml:space="preserve">キョウ </t>
    </rPh>
    <rPh sb="107" eb="108">
      <t xml:space="preserve">シメシテオリ </t>
    </rPh>
    <rPh sb="113" eb="115">
      <t xml:space="preserve">ジュギョウヲ </t>
    </rPh>
    <rPh sb="117" eb="119">
      <t xml:space="preserve">シンケンニ </t>
    </rPh>
    <rPh sb="120" eb="121">
      <t xml:space="preserve">ウケタ </t>
    </rPh>
    <rPh sb="131" eb="133">
      <t xml:space="preserve">コンゴノ </t>
    </rPh>
    <rPh sb="142" eb="144">
      <t xml:space="preserve">ゼンタイノ </t>
    </rPh>
    <rPh sb="146" eb="147">
      <t xml:space="preserve">ワリ </t>
    </rPh>
    <rPh sb="148" eb="150">
      <t xml:space="preserve">ガクセイガ </t>
    </rPh>
    <rPh sb="156" eb="158">
      <t xml:space="preserve">ジュギョウノナイヨウハ </t>
    </rPh>
    <rPh sb="163" eb="166">
      <t xml:space="preserve">コウテイテキニ </t>
    </rPh>
    <rPh sb="176" eb="178">
      <t xml:space="preserve">ケッカヲ </t>
    </rPh>
    <rPh sb="181" eb="183">
      <t xml:space="preserve">ヒョウカ </t>
    </rPh>
    <rPh sb="189" eb="191">
      <t xml:space="preserve">テイジ </t>
    </rPh>
    <rPh sb="195" eb="196">
      <t xml:space="preserve">ホカノ </t>
    </rPh>
    <rPh sb="197" eb="199">
      <t xml:space="preserve">ガクセイヘノ </t>
    </rPh>
    <rPh sb="201" eb="203">
      <t xml:space="preserve">スイショウ </t>
    </rPh>
    <rPh sb="204" eb="206">
      <t xml:space="preserve">カンレンサセテイクコトガ </t>
    </rPh>
    <rPh sb="210" eb="212">
      <t xml:space="preserve">ケッカヨリ </t>
    </rPh>
    <rPh sb="222" eb="225">
      <t xml:space="preserve">シンニュウセイニ </t>
    </rPh>
    <rPh sb="226" eb="228">
      <t xml:space="preserve">スイショウ </t>
    </rPh>
    <rPh sb="238" eb="240">
      <t xml:space="preserve">セイビ </t>
    </rPh>
    <rPh sb="248" eb="250">
      <t xml:space="preserve">ベット </t>
    </rPh>
    <rPh sb="256" eb="258">
      <t xml:space="preserve">ジッシ </t>
    </rPh>
    <rPh sb="268" eb="270">
      <t xml:space="preserve">ショウサイハ </t>
    </rPh>
    <rPh sb="271" eb="273">
      <t xml:space="preserve">チョウサ </t>
    </rPh>
    <rPh sb="278" eb="279">
      <t xml:space="preserve">タノ </t>
    </rPh>
    <rPh sb="280" eb="282">
      <t xml:space="preserve">ガクセイ </t>
    </rPh>
    <rPh sb="283" eb="286">
      <t xml:space="preserve">コウコウセイ </t>
    </rPh>
    <rPh sb="301" eb="303">
      <t xml:space="preserve">ベット </t>
    </rPh>
    <phoneticPr fontId="3"/>
  </si>
  <si>
    <t>令和4年度より、本教育プログラムを構成する科目を必修とすることで、1年次の全ての学生が履修できるカリキュラムを実践している。本教育プログラムを構成する科目（情報活用演習I , II）を1年次の春学期および秋学期の必修科目とすることにより、全ての学生が履修できるカリキュラムを実践しており、令和7年度までの4年間で本学入学生の履修率が100%に到達する計画である。また、前述の通り、本プログラム未修了者(不合格者)の要因を調査することにより、修了者数の向上をめざすよう努める。</t>
    <rPh sb="0" eb="2">
      <t xml:space="preserve">レイワ４ネンドヨリ </t>
    </rPh>
    <rPh sb="8" eb="11">
      <t xml:space="preserve">ホンキョウイクプログラムヲ </t>
    </rPh>
    <rPh sb="17" eb="19">
      <t xml:space="preserve">コウセイスル </t>
    </rPh>
    <rPh sb="21" eb="23">
      <t xml:space="preserve">カモクヲ </t>
    </rPh>
    <rPh sb="24" eb="26">
      <t xml:space="preserve">ヒッシュウ </t>
    </rPh>
    <rPh sb="26" eb="28">
      <t xml:space="preserve">カモクトスルコトニヨリ </t>
    </rPh>
    <rPh sb="37" eb="38">
      <t xml:space="preserve">スベテノ </t>
    </rPh>
    <rPh sb="40" eb="42">
      <t xml:space="preserve">ガクセイガ </t>
    </rPh>
    <rPh sb="43" eb="45">
      <t xml:space="preserve">リシュ </t>
    </rPh>
    <rPh sb="54" eb="56">
      <t xml:space="preserve">ジッシシテイル８ </t>
    </rPh>
    <rPh sb="137" eb="139">
      <t xml:space="preserve">ジッセン </t>
    </rPh>
    <rPh sb="156" eb="158">
      <t xml:space="preserve">ホンガク </t>
    </rPh>
    <rPh sb="158" eb="161">
      <t xml:space="preserve">ニュウガクセイ </t>
    </rPh>
    <rPh sb="183" eb="185">
      <t xml:space="preserve">ゼンジュツノ_x0000__x0000__x0002_
</t>
    </rPh>
    <rPh sb="204" eb="208">
      <t>_x0008__x0003__x0018__x0011__x0002__x001F__x0015__x0002_</t>
    </rPh>
    <phoneticPr fontId="3"/>
  </si>
  <si>
    <t>本教育プログラムは令和4年度入学1年生より実施されており、本教育プログラムを修了した卒業生は不在であるため、今後に向けて修了者の進路や活躍状況、企業等の評価を計画している段階である。卒業年次に本教育プログラムに対するアンケート調査を行うことや、学生の就職状況の調査において、AI･データサイエンスに係るIT関連企業等への就職状況の比較を行うなど、本教育プログラム後の進路状況の特徴や推移などを調査するなど検討している。</t>
    <rPh sb="0" eb="3">
      <t xml:space="preserve">ホンキョウイクプログラムハ </t>
    </rPh>
    <rPh sb="9" eb="11">
      <t xml:space="preserve">レイワ </t>
    </rPh>
    <rPh sb="12" eb="14">
      <t xml:space="preserve">ネンドヨリ </t>
    </rPh>
    <rPh sb="14" eb="16">
      <t xml:space="preserve">ニュウガクセイ </t>
    </rPh>
    <rPh sb="17" eb="19">
      <t xml:space="preserve">ネンセイ </t>
    </rPh>
    <rPh sb="21" eb="23">
      <t xml:space="preserve">ジッシ </t>
    </rPh>
    <rPh sb="29" eb="32">
      <t xml:space="preserve">ホンキョウイクプログラムヲ </t>
    </rPh>
    <rPh sb="38" eb="40">
      <t xml:space="preserve">シュウリョウ </t>
    </rPh>
    <rPh sb="42" eb="45">
      <t xml:space="preserve">ソツギョウセイガ </t>
    </rPh>
    <rPh sb="46" eb="48">
      <t xml:space="preserve">フザイノ </t>
    </rPh>
    <rPh sb="54" eb="56">
      <t xml:space="preserve">コンゴ </t>
    </rPh>
    <rPh sb="57" eb="58">
      <t xml:space="preserve">ムケテ </t>
    </rPh>
    <rPh sb="64" eb="66">
      <t xml:space="preserve">シンロヤ </t>
    </rPh>
    <rPh sb="67" eb="71">
      <t xml:space="preserve">カツヤクジョウキョウ </t>
    </rPh>
    <rPh sb="72" eb="75">
      <t xml:space="preserve">キギョウトウノ </t>
    </rPh>
    <rPh sb="76" eb="78">
      <t xml:space="preserve">ヒョウカ </t>
    </rPh>
    <rPh sb="79" eb="81">
      <t xml:space="preserve">ケイカクデアル </t>
    </rPh>
    <rPh sb="85" eb="87">
      <t xml:space="preserve">ダンカイデアル </t>
    </rPh>
    <rPh sb="91" eb="95">
      <t xml:space="preserve">ソツギョウネンジニ </t>
    </rPh>
    <rPh sb="96" eb="99">
      <t xml:space="preserve">マイネンド </t>
    </rPh>
    <rPh sb="100" eb="115">
      <t xml:space="preserve">ガクセイノ </t>
    </rPh>
    <rPh sb="116" eb="117">
      <t xml:space="preserve">オコナウコトヤ </t>
    </rPh>
    <rPh sb="121" eb="122">
      <t xml:space="preserve">シュウショクジョウキョウヲ </t>
    </rPh>
    <rPh sb="122" eb="123">
      <t xml:space="preserve">ジッシシテオリ </t>
    </rPh>
    <rPh sb="128" eb="129">
      <t xml:space="preserve">トクニ </t>
    </rPh>
    <rPh sb="149" eb="150">
      <t xml:space="preserve">カカル </t>
    </rPh>
    <rPh sb="151" eb="152">
      <t xml:space="preserve">ジョウキョウノ </t>
    </rPh>
    <rPh sb="153" eb="155">
      <t xml:space="preserve">ヒカクナド </t>
    </rPh>
    <rPh sb="157" eb="158">
      <t xml:space="preserve">オコナウ </t>
    </rPh>
    <rPh sb="169" eb="170">
      <t>_x0000__x0000__x0003_</t>
    </rPh>
    <rPh sb="171" eb="175">
      <t>_x000E_	_x0002__x0012__x000C__x0002__x0018__x0010__x0002__x001C__x0018_</t>
    </rPh>
    <rPh sb="176" eb="178">
      <t>_x0002_ _x001B__x0001_#_x001C__x0002_</t>
    </rPh>
    <rPh sb="179" eb="181">
      <t>7+_x0002_&lt;</t>
    </rPh>
    <rPh sb="184" eb="186">
      <t>T;_x0001_W=</t>
    </rPh>
    <rPh sb="188" eb="191">
      <t/>
    </rPh>
    <rPh sb="191" eb="193">
      <t xml:space="preserve">ケントウ </t>
    </rPh>
    <phoneticPr fontId="3"/>
  </si>
  <si>
    <t>本教育プログラムは令和4年度入学1年生より実施されており、十分な評価が可能な段階ではないため、今後に向けて産業界からの視点を含めた教育プログラム内容・手法等への意見の調査を計画している。情報教育部会や情報教育センターに係る教員から本教育プログラムの内容に関する意見を求めるだけではなく、産業界出身の教員や外部講師の視点から意見を求めることや、インターンシップを実施した学生や企業からのフィードバックなど段階的にすすめることにより、学内外による産業界からの意見聴取を行うことを計画している。</t>
    <rPh sb="0" eb="6">
      <t xml:space="preserve">キョウヨウキョウイクキコウ </t>
    </rPh>
    <rPh sb="9" eb="13">
      <t xml:space="preserve">ジョウホウキョウイクブカイヤ </t>
    </rPh>
    <rPh sb="13" eb="15">
      <t xml:space="preserve">ブカイヤ </t>
    </rPh>
    <rPh sb="16" eb="20">
      <t xml:space="preserve">ジョウホウキョウイクセンター </t>
    </rPh>
    <rPh sb="28" eb="49">
      <t xml:space="preserve">ホンキョウイクプログラムノ </t>
    </rPh>
    <rPh sb="50" eb="51">
      <t xml:space="preserve">ムケテ </t>
    </rPh>
    <rPh sb="58" eb="60">
      <t xml:space="preserve">ナイヨウ </t>
    </rPh>
    <rPh sb="61" eb="62">
      <t xml:space="preserve">カンスル </t>
    </rPh>
    <rPh sb="64" eb="66">
      <t xml:space="preserve">イケン </t>
    </rPh>
    <rPh sb="67" eb="68">
      <t xml:space="preserve">モトメルダケデハナク </t>
    </rPh>
    <rPh sb="77" eb="80">
      <t xml:space="preserve">サンギョウカイシュッｓキイン </t>
    </rPh>
    <rPh sb="80" eb="82">
      <t xml:space="preserve">シュッシンンオ </t>
    </rPh>
    <rPh sb="83" eb="85">
      <t xml:space="preserve">チョウサヲ </t>
    </rPh>
    <rPh sb="86" eb="88">
      <t xml:space="preserve">ケイカクシテイル </t>
    </rPh>
    <rPh sb="93" eb="95">
      <t xml:space="preserve">キョウインナドヲ </t>
    </rPh>
    <rPh sb="107" eb="109">
      <t xml:space="preserve">キョウイクケントウ </t>
    </rPh>
    <rPh sb="109" eb="111">
      <t xml:space="preserve">ケントウ </t>
    </rPh>
    <rPh sb="111" eb="114">
      <t xml:space="preserve">イインカイ </t>
    </rPh>
    <rPh sb="118" eb="119">
      <t xml:space="preserve">コンゴ </t>
    </rPh>
    <rPh sb="135" eb="137">
      <t xml:space="preserve">ジッシシタ </t>
    </rPh>
    <rPh sb="139" eb="141">
      <t xml:space="preserve">ガクセイカラノ </t>
    </rPh>
    <rPh sb="152" eb="156">
      <t xml:space="preserve">ガイブコウシ </t>
    </rPh>
    <rPh sb="157" eb="159">
      <t xml:space="preserve">シテンカラ </t>
    </rPh>
    <rPh sb="161" eb="163">
      <t xml:space="preserve">イケンヲ </t>
    </rPh>
    <rPh sb="164" eb="165">
      <t xml:space="preserve">モトメルコトヤ </t>
    </rPh>
    <rPh sb="171" eb="174">
      <t xml:space="preserve">マイネンド </t>
    </rPh>
    <rPh sb="174" eb="176">
      <t xml:space="preserve">ジッシシテイル </t>
    </rPh>
    <rPh sb="180" eb="183">
      <t xml:space="preserve">ソツギョウセイヘノ </t>
    </rPh>
    <rPh sb="187" eb="189">
      <t xml:space="preserve">キギョウ </t>
    </rPh>
    <rPh sb="199" eb="201">
      <t xml:space="preserve">ダンカイテキニ </t>
    </rPh>
    <rPh sb="201" eb="204">
      <t xml:space="preserve">ダンカイテキニ </t>
    </rPh>
    <rPh sb="215" eb="216">
      <t xml:space="preserve">ケイカクシテイル </t>
    </rPh>
    <rPh sb="217" eb="219">
      <t xml:space="preserve">ジッシ </t>
    </rPh>
    <rPh sb="221" eb="224">
      <t>エウル シクミヲ コウ</t>
    </rPh>
    <rPh sb="226" eb="227">
      <t xml:space="preserve">カカル </t>
    </rPh>
    <rPh sb="228" eb="230">
      <t xml:space="preserve">キョウイン </t>
    </rPh>
    <rPh sb="233" eb="235">
      <t>ミヲ コ</t>
    </rPh>
    <phoneticPr fontId="3"/>
  </si>
  <si>
    <t>前述の授業評価アンケートにおいて、授業への「積極的な参加」や「真剣に受けた」、授業の内容は「今後役立つ」について学生は肯定的な評価を示しており、学生は「学ぶ楽しさ」や「学ぶことの意義」の理解につなげることができたことがわかる。今後は、令和4年度では遠隔で教授していた内容を、AIを用いたシミュレーションを体験する演習を含めた対面による授業に置き換えるなど、より「学ぶ楽しさ」や「学ぶことの意義」を理解させることができるよう授業内容を検討する。情報教育部会として「学ぶ楽しさ」や「学ぶことの意義」について詳細な調査・分析をすすめるため、別途アンケートを実施することを計画している。</t>
    <rPh sb="0" eb="2">
      <t xml:space="preserve">ゼンジュツノ </t>
    </rPh>
    <rPh sb="3" eb="5">
      <t xml:space="preserve">ジュギョウ </t>
    </rPh>
    <rPh sb="5" eb="7">
      <t xml:space="preserve">ヒョウカ </t>
    </rPh>
    <rPh sb="31" eb="33">
      <t xml:space="preserve">シンケンニ </t>
    </rPh>
    <rPh sb="34" eb="35">
      <t xml:space="preserve">ウケタ </t>
    </rPh>
    <rPh sb="56" eb="58">
      <t xml:space="preserve">ガクセイハ </t>
    </rPh>
    <rPh sb="78" eb="80">
      <t xml:space="preserve">ゼンジュツノトオリ </t>
    </rPh>
    <rPh sb="86" eb="88">
      <t xml:space="preserve">シンケンニウケタ </t>
    </rPh>
    <rPh sb="93" eb="95">
      <t xml:space="preserve">リカイニ </t>
    </rPh>
    <rPh sb="112" eb="113">
      <t xml:space="preserve">ジュギョウノナイヨウハ </t>
    </rPh>
    <rPh sb="117" eb="119">
      <t xml:space="preserve">レイワ４ネンドニヨイテ </t>
    </rPh>
    <rPh sb="124" eb="125">
      <t xml:space="preserve">ヤクダツ </t>
    </rPh>
    <rPh sb="127" eb="128">
      <t xml:space="preserve">オモウニ </t>
    </rPh>
    <rPh sb="145" eb="146">
      <t xml:space="preserve">フクメタ </t>
    </rPh>
    <rPh sb="160" eb="161">
      <t xml:space="preserve">オオムネ </t>
    </rPh>
    <rPh sb="162" eb="164">
      <t xml:space="preserve">ガクセイハ </t>
    </rPh>
    <rPh sb="166" eb="167">
      <t xml:space="preserve">マナブタノシサ </t>
    </rPh>
    <rPh sb="174" eb="175">
      <t xml:space="preserve">マナブ </t>
    </rPh>
    <rPh sb="177" eb="178">
      <t xml:space="preserve">イギ </t>
    </rPh>
    <rPh sb="181" eb="183">
      <t xml:space="preserve">ナイヨウヲ </t>
    </rPh>
    <rPh sb="185" eb="187">
      <t xml:space="preserve">タイメンジュギョウヲ </t>
    </rPh>
    <rPh sb="191" eb="193">
      <t xml:space="preserve">エンシュウ </t>
    </rPh>
    <rPh sb="193" eb="195">
      <t xml:space="preserve">ジュギョウヲ </t>
    </rPh>
    <rPh sb="196" eb="197">
      <t xml:space="preserve">オキカエル </t>
    </rPh>
    <rPh sb="207" eb="209">
      <t xml:space="preserve">ジッサイニ </t>
    </rPh>
    <rPh sb="213" eb="214">
      <t xml:space="preserve">モチイタ </t>
    </rPh>
    <rPh sb="233" eb="235">
      <t xml:space="preserve">リカイサセルコトガ </t>
    </rPh>
    <rPh sb="253" eb="255">
      <t xml:space="preserve">ケントウ </t>
    </rPh>
    <rPh sb="258" eb="260">
      <t xml:space="preserve">ドウジニ </t>
    </rPh>
    <phoneticPr fontId="3"/>
  </si>
  <si>
    <t>令和4年度においては既存の動画教材と、授業担当教員が開発したPDF教材を組み合わせて授業を実施した。PDF教材は文字だけではなく図を用いた説明や手順などを取り入れるなど「分かりやすい」授業となるよう取り組んでいる。実際に本学が実施する学生による授業評価アンケート項目のうち、先生の「教材・資料等の準備」については、全体で7割強の学生が肯定的な評価を示している。しかし、前述の通り「理解度」については学科により差異が生じており、PDF教材の改訂や既存の動画教材から本学学生に合わせた教材に見直すことを計画している。また、情報教育部会に所属する授業担当教員により週一回の定例ミーティングを実施することにより、各週における授業の進度状況や学生の学習状況、提出課題の確認を行うなど、授業の内容・水準の維持および向上をすすめる。今後も学生による授業評価アンケートの調査結果を情報教育部会で報告および検討し、学生の理解度を把握すると同時に「分かりやすい」授業をめざして改善を促進していく。</t>
    <rPh sb="0" eb="2">
      <t xml:space="preserve">レイワ４ネンド </t>
    </rPh>
    <rPh sb="10" eb="12">
      <t xml:space="preserve">キソンノ </t>
    </rPh>
    <rPh sb="13" eb="14">
      <t xml:space="preserve">ゼンジュツノトオリ </t>
    </rPh>
    <rPh sb="20" eb="24">
      <t xml:space="preserve">ジョウホウキョウイクブカイ </t>
    </rPh>
    <rPh sb="24" eb="25">
      <t xml:space="preserve">ブカイ </t>
    </rPh>
    <rPh sb="26" eb="28">
      <t xml:space="preserve">カイハツシタ </t>
    </rPh>
    <rPh sb="33" eb="35">
      <t xml:space="preserve">キョウザイ </t>
    </rPh>
    <rPh sb="36" eb="37">
      <t xml:space="preserve">クミアワセテ </t>
    </rPh>
    <rPh sb="42" eb="44">
      <t xml:space="preserve">ジュギョウヲ </t>
    </rPh>
    <rPh sb="45" eb="47">
      <t xml:space="preserve">ジッシシタ </t>
    </rPh>
    <rPh sb="53" eb="55">
      <t xml:space="preserve">キョウザイハ </t>
    </rPh>
    <rPh sb="56" eb="58">
      <t xml:space="preserve">モジダケデハナク </t>
    </rPh>
    <rPh sb="64" eb="65">
      <t xml:space="preserve">ズヲ </t>
    </rPh>
    <rPh sb="66" eb="67">
      <t xml:space="preserve">モチイタ </t>
    </rPh>
    <rPh sb="69" eb="71">
      <t xml:space="preserve">セツメイヲ </t>
    </rPh>
    <rPh sb="72" eb="73">
      <t xml:space="preserve">カイ </t>
    </rPh>
    <rPh sb="74" eb="76">
      <t xml:space="preserve">テイレイ </t>
    </rPh>
    <rPh sb="84" eb="87">
      <t xml:space="preserve">ガクシュウジョウキョウ </t>
    </rPh>
    <rPh sb="88" eb="90">
      <t xml:space="preserve">テイシュツ </t>
    </rPh>
    <rPh sb="92" eb="94">
      <t xml:space="preserve">ジュギョウ </t>
    </rPh>
    <rPh sb="101" eb="103">
      <t xml:space="preserve">ナイヨウ </t>
    </rPh>
    <rPh sb="104" eb="105">
      <t xml:space="preserve">スイジュンンオ </t>
    </rPh>
    <rPh sb="106" eb="111">
      <t xml:space="preserve">ジッシスル </t>
    </rPh>
    <rPh sb="127" eb="129">
      <t xml:space="preserve">コウモクノウチ </t>
    </rPh>
    <rPh sb="133" eb="135">
      <t xml:space="preserve">センセイノ </t>
    </rPh>
    <rPh sb="138" eb="140">
      <t xml:space="preserve">カイハツ </t>
    </rPh>
    <rPh sb="145" eb="146">
      <t xml:space="preserve">ズヤ </t>
    </rPh>
    <rPh sb="148" eb="149">
      <t xml:space="preserve">クミアワセルナド </t>
    </rPh>
    <rPh sb="161" eb="162">
      <t xml:space="preserve">ワリ </t>
    </rPh>
    <rPh sb="162" eb="163">
      <t xml:space="preserve">キョウ </t>
    </rPh>
    <rPh sb="176" eb="177">
      <t xml:space="preserve">メザシテ </t>
    </rPh>
    <rPh sb="184" eb="185">
      <t xml:space="preserve">トリクンデイリ </t>
    </rPh>
    <rPh sb="192" eb="195">
      <t xml:space="preserve">ジッサイニ </t>
    </rPh>
    <rPh sb="196" eb="198">
      <t xml:space="preserve">ガクセイニヨル </t>
    </rPh>
    <rPh sb="199" eb="201">
      <t xml:space="preserve">ガッカニ </t>
    </rPh>
    <rPh sb="204" eb="206">
      <t xml:space="preserve">サイガ </t>
    </rPh>
    <rPh sb="207" eb="208">
      <t xml:space="preserve">ショウジテオリ </t>
    </rPh>
    <rPh sb="216" eb="218">
      <t xml:space="preserve">キョウザイノ </t>
    </rPh>
    <rPh sb="219" eb="221">
      <t xml:space="preserve">カイテイヤ </t>
    </rPh>
    <rPh sb="222" eb="224">
      <t xml:space="preserve">キソンノドウガキョウザイ </t>
    </rPh>
    <rPh sb="231" eb="233">
      <t xml:space="preserve">ホンガク </t>
    </rPh>
    <rPh sb="233" eb="235">
      <t xml:space="preserve">ガクセイニ </t>
    </rPh>
    <rPh sb="236" eb="237">
      <t xml:space="preserve">アワセタ </t>
    </rPh>
    <rPh sb="240" eb="242">
      <t xml:space="preserve">キョウザイ </t>
    </rPh>
    <rPh sb="243" eb="245">
      <t xml:space="preserve">ミナオス </t>
    </rPh>
    <rPh sb="249" eb="251">
      <t xml:space="preserve">ケイカクシテイル </t>
    </rPh>
    <rPh sb="261" eb="263">
      <t xml:space="preserve">ジュギョウヒョウカ </t>
    </rPh>
    <rPh sb="269" eb="271">
      <t xml:space="preserve">コウモクノウチ </t>
    </rPh>
    <rPh sb="275" eb="277">
      <t xml:space="preserve">キョウザイヤ </t>
    </rPh>
    <rPh sb="278" eb="281">
      <t xml:space="preserve">シリョウトウノ </t>
    </rPh>
    <rPh sb="282" eb="284">
      <t xml:space="preserve">ジュンビノ </t>
    </rPh>
    <rPh sb="285" eb="287">
      <t xml:space="preserve">セイビニツイテハ </t>
    </rPh>
    <rPh sb="288" eb="289">
      <t xml:space="preserve">トトノッテイタ </t>
    </rPh>
    <rPh sb="301" eb="308">
      <t xml:space="preserve">ゼンタイテキニ </t>
    </rPh>
    <rPh sb="309" eb="310">
      <t xml:space="preserve">ヤク </t>
    </rPh>
    <rPh sb="314" eb="316">
      <t xml:space="preserve">ガクセイガ </t>
    </rPh>
    <rPh sb="317" eb="320">
      <t xml:space="preserve">コウテイテキナ </t>
    </rPh>
    <rPh sb="321" eb="323">
      <t xml:space="preserve">ヒョウカヲ </t>
    </rPh>
    <rPh sb="324" eb="325">
      <t xml:space="preserve">シメシテイル </t>
    </rPh>
    <rPh sb="336" eb="337">
      <t xml:space="preserve">ケイゾクシテ </t>
    </rPh>
    <rPh sb="337" eb="339">
      <t xml:space="preserve">ジュギョウノ </t>
    </rPh>
    <rPh sb="391" eb="393">
      <t xml:space="preserve">ドウジニ </t>
    </rPh>
    <phoneticPr fontId="3"/>
  </si>
  <si>
    <t>令和4年度より、本教育プログラムを構成する科目を必修科目として配置することにより、本学に入学する全ての学生が履修できるカリキュラムとしている。本学では学生自身のノートPC必携化(BYOD)を実施するとともにLMSを利用した授業を展開しており、学生は講義の資料や教材をオンラインで確認できるサポート体制を構築している</t>
    <rPh sb="0" eb="2">
      <t xml:space="preserve">ホンガクデハ </t>
    </rPh>
    <rPh sb="9" eb="11">
      <t xml:space="preserve">ソクシンヲ </t>
    </rPh>
    <rPh sb="12" eb="14">
      <t xml:space="preserve">ジッシスルトトモニ </t>
    </rPh>
    <rPh sb="25" eb="27">
      <t xml:space="preserve">リヨウシタ </t>
    </rPh>
    <rPh sb="29" eb="32">
      <t xml:space="preserve">ホンキョウイク </t>
    </rPh>
    <rPh sb="65" eb="69">
      <t xml:space="preserve">ガクセイジシンノ </t>
    </rPh>
    <rPh sb="75" eb="77">
      <t xml:space="preserve">ヒッケイカ </t>
    </rPh>
    <rPh sb="77" eb="78">
      <t xml:space="preserve">カ </t>
    </rPh>
    <rPh sb="101" eb="103">
      <t xml:space="preserve">ジュギョウヲ </t>
    </rPh>
    <rPh sb="104" eb="106">
      <t xml:space="preserve">テンカイシテイル </t>
    </rPh>
    <rPh sb="111" eb="113">
      <t xml:space="preserve">ガクセイハ </t>
    </rPh>
    <rPh sb="114" eb="116">
      <t xml:space="preserve">コウギノ </t>
    </rPh>
    <rPh sb="117" eb="119">
      <t xml:space="preserve">シリョウヤ </t>
    </rPh>
    <rPh sb="120" eb="122">
      <t xml:space="preserve">キョウザイヲ </t>
    </rPh>
    <rPh sb="129" eb="131">
      <t xml:space="preserve">カクニン </t>
    </rPh>
    <rPh sb="136" eb="138">
      <t xml:space="preserve">コウチクシテイル </t>
    </rPh>
    <rPh sb="148" eb="150">
      <t xml:space="preserve">タイセイ </t>
    </rPh>
    <phoneticPr fontId="1"/>
  </si>
  <si>
    <t>本学では全科目について学生による授業評価アンケートを実施しており、授業の「満足度」や「理解度」などを把握することができる。本プログラムの主となる情報活用演習IIにおける授業アンケートのうち授業の「満足度」については、全体で約7割の学生が肯定的な評価をしているが、「理解度」については学部により差異が生じている。8学部のうち5学部では7割以上の学生が肯定的な評価を示し一定の理解度に達しているが、3学部では比較的理解度が低い傾向にあった。
今後の改善に向けた取り組みとして、各学部における学生のAI・データサイエンスに対する学修意欲や興味関心などの事前調査などの分析や、授業内容や授業方法の見直しを検討することにより、理解度の向上を図ることがあげられる。また、令和4年度は対面授業と遠隔授業を組み合わせた授業を展開したが、今後は全て対面授業とすることにより学生の反応を把握しながら理解度を高めるよう工夫する。</t>
    <rPh sb="11" eb="13">
      <t xml:space="preserve">ガクセイニヨル </t>
    </rPh>
    <rPh sb="37" eb="40">
      <t xml:space="preserve">マンゾクド </t>
    </rPh>
    <rPh sb="43" eb="46">
      <t xml:space="preserve">リカイド </t>
    </rPh>
    <rPh sb="61" eb="62">
      <t xml:space="preserve">ホンプログラムノ </t>
    </rPh>
    <rPh sb="68" eb="69">
      <t xml:space="preserve">シュトナル </t>
    </rPh>
    <rPh sb="72" eb="78">
      <t xml:space="preserve">ジョウホウカツヨウエンシュウ </t>
    </rPh>
    <rPh sb="84" eb="86">
      <t xml:space="preserve">ジュギョウアンケートノ </t>
    </rPh>
    <rPh sb="94" eb="96">
      <t xml:space="preserve">ジュギョウノ </t>
    </rPh>
    <rPh sb="98" eb="101">
      <t xml:space="preserve">マンゾクドニ </t>
    </rPh>
    <rPh sb="108" eb="110">
      <t xml:space="preserve">ゼンタイ </t>
    </rPh>
    <rPh sb="111" eb="112">
      <t xml:space="preserve">ヤク </t>
    </rPh>
    <rPh sb="113" eb="114">
      <t xml:space="preserve">ワリ </t>
    </rPh>
    <rPh sb="115" eb="117">
      <t xml:space="preserve">ガクセイガ </t>
    </rPh>
    <rPh sb="118" eb="121">
      <t xml:space="preserve">コウテイテキナ </t>
    </rPh>
    <rPh sb="122" eb="124">
      <t xml:space="preserve">ヒョウカヲ </t>
    </rPh>
    <rPh sb="132" eb="135">
      <t xml:space="preserve">リカイド </t>
    </rPh>
    <rPh sb="141" eb="143">
      <t xml:space="preserve">ガクブ </t>
    </rPh>
    <rPh sb="146" eb="148">
      <t xml:space="preserve">サイガ </t>
    </rPh>
    <rPh sb="149" eb="150">
      <t xml:space="preserve">ショウジテオリ </t>
    </rPh>
    <rPh sb="155" eb="157">
      <t xml:space="preserve">シャカイ </t>
    </rPh>
    <rPh sb="157" eb="159">
      <t xml:space="preserve">ガクブ </t>
    </rPh>
    <rPh sb="167" eb="171">
      <t xml:space="preserve">ケイエイガクブ </t>
    </rPh>
    <rPh sb="174" eb="176">
      <t xml:space="preserve">ガクブ </t>
    </rPh>
    <rPh sb="184" eb="185">
      <t xml:space="preserve">ワリ </t>
    </rPh>
    <rPh sb="185" eb="187">
      <t xml:space="preserve">イジョウノ </t>
    </rPh>
    <rPh sb="188" eb="190">
      <t xml:space="preserve">ガクセイガ </t>
    </rPh>
    <rPh sb="191" eb="194">
      <t xml:space="preserve">コウテイテキナ </t>
    </rPh>
    <rPh sb="195" eb="197">
      <t xml:space="preserve">イッテイ </t>
    </rPh>
    <rPh sb="198" eb="201">
      <t xml:space="preserve">リカイドニ </t>
    </rPh>
    <rPh sb="202" eb="203">
      <t xml:space="preserve">タッシテイル </t>
    </rPh>
    <rPh sb="210" eb="212">
      <t xml:space="preserve">ガクブノ </t>
    </rPh>
    <rPh sb="216" eb="218">
      <t xml:space="preserve">ガクブ </t>
    </rPh>
    <rPh sb="220" eb="223">
      <t xml:space="preserve">ヒカクテキ </t>
    </rPh>
    <rPh sb="223" eb="226">
      <t xml:space="preserve">リカイド </t>
    </rPh>
    <rPh sb="227" eb="228">
      <t xml:space="preserve">ヒクイ </t>
    </rPh>
    <rPh sb="229" eb="231">
      <t xml:space="preserve">ケイコウニ </t>
    </rPh>
    <rPh sb="237" eb="239">
      <t xml:space="preserve">コンゴノ </t>
    </rPh>
    <rPh sb="240" eb="242">
      <t xml:space="preserve">カイゼンニムケタ </t>
    </rPh>
    <rPh sb="246" eb="247">
      <t xml:space="preserve">トリクミチ </t>
    </rPh>
    <rPh sb="254" eb="255">
      <t xml:space="preserve">カクガッカノ </t>
    </rPh>
    <rPh sb="255" eb="257">
      <t xml:space="preserve">ガクブ </t>
    </rPh>
    <rPh sb="261" eb="263">
      <t xml:space="preserve">ガクセイノ </t>
    </rPh>
    <rPh sb="276" eb="277">
      <t xml:space="preserve">タイスル </t>
    </rPh>
    <rPh sb="279" eb="281">
      <t xml:space="preserve">ガクシュウ </t>
    </rPh>
    <rPh sb="281" eb="283">
      <t xml:space="preserve">イヨクヤ </t>
    </rPh>
    <rPh sb="284" eb="288">
      <t xml:space="preserve">キョウミカンシンナドノ </t>
    </rPh>
    <rPh sb="291" eb="293">
      <t xml:space="preserve">ジゼン </t>
    </rPh>
    <rPh sb="293" eb="295">
      <t xml:space="preserve">チョウサヲ </t>
    </rPh>
    <rPh sb="298" eb="300">
      <t xml:space="preserve">ブンセキ </t>
    </rPh>
    <rPh sb="302" eb="306">
      <t xml:space="preserve">ジュギョウナイヨウヤ </t>
    </rPh>
    <rPh sb="307" eb="311">
      <t xml:space="preserve">ジュギョウホウホウ </t>
    </rPh>
    <rPh sb="312" eb="314">
      <t xml:space="preserve">ミナオシヲ </t>
    </rPh>
    <rPh sb="316" eb="318">
      <t xml:space="preserve">ケントウスル </t>
    </rPh>
    <rPh sb="326" eb="329">
      <t xml:space="preserve">リカイド </t>
    </rPh>
    <rPh sb="330" eb="332">
      <t xml:space="preserve">コウジョウ </t>
    </rPh>
    <rPh sb="333" eb="334">
      <t xml:space="preserve">ハカル </t>
    </rPh>
    <rPh sb="347" eb="349">
      <t xml:space="preserve">レイワ４ネンドハ </t>
    </rPh>
    <rPh sb="353" eb="355">
      <t xml:space="preserve">タイメンニヨル </t>
    </rPh>
    <rPh sb="355" eb="357">
      <t xml:space="preserve">ジュギョウト </t>
    </rPh>
    <rPh sb="358" eb="360">
      <t xml:space="preserve">エンカクニヨル </t>
    </rPh>
    <rPh sb="360" eb="362">
      <t xml:space="preserve">ジュギョウヲ </t>
    </rPh>
    <rPh sb="363" eb="364">
      <t xml:space="preserve">クミアワセル </t>
    </rPh>
    <rPh sb="369" eb="371">
      <t xml:space="preserve">ジュギョウヲ </t>
    </rPh>
    <rPh sb="372" eb="374">
      <t xml:space="preserve">テンカイシタガ </t>
    </rPh>
    <rPh sb="378" eb="380">
      <t xml:space="preserve">コンゴハ </t>
    </rPh>
    <rPh sb="381" eb="382">
      <t xml:space="preserve">スベテ </t>
    </rPh>
    <rPh sb="383" eb="387">
      <t xml:space="preserve">タイメンジュギョウヲ </t>
    </rPh>
    <rPh sb="395" eb="397">
      <t xml:space="preserve">ガクセイノ </t>
    </rPh>
    <rPh sb="398" eb="400">
      <t xml:space="preserve">ハンノウ </t>
    </rPh>
    <rPh sb="401" eb="403">
      <t xml:space="preserve">ハアク リカイド タカメル クフウ </t>
    </rPh>
    <phoneticPr fontId="3"/>
  </si>
  <si>
    <t>AI等を活用した新しいビジネスモデル（シェアリングエコノミーなど）、AI最新技術の活用例(敵対的生成ネットワーク、強化学習、転移学習など)「情報活用演習II」（第6回）</t>
    <phoneticPr fontId="1"/>
  </si>
  <si>
    <t>個人情報保護、EU一般データ保護規則(GDPR)、忘れられる権利、オプトアウト「情報活用演習I」（第4回）
ELSI、データ倫理（データのねつ造、改ざん、盗用）、データバイアス、アルゴリズムバイアス、AI社会原則(公平性、説明責任、透明性、人間中心の判断)、AIサービスの責任論「情報活用演習II」（第7回）</t>
    <rPh sb="43" eb="46">
      <t xml:space="preserve">ジュウヨウセイ </t>
    </rPh>
    <phoneticPr fontId="1"/>
  </si>
  <si>
    <t>データサイエンスのサイクル(課題抽出と定式化、データの取得・管理・加工、
 探索的データ解析、データ解析と推論、結果の共有・伝達、課題解決に向けた提案)「情報活用演習II」（第5回）
流通、製造、金融、サービス、インフラ、公共、ヘルスケア等におけるデータ・AI利活用事例紹介「情報活用演習II」（第6,8回）</t>
    <phoneticPr fontId="1"/>
  </si>
  <si>
    <r>
      <t>データ・AI活用領域の広がり(生産、消費、文化活動など)、研究開発、調達、製造、物流、販売、マーケティング、サービスなど</t>
    </r>
    <r>
      <rPr>
        <sz val="12"/>
        <rFont val="ＭＳ Ｐゴシック"/>
        <family val="3"/>
        <charset val="128"/>
      </rPr>
      <t>、仮説検証、知識発見、原因究明、計画策定、判断支援、活動代替、新規生成など</t>
    </r>
    <r>
      <rPr>
        <sz val="12"/>
        <color theme="1"/>
        <rFont val="ＭＳ Ｐゴシック"/>
        <family val="3"/>
        <charset val="128"/>
        <scheme val="minor"/>
      </rPr>
      <t>「情報活用演習II」（第3,8回）</t>
    </r>
    <phoneticPr fontId="1"/>
  </si>
  <si>
    <t>データの種類(量的変数、質的変数) 、代表値(平均値、中央値、最頻値)、代表値の性質の違い(実社会では平均値=最頻値でないことが多い) 「情報活用演習II」（第9回）
データのばらつき(分散、標準偏差、偏差値)、データの分布(ヒストグラム)、相関と因果(相関係数) 「情報活用演習II」（第10回）
クロス集計表 「情報活用演習II」（第11回）
母集団と標本抽出(国勢調査、アンケート調査、全数調査、単純無作為抽出、層別抽出、多段抽出)、打ち切りや脱落を含むデータ、層別の必要なデータ 「情報活用演習II」（第12回）</t>
    <phoneticPr fontId="1"/>
  </si>
  <si>
    <t>データ解析ツール(スプレッドシート)「情報活用演習I」（第8回）「情報活用演習II」（第9,10,11,12回）
データの集計(和、平均)、データの並び替え、表形式のデータ 「情報活用演習I」（第9回） 「情報活用演習II」（第9回）</t>
    <phoneticPr fontId="1"/>
  </si>
  <si>
    <t>本プログラムは、 Society5.0時代に向けて必要となるAIやデータサイエンスの基礎を学習し、これら技術や知識を活用して社会における様々な問題を解決する基盤となる能力を育成することを目的とする。基礎的素養として多量なデータを含む情報を分析し整理する能力と、 AIやデータサイエンスの現状や留意事項、基本的な仕組みを理解し、社会の様々な領域におけるAI･データサイエンスの必要性や利活用について考える力を身に付ける。</t>
    <rPh sb="113" eb="118">
      <t xml:space="preserve">キソテキソヨウトシテ </t>
    </rPh>
    <rPh sb="173" eb="176">
      <t xml:space="preserve">リカツヨウ </t>
    </rPh>
    <rPh sb="182" eb="183">
      <t xml:space="preserve">アタラシイカチヲ </t>
    </rPh>
    <rPh sb="185" eb="187">
      <t xml:space="preserve">カチ </t>
    </rPh>
    <rPh sb="188" eb="190">
      <t xml:space="preserve">ソウゾウスル </t>
    </rPh>
    <rPh sb="192" eb="193">
      <t xml:space="preserve">チカラ </t>
    </rPh>
    <rPh sb="193" eb="194">
      <t>_x0000_o_x0001__x0008_Ó_x0001_</t>
    </rPh>
    <rPh sb="195" eb="197">
      <t xml:space="preserve">イクセイスル </t>
    </rPh>
    <rPh sb="199" eb="203">
      <t xml:space="preserve">リカツヨウホウ ノウリョクヲ ミニツケル </t>
    </rPh>
    <phoneticPr fontId="1"/>
  </si>
  <si>
    <t>目白大学教養教育機構</t>
    <rPh sb="0" eb="4">
      <t xml:space="preserve">メジロダイガク </t>
    </rPh>
    <rPh sb="4" eb="10">
      <t xml:space="preserve">キョウヨウキョウイクキコウ </t>
    </rPh>
    <phoneticPr fontId="1"/>
  </si>
  <si>
    <t>目白大学教養教育機構規程</t>
    <rPh sb="0" eb="4">
      <t xml:space="preserve">メジロダイガク キョウイクケントウイインカイ キテイ </t>
    </rPh>
    <phoneticPr fontId="1"/>
  </si>
  <si>
    <t>調査データ、実験データ、人の行動ログデータ、機械の稼働ログデータなど、1次データ、2次データ、非構造化データ(文章、画像/動画、音声/音楽など)、データのオープン化(オープンデータ)「情報活用演習II」（第3回）</t>
    <phoneticPr fontId="1"/>
  </si>
  <si>
    <t>太原 孝英</t>
    <rPh sb="0" eb="2">
      <t xml:space="preserve">ドイ </t>
    </rPh>
    <rPh sb="2" eb="3">
      <t xml:space="preserve">タダシイ </t>
    </rPh>
    <phoneticPr fontId="1"/>
  </si>
  <si>
    <t>学長・教養教育機構長</t>
    <rPh sb="0" eb="2">
      <t xml:space="preserve">フクガクチョウ </t>
    </rPh>
    <rPh sb="3" eb="7">
      <t xml:space="preserve">キョウヨウキョウイクフク </t>
    </rPh>
    <rPh sb="7" eb="10">
      <t xml:space="preserve">キコウチョウ </t>
    </rPh>
    <phoneticPr fontId="1"/>
  </si>
  <si>
    <r>
      <t xml:space="preserve">目白大学教養教育機構構成員
太原 孝英［学長］教授
土井 正［副学長(教育担当),総合科目教育部会長.国語教育部会長,企画・調整部会長］教授
小池 眞規子［心理学部長］教授
田尻 信壹［人間学部長］教授
飛田 満［社会学部長］教授
三上 義一［メディア学部長］教授
近田 典行［経営学部長］教授
小林 寛［外国語学部長］教授
矢野 秀典[保健医療学部長]教授
糸井 志津乃[看護学部長]教授
時本 真吾［外国語教育部会長］教授
皆川 武［情報教育部会長］教授
雪吹 誠［スポーツ・健康教育部会長,初年次教育部会長,副専攻部会長,新宿キャンパス学務部長(教務担当)］教授
新井 武志［さいたま岩槻部会長,さいたま岩槻キャンパス学務部長(教務担当)］教授
牛山 佳菜代[キャリア教育部会長]教授
</t>
    </r>
    <r>
      <rPr>
        <sz val="12"/>
        <rFont val="ＭＳ Ｐゴシック"/>
        <family val="3"/>
        <charset val="128"/>
      </rPr>
      <t>笠井 俊秀［大学事務局長］
鈴木 伸明［大学事務局次長］
岡 かおる［大学企画室長］
堀 崇一郎［教務部長］
鎌田 京子［修学支援部長]</t>
    </r>
    <rPh sb="59" eb="64">
      <t xml:space="preserve">キカクチョウセイ </t>
    </rPh>
    <rPh sb="64" eb="67">
      <t xml:space="preserve">ブカイチョウ </t>
    </rPh>
    <rPh sb="259" eb="261">
      <t xml:space="preserve">センコウ </t>
    </rPh>
    <rPh sb="261" eb="263">
      <t xml:space="preserve">ブカイ </t>
    </rPh>
    <rPh sb="263" eb="264">
      <t xml:space="preserve">チョウ </t>
    </rPh>
    <rPh sb="265" eb="267">
      <t xml:space="preserve">シンジュク </t>
    </rPh>
    <rPh sb="294" eb="296">
      <t xml:space="preserve">イワツキ </t>
    </rPh>
    <rPh sb="304" eb="306">
      <t xml:space="preserve">イワツキ </t>
    </rPh>
    <rPh sb="327" eb="329">
      <t xml:space="preserve">ウシヤマ </t>
    </rPh>
    <rPh sb="330" eb="333">
      <t xml:space="preserve">カナヨ </t>
    </rPh>
    <rPh sb="340" eb="342">
      <t xml:space="preserve">ブカイ </t>
    </rPh>
    <rPh sb="342" eb="343">
      <t xml:space="preserve">チョウ </t>
    </rPh>
    <rPh sb="344" eb="346">
      <t xml:space="preserve">キョウジュ </t>
    </rPh>
    <rPh sb="361" eb="363">
      <t xml:space="preserve">スズキ </t>
    </rPh>
    <rPh sb="364" eb="366">
      <t xml:space="preserve">ノブアキ </t>
    </rPh>
    <rPh sb="372" eb="374">
      <t xml:space="preserve">ブチョウ ブチョウ </t>
    </rPh>
    <rPh sb="402" eb="404">
      <t xml:space="preserve">カマタ </t>
    </rPh>
    <rPh sb="405" eb="407">
      <t xml:space="preserve">キョウコ </t>
    </rPh>
    <phoneticPr fontId="1"/>
  </si>
  <si>
    <t>本教育プログラムは、全学の共通科目のカリキュラムを策定及び見直し・改善を実施する教養教育機構に属する情報教育部会が実践し、ノートPC必携化(BYOD)の推進やPC演習室などの学習環境整備・管理運用、LMS学習支援に係る情報教育センターや教務課と連携して活動することにより発展的に進化させる体制を構築している。また、目白大学AI・データサイエンス教育検討委員会が主となり、AI・データサイエンス教育に関する事項を検討し、全科目を対象とする学生による授業評価アンケートを中心として、AI・データサイエンス教育プログラムの自己点検・評価を行う。</t>
    <rPh sb="23" eb="24">
      <t xml:space="preserve">シュトナリ </t>
    </rPh>
    <rPh sb="36" eb="38">
      <t xml:space="preserve">ジッシスル </t>
    </rPh>
    <rPh sb="41" eb="44">
      <t xml:space="preserve">ゼンガクテキナ </t>
    </rPh>
    <rPh sb="45" eb="49">
      <t xml:space="preserve">ジコテンケン </t>
    </rPh>
    <rPh sb="49" eb="51">
      <t xml:space="preserve">カツドウノ </t>
    </rPh>
    <rPh sb="52" eb="55">
      <t xml:space="preserve">ゼンカモクヲ </t>
    </rPh>
    <rPh sb="56" eb="58">
      <t xml:space="preserve">タイショウトスル </t>
    </rPh>
    <rPh sb="61" eb="63">
      <t xml:space="preserve">ガクセイニヨル </t>
    </rPh>
    <rPh sb="66" eb="70">
      <t xml:space="preserve">ジュギョウヒョウカ </t>
    </rPh>
    <rPh sb="76" eb="78">
      <t xml:space="preserve">チュウシントシテ </t>
    </rPh>
    <rPh sb="90" eb="92">
      <t xml:space="preserve">カイゼンヤ </t>
    </rPh>
    <rPh sb="93" eb="95">
      <t xml:space="preserve">シンカ </t>
    </rPh>
    <rPh sb="110" eb="111">
      <t xml:space="preserve">ホンプログラムノ </t>
    </rPh>
    <rPh sb="111" eb="113">
      <t xml:space="preserve">キョウイク </t>
    </rPh>
    <rPh sb="119" eb="123">
      <t xml:space="preserve">ジュギョウジッセン </t>
    </rPh>
    <rPh sb="125" eb="127">
      <t xml:space="preserve">ゼンガクノ </t>
    </rPh>
    <rPh sb="128" eb="132">
      <t xml:space="preserve">キョウツウカモク </t>
    </rPh>
    <rPh sb="140" eb="142">
      <t xml:space="preserve">サクテイスル </t>
    </rPh>
    <rPh sb="142" eb="143">
      <t xml:space="preserve">オヨビ </t>
    </rPh>
    <rPh sb="144" eb="146">
      <t xml:space="preserve">ミナオシ </t>
    </rPh>
    <rPh sb="148" eb="150">
      <t xml:space="preserve">カイゼン </t>
    </rPh>
    <rPh sb="151" eb="153">
      <t xml:space="preserve">シンギスル </t>
    </rPh>
    <rPh sb="158" eb="162">
      <t xml:space="preserve">キョウヨウキョウイク </t>
    </rPh>
    <rPh sb="162" eb="164">
      <t xml:space="preserve">キコウ </t>
    </rPh>
    <rPh sb="165" eb="166">
      <t xml:space="preserve">ゾクスル </t>
    </rPh>
    <rPh sb="168" eb="170">
      <t xml:space="preserve">ジョウホウキョイクブカイ </t>
    </rPh>
    <rPh sb="170" eb="172">
      <t xml:space="preserve">ジッセンシ </t>
    </rPh>
    <rPh sb="176" eb="179">
      <t xml:space="preserve">エンシュウシツ </t>
    </rPh>
    <rPh sb="189" eb="191">
      <t xml:space="preserve">スイシン </t>
    </rPh>
    <rPh sb="201" eb="203">
      <t xml:space="preserve">ガクシュウ </t>
    </rPh>
    <rPh sb="203" eb="205">
      <t xml:space="preserve">シエン </t>
    </rPh>
    <rPh sb="206" eb="207">
      <t xml:space="preserve">カカル </t>
    </rPh>
    <rPh sb="208" eb="211">
      <t xml:space="preserve">ジョウホウキョウイクセンタート </t>
    </rPh>
    <rPh sb="217" eb="219">
      <t xml:space="preserve">レンケイシテ </t>
    </rPh>
    <rPh sb="221" eb="223">
      <t xml:space="preserve">カツドウ </t>
    </rPh>
    <rPh sb="231" eb="234">
      <t xml:space="preserve">キョウムカ </t>
    </rPh>
    <rPh sb="243" eb="245">
      <t xml:space="preserve">タイセイヲ </t>
    </rPh>
    <rPh sb="246" eb="248">
      <t xml:space="preserve">コウチクシテイル ハッテンテキニ シンカサセル </t>
    </rPh>
    <phoneticPr fontId="1"/>
  </si>
  <si>
    <t>パスワード、悪意ある情報搾取、情報漏洩等によるセキュリティ事故の事例紹介「情報活用演習I」（第4,5回）
情報セキュリティ:機密性、完全性、可用性「情報活用演習I」（第6回）</t>
    <rPh sb="6" eb="8">
      <t>アクイ</t>
    </rPh>
    <rPh sb="10" eb="14">
      <t>ジョウホウサクシュ</t>
    </rPh>
    <rPh sb="34" eb="36">
      <t>ショウカイ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</si>
</sst>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14" xfId="2" applyFont="1" applyFill="1" applyBorder="1" applyAlignment="1">
      <alignment vertical="center" shrinkToFit="1"/>
    </xf>
    <xf numFmtId="38" fontId="2" fillId="0" borderId="23" xfId="2" applyFont="1" applyFill="1" applyBorder="1" applyAlignment="1">
      <alignment vertical="center" shrinkToFit="1"/>
    </xf>
    <xf numFmtId="0" fontId="2" fillId="0" borderId="60" xfId="0" applyFont="1" applyBorder="1" applyAlignment="1">
      <alignment horizontal="left" vertical="center" shrinkToFit="1"/>
    </xf>
    <xf numFmtId="0" fontId="2" fillId="0" borderId="61" xfId="0" applyFont="1" applyBorder="1" applyAlignment="1">
      <alignment horizontal="lef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6" xfId="0" applyFont="1" applyBorder="1" applyAlignment="1">
      <alignment horizontal="left" vertical="center"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xf>
    <xf numFmtId="0" fontId="2" fillId="0" borderId="35" xfId="0" applyFont="1" applyBorder="1" applyAlignment="1">
      <alignment vertical="center" wrapTex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W110"/>
  <sheetViews>
    <sheetView showZeros="0" tabSelected="1" view="pageBreakPreview" topLeftCell="A94" zoomScaleNormal="100" zoomScaleSheetLayoutView="100"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23" width="35.5" style="1" customWidth="1"/>
    <col min="24" max="16384" width="9" style="1"/>
  </cols>
  <sheetData>
    <row r="1" spans="1:22" ht="18.600000000000001" customHeight="1" x14ac:dyDescent="0.15">
      <c r="R1" s="105" t="s">
        <v>12</v>
      </c>
      <c r="S1" s="105"/>
      <c r="T1" s="2" t="s">
        <v>110</v>
      </c>
    </row>
    <row r="2" spans="1:22" ht="18.75" customHeight="1" x14ac:dyDescent="0.15">
      <c r="B2" s="34" t="s">
        <v>109</v>
      </c>
      <c r="C2" s="98" t="s">
        <v>127</v>
      </c>
      <c r="D2" s="99"/>
      <c r="E2" s="99"/>
      <c r="F2" s="99"/>
      <c r="G2" s="99"/>
      <c r="H2" s="99"/>
      <c r="I2" s="100"/>
      <c r="J2" s="35"/>
      <c r="K2" s="6"/>
      <c r="L2" s="6"/>
      <c r="M2" s="6"/>
      <c r="N2" s="6"/>
      <c r="O2" s="6"/>
      <c r="P2" s="6"/>
      <c r="Q2" s="6"/>
      <c r="R2" s="6"/>
      <c r="S2" s="6"/>
    </row>
    <row r="3" spans="1:22" ht="18.75" customHeight="1" x14ac:dyDescent="0.15">
      <c r="B3" s="34" t="s">
        <v>103</v>
      </c>
      <c r="C3" s="98" t="s">
        <v>128</v>
      </c>
      <c r="D3" s="99"/>
      <c r="E3" s="99"/>
      <c r="F3" s="99"/>
      <c r="G3" s="99"/>
      <c r="H3" s="99"/>
      <c r="I3" s="10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9" t="s">
        <v>39</v>
      </c>
      <c r="B5" s="109"/>
      <c r="C5" s="109"/>
      <c r="D5" s="109"/>
      <c r="E5" s="109"/>
      <c r="F5" s="109"/>
      <c r="G5" s="109"/>
      <c r="H5" s="109"/>
      <c r="I5" s="109"/>
      <c r="J5" s="109"/>
      <c r="K5" s="109"/>
      <c r="L5" s="109"/>
      <c r="M5" s="109"/>
      <c r="N5" s="109"/>
      <c r="O5" s="109"/>
      <c r="P5" s="109"/>
      <c r="Q5" s="109"/>
      <c r="R5" s="109"/>
      <c r="S5" s="10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19" t="s">
        <v>129</v>
      </c>
      <c r="L7" s="120"/>
      <c r="M7" s="120"/>
      <c r="N7" s="120"/>
      <c r="O7" s="120"/>
      <c r="P7" s="120"/>
      <c r="Q7" s="120"/>
      <c r="R7" s="120"/>
      <c r="S7" s="12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6"/>
      <c r="C9" s="87"/>
      <c r="D9" s="87"/>
      <c r="E9" s="87"/>
      <c r="F9" s="87"/>
      <c r="G9" s="87"/>
      <c r="H9" s="87"/>
      <c r="I9" s="87"/>
      <c r="J9" s="87"/>
      <c r="K9" s="87"/>
      <c r="L9" s="87"/>
      <c r="M9" s="87"/>
      <c r="N9" s="87"/>
      <c r="O9" s="87"/>
      <c r="P9" s="87"/>
      <c r="Q9" s="87"/>
      <c r="R9" s="87"/>
      <c r="S9" s="88"/>
    </row>
    <row r="10" spans="1:22" ht="18" customHeight="1" x14ac:dyDescent="0.15">
      <c r="B10" s="89"/>
      <c r="C10" s="90"/>
      <c r="D10" s="90"/>
      <c r="E10" s="90"/>
      <c r="F10" s="90"/>
      <c r="G10" s="90"/>
      <c r="H10" s="90"/>
      <c r="I10" s="90"/>
      <c r="J10" s="90"/>
      <c r="K10" s="90"/>
      <c r="L10" s="90"/>
      <c r="M10" s="90"/>
      <c r="N10" s="90"/>
      <c r="O10" s="90"/>
      <c r="P10" s="90"/>
      <c r="Q10" s="90"/>
      <c r="R10" s="90"/>
      <c r="S10" s="9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0" t="s">
        <v>130</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15">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15">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15">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15">
      <c r="B17" s="113"/>
      <c r="C17" s="114"/>
      <c r="D17" s="114"/>
      <c r="E17" s="114"/>
      <c r="F17" s="114"/>
      <c r="G17" s="114"/>
      <c r="H17" s="114"/>
      <c r="I17" s="114"/>
      <c r="J17" s="114"/>
      <c r="K17" s="114"/>
      <c r="L17" s="114"/>
      <c r="M17" s="114"/>
      <c r="N17" s="114"/>
      <c r="O17" s="114"/>
      <c r="P17" s="114"/>
      <c r="Q17" s="114"/>
      <c r="R17" s="114"/>
      <c r="S17" s="115"/>
    </row>
    <row r="18" spans="1:19" ht="18" customHeight="1" x14ac:dyDescent="0.15">
      <c r="B18" s="116"/>
      <c r="C18" s="117"/>
      <c r="D18" s="117"/>
      <c r="E18" s="117"/>
      <c r="F18" s="117"/>
      <c r="G18" s="117"/>
      <c r="H18" s="117"/>
      <c r="I18" s="117"/>
      <c r="J18" s="117"/>
      <c r="K18" s="117"/>
      <c r="L18" s="117"/>
      <c r="M18" s="117"/>
      <c r="N18" s="117"/>
      <c r="O18" s="117"/>
      <c r="P18" s="117"/>
      <c r="Q18" s="117"/>
      <c r="R18" s="117"/>
      <c r="S18" s="118"/>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98">
        <v>4</v>
      </c>
      <c r="D20" s="100"/>
      <c r="E20" s="40" t="s">
        <v>96</v>
      </c>
      <c r="G20" s="10"/>
      <c r="H20" s="3"/>
      <c r="I20" s="3"/>
      <c r="J20" s="35" t="s">
        <v>122</v>
      </c>
      <c r="K20" s="106" t="s">
        <v>111</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1" t="s">
        <v>114</v>
      </c>
      <c r="B22" s="101"/>
      <c r="C22" s="101"/>
      <c r="D22" s="101"/>
      <c r="E22" s="101"/>
      <c r="F22" s="101"/>
      <c r="G22" s="101"/>
      <c r="H22" s="101"/>
      <c r="I22" s="101"/>
      <c r="J22" s="101"/>
      <c r="K22" s="101"/>
      <c r="L22" s="101"/>
      <c r="M22" s="101"/>
      <c r="N22" s="101"/>
      <c r="O22" s="101"/>
      <c r="P22" s="101"/>
      <c r="Q22" s="101"/>
      <c r="R22" s="101"/>
      <c r="S22" s="101"/>
    </row>
    <row r="23" spans="1:19" ht="18" customHeight="1" x14ac:dyDescent="0.15">
      <c r="A23" s="101"/>
      <c r="B23" s="101"/>
      <c r="C23" s="101"/>
      <c r="D23" s="101"/>
      <c r="E23" s="101"/>
      <c r="F23" s="101"/>
      <c r="G23" s="101"/>
      <c r="H23" s="101"/>
      <c r="I23" s="101"/>
      <c r="J23" s="101"/>
      <c r="K23" s="101"/>
      <c r="L23" s="101"/>
      <c r="M23" s="101"/>
      <c r="N23" s="101"/>
      <c r="O23" s="101"/>
      <c r="P23" s="101"/>
      <c r="Q23" s="101"/>
      <c r="R23" s="101"/>
      <c r="S23" s="101"/>
    </row>
    <row r="24" spans="1:19" ht="18" customHeight="1" x14ac:dyDescent="0.15">
      <c r="B24" s="98" t="s">
        <v>54</v>
      </c>
      <c r="C24" s="99"/>
      <c r="D24" s="99"/>
      <c r="E24" s="100"/>
      <c r="F24" s="61" t="s">
        <v>81</v>
      </c>
      <c r="G24" s="60" t="s">
        <v>85</v>
      </c>
      <c r="H24" s="22" t="s">
        <v>57</v>
      </c>
      <c r="I24" s="22" t="s">
        <v>60</v>
      </c>
      <c r="J24" s="98" t="s">
        <v>54</v>
      </c>
      <c r="K24" s="99"/>
      <c r="L24" s="99"/>
      <c r="M24" s="99"/>
      <c r="N24" s="99"/>
      <c r="O24" s="100"/>
      <c r="P24" s="61" t="s">
        <v>81</v>
      </c>
      <c r="Q24" s="60" t="s">
        <v>85</v>
      </c>
      <c r="R24" s="22" t="s">
        <v>57</v>
      </c>
      <c r="S24" s="22" t="s">
        <v>60</v>
      </c>
    </row>
    <row r="25" spans="1:19" ht="18" customHeight="1" x14ac:dyDescent="0.15">
      <c r="B25" s="102" t="s">
        <v>132</v>
      </c>
      <c r="C25" s="103"/>
      <c r="D25" s="103"/>
      <c r="E25" s="104"/>
      <c r="F25" s="23">
        <v>2</v>
      </c>
      <c r="G25" s="23" t="s">
        <v>133</v>
      </c>
      <c r="H25" s="23" t="s">
        <v>133</v>
      </c>
      <c r="I25" s="23" t="s">
        <v>133</v>
      </c>
      <c r="J25" s="102"/>
      <c r="K25" s="103"/>
      <c r="L25" s="103"/>
      <c r="M25" s="103"/>
      <c r="N25" s="103"/>
      <c r="O25" s="104"/>
      <c r="P25" s="23"/>
      <c r="Q25" s="23"/>
      <c r="R25" s="23"/>
      <c r="S25" s="23"/>
    </row>
    <row r="26" spans="1:19" ht="18" customHeight="1" x14ac:dyDescent="0.15">
      <c r="B26" s="102"/>
      <c r="C26" s="103"/>
      <c r="D26" s="103"/>
      <c r="E26" s="104"/>
      <c r="F26" s="24"/>
      <c r="G26" s="24"/>
      <c r="H26" s="24"/>
      <c r="I26" s="24"/>
      <c r="J26" s="92"/>
      <c r="K26" s="93"/>
      <c r="L26" s="93"/>
      <c r="M26" s="93"/>
      <c r="N26" s="93"/>
      <c r="O26" s="94"/>
      <c r="P26" s="24"/>
      <c r="Q26" s="24"/>
      <c r="R26" s="24"/>
      <c r="S26" s="24"/>
    </row>
    <row r="27" spans="1:19" ht="18" customHeight="1" x14ac:dyDescent="0.15">
      <c r="B27" s="92"/>
      <c r="C27" s="93"/>
      <c r="D27" s="93"/>
      <c r="E27" s="94"/>
      <c r="F27" s="24"/>
      <c r="G27" s="24"/>
      <c r="H27" s="24"/>
      <c r="I27" s="24"/>
      <c r="J27" s="92"/>
      <c r="K27" s="93"/>
      <c r="L27" s="93"/>
      <c r="M27" s="93"/>
      <c r="N27" s="93"/>
      <c r="O27" s="94"/>
      <c r="P27" s="24"/>
      <c r="Q27" s="24"/>
      <c r="R27" s="24"/>
      <c r="S27" s="24"/>
    </row>
    <row r="28" spans="1:19" ht="18" customHeight="1" x14ac:dyDescent="0.15">
      <c r="B28" s="92"/>
      <c r="C28" s="93"/>
      <c r="D28" s="93"/>
      <c r="E28" s="94"/>
      <c r="F28" s="24"/>
      <c r="G28" s="24"/>
      <c r="H28" s="24"/>
      <c r="I28" s="24"/>
      <c r="J28" s="92"/>
      <c r="K28" s="93"/>
      <c r="L28" s="93"/>
      <c r="M28" s="93"/>
      <c r="N28" s="93"/>
      <c r="O28" s="94"/>
      <c r="P28" s="24"/>
      <c r="Q28" s="24"/>
      <c r="R28" s="24"/>
      <c r="S28" s="24"/>
    </row>
    <row r="29" spans="1:19" ht="18" customHeight="1" x14ac:dyDescent="0.15">
      <c r="B29" s="92"/>
      <c r="C29" s="93"/>
      <c r="D29" s="93"/>
      <c r="E29" s="94"/>
      <c r="F29" s="24"/>
      <c r="G29" s="24"/>
      <c r="H29" s="24"/>
      <c r="I29" s="24"/>
      <c r="J29" s="92"/>
      <c r="K29" s="93"/>
      <c r="L29" s="93"/>
      <c r="M29" s="93"/>
      <c r="N29" s="93"/>
      <c r="O29" s="94"/>
      <c r="P29" s="24"/>
      <c r="Q29" s="24"/>
      <c r="R29" s="24"/>
      <c r="S29" s="24"/>
    </row>
    <row r="30" spans="1:19" ht="18" customHeight="1" x14ac:dyDescent="0.15">
      <c r="A30" s="3"/>
      <c r="B30" s="92"/>
      <c r="C30" s="93"/>
      <c r="D30" s="93"/>
      <c r="E30" s="94"/>
      <c r="F30" s="24"/>
      <c r="G30" s="24"/>
      <c r="H30" s="24"/>
      <c r="I30" s="24"/>
      <c r="J30" s="92"/>
      <c r="K30" s="93"/>
      <c r="L30" s="93"/>
      <c r="M30" s="93"/>
      <c r="N30" s="93"/>
      <c r="O30" s="94"/>
      <c r="P30" s="24"/>
      <c r="Q30" s="24"/>
      <c r="R30" s="24"/>
      <c r="S30" s="24"/>
    </row>
    <row r="31" spans="1:19" ht="18" customHeight="1" x14ac:dyDescent="0.15">
      <c r="A31" s="3"/>
      <c r="B31" s="95"/>
      <c r="C31" s="96"/>
      <c r="D31" s="96"/>
      <c r="E31" s="97"/>
      <c r="F31" s="25"/>
      <c r="G31" s="25"/>
      <c r="H31" s="26"/>
      <c r="I31" s="26"/>
      <c r="J31" s="95"/>
      <c r="K31" s="96"/>
      <c r="L31" s="96"/>
      <c r="M31" s="96"/>
      <c r="N31" s="96"/>
      <c r="O31" s="97"/>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1" t="s">
        <v>115</v>
      </c>
      <c r="B33" s="101"/>
      <c r="C33" s="101"/>
      <c r="D33" s="101"/>
      <c r="E33" s="101"/>
      <c r="F33" s="101"/>
      <c r="G33" s="101"/>
      <c r="H33" s="101"/>
      <c r="I33" s="101"/>
      <c r="J33" s="101"/>
      <c r="K33" s="101"/>
      <c r="L33" s="101"/>
      <c r="M33" s="101"/>
      <c r="N33" s="101"/>
      <c r="O33" s="101"/>
      <c r="P33" s="101"/>
      <c r="Q33" s="101"/>
      <c r="R33" s="101"/>
      <c r="S33" s="101"/>
    </row>
    <row r="34" spans="1:19" ht="18" customHeight="1" x14ac:dyDescent="0.15">
      <c r="A34" s="101"/>
      <c r="B34" s="101"/>
      <c r="C34" s="101"/>
      <c r="D34" s="101"/>
      <c r="E34" s="101"/>
      <c r="F34" s="101"/>
      <c r="G34" s="101"/>
      <c r="H34" s="101"/>
      <c r="I34" s="101"/>
      <c r="J34" s="101"/>
      <c r="K34" s="101"/>
      <c r="L34" s="101"/>
      <c r="M34" s="101"/>
      <c r="N34" s="101"/>
      <c r="O34" s="101"/>
      <c r="P34" s="101"/>
      <c r="Q34" s="101"/>
      <c r="R34" s="101"/>
      <c r="S34" s="101"/>
    </row>
    <row r="35" spans="1:19" ht="18" customHeight="1" x14ac:dyDescent="0.15">
      <c r="B35" s="98" t="s">
        <v>54</v>
      </c>
      <c r="C35" s="99"/>
      <c r="D35" s="99"/>
      <c r="E35" s="100"/>
      <c r="F35" s="61" t="s">
        <v>81</v>
      </c>
      <c r="G35" s="60" t="s">
        <v>85</v>
      </c>
      <c r="H35" s="22" t="s">
        <v>72</v>
      </c>
      <c r="I35" s="22" t="s">
        <v>73</v>
      </c>
      <c r="J35" s="98" t="s">
        <v>54</v>
      </c>
      <c r="K35" s="99"/>
      <c r="L35" s="99"/>
      <c r="M35" s="99"/>
      <c r="N35" s="99"/>
      <c r="O35" s="100"/>
      <c r="P35" s="61" t="s">
        <v>81</v>
      </c>
      <c r="Q35" s="60" t="s">
        <v>85</v>
      </c>
      <c r="R35" s="22" t="s">
        <v>72</v>
      </c>
      <c r="S35" s="22" t="s">
        <v>73</v>
      </c>
    </row>
    <row r="36" spans="1:19" ht="18" customHeight="1" x14ac:dyDescent="0.15">
      <c r="B36" s="102" t="s">
        <v>132</v>
      </c>
      <c r="C36" s="103"/>
      <c r="D36" s="103"/>
      <c r="E36" s="104"/>
      <c r="F36" s="23">
        <v>2</v>
      </c>
      <c r="G36" s="23" t="s">
        <v>133</v>
      </c>
      <c r="H36" s="23" t="s">
        <v>133</v>
      </c>
      <c r="I36" s="23" t="s">
        <v>133</v>
      </c>
      <c r="J36" s="102"/>
      <c r="K36" s="103"/>
      <c r="L36" s="103"/>
      <c r="M36" s="103"/>
      <c r="N36" s="103"/>
      <c r="O36" s="104"/>
      <c r="P36" s="23"/>
      <c r="Q36" s="23"/>
      <c r="R36" s="23"/>
      <c r="S36" s="23"/>
    </row>
    <row r="37" spans="1:19" ht="18" customHeight="1" x14ac:dyDescent="0.15">
      <c r="B37" s="102"/>
      <c r="C37" s="103"/>
      <c r="D37" s="103"/>
      <c r="E37" s="104"/>
      <c r="F37" s="24"/>
      <c r="G37" s="24"/>
      <c r="H37" s="24"/>
      <c r="I37" s="24"/>
      <c r="J37" s="92"/>
      <c r="K37" s="93"/>
      <c r="L37" s="93"/>
      <c r="M37" s="93"/>
      <c r="N37" s="93"/>
      <c r="O37" s="94"/>
      <c r="P37" s="24"/>
      <c r="Q37" s="24"/>
      <c r="R37" s="24"/>
      <c r="S37" s="24"/>
    </row>
    <row r="38" spans="1:19" ht="18" customHeight="1" x14ac:dyDescent="0.15">
      <c r="B38" s="92"/>
      <c r="C38" s="93"/>
      <c r="D38" s="93"/>
      <c r="E38" s="94"/>
      <c r="F38" s="24"/>
      <c r="G38" s="24"/>
      <c r="H38" s="24"/>
      <c r="I38" s="24"/>
      <c r="J38" s="92"/>
      <c r="K38" s="93"/>
      <c r="L38" s="93"/>
      <c r="M38" s="93"/>
      <c r="N38" s="93"/>
      <c r="O38" s="94"/>
      <c r="P38" s="24"/>
      <c r="Q38" s="24"/>
      <c r="R38" s="24"/>
      <c r="S38" s="24"/>
    </row>
    <row r="39" spans="1:19" ht="18" customHeight="1" x14ac:dyDescent="0.15">
      <c r="B39" s="92"/>
      <c r="C39" s="93"/>
      <c r="D39" s="93"/>
      <c r="E39" s="94"/>
      <c r="F39" s="24"/>
      <c r="G39" s="24"/>
      <c r="H39" s="24"/>
      <c r="I39" s="24"/>
      <c r="J39" s="92"/>
      <c r="K39" s="93"/>
      <c r="L39" s="93"/>
      <c r="M39" s="93"/>
      <c r="N39" s="93"/>
      <c r="O39" s="94"/>
      <c r="P39" s="24"/>
      <c r="Q39" s="24"/>
      <c r="R39" s="24"/>
      <c r="S39" s="24"/>
    </row>
    <row r="40" spans="1:19" ht="18" customHeight="1" x14ac:dyDescent="0.15">
      <c r="B40" s="92"/>
      <c r="C40" s="93"/>
      <c r="D40" s="93"/>
      <c r="E40" s="94"/>
      <c r="F40" s="24"/>
      <c r="G40" s="24"/>
      <c r="H40" s="24"/>
      <c r="I40" s="24"/>
      <c r="J40" s="92"/>
      <c r="K40" s="93"/>
      <c r="L40" s="93"/>
      <c r="M40" s="93"/>
      <c r="N40" s="93"/>
      <c r="O40" s="94"/>
      <c r="P40" s="24"/>
      <c r="Q40" s="24"/>
      <c r="R40" s="24"/>
      <c r="S40" s="24"/>
    </row>
    <row r="41" spans="1:19" ht="18" customHeight="1" x14ac:dyDescent="0.15">
      <c r="B41" s="92"/>
      <c r="C41" s="93"/>
      <c r="D41" s="93"/>
      <c r="E41" s="94"/>
      <c r="F41" s="24"/>
      <c r="G41" s="24"/>
      <c r="H41" s="24"/>
      <c r="I41" s="24"/>
      <c r="J41" s="92"/>
      <c r="K41" s="93"/>
      <c r="L41" s="93"/>
      <c r="M41" s="93"/>
      <c r="N41" s="93"/>
      <c r="O41" s="94"/>
      <c r="P41" s="24"/>
      <c r="Q41" s="24"/>
      <c r="R41" s="24"/>
      <c r="S41" s="24"/>
    </row>
    <row r="42" spans="1:19" ht="18" customHeight="1" x14ac:dyDescent="0.15">
      <c r="B42" s="95"/>
      <c r="C42" s="96"/>
      <c r="D42" s="96"/>
      <c r="E42" s="97"/>
      <c r="F42" s="25"/>
      <c r="G42" s="25"/>
      <c r="H42" s="26"/>
      <c r="I42" s="26"/>
      <c r="J42" s="95"/>
      <c r="K42" s="96"/>
      <c r="L42" s="96"/>
      <c r="M42" s="96"/>
      <c r="N42" s="96"/>
      <c r="O42" s="97"/>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1" t="s">
        <v>116</v>
      </c>
      <c r="B44" s="101"/>
      <c r="C44" s="101"/>
      <c r="D44" s="101"/>
      <c r="E44" s="101"/>
      <c r="F44" s="101"/>
      <c r="G44" s="101"/>
      <c r="H44" s="101"/>
      <c r="I44" s="101"/>
      <c r="J44" s="101"/>
      <c r="K44" s="101"/>
      <c r="L44" s="101"/>
      <c r="M44" s="101"/>
      <c r="N44" s="101"/>
      <c r="O44" s="101"/>
      <c r="P44" s="101"/>
      <c r="Q44" s="101"/>
      <c r="R44" s="101"/>
      <c r="S44" s="101"/>
    </row>
    <row r="45" spans="1:19" ht="18" customHeight="1" x14ac:dyDescent="0.15">
      <c r="A45" s="101"/>
      <c r="B45" s="101"/>
      <c r="C45" s="101"/>
      <c r="D45" s="101"/>
      <c r="E45" s="101"/>
      <c r="F45" s="101"/>
      <c r="G45" s="101"/>
      <c r="H45" s="101"/>
      <c r="I45" s="101"/>
      <c r="J45" s="101"/>
      <c r="K45" s="101"/>
      <c r="L45" s="101"/>
      <c r="M45" s="101"/>
      <c r="N45" s="101"/>
      <c r="O45" s="101"/>
      <c r="P45" s="101"/>
      <c r="Q45" s="101"/>
      <c r="R45" s="101"/>
      <c r="S45" s="101"/>
    </row>
    <row r="46" spans="1:19" ht="18" customHeight="1" x14ac:dyDescent="0.15">
      <c r="B46" s="98" t="s">
        <v>54</v>
      </c>
      <c r="C46" s="99"/>
      <c r="D46" s="99"/>
      <c r="E46" s="100"/>
      <c r="F46" s="61" t="s">
        <v>81</v>
      </c>
      <c r="G46" s="60" t="s">
        <v>85</v>
      </c>
      <c r="H46" s="22" t="s">
        <v>74</v>
      </c>
      <c r="I46" s="22" t="s">
        <v>75</v>
      </c>
      <c r="J46" s="98" t="s">
        <v>54</v>
      </c>
      <c r="K46" s="99"/>
      <c r="L46" s="99"/>
      <c r="M46" s="99"/>
      <c r="N46" s="99"/>
      <c r="O46" s="100"/>
      <c r="P46" s="61" t="s">
        <v>81</v>
      </c>
      <c r="Q46" s="60" t="s">
        <v>85</v>
      </c>
      <c r="R46" s="22" t="s">
        <v>74</v>
      </c>
      <c r="S46" s="22" t="s">
        <v>75</v>
      </c>
    </row>
    <row r="47" spans="1:19" ht="18" customHeight="1" x14ac:dyDescent="0.15">
      <c r="A47" s="3"/>
      <c r="B47" s="102" t="s">
        <v>132</v>
      </c>
      <c r="C47" s="103"/>
      <c r="D47" s="103"/>
      <c r="E47" s="104"/>
      <c r="F47" s="23">
        <v>2</v>
      </c>
      <c r="G47" s="23" t="s">
        <v>133</v>
      </c>
      <c r="H47" s="23" t="s">
        <v>133</v>
      </c>
      <c r="I47" s="23" t="s">
        <v>133</v>
      </c>
      <c r="J47" s="102"/>
      <c r="K47" s="103"/>
      <c r="L47" s="103"/>
      <c r="M47" s="103"/>
      <c r="N47" s="103"/>
      <c r="O47" s="104"/>
      <c r="P47" s="23"/>
      <c r="Q47" s="23"/>
      <c r="R47" s="23"/>
      <c r="S47" s="23"/>
    </row>
    <row r="48" spans="1:19" ht="18" customHeight="1" x14ac:dyDescent="0.15">
      <c r="A48" s="3"/>
      <c r="B48" s="102"/>
      <c r="C48" s="103"/>
      <c r="D48" s="103"/>
      <c r="E48" s="104"/>
      <c r="F48" s="24"/>
      <c r="G48" s="24"/>
      <c r="H48" s="24"/>
      <c r="I48" s="24"/>
      <c r="J48" s="92"/>
      <c r="K48" s="93"/>
      <c r="L48" s="93"/>
      <c r="M48" s="93"/>
      <c r="N48" s="93"/>
      <c r="O48" s="94"/>
      <c r="P48" s="24"/>
      <c r="Q48" s="24"/>
      <c r="R48" s="24"/>
      <c r="S48" s="24"/>
    </row>
    <row r="49" spans="1:19" ht="18" customHeight="1" x14ac:dyDescent="0.15">
      <c r="A49" s="3"/>
      <c r="B49" s="92"/>
      <c r="C49" s="93"/>
      <c r="D49" s="93"/>
      <c r="E49" s="94"/>
      <c r="F49" s="24"/>
      <c r="G49" s="24"/>
      <c r="H49" s="24"/>
      <c r="I49" s="24"/>
      <c r="J49" s="92"/>
      <c r="K49" s="93"/>
      <c r="L49" s="93"/>
      <c r="M49" s="93"/>
      <c r="N49" s="93"/>
      <c r="O49" s="94"/>
      <c r="P49" s="24"/>
      <c r="Q49" s="24"/>
      <c r="R49" s="24"/>
      <c r="S49" s="24"/>
    </row>
    <row r="50" spans="1:19" ht="18" customHeight="1" x14ac:dyDescent="0.15">
      <c r="A50" s="3"/>
      <c r="B50" s="92"/>
      <c r="C50" s="93"/>
      <c r="D50" s="93"/>
      <c r="E50" s="94"/>
      <c r="F50" s="24"/>
      <c r="G50" s="24"/>
      <c r="H50" s="24"/>
      <c r="I50" s="24"/>
      <c r="J50" s="92"/>
      <c r="K50" s="93"/>
      <c r="L50" s="93"/>
      <c r="M50" s="93"/>
      <c r="N50" s="93"/>
      <c r="O50" s="94"/>
      <c r="P50" s="24"/>
      <c r="Q50" s="24"/>
      <c r="R50" s="24"/>
      <c r="S50" s="24"/>
    </row>
    <row r="51" spans="1:19" ht="18" customHeight="1" x14ac:dyDescent="0.15">
      <c r="A51" s="3"/>
      <c r="B51" s="92"/>
      <c r="C51" s="93"/>
      <c r="D51" s="93"/>
      <c r="E51" s="94"/>
      <c r="F51" s="24"/>
      <c r="G51" s="24"/>
      <c r="H51" s="24"/>
      <c r="I51" s="24"/>
      <c r="J51" s="92"/>
      <c r="K51" s="93"/>
      <c r="L51" s="93"/>
      <c r="M51" s="93"/>
      <c r="N51" s="93"/>
      <c r="O51" s="94"/>
      <c r="P51" s="24"/>
      <c r="Q51" s="24"/>
      <c r="R51" s="24"/>
      <c r="S51" s="24"/>
    </row>
    <row r="52" spans="1:19" ht="18" customHeight="1" x14ac:dyDescent="0.15">
      <c r="A52" s="3"/>
      <c r="B52" s="92"/>
      <c r="C52" s="93"/>
      <c r="D52" s="93"/>
      <c r="E52" s="94"/>
      <c r="F52" s="24"/>
      <c r="G52" s="24"/>
      <c r="H52" s="24"/>
      <c r="I52" s="24"/>
      <c r="J52" s="92"/>
      <c r="K52" s="93"/>
      <c r="L52" s="93"/>
      <c r="M52" s="93"/>
      <c r="N52" s="93"/>
      <c r="O52" s="94"/>
      <c r="P52" s="24"/>
      <c r="Q52" s="24"/>
      <c r="R52" s="24"/>
      <c r="S52" s="24"/>
    </row>
    <row r="53" spans="1:19" ht="18" customHeight="1" x14ac:dyDescent="0.15">
      <c r="A53" s="3"/>
      <c r="B53" s="95"/>
      <c r="C53" s="96"/>
      <c r="D53" s="96"/>
      <c r="E53" s="97"/>
      <c r="F53" s="25"/>
      <c r="G53" s="25"/>
      <c r="H53" s="26"/>
      <c r="I53" s="26"/>
      <c r="J53" s="95"/>
      <c r="K53" s="96"/>
      <c r="L53" s="96"/>
      <c r="M53" s="96"/>
      <c r="N53" s="96"/>
      <c r="O53" s="97"/>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1" t="s">
        <v>117</v>
      </c>
      <c r="B55" s="101"/>
      <c r="C55" s="101"/>
      <c r="D55" s="101"/>
      <c r="E55" s="101"/>
      <c r="F55" s="101"/>
      <c r="G55" s="101"/>
      <c r="H55" s="101"/>
      <c r="I55" s="101"/>
      <c r="J55" s="101"/>
      <c r="K55" s="101"/>
      <c r="L55" s="101"/>
      <c r="M55" s="101"/>
      <c r="N55" s="101"/>
      <c r="O55" s="101"/>
      <c r="P55" s="101"/>
      <c r="Q55" s="101"/>
      <c r="R55" s="101"/>
      <c r="S55" s="101"/>
    </row>
    <row r="56" spans="1:19" ht="18" customHeight="1" x14ac:dyDescent="0.15">
      <c r="A56" s="101"/>
      <c r="B56" s="101"/>
      <c r="C56" s="101"/>
      <c r="D56" s="101"/>
      <c r="E56" s="101"/>
      <c r="F56" s="101"/>
      <c r="G56" s="101"/>
      <c r="H56" s="101"/>
      <c r="I56" s="101"/>
      <c r="J56" s="101"/>
      <c r="K56" s="101"/>
      <c r="L56" s="101"/>
      <c r="M56" s="101"/>
      <c r="N56" s="101"/>
      <c r="O56" s="101"/>
      <c r="P56" s="101"/>
      <c r="Q56" s="101"/>
      <c r="R56" s="101"/>
      <c r="S56" s="101"/>
    </row>
    <row r="57" spans="1:19" ht="18" customHeight="1" x14ac:dyDescent="0.15">
      <c r="B57" s="98" t="s">
        <v>54</v>
      </c>
      <c r="C57" s="99"/>
      <c r="D57" s="99"/>
      <c r="E57" s="100"/>
      <c r="F57" s="61" t="s">
        <v>81</v>
      </c>
      <c r="G57" s="60" t="s">
        <v>85</v>
      </c>
      <c r="H57" s="22" t="s">
        <v>59</v>
      </c>
      <c r="I57" s="22" t="s">
        <v>61</v>
      </c>
      <c r="J57" s="98" t="s">
        <v>54</v>
      </c>
      <c r="K57" s="99"/>
      <c r="L57" s="99"/>
      <c r="M57" s="99"/>
      <c r="N57" s="99"/>
      <c r="O57" s="100"/>
      <c r="P57" s="61" t="s">
        <v>81</v>
      </c>
      <c r="Q57" s="60" t="s">
        <v>85</v>
      </c>
      <c r="R57" s="22" t="s">
        <v>59</v>
      </c>
      <c r="S57" s="22" t="s">
        <v>61</v>
      </c>
    </row>
    <row r="58" spans="1:19" ht="18" customHeight="1" x14ac:dyDescent="0.15">
      <c r="A58" s="3"/>
      <c r="B58" s="102" t="s">
        <v>131</v>
      </c>
      <c r="C58" s="103"/>
      <c r="D58" s="103"/>
      <c r="E58" s="104"/>
      <c r="F58" s="23">
        <v>2</v>
      </c>
      <c r="G58" s="23" t="s">
        <v>133</v>
      </c>
      <c r="H58" s="23" t="s">
        <v>133</v>
      </c>
      <c r="I58" s="23" t="s">
        <v>133</v>
      </c>
      <c r="J58" s="102"/>
      <c r="K58" s="103"/>
      <c r="L58" s="103"/>
      <c r="M58" s="103"/>
      <c r="N58" s="103"/>
      <c r="O58" s="104"/>
      <c r="P58" s="23"/>
      <c r="Q58" s="23"/>
      <c r="R58" s="23"/>
      <c r="S58" s="23"/>
    </row>
    <row r="59" spans="1:19" ht="18" customHeight="1" x14ac:dyDescent="0.15">
      <c r="A59" s="3"/>
      <c r="B59" s="102" t="s">
        <v>132</v>
      </c>
      <c r="C59" s="103"/>
      <c r="D59" s="103"/>
      <c r="E59" s="104"/>
      <c r="F59" s="24">
        <v>2</v>
      </c>
      <c r="G59" s="24" t="s">
        <v>133</v>
      </c>
      <c r="H59" s="24" t="s">
        <v>133</v>
      </c>
      <c r="I59" s="24"/>
      <c r="J59" s="92"/>
      <c r="K59" s="93"/>
      <c r="L59" s="93"/>
      <c r="M59" s="93"/>
      <c r="N59" s="93"/>
      <c r="O59" s="94"/>
      <c r="P59" s="24"/>
      <c r="Q59" s="24"/>
      <c r="R59" s="24"/>
      <c r="S59" s="24"/>
    </row>
    <row r="60" spans="1:19" ht="18" customHeight="1" x14ac:dyDescent="0.15">
      <c r="A60" s="3"/>
      <c r="B60" s="92"/>
      <c r="C60" s="93"/>
      <c r="D60" s="93"/>
      <c r="E60" s="94"/>
      <c r="F60" s="24"/>
      <c r="G60" s="24"/>
      <c r="H60" s="24"/>
      <c r="I60" s="24"/>
      <c r="J60" s="92"/>
      <c r="K60" s="93"/>
      <c r="L60" s="93"/>
      <c r="M60" s="93"/>
      <c r="N60" s="93"/>
      <c r="O60" s="94"/>
      <c r="P60" s="24"/>
      <c r="Q60" s="24"/>
      <c r="R60" s="24"/>
      <c r="S60" s="24"/>
    </row>
    <row r="61" spans="1:19" ht="18" customHeight="1" x14ac:dyDescent="0.15">
      <c r="A61" s="3"/>
      <c r="B61" s="92"/>
      <c r="C61" s="93"/>
      <c r="D61" s="93"/>
      <c r="E61" s="94"/>
      <c r="F61" s="24"/>
      <c r="G61" s="24"/>
      <c r="H61" s="24"/>
      <c r="I61" s="24"/>
      <c r="J61" s="92"/>
      <c r="K61" s="93"/>
      <c r="L61" s="93"/>
      <c r="M61" s="93"/>
      <c r="N61" s="93"/>
      <c r="O61" s="94"/>
      <c r="P61" s="24"/>
      <c r="Q61" s="24"/>
      <c r="R61" s="24"/>
      <c r="S61" s="24"/>
    </row>
    <row r="62" spans="1:19" ht="18" customHeight="1" x14ac:dyDescent="0.15">
      <c r="A62" s="3"/>
      <c r="B62" s="92"/>
      <c r="C62" s="93"/>
      <c r="D62" s="93"/>
      <c r="E62" s="94"/>
      <c r="F62" s="24"/>
      <c r="G62" s="24"/>
      <c r="H62" s="24"/>
      <c r="I62" s="24"/>
      <c r="J62" s="92"/>
      <c r="K62" s="93"/>
      <c r="L62" s="93"/>
      <c r="M62" s="93"/>
      <c r="N62" s="93"/>
      <c r="O62" s="94"/>
      <c r="P62" s="24"/>
      <c r="Q62" s="24"/>
      <c r="R62" s="24"/>
      <c r="S62" s="24"/>
    </row>
    <row r="63" spans="1:19" ht="18" customHeight="1" x14ac:dyDescent="0.15">
      <c r="A63" s="3"/>
      <c r="B63" s="92"/>
      <c r="C63" s="93"/>
      <c r="D63" s="93"/>
      <c r="E63" s="94"/>
      <c r="F63" s="24"/>
      <c r="G63" s="24"/>
      <c r="H63" s="24"/>
      <c r="I63" s="24"/>
      <c r="J63" s="92"/>
      <c r="K63" s="93"/>
      <c r="L63" s="93"/>
      <c r="M63" s="93"/>
      <c r="N63" s="93"/>
      <c r="O63" s="94"/>
      <c r="P63" s="24"/>
      <c r="Q63" s="24"/>
      <c r="R63" s="24"/>
      <c r="S63" s="24"/>
    </row>
    <row r="64" spans="1:19" ht="18" customHeight="1" x14ac:dyDescent="0.15">
      <c r="A64" s="3"/>
      <c r="B64" s="95"/>
      <c r="C64" s="96"/>
      <c r="D64" s="96"/>
      <c r="E64" s="97"/>
      <c r="F64" s="25"/>
      <c r="G64" s="25"/>
      <c r="H64" s="26"/>
      <c r="I64" s="26"/>
      <c r="J64" s="95"/>
      <c r="K64" s="96"/>
      <c r="L64" s="96"/>
      <c r="M64" s="96"/>
      <c r="N64" s="96"/>
      <c r="O64" s="97"/>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1" t="s">
        <v>118</v>
      </c>
      <c r="B66" s="101"/>
      <c r="C66" s="101"/>
      <c r="D66" s="101"/>
      <c r="E66" s="101"/>
      <c r="F66" s="101"/>
      <c r="G66" s="101"/>
      <c r="H66" s="101"/>
      <c r="I66" s="101"/>
      <c r="J66" s="101"/>
      <c r="K66" s="101"/>
      <c r="L66" s="101"/>
      <c r="M66" s="101"/>
      <c r="N66" s="101"/>
      <c r="O66" s="101"/>
      <c r="P66" s="101"/>
      <c r="Q66" s="101"/>
      <c r="R66" s="101"/>
      <c r="S66" s="101"/>
    </row>
    <row r="67" spans="1:19" ht="18" customHeight="1" x14ac:dyDescent="0.15">
      <c r="A67" s="101"/>
      <c r="B67" s="101"/>
      <c r="C67" s="101"/>
      <c r="D67" s="101"/>
      <c r="E67" s="101"/>
      <c r="F67" s="101"/>
      <c r="G67" s="101"/>
      <c r="H67" s="101"/>
      <c r="I67" s="101"/>
      <c r="J67" s="101"/>
      <c r="K67" s="101"/>
      <c r="L67" s="101"/>
      <c r="M67" s="101"/>
      <c r="N67" s="101"/>
      <c r="O67" s="101"/>
      <c r="P67" s="101"/>
      <c r="Q67" s="101"/>
      <c r="R67" s="101"/>
      <c r="S67" s="101"/>
    </row>
    <row r="68" spans="1:19" ht="18" customHeight="1" x14ac:dyDescent="0.15">
      <c r="B68" s="98" t="s">
        <v>54</v>
      </c>
      <c r="C68" s="99"/>
      <c r="D68" s="99"/>
      <c r="E68" s="61" t="s">
        <v>81</v>
      </c>
      <c r="F68" s="60" t="s">
        <v>85</v>
      </c>
      <c r="G68" s="22" t="s">
        <v>102</v>
      </c>
      <c r="H68" s="22" t="s">
        <v>76</v>
      </c>
      <c r="I68" s="22" t="s">
        <v>77</v>
      </c>
      <c r="J68" s="98" t="s">
        <v>54</v>
      </c>
      <c r="K68" s="99"/>
      <c r="L68" s="99"/>
      <c r="M68" s="99"/>
      <c r="N68" s="100"/>
      <c r="O68" s="61" t="s">
        <v>81</v>
      </c>
      <c r="P68" s="60" t="s">
        <v>85</v>
      </c>
      <c r="Q68" s="22" t="s">
        <v>102</v>
      </c>
      <c r="R68" s="22" t="s">
        <v>76</v>
      </c>
      <c r="S68" s="22" t="s">
        <v>77</v>
      </c>
    </row>
    <row r="69" spans="1:19" ht="18" customHeight="1" x14ac:dyDescent="0.15">
      <c r="A69" s="3"/>
      <c r="B69" s="145" t="s">
        <v>131</v>
      </c>
      <c r="C69" s="146"/>
      <c r="D69" s="146"/>
      <c r="E69" s="23">
        <v>2</v>
      </c>
      <c r="F69" s="23">
        <v>2</v>
      </c>
      <c r="G69" s="23"/>
      <c r="H69" s="23" t="s">
        <v>133</v>
      </c>
      <c r="I69" s="23" t="s">
        <v>133</v>
      </c>
      <c r="J69" s="102"/>
      <c r="K69" s="103"/>
      <c r="L69" s="103"/>
      <c r="M69" s="103"/>
      <c r="N69" s="104"/>
      <c r="O69" s="23"/>
      <c r="P69" s="23"/>
      <c r="Q69" s="23"/>
      <c r="R69" s="23"/>
      <c r="S69" s="23"/>
    </row>
    <row r="70" spans="1:19" ht="18" customHeight="1" x14ac:dyDescent="0.15">
      <c r="A70" s="3"/>
      <c r="B70" s="147" t="s">
        <v>132</v>
      </c>
      <c r="C70" s="148"/>
      <c r="D70" s="148"/>
      <c r="E70" s="24">
        <v>2</v>
      </c>
      <c r="F70" s="24">
        <v>2</v>
      </c>
      <c r="G70" s="24" t="s">
        <v>133</v>
      </c>
      <c r="H70" s="24" t="s">
        <v>133</v>
      </c>
      <c r="I70" s="24" t="s">
        <v>133</v>
      </c>
      <c r="J70" s="92"/>
      <c r="K70" s="93"/>
      <c r="L70" s="93"/>
      <c r="M70" s="93"/>
      <c r="N70" s="94"/>
      <c r="O70" s="24"/>
      <c r="P70" s="24"/>
      <c r="Q70" s="24"/>
      <c r="R70" s="24"/>
      <c r="S70" s="24"/>
    </row>
    <row r="71" spans="1:19" ht="18" customHeight="1" x14ac:dyDescent="0.15">
      <c r="A71" s="3"/>
      <c r="B71" s="92"/>
      <c r="C71" s="93"/>
      <c r="D71" s="93"/>
      <c r="E71" s="24"/>
      <c r="F71" s="24"/>
      <c r="G71" s="24"/>
      <c r="H71" s="24"/>
      <c r="I71" s="24"/>
      <c r="J71" s="92"/>
      <c r="K71" s="93"/>
      <c r="L71" s="93"/>
      <c r="M71" s="93"/>
      <c r="N71" s="94"/>
      <c r="O71" s="24"/>
      <c r="P71" s="24"/>
      <c r="Q71" s="24"/>
      <c r="R71" s="24"/>
      <c r="S71" s="24"/>
    </row>
    <row r="72" spans="1:19" ht="18" customHeight="1" x14ac:dyDescent="0.15">
      <c r="A72" s="3"/>
      <c r="B72" s="92"/>
      <c r="C72" s="93"/>
      <c r="D72" s="93"/>
      <c r="E72" s="24"/>
      <c r="F72" s="24"/>
      <c r="G72" s="24"/>
      <c r="H72" s="24"/>
      <c r="I72" s="24"/>
      <c r="J72" s="92"/>
      <c r="K72" s="93"/>
      <c r="L72" s="93"/>
      <c r="M72" s="93"/>
      <c r="N72" s="94"/>
      <c r="O72" s="24"/>
      <c r="P72" s="24"/>
      <c r="Q72" s="24"/>
      <c r="R72" s="24"/>
      <c r="S72" s="24"/>
    </row>
    <row r="73" spans="1:19" ht="18" customHeight="1" x14ac:dyDescent="0.15">
      <c r="A73" s="3"/>
      <c r="B73" s="92"/>
      <c r="C73" s="93"/>
      <c r="D73" s="93"/>
      <c r="E73" s="24"/>
      <c r="F73" s="24"/>
      <c r="G73" s="24"/>
      <c r="H73" s="24"/>
      <c r="I73" s="24"/>
      <c r="J73" s="92"/>
      <c r="K73" s="93"/>
      <c r="L73" s="93"/>
      <c r="M73" s="93"/>
      <c r="N73" s="94"/>
      <c r="O73" s="24"/>
      <c r="P73" s="24"/>
      <c r="Q73" s="24"/>
      <c r="R73" s="24"/>
      <c r="S73" s="24"/>
    </row>
    <row r="74" spans="1:19" ht="18" customHeight="1" x14ac:dyDescent="0.15">
      <c r="A74" s="3"/>
      <c r="B74" s="92"/>
      <c r="C74" s="93"/>
      <c r="D74" s="93"/>
      <c r="E74" s="24"/>
      <c r="F74" s="24"/>
      <c r="G74" s="24"/>
      <c r="H74" s="24"/>
      <c r="I74" s="24"/>
      <c r="J74" s="92"/>
      <c r="K74" s="93"/>
      <c r="L74" s="93"/>
      <c r="M74" s="93"/>
      <c r="N74" s="94"/>
      <c r="O74" s="24"/>
      <c r="P74" s="24"/>
      <c r="Q74" s="24"/>
      <c r="R74" s="24"/>
      <c r="S74" s="24"/>
    </row>
    <row r="75" spans="1:19" ht="18" customHeight="1" x14ac:dyDescent="0.15">
      <c r="A75" s="3"/>
      <c r="B75" s="95"/>
      <c r="C75" s="96"/>
      <c r="D75" s="96"/>
      <c r="E75" s="25"/>
      <c r="F75" s="25"/>
      <c r="G75" s="26"/>
      <c r="H75" s="26"/>
      <c r="I75" s="26"/>
      <c r="J75" s="95"/>
      <c r="K75" s="96"/>
      <c r="L75" s="96"/>
      <c r="M75" s="96"/>
      <c r="N75" s="97"/>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8" t="s">
        <v>54</v>
      </c>
      <c r="C78" s="99"/>
      <c r="D78" s="99"/>
      <c r="E78" s="100"/>
      <c r="F78" s="98" t="s">
        <v>83</v>
      </c>
      <c r="G78" s="99"/>
      <c r="H78" s="99"/>
      <c r="I78" s="100"/>
      <c r="J78" s="142" t="s">
        <v>54</v>
      </c>
      <c r="K78" s="143"/>
      <c r="L78" s="143"/>
      <c r="M78" s="143"/>
      <c r="N78" s="143"/>
      <c r="O78" s="144"/>
      <c r="P78" s="98" t="s">
        <v>83</v>
      </c>
      <c r="Q78" s="99"/>
      <c r="R78" s="99"/>
      <c r="S78" s="100"/>
    </row>
    <row r="79" spans="1:19" ht="18" customHeight="1" x14ac:dyDescent="0.15">
      <c r="A79" s="3"/>
      <c r="B79" s="102"/>
      <c r="C79" s="103"/>
      <c r="D79" s="103"/>
      <c r="E79" s="104"/>
      <c r="F79" s="160"/>
      <c r="G79" s="161"/>
      <c r="H79" s="161"/>
      <c r="I79" s="162"/>
      <c r="J79" s="102"/>
      <c r="K79" s="103"/>
      <c r="L79" s="103"/>
      <c r="M79" s="103"/>
      <c r="N79" s="103"/>
      <c r="O79" s="104"/>
      <c r="P79" s="160"/>
      <c r="Q79" s="161"/>
      <c r="R79" s="161"/>
      <c r="S79" s="162"/>
    </row>
    <row r="80" spans="1:19" ht="18" customHeight="1" x14ac:dyDescent="0.15">
      <c r="A80" s="3"/>
      <c r="B80" s="92"/>
      <c r="C80" s="93"/>
      <c r="D80" s="93"/>
      <c r="E80" s="94"/>
      <c r="F80" s="128"/>
      <c r="G80" s="129"/>
      <c r="H80" s="129"/>
      <c r="I80" s="130"/>
      <c r="J80" s="92"/>
      <c r="K80" s="93"/>
      <c r="L80" s="93"/>
      <c r="M80" s="93"/>
      <c r="N80" s="93"/>
      <c r="O80" s="94"/>
      <c r="P80" s="128"/>
      <c r="Q80" s="129"/>
      <c r="R80" s="129"/>
      <c r="S80" s="130"/>
    </row>
    <row r="81" spans="1:23" ht="18" customHeight="1" x14ac:dyDescent="0.15">
      <c r="A81" s="3"/>
      <c r="B81" s="92"/>
      <c r="C81" s="93"/>
      <c r="D81" s="93"/>
      <c r="E81" s="94"/>
      <c r="F81" s="128"/>
      <c r="G81" s="129"/>
      <c r="H81" s="129"/>
      <c r="I81" s="130"/>
      <c r="J81" s="92"/>
      <c r="K81" s="93"/>
      <c r="L81" s="93"/>
      <c r="M81" s="93"/>
      <c r="N81" s="93"/>
      <c r="O81" s="94"/>
      <c r="P81" s="128"/>
      <c r="Q81" s="129"/>
      <c r="R81" s="129"/>
      <c r="S81" s="130"/>
    </row>
    <row r="82" spans="1:23" ht="18" customHeight="1" x14ac:dyDescent="0.15">
      <c r="A82" s="3"/>
      <c r="B82" s="92"/>
      <c r="C82" s="93"/>
      <c r="D82" s="93"/>
      <c r="E82" s="94"/>
      <c r="F82" s="128"/>
      <c r="G82" s="129"/>
      <c r="H82" s="129"/>
      <c r="I82" s="130"/>
      <c r="J82" s="92"/>
      <c r="K82" s="93"/>
      <c r="L82" s="93"/>
      <c r="M82" s="93"/>
      <c r="N82" s="93"/>
      <c r="O82" s="94"/>
      <c r="P82" s="128"/>
      <c r="Q82" s="129"/>
      <c r="R82" s="129"/>
      <c r="S82" s="130"/>
    </row>
    <row r="83" spans="1:23" ht="18" customHeight="1" x14ac:dyDescent="0.15">
      <c r="A83" s="3"/>
      <c r="B83" s="92"/>
      <c r="C83" s="93"/>
      <c r="D83" s="93"/>
      <c r="E83" s="94"/>
      <c r="F83" s="128"/>
      <c r="G83" s="129"/>
      <c r="H83" s="129"/>
      <c r="I83" s="130"/>
      <c r="J83" s="92"/>
      <c r="K83" s="93"/>
      <c r="L83" s="93"/>
      <c r="M83" s="93"/>
      <c r="N83" s="93"/>
      <c r="O83" s="94"/>
      <c r="P83" s="128"/>
      <c r="Q83" s="129"/>
      <c r="R83" s="129"/>
      <c r="S83" s="130"/>
    </row>
    <row r="84" spans="1:23" ht="18" customHeight="1" x14ac:dyDescent="0.15">
      <c r="A84" s="3"/>
      <c r="B84" s="92"/>
      <c r="C84" s="93"/>
      <c r="D84" s="93"/>
      <c r="E84" s="94"/>
      <c r="F84" s="128"/>
      <c r="G84" s="129"/>
      <c r="H84" s="129"/>
      <c r="I84" s="130"/>
      <c r="J84" s="92"/>
      <c r="K84" s="93"/>
      <c r="L84" s="93"/>
      <c r="M84" s="93"/>
      <c r="N84" s="93"/>
      <c r="O84" s="94"/>
      <c r="P84" s="128"/>
      <c r="Q84" s="129"/>
      <c r="R84" s="129"/>
      <c r="S84" s="130"/>
    </row>
    <row r="85" spans="1:23" ht="18" customHeight="1" x14ac:dyDescent="0.15">
      <c r="A85" s="3"/>
      <c r="B85" s="95"/>
      <c r="C85" s="96"/>
      <c r="D85" s="96"/>
      <c r="E85" s="97"/>
      <c r="F85" s="125"/>
      <c r="G85" s="126"/>
      <c r="H85" s="126"/>
      <c r="I85" s="127"/>
      <c r="J85" s="95"/>
      <c r="K85" s="96"/>
      <c r="L85" s="96"/>
      <c r="M85" s="96"/>
      <c r="N85" s="96"/>
      <c r="O85" s="97"/>
      <c r="P85" s="125"/>
      <c r="Q85" s="126"/>
      <c r="R85" s="126"/>
      <c r="S85" s="127"/>
    </row>
    <row r="86" spans="1:23" ht="18" customHeight="1" x14ac:dyDescent="0.15">
      <c r="A86" s="3"/>
      <c r="B86" s="6"/>
      <c r="C86" s="6"/>
      <c r="D86" s="6"/>
      <c r="E86" s="6"/>
      <c r="F86" s="27"/>
      <c r="G86" s="27"/>
      <c r="H86" s="27"/>
      <c r="I86" s="27"/>
      <c r="J86" s="6"/>
      <c r="K86" s="6"/>
      <c r="L86" s="6"/>
      <c r="M86" s="6"/>
      <c r="N86" s="6"/>
      <c r="O86" s="6"/>
      <c r="P86" s="27"/>
      <c r="Q86" s="27"/>
      <c r="R86" s="27"/>
      <c r="S86" s="27"/>
    </row>
    <row r="87" spans="1:23" ht="18.75" customHeight="1" x14ac:dyDescent="0.15">
      <c r="A87" s="1" t="s">
        <v>120</v>
      </c>
    </row>
    <row r="88" spans="1:23" ht="18.75" customHeight="1" x14ac:dyDescent="0.15">
      <c r="B88" s="158" t="s">
        <v>55</v>
      </c>
      <c r="C88" s="159"/>
      <c r="D88" s="99" t="s">
        <v>56</v>
      </c>
      <c r="E88" s="99"/>
      <c r="F88" s="99"/>
      <c r="G88" s="99"/>
      <c r="H88" s="99"/>
      <c r="I88" s="99"/>
      <c r="J88" s="99"/>
      <c r="K88" s="99"/>
      <c r="L88" s="99"/>
      <c r="M88" s="99"/>
      <c r="N88" s="99"/>
      <c r="O88" s="99"/>
      <c r="P88" s="99"/>
      <c r="Q88" s="99"/>
      <c r="R88" s="99"/>
      <c r="S88" s="100"/>
    </row>
    <row r="89" spans="1:23" ht="97.5" customHeight="1" x14ac:dyDescent="0.15">
      <c r="B89" s="149" t="s">
        <v>62</v>
      </c>
      <c r="C89" s="28" t="s">
        <v>57</v>
      </c>
      <c r="D89" s="156" t="s">
        <v>149</v>
      </c>
      <c r="E89" s="156"/>
      <c r="F89" s="156"/>
      <c r="G89" s="156"/>
      <c r="H89" s="156"/>
      <c r="I89" s="156"/>
      <c r="J89" s="156"/>
      <c r="K89" s="156"/>
      <c r="L89" s="156"/>
      <c r="M89" s="156"/>
      <c r="N89" s="156"/>
      <c r="O89" s="156"/>
      <c r="P89" s="156"/>
      <c r="Q89" s="156"/>
      <c r="R89" s="156"/>
      <c r="S89" s="157"/>
      <c r="W89" s="16"/>
    </row>
    <row r="90" spans="1:23" ht="97.5" customHeight="1" x14ac:dyDescent="0.15">
      <c r="B90" s="151"/>
      <c r="C90" s="29" t="s">
        <v>78</v>
      </c>
      <c r="D90" s="131" t="s">
        <v>165</v>
      </c>
      <c r="E90" s="131"/>
      <c r="F90" s="131"/>
      <c r="G90" s="131"/>
      <c r="H90" s="131"/>
      <c r="I90" s="131"/>
      <c r="J90" s="131"/>
      <c r="K90" s="131"/>
      <c r="L90" s="131"/>
      <c r="M90" s="131"/>
      <c r="N90" s="131"/>
      <c r="O90" s="131"/>
      <c r="P90" s="131"/>
      <c r="Q90" s="131"/>
      <c r="R90" s="131"/>
      <c r="S90" s="132"/>
      <c r="W90" s="16"/>
    </row>
    <row r="91" spans="1:23" ht="97.5" customHeight="1" x14ac:dyDescent="0.15">
      <c r="B91" s="149" t="s">
        <v>63</v>
      </c>
      <c r="C91" s="30" t="s">
        <v>72</v>
      </c>
      <c r="D91" s="133" t="s">
        <v>174</v>
      </c>
      <c r="E91" s="133"/>
      <c r="F91" s="133"/>
      <c r="G91" s="133"/>
      <c r="H91" s="133"/>
      <c r="I91" s="133"/>
      <c r="J91" s="133"/>
      <c r="K91" s="133"/>
      <c r="L91" s="133"/>
      <c r="M91" s="133"/>
      <c r="N91" s="133"/>
      <c r="O91" s="133"/>
      <c r="P91" s="133"/>
      <c r="Q91" s="133"/>
      <c r="R91" s="133"/>
      <c r="S91" s="134"/>
      <c r="W91" s="16"/>
    </row>
    <row r="92" spans="1:23" ht="97.5" customHeight="1" x14ac:dyDescent="0.15">
      <c r="B92" s="150"/>
      <c r="C92" s="31" t="s">
        <v>73</v>
      </c>
      <c r="D92" s="137" t="s">
        <v>168</v>
      </c>
      <c r="E92" s="137"/>
      <c r="F92" s="137"/>
      <c r="G92" s="137"/>
      <c r="H92" s="137"/>
      <c r="I92" s="137"/>
      <c r="J92" s="137"/>
      <c r="K92" s="137"/>
      <c r="L92" s="137"/>
      <c r="M92" s="137"/>
      <c r="N92" s="137"/>
      <c r="O92" s="137"/>
      <c r="P92" s="137"/>
      <c r="Q92" s="137"/>
      <c r="R92" s="137"/>
      <c r="S92" s="138"/>
      <c r="W92" s="16"/>
    </row>
    <row r="93" spans="1:23" ht="97.5" customHeight="1" x14ac:dyDescent="0.15">
      <c r="B93" s="149" t="s">
        <v>64</v>
      </c>
      <c r="C93" s="30" t="s">
        <v>74</v>
      </c>
      <c r="D93" s="133" t="s">
        <v>148</v>
      </c>
      <c r="E93" s="133"/>
      <c r="F93" s="133"/>
      <c r="G93" s="133"/>
      <c r="H93" s="133"/>
      <c r="I93" s="133"/>
      <c r="J93" s="133"/>
      <c r="K93" s="133"/>
      <c r="L93" s="133"/>
      <c r="M93" s="133"/>
      <c r="N93" s="133"/>
      <c r="O93" s="133"/>
      <c r="P93" s="133"/>
      <c r="Q93" s="133"/>
      <c r="R93" s="133"/>
      <c r="S93" s="134"/>
    </row>
    <row r="94" spans="1:23" ht="97.5" customHeight="1" x14ac:dyDescent="0.15">
      <c r="B94" s="150"/>
      <c r="C94" s="32" t="s">
        <v>75</v>
      </c>
      <c r="D94" s="135" t="s">
        <v>167</v>
      </c>
      <c r="E94" s="135"/>
      <c r="F94" s="135"/>
      <c r="G94" s="135"/>
      <c r="H94" s="135"/>
      <c r="I94" s="135"/>
      <c r="J94" s="135"/>
      <c r="K94" s="135"/>
      <c r="L94" s="135"/>
      <c r="M94" s="135"/>
      <c r="N94" s="135"/>
      <c r="O94" s="135"/>
      <c r="P94" s="135"/>
      <c r="Q94" s="135"/>
      <c r="R94" s="135"/>
      <c r="S94" s="136"/>
    </row>
    <row r="95" spans="1:23" ht="97.5" customHeight="1" x14ac:dyDescent="0.15">
      <c r="B95" s="149" t="s">
        <v>79</v>
      </c>
      <c r="C95" s="28" t="s">
        <v>59</v>
      </c>
      <c r="D95" s="156" t="s">
        <v>166</v>
      </c>
      <c r="E95" s="156"/>
      <c r="F95" s="156"/>
      <c r="G95" s="156"/>
      <c r="H95" s="156"/>
      <c r="I95" s="156"/>
      <c r="J95" s="156"/>
      <c r="K95" s="156"/>
      <c r="L95" s="156"/>
      <c r="M95" s="156"/>
      <c r="N95" s="156"/>
      <c r="O95" s="156"/>
      <c r="P95" s="156"/>
      <c r="Q95" s="156"/>
      <c r="R95" s="156"/>
      <c r="S95" s="157"/>
      <c r="W95" s="16"/>
    </row>
    <row r="96" spans="1:23" ht="97.5" customHeight="1" x14ac:dyDescent="0.15">
      <c r="B96" s="150"/>
      <c r="C96" s="31" t="s">
        <v>61</v>
      </c>
      <c r="D96" s="137" t="s">
        <v>179</v>
      </c>
      <c r="E96" s="137"/>
      <c r="F96" s="137"/>
      <c r="G96" s="137"/>
      <c r="H96" s="137"/>
      <c r="I96" s="137"/>
      <c r="J96" s="137"/>
      <c r="K96" s="137"/>
      <c r="L96" s="137"/>
      <c r="M96" s="137"/>
      <c r="N96" s="137"/>
      <c r="O96" s="137"/>
      <c r="P96" s="137"/>
      <c r="Q96" s="137"/>
      <c r="R96" s="137"/>
      <c r="S96" s="138"/>
    </row>
    <row r="97" spans="1:19" ht="126.95" customHeight="1" x14ac:dyDescent="0.15">
      <c r="B97" s="149" t="s">
        <v>80</v>
      </c>
      <c r="C97" s="30" t="s">
        <v>58</v>
      </c>
      <c r="D97" s="152" t="s">
        <v>169</v>
      </c>
      <c r="E97" s="152"/>
      <c r="F97" s="152"/>
      <c r="G97" s="152"/>
      <c r="H97" s="152"/>
      <c r="I97" s="152"/>
      <c r="J97" s="152"/>
      <c r="K97" s="152"/>
      <c r="L97" s="152"/>
      <c r="M97" s="152"/>
      <c r="N97" s="152"/>
      <c r="O97" s="152"/>
      <c r="P97" s="152"/>
      <c r="Q97" s="152"/>
      <c r="R97" s="152"/>
      <c r="S97" s="153"/>
    </row>
    <row r="98" spans="1:19" ht="97.5" customHeight="1" x14ac:dyDescent="0.15">
      <c r="B98" s="151"/>
      <c r="C98" s="33" t="s">
        <v>76</v>
      </c>
      <c r="D98" s="139" t="s">
        <v>147</v>
      </c>
      <c r="E98" s="140"/>
      <c r="F98" s="140"/>
      <c r="G98" s="140"/>
      <c r="H98" s="140"/>
      <c r="I98" s="140"/>
      <c r="J98" s="140"/>
      <c r="K98" s="140"/>
      <c r="L98" s="140"/>
      <c r="M98" s="140"/>
      <c r="N98" s="140"/>
      <c r="O98" s="140"/>
      <c r="P98" s="140"/>
      <c r="Q98" s="140"/>
      <c r="R98" s="140"/>
      <c r="S98" s="141"/>
    </row>
    <row r="99" spans="1:19" ht="97.5" customHeight="1" x14ac:dyDescent="0.15">
      <c r="B99" s="150"/>
      <c r="C99" s="32" t="s">
        <v>77</v>
      </c>
      <c r="D99" s="154" t="s">
        <v>170</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121</v>
      </c>
    </row>
    <row r="102" spans="1:19" ht="81.75" customHeight="1" x14ac:dyDescent="0.15">
      <c r="B102" s="122" t="s">
        <v>171</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69:G70 Q47:S53 G36:I42 Q58:S64 G58:I64 G47:I53 F71:G75 H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copies="2"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Q37" sqref="Q37"/>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6" t="str">
        <f>'様式１　プログラムを構成する授業科目'!C2</f>
        <v>目白大学</v>
      </c>
      <c r="AN2" s="166"/>
      <c r="AO2" s="166"/>
      <c r="AP2" s="166"/>
      <c r="AQ2" s="166"/>
    </row>
    <row r="3" spans="1:45" ht="18" customHeight="1" x14ac:dyDescent="0.15">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7" t="s">
        <v>154</v>
      </c>
      <c r="D5" s="16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45</v>
      </c>
      <c r="C9" s="184" t="s">
        <v>87</v>
      </c>
      <c r="D9" s="172" t="s">
        <v>47</v>
      </c>
      <c r="E9" s="175" t="s">
        <v>40</v>
      </c>
      <c r="F9" s="165" t="s">
        <v>86</v>
      </c>
      <c r="G9" s="165"/>
      <c r="H9" s="165"/>
      <c r="I9" s="165"/>
      <c r="J9" s="165"/>
      <c r="K9" s="165"/>
      <c r="L9" s="165" t="s">
        <v>49</v>
      </c>
      <c r="M9" s="165"/>
      <c r="N9" s="165"/>
      <c r="O9" s="165"/>
      <c r="P9" s="165"/>
      <c r="Q9" s="165"/>
      <c r="R9" s="165" t="s">
        <v>50</v>
      </c>
      <c r="S9" s="165"/>
      <c r="T9" s="165"/>
      <c r="U9" s="165"/>
      <c r="V9" s="165"/>
      <c r="W9" s="165"/>
      <c r="X9" s="165" t="s">
        <v>101</v>
      </c>
      <c r="Y9" s="165"/>
      <c r="Z9" s="165"/>
      <c r="AA9" s="165"/>
      <c r="AB9" s="165"/>
      <c r="AC9" s="165"/>
      <c r="AD9" s="165" t="s">
        <v>51</v>
      </c>
      <c r="AE9" s="165"/>
      <c r="AF9" s="165"/>
      <c r="AG9" s="165"/>
      <c r="AH9" s="165"/>
      <c r="AI9" s="165"/>
      <c r="AJ9" s="165" t="s">
        <v>52</v>
      </c>
      <c r="AK9" s="165"/>
      <c r="AL9" s="165"/>
      <c r="AM9" s="165"/>
      <c r="AN9" s="165"/>
      <c r="AO9" s="165"/>
      <c r="AP9" s="178" t="s">
        <v>35</v>
      </c>
      <c r="AQ9" s="181" t="s">
        <v>32</v>
      </c>
      <c r="AS9" s="2"/>
    </row>
    <row r="10" spans="1:45" ht="17.100000000000001" customHeight="1" x14ac:dyDescent="0.15">
      <c r="B10" s="170"/>
      <c r="C10" s="185"/>
      <c r="D10" s="173"/>
      <c r="E10" s="176"/>
      <c r="F10" s="163" t="s">
        <v>97</v>
      </c>
      <c r="G10" s="164"/>
      <c r="H10" s="164"/>
      <c r="I10" s="163" t="s">
        <v>29</v>
      </c>
      <c r="J10" s="164"/>
      <c r="K10" s="164"/>
      <c r="L10" s="163" t="s">
        <v>97</v>
      </c>
      <c r="M10" s="164"/>
      <c r="N10" s="164"/>
      <c r="O10" s="163" t="s">
        <v>29</v>
      </c>
      <c r="P10" s="164"/>
      <c r="Q10" s="164"/>
      <c r="R10" s="163" t="s">
        <v>97</v>
      </c>
      <c r="S10" s="164"/>
      <c r="T10" s="164"/>
      <c r="U10" s="163" t="s">
        <v>29</v>
      </c>
      <c r="V10" s="164"/>
      <c r="W10" s="164"/>
      <c r="X10" s="163" t="s">
        <v>97</v>
      </c>
      <c r="Y10" s="164"/>
      <c r="Z10" s="164"/>
      <c r="AA10" s="163" t="s">
        <v>29</v>
      </c>
      <c r="AB10" s="164"/>
      <c r="AC10" s="164"/>
      <c r="AD10" s="163" t="s">
        <v>97</v>
      </c>
      <c r="AE10" s="164"/>
      <c r="AF10" s="164"/>
      <c r="AG10" s="163" t="s">
        <v>29</v>
      </c>
      <c r="AH10" s="164"/>
      <c r="AI10" s="164"/>
      <c r="AJ10" s="163" t="s">
        <v>97</v>
      </c>
      <c r="AK10" s="164"/>
      <c r="AL10" s="164"/>
      <c r="AM10" s="163" t="s">
        <v>29</v>
      </c>
      <c r="AN10" s="164"/>
      <c r="AO10" s="164"/>
      <c r="AP10" s="179"/>
      <c r="AQ10" s="182"/>
      <c r="AS10" s="2"/>
    </row>
    <row r="11" spans="1:45" ht="18" customHeight="1" x14ac:dyDescent="0.15">
      <c r="B11" s="171"/>
      <c r="C11" s="186"/>
      <c r="D11" s="174"/>
      <c r="E11" s="17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0"/>
      <c r="AQ11" s="183"/>
      <c r="AS11" s="2"/>
    </row>
    <row r="12" spans="1:45" ht="18" customHeight="1" x14ac:dyDescent="0.15">
      <c r="A12" s="6"/>
      <c r="B12" s="11" t="s">
        <v>134</v>
      </c>
      <c r="C12" s="82">
        <v>391</v>
      </c>
      <c r="D12" s="63">
        <v>125</v>
      </c>
      <c r="E12" s="64">
        <v>500</v>
      </c>
      <c r="F12" s="64">
        <v>127</v>
      </c>
      <c r="G12" s="65">
        <v>37</v>
      </c>
      <c r="H12" s="66">
        <v>90</v>
      </c>
      <c r="I12" s="64">
        <v>109</v>
      </c>
      <c r="J12" s="65">
        <v>28</v>
      </c>
      <c r="K12" s="66">
        <v>81</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127</v>
      </c>
      <c r="AQ12" s="21">
        <f t="shared" ref="AQ12:AQ32" si="0">AP12/E12</f>
        <v>0.254</v>
      </c>
    </row>
    <row r="13" spans="1:45" ht="18" customHeight="1" x14ac:dyDescent="0.15">
      <c r="A13" s="6"/>
      <c r="B13" s="12" t="s">
        <v>135</v>
      </c>
      <c r="C13" s="83">
        <v>1234</v>
      </c>
      <c r="D13" s="68">
        <v>290</v>
      </c>
      <c r="E13" s="69">
        <v>1200</v>
      </c>
      <c r="F13" s="70">
        <v>245</v>
      </c>
      <c r="G13" s="71">
        <v>63</v>
      </c>
      <c r="H13" s="72">
        <v>182</v>
      </c>
      <c r="I13" s="70">
        <v>230</v>
      </c>
      <c r="J13" s="71">
        <v>55</v>
      </c>
      <c r="K13" s="72">
        <v>175</v>
      </c>
      <c r="L13" s="70">
        <f t="shared" ref="L13:L31" si="1">M13+N13</f>
        <v>0</v>
      </c>
      <c r="M13" s="71"/>
      <c r="N13" s="72"/>
      <c r="O13" s="70">
        <f t="shared" ref="O13:O31" si="2">P13+Q13</f>
        <v>0</v>
      </c>
      <c r="P13" s="71"/>
      <c r="Q13" s="72"/>
      <c r="R13" s="70">
        <f t="shared" ref="R13:R31" si="3">S13+T13</f>
        <v>0</v>
      </c>
      <c r="S13" s="71"/>
      <c r="T13" s="72"/>
      <c r="U13" s="70">
        <f t="shared" ref="U13:U31" si="4">V13+W13</f>
        <v>0</v>
      </c>
      <c r="V13" s="71"/>
      <c r="W13" s="72"/>
      <c r="X13" s="70">
        <f t="shared" ref="X13:X31" si="5">Y13+Z13</f>
        <v>0</v>
      </c>
      <c r="Y13" s="71"/>
      <c r="Z13" s="72"/>
      <c r="AA13" s="70">
        <f t="shared" ref="AA13:AA31" si="6">AB13+AC13</f>
        <v>0</v>
      </c>
      <c r="AB13" s="71"/>
      <c r="AC13" s="72"/>
      <c r="AD13" s="70">
        <f t="shared" ref="AD13:AD31" si="7">AE13+AF13</f>
        <v>0</v>
      </c>
      <c r="AE13" s="71"/>
      <c r="AF13" s="72"/>
      <c r="AG13" s="70">
        <f t="shared" ref="AG13:AG31" si="8">AH13+AI13</f>
        <v>0</v>
      </c>
      <c r="AH13" s="71"/>
      <c r="AI13" s="72"/>
      <c r="AJ13" s="70">
        <f t="shared" ref="AJ13:AJ31" si="9">AK13+AL13</f>
        <v>0</v>
      </c>
      <c r="AK13" s="71"/>
      <c r="AL13" s="72"/>
      <c r="AM13" s="70">
        <f t="shared" ref="AM13:AM31" si="10">AN13+AO13</f>
        <v>0</v>
      </c>
      <c r="AN13" s="71"/>
      <c r="AO13" s="72"/>
      <c r="AP13" s="68">
        <f t="shared" ref="AP13:AP31" si="11">F13+L13+R13+X13+AD13+AJ13</f>
        <v>245</v>
      </c>
      <c r="AQ13" s="20">
        <f t="shared" si="0"/>
        <v>0.20416666666666666</v>
      </c>
    </row>
    <row r="14" spans="1:45" ht="18" customHeight="1" x14ac:dyDescent="0.15">
      <c r="A14" s="6"/>
      <c r="B14" s="12" t="s">
        <v>136</v>
      </c>
      <c r="C14" s="83">
        <v>841</v>
      </c>
      <c r="D14" s="68">
        <v>200</v>
      </c>
      <c r="E14" s="69">
        <v>820</v>
      </c>
      <c r="F14" s="70">
        <v>206</v>
      </c>
      <c r="G14" s="71">
        <v>90</v>
      </c>
      <c r="H14" s="72">
        <v>116</v>
      </c>
      <c r="I14" s="70">
        <v>185</v>
      </c>
      <c r="J14" s="71">
        <v>79</v>
      </c>
      <c r="K14" s="72">
        <v>106</v>
      </c>
      <c r="L14" s="70">
        <f t="shared" si="1"/>
        <v>0</v>
      </c>
      <c r="M14" s="71"/>
      <c r="N14" s="72"/>
      <c r="O14" s="70">
        <f t="shared" si="2"/>
        <v>0</v>
      </c>
      <c r="P14" s="71"/>
      <c r="Q14" s="72"/>
      <c r="R14" s="70">
        <f t="shared" si="3"/>
        <v>0</v>
      </c>
      <c r="S14" s="71"/>
      <c r="T14" s="72"/>
      <c r="U14" s="70">
        <f t="shared" si="4"/>
        <v>0</v>
      </c>
      <c r="V14" s="71"/>
      <c r="W14" s="72"/>
      <c r="X14" s="70">
        <f t="shared" si="5"/>
        <v>0</v>
      </c>
      <c r="Y14" s="71"/>
      <c r="Z14" s="72"/>
      <c r="AA14" s="70">
        <f t="shared" si="6"/>
        <v>0</v>
      </c>
      <c r="AB14" s="71"/>
      <c r="AC14" s="72"/>
      <c r="AD14" s="70">
        <f t="shared" si="7"/>
        <v>0</v>
      </c>
      <c r="AE14" s="71"/>
      <c r="AF14" s="72"/>
      <c r="AG14" s="70">
        <f t="shared" si="8"/>
        <v>0</v>
      </c>
      <c r="AH14" s="71"/>
      <c r="AI14" s="72"/>
      <c r="AJ14" s="70">
        <f t="shared" si="9"/>
        <v>0</v>
      </c>
      <c r="AK14" s="71"/>
      <c r="AL14" s="72"/>
      <c r="AM14" s="70">
        <f t="shared" si="10"/>
        <v>0</v>
      </c>
      <c r="AN14" s="71"/>
      <c r="AO14" s="72"/>
      <c r="AP14" s="68">
        <f t="shared" si="11"/>
        <v>206</v>
      </c>
      <c r="AQ14" s="8">
        <f t="shared" si="0"/>
        <v>0.25121951219512195</v>
      </c>
    </row>
    <row r="15" spans="1:45" ht="18" customHeight="1" x14ac:dyDescent="0.15">
      <c r="A15" s="6"/>
      <c r="B15" s="12" t="s">
        <v>137</v>
      </c>
      <c r="C15" s="83">
        <v>596</v>
      </c>
      <c r="D15" s="68">
        <v>140</v>
      </c>
      <c r="E15" s="69">
        <v>560</v>
      </c>
      <c r="F15" s="70">
        <v>160</v>
      </c>
      <c r="G15" s="71">
        <v>47</v>
      </c>
      <c r="H15" s="72">
        <v>113</v>
      </c>
      <c r="I15" s="70">
        <v>146</v>
      </c>
      <c r="J15" s="71">
        <v>41</v>
      </c>
      <c r="K15" s="72">
        <v>105</v>
      </c>
      <c r="L15" s="70">
        <f t="shared" si="1"/>
        <v>0</v>
      </c>
      <c r="M15" s="71"/>
      <c r="N15" s="72"/>
      <c r="O15" s="70">
        <f t="shared" si="2"/>
        <v>0</v>
      </c>
      <c r="P15" s="71"/>
      <c r="Q15" s="72"/>
      <c r="R15" s="70">
        <f t="shared" si="3"/>
        <v>0</v>
      </c>
      <c r="S15" s="71"/>
      <c r="T15" s="72"/>
      <c r="U15" s="70">
        <f t="shared" si="4"/>
        <v>0</v>
      </c>
      <c r="V15" s="71"/>
      <c r="W15" s="72"/>
      <c r="X15" s="70">
        <f t="shared" si="5"/>
        <v>0</v>
      </c>
      <c r="Y15" s="71"/>
      <c r="Z15" s="72"/>
      <c r="AA15" s="70">
        <f t="shared" si="6"/>
        <v>0</v>
      </c>
      <c r="AB15" s="71"/>
      <c r="AC15" s="72"/>
      <c r="AD15" s="70">
        <f t="shared" si="7"/>
        <v>0</v>
      </c>
      <c r="AE15" s="71"/>
      <c r="AF15" s="72"/>
      <c r="AG15" s="70">
        <f t="shared" si="8"/>
        <v>0</v>
      </c>
      <c r="AH15" s="71"/>
      <c r="AI15" s="72"/>
      <c r="AJ15" s="70">
        <f t="shared" si="9"/>
        <v>0</v>
      </c>
      <c r="AK15" s="71"/>
      <c r="AL15" s="72"/>
      <c r="AM15" s="70">
        <f t="shared" si="10"/>
        <v>0</v>
      </c>
      <c r="AN15" s="71"/>
      <c r="AO15" s="72"/>
      <c r="AP15" s="68">
        <f t="shared" si="11"/>
        <v>160</v>
      </c>
      <c r="AQ15" s="8">
        <f t="shared" si="0"/>
        <v>0.2857142857142857</v>
      </c>
    </row>
    <row r="16" spans="1:45" ht="18" customHeight="1" x14ac:dyDescent="0.15">
      <c r="A16" s="6"/>
      <c r="B16" s="12" t="s">
        <v>138</v>
      </c>
      <c r="C16" s="83">
        <v>498</v>
      </c>
      <c r="D16" s="68">
        <v>130</v>
      </c>
      <c r="E16" s="69">
        <v>530</v>
      </c>
      <c r="F16" s="70">
        <v>129</v>
      </c>
      <c r="G16" s="71">
        <v>84</v>
      </c>
      <c r="H16" s="72">
        <v>45</v>
      </c>
      <c r="I16" s="70">
        <v>117</v>
      </c>
      <c r="J16" s="71">
        <v>76</v>
      </c>
      <c r="K16" s="72">
        <v>41</v>
      </c>
      <c r="L16" s="70">
        <f t="shared" si="1"/>
        <v>0</v>
      </c>
      <c r="M16" s="71"/>
      <c r="N16" s="72"/>
      <c r="O16" s="70">
        <f t="shared" si="2"/>
        <v>0</v>
      </c>
      <c r="P16" s="71"/>
      <c r="Q16" s="72"/>
      <c r="R16" s="70">
        <f t="shared" si="3"/>
        <v>0</v>
      </c>
      <c r="S16" s="71"/>
      <c r="T16" s="72"/>
      <c r="U16" s="70">
        <f t="shared" si="4"/>
        <v>0</v>
      </c>
      <c r="V16" s="71"/>
      <c r="W16" s="72"/>
      <c r="X16" s="70">
        <f t="shared" si="5"/>
        <v>0</v>
      </c>
      <c r="Y16" s="71"/>
      <c r="Z16" s="72"/>
      <c r="AA16" s="70">
        <f t="shared" si="6"/>
        <v>0</v>
      </c>
      <c r="AB16" s="71"/>
      <c r="AC16" s="72"/>
      <c r="AD16" s="70">
        <f t="shared" si="7"/>
        <v>0</v>
      </c>
      <c r="AE16" s="71"/>
      <c r="AF16" s="72"/>
      <c r="AG16" s="70">
        <f t="shared" si="8"/>
        <v>0</v>
      </c>
      <c r="AH16" s="71"/>
      <c r="AI16" s="72"/>
      <c r="AJ16" s="70">
        <f t="shared" si="9"/>
        <v>0</v>
      </c>
      <c r="AK16" s="71"/>
      <c r="AL16" s="72"/>
      <c r="AM16" s="70">
        <f t="shared" si="10"/>
        <v>0</v>
      </c>
      <c r="AN16" s="71"/>
      <c r="AO16" s="72"/>
      <c r="AP16" s="68">
        <f t="shared" si="11"/>
        <v>129</v>
      </c>
      <c r="AQ16" s="8">
        <f t="shared" si="0"/>
        <v>0.24339622641509434</v>
      </c>
    </row>
    <row r="17" spans="1:43" ht="18" customHeight="1" x14ac:dyDescent="0.15">
      <c r="A17" s="6"/>
      <c r="B17" s="85" t="s">
        <v>139</v>
      </c>
      <c r="C17" s="83">
        <v>873</v>
      </c>
      <c r="D17" s="68">
        <v>220</v>
      </c>
      <c r="E17" s="69">
        <v>890</v>
      </c>
      <c r="F17" s="70">
        <v>227</v>
      </c>
      <c r="G17" s="71">
        <v>53</v>
      </c>
      <c r="H17" s="72">
        <v>174</v>
      </c>
      <c r="I17" s="70">
        <v>201</v>
      </c>
      <c r="J17" s="71">
        <v>42</v>
      </c>
      <c r="K17" s="72">
        <v>159</v>
      </c>
      <c r="L17" s="70">
        <f t="shared" si="1"/>
        <v>0</v>
      </c>
      <c r="M17" s="71"/>
      <c r="N17" s="72"/>
      <c r="O17" s="70">
        <f t="shared" si="2"/>
        <v>0</v>
      </c>
      <c r="P17" s="71"/>
      <c r="Q17" s="72"/>
      <c r="R17" s="70">
        <f t="shared" si="3"/>
        <v>0</v>
      </c>
      <c r="S17" s="71"/>
      <c r="T17" s="72"/>
      <c r="U17" s="70">
        <f t="shared" si="4"/>
        <v>0</v>
      </c>
      <c r="V17" s="71"/>
      <c r="W17" s="72"/>
      <c r="X17" s="70">
        <f t="shared" si="5"/>
        <v>0</v>
      </c>
      <c r="Y17" s="71"/>
      <c r="Z17" s="72"/>
      <c r="AA17" s="70">
        <f t="shared" si="6"/>
        <v>0</v>
      </c>
      <c r="AB17" s="71"/>
      <c r="AC17" s="72"/>
      <c r="AD17" s="70">
        <f t="shared" si="7"/>
        <v>0</v>
      </c>
      <c r="AE17" s="71"/>
      <c r="AF17" s="72"/>
      <c r="AG17" s="70">
        <f t="shared" si="8"/>
        <v>0</v>
      </c>
      <c r="AH17" s="71"/>
      <c r="AI17" s="72"/>
      <c r="AJ17" s="70">
        <f t="shared" si="9"/>
        <v>0</v>
      </c>
      <c r="AK17" s="71"/>
      <c r="AL17" s="72"/>
      <c r="AM17" s="70">
        <f t="shared" si="10"/>
        <v>0</v>
      </c>
      <c r="AN17" s="71"/>
      <c r="AO17" s="72"/>
      <c r="AP17" s="68">
        <f t="shared" si="11"/>
        <v>227</v>
      </c>
      <c r="AQ17" s="8">
        <f t="shared" si="0"/>
        <v>0.25505617977528089</v>
      </c>
    </row>
    <row r="18" spans="1:43" ht="18" customHeight="1" x14ac:dyDescent="0.15">
      <c r="A18" s="6"/>
      <c r="B18" s="84" t="s">
        <v>153</v>
      </c>
      <c r="C18" s="62">
        <v>568</v>
      </c>
      <c r="D18" s="63">
        <v>185</v>
      </c>
      <c r="E18" s="64">
        <v>740</v>
      </c>
      <c r="F18" s="64">
        <v>105</v>
      </c>
      <c r="G18" s="65">
        <v>48</v>
      </c>
      <c r="H18" s="66">
        <v>57</v>
      </c>
      <c r="I18" s="70">
        <v>105</v>
      </c>
      <c r="J18" s="65">
        <v>48</v>
      </c>
      <c r="K18" s="66">
        <v>57</v>
      </c>
      <c r="L18" s="70">
        <f t="shared" si="1"/>
        <v>0</v>
      </c>
      <c r="M18" s="71"/>
      <c r="N18" s="72"/>
      <c r="O18" s="70">
        <f t="shared" si="2"/>
        <v>0</v>
      </c>
      <c r="P18" s="71"/>
      <c r="Q18" s="72"/>
      <c r="R18" s="70">
        <f t="shared" si="3"/>
        <v>0</v>
      </c>
      <c r="S18" s="71"/>
      <c r="T18" s="72"/>
      <c r="U18" s="70">
        <f t="shared" si="4"/>
        <v>0</v>
      </c>
      <c r="V18" s="71"/>
      <c r="W18" s="72"/>
      <c r="X18" s="70">
        <f t="shared" si="5"/>
        <v>0</v>
      </c>
      <c r="Y18" s="71"/>
      <c r="Z18" s="72"/>
      <c r="AA18" s="70">
        <f t="shared" si="6"/>
        <v>0</v>
      </c>
      <c r="AB18" s="71"/>
      <c r="AC18" s="72"/>
      <c r="AD18" s="70">
        <f t="shared" si="7"/>
        <v>0</v>
      </c>
      <c r="AE18" s="71"/>
      <c r="AF18" s="72"/>
      <c r="AG18" s="70">
        <f t="shared" si="8"/>
        <v>0</v>
      </c>
      <c r="AH18" s="71"/>
      <c r="AI18" s="72"/>
      <c r="AJ18" s="70">
        <f t="shared" si="9"/>
        <v>0</v>
      </c>
      <c r="AK18" s="71"/>
      <c r="AL18" s="72"/>
      <c r="AM18" s="70">
        <f t="shared" si="10"/>
        <v>0</v>
      </c>
      <c r="AN18" s="71"/>
      <c r="AO18" s="72"/>
      <c r="AP18" s="68">
        <f t="shared" si="11"/>
        <v>105</v>
      </c>
      <c r="AQ18" s="8">
        <f t="shared" si="0"/>
        <v>0.14189189189189189</v>
      </c>
    </row>
    <row r="19" spans="1:43" ht="18" customHeight="1" x14ac:dyDescent="0.15">
      <c r="A19" s="6"/>
      <c r="B19" s="12" t="s">
        <v>152</v>
      </c>
      <c r="C19" s="67">
        <v>440</v>
      </c>
      <c r="D19" s="68">
        <v>105</v>
      </c>
      <c r="E19" s="64">
        <f t="shared" ref="E19" si="12">D19*4</f>
        <v>420</v>
      </c>
      <c r="F19" s="70">
        <v>116</v>
      </c>
      <c r="G19" s="71">
        <v>18</v>
      </c>
      <c r="H19" s="72">
        <v>98</v>
      </c>
      <c r="I19" s="70">
        <v>115</v>
      </c>
      <c r="J19" s="71">
        <v>18</v>
      </c>
      <c r="K19" s="72">
        <v>97</v>
      </c>
      <c r="L19" s="70">
        <f t="shared" si="1"/>
        <v>0</v>
      </c>
      <c r="M19" s="71"/>
      <c r="N19" s="72"/>
      <c r="O19" s="70">
        <f t="shared" si="2"/>
        <v>0</v>
      </c>
      <c r="P19" s="71"/>
      <c r="Q19" s="72"/>
      <c r="R19" s="70">
        <f t="shared" si="3"/>
        <v>0</v>
      </c>
      <c r="S19" s="71"/>
      <c r="T19" s="72"/>
      <c r="U19" s="70">
        <f t="shared" si="4"/>
        <v>0</v>
      </c>
      <c r="V19" s="71"/>
      <c r="W19" s="72"/>
      <c r="X19" s="70">
        <f t="shared" si="5"/>
        <v>0</v>
      </c>
      <c r="Y19" s="71"/>
      <c r="Z19" s="72"/>
      <c r="AA19" s="70">
        <f t="shared" si="6"/>
        <v>0</v>
      </c>
      <c r="AB19" s="71"/>
      <c r="AC19" s="72"/>
      <c r="AD19" s="70">
        <f t="shared" si="7"/>
        <v>0</v>
      </c>
      <c r="AE19" s="71"/>
      <c r="AF19" s="72"/>
      <c r="AG19" s="70">
        <f t="shared" si="8"/>
        <v>0</v>
      </c>
      <c r="AH19" s="71"/>
      <c r="AI19" s="72"/>
      <c r="AJ19" s="70">
        <f t="shared" si="9"/>
        <v>0</v>
      </c>
      <c r="AK19" s="71"/>
      <c r="AL19" s="72"/>
      <c r="AM19" s="70">
        <f t="shared" si="10"/>
        <v>0</v>
      </c>
      <c r="AN19" s="71"/>
      <c r="AO19" s="72"/>
      <c r="AP19" s="68">
        <f t="shared" si="11"/>
        <v>116</v>
      </c>
      <c r="AQ19" s="8">
        <f t="shared" si="0"/>
        <v>0.27619047619047621</v>
      </c>
    </row>
    <row r="20" spans="1:43" ht="18" customHeight="1" x14ac:dyDescent="0.15">
      <c r="A20" s="6"/>
      <c r="B20" s="12"/>
      <c r="C20" s="67"/>
      <c r="D20" s="68"/>
      <c r="E20" s="69"/>
      <c r="F20" s="70">
        <f t="shared" ref="F20:F23" si="13">G20+H20</f>
        <v>0</v>
      </c>
      <c r="G20" s="71"/>
      <c r="H20" s="72"/>
      <c r="I20" s="70">
        <f t="shared" ref="I20:I23" si="14">J20+K20</f>
        <v>0</v>
      </c>
      <c r="J20" s="71"/>
      <c r="K20" s="72"/>
      <c r="L20" s="70">
        <f t="shared" si="1"/>
        <v>0</v>
      </c>
      <c r="M20" s="71"/>
      <c r="N20" s="72"/>
      <c r="O20" s="70">
        <f t="shared" si="2"/>
        <v>0</v>
      </c>
      <c r="P20" s="71"/>
      <c r="Q20" s="72"/>
      <c r="R20" s="70">
        <f t="shared" si="3"/>
        <v>0</v>
      </c>
      <c r="S20" s="71"/>
      <c r="T20" s="72"/>
      <c r="U20" s="70">
        <f t="shared" si="4"/>
        <v>0</v>
      </c>
      <c r="V20" s="71"/>
      <c r="W20" s="72"/>
      <c r="X20" s="70">
        <f t="shared" si="5"/>
        <v>0</v>
      </c>
      <c r="Y20" s="71"/>
      <c r="Z20" s="72"/>
      <c r="AA20" s="70">
        <f t="shared" si="6"/>
        <v>0</v>
      </c>
      <c r="AB20" s="71"/>
      <c r="AC20" s="72"/>
      <c r="AD20" s="70">
        <f t="shared" si="7"/>
        <v>0</v>
      </c>
      <c r="AE20" s="71"/>
      <c r="AF20" s="72"/>
      <c r="AG20" s="70">
        <f t="shared" si="8"/>
        <v>0</v>
      </c>
      <c r="AH20" s="71"/>
      <c r="AI20" s="72"/>
      <c r="AJ20" s="70">
        <f t="shared" si="9"/>
        <v>0</v>
      </c>
      <c r="AK20" s="71"/>
      <c r="AL20" s="72"/>
      <c r="AM20" s="70">
        <f t="shared" si="10"/>
        <v>0</v>
      </c>
      <c r="AN20" s="71"/>
      <c r="AO20" s="72"/>
      <c r="AP20" s="68">
        <f t="shared" si="11"/>
        <v>0</v>
      </c>
      <c r="AQ20" s="8" t="e">
        <f t="shared" si="0"/>
        <v>#DIV/0!</v>
      </c>
    </row>
    <row r="21" spans="1:43" ht="18" customHeight="1" x14ac:dyDescent="0.15">
      <c r="A21" s="6"/>
      <c r="B21" s="12"/>
      <c r="C21" s="67"/>
      <c r="D21" s="68"/>
      <c r="E21" s="69"/>
      <c r="F21" s="70">
        <f t="shared" si="13"/>
        <v>0</v>
      </c>
      <c r="G21" s="71"/>
      <c r="H21" s="72"/>
      <c r="I21" s="70">
        <f t="shared" si="14"/>
        <v>0</v>
      </c>
      <c r="J21" s="71"/>
      <c r="K21" s="72"/>
      <c r="L21" s="70">
        <f t="shared" si="1"/>
        <v>0</v>
      </c>
      <c r="M21" s="71"/>
      <c r="N21" s="72"/>
      <c r="O21" s="70">
        <f t="shared" si="2"/>
        <v>0</v>
      </c>
      <c r="P21" s="71"/>
      <c r="Q21" s="72"/>
      <c r="R21" s="70">
        <f t="shared" si="3"/>
        <v>0</v>
      </c>
      <c r="S21" s="71"/>
      <c r="T21" s="72"/>
      <c r="U21" s="70">
        <f t="shared" si="4"/>
        <v>0</v>
      </c>
      <c r="V21" s="71"/>
      <c r="W21" s="72"/>
      <c r="X21" s="70">
        <f t="shared" si="5"/>
        <v>0</v>
      </c>
      <c r="Y21" s="71"/>
      <c r="Z21" s="72"/>
      <c r="AA21" s="70">
        <f t="shared" si="6"/>
        <v>0</v>
      </c>
      <c r="AB21" s="71"/>
      <c r="AC21" s="72"/>
      <c r="AD21" s="70">
        <f t="shared" si="7"/>
        <v>0</v>
      </c>
      <c r="AE21" s="71"/>
      <c r="AF21" s="72"/>
      <c r="AG21" s="70">
        <f t="shared" si="8"/>
        <v>0</v>
      </c>
      <c r="AH21" s="71"/>
      <c r="AI21" s="72"/>
      <c r="AJ21" s="70">
        <f t="shared" si="9"/>
        <v>0</v>
      </c>
      <c r="AK21" s="71"/>
      <c r="AL21" s="72"/>
      <c r="AM21" s="70">
        <f t="shared" si="10"/>
        <v>0</v>
      </c>
      <c r="AN21" s="71"/>
      <c r="AO21" s="72"/>
      <c r="AP21" s="68">
        <f t="shared" si="11"/>
        <v>0</v>
      </c>
      <c r="AQ21" s="8" t="e">
        <f t="shared" si="0"/>
        <v>#DIV/0!</v>
      </c>
    </row>
    <row r="22" spans="1:43" ht="18" customHeight="1" x14ac:dyDescent="0.15">
      <c r="A22" s="6"/>
      <c r="B22" s="12"/>
      <c r="C22" s="67"/>
      <c r="D22" s="68"/>
      <c r="E22" s="69"/>
      <c r="F22" s="70">
        <f t="shared" si="13"/>
        <v>0</v>
      </c>
      <c r="G22" s="71"/>
      <c r="H22" s="72"/>
      <c r="I22" s="70">
        <f t="shared" si="14"/>
        <v>0</v>
      </c>
      <c r="J22" s="71"/>
      <c r="K22" s="72"/>
      <c r="L22" s="70">
        <f t="shared" si="1"/>
        <v>0</v>
      </c>
      <c r="M22" s="71"/>
      <c r="N22" s="72"/>
      <c r="O22" s="70">
        <f t="shared" si="2"/>
        <v>0</v>
      </c>
      <c r="P22" s="71"/>
      <c r="Q22" s="72"/>
      <c r="R22" s="70">
        <f t="shared" si="3"/>
        <v>0</v>
      </c>
      <c r="S22" s="71"/>
      <c r="T22" s="72"/>
      <c r="U22" s="70">
        <f t="shared" si="4"/>
        <v>0</v>
      </c>
      <c r="V22" s="71"/>
      <c r="W22" s="72"/>
      <c r="X22" s="70">
        <f t="shared" si="5"/>
        <v>0</v>
      </c>
      <c r="Y22" s="71"/>
      <c r="Z22" s="72"/>
      <c r="AA22" s="70">
        <f t="shared" si="6"/>
        <v>0</v>
      </c>
      <c r="AB22" s="71"/>
      <c r="AC22" s="72"/>
      <c r="AD22" s="70">
        <f t="shared" si="7"/>
        <v>0</v>
      </c>
      <c r="AE22" s="71"/>
      <c r="AF22" s="72"/>
      <c r="AG22" s="70">
        <f t="shared" si="8"/>
        <v>0</v>
      </c>
      <c r="AH22" s="71"/>
      <c r="AI22" s="72"/>
      <c r="AJ22" s="70">
        <f t="shared" si="9"/>
        <v>0</v>
      </c>
      <c r="AK22" s="71"/>
      <c r="AL22" s="72"/>
      <c r="AM22" s="70">
        <f t="shared" si="10"/>
        <v>0</v>
      </c>
      <c r="AN22" s="71"/>
      <c r="AO22" s="72"/>
      <c r="AP22" s="68">
        <f t="shared" si="11"/>
        <v>0</v>
      </c>
      <c r="AQ22" s="8" t="e">
        <f t="shared" si="0"/>
        <v>#DIV/0!</v>
      </c>
    </row>
    <row r="23" spans="1:43" ht="18" customHeight="1" x14ac:dyDescent="0.15">
      <c r="A23" s="6"/>
      <c r="B23" s="12"/>
      <c r="C23" s="67"/>
      <c r="D23" s="68"/>
      <c r="E23" s="69"/>
      <c r="F23" s="70">
        <f t="shared" si="13"/>
        <v>0</v>
      </c>
      <c r="G23" s="71"/>
      <c r="H23" s="72"/>
      <c r="I23" s="70">
        <f t="shared" si="14"/>
        <v>0</v>
      </c>
      <c r="J23" s="71"/>
      <c r="K23" s="72"/>
      <c r="L23" s="70">
        <f t="shared" si="1"/>
        <v>0</v>
      </c>
      <c r="M23" s="71"/>
      <c r="N23" s="72"/>
      <c r="O23" s="70">
        <f t="shared" si="2"/>
        <v>0</v>
      </c>
      <c r="P23" s="71"/>
      <c r="Q23" s="72"/>
      <c r="R23" s="70">
        <f t="shared" si="3"/>
        <v>0</v>
      </c>
      <c r="S23" s="71"/>
      <c r="T23" s="72"/>
      <c r="U23" s="70">
        <f t="shared" si="4"/>
        <v>0</v>
      </c>
      <c r="V23" s="71"/>
      <c r="W23" s="72"/>
      <c r="X23" s="70">
        <f t="shared" si="5"/>
        <v>0</v>
      </c>
      <c r="Y23" s="71"/>
      <c r="Z23" s="72"/>
      <c r="AA23" s="70">
        <f t="shared" si="6"/>
        <v>0</v>
      </c>
      <c r="AB23" s="71"/>
      <c r="AC23" s="72"/>
      <c r="AD23" s="70">
        <f t="shared" si="7"/>
        <v>0</v>
      </c>
      <c r="AE23" s="71"/>
      <c r="AF23" s="72"/>
      <c r="AG23" s="70">
        <f t="shared" si="8"/>
        <v>0</v>
      </c>
      <c r="AH23" s="71"/>
      <c r="AI23" s="72"/>
      <c r="AJ23" s="70">
        <f t="shared" si="9"/>
        <v>0</v>
      </c>
      <c r="AK23" s="71"/>
      <c r="AL23" s="72"/>
      <c r="AM23" s="70">
        <f t="shared" si="10"/>
        <v>0</v>
      </c>
      <c r="AN23" s="71"/>
      <c r="AO23" s="72"/>
      <c r="AP23" s="68">
        <f t="shared" si="11"/>
        <v>0</v>
      </c>
      <c r="AQ23" s="8" t="e">
        <f t="shared" si="0"/>
        <v>#DIV/0!</v>
      </c>
    </row>
    <row r="24" spans="1:43" ht="18" customHeight="1" x14ac:dyDescent="0.15">
      <c r="A24" s="6"/>
      <c r="B24" s="12"/>
      <c r="C24" s="67"/>
      <c r="D24" s="68"/>
      <c r="E24" s="69"/>
      <c r="F24" s="70">
        <f t="shared" ref="F24:F31" si="15">G24+H24</f>
        <v>0</v>
      </c>
      <c r="G24" s="71"/>
      <c r="H24" s="72"/>
      <c r="I24" s="70">
        <f t="shared" ref="I24:I31" si="16">J24+K24</f>
        <v>0</v>
      </c>
      <c r="J24" s="71"/>
      <c r="K24" s="72"/>
      <c r="L24" s="70">
        <f t="shared" si="1"/>
        <v>0</v>
      </c>
      <c r="M24" s="71"/>
      <c r="N24" s="72"/>
      <c r="O24" s="70">
        <f t="shared" si="2"/>
        <v>0</v>
      </c>
      <c r="P24" s="71"/>
      <c r="Q24" s="72"/>
      <c r="R24" s="70">
        <f t="shared" si="3"/>
        <v>0</v>
      </c>
      <c r="S24" s="71"/>
      <c r="T24" s="72"/>
      <c r="U24" s="70">
        <f t="shared" si="4"/>
        <v>0</v>
      </c>
      <c r="V24" s="71"/>
      <c r="W24" s="72"/>
      <c r="X24" s="70">
        <f t="shared" si="5"/>
        <v>0</v>
      </c>
      <c r="Y24" s="71"/>
      <c r="Z24" s="72"/>
      <c r="AA24" s="70">
        <f t="shared" si="6"/>
        <v>0</v>
      </c>
      <c r="AB24" s="71"/>
      <c r="AC24" s="72"/>
      <c r="AD24" s="70">
        <f t="shared" si="7"/>
        <v>0</v>
      </c>
      <c r="AE24" s="71"/>
      <c r="AF24" s="72"/>
      <c r="AG24" s="70">
        <f t="shared" si="8"/>
        <v>0</v>
      </c>
      <c r="AH24" s="71"/>
      <c r="AI24" s="72"/>
      <c r="AJ24" s="70">
        <f t="shared" si="9"/>
        <v>0</v>
      </c>
      <c r="AK24" s="71"/>
      <c r="AL24" s="72"/>
      <c r="AM24" s="70">
        <f t="shared" si="10"/>
        <v>0</v>
      </c>
      <c r="AN24" s="71"/>
      <c r="AO24" s="72"/>
      <c r="AP24" s="68">
        <f t="shared" si="11"/>
        <v>0</v>
      </c>
      <c r="AQ24" s="8" t="e">
        <f t="shared" si="0"/>
        <v>#DIV/0!</v>
      </c>
    </row>
    <row r="25" spans="1:43" ht="18" customHeight="1" x14ac:dyDescent="0.15">
      <c r="A25" s="6"/>
      <c r="B25" s="12"/>
      <c r="C25" s="67"/>
      <c r="D25" s="68"/>
      <c r="E25" s="69"/>
      <c r="F25" s="70">
        <f t="shared" si="15"/>
        <v>0</v>
      </c>
      <c r="G25" s="71"/>
      <c r="H25" s="72"/>
      <c r="I25" s="70">
        <f t="shared" si="16"/>
        <v>0</v>
      </c>
      <c r="J25" s="71"/>
      <c r="K25" s="72"/>
      <c r="L25" s="70">
        <f t="shared" si="1"/>
        <v>0</v>
      </c>
      <c r="M25" s="71"/>
      <c r="N25" s="72"/>
      <c r="O25" s="70">
        <f t="shared" si="2"/>
        <v>0</v>
      </c>
      <c r="P25" s="71"/>
      <c r="Q25" s="72"/>
      <c r="R25" s="70">
        <f t="shared" si="3"/>
        <v>0</v>
      </c>
      <c r="S25" s="71"/>
      <c r="T25" s="72"/>
      <c r="U25" s="70">
        <f t="shared" si="4"/>
        <v>0</v>
      </c>
      <c r="V25" s="71"/>
      <c r="W25" s="72"/>
      <c r="X25" s="70">
        <f t="shared" si="5"/>
        <v>0</v>
      </c>
      <c r="Y25" s="71"/>
      <c r="Z25" s="72"/>
      <c r="AA25" s="70">
        <f t="shared" si="6"/>
        <v>0</v>
      </c>
      <c r="AB25" s="71"/>
      <c r="AC25" s="72"/>
      <c r="AD25" s="70">
        <f t="shared" si="7"/>
        <v>0</v>
      </c>
      <c r="AE25" s="71"/>
      <c r="AF25" s="72"/>
      <c r="AG25" s="70">
        <f t="shared" si="8"/>
        <v>0</v>
      </c>
      <c r="AH25" s="71"/>
      <c r="AI25" s="72"/>
      <c r="AJ25" s="70">
        <f t="shared" si="9"/>
        <v>0</v>
      </c>
      <c r="AK25" s="71"/>
      <c r="AL25" s="72"/>
      <c r="AM25" s="70">
        <f t="shared" si="10"/>
        <v>0</v>
      </c>
      <c r="AN25" s="71"/>
      <c r="AO25" s="72"/>
      <c r="AP25" s="68">
        <f t="shared" si="11"/>
        <v>0</v>
      </c>
      <c r="AQ25" s="8" t="e">
        <f t="shared" si="0"/>
        <v>#DIV/0!</v>
      </c>
    </row>
    <row r="26" spans="1:43" ht="18" customHeight="1" x14ac:dyDescent="0.15">
      <c r="A26" s="6"/>
      <c r="B26" s="12"/>
      <c r="C26" s="67"/>
      <c r="D26" s="68"/>
      <c r="E26" s="69"/>
      <c r="F26" s="70">
        <f t="shared" si="15"/>
        <v>0</v>
      </c>
      <c r="G26" s="71"/>
      <c r="H26" s="72"/>
      <c r="I26" s="70">
        <f t="shared" si="16"/>
        <v>0</v>
      </c>
      <c r="J26" s="71"/>
      <c r="K26" s="72"/>
      <c r="L26" s="70">
        <f t="shared" si="1"/>
        <v>0</v>
      </c>
      <c r="M26" s="71"/>
      <c r="N26" s="72"/>
      <c r="O26" s="70">
        <f t="shared" si="2"/>
        <v>0</v>
      </c>
      <c r="P26" s="71"/>
      <c r="Q26" s="72"/>
      <c r="R26" s="70">
        <f t="shared" si="3"/>
        <v>0</v>
      </c>
      <c r="S26" s="71"/>
      <c r="T26" s="72"/>
      <c r="U26" s="70">
        <f t="shared" si="4"/>
        <v>0</v>
      </c>
      <c r="V26" s="71"/>
      <c r="W26" s="72"/>
      <c r="X26" s="70">
        <f t="shared" si="5"/>
        <v>0</v>
      </c>
      <c r="Y26" s="71"/>
      <c r="Z26" s="72"/>
      <c r="AA26" s="70">
        <f t="shared" si="6"/>
        <v>0</v>
      </c>
      <c r="AB26" s="71"/>
      <c r="AC26" s="72"/>
      <c r="AD26" s="70">
        <f t="shared" si="7"/>
        <v>0</v>
      </c>
      <c r="AE26" s="71"/>
      <c r="AF26" s="72"/>
      <c r="AG26" s="70">
        <f t="shared" si="8"/>
        <v>0</v>
      </c>
      <c r="AH26" s="71"/>
      <c r="AI26" s="72"/>
      <c r="AJ26" s="70">
        <f t="shared" si="9"/>
        <v>0</v>
      </c>
      <c r="AK26" s="71"/>
      <c r="AL26" s="72"/>
      <c r="AM26" s="70">
        <f t="shared" si="10"/>
        <v>0</v>
      </c>
      <c r="AN26" s="71"/>
      <c r="AO26" s="72"/>
      <c r="AP26" s="68">
        <f t="shared" si="11"/>
        <v>0</v>
      </c>
      <c r="AQ26" s="8" t="e">
        <f t="shared" si="0"/>
        <v>#DIV/0!</v>
      </c>
    </row>
    <row r="27" spans="1:43" ht="18" customHeight="1" x14ac:dyDescent="0.15">
      <c r="A27" s="6"/>
      <c r="B27" s="12"/>
      <c r="C27" s="67"/>
      <c r="D27" s="68"/>
      <c r="E27" s="69"/>
      <c r="F27" s="70">
        <f t="shared" si="15"/>
        <v>0</v>
      </c>
      <c r="G27" s="71"/>
      <c r="H27" s="72"/>
      <c r="I27" s="70">
        <f t="shared" si="16"/>
        <v>0</v>
      </c>
      <c r="J27" s="71"/>
      <c r="K27" s="72"/>
      <c r="L27" s="70">
        <f t="shared" si="1"/>
        <v>0</v>
      </c>
      <c r="M27" s="71"/>
      <c r="N27" s="72"/>
      <c r="O27" s="70">
        <f t="shared" si="2"/>
        <v>0</v>
      </c>
      <c r="P27" s="71"/>
      <c r="Q27" s="72"/>
      <c r="R27" s="70">
        <f t="shared" si="3"/>
        <v>0</v>
      </c>
      <c r="S27" s="71"/>
      <c r="T27" s="72"/>
      <c r="U27" s="70">
        <f t="shared" si="4"/>
        <v>0</v>
      </c>
      <c r="V27" s="71"/>
      <c r="W27" s="72"/>
      <c r="X27" s="70">
        <f t="shared" si="5"/>
        <v>0</v>
      </c>
      <c r="Y27" s="71"/>
      <c r="Z27" s="72"/>
      <c r="AA27" s="70">
        <f t="shared" si="6"/>
        <v>0</v>
      </c>
      <c r="AB27" s="71"/>
      <c r="AC27" s="72"/>
      <c r="AD27" s="70">
        <f t="shared" si="7"/>
        <v>0</v>
      </c>
      <c r="AE27" s="71"/>
      <c r="AF27" s="72"/>
      <c r="AG27" s="70">
        <f t="shared" si="8"/>
        <v>0</v>
      </c>
      <c r="AH27" s="71"/>
      <c r="AI27" s="72"/>
      <c r="AJ27" s="70">
        <f t="shared" si="9"/>
        <v>0</v>
      </c>
      <c r="AK27" s="71"/>
      <c r="AL27" s="72"/>
      <c r="AM27" s="70">
        <f t="shared" si="10"/>
        <v>0</v>
      </c>
      <c r="AN27" s="71"/>
      <c r="AO27" s="72"/>
      <c r="AP27" s="68">
        <f t="shared" si="11"/>
        <v>0</v>
      </c>
      <c r="AQ27" s="8" t="e">
        <f t="shared" si="0"/>
        <v>#DIV/0!</v>
      </c>
    </row>
    <row r="28" spans="1:43" ht="18" customHeight="1" x14ac:dyDescent="0.15">
      <c r="A28" s="6"/>
      <c r="B28" s="12"/>
      <c r="C28" s="67"/>
      <c r="D28" s="68"/>
      <c r="E28" s="69"/>
      <c r="F28" s="70">
        <f t="shared" si="15"/>
        <v>0</v>
      </c>
      <c r="G28" s="71"/>
      <c r="H28" s="72"/>
      <c r="I28" s="70">
        <f t="shared" si="16"/>
        <v>0</v>
      </c>
      <c r="J28" s="71"/>
      <c r="K28" s="72"/>
      <c r="L28" s="70">
        <f t="shared" si="1"/>
        <v>0</v>
      </c>
      <c r="M28" s="71"/>
      <c r="N28" s="72"/>
      <c r="O28" s="70">
        <f t="shared" si="2"/>
        <v>0</v>
      </c>
      <c r="P28" s="71"/>
      <c r="Q28" s="72"/>
      <c r="R28" s="70">
        <f t="shared" si="3"/>
        <v>0</v>
      </c>
      <c r="S28" s="71"/>
      <c r="T28" s="72"/>
      <c r="U28" s="70">
        <f t="shared" si="4"/>
        <v>0</v>
      </c>
      <c r="V28" s="71"/>
      <c r="W28" s="72"/>
      <c r="X28" s="70">
        <f t="shared" si="5"/>
        <v>0</v>
      </c>
      <c r="Y28" s="71"/>
      <c r="Z28" s="72"/>
      <c r="AA28" s="70">
        <f t="shared" si="6"/>
        <v>0</v>
      </c>
      <c r="AB28" s="71"/>
      <c r="AC28" s="72"/>
      <c r="AD28" s="70">
        <f t="shared" si="7"/>
        <v>0</v>
      </c>
      <c r="AE28" s="71"/>
      <c r="AF28" s="72"/>
      <c r="AG28" s="70">
        <f t="shared" si="8"/>
        <v>0</v>
      </c>
      <c r="AH28" s="71"/>
      <c r="AI28" s="72"/>
      <c r="AJ28" s="70">
        <f t="shared" si="9"/>
        <v>0</v>
      </c>
      <c r="AK28" s="71"/>
      <c r="AL28" s="72"/>
      <c r="AM28" s="70">
        <f t="shared" si="10"/>
        <v>0</v>
      </c>
      <c r="AN28" s="71"/>
      <c r="AO28" s="72"/>
      <c r="AP28" s="68">
        <f t="shared" si="11"/>
        <v>0</v>
      </c>
      <c r="AQ28" s="8" t="e">
        <f t="shared" si="0"/>
        <v>#DIV/0!</v>
      </c>
    </row>
    <row r="29" spans="1:43" ht="18" customHeight="1" x14ac:dyDescent="0.15">
      <c r="A29" s="6"/>
      <c r="B29" s="12"/>
      <c r="C29" s="67"/>
      <c r="D29" s="73"/>
      <c r="E29" s="69"/>
      <c r="F29" s="70">
        <f t="shared" si="15"/>
        <v>0</v>
      </c>
      <c r="G29" s="71"/>
      <c r="H29" s="72"/>
      <c r="I29" s="70">
        <f t="shared" si="16"/>
        <v>0</v>
      </c>
      <c r="J29" s="71"/>
      <c r="K29" s="72"/>
      <c r="L29" s="70">
        <f t="shared" si="1"/>
        <v>0</v>
      </c>
      <c r="M29" s="71"/>
      <c r="N29" s="72"/>
      <c r="O29" s="70">
        <f t="shared" si="2"/>
        <v>0</v>
      </c>
      <c r="P29" s="71"/>
      <c r="Q29" s="72"/>
      <c r="R29" s="70">
        <f t="shared" si="3"/>
        <v>0</v>
      </c>
      <c r="S29" s="71"/>
      <c r="T29" s="72"/>
      <c r="U29" s="70">
        <f t="shared" si="4"/>
        <v>0</v>
      </c>
      <c r="V29" s="71"/>
      <c r="W29" s="72"/>
      <c r="X29" s="70">
        <f t="shared" si="5"/>
        <v>0</v>
      </c>
      <c r="Y29" s="71"/>
      <c r="Z29" s="72"/>
      <c r="AA29" s="70">
        <f t="shared" si="6"/>
        <v>0</v>
      </c>
      <c r="AB29" s="71"/>
      <c r="AC29" s="72"/>
      <c r="AD29" s="70">
        <f t="shared" si="7"/>
        <v>0</v>
      </c>
      <c r="AE29" s="71"/>
      <c r="AF29" s="72"/>
      <c r="AG29" s="70">
        <f t="shared" si="8"/>
        <v>0</v>
      </c>
      <c r="AH29" s="71"/>
      <c r="AI29" s="72"/>
      <c r="AJ29" s="70">
        <f t="shared" si="9"/>
        <v>0</v>
      </c>
      <c r="AK29" s="71"/>
      <c r="AL29" s="72"/>
      <c r="AM29" s="70">
        <f t="shared" si="10"/>
        <v>0</v>
      </c>
      <c r="AN29" s="71"/>
      <c r="AO29" s="72"/>
      <c r="AP29" s="73">
        <f t="shared" si="11"/>
        <v>0</v>
      </c>
      <c r="AQ29" s="8" t="e">
        <f t="shared" si="0"/>
        <v>#DIV/0!</v>
      </c>
    </row>
    <row r="30" spans="1:43" ht="18" customHeight="1" x14ac:dyDescent="0.15">
      <c r="A30" s="6"/>
      <c r="B30" s="12"/>
      <c r="C30" s="67"/>
      <c r="D30" s="73"/>
      <c r="E30" s="69"/>
      <c r="F30" s="70">
        <f t="shared" si="15"/>
        <v>0</v>
      </c>
      <c r="G30" s="71"/>
      <c r="H30" s="72"/>
      <c r="I30" s="70">
        <f t="shared" si="16"/>
        <v>0</v>
      </c>
      <c r="J30" s="71"/>
      <c r="K30" s="72"/>
      <c r="L30" s="70">
        <f t="shared" si="1"/>
        <v>0</v>
      </c>
      <c r="M30" s="71"/>
      <c r="N30" s="72"/>
      <c r="O30" s="70">
        <f t="shared" si="2"/>
        <v>0</v>
      </c>
      <c r="P30" s="71"/>
      <c r="Q30" s="72"/>
      <c r="R30" s="70">
        <f t="shared" si="3"/>
        <v>0</v>
      </c>
      <c r="S30" s="71"/>
      <c r="T30" s="72"/>
      <c r="U30" s="70">
        <f t="shared" si="4"/>
        <v>0</v>
      </c>
      <c r="V30" s="71"/>
      <c r="W30" s="72"/>
      <c r="X30" s="70">
        <f t="shared" si="5"/>
        <v>0</v>
      </c>
      <c r="Y30" s="71"/>
      <c r="Z30" s="72"/>
      <c r="AA30" s="70">
        <f t="shared" si="6"/>
        <v>0</v>
      </c>
      <c r="AB30" s="71"/>
      <c r="AC30" s="72"/>
      <c r="AD30" s="70">
        <f t="shared" si="7"/>
        <v>0</v>
      </c>
      <c r="AE30" s="71"/>
      <c r="AF30" s="72"/>
      <c r="AG30" s="70">
        <f t="shared" si="8"/>
        <v>0</v>
      </c>
      <c r="AH30" s="71"/>
      <c r="AI30" s="72"/>
      <c r="AJ30" s="70">
        <f t="shared" si="9"/>
        <v>0</v>
      </c>
      <c r="AK30" s="71"/>
      <c r="AL30" s="72"/>
      <c r="AM30" s="70">
        <f t="shared" si="10"/>
        <v>0</v>
      </c>
      <c r="AN30" s="71"/>
      <c r="AO30" s="72"/>
      <c r="AP30" s="73">
        <f t="shared" si="11"/>
        <v>0</v>
      </c>
      <c r="AQ30" s="8" t="e">
        <f t="shared" si="0"/>
        <v>#DIV/0!</v>
      </c>
    </row>
    <row r="31" spans="1:43" ht="18" customHeight="1" thickBot="1" x14ac:dyDescent="0.2">
      <c r="A31" s="6"/>
      <c r="B31" s="13"/>
      <c r="C31" s="62"/>
      <c r="D31" s="74"/>
      <c r="E31" s="64"/>
      <c r="F31" s="64">
        <f t="shared" si="15"/>
        <v>0</v>
      </c>
      <c r="G31" s="75"/>
      <c r="H31" s="76"/>
      <c r="I31" s="64">
        <f t="shared" si="16"/>
        <v>0</v>
      </c>
      <c r="J31" s="75"/>
      <c r="K31" s="76"/>
      <c r="L31" s="64">
        <f t="shared" si="1"/>
        <v>0</v>
      </c>
      <c r="M31" s="75"/>
      <c r="N31" s="76"/>
      <c r="O31" s="64">
        <f t="shared" si="2"/>
        <v>0</v>
      </c>
      <c r="P31" s="75"/>
      <c r="Q31" s="76"/>
      <c r="R31" s="64">
        <f t="shared" si="3"/>
        <v>0</v>
      </c>
      <c r="S31" s="75"/>
      <c r="T31" s="76"/>
      <c r="U31" s="64">
        <f t="shared" si="4"/>
        <v>0</v>
      </c>
      <c r="V31" s="75"/>
      <c r="W31" s="76"/>
      <c r="X31" s="64">
        <f t="shared" si="5"/>
        <v>0</v>
      </c>
      <c r="Y31" s="75"/>
      <c r="Z31" s="76"/>
      <c r="AA31" s="64">
        <f t="shared" si="6"/>
        <v>0</v>
      </c>
      <c r="AB31" s="75"/>
      <c r="AC31" s="76"/>
      <c r="AD31" s="64">
        <f t="shared" si="7"/>
        <v>0</v>
      </c>
      <c r="AE31" s="75"/>
      <c r="AF31" s="76"/>
      <c r="AG31" s="64">
        <f t="shared" si="8"/>
        <v>0</v>
      </c>
      <c r="AH31" s="75"/>
      <c r="AI31" s="76"/>
      <c r="AJ31" s="64">
        <f t="shared" si="9"/>
        <v>0</v>
      </c>
      <c r="AK31" s="75"/>
      <c r="AL31" s="76"/>
      <c r="AM31" s="64">
        <f t="shared" si="10"/>
        <v>0</v>
      </c>
      <c r="AN31" s="75"/>
      <c r="AO31" s="76"/>
      <c r="AP31" s="74">
        <f t="shared" si="11"/>
        <v>0</v>
      </c>
      <c r="AQ31" s="7" t="e">
        <f t="shared" si="0"/>
        <v>#DIV/0!</v>
      </c>
    </row>
    <row r="32" spans="1:43" ht="18" customHeight="1" thickTop="1" x14ac:dyDescent="0.15">
      <c r="B32" s="14" t="s">
        <v>33</v>
      </c>
      <c r="C32" s="77">
        <f t="shared" ref="C32" si="17">SUM(C12:C31)</f>
        <v>5441</v>
      </c>
      <c r="D32" s="78">
        <f t="shared" ref="D32:AP32" si="18">SUM(D12:D31)</f>
        <v>1395</v>
      </c>
      <c r="E32" s="79">
        <f t="shared" si="18"/>
        <v>5660</v>
      </c>
      <c r="F32" s="79">
        <f t="shared" si="18"/>
        <v>1315</v>
      </c>
      <c r="G32" s="80">
        <f t="shared" si="18"/>
        <v>440</v>
      </c>
      <c r="H32" s="81">
        <f t="shared" si="18"/>
        <v>875</v>
      </c>
      <c r="I32" s="79">
        <f t="shared" ref="I32:N32" si="19">SUM(I12:I31)</f>
        <v>1208</v>
      </c>
      <c r="J32" s="80">
        <f t="shared" si="19"/>
        <v>387</v>
      </c>
      <c r="K32" s="81">
        <f t="shared" si="19"/>
        <v>821</v>
      </c>
      <c r="L32" s="79">
        <f t="shared" si="19"/>
        <v>0</v>
      </c>
      <c r="M32" s="80">
        <f t="shared" si="19"/>
        <v>0</v>
      </c>
      <c r="N32" s="81">
        <f t="shared" si="19"/>
        <v>0</v>
      </c>
      <c r="O32" s="79">
        <f t="shared" ref="O32:T32" si="20">SUM(O12:O31)</f>
        <v>0</v>
      </c>
      <c r="P32" s="80">
        <f t="shared" si="20"/>
        <v>0</v>
      </c>
      <c r="Q32" s="81">
        <f t="shared" si="20"/>
        <v>0</v>
      </c>
      <c r="R32" s="79">
        <f t="shared" si="20"/>
        <v>0</v>
      </c>
      <c r="S32" s="80">
        <f t="shared" si="20"/>
        <v>0</v>
      </c>
      <c r="T32" s="81">
        <f t="shared" si="20"/>
        <v>0</v>
      </c>
      <c r="U32" s="79">
        <f t="shared" ref="U32:AI32" si="21">SUM(U12:U31)</f>
        <v>0</v>
      </c>
      <c r="V32" s="80">
        <f t="shared" si="21"/>
        <v>0</v>
      </c>
      <c r="W32" s="81">
        <f t="shared" si="21"/>
        <v>0</v>
      </c>
      <c r="X32" s="79">
        <f t="shared" si="21"/>
        <v>0</v>
      </c>
      <c r="Y32" s="80">
        <f t="shared" si="21"/>
        <v>0</v>
      </c>
      <c r="Z32" s="81">
        <f t="shared" si="21"/>
        <v>0</v>
      </c>
      <c r="AA32" s="79">
        <f t="shared" si="21"/>
        <v>0</v>
      </c>
      <c r="AB32" s="80">
        <f t="shared" si="21"/>
        <v>0</v>
      </c>
      <c r="AC32" s="81">
        <f t="shared" si="21"/>
        <v>0</v>
      </c>
      <c r="AD32" s="79">
        <f t="shared" si="21"/>
        <v>0</v>
      </c>
      <c r="AE32" s="80">
        <f t="shared" si="21"/>
        <v>0</v>
      </c>
      <c r="AF32" s="81">
        <f t="shared" si="21"/>
        <v>0</v>
      </c>
      <c r="AG32" s="79">
        <f t="shared" si="21"/>
        <v>0</v>
      </c>
      <c r="AH32" s="80">
        <f t="shared" si="21"/>
        <v>0</v>
      </c>
      <c r="AI32" s="81">
        <f t="shared" si="21"/>
        <v>0</v>
      </c>
      <c r="AJ32" s="79">
        <f t="shared" ref="AJ32:AO32" si="22">SUM(AJ12:AJ31)</f>
        <v>0</v>
      </c>
      <c r="AK32" s="80">
        <f t="shared" si="22"/>
        <v>0</v>
      </c>
      <c r="AL32" s="81">
        <f t="shared" si="22"/>
        <v>0</v>
      </c>
      <c r="AM32" s="79">
        <f t="shared" si="22"/>
        <v>0</v>
      </c>
      <c r="AN32" s="80">
        <f t="shared" si="22"/>
        <v>0</v>
      </c>
      <c r="AO32" s="81">
        <f t="shared" si="22"/>
        <v>0</v>
      </c>
      <c r="AP32" s="78">
        <f t="shared" si="18"/>
        <v>1315</v>
      </c>
      <c r="AQ32" s="9">
        <f t="shared" si="0"/>
        <v>0.23233215547703182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6" orientation="landscape" copies="2"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5" sqref="B35:I46"/>
    </sheetView>
  </sheetViews>
  <sheetFormatPr defaultColWidth="11.375" defaultRowHeight="18.75" customHeight="1" x14ac:dyDescent="0.15"/>
  <cols>
    <col min="1" max="1" width="2.875" style="4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8" t="str">
        <f>'様式１　プログラムを構成する授業科目'!C2</f>
        <v>目白大学</v>
      </c>
      <c r="I2" s="100"/>
    </row>
    <row r="3" spans="1:9" ht="18.75" customHeight="1" x14ac:dyDescent="0.15">
      <c r="G3" s="35"/>
      <c r="H3" s="10"/>
      <c r="I3" s="10"/>
    </row>
    <row r="4" spans="1:9" ht="18.600000000000001" customHeight="1" x14ac:dyDescent="0.15">
      <c r="A4" s="109" t="s">
        <v>36</v>
      </c>
      <c r="B4" s="109"/>
      <c r="C4" s="109"/>
      <c r="D4" s="109"/>
      <c r="E4" s="109"/>
      <c r="F4" s="109"/>
      <c r="G4" s="109"/>
      <c r="H4" s="109"/>
      <c r="I4" s="109"/>
    </row>
    <row r="5" spans="1:9" ht="13.35" customHeight="1" x14ac:dyDescent="0.15">
      <c r="B5" s="3"/>
      <c r="C5" s="3"/>
      <c r="D5" s="3"/>
      <c r="E5" s="3"/>
      <c r="F5" s="3"/>
      <c r="G5" s="3"/>
      <c r="H5" s="3"/>
      <c r="I5" s="3"/>
    </row>
    <row r="6" spans="1:9" ht="18" customHeight="1" x14ac:dyDescent="0.15">
      <c r="A6" s="1" t="s">
        <v>0</v>
      </c>
      <c r="B6" s="10" t="s">
        <v>91</v>
      </c>
      <c r="C6" s="236" t="s">
        <v>92</v>
      </c>
      <c r="D6" s="236"/>
      <c r="E6" s="34">
        <v>278</v>
      </c>
      <c r="F6" s="3" t="s">
        <v>1</v>
      </c>
      <c r="G6" s="3" t="s">
        <v>2</v>
      </c>
      <c r="H6" s="34">
        <v>290</v>
      </c>
      <c r="I6" s="10" t="s">
        <v>1</v>
      </c>
    </row>
    <row r="7" spans="1:9" ht="12" customHeight="1" x14ac:dyDescent="0.15">
      <c r="C7" s="2"/>
      <c r="D7" s="2"/>
      <c r="E7" s="2"/>
      <c r="F7" s="2"/>
      <c r="G7" s="2"/>
      <c r="H7" s="2"/>
      <c r="I7" s="42"/>
    </row>
    <row r="8" spans="1:9" ht="18" customHeight="1" x14ac:dyDescent="0.15">
      <c r="A8" s="1" t="s">
        <v>3</v>
      </c>
      <c r="B8" s="10" t="s">
        <v>93</v>
      </c>
      <c r="E8" s="3"/>
      <c r="F8" s="3"/>
      <c r="G8" s="3"/>
      <c r="H8" s="34">
        <v>15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2" t="s">
        <v>140</v>
      </c>
      <c r="D11" s="233"/>
      <c r="E11" s="234"/>
      <c r="F11" s="42"/>
      <c r="G11" s="35" t="s">
        <v>10</v>
      </c>
      <c r="H11" s="145" t="s">
        <v>143</v>
      </c>
      <c r="I11" s="235"/>
    </row>
    <row r="12" spans="1:9" ht="10.3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24" t="s">
        <v>172</v>
      </c>
      <c r="C14" s="225"/>
      <c r="D14" s="225"/>
      <c r="E14" s="225"/>
      <c r="F14" s="225"/>
      <c r="G14" s="225"/>
      <c r="H14" s="225"/>
      <c r="I14" s="226"/>
    </row>
    <row r="15" spans="1:9" ht="9" customHeight="1" x14ac:dyDescent="0.15">
      <c r="B15" s="3"/>
      <c r="C15" s="3"/>
      <c r="D15" s="3"/>
      <c r="E15" s="3"/>
      <c r="F15" s="3"/>
      <c r="G15" s="3"/>
      <c r="H15" s="3"/>
      <c r="I15" s="3"/>
    </row>
    <row r="16" spans="1:9" ht="18" customHeight="1" x14ac:dyDescent="0.15">
      <c r="B16" s="35" t="s">
        <v>43</v>
      </c>
      <c r="C16" s="232" t="s">
        <v>175</v>
      </c>
      <c r="D16" s="233"/>
      <c r="E16" s="234"/>
      <c r="F16" s="42"/>
      <c r="G16" s="35" t="s">
        <v>10</v>
      </c>
      <c r="H16" s="232" t="s">
        <v>176</v>
      </c>
      <c r="I16" s="23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4" t="s">
        <v>173</v>
      </c>
      <c r="C19" s="225"/>
      <c r="D19" s="225"/>
      <c r="E19" s="225"/>
      <c r="F19" s="225"/>
      <c r="G19" s="225"/>
      <c r="H19" s="225"/>
      <c r="I19" s="22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4" t="s">
        <v>178</v>
      </c>
      <c r="C22" s="215"/>
      <c r="D22" s="215"/>
      <c r="E22" s="215"/>
      <c r="F22" s="215"/>
      <c r="G22" s="215"/>
      <c r="H22" s="215"/>
      <c r="I22" s="216"/>
    </row>
    <row r="23" spans="1:9" ht="18.75" customHeight="1" x14ac:dyDescent="0.15">
      <c r="A23" s="15"/>
      <c r="B23" s="227"/>
      <c r="C23" s="228"/>
      <c r="D23" s="228"/>
      <c r="E23" s="228"/>
      <c r="F23" s="228"/>
      <c r="G23" s="228"/>
      <c r="H23" s="228"/>
      <c r="I23" s="219"/>
    </row>
    <row r="24" spans="1:9" ht="18.75" customHeight="1" x14ac:dyDescent="0.15">
      <c r="A24" s="15"/>
      <c r="B24" s="227"/>
      <c r="C24" s="228"/>
      <c r="D24" s="228"/>
      <c r="E24" s="228"/>
      <c r="F24" s="228"/>
      <c r="G24" s="228"/>
      <c r="H24" s="228"/>
      <c r="I24" s="219"/>
    </row>
    <row r="25" spans="1:9" ht="18.75" customHeight="1" x14ac:dyDescent="0.15">
      <c r="A25" s="15"/>
      <c r="B25" s="227"/>
      <c r="C25" s="228"/>
      <c r="D25" s="228"/>
      <c r="E25" s="228"/>
      <c r="F25" s="228"/>
      <c r="G25" s="228"/>
      <c r="H25" s="228"/>
      <c r="I25" s="219"/>
    </row>
    <row r="26" spans="1:9" ht="18.75" customHeight="1" x14ac:dyDescent="0.15">
      <c r="A26" s="15"/>
      <c r="B26" s="227"/>
      <c r="C26" s="228"/>
      <c r="D26" s="228"/>
      <c r="E26" s="228"/>
      <c r="F26" s="228"/>
      <c r="G26" s="228"/>
      <c r="H26" s="228"/>
      <c r="I26" s="219"/>
    </row>
    <row r="27" spans="1:9" ht="18.75" customHeight="1" x14ac:dyDescent="0.15">
      <c r="A27" s="15"/>
      <c r="B27" s="227"/>
      <c r="C27" s="228"/>
      <c r="D27" s="228"/>
      <c r="E27" s="228"/>
      <c r="F27" s="228"/>
      <c r="G27" s="228"/>
      <c r="H27" s="228"/>
      <c r="I27" s="219"/>
    </row>
    <row r="28" spans="1:9" ht="18.75" customHeight="1" x14ac:dyDescent="0.15">
      <c r="A28" s="15"/>
      <c r="B28" s="227"/>
      <c r="C28" s="228"/>
      <c r="D28" s="228"/>
      <c r="E28" s="228"/>
      <c r="F28" s="228"/>
      <c r="G28" s="228"/>
      <c r="H28" s="228"/>
      <c r="I28" s="219"/>
    </row>
    <row r="29" spans="1:9" ht="18.75" customHeight="1" x14ac:dyDescent="0.15">
      <c r="A29" s="15"/>
      <c r="B29" s="227"/>
      <c r="C29" s="228"/>
      <c r="D29" s="228"/>
      <c r="E29" s="228"/>
      <c r="F29" s="228"/>
      <c r="G29" s="228"/>
      <c r="H29" s="228"/>
      <c r="I29" s="219"/>
    </row>
    <row r="30" spans="1:9" ht="18.75" customHeight="1" x14ac:dyDescent="0.15">
      <c r="A30" s="15"/>
      <c r="B30" s="217"/>
      <c r="C30" s="218"/>
      <c r="D30" s="218"/>
      <c r="E30" s="218"/>
      <c r="F30" s="218"/>
      <c r="G30" s="218"/>
      <c r="H30" s="218"/>
      <c r="I30" s="219"/>
    </row>
    <row r="31" spans="1:9" ht="18.75" customHeight="1" x14ac:dyDescent="0.15">
      <c r="A31" s="15"/>
      <c r="B31" s="217"/>
      <c r="C31" s="218"/>
      <c r="D31" s="218"/>
      <c r="E31" s="218"/>
      <c r="F31" s="218"/>
      <c r="G31" s="218"/>
      <c r="H31" s="218"/>
      <c r="I31" s="219"/>
    </row>
    <row r="32" spans="1:9" ht="18.75" customHeight="1" x14ac:dyDescent="0.15">
      <c r="A32" s="15"/>
      <c r="B32" s="220"/>
      <c r="C32" s="221"/>
      <c r="D32" s="221"/>
      <c r="E32" s="221"/>
      <c r="F32" s="221"/>
      <c r="G32" s="221"/>
      <c r="H32" s="221"/>
      <c r="I32" s="22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4" t="s">
        <v>177</v>
      </c>
      <c r="C35" s="215"/>
      <c r="D35" s="215"/>
      <c r="E35" s="215"/>
      <c r="F35" s="215"/>
      <c r="G35" s="215"/>
      <c r="H35" s="215"/>
      <c r="I35" s="216"/>
    </row>
    <row r="36" spans="1:9" ht="18.75" customHeight="1" x14ac:dyDescent="0.15">
      <c r="A36" s="15"/>
      <c r="B36" s="217"/>
      <c r="C36" s="218"/>
      <c r="D36" s="218"/>
      <c r="E36" s="218"/>
      <c r="F36" s="218"/>
      <c r="G36" s="218"/>
      <c r="H36" s="218"/>
      <c r="I36" s="219"/>
    </row>
    <row r="37" spans="1:9" ht="18.75" customHeight="1" x14ac:dyDescent="0.15">
      <c r="A37" s="15"/>
      <c r="B37" s="217"/>
      <c r="C37" s="218"/>
      <c r="D37" s="218"/>
      <c r="E37" s="218"/>
      <c r="F37" s="218"/>
      <c r="G37" s="218"/>
      <c r="H37" s="218"/>
      <c r="I37" s="219"/>
    </row>
    <row r="38" spans="1:9" ht="18.75" customHeight="1" x14ac:dyDescent="0.15">
      <c r="A38" s="15"/>
      <c r="B38" s="217"/>
      <c r="C38" s="218"/>
      <c r="D38" s="218"/>
      <c r="E38" s="218"/>
      <c r="F38" s="218"/>
      <c r="G38" s="218"/>
      <c r="H38" s="218"/>
      <c r="I38" s="219"/>
    </row>
    <row r="39" spans="1:9" ht="18.75" customHeight="1" x14ac:dyDescent="0.15">
      <c r="A39" s="15"/>
      <c r="B39" s="217"/>
      <c r="C39" s="218"/>
      <c r="D39" s="218"/>
      <c r="E39" s="218"/>
      <c r="F39" s="218"/>
      <c r="G39" s="218"/>
      <c r="H39" s="218"/>
      <c r="I39" s="219"/>
    </row>
    <row r="40" spans="1:9" ht="18.75" customHeight="1" x14ac:dyDescent="0.15">
      <c r="A40" s="15"/>
      <c r="B40" s="217"/>
      <c r="C40" s="218"/>
      <c r="D40" s="218"/>
      <c r="E40" s="218"/>
      <c r="F40" s="218"/>
      <c r="G40" s="218"/>
      <c r="H40" s="218"/>
      <c r="I40" s="219"/>
    </row>
    <row r="41" spans="1:9" ht="18.75" customHeight="1" x14ac:dyDescent="0.15">
      <c r="A41" s="15"/>
      <c r="B41" s="217"/>
      <c r="C41" s="218"/>
      <c r="D41" s="218"/>
      <c r="E41" s="218"/>
      <c r="F41" s="218"/>
      <c r="G41" s="218"/>
      <c r="H41" s="218"/>
      <c r="I41" s="219"/>
    </row>
    <row r="42" spans="1:9" ht="18.75" customHeight="1" x14ac:dyDescent="0.15">
      <c r="A42" s="15"/>
      <c r="B42" s="217"/>
      <c r="C42" s="218"/>
      <c r="D42" s="218"/>
      <c r="E42" s="218"/>
      <c r="F42" s="218"/>
      <c r="G42" s="218"/>
      <c r="H42" s="218"/>
      <c r="I42" s="219"/>
    </row>
    <row r="43" spans="1:9" ht="18.75" customHeight="1" x14ac:dyDescent="0.15">
      <c r="A43" s="15"/>
      <c r="B43" s="217"/>
      <c r="C43" s="218"/>
      <c r="D43" s="218"/>
      <c r="E43" s="218"/>
      <c r="F43" s="218"/>
      <c r="G43" s="218"/>
      <c r="H43" s="218"/>
      <c r="I43" s="219"/>
    </row>
    <row r="44" spans="1:9" ht="18.75" customHeight="1" x14ac:dyDescent="0.15">
      <c r="A44" s="15"/>
      <c r="B44" s="217"/>
      <c r="C44" s="218"/>
      <c r="D44" s="218"/>
      <c r="E44" s="218"/>
      <c r="F44" s="218"/>
      <c r="G44" s="218"/>
      <c r="H44" s="218"/>
      <c r="I44" s="219"/>
    </row>
    <row r="45" spans="1:9" ht="18" customHeight="1" x14ac:dyDescent="0.15">
      <c r="A45" s="15"/>
      <c r="B45" s="217"/>
      <c r="C45" s="218"/>
      <c r="D45" s="218"/>
      <c r="E45" s="218"/>
      <c r="F45" s="218"/>
      <c r="G45" s="218"/>
      <c r="H45" s="218"/>
      <c r="I45" s="219"/>
    </row>
    <row r="46" spans="1:9" ht="150.94999999999999" customHeight="1" x14ac:dyDescent="0.15">
      <c r="A46" s="15"/>
      <c r="B46" s="220"/>
      <c r="C46" s="221"/>
      <c r="D46" s="221"/>
      <c r="E46" s="221"/>
      <c r="F46" s="221"/>
      <c r="G46" s="221"/>
      <c r="H46" s="221"/>
      <c r="I46" s="22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03">
        <f>'様式２ 履修者等数の実績'!AQ32</f>
        <v>0.23233215547703182</v>
      </c>
      <c r="D49" s="203"/>
      <c r="E49" s="43" t="s">
        <v>66</v>
      </c>
      <c r="F49" s="203">
        <v>0.5</v>
      </c>
      <c r="G49" s="203"/>
      <c r="H49" s="43" t="s">
        <v>67</v>
      </c>
      <c r="I49" s="44">
        <v>0.75</v>
      </c>
      <c r="J49" s="1"/>
      <c r="M49" s="1"/>
      <c r="N49" s="45"/>
    </row>
    <row r="50" spans="1:15" s="3" customFormat="1" ht="18.75" customHeight="1" x14ac:dyDescent="0.15">
      <c r="B50" s="46" t="s">
        <v>68</v>
      </c>
      <c r="C50" s="204">
        <v>1</v>
      </c>
      <c r="D50" s="204"/>
      <c r="E50" s="46" t="s">
        <v>90</v>
      </c>
      <c r="F50" s="204">
        <v>1</v>
      </c>
      <c r="G50" s="204"/>
      <c r="H50" s="46" t="s">
        <v>69</v>
      </c>
      <c r="I50" s="47">
        <f>'様式２ 履修者等数の実績'!E32</f>
        <v>5660</v>
      </c>
      <c r="J50" s="1"/>
      <c r="M50" s="1"/>
      <c r="N50" s="45"/>
    </row>
    <row r="51" spans="1:15" ht="18.75" customHeight="1" x14ac:dyDescent="0.15">
      <c r="A51" s="1"/>
      <c r="B51" s="229" t="s">
        <v>70</v>
      </c>
      <c r="C51" s="230"/>
      <c r="D51" s="230"/>
      <c r="E51" s="230"/>
      <c r="F51" s="230"/>
      <c r="G51" s="230"/>
      <c r="H51" s="230"/>
      <c r="I51" s="231"/>
      <c r="N51" s="45"/>
      <c r="O51" s="3"/>
    </row>
    <row r="52" spans="1:15" ht="18.75" customHeight="1" x14ac:dyDescent="0.15">
      <c r="A52" s="1"/>
      <c r="B52" s="205" t="s">
        <v>142</v>
      </c>
      <c r="C52" s="206"/>
      <c r="D52" s="206"/>
      <c r="E52" s="206"/>
      <c r="F52" s="206"/>
      <c r="G52" s="206"/>
      <c r="H52" s="206"/>
      <c r="I52" s="207"/>
      <c r="N52" s="45"/>
      <c r="O52" s="3"/>
    </row>
    <row r="53" spans="1:15" ht="18.75" customHeight="1" x14ac:dyDescent="0.15">
      <c r="A53" s="1"/>
      <c r="B53" s="208"/>
      <c r="C53" s="209"/>
      <c r="D53" s="209"/>
      <c r="E53" s="209"/>
      <c r="F53" s="209"/>
      <c r="G53" s="209"/>
      <c r="H53" s="209"/>
      <c r="I53" s="210"/>
      <c r="N53" s="45"/>
      <c r="O53" s="3"/>
    </row>
    <row r="54" spans="1:15" ht="18.75" customHeight="1" x14ac:dyDescent="0.15">
      <c r="A54" s="1"/>
      <c r="B54" s="208"/>
      <c r="C54" s="209"/>
      <c r="D54" s="209"/>
      <c r="E54" s="209"/>
      <c r="F54" s="209"/>
      <c r="G54" s="209"/>
      <c r="H54" s="209"/>
      <c r="I54" s="210"/>
    </row>
    <row r="55" spans="1:15" ht="18.75" customHeight="1" x14ac:dyDescent="0.15">
      <c r="A55" s="1"/>
      <c r="B55" s="208"/>
      <c r="C55" s="209"/>
      <c r="D55" s="209"/>
      <c r="E55" s="209"/>
      <c r="F55" s="209"/>
      <c r="G55" s="209"/>
      <c r="H55" s="209"/>
      <c r="I55" s="210"/>
    </row>
    <row r="56" spans="1:15" ht="18.75" customHeight="1" x14ac:dyDescent="0.15">
      <c r="A56" s="1"/>
      <c r="B56" s="208"/>
      <c r="C56" s="209"/>
      <c r="D56" s="209"/>
      <c r="E56" s="209"/>
      <c r="F56" s="209"/>
      <c r="G56" s="209"/>
      <c r="H56" s="209"/>
      <c r="I56" s="210"/>
    </row>
    <row r="57" spans="1:15" ht="18.75" customHeight="1" x14ac:dyDescent="0.15">
      <c r="A57" s="1"/>
      <c r="B57" s="208"/>
      <c r="C57" s="209"/>
      <c r="D57" s="209"/>
      <c r="E57" s="209"/>
      <c r="F57" s="209"/>
      <c r="G57" s="209"/>
      <c r="H57" s="209"/>
      <c r="I57" s="210"/>
    </row>
    <row r="58" spans="1:15" ht="18.75" customHeight="1" x14ac:dyDescent="0.15">
      <c r="A58" s="1"/>
      <c r="B58" s="208"/>
      <c r="C58" s="209"/>
      <c r="D58" s="209"/>
      <c r="E58" s="209"/>
      <c r="F58" s="209"/>
      <c r="G58" s="209"/>
      <c r="H58" s="209"/>
      <c r="I58" s="210"/>
    </row>
    <row r="59" spans="1:15" ht="18.75" customHeight="1" x14ac:dyDescent="0.15">
      <c r="A59" s="1"/>
      <c r="B59" s="208"/>
      <c r="C59" s="209"/>
      <c r="D59" s="209"/>
      <c r="E59" s="209"/>
      <c r="F59" s="209"/>
      <c r="G59" s="209"/>
      <c r="H59" s="209"/>
      <c r="I59" s="210"/>
    </row>
    <row r="60" spans="1:15" ht="18.75" customHeight="1" x14ac:dyDescent="0.15">
      <c r="A60" s="1"/>
      <c r="B60" s="208"/>
      <c r="C60" s="209"/>
      <c r="D60" s="209"/>
      <c r="E60" s="209"/>
      <c r="F60" s="209"/>
      <c r="G60" s="209"/>
      <c r="H60" s="209"/>
      <c r="I60" s="210"/>
    </row>
    <row r="61" spans="1:15" ht="18.75" customHeight="1" x14ac:dyDescent="0.15">
      <c r="A61" s="1"/>
      <c r="B61" s="208"/>
      <c r="C61" s="209"/>
      <c r="D61" s="209"/>
      <c r="E61" s="209"/>
      <c r="F61" s="209"/>
      <c r="G61" s="209"/>
      <c r="H61" s="209"/>
      <c r="I61" s="210"/>
    </row>
    <row r="62" spans="1:15" ht="18.75" customHeight="1" x14ac:dyDescent="0.15">
      <c r="A62" s="1"/>
      <c r="B62" s="208"/>
      <c r="C62" s="209"/>
      <c r="D62" s="209"/>
      <c r="E62" s="209"/>
      <c r="F62" s="209"/>
      <c r="G62" s="209"/>
      <c r="H62" s="209"/>
      <c r="I62" s="210"/>
    </row>
    <row r="63" spans="1:15" ht="18.75" customHeight="1" x14ac:dyDescent="0.15">
      <c r="A63" s="1"/>
      <c r="B63" s="211"/>
      <c r="C63" s="212"/>
      <c r="D63" s="212"/>
      <c r="E63" s="212"/>
      <c r="F63" s="212"/>
      <c r="G63" s="212"/>
      <c r="H63" s="212"/>
      <c r="I63" s="21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7" t="s">
        <v>151</v>
      </c>
      <c r="C66" s="188"/>
      <c r="D66" s="188"/>
      <c r="E66" s="188"/>
      <c r="F66" s="188"/>
      <c r="G66" s="188"/>
      <c r="H66" s="188"/>
      <c r="I66" s="189"/>
    </row>
    <row r="67" spans="1:9" ht="18.75" customHeight="1" x14ac:dyDescent="0.15">
      <c r="A67" s="4"/>
      <c r="B67" s="190"/>
      <c r="C67" s="191"/>
      <c r="D67" s="191"/>
      <c r="E67" s="191"/>
      <c r="F67" s="191"/>
      <c r="G67" s="191"/>
      <c r="H67" s="191"/>
      <c r="I67" s="192"/>
    </row>
    <row r="68" spans="1:9" ht="18.75" customHeight="1" x14ac:dyDescent="0.15">
      <c r="A68" s="4"/>
      <c r="B68" s="190"/>
      <c r="C68" s="191"/>
      <c r="D68" s="191"/>
      <c r="E68" s="191"/>
      <c r="F68" s="191"/>
      <c r="G68" s="191"/>
      <c r="H68" s="191"/>
      <c r="I68" s="192"/>
    </row>
    <row r="69" spans="1:9" ht="18.75" customHeight="1" x14ac:dyDescent="0.15">
      <c r="A69" s="4"/>
      <c r="B69" s="190"/>
      <c r="C69" s="191"/>
      <c r="D69" s="191"/>
      <c r="E69" s="191"/>
      <c r="F69" s="191"/>
      <c r="G69" s="191"/>
      <c r="H69" s="191"/>
      <c r="I69" s="192"/>
    </row>
    <row r="70" spans="1:9" ht="18.75" customHeight="1" x14ac:dyDescent="0.15">
      <c r="A70" s="4"/>
      <c r="B70" s="190"/>
      <c r="C70" s="191"/>
      <c r="D70" s="191"/>
      <c r="E70" s="191"/>
      <c r="F70" s="191"/>
      <c r="G70" s="191"/>
      <c r="H70" s="191"/>
      <c r="I70" s="192"/>
    </row>
    <row r="71" spans="1:9" ht="18.75" customHeight="1" x14ac:dyDescent="0.15">
      <c r="A71" s="4"/>
      <c r="B71" s="190"/>
      <c r="C71" s="191"/>
      <c r="D71" s="191"/>
      <c r="E71" s="191"/>
      <c r="F71" s="191"/>
      <c r="G71" s="191"/>
      <c r="H71" s="191"/>
      <c r="I71" s="192"/>
    </row>
    <row r="72" spans="1:9" ht="18.75" customHeight="1" x14ac:dyDescent="0.15">
      <c r="A72" s="4"/>
      <c r="B72" s="190"/>
      <c r="C72" s="191"/>
      <c r="D72" s="191"/>
      <c r="E72" s="191"/>
      <c r="F72" s="191"/>
      <c r="G72" s="191"/>
      <c r="H72" s="191"/>
      <c r="I72" s="192"/>
    </row>
    <row r="73" spans="1:9" ht="18.75" customHeight="1" x14ac:dyDescent="0.15">
      <c r="A73" s="4"/>
      <c r="B73" s="190"/>
      <c r="C73" s="191"/>
      <c r="D73" s="191"/>
      <c r="E73" s="191"/>
      <c r="F73" s="191"/>
      <c r="G73" s="191"/>
      <c r="H73" s="191"/>
      <c r="I73" s="192"/>
    </row>
    <row r="74" spans="1:9" ht="18.75" customHeight="1" x14ac:dyDescent="0.15">
      <c r="A74" s="4"/>
      <c r="B74" s="190"/>
      <c r="C74" s="191"/>
      <c r="D74" s="191"/>
      <c r="E74" s="191"/>
      <c r="F74" s="191"/>
      <c r="G74" s="191"/>
      <c r="H74" s="191"/>
      <c r="I74" s="192"/>
    </row>
    <row r="75" spans="1:9" ht="18.75" customHeight="1" x14ac:dyDescent="0.15">
      <c r="A75" s="4"/>
      <c r="B75" s="190"/>
      <c r="C75" s="191"/>
      <c r="D75" s="191"/>
      <c r="E75" s="191"/>
      <c r="F75" s="191"/>
      <c r="G75" s="191"/>
      <c r="H75" s="191"/>
      <c r="I75" s="192"/>
    </row>
    <row r="76" spans="1:9" ht="18.75" customHeight="1" x14ac:dyDescent="0.15">
      <c r="A76" s="4"/>
      <c r="B76" s="190"/>
      <c r="C76" s="191"/>
      <c r="D76" s="191"/>
      <c r="E76" s="191"/>
      <c r="F76" s="191"/>
      <c r="G76" s="191"/>
      <c r="H76" s="191"/>
      <c r="I76" s="192"/>
    </row>
    <row r="77" spans="1:9" ht="18.75" customHeight="1" x14ac:dyDescent="0.15">
      <c r="A77" s="4"/>
      <c r="B77" s="193"/>
      <c r="C77" s="194"/>
      <c r="D77" s="194"/>
      <c r="E77" s="194"/>
      <c r="F77" s="194"/>
      <c r="G77" s="194"/>
      <c r="H77" s="194"/>
      <c r="I77" s="19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7" t="s">
        <v>150</v>
      </c>
      <c r="C80" s="188"/>
      <c r="D80" s="188"/>
      <c r="E80" s="188"/>
      <c r="F80" s="188"/>
      <c r="G80" s="188"/>
      <c r="H80" s="188"/>
      <c r="I80" s="196"/>
    </row>
    <row r="81" spans="1:9" ht="18.75" customHeight="1" x14ac:dyDescent="0.15">
      <c r="A81" s="1"/>
      <c r="B81" s="197"/>
      <c r="C81" s="198"/>
      <c r="D81" s="198"/>
      <c r="E81" s="198"/>
      <c r="F81" s="198"/>
      <c r="G81" s="198"/>
      <c r="H81" s="198"/>
      <c r="I81" s="199"/>
    </row>
    <row r="82" spans="1:9" ht="18.75" customHeight="1" x14ac:dyDescent="0.15">
      <c r="A82" s="1"/>
      <c r="B82" s="197"/>
      <c r="C82" s="198"/>
      <c r="D82" s="198"/>
      <c r="E82" s="198"/>
      <c r="F82" s="198"/>
      <c r="G82" s="198"/>
      <c r="H82" s="198"/>
      <c r="I82" s="199"/>
    </row>
    <row r="83" spans="1:9" ht="18.75" customHeight="1" x14ac:dyDescent="0.15">
      <c r="A83" s="1"/>
      <c r="B83" s="197"/>
      <c r="C83" s="198"/>
      <c r="D83" s="198"/>
      <c r="E83" s="198"/>
      <c r="F83" s="198"/>
      <c r="G83" s="198"/>
      <c r="H83" s="198"/>
      <c r="I83" s="199"/>
    </row>
    <row r="84" spans="1:9" ht="18.75" customHeight="1" x14ac:dyDescent="0.15">
      <c r="A84" s="1"/>
      <c r="B84" s="197"/>
      <c r="C84" s="198"/>
      <c r="D84" s="198"/>
      <c r="E84" s="198"/>
      <c r="F84" s="198"/>
      <c r="G84" s="198"/>
      <c r="H84" s="198"/>
      <c r="I84" s="199"/>
    </row>
    <row r="85" spans="1:9" ht="18.75" customHeight="1" x14ac:dyDescent="0.15">
      <c r="A85" s="1"/>
      <c r="B85" s="197"/>
      <c r="C85" s="198"/>
      <c r="D85" s="198"/>
      <c r="E85" s="198"/>
      <c r="F85" s="198"/>
      <c r="G85" s="198"/>
      <c r="H85" s="198"/>
      <c r="I85" s="199"/>
    </row>
    <row r="86" spans="1:9" ht="18.75" customHeight="1" x14ac:dyDescent="0.15">
      <c r="A86" s="1"/>
      <c r="B86" s="197"/>
      <c r="C86" s="198"/>
      <c r="D86" s="198"/>
      <c r="E86" s="198"/>
      <c r="F86" s="198"/>
      <c r="G86" s="198"/>
      <c r="H86" s="198"/>
      <c r="I86" s="199"/>
    </row>
    <row r="87" spans="1:9" ht="18.75" customHeight="1" x14ac:dyDescent="0.15">
      <c r="A87" s="1"/>
      <c r="B87" s="197"/>
      <c r="C87" s="198"/>
      <c r="D87" s="198"/>
      <c r="E87" s="198"/>
      <c r="F87" s="198"/>
      <c r="G87" s="198"/>
      <c r="H87" s="198"/>
      <c r="I87" s="199"/>
    </row>
    <row r="88" spans="1:9" ht="18.75" customHeight="1" x14ac:dyDescent="0.15">
      <c r="A88" s="1"/>
      <c r="B88" s="197"/>
      <c r="C88" s="198"/>
      <c r="D88" s="198"/>
      <c r="E88" s="198"/>
      <c r="F88" s="198"/>
      <c r="G88" s="198"/>
      <c r="H88" s="198"/>
      <c r="I88" s="199"/>
    </row>
    <row r="89" spans="1:9" ht="18.75" customHeight="1" x14ac:dyDescent="0.15">
      <c r="A89" s="1"/>
      <c r="B89" s="197"/>
      <c r="C89" s="198"/>
      <c r="D89" s="198"/>
      <c r="E89" s="198"/>
      <c r="F89" s="198"/>
      <c r="G89" s="198"/>
      <c r="H89" s="198"/>
      <c r="I89" s="199"/>
    </row>
    <row r="90" spans="1:9" ht="18.75" customHeight="1" x14ac:dyDescent="0.15">
      <c r="A90" s="4"/>
      <c r="B90" s="197"/>
      <c r="C90" s="198"/>
      <c r="D90" s="198"/>
      <c r="E90" s="198"/>
      <c r="F90" s="198"/>
      <c r="G90" s="198"/>
      <c r="H90" s="198"/>
      <c r="I90" s="199"/>
    </row>
    <row r="91" spans="1:9" ht="18.75" customHeight="1" x14ac:dyDescent="0.15">
      <c r="A91" s="4"/>
      <c r="B91" s="200"/>
      <c r="C91" s="201"/>
      <c r="D91" s="201"/>
      <c r="E91" s="201"/>
      <c r="F91" s="201"/>
      <c r="G91" s="201"/>
      <c r="H91" s="201"/>
      <c r="I91" s="20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4" t="s">
        <v>163</v>
      </c>
      <c r="C94" s="215"/>
      <c r="D94" s="215"/>
      <c r="E94" s="215"/>
      <c r="F94" s="215"/>
      <c r="G94" s="215"/>
      <c r="H94" s="215"/>
      <c r="I94" s="216"/>
    </row>
    <row r="95" spans="1:9" ht="18.75" customHeight="1" x14ac:dyDescent="0.15">
      <c r="A95" s="1"/>
      <c r="B95" s="217"/>
      <c r="C95" s="218"/>
      <c r="D95" s="218"/>
      <c r="E95" s="218"/>
      <c r="F95" s="218"/>
      <c r="G95" s="218"/>
      <c r="H95" s="218"/>
      <c r="I95" s="219"/>
    </row>
    <row r="96" spans="1:9" ht="18.75" customHeight="1" x14ac:dyDescent="0.15">
      <c r="A96" s="1"/>
      <c r="B96" s="217"/>
      <c r="C96" s="218"/>
      <c r="D96" s="218"/>
      <c r="E96" s="218"/>
      <c r="F96" s="218"/>
      <c r="G96" s="218"/>
      <c r="H96" s="218"/>
      <c r="I96" s="219"/>
    </row>
    <row r="97" spans="1:9" ht="18.75" customHeight="1" x14ac:dyDescent="0.15">
      <c r="A97" s="1"/>
      <c r="B97" s="217"/>
      <c r="C97" s="218"/>
      <c r="D97" s="218"/>
      <c r="E97" s="218"/>
      <c r="F97" s="218"/>
      <c r="G97" s="218"/>
      <c r="H97" s="218"/>
      <c r="I97" s="219"/>
    </row>
    <row r="98" spans="1:9" ht="18.75" customHeight="1" x14ac:dyDescent="0.15">
      <c r="A98" s="1"/>
      <c r="B98" s="217"/>
      <c r="C98" s="218"/>
      <c r="D98" s="218"/>
      <c r="E98" s="218"/>
      <c r="F98" s="218"/>
      <c r="G98" s="218"/>
      <c r="H98" s="218"/>
      <c r="I98" s="219"/>
    </row>
    <row r="99" spans="1:9" ht="18.75" customHeight="1" x14ac:dyDescent="0.15">
      <c r="A99" s="1"/>
      <c r="B99" s="217"/>
      <c r="C99" s="218"/>
      <c r="D99" s="218"/>
      <c r="E99" s="218"/>
      <c r="F99" s="218"/>
      <c r="G99" s="218"/>
      <c r="H99" s="218"/>
      <c r="I99" s="219"/>
    </row>
    <row r="100" spans="1:9" ht="18.75" customHeight="1" x14ac:dyDescent="0.15">
      <c r="A100" s="1"/>
      <c r="B100" s="217"/>
      <c r="C100" s="218"/>
      <c r="D100" s="218"/>
      <c r="E100" s="218"/>
      <c r="F100" s="218"/>
      <c r="G100" s="218"/>
      <c r="H100" s="218"/>
      <c r="I100" s="219"/>
    </row>
    <row r="101" spans="1:9" ht="18.75" customHeight="1" x14ac:dyDescent="0.15">
      <c r="A101" s="1"/>
      <c r="B101" s="217"/>
      <c r="C101" s="218"/>
      <c r="D101" s="218"/>
      <c r="E101" s="218"/>
      <c r="F101" s="218"/>
      <c r="G101" s="218"/>
      <c r="H101" s="218"/>
      <c r="I101" s="219"/>
    </row>
    <row r="102" spans="1:9" ht="18.75" customHeight="1" x14ac:dyDescent="0.15">
      <c r="A102" s="1"/>
      <c r="B102" s="217"/>
      <c r="C102" s="218"/>
      <c r="D102" s="218"/>
      <c r="E102" s="218"/>
      <c r="F102" s="218"/>
      <c r="G102" s="218"/>
      <c r="H102" s="218"/>
      <c r="I102" s="219"/>
    </row>
    <row r="103" spans="1:9" ht="18.75" customHeight="1" x14ac:dyDescent="0.15">
      <c r="A103" s="1"/>
      <c r="B103" s="217"/>
      <c r="C103" s="218"/>
      <c r="D103" s="218"/>
      <c r="E103" s="218"/>
      <c r="F103" s="218"/>
      <c r="G103" s="218"/>
      <c r="H103" s="218"/>
      <c r="I103" s="219"/>
    </row>
    <row r="104" spans="1:9" ht="18.75" customHeight="1" x14ac:dyDescent="0.15">
      <c r="A104" s="1"/>
      <c r="B104" s="217"/>
      <c r="C104" s="218"/>
      <c r="D104" s="218"/>
      <c r="E104" s="218"/>
      <c r="F104" s="218"/>
      <c r="G104" s="218"/>
      <c r="H104" s="218"/>
      <c r="I104" s="219"/>
    </row>
    <row r="105" spans="1:9" ht="18.75" customHeight="1" x14ac:dyDescent="0.15">
      <c r="A105" s="4"/>
      <c r="B105" s="220"/>
      <c r="C105" s="221"/>
      <c r="D105" s="221"/>
      <c r="E105" s="221"/>
      <c r="F105" s="221"/>
      <c r="G105" s="221"/>
      <c r="H105" s="221"/>
      <c r="I105" s="222"/>
    </row>
    <row r="106" spans="1:9" ht="7.5" customHeight="1" x14ac:dyDescent="0.15">
      <c r="A106" s="4"/>
      <c r="B106" s="4"/>
      <c r="C106" s="4"/>
      <c r="D106" s="4"/>
      <c r="E106" s="4"/>
      <c r="F106" s="4"/>
      <c r="G106" s="4"/>
      <c r="H106" s="4"/>
      <c r="I106" s="4"/>
    </row>
    <row r="107" spans="1:9" ht="18.75" customHeight="1" x14ac:dyDescent="0.15">
      <c r="A107" s="1" t="s">
        <v>30</v>
      </c>
      <c r="B107" s="223" t="s">
        <v>46</v>
      </c>
      <c r="C107" s="223"/>
      <c r="D107" s="223"/>
      <c r="E107" s="223"/>
      <c r="F107" s="223"/>
      <c r="G107" s="223"/>
      <c r="H107" s="223"/>
      <c r="I107" s="223"/>
    </row>
    <row r="108" spans="1:9" ht="18.75" customHeight="1" x14ac:dyDescent="0.15">
      <c r="A108" s="4"/>
      <c r="B108" s="214" t="s">
        <v>144</v>
      </c>
      <c r="C108" s="215"/>
      <c r="D108" s="215"/>
      <c r="E108" s="215"/>
      <c r="F108" s="215"/>
      <c r="G108" s="215"/>
      <c r="H108" s="215"/>
      <c r="I108" s="216"/>
    </row>
    <row r="109" spans="1:9" ht="18.75" customHeight="1" x14ac:dyDescent="0.15">
      <c r="A109" s="4"/>
      <c r="B109" s="217"/>
      <c r="C109" s="218"/>
      <c r="D109" s="218"/>
      <c r="E109" s="218"/>
      <c r="F109" s="218"/>
      <c r="G109" s="218"/>
      <c r="H109" s="218"/>
      <c r="I109" s="219"/>
    </row>
    <row r="110" spans="1:9" ht="18.75" customHeight="1" x14ac:dyDescent="0.15">
      <c r="A110" s="4"/>
      <c r="B110" s="217"/>
      <c r="C110" s="218"/>
      <c r="D110" s="218"/>
      <c r="E110" s="218"/>
      <c r="F110" s="218"/>
      <c r="G110" s="218"/>
      <c r="H110" s="218"/>
      <c r="I110" s="219"/>
    </row>
    <row r="111" spans="1:9" ht="18.75" customHeight="1" x14ac:dyDescent="0.15">
      <c r="A111" s="4"/>
      <c r="B111" s="217"/>
      <c r="C111" s="218"/>
      <c r="D111" s="218"/>
      <c r="E111" s="218"/>
      <c r="F111" s="218"/>
      <c r="G111" s="218"/>
      <c r="H111" s="218"/>
      <c r="I111" s="219"/>
    </row>
    <row r="112" spans="1:9" ht="18.75" customHeight="1" x14ac:dyDescent="0.15">
      <c r="A112" s="4"/>
      <c r="B112" s="217"/>
      <c r="C112" s="218"/>
      <c r="D112" s="218"/>
      <c r="E112" s="218"/>
      <c r="F112" s="218"/>
      <c r="G112" s="218"/>
      <c r="H112" s="218"/>
      <c r="I112" s="219"/>
    </row>
    <row r="113" spans="1:9" ht="18.75" customHeight="1" x14ac:dyDescent="0.15">
      <c r="A113" s="4"/>
      <c r="B113" s="217"/>
      <c r="C113" s="218"/>
      <c r="D113" s="218"/>
      <c r="E113" s="218"/>
      <c r="F113" s="218"/>
      <c r="G113" s="218"/>
      <c r="H113" s="218"/>
      <c r="I113" s="219"/>
    </row>
    <row r="114" spans="1:9" ht="18.75" customHeight="1" x14ac:dyDescent="0.15">
      <c r="A114" s="4"/>
      <c r="B114" s="217"/>
      <c r="C114" s="218"/>
      <c r="D114" s="218"/>
      <c r="E114" s="218"/>
      <c r="F114" s="218"/>
      <c r="G114" s="218"/>
      <c r="H114" s="218"/>
      <c r="I114" s="219"/>
    </row>
    <row r="115" spans="1:9" ht="18.75" customHeight="1" x14ac:dyDescent="0.15">
      <c r="A115" s="4"/>
      <c r="B115" s="217"/>
      <c r="C115" s="218"/>
      <c r="D115" s="218"/>
      <c r="E115" s="218"/>
      <c r="F115" s="218"/>
      <c r="G115" s="218"/>
      <c r="H115" s="218"/>
      <c r="I115" s="219"/>
    </row>
    <row r="116" spans="1:9" ht="18.75" customHeight="1" x14ac:dyDescent="0.15">
      <c r="A116" s="4"/>
      <c r="B116" s="217"/>
      <c r="C116" s="218"/>
      <c r="D116" s="218"/>
      <c r="E116" s="218"/>
      <c r="F116" s="218"/>
      <c r="G116" s="218"/>
      <c r="H116" s="218"/>
      <c r="I116" s="219"/>
    </row>
    <row r="117" spans="1:9" ht="18.75" customHeight="1" x14ac:dyDescent="0.15">
      <c r="A117" s="4"/>
      <c r="B117" s="217"/>
      <c r="C117" s="218"/>
      <c r="D117" s="218"/>
      <c r="E117" s="218"/>
      <c r="F117" s="218"/>
      <c r="G117" s="218"/>
      <c r="H117" s="218"/>
      <c r="I117" s="219"/>
    </row>
    <row r="118" spans="1:9" ht="18.75" customHeight="1" x14ac:dyDescent="0.15">
      <c r="A118" s="4"/>
      <c r="B118" s="217"/>
      <c r="C118" s="218"/>
      <c r="D118" s="218"/>
      <c r="E118" s="218"/>
      <c r="F118" s="218"/>
      <c r="G118" s="218"/>
      <c r="H118" s="218"/>
      <c r="I118" s="219"/>
    </row>
    <row r="119" spans="1:9" ht="18.75" customHeight="1" x14ac:dyDescent="0.15">
      <c r="A119" s="4"/>
      <c r="B119" s="220"/>
      <c r="C119" s="221"/>
      <c r="D119" s="221"/>
      <c r="E119" s="221"/>
      <c r="F119" s="221"/>
      <c r="G119" s="221"/>
      <c r="H119" s="221"/>
      <c r="I119" s="222"/>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6" zoomScale="110" zoomScaleNormal="100" zoomScaleSheetLayoutView="110" workbookViewId="0">
      <selection activeCell="E15" sqref="E15:I15"/>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目白大学</v>
      </c>
    </row>
    <row r="3" spans="1:9" ht="18.75" customHeight="1" x14ac:dyDescent="0.15">
      <c r="A3" s="109" t="s">
        <v>28</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2" t="s">
        <v>145</v>
      </c>
      <c r="C6" s="259"/>
      <c r="D6" s="259"/>
      <c r="E6" s="259"/>
      <c r="F6" s="259"/>
      <c r="G6" s="259"/>
      <c r="H6" s="260"/>
      <c r="I6" s="3"/>
    </row>
    <row r="7" spans="1:9" ht="9" customHeight="1" x14ac:dyDescent="0.15">
      <c r="A7" s="5"/>
      <c r="B7" s="10"/>
      <c r="C7" s="10"/>
      <c r="D7" s="10"/>
      <c r="E7" s="10"/>
      <c r="F7" s="10"/>
      <c r="G7" s="10"/>
      <c r="H7" s="10"/>
      <c r="I7" s="3"/>
    </row>
    <row r="8" spans="1:9" ht="18.75" customHeight="1" x14ac:dyDescent="0.15">
      <c r="A8" s="5"/>
      <c r="B8" s="3"/>
      <c r="C8" s="3"/>
      <c r="D8" s="35" t="s">
        <v>43</v>
      </c>
      <c r="E8" s="36" t="s">
        <v>141</v>
      </c>
      <c r="F8" s="3"/>
      <c r="G8" s="35" t="s">
        <v>10</v>
      </c>
      <c r="H8" s="36" t="s">
        <v>146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50" t="s">
        <v>14</v>
      </c>
      <c r="C12" s="57"/>
      <c r="D12" s="51"/>
      <c r="E12" s="58"/>
      <c r="F12" s="58"/>
      <c r="G12" s="58"/>
      <c r="H12" s="58"/>
      <c r="I12" s="51"/>
    </row>
    <row r="13" spans="1:9" ht="210.75" customHeight="1" x14ac:dyDescent="0.15">
      <c r="B13" s="52"/>
      <c r="C13" s="242" t="s">
        <v>15</v>
      </c>
      <c r="D13" s="243"/>
      <c r="E13" s="255" t="s">
        <v>155</v>
      </c>
      <c r="F13" s="244"/>
      <c r="G13" s="244"/>
      <c r="H13" s="244"/>
      <c r="I13" s="245"/>
    </row>
    <row r="14" spans="1:9" ht="210.75" customHeight="1" x14ac:dyDescent="0.15">
      <c r="B14" s="52"/>
      <c r="C14" s="257" t="s">
        <v>16</v>
      </c>
      <c r="D14" s="258"/>
      <c r="E14" s="255" t="s">
        <v>156</v>
      </c>
      <c r="F14" s="244"/>
      <c r="G14" s="244"/>
      <c r="H14" s="244"/>
      <c r="I14" s="245"/>
    </row>
    <row r="15" spans="1:9" ht="210.75" customHeight="1" x14ac:dyDescent="0.15">
      <c r="B15" s="52"/>
      <c r="C15" s="242" t="s">
        <v>17</v>
      </c>
      <c r="D15" s="243"/>
      <c r="E15" s="255" t="s">
        <v>164</v>
      </c>
      <c r="F15" s="244"/>
      <c r="G15" s="244"/>
      <c r="H15" s="244"/>
      <c r="I15" s="245"/>
    </row>
    <row r="16" spans="1:9" ht="210.75" customHeight="1" x14ac:dyDescent="0.15">
      <c r="B16" s="52"/>
      <c r="C16" s="242" t="s">
        <v>18</v>
      </c>
      <c r="D16" s="243"/>
      <c r="E16" s="255" t="s">
        <v>157</v>
      </c>
      <c r="F16" s="244"/>
      <c r="G16" s="244"/>
      <c r="H16" s="244"/>
      <c r="I16" s="245"/>
    </row>
    <row r="17" spans="2:9" ht="210.75" customHeight="1" x14ac:dyDescent="0.15">
      <c r="B17" s="53"/>
      <c r="C17" s="246" t="s">
        <v>19</v>
      </c>
      <c r="D17" s="247"/>
      <c r="E17" s="256" t="s">
        <v>158</v>
      </c>
      <c r="F17" s="248"/>
      <c r="G17" s="248"/>
      <c r="H17" s="248"/>
      <c r="I17" s="249"/>
    </row>
    <row r="18" spans="2:9" ht="24" customHeight="1" x14ac:dyDescent="0.15">
      <c r="B18" s="50" t="s">
        <v>20</v>
      </c>
      <c r="C18" s="54"/>
      <c r="D18" s="55"/>
      <c r="E18" s="56"/>
      <c r="F18" s="56"/>
      <c r="G18" s="56"/>
      <c r="H18" s="56"/>
      <c r="I18" s="59"/>
    </row>
    <row r="19" spans="2:9" ht="218.25" customHeight="1" x14ac:dyDescent="0.15">
      <c r="B19" s="52"/>
      <c r="C19" s="242" t="s">
        <v>21</v>
      </c>
      <c r="D19" s="243"/>
      <c r="E19" s="244" t="s">
        <v>159</v>
      </c>
      <c r="F19" s="244"/>
      <c r="G19" s="244"/>
      <c r="H19" s="244"/>
      <c r="I19" s="245"/>
    </row>
    <row r="20" spans="2:9" ht="218.25" customHeight="1" x14ac:dyDescent="0.15">
      <c r="B20" s="53"/>
      <c r="C20" s="246" t="s">
        <v>22</v>
      </c>
      <c r="D20" s="247"/>
      <c r="E20" s="248" t="s">
        <v>160</v>
      </c>
      <c r="F20" s="248"/>
      <c r="G20" s="248"/>
      <c r="H20" s="248"/>
      <c r="I20" s="249"/>
    </row>
    <row r="21" spans="2:9" ht="218.25" customHeight="1" x14ac:dyDescent="0.15">
      <c r="B21" s="250" t="s">
        <v>23</v>
      </c>
      <c r="C21" s="251"/>
      <c r="D21" s="252"/>
      <c r="E21" s="253" t="s">
        <v>161</v>
      </c>
      <c r="F21" s="253"/>
      <c r="G21" s="253"/>
      <c r="H21" s="253"/>
      <c r="I21" s="254"/>
    </row>
    <row r="22" spans="2:9" ht="218.25" customHeight="1" x14ac:dyDescent="0.15">
      <c r="B22" s="237" t="s">
        <v>38</v>
      </c>
      <c r="C22" s="238"/>
      <c r="D22" s="239"/>
      <c r="E22" s="240" t="s">
        <v>162</v>
      </c>
      <c r="F22" s="240"/>
      <c r="G22" s="240"/>
      <c r="H22" s="240"/>
      <c r="I22" s="24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copies="2"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3018</cp:lastModifiedBy>
  <cp:lastPrinted>2023-05-14T03:43:31Z</cp:lastPrinted>
  <dcterms:created xsi:type="dcterms:W3CDTF">2011-06-14T05:32:50Z</dcterms:created>
  <dcterms:modified xsi:type="dcterms:W3CDTF">2023-05-15T03:45:42Z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