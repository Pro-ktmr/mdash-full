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24226"/>
  <mc:AlternateContent xmlns:mc="http://schemas.openxmlformats.org/markup-compatibility/2006">
    <mc:Choice Requires="x15">
      <x15ac:absPath xmlns:x15ac="http://schemas.microsoft.com/office/spreadsheetml/2010/11/ac" url="C:\Users\nakamura\Desktop\"/>
    </mc:Choice>
  </mc:AlternateContent>
  <xr:revisionPtr revIDLastSave="0" documentId="13_ncr:1_{EBACCEE5-F783-498B-9670-FB462FE36343}" xr6:coauthVersionLast="47" xr6:coauthVersionMax="47" xr10:uidLastSave="{00000000-0000-0000-0000-000000000000}"/>
  <bookViews>
    <workbookView xWindow="-120" yWindow="-120" windowWidth="20730" windowHeight="1116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<sst xmlns="http://schemas.openxmlformats.org/spreadsheetml/2006/main" count="331" uniqueCount="187">
  <si>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</si>
  <si>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</si>
  <si>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</si>
  <si>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</si>
  <si>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</si>
  <si>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</si>
  <si>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</si>
  <si>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</si>
  <si>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</si>
  <si>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</si>
  <si>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</si>
  <si>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</si>
  <si>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</si>
  <si>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</si>
  <si>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</si>
  <si>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</si>
  <si>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</si>
  <si>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</si>
  <si>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</si>
  <si>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</si>
  <si>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</si>
  <si>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</si>
  <si>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</si>
  <si>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</si>
  <si>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</si>
  <si>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</si>
  <si>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</si>
  <si>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</si>
  <si>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</si>
  <si>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</si>
  <si>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</si>
  <si>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</si>
  <si>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</si>
  <si>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</si>
  <si>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</si>
  <si>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</si>
  <si>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</si>
  <si>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</si>
  <si>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</si>
  <si>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</si>
  <si>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</si>
  <si>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</si>
  <si>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</si>
  <si>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</si>
  <si>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</si>
  <si>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</si>
  <si>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</si>
  <si>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</si>
  <si>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</si>
  <si>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</si>
  <si>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</si>
  <si>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</si>
  <si>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</si>
  <si>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</si>
  <si>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</si>
  <si>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</si>
  <si>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</si>
  <si>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</si>
  <si>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</si>
  <si>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</si>
  <si>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</si>
  <si>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</si>
  <si>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</si>
  <si>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</si>
  <si>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</si>
  <si>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</si>
  <si>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</si>
  <si>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</si>
  <si>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</si>
  <si>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</si>
  <si>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</si>
  <si>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</si>
  <si>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</si>
  <si>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</si>
  <si>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</si>
  <si>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</si>
  <si>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</si>
  <si>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</si>
  <si>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</si>
  <si>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</si>
  <si>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</si>
  <si>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</si>
  <si>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</si>
  <si>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</si>
  <si>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</si>
  <si>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</si>
  <si>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</si>
  <si>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</si>
  <si>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</si>
  <si>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</si>
  <si>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</si>
  <si>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</si>
  <si>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</si>
  <si>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</si>
  <si>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</si>
  <si>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</si>
  <si>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</si>
  <si>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</si>
  <si>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</si>
  <si>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</si>
  <si>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</si>
  <si>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</si>
  <si>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</si>
  <si>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</si>
  <si>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</si>
  <si>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</si>
  <si>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</si>
  <si>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</si>
  <si>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</si>
  <si>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</si>
  <si>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</si>
  <si>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</si>
  <si>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</si>
  <si>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</si>
  <si>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</si>
  <si>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</si>
  <si>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</si>
  <si>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</si>
  <si>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</si>
  <si>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</si>
  <si>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</si>
  <si>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</si>
  <si>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</si>
  <si>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</si>
  <si>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</si>
  <si>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</si>
  <si>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</si>
  <si>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近畿大学工業高等専門学校</t>
    <rPh sb="0" eb="2">
      <t>キンキ</t>
    </rPh>
    <rPh sb="2" eb="4">
      <t>ダイガク</t>
    </rPh>
    <rPh sb="4" eb="6">
      <t>コウギョウ</t>
    </rPh>
    <rPh sb="6" eb="8">
      <t>コウトウ</t>
    </rPh>
    <rPh sb="8" eb="10">
      <t>センモン</t>
    </rPh>
    <rPh sb="10" eb="12">
      <t>ガッコウ</t>
    </rPh>
    <phoneticPr fontId="1"/>
  </si>
  <si>
    <t>数理データサイエンスＡＩ教育プログラム</t>
    <phoneticPr fontId="1"/>
  </si>
  <si>
    <t>学部・学科によって、修了要件は相違しない</t>
  </si>
  <si>
    <t>○</t>
  </si>
  <si>
    <t>情報処理Ⅰｂ</t>
    <phoneticPr fontId="1"/>
  </si>
  <si>
    <t>情報処理Ⅱa</t>
    <phoneticPr fontId="1"/>
  </si>
  <si>
    <t>工学実験・実習２</t>
    <phoneticPr fontId="1"/>
  </si>
  <si>
    <t>情報処理Ⅱｂ</t>
    <phoneticPr fontId="1"/>
  </si>
  <si>
    <t>4‐3データ構造とプログラミング基礎</t>
  </si>
  <si>
    <t>校長</t>
    <rPh sb="0" eb="2">
      <t>コウチョウ</t>
    </rPh>
    <phoneticPr fontId="1"/>
  </si>
  <si>
    <t>教務委員会</t>
    <rPh sb="0" eb="2">
      <t>キョウム</t>
    </rPh>
    <rPh sb="2" eb="5">
      <t>イインカイ</t>
    </rPh>
    <phoneticPr fontId="1"/>
  </si>
  <si>
    <t>鈴木　隆</t>
    <rPh sb="0" eb="2">
      <t>スズキ</t>
    </rPh>
    <rPh sb="3" eb="4">
      <t>タカシ</t>
    </rPh>
    <phoneticPr fontId="1"/>
  </si>
  <si>
    <t>教務主事</t>
    <rPh sb="0" eb="2">
      <t>キョウム</t>
    </rPh>
    <rPh sb="2" eb="4">
      <t>シュジ</t>
    </rPh>
    <phoneticPr fontId="1"/>
  </si>
  <si>
    <t>自己点検評価委員会</t>
    <phoneticPr fontId="1"/>
  </si>
  <si>
    <t>近畿大学工業高等専門学校教務委員会規程</t>
    <phoneticPr fontId="1"/>
  </si>
  <si>
    <t>　本校では３年次より機械システム、電気電子、制御情報、都市環境の４コースに分かれるが、コースに関係なく学生全員が受講可能とするため、数理・データサイエンス・AIプログラムに関する全ての授業を1年次および２年次に必修科目として開講している。</t>
    <rPh sb="1" eb="3">
      <t>ホンコウ</t>
    </rPh>
    <rPh sb="6" eb="7">
      <t>ネン</t>
    </rPh>
    <rPh sb="7" eb="8">
      <t>ジ</t>
    </rPh>
    <rPh sb="10" eb="12">
      <t>キカイ</t>
    </rPh>
    <rPh sb="17" eb="19">
      <t>デンキ</t>
    </rPh>
    <rPh sb="19" eb="21">
      <t>デンシ</t>
    </rPh>
    <rPh sb="22" eb="24">
      <t>セイギョ</t>
    </rPh>
    <rPh sb="24" eb="26">
      <t>ジョウホウ</t>
    </rPh>
    <rPh sb="27" eb="29">
      <t>トシ</t>
    </rPh>
    <rPh sb="29" eb="31">
      <t>カンキョウ</t>
    </rPh>
    <rPh sb="37" eb="38">
      <t>ワ</t>
    </rPh>
    <rPh sb="47" eb="49">
      <t>カンケイ</t>
    </rPh>
    <rPh sb="96" eb="97">
      <t>ネン</t>
    </rPh>
    <rPh sb="97" eb="98">
      <t>ジ</t>
    </rPh>
    <rPh sb="102" eb="103">
      <t>ネン</t>
    </rPh>
    <rPh sb="103" eb="104">
      <t>ジ</t>
    </rPh>
    <phoneticPr fontId="1"/>
  </si>
  <si>
    <t>　学生全員が受講可能とするため、数理・データサイエンス・AIプログラムに関する全ての授業は、必修科目として開講している。周知方法としては、ホームページやシラバス、ガイダンスなど利用してプログラム履修に対する興味・関心の向上を図る。</t>
    <rPh sb="88" eb="90">
      <t>リヨウ</t>
    </rPh>
    <rPh sb="97" eb="99">
      <t>リシュウ</t>
    </rPh>
    <rPh sb="100" eb="101">
      <t>タイ</t>
    </rPh>
    <rPh sb="103" eb="105">
      <t>キョウミ</t>
    </rPh>
    <rPh sb="106" eb="108">
      <t>カンシン</t>
    </rPh>
    <rPh sb="109" eb="111">
      <t>コウジョウ</t>
    </rPh>
    <rPh sb="112" eb="113">
      <t>ハカ</t>
    </rPh>
    <phoneticPr fontId="1"/>
  </si>
  <si>
    <t>　数理・データサイエンス・AIプログラムに関する全ての授業は、必修科目で構成しており、学生全員が履修・修得できるカリキュラムとなっている。また、本プログラムの授業担当に制御情報コースの教員や専門を有する教員を配置している。</t>
    <phoneticPr fontId="1"/>
  </si>
  <si>
    <t>　モデルカリキュラムに対応した授業内容を適切な科目に導入し、数理・データサイエンス・ＡＩに関して、初学者でも学びやすいよう講義だけでなく、コンピュータや情報機器端末を利用して、簡単な数式を使用した解を求めるデータ処理やグラフ作成、ドローソフトによる作図等、実習実技を主とした授業内容としている。また、ＡＩ教育では実際の顔写真を使用した物体検知の仕組みについての実験について他大学の動画実演を交えて実施しており、学生が興味関心を持ち、楽しみながら学べるよう工夫している。</t>
    <rPh sb="11" eb="13">
      <t>タイオウ</t>
    </rPh>
    <rPh sb="15" eb="17">
      <t>ジュギョウ</t>
    </rPh>
    <rPh sb="17" eb="19">
      <t>ナイヨウ</t>
    </rPh>
    <rPh sb="20" eb="22">
      <t>テキセツ</t>
    </rPh>
    <rPh sb="23" eb="25">
      <t>カモク</t>
    </rPh>
    <rPh sb="26" eb="28">
      <t>ドウニュウ</t>
    </rPh>
    <rPh sb="30" eb="32">
      <t>スウリ</t>
    </rPh>
    <rPh sb="45" eb="46">
      <t>カン</t>
    </rPh>
    <rPh sb="49" eb="50">
      <t>ショ</t>
    </rPh>
    <rPh sb="50" eb="52">
      <t>ガクシャ</t>
    </rPh>
    <rPh sb="54" eb="55">
      <t>マナ</t>
    </rPh>
    <rPh sb="61" eb="63">
      <t>コウギ</t>
    </rPh>
    <rPh sb="76" eb="78">
      <t>ジョウホウ</t>
    </rPh>
    <rPh sb="78" eb="80">
      <t>キキ</t>
    </rPh>
    <rPh sb="80" eb="82">
      <t>タンマツ</t>
    </rPh>
    <rPh sb="83" eb="85">
      <t>リヨウ</t>
    </rPh>
    <rPh sb="88" eb="90">
      <t>カンタン</t>
    </rPh>
    <rPh sb="91" eb="93">
      <t>スウシキ</t>
    </rPh>
    <rPh sb="94" eb="96">
      <t>シヨウ</t>
    </rPh>
    <rPh sb="98" eb="99">
      <t>カイ</t>
    </rPh>
    <rPh sb="100" eb="101">
      <t>モト</t>
    </rPh>
    <rPh sb="106" eb="108">
      <t>ショリ</t>
    </rPh>
    <rPh sb="112" eb="114">
      <t>サクセイ</t>
    </rPh>
    <rPh sb="124" eb="126">
      <t>サクズ</t>
    </rPh>
    <rPh sb="126" eb="127">
      <t>ナド</t>
    </rPh>
    <rPh sb="128" eb="130">
      <t>ジッシュウ</t>
    </rPh>
    <rPh sb="130" eb="132">
      <t>ジツギ</t>
    </rPh>
    <rPh sb="133" eb="134">
      <t>シュ</t>
    </rPh>
    <rPh sb="137" eb="139">
      <t>ジュギョウ</t>
    </rPh>
    <rPh sb="139" eb="141">
      <t>ナイヨウ</t>
    </rPh>
    <rPh sb="152" eb="154">
      <t>キョウイク</t>
    </rPh>
    <rPh sb="167" eb="169">
      <t>ブッタイ</t>
    </rPh>
    <rPh sb="169" eb="171">
      <t>ケンチ</t>
    </rPh>
    <rPh sb="172" eb="174">
      <t>シク</t>
    </rPh>
    <rPh sb="180" eb="182">
      <t>ジッケン</t>
    </rPh>
    <rPh sb="186" eb="189">
      <t>タダイガク</t>
    </rPh>
    <rPh sb="190" eb="192">
      <t>ドウガ</t>
    </rPh>
    <rPh sb="192" eb="194">
      <t>ジツエン</t>
    </rPh>
    <rPh sb="195" eb="196">
      <t>マジ</t>
    </rPh>
    <rPh sb="198" eb="200">
      <t>ジッシ</t>
    </rPh>
    <rPh sb="205" eb="207">
      <t>ガクセイ</t>
    </rPh>
    <rPh sb="208" eb="210">
      <t>キョウミ</t>
    </rPh>
    <rPh sb="210" eb="212">
      <t>カンシン</t>
    </rPh>
    <rPh sb="213" eb="214">
      <t>モ</t>
    </rPh>
    <rPh sb="216" eb="217">
      <t>タノ</t>
    </rPh>
    <rPh sb="222" eb="223">
      <t>マナ</t>
    </rPh>
    <rPh sb="227" eb="229">
      <t>クフウ</t>
    </rPh>
    <phoneticPr fontId="1"/>
  </si>
  <si>
    <t>　本校では、産学金官に造詣がある学外有識者で構成されてた外部評価委員会が設置されており、教育研究活動や学校運営等に関して意見や助言を頂き、改善に向けた取り組みを実施している。しかしながら、外部評価委員会は3年に１度で開催されており、本プログラムの内容や手法についての意見等がないのが現状である。令和５年度に外部評価委員会が開催される予定のため、企業および卒業生アンケートと同様に本プログラムの内容や手法等について意見や要望を求め今後の改善に役立てる。</t>
    <rPh sb="1" eb="3">
      <t>ホンコウ</t>
    </rPh>
    <rPh sb="6" eb="7">
      <t>サン</t>
    </rPh>
    <rPh sb="7" eb="8">
      <t>ガク</t>
    </rPh>
    <rPh sb="8" eb="9">
      <t>キン</t>
    </rPh>
    <rPh sb="9" eb="10">
      <t>カン</t>
    </rPh>
    <rPh sb="11" eb="13">
      <t>ゾウケイ</t>
    </rPh>
    <rPh sb="16" eb="18">
      <t>ガクガイ</t>
    </rPh>
    <rPh sb="18" eb="21">
      <t>ユウシキシャ</t>
    </rPh>
    <rPh sb="22" eb="24">
      <t>コウセイ</t>
    </rPh>
    <rPh sb="44" eb="46">
      <t>キョウイク</t>
    </rPh>
    <rPh sb="46" eb="48">
      <t>ケンキュウ</t>
    </rPh>
    <rPh sb="48" eb="50">
      <t>カツドウ</t>
    </rPh>
    <rPh sb="51" eb="53">
      <t>ガッコウ</t>
    </rPh>
    <rPh sb="53" eb="55">
      <t>ウンエイ</t>
    </rPh>
    <rPh sb="55" eb="56">
      <t>トウ</t>
    </rPh>
    <rPh sb="57" eb="58">
      <t>カン</t>
    </rPh>
    <rPh sb="60" eb="62">
      <t>イケン</t>
    </rPh>
    <rPh sb="63" eb="65">
      <t>ジョゲン</t>
    </rPh>
    <rPh sb="66" eb="67">
      <t>イタダ</t>
    </rPh>
    <rPh sb="69" eb="71">
      <t>カイゼン</t>
    </rPh>
    <rPh sb="72" eb="73">
      <t>ム</t>
    </rPh>
    <rPh sb="75" eb="76">
      <t>ト</t>
    </rPh>
    <rPh sb="77" eb="78">
      <t>ク</t>
    </rPh>
    <rPh sb="80" eb="82">
      <t>ジッシ</t>
    </rPh>
    <rPh sb="94" eb="96">
      <t>ガイブ</t>
    </rPh>
    <rPh sb="96" eb="98">
      <t>ヒョウカ</t>
    </rPh>
    <rPh sb="98" eb="101">
      <t>イインカイ</t>
    </rPh>
    <rPh sb="103" eb="104">
      <t>ネン</t>
    </rPh>
    <rPh sb="106" eb="107">
      <t>ド</t>
    </rPh>
    <rPh sb="108" eb="110">
      <t>カイサイ</t>
    </rPh>
    <rPh sb="116" eb="117">
      <t>ホン</t>
    </rPh>
    <rPh sb="123" eb="125">
      <t>ナイヨウ</t>
    </rPh>
    <rPh sb="126" eb="128">
      <t>シュホウ</t>
    </rPh>
    <rPh sb="133" eb="135">
      <t>イケン</t>
    </rPh>
    <rPh sb="135" eb="136">
      <t>トウ</t>
    </rPh>
    <rPh sb="141" eb="143">
      <t>ゲンジョウ</t>
    </rPh>
    <rPh sb="147" eb="149">
      <t>レイワ</t>
    </rPh>
    <rPh sb="150" eb="151">
      <t>ネン</t>
    </rPh>
    <rPh sb="151" eb="152">
      <t>ド</t>
    </rPh>
    <rPh sb="153" eb="155">
      <t>ガイブ</t>
    </rPh>
    <rPh sb="155" eb="157">
      <t>ヒョウカ</t>
    </rPh>
    <rPh sb="157" eb="160">
      <t>イインカイ</t>
    </rPh>
    <rPh sb="161" eb="163">
      <t>カイサイ</t>
    </rPh>
    <rPh sb="166" eb="168">
      <t>ヨテイ</t>
    </rPh>
    <rPh sb="172" eb="174">
      <t>キギョウ</t>
    </rPh>
    <rPh sb="177" eb="179">
      <t>ソツギョウ</t>
    </rPh>
    <rPh sb="179" eb="180">
      <t>セイ</t>
    </rPh>
    <rPh sb="186" eb="188">
      <t>ドウヨウ</t>
    </rPh>
    <rPh sb="189" eb="190">
      <t>ホン</t>
    </rPh>
    <rPh sb="196" eb="198">
      <t>ナイヨウ</t>
    </rPh>
    <rPh sb="199" eb="201">
      <t>シュホウ</t>
    </rPh>
    <rPh sb="201" eb="202">
      <t>トウ</t>
    </rPh>
    <rPh sb="206" eb="208">
      <t>イケン</t>
    </rPh>
    <rPh sb="209" eb="211">
      <t>ヨウボウ</t>
    </rPh>
    <rPh sb="212" eb="213">
      <t>モト</t>
    </rPh>
    <rPh sb="214" eb="216">
      <t>コンゴ</t>
    </rPh>
    <rPh sb="217" eb="219">
      <t>カイゼン</t>
    </rPh>
    <rPh sb="220" eb="222">
      <t>ヤクダ</t>
    </rPh>
    <phoneticPr fontId="1"/>
  </si>
  <si>
    <t>　本プログラムは令和４年度から実施しているため、修了者および修了した卒業生がいないが、令和３年度卒業生166名における進路は、就職が67％、大学進学が27％、その他専門学校等が6％である。また、就職での業種別では、製造業が43％、建設業18％、情報通信業10％、職種別ではメンテナンス・修理28％、生産技術23％、情報処理・通信技術10％となっている。
　また、就職先への企業アンケートや過去年度卒業生へのアンケートを定期的に実施している。企業アンケートでは、「卒業生や修了生の勤務に対する能力的な評価について」は「満足している」「やや満足している」が約80％を占めている。
　過去年度卒業生アンケートでは、「在学中に学んだ科目について、職場や進学先で十分に役立っていますか。」の回答において、「役に立っている」「やや役にたっている」「普通」が約8割を占めているが「あまり役にたっていない」「役に立っていない」が２割程度見受けられる。この結果から、就職先および卒業生の意見等を勘案してより満足度向上にむけた授業内容の改善や精査に取り組む必要がある。
　なお、本プログラム修了生が卒業するまでに数年あるが、今後、企業および卒業生に対して実施するアンケート内容に本プログラムに関する内容を追記して意見等を求め改善につなげる。</t>
    <rPh sb="220" eb="222">
      <t>キギョウ</t>
    </rPh>
    <rPh sb="258" eb="260">
      <t>マンゾク</t>
    </rPh>
    <rPh sb="268" eb="270">
      <t>マンゾク</t>
    </rPh>
    <rPh sb="276" eb="277">
      <t>ヤク</t>
    </rPh>
    <rPh sb="281" eb="282">
      <t>シ</t>
    </rPh>
    <rPh sb="289" eb="291">
      <t>カコ</t>
    </rPh>
    <rPh sb="291" eb="293">
      <t>ネンド</t>
    </rPh>
    <rPh sb="293" eb="295">
      <t>ソツギョウ</t>
    </rPh>
    <rPh sb="295" eb="296">
      <t>セイ</t>
    </rPh>
    <rPh sb="340" eb="342">
      <t>カイトウ</t>
    </rPh>
    <rPh sb="348" eb="349">
      <t>ヤク</t>
    </rPh>
    <rPh sb="350" eb="351">
      <t>タ</t>
    </rPh>
    <rPh sb="359" eb="360">
      <t>ヤク</t>
    </rPh>
    <rPh sb="368" eb="370">
      <t>フツウ</t>
    </rPh>
    <rPh sb="372" eb="373">
      <t>ヤク</t>
    </rPh>
    <rPh sb="374" eb="375">
      <t>ワリ</t>
    </rPh>
    <rPh sb="376" eb="377">
      <t>シ</t>
    </rPh>
    <rPh sb="386" eb="387">
      <t>ヤク</t>
    </rPh>
    <rPh sb="396" eb="397">
      <t>ヤク</t>
    </rPh>
    <rPh sb="398" eb="399">
      <t>タ</t>
    </rPh>
    <rPh sb="407" eb="408">
      <t>ワリ</t>
    </rPh>
    <rPh sb="408" eb="410">
      <t>テイド</t>
    </rPh>
    <rPh sb="410" eb="412">
      <t>ミウ</t>
    </rPh>
    <rPh sb="419" eb="421">
      <t>ケッカ</t>
    </rPh>
    <rPh sb="424" eb="426">
      <t>シュウショク</t>
    </rPh>
    <rPh sb="426" eb="427">
      <t>サキ</t>
    </rPh>
    <rPh sb="430" eb="433">
      <t>ソツギョウセイ</t>
    </rPh>
    <rPh sb="434" eb="436">
      <t>イケン</t>
    </rPh>
    <rPh sb="436" eb="437">
      <t>トウ</t>
    </rPh>
    <rPh sb="438" eb="440">
      <t>カンアン</t>
    </rPh>
    <rPh sb="444" eb="447">
      <t>マンゾクド</t>
    </rPh>
    <rPh sb="447" eb="449">
      <t>コウジョウ</t>
    </rPh>
    <rPh sb="453" eb="455">
      <t>ジュギョウ</t>
    </rPh>
    <rPh sb="455" eb="457">
      <t>ナイヨウ</t>
    </rPh>
    <rPh sb="458" eb="460">
      <t>カイゼン</t>
    </rPh>
    <rPh sb="461" eb="463">
      <t>セイサ</t>
    </rPh>
    <rPh sb="464" eb="465">
      <t>ト</t>
    </rPh>
    <rPh sb="466" eb="467">
      <t>ク</t>
    </rPh>
    <rPh sb="468" eb="470">
      <t>ヒツヨウ</t>
    </rPh>
    <rPh sb="479" eb="480">
      <t>ホン</t>
    </rPh>
    <rPh sb="485" eb="488">
      <t>シュウリョウセイ</t>
    </rPh>
    <rPh sb="489" eb="491">
      <t>ソツギョウ</t>
    </rPh>
    <rPh sb="496" eb="498">
      <t>スウネン</t>
    </rPh>
    <rPh sb="502" eb="504">
      <t>コンゴ</t>
    </rPh>
    <rPh sb="514" eb="515">
      <t>タイ</t>
    </rPh>
    <rPh sb="517" eb="519">
      <t>ジッシ</t>
    </rPh>
    <rPh sb="526" eb="528">
      <t>ナイヨウ</t>
    </rPh>
    <rPh sb="529" eb="530">
      <t>ホン</t>
    </rPh>
    <rPh sb="536" eb="537">
      <t>カン</t>
    </rPh>
    <rPh sb="539" eb="541">
      <t>ナイヨウ</t>
    </rPh>
    <rPh sb="542" eb="544">
      <t>ツイキ</t>
    </rPh>
    <rPh sb="546" eb="548">
      <t>イケン</t>
    </rPh>
    <rPh sb="548" eb="549">
      <t>トウ</t>
    </rPh>
    <rPh sb="550" eb="551">
      <t>モト</t>
    </rPh>
    <rPh sb="552" eb="554">
      <t>カイゼン</t>
    </rPh>
    <phoneticPr fontId="1"/>
  </si>
  <si>
    <t>　本プログラムに関する科目は必修科目で構成している。今後もデジタル社会に貢献できるために必要な数理・データサイエンス・ＡＩに関する基礎的な知識や能力を身に付けることができるよう必修科目として開講するとともに学修成果や学生の理解度、授業アンケート結果を活用して、継続的に授業内容の改善や工夫を実施する。</t>
    <rPh sb="1" eb="2">
      <t>ホン</t>
    </rPh>
    <rPh sb="8" eb="9">
      <t>カン</t>
    </rPh>
    <rPh sb="11" eb="13">
      <t>カモク</t>
    </rPh>
    <rPh sb="14" eb="16">
      <t>ヒッシュウ</t>
    </rPh>
    <rPh sb="16" eb="18">
      <t>カモク</t>
    </rPh>
    <rPh sb="19" eb="21">
      <t>コウセイ</t>
    </rPh>
    <rPh sb="26" eb="28">
      <t>コンゴ</t>
    </rPh>
    <rPh sb="44" eb="46">
      <t>ヒツヨウ</t>
    </rPh>
    <rPh sb="47" eb="49">
      <t>スウリ</t>
    </rPh>
    <rPh sb="62" eb="63">
      <t>カン</t>
    </rPh>
    <rPh sb="65" eb="68">
      <t>キソテキ</t>
    </rPh>
    <rPh sb="88" eb="90">
      <t>ヒッシュウ</t>
    </rPh>
    <rPh sb="90" eb="92">
      <t>カモク</t>
    </rPh>
    <rPh sb="95" eb="97">
      <t>カイコウ</t>
    </rPh>
    <rPh sb="103" eb="105">
      <t>ガクシュウ</t>
    </rPh>
    <rPh sb="105" eb="107">
      <t>セイカ</t>
    </rPh>
    <rPh sb="108" eb="110">
      <t>ガクセイ</t>
    </rPh>
    <rPh sb="111" eb="113">
      <t>リカイ</t>
    </rPh>
    <rPh sb="113" eb="114">
      <t>ド</t>
    </rPh>
    <rPh sb="115" eb="117">
      <t>ジュギョウ</t>
    </rPh>
    <rPh sb="122" eb="124">
      <t>ケッカ</t>
    </rPh>
    <rPh sb="125" eb="127">
      <t>カツヨウ</t>
    </rPh>
    <rPh sb="130" eb="133">
      <t>ケイゾクテキ</t>
    </rPh>
    <rPh sb="134" eb="136">
      <t>ジュギョウ</t>
    </rPh>
    <rPh sb="136" eb="138">
      <t>ナイヨウ</t>
    </rPh>
    <rPh sb="139" eb="141">
      <t>カイゼン</t>
    </rPh>
    <rPh sb="142" eb="144">
      <t>クフウ</t>
    </rPh>
    <rPh sb="145" eb="147">
      <t>ジッシ</t>
    </rPh>
    <phoneticPr fontId="1"/>
  </si>
  <si>
    <t>　本プログラムに関する科目は、必修科目として開講しているため、全学生が履修することになっている。このため、後輩等の学生へ履修を推奨する必要性がないが、説明会やガイダンス等で数理・データサイエンス・ＡＩ教育の必要性や学ぶ目的を学生に周知、認知させることにより、本プログラムに対する興味・関心を高めるとともに、デジタル社会に貢献できるための知識や能力を身に付けることができるよう継続的に取り組む。</t>
    <rPh sb="1" eb="2">
      <t>ホン</t>
    </rPh>
    <rPh sb="8" eb="9">
      <t>カン</t>
    </rPh>
    <rPh sb="11" eb="13">
      <t>カモク</t>
    </rPh>
    <rPh sb="15" eb="17">
      <t>ヒッシュウ</t>
    </rPh>
    <rPh sb="17" eb="19">
      <t>カモク</t>
    </rPh>
    <rPh sb="22" eb="24">
      <t>カイコウ</t>
    </rPh>
    <rPh sb="31" eb="32">
      <t>ゼン</t>
    </rPh>
    <rPh sb="32" eb="34">
      <t>ガクセイ</t>
    </rPh>
    <rPh sb="35" eb="37">
      <t>リシュウ</t>
    </rPh>
    <rPh sb="53" eb="55">
      <t>コウハイ</t>
    </rPh>
    <rPh sb="55" eb="56">
      <t>トウ</t>
    </rPh>
    <rPh sb="57" eb="59">
      <t>ガクセイ</t>
    </rPh>
    <rPh sb="60" eb="62">
      <t>リシュウ</t>
    </rPh>
    <rPh sb="63" eb="65">
      <t>スイショウ</t>
    </rPh>
    <rPh sb="67" eb="70">
      <t>ヒツヨウセイ</t>
    </rPh>
    <rPh sb="75" eb="78">
      <t>セツメイカイ</t>
    </rPh>
    <rPh sb="84" eb="85">
      <t>トウ</t>
    </rPh>
    <rPh sb="86" eb="88">
      <t>スウリ</t>
    </rPh>
    <rPh sb="100" eb="102">
      <t>キョウイク</t>
    </rPh>
    <rPh sb="103" eb="106">
      <t>ヒツヨウセイ</t>
    </rPh>
    <rPh sb="107" eb="108">
      <t>マナ</t>
    </rPh>
    <rPh sb="109" eb="111">
      <t>モクテキ</t>
    </rPh>
    <rPh sb="112" eb="114">
      <t>ガクセイ</t>
    </rPh>
    <rPh sb="115" eb="117">
      <t>シュウチ</t>
    </rPh>
    <rPh sb="118" eb="120">
      <t>ニンチ</t>
    </rPh>
    <rPh sb="129" eb="130">
      <t>ホン</t>
    </rPh>
    <rPh sb="136" eb="137">
      <t>タイ</t>
    </rPh>
    <rPh sb="139" eb="141">
      <t>キョウミ</t>
    </rPh>
    <rPh sb="142" eb="144">
      <t>カンシン</t>
    </rPh>
    <rPh sb="145" eb="146">
      <t>タカ</t>
    </rPh>
    <rPh sb="157" eb="159">
      <t>シャカイ</t>
    </rPh>
    <rPh sb="160" eb="162">
      <t>コウケン</t>
    </rPh>
    <rPh sb="168" eb="170">
      <t>チシキ</t>
    </rPh>
    <rPh sb="171" eb="173">
      <t>ノウリョク</t>
    </rPh>
    <rPh sb="174" eb="175">
      <t>ミ</t>
    </rPh>
    <rPh sb="176" eb="177">
      <t>ツ</t>
    </rPh>
    <rPh sb="187" eb="190">
      <t>ケイゾクテキ</t>
    </rPh>
    <rPh sb="191" eb="192">
      <t>ト</t>
    </rPh>
    <rPh sb="193" eb="194">
      <t>ク</t>
    </rPh>
    <phoneticPr fontId="1"/>
  </si>
  <si>
    <t>　プログラムに関する科目は、主として制御情報コースの専任教員および非常勤講師が担当しており、実習系科目においては、操作方法や学生からの質問に対応できるよう教員２名体制で実施している。
　また、令和4年度入学生より、全員がiPadを購入し、講義資料の配布や課題の提出などはＷＥＢ上で利用が可能となっている。
　設備としては全教室にプロジェクターを設置し、講義においても板書だけでなく図表や資料、動画など映像を活用した授業が取り入れやすいようにしている。
　学生がより理解しやすく分かりやすい授業となるように、担当している科目の授業アンケート結果を科長またはコース長より各担当教員に配布され、必要に応じて授業内容の改善や工夫に努めるよう意見や助言をおこなっている。</t>
    <rPh sb="7" eb="8">
      <t>カン</t>
    </rPh>
    <rPh sb="10" eb="12">
      <t>カモク</t>
    </rPh>
    <rPh sb="14" eb="15">
      <t>シュ</t>
    </rPh>
    <rPh sb="18" eb="20">
      <t>セイギョ</t>
    </rPh>
    <rPh sb="20" eb="22">
      <t>ジョウホウ</t>
    </rPh>
    <rPh sb="26" eb="28">
      <t>センニン</t>
    </rPh>
    <rPh sb="28" eb="30">
      <t>キョウイン</t>
    </rPh>
    <rPh sb="33" eb="36">
      <t>ヒジョウキン</t>
    </rPh>
    <rPh sb="36" eb="38">
      <t>コウシ</t>
    </rPh>
    <rPh sb="39" eb="41">
      <t>タントウ</t>
    </rPh>
    <rPh sb="46" eb="48">
      <t>ジッシュウ</t>
    </rPh>
    <rPh sb="48" eb="49">
      <t>ケイ</t>
    </rPh>
    <rPh sb="49" eb="51">
      <t>カモク</t>
    </rPh>
    <rPh sb="77" eb="79">
      <t>キョウイン</t>
    </rPh>
    <rPh sb="80" eb="81">
      <t>メイ</t>
    </rPh>
    <rPh sb="81" eb="83">
      <t>タイセイ</t>
    </rPh>
    <rPh sb="84" eb="86">
      <t>ジッシ</t>
    </rPh>
    <rPh sb="96" eb="98">
      <t>レイワ</t>
    </rPh>
    <rPh sb="99" eb="100">
      <t>ネン</t>
    </rPh>
    <rPh sb="100" eb="101">
      <t>ド</t>
    </rPh>
    <rPh sb="101" eb="104">
      <t>ニュウガクセイ</t>
    </rPh>
    <rPh sb="107" eb="109">
      <t>ゼンイン</t>
    </rPh>
    <rPh sb="115" eb="117">
      <t>コウニュウ</t>
    </rPh>
    <rPh sb="119" eb="121">
      <t>コウギ</t>
    </rPh>
    <rPh sb="121" eb="123">
      <t>シリョウ</t>
    </rPh>
    <rPh sb="124" eb="126">
      <t>ハイフ</t>
    </rPh>
    <rPh sb="127" eb="129">
      <t>カダイ</t>
    </rPh>
    <rPh sb="130" eb="132">
      <t>テイシュツ</t>
    </rPh>
    <rPh sb="138" eb="139">
      <t>ジョウ</t>
    </rPh>
    <rPh sb="140" eb="142">
      <t>リヨウ</t>
    </rPh>
    <rPh sb="143" eb="145">
      <t>カノウ</t>
    </rPh>
    <rPh sb="154" eb="156">
      <t>セツビ</t>
    </rPh>
    <rPh sb="172" eb="174">
      <t>セッチ</t>
    </rPh>
    <rPh sb="176" eb="178">
      <t>コウギ</t>
    </rPh>
    <rPh sb="183" eb="185">
      <t>バンショ</t>
    </rPh>
    <rPh sb="190" eb="192">
      <t>ズヒョウ</t>
    </rPh>
    <rPh sb="193" eb="195">
      <t>シリョウ</t>
    </rPh>
    <rPh sb="196" eb="198">
      <t>ドウガ</t>
    </rPh>
    <rPh sb="200" eb="202">
      <t>エイゾウ</t>
    </rPh>
    <rPh sb="203" eb="205">
      <t>カツヨウ</t>
    </rPh>
    <rPh sb="207" eb="209">
      <t>ジュギョウ</t>
    </rPh>
    <rPh sb="210" eb="211">
      <t>ト</t>
    </rPh>
    <rPh sb="212" eb="213">
      <t>イ</t>
    </rPh>
    <rPh sb="227" eb="229">
      <t>ガクセイ</t>
    </rPh>
    <rPh sb="232" eb="234">
      <t>リカイ</t>
    </rPh>
    <rPh sb="238" eb="239">
      <t>ワ</t>
    </rPh>
    <rPh sb="244" eb="246">
      <t>ジュギョウ</t>
    </rPh>
    <rPh sb="253" eb="255">
      <t>タントウ</t>
    </rPh>
    <rPh sb="259" eb="261">
      <t>カモク</t>
    </rPh>
    <rPh sb="262" eb="264">
      <t>ジュギョウ</t>
    </rPh>
    <rPh sb="269" eb="271">
      <t>ケッカ</t>
    </rPh>
    <rPh sb="272" eb="274">
      <t>カチョウ</t>
    </rPh>
    <rPh sb="280" eb="281">
      <t>チョウ</t>
    </rPh>
    <rPh sb="289" eb="291">
      <t>ハイフ</t>
    </rPh>
    <rPh sb="294" eb="296">
      <t>ヒツヨウ</t>
    </rPh>
    <rPh sb="297" eb="298">
      <t>オウ</t>
    </rPh>
    <phoneticPr fontId="1"/>
  </si>
  <si>
    <t xml:space="preserve"> デジタル社会に貢献するために、データ・ＡＩの利活用能力や利活用のための技術を演習と実験・実習の実学を通して修得するとともに、データ保護の重要性を認識し、データ・ＡＩ利活用の倫理観を身に付ける。</t>
    <phoneticPr fontId="1"/>
  </si>
  <si>
    <t>委員会は、次の者で構成している。
(1)教務主事：鈴木　隆
(2)学生主事：上田　透、寮務主事：松尾　大介、入試主事：岩佐　英彦
(3)各コース長：機械システムコース長：荒賀　浩一、電気・電子コース長：吉川　隆、
制御情報コース長：舩島　洋紀、都市環境コース長：中平　恭之、専攻科長：政清　史晃
総合ｼｽﾃﾑ工学科長：鈴木　隆（兼務）、共通教育科長：伊藤　豊治、事務部長：横山　良次
(4)教務主事が必要と認められる教職員：教務部担当　畑山　伸訓、中村　信広、今野理喜男
神田　毅、小野　朗子、安井　宣仁、坂東　将光、山本　空、寺田　真由美</t>
    <rPh sb="25" eb="27">
      <t>スズキ</t>
    </rPh>
    <rPh sb="28" eb="29">
      <t>タカシ</t>
    </rPh>
    <rPh sb="38" eb="40">
      <t>ウエダ</t>
    </rPh>
    <rPh sb="41" eb="42">
      <t>トオ</t>
    </rPh>
    <rPh sb="48" eb="50">
      <t>マツオ</t>
    </rPh>
    <rPh sb="51" eb="53">
      <t>ダイスケ</t>
    </rPh>
    <rPh sb="85" eb="86">
      <t>アラ</t>
    </rPh>
    <rPh sb="86" eb="87">
      <t>ガ</t>
    </rPh>
    <rPh sb="88" eb="90">
      <t>コウイチ</t>
    </rPh>
    <rPh sb="101" eb="103">
      <t>ヨシカワ</t>
    </rPh>
    <rPh sb="104" eb="105">
      <t>タカシ</t>
    </rPh>
    <rPh sb="116" eb="118">
      <t>フナシマ</t>
    </rPh>
    <rPh sb="131" eb="133">
      <t>ナカヒラ</t>
    </rPh>
    <rPh sb="159" eb="161">
      <t>スズキ</t>
    </rPh>
    <rPh sb="162" eb="163">
      <t>タカシ</t>
    </rPh>
    <rPh sb="164" eb="166">
      <t>ケンム</t>
    </rPh>
    <rPh sb="175" eb="177">
      <t>イトウ</t>
    </rPh>
    <rPh sb="224" eb="226">
      <t>ナカムラ</t>
    </rPh>
    <rPh sb="227" eb="229">
      <t>ノブヒロ</t>
    </rPh>
    <phoneticPr fontId="1"/>
  </si>
  <si>
    <t>　数理・データサイエンス・AIプログラムに関する授業を含めたすべての授業において、オフィスアワーを設定しており、オフィスアワー以外の時間においても科目担当者が在席の時は質問や学習指導等を受け付けている。また、授業担当者へ直接、電子メールによる質問等も可能である。オフィスアワーや電子メールアドレスは、シラバスに公開している。なお、グーグルクラスルームによる学生への連絡や案内、質問も併せて実施している。</t>
    <rPh sb="73" eb="75">
      <t>カモク</t>
    </rPh>
    <rPh sb="75" eb="78">
      <t>タントウシャ</t>
    </rPh>
    <rPh sb="188" eb="190">
      <t>シツモン</t>
    </rPh>
    <rPh sb="191" eb="192">
      <t>アワ</t>
    </rPh>
    <phoneticPr fontId="1"/>
  </si>
  <si>
    <t>　プログラムに関する学生の成績は、情報処理Ⅰaにおいて秀優が68.8％、良19.7％、可６％、不可５％、情報処理Ⅰbにおいて秀優91.8％、良７％、可0.6％、不可0.6％であった。なお、不可であった学生に対して再試験を実施した結果、全員合格している。
　また、学生の授業アンケート結果から、「授業を通じて学習している科目に関して興味・関心が高まったか。」について、情報処理Ⅰaでは「はい」「普通」の回答が92％、「いいえ」が8％、情報処理Ⅰbでは、「はい」「普通」の回答が91％、「いいえ」が9％であった。また、「シラバスに記載している科目の学習教育目標および達成目標を達成できたか。」については、情報処理Ⅰaでは「はい」「普通」の回答が96％、「いいえ」が４％、情報処理Ⅰbでは、「はい」「普通」の回答が95％、「いいえ」が5％であった。この結果から、必要な知識や能力が概ね身に付いていると思われるとともに興味関心も高いことが確認できる。
　引き続き、科目担当者をはじめ各教科、コースに対して教務部から科目に対する興味関心や学習意欲を高めるよう働きかけるよう努める。</t>
    <rPh sb="7" eb="8">
      <t>カン</t>
    </rPh>
    <rPh sb="10" eb="12">
      <t>ガクセイ</t>
    </rPh>
    <rPh sb="13" eb="15">
      <t>セイセキ</t>
    </rPh>
    <rPh sb="17" eb="19">
      <t>ジョウホウ</t>
    </rPh>
    <rPh sb="19" eb="21">
      <t>ショリ</t>
    </rPh>
    <rPh sb="27" eb="28">
      <t>シュウ</t>
    </rPh>
    <rPh sb="28" eb="29">
      <t>ユウ</t>
    </rPh>
    <rPh sb="36" eb="37">
      <t>リョウ</t>
    </rPh>
    <rPh sb="43" eb="44">
      <t>カ</t>
    </rPh>
    <rPh sb="47" eb="49">
      <t>フカ</t>
    </rPh>
    <rPh sb="52" eb="54">
      <t>ジョウホウ</t>
    </rPh>
    <rPh sb="54" eb="56">
      <t>ショリ</t>
    </rPh>
    <rPh sb="62" eb="63">
      <t>シュウ</t>
    </rPh>
    <rPh sb="63" eb="64">
      <t>ユウ</t>
    </rPh>
    <rPh sb="70" eb="71">
      <t>リョウ</t>
    </rPh>
    <rPh sb="74" eb="75">
      <t>カ</t>
    </rPh>
    <rPh sb="80" eb="82">
      <t>フカ</t>
    </rPh>
    <rPh sb="94" eb="96">
      <t>フカ</t>
    </rPh>
    <rPh sb="100" eb="102">
      <t>ガクセイ</t>
    </rPh>
    <rPh sb="103" eb="104">
      <t>タイ</t>
    </rPh>
    <rPh sb="106" eb="109">
      <t>サイシケン</t>
    </rPh>
    <rPh sb="110" eb="112">
      <t>ジッシ</t>
    </rPh>
    <rPh sb="114" eb="116">
      <t>ケッカ</t>
    </rPh>
    <rPh sb="117" eb="119">
      <t>ゼンイン</t>
    </rPh>
    <rPh sb="119" eb="121">
      <t>ゴウカク</t>
    </rPh>
    <rPh sb="131" eb="133">
      <t>ガクセイ</t>
    </rPh>
    <rPh sb="134" eb="136">
      <t>ジュギョウ</t>
    </rPh>
    <rPh sb="141" eb="143">
      <t>ケッカ</t>
    </rPh>
    <rPh sb="147" eb="149">
      <t>ジュギョウ</t>
    </rPh>
    <rPh sb="150" eb="151">
      <t>ツウ</t>
    </rPh>
    <rPh sb="153" eb="155">
      <t>ガクシュウ</t>
    </rPh>
    <rPh sb="159" eb="161">
      <t>カモク</t>
    </rPh>
    <rPh sb="162" eb="163">
      <t>カン</t>
    </rPh>
    <rPh sb="165" eb="167">
      <t>キョウミ</t>
    </rPh>
    <rPh sb="168" eb="170">
      <t>カンシン</t>
    </rPh>
    <rPh sb="171" eb="172">
      <t>タカ</t>
    </rPh>
    <rPh sb="183" eb="185">
      <t>ジョウホウ</t>
    </rPh>
    <rPh sb="185" eb="187">
      <t>ショリ</t>
    </rPh>
    <rPh sb="196" eb="198">
      <t>フツウ</t>
    </rPh>
    <rPh sb="200" eb="202">
      <t>カイトウ</t>
    </rPh>
    <rPh sb="216" eb="218">
      <t>ジョウホウ</t>
    </rPh>
    <rPh sb="218" eb="220">
      <t>ショリ</t>
    </rPh>
    <rPh sb="263" eb="265">
      <t>キサイ</t>
    </rPh>
    <rPh sb="269" eb="271">
      <t>カモク</t>
    </rPh>
    <rPh sb="272" eb="274">
      <t>ガクシュウ</t>
    </rPh>
    <rPh sb="274" eb="276">
      <t>キョウイク</t>
    </rPh>
    <rPh sb="276" eb="278">
      <t>モクヒョウ</t>
    </rPh>
    <rPh sb="281" eb="283">
      <t>タッセイ</t>
    </rPh>
    <rPh sb="283" eb="285">
      <t>モクヒョウ</t>
    </rPh>
    <rPh sb="286" eb="288">
      <t>タッセイ</t>
    </rPh>
    <rPh sb="300" eb="302">
      <t>ジョウホウ</t>
    </rPh>
    <rPh sb="302" eb="304">
      <t>ショリ</t>
    </rPh>
    <rPh sb="333" eb="335">
      <t>ジョウホウ</t>
    </rPh>
    <rPh sb="335" eb="337">
      <t>ショリ</t>
    </rPh>
    <rPh sb="373" eb="375">
      <t>ケッカ</t>
    </rPh>
    <rPh sb="378" eb="380">
      <t>ヒツヨウ</t>
    </rPh>
    <rPh sb="381" eb="383">
      <t>チシキ</t>
    </rPh>
    <rPh sb="384" eb="386">
      <t>ノウリョク</t>
    </rPh>
    <rPh sb="387" eb="388">
      <t>オオム</t>
    </rPh>
    <rPh sb="389" eb="390">
      <t>ミ</t>
    </rPh>
    <rPh sb="391" eb="392">
      <t>ツ</t>
    </rPh>
    <rPh sb="397" eb="398">
      <t>オモ</t>
    </rPh>
    <rPh sb="405" eb="407">
      <t>キョウミ</t>
    </rPh>
    <rPh sb="407" eb="409">
      <t>カンシン</t>
    </rPh>
    <rPh sb="410" eb="411">
      <t>タカ</t>
    </rPh>
    <rPh sb="415" eb="417">
      <t>カクニン</t>
    </rPh>
    <rPh sb="423" eb="424">
      <t>ヒ</t>
    </rPh>
    <rPh sb="425" eb="426">
      <t>ツヅ</t>
    </rPh>
    <rPh sb="428" eb="430">
      <t>カモク</t>
    </rPh>
    <rPh sb="430" eb="433">
      <t>タントウシャ</t>
    </rPh>
    <rPh sb="437" eb="440">
      <t>カクキョウカ</t>
    </rPh>
    <rPh sb="445" eb="446">
      <t>タイ</t>
    </rPh>
    <rPh sb="448" eb="450">
      <t>キョウム</t>
    </rPh>
    <rPh sb="450" eb="451">
      <t>ブ</t>
    </rPh>
    <rPh sb="453" eb="455">
      <t>カモク</t>
    </rPh>
    <rPh sb="456" eb="457">
      <t>タイ</t>
    </rPh>
    <rPh sb="459" eb="461">
      <t>キョウミ</t>
    </rPh>
    <rPh sb="461" eb="463">
      <t>カンシン</t>
    </rPh>
    <rPh sb="464" eb="466">
      <t>ガクシュウ</t>
    </rPh>
    <rPh sb="466" eb="468">
      <t>イヨク</t>
    </rPh>
    <rPh sb="469" eb="470">
      <t>タカ</t>
    </rPh>
    <rPh sb="474" eb="475">
      <t>ハタラ</t>
    </rPh>
    <rPh sb="481" eb="482">
      <t>ツト</t>
    </rPh>
    <phoneticPr fontId="1"/>
  </si>
  <si>
    <t>　プログラム科目に関する学生の内容の理解度は、授業アンケート結果から、情報処理Ⅰaでは、「理解できた」「普通」の回答が96％、「理解できなかった」の回答が4％、情報処理Ⅰbでは、「理解できた」「普通」の回答が95％、「理解できなかった」の回答が5％であった。このアンケート結果から、授業内容を概ね理解していると判断できる。しかしながら、「理解できなかった」と回答した学生が若干ではあるがいるため、各科目担当者をはじめ、教務部から各教科、コースに対して理解度向上に向けた改善や取り組みを促していく。</t>
    <rPh sb="6" eb="8">
      <t>カモク</t>
    </rPh>
    <rPh sb="9" eb="10">
      <t>カン</t>
    </rPh>
    <rPh sb="12" eb="14">
      <t>ガクセイ</t>
    </rPh>
    <rPh sb="15" eb="17">
      <t>ナイヨウ</t>
    </rPh>
    <rPh sb="18" eb="20">
      <t>リカイ</t>
    </rPh>
    <rPh sb="20" eb="21">
      <t>ド</t>
    </rPh>
    <rPh sb="23" eb="25">
      <t>ジュギョウ</t>
    </rPh>
    <rPh sb="30" eb="32">
      <t>ケッカ</t>
    </rPh>
    <rPh sb="35" eb="37">
      <t>ジョウホウ</t>
    </rPh>
    <rPh sb="37" eb="39">
      <t>ショリ</t>
    </rPh>
    <rPh sb="45" eb="47">
      <t>リカイ</t>
    </rPh>
    <rPh sb="52" eb="54">
      <t>フツウ</t>
    </rPh>
    <rPh sb="56" eb="58">
      <t>カイトウ</t>
    </rPh>
    <rPh sb="64" eb="66">
      <t>リカイ</t>
    </rPh>
    <rPh sb="74" eb="76">
      <t>カイトウ</t>
    </rPh>
    <rPh sb="80" eb="82">
      <t>ジョウホウ</t>
    </rPh>
    <rPh sb="82" eb="84">
      <t>ショリ</t>
    </rPh>
    <rPh sb="136" eb="138">
      <t>ケッカ</t>
    </rPh>
    <rPh sb="141" eb="143">
      <t>ジュギョウ</t>
    </rPh>
    <rPh sb="143" eb="145">
      <t>ナイヨウ</t>
    </rPh>
    <rPh sb="148" eb="150">
      <t>リカイ</t>
    </rPh>
    <rPh sb="155" eb="157">
      <t>ハンダン</t>
    </rPh>
    <rPh sb="169" eb="171">
      <t>リカイ</t>
    </rPh>
    <rPh sb="179" eb="181">
      <t>カイトウ</t>
    </rPh>
    <rPh sb="183" eb="185">
      <t>ガクセイ</t>
    </rPh>
    <rPh sb="186" eb="188">
      <t>ジャッカン</t>
    </rPh>
    <rPh sb="209" eb="211">
      <t>キョウム</t>
    </rPh>
    <rPh sb="211" eb="212">
      <t>ブ</t>
    </rPh>
    <rPh sb="214" eb="215">
      <t>カク</t>
    </rPh>
    <rPh sb="215" eb="217">
      <t>キョウカ</t>
    </rPh>
    <rPh sb="222" eb="223">
      <t>タイ</t>
    </rPh>
    <rPh sb="225" eb="227">
      <t>リカイ</t>
    </rPh>
    <rPh sb="227" eb="228">
      <t>ド</t>
    </rPh>
    <rPh sb="228" eb="230">
      <t>コウジョウ</t>
    </rPh>
    <rPh sb="231" eb="232">
      <t>ム</t>
    </rPh>
    <rPh sb="234" eb="236">
      <t>カイゼン</t>
    </rPh>
    <rPh sb="237" eb="238">
      <t>ト</t>
    </rPh>
    <rPh sb="239" eb="240">
      <t>ク</t>
    </rPh>
    <rPh sb="242" eb="243">
      <t>ウナガ</t>
    </rPh>
    <phoneticPr fontId="1"/>
  </si>
  <si>
    <t>齊藤　公博</t>
    <rPh sb="0" eb="2">
      <t>サイトウ</t>
    </rPh>
    <phoneticPr fontId="1"/>
  </si>
  <si>
    <t>　教務委員会は、委員会の下部組織である教務会議において、 教科編成、授業計画、時間割編成に関する事項、履修計画に関する事項、教育評価、ファカルティディベロップメントに関する事項など教学に関する事項の審議結果または懸案事項について審議することを目的としている。</t>
    <rPh sb="1" eb="3">
      <t>キョウム</t>
    </rPh>
    <rPh sb="8" eb="11">
      <t>イインカイ</t>
    </rPh>
    <rPh sb="12" eb="14">
      <t>カブ</t>
    </rPh>
    <rPh sb="14" eb="16">
      <t>ソシキ</t>
    </rPh>
    <rPh sb="19" eb="21">
      <t>キョウム</t>
    </rPh>
    <rPh sb="21" eb="23">
      <t>カイギ</t>
    </rPh>
    <rPh sb="90" eb="92">
      <t>キョウガク</t>
    </rPh>
    <rPh sb="93" eb="94">
      <t>カン</t>
    </rPh>
    <rPh sb="101" eb="103">
      <t>ケッカ</t>
    </rPh>
    <rPh sb="106" eb="108">
      <t>ケンアン</t>
    </rPh>
    <rPh sb="108" eb="110">
      <t>ジコウ</t>
    </rPh>
    <rPh sb="114" eb="116">
      <t>シンギ</t>
    </rPh>
    <phoneticPr fontId="1"/>
  </si>
  <si>
    <t>　数理・データサイエンス・AIプログラムに関する全ての授業は、１年次および２年次の必修科目として開講しているため、毎年20％履修率が増加していき、令和8年度には履修率は100％となる。また、履修者数は、数理・データサイエンス・AIプログラムが令和４年度より実施しているため、令和４年度では160名、令和5年度以降では毎年160名ずつ増加となる見込みである。</t>
    <rPh sb="57" eb="59">
      <t>マイトシ</t>
    </rPh>
    <rPh sb="62" eb="65">
      <t>リシュウリツ</t>
    </rPh>
    <rPh sb="66" eb="68">
      <t>ゾウカ</t>
    </rPh>
    <rPh sb="73" eb="75">
      <t>レイワ</t>
    </rPh>
    <rPh sb="76" eb="77">
      <t>ネン</t>
    </rPh>
    <rPh sb="77" eb="78">
      <t>ド</t>
    </rPh>
    <rPh sb="166" eb="168">
      <t>ゾウカ</t>
    </rPh>
    <phoneticPr fontId="1"/>
  </si>
  <si>
    <t>　入学生全員が本プログラムを履修および修了することにより数理・データサイエンス・ＡＩ技術に関する基礎的な知識や能力を身に付けることができるように本プログラムに関する科目を必修科目としている。また、３年次より各コースに配属することから、コース選択により身に付ける知識や能力に偏りがないよう、１年次および２年次に本プログラムが修了できるカリキュラムにしている。
　本プログラムは、令和4年度開講のため、３月現在１年生158名が履修中(１名は休学、１名は退学)であり、取得者は０名である。
また、本プログラムに関する科目の単位取得状況は、進級判定会議で確認している。</t>
    <rPh sb="1" eb="4">
      <t>ニュウガクセイ</t>
    </rPh>
    <rPh sb="4" eb="6">
      <t>ゼンイン</t>
    </rPh>
    <rPh sb="7" eb="8">
      <t>ホン</t>
    </rPh>
    <rPh sb="14" eb="16">
      <t>リシュウ</t>
    </rPh>
    <rPh sb="19" eb="21">
      <t>シュウリョウ</t>
    </rPh>
    <rPh sb="28" eb="30">
      <t>スウリ</t>
    </rPh>
    <rPh sb="42" eb="44">
      <t>ギジュツ</t>
    </rPh>
    <rPh sb="45" eb="46">
      <t>カン</t>
    </rPh>
    <rPh sb="48" eb="51">
      <t>キソテキ</t>
    </rPh>
    <rPh sb="52" eb="54">
      <t>チシキ</t>
    </rPh>
    <rPh sb="55" eb="57">
      <t>ノウリョク</t>
    </rPh>
    <rPh sb="58" eb="59">
      <t>ミ</t>
    </rPh>
    <rPh sb="60" eb="61">
      <t>ツ</t>
    </rPh>
    <rPh sb="72" eb="73">
      <t>ホン</t>
    </rPh>
    <rPh sb="79" eb="80">
      <t>カン</t>
    </rPh>
    <rPh sb="82" eb="84">
      <t>カモク</t>
    </rPh>
    <rPh sb="85" eb="87">
      <t>ヒッシュウ</t>
    </rPh>
    <rPh sb="87" eb="89">
      <t>カモク</t>
    </rPh>
    <rPh sb="99" eb="100">
      <t>ネン</t>
    </rPh>
    <rPh sb="100" eb="101">
      <t>ジ</t>
    </rPh>
    <rPh sb="103" eb="104">
      <t>カク</t>
    </rPh>
    <rPh sb="108" eb="110">
      <t>ハイゾク</t>
    </rPh>
    <rPh sb="120" eb="122">
      <t>センタク</t>
    </rPh>
    <rPh sb="125" eb="126">
      <t>ミ</t>
    </rPh>
    <rPh sb="127" eb="128">
      <t>ツ</t>
    </rPh>
    <rPh sb="130" eb="132">
      <t>チシキ</t>
    </rPh>
    <rPh sb="133" eb="135">
      <t>ノウリョク</t>
    </rPh>
    <rPh sb="136" eb="137">
      <t>カタヨ</t>
    </rPh>
    <rPh sb="145" eb="146">
      <t>ネン</t>
    </rPh>
    <rPh sb="146" eb="147">
      <t>ジ</t>
    </rPh>
    <rPh sb="151" eb="152">
      <t>ネン</t>
    </rPh>
    <rPh sb="152" eb="153">
      <t>ジ</t>
    </rPh>
    <rPh sb="154" eb="155">
      <t>ホン</t>
    </rPh>
    <rPh sb="161" eb="163">
      <t>シュウリョウ</t>
    </rPh>
    <rPh sb="180" eb="181">
      <t>ホン</t>
    </rPh>
    <rPh sb="188" eb="190">
      <t>レイワ</t>
    </rPh>
    <rPh sb="191" eb="192">
      <t>ネン</t>
    </rPh>
    <rPh sb="192" eb="193">
      <t>ド</t>
    </rPh>
    <rPh sb="193" eb="195">
      <t>カイコウ</t>
    </rPh>
    <rPh sb="200" eb="201">
      <t>ガツ</t>
    </rPh>
    <rPh sb="201" eb="203">
      <t>ゲンザイ</t>
    </rPh>
    <rPh sb="204" eb="206">
      <t>ネンセイ</t>
    </rPh>
    <rPh sb="209" eb="210">
      <t>メイ</t>
    </rPh>
    <rPh sb="211" eb="213">
      <t>リシュウ</t>
    </rPh>
    <rPh sb="213" eb="214">
      <t>チュウ</t>
    </rPh>
    <rPh sb="231" eb="233">
      <t>シュトク</t>
    </rPh>
    <rPh sb="236" eb="237">
      <t>メイ</t>
    </rPh>
    <rPh sb="245" eb="246">
      <t>ホン</t>
    </rPh>
    <rPh sb="252" eb="253">
      <t>カン</t>
    </rPh>
    <rPh sb="255" eb="257">
      <t>カモク</t>
    </rPh>
    <rPh sb="258" eb="260">
      <t>タンイ</t>
    </rPh>
    <rPh sb="260" eb="262">
      <t>シュトク</t>
    </rPh>
    <rPh sb="262" eb="264">
      <t>ジョウキョウ</t>
    </rPh>
    <rPh sb="266" eb="268">
      <t>シンキュウ</t>
    </rPh>
    <rPh sb="268" eb="270">
      <t>ハンテイ</t>
    </rPh>
    <rPh sb="270" eb="272">
      <t>カイギ</t>
    </rPh>
    <rPh sb="273" eb="275">
      <t>カクニン</t>
    </rPh>
    <phoneticPr fontId="1"/>
  </si>
  <si>
    <t>工学実験・実習２</t>
  </si>
  <si>
    <r>
      <rPr>
        <b/>
        <sz val="12"/>
        <color theme="1"/>
        <rFont val="ＭＳ Ｐゴシック"/>
        <family val="3"/>
        <charset val="128"/>
        <scheme val="minor"/>
      </rPr>
      <t>・構造化データ、非構造化データ（文章、画像/動画、音声/音楽など）</t>
    </r>
    <r>
      <rPr>
        <sz val="12"/>
        <color theme="1"/>
        <rFont val="ＭＳ Ｐゴシック"/>
        <family val="3"/>
        <charset val="128"/>
        <scheme val="minor"/>
      </rPr>
      <t xml:space="preserve">
　「情報処理Ⅱa」（第３週）デジタル情報（特徴、数値・単位・文字の表し方）
　「情報処理Ⅱa」（第４週）情報のデジタル表現（音・画像、解像度・色、CG・動画）</t>
    </r>
    <phoneticPr fontId="1"/>
  </si>
  <si>
    <r>
      <rPr>
        <b/>
        <sz val="12"/>
        <color theme="1"/>
        <rFont val="ＭＳ Ｐゴシック"/>
        <family val="3"/>
        <charset val="128"/>
        <scheme val="minor"/>
      </rPr>
      <t>・ELSI（Ethical, Legal and Social Issues）</t>
    </r>
    <r>
      <rPr>
        <sz val="12"/>
        <color theme="1"/>
        <rFont val="ＭＳ Ｐゴシック"/>
        <family val="3"/>
        <charset val="128"/>
        <scheme val="minor"/>
      </rPr>
      <t xml:space="preserve">
　「工学概論Ⅰa」（２年３組：第８週、２年４・５組：第１週）制御情報工学とは、情報社会における法
　「工学概論Ⅰb」（２年１組：第８週、２年２組：第１週）制御情報工学とは、情報社会における法
</t>
    </r>
    <r>
      <rPr>
        <b/>
        <sz val="12"/>
        <color theme="1"/>
        <rFont val="ＭＳ Ｐゴシック"/>
        <family val="3"/>
        <charset val="128"/>
        <scheme val="minor"/>
      </rPr>
      <t>・データ・AI活用における負の事例紹介</t>
    </r>
    <r>
      <rPr>
        <sz val="12"/>
        <color theme="1"/>
        <rFont val="ＭＳ Ｐゴシック"/>
        <family val="3"/>
        <charset val="128"/>
        <scheme val="minor"/>
      </rPr>
      <t xml:space="preserve">
　「工学概論Ⅰa」（２年３組：第１１週、２年４・５組：第４週）情報技術の適切な活用
　「工学概論Ⅰb」（２年１組：第１１週、２年２組：第４週）情報技術の適切な活用
</t>
    </r>
    <r>
      <rPr>
        <b/>
        <sz val="12"/>
        <color theme="1"/>
        <rFont val="ＭＳ Ｐゴシック"/>
        <family val="3"/>
        <charset val="128"/>
        <scheme val="minor"/>
      </rPr>
      <t>・データ倫理：データのねつ造、改ざん、盗用、プライバシー保護</t>
    </r>
    <r>
      <rPr>
        <sz val="12"/>
        <color theme="1"/>
        <rFont val="ＭＳ Ｐゴシック"/>
        <family val="3"/>
        <charset val="128"/>
        <scheme val="minor"/>
      </rPr>
      <t xml:space="preserve">
　「情報処理Ⅰa」（第２週）ガイダンス (コンピュータとネットの有効利用)</t>
    </r>
    <rPh sb="42" eb="44">
      <t>コウガク</t>
    </rPh>
    <rPh sb="44" eb="46">
      <t>ガイロン</t>
    </rPh>
    <rPh sb="51" eb="52">
      <t>ネン</t>
    </rPh>
    <rPh sb="53" eb="54">
      <t>クミ</t>
    </rPh>
    <rPh sb="55" eb="56">
      <t>ダイ</t>
    </rPh>
    <rPh sb="57" eb="58">
      <t>シュウ</t>
    </rPh>
    <rPh sb="60" eb="61">
      <t>ネン</t>
    </rPh>
    <rPh sb="64" eb="65">
      <t>クミ</t>
    </rPh>
    <rPh sb="66" eb="67">
      <t>ダイ</t>
    </rPh>
    <rPh sb="68" eb="69">
      <t>シュウ</t>
    </rPh>
    <rPh sb="273" eb="275">
      <t>ジョウホウ</t>
    </rPh>
    <rPh sb="275" eb="277">
      <t>ショリ</t>
    </rPh>
    <rPh sb="281" eb="282">
      <t>ダイ</t>
    </rPh>
    <rPh sb="283" eb="284">
      <t>シュウ</t>
    </rPh>
    <phoneticPr fontId="1"/>
  </si>
  <si>
    <t>情報処理Ⅱa</t>
  </si>
  <si>
    <t>情報処理Ⅰa</t>
    <rPh sb="0" eb="2">
      <t>ジョウホウ</t>
    </rPh>
    <rPh sb="2" eb="4">
      <t>ショリ</t>
    </rPh>
    <phoneticPr fontId="1"/>
  </si>
  <si>
    <t>情報処理Ⅰb</t>
    <rPh sb="0" eb="2">
      <t>ジョウホウ</t>
    </rPh>
    <rPh sb="2" eb="4">
      <t>ショリ</t>
    </rPh>
    <phoneticPr fontId="1"/>
  </si>
  <si>
    <t>情報処理Ⅰb</t>
    <phoneticPr fontId="1"/>
  </si>
  <si>
    <t>情報処理Ⅰa、情報処理Ⅰb、情報処理Ⅱa、情報処理Ⅱb、工学概論Ⅰa、工学概論Ⅰb、工学実験・実習２の合計10単位を全て修得すること。</t>
    <rPh sb="51" eb="53">
      <t>ゴウケイ</t>
    </rPh>
    <rPh sb="55" eb="57">
      <t>タンイ</t>
    </rPh>
    <rPh sb="58" eb="59">
      <t>スベ</t>
    </rPh>
    <phoneticPr fontId="1"/>
  </si>
  <si>
    <t>工学概論Ⅰa</t>
    <phoneticPr fontId="1"/>
  </si>
  <si>
    <t>工学概論Ⅰb</t>
    <phoneticPr fontId="1"/>
  </si>
  <si>
    <r>
      <rPr>
        <b/>
        <sz val="12"/>
        <color theme="1"/>
        <rFont val="ＭＳ Ｐゴシック"/>
        <family val="3"/>
        <charset val="128"/>
        <scheme val="minor"/>
      </rPr>
      <t>・情報セキュリティ：機密性、完全性、可用性
・匿名加工情報、暗号化、パスワード、悪意ある情報搾取</t>
    </r>
    <r>
      <rPr>
        <sz val="12"/>
        <color theme="1"/>
        <rFont val="ＭＳ Ｐゴシック"/>
        <family val="3"/>
        <charset val="128"/>
        <scheme val="minor"/>
      </rPr>
      <t xml:space="preserve">
　「工学概論Ⅰa」（２年３組：第９週、２年4・5組：第２週）情報社会におけるセキュリティ
　「工学概論Ⅰb」（２年１組：第９週、２年２組：第２週）情報社会におけるセキュリティ
　「情報処理Ⅰa」（第２週）ガイダンス (コンピュータとネットの有効利用)</t>
    </r>
    <phoneticPr fontId="1"/>
  </si>
  <si>
    <t>総合システム工学科 1年次</t>
    <rPh sb="0" eb="2">
      <t>ソウゴウ</t>
    </rPh>
    <rPh sb="6" eb="9">
      <t>コウガッカ</t>
    </rPh>
    <rPh sb="11" eb="13">
      <t>ネンジ</t>
    </rPh>
    <phoneticPr fontId="1"/>
  </si>
  <si>
    <t>総合システム工学科 2年次</t>
    <rPh sb="0" eb="2">
      <t>ソウゴウ</t>
    </rPh>
    <rPh sb="6" eb="9">
      <t>コウガッカ</t>
    </rPh>
    <rPh sb="11" eb="13">
      <t>ネンジ</t>
    </rPh>
    <phoneticPr fontId="1"/>
  </si>
  <si>
    <t>総合システム工学科　機械システムコース　3～5年</t>
    <rPh sb="10" eb="12">
      <t>キカイ</t>
    </rPh>
    <rPh sb="23" eb="24">
      <t>ネン</t>
    </rPh>
    <phoneticPr fontId="1"/>
  </si>
  <si>
    <t>総合システム工学科　電気電子コース　3～5年</t>
    <rPh sb="10" eb="14">
      <t>デンキデンシ</t>
    </rPh>
    <phoneticPr fontId="1"/>
  </si>
  <si>
    <t>総合システム工学科　制御情報コース　3～5年</t>
    <rPh sb="10" eb="14">
      <t>セイギョジョウホウ</t>
    </rPh>
    <phoneticPr fontId="1"/>
  </si>
  <si>
    <t>総合システム工学科　都市環境コース（土木系）　3～5年</t>
    <rPh sb="10" eb="14">
      <t>トシカンキョウ</t>
    </rPh>
    <rPh sb="18" eb="21">
      <t>ドボクケイ</t>
    </rPh>
    <phoneticPr fontId="1"/>
  </si>
  <si>
    <t>総合システム工学科　都市環境コース（建築系）　3～5年</t>
    <rPh sb="18" eb="20">
      <t>ケンチク</t>
    </rPh>
    <phoneticPr fontId="1"/>
  </si>
  <si>
    <t>※収容定員は実数です。</t>
    <rPh sb="1" eb="3">
      <t>シュウヨウ</t>
    </rPh>
    <rPh sb="3" eb="5">
      <t>テイイン</t>
    </rPh>
    <rPh sb="6" eb="8">
      <t>ジッスウ</t>
    </rPh>
    <phoneticPr fontId="1"/>
  </si>
  <si>
    <r>
      <rPr>
        <b/>
        <sz val="12"/>
        <color theme="1"/>
        <rFont val="ＭＳ Ｐゴシック"/>
        <family val="3"/>
        <charset val="128"/>
        <scheme val="minor"/>
      </rPr>
      <t>・特化型AIと汎用AI、今のAIで出来ることと出来ないこと、AIとビッグデータ</t>
    </r>
    <r>
      <rPr>
        <sz val="12"/>
        <color theme="1"/>
        <rFont val="ＭＳ Ｐゴシック"/>
        <family val="3"/>
        <charset val="128"/>
        <scheme val="minor"/>
      </rPr>
      <t xml:space="preserve">
　「情報処理Ⅰb」（第１１週）データ駆動型社会 (1)
</t>
    </r>
    <r>
      <rPr>
        <b/>
        <sz val="12"/>
        <color theme="1"/>
        <rFont val="ＭＳ Ｐゴシック"/>
        <family val="3"/>
        <charset val="128"/>
        <scheme val="minor"/>
      </rPr>
      <t>・認識技術、ルールベース、自動化技術</t>
    </r>
    <r>
      <rPr>
        <sz val="12"/>
        <color theme="1"/>
        <rFont val="ＭＳ Ｐゴシック"/>
        <family val="3"/>
        <charset val="128"/>
        <scheme val="minor"/>
      </rPr>
      <t xml:space="preserve">
　「工学実験・実習２」（第２週～第３０週、班分けによるローテイションで実施）
　数式処理　①数式処理ソフトによる数学の計算・グラフ作成、②データ処理とAI演習</t>
    </r>
    <rPh sb="42" eb="44">
      <t>ジョウホウ</t>
    </rPh>
    <rPh sb="44" eb="46">
      <t>ショリ</t>
    </rPh>
    <rPh sb="50" eb="51">
      <t>ダイ</t>
    </rPh>
    <rPh sb="53" eb="54">
      <t>シュウ</t>
    </rPh>
    <rPh sb="128" eb="130">
      <t>スウシキ</t>
    </rPh>
    <rPh sb="130" eb="132">
      <t>ショリ</t>
    </rPh>
    <phoneticPr fontId="1"/>
  </si>
  <si>
    <r>
      <rPr>
        <b/>
        <sz val="12"/>
        <color theme="1"/>
        <rFont val="ＭＳ Ｐゴシック"/>
        <family val="3"/>
        <charset val="128"/>
        <scheme val="minor"/>
      </rPr>
      <t>・データの種類（量的変数、質的変数）
・データの分布(ヒストグラム)と代表値（平均値、中央値、最頻値）
・代表値の性質の違い（実社会では平均値＝最頻値でないことが多い）
・データのばらつき（分散、標準偏差、偏差値）</t>
    </r>
    <r>
      <rPr>
        <sz val="12"/>
        <color theme="1"/>
        <rFont val="ＭＳ Ｐゴシック"/>
        <family val="3"/>
        <charset val="128"/>
        <scheme val="minor"/>
      </rPr>
      <t xml:space="preserve">
　「情報処理Ⅱa」（第３週）デジタル情報（特徴、数値・単位・文字の表し方）
　「情報処理Ⅱa」（第５週） 表計算の基礎①
　「情報処理Ⅱa」（第６週） 表計算の基礎②
　「情報処理Ⅱa」（第７週） 表計算関数の基礎①
　「情報処理Ⅱa」（第９週） 表計算関数の基礎②
</t>
    </r>
    <r>
      <rPr>
        <b/>
        <sz val="12"/>
        <color theme="1"/>
        <rFont val="ＭＳ Ｐゴシック"/>
        <family val="3"/>
        <charset val="128"/>
        <scheme val="minor"/>
      </rPr>
      <t>・観測データに含まれる誤差の扱い</t>
    </r>
    <r>
      <rPr>
        <sz val="12"/>
        <color theme="1"/>
        <rFont val="ＭＳ Ｐゴシック"/>
        <family val="3"/>
        <charset val="128"/>
        <scheme val="minor"/>
      </rPr>
      <t xml:space="preserve">
　「工学実験・実習２」（第２週～第３０週、班分けによるローテイションで実施）
　都市環境（土木系）　①液状化実験、②測量実習
</t>
    </r>
    <r>
      <rPr>
        <b/>
        <sz val="12"/>
        <color theme="1"/>
        <rFont val="ＭＳ Ｐゴシック"/>
        <family val="3"/>
        <charset val="128"/>
        <scheme val="minor"/>
      </rPr>
      <t>・統計情報の正しい理解（誇張表現に惑わされない）</t>
    </r>
    <r>
      <rPr>
        <sz val="12"/>
        <color theme="1"/>
        <rFont val="ＭＳ Ｐゴシック"/>
        <family val="3"/>
        <charset val="128"/>
        <scheme val="minor"/>
      </rPr>
      <t>　
　「情報処理Ⅰb」（第４週）ソフトウェアの利用 (表計算ソフトウェア) (4)、データ表現(棒グラフ、折れ線グラフ、散布図、ヒートマップ)、データの図表表現(チャート化)、不適切なグラフ表現(チャートジャンク、不必要な視覚的要素)</t>
    </r>
    <rPh sb="300" eb="302">
      <t>トシ</t>
    </rPh>
    <rPh sb="302" eb="304">
      <t>カンキョウ</t>
    </rPh>
    <rPh sb="305" eb="307">
      <t>ドボク</t>
    </rPh>
    <rPh sb="307" eb="308">
      <t>ケイ</t>
    </rPh>
    <phoneticPr fontId="1"/>
  </si>
  <si>
    <r>
      <rPr>
        <b/>
        <sz val="12"/>
        <color theme="1"/>
        <rFont val="ＭＳ Ｐゴシック"/>
        <family val="3"/>
        <charset val="128"/>
        <scheme val="minor"/>
      </rPr>
      <t>・データの集計（和、平均）
・データの並び替え、ランキング
・データ解析ツール（スプレッドシート）</t>
    </r>
    <r>
      <rPr>
        <sz val="12"/>
        <color theme="1"/>
        <rFont val="ＭＳ Ｐゴシック"/>
        <family val="3"/>
        <charset val="128"/>
        <scheme val="minor"/>
      </rPr>
      <t xml:space="preserve">
　「情報処理Ⅰb」（第１週）ソフトウェアの利用 (表計算ソフトウェア) (1)
　「情報処理Ⅰb」（第２週）ソフトウェアの利用 (表計算ソフトウェア) (2)
　「情報処理Ⅰb」（第３週）ソフトウェアの利用 (表計算ソフトウェア) (3)
　「情報処理Ⅰb」（第４週）ソフトウェアの利用 (表計算ソフトウェア) (4)
　「情報処理Ⅰb」（第５週）ソフトウェアの利用 (表計算ソフトウェア) (5)
　「情報処理Ⅰb」（第６週）ソフトウェアの利用 (表計算ソフトウェア) (6)
　「情報処理Ⅱa」（第５週）表計算の基礎①
　「情報処理Ⅱa」（第６週）表計算の基礎②
　「情報処理Ⅱa」（第７週）表計算関数の基礎①
　「情報処理Ⅱa」（第９週）表計算関数の基礎②
　「工学実験・実習２」（第２週～第３０週、班分けによるローテイションで実施）
　数式処理　①数式処理ソフトによる数学の計算・グラフ作成、②データ処理とAI演習
　情報　① Processingを使ったCGプログラミング ② データの統計、分析処理</t>
    </r>
    <rPh sb="100" eb="101">
      <t>ダイ</t>
    </rPh>
    <rPh sb="422" eb="424">
      <t>スウシキ</t>
    </rPh>
    <rPh sb="424" eb="426">
      <t>ショリ</t>
    </rPh>
    <rPh sb="463" eb="465">
      <t>ジョウホウ</t>
    </rPh>
    <phoneticPr fontId="1"/>
  </si>
  <si>
    <r>
      <rPr>
        <b/>
        <sz val="12"/>
        <color theme="1"/>
        <rFont val="ＭＳ Ｐゴシック"/>
        <family val="3"/>
        <charset val="128"/>
        <scheme val="minor"/>
      </rPr>
      <t>・AI等を活用した新しいビジネスモデル(シェアリングエコノミー、商品のレコメンデーションなど)
・AI最新技術の活用例（深層生成モデル、敵対的生成ネットワーク、強化学習、転移学習など）</t>
    </r>
    <r>
      <rPr>
        <sz val="12"/>
        <color theme="1"/>
        <rFont val="ＭＳ Ｐゴシック"/>
        <family val="3"/>
        <charset val="128"/>
        <scheme val="minor"/>
      </rPr>
      <t xml:space="preserve">
　「情報処理Ⅰb」（第１３週）データ科学・AIの利用と社会、データ・AIの活用領域と最新動向、人工知能、データ科学のビジネス機会と社会的課題、データや人間の知的活動を起点としたものの見方　
　「情報処理Ⅰb」（第１４週）問題演習 : データ駆動型社会、データ科学、ＡＩ</t>
    </r>
    <phoneticPr fontId="1"/>
  </si>
  <si>
    <r>
      <rPr>
        <b/>
        <sz val="12"/>
        <color theme="1"/>
        <rFont val="ＭＳ Ｐゴシック"/>
        <family val="3"/>
        <charset val="128"/>
        <scheme val="minor"/>
      </rPr>
      <t>・データ・AI活用領域の広がり(生産、消費、文化活動など)</t>
    </r>
    <r>
      <rPr>
        <sz val="12"/>
        <color theme="1"/>
        <rFont val="ＭＳ Ｐゴシック"/>
        <family val="3"/>
        <charset val="128"/>
        <scheme val="minor"/>
      </rPr>
      <t xml:space="preserve">
　「情報処理Ⅰb」（第１３週）データ科学・AIの利用と社会、データ・AIの活用領域と最新動向、人工知能、データ科学のビジネス機会と社会的課題、データや人間の知的活動を起点としたものの見方
</t>
    </r>
    <r>
      <rPr>
        <b/>
        <sz val="12"/>
        <color theme="1"/>
        <rFont val="ＭＳ Ｐゴシック"/>
        <family val="3"/>
        <charset val="128"/>
        <scheme val="minor"/>
      </rPr>
      <t>・仮説検証、知識発見、原因究明、計画策定、判断支援、活動代替、新規生成など</t>
    </r>
    <r>
      <rPr>
        <sz val="12"/>
        <color theme="1"/>
        <rFont val="ＭＳ Ｐゴシック"/>
        <family val="3"/>
        <charset val="128"/>
        <scheme val="minor"/>
      </rPr>
      <t xml:space="preserve">
　「工学実験・実習２」（第２週～第３０週、班分けによるローテイションで実施）
　物理　①自由落下による重力加速度の計測実験、②振り子運動による重力加速度の計測実験</t>
    </r>
    <rPh sb="203" eb="205">
      <t>ブツリ</t>
    </rPh>
    <phoneticPr fontId="1"/>
  </si>
  <si>
    <r>
      <rPr>
        <b/>
        <sz val="12"/>
        <color theme="1"/>
        <rFont val="ＭＳ Ｐゴシック"/>
        <family val="3"/>
        <charset val="128"/>
        <scheme val="minor"/>
      </rPr>
      <t>・流通、製造、金融、サービス、インフラ、公共、ヘルスケア等におけるデータ・AI利活用事例紹介</t>
    </r>
    <r>
      <rPr>
        <sz val="12"/>
        <color theme="1"/>
        <rFont val="ＭＳ Ｐゴシック"/>
        <family val="3"/>
        <charset val="128"/>
        <scheme val="minor"/>
      </rPr>
      <t xml:space="preserve">
　「情報処理Ⅰb」（第１３週）データ科学・AIの利用と社会、データ・AIの活用領域と最新動向、人工知能、データ科学のビジネス機会と社会的課題、データや人間の知的活動を起点としたものの見方
</t>
    </r>
    <r>
      <rPr>
        <b/>
        <sz val="12"/>
        <color theme="1"/>
        <rFont val="ＭＳ Ｐゴシック"/>
        <family val="3"/>
        <charset val="128"/>
        <scheme val="minor"/>
      </rPr>
      <t>・データサイエンスのサイクル、（課題抽出と定式化、データの取得・管理・加工、探索的データ解析、データ解析と推論、結果の共有・伝達、課題解決に向けた提案</t>
    </r>
    <r>
      <rPr>
        <sz val="12"/>
        <color theme="1"/>
        <rFont val="ＭＳ Ｐゴシック"/>
        <family val="3"/>
        <charset val="128"/>
        <scheme val="minor"/>
      </rPr>
      <t xml:space="preserve">
　「工学実験・実習２」（第２週～第３０週、班分けによるローテイションで実施）
　情報　① Processingを使ったCGプログラミング ② データの統計、分析処理</t>
    </r>
    <rPh sb="158" eb="162">
      <t>カダイチュウシュツ</t>
    </rPh>
    <rPh sb="163" eb="166">
      <t>テイシキカ</t>
    </rPh>
    <rPh sb="171" eb="173">
      <t>シュトク</t>
    </rPh>
    <rPh sb="174" eb="176">
      <t>カンリ</t>
    </rPh>
    <rPh sb="177" eb="179">
      <t>カコウ</t>
    </rPh>
    <rPh sb="258" eb="260">
      <t>ジョウホウ</t>
    </rPh>
    <phoneticPr fontId="1"/>
  </si>
  <si>
    <r>
      <rPr>
        <b/>
        <sz val="12"/>
        <color theme="1"/>
        <rFont val="ＭＳ Ｐゴシック"/>
        <family val="3"/>
        <charset val="128"/>
        <scheme val="minor"/>
      </rPr>
      <t>・データ表現（棒グラフ、折線グラフ、散布図、ヒートマップ）</t>
    </r>
    <r>
      <rPr>
        <sz val="12"/>
        <color theme="1"/>
        <rFont val="ＭＳ Ｐゴシック"/>
        <family val="3"/>
        <charset val="128"/>
        <scheme val="minor"/>
      </rPr>
      <t xml:space="preserve">
　「情報処理Ⅰb」（第４週）ソフトウェアの利用 (表計算ソフトウェア) (4)、データ表現(棒グラフ、折れ線グラフ、散布図、ヒートマップ)、データの図表表現(チャート化)、不適切なグラフ表現(チャートジャンク、不必要な視覚的要素)
　「情報処理Ⅱa」（第１０週）表計算によるグラフ作成①
　「情報処理Ⅱa」（第１１週）表計算によるグラフ作成②
　「工学実験・実習２」（第２週～第３０週、班分けによるローテイションで実施）
　数式処理　①数式処理ソフトによる数学の計算・グラフ作成、②データ処理とAI演習
</t>
    </r>
    <r>
      <rPr>
        <b/>
        <sz val="12"/>
        <color theme="1"/>
        <rFont val="ＭＳ Ｐゴシック"/>
        <family val="3"/>
        <charset val="128"/>
        <scheme val="minor"/>
      </rPr>
      <t>・データの図表表現（チャート化）
・不適切なグラフ表現（チャートジャンク、不必要な視覚的要素）</t>
    </r>
    <r>
      <rPr>
        <sz val="12"/>
        <color theme="1"/>
        <rFont val="ＭＳ Ｐゴシック"/>
        <family val="3"/>
        <charset val="128"/>
        <scheme val="minor"/>
      </rPr>
      <t xml:space="preserve">
　「情報処理Ⅰb」（第４週）ソフトウェアの利用 (表計算ソフトウェア) (4)、データ表現(棒グラフ、折れ線グラフ、散布図、ヒートマップ)、データの図表表現(チャート化)、不適切なグラフ表現(チャートジャンク、不必要な視覚的要素)
　「情報処理Ⅱa」（第１２週）表計算によるテーブル作成①
　「情報処理Ⅱa」（第１３週）表計算によるテーブル作成②</t>
    </r>
    <rPh sb="148" eb="150">
      <t>ジョウホウ</t>
    </rPh>
    <rPh sb="150" eb="152">
      <t>ショリ</t>
    </rPh>
    <rPh sb="156" eb="157">
      <t>ダイ</t>
    </rPh>
    <rPh sb="159" eb="160">
      <t>シュウ</t>
    </rPh>
    <rPh sb="184" eb="185">
      <t>ダイ</t>
    </rPh>
    <rPh sb="187" eb="188">
      <t>シュウ</t>
    </rPh>
    <phoneticPr fontId="1"/>
  </si>
  <si>
    <r>
      <rPr>
        <b/>
        <sz val="12"/>
        <color theme="1"/>
        <rFont val="ＭＳ Ｐゴシック"/>
        <family val="3"/>
        <charset val="128"/>
        <scheme val="minor"/>
      </rPr>
      <t>・ビッグデータ、IoT、AI、ロボット
・人間の知的活動とAIの関係性</t>
    </r>
    <r>
      <rPr>
        <sz val="12"/>
        <color theme="1"/>
        <rFont val="ＭＳ Ｐゴシック"/>
        <family val="3"/>
        <charset val="128"/>
        <scheme val="minor"/>
      </rPr>
      <t xml:space="preserve">
　「情報処理Ⅰb」（第１１週）データ駆動型社会 (1)
</t>
    </r>
    <r>
      <rPr>
        <b/>
        <sz val="12"/>
        <color theme="1"/>
        <rFont val="ＭＳ Ｐゴシック"/>
        <family val="3"/>
        <charset val="128"/>
        <scheme val="minor"/>
      </rPr>
      <t>・第4次産業革命、Society 5.0、データ駆動型社会</t>
    </r>
    <r>
      <rPr>
        <sz val="12"/>
        <color theme="1"/>
        <rFont val="ＭＳ Ｐゴシック"/>
        <family val="3"/>
        <charset val="128"/>
        <scheme val="minor"/>
      </rPr>
      <t xml:space="preserve">
　「情報処理Ⅰb」（第１１週）データ駆動型社会 (1)
　「情報処理Ⅰb」（第１２週）データ駆動型社会 (2)
</t>
    </r>
    <r>
      <rPr>
        <b/>
        <sz val="12"/>
        <color theme="1"/>
        <rFont val="ＭＳ Ｐゴシック"/>
        <family val="3"/>
        <charset val="128"/>
        <scheme val="minor"/>
      </rPr>
      <t>・データを起点としたものの見方、人間の知的活動を起点としたものの見方</t>
    </r>
    <r>
      <rPr>
        <sz val="12"/>
        <color theme="1"/>
        <rFont val="ＭＳ Ｐゴシック"/>
        <family val="3"/>
        <charset val="128"/>
        <scheme val="minor"/>
      </rPr>
      <t xml:space="preserve">
　「情報処理Ⅰb」（第１３週）データ科学・AIの利用と社会、データ・AIの活用領域と最新動向、人工知能、データ科学のビジネス機会と社会的課題、データや人間の知的活動を起点としたものの見方</t>
    </r>
    <rPh sb="108" eb="109">
      <t>シュウ</t>
    </rPh>
    <rPh sb="133" eb="134">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</si>
</sst>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b/>
      <sz val="12"/>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3" xfId="0" applyFont="1" applyBorder="1" applyAlignment="1">
      <alignment horizontal="center"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5" zoomScaleNormal="100" zoomScaleSheetLayoutView="100" workbookViewId="0">
      <selection activeCell="U99" sqref="U9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00" t="s">
        <v>12</v>
      </c>
      <c r="S1" s="100"/>
      <c r="T1" s="2" t="s">
        <v>110</v>
      </c>
    </row>
    <row r="2" spans="1:22" ht="18.75" customHeight="1" x14ac:dyDescent="0.15">
      <c r="B2" s="34" t="s">
        <v>109</v>
      </c>
      <c r="C2" s="93" t="s">
        <v>127</v>
      </c>
      <c r="D2" s="94"/>
      <c r="E2" s="94"/>
      <c r="F2" s="94"/>
      <c r="G2" s="94"/>
      <c r="H2" s="94"/>
      <c r="I2" s="95"/>
      <c r="J2" s="35"/>
      <c r="K2" s="6"/>
      <c r="L2" s="6"/>
      <c r="M2" s="6"/>
      <c r="N2" s="6"/>
      <c r="O2" s="6"/>
      <c r="P2" s="6"/>
      <c r="Q2" s="6"/>
      <c r="R2" s="6"/>
      <c r="S2" s="6"/>
    </row>
    <row r="3" spans="1:22" ht="18.75" customHeight="1" x14ac:dyDescent="0.15">
      <c r="B3" s="34" t="s">
        <v>103</v>
      </c>
      <c r="C3" s="93" t="s">
        <v>128</v>
      </c>
      <c r="D3" s="94"/>
      <c r="E3" s="94"/>
      <c r="F3" s="94"/>
      <c r="G3" s="94"/>
      <c r="H3" s="94"/>
      <c r="I3" s="95"/>
      <c r="J3" s="35"/>
      <c r="K3" s="6"/>
      <c r="L3" s="6"/>
      <c r="M3" s="6"/>
      <c r="N3" s="6"/>
      <c r="O3" s="6"/>
      <c r="P3" s="6"/>
      <c r="Q3" s="6"/>
      <c r="R3" s="6"/>
      <c r="S3" s="6"/>
    </row>
    <row r="4" spans="1:22" ht="15" customHeight="1" x14ac:dyDescent="0.15">
      <c r="K4" s="35"/>
      <c r="L4" s="36"/>
      <c r="M4" s="36"/>
      <c r="N4" s="36"/>
      <c r="O4" s="36"/>
      <c r="P4" s="36"/>
      <c r="Q4" s="36"/>
      <c r="R4" s="36"/>
      <c r="S4" s="36"/>
    </row>
    <row r="5" spans="1:22" ht="18" customHeight="1" x14ac:dyDescent="0.15">
      <c r="A5" s="104" t="s">
        <v>39</v>
      </c>
      <c r="B5" s="104"/>
      <c r="C5" s="104"/>
      <c r="D5" s="104"/>
      <c r="E5" s="104"/>
      <c r="F5" s="104"/>
      <c r="G5" s="104"/>
      <c r="H5" s="104"/>
      <c r="I5" s="104"/>
      <c r="J5" s="104"/>
      <c r="K5" s="104"/>
      <c r="L5" s="104"/>
      <c r="M5" s="104"/>
      <c r="N5" s="104"/>
      <c r="O5" s="104"/>
      <c r="P5" s="104"/>
      <c r="Q5" s="104"/>
      <c r="R5" s="104"/>
      <c r="S5" s="104"/>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14" t="s">
        <v>129</v>
      </c>
      <c r="L7" s="115"/>
      <c r="M7" s="115"/>
      <c r="N7" s="115"/>
      <c r="O7" s="115"/>
      <c r="P7" s="115"/>
      <c r="Q7" s="115"/>
      <c r="R7" s="115"/>
      <c r="S7" s="116"/>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81"/>
      <c r="C9" s="82"/>
      <c r="D9" s="82"/>
      <c r="E9" s="82"/>
      <c r="F9" s="82"/>
      <c r="G9" s="82"/>
      <c r="H9" s="82"/>
      <c r="I9" s="82"/>
      <c r="J9" s="82"/>
      <c r="K9" s="82"/>
      <c r="L9" s="82"/>
      <c r="M9" s="82"/>
      <c r="N9" s="82"/>
      <c r="O9" s="82"/>
      <c r="P9" s="82"/>
      <c r="Q9" s="82"/>
      <c r="R9" s="82"/>
      <c r="S9" s="83"/>
    </row>
    <row r="10" spans="1:22" ht="18" customHeight="1" x14ac:dyDescent="0.15">
      <c r="B10" s="84"/>
      <c r="C10" s="85"/>
      <c r="D10" s="85"/>
      <c r="E10" s="85"/>
      <c r="F10" s="85"/>
      <c r="G10" s="85"/>
      <c r="H10" s="85"/>
      <c r="I10" s="85"/>
      <c r="J10" s="85"/>
      <c r="K10" s="85"/>
      <c r="L10" s="85"/>
      <c r="M10" s="85"/>
      <c r="N10" s="85"/>
      <c r="O10" s="85"/>
      <c r="P10" s="85"/>
      <c r="Q10" s="85"/>
      <c r="R10" s="85"/>
      <c r="S10" s="86"/>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8"/>
      <c r="L12" s="38"/>
      <c r="M12" s="38"/>
      <c r="N12" s="38"/>
      <c r="O12" s="38"/>
      <c r="P12" s="38"/>
      <c r="Q12" s="38"/>
      <c r="R12" s="38"/>
      <c r="S12" s="38"/>
    </row>
    <row r="13" spans="1:22" ht="18" customHeight="1" x14ac:dyDescent="0.15">
      <c r="B13" s="105" t="s">
        <v>167</v>
      </c>
      <c r="C13" s="106"/>
      <c r="D13" s="106"/>
      <c r="E13" s="106"/>
      <c r="F13" s="106"/>
      <c r="G13" s="106"/>
      <c r="H13" s="106"/>
      <c r="I13" s="106"/>
      <c r="J13" s="106"/>
      <c r="K13" s="106"/>
      <c r="L13" s="106"/>
      <c r="M13" s="106"/>
      <c r="N13" s="106"/>
      <c r="O13" s="106"/>
      <c r="P13" s="106"/>
      <c r="Q13" s="106"/>
      <c r="R13" s="106"/>
      <c r="S13" s="107"/>
      <c r="V13" s="1" t="s">
        <v>104</v>
      </c>
    </row>
    <row r="14" spans="1:22" ht="18" customHeight="1" x14ac:dyDescent="0.15">
      <c r="B14" s="108"/>
      <c r="C14" s="109"/>
      <c r="D14" s="109"/>
      <c r="E14" s="109"/>
      <c r="F14" s="109"/>
      <c r="G14" s="109"/>
      <c r="H14" s="109"/>
      <c r="I14" s="109"/>
      <c r="J14" s="109"/>
      <c r="K14" s="109"/>
      <c r="L14" s="109"/>
      <c r="M14" s="109"/>
      <c r="N14" s="109"/>
      <c r="O14" s="109"/>
      <c r="P14" s="109"/>
      <c r="Q14" s="109"/>
      <c r="R14" s="109"/>
      <c r="S14" s="110"/>
      <c r="V14" s="1" t="s">
        <v>111</v>
      </c>
    </row>
    <row r="15" spans="1:22" ht="18" customHeight="1" x14ac:dyDescent="0.15">
      <c r="B15" s="108"/>
      <c r="C15" s="109"/>
      <c r="D15" s="109"/>
      <c r="E15" s="109"/>
      <c r="F15" s="109"/>
      <c r="G15" s="109"/>
      <c r="H15" s="109"/>
      <c r="I15" s="109"/>
      <c r="J15" s="109"/>
      <c r="K15" s="109"/>
      <c r="L15" s="109"/>
      <c r="M15" s="109"/>
      <c r="N15" s="109"/>
      <c r="O15" s="109"/>
      <c r="P15" s="109"/>
      <c r="Q15" s="109"/>
      <c r="R15" s="109"/>
      <c r="S15" s="110"/>
      <c r="V15" s="1" t="s">
        <v>124</v>
      </c>
    </row>
    <row r="16" spans="1:22" ht="18" customHeight="1" x14ac:dyDescent="0.15">
      <c r="B16" s="108"/>
      <c r="C16" s="109"/>
      <c r="D16" s="109"/>
      <c r="E16" s="109"/>
      <c r="F16" s="109"/>
      <c r="G16" s="109"/>
      <c r="H16" s="109"/>
      <c r="I16" s="109"/>
      <c r="J16" s="109"/>
      <c r="K16" s="109"/>
      <c r="L16" s="109"/>
      <c r="M16" s="109"/>
      <c r="N16" s="109"/>
      <c r="O16" s="109"/>
      <c r="P16" s="109"/>
      <c r="Q16" s="109"/>
      <c r="R16" s="109"/>
      <c r="S16" s="110"/>
      <c r="V16" s="1" t="s">
        <v>126</v>
      </c>
    </row>
    <row r="17" spans="1:19" ht="18" customHeight="1" x14ac:dyDescent="0.15">
      <c r="B17" s="108"/>
      <c r="C17" s="109"/>
      <c r="D17" s="109"/>
      <c r="E17" s="109"/>
      <c r="F17" s="109"/>
      <c r="G17" s="109"/>
      <c r="H17" s="109"/>
      <c r="I17" s="109"/>
      <c r="J17" s="109"/>
      <c r="K17" s="109"/>
      <c r="L17" s="109"/>
      <c r="M17" s="109"/>
      <c r="N17" s="109"/>
      <c r="O17" s="109"/>
      <c r="P17" s="109"/>
      <c r="Q17" s="109"/>
      <c r="R17" s="109"/>
      <c r="S17" s="110"/>
    </row>
    <row r="18" spans="1:19" ht="18" customHeight="1" x14ac:dyDescent="0.15">
      <c r="B18" s="111"/>
      <c r="C18" s="112"/>
      <c r="D18" s="112"/>
      <c r="E18" s="112"/>
      <c r="F18" s="112"/>
      <c r="G18" s="112"/>
      <c r="H18" s="112"/>
      <c r="I18" s="112"/>
      <c r="J18" s="112"/>
      <c r="K18" s="112"/>
      <c r="L18" s="112"/>
      <c r="M18" s="112"/>
      <c r="N18" s="112"/>
      <c r="O18" s="112"/>
      <c r="P18" s="112"/>
      <c r="Q18" s="112"/>
      <c r="R18" s="112"/>
      <c r="S18" s="11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3">
        <v>10</v>
      </c>
      <c r="D20" s="95"/>
      <c r="E20" s="39" t="s">
        <v>96</v>
      </c>
      <c r="G20" s="10"/>
      <c r="H20" s="3"/>
      <c r="I20" s="3"/>
      <c r="J20" s="35" t="s">
        <v>122</v>
      </c>
      <c r="K20" s="101" t="s">
        <v>111</v>
      </c>
      <c r="L20" s="102"/>
      <c r="M20" s="102"/>
      <c r="N20" s="102"/>
      <c r="O20" s="102"/>
      <c r="P20" s="102"/>
      <c r="Q20" s="102"/>
      <c r="R20" s="102"/>
      <c r="S20" s="103"/>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6" t="s">
        <v>114</v>
      </c>
      <c r="B22" s="96"/>
      <c r="C22" s="96"/>
      <c r="D22" s="96"/>
      <c r="E22" s="96"/>
      <c r="F22" s="96"/>
      <c r="G22" s="96"/>
      <c r="H22" s="96"/>
      <c r="I22" s="96"/>
      <c r="J22" s="96"/>
      <c r="K22" s="96"/>
      <c r="L22" s="96"/>
      <c r="M22" s="96"/>
      <c r="N22" s="96"/>
      <c r="O22" s="96"/>
      <c r="P22" s="96"/>
      <c r="Q22" s="96"/>
      <c r="R22" s="96"/>
      <c r="S22" s="96"/>
    </row>
    <row r="23" spans="1:19" ht="18" customHeight="1" x14ac:dyDescent="0.15">
      <c r="A23" s="96"/>
      <c r="B23" s="96"/>
      <c r="C23" s="96"/>
      <c r="D23" s="96"/>
      <c r="E23" s="96"/>
      <c r="F23" s="96"/>
      <c r="G23" s="96"/>
      <c r="H23" s="96"/>
      <c r="I23" s="96"/>
      <c r="J23" s="96"/>
      <c r="K23" s="96"/>
      <c r="L23" s="96"/>
      <c r="M23" s="96"/>
      <c r="N23" s="96"/>
      <c r="O23" s="96"/>
      <c r="P23" s="96"/>
      <c r="Q23" s="96"/>
      <c r="R23" s="96"/>
      <c r="S23" s="96"/>
    </row>
    <row r="24" spans="1:19" ht="18" customHeight="1" x14ac:dyDescent="0.15">
      <c r="B24" s="93" t="s">
        <v>54</v>
      </c>
      <c r="C24" s="94"/>
      <c r="D24" s="94"/>
      <c r="E24" s="95"/>
      <c r="F24" s="60" t="s">
        <v>81</v>
      </c>
      <c r="G24" s="59" t="s">
        <v>85</v>
      </c>
      <c r="H24" s="22" t="s">
        <v>57</v>
      </c>
      <c r="I24" s="22" t="s">
        <v>60</v>
      </c>
      <c r="J24" s="93" t="s">
        <v>54</v>
      </c>
      <c r="K24" s="94"/>
      <c r="L24" s="94"/>
      <c r="M24" s="94"/>
      <c r="N24" s="94"/>
      <c r="O24" s="95"/>
      <c r="P24" s="60" t="s">
        <v>81</v>
      </c>
      <c r="Q24" s="59" t="s">
        <v>85</v>
      </c>
      <c r="R24" s="22" t="s">
        <v>57</v>
      </c>
      <c r="S24" s="22" t="s">
        <v>60</v>
      </c>
    </row>
    <row r="25" spans="1:19" ht="18" customHeight="1" x14ac:dyDescent="0.15">
      <c r="B25" s="97" t="s">
        <v>165</v>
      </c>
      <c r="C25" s="98"/>
      <c r="D25" s="98"/>
      <c r="E25" s="99"/>
      <c r="F25" s="23">
        <v>1</v>
      </c>
      <c r="G25" s="23" t="s">
        <v>130</v>
      </c>
      <c r="H25" s="23" t="s">
        <v>130</v>
      </c>
      <c r="I25" s="23" t="s">
        <v>130</v>
      </c>
      <c r="J25" s="97"/>
      <c r="K25" s="98"/>
      <c r="L25" s="98"/>
      <c r="M25" s="98"/>
      <c r="N25" s="98"/>
      <c r="O25" s="99"/>
      <c r="P25" s="23"/>
      <c r="Q25" s="23"/>
      <c r="R25" s="23"/>
      <c r="S25" s="23"/>
    </row>
    <row r="26" spans="1:19" ht="18" customHeight="1" x14ac:dyDescent="0.15">
      <c r="B26" s="87"/>
      <c r="C26" s="88"/>
      <c r="D26" s="88"/>
      <c r="E26" s="89"/>
      <c r="F26" s="24"/>
      <c r="G26" s="24"/>
      <c r="H26" s="24"/>
      <c r="I26" s="24"/>
      <c r="J26" s="87"/>
      <c r="K26" s="88"/>
      <c r="L26" s="88"/>
      <c r="M26" s="88"/>
      <c r="N26" s="88"/>
      <c r="O26" s="89"/>
      <c r="P26" s="24"/>
      <c r="Q26" s="24"/>
      <c r="R26" s="24"/>
      <c r="S26" s="24"/>
    </row>
    <row r="27" spans="1:19" ht="18" customHeight="1" x14ac:dyDescent="0.15">
      <c r="B27" s="87"/>
      <c r="C27" s="88"/>
      <c r="D27" s="88"/>
      <c r="E27" s="89"/>
      <c r="F27" s="24"/>
      <c r="G27" s="24"/>
      <c r="H27" s="24"/>
      <c r="I27" s="24"/>
      <c r="J27" s="87"/>
      <c r="K27" s="88"/>
      <c r="L27" s="88"/>
      <c r="M27" s="88"/>
      <c r="N27" s="88"/>
      <c r="O27" s="89"/>
      <c r="P27" s="24"/>
      <c r="Q27" s="24"/>
      <c r="R27" s="24"/>
      <c r="S27" s="24"/>
    </row>
    <row r="28" spans="1:19" ht="18" customHeight="1" x14ac:dyDescent="0.15">
      <c r="B28" s="87"/>
      <c r="C28" s="88"/>
      <c r="D28" s="88"/>
      <c r="E28" s="89"/>
      <c r="F28" s="24"/>
      <c r="G28" s="24"/>
      <c r="H28" s="24"/>
      <c r="I28" s="24"/>
      <c r="J28" s="87"/>
      <c r="K28" s="88"/>
      <c r="L28" s="88"/>
      <c r="M28" s="88"/>
      <c r="N28" s="88"/>
      <c r="O28" s="89"/>
      <c r="P28" s="24"/>
      <c r="Q28" s="24"/>
      <c r="R28" s="24"/>
      <c r="S28" s="24"/>
    </row>
    <row r="29" spans="1:19" ht="18" customHeight="1" x14ac:dyDescent="0.15">
      <c r="B29" s="87"/>
      <c r="C29" s="88"/>
      <c r="D29" s="88"/>
      <c r="E29" s="89"/>
      <c r="F29" s="24"/>
      <c r="G29" s="24"/>
      <c r="H29" s="24"/>
      <c r="I29" s="24"/>
      <c r="J29" s="87"/>
      <c r="K29" s="88"/>
      <c r="L29" s="88"/>
      <c r="M29" s="88"/>
      <c r="N29" s="88"/>
      <c r="O29" s="89"/>
      <c r="P29" s="24"/>
      <c r="Q29" s="24"/>
      <c r="R29" s="24"/>
      <c r="S29" s="24"/>
    </row>
    <row r="30" spans="1:19" ht="18" customHeight="1" x14ac:dyDescent="0.15">
      <c r="A30" s="3"/>
      <c r="B30" s="87"/>
      <c r="C30" s="88"/>
      <c r="D30" s="88"/>
      <c r="E30" s="89"/>
      <c r="F30" s="24"/>
      <c r="G30" s="24"/>
      <c r="H30" s="24"/>
      <c r="I30" s="24"/>
      <c r="J30" s="87"/>
      <c r="K30" s="88"/>
      <c r="L30" s="88"/>
      <c r="M30" s="88"/>
      <c r="N30" s="88"/>
      <c r="O30" s="89"/>
      <c r="P30" s="24"/>
      <c r="Q30" s="24"/>
      <c r="R30" s="24"/>
      <c r="S30" s="24"/>
    </row>
    <row r="31" spans="1:19" ht="18" customHeight="1" x14ac:dyDescent="0.15">
      <c r="A31" s="3"/>
      <c r="B31" s="90"/>
      <c r="C31" s="91"/>
      <c r="D31" s="91"/>
      <c r="E31" s="92"/>
      <c r="F31" s="25"/>
      <c r="G31" s="25"/>
      <c r="H31" s="26"/>
      <c r="I31" s="26"/>
      <c r="J31" s="90"/>
      <c r="K31" s="91"/>
      <c r="L31" s="91"/>
      <c r="M31" s="91"/>
      <c r="N31" s="91"/>
      <c r="O31" s="92"/>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6" t="s">
        <v>115</v>
      </c>
      <c r="B33" s="96"/>
      <c r="C33" s="96"/>
      <c r="D33" s="96"/>
      <c r="E33" s="96"/>
      <c r="F33" s="96"/>
      <c r="G33" s="96"/>
      <c r="H33" s="96"/>
      <c r="I33" s="96"/>
      <c r="J33" s="96"/>
      <c r="K33" s="96"/>
      <c r="L33" s="96"/>
      <c r="M33" s="96"/>
      <c r="N33" s="96"/>
      <c r="O33" s="96"/>
      <c r="P33" s="96"/>
      <c r="Q33" s="96"/>
      <c r="R33" s="96"/>
      <c r="S33" s="96"/>
    </row>
    <row r="34" spans="1:19" ht="18" customHeight="1" x14ac:dyDescent="0.15">
      <c r="A34" s="96"/>
      <c r="B34" s="96"/>
      <c r="C34" s="96"/>
      <c r="D34" s="96"/>
      <c r="E34" s="96"/>
      <c r="F34" s="96"/>
      <c r="G34" s="96"/>
      <c r="H34" s="96"/>
      <c r="I34" s="96"/>
      <c r="J34" s="96"/>
      <c r="K34" s="96"/>
      <c r="L34" s="96"/>
      <c r="M34" s="96"/>
      <c r="N34" s="96"/>
      <c r="O34" s="96"/>
      <c r="P34" s="96"/>
      <c r="Q34" s="96"/>
      <c r="R34" s="96"/>
      <c r="S34" s="96"/>
    </row>
    <row r="35" spans="1:19" ht="18" customHeight="1" x14ac:dyDescent="0.15">
      <c r="B35" s="93" t="s">
        <v>54</v>
      </c>
      <c r="C35" s="94"/>
      <c r="D35" s="94"/>
      <c r="E35" s="95"/>
      <c r="F35" s="60" t="s">
        <v>81</v>
      </c>
      <c r="G35" s="59" t="s">
        <v>85</v>
      </c>
      <c r="H35" s="22" t="s">
        <v>72</v>
      </c>
      <c r="I35" s="22" t="s">
        <v>73</v>
      </c>
      <c r="J35" s="93" t="s">
        <v>54</v>
      </c>
      <c r="K35" s="94"/>
      <c r="L35" s="94"/>
      <c r="M35" s="94"/>
      <c r="N35" s="94"/>
      <c r="O35" s="95"/>
      <c r="P35" s="60" t="s">
        <v>81</v>
      </c>
      <c r="Q35" s="59" t="s">
        <v>85</v>
      </c>
      <c r="R35" s="22" t="s">
        <v>72</v>
      </c>
      <c r="S35" s="22" t="s">
        <v>73</v>
      </c>
    </row>
    <row r="36" spans="1:19" ht="18" customHeight="1" x14ac:dyDescent="0.15">
      <c r="B36" s="97" t="s">
        <v>166</v>
      </c>
      <c r="C36" s="98"/>
      <c r="D36" s="98"/>
      <c r="E36" s="99"/>
      <c r="F36" s="23">
        <v>1</v>
      </c>
      <c r="G36" s="23" t="s">
        <v>130</v>
      </c>
      <c r="H36" s="23"/>
      <c r="I36" s="23" t="s">
        <v>130</v>
      </c>
      <c r="J36" s="97"/>
      <c r="K36" s="98"/>
      <c r="L36" s="98"/>
      <c r="M36" s="98"/>
      <c r="N36" s="98"/>
      <c r="O36" s="99"/>
      <c r="P36" s="23"/>
      <c r="Q36" s="23"/>
      <c r="R36" s="23"/>
      <c r="S36" s="23"/>
    </row>
    <row r="37" spans="1:19" ht="18" customHeight="1" x14ac:dyDescent="0.15">
      <c r="B37" s="87" t="s">
        <v>163</v>
      </c>
      <c r="C37" s="88"/>
      <c r="D37" s="88"/>
      <c r="E37" s="89"/>
      <c r="F37" s="24">
        <v>1</v>
      </c>
      <c r="G37" s="24" t="s">
        <v>130</v>
      </c>
      <c r="H37" s="24" t="s">
        <v>130</v>
      </c>
      <c r="I37" s="24"/>
      <c r="J37" s="87"/>
      <c r="K37" s="88"/>
      <c r="L37" s="88"/>
      <c r="M37" s="88"/>
      <c r="N37" s="88"/>
      <c r="O37" s="89"/>
      <c r="P37" s="24"/>
      <c r="Q37" s="24"/>
      <c r="R37" s="24"/>
      <c r="S37" s="24"/>
    </row>
    <row r="38" spans="1:19" ht="18" customHeight="1" x14ac:dyDescent="0.15">
      <c r="B38" s="87" t="s">
        <v>160</v>
      </c>
      <c r="C38" s="88"/>
      <c r="D38" s="88"/>
      <c r="E38" s="89"/>
      <c r="F38" s="24">
        <v>4</v>
      </c>
      <c r="G38" s="24" t="s">
        <v>130</v>
      </c>
      <c r="H38" s="24"/>
      <c r="I38" s="24" t="s">
        <v>130</v>
      </c>
      <c r="J38" s="87"/>
      <c r="K38" s="88"/>
      <c r="L38" s="88"/>
      <c r="M38" s="88"/>
      <c r="N38" s="88"/>
      <c r="O38" s="89"/>
      <c r="P38" s="24"/>
      <c r="Q38" s="24"/>
      <c r="R38" s="24"/>
      <c r="S38" s="24"/>
    </row>
    <row r="39" spans="1:19" ht="18" customHeight="1" x14ac:dyDescent="0.15">
      <c r="B39" s="87"/>
      <c r="C39" s="88"/>
      <c r="D39" s="88"/>
      <c r="E39" s="89"/>
      <c r="F39" s="24"/>
      <c r="G39" s="24"/>
      <c r="H39" s="24"/>
      <c r="I39" s="24"/>
      <c r="J39" s="87"/>
      <c r="K39" s="88"/>
      <c r="L39" s="88"/>
      <c r="M39" s="88"/>
      <c r="N39" s="88"/>
      <c r="O39" s="89"/>
      <c r="P39" s="24"/>
      <c r="Q39" s="24"/>
      <c r="R39" s="24"/>
      <c r="S39" s="24"/>
    </row>
    <row r="40" spans="1:19" ht="18" customHeight="1" x14ac:dyDescent="0.15">
      <c r="B40" s="87"/>
      <c r="C40" s="88"/>
      <c r="D40" s="88"/>
      <c r="E40" s="89"/>
      <c r="F40" s="24"/>
      <c r="G40" s="24"/>
      <c r="H40" s="24"/>
      <c r="I40" s="24"/>
      <c r="J40" s="87"/>
      <c r="K40" s="88"/>
      <c r="L40" s="88"/>
      <c r="M40" s="88"/>
      <c r="N40" s="88"/>
      <c r="O40" s="89"/>
      <c r="P40" s="24"/>
      <c r="Q40" s="24"/>
      <c r="R40" s="24"/>
      <c r="S40" s="24"/>
    </row>
    <row r="41" spans="1:19" ht="18" customHeight="1" x14ac:dyDescent="0.15">
      <c r="B41" s="87"/>
      <c r="C41" s="88"/>
      <c r="D41" s="88"/>
      <c r="E41" s="89"/>
      <c r="F41" s="24"/>
      <c r="G41" s="24"/>
      <c r="H41" s="24"/>
      <c r="I41" s="24"/>
      <c r="J41" s="87"/>
      <c r="K41" s="88"/>
      <c r="L41" s="88"/>
      <c r="M41" s="88"/>
      <c r="N41" s="88"/>
      <c r="O41" s="89"/>
      <c r="P41" s="24"/>
      <c r="Q41" s="24"/>
      <c r="R41" s="24"/>
      <c r="S41" s="24"/>
    </row>
    <row r="42" spans="1:19" ht="18" customHeight="1" x14ac:dyDescent="0.15">
      <c r="B42" s="90"/>
      <c r="C42" s="91"/>
      <c r="D42" s="91"/>
      <c r="E42" s="92"/>
      <c r="F42" s="25"/>
      <c r="G42" s="25"/>
      <c r="H42" s="26"/>
      <c r="I42" s="26"/>
      <c r="J42" s="90"/>
      <c r="K42" s="91"/>
      <c r="L42" s="91"/>
      <c r="M42" s="91"/>
      <c r="N42" s="91"/>
      <c r="O42" s="92"/>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6" t="s">
        <v>116</v>
      </c>
      <c r="B44" s="96"/>
      <c r="C44" s="96"/>
      <c r="D44" s="96"/>
      <c r="E44" s="96"/>
      <c r="F44" s="96"/>
      <c r="G44" s="96"/>
      <c r="H44" s="96"/>
      <c r="I44" s="96"/>
      <c r="J44" s="96"/>
      <c r="K44" s="96"/>
      <c r="L44" s="96"/>
      <c r="M44" s="96"/>
      <c r="N44" s="96"/>
      <c r="O44" s="96"/>
      <c r="P44" s="96"/>
      <c r="Q44" s="96"/>
      <c r="R44" s="96"/>
      <c r="S44" s="96"/>
    </row>
    <row r="45" spans="1:19" ht="18" customHeight="1" x14ac:dyDescent="0.15">
      <c r="A45" s="96"/>
      <c r="B45" s="96"/>
      <c r="C45" s="96"/>
      <c r="D45" s="96"/>
      <c r="E45" s="96"/>
      <c r="F45" s="96"/>
      <c r="G45" s="96"/>
      <c r="H45" s="96"/>
      <c r="I45" s="96"/>
      <c r="J45" s="96"/>
      <c r="K45" s="96"/>
      <c r="L45" s="96"/>
      <c r="M45" s="96"/>
      <c r="N45" s="96"/>
      <c r="O45" s="96"/>
      <c r="P45" s="96"/>
      <c r="Q45" s="96"/>
      <c r="R45" s="96"/>
      <c r="S45" s="96"/>
    </row>
    <row r="46" spans="1:19" ht="18" customHeight="1" x14ac:dyDescent="0.15">
      <c r="B46" s="93" t="s">
        <v>54</v>
      </c>
      <c r="C46" s="94"/>
      <c r="D46" s="94"/>
      <c r="E46" s="95"/>
      <c r="F46" s="60" t="s">
        <v>81</v>
      </c>
      <c r="G46" s="59" t="s">
        <v>85</v>
      </c>
      <c r="H46" s="22" t="s">
        <v>74</v>
      </c>
      <c r="I46" s="22" t="s">
        <v>75</v>
      </c>
      <c r="J46" s="93" t="s">
        <v>54</v>
      </c>
      <c r="K46" s="94"/>
      <c r="L46" s="94"/>
      <c r="M46" s="94"/>
      <c r="N46" s="94"/>
      <c r="O46" s="95"/>
      <c r="P46" s="60" t="s">
        <v>81</v>
      </c>
      <c r="Q46" s="59" t="s">
        <v>85</v>
      </c>
      <c r="R46" s="22" t="s">
        <v>74</v>
      </c>
      <c r="S46" s="22" t="s">
        <v>75</v>
      </c>
    </row>
    <row r="47" spans="1:19" ht="18" customHeight="1" x14ac:dyDescent="0.15">
      <c r="A47" s="3"/>
      <c r="B47" s="97" t="s">
        <v>166</v>
      </c>
      <c r="C47" s="98"/>
      <c r="D47" s="98"/>
      <c r="E47" s="99"/>
      <c r="F47" s="23">
        <v>1</v>
      </c>
      <c r="G47" s="23" t="s">
        <v>130</v>
      </c>
      <c r="H47" s="23" t="s">
        <v>130</v>
      </c>
      <c r="I47" s="23" t="s">
        <v>130</v>
      </c>
      <c r="J47" s="97"/>
      <c r="K47" s="98"/>
      <c r="L47" s="98"/>
      <c r="M47" s="98"/>
      <c r="N47" s="98"/>
      <c r="O47" s="99"/>
      <c r="P47" s="23"/>
      <c r="Q47" s="23"/>
      <c r="R47" s="23"/>
      <c r="S47" s="23"/>
    </row>
    <row r="48" spans="1:19" ht="18" customHeight="1" x14ac:dyDescent="0.15">
      <c r="A48" s="3"/>
      <c r="B48" s="87" t="s">
        <v>160</v>
      </c>
      <c r="C48" s="88"/>
      <c r="D48" s="88"/>
      <c r="E48" s="89"/>
      <c r="F48" s="24">
        <v>4</v>
      </c>
      <c r="G48" s="24" t="s">
        <v>130</v>
      </c>
      <c r="H48" s="24" t="s">
        <v>130</v>
      </c>
      <c r="I48" s="24" t="s">
        <v>130</v>
      </c>
      <c r="J48" s="87"/>
      <c r="K48" s="88"/>
      <c r="L48" s="88"/>
      <c r="M48" s="88"/>
      <c r="N48" s="88"/>
      <c r="O48" s="89"/>
      <c r="P48" s="24"/>
      <c r="Q48" s="24"/>
      <c r="R48" s="24"/>
      <c r="S48" s="24"/>
    </row>
    <row r="49" spans="1:19" ht="18" customHeight="1" x14ac:dyDescent="0.15">
      <c r="A49" s="3"/>
      <c r="B49" s="87"/>
      <c r="C49" s="88"/>
      <c r="D49" s="88"/>
      <c r="E49" s="89"/>
      <c r="F49" s="24"/>
      <c r="G49" s="24"/>
      <c r="H49" s="24"/>
      <c r="I49" s="24"/>
      <c r="J49" s="87"/>
      <c r="K49" s="88"/>
      <c r="L49" s="88"/>
      <c r="M49" s="88"/>
      <c r="N49" s="88"/>
      <c r="O49" s="89"/>
      <c r="P49" s="24"/>
      <c r="Q49" s="24"/>
      <c r="R49" s="24"/>
      <c r="S49" s="24"/>
    </row>
    <row r="50" spans="1:19" ht="18" customHeight="1" x14ac:dyDescent="0.15">
      <c r="A50" s="3"/>
      <c r="B50" s="87"/>
      <c r="C50" s="88"/>
      <c r="D50" s="88"/>
      <c r="E50" s="89"/>
      <c r="F50" s="24"/>
      <c r="G50" s="24"/>
      <c r="H50" s="24"/>
      <c r="I50" s="24"/>
      <c r="J50" s="87"/>
      <c r="K50" s="88"/>
      <c r="L50" s="88"/>
      <c r="M50" s="88"/>
      <c r="N50" s="88"/>
      <c r="O50" s="89"/>
      <c r="P50" s="24"/>
      <c r="Q50" s="24"/>
      <c r="R50" s="24"/>
      <c r="S50" s="24"/>
    </row>
    <row r="51" spans="1:19" ht="18" customHeight="1" x14ac:dyDescent="0.15">
      <c r="A51" s="3"/>
      <c r="B51" s="87"/>
      <c r="C51" s="88"/>
      <c r="D51" s="88"/>
      <c r="E51" s="89"/>
      <c r="F51" s="24"/>
      <c r="G51" s="24"/>
      <c r="H51" s="24"/>
      <c r="I51" s="24"/>
      <c r="J51" s="87"/>
      <c r="K51" s="88"/>
      <c r="L51" s="88"/>
      <c r="M51" s="88"/>
      <c r="N51" s="88"/>
      <c r="O51" s="89"/>
      <c r="P51" s="24"/>
      <c r="Q51" s="24"/>
      <c r="R51" s="24"/>
      <c r="S51" s="24"/>
    </row>
    <row r="52" spans="1:19" ht="18" customHeight="1" x14ac:dyDescent="0.15">
      <c r="A52" s="3"/>
      <c r="B52" s="87"/>
      <c r="C52" s="88"/>
      <c r="D52" s="88"/>
      <c r="E52" s="89"/>
      <c r="F52" s="24"/>
      <c r="G52" s="24"/>
      <c r="H52" s="24"/>
      <c r="I52" s="24"/>
      <c r="J52" s="87"/>
      <c r="K52" s="88"/>
      <c r="L52" s="88"/>
      <c r="M52" s="88"/>
      <c r="N52" s="88"/>
      <c r="O52" s="89"/>
      <c r="P52" s="24"/>
      <c r="Q52" s="24"/>
      <c r="R52" s="24"/>
      <c r="S52" s="24"/>
    </row>
    <row r="53" spans="1:19" ht="18" customHeight="1" x14ac:dyDescent="0.15">
      <c r="A53" s="3"/>
      <c r="B53" s="90"/>
      <c r="C53" s="91"/>
      <c r="D53" s="91"/>
      <c r="E53" s="92"/>
      <c r="F53" s="25"/>
      <c r="G53" s="25"/>
      <c r="H53" s="26"/>
      <c r="I53" s="26"/>
      <c r="J53" s="90"/>
      <c r="K53" s="91"/>
      <c r="L53" s="91"/>
      <c r="M53" s="91"/>
      <c r="N53" s="91"/>
      <c r="O53" s="92"/>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6" t="s">
        <v>117</v>
      </c>
      <c r="B55" s="96"/>
      <c r="C55" s="96"/>
      <c r="D55" s="96"/>
      <c r="E55" s="96"/>
      <c r="F55" s="96"/>
      <c r="G55" s="96"/>
      <c r="H55" s="96"/>
      <c r="I55" s="96"/>
      <c r="J55" s="96"/>
      <c r="K55" s="96"/>
      <c r="L55" s="96"/>
      <c r="M55" s="96"/>
      <c r="N55" s="96"/>
      <c r="O55" s="96"/>
      <c r="P55" s="96"/>
      <c r="Q55" s="96"/>
      <c r="R55" s="96"/>
      <c r="S55" s="96"/>
    </row>
    <row r="56" spans="1:19" ht="18" customHeight="1" x14ac:dyDescent="0.15">
      <c r="A56" s="96"/>
      <c r="B56" s="96"/>
      <c r="C56" s="96"/>
      <c r="D56" s="96"/>
      <c r="E56" s="96"/>
      <c r="F56" s="96"/>
      <c r="G56" s="96"/>
      <c r="H56" s="96"/>
      <c r="I56" s="96"/>
      <c r="J56" s="96"/>
      <c r="K56" s="96"/>
      <c r="L56" s="96"/>
      <c r="M56" s="96"/>
      <c r="N56" s="96"/>
      <c r="O56" s="96"/>
      <c r="P56" s="96"/>
      <c r="Q56" s="96"/>
      <c r="R56" s="96"/>
      <c r="S56" s="96"/>
    </row>
    <row r="57" spans="1:19" ht="18" customHeight="1" x14ac:dyDescent="0.15">
      <c r="B57" s="93" t="s">
        <v>54</v>
      </c>
      <c r="C57" s="94"/>
      <c r="D57" s="94"/>
      <c r="E57" s="95"/>
      <c r="F57" s="60" t="s">
        <v>81</v>
      </c>
      <c r="G57" s="59" t="s">
        <v>85</v>
      </c>
      <c r="H57" s="22" t="s">
        <v>59</v>
      </c>
      <c r="I57" s="22" t="s">
        <v>61</v>
      </c>
      <c r="J57" s="93" t="s">
        <v>54</v>
      </c>
      <c r="K57" s="94"/>
      <c r="L57" s="94"/>
      <c r="M57" s="94"/>
      <c r="N57" s="94"/>
      <c r="O57" s="95"/>
      <c r="P57" s="60" t="s">
        <v>81</v>
      </c>
      <c r="Q57" s="59" t="s">
        <v>85</v>
      </c>
      <c r="R57" s="22" t="s">
        <v>59</v>
      </c>
      <c r="S57" s="22" t="s">
        <v>61</v>
      </c>
    </row>
    <row r="58" spans="1:19" ht="18" customHeight="1" x14ac:dyDescent="0.15">
      <c r="A58" s="3"/>
      <c r="B58" s="97" t="s">
        <v>164</v>
      </c>
      <c r="C58" s="98"/>
      <c r="D58" s="98"/>
      <c r="E58" s="99"/>
      <c r="F58" s="23">
        <v>1</v>
      </c>
      <c r="G58" s="23" t="s">
        <v>130</v>
      </c>
      <c r="H58" s="23" t="s">
        <v>130</v>
      </c>
      <c r="I58" s="23" t="s">
        <v>130</v>
      </c>
      <c r="J58" s="97"/>
      <c r="K58" s="98"/>
      <c r="L58" s="98"/>
      <c r="M58" s="98"/>
      <c r="N58" s="98"/>
      <c r="O58" s="99"/>
      <c r="P58" s="23"/>
      <c r="Q58" s="23"/>
      <c r="R58" s="23"/>
      <c r="S58" s="23"/>
    </row>
    <row r="59" spans="1:19" ht="18" customHeight="1" x14ac:dyDescent="0.15">
      <c r="A59" s="3"/>
      <c r="B59" s="87" t="s">
        <v>168</v>
      </c>
      <c r="C59" s="88"/>
      <c r="D59" s="88"/>
      <c r="E59" s="89"/>
      <c r="F59" s="24">
        <v>1</v>
      </c>
      <c r="G59" s="24" t="s">
        <v>130</v>
      </c>
      <c r="H59" s="24" t="s">
        <v>130</v>
      </c>
      <c r="I59" s="24" t="s">
        <v>130</v>
      </c>
      <c r="J59" s="87"/>
      <c r="K59" s="88"/>
      <c r="L59" s="88"/>
      <c r="M59" s="88"/>
      <c r="N59" s="88"/>
      <c r="O59" s="89"/>
      <c r="P59" s="24"/>
      <c r="Q59" s="24"/>
      <c r="R59" s="24"/>
      <c r="S59" s="24"/>
    </row>
    <row r="60" spans="1:19" ht="18" customHeight="1" x14ac:dyDescent="0.15">
      <c r="A60" s="3"/>
      <c r="B60" s="87" t="s">
        <v>169</v>
      </c>
      <c r="C60" s="88"/>
      <c r="D60" s="88"/>
      <c r="E60" s="89"/>
      <c r="F60" s="24">
        <v>1</v>
      </c>
      <c r="G60" s="24" t="s">
        <v>130</v>
      </c>
      <c r="H60" s="24" t="s">
        <v>130</v>
      </c>
      <c r="I60" s="24" t="s">
        <v>130</v>
      </c>
      <c r="J60" s="87"/>
      <c r="K60" s="88"/>
      <c r="L60" s="88"/>
      <c r="M60" s="88"/>
      <c r="N60" s="88"/>
      <c r="O60" s="89"/>
      <c r="P60" s="24"/>
      <c r="Q60" s="24"/>
      <c r="R60" s="24"/>
      <c r="S60" s="24"/>
    </row>
    <row r="61" spans="1:19" ht="18" customHeight="1" x14ac:dyDescent="0.15">
      <c r="A61" s="3"/>
      <c r="B61" s="87"/>
      <c r="C61" s="88"/>
      <c r="D61" s="88"/>
      <c r="E61" s="89"/>
      <c r="F61" s="24"/>
      <c r="G61" s="24"/>
      <c r="H61" s="24"/>
      <c r="I61" s="24"/>
      <c r="J61" s="87"/>
      <c r="K61" s="88"/>
      <c r="L61" s="88"/>
      <c r="M61" s="88"/>
      <c r="N61" s="88"/>
      <c r="O61" s="89"/>
      <c r="P61" s="24"/>
      <c r="Q61" s="24"/>
      <c r="R61" s="24"/>
      <c r="S61" s="24"/>
    </row>
    <row r="62" spans="1:19" ht="18" customHeight="1" x14ac:dyDescent="0.15">
      <c r="A62" s="3"/>
      <c r="B62" s="87"/>
      <c r="C62" s="88"/>
      <c r="D62" s="88"/>
      <c r="E62" s="89"/>
      <c r="F62" s="24"/>
      <c r="G62" s="24"/>
      <c r="H62" s="24"/>
      <c r="I62" s="24"/>
      <c r="J62" s="87"/>
      <c r="K62" s="88"/>
      <c r="L62" s="88"/>
      <c r="M62" s="88"/>
      <c r="N62" s="88"/>
      <c r="O62" s="89"/>
      <c r="P62" s="24"/>
      <c r="Q62" s="24"/>
      <c r="R62" s="24"/>
      <c r="S62" s="24"/>
    </row>
    <row r="63" spans="1:19" ht="18" customHeight="1" x14ac:dyDescent="0.15">
      <c r="A63" s="3"/>
      <c r="B63" s="87"/>
      <c r="C63" s="88"/>
      <c r="D63" s="88"/>
      <c r="E63" s="89"/>
      <c r="F63" s="24"/>
      <c r="G63" s="24"/>
      <c r="H63" s="24"/>
      <c r="I63" s="24"/>
      <c r="J63" s="87"/>
      <c r="K63" s="88"/>
      <c r="L63" s="88"/>
      <c r="M63" s="88"/>
      <c r="N63" s="88"/>
      <c r="O63" s="89"/>
      <c r="P63" s="24"/>
      <c r="Q63" s="24"/>
      <c r="R63" s="24"/>
      <c r="S63" s="24"/>
    </row>
    <row r="64" spans="1:19" ht="18" customHeight="1" x14ac:dyDescent="0.15">
      <c r="A64" s="3"/>
      <c r="B64" s="90"/>
      <c r="C64" s="91"/>
      <c r="D64" s="91"/>
      <c r="E64" s="92"/>
      <c r="F64" s="25"/>
      <c r="G64" s="25"/>
      <c r="H64" s="26"/>
      <c r="I64" s="26"/>
      <c r="J64" s="90"/>
      <c r="K64" s="91"/>
      <c r="L64" s="91"/>
      <c r="M64" s="91"/>
      <c r="N64" s="91"/>
      <c r="O64" s="92"/>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6" t="s">
        <v>118</v>
      </c>
      <c r="B66" s="96"/>
      <c r="C66" s="96"/>
      <c r="D66" s="96"/>
      <c r="E66" s="96"/>
      <c r="F66" s="96"/>
      <c r="G66" s="96"/>
      <c r="H66" s="96"/>
      <c r="I66" s="96"/>
      <c r="J66" s="96"/>
      <c r="K66" s="96"/>
      <c r="L66" s="96"/>
      <c r="M66" s="96"/>
      <c r="N66" s="96"/>
      <c r="O66" s="96"/>
      <c r="P66" s="96"/>
      <c r="Q66" s="96"/>
      <c r="R66" s="96"/>
      <c r="S66" s="96"/>
    </row>
    <row r="67" spans="1:19" ht="18" customHeight="1" x14ac:dyDescent="0.15">
      <c r="A67" s="96"/>
      <c r="B67" s="96"/>
      <c r="C67" s="96"/>
      <c r="D67" s="96"/>
      <c r="E67" s="96"/>
      <c r="F67" s="96"/>
      <c r="G67" s="96"/>
      <c r="H67" s="96"/>
      <c r="I67" s="96"/>
      <c r="J67" s="96"/>
      <c r="K67" s="96"/>
      <c r="L67" s="96"/>
      <c r="M67" s="96"/>
      <c r="N67" s="96"/>
      <c r="O67" s="96"/>
      <c r="P67" s="96"/>
      <c r="Q67" s="96"/>
      <c r="R67" s="96"/>
      <c r="S67" s="96"/>
    </row>
    <row r="68" spans="1:19" ht="18" customHeight="1" x14ac:dyDescent="0.15">
      <c r="B68" s="93" t="s">
        <v>54</v>
      </c>
      <c r="C68" s="94"/>
      <c r="D68" s="94"/>
      <c r="E68" s="60" t="s">
        <v>81</v>
      </c>
      <c r="F68" s="59" t="s">
        <v>85</v>
      </c>
      <c r="G68" s="22" t="s">
        <v>102</v>
      </c>
      <c r="H68" s="22" t="s">
        <v>76</v>
      </c>
      <c r="I68" s="22" t="s">
        <v>77</v>
      </c>
      <c r="J68" s="93" t="s">
        <v>54</v>
      </c>
      <c r="K68" s="94"/>
      <c r="L68" s="94"/>
      <c r="M68" s="94"/>
      <c r="N68" s="95"/>
      <c r="O68" s="60" t="s">
        <v>81</v>
      </c>
      <c r="P68" s="59" t="s">
        <v>85</v>
      </c>
      <c r="Q68" s="22" t="s">
        <v>102</v>
      </c>
      <c r="R68" s="22" t="s">
        <v>76</v>
      </c>
      <c r="S68" s="22" t="s">
        <v>77</v>
      </c>
    </row>
    <row r="69" spans="1:19" ht="18" customHeight="1" x14ac:dyDescent="0.15">
      <c r="A69" s="3"/>
      <c r="B69" s="97" t="s">
        <v>131</v>
      </c>
      <c r="C69" s="98"/>
      <c r="D69" s="98"/>
      <c r="E69" s="23">
        <v>1</v>
      </c>
      <c r="F69" s="23" t="s">
        <v>130</v>
      </c>
      <c r="G69" s="23" t="s">
        <v>130</v>
      </c>
      <c r="H69" s="23" t="s">
        <v>130</v>
      </c>
      <c r="I69" s="23" t="s">
        <v>130</v>
      </c>
      <c r="J69" s="97"/>
      <c r="K69" s="98"/>
      <c r="L69" s="98"/>
      <c r="M69" s="98"/>
      <c r="N69" s="99"/>
      <c r="O69" s="23"/>
      <c r="P69" s="23"/>
      <c r="Q69" s="23"/>
      <c r="R69" s="23"/>
      <c r="S69" s="23"/>
    </row>
    <row r="70" spans="1:19" ht="18" customHeight="1" x14ac:dyDescent="0.15">
      <c r="A70" s="3"/>
      <c r="B70" s="87" t="s">
        <v>132</v>
      </c>
      <c r="C70" s="88"/>
      <c r="D70" s="88"/>
      <c r="E70" s="24">
        <v>1</v>
      </c>
      <c r="F70" s="24" t="s">
        <v>130</v>
      </c>
      <c r="G70" s="24" t="s">
        <v>130</v>
      </c>
      <c r="H70" s="24" t="s">
        <v>130</v>
      </c>
      <c r="I70" s="24" t="s">
        <v>130</v>
      </c>
      <c r="J70" s="87"/>
      <c r="K70" s="88"/>
      <c r="L70" s="88"/>
      <c r="M70" s="88"/>
      <c r="N70" s="89"/>
      <c r="O70" s="24"/>
      <c r="P70" s="24"/>
      <c r="Q70" s="24"/>
      <c r="R70" s="24"/>
      <c r="S70" s="24"/>
    </row>
    <row r="71" spans="1:19" ht="18" customHeight="1" x14ac:dyDescent="0.15">
      <c r="A71" s="3"/>
      <c r="B71" s="87" t="s">
        <v>133</v>
      </c>
      <c r="C71" s="88"/>
      <c r="D71" s="88"/>
      <c r="E71" s="24">
        <v>4</v>
      </c>
      <c r="F71" s="24" t="s">
        <v>130</v>
      </c>
      <c r="G71" s="24" t="s">
        <v>130</v>
      </c>
      <c r="H71" s="24" t="s">
        <v>130</v>
      </c>
      <c r="I71" s="24" t="s">
        <v>130</v>
      </c>
      <c r="J71" s="87"/>
      <c r="K71" s="88"/>
      <c r="L71" s="88"/>
      <c r="M71" s="88"/>
      <c r="N71" s="89"/>
      <c r="O71" s="24"/>
      <c r="P71" s="24"/>
      <c r="Q71" s="24"/>
      <c r="R71" s="24"/>
      <c r="S71" s="24"/>
    </row>
    <row r="72" spans="1:19" ht="18" customHeight="1" x14ac:dyDescent="0.15">
      <c r="A72" s="3"/>
      <c r="B72" s="87"/>
      <c r="C72" s="88"/>
      <c r="D72" s="88"/>
      <c r="E72" s="24"/>
      <c r="F72" s="24"/>
      <c r="G72" s="24"/>
      <c r="H72" s="24"/>
      <c r="I72" s="24"/>
      <c r="J72" s="87"/>
      <c r="K72" s="88"/>
      <c r="L72" s="88"/>
      <c r="M72" s="88"/>
      <c r="N72" s="89"/>
      <c r="O72" s="24"/>
      <c r="P72" s="24"/>
      <c r="Q72" s="24"/>
      <c r="R72" s="24"/>
      <c r="S72" s="24"/>
    </row>
    <row r="73" spans="1:19" ht="18" customHeight="1" x14ac:dyDescent="0.15">
      <c r="A73" s="3"/>
      <c r="B73" s="87"/>
      <c r="C73" s="88"/>
      <c r="D73" s="88"/>
      <c r="E73" s="24"/>
      <c r="F73" s="24"/>
      <c r="G73" s="24"/>
      <c r="H73" s="24"/>
      <c r="I73" s="24"/>
      <c r="J73" s="87"/>
      <c r="K73" s="88"/>
      <c r="L73" s="88"/>
      <c r="M73" s="88"/>
      <c r="N73" s="89"/>
      <c r="O73" s="24"/>
      <c r="P73" s="24"/>
      <c r="Q73" s="24"/>
      <c r="R73" s="24"/>
      <c r="S73" s="24"/>
    </row>
    <row r="74" spans="1:19" ht="18" customHeight="1" x14ac:dyDescent="0.15">
      <c r="A74" s="3"/>
      <c r="B74" s="87"/>
      <c r="C74" s="88"/>
      <c r="D74" s="88"/>
      <c r="E74" s="24"/>
      <c r="F74" s="24"/>
      <c r="G74" s="24"/>
      <c r="H74" s="24"/>
      <c r="I74" s="24"/>
      <c r="J74" s="87"/>
      <c r="K74" s="88"/>
      <c r="L74" s="88"/>
      <c r="M74" s="88"/>
      <c r="N74" s="89"/>
      <c r="O74" s="24"/>
      <c r="P74" s="24"/>
      <c r="Q74" s="24"/>
      <c r="R74" s="24"/>
      <c r="S74" s="24"/>
    </row>
    <row r="75" spans="1:19" ht="18" customHeight="1" x14ac:dyDescent="0.15">
      <c r="A75" s="3"/>
      <c r="B75" s="90"/>
      <c r="C75" s="91"/>
      <c r="D75" s="91"/>
      <c r="E75" s="25"/>
      <c r="F75" s="25"/>
      <c r="G75" s="26"/>
      <c r="H75" s="26"/>
      <c r="I75" s="26"/>
      <c r="J75" s="90"/>
      <c r="K75" s="91"/>
      <c r="L75" s="91"/>
      <c r="M75" s="91"/>
      <c r="N75" s="92"/>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3" t="s">
        <v>54</v>
      </c>
      <c r="C78" s="94"/>
      <c r="D78" s="94"/>
      <c r="E78" s="95"/>
      <c r="F78" s="93" t="s">
        <v>83</v>
      </c>
      <c r="G78" s="94"/>
      <c r="H78" s="94"/>
      <c r="I78" s="95"/>
      <c r="J78" s="139" t="s">
        <v>54</v>
      </c>
      <c r="K78" s="140"/>
      <c r="L78" s="140"/>
      <c r="M78" s="140"/>
      <c r="N78" s="140"/>
      <c r="O78" s="141"/>
      <c r="P78" s="93" t="s">
        <v>83</v>
      </c>
      <c r="Q78" s="94"/>
      <c r="R78" s="94"/>
      <c r="S78" s="95"/>
    </row>
    <row r="79" spans="1:19" ht="18" customHeight="1" x14ac:dyDescent="0.15">
      <c r="A79" s="3"/>
      <c r="B79" s="97" t="s">
        <v>134</v>
      </c>
      <c r="C79" s="98"/>
      <c r="D79" s="98"/>
      <c r="E79" s="99"/>
      <c r="F79" s="154" t="s">
        <v>135</v>
      </c>
      <c r="G79" s="155"/>
      <c r="H79" s="155"/>
      <c r="I79" s="156"/>
      <c r="J79" s="97"/>
      <c r="K79" s="98"/>
      <c r="L79" s="98"/>
      <c r="M79" s="98"/>
      <c r="N79" s="98"/>
      <c r="O79" s="99"/>
      <c r="P79" s="154"/>
      <c r="Q79" s="155"/>
      <c r="R79" s="155"/>
      <c r="S79" s="156"/>
    </row>
    <row r="80" spans="1:19" ht="18" customHeight="1" x14ac:dyDescent="0.15">
      <c r="A80" s="3"/>
      <c r="B80" s="87"/>
      <c r="C80" s="88"/>
      <c r="D80" s="88"/>
      <c r="E80" s="89"/>
      <c r="F80" s="123"/>
      <c r="G80" s="124"/>
      <c r="H80" s="124"/>
      <c r="I80" s="125"/>
      <c r="J80" s="87"/>
      <c r="K80" s="88"/>
      <c r="L80" s="88"/>
      <c r="M80" s="88"/>
      <c r="N80" s="88"/>
      <c r="O80" s="89"/>
      <c r="P80" s="123"/>
      <c r="Q80" s="124"/>
      <c r="R80" s="124"/>
      <c r="S80" s="125"/>
    </row>
    <row r="81" spans="1:19" ht="18" customHeight="1" x14ac:dyDescent="0.15">
      <c r="A81" s="3"/>
      <c r="B81" s="87"/>
      <c r="C81" s="88"/>
      <c r="D81" s="88"/>
      <c r="E81" s="89"/>
      <c r="F81" s="123"/>
      <c r="G81" s="124"/>
      <c r="H81" s="124"/>
      <c r="I81" s="125"/>
      <c r="J81" s="87"/>
      <c r="K81" s="88"/>
      <c r="L81" s="88"/>
      <c r="M81" s="88"/>
      <c r="N81" s="88"/>
      <c r="O81" s="89"/>
      <c r="P81" s="123"/>
      <c r="Q81" s="124"/>
      <c r="R81" s="124"/>
      <c r="S81" s="125"/>
    </row>
    <row r="82" spans="1:19" ht="18" customHeight="1" x14ac:dyDescent="0.15">
      <c r="A82" s="3"/>
      <c r="B82" s="87"/>
      <c r="C82" s="88"/>
      <c r="D82" s="88"/>
      <c r="E82" s="89"/>
      <c r="F82" s="123"/>
      <c r="G82" s="124"/>
      <c r="H82" s="124"/>
      <c r="I82" s="125"/>
      <c r="J82" s="87"/>
      <c r="K82" s="88"/>
      <c r="L82" s="88"/>
      <c r="M82" s="88"/>
      <c r="N82" s="88"/>
      <c r="O82" s="89"/>
      <c r="P82" s="123"/>
      <c r="Q82" s="124"/>
      <c r="R82" s="124"/>
      <c r="S82" s="125"/>
    </row>
    <row r="83" spans="1:19" ht="18" customHeight="1" x14ac:dyDescent="0.15">
      <c r="A83" s="3"/>
      <c r="B83" s="87"/>
      <c r="C83" s="88"/>
      <c r="D83" s="88"/>
      <c r="E83" s="89"/>
      <c r="F83" s="123"/>
      <c r="G83" s="124"/>
      <c r="H83" s="124"/>
      <c r="I83" s="125"/>
      <c r="J83" s="87"/>
      <c r="K83" s="88"/>
      <c r="L83" s="88"/>
      <c r="M83" s="88"/>
      <c r="N83" s="88"/>
      <c r="O83" s="89"/>
      <c r="P83" s="123"/>
      <c r="Q83" s="124"/>
      <c r="R83" s="124"/>
      <c r="S83" s="125"/>
    </row>
    <row r="84" spans="1:19" ht="18" customHeight="1" x14ac:dyDescent="0.15">
      <c r="A84" s="3"/>
      <c r="B84" s="87"/>
      <c r="C84" s="88"/>
      <c r="D84" s="88"/>
      <c r="E84" s="89"/>
      <c r="F84" s="123"/>
      <c r="G84" s="124"/>
      <c r="H84" s="124"/>
      <c r="I84" s="125"/>
      <c r="J84" s="87"/>
      <c r="K84" s="88"/>
      <c r="L84" s="88"/>
      <c r="M84" s="88"/>
      <c r="N84" s="88"/>
      <c r="O84" s="89"/>
      <c r="P84" s="123"/>
      <c r="Q84" s="124"/>
      <c r="R84" s="124"/>
      <c r="S84" s="125"/>
    </row>
    <row r="85" spans="1:19" ht="18" customHeight="1" x14ac:dyDescent="0.15">
      <c r="A85" s="3"/>
      <c r="B85" s="90"/>
      <c r="C85" s="91"/>
      <c r="D85" s="91"/>
      <c r="E85" s="92"/>
      <c r="F85" s="120"/>
      <c r="G85" s="121"/>
      <c r="H85" s="121"/>
      <c r="I85" s="122"/>
      <c r="J85" s="90"/>
      <c r="K85" s="91"/>
      <c r="L85" s="91"/>
      <c r="M85" s="91"/>
      <c r="N85" s="91"/>
      <c r="O85" s="92"/>
      <c r="P85" s="120"/>
      <c r="Q85" s="121"/>
      <c r="R85" s="121"/>
      <c r="S85" s="122"/>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52" t="s">
        <v>55</v>
      </c>
      <c r="C88" s="153"/>
      <c r="D88" s="94" t="s">
        <v>56</v>
      </c>
      <c r="E88" s="94"/>
      <c r="F88" s="94"/>
      <c r="G88" s="94"/>
      <c r="H88" s="94"/>
      <c r="I88" s="94"/>
      <c r="J88" s="94"/>
      <c r="K88" s="94"/>
      <c r="L88" s="94"/>
      <c r="M88" s="94"/>
      <c r="N88" s="94"/>
      <c r="O88" s="94"/>
      <c r="P88" s="94"/>
      <c r="Q88" s="94"/>
      <c r="R88" s="94"/>
      <c r="S88" s="95"/>
    </row>
    <row r="89" spans="1:19" ht="175.5" customHeight="1" x14ac:dyDescent="0.15">
      <c r="B89" s="142" t="s">
        <v>62</v>
      </c>
      <c r="C89" s="28" t="s">
        <v>57</v>
      </c>
      <c r="D89" s="82" t="s">
        <v>186</v>
      </c>
      <c r="E89" s="82"/>
      <c r="F89" s="82"/>
      <c r="G89" s="82"/>
      <c r="H89" s="82"/>
      <c r="I89" s="82"/>
      <c r="J89" s="82"/>
      <c r="K89" s="82"/>
      <c r="L89" s="82"/>
      <c r="M89" s="82"/>
      <c r="N89" s="82"/>
      <c r="O89" s="82"/>
      <c r="P89" s="82"/>
      <c r="Q89" s="82"/>
      <c r="R89" s="82"/>
      <c r="S89" s="83"/>
    </row>
    <row r="90" spans="1:19" ht="96" customHeight="1" x14ac:dyDescent="0.15">
      <c r="B90" s="144"/>
      <c r="C90" s="29" t="s">
        <v>78</v>
      </c>
      <c r="D90" s="126" t="s">
        <v>182</v>
      </c>
      <c r="E90" s="127"/>
      <c r="F90" s="127"/>
      <c r="G90" s="127"/>
      <c r="H90" s="127"/>
      <c r="I90" s="127"/>
      <c r="J90" s="127"/>
      <c r="K90" s="127"/>
      <c r="L90" s="127"/>
      <c r="M90" s="127"/>
      <c r="N90" s="127"/>
      <c r="O90" s="127"/>
      <c r="P90" s="127"/>
      <c r="Q90" s="127"/>
      <c r="R90" s="127"/>
      <c r="S90" s="128"/>
    </row>
    <row r="91" spans="1:19" ht="63.75" customHeight="1" x14ac:dyDescent="0.15">
      <c r="B91" s="142" t="s">
        <v>63</v>
      </c>
      <c r="C91" s="30" t="s">
        <v>72</v>
      </c>
      <c r="D91" s="129" t="s">
        <v>161</v>
      </c>
      <c r="E91" s="130"/>
      <c r="F91" s="130"/>
      <c r="G91" s="130"/>
      <c r="H91" s="130"/>
      <c r="I91" s="130"/>
      <c r="J91" s="130"/>
      <c r="K91" s="130"/>
      <c r="L91" s="130"/>
      <c r="M91" s="130"/>
      <c r="N91" s="130"/>
      <c r="O91" s="130"/>
      <c r="P91" s="130"/>
      <c r="Q91" s="130"/>
      <c r="R91" s="130"/>
      <c r="S91" s="131"/>
    </row>
    <row r="92" spans="1:19" ht="123.75" customHeight="1" x14ac:dyDescent="0.15">
      <c r="B92" s="143"/>
      <c r="C92" s="31" t="s">
        <v>73</v>
      </c>
      <c r="D92" s="135" t="s">
        <v>183</v>
      </c>
      <c r="E92" s="136"/>
      <c r="F92" s="136"/>
      <c r="G92" s="136"/>
      <c r="H92" s="136"/>
      <c r="I92" s="136"/>
      <c r="J92" s="136"/>
      <c r="K92" s="136"/>
      <c r="L92" s="136"/>
      <c r="M92" s="136"/>
      <c r="N92" s="136"/>
      <c r="O92" s="136"/>
      <c r="P92" s="136"/>
      <c r="Q92" s="136"/>
      <c r="R92" s="136"/>
      <c r="S92" s="137"/>
    </row>
    <row r="93" spans="1:19" ht="97.5" customHeight="1" x14ac:dyDescent="0.15">
      <c r="B93" s="142" t="s">
        <v>64</v>
      </c>
      <c r="C93" s="30" t="s">
        <v>74</v>
      </c>
      <c r="D93" s="129" t="s">
        <v>179</v>
      </c>
      <c r="E93" s="130"/>
      <c r="F93" s="130"/>
      <c r="G93" s="130"/>
      <c r="H93" s="130"/>
      <c r="I93" s="130"/>
      <c r="J93" s="130"/>
      <c r="K93" s="130"/>
      <c r="L93" s="130"/>
      <c r="M93" s="130"/>
      <c r="N93" s="130"/>
      <c r="O93" s="130"/>
      <c r="P93" s="130"/>
      <c r="Q93" s="130"/>
      <c r="R93" s="130"/>
      <c r="S93" s="131"/>
    </row>
    <row r="94" spans="1:19" ht="156" customHeight="1" x14ac:dyDescent="0.15">
      <c r="B94" s="143"/>
      <c r="C94" s="32" t="s">
        <v>75</v>
      </c>
      <c r="D94" s="132" t="s">
        <v>184</v>
      </c>
      <c r="E94" s="133"/>
      <c r="F94" s="133"/>
      <c r="G94" s="133"/>
      <c r="H94" s="133"/>
      <c r="I94" s="133"/>
      <c r="J94" s="133"/>
      <c r="K94" s="133"/>
      <c r="L94" s="133"/>
      <c r="M94" s="133"/>
      <c r="N94" s="133"/>
      <c r="O94" s="133"/>
      <c r="P94" s="133"/>
      <c r="Q94" s="133"/>
      <c r="R94" s="133"/>
      <c r="S94" s="134"/>
    </row>
    <row r="95" spans="1:19" ht="150.75" customHeight="1" x14ac:dyDescent="0.15">
      <c r="B95" s="142" t="s">
        <v>79</v>
      </c>
      <c r="C95" s="28" t="s">
        <v>59</v>
      </c>
      <c r="D95" s="149" t="s">
        <v>162</v>
      </c>
      <c r="E95" s="150"/>
      <c r="F95" s="150"/>
      <c r="G95" s="150"/>
      <c r="H95" s="150"/>
      <c r="I95" s="150"/>
      <c r="J95" s="150"/>
      <c r="K95" s="150"/>
      <c r="L95" s="150"/>
      <c r="M95" s="150"/>
      <c r="N95" s="150"/>
      <c r="O95" s="150"/>
      <c r="P95" s="150"/>
      <c r="Q95" s="150"/>
      <c r="R95" s="150"/>
      <c r="S95" s="151"/>
    </row>
    <row r="96" spans="1:19" ht="85.5" customHeight="1" x14ac:dyDescent="0.15">
      <c r="B96" s="143"/>
      <c r="C96" s="31" t="s">
        <v>61</v>
      </c>
      <c r="D96" s="135" t="s">
        <v>170</v>
      </c>
      <c r="E96" s="136"/>
      <c r="F96" s="136"/>
      <c r="G96" s="136"/>
      <c r="H96" s="136"/>
      <c r="I96" s="136"/>
      <c r="J96" s="136"/>
      <c r="K96" s="136"/>
      <c r="L96" s="136"/>
      <c r="M96" s="136"/>
      <c r="N96" s="136"/>
      <c r="O96" s="136"/>
      <c r="P96" s="136"/>
      <c r="Q96" s="136"/>
      <c r="R96" s="136"/>
      <c r="S96" s="137"/>
    </row>
    <row r="97" spans="1:19" ht="267" customHeight="1" x14ac:dyDescent="0.15">
      <c r="B97" s="142" t="s">
        <v>80</v>
      </c>
      <c r="C97" s="30" t="s">
        <v>58</v>
      </c>
      <c r="D97" s="145" t="s">
        <v>180</v>
      </c>
      <c r="E97" s="98"/>
      <c r="F97" s="98"/>
      <c r="G97" s="98"/>
      <c r="H97" s="98"/>
      <c r="I97" s="98"/>
      <c r="J97" s="98"/>
      <c r="K97" s="98"/>
      <c r="L97" s="98"/>
      <c r="M97" s="98"/>
      <c r="N97" s="98"/>
      <c r="O97" s="98"/>
      <c r="P97" s="98"/>
      <c r="Q97" s="98"/>
      <c r="R97" s="98"/>
      <c r="S97" s="99"/>
    </row>
    <row r="98" spans="1:19" ht="233.25" customHeight="1" x14ac:dyDescent="0.15">
      <c r="B98" s="144"/>
      <c r="C98" s="33" t="s">
        <v>76</v>
      </c>
      <c r="D98" s="138" t="s">
        <v>185</v>
      </c>
      <c r="E98" s="88"/>
      <c r="F98" s="88"/>
      <c r="G98" s="88"/>
      <c r="H98" s="88"/>
      <c r="I98" s="88"/>
      <c r="J98" s="88"/>
      <c r="K98" s="88"/>
      <c r="L98" s="88"/>
      <c r="M98" s="88"/>
      <c r="N98" s="88"/>
      <c r="O98" s="88"/>
      <c r="P98" s="88"/>
      <c r="Q98" s="88"/>
      <c r="R98" s="88"/>
      <c r="S98" s="89"/>
    </row>
    <row r="99" spans="1:19" ht="245.25" customHeight="1" x14ac:dyDescent="0.15">
      <c r="B99" s="143"/>
      <c r="C99" s="32" t="s">
        <v>77</v>
      </c>
      <c r="D99" s="146" t="s">
        <v>181</v>
      </c>
      <c r="E99" s="147"/>
      <c r="F99" s="147"/>
      <c r="G99" s="147"/>
      <c r="H99" s="147"/>
      <c r="I99" s="147"/>
      <c r="J99" s="147"/>
      <c r="K99" s="147"/>
      <c r="L99" s="147"/>
      <c r="M99" s="147"/>
      <c r="N99" s="147"/>
      <c r="O99" s="147"/>
      <c r="P99" s="147"/>
      <c r="Q99" s="147"/>
      <c r="R99" s="147"/>
      <c r="S99" s="148"/>
    </row>
    <row r="100" spans="1:19" ht="6" customHeight="1" x14ac:dyDescent="0.15"/>
    <row r="101" spans="1:19" ht="18.75" customHeight="1" x14ac:dyDescent="0.15">
      <c r="A101" s="1" t="s">
        <v>121</v>
      </c>
    </row>
    <row r="102" spans="1:19" ht="81.75" customHeight="1" x14ac:dyDescent="0.15">
      <c r="B102" s="117" t="s">
        <v>151</v>
      </c>
      <c r="C102" s="118"/>
      <c r="D102" s="118"/>
      <c r="E102" s="118"/>
      <c r="F102" s="118"/>
      <c r="G102" s="118"/>
      <c r="H102" s="118"/>
      <c r="I102" s="118"/>
      <c r="J102" s="118"/>
      <c r="K102" s="118"/>
      <c r="L102" s="118"/>
      <c r="M102" s="118"/>
      <c r="N102" s="118"/>
      <c r="O102" s="118"/>
      <c r="P102" s="118"/>
      <c r="Q102" s="118"/>
      <c r="R102" s="118"/>
      <c r="S102" s="119"/>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A21" zoomScaleNormal="100" zoomScaleSheetLayoutView="100" workbookViewId="0">
      <selection activeCell="F12" sqref="F1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0" t="str">
        <f>'様式１　プログラムを構成する授業科目'!C2</f>
        <v>近畿大学工業高等専門学校</v>
      </c>
      <c r="AN2" s="160"/>
      <c r="AO2" s="160"/>
      <c r="AP2" s="160"/>
      <c r="AQ2" s="160"/>
    </row>
    <row r="3" spans="1:45" ht="18" customHeight="1" x14ac:dyDescent="0.15">
      <c r="A3" s="104" t="s">
        <v>48</v>
      </c>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1">
        <v>4</v>
      </c>
      <c r="D5" s="162"/>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3" t="s">
        <v>45</v>
      </c>
      <c r="C9" s="178" t="s">
        <v>87</v>
      </c>
      <c r="D9" s="166" t="s">
        <v>47</v>
      </c>
      <c r="E9" s="169" t="s">
        <v>40</v>
      </c>
      <c r="F9" s="159" t="s">
        <v>86</v>
      </c>
      <c r="G9" s="159"/>
      <c r="H9" s="159"/>
      <c r="I9" s="159"/>
      <c r="J9" s="159"/>
      <c r="K9" s="159"/>
      <c r="L9" s="159" t="s">
        <v>49</v>
      </c>
      <c r="M9" s="159"/>
      <c r="N9" s="159"/>
      <c r="O9" s="159"/>
      <c r="P9" s="159"/>
      <c r="Q9" s="159"/>
      <c r="R9" s="159" t="s">
        <v>50</v>
      </c>
      <c r="S9" s="159"/>
      <c r="T9" s="159"/>
      <c r="U9" s="159"/>
      <c r="V9" s="159"/>
      <c r="W9" s="159"/>
      <c r="X9" s="159" t="s">
        <v>101</v>
      </c>
      <c r="Y9" s="159"/>
      <c r="Z9" s="159"/>
      <c r="AA9" s="159"/>
      <c r="AB9" s="159"/>
      <c r="AC9" s="159"/>
      <c r="AD9" s="159" t="s">
        <v>51</v>
      </c>
      <c r="AE9" s="159"/>
      <c r="AF9" s="159"/>
      <c r="AG9" s="159"/>
      <c r="AH9" s="159"/>
      <c r="AI9" s="159"/>
      <c r="AJ9" s="159" t="s">
        <v>52</v>
      </c>
      <c r="AK9" s="159"/>
      <c r="AL9" s="159"/>
      <c r="AM9" s="159"/>
      <c r="AN9" s="159"/>
      <c r="AO9" s="159"/>
      <c r="AP9" s="172" t="s">
        <v>35</v>
      </c>
      <c r="AQ9" s="175" t="s">
        <v>32</v>
      </c>
      <c r="AS9" s="2"/>
    </row>
    <row r="10" spans="1:45" ht="16.899999999999999" customHeight="1" x14ac:dyDescent="0.15">
      <c r="B10" s="164"/>
      <c r="C10" s="179"/>
      <c r="D10" s="167"/>
      <c r="E10" s="170"/>
      <c r="F10" s="157" t="s">
        <v>97</v>
      </c>
      <c r="G10" s="158"/>
      <c r="H10" s="158"/>
      <c r="I10" s="157" t="s">
        <v>29</v>
      </c>
      <c r="J10" s="158"/>
      <c r="K10" s="158"/>
      <c r="L10" s="157" t="s">
        <v>97</v>
      </c>
      <c r="M10" s="158"/>
      <c r="N10" s="158"/>
      <c r="O10" s="157" t="s">
        <v>29</v>
      </c>
      <c r="P10" s="158"/>
      <c r="Q10" s="158"/>
      <c r="R10" s="157" t="s">
        <v>97</v>
      </c>
      <c r="S10" s="158"/>
      <c r="T10" s="158"/>
      <c r="U10" s="157" t="s">
        <v>29</v>
      </c>
      <c r="V10" s="158"/>
      <c r="W10" s="158"/>
      <c r="X10" s="157" t="s">
        <v>97</v>
      </c>
      <c r="Y10" s="158"/>
      <c r="Z10" s="158"/>
      <c r="AA10" s="157" t="s">
        <v>29</v>
      </c>
      <c r="AB10" s="158"/>
      <c r="AC10" s="158"/>
      <c r="AD10" s="157" t="s">
        <v>97</v>
      </c>
      <c r="AE10" s="158"/>
      <c r="AF10" s="158"/>
      <c r="AG10" s="157" t="s">
        <v>29</v>
      </c>
      <c r="AH10" s="158"/>
      <c r="AI10" s="158"/>
      <c r="AJ10" s="157" t="s">
        <v>97</v>
      </c>
      <c r="AK10" s="158"/>
      <c r="AL10" s="158"/>
      <c r="AM10" s="157" t="s">
        <v>29</v>
      </c>
      <c r="AN10" s="158"/>
      <c r="AO10" s="158"/>
      <c r="AP10" s="173"/>
      <c r="AQ10" s="176"/>
      <c r="AS10" s="2"/>
    </row>
    <row r="11" spans="1:45" ht="18" customHeight="1" x14ac:dyDescent="0.15">
      <c r="B11" s="165"/>
      <c r="C11" s="180"/>
      <c r="D11" s="168"/>
      <c r="E11" s="171"/>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4"/>
      <c r="AQ11" s="177"/>
      <c r="AS11" s="2"/>
    </row>
    <row r="12" spans="1:45" ht="18" customHeight="1" x14ac:dyDescent="0.15">
      <c r="A12" s="6"/>
      <c r="B12" s="11" t="s">
        <v>171</v>
      </c>
      <c r="C12" s="61">
        <v>160</v>
      </c>
      <c r="D12" s="62">
        <v>160</v>
      </c>
      <c r="E12" s="63">
        <v>160</v>
      </c>
      <c r="F12" s="63">
        <v>160</v>
      </c>
      <c r="G12" s="64">
        <v>154</v>
      </c>
      <c r="H12" s="65">
        <v>6</v>
      </c>
      <c r="I12" s="63">
        <f>J12+K12</f>
        <v>0</v>
      </c>
      <c r="J12" s="64">
        <v>0</v>
      </c>
      <c r="K12" s="65">
        <v>0</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160</v>
      </c>
      <c r="AQ12" s="21">
        <f t="shared" ref="AQ12:AQ32" si="0">AP12/E12</f>
        <v>1</v>
      </c>
    </row>
    <row r="13" spans="1:45" ht="18" customHeight="1" x14ac:dyDescent="0.15">
      <c r="A13" s="6"/>
      <c r="B13" s="12" t="s">
        <v>172</v>
      </c>
      <c r="C13" s="66">
        <v>162</v>
      </c>
      <c r="D13" s="67">
        <v>160</v>
      </c>
      <c r="E13" s="68">
        <v>162</v>
      </c>
      <c r="F13" s="69">
        <f t="shared" ref="F13:F31" si="1">G13+H13</f>
        <v>0</v>
      </c>
      <c r="G13" s="70"/>
      <c r="H13" s="71"/>
      <c r="I13" s="69">
        <f t="shared" ref="I13:I31" si="2">J13+K13</f>
        <v>0</v>
      </c>
      <c r="J13" s="70"/>
      <c r="K13" s="71"/>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0</v>
      </c>
      <c r="AQ13" s="20">
        <f t="shared" si="0"/>
        <v>0</v>
      </c>
    </row>
    <row r="14" spans="1:45" ht="18" customHeight="1" x14ac:dyDescent="0.15">
      <c r="A14" s="6"/>
      <c r="B14" s="12" t="s">
        <v>173</v>
      </c>
      <c r="C14" s="66">
        <v>121</v>
      </c>
      <c r="D14" s="67">
        <v>121</v>
      </c>
      <c r="E14" s="68">
        <v>121</v>
      </c>
      <c r="F14" s="69">
        <f t="shared" si="1"/>
        <v>0</v>
      </c>
      <c r="G14" s="70"/>
      <c r="H14" s="71"/>
      <c r="I14" s="69">
        <f t="shared" si="2"/>
        <v>0</v>
      </c>
      <c r="J14" s="70"/>
      <c r="K14" s="71"/>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0</v>
      </c>
      <c r="AQ14" s="8">
        <f t="shared" si="0"/>
        <v>0</v>
      </c>
    </row>
    <row r="15" spans="1:45" ht="18" customHeight="1" x14ac:dyDescent="0.15">
      <c r="A15" s="6"/>
      <c r="B15" s="12" t="s">
        <v>174</v>
      </c>
      <c r="C15" s="66">
        <v>108</v>
      </c>
      <c r="D15" s="67">
        <v>108</v>
      </c>
      <c r="E15" s="68">
        <v>108</v>
      </c>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f t="shared" si="0"/>
        <v>0</v>
      </c>
    </row>
    <row r="16" spans="1:45" ht="18" customHeight="1" x14ac:dyDescent="0.15">
      <c r="A16" s="6"/>
      <c r="B16" s="12" t="s">
        <v>175</v>
      </c>
      <c r="C16" s="66">
        <v>144</v>
      </c>
      <c r="D16" s="67">
        <v>144</v>
      </c>
      <c r="E16" s="68">
        <v>144</v>
      </c>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f t="shared" si="0"/>
        <v>0</v>
      </c>
    </row>
    <row r="17" spans="1:43" ht="18" customHeight="1" x14ac:dyDescent="0.15">
      <c r="A17" s="6"/>
      <c r="B17" s="12" t="s">
        <v>176</v>
      </c>
      <c r="C17" s="66">
        <v>53</v>
      </c>
      <c r="D17" s="67">
        <v>53</v>
      </c>
      <c r="E17" s="68">
        <v>53</v>
      </c>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f t="shared" si="0"/>
        <v>0</v>
      </c>
    </row>
    <row r="18" spans="1:43" ht="18" customHeight="1" x14ac:dyDescent="0.15">
      <c r="A18" s="6"/>
      <c r="B18" s="12" t="s">
        <v>177</v>
      </c>
      <c r="C18" s="66">
        <v>75</v>
      </c>
      <c r="D18" s="67">
        <v>75</v>
      </c>
      <c r="E18" s="68">
        <v>75</v>
      </c>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f t="shared" si="0"/>
        <v>0</v>
      </c>
    </row>
    <row r="19" spans="1:43" ht="18" customHeight="1" x14ac:dyDescent="0.15">
      <c r="A19" s="6"/>
      <c r="B19" s="12" t="s">
        <v>178</v>
      </c>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33</v>
      </c>
      <c r="C32" s="76">
        <f t="shared" ref="C32" si="14">SUM(C12:C31)</f>
        <v>823</v>
      </c>
      <c r="D32" s="77">
        <f t="shared" ref="D32:AP32" si="15">SUM(D12:D31)</f>
        <v>821</v>
      </c>
      <c r="E32" s="78">
        <f t="shared" si="15"/>
        <v>823</v>
      </c>
      <c r="F32" s="78">
        <f t="shared" si="15"/>
        <v>160</v>
      </c>
      <c r="G32" s="79">
        <f t="shared" si="15"/>
        <v>154</v>
      </c>
      <c r="H32" s="80">
        <f t="shared" si="15"/>
        <v>6</v>
      </c>
      <c r="I32" s="78">
        <f t="shared" ref="I32:N32" si="16">SUM(I12:I31)</f>
        <v>0</v>
      </c>
      <c r="J32" s="79">
        <f t="shared" si="16"/>
        <v>0</v>
      </c>
      <c r="K32" s="80">
        <f t="shared" si="16"/>
        <v>0</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160</v>
      </c>
      <c r="AQ32" s="9">
        <f t="shared" si="0"/>
        <v>0.19441069258809235</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7" zoomScaleNormal="100" zoomScaleSheetLayoutView="100" workbookViewId="0">
      <selection activeCell="K56" sqref="K56"/>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65</v>
      </c>
      <c r="I1" s="35" t="s">
        <v>106</v>
      </c>
    </row>
    <row r="2" spans="1:9" ht="18.75" customHeight="1" x14ac:dyDescent="0.15">
      <c r="G2" s="35" t="s">
        <v>109</v>
      </c>
      <c r="H2" s="93" t="str">
        <f>'様式１　プログラムを構成する授業科目'!C2</f>
        <v>近畿大学工業高等専門学校</v>
      </c>
      <c r="I2" s="95"/>
    </row>
    <row r="3" spans="1:9" ht="18.75" customHeight="1" x14ac:dyDescent="0.15">
      <c r="G3" s="35"/>
      <c r="H3" s="10"/>
      <c r="I3" s="10"/>
    </row>
    <row r="4" spans="1:9" ht="18.600000000000001" customHeight="1" x14ac:dyDescent="0.15">
      <c r="A4" s="104" t="s">
        <v>36</v>
      </c>
      <c r="B4" s="104"/>
      <c r="C4" s="104"/>
      <c r="D4" s="104"/>
      <c r="E4" s="104"/>
      <c r="F4" s="104"/>
      <c r="G4" s="104"/>
      <c r="H4" s="104"/>
      <c r="I4" s="104"/>
    </row>
    <row r="5" spans="1:9" ht="13.15" customHeight="1" x14ac:dyDescent="0.15">
      <c r="B5" s="3"/>
      <c r="C5" s="3"/>
      <c r="D5" s="3"/>
      <c r="E5" s="3"/>
      <c r="F5" s="3"/>
      <c r="G5" s="3"/>
      <c r="H5" s="3"/>
      <c r="I5" s="3"/>
    </row>
    <row r="6" spans="1:9" ht="18" customHeight="1" x14ac:dyDescent="0.15">
      <c r="A6" s="1" t="s">
        <v>0</v>
      </c>
      <c r="B6" s="10" t="s">
        <v>91</v>
      </c>
      <c r="C6" s="224" t="s">
        <v>92</v>
      </c>
      <c r="D6" s="224"/>
      <c r="E6" s="34">
        <v>41</v>
      </c>
      <c r="F6" s="3" t="s">
        <v>1</v>
      </c>
      <c r="G6" s="3" t="s">
        <v>2</v>
      </c>
      <c r="H6" s="34">
        <v>54</v>
      </c>
      <c r="I6" s="10" t="s">
        <v>1</v>
      </c>
    </row>
    <row r="7" spans="1:9" ht="12" customHeight="1" x14ac:dyDescent="0.15">
      <c r="C7" s="2"/>
      <c r="D7" s="2"/>
      <c r="E7" s="2"/>
      <c r="F7" s="2"/>
      <c r="G7" s="2"/>
      <c r="H7" s="2"/>
      <c r="I7" s="41"/>
    </row>
    <row r="8" spans="1:9" ht="18" customHeight="1" x14ac:dyDescent="0.15">
      <c r="A8" s="1" t="s">
        <v>3</v>
      </c>
      <c r="B8" s="10" t="s">
        <v>93</v>
      </c>
      <c r="E8" s="3"/>
      <c r="F8" s="3"/>
      <c r="G8" s="3"/>
      <c r="H8" s="34">
        <v>22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93" t="s">
        <v>156</v>
      </c>
      <c r="D11" s="115"/>
      <c r="E11" s="116"/>
      <c r="F11" s="41"/>
      <c r="G11" s="35" t="s">
        <v>10</v>
      </c>
      <c r="H11" s="93" t="s">
        <v>136</v>
      </c>
      <c r="I11" s="116"/>
    </row>
    <row r="12" spans="1:9" ht="10.15" customHeight="1" x14ac:dyDescent="0.15">
      <c r="B12" s="35"/>
      <c r="C12" s="10"/>
      <c r="D12" s="41"/>
      <c r="E12" s="41"/>
      <c r="F12" s="41"/>
      <c r="G12" s="35"/>
      <c r="H12" s="10"/>
      <c r="I12" s="41"/>
    </row>
    <row r="13" spans="1:9" ht="18" customHeight="1" x14ac:dyDescent="0.15">
      <c r="A13" s="1" t="s">
        <v>7</v>
      </c>
      <c r="B13" s="10" t="s">
        <v>88</v>
      </c>
      <c r="C13" s="3"/>
      <c r="D13" s="3"/>
      <c r="E13" s="3"/>
      <c r="F13" s="3"/>
      <c r="G13" s="3"/>
      <c r="H13" s="3"/>
      <c r="I13" s="3"/>
    </row>
    <row r="14" spans="1:9" ht="18" customHeight="1" x14ac:dyDescent="0.15">
      <c r="B14" s="93" t="s">
        <v>137</v>
      </c>
      <c r="C14" s="115"/>
      <c r="D14" s="115"/>
      <c r="E14" s="115"/>
      <c r="F14" s="115"/>
      <c r="G14" s="115"/>
      <c r="H14" s="115"/>
      <c r="I14" s="116"/>
    </row>
    <row r="15" spans="1:9" ht="9" customHeight="1" x14ac:dyDescent="0.15">
      <c r="B15" s="3"/>
      <c r="C15" s="3"/>
      <c r="D15" s="3"/>
      <c r="E15" s="3"/>
      <c r="F15" s="3"/>
      <c r="G15" s="3"/>
      <c r="H15" s="3"/>
      <c r="I15" s="3"/>
    </row>
    <row r="16" spans="1:9" ht="18" customHeight="1" x14ac:dyDescent="0.15">
      <c r="B16" s="35" t="s">
        <v>43</v>
      </c>
      <c r="C16" s="93" t="s">
        <v>138</v>
      </c>
      <c r="D16" s="115"/>
      <c r="E16" s="116"/>
      <c r="F16" s="41"/>
      <c r="G16" s="35" t="s">
        <v>10</v>
      </c>
      <c r="H16" s="93" t="s">
        <v>139</v>
      </c>
      <c r="I16" s="116"/>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61" t="s">
        <v>141</v>
      </c>
      <c r="C19" s="218"/>
      <c r="D19" s="218"/>
      <c r="E19" s="218"/>
      <c r="F19" s="218"/>
      <c r="G19" s="218"/>
      <c r="H19" s="218"/>
      <c r="I19" s="162"/>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08" t="s">
        <v>157</v>
      </c>
      <c r="C22" s="209"/>
      <c r="D22" s="209"/>
      <c r="E22" s="209"/>
      <c r="F22" s="209"/>
      <c r="G22" s="209"/>
      <c r="H22" s="209"/>
      <c r="I22" s="210"/>
    </row>
    <row r="23" spans="1:9" ht="18.75" customHeight="1" x14ac:dyDescent="0.15">
      <c r="A23" s="15"/>
      <c r="B23" s="219"/>
      <c r="C23" s="220"/>
      <c r="D23" s="220"/>
      <c r="E23" s="220"/>
      <c r="F23" s="220"/>
      <c r="G23" s="220"/>
      <c r="H23" s="220"/>
      <c r="I23" s="213"/>
    </row>
    <row r="24" spans="1:9" ht="18.75" customHeight="1" x14ac:dyDescent="0.15">
      <c r="A24" s="15"/>
      <c r="B24" s="219"/>
      <c r="C24" s="220"/>
      <c r="D24" s="220"/>
      <c r="E24" s="220"/>
      <c r="F24" s="220"/>
      <c r="G24" s="220"/>
      <c r="H24" s="220"/>
      <c r="I24" s="213"/>
    </row>
    <row r="25" spans="1:9" ht="18.75" customHeight="1" x14ac:dyDescent="0.15">
      <c r="A25" s="15"/>
      <c r="B25" s="219"/>
      <c r="C25" s="220"/>
      <c r="D25" s="220"/>
      <c r="E25" s="220"/>
      <c r="F25" s="220"/>
      <c r="G25" s="220"/>
      <c r="H25" s="220"/>
      <c r="I25" s="213"/>
    </row>
    <row r="26" spans="1:9" ht="18.75" customHeight="1" x14ac:dyDescent="0.15">
      <c r="A26" s="15"/>
      <c r="B26" s="219"/>
      <c r="C26" s="220"/>
      <c r="D26" s="220"/>
      <c r="E26" s="220"/>
      <c r="F26" s="220"/>
      <c r="G26" s="220"/>
      <c r="H26" s="220"/>
      <c r="I26" s="213"/>
    </row>
    <row r="27" spans="1:9" ht="18.75" customHeight="1" x14ac:dyDescent="0.15">
      <c r="A27" s="15"/>
      <c r="B27" s="219"/>
      <c r="C27" s="220"/>
      <c r="D27" s="220"/>
      <c r="E27" s="220"/>
      <c r="F27" s="220"/>
      <c r="G27" s="220"/>
      <c r="H27" s="220"/>
      <c r="I27" s="213"/>
    </row>
    <row r="28" spans="1:9" ht="18.75" customHeight="1" x14ac:dyDescent="0.15">
      <c r="A28" s="15"/>
      <c r="B28" s="219"/>
      <c r="C28" s="220"/>
      <c r="D28" s="220"/>
      <c r="E28" s="220"/>
      <c r="F28" s="220"/>
      <c r="G28" s="220"/>
      <c r="H28" s="220"/>
      <c r="I28" s="213"/>
    </row>
    <row r="29" spans="1:9" ht="18.75" customHeight="1" x14ac:dyDescent="0.15">
      <c r="A29" s="15"/>
      <c r="B29" s="219"/>
      <c r="C29" s="220"/>
      <c r="D29" s="220"/>
      <c r="E29" s="220"/>
      <c r="F29" s="220"/>
      <c r="G29" s="220"/>
      <c r="H29" s="220"/>
      <c r="I29" s="213"/>
    </row>
    <row r="30" spans="1:9" ht="18.75" customHeight="1" x14ac:dyDescent="0.15">
      <c r="A30" s="15"/>
      <c r="B30" s="211"/>
      <c r="C30" s="212"/>
      <c r="D30" s="212"/>
      <c r="E30" s="212"/>
      <c r="F30" s="212"/>
      <c r="G30" s="212"/>
      <c r="H30" s="212"/>
      <c r="I30" s="213"/>
    </row>
    <row r="31" spans="1:9" ht="18.75" customHeight="1" x14ac:dyDescent="0.15">
      <c r="A31" s="15"/>
      <c r="B31" s="211"/>
      <c r="C31" s="212"/>
      <c r="D31" s="212"/>
      <c r="E31" s="212"/>
      <c r="F31" s="212"/>
      <c r="G31" s="212"/>
      <c r="H31" s="212"/>
      <c r="I31" s="213"/>
    </row>
    <row r="32" spans="1:9" ht="18.75" customHeight="1" x14ac:dyDescent="0.15">
      <c r="A32" s="15"/>
      <c r="B32" s="214"/>
      <c r="C32" s="215"/>
      <c r="D32" s="215"/>
      <c r="E32" s="215"/>
      <c r="F32" s="215"/>
      <c r="G32" s="215"/>
      <c r="H32" s="215"/>
      <c r="I32" s="216"/>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08" t="s">
        <v>152</v>
      </c>
      <c r="C35" s="209"/>
      <c r="D35" s="209"/>
      <c r="E35" s="209"/>
      <c r="F35" s="209"/>
      <c r="G35" s="209"/>
      <c r="H35" s="209"/>
      <c r="I35" s="210"/>
    </row>
    <row r="36" spans="1:9" ht="18.75" customHeight="1" x14ac:dyDescent="0.15">
      <c r="A36" s="15"/>
      <c r="B36" s="211"/>
      <c r="C36" s="212"/>
      <c r="D36" s="212"/>
      <c r="E36" s="212"/>
      <c r="F36" s="212"/>
      <c r="G36" s="212"/>
      <c r="H36" s="212"/>
      <c r="I36" s="213"/>
    </row>
    <row r="37" spans="1:9" ht="18.75" customHeight="1" x14ac:dyDescent="0.15">
      <c r="A37" s="15"/>
      <c r="B37" s="211"/>
      <c r="C37" s="212"/>
      <c r="D37" s="212"/>
      <c r="E37" s="212"/>
      <c r="F37" s="212"/>
      <c r="G37" s="212"/>
      <c r="H37" s="212"/>
      <c r="I37" s="213"/>
    </row>
    <row r="38" spans="1:9" ht="18.75" customHeight="1" x14ac:dyDescent="0.15">
      <c r="A38" s="15"/>
      <c r="B38" s="211"/>
      <c r="C38" s="212"/>
      <c r="D38" s="212"/>
      <c r="E38" s="212"/>
      <c r="F38" s="212"/>
      <c r="G38" s="212"/>
      <c r="H38" s="212"/>
      <c r="I38" s="213"/>
    </row>
    <row r="39" spans="1:9" ht="18.75" customHeight="1" x14ac:dyDescent="0.15">
      <c r="A39" s="15"/>
      <c r="B39" s="211"/>
      <c r="C39" s="212"/>
      <c r="D39" s="212"/>
      <c r="E39" s="212"/>
      <c r="F39" s="212"/>
      <c r="G39" s="212"/>
      <c r="H39" s="212"/>
      <c r="I39" s="213"/>
    </row>
    <row r="40" spans="1:9" ht="18.75" customHeight="1" x14ac:dyDescent="0.15">
      <c r="A40" s="15"/>
      <c r="B40" s="211"/>
      <c r="C40" s="212"/>
      <c r="D40" s="212"/>
      <c r="E40" s="212"/>
      <c r="F40" s="212"/>
      <c r="G40" s="212"/>
      <c r="H40" s="212"/>
      <c r="I40" s="213"/>
    </row>
    <row r="41" spans="1:9" ht="18.75" customHeight="1" x14ac:dyDescent="0.15">
      <c r="A41" s="15"/>
      <c r="B41" s="211"/>
      <c r="C41" s="212"/>
      <c r="D41" s="212"/>
      <c r="E41" s="212"/>
      <c r="F41" s="212"/>
      <c r="G41" s="212"/>
      <c r="H41" s="212"/>
      <c r="I41" s="213"/>
    </row>
    <row r="42" spans="1:9" ht="18.75" customHeight="1" x14ac:dyDescent="0.15">
      <c r="A42" s="15"/>
      <c r="B42" s="211"/>
      <c r="C42" s="212"/>
      <c r="D42" s="212"/>
      <c r="E42" s="212"/>
      <c r="F42" s="212"/>
      <c r="G42" s="212"/>
      <c r="H42" s="212"/>
      <c r="I42" s="213"/>
    </row>
    <row r="43" spans="1:9" ht="18.75" customHeight="1" x14ac:dyDescent="0.15">
      <c r="A43" s="15"/>
      <c r="B43" s="211"/>
      <c r="C43" s="212"/>
      <c r="D43" s="212"/>
      <c r="E43" s="212"/>
      <c r="F43" s="212"/>
      <c r="G43" s="212"/>
      <c r="H43" s="212"/>
      <c r="I43" s="213"/>
    </row>
    <row r="44" spans="1:9" ht="18.75" customHeight="1" x14ac:dyDescent="0.15">
      <c r="A44" s="15"/>
      <c r="B44" s="211"/>
      <c r="C44" s="212"/>
      <c r="D44" s="212"/>
      <c r="E44" s="212"/>
      <c r="F44" s="212"/>
      <c r="G44" s="212"/>
      <c r="H44" s="212"/>
      <c r="I44" s="213"/>
    </row>
    <row r="45" spans="1:9" ht="18.75" customHeight="1" x14ac:dyDescent="0.15">
      <c r="A45" s="15"/>
      <c r="B45" s="211"/>
      <c r="C45" s="212"/>
      <c r="D45" s="212"/>
      <c r="E45" s="212"/>
      <c r="F45" s="212"/>
      <c r="G45" s="212"/>
      <c r="H45" s="212"/>
      <c r="I45" s="213"/>
    </row>
    <row r="46" spans="1:9" ht="18.75" customHeight="1" x14ac:dyDescent="0.15">
      <c r="A46" s="15"/>
      <c r="B46" s="214"/>
      <c r="C46" s="215"/>
      <c r="D46" s="215"/>
      <c r="E46" s="215"/>
      <c r="F46" s="215"/>
      <c r="G46" s="215"/>
      <c r="H46" s="215"/>
      <c r="I46" s="216"/>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197">
        <f>'様式２ 履修者等数の実績'!AQ32</f>
        <v>0.19441069258809235</v>
      </c>
      <c r="D49" s="197"/>
      <c r="E49" s="42" t="s">
        <v>66</v>
      </c>
      <c r="F49" s="197">
        <v>0.4</v>
      </c>
      <c r="G49" s="197"/>
      <c r="H49" s="42" t="s">
        <v>67</v>
      </c>
      <c r="I49" s="43">
        <v>0.6</v>
      </c>
      <c r="J49" s="1"/>
      <c r="M49" s="1"/>
      <c r="N49" s="44"/>
    </row>
    <row r="50" spans="1:15" s="3" customFormat="1" ht="18.75" customHeight="1" x14ac:dyDescent="0.15">
      <c r="B50" s="45" t="s">
        <v>68</v>
      </c>
      <c r="C50" s="198">
        <v>0.8</v>
      </c>
      <c r="D50" s="198"/>
      <c r="E50" s="45" t="s">
        <v>90</v>
      </c>
      <c r="F50" s="198">
        <v>1</v>
      </c>
      <c r="G50" s="198"/>
      <c r="H50" s="45" t="s">
        <v>69</v>
      </c>
      <c r="I50" s="46">
        <f>'様式２ 履修者等数の実績'!E32</f>
        <v>823</v>
      </c>
      <c r="J50" s="1"/>
      <c r="M50" s="1"/>
      <c r="N50" s="44"/>
    </row>
    <row r="51" spans="1:15" ht="18.75" customHeight="1" x14ac:dyDescent="0.15">
      <c r="A51" s="1"/>
      <c r="B51" s="221" t="s">
        <v>70</v>
      </c>
      <c r="C51" s="222"/>
      <c r="D51" s="222"/>
      <c r="E51" s="222"/>
      <c r="F51" s="222"/>
      <c r="G51" s="222"/>
      <c r="H51" s="222"/>
      <c r="I51" s="223"/>
      <c r="N51" s="44"/>
      <c r="O51" s="3"/>
    </row>
    <row r="52" spans="1:15" ht="18.75" customHeight="1" x14ac:dyDescent="0.15">
      <c r="A52" s="1"/>
      <c r="B52" s="199" t="s">
        <v>158</v>
      </c>
      <c r="C52" s="200"/>
      <c r="D52" s="200"/>
      <c r="E52" s="200"/>
      <c r="F52" s="200"/>
      <c r="G52" s="200"/>
      <c r="H52" s="200"/>
      <c r="I52" s="201"/>
      <c r="N52" s="44"/>
      <c r="O52" s="3"/>
    </row>
    <row r="53" spans="1:15" ht="18.75" customHeight="1" x14ac:dyDescent="0.15">
      <c r="A53" s="1"/>
      <c r="B53" s="202"/>
      <c r="C53" s="203"/>
      <c r="D53" s="203"/>
      <c r="E53" s="203"/>
      <c r="F53" s="203"/>
      <c r="G53" s="203"/>
      <c r="H53" s="203"/>
      <c r="I53" s="204"/>
      <c r="N53" s="44"/>
      <c r="O53" s="3"/>
    </row>
    <row r="54" spans="1:15" ht="18.75" customHeight="1" x14ac:dyDescent="0.15">
      <c r="A54" s="1"/>
      <c r="B54" s="202"/>
      <c r="C54" s="203"/>
      <c r="D54" s="203"/>
      <c r="E54" s="203"/>
      <c r="F54" s="203"/>
      <c r="G54" s="203"/>
      <c r="H54" s="203"/>
      <c r="I54" s="204"/>
    </row>
    <row r="55" spans="1:15" ht="18.75" customHeight="1" x14ac:dyDescent="0.15">
      <c r="A55" s="1"/>
      <c r="B55" s="202"/>
      <c r="C55" s="203"/>
      <c r="D55" s="203"/>
      <c r="E55" s="203"/>
      <c r="F55" s="203"/>
      <c r="G55" s="203"/>
      <c r="H55" s="203"/>
      <c r="I55" s="204"/>
    </row>
    <row r="56" spans="1:15" ht="18.75" customHeight="1" x14ac:dyDescent="0.15">
      <c r="A56" s="1"/>
      <c r="B56" s="202"/>
      <c r="C56" s="203"/>
      <c r="D56" s="203"/>
      <c r="E56" s="203"/>
      <c r="F56" s="203"/>
      <c r="G56" s="203"/>
      <c r="H56" s="203"/>
      <c r="I56" s="204"/>
    </row>
    <row r="57" spans="1:15" ht="18.75" customHeight="1" x14ac:dyDescent="0.15">
      <c r="A57" s="1"/>
      <c r="B57" s="202"/>
      <c r="C57" s="203"/>
      <c r="D57" s="203"/>
      <c r="E57" s="203"/>
      <c r="F57" s="203"/>
      <c r="G57" s="203"/>
      <c r="H57" s="203"/>
      <c r="I57" s="204"/>
    </row>
    <row r="58" spans="1:15" ht="18.75" customHeight="1" x14ac:dyDescent="0.15">
      <c r="A58" s="1"/>
      <c r="B58" s="202"/>
      <c r="C58" s="203"/>
      <c r="D58" s="203"/>
      <c r="E58" s="203"/>
      <c r="F58" s="203"/>
      <c r="G58" s="203"/>
      <c r="H58" s="203"/>
      <c r="I58" s="204"/>
    </row>
    <row r="59" spans="1:15" ht="18.75" customHeight="1" x14ac:dyDescent="0.15">
      <c r="A59" s="1"/>
      <c r="B59" s="202"/>
      <c r="C59" s="203"/>
      <c r="D59" s="203"/>
      <c r="E59" s="203"/>
      <c r="F59" s="203"/>
      <c r="G59" s="203"/>
      <c r="H59" s="203"/>
      <c r="I59" s="204"/>
    </row>
    <row r="60" spans="1:15" ht="18.75" customHeight="1" x14ac:dyDescent="0.15">
      <c r="A60" s="1"/>
      <c r="B60" s="202"/>
      <c r="C60" s="203"/>
      <c r="D60" s="203"/>
      <c r="E60" s="203"/>
      <c r="F60" s="203"/>
      <c r="G60" s="203"/>
      <c r="H60" s="203"/>
      <c r="I60" s="204"/>
    </row>
    <row r="61" spans="1:15" ht="18.75" customHeight="1" x14ac:dyDescent="0.15">
      <c r="A61" s="1"/>
      <c r="B61" s="202"/>
      <c r="C61" s="203"/>
      <c r="D61" s="203"/>
      <c r="E61" s="203"/>
      <c r="F61" s="203"/>
      <c r="G61" s="203"/>
      <c r="H61" s="203"/>
      <c r="I61" s="204"/>
    </row>
    <row r="62" spans="1:15" ht="18.75" customHeight="1" x14ac:dyDescent="0.15">
      <c r="A62" s="1"/>
      <c r="B62" s="202"/>
      <c r="C62" s="203"/>
      <c r="D62" s="203"/>
      <c r="E62" s="203"/>
      <c r="F62" s="203"/>
      <c r="G62" s="203"/>
      <c r="H62" s="203"/>
      <c r="I62" s="204"/>
    </row>
    <row r="63" spans="1:15" ht="18.75" customHeight="1" x14ac:dyDescent="0.15">
      <c r="A63" s="1"/>
      <c r="B63" s="205"/>
      <c r="C63" s="206"/>
      <c r="D63" s="206"/>
      <c r="E63" s="206"/>
      <c r="F63" s="206"/>
      <c r="G63" s="206"/>
      <c r="H63" s="206"/>
      <c r="I63" s="207"/>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1" t="s">
        <v>142</v>
      </c>
      <c r="C66" s="182"/>
      <c r="D66" s="182"/>
      <c r="E66" s="182"/>
      <c r="F66" s="182"/>
      <c r="G66" s="182"/>
      <c r="H66" s="182"/>
      <c r="I66" s="183"/>
    </row>
    <row r="67" spans="1:9" ht="18.75" customHeight="1" x14ac:dyDescent="0.15">
      <c r="A67" s="4"/>
      <c r="B67" s="184"/>
      <c r="C67" s="185"/>
      <c r="D67" s="185"/>
      <c r="E67" s="185"/>
      <c r="F67" s="185"/>
      <c r="G67" s="185"/>
      <c r="H67" s="185"/>
      <c r="I67" s="186"/>
    </row>
    <row r="68" spans="1:9" ht="18.75" customHeight="1" x14ac:dyDescent="0.15">
      <c r="A68" s="4"/>
      <c r="B68" s="184"/>
      <c r="C68" s="185"/>
      <c r="D68" s="185"/>
      <c r="E68" s="185"/>
      <c r="F68" s="185"/>
      <c r="G68" s="185"/>
      <c r="H68" s="185"/>
      <c r="I68" s="186"/>
    </row>
    <row r="69" spans="1:9" ht="18.75" customHeight="1" x14ac:dyDescent="0.15">
      <c r="A69" s="4"/>
      <c r="B69" s="184"/>
      <c r="C69" s="185"/>
      <c r="D69" s="185"/>
      <c r="E69" s="185"/>
      <c r="F69" s="185"/>
      <c r="G69" s="185"/>
      <c r="H69" s="185"/>
      <c r="I69" s="186"/>
    </row>
    <row r="70" spans="1:9" ht="18.75" customHeight="1" x14ac:dyDescent="0.15">
      <c r="A70" s="4"/>
      <c r="B70" s="184"/>
      <c r="C70" s="185"/>
      <c r="D70" s="185"/>
      <c r="E70" s="185"/>
      <c r="F70" s="185"/>
      <c r="G70" s="185"/>
      <c r="H70" s="185"/>
      <c r="I70" s="186"/>
    </row>
    <row r="71" spans="1:9" ht="18.75" customHeight="1" x14ac:dyDescent="0.15">
      <c r="A71" s="4"/>
      <c r="B71" s="184"/>
      <c r="C71" s="185"/>
      <c r="D71" s="185"/>
      <c r="E71" s="185"/>
      <c r="F71" s="185"/>
      <c r="G71" s="185"/>
      <c r="H71" s="185"/>
      <c r="I71" s="186"/>
    </row>
    <row r="72" spans="1:9" ht="18.75" customHeight="1" x14ac:dyDescent="0.15">
      <c r="A72" s="4"/>
      <c r="B72" s="184"/>
      <c r="C72" s="185"/>
      <c r="D72" s="185"/>
      <c r="E72" s="185"/>
      <c r="F72" s="185"/>
      <c r="G72" s="185"/>
      <c r="H72" s="185"/>
      <c r="I72" s="186"/>
    </row>
    <row r="73" spans="1:9" ht="18.75" customHeight="1" x14ac:dyDescent="0.15">
      <c r="A73" s="4"/>
      <c r="B73" s="184"/>
      <c r="C73" s="185"/>
      <c r="D73" s="185"/>
      <c r="E73" s="185"/>
      <c r="F73" s="185"/>
      <c r="G73" s="185"/>
      <c r="H73" s="185"/>
      <c r="I73" s="186"/>
    </row>
    <row r="74" spans="1:9" ht="18.75" customHeight="1" x14ac:dyDescent="0.15">
      <c r="A74" s="4"/>
      <c r="B74" s="184"/>
      <c r="C74" s="185"/>
      <c r="D74" s="185"/>
      <c r="E74" s="185"/>
      <c r="F74" s="185"/>
      <c r="G74" s="185"/>
      <c r="H74" s="185"/>
      <c r="I74" s="186"/>
    </row>
    <row r="75" spans="1:9" ht="18.75" customHeight="1" x14ac:dyDescent="0.15">
      <c r="A75" s="4"/>
      <c r="B75" s="184"/>
      <c r="C75" s="185"/>
      <c r="D75" s="185"/>
      <c r="E75" s="185"/>
      <c r="F75" s="185"/>
      <c r="G75" s="185"/>
      <c r="H75" s="185"/>
      <c r="I75" s="186"/>
    </row>
    <row r="76" spans="1:9" ht="18.75" customHeight="1" x14ac:dyDescent="0.15">
      <c r="A76" s="4"/>
      <c r="B76" s="184"/>
      <c r="C76" s="185"/>
      <c r="D76" s="185"/>
      <c r="E76" s="185"/>
      <c r="F76" s="185"/>
      <c r="G76" s="185"/>
      <c r="H76" s="185"/>
      <c r="I76" s="186"/>
    </row>
    <row r="77" spans="1:9" ht="18.75" customHeight="1" x14ac:dyDescent="0.15">
      <c r="A77" s="4"/>
      <c r="B77" s="187"/>
      <c r="C77" s="188"/>
      <c r="D77" s="188"/>
      <c r="E77" s="188"/>
      <c r="F77" s="188"/>
      <c r="G77" s="188"/>
      <c r="H77" s="188"/>
      <c r="I77" s="189"/>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1" t="s">
        <v>143</v>
      </c>
      <c r="C80" s="182"/>
      <c r="D80" s="182"/>
      <c r="E80" s="182"/>
      <c r="F80" s="182"/>
      <c r="G80" s="182"/>
      <c r="H80" s="182"/>
      <c r="I80" s="190"/>
    </row>
    <row r="81" spans="1:9" ht="18.75" customHeight="1" x14ac:dyDescent="0.15">
      <c r="A81" s="1"/>
      <c r="B81" s="191"/>
      <c r="C81" s="192"/>
      <c r="D81" s="192"/>
      <c r="E81" s="192"/>
      <c r="F81" s="192"/>
      <c r="G81" s="192"/>
      <c r="H81" s="192"/>
      <c r="I81" s="193"/>
    </row>
    <row r="82" spans="1:9" ht="18.75" customHeight="1" x14ac:dyDescent="0.15">
      <c r="A82" s="1"/>
      <c r="B82" s="191"/>
      <c r="C82" s="192"/>
      <c r="D82" s="192"/>
      <c r="E82" s="192"/>
      <c r="F82" s="192"/>
      <c r="G82" s="192"/>
      <c r="H82" s="192"/>
      <c r="I82" s="193"/>
    </row>
    <row r="83" spans="1:9" ht="18.75" customHeight="1" x14ac:dyDescent="0.15">
      <c r="A83" s="1"/>
      <c r="B83" s="191"/>
      <c r="C83" s="192"/>
      <c r="D83" s="192"/>
      <c r="E83" s="192"/>
      <c r="F83" s="192"/>
      <c r="G83" s="192"/>
      <c r="H83" s="192"/>
      <c r="I83" s="193"/>
    </row>
    <row r="84" spans="1:9" ht="18.75" customHeight="1" x14ac:dyDescent="0.15">
      <c r="A84" s="1"/>
      <c r="B84" s="191"/>
      <c r="C84" s="192"/>
      <c r="D84" s="192"/>
      <c r="E84" s="192"/>
      <c r="F84" s="192"/>
      <c r="G84" s="192"/>
      <c r="H84" s="192"/>
      <c r="I84" s="193"/>
    </row>
    <row r="85" spans="1:9" ht="18.75" customHeight="1" x14ac:dyDescent="0.15">
      <c r="A85" s="1"/>
      <c r="B85" s="191"/>
      <c r="C85" s="192"/>
      <c r="D85" s="192"/>
      <c r="E85" s="192"/>
      <c r="F85" s="192"/>
      <c r="G85" s="192"/>
      <c r="H85" s="192"/>
      <c r="I85" s="193"/>
    </row>
    <row r="86" spans="1:9" ht="18.75" customHeight="1" x14ac:dyDescent="0.15">
      <c r="A86" s="1"/>
      <c r="B86" s="191"/>
      <c r="C86" s="192"/>
      <c r="D86" s="192"/>
      <c r="E86" s="192"/>
      <c r="F86" s="192"/>
      <c r="G86" s="192"/>
      <c r="H86" s="192"/>
      <c r="I86" s="193"/>
    </row>
    <row r="87" spans="1:9" ht="18.75" customHeight="1" x14ac:dyDescent="0.15">
      <c r="A87" s="1"/>
      <c r="B87" s="191"/>
      <c r="C87" s="192"/>
      <c r="D87" s="192"/>
      <c r="E87" s="192"/>
      <c r="F87" s="192"/>
      <c r="G87" s="192"/>
      <c r="H87" s="192"/>
      <c r="I87" s="193"/>
    </row>
    <row r="88" spans="1:9" ht="18.75" customHeight="1" x14ac:dyDescent="0.15">
      <c r="A88" s="1"/>
      <c r="B88" s="191"/>
      <c r="C88" s="192"/>
      <c r="D88" s="192"/>
      <c r="E88" s="192"/>
      <c r="F88" s="192"/>
      <c r="G88" s="192"/>
      <c r="H88" s="192"/>
      <c r="I88" s="193"/>
    </row>
    <row r="89" spans="1:9" ht="18.75" customHeight="1" x14ac:dyDescent="0.15">
      <c r="A89" s="1"/>
      <c r="B89" s="191"/>
      <c r="C89" s="192"/>
      <c r="D89" s="192"/>
      <c r="E89" s="192"/>
      <c r="F89" s="192"/>
      <c r="G89" s="192"/>
      <c r="H89" s="192"/>
      <c r="I89" s="193"/>
    </row>
    <row r="90" spans="1:9" ht="18.75" customHeight="1" x14ac:dyDescent="0.15">
      <c r="A90" s="4"/>
      <c r="B90" s="191"/>
      <c r="C90" s="192"/>
      <c r="D90" s="192"/>
      <c r="E90" s="192"/>
      <c r="F90" s="192"/>
      <c r="G90" s="192"/>
      <c r="H90" s="192"/>
      <c r="I90" s="193"/>
    </row>
    <row r="91" spans="1:9" ht="18.75" customHeight="1" x14ac:dyDescent="0.15">
      <c r="A91" s="4"/>
      <c r="B91" s="194"/>
      <c r="C91" s="195"/>
      <c r="D91" s="195"/>
      <c r="E91" s="195"/>
      <c r="F91" s="195"/>
      <c r="G91" s="195"/>
      <c r="H91" s="195"/>
      <c r="I91" s="196"/>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8" t="s">
        <v>144</v>
      </c>
      <c r="C94" s="209"/>
      <c r="D94" s="209"/>
      <c r="E94" s="209"/>
      <c r="F94" s="209"/>
      <c r="G94" s="209"/>
      <c r="H94" s="209"/>
      <c r="I94" s="210"/>
    </row>
    <row r="95" spans="1:9" ht="18.75" customHeight="1" x14ac:dyDescent="0.15">
      <c r="A95" s="1"/>
      <c r="B95" s="211"/>
      <c r="C95" s="212"/>
      <c r="D95" s="212"/>
      <c r="E95" s="212"/>
      <c r="F95" s="212"/>
      <c r="G95" s="212"/>
      <c r="H95" s="212"/>
      <c r="I95" s="213"/>
    </row>
    <row r="96" spans="1:9" ht="18.75" customHeight="1" x14ac:dyDescent="0.15">
      <c r="A96" s="1"/>
      <c r="B96" s="211"/>
      <c r="C96" s="212"/>
      <c r="D96" s="212"/>
      <c r="E96" s="212"/>
      <c r="F96" s="212"/>
      <c r="G96" s="212"/>
      <c r="H96" s="212"/>
      <c r="I96" s="213"/>
    </row>
    <row r="97" spans="1:9" ht="18.75" customHeight="1" x14ac:dyDescent="0.15">
      <c r="A97" s="1"/>
      <c r="B97" s="211"/>
      <c r="C97" s="212"/>
      <c r="D97" s="212"/>
      <c r="E97" s="212"/>
      <c r="F97" s="212"/>
      <c r="G97" s="212"/>
      <c r="H97" s="212"/>
      <c r="I97" s="213"/>
    </row>
    <row r="98" spans="1:9" ht="18.75" customHeight="1" x14ac:dyDescent="0.15">
      <c r="A98" s="1"/>
      <c r="B98" s="211"/>
      <c r="C98" s="212"/>
      <c r="D98" s="212"/>
      <c r="E98" s="212"/>
      <c r="F98" s="212"/>
      <c r="G98" s="212"/>
      <c r="H98" s="212"/>
      <c r="I98" s="213"/>
    </row>
    <row r="99" spans="1:9" ht="18.75" customHeight="1" x14ac:dyDescent="0.15">
      <c r="A99" s="1"/>
      <c r="B99" s="211"/>
      <c r="C99" s="212"/>
      <c r="D99" s="212"/>
      <c r="E99" s="212"/>
      <c r="F99" s="212"/>
      <c r="G99" s="212"/>
      <c r="H99" s="212"/>
      <c r="I99" s="213"/>
    </row>
    <row r="100" spans="1:9" ht="18.75" customHeight="1" x14ac:dyDescent="0.15">
      <c r="A100" s="1"/>
      <c r="B100" s="211"/>
      <c r="C100" s="212"/>
      <c r="D100" s="212"/>
      <c r="E100" s="212"/>
      <c r="F100" s="212"/>
      <c r="G100" s="212"/>
      <c r="H100" s="212"/>
      <c r="I100" s="213"/>
    </row>
    <row r="101" spans="1:9" ht="18.75" customHeight="1" x14ac:dyDescent="0.15">
      <c r="A101" s="1"/>
      <c r="B101" s="211"/>
      <c r="C101" s="212"/>
      <c r="D101" s="212"/>
      <c r="E101" s="212"/>
      <c r="F101" s="212"/>
      <c r="G101" s="212"/>
      <c r="H101" s="212"/>
      <c r="I101" s="213"/>
    </row>
    <row r="102" spans="1:9" ht="18.75" customHeight="1" x14ac:dyDescent="0.15">
      <c r="A102" s="1"/>
      <c r="B102" s="211"/>
      <c r="C102" s="212"/>
      <c r="D102" s="212"/>
      <c r="E102" s="212"/>
      <c r="F102" s="212"/>
      <c r="G102" s="212"/>
      <c r="H102" s="212"/>
      <c r="I102" s="213"/>
    </row>
    <row r="103" spans="1:9" ht="18.75" customHeight="1" x14ac:dyDescent="0.15">
      <c r="A103" s="1"/>
      <c r="B103" s="211"/>
      <c r="C103" s="212"/>
      <c r="D103" s="212"/>
      <c r="E103" s="212"/>
      <c r="F103" s="212"/>
      <c r="G103" s="212"/>
      <c r="H103" s="212"/>
      <c r="I103" s="213"/>
    </row>
    <row r="104" spans="1:9" ht="18.75" customHeight="1" x14ac:dyDescent="0.15">
      <c r="A104" s="1"/>
      <c r="B104" s="211"/>
      <c r="C104" s="212"/>
      <c r="D104" s="212"/>
      <c r="E104" s="212"/>
      <c r="F104" s="212"/>
      <c r="G104" s="212"/>
      <c r="H104" s="212"/>
      <c r="I104" s="213"/>
    </row>
    <row r="105" spans="1:9" ht="18.75" customHeight="1" x14ac:dyDescent="0.15">
      <c r="A105" s="4"/>
      <c r="B105" s="214"/>
      <c r="C105" s="215"/>
      <c r="D105" s="215"/>
      <c r="E105" s="215"/>
      <c r="F105" s="215"/>
      <c r="G105" s="215"/>
      <c r="H105" s="215"/>
      <c r="I105" s="216"/>
    </row>
    <row r="106" spans="1:9" ht="7.5" customHeight="1" x14ac:dyDescent="0.15">
      <c r="A106" s="4"/>
      <c r="B106" s="4"/>
      <c r="C106" s="4"/>
      <c r="D106" s="4"/>
      <c r="E106" s="4"/>
      <c r="F106" s="4"/>
      <c r="G106" s="4"/>
      <c r="H106" s="4"/>
      <c r="I106" s="4"/>
    </row>
    <row r="107" spans="1:9" ht="18.75" customHeight="1" x14ac:dyDescent="0.15">
      <c r="A107" s="1" t="s">
        <v>30</v>
      </c>
      <c r="B107" s="217" t="s">
        <v>46</v>
      </c>
      <c r="C107" s="217"/>
      <c r="D107" s="217"/>
      <c r="E107" s="217"/>
      <c r="F107" s="217"/>
      <c r="G107" s="217"/>
      <c r="H107" s="217"/>
      <c r="I107" s="217"/>
    </row>
    <row r="108" spans="1:9" ht="18.75" customHeight="1" x14ac:dyDescent="0.15">
      <c r="A108" s="4"/>
      <c r="B108" s="208" t="s">
        <v>153</v>
      </c>
      <c r="C108" s="209"/>
      <c r="D108" s="209"/>
      <c r="E108" s="209"/>
      <c r="F108" s="209"/>
      <c r="G108" s="209"/>
      <c r="H108" s="209"/>
      <c r="I108" s="210"/>
    </row>
    <row r="109" spans="1:9" ht="18.75" customHeight="1" x14ac:dyDescent="0.15">
      <c r="A109" s="4"/>
      <c r="B109" s="211"/>
      <c r="C109" s="212"/>
      <c r="D109" s="212"/>
      <c r="E109" s="212"/>
      <c r="F109" s="212"/>
      <c r="G109" s="212"/>
      <c r="H109" s="212"/>
      <c r="I109" s="213"/>
    </row>
    <row r="110" spans="1:9" ht="18.75" customHeight="1" x14ac:dyDescent="0.15">
      <c r="A110" s="4"/>
      <c r="B110" s="211"/>
      <c r="C110" s="212"/>
      <c r="D110" s="212"/>
      <c r="E110" s="212"/>
      <c r="F110" s="212"/>
      <c r="G110" s="212"/>
      <c r="H110" s="212"/>
      <c r="I110" s="213"/>
    </row>
    <row r="111" spans="1:9" ht="18.75" customHeight="1" x14ac:dyDescent="0.15">
      <c r="A111" s="4"/>
      <c r="B111" s="211"/>
      <c r="C111" s="212"/>
      <c r="D111" s="212"/>
      <c r="E111" s="212"/>
      <c r="F111" s="212"/>
      <c r="G111" s="212"/>
      <c r="H111" s="212"/>
      <c r="I111" s="213"/>
    </row>
    <row r="112" spans="1:9" ht="18.75" customHeight="1" x14ac:dyDescent="0.15">
      <c r="A112" s="4"/>
      <c r="B112" s="211"/>
      <c r="C112" s="212"/>
      <c r="D112" s="212"/>
      <c r="E112" s="212"/>
      <c r="F112" s="212"/>
      <c r="G112" s="212"/>
      <c r="H112" s="212"/>
      <c r="I112" s="213"/>
    </row>
    <row r="113" spans="1:9" ht="18.75" customHeight="1" x14ac:dyDescent="0.15">
      <c r="A113" s="4"/>
      <c r="B113" s="211"/>
      <c r="C113" s="212"/>
      <c r="D113" s="212"/>
      <c r="E113" s="212"/>
      <c r="F113" s="212"/>
      <c r="G113" s="212"/>
      <c r="H113" s="212"/>
      <c r="I113" s="213"/>
    </row>
    <row r="114" spans="1:9" ht="18.75" customHeight="1" x14ac:dyDescent="0.15">
      <c r="A114" s="4"/>
      <c r="B114" s="211"/>
      <c r="C114" s="212"/>
      <c r="D114" s="212"/>
      <c r="E114" s="212"/>
      <c r="F114" s="212"/>
      <c r="G114" s="212"/>
      <c r="H114" s="212"/>
      <c r="I114" s="213"/>
    </row>
    <row r="115" spans="1:9" ht="18.75" customHeight="1" x14ac:dyDescent="0.15">
      <c r="A115" s="4"/>
      <c r="B115" s="211"/>
      <c r="C115" s="212"/>
      <c r="D115" s="212"/>
      <c r="E115" s="212"/>
      <c r="F115" s="212"/>
      <c r="G115" s="212"/>
      <c r="H115" s="212"/>
      <c r="I115" s="213"/>
    </row>
    <row r="116" spans="1:9" ht="18.75" customHeight="1" x14ac:dyDescent="0.15">
      <c r="A116" s="4"/>
      <c r="B116" s="211"/>
      <c r="C116" s="212"/>
      <c r="D116" s="212"/>
      <c r="E116" s="212"/>
      <c r="F116" s="212"/>
      <c r="G116" s="212"/>
      <c r="H116" s="212"/>
      <c r="I116" s="213"/>
    </row>
    <row r="117" spans="1:9" ht="18.75" customHeight="1" x14ac:dyDescent="0.15">
      <c r="A117" s="4"/>
      <c r="B117" s="211"/>
      <c r="C117" s="212"/>
      <c r="D117" s="212"/>
      <c r="E117" s="212"/>
      <c r="F117" s="212"/>
      <c r="G117" s="212"/>
      <c r="H117" s="212"/>
      <c r="I117" s="213"/>
    </row>
    <row r="118" spans="1:9" ht="18.75" customHeight="1" x14ac:dyDescent="0.15">
      <c r="A118" s="4"/>
      <c r="B118" s="211"/>
      <c r="C118" s="212"/>
      <c r="D118" s="212"/>
      <c r="E118" s="212"/>
      <c r="F118" s="212"/>
      <c r="G118" s="212"/>
      <c r="H118" s="212"/>
      <c r="I118" s="213"/>
    </row>
    <row r="119" spans="1:9" ht="18.75" customHeight="1" x14ac:dyDescent="0.15">
      <c r="A119" s="4"/>
      <c r="B119" s="214"/>
      <c r="C119" s="215"/>
      <c r="D119" s="215"/>
      <c r="E119" s="215"/>
      <c r="F119" s="215"/>
      <c r="G119" s="215"/>
      <c r="H119" s="215"/>
      <c r="I119" s="216"/>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M13" sqref="M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近畿大学工業高等専門学校</v>
      </c>
    </row>
    <row r="3" spans="1:9" ht="18.75" customHeight="1" x14ac:dyDescent="0.15">
      <c r="A3" s="104" t="s">
        <v>28</v>
      </c>
      <c r="B3" s="104"/>
      <c r="C3" s="104"/>
      <c r="D3" s="104"/>
      <c r="E3" s="104"/>
      <c r="F3" s="104"/>
      <c r="G3" s="104"/>
      <c r="H3" s="104"/>
      <c r="I3" s="104"/>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93" t="s">
        <v>140</v>
      </c>
      <c r="C6" s="94"/>
      <c r="D6" s="94"/>
      <c r="E6" s="94"/>
      <c r="F6" s="94"/>
      <c r="G6" s="94"/>
      <c r="H6" s="95"/>
      <c r="I6" s="3"/>
    </row>
    <row r="7" spans="1:9" ht="9" customHeight="1" x14ac:dyDescent="0.15">
      <c r="A7" s="5"/>
      <c r="B7" s="10"/>
      <c r="C7" s="10"/>
      <c r="D7" s="10"/>
      <c r="E7" s="10"/>
      <c r="F7" s="10"/>
      <c r="G7" s="10"/>
      <c r="H7" s="10"/>
      <c r="I7" s="3"/>
    </row>
    <row r="8" spans="1:9" ht="18.75" customHeight="1" x14ac:dyDescent="0.15">
      <c r="A8" s="5"/>
      <c r="B8" s="3"/>
      <c r="C8" s="3"/>
      <c r="D8" s="35" t="s">
        <v>43</v>
      </c>
      <c r="E8" s="34" t="s">
        <v>156</v>
      </c>
      <c r="F8" s="3"/>
      <c r="G8" s="35" t="s">
        <v>10</v>
      </c>
      <c r="H8" s="34" t="s">
        <v>136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3" t="s">
        <v>24</v>
      </c>
      <c r="C11" s="94"/>
      <c r="D11" s="95"/>
      <c r="E11" s="94" t="s">
        <v>26</v>
      </c>
      <c r="F11" s="94"/>
      <c r="G11" s="94"/>
      <c r="H11" s="94"/>
      <c r="I11" s="95"/>
    </row>
    <row r="12" spans="1:9" ht="26.25" customHeight="1" x14ac:dyDescent="0.15">
      <c r="B12" s="49" t="s">
        <v>14</v>
      </c>
      <c r="C12" s="56"/>
      <c r="D12" s="50"/>
      <c r="E12" s="57"/>
      <c r="F12" s="57"/>
      <c r="G12" s="57"/>
      <c r="H12" s="57"/>
      <c r="I12" s="50"/>
    </row>
    <row r="13" spans="1:9" ht="210.75" customHeight="1" x14ac:dyDescent="0.15">
      <c r="B13" s="51"/>
      <c r="C13" s="230" t="s">
        <v>15</v>
      </c>
      <c r="D13" s="231"/>
      <c r="E13" s="243" t="s">
        <v>159</v>
      </c>
      <c r="F13" s="232"/>
      <c r="G13" s="232"/>
      <c r="H13" s="232"/>
      <c r="I13" s="233"/>
    </row>
    <row r="14" spans="1:9" ht="210.75" customHeight="1" x14ac:dyDescent="0.15">
      <c r="B14" s="51"/>
      <c r="C14" s="245" t="s">
        <v>16</v>
      </c>
      <c r="D14" s="246"/>
      <c r="E14" s="243" t="s">
        <v>154</v>
      </c>
      <c r="F14" s="232"/>
      <c r="G14" s="232"/>
      <c r="H14" s="232"/>
      <c r="I14" s="233"/>
    </row>
    <row r="15" spans="1:9" ht="210.75" customHeight="1" x14ac:dyDescent="0.15">
      <c r="B15" s="51"/>
      <c r="C15" s="230" t="s">
        <v>17</v>
      </c>
      <c r="D15" s="231"/>
      <c r="E15" s="243" t="s">
        <v>155</v>
      </c>
      <c r="F15" s="232"/>
      <c r="G15" s="232"/>
      <c r="H15" s="232"/>
      <c r="I15" s="233"/>
    </row>
    <row r="16" spans="1:9" ht="210.75" customHeight="1" x14ac:dyDescent="0.15">
      <c r="B16" s="51"/>
      <c r="C16" s="230" t="s">
        <v>18</v>
      </c>
      <c r="D16" s="231"/>
      <c r="E16" s="243" t="s">
        <v>149</v>
      </c>
      <c r="F16" s="232"/>
      <c r="G16" s="232"/>
      <c r="H16" s="232"/>
      <c r="I16" s="233"/>
    </row>
    <row r="17" spans="2:9" ht="210.75" customHeight="1" x14ac:dyDescent="0.15">
      <c r="B17" s="52"/>
      <c r="C17" s="234" t="s">
        <v>19</v>
      </c>
      <c r="D17" s="235"/>
      <c r="E17" s="244" t="s">
        <v>148</v>
      </c>
      <c r="F17" s="236"/>
      <c r="G17" s="236"/>
      <c r="H17" s="236"/>
      <c r="I17" s="237"/>
    </row>
    <row r="18" spans="2:9" ht="24" customHeight="1" x14ac:dyDescent="0.15">
      <c r="B18" s="49" t="s">
        <v>20</v>
      </c>
      <c r="C18" s="53"/>
      <c r="D18" s="54"/>
      <c r="E18" s="55"/>
      <c r="F18" s="55"/>
      <c r="G18" s="55"/>
      <c r="H18" s="55"/>
      <c r="I18" s="58"/>
    </row>
    <row r="19" spans="2:9" ht="218.25" customHeight="1" x14ac:dyDescent="0.15">
      <c r="B19" s="51"/>
      <c r="C19" s="230" t="s">
        <v>21</v>
      </c>
      <c r="D19" s="231"/>
      <c r="E19" s="232" t="s">
        <v>147</v>
      </c>
      <c r="F19" s="232"/>
      <c r="G19" s="232"/>
      <c r="H19" s="232"/>
      <c r="I19" s="233"/>
    </row>
    <row r="20" spans="2:9" ht="218.25" customHeight="1" x14ac:dyDescent="0.15">
      <c r="B20" s="52"/>
      <c r="C20" s="234" t="s">
        <v>22</v>
      </c>
      <c r="D20" s="235"/>
      <c r="E20" s="236" t="s">
        <v>146</v>
      </c>
      <c r="F20" s="236"/>
      <c r="G20" s="236"/>
      <c r="H20" s="236"/>
      <c r="I20" s="237"/>
    </row>
    <row r="21" spans="2:9" ht="218.25" customHeight="1" x14ac:dyDescent="0.15">
      <c r="B21" s="238" t="s">
        <v>23</v>
      </c>
      <c r="C21" s="239"/>
      <c r="D21" s="240"/>
      <c r="E21" s="241" t="s">
        <v>145</v>
      </c>
      <c r="F21" s="241"/>
      <c r="G21" s="241"/>
      <c r="H21" s="241"/>
      <c r="I21" s="242"/>
    </row>
    <row r="22" spans="2:9" ht="218.25" customHeight="1" x14ac:dyDescent="0.15">
      <c r="B22" s="225" t="s">
        <v>38</v>
      </c>
      <c r="C22" s="226"/>
      <c r="D22" s="227"/>
      <c r="E22" s="228" t="s">
        <v>150</v>
      </c>
      <c r="F22" s="228"/>
      <c r="G22" s="228"/>
      <c r="H22" s="228"/>
      <c r="I22" s="22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nakamura</cp:lastModifiedBy>
  <cp:lastPrinted>2023-06-26T06:43:52Z</cp:lastPrinted>
  <dcterms:created xsi:type="dcterms:W3CDTF">2011-06-14T05:32:50Z</dcterms:created>
  <dcterms:modified xsi:type="dcterms:W3CDTF">2023-06-26T06:46:45Z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