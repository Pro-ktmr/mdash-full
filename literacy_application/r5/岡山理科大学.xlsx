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C:\Users\nakagawa\iCloudDrive\Documents\2023\数理DSAI申請\20230623修正\"/>
    </mc:Choice>
  </mc:AlternateContent>
  <xr:revisionPtr revIDLastSave="0" documentId="13_ncr:1_{D6AFF048-915A-459D-9534-0F399584D38D}" xr6:coauthVersionLast="47" xr6:coauthVersionMax="47" xr10:uidLastSave="{00000000-0000-0000-0000-000000000000}"/>
  <bookViews>
    <workbookView xWindow="1420" yWindow="500" windowWidth="27020" windowHeight="20260" tabRatio="788"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40" l="1"/>
  <c r="I17" i="40"/>
  <c r="I16" i="40"/>
  <c r="I15" i="40"/>
  <c r="I14" i="40"/>
  <c r="I13" i="40"/>
  <c r="I12" i="40"/>
  <c r="AM2" i="40" l="1"/>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G32" i="40"/>
  <c r="H32" i="40"/>
  <c r="AP13" i="40"/>
  <c r="AP14" i="40"/>
  <c r="AP15" i="40"/>
  <c r="AP16" i="40"/>
  <c r="AP17" i="40"/>
  <c r="AP18" i="40"/>
  <c r="AP19" i="40"/>
  <c r="AP20" i="40"/>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<sst xmlns="http://schemas.openxmlformats.org/spreadsheetml/2006/main" count="323" uniqueCount="182">
  <si>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</si>
  <si>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</si>
  <si>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</si>
  <si>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</si>
  <si>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</si>
  <si>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</si>
  <si>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</si>
  <si>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</si>
  <si>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</si>
  <si>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</si>
  <si>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</si>
  <si>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</si>
  <si>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</si>
  <si>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</si>
  <si>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</si>
  <si>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</si>
  <si>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</si>
  <si>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</si>
  <si>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</si>
  <si>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</si>
  <si>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</si>
  <si>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</si>
  <si>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</si>
  <si>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</si>
  <si>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</si>
  <si>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</si>
  <si>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</si>
  <si>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</si>
  <si>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</si>
  <si>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</si>
  <si>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</si>
  <si>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</si>
  <si>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</si>
  <si>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</si>
  <si>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</si>
  <si>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</si>
  <si>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</si>
  <si>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</si>
  <si>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</si>
  <si>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</si>
  <si>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</si>
  <si>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</si>
  <si>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</si>
  <si>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</si>
  <si>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</si>
  <si>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</si>
  <si>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</si>
  <si>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</si>
  <si>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</si>
  <si>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</si>
  <si>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</si>
  <si>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</si>
  <si>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</si>
  <si>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</si>
  <si>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</si>
  <si>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</si>
  <si>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</si>
  <si>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</si>
  <si>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</si>
  <si>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</si>
  <si>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</si>
  <si>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</si>
  <si>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</si>
  <si>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</si>
  <si>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</si>
  <si>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</si>
  <si>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</si>
  <si>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</si>
  <si>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</si>
  <si>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</si>
  <si>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</si>
  <si>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</si>
  <si>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</si>
  <si>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</si>
  <si>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</si>
  <si>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</si>
  <si>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</si>
  <si>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</si>
  <si>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</si>
  <si>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</si>
  <si>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</si>
  <si>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</si>
  <si>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</si>
  <si>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</si>
  <si>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</si>
  <si>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</si>
  <si>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</si>
  <si>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</si>
  <si>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</si>
  <si>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</si>
  <si>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</si>
  <si>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</si>
  <si>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</si>
  <si>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</si>
  <si>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</si>
  <si>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</si>
  <si>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</si>
  <si>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</si>
  <si>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</si>
  <si>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</si>
  <si>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</si>
  <si>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</si>
  <si>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</si>
  <si>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</si>
  <si>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</si>
  <si>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</si>
  <si>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</si>
  <si>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</si>
  <si>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</si>
  <si>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</si>
  <si>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</si>
  <si>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</si>
  <si>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</si>
  <si>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</si>
  <si>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</si>
  <si>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</si>
  <si>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</si>
  <si>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</si>
  <si>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</si>
  <si>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</si>
  <si>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</si>
  <si>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</si>
  <si>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</si>
  <si>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</si>
  <si>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</si>
  <si>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</si>
  <si>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</si>
  <si>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岡山理科大学</t>
    <rPh sb="0" eb="6">
      <t>オカヤマリカダイガク</t>
    </rPh>
    <phoneticPr fontId="1"/>
  </si>
  <si>
    <t>松浦洋司</t>
    <rPh sb="0" eb="2">
      <t>マツウラ</t>
    </rPh>
    <rPh sb="2" eb="4">
      <t>ヨウジ</t>
    </rPh>
    <phoneticPr fontId="1"/>
  </si>
  <si>
    <t>副学長・教育推進機構長</t>
    <rPh sb="0" eb="3">
      <t>フクガクチョウ</t>
    </rPh>
    <rPh sb="4" eb="11">
      <t>キョウイクスイシンキコウチョウ</t>
    </rPh>
    <phoneticPr fontId="1"/>
  </si>
  <si>
    <t>中川重和</t>
    <rPh sb="0" eb="4">
      <t>ナカガワシゲカズ</t>
    </rPh>
    <phoneticPr fontId="1"/>
  </si>
  <si>
    <t>教育推進機構副機構長</t>
    <rPh sb="0" eb="2">
      <t>キョウイク</t>
    </rPh>
    <rPh sb="2" eb="4">
      <t>スイシン</t>
    </rPh>
    <rPh sb="4" eb="6">
      <t>キコウ</t>
    </rPh>
    <rPh sb="6" eb="7">
      <t>フク</t>
    </rPh>
    <rPh sb="7" eb="9">
      <t>キコウ</t>
    </rPh>
    <rPh sb="9" eb="10">
      <t>チョウ</t>
    </rPh>
    <phoneticPr fontId="1"/>
  </si>
  <si>
    <t>OUS 数理・データサイエンス・AI教育プログラム</t>
    <phoneticPr fontId="1"/>
  </si>
  <si>
    <t>学部・学科によって、修了要件は相違しない</t>
  </si>
  <si>
    <t>データを読みとく</t>
    <rPh sb="4" eb="5">
      <t>ヨ</t>
    </rPh>
    <phoneticPr fontId="1"/>
  </si>
  <si>
    <t>○</t>
  </si>
  <si>
    <t>4-1統計および数理基礎</t>
  </si>
  <si>
    <t>理学部</t>
    <rPh sb="0" eb="3">
      <t>リガクブ</t>
    </rPh>
    <phoneticPr fontId="1"/>
  </si>
  <si>
    <t>工学部</t>
    <rPh sb="0" eb="3">
      <t>コウガクブ</t>
    </rPh>
    <phoneticPr fontId="1"/>
  </si>
  <si>
    <t>情報理工学部</t>
    <rPh sb="0" eb="6">
      <t>ジョウホウリコウガクブ</t>
    </rPh>
    <phoneticPr fontId="1"/>
  </si>
  <si>
    <t>生命科学部</t>
    <rPh sb="0" eb="5">
      <t>セイメイカガクブ</t>
    </rPh>
    <phoneticPr fontId="1"/>
  </si>
  <si>
    <t>生物地球学部</t>
    <rPh sb="0" eb="6">
      <t>セイブツチキュウガクブ</t>
    </rPh>
    <phoneticPr fontId="1"/>
  </si>
  <si>
    <t>教育学部</t>
    <rPh sb="0" eb="4">
      <t>キョウイクガクブ</t>
    </rPh>
    <phoneticPr fontId="1"/>
  </si>
  <si>
    <t>経営学部</t>
    <rPh sb="0" eb="4">
      <t>ケイエイガクブ</t>
    </rPh>
    <phoneticPr fontId="1"/>
  </si>
  <si>
    <t>獣医学部</t>
    <rPh sb="0" eb="4">
      <t>ジュウイガクブ</t>
    </rPh>
    <phoneticPr fontId="1"/>
  </si>
  <si>
    <t xml:space="preserve">座長：
中川重和（教育推進機構副機構長／基盤教育センター・教授）
メンバー：
森裕一（学長特別補佐／経営学科・教授）　
黒田正博（経営学部長／経営学科・教授）
大熊一正（教育推進機構　基盤教育センター・教授）　
安田貴徳（教育推進機構　基盤教育センター・准教授）　
小野舞子（教育推進機構　基盤教育センター・講師）
栁貴久男（情報理工学部　情報理工学科・准教授）
</t>
    <phoneticPr fontId="1"/>
  </si>
  <si>
    <t>１．Society 5.0で活躍するための素養を身に付けることができる．
２．データサイエンスやAIが社会でどのように活用されているか，どのように新たな価値を創造しているかを理解し説明することができる．
３．身近なところにある課題を発見し，データサイエンスを通じて解決を図ることができる．</t>
    <rPh sb="14" eb="16">
      <t>カツヤク</t>
    </rPh>
    <rPh sb="21" eb="23">
      <t>ソヨウ</t>
    </rPh>
    <rPh sb="24" eb="25">
      <t>ミ</t>
    </rPh>
    <rPh sb="26" eb="27">
      <t>ツ</t>
    </rPh>
    <rPh sb="51" eb="53">
      <t>シャカイ</t>
    </rPh>
    <rPh sb="59" eb="61">
      <t>カツヨウ</t>
    </rPh>
    <rPh sb="73" eb="74">
      <t>アラ</t>
    </rPh>
    <rPh sb="76" eb="78">
      <t>カチ</t>
    </rPh>
    <rPh sb="79" eb="81">
      <t>ソウゾウ</t>
    </rPh>
    <rPh sb="87" eb="89">
      <t>リカイ</t>
    </rPh>
    <rPh sb="90" eb="92">
      <t>セツメイ</t>
    </rPh>
    <rPh sb="113" eb="115">
      <t>カダイ</t>
    </rPh>
    <rPh sb="116" eb="118">
      <t>ハッケン</t>
    </rPh>
    <rPh sb="129" eb="130">
      <t>ツウ</t>
    </rPh>
    <rPh sb="132" eb="134">
      <t>カイケツ</t>
    </rPh>
    <rPh sb="135" eb="136">
      <t>ハカ</t>
    </rPh>
    <phoneticPr fontId="1"/>
  </si>
  <si>
    <t>教育推進機構会議規程</t>
    <rPh sb="0" eb="6">
      <t>キョウイクスイシンキコウ</t>
    </rPh>
    <rPh sb="6" eb="10">
      <t>カイギキテイ</t>
    </rPh>
    <phoneticPr fontId="1"/>
  </si>
  <si>
    <t>岡山理科大学全学評価・計画委員会　教育推進部会</t>
    <rPh sb="0" eb="2">
      <t>オカヤマ</t>
    </rPh>
    <rPh sb="2" eb="4">
      <t>リカ</t>
    </rPh>
    <rPh sb="4" eb="6">
      <t>ダイガク</t>
    </rPh>
    <rPh sb="6" eb="8">
      <t>ゼンガク</t>
    </rPh>
    <rPh sb="8" eb="10">
      <t>ヒョウカ</t>
    </rPh>
    <rPh sb="11" eb="13">
      <t>ケイカク</t>
    </rPh>
    <rPh sb="13" eb="16">
      <t>イインカイ</t>
    </rPh>
    <rPh sb="17" eb="19">
      <t>キョウイク</t>
    </rPh>
    <rPh sb="19" eb="21">
      <t>スイシン</t>
    </rPh>
    <rPh sb="21" eb="23">
      <t>ブカイ</t>
    </rPh>
    <phoneticPr fontId="1"/>
  </si>
  <si>
    <t>令和4</t>
    <rPh sb="0" eb="2">
      <t>レイワ</t>
    </rPh>
    <phoneticPr fontId="1"/>
  </si>
  <si>
    <r>
      <rPr>
        <sz val="12"/>
        <rFont val="ＭＳ Ｐゴシック"/>
        <family val="3"/>
        <charset val="128"/>
        <scheme val="minor"/>
      </rPr>
      <t>教育推進機構会議作業部会</t>
    </r>
    <r>
      <rPr>
        <sz val="12"/>
        <color theme="1"/>
        <rFont val="ＭＳ Ｐゴシック"/>
        <family val="3"/>
        <charset val="128"/>
        <scheme val="minor"/>
      </rPr>
      <t>　OUS数理・データサイエンス・AI教育ワーキンググループ</t>
    </r>
    <rPh sb="0" eb="6">
      <t>キョウイクスイシンキコウ</t>
    </rPh>
    <rPh sb="6" eb="8">
      <t>カイギ</t>
    </rPh>
    <rPh sb="8" eb="12">
      <t>サギョウブカイ</t>
    </rPh>
    <rPh sb="16" eb="18">
      <t>スウリ</t>
    </rPh>
    <rPh sb="30" eb="32">
      <t>キョウイク</t>
    </rPh>
    <phoneticPr fontId="1"/>
  </si>
  <si>
    <t>総合情報学部</t>
    <rPh sb="0" eb="6">
      <t>ソウゴウジョウホウガクブ</t>
    </rPh>
    <phoneticPr fontId="1"/>
  </si>
  <si>
    <t xml:space="preserve">基盤教育科目の「データを読みとく」(2単位)と「技術を読みとく(データサイエンス)」(2単位)を取得すること．
</t>
    <rPh sb="0" eb="6">
      <t>キバンキョウイ</t>
    </rPh>
    <rPh sb="24" eb="26">
      <t>ギジュツ</t>
    </rPh>
    <rPh sb="27" eb="28">
      <t>ヨ</t>
    </rPh>
    <phoneticPr fontId="1"/>
  </si>
  <si>
    <t>技術を読みとく(データサイエンス)</t>
    <rPh sb="0" eb="2">
      <t>ギジュツ</t>
    </rPh>
    <rPh sb="3" eb="4">
      <t>ヨ</t>
    </rPh>
    <phoneticPr fontId="1"/>
  </si>
  <si>
    <t>教育推進機構会議作業部会　数理・データサイエンス・AI教育ワーキンググループは，Society5.0で活躍する人材を育成するよう，数理・データサイエンス・AI教育の全学展開（「OUS数理・データサイエンス・AI教育プログラム」の推進）および関連科目の整備を行うことを目的としている．</t>
    <phoneticPr fontId="1"/>
  </si>
  <si>
    <t>4‐3データ構造とプログラミング基礎</t>
  </si>
  <si>
    <t>教育推進機構副機構長</t>
    <rPh sb="0" eb="2">
      <t>キョウイク</t>
    </rPh>
    <rPh sb="2" eb="4">
      <t>スイシン</t>
    </rPh>
    <rPh sb="4" eb="5">
      <t>フク</t>
    </rPh>
    <rPh sb="5" eb="7">
      <t>キコウ</t>
    </rPh>
    <rPh sb="7" eb="8">
      <t>チョウ</t>
    </rPh>
    <phoneticPr fontId="1"/>
  </si>
  <si>
    <t>　本学LMS（mylog）から得られるデータに基づき，教育推進機構IRセンターが毎学期実施している分析により，履修・修得状況（学部・学科毎の履修者数や科目毎の単位修得者数など）を把握することができる．その分析結果の解釈・活用は，岡山理科大学全学評価・計画委員会教育推進部会で行う．</t>
    <rPh sb="66" eb="68">
      <t>ガッカ</t>
    </rPh>
    <rPh sb="120" eb="124">
      <t>ゼンガクヒョウカ</t>
    </rPh>
    <rPh sb="125" eb="130">
      <t>ケイカクイインカイ</t>
    </rPh>
    <phoneticPr fontId="1"/>
  </si>
  <si>
    <t>　学生アンケートによる授業評価結果を分析することによって，授業内容の学生の理解度・関心などを把握することができる．そして，その結果をOUS数理・データサイエンス・AI教育ワーキンググループと連携し、本教育プログラムの評価・改善に活用していく予定である．
　さらに詳細な分析には，最終成績に加えて，レポートや中間試験，期末試験ごとの成績についても分析が必要になるが，これは今後検討する．</t>
    <phoneticPr fontId="1"/>
  </si>
  <si>
    <t>　本教育プログラム受講者全員に対して授業アンケート（本学で開講している全ての授業で実施）を実施しており，教育推進機構教育開発センターにおいて学生の理解度を分析している．</t>
    <phoneticPr fontId="1"/>
  </si>
  <si>
    <t>　授業アンケートにおいて後輩学生や他の学生への推奨を確認できる項目を新たに作成し，それらを本教育プログラムの専用ページにおいて受講の感想等の意見を掲示，さらには講義受講の推奨に活用する予定である．</t>
    <phoneticPr fontId="1"/>
  </si>
  <si>
    <t>　教育推進機構会議や教学委員会において全学への情報共有を行うことで各学部学科での履修指導につなげること，さらに，本学全学科から選出している教育ディベロッパーによる専門分野の観点から見直しの検討をFD研修会を通じて行う．</t>
    <rPh sb="56" eb="61">
      <t>ホンガクゼンガッカ</t>
    </rPh>
    <phoneticPr fontId="1"/>
  </si>
  <si>
    <t>　数理・データサイエンス・AIモデルカリキュラム（リテラシーレベル）の導入部分に準じた内容を展開し，例えば，生成系AI（chatgptなど）の実例をもとに，AI等がどのように活用をされているかを中心に好奇心を促す講義内容としている．取り上げる実例については，学生アンケート等を活用し，その内容について評価を実施する．</t>
    <phoneticPr fontId="1"/>
  </si>
  <si>
    <t>　OUS数理・データサイエンス・AI教育ワーキンググループは，学生アンケート及びOUSフォーラム参加企業からの意見を参考に，学生の「分かりやすさ」の観点から講義の内容・実施方法の見直しを提言する．それを受け，岡山理科大学全学評価・計画委員会　教育推進部会において検討をする．</t>
    <phoneticPr fontId="1"/>
  </si>
  <si>
    <t>　前項同様，本学が実施している卒業生キャリア状況調査を活用することにより，本教育プログラムを修了した卒業生の進路先や活躍状況の把握が可能である．
　また，本学研究者たちが持つ技術シーズを地域に紹介し産学官連携を推進するため，毎年開催しているOUSフォーラムにおいて，本教育プログラムについても紹介し広く意見を求めることが可能である．</t>
    <rPh sb="133" eb="136">
      <t>ホンキョウイク</t>
    </rPh>
    <rPh sb="146" eb="148">
      <t>ショウカイ</t>
    </rPh>
    <phoneticPr fontId="1"/>
  </si>
  <si>
    <t>　本学が実施している卒業生キャリア状況調査を活用することにより，本教育プログラムを修了した卒業生の進路先や活躍状況の把握が可能である．
卒業生キャリア状況調査：卒業後3年が経過した時点で，卒業生とその卒業生の在籍企業の双方に対して，キャリア支援センターが実施しているアンケート調査．</t>
    <phoneticPr fontId="1"/>
  </si>
  <si>
    <t>　学部学科のチュータ制度及び岡山キャンパス内のアカデミックアドバイジングデスクを活用し，学期始めのオリエンテーションでの履修指導時に，「データを読みとく」及び「技術を読みとく(データサイエンス)」の積極的な履修を推奨する．
　また，「データを読みとく」においては，これまで以上に多くのクラスを開講し，様々な学科の学生が可能な限り受講できるように時間割調整を工夫する．「技術を読みとく(データサイエンス)」においても複数クラスを開講するようにする．</t>
    <phoneticPr fontId="1"/>
  </si>
  <si>
    <t>　「技術を読みとく(データサイエンス)」はVODを中心としたオンデマンド授業であり，集中講義形式での開講としているので，いつでもどこでも誰でも受講が可能である．
　「データを読みとく」は対面授業とオンライン授業をそれぞれ複数クラス開講することで，学生全員が受講可能としている．なお，昨年実績は対面授業が7クラスでオンライン授業が2クラスであった．
　また，プログラムを構成するすべての科目にオンライン授業を取りいれることで，岡山キャンパス，今治キャンパス両キャンパスの全学生が受講可能である．</t>
    <rPh sb="2" eb="4">
      <t>ギジュツ</t>
    </rPh>
    <rPh sb="5" eb="6">
      <t>ヨ</t>
    </rPh>
    <rPh sb="68" eb="69">
      <t>ダレ</t>
    </rPh>
    <phoneticPr fontId="1"/>
  </si>
  <si>
    <t>　本学のLMS(Mylog)を活用し，学生は24時間いつでも，どこでも質問ができるようになっている．また，岡山キャンパスでは，学習支援センター内に学習相談員が常駐しており，質問をいつでも受け付けるような体制を整えている．さらには，岡山キャンパス内のアカデミックアドバイジングデスクを活用する計画である．
学習支援センター：リメディアル教育を担当する部署であり，学習支援相談員が常駐している．
アカデミックアドバイジングデスク：学生生活全般に関するアドバイスを行う部署であり，教員およびアドバイザリー学生スタッフが学期期間中常駐している．</t>
    <phoneticPr fontId="1"/>
  </si>
  <si>
    <t>・令和5年度：学部学科チュータの協力のもと，秋学期オリエンテーション時に「データを読みとく」，「技術を読みとく（データサイエンス）」の受講を促進するような啓蒙活動を行う．また，OUS数理・データサイエンス・AI教育プログラムを修了した学生に対し，修了証の発行を行う．このことにより，学修成果を見える化し，履修促進に繋げたい． 
・令和6年度：初年次の全学履修科目である「フレッシュマンセミナー」において，OUS数理・データサイエンス・AI教育プログラムを，特に修了要件や学修成果などを中心に，紹介する．また，獣医学部の完成年次を迎えるにあたり，獣医学部のカリキュラム改訂により，全学開講を実施する．
・令和7年度：履修者の増加に応じ，柔軟なクラス数の増加の検討する．また，そのための教育プログラム対応可能教員の学内での養成を実施する．
・令和8年度：応用基礎レベルへの申請準備とその学内周知を徹底する．このことにより，OUS数理・データサイエンス・AI教育プログラムの認知度を高める．</t>
    <phoneticPr fontId="1"/>
  </si>
  <si>
    <t>　教育推進機構会議および教学委員会において，次の事項を周知徹底すること：学生便覧内の各学科専門教育カリキュラム表において，「データを読みとく」及び「技術を読みとく(データサイエンス)」を推奨基盤教育科目として掲載する．
　このことにより，全学部全学科の学生に周知できるとともに，新入生オリエンテーションにおいて履修指導を行い，できる限り多くの学生の履修につなげる．
　また，フレッシュマンセミナーにおいて，本教育プログラムを紹介する．
教育推進機構会議：全学部代表が出席する全学の教育及び基盤教育の企画・実施に関する重要事項について審議する会議体．
教学委員会：全学科長が出席する教育に関する協議・報告などを行う会議体．
フレッシュマンセミナー：全学履修である初年次開講の基盤教育科目．</t>
    <phoneticPr fontId="1"/>
  </si>
  <si>
    <t xml:space="preserve">・データサイエンスを学ぶ意義(ビッグデータ，データ駆動型社会，AI)「技術を読みとく(データサイエンス)」(1回目)
</t>
    <rPh sb="10" eb="11">
      <t>マナ</t>
    </rPh>
    <rPh sb="12" eb="14">
      <t>イギ</t>
    </rPh>
    <rPh sb="25" eb="28">
      <t>クドウガタ</t>
    </rPh>
    <rPh sb="28" eb="30">
      <t>シャカイ</t>
    </rPh>
    <phoneticPr fontId="1"/>
  </si>
  <si>
    <t xml:space="preserve">・データサイエンスの最前線，AIを活用した新しいビジネスモデル，Society5.0とは「技術を読みとく(データサイエンス)」（8回目）
</t>
    <rPh sb="10" eb="13">
      <t>サイゼンセン</t>
    </rPh>
    <rPh sb="17" eb="19">
      <t>カツヨウ</t>
    </rPh>
    <rPh sb="21" eb="22">
      <t>アタラ</t>
    </rPh>
    <phoneticPr fontId="1"/>
  </si>
  <si>
    <t xml:space="preserve">・社会で活用されているデータ（ビッグデータ，構造化データ，非構造化データなど）「技術を読みとく(データサイエンス)」 (2回目)
・実験データに対する2変数データの分析法を紹介する「データを読みとく」 (4回目，5回目)
</t>
    <rPh sb="1" eb="3">
      <t>シャカイ</t>
    </rPh>
    <rPh sb="4" eb="6">
      <t>カツヨウ</t>
    </rPh>
    <rPh sb="22" eb="25">
      <t>コウゾウカ</t>
    </rPh>
    <rPh sb="29" eb="30">
      <t>ヒ</t>
    </rPh>
    <rPh sb="30" eb="33">
      <t>コウゾウカ</t>
    </rPh>
    <rPh sb="66" eb="68">
      <t>ジッケン</t>
    </rPh>
    <rPh sb="72" eb="73">
      <t>タイ</t>
    </rPh>
    <rPh sb="76" eb="78">
      <t>ヘンスウ</t>
    </rPh>
    <rPh sb="82" eb="84">
      <t>ブンセキ</t>
    </rPh>
    <rPh sb="84" eb="85">
      <t>ホウ</t>
    </rPh>
    <rPh sb="86" eb="88">
      <t>ショウカイ</t>
    </rPh>
    <rPh sb="95" eb="96">
      <t>ヨ</t>
    </rPh>
    <rPh sb="107" eb="109">
      <t>カイメ</t>
    </rPh>
    <phoneticPr fontId="1"/>
  </si>
  <si>
    <t>・データ・AIの活用領域の広がり 「技術を読みとく(データサイエンス)」(3回目)
・仮説検証「データを読みとく」 (13回目)</t>
    <rPh sb="8" eb="12">
      <t>カツヨウリョウイキ</t>
    </rPh>
    <rPh sb="13" eb="14">
      <t>ヒロ</t>
    </rPh>
    <rPh sb="43" eb="45">
      <t>カセツ</t>
    </rPh>
    <rPh sb="45" eb="47">
      <t>ケンショウ</t>
    </rPh>
    <phoneticPr fontId="1"/>
  </si>
  <si>
    <t>・データ・AIの利活用の現場 とデータサイエンスのサイクル「技術を読みとく(データサイエンス)」(6, 7回目)</t>
    <rPh sb="8" eb="9">
      <t>リ</t>
    </rPh>
    <rPh sb="12" eb="14">
      <t>ゲンバ</t>
    </rPh>
    <phoneticPr fontId="1"/>
  </si>
  <si>
    <t>・データサイエンスの手法（回帰分析による予測，クラスタリング）「技術を読みとく(データサイエンス)」(4回目)
・機械学習とAIとビッグデータ「技術を読みとく(データサイエンス)」(5回目)
・関係性の可視化と単回帰分析（最小2乗法）による予測「データを読みとく」(4,5回目)</t>
    <rPh sb="10" eb="12">
      <t>シュホウ</t>
    </rPh>
    <rPh sb="13" eb="15">
      <t>カイキ</t>
    </rPh>
    <rPh sb="15" eb="17">
      <t>ブンセキ</t>
    </rPh>
    <rPh sb="20" eb="22">
      <t>ヨソク</t>
    </rPh>
    <rPh sb="57" eb="61">
      <t>キカイガクシュウ</t>
    </rPh>
    <rPh sb="92" eb="94">
      <t>カイメ</t>
    </rPh>
    <rPh sb="97" eb="100">
      <t>カンケイセイ</t>
    </rPh>
    <rPh sb="101" eb="104">
      <t>カシカ</t>
    </rPh>
    <rPh sb="105" eb="106">
      <t>タン</t>
    </rPh>
    <rPh sb="108" eb="110">
      <t>ブンセキ</t>
    </rPh>
    <rPh sb="111" eb="113">
      <t>サイショウ</t>
    </rPh>
    <rPh sb="114" eb="116">
      <t>ジョウホウ</t>
    </rPh>
    <rPh sb="120" eb="122">
      <t>ヨソク</t>
    </rPh>
    <rPh sb="127" eb="128">
      <t>ヨ</t>
    </rPh>
    <phoneticPr fontId="1"/>
  </si>
  <si>
    <t>・データを守る情報セキュリティ（機密性，完全性，可用性） 「技術を読みとく(データサイエンス)」(10回目)</t>
    <rPh sb="16" eb="18">
      <t>キミツ</t>
    </rPh>
    <rPh sb="18" eb="19">
      <t>セイ</t>
    </rPh>
    <rPh sb="20" eb="23">
      <t>カンゼンセイ</t>
    </rPh>
    <rPh sb="24" eb="27">
      <t>カヨウセイ</t>
    </rPh>
    <phoneticPr fontId="1"/>
  </si>
  <si>
    <t>・データの集計(和，平均）「データを読みとく」(3回目)
・表計算ソフトを用いたデータの分析（データの並び替え，ランキング）「技術を読みとく(データサイエンス)」(13, 14 回目)</t>
    <rPh sb="5" eb="7">
      <t>シュウケイ</t>
    </rPh>
    <rPh sb="8" eb="9">
      <t>ワ</t>
    </rPh>
    <rPh sb="10" eb="12">
      <t>ヘイキン</t>
    </rPh>
    <rPh sb="30" eb="33">
      <t>ヒョウケイサン</t>
    </rPh>
    <rPh sb="37" eb="38">
      <t>モチ</t>
    </rPh>
    <rPh sb="51" eb="52">
      <t>ナラ</t>
    </rPh>
    <rPh sb="53" eb="54">
      <t>カ</t>
    </rPh>
    <phoneticPr fontId="1"/>
  </si>
  <si>
    <t>・データの種類（量的変数と質的変数）とグラフ表現 「データを読みとく」(1回目)
・量的変数の要約方法 「データを読みとく」(2回目)
・データの代表値（平均，中央値，最頻値），データのばらつき（分散，標準偏差，偏差値）「データを読みとく」(3回目)
・散布図，相関係数，相関と因果「データを読みとく」(4回目)
・母集団と標本抽出「データを読みとく」(11回目)</t>
    <rPh sb="5" eb="7">
      <t>シュルイ</t>
    </rPh>
    <rPh sb="8" eb="12">
      <t>リョウテキヘンスウ</t>
    </rPh>
    <rPh sb="13" eb="17">
      <t>シツテキヘンスウ</t>
    </rPh>
    <rPh sb="22" eb="24">
      <t>ヒョウゲン</t>
    </rPh>
    <rPh sb="42" eb="46">
      <t>リョウテキヘンスウ</t>
    </rPh>
    <rPh sb="47" eb="49">
      <t>ヨウヤク</t>
    </rPh>
    <rPh sb="49" eb="51">
      <t>ホウホウ</t>
    </rPh>
    <rPh sb="57" eb="58">
      <t>ヨ</t>
    </rPh>
    <rPh sb="73" eb="75">
      <t>ダイヒョウ</t>
    </rPh>
    <rPh sb="75" eb="76">
      <t>チ</t>
    </rPh>
    <rPh sb="77" eb="79">
      <t>ヘイキン</t>
    </rPh>
    <rPh sb="80" eb="83">
      <t>チュウオウチ</t>
    </rPh>
    <rPh sb="84" eb="87">
      <t>サイヒンチ</t>
    </rPh>
    <rPh sb="127" eb="130">
      <t>サンプズ</t>
    </rPh>
    <rPh sb="131" eb="135">
      <t>ソウカンケイスウ</t>
    </rPh>
    <rPh sb="136" eb="138">
      <t>ソウカン</t>
    </rPh>
    <rPh sb="139" eb="141">
      <t>インガ</t>
    </rPh>
    <rPh sb="158" eb="161">
      <t>ボシュウダン</t>
    </rPh>
    <rPh sb="162" eb="164">
      <t>ヒョウホン</t>
    </rPh>
    <rPh sb="164" eb="166">
      <t>チュウシュツ</t>
    </rPh>
    <phoneticPr fontId="1"/>
  </si>
  <si>
    <t>・データ分析の基礎 「技術を読みとく(データサイエンス)」(11, 12回目)
・データの種類とグラフ表現，不適切なグラフ表現 「データを読みとく」(1回目)
・2変数データの分析 （散布図と相関係数）「データを読みとく」(4回目)</t>
    <rPh sb="4" eb="6">
      <t>ブンセキ</t>
    </rPh>
    <rPh sb="7" eb="9">
      <t>キソ</t>
    </rPh>
    <rPh sb="11" eb="13">
      <t>ギジュツ</t>
    </rPh>
    <rPh sb="54" eb="57">
      <t>フテキセツ</t>
    </rPh>
    <rPh sb="61" eb="63">
      <t>ヒョウゲン</t>
    </rPh>
    <phoneticPr fontId="1"/>
  </si>
  <si>
    <t xml:space="preserve">・データ倫理(データの捏造，改ざん，盗用，プライバシー保護)「技術を読みとく(データサイエンス)」(9回目)
・データを収集する際の注意，ELSI「データを読みとく」(11回目)
</t>
    <rPh sb="11" eb="13">
      <t>ネツゾウ</t>
    </rPh>
    <rPh sb="14" eb="15">
      <t>カイ</t>
    </rPh>
    <rPh sb="18" eb="20">
      <t>トウヨウ</t>
    </rPh>
    <rPh sb="27" eb="29">
      <t>ホゴ</t>
    </rPh>
    <rPh sb="60" eb="62">
      <t>シュウシュウ</t>
    </rPh>
    <rPh sb="64" eb="65">
      <t>サイ</t>
    </rPh>
    <rPh sb="66" eb="68">
      <t>チュウイ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</si>
</sst>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0" xfId="2" applyFont="1" applyFill="1" applyBorder="1" applyAlignment="1">
      <alignment vertical="center" shrinkToFit="1"/>
    </xf>
    <xf numFmtId="38" fontId="2" fillId="0" borderId="5" xfId="2" applyFont="1" applyFill="1" applyBorder="1" applyAlignment="1">
      <alignment vertical="center" shrinkToFit="1"/>
    </xf>
    <xf numFmtId="38" fontId="2" fillId="0" borderId="0" xfId="2" applyFont="1" applyFill="1" applyAlignment="1">
      <alignment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23"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57"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5" fillId="0" borderId="19" xfId="0" applyFont="1" applyBorder="1" applyAlignment="1">
      <alignment vertical="center" shrinkToFit="1"/>
    </xf>
    <xf numFmtId="0" fontId="5" fillId="0" borderId="20" xfId="0" applyFont="1" applyBorder="1" applyAlignment="1">
      <alignment vertical="center" shrinkToFit="1"/>
    </xf>
    <xf numFmtId="0" fontId="5" fillId="0" borderId="18" xfId="0" applyFont="1" applyBorder="1" applyAlignment="1">
      <alignmen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7"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5" xfId="0" applyFont="1" applyBorder="1" applyAlignment="1">
      <alignment vertical="top" wrapText="1" shrinkToFit="1"/>
    </xf>
    <xf numFmtId="0" fontId="2" fillId="0" borderId="0" xfId="0" applyFont="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tabSelected="1" view="pageBreakPreview" topLeftCell="A93" zoomScaleNormal="100" zoomScaleSheetLayoutView="100" workbookViewId="0">
      <selection activeCell="X96" sqref="X96"/>
    </sheetView>
  </sheetViews>
  <sheetFormatPr defaultColWidth="9" defaultRowHeight="18.75" customHeight="1" x14ac:dyDescent="0.2"/>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75" customHeight="1" x14ac:dyDescent="0.2">
      <c r="R1" s="156" t="s">
        <v>12</v>
      </c>
      <c r="S1" s="156"/>
      <c r="T1" s="2" t="s">
        <v>110</v>
      </c>
    </row>
    <row r="2" spans="1:22" ht="18.75" customHeight="1" x14ac:dyDescent="0.2">
      <c r="B2" s="34" t="s">
        <v>109</v>
      </c>
      <c r="C2" s="102" t="s">
        <v>127</v>
      </c>
      <c r="D2" s="103"/>
      <c r="E2" s="103"/>
      <c r="F2" s="103"/>
      <c r="G2" s="103"/>
      <c r="H2" s="103"/>
      <c r="I2" s="104"/>
      <c r="J2" s="35"/>
      <c r="K2" s="6"/>
      <c r="L2" s="6"/>
      <c r="M2" s="6"/>
      <c r="N2" s="6"/>
      <c r="O2" s="6"/>
      <c r="P2" s="6"/>
      <c r="Q2" s="6"/>
      <c r="R2" s="6"/>
      <c r="S2" s="6"/>
    </row>
    <row r="3" spans="1:22" ht="18.75" customHeight="1" x14ac:dyDescent="0.2">
      <c r="B3" s="34" t="s">
        <v>103</v>
      </c>
      <c r="C3" s="137" t="s">
        <v>132</v>
      </c>
      <c r="D3" s="138"/>
      <c r="E3" s="138"/>
      <c r="F3" s="138"/>
      <c r="G3" s="138"/>
      <c r="H3" s="138"/>
      <c r="I3" s="139"/>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60" t="s">
        <v>39</v>
      </c>
      <c r="B5" s="160"/>
      <c r="C5" s="160"/>
      <c r="D5" s="160"/>
      <c r="E5" s="160"/>
      <c r="F5" s="160"/>
      <c r="G5" s="160"/>
      <c r="H5" s="160"/>
      <c r="I5" s="160"/>
      <c r="J5" s="160"/>
      <c r="K5" s="160"/>
      <c r="L5" s="160"/>
      <c r="M5" s="160"/>
      <c r="N5" s="160"/>
      <c r="O5" s="160"/>
      <c r="P5" s="160"/>
      <c r="Q5" s="160"/>
      <c r="R5" s="160"/>
      <c r="S5" s="160"/>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37" t="s">
        <v>133</v>
      </c>
      <c r="L7" s="138"/>
      <c r="M7" s="138"/>
      <c r="N7" s="138"/>
      <c r="O7" s="138"/>
      <c r="P7" s="138"/>
      <c r="Q7" s="138"/>
      <c r="R7" s="138"/>
      <c r="S7" s="139"/>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70"/>
      <c r="C9" s="171"/>
      <c r="D9" s="171"/>
      <c r="E9" s="171"/>
      <c r="F9" s="171"/>
      <c r="G9" s="171"/>
      <c r="H9" s="171"/>
      <c r="I9" s="171"/>
      <c r="J9" s="171"/>
      <c r="K9" s="171"/>
      <c r="L9" s="171"/>
      <c r="M9" s="171"/>
      <c r="N9" s="171"/>
      <c r="O9" s="171"/>
      <c r="P9" s="171"/>
      <c r="Q9" s="171"/>
      <c r="R9" s="171"/>
      <c r="S9" s="172"/>
    </row>
    <row r="10" spans="1:22" ht="18" customHeight="1" x14ac:dyDescent="0.2">
      <c r="B10" s="173"/>
      <c r="C10" s="174"/>
      <c r="D10" s="174"/>
      <c r="E10" s="174"/>
      <c r="F10" s="174"/>
      <c r="G10" s="174"/>
      <c r="H10" s="174"/>
      <c r="I10" s="174"/>
      <c r="J10" s="174"/>
      <c r="K10" s="174"/>
      <c r="L10" s="174"/>
      <c r="M10" s="174"/>
      <c r="N10" s="174"/>
      <c r="O10" s="174"/>
      <c r="P10" s="174"/>
      <c r="Q10" s="174"/>
      <c r="R10" s="174"/>
      <c r="S10" s="175"/>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61" t="s">
        <v>152</v>
      </c>
      <c r="C13" s="162"/>
      <c r="D13" s="162"/>
      <c r="E13" s="162"/>
      <c r="F13" s="162"/>
      <c r="G13" s="162"/>
      <c r="H13" s="162"/>
      <c r="I13" s="162"/>
      <c r="J13" s="162"/>
      <c r="K13" s="162"/>
      <c r="L13" s="162"/>
      <c r="M13" s="162"/>
      <c r="N13" s="162"/>
      <c r="O13" s="162"/>
      <c r="P13" s="162"/>
      <c r="Q13" s="162"/>
      <c r="R13" s="162"/>
      <c r="S13" s="163"/>
      <c r="V13" s="1" t="s">
        <v>104</v>
      </c>
    </row>
    <row r="14" spans="1:22" ht="18" customHeight="1" x14ac:dyDescent="0.2">
      <c r="B14" s="164"/>
      <c r="C14" s="165"/>
      <c r="D14" s="165"/>
      <c r="E14" s="165"/>
      <c r="F14" s="165"/>
      <c r="G14" s="165"/>
      <c r="H14" s="165"/>
      <c r="I14" s="165"/>
      <c r="J14" s="165"/>
      <c r="K14" s="165"/>
      <c r="L14" s="165"/>
      <c r="M14" s="165"/>
      <c r="N14" s="165"/>
      <c r="O14" s="165"/>
      <c r="P14" s="165"/>
      <c r="Q14" s="165"/>
      <c r="R14" s="165"/>
      <c r="S14" s="166"/>
      <c r="V14" s="1" t="s">
        <v>111</v>
      </c>
    </row>
    <row r="15" spans="1:22" ht="18" customHeight="1" x14ac:dyDescent="0.2">
      <c r="B15" s="164"/>
      <c r="C15" s="165"/>
      <c r="D15" s="165"/>
      <c r="E15" s="165"/>
      <c r="F15" s="165"/>
      <c r="G15" s="165"/>
      <c r="H15" s="165"/>
      <c r="I15" s="165"/>
      <c r="J15" s="165"/>
      <c r="K15" s="165"/>
      <c r="L15" s="165"/>
      <c r="M15" s="165"/>
      <c r="N15" s="165"/>
      <c r="O15" s="165"/>
      <c r="P15" s="165"/>
      <c r="Q15" s="165"/>
      <c r="R15" s="165"/>
      <c r="S15" s="166"/>
      <c r="V15" s="1" t="s">
        <v>124</v>
      </c>
    </row>
    <row r="16" spans="1:22" ht="18" customHeight="1" x14ac:dyDescent="0.2">
      <c r="B16" s="164"/>
      <c r="C16" s="165"/>
      <c r="D16" s="165"/>
      <c r="E16" s="165"/>
      <c r="F16" s="165"/>
      <c r="G16" s="165"/>
      <c r="H16" s="165"/>
      <c r="I16" s="165"/>
      <c r="J16" s="165"/>
      <c r="K16" s="165"/>
      <c r="L16" s="165"/>
      <c r="M16" s="165"/>
      <c r="N16" s="165"/>
      <c r="O16" s="165"/>
      <c r="P16" s="165"/>
      <c r="Q16" s="165"/>
      <c r="R16" s="165"/>
      <c r="S16" s="166"/>
      <c r="V16" s="1" t="s">
        <v>126</v>
      </c>
    </row>
    <row r="17" spans="1:19" ht="18" customHeight="1" x14ac:dyDescent="0.2">
      <c r="B17" s="164"/>
      <c r="C17" s="165"/>
      <c r="D17" s="165"/>
      <c r="E17" s="165"/>
      <c r="F17" s="165"/>
      <c r="G17" s="165"/>
      <c r="H17" s="165"/>
      <c r="I17" s="165"/>
      <c r="J17" s="165"/>
      <c r="K17" s="165"/>
      <c r="L17" s="165"/>
      <c r="M17" s="165"/>
      <c r="N17" s="165"/>
      <c r="O17" s="165"/>
      <c r="P17" s="165"/>
      <c r="Q17" s="165"/>
      <c r="R17" s="165"/>
      <c r="S17" s="166"/>
    </row>
    <row r="18" spans="1:19" ht="18" customHeight="1" x14ac:dyDescent="0.2">
      <c r="B18" s="167"/>
      <c r="C18" s="168"/>
      <c r="D18" s="168"/>
      <c r="E18" s="168"/>
      <c r="F18" s="168"/>
      <c r="G18" s="168"/>
      <c r="H18" s="168"/>
      <c r="I18" s="168"/>
      <c r="J18" s="168"/>
      <c r="K18" s="168"/>
      <c r="L18" s="168"/>
      <c r="M18" s="168"/>
      <c r="N18" s="168"/>
      <c r="O18" s="168"/>
      <c r="P18" s="168"/>
      <c r="Q18" s="168"/>
      <c r="R18" s="168"/>
      <c r="S18" s="169"/>
    </row>
    <row r="19" spans="1:19" ht="7.5" customHeight="1" x14ac:dyDescent="0.2">
      <c r="B19" s="3"/>
      <c r="C19" s="3"/>
      <c r="D19" s="3"/>
      <c r="E19" s="3"/>
      <c r="F19" s="3"/>
      <c r="G19" s="3"/>
      <c r="H19" s="3"/>
      <c r="I19" s="3"/>
      <c r="J19" s="3"/>
      <c r="K19" s="3"/>
      <c r="L19" s="3"/>
      <c r="M19" s="3"/>
      <c r="N19" s="3"/>
      <c r="O19" s="3"/>
      <c r="P19" s="3"/>
      <c r="Q19" s="3"/>
      <c r="R19" s="3"/>
      <c r="S19" s="3"/>
    </row>
    <row r="20" spans="1:19" ht="20" customHeight="1" x14ac:dyDescent="0.2">
      <c r="B20" s="1" t="s">
        <v>113</v>
      </c>
      <c r="C20" s="102">
        <v>4</v>
      </c>
      <c r="D20" s="104"/>
      <c r="E20" s="40" t="s">
        <v>96</v>
      </c>
      <c r="G20" s="10"/>
      <c r="H20" s="3"/>
      <c r="I20" s="3"/>
      <c r="J20" s="35" t="s">
        <v>122</v>
      </c>
      <c r="K20" s="157" t="s">
        <v>126</v>
      </c>
      <c r="L20" s="158"/>
      <c r="M20" s="158"/>
      <c r="N20" s="158"/>
      <c r="O20" s="158"/>
      <c r="P20" s="158"/>
      <c r="Q20" s="158"/>
      <c r="R20" s="158"/>
      <c r="S20" s="159"/>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08" t="s">
        <v>114</v>
      </c>
      <c r="B22" s="108"/>
      <c r="C22" s="108"/>
      <c r="D22" s="108"/>
      <c r="E22" s="108"/>
      <c r="F22" s="108"/>
      <c r="G22" s="108"/>
      <c r="H22" s="108"/>
      <c r="I22" s="108"/>
      <c r="J22" s="108"/>
      <c r="K22" s="108"/>
      <c r="L22" s="108"/>
      <c r="M22" s="108"/>
      <c r="N22" s="108"/>
      <c r="O22" s="108"/>
      <c r="P22" s="108"/>
      <c r="Q22" s="108"/>
      <c r="R22" s="108"/>
      <c r="S22" s="108"/>
    </row>
    <row r="23" spans="1:19" ht="18" customHeight="1" x14ac:dyDescent="0.2">
      <c r="A23" s="108"/>
      <c r="B23" s="108"/>
      <c r="C23" s="108"/>
      <c r="D23" s="108"/>
      <c r="E23" s="108"/>
      <c r="F23" s="108"/>
      <c r="G23" s="108"/>
      <c r="H23" s="108"/>
      <c r="I23" s="108"/>
      <c r="J23" s="108"/>
      <c r="K23" s="108"/>
      <c r="L23" s="108"/>
      <c r="M23" s="108"/>
      <c r="N23" s="108"/>
      <c r="O23" s="108"/>
      <c r="P23" s="108"/>
      <c r="Q23" s="108"/>
      <c r="R23" s="108"/>
      <c r="S23" s="108"/>
    </row>
    <row r="24" spans="1:19" ht="18" customHeight="1" x14ac:dyDescent="0.2">
      <c r="B24" s="102" t="s">
        <v>54</v>
      </c>
      <c r="C24" s="103"/>
      <c r="D24" s="103"/>
      <c r="E24" s="104"/>
      <c r="F24" s="61" t="s">
        <v>81</v>
      </c>
      <c r="G24" s="60" t="s">
        <v>85</v>
      </c>
      <c r="H24" s="22" t="s">
        <v>57</v>
      </c>
      <c r="I24" s="22" t="s">
        <v>60</v>
      </c>
      <c r="J24" s="102" t="s">
        <v>54</v>
      </c>
      <c r="K24" s="103"/>
      <c r="L24" s="103"/>
      <c r="M24" s="103"/>
      <c r="N24" s="103"/>
      <c r="O24" s="104"/>
      <c r="P24" s="61" t="s">
        <v>81</v>
      </c>
      <c r="Q24" s="60" t="s">
        <v>85</v>
      </c>
      <c r="R24" s="22" t="s">
        <v>57</v>
      </c>
      <c r="S24" s="22" t="s">
        <v>60</v>
      </c>
    </row>
    <row r="25" spans="1:19" ht="18" customHeight="1" x14ac:dyDescent="0.2">
      <c r="B25" s="96" t="s">
        <v>153</v>
      </c>
      <c r="C25" s="97"/>
      <c r="D25" s="97"/>
      <c r="E25" s="98"/>
      <c r="F25" s="23">
        <v>2</v>
      </c>
      <c r="G25" s="23" t="s">
        <v>135</v>
      </c>
      <c r="H25" s="23" t="s">
        <v>135</v>
      </c>
      <c r="I25" s="23" t="s">
        <v>135</v>
      </c>
      <c r="J25" s="96"/>
      <c r="K25" s="97"/>
      <c r="L25" s="97"/>
      <c r="M25" s="97"/>
      <c r="N25" s="97"/>
      <c r="O25" s="98"/>
      <c r="P25" s="23"/>
      <c r="Q25" s="23"/>
      <c r="R25" s="23"/>
      <c r="S25" s="23"/>
    </row>
    <row r="26" spans="1:19" ht="18" customHeight="1" x14ac:dyDescent="0.2">
      <c r="B26" s="99"/>
      <c r="C26" s="100"/>
      <c r="D26" s="100"/>
      <c r="E26" s="101"/>
      <c r="F26" s="24"/>
      <c r="G26" s="24"/>
      <c r="H26" s="24"/>
      <c r="I26" s="24"/>
      <c r="J26" s="99"/>
      <c r="K26" s="100"/>
      <c r="L26" s="100"/>
      <c r="M26" s="100"/>
      <c r="N26" s="100"/>
      <c r="O26" s="101"/>
      <c r="P26" s="24"/>
      <c r="Q26" s="24"/>
      <c r="R26" s="24"/>
      <c r="S26" s="24"/>
    </row>
    <row r="27" spans="1:19" ht="18" customHeight="1" x14ac:dyDescent="0.2">
      <c r="B27" s="99"/>
      <c r="C27" s="100"/>
      <c r="D27" s="100"/>
      <c r="E27" s="101"/>
      <c r="F27" s="24"/>
      <c r="G27" s="24"/>
      <c r="H27" s="24"/>
      <c r="I27" s="24"/>
      <c r="J27" s="99"/>
      <c r="K27" s="100"/>
      <c r="L27" s="100"/>
      <c r="M27" s="100"/>
      <c r="N27" s="100"/>
      <c r="O27" s="101"/>
      <c r="P27" s="24"/>
      <c r="Q27" s="24"/>
      <c r="R27" s="24"/>
      <c r="S27" s="24"/>
    </row>
    <row r="28" spans="1:19" ht="18" customHeight="1" x14ac:dyDescent="0.2">
      <c r="B28" s="99"/>
      <c r="C28" s="100"/>
      <c r="D28" s="100"/>
      <c r="E28" s="101"/>
      <c r="F28" s="24"/>
      <c r="G28" s="24"/>
      <c r="H28" s="24"/>
      <c r="I28" s="24"/>
      <c r="J28" s="99"/>
      <c r="K28" s="100"/>
      <c r="L28" s="100"/>
      <c r="M28" s="100"/>
      <c r="N28" s="100"/>
      <c r="O28" s="101"/>
      <c r="P28" s="24"/>
      <c r="Q28" s="24"/>
      <c r="R28" s="24"/>
      <c r="S28" s="24"/>
    </row>
    <row r="29" spans="1:19" ht="18" customHeight="1" x14ac:dyDescent="0.2">
      <c r="B29" s="99"/>
      <c r="C29" s="100"/>
      <c r="D29" s="100"/>
      <c r="E29" s="101"/>
      <c r="F29" s="24"/>
      <c r="G29" s="24"/>
      <c r="H29" s="24"/>
      <c r="I29" s="24"/>
      <c r="J29" s="99"/>
      <c r="K29" s="100"/>
      <c r="L29" s="100"/>
      <c r="M29" s="100"/>
      <c r="N29" s="100"/>
      <c r="O29" s="101"/>
      <c r="P29" s="24"/>
      <c r="Q29" s="24"/>
      <c r="R29" s="24"/>
      <c r="S29" s="24"/>
    </row>
    <row r="30" spans="1:19" ht="18" customHeight="1" x14ac:dyDescent="0.2">
      <c r="A30" s="3"/>
      <c r="B30" s="99"/>
      <c r="C30" s="100"/>
      <c r="D30" s="100"/>
      <c r="E30" s="101"/>
      <c r="F30" s="24"/>
      <c r="G30" s="24"/>
      <c r="H30" s="24"/>
      <c r="I30" s="24"/>
      <c r="J30" s="99"/>
      <c r="K30" s="100"/>
      <c r="L30" s="100"/>
      <c r="M30" s="100"/>
      <c r="N30" s="100"/>
      <c r="O30" s="101"/>
      <c r="P30" s="24"/>
      <c r="Q30" s="24"/>
      <c r="R30" s="24"/>
      <c r="S30" s="24"/>
    </row>
    <row r="31" spans="1:19" ht="18" customHeight="1" x14ac:dyDescent="0.2">
      <c r="A31" s="3"/>
      <c r="B31" s="105"/>
      <c r="C31" s="106"/>
      <c r="D31" s="106"/>
      <c r="E31" s="107"/>
      <c r="F31" s="25"/>
      <c r="G31" s="25"/>
      <c r="H31" s="26"/>
      <c r="I31" s="26"/>
      <c r="J31" s="105"/>
      <c r="K31" s="106"/>
      <c r="L31" s="106"/>
      <c r="M31" s="106"/>
      <c r="N31" s="106"/>
      <c r="O31" s="107"/>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108" t="s">
        <v>115</v>
      </c>
      <c r="B33" s="108"/>
      <c r="C33" s="108"/>
      <c r="D33" s="108"/>
      <c r="E33" s="108"/>
      <c r="F33" s="108"/>
      <c r="G33" s="108"/>
      <c r="H33" s="108"/>
      <c r="I33" s="108"/>
      <c r="J33" s="108"/>
      <c r="K33" s="108"/>
      <c r="L33" s="108"/>
      <c r="M33" s="108"/>
      <c r="N33" s="108"/>
      <c r="O33" s="108"/>
      <c r="P33" s="108"/>
      <c r="Q33" s="108"/>
      <c r="R33" s="108"/>
      <c r="S33" s="108"/>
    </row>
    <row r="34" spans="1:19" ht="18" customHeight="1" x14ac:dyDescent="0.2">
      <c r="A34" s="108"/>
      <c r="B34" s="108"/>
      <c r="C34" s="108"/>
      <c r="D34" s="108"/>
      <c r="E34" s="108"/>
      <c r="F34" s="108"/>
      <c r="G34" s="108"/>
      <c r="H34" s="108"/>
      <c r="I34" s="108"/>
      <c r="J34" s="108"/>
      <c r="K34" s="108"/>
      <c r="L34" s="108"/>
      <c r="M34" s="108"/>
      <c r="N34" s="108"/>
      <c r="O34" s="108"/>
      <c r="P34" s="108"/>
      <c r="Q34" s="108"/>
      <c r="R34" s="108"/>
      <c r="S34" s="108"/>
    </row>
    <row r="35" spans="1:19" ht="18" customHeight="1" x14ac:dyDescent="0.2">
      <c r="B35" s="102" t="s">
        <v>54</v>
      </c>
      <c r="C35" s="103"/>
      <c r="D35" s="103"/>
      <c r="E35" s="104"/>
      <c r="F35" s="61" t="s">
        <v>81</v>
      </c>
      <c r="G35" s="60" t="s">
        <v>85</v>
      </c>
      <c r="H35" s="22" t="s">
        <v>72</v>
      </c>
      <c r="I35" s="22" t="s">
        <v>73</v>
      </c>
      <c r="J35" s="102" t="s">
        <v>54</v>
      </c>
      <c r="K35" s="103"/>
      <c r="L35" s="103"/>
      <c r="M35" s="103"/>
      <c r="N35" s="103"/>
      <c r="O35" s="104"/>
      <c r="P35" s="61" t="s">
        <v>81</v>
      </c>
      <c r="Q35" s="60" t="s">
        <v>85</v>
      </c>
      <c r="R35" s="22" t="s">
        <v>72</v>
      </c>
      <c r="S35" s="22" t="s">
        <v>73</v>
      </c>
    </row>
    <row r="36" spans="1:19" ht="18" customHeight="1" x14ac:dyDescent="0.2">
      <c r="B36" s="99" t="s">
        <v>134</v>
      </c>
      <c r="C36" s="100"/>
      <c r="D36" s="100"/>
      <c r="E36" s="101"/>
      <c r="F36" s="24">
        <v>2</v>
      </c>
      <c r="G36" s="24" t="s">
        <v>135</v>
      </c>
      <c r="H36" s="24" t="s">
        <v>135</v>
      </c>
      <c r="I36" s="24"/>
      <c r="J36" s="96"/>
      <c r="K36" s="97"/>
      <c r="L36" s="97"/>
      <c r="M36" s="97"/>
      <c r="N36" s="97"/>
      <c r="O36" s="98"/>
      <c r="P36" s="23"/>
      <c r="Q36" s="23"/>
      <c r="R36" s="23"/>
      <c r="S36" s="23"/>
    </row>
    <row r="37" spans="1:19" ht="18" customHeight="1" x14ac:dyDescent="0.2">
      <c r="B37" s="96" t="s">
        <v>153</v>
      </c>
      <c r="C37" s="97"/>
      <c r="D37" s="97"/>
      <c r="E37" s="98"/>
      <c r="F37" s="23">
        <v>2</v>
      </c>
      <c r="G37" s="23" t="s">
        <v>135</v>
      </c>
      <c r="H37" s="23" t="s">
        <v>135</v>
      </c>
      <c r="I37" s="23" t="s">
        <v>135</v>
      </c>
      <c r="J37" s="99"/>
      <c r="K37" s="100"/>
      <c r="L37" s="100"/>
      <c r="M37" s="100"/>
      <c r="N37" s="100"/>
      <c r="O37" s="101"/>
      <c r="P37" s="24"/>
      <c r="Q37" s="24"/>
      <c r="R37" s="24"/>
      <c r="S37" s="24"/>
    </row>
    <row r="38" spans="1:19" ht="18" customHeight="1" x14ac:dyDescent="0.2">
      <c r="B38" s="96"/>
      <c r="C38" s="97"/>
      <c r="D38" s="97"/>
      <c r="E38" s="98"/>
      <c r="F38" s="23"/>
      <c r="G38" s="23"/>
      <c r="H38" s="23"/>
      <c r="I38" s="23"/>
      <c r="J38" s="99"/>
      <c r="K38" s="100"/>
      <c r="L38" s="100"/>
      <c r="M38" s="100"/>
      <c r="N38" s="100"/>
      <c r="O38" s="101"/>
      <c r="P38" s="24"/>
      <c r="Q38" s="24"/>
      <c r="R38" s="24"/>
      <c r="S38" s="24"/>
    </row>
    <row r="39" spans="1:19" ht="18" customHeight="1" x14ac:dyDescent="0.2">
      <c r="B39" s="99"/>
      <c r="C39" s="100"/>
      <c r="D39" s="100"/>
      <c r="E39" s="101"/>
      <c r="F39" s="24"/>
      <c r="G39" s="24"/>
      <c r="H39" s="24"/>
      <c r="I39" s="24"/>
      <c r="J39" s="99"/>
      <c r="K39" s="100"/>
      <c r="L39" s="100"/>
      <c r="M39" s="100"/>
      <c r="N39" s="100"/>
      <c r="O39" s="101"/>
      <c r="P39" s="24"/>
      <c r="Q39" s="24"/>
      <c r="R39" s="24"/>
      <c r="S39" s="24"/>
    </row>
    <row r="40" spans="1:19" ht="18" customHeight="1" x14ac:dyDescent="0.2">
      <c r="B40" s="99"/>
      <c r="C40" s="100"/>
      <c r="D40" s="100"/>
      <c r="E40" s="101"/>
      <c r="F40" s="24"/>
      <c r="G40" s="24"/>
      <c r="H40" s="24"/>
      <c r="I40" s="24"/>
      <c r="J40" s="99"/>
      <c r="K40" s="100"/>
      <c r="L40" s="100"/>
      <c r="M40" s="100"/>
      <c r="N40" s="100"/>
      <c r="O40" s="101"/>
      <c r="P40" s="24"/>
      <c r="Q40" s="24"/>
      <c r="R40" s="24"/>
      <c r="S40" s="24"/>
    </row>
    <row r="41" spans="1:19" ht="18" customHeight="1" x14ac:dyDescent="0.2">
      <c r="B41" s="99"/>
      <c r="C41" s="100"/>
      <c r="D41" s="100"/>
      <c r="E41" s="101"/>
      <c r="F41" s="24"/>
      <c r="G41" s="24"/>
      <c r="H41" s="24"/>
      <c r="I41" s="24"/>
      <c r="J41" s="99"/>
      <c r="K41" s="100"/>
      <c r="L41" s="100"/>
      <c r="M41" s="100"/>
      <c r="N41" s="100"/>
      <c r="O41" s="101"/>
      <c r="P41" s="24"/>
      <c r="Q41" s="24"/>
      <c r="R41" s="24"/>
      <c r="S41" s="24"/>
    </row>
    <row r="42" spans="1:19" ht="18" customHeight="1" x14ac:dyDescent="0.2">
      <c r="B42" s="105"/>
      <c r="C42" s="106"/>
      <c r="D42" s="106"/>
      <c r="E42" s="107"/>
      <c r="F42" s="25"/>
      <c r="G42" s="25"/>
      <c r="H42" s="26"/>
      <c r="I42" s="26"/>
      <c r="J42" s="105"/>
      <c r="K42" s="106"/>
      <c r="L42" s="106"/>
      <c r="M42" s="106"/>
      <c r="N42" s="106"/>
      <c r="O42" s="107"/>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108" t="s">
        <v>116</v>
      </c>
      <c r="B44" s="108"/>
      <c r="C44" s="108"/>
      <c r="D44" s="108"/>
      <c r="E44" s="108"/>
      <c r="F44" s="108"/>
      <c r="G44" s="108"/>
      <c r="H44" s="108"/>
      <c r="I44" s="108"/>
      <c r="J44" s="108"/>
      <c r="K44" s="108"/>
      <c r="L44" s="108"/>
      <c r="M44" s="108"/>
      <c r="N44" s="108"/>
      <c r="O44" s="108"/>
      <c r="P44" s="108"/>
      <c r="Q44" s="108"/>
      <c r="R44" s="108"/>
      <c r="S44" s="108"/>
    </row>
    <row r="45" spans="1:19" ht="18" customHeight="1" x14ac:dyDescent="0.2">
      <c r="A45" s="108"/>
      <c r="B45" s="108"/>
      <c r="C45" s="108"/>
      <c r="D45" s="108"/>
      <c r="E45" s="108"/>
      <c r="F45" s="108"/>
      <c r="G45" s="108"/>
      <c r="H45" s="108"/>
      <c r="I45" s="108"/>
      <c r="J45" s="108"/>
      <c r="K45" s="108"/>
      <c r="L45" s="108"/>
      <c r="M45" s="108"/>
      <c r="N45" s="108"/>
      <c r="O45" s="108"/>
      <c r="P45" s="108"/>
      <c r="Q45" s="108"/>
      <c r="R45" s="108"/>
      <c r="S45" s="108"/>
    </row>
    <row r="46" spans="1:19" ht="18" customHeight="1" x14ac:dyDescent="0.2">
      <c r="B46" s="102" t="s">
        <v>54</v>
      </c>
      <c r="C46" s="103"/>
      <c r="D46" s="103"/>
      <c r="E46" s="104"/>
      <c r="F46" s="61" t="s">
        <v>81</v>
      </c>
      <c r="G46" s="60" t="s">
        <v>85</v>
      </c>
      <c r="H46" s="22" t="s">
        <v>74</v>
      </c>
      <c r="I46" s="22" t="s">
        <v>75</v>
      </c>
      <c r="J46" s="102" t="s">
        <v>54</v>
      </c>
      <c r="K46" s="103"/>
      <c r="L46" s="103"/>
      <c r="M46" s="103"/>
      <c r="N46" s="103"/>
      <c r="O46" s="104"/>
      <c r="P46" s="61" t="s">
        <v>81</v>
      </c>
      <c r="Q46" s="60" t="s">
        <v>85</v>
      </c>
      <c r="R46" s="22" t="s">
        <v>74</v>
      </c>
      <c r="S46" s="22" t="s">
        <v>75</v>
      </c>
    </row>
    <row r="47" spans="1:19" ht="18" customHeight="1" x14ac:dyDescent="0.2">
      <c r="A47" s="3"/>
      <c r="B47" s="93" t="s">
        <v>134</v>
      </c>
      <c r="C47" s="94"/>
      <c r="D47" s="94"/>
      <c r="E47" s="95"/>
      <c r="F47" s="24">
        <v>2</v>
      </c>
      <c r="G47" s="24" t="s">
        <v>135</v>
      </c>
      <c r="H47" s="24" t="s">
        <v>135</v>
      </c>
      <c r="I47" s="24"/>
      <c r="J47" s="96"/>
      <c r="K47" s="97"/>
      <c r="L47" s="97"/>
      <c r="M47" s="97"/>
      <c r="N47" s="97"/>
      <c r="O47" s="98"/>
      <c r="P47" s="23"/>
      <c r="Q47" s="23"/>
      <c r="R47" s="23"/>
      <c r="S47" s="23"/>
    </row>
    <row r="48" spans="1:19" ht="18" customHeight="1" x14ac:dyDescent="0.2">
      <c r="A48" s="3"/>
      <c r="B48" s="96" t="s">
        <v>153</v>
      </c>
      <c r="C48" s="97"/>
      <c r="D48" s="97"/>
      <c r="E48" s="98"/>
      <c r="F48" s="23">
        <v>2</v>
      </c>
      <c r="G48" s="23" t="s">
        <v>135</v>
      </c>
      <c r="H48" s="23" t="s">
        <v>135</v>
      </c>
      <c r="I48" s="23" t="s">
        <v>135</v>
      </c>
      <c r="J48" s="99"/>
      <c r="K48" s="100"/>
      <c r="L48" s="100"/>
      <c r="M48" s="100"/>
      <c r="N48" s="100"/>
      <c r="O48" s="101"/>
      <c r="P48" s="24"/>
      <c r="Q48" s="24"/>
      <c r="R48" s="24"/>
      <c r="S48" s="24"/>
    </row>
    <row r="49" spans="1:19" ht="18" customHeight="1" x14ac:dyDescent="0.2">
      <c r="A49" s="3"/>
      <c r="B49" s="96"/>
      <c r="C49" s="97"/>
      <c r="D49" s="97"/>
      <c r="E49" s="98"/>
      <c r="F49" s="23"/>
      <c r="G49" s="23"/>
      <c r="H49" s="23"/>
      <c r="I49" s="23"/>
      <c r="J49" s="99"/>
      <c r="K49" s="100"/>
      <c r="L49" s="100"/>
      <c r="M49" s="100"/>
      <c r="N49" s="100"/>
      <c r="O49" s="101"/>
      <c r="P49" s="24"/>
      <c r="Q49" s="24"/>
      <c r="R49" s="24"/>
      <c r="S49" s="24"/>
    </row>
    <row r="50" spans="1:19" ht="18" customHeight="1" x14ac:dyDescent="0.2">
      <c r="A50" s="3"/>
      <c r="B50" s="99"/>
      <c r="C50" s="100"/>
      <c r="D50" s="100"/>
      <c r="E50" s="101"/>
      <c r="F50" s="24"/>
      <c r="G50" s="24"/>
      <c r="H50" s="24"/>
      <c r="I50" s="24"/>
      <c r="J50" s="99"/>
      <c r="K50" s="100"/>
      <c r="L50" s="100"/>
      <c r="M50" s="100"/>
      <c r="N50" s="100"/>
      <c r="O50" s="101"/>
      <c r="P50" s="24"/>
      <c r="Q50" s="24"/>
      <c r="R50" s="24"/>
      <c r="S50" s="24"/>
    </row>
    <row r="51" spans="1:19" ht="18" customHeight="1" x14ac:dyDescent="0.2">
      <c r="A51" s="3"/>
      <c r="B51" s="99"/>
      <c r="C51" s="100"/>
      <c r="D51" s="100"/>
      <c r="E51" s="101"/>
      <c r="F51" s="24"/>
      <c r="G51" s="24"/>
      <c r="H51" s="24"/>
      <c r="I51" s="24"/>
      <c r="J51" s="99"/>
      <c r="K51" s="100"/>
      <c r="L51" s="100"/>
      <c r="M51" s="100"/>
      <c r="N51" s="100"/>
      <c r="O51" s="101"/>
      <c r="P51" s="24"/>
      <c r="Q51" s="24"/>
      <c r="R51" s="24"/>
      <c r="S51" s="24"/>
    </row>
    <row r="52" spans="1:19" ht="18" customHeight="1" x14ac:dyDescent="0.2">
      <c r="A52" s="3"/>
      <c r="B52" s="99"/>
      <c r="C52" s="100"/>
      <c r="D52" s="100"/>
      <c r="E52" s="101"/>
      <c r="F52" s="24"/>
      <c r="G52" s="24"/>
      <c r="H52" s="24"/>
      <c r="I52" s="24"/>
      <c r="J52" s="99"/>
      <c r="K52" s="100"/>
      <c r="L52" s="100"/>
      <c r="M52" s="100"/>
      <c r="N52" s="100"/>
      <c r="O52" s="101"/>
      <c r="P52" s="24"/>
      <c r="Q52" s="24"/>
      <c r="R52" s="24"/>
      <c r="S52" s="24"/>
    </row>
    <row r="53" spans="1:19" ht="18" customHeight="1" x14ac:dyDescent="0.2">
      <c r="A53" s="3"/>
      <c r="B53" s="105"/>
      <c r="C53" s="106"/>
      <c r="D53" s="106"/>
      <c r="E53" s="107"/>
      <c r="F53" s="25"/>
      <c r="G53" s="25"/>
      <c r="H53" s="26"/>
      <c r="I53" s="26"/>
      <c r="J53" s="105"/>
      <c r="K53" s="106"/>
      <c r="L53" s="106"/>
      <c r="M53" s="106"/>
      <c r="N53" s="106"/>
      <c r="O53" s="107"/>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108" t="s">
        <v>117</v>
      </c>
      <c r="B55" s="108"/>
      <c r="C55" s="108"/>
      <c r="D55" s="108"/>
      <c r="E55" s="108"/>
      <c r="F55" s="108"/>
      <c r="G55" s="108"/>
      <c r="H55" s="108"/>
      <c r="I55" s="108"/>
      <c r="J55" s="108"/>
      <c r="K55" s="108"/>
      <c r="L55" s="108"/>
      <c r="M55" s="108"/>
      <c r="N55" s="108"/>
      <c r="O55" s="108"/>
      <c r="P55" s="108"/>
      <c r="Q55" s="108"/>
      <c r="R55" s="108"/>
      <c r="S55" s="108"/>
    </row>
    <row r="56" spans="1:19" ht="18" customHeight="1" x14ac:dyDescent="0.2">
      <c r="A56" s="108"/>
      <c r="B56" s="108"/>
      <c r="C56" s="108"/>
      <c r="D56" s="108"/>
      <c r="E56" s="108"/>
      <c r="F56" s="108"/>
      <c r="G56" s="108"/>
      <c r="H56" s="108"/>
      <c r="I56" s="108"/>
      <c r="J56" s="108"/>
      <c r="K56" s="108"/>
      <c r="L56" s="108"/>
      <c r="M56" s="108"/>
      <c r="N56" s="108"/>
      <c r="O56" s="108"/>
      <c r="P56" s="108"/>
      <c r="Q56" s="108"/>
      <c r="R56" s="108"/>
      <c r="S56" s="108"/>
    </row>
    <row r="57" spans="1:19" ht="18" customHeight="1" x14ac:dyDescent="0.2">
      <c r="B57" s="102" t="s">
        <v>54</v>
      </c>
      <c r="C57" s="103"/>
      <c r="D57" s="103"/>
      <c r="E57" s="104"/>
      <c r="F57" s="61" t="s">
        <v>81</v>
      </c>
      <c r="G57" s="60" t="s">
        <v>85</v>
      </c>
      <c r="H57" s="22" t="s">
        <v>59</v>
      </c>
      <c r="I57" s="22" t="s">
        <v>61</v>
      </c>
      <c r="J57" s="102" t="s">
        <v>54</v>
      </c>
      <c r="K57" s="103"/>
      <c r="L57" s="103"/>
      <c r="M57" s="103"/>
      <c r="N57" s="103"/>
      <c r="O57" s="104"/>
      <c r="P57" s="61" t="s">
        <v>81</v>
      </c>
      <c r="Q57" s="60" t="s">
        <v>85</v>
      </c>
      <c r="R57" s="22" t="s">
        <v>59</v>
      </c>
      <c r="S57" s="22" t="s">
        <v>61</v>
      </c>
    </row>
    <row r="58" spans="1:19" ht="18" customHeight="1" x14ac:dyDescent="0.2">
      <c r="A58" s="3"/>
      <c r="B58" s="99" t="s">
        <v>134</v>
      </c>
      <c r="C58" s="100"/>
      <c r="D58" s="100"/>
      <c r="E58" s="101"/>
      <c r="F58" s="24">
        <v>2</v>
      </c>
      <c r="G58" s="24" t="s">
        <v>135</v>
      </c>
      <c r="H58" s="24" t="s">
        <v>135</v>
      </c>
      <c r="I58" s="24"/>
      <c r="J58" s="96"/>
      <c r="K58" s="97"/>
      <c r="L58" s="97"/>
      <c r="M58" s="97"/>
      <c r="N58" s="97"/>
      <c r="O58" s="98"/>
      <c r="P58" s="23"/>
      <c r="Q58" s="23"/>
      <c r="R58" s="23"/>
      <c r="S58" s="23"/>
    </row>
    <row r="59" spans="1:19" ht="18" customHeight="1" x14ac:dyDescent="0.2">
      <c r="A59" s="3"/>
      <c r="B59" s="96" t="s">
        <v>153</v>
      </c>
      <c r="C59" s="97"/>
      <c r="D59" s="97"/>
      <c r="E59" s="98"/>
      <c r="F59" s="23">
        <v>2</v>
      </c>
      <c r="G59" s="23" t="s">
        <v>135</v>
      </c>
      <c r="H59" s="23" t="s">
        <v>135</v>
      </c>
      <c r="I59" s="23" t="s">
        <v>135</v>
      </c>
      <c r="J59" s="99"/>
      <c r="K59" s="100"/>
      <c r="L59" s="100"/>
      <c r="M59" s="100"/>
      <c r="N59" s="100"/>
      <c r="O59" s="101"/>
      <c r="P59" s="24"/>
      <c r="Q59" s="24"/>
      <c r="R59" s="24"/>
      <c r="S59" s="24"/>
    </row>
    <row r="60" spans="1:19" ht="18" customHeight="1" x14ac:dyDescent="0.2">
      <c r="A60" s="3"/>
      <c r="B60" s="96"/>
      <c r="C60" s="97"/>
      <c r="D60" s="97"/>
      <c r="E60" s="98"/>
      <c r="F60" s="23"/>
      <c r="G60" s="23"/>
      <c r="H60" s="23"/>
      <c r="I60" s="23"/>
      <c r="J60" s="99"/>
      <c r="K60" s="100"/>
      <c r="L60" s="100"/>
      <c r="M60" s="100"/>
      <c r="N60" s="100"/>
      <c r="O60" s="101"/>
      <c r="P60" s="24"/>
      <c r="Q60" s="24"/>
      <c r="R60" s="24"/>
      <c r="S60" s="24"/>
    </row>
    <row r="61" spans="1:19" ht="18" customHeight="1" x14ac:dyDescent="0.2">
      <c r="A61" s="3"/>
      <c r="B61" s="99"/>
      <c r="C61" s="100"/>
      <c r="D61" s="100"/>
      <c r="E61" s="101"/>
      <c r="F61" s="24"/>
      <c r="G61" s="24"/>
      <c r="H61" s="24"/>
      <c r="I61" s="24"/>
      <c r="J61" s="99"/>
      <c r="K61" s="100"/>
      <c r="L61" s="100"/>
      <c r="M61" s="100"/>
      <c r="N61" s="100"/>
      <c r="O61" s="101"/>
      <c r="P61" s="24"/>
      <c r="Q61" s="24"/>
      <c r="R61" s="24"/>
      <c r="S61" s="24"/>
    </row>
    <row r="62" spans="1:19" ht="18" customHeight="1" x14ac:dyDescent="0.2">
      <c r="A62" s="3"/>
      <c r="B62" s="99"/>
      <c r="C62" s="100"/>
      <c r="D62" s="100"/>
      <c r="E62" s="101"/>
      <c r="F62" s="24"/>
      <c r="G62" s="24"/>
      <c r="H62" s="24"/>
      <c r="I62" s="24"/>
      <c r="J62" s="99"/>
      <c r="K62" s="100"/>
      <c r="L62" s="100"/>
      <c r="M62" s="100"/>
      <c r="N62" s="100"/>
      <c r="O62" s="101"/>
      <c r="P62" s="24"/>
      <c r="Q62" s="24"/>
      <c r="R62" s="24"/>
      <c r="S62" s="24"/>
    </row>
    <row r="63" spans="1:19" ht="18" customHeight="1" x14ac:dyDescent="0.2">
      <c r="A63" s="3"/>
      <c r="B63" s="99"/>
      <c r="C63" s="100"/>
      <c r="D63" s="100"/>
      <c r="E63" s="101"/>
      <c r="F63" s="24"/>
      <c r="G63" s="24"/>
      <c r="H63" s="24"/>
      <c r="I63" s="24"/>
      <c r="J63" s="99"/>
      <c r="K63" s="100"/>
      <c r="L63" s="100"/>
      <c r="M63" s="100"/>
      <c r="N63" s="100"/>
      <c r="O63" s="101"/>
      <c r="P63" s="24"/>
      <c r="Q63" s="24"/>
      <c r="R63" s="24"/>
      <c r="S63" s="24"/>
    </row>
    <row r="64" spans="1:19" ht="18" customHeight="1" x14ac:dyDescent="0.2">
      <c r="A64" s="3"/>
      <c r="B64" s="105"/>
      <c r="C64" s="106"/>
      <c r="D64" s="106"/>
      <c r="E64" s="107"/>
      <c r="F64" s="25"/>
      <c r="G64" s="25"/>
      <c r="H64" s="26"/>
      <c r="I64" s="26"/>
      <c r="J64" s="105"/>
      <c r="K64" s="106"/>
      <c r="L64" s="106"/>
      <c r="M64" s="106"/>
      <c r="N64" s="106"/>
      <c r="O64" s="107"/>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108" t="s">
        <v>118</v>
      </c>
      <c r="B66" s="108"/>
      <c r="C66" s="108"/>
      <c r="D66" s="108"/>
      <c r="E66" s="108"/>
      <c r="F66" s="108"/>
      <c r="G66" s="108"/>
      <c r="H66" s="108"/>
      <c r="I66" s="108"/>
      <c r="J66" s="108"/>
      <c r="K66" s="108"/>
      <c r="L66" s="108"/>
      <c r="M66" s="108"/>
      <c r="N66" s="108"/>
      <c r="O66" s="108"/>
      <c r="P66" s="108"/>
      <c r="Q66" s="108"/>
      <c r="R66" s="108"/>
      <c r="S66" s="108"/>
    </row>
    <row r="67" spans="1:19" ht="18" customHeight="1" x14ac:dyDescent="0.2">
      <c r="A67" s="108"/>
      <c r="B67" s="108"/>
      <c r="C67" s="108"/>
      <c r="D67" s="108"/>
      <c r="E67" s="108"/>
      <c r="F67" s="108"/>
      <c r="G67" s="108"/>
      <c r="H67" s="108"/>
      <c r="I67" s="108"/>
      <c r="J67" s="108"/>
      <c r="K67" s="108"/>
      <c r="L67" s="108"/>
      <c r="M67" s="108"/>
      <c r="N67" s="108"/>
      <c r="O67" s="108"/>
      <c r="P67" s="108"/>
      <c r="Q67" s="108"/>
      <c r="R67" s="108"/>
      <c r="S67" s="108"/>
    </row>
    <row r="68" spans="1:19" ht="18" customHeight="1" x14ac:dyDescent="0.2">
      <c r="B68" s="102" t="s">
        <v>54</v>
      </c>
      <c r="C68" s="103"/>
      <c r="D68" s="103"/>
      <c r="E68" s="61" t="s">
        <v>81</v>
      </c>
      <c r="F68" s="60" t="s">
        <v>85</v>
      </c>
      <c r="G68" s="22" t="s">
        <v>102</v>
      </c>
      <c r="H68" s="22" t="s">
        <v>76</v>
      </c>
      <c r="I68" s="22" t="s">
        <v>77</v>
      </c>
      <c r="J68" s="102" t="s">
        <v>54</v>
      </c>
      <c r="K68" s="103"/>
      <c r="L68" s="103"/>
      <c r="M68" s="103"/>
      <c r="N68" s="104"/>
      <c r="O68" s="61" t="s">
        <v>81</v>
      </c>
      <c r="P68" s="60" t="s">
        <v>85</v>
      </c>
      <c r="Q68" s="22" t="s">
        <v>102</v>
      </c>
      <c r="R68" s="22" t="s">
        <v>76</v>
      </c>
      <c r="S68" s="22" t="s">
        <v>77</v>
      </c>
    </row>
    <row r="69" spans="1:19" ht="18" customHeight="1" x14ac:dyDescent="0.2">
      <c r="A69" s="3"/>
      <c r="B69" s="96" t="s">
        <v>134</v>
      </c>
      <c r="C69" s="97"/>
      <c r="D69" s="97"/>
      <c r="E69" s="23">
        <v>2</v>
      </c>
      <c r="F69" s="23" t="s">
        <v>135</v>
      </c>
      <c r="G69" s="23" t="s">
        <v>135</v>
      </c>
      <c r="H69" s="23" t="s">
        <v>135</v>
      </c>
      <c r="I69" s="23" t="s">
        <v>135</v>
      </c>
      <c r="J69" s="96"/>
      <c r="K69" s="97"/>
      <c r="L69" s="97"/>
      <c r="M69" s="97"/>
      <c r="N69" s="98"/>
      <c r="O69" s="23"/>
      <c r="P69" s="23"/>
      <c r="Q69" s="23"/>
      <c r="R69" s="23"/>
      <c r="S69" s="23"/>
    </row>
    <row r="70" spans="1:19" ht="18" customHeight="1" x14ac:dyDescent="0.2">
      <c r="A70" s="3"/>
      <c r="B70" s="132" t="s">
        <v>153</v>
      </c>
      <c r="C70" s="133"/>
      <c r="D70" s="134"/>
      <c r="E70" s="24">
        <v>2</v>
      </c>
      <c r="F70" s="24" t="s">
        <v>135</v>
      </c>
      <c r="G70" s="24"/>
      <c r="H70" s="23" t="s">
        <v>135</v>
      </c>
      <c r="I70" s="23" t="s">
        <v>135</v>
      </c>
      <c r="J70" s="99"/>
      <c r="K70" s="100"/>
      <c r="L70" s="100"/>
      <c r="M70" s="100"/>
      <c r="N70" s="101"/>
      <c r="O70" s="24"/>
      <c r="P70" s="24"/>
      <c r="Q70" s="24"/>
      <c r="R70" s="24"/>
      <c r="S70" s="24"/>
    </row>
    <row r="71" spans="1:19" ht="18" customHeight="1" x14ac:dyDescent="0.2">
      <c r="A71" s="3"/>
      <c r="B71" s="99"/>
      <c r="C71" s="100"/>
      <c r="D71" s="100"/>
      <c r="E71" s="24"/>
      <c r="F71" s="24"/>
      <c r="G71" s="24"/>
      <c r="H71" s="24"/>
      <c r="I71" s="24"/>
      <c r="J71" s="99"/>
      <c r="K71" s="100"/>
      <c r="L71" s="100"/>
      <c r="M71" s="100"/>
      <c r="N71" s="101"/>
      <c r="O71" s="24"/>
      <c r="P71" s="24"/>
      <c r="Q71" s="24"/>
      <c r="R71" s="24"/>
      <c r="S71" s="24"/>
    </row>
    <row r="72" spans="1:19" ht="18" customHeight="1" x14ac:dyDescent="0.2">
      <c r="A72" s="3"/>
      <c r="B72" s="99"/>
      <c r="C72" s="100"/>
      <c r="D72" s="100"/>
      <c r="E72" s="24"/>
      <c r="F72" s="24"/>
      <c r="G72" s="24"/>
      <c r="H72" s="24"/>
      <c r="I72" s="24"/>
      <c r="J72" s="99"/>
      <c r="K72" s="100"/>
      <c r="L72" s="100"/>
      <c r="M72" s="100"/>
      <c r="N72" s="101"/>
      <c r="O72" s="24"/>
      <c r="P72" s="24"/>
      <c r="Q72" s="24"/>
      <c r="R72" s="24"/>
      <c r="S72" s="24"/>
    </row>
    <row r="73" spans="1:19" ht="18" customHeight="1" x14ac:dyDescent="0.2">
      <c r="A73" s="3"/>
      <c r="B73" s="99"/>
      <c r="C73" s="100"/>
      <c r="D73" s="100"/>
      <c r="E73" s="24"/>
      <c r="F73" s="24"/>
      <c r="G73" s="24"/>
      <c r="H73" s="24"/>
      <c r="I73" s="24"/>
      <c r="J73" s="99"/>
      <c r="K73" s="100"/>
      <c r="L73" s="100"/>
      <c r="M73" s="100"/>
      <c r="N73" s="101"/>
      <c r="O73" s="24"/>
      <c r="P73" s="24"/>
      <c r="Q73" s="24"/>
      <c r="R73" s="24"/>
      <c r="S73" s="24"/>
    </row>
    <row r="74" spans="1:19" ht="18" customHeight="1" x14ac:dyDescent="0.2">
      <c r="A74" s="3"/>
      <c r="B74" s="99"/>
      <c r="C74" s="100"/>
      <c r="D74" s="100"/>
      <c r="E74" s="24"/>
      <c r="F74" s="24"/>
      <c r="G74" s="24"/>
      <c r="H74" s="24"/>
      <c r="I74" s="24"/>
      <c r="J74" s="99"/>
      <c r="K74" s="100"/>
      <c r="L74" s="100"/>
      <c r="M74" s="100"/>
      <c r="N74" s="101"/>
      <c r="O74" s="24"/>
      <c r="P74" s="24"/>
      <c r="Q74" s="24"/>
      <c r="R74" s="24"/>
      <c r="S74" s="24"/>
    </row>
    <row r="75" spans="1:19" ht="18" customHeight="1" x14ac:dyDescent="0.2">
      <c r="A75" s="3"/>
      <c r="B75" s="105"/>
      <c r="C75" s="106"/>
      <c r="D75" s="106"/>
      <c r="E75" s="25"/>
      <c r="F75" s="25"/>
      <c r="G75" s="26"/>
      <c r="H75" s="26"/>
      <c r="I75" s="26"/>
      <c r="J75" s="105"/>
      <c r="K75" s="106"/>
      <c r="L75" s="106"/>
      <c r="M75" s="106"/>
      <c r="N75" s="107"/>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102" t="s">
        <v>54</v>
      </c>
      <c r="C78" s="103"/>
      <c r="D78" s="103"/>
      <c r="E78" s="104"/>
      <c r="F78" s="102" t="s">
        <v>83</v>
      </c>
      <c r="G78" s="103"/>
      <c r="H78" s="103"/>
      <c r="I78" s="104"/>
      <c r="J78" s="129" t="s">
        <v>54</v>
      </c>
      <c r="K78" s="130"/>
      <c r="L78" s="130"/>
      <c r="M78" s="130"/>
      <c r="N78" s="130"/>
      <c r="O78" s="131"/>
      <c r="P78" s="102" t="s">
        <v>83</v>
      </c>
      <c r="Q78" s="103"/>
      <c r="R78" s="103"/>
      <c r="S78" s="104"/>
    </row>
    <row r="79" spans="1:19" ht="18" customHeight="1" x14ac:dyDescent="0.2">
      <c r="A79" s="3"/>
      <c r="B79" s="96" t="s">
        <v>134</v>
      </c>
      <c r="C79" s="97"/>
      <c r="D79" s="97"/>
      <c r="E79" s="98"/>
      <c r="F79" s="109" t="s">
        <v>136</v>
      </c>
      <c r="G79" s="110"/>
      <c r="H79" s="110"/>
      <c r="I79" s="111"/>
      <c r="J79" s="96"/>
      <c r="K79" s="97"/>
      <c r="L79" s="97"/>
      <c r="M79" s="97"/>
      <c r="N79" s="97"/>
      <c r="O79" s="98"/>
      <c r="P79" s="109"/>
      <c r="Q79" s="110"/>
      <c r="R79" s="110"/>
      <c r="S79" s="111"/>
    </row>
    <row r="80" spans="1:19" ht="18" customHeight="1" x14ac:dyDescent="0.2">
      <c r="A80" s="3"/>
      <c r="B80" s="99" t="s">
        <v>153</v>
      </c>
      <c r="C80" s="100"/>
      <c r="D80" s="100"/>
      <c r="E80" s="101"/>
      <c r="F80" s="112" t="s">
        <v>155</v>
      </c>
      <c r="G80" s="113"/>
      <c r="H80" s="113"/>
      <c r="I80" s="114"/>
      <c r="J80" s="99"/>
      <c r="K80" s="100"/>
      <c r="L80" s="100"/>
      <c r="M80" s="100"/>
      <c r="N80" s="100"/>
      <c r="O80" s="101"/>
      <c r="P80" s="112"/>
      <c r="Q80" s="113"/>
      <c r="R80" s="113"/>
      <c r="S80" s="114"/>
    </row>
    <row r="81" spans="1:19" ht="18" customHeight="1" x14ac:dyDescent="0.2">
      <c r="A81" s="3"/>
      <c r="B81" s="99"/>
      <c r="C81" s="100"/>
      <c r="D81" s="100"/>
      <c r="E81" s="101"/>
      <c r="F81" s="112"/>
      <c r="G81" s="113"/>
      <c r="H81" s="113"/>
      <c r="I81" s="114"/>
      <c r="J81" s="99"/>
      <c r="K81" s="100"/>
      <c r="L81" s="100"/>
      <c r="M81" s="100"/>
      <c r="N81" s="100"/>
      <c r="O81" s="101"/>
      <c r="P81" s="112"/>
      <c r="Q81" s="113"/>
      <c r="R81" s="113"/>
      <c r="S81" s="114"/>
    </row>
    <row r="82" spans="1:19" ht="18" customHeight="1" x14ac:dyDescent="0.2">
      <c r="A82" s="3"/>
      <c r="B82" s="99"/>
      <c r="C82" s="100"/>
      <c r="D82" s="100"/>
      <c r="E82" s="101"/>
      <c r="F82" s="112"/>
      <c r="G82" s="113"/>
      <c r="H82" s="113"/>
      <c r="I82" s="114"/>
      <c r="J82" s="99"/>
      <c r="K82" s="100"/>
      <c r="L82" s="100"/>
      <c r="M82" s="100"/>
      <c r="N82" s="100"/>
      <c r="O82" s="101"/>
      <c r="P82" s="112"/>
      <c r="Q82" s="113"/>
      <c r="R82" s="113"/>
      <c r="S82" s="114"/>
    </row>
    <row r="83" spans="1:19" ht="18" customHeight="1" x14ac:dyDescent="0.2">
      <c r="A83" s="3"/>
      <c r="B83" s="99"/>
      <c r="C83" s="100"/>
      <c r="D83" s="100"/>
      <c r="E83" s="101"/>
      <c r="F83" s="112"/>
      <c r="G83" s="113"/>
      <c r="H83" s="113"/>
      <c r="I83" s="114"/>
      <c r="J83" s="99"/>
      <c r="K83" s="100"/>
      <c r="L83" s="100"/>
      <c r="M83" s="100"/>
      <c r="N83" s="100"/>
      <c r="O83" s="101"/>
      <c r="P83" s="112"/>
      <c r="Q83" s="113"/>
      <c r="R83" s="113"/>
      <c r="S83" s="114"/>
    </row>
    <row r="84" spans="1:19" ht="18" customHeight="1" x14ac:dyDescent="0.2">
      <c r="A84" s="3"/>
      <c r="B84" s="99"/>
      <c r="C84" s="100"/>
      <c r="D84" s="100"/>
      <c r="E84" s="101"/>
      <c r="F84" s="112"/>
      <c r="G84" s="113"/>
      <c r="H84" s="113"/>
      <c r="I84" s="114"/>
      <c r="J84" s="99"/>
      <c r="K84" s="100"/>
      <c r="L84" s="100"/>
      <c r="M84" s="100"/>
      <c r="N84" s="100"/>
      <c r="O84" s="101"/>
      <c r="P84" s="112"/>
      <c r="Q84" s="113"/>
      <c r="R84" s="113"/>
      <c r="S84" s="114"/>
    </row>
    <row r="85" spans="1:19" ht="18" customHeight="1" x14ac:dyDescent="0.2">
      <c r="A85" s="3"/>
      <c r="B85" s="105"/>
      <c r="C85" s="106"/>
      <c r="D85" s="106"/>
      <c r="E85" s="107"/>
      <c r="F85" s="125"/>
      <c r="G85" s="126"/>
      <c r="H85" s="126"/>
      <c r="I85" s="127"/>
      <c r="J85" s="105"/>
      <c r="K85" s="106"/>
      <c r="L85" s="106"/>
      <c r="M85" s="106"/>
      <c r="N85" s="106"/>
      <c r="O85" s="107"/>
      <c r="P85" s="125"/>
      <c r="Q85" s="126"/>
      <c r="R85" s="126"/>
      <c r="S85" s="127"/>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120</v>
      </c>
    </row>
    <row r="88" spans="1:19" ht="18.75" customHeight="1" x14ac:dyDescent="0.2">
      <c r="B88" s="135" t="s">
        <v>55</v>
      </c>
      <c r="C88" s="136"/>
      <c r="D88" s="103" t="s">
        <v>56</v>
      </c>
      <c r="E88" s="103"/>
      <c r="F88" s="103"/>
      <c r="G88" s="103"/>
      <c r="H88" s="103"/>
      <c r="I88" s="103"/>
      <c r="J88" s="103"/>
      <c r="K88" s="103"/>
      <c r="L88" s="103"/>
      <c r="M88" s="103"/>
      <c r="N88" s="103"/>
      <c r="O88" s="103"/>
      <c r="P88" s="103"/>
      <c r="Q88" s="103"/>
      <c r="R88" s="103"/>
      <c r="S88" s="104"/>
    </row>
    <row r="89" spans="1:19" ht="97.5" customHeight="1" x14ac:dyDescent="0.2">
      <c r="B89" s="115" t="s">
        <v>62</v>
      </c>
      <c r="C89" s="28" t="s">
        <v>57</v>
      </c>
      <c r="D89" s="122" t="s">
        <v>171</v>
      </c>
      <c r="E89" s="123"/>
      <c r="F89" s="123"/>
      <c r="G89" s="123"/>
      <c r="H89" s="123"/>
      <c r="I89" s="123"/>
      <c r="J89" s="123"/>
      <c r="K89" s="123"/>
      <c r="L89" s="123"/>
      <c r="M89" s="123"/>
      <c r="N89" s="123"/>
      <c r="O89" s="123"/>
      <c r="P89" s="123"/>
      <c r="Q89" s="123"/>
      <c r="R89" s="123"/>
      <c r="S89" s="124"/>
    </row>
    <row r="90" spans="1:19" ht="97.5" customHeight="1" x14ac:dyDescent="0.2">
      <c r="B90" s="116"/>
      <c r="C90" s="29" t="s">
        <v>78</v>
      </c>
      <c r="D90" s="143" t="s">
        <v>172</v>
      </c>
      <c r="E90" s="144"/>
      <c r="F90" s="144"/>
      <c r="G90" s="144"/>
      <c r="H90" s="144"/>
      <c r="I90" s="144"/>
      <c r="J90" s="144"/>
      <c r="K90" s="144"/>
      <c r="L90" s="144"/>
      <c r="M90" s="144"/>
      <c r="N90" s="144"/>
      <c r="O90" s="144"/>
      <c r="P90" s="144"/>
      <c r="Q90" s="144"/>
      <c r="R90" s="144"/>
      <c r="S90" s="145"/>
    </row>
    <row r="91" spans="1:19" ht="97.5" customHeight="1" x14ac:dyDescent="0.2">
      <c r="B91" s="115" t="s">
        <v>63</v>
      </c>
      <c r="C91" s="30" t="s">
        <v>72</v>
      </c>
      <c r="D91" s="146" t="s">
        <v>173</v>
      </c>
      <c r="E91" s="147"/>
      <c r="F91" s="147"/>
      <c r="G91" s="147"/>
      <c r="H91" s="147"/>
      <c r="I91" s="147"/>
      <c r="J91" s="147"/>
      <c r="K91" s="147"/>
      <c r="L91" s="147"/>
      <c r="M91" s="147"/>
      <c r="N91" s="147"/>
      <c r="O91" s="147"/>
      <c r="P91" s="147"/>
      <c r="Q91" s="147"/>
      <c r="R91" s="147"/>
      <c r="S91" s="148"/>
    </row>
    <row r="92" spans="1:19" ht="97.5" customHeight="1" x14ac:dyDescent="0.2">
      <c r="B92" s="117"/>
      <c r="C92" s="31" t="s">
        <v>73</v>
      </c>
      <c r="D92" s="151" t="s">
        <v>174</v>
      </c>
      <c r="E92" s="152"/>
      <c r="F92" s="152"/>
      <c r="G92" s="152"/>
      <c r="H92" s="152"/>
      <c r="I92" s="152"/>
      <c r="J92" s="152"/>
      <c r="K92" s="152"/>
      <c r="L92" s="152"/>
      <c r="M92" s="152"/>
      <c r="N92" s="152"/>
      <c r="O92" s="152"/>
      <c r="P92" s="152"/>
      <c r="Q92" s="152"/>
      <c r="R92" s="152"/>
      <c r="S92" s="153"/>
    </row>
    <row r="93" spans="1:19" ht="97.5" customHeight="1" x14ac:dyDescent="0.2">
      <c r="B93" s="115" t="s">
        <v>64</v>
      </c>
      <c r="C93" s="30" t="s">
        <v>74</v>
      </c>
      <c r="D93" s="146" t="s">
        <v>176</v>
      </c>
      <c r="E93" s="147"/>
      <c r="F93" s="147"/>
      <c r="G93" s="147"/>
      <c r="H93" s="147"/>
      <c r="I93" s="147"/>
      <c r="J93" s="147"/>
      <c r="K93" s="147"/>
      <c r="L93" s="147"/>
      <c r="M93" s="147"/>
      <c r="N93" s="147"/>
      <c r="O93" s="147"/>
      <c r="P93" s="147"/>
      <c r="Q93" s="147"/>
      <c r="R93" s="147"/>
      <c r="S93" s="148"/>
    </row>
    <row r="94" spans="1:19" ht="97.5" customHeight="1" x14ac:dyDescent="0.2">
      <c r="B94" s="117"/>
      <c r="C94" s="32" t="s">
        <v>75</v>
      </c>
      <c r="D94" s="149" t="s">
        <v>175</v>
      </c>
      <c r="E94" s="149"/>
      <c r="F94" s="149"/>
      <c r="G94" s="149"/>
      <c r="H94" s="149"/>
      <c r="I94" s="149"/>
      <c r="J94" s="149"/>
      <c r="K94" s="149"/>
      <c r="L94" s="149"/>
      <c r="M94" s="149"/>
      <c r="N94" s="149"/>
      <c r="O94" s="149"/>
      <c r="P94" s="149"/>
      <c r="Q94" s="149"/>
      <c r="R94" s="149"/>
      <c r="S94" s="150"/>
    </row>
    <row r="95" spans="1:19" ht="97.5" customHeight="1" x14ac:dyDescent="0.2">
      <c r="B95" s="115" t="s">
        <v>79</v>
      </c>
      <c r="C95" s="28" t="s">
        <v>59</v>
      </c>
      <c r="D95" s="122" t="s">
        <v>181</v>
      </c>
      <c r="E95" s="123"/>
      <c r="F95" s="123"/>
      <c r="G95" s="123"/>
      <c r="H95" s="123"/>
      <c r="I95" s="123"/>
      <c r="J95" s="123"/>
      <c r="K95" s="123"/>
      <c r="L95" s="123"/>
      <c r="M95" s="123"/>
      <c r="N95" s="123"/>
      <c r="O95" s="123"/>
      <c r="P95" s="123"/>
      <c r="Q95" s="123"/>
      <c r="R95" s="123"/>
      <c r="S95" s="124"/>
    </row>
    <row r="96" spans="1:19" ht="97.5" customHeight="1" x14ac:dyDescent="0.2">
      <c r="B96" s="117"/>
      <c r="C96" s="31" t="s">
        <v>61</v>
      </c>
      <c r="D96" s="154" t="s">
        <v>177</v>
      </c>
      <c r="E96" s="151"/>
      <c r="F96" s="151"/>
      <c r="G96" s="151"/>
      <c r="H96" s="151"/>
      <c r="I96" s="151"/>
      <c r="J96" s="151"/>
      <c r="K96" s="151"/>
      <c r="L96" s="151"/>
      <c r="M96" s="151"/>
      <c r="N96" s="151"/>
      <c r="O96" s="151"/>
      <c r="P96" s="151"/>
      <c r="Q96" s="151"/>
      <c r="R96" s="151"/>
      <c r="S96" s="155"/>
    </row>
    <row r="97" spans="1:19" ht="97.5" customHeight="1" x14ac:dyDescent="0.2">
      <c r="B97" s="115" t="s">
        <v>80</v>
      </c>
      <c r="C97" s="30" t="s">
        <v>58</v>
      </c>
      <c r="D97" s="118" t="s">
        <v>179</v>
      </c>
      <c r="E97" s="97"/>
      <c r="F97" s="97"/>
      <c r="G97" s="97"/>
      <c r="H97" s="97"/>
      <c r="I97" s="97"/>
      <c r="J97" s="97"/>
      <c r="K97" s="97"/>
      <c r="L97" s="97"/>
      <c r="M97" s="97"/>
      <c r="N97" s="97"/>
      <c r="O97" s="97"/>
      <c r="P97" s="97"/>
      <c r="Q97" s="97"/>
      <c r="R97" s="97"/>
      <c r="S97" s="98"/>
    </row>
    <row r="98" spans="1:19" ht="97.5" customHeight="1" x14ac:dyDescent="0.2">
      <c r="B98" s="116"/>
      <c r="C98" s="33" t="s">
        <v>76</v>
      </c>
      <c r="D98" s="128" t="s">
        <v>180</v>
      </c>
      <c r="E98" s="100"/>
      <c r="F98" s="100"/>
      <c r="G98" s="100"/>
      <c r="H98" s="100"/>
      <c r="I98" s="100"/>
      <c r="J98" s="100"/>
      <c r="K98" s="100"/>
      <c r="L98" s="100"/>
      <c r="M98" s="100"/>
      <c r="N98" s="100"/>
      <c r="O98" s="100"/>
      <c r="P98" s="100"/>
      <c r="Q98" s="100"/>
      <c r="R98" s="100"/>
      <c r="S98" s="101"/>
    </row>
    <row r="99" spans="1:19" ht="97.5" customHeight="1" x14ac:dyDescent="0.2">
      <c r="B99" s="117"/>
      <c r="C99" s="32" t="s">
        <v>77</v>
      </c>
      <c r="D99" s="119" t="s">
        <v>178</v>
      </c>
      <c r="E99" s="120"/>
      <c r="F99" s="120"/>
      <c r="G99" s="120"/>
      <c r="H99" s="120"/>
      <c r="I99" s="120"/>
      <c r="J99" s="120"/>
      <c r="K99" s="120"/>
      <c r="L99" s="120"/>
      <c r="M99" s="120"/>
      <c r="N99" s="120"/>
      <c r="O99" s="120"/>
      <c r="P99" s="120"/>
      <c r="Q99" s="120"/>
      <c r="R99" s="120"/>
      <c r="S99" s="121"/>
    </row>
    <row r="100" spans="1:19" ht="6" customHeight="1" x14ac:dyDescent="0.2"/>
    <row r="101" spans="1:19" ht="18.75" customHeight="1" x14ac:dyDescent="0.2">
      <c r="A101" s="1" t="s">
        <v>121</v>
      </c>
    </row>
    <row r="102" spans="1:19" ht="81.75" customHeight="1" x14ac:dyDescent="0.2">
      <c r="B102" s="140" t="s">
        <v>146</v>
      </c>
      <c r="C102" s="141"/>
      <c r="D102" s="141"/>
      <c r="E102" s="141"/>
      <c r="F102" s="141"/>
      <c r="G102" s="141"/>
      <c r="H102" s="141"/>
      <c r="I102" s="141"/>
      <c r="J102" s="141"/>
      <c r="K102" s="141"/>
      <c r="L102" s="141"/>
      <c r="M102" s="141"/>
      <c r="N102" s="141"/>
      <c r="O102" s="141"/>
      <c r="P102" s="141"/>
      <c r="Q102" s="141"/>
      <c r="R102" s="141"/>
      <c r="S102" s="142"/>
    </row>
    <row r="110" spans="1:19" ht="18" customHeight="1" x14ac:dyDescent="0.2"/>
  </sheetData>
  <mergeCells count="144">
    <mergeCell ref="B37:E37"/>
    <mergeCell ref="B59:E59"/>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8:E38"/>
    <mergeCell ref="B36:E36"/>
    <mergeCell ref="B57:E57"/>
    <mergeCell ref="B60:E60"/>
    <mergeCell ref="B58:E58"/>
    <mergeCell ref="B46:E46"/>
    <mergeCell ref="B49:E49"/>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88:C88"/>
    <mergeCell ref="D88:S88"/>
    <mergeCell ref="D89:S89"/>
    <mergeCell ref="J79:O79"/>
    <mergeCell ref="P79:S79"/>
    <mergeCell ref="P78:S78"/>
    <mergeCell ref="B79:E79"/>
    <mergeCell ref="B48:E48"/>
    <mergeCell ref="J59:O59"/>
    <mergeCell ref="B78:E78"/>
    <mergeCell ref="F79:I79"/>
    <mergeCell ref="P81:S81"/>
    <mergeCell ref="P82:S82"/>
    <mergeCell ref="B75:D75"/>
    <mergeCell ref="J72:N72"/>
    <mergeCell ref="B97:B99"/>
    <mergeCell ref="D97:S97"/>
    <mergeCell ref="D99:S99"/>
    <mergeCell ref="B95:B96"/>
    <mergeCell ref="D95:S95"/>
    <mergeCell ref="J73:N73"/>
    <mergeCell ref="J74:N74"/>
    <mergeCell ref="B91:B92"/>
    <mergeCell ref="F85:I85"/>
    <mergeCell ref="D98:S98"/>
    <mergeCell ref="B61:E61"/>
    <mergeCell ref="B62:E62"/>
    <mergeCell ref="B63:E63"/>
    <mergeCell ref="B64:E64"/>
    <mergeCell ref="J75:N75"/>
    <mergeCell ref="J85:O85"/>
    <mergeCell ref="J36:O36"/>
    <mergeCell ref="J37:O37"/>
    <mergeCell ref="J38:O38"/>
    <mergeCell ref="J57:O57"/>
    <mergeCell ref="J58:O58"/>
    <mergeCell ref="B71:D71"/>
    <mergeCell ref="B72:D72"/>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A55:S5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Q36:S42 Q47:S53 Q58:S64 P69:S75 F69:I75 G36:I42 G47:I53 G58:I64"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topLeftCell="B1" zoomScaleNormal="100" zoomScaleSheetLayoutView="100" workbookViewId="0">
      <selection activeCell="H21" sqref="H21"/>
    </sheetView>
  </sheetViews>
  <sheetFormatPr defaultColWidth="9" defaultRowHeight="18.75" customHeight="1" x14ac:dyDescent="0.2"/>
  <cols>
    <col min="1" max="1" width="2.81640625" style="1" customWidth="1"/>
    <col min="2" max="2" width="20.81640625" style="1" customWidth="1"/>
    <col min="3" max="5" width="6.1796875" style="1" customWidth="1"/>
    <col min="6" max="42" width="4.81640625" style="1" customWidth="1"/>
    <col min="43" max="43" width="6.63281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79" t="str">
        <f>'様式１　プログラムを構成する授業科目'!C2</f>
        <v>岡山理科大学</v>
      </c>
      <c r="AN2" s="179"/>
      <c r="AO2" s="179"/>
      <c r="AP2" s="179"/>
      <c r="AQ2" s="179"/>
    </row>
    <row r="3" spans="1:45" ht="18" customHeight="1" x14ac:dyDescent="0.2">
      <c r="A3" s="160" t="s">
        <v>48</v>
      </c>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80" t="s">
        <v>149</v>
      </c>
      <c r="D5" s="181"/>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82" t="s">
        <v>45</v>
      </c>
      <c r="C9" s="197" t="s">
        <v>87</v>
      </c>
      <c r="D9" s="185" t="s">
        <v>47</v>
      </c>
      <c r="E9" s="188" t="s">
        <v>40</v>
      </c>
      <c r="F9" s="176" t="s">
        <v>86</v>
      </c>
      <c r="G9" s="176"/>
      <c r="H9" s="176"/>
      <c r="I9" s="176"/>
      <c r="J9" s="176"/>
      <c r="K9" s="176"/>
      <c r="L9" s="176" t="s">
        <v>49</v>
      </c>
      <c r="M9" s="176"/>
      <c r="N9" s="176"/>
      <c r="O9" s="176"/>
      <c r="P9" s="176"/>
      <c r="Q9" s="176"/>
      <c r="R9" s="176" t="s">
        <v>50</v>
      </c>
      <c r="S9" s="176"/>
      <c r="T9" s="176"/>
      <c r="U9" s="176"/>
      <c r="V9" s="176"/>
      <c r="W9" s="176"/>
      <c r="X9" s="176" t="s">
        <v>101</v>
      </c>
      <c r="Y9" s="176"/>
      <c r="Z9" s="176"/>
      <c r="AA9" s="176"/>
      <c r="AB9" s="176"/>
      <c r="AC9" s="176"/>
      <c r="AD9" s="176" t="s">
        <v>51</v>
      </c>
      <c r="AE9" s="176"/>
      <c r="AF9" s="176"/>
      <c r="AG9" s="176"/>
      <c r="AH9" s="176"/>
      <c r="AI9" s="176"/>
      <c r="AJ9" s="176" t="s">
        <v>52</v>
      </c>
      <c r="AK9" s="176"/>
      <c r="AL9" s="176"/>
      <c r="AM9" s="176"/>
      <c r="AN9" s="176"/>
      <c r="AO9" s="176"/>
      <c r="AP9" s="191" t="s">
        <v>35</v>
      </c>
      <c r="AQ9" s="194" t="s">
        <v>32</v>
      </c>
      <c r="AS9" s="2"/>
    </row>
    <row r="10" spans="1:45" ht="17" customHeight="1" x14ac:dyDescent="0.2">
      <c r="B10" s="183"/>
      <c r="C10" s="198"/>
      <c r="D10" s="186"/>
      <c r="E10" s="189"/>
      <c r="F10" s="177" t="s">
        <v>97</v>
      </c>
      <c r="G10" s="178"/>
      <c r="H10" s="178"/>
      <c r="I10" s="177" t="s">
        <v>29</v>
      </c>
      <c r="J10" s="178"/>
      <c r="K10" s="178"/>
      <c r="L10" s="177" t="s">
        <v>97</v>
      </c>
      <c r="M10" s="178"/>
      <c r="N10" s="178"/>
      <c r="O10" s="177" t="s">
        <v>29</v>
      </c>
      <c r="P10" s="178"/>
      <c r="Q10" s="178"/>
      <c r="R10" s="177" t="s">
        <v>97</v>
      </c>
      <c r="S10" s="178"/>
      <c r="T10" s="178"/>
      <c r="U10" s="177" t="s">
        <v>29</v>
      </c>
      <c r="V10" s="178"/>
      <c r="W10" s="178"/>
      <c r="X10" s="177" t="s">
        <v>97</v>
      </c>
      <c r="Y10" s="178"/>
      <c r="Z10" s="178"/>
      <c r="AA10" s="177" t="s">
        <v>29</v>
      </c>
      <c r="AB10" s="178"/>
      <c r="AC10" s="178"/>
      <c r="AD10" s="177" t="s">
        <v>97</v>
      </c>
      <c r="AE10" s="178"/>
      <c r="AF10" s="178"/>
      <c r="AG10" s="177" t="s">
        <v>29</v>
      </c>
      <c r="AH10" s="178"/>
      <c r="AI10" s="178"/>
      <c r="AJ10" s="177" t="s">
        <v>97</v>
      </c>
      <c r="AK10" s="178"/>
      <c r="AL10" s="178"/>
      <c r="AM10" s="177" t="s">
        <v>29</v>
      </c>
      <c r="AN10" s="178"/>
      <c r="AO10" s="178"/>
      <c r="AP10" s="192"/>
      <c r="AQ10" s="195"/>
      <c r="AS10" s="2"/>
    </row>
    <row r="11" spans="1:45" ht="18" customHeight="1" x14ac:dyDescent="0.2">
      <c r="B11" s="184"/>
      <c r="C11" s="199"/>
      <c r="D11" s="187"/>
      <c r="E11" s="190"/>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3"/>
      <c r="AQ11" s="196"/>
      <c r="AS11" s="2"/>
    </row>
    <row r="12" spans="1:45" ht="18" customHeight="1" x14ac:dyDescent="0.2">
      <c r="A12" s="6"/>
      <c r="B12" s="11" t="s">
        <v>137</v>
      </c>
      <c r="C12" s="82">
        <v>1709</v>
      </c>
      <c r="D12" s="84">
        <v>415</v>
      </c>
      <c r="E12" s="83">
        <v>2170</v>
      </c>
      <c r="F12" s="83">
        <v>142</v>
      </c>
      <c r="G12" s="85">
        <v>94</v>
      </c>
      <c r="H12" s="86">
        <v>48</v>
      </c>
      <c r="I12" s="70">
        <f t="shared" ref="I12:I18" si="0">J12+K12</f>
        <v>0</v>
      </c>
      <c r="J12" s="85"/>
      <c r="K12" s="86"/>
      <c r="L12" s="83">
        <v>0</v>
      </c>
      <c r="M12" s="85"/>
      <c r="N12" s="86"/>
      <c r="O12" s="83">
        <v>0</v>
      </c>
      <c r="P12" s="85"/>
      <c r="Q12" s="8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142</v>
      </c>
      <c r="AQ12" s="21">
        <f t="shared" ref="AQ12:AQ32" si="1">AP12/E12</f>
        <v>6.5437788018433182E-2</v>
      </c>
    </row>
    <row r="13" spans="1:45" ht="18" customHeight="1" x14ac:dyDescent="0.2">
      <c r="A13" s="6"/>
      <c r="B13" s="12" t="s">
        <v>138</v>
      </c>
      <c r="C13" s="87">
        <v>1882</v>
      </c>
      <c r="D13" s="88">
        <v>395</v>
      </c>
      <c r="E13" s="89">
        <v>1995</v>
      </c>
      <c r="F13" s="90">
        <v>165</v>
      </c>
      <c r="G13" s="91">
        <v>137</v>
      </c>
      <c r="H13" s="92">
        <v>28</v>
      </c>
      <c r="I13" s="70">
        <f t="shared" si="0"/>
        <v>0</v>
      </c>
      <c r="J13" s="91"/>
      <c r="K13" s="92"/>
      <c r="L13" s="90">
        <f t="shared" ref="L13:L31" si="2">M13+N13</f>
        <v>0</v>
      </c>
      <c r="M13" s="91"/>
      <c r="N13" s="92"/>
      <c r="O13" s="90">
        <f t="shared" ref="O13:O31" si="3">P13+Q13</f>
        <v>0</v>
      </c>
      <c r="P13" s="91"/>
      <c r="Q13" s="92"/>
      <c r="R13" s="70">
        <f t="shared" ref="R13:R31" si="4">S13+T13</f>
        <v>0</v>
      </c>
      <c r="S13" s="71"/>
      <c r="T13" s="72"/>
      <c r="U13" s="70">
        <f t="shared" ref="U13:U31" si="5">V13+W13</f>
        <v>0</v>
      </c>
      <c r="V13" s="71"/>
      <c r="W13" s="72"/>
      <c r="X13" s="70">
        <f t="shared" ref="X13:X31" si="6">Y13+Z13</f>
        <v>0</v>
      </c>
      <c r="Y13" s="71"/>
      <c r="Z13" s="72"/>
      <c r="AA13" s="70">
        <f t="shared" ref="AA13:AA31" si="7">AB13+AC13</f>
        <v>0</v>
      </c>
      <c r="AB13" s="71"/>
      <c r="AC13" s="72"/>
      <c r="AD13" s="70">
        <f t="shared" ref="AD13:AD31" si="8">AE13+AF13</f>
        <v>0</v>
      </c>
      <c r="AE13" s="71"/>
      <c r="AF13" s="72"/>
      <c r="AG13" s="70">
        <f t="shared" ref="AG13:AG31" si="9">AH13+AI13</f>
        <v>0</v>
      </c>
      <c r="AH13" s="71"/>
      <c r="AI13" s="72"/>
      <c r="AJ13" s="70">
        <f t="shared" ref="AJ13:AJ31" si="10">AK13+AL13</f>
        <v>0</v>
      </c>
      <c r="AK13" s="71"/>
      <c r="AL13" s="72"/>
      <c r="AM13" s="70">
        <f t="shared" ref="AM13:AM31" si="11">AN13+AO13</f>
        <v>0</v>
      </c>
      <c r="AN13" s="71"/>
      <c r="AO13" s="72"/>
      <c r="AP13" s="68">
        <f t="shared" ref="AP13:AP31" si="12">F13+L13+R13+X13+AD13+AJ13</f>
        <v>165</v>
      </c>
      <c r="AQ13" s="20">
        <f t="shared" si="1"/>
        <v>8.2706766917293228E-2</v>
      </c>
    </row>
    <row r="14" spans="1:45" ht="18" customHeight="1" x14ac:dyDescent="0.2">
      <c r="A14" s="6"/>
      <c r="B14" s="12" t="s">
        <v>139</v>
      </c>
      <c r="C14" s="87">
        <v>220</v>
      </c>
      <c r="D14" s="88">
        <v>210</v>
      </c>
      <c r="E14" s="89">
        <v>210</v>
      </c>
      <c r="F14" s="90">
        <v>44</v>
      </c>
      <c r="G14" s="91">
        <v>43</v>
      </c>
      <c r="H14" s="92">
        <v>1</v>
      </c>
      <c r="I14" s="70">
        <f t="shared" si="0"/>
        <v>0</v>
      </c>
      <c r="J14" s="91"/>
      <c r="K14" s="92"/>
      <c r="L14" s="90">
        <f t="shared" si="2"/>
        <v>0</v>
      </c>
      <c r="M14" s="91"/>
      <c r="N14" s="92"/>
      <c r="O14" s="90">
        <f t="shared" si="3"/>
        <v>0</v>
      </c>
      <c r="P14" s="91"/>
      <c r="Q14" s="92"/>
      <c r="R14" s="70">
        <f t="shared" si="4"/>
        <v>0</v>
      </c>
      <c r="S14" s="71"/>
      <c r="T14" s="72"/>
      <c r="U14" s="70">
        <f t="shared" si="5"/>
        <v>0</v>
      </c>
      <c r="V14" s="71"/>
      <c r="W14" s="72"/>
      <c r="X14" s="70">
        <f t="shared" si="6"/>
        <v>0</v>
      </c>
      <c r="Y14" s="71"/>
      <c r="Z14" s="72"/>
      <c r="AA14" s="70">
        <f t="shared" si="7"/>
        <v>0</v>
      </c>
      <c r="AB14" s="71"/>
      <c r="AC14" s="72"/>
      <c r="AD14" s="70">
        <f t="shared" si="8"/>
        <v>0</v>
      </c>
      <c r="AE14" s="71"/>
      <c r="AF14" s="72"/>
      <c r="AG14" s="70">
        <f t="shared" si="9"/>
        <v>0</v>
      </c>
      <c r="AH14" s="71"/>
      <c r="AI14" s="72"/>
      <c r="AJ14" s="70">
        <f t="shared" si="10"/>
        <v>0</v>
      </c>
      <c r="AK14" s="71"/>
      <c r="AL14" s="72"/>
      <c r="AM14" s="70">
        <f t="shared" si="11"/>
        <v>0</v>
      </c>
      <c r="AN14" s="71"/>
      <c r="AO14" s="72"/>
      <c r="AP14" s="68">
        <f t="shared" si="12"/>
        <v>44</v>
      </c>
      <c r="AQ14" s="8">
        <f t="shared" si="1"/>
        <v>0.20952380952380953</v>
      </c>
    </row>
    <row r="15" spans="1:45" ht="18" customHeight="1" x14ac:dyDescent="0.2">
      <c r="A15" s="6"/>
      <c r="B15" s="12" t="s">
        <v>140</v>
      </c>
      <c r="C15" s="87">
        <v>133</v>
      </c>
      <c r="D15" s="88">
        <v>165</v>
      </c>
      <c r="E15" s="89">
        <v>165</v>
      </c>
      <c r="F15" s="90">
        <v>40</v>
      </c>
      <c r="G15" s="91">
        <v>29</v>
      </c>
      <c r="H15" s="92">
        <v>11</v>
      </c>
      <c r="I15" s="70">
        <f t="shared" si="0"/>
        <v>0</v>
      </c>
      <c r="J15" s="91"/>
      <c r="K15" s="92"/>
      <c r="L15" s="90">
        <f t="shared" si="2"/>
        <v>0</v>
      </c>
      <c r="M15" s="91"/>
      <c r="N15" s="92"/>
      <c r="O15" s="90">
        <f t="shared" si="3"/>
        <v>0</v>
      </c>
      <c r="P15" s="91"/>
      <c r="Q15" s="92"/>
      <c r="R15" s="70">
        <f t="shared" si="4"/>
        <v>0</v>
      </c>
      <c r="S15" s="71"/>
      <c r="T15" s="72"/>
      <c r="U15" s="70">
        <f t="shared" si="5"/>
        <v>0</v>
      </c>
      <c r="V15" s="71"/>
      <c r="W15" s="72"/>
      <c r="X15" s="70">
        <f t="shared" si="6"/>
        <v>0</v>
      </c>
      <c r="Y15" s="71"/>
      <c r="Z15" s="72"/>
      <c r="AA15" s="70">
        <f t="shared" si="7"/>
        <v>0</v>
      </c>
      <c r="AB15" s="71"/>
      <c r="AC15" s="72"/>
      <c r="AD15" s="70">
        <f t="shared" si="8"/>
        <v>0</v>
      </c>
      <c r="AE15" s="71"/>
      <c r="AF15" s="72"/>
      <c r="AG15" s="70">
        <f t="shared" si="9"/>
        <v>0</v>
      </c>
      <c r="AH15" s="71"/>
      <c r="AI15" s="72"/>
      <c r="AJ15" s="70">
        <f t="shared" si="10"/>
        <v>0</v>
      </c>
      <c r="AK15" s="71"/>
      <c r="AL15" s="72"/>
      <c r="AM15" s="70">
        <f t="shared" si="11"/>
        <v>0</v>
      </c>
      <c r="AN15" s="71"/>
      <c r="AO15" s="72"/>
      <c r="AP15" s="68">
        <f t="shared" si="12"/>
        <v>40</v>
      </c>
      <c r="AQ15" s="8">
        <f t="shared" si="1"/>
        <v>0.24242424242424243</v>
      </c>
    </row>
    <row r="16" spans="1:45" ht="18" customHeight="1" x14ac:dyDescent="0.2">
      <c r="A16" s="6"/>
      <c r="B16" s="12" t="s">
        <v>141</v>
      </c>
      <c r="C16" s="87">
        <v>578</v>
      </c>
      <c r="D16" s="88">
        <v>140</v>
      </c>
      <c r="E16" s="89">
        <v>560</v>
      </c>
      <c r="F16" s="90">
        <v>97</v>
      </c>
      <c r="G16" s="91">
        <v>80</v>
      </c>
      <c r="H16" s="92">
        <v>17</v>
      </c>
      <c r="I16" s="70">
        <f t="shared" si="0"/>
        <v>0</v>
      </c>
      <c r="J16" s="91"/>
      <c r="K16" s="92"/>
      <c r="L16" s="90">
        <f t="shared" si="2"/>
        <v>0</v>
      </c>
      <c r="M16" s="91"/>
      <c r="N16" s="92"/>
      <c r="O16" s="90">
        <f t="shared" si="3"/>
        <v>0</v>
      </c>
      <c r="P16" s="91"/>
      <c r="Q16" s="92"/>
      <c r="R16" s="70">
        <f t="shared" si="4"/>
        <v>0</v>
      </c>
      <c r="S16" s="71"/>
      <c r="T16" s="72"/>
      <c r="U16" s="70">
        <f t="shared" si="5"/>
        <v>0</v>
      </c>
      <c r="V16" s="71"/>
      <c r="W16" s="72"/>
      <c r="X16" s="70">
        <f t="shared" si="6"/>
        <v>0</v>
      </c>
      <c r="Y16" s="71"/>
      <c r="Z16" s="72"/>
      <c r="AA16" s="70">
        <f t="shared" si="7"/>
        <v>0</v>
      </c>
      <c r="AB16" s="71"/>
      <c r="AC16" s="72"/>
      <c r="AD16" s="70">
        <f t="shared" si="8"/>
        <v>0</v>
      </c>
      <c r="AE16" s="71"/>
      <c r="AF16" s="72"/>
      <c r="AG16" s="70">
        <f t="shared" si="9"/>
        <v>0</v>
      </c>
      <c r="AH16" s="71"/>
      <c r="AI16" s="72"/>
      <c r="AJ16" s="70">
        <f t="shared" si="10"/>
        <v>0</v>
      </c>
      <c r="AK16" s="71"/>
      <c r="AL16" s="72"/>
      <c r="AM16" s="70">
        <f t="shared" si="11"/>
        <v>0</v>
      </c>
      <c r="AN16" s="71"/>
      <c r="AO16" s="72"/>
      <c r="AP16" s="68">
        <f t="shared" si="12"/>
        <v>97</v>
      </c>
      <c r="AQ16" s="8">
        <f t="shared" si="1"/>
        <v>0.17321428571428571</v>
      </c>
    </row>
    <row r="17" spans="1:43" ht="18" customHeight="1" x14ac:dyDescent="0.2">
      <c r="A17" s="6"/>
      <c r="B17" s="12" t="s">
        <v>142</v>
      </c>
      <c r="C17" s="87">
        <v>406</v>
      </c>
      <c r="D17" s="88">
        <v>130</v>
      </c>
      <c r="E17" s="89">
        <v>520</v>
      </c>
      <c r="F17" s="90">
        <v>4</v>
      </c>
      <c r="G17" s="91">
        <v>4</v>
      </c>
      <c r="H17" s="92">
        <v>0</v>
      </c>
      <c r="I17" s="70">
        <f t="shared" si="0"/>
        <v>0</v>
      </c>
      <c r="J17" s="91"/>
      <c r="K17" s="92"/>
      <c r="L17" s="90">
        <f t="shared" si="2"/>
        <v>0</v>
      </c>
      <c r="M17" s="91"/>
      <c r="N17" s="92"/>
      <c r="O17" s="90">
        <f t="shared" si="3"/>
        <v>0</v>
      </c>
      <c r="P17" s="91"/>
      <c r="Q17" s="92"/>
      <c r="R17" s="70">
        <f t="shared" si="4"/>
        <v>0</v>
      </c>
      <c r="S17" s="71"/>
      <c r="T17" s="72"/>
      <c r="U17" s="70">
        <f t="shared" si="5"/>
        <v>0</v>
      </c>
      <c r="V17" s="71"/>
      <c r="W17" s="72"/>
      <c r="X17" s="70">
        <f t="shared" si="6"/>
        <v>0</v>
      </c>
      <c r="Y17" s="71"/>
      <c r="Z17" s="72"/>
      <c r="AA17" s="70">
        <f t="shared" si="7"/>
        <v>0</v>
      </c>
      <c r="AB17" s="71"/>
      <c r="AC17" s="72"/>
      <c r="AD17" s="70">
        <f t="shared" si="8"/>
        <v>0</v>
      </c>
      <c r="AE17" s="71"/>
      <c r="AF17" s="72"/>
      <c r="AG17" s="70">
        <f t="shared" si="9"/>
        <v>0</v>
      </c>
      <c r="AH17" s="71"/>
      <c r="AI17" s="72"/>
      <c r="AJ17" s="70">
        <f t="shared" si="10"/>
        <v>0</v>
      </c>
      <c r="AK17" s="71"/>
      <c r="AL17" s="72"/>
      <c r="AM17" s="70">
        <f t="shared" si="11"/>
        <v>0</v>
      </c>
      <c r="AN17" s="71"/>
      <c r="AO17" s="72"/>
      <c r="AP17" s="68">
        <f t="shared" si="12"/>
        <v>4</v>
      </c>
      <c r="AQ17" s="8">
        <f t="shared" si="1"/>
        <v>7.6923076923076927E-3</v>
      </c>
    </row>
    <row r="18" spans="1:43" ht="18" customHeight="1" x14ac:dyDescent="0.2">
      <c r="A18" s="6"/>
      <c r="B18" s="12" t="s">
        <v>143</v>
      </c>
      <c r="C18" s="87">
        <v>575</v>
      </c>
      <c r="D18" s="88">
        <v>160</v>
      </c>
      <c r="E18" s="89">
        <v>550</v>
      </c>
      <c r="F18" s="90">
        <v>48</v>
      </c>
      <c r="G18" s="91">
        <v>32</v>
      </c>
      <c r="H18" s="92">
        <v>16</v>
      </c>
      <c r="I18" s="70">
        <f t="shared" si="0"/>
        <v>0</v>
      </c>
      <c r="J18" s="91"/>
      <c r="K18" s="92"/>
      <c r="L18" s="90">
        <f t="shared" si="2"/>
        <v>0</v>
      </c>
      <c r="M18" s="91"/>
      <c r="N18" s="92"/>
      <c r="O18" s="90">
        <f t="shared" si="3"/>
        <v>0</v>
      </c>
      <c r="P18" s="91"/>
      <c r="Q18" s="92"/>
      <c r="R18" s="70">
        <f t="shared" si="4"/>
        <v>0</v>
      </c>
      <c r="S18" s="71"/>
      <c r="T18" s="72"/>
      <c r="U18" s="70">
        <f t="shared" si="5"/>
        <v>0</v>
      </c>
      <c r="V18" s="71"/>
      <c r="W18" s="72"/>
      <c r="X18" s="70">
        <f t="shared" si="6"/>
        <v>0</v>
      </c>
      <c r="Y18" s="71"/>
      <c r="Z18" s="72"/>
      <c r="AA18" s="70">
        <f t="shared" si="7"/>
        <v>0</v>
      </c>
      <c r="AB18" s="71"/>
      <c r="AC18" s="72"/>
      <c r="AD18" s="70">
        <f t="shared" si="8"/>
        <v>0</v>
      </c>
      <c r="AE18" s="71"/>
      <c r="AF18" s="72"/>
      <c r="AG18" s="70">
        <f t="shared" si="9"/>
        <v>0</v>
      </c>
      <c r="AH18" s="71"/>
      <c r="AI18" s="72"/>
      <c r="AJ18" s="70">
        <f t="shared" si="10"/>
        <v>0</v>
      </c>
      <c r="AK18" s="71"/>
      <c r="AL18" s="72"/>
      <c r="AM18" s="70">
        <f t="shared" si="11"/>
        <v>0</v>
      </c>
      <c r="AN18" s="71"/>
      <c r="AO18" s="72"/>
      <c r="AP18" s="68">
        <f t="shared" si="12"/>
        <v>48</v>
      </c>
      <c r="AQ18" s="8">
        <f t="shared" si="1"/>
        <v>8.727272727272728E-2</v>
      </c>
    </row>
    <row r="19" spans="1:43" ht="18" customHeight="1" x14ac:dyDescent="0.2">
      <c r="A19" s="6"/>
      <c r="B19" s="12" t="s">
        <v>144</v>
      </c>
      <c r="C19" s="87">
        <v>970</v>
      </c>
      <c r="D19" s="88">
        <v>200</v>
      </c>
      <c r="E19" s="89">
        <v>940</v>
      </c>
      <c r="F19" s="90">
        <v>0</v>
      </c>
      <c r="G19" s="91">
        <v>0</v>
      </c>
      <c r="H19" s="92">
        <v>0</v>
      </c>
      <c r="I19" s="90">
        <v>0</v>
      </c>
      <c r="J19" s="91"/>
      <c r="K19" s="92"/>
      <c r="L19" s="90">
        <f t="shared" si="2"/>
        <v>0</v>
      </c>
      <c r="M19" s="91"/>
      <c r="N19" s="92"/>
      <c r="O19" s="90">
        <f t="shared" si="3"/>
        <v>0</v>
      </c>
      <c r="P19" s="91"/>
      <c r="Q19" s="92"/>
      <c r="R19" s="70">
        <f t="shared" si="4"/>
        <v>0</v>
      </c>
      <c r="S19" s="71"/>
      <c r="T19" s="72"/>
      <c r="U19" s="70">
        <f t="shared" si="5"/>
        <v>0</v>
      </c>
      <c r="V19" s="71"/>
      <c r="W19" s="72"/>
      <c r="X19" s="70">
        <f t="shared" si="6"/>
        <v>0</v>
      </c>
      <c r="Y19" s="71"/>
      <c r="Z19" s="72"/>
      <c r="AA19" s="70">
        <f t="shared" si="7"/>
        <v>0</v>
      </c>
      <c r="AB19" s="71"/>
      <c r="AC19" s="72"/>
      <c r="AD19" s="70">
        <f t="shared" si="8"/>
        <v>0</v>
      </c>
      <c r="AE19" s="71"/>
      <c r="AF19" s="72"/>
      <c r="AG19" s="70">
        <f t="shared" si="9"/>
        <v>0</v>
      </c>
      <c r="AH19" s="71"/>
      <c r="AI19" s="72"/>
      <c r="AJ19" s="70">
        <f t="shared" si="10"/>
        <v>0</v>
      </c>
      <c r="AK19" s="71"/>
      <c r="AL19" s="72"/>
      <c r="AM19" s="70">
        <f t="shared" si="11"/>
        <v>0</v>
      </c>
      <c r="AN19" s="71"/>
      <c r="AO19" s="72"/>
      <c r="AP19" s="68">
        <f t="shared" si="12"/>
        <v>0</v>
      </c>
      <c r="AQ19" s="8">
        <f t="shared" si="1"/>
        <v>0</v>
      </c>
    </row>
    <row r="20" spans="1:43" ht="18" customHeight="1" x14ac:dyDescent="0.2">
      <c r="A20" s="6"/>
      <c r="B20" s="12" t="s">
        <v>151</v>
      </c>
      <c r="C20" s="67">
        <v>310</v>
      </c>
      <c r="D20" s="68">
        <v>0</v>
      </c>
      <c r="E20" s="69">
        <v>300</v>
      </c>
      <c r="F20" s="90">
        <v>21</v>
      </c>
      <c r="G20" s="71">
        <v>21</v>
      </c>
      <c r="H20" s="72">
        <v>0</v>
      </c>
      <c r="I20" s="70">
        <f t="shared" ref="I20:I31" si="13">J20+K20</f>
        <v>0</v>
      </c>
      <c r="J20" s="71"/>
      <c r="K20" s="72"/>
      <c r="L20" s="70">
        <f t="shared" si="2"/>
        <v>0</v>
      </c>
      <c r="M20" s="71"/>
      <c r="N20" s="72"/>
      <c r="O20" s="70">
        <f t="shared" si="3"/>
        <v>0</v>
      </c>
      <c r="P20" s="71"/>
      <c r="Q20" s="72"/>
      <c r="R20" s="70">
        <f t="shared" si="4"/>
        <v>0</v>
      </c>
      <c r="S20" s="71"/>
      <c r="T20" s="72"/>
      <c r="U20" s="70">
        <f t="shared" si="5"/>
        <v>0</v>
      </c>
      <c r="V20" s="71"/>
      <c r="W20" s="72"/>
      <c r="X20" s="70">
        <f t="shared" si="6"/>
        <v>0</v>
      </c>
      <c r="Y20" s="71"/>
      <c r="Z20" s="72"/>
      <c r="AA20" s="70">
        <f t="shared" si="7"/>
        <v>0</v>
      </c>
      <c r="AB20" s="71"/>
      <c r="AC20" s="72"/>
      <c r="AD20" s="70">
        <f t="shared" si="8"/>
        <v>0</v>
      </c>
      <c r="AE20" s="71"/>
      <c r="AF20" s="72"/>
      <c r="AG20" s="70">
        <f t="shared" si="9"/>
        <v>0</v>
      </c>
      <c r="AH20" s="71"/>
      <c r="AI20" s="72"/>
      <c r="AJ20" s="70">
        <f t="shared" si="10"/>
        <v>0</v>
      </c>
      <c r="AK20" s="71"/>
      <c r="AL20" s="72"/>
      <c r="AM20" s="70">
        <f t="shared" si="11"/>
        <v>0</v>
      </c>
      <c r="AN20" s="71"/>
      <c r="AO20" s="72"/>
      <c r="AP20" s="68">
        <f t="shared" si="12"/>
        <v>21</v>
      </c>
      <c r="AQ20" s="8">
        <f t="shared" si="1"/>
        <v>7.0000000000000007E-2</v>
      </c>
    </row>
    <row r="21" spans="1:43" ht="18" customHeight="1" x14ac:dyDescent="0.2">
      <c r="A21" s="6"/>
      <c r="B21" s="12"/>
      <c r="C21" s="67"/>
      <c r="D21" s="68"/>
      <c r="E21" s="69"/>
      <c r="F21" s="70">
        <f t="shared" ref="F21:F31" si="14">G21+H21</f>
        <v>0</v>
      </c>
      <c r="G21" s="71"/>
      <c r="H21" s="72"/>
      <c r="I21" s="70">
        <f t="shared" si="13"/>
        <v>0</v>
      </c>
      <c r="J21" s="71"/>
      <c r="K21" s="72"/>
      <c r="L21" s="70">
        <f t="shared" si="2"/>
        <v>0</v>
      </c>
      <c r="M21" s="71"/>
      <c r="N21" s="72"/>
      <c r="O21" s="70">
        <f t="shared" si="3"/>
        <v>0</v>
      </c>
      <c r="P21" s="71"/>
      <c r="Q21" s="72"/>
      <c r="R21" s="70">
        <f t="shared" si="4"/>
        <v>0</v>
      </c>
      <c r="S21" s="71"/>
      <c r="T21" s="72"/>
      <c r="U21" s="70">
        <f t="shared" si="5"/>
        <v>0</v>
      </c>
      <c r="V21" s="71"/>
      <c r="W21" s="72"/>
      <c r="X21" s="70">
        <f t="shared" si="6"/>
        <v>0</v>
      </c>
      <c r="Y21" s="71"/>
      <c r="Z21" s="72"/>
      <c r="AA21" s="70">
        <f t="shared" si="7"/>
        <v>0</v>
      </c>
      <c r="AB21" s="71"/>
      <c r="AC21" s="72"/>
      <c r="AD21" s="70">
        <f t="shared" si="8"/>
        <v>0</v>
      </c>
      <c r="AE21" s="71"/>
      <c r="AF21" s="72"/>
      <c r="AG21" s="70">
        <f t="shared" si="9"/>
        <v>0</v>
      </c>
      <c r="AH21" s="71"/>
      <c r="AI21" s="72"/>
      <c r="AJ21" s="70">
        <f t="shared" si="10"/>
        <v>0</v>
      </c>
      <c r="AK21" s="71"/>
      <c r="AL21" s="72"/>
      <c r="AM21" s="70">
        <f t="shared" si="11"/>
        <v>0</v>
      </c>
      <c r="AN21" s="71"/>
      <c r="AO21" s="72"/>
      <c r="AP21" s="68">
        <f t="shared" si="12"/>
        <v>0</v>
      </c>
      <c r="AQ21" s="8" t="e">
        <f t="shared" si="1"/>
        <v>#DIV/0!</v>
      </c>
    </row>
    <row r="22" spans="1:43" ht="18" customHeight="1" x14ac:dyDescent="0.2">
      <c r="A22" s="6"/>
      <c r="B22" s="12"/>
      <c r="C22" s="67"/>
      <c r="D22" s="68"/>
      <c r="E22" s="69"/>
      <c r="F22" s="70">
        <f t="shared" si="14"/>
        <v>0</v>
      </c>
      <c r="G22" s="71"/>
      <c r="H22" s="72"/>
      <c r="I22" s="70">
        <f t="shared" si="13"/>
        <v>0</v>
      </c>
      <c r="J22" s="71"/>
      <c r="K22" s="72"/>
      <c r="L22" s="70">
        <f t="shared" si="2"/>
        <v>0</v>
      </c>
      <c r="M22" s="71"/>
      <c r="N22" s="72"/>
      <c r="O22" s="70">
        <f t="shared" si="3"/>
        <v>0</v>
      </c>
      <c r="P22" s="71"/>
      <c r="Q22" s="72"/>
      <c r="R22" s="70">
        <f t="shared" si="4"/>
        <v>0</v>
      </c>
      <c r="S22" s="71"/>
      <c r="T22" s="72"/>
      <c r="U22" s="70">
        <f t="shared" si="5"/>
        <v>0</v>
      </c>
      <c r="V22" s="71"/>
      <c r="W22" s="72"/>
      <c r="X22" s="70">
        <f t="shared" si="6"/>
        <v>0</v>
      </c>
      <c r="Y22" s="71"/>
      <c r="Z22" s="72"/>
      <c r="AA22" s="70">
        <f t="shared" si="7"/>
        <v>0</v>
      </c>
      <c r="AB22" s="71"/>
      <c r="AC22" s="72"/>
      <c r="AD22" s="70">
        <f t="shared" si="8"/>
        <v>0</v>
      </c>
      <c r="AE22" s="71"/>
      <c r="AF22" s="72"/>
      <c r="AG22" s="70">
        <f t="shared" si="9"/>
        <v>0</v>
      </c>
      <c r="AH22" s="71"/>
      <c r="AI22" s="72"/>
      <c r="AJ22" s="70">
        <f t="shared" si="10"/>
        <v>0</v>
      </c>
      <c r="AK22" s="71"/>
      <c r="AL22" s="72"/>
      <c r="AM22" s="70">
        <f t="shared" si="11"/>
        <v>0</v>
      </c>
      <c r="AN22" s="71"/>
      <c r="AO22" s="72"/>
      <c r="AP22" s="68">
        <f t="shared" si="12"/>
        <v>0</v>
      </c>
      <c r="AQ22" s="8" t="e">
        <f t="shared" si="1"/>
        <v>#DIV/0!</v>
      </c>
    </row>
    <row r="23" spans="1:43" ht="18" customHeight="1" x14ac:dyDescent="0.2">
      <c r="A23" s="6"/>
      <c r="B23" s="12"/>
      <c r="C23" s="67"/>
      <c r="D23" s="68"/>
      <c r="E23" s="69"/>
      <c r="F23" s="70">
        <f t="shared" si="14"/>
        <v>0</v>
      </c>
      <c r="G23" s="71"/>
      <c r="H23" s="72"/>
      <c r="I23" s="70">
        <f t="shared" si="13"/>
        <v>0</v>
      </c>
      <c r="J23" s="71"/>
      <c r="K23" s="72"/>
      <c r="L23" s="70">
        <f t="shared" si="2"/>
        <v>0</v>
      </c>
      <c r="M23" s="71"/>
      <c r="N23" s="72"/>
      <c r="O23" s="70">
        <f t="shared" si="3"/>
        <v>0</v>
      </c>
      <c r="P23" s="71"/>
      <c r="Q23" s="72"/>
      <c r="R23" s="70">
        <f t="shared" si="4"/>
        <v>0</v>
      </c>
      <c r="S23" s="71"/>
      <c r="T23" s="72"/>
      <c r="U23" s="70">
        <f t="shared" si="5"/>
        <v>0</v>
      </c>
      <c r="V23" s="71"/>
      <c r="W23" s="72"/>
      <c r="X23" s="70">
        <f t="shared" si="6"/>
        <v>0</v>
      </c>
      <c r="Y23" s="71"/>
      <c r="Z23" s="72"/>
      <c r="AA23" s="70">
        <f t="shared" si="7"/>
        <v>0</v>
      </c>
      <c r="AB23" s="71"/>
      <c r="AC23" s="72"/>
      <c r="AD23" s="70">
        <f t="shared" si="8"/>
        <v>0</v>
      </c>
      <c r="AE23" s="71"/>
      <c r="AF23" s="72"/>
      <c r="AG23" s="70">
        <f t="shared" si="9"/>
        <v>0</v>
      </c>
      <c r="AH23" s="71"/>
      <c r="AI23" s="72"/>
      <c r="AJ23" s="70">
        <f t="shared" si="10"/>
        <v>0</v>
      </c>
      <c r="AK23" s="71"/>
      <c r="AL23" s="72"/>
      <c r="AM23" s="70">
        <f t="shared" si="11"/>
        <v>0</v>
      </c>
      <c r="AN23" s="71"/>
      <c r="AO23" s="72"/>
      <c r="AP23" s="68">
        <f t="shared" si="12"/>
        <v>0</v>
      </c>
      <c r="AQ23" s="8" t="e">
        <f t="shared" si="1"/>
        <v>#DIV/0!</v>
      </c>
    </row>
    <row r="24" spans="1:43" ht="18" customHeight="1" x14ac:dyDescent="0.2">
      <c r="A24" s="6"/>
      <c r="B24" s="12"/>
      <c r="C24" s="67"/>
      <c r="D24" s="68"/>
      <c r="E24" s="69"/>
      <c r="F24" s="70">
        <f t="shared" si="14"/>
        <v>0</v>
      </c>
      <c r="G24" s="71"/>
      <c r="H24" s="72"/>
      <c r="I24" s="70">
        <f t="shared" si="13"/>
        <v>0</v>
      </c>
      <c r="J24" s="71"/>
      <c r="K24" s="72"/>
      <c r="L24" s="70">
        <f t="shared" si="2"/>
        <v>0</v>
      </c>
      <c r="M24" s="71"/>
      <c r="N24" s="72"/>
      <c r="O24" s="70">
        <f t="shared" si="3"/>
        <v>0</v>
      </c>
      <c r="P24" s="71"/>
      <c r="Q24" s="72"/>
      <c r="R24" s="70">
        <f t="shared" si="4"/>
        <v>0</v>
      </c>
      <c r="S24" s="71"/>
      <c r="T24" s="72"/>
      <c r="U24" s="70">
        <f t="shared" si="5"/>
        <v>0</v>
      </c>
      <c r="V24" s="71"/>
      <c r="W24" s="72"/>
      <c r="X24" s="70">
        <f t="shared" si="6"/>
        <v>0</v>
      </c>
      <c r="Y24" s="71"/>
      <c r="Z24" s="72"/>
      <c r="AA24" s="70">
        <f t="shared" si="7"/>
        <v>0</v>
      </c>
      <c r="AB24" s="71"/>
      <c r="AC24" s="72"/>
      <c r="AD24" s="70">
        <f t="shared" si="8"/>
        <v>0</v>
      </c>
      <c r="AE24" s="71"/>
      <c r="AF24" s="72"/>
      <c r="AG24" s="70">
        <f t="shared" si="9"/>
        <v>0</v>
      </c>
      <c r="AH24" s="71"/>
      <c r="AI24" s="72"/>
      <c r="AJ24" s="70">
        <f t="shared" si="10"/>
        <v>0</v>
      </c>
      <c r="AK24" s="71"/>
      <c r="AL24" s="72"/>
      <c r="AM24" s="70">
        <f t="shared" si="11"/>
        <v>0</v>
      </c>
      <c r="AN24" s="71"/>
      <c r="AO24" s="72"/>
      <c r="AP24" s="68">
        <f t="shared" si="12"/>
        <v>0</v>
      </c>
      <c r="AQ24" s="8" t="e">
        <f t="shared" si="1"/>
        <v>#DIV/0!</v>
      </c>
    </row>
    <row r="25" spans="1:43" ht="18" customHeight="1" x14ac:dyDescent="0.2">
      <c r="A25" s="6"/>
      <c r="B25" s="12"/>
      <c r="C25" s="67"/>
      <c r="D25" s="68"/>
      <c r="E25" s="69"/>
      <c r="F25" s="70">
        <f t="shared" si="14"/>
        <v>0</v>
      </c>
      <c r="G25" s="71"/>
      <c r="H25" s="72"/>
      <c r="I25" s="70">
        <f t="shared" si="13"/>
        <v>0</v>
      </c>
      <c r="J25" s="71"/>
      <c r="K25" s="72"/>
      <c r="L25" s="70">
        <f t="shared" si="2"/>
        <v>0</v>
      </c>
      <c r="M25" s="71"/>
      <c r="N25" s="72"/>
      <c r="O25" s="70">
        <f t="shared" si="3"/>
        <v>0</v>
      </c>
      <c r="P25" s="71"/>
      <c r="Q25" s="72"/>
      <c r="R25" s="70">
        <f t="shared" si="4"/>
        <v>0</v>
      </c>
      <c r="S25" s="71"/>
      <c r="T25" s="72"/>
      <c r="U25" s="70">
        <f t="shared" si="5"/>
        <v>0</v>
      </c>
      <c r="V25" s="71"/>
      <c r="W25" s="72"/>
      <c r="X25" s="70">
        <f t="shared" si="6"/>
        <v>0</v>
      </c>
      <c r="Y25" s="71"/>
      <c r="Z25" s="72"/>
      <c r="AA25" s="70">
        <f t="shared" si="7"/>
        <v>0</v>
      </c>
      <c r="AB25" s="71"/>
      <c r="AC25" s="72"/>
      <c r="AD25" s="70">
        <f t="shared" si="8"/>
        <v>0</v>
      </c>
      <c r="AE25" s="71"/>
      <c r="AF25" s="72"/>
      <c r="AG25" s="70">
        <f t="shared" si="9"/>
        <v>0</v>
      </c>
      <c r="AH25" s="71"/>
      <c r="AI25" s="72"/>
      <c r="AJ25" s="70">
        <f t="shared" si="10"/>
        <v>0</v>
      </c>
      <c r="AK25" s="71"/>
      <c r="AL25" s="72"/>
      <c r="AM25" s="70">
        <f t="shared" si="11"/>
        <v>0</v>
      </c>
      <c r="AN25" s="71"/>
      <c r="AO25" s="72"/>
      <c r="AP25" s="68">
        <f t="shared" si="12"/>
        <v>0</v>
      </c>
      <c r="AQ25" s="8" t="e">
        <f t="shared" si="1"/>
        <v>#DIV/0!</v>
      </c>
    </row>
    <row r="26" spans="1:43" ht="18" customHeight="1" x14ac:dyDescent="0.2">
      <c r="A26" s="6"/>
      <c r="B26" s="12"/>
      <c r="C26" s="67"/>
      <c r="D26" s="68"/>
      <c r="E26" s="69"/>
      <c r="F26" s="70">
        <f t="shared" si="14"/>
        <v>0</v>
      </c>
      <c r="G26" s="71"/>
      <c r="H26" s="72"/>
      <c r="I26" s="70">
        <f t="shared" si="13"/>
        <v>0</v>
      </c>
      <c r="J26" s="71"/>
      <c r="K26" s="72"/>
      <c r="L26" s="70">
        <f t="shared" si="2"/>
        <v>0</v>
      </c>
      <c r="M26" s="71"/>
      <c r="N26" s="72"/>
      <c r="O26" s="70">
        <f t="shared" si="3"/>
        <v>0</v>
      </c>
      <c r="P26" s="71"/>
      <c r="Q26" s="72"/>
      <c r="R26" s="70">
        <f t="shared" si="4"/>
        <v>0</v>
      </c>
      <c r="S26" s="71"/>
      <c r="T26" s="72"/>
      <c r="U26" s="70">
        <f t="shared" si="5"/>
        <v>0</v>
      </c>
      <c r="V26" s="71"/>
      <c r="W26" s="72"/>
      <c r="X26" s="70">
        <f t="shared" si="6"/>
        <v>0</v>
      </c>
      <c r="Y26" s="71"/>
      <c r="Z26" s="72"/>
      <c r="AA26" s="70">
        <f t="shared" si="7"/>
        <v>0</v>
      </c>
      <c r="AB26" s="71"/>
      <c r="AC26" s="72"/>
      <c r="AD26" s="70">
        <f t="shared" si="8"/>
        <v>0</v>
      </c>
      <c r="AE26" s="71"/>
      <c r="AF26" s="72"/>
      <c r="AG26" s="70">
        <f t="shared" si="9"/>
        <v>0</v>
      </c>
      <c r="AH26" s="71"/>
      <c r="AI26" s="72"/>
      <c r="AJ26" s="70">
        <f t="shared" si="10"/>
        <v>0</v>
      </c>
      <c r="AK26" s="71"/>
      <c r="AL26" s="72"/>
      <c r="AM26" s="70">
        <f t="shared" si="11"/>
        <v>0</v>
      </c>
      <c r="AN26" s="71"/>
      <c r="AO26" s="72"/>
      <c r="AP26" s="68">
        <f t="shared" si="12"/>
        <v>0</v>
      </c>
      <c r="AQ26" s="8" t="e">
        <f t="shared" si="1"/>
        <v>#DIV/0!</v>
      </c>
    </row>
    <row r="27" spans="1:43" ht="18" customHeight="1" x14ac:dyDescent="0.2">
      <c r="A27" s="6"/>
      <c r="B27" s="12"/>
      <c r="C27" s="67"/>
      <c r="D27" s="68"/>
      <c r="E27" s="69"/>
      <c r="F27" s="70">
        <f t="shared" si="14"/>
        <v>0</v>
      </c>
      <c r="G27" s="71"/>
      <c r="H27" s="72"/>
      <c r="I27" s="70">
        <f t="shared" si="13"/>
        <v>0</v>
      </c>
      <c r="J27" s="71"/>
      <c r="K27" s="72"/>
      <c r="L27" s="70">
        <f t="shared" si="2"/>
        <v>0</v>
      </c>
      <c r="M27" s="71"/>
      <c r="N27" s="72"/>
      <c r="O27" s="70">
        <f t="shared" si="3"/>
        <v>0</v>
      </c>
      <c r="P27" s="71"/>
      <c r="Q27" s="72"/>
      <c r="R27" s="70">
        <f t="shared" si="4"/>
        <v>0</v>
      </c>
      <c r="S27" s="71"/>
      <c r="T27" s="72"/>
      <c r="U27" s="70">
        <f t="shared" si="5"/>
        <v>0</v>
      </c>
      <c r="V27" s="71"/>
      <c r="W27" s="72"/>
      <c r="X27" s="70">
        <f t="shared" si="6"/>
        <v>0</v>
      </c>
      <c r="Y27" s="71"/>
      <c r="Z27" s="72"/>
      <c r="AA27" s="70">
        <f t="shared" si="7"/>
        <v>0</v>
      </c>
      <c r="AB27" s="71"/>
      <c r="AC27" s="72"/>
      <c r="AD27" s="70">
        <f t="shared" si="8"/>
        <v>0</v>
      </c>
      <c r="AE27" s="71"/>
      <c r="AF27" s="72"/>
      <c r="AG27" s="70">
        <f t="shared" si="9"/>
        <v>0</v>
      </c>
      <c r="AH27" s="71"/>
      <c r="AI27" s="72"/>
      <c r="AJ27" s="70">
        <f t="shared" si="10"/>
        <v>0</v>
      </c>
      <c r="AK27" s="71"/>
      <c r="AL27" s="72"/>
      <c r="AM27" s="70">
        <f t="shared" si="11"/>
        <v>0</v>
      </c>
      <c r="AN27" s="71"/>
      <c r="AO27" s="72"/>
      <c r="AP27" s="68">
        <f t="shared" si="12"/>
        <v>0</v>
      </c>
      <c r="AQ27" s="8" t="e">
        <f t="shared" si="1"/>
        <v>#DIV/0!</v>
      </c>
    </row>
    <row r="28" spans="1:43" ht="18" customHeight="1" x14ac:dyDescent="0.2">
      <c r="A28" s="6"/>
      <c r="B28" s="12"/>
      <c r="C28" s="67"/>
      <c r="D28" s="68"/>
      <c r="E28" s="69"/>
      <c r="F28" s="70">
        <f t="shared" si="14"/>
        <v>0</v>
      </c>
      <c r="G28" s="71"/>
      <c r="H28" s="72"/>
      <c r="I28" s="70">
        <f t="shared" si="13"/>
        <v>0</v>
      </c>
      <c r="J28" s="71"/>
      <c r="K28" s="72"/>
      <c r="L28" s="70">
        <f t="shared" si="2"/>
        <v>0</v>
      </c>
      <c r="M28" s="71"/>
      <c r="N28" s="72"/>
      <c r="O28" s="70">
        <f t="shared" si="3"/>
        <v>0</v>
      </c>
      <c r="P28" s="71"/>
      <c r="Q28" s="72"/>
      <c r="R28" s="70">
        <f t="shared" si="4"/>
        <v>0</v>
      </c>
      <c r="S28" s="71"/>
      <c r="T28" s="72"/>
      <c r="U28" s="70">
        <f t="shared" si="5"/>
        <v>0</v>
      </c>
      <c r="V28" s="71"/>
      <c r="W28" s="72"/>
      <c r="X28" s="70">
        <f t="shared" si="6"/>
        <v>0</v>
      </c>
      <c r="Y28" s="71"/>
      <c r="Z28" s="72"/>
      <c r="AA28" s="70">
        <f t="shared" si="7"/>
        <v>0</v>
      </c>
      <c r="AB28" s="71"/>
      <c r="AC28" s="72"/>
      <c r="AD28" s="70">
        <f t="shared" si="8"/>
        <v>0</v>
      </c>
      <c r="AE28" s="71"/>
      <c r="AF28" s="72"/>
      <c r="AG28" s="70">
        <f t="shared" si="9"/>
        <v>0</v>
      </c>
      <c r="AH28" s="71"/>
      <c r="AI28" s="72"/>
      <c r="AJ28" s="70">
        <f t="shared" si="10"/>
        <v>0</v>
      </c>
      <c r="AK28" s="71"/>
      <c r="AL28" s="72"/>
      <c r="AM28" s="70">
        <f t="shared" si="11"/>
        <v>0</v>
      </c>
      <c r="AN28" s="71"/>
      <c r="AO28" s="72"/>
      <c r="AP28" s="68">
        <f t="shared" si="12"/>
        <v>0</v>
      </c>
      <c r="AQ28" s="8" t="e">
        <f t="shared" si="1"/>
        <v>#DIV/0!</v>
      </c>
    </row>
    <row r="29" spans="1:43" ht="18" customHeight="1" x14ac:dyDescent="0.2">
      <c r="A29" s="6"/>
      <c r="B29" s="12"/>
      <c r="C29" s="67"/>
      <c r="D29" s="73"/>
      <c r="E29" s="69"/>
      <c r="F29" s="70">
        <f t="shared" si="14"/>
        <v>0</v>
      </c>
      <c r="G29" s="71"/>
      <c r="H29" s="72"/>
      <c r="I29" s="70">
        <f t="shared" si="13"/>
        <v>0</v>
      </c>
      <c r="J29" s="71"/>
      <c r="K29" s="72"/>
      <c r="L29" s="70">
        <f t="shared" si="2"/>
        <v>0</v>
      </c>
      <c r="M29" s="71"/>
      <c r="N29" s="72"/>
      <c r="O29" s="70">
        <f t="shared" si="3"/>
        <v>0</v>
      </c>
      <c r="P29" s="71"/>
      <c r="Q29" s="72"/>
      <c r="R29" s="70">
        <f t="shared" si="4"/>
        <v>0</v>
      </c>
      <c r="S29" s="71"/>
      <c r="T29" s="72"/>
      <c r="U29" s="70">
        <f t="shared" si="5"/>
        <v>0</v>
      </c>
      <c r="V29" s="71"/>
      <c r="W29" s="72"/>
      <c r="X29" s="70">
        <f t="shared" si="6"/>
        <v>0</v>
      </c>
      <c r="Y29" s="71"/>
      <c r="Z29" s="72"/>
      <c r="AA29" s="70">
        <f t="shared" si="7"/>
        <v>0</v>
      </c>
      <c r="AB29" s="71"/>
      <c r="AC29" s="72"/>
      <c r="AD29" s="70">
        <f t="shared" si="8"/>
        <v>0</v>
      </c>
      <c r="AE29" s="71"/>
      <c r="AF29" s="72"/>
      <c r="AG29" s="70">
        <f t="shared" si="9"/>
        <v>0</v>
      </c>
      <c r="AH29" s="71"/>
      <c r="AI29" s="72"/>
      <c r="AJ29" s="70">
        <f t="shared" si="10"/>
        <v>0</v>
      </c>
      <c r="AK29" s="71"/>
      <c r="AL29" s="72"/>
      <c r="AM29" s="70">
        <f t="shared" si="11"/>
        <v>0</v>
      </c>
      <c r="AN29" s="71"/>
      <c r="AO29" s="72"/>
      <c r="AP29" s="73">
        <f t="shared" si="12"/>
        <v>0</v>
      </c>
      <c r="AQ29" s="8" t="e">
        <f t="shared" si="1"/>
        <v>#DIV/0!</v>
      </c>
    </row>
    <row r="30" spans="1:43" ht="18" customHeight="1" x14ac:dyDescent="0.2">
      <c r="A30" s="6"/>
      <c r="B30" s="12"/>
      <c r="C30" s="67"/>
      <c r="D30" s="73"/>
      <c r="E30" s="69"/>
      <c r="F30" s="70">
        <f t="shared" si="14"/>
        <v>0</v>
      </c>
      <c r="G30" s="71"/>
      <c r="H30" s="72"/>
      <c r="I30" s="70">
        <f t="shared" si="13"/>
        <v>0</v>
      </c>
      <c r="J30" s="71"/>
      <c r="K30" s="72"/>
      <c r="L30" s="70">
        <f t="shared" si="2"/>
        <v>0</v>
      </c>
      <c r="M30" s="71"/>
      <c r="N30" s="72"/>
      <c r="O30" s="70">
        <f t="shared" si="3"/>
        <v>0</v>
      </c>
      <c r="P30" s="71"/>
      <c r="Q30" s="72"/>
      <c r="R30" s="70">
        <f t="shared" si="4"/>
        <v>0</v>
      </c>
      <c r="S30" s="71"/>
      <c r="T30" s="72"/>
      <c r="U30" s="70">
        <f t="shared" si="5"/>
        <v>0</v>
      </c>
      <c r="V30" s="71"/>
      <c r="W30" s="72"/>
      <c r="X30" s="70">
        <f t="shared" si="6"/>
        <v>0</v>
      </c>
      <c r="Y30" s="71"/>
      <c r="Z30" s="72"/>
      <c r="AA30" s="70">
        <f t="shared" si="7"/>
        <v>0</v>
      </c>
      <c r="AB30" s="71"/>
      <c r="AC30" s="72"/>
      <c r="AD30" s="70">
        <f t="shared" si="8"/>
        <v>0</v>
      </c>
      <c r="AE30" s="71"/>
      <c r="AF30" s="72"/>
      <c r="AG30" s="70">
        <f t="shared" si="9"/>
        <v>0</v>
      </c>
      <c r="AH30" s="71"/>
      <c r="AI30" s="72"/>
      <c r="AJ30" s="70">
        <f t="shared" si="10"/>
        <v>0</v>
      </c>
      <c r="AK30" s="71"/>
      <c r="AL30" s="72"/>
      <c r="AM30" s="70">
        <f t="shared" si="11"/>
        <v>0</v>
      </c>
      <c r="AN30" s="71"/>
      <c r="AO30" s="72"/>
      <c r="AP30" s="73">
        <f t="shared" si="12"/>
        <v>0</v>
      </c>
      <c r="AQ30" s="8" t="e">
        <f t="shared" si="1"/>
        <v>#DIV/0!</v>
      </c>
    </row>
    <row r="31" spans="1:43" ht="18" customHeight="1" thickBot="1" x14ac:dyDescent="0.25">
      <c r="A31" s="6"/>
      <c r="B31" s="13"/>
      <c r="C31" s="62"/>
      <c r="D31" s="74"/>
      <c r="E31" s="64"/>
      <c r="F31" s="64">
        <f t="shared" si="14"/>
        <v>0</v>
      </c>
      <c r="G31" s="75"/>
      <c r="H31" s="76"/>
      <c r="I31" s="64">
        <f t="shared" si="13"/>
        <v>0</v>
      </c>
      <c r="J31" s="75"/>
      <c r="K31" s="76"/>
      <c r="L31" s="64">
        <f t="shared" si="2"/>
        <v>0</v>
      </c>
      <c r="M31" s="75"/>
      <c r="N31" s="76"/>
      <c r="O31" s="64">
        <f t="shared" si="3"/>
        <v>0</v>
      </c>
      <c r="P31" s="75"/>
      <c r="Q31" s="76"/>
      <c r="R31" s="64">
        <f t="shared" si="4"/>
        <v>0</v>
      </c>
      <c r="S31" s="75"/>
      <c r="T31" s="76"/>
      <c r="U31" s="64">
        <f t="shared" si="5"/>
        <v>0</v>
      </c>
      <c r="V31" s="75"/>
      <c r="W31" s="76"/>
      <c r="X31" s="64">
        <f t="shared" si="6"/>
        <v>0</v>
      </c>
      <c r="Y31" s="75"/>
      <c r="Z31" s="76"/>
      <c r="AA31" s="64">
        <f t="shared" si="7"/>
        <v>0</v>
      </c>
      <c r="AB31" s="75"/>
      <c r="AC31" s="76"/>
      <c r="AD31" s="64">
        <f t="shared" si="8"/>
        <v>0</v>
      </c>
      <c r="AE31" s="75"/>
      <c r="AF31" s="76"/>
      <c r="AG31" s="64">
        <f t="shared" si="9"/>
        <v>0</v>
      </c>
      <c r="AH31" s="75"/>
      <c r="AI31" s="76"/>
      <c r="AJ31" s="64">
        <f t="shared" si="10"/>
        <v>0</v>
      </c>
      <c r="AK31" s="75"/>
      <c r="AL31" s="76"/>
      <c r="AM31" s="64">
        <f t="shared" si="11"/>
        <v>0</v>
      </c>
      <c r="AN31" s="75"/>
      <c r="AO31" s="76"/>
      <c r="AP31" s="74">
        <f t="shared" si="12"/>
        <v>0</v>
      </c>
      <c r="AQ31" s="7" t="e">
        <f t="shared" si="1"/>
        <v>#DIV/0!</v>
      </c>
    </row>
    <row r="32" spans="1:43" ht="18" customHeight="1" thickTop="1" x14ac:dyDescent="0.2">
      <c r="B32" s="14" t="s">
        <v>33</v>
      </c>
      <c r="C32" s="77">
        <f t="shared" ref="C32" si="15">SUM(C12:C31)</f>
        <v>6783</v>
      </c>
      <c r="D32" s="78">
        <f t="shared" ref="D32:AP32" si="16">SUM(D12:D31)</f>
        <v>1815</v>
      </c>
      <c r="E32" s="79">
        <f t="shared" si="16"/>
        <v>7410</v>
      </c>
      <c r="F32" s="79">
        <f t="shared" si="16"/>
        <v>561</v>
      </c>
      <c r="G32" s="80">
        <f t="shared" si="16"/>
        <v>440</v>
      </c>
      <c r="H32" s="81">
        <f t="shared" si="16"/>
        <v>121</v>
      </c>
      <c r="I32" s="79">
        <f t="shared" ref="I32:N32" si="17">SUM(I12:I31)</f>
        <v>0</v>
      </c>
      <c r="J32" s="80">
        <f t="shared" si="17"/>
        <v>0</v>
      </c>
      <c r="K32" s="81">
        <f t="shared" si="17"/>
        <v>0</v>
      </c>
      <c r="L32" s="79">
        <f t="shared" si="17"/>
        <v>0</v>
      </c>
      <c r="M32" s="80">
        <f t="shared" si="17"/>
        <v>0</v>
      </c>
      <c r="N32" s="81">
        <f t="shared" si="17"/>
        <v>0</v>
      </c>
      <c r="O32" s="79">
        <f t="shared" ref="O32:T32" si="18">SUM(O12:O31)</f>
        <v>0</v>
      </c>
      <c r="P32" s="80">
        <f t="shared" si="18"/>
        <v>0</v>
      </c>
      <c r="Q32" s="81">
        <f t="shared" si="18"/>
        <v>0</v>
      </c>
      <c r="R32" s="79">
        <f t="shared" si="18"/>
        <v>0</v>
      </c>
      <c r="S32" s="80">
        <f t="shared" si="18"/>
        <v>0</v>
      </c>
      <c r="T32" s="81">
        <f t="shared" si="18"/>
        <v>0</v>
      </c>
      <c r="U32" s="79">
        <f t="shared" ref="U32:AI32" si="19">SUM(U12:U31)</f>
        <v>0</v>
      </c>
      <c r="V32" s="80">
        <f t="shared" si="19"/>
        <v>0</v>
      </c>
      <c r="W32" s="81">
        <f t="shared" si="19"/>
        <v>0</v>
      </c>
      <c r="X32" s="79">
        <f t="shared" si="19"/>
        <v>0</v>
      </c>
      <c r="Y32" s="80">
        <f t="shared" si="19"/>
        <v>0</v>
      </c>
      <c r="Z32" s="81">
        <f t="shared" si="19"/>
        <v>0</v>
      </c>
      <c r="AA32" s="79">
        <f t="shared" si="19"/>
        <v>0</v>
      </c>
      <c r="AB32" s="80">
        <f t="shared" si="19"/>
        <v>0</v>
      </c>
      <c r="AC32" s="81">
        <f t="shared" si="19"/>
        <v>0</v>
      </c>
      <c r="AD32" s="79">
        <f t="shared" si="19"/>
        <v>0</v>
      </c>
      <c r="AE32" s="80">
        <f t="shared" si="19"/>
        <v>0</v>
      </c>
      <c r="AF32" s="81">
        <f t="shared" si="19"/>
        <v>0</v>
      </c>
      <c r="AG32" s="79">
        <f t="shared" si="19"/>
        <v>0</v>
      </c>
      <c r="AH32" s="80">
        <f t="shared" si="19"/>
        <v>0</v>
      </c>
      <c r="AI32" s="81">
        <f t="shared" si="19"/>
        <v>0</v>
      </c>
      <c r="AJ32" s="79">
        <f t="shared" ref="AJ32:AO32" si="20">SUM(AJ12:AJ31)</f>
        <v>0</v>
      </c>
      <c r="AK32" s="80">
        <f t="shared" si="20"/>
        <v>0</v>
      </c>
      <c r="AL32" s="81">
        <f t="shared" si="20"/>
        <v>0</v>
      </c>
      <c r="AM32" s="79">
        <f t="shared" si="20"/>
        <v>0</v>
      </c>
      <c r="AN32" s="80">
        <f t="shared" si="20"/>
        <v>0</v>
      </c>
      <c r="AO32" s="81">
        <f t="shared" si="20"/>
        <v>0</v>
      </c>
      <c r="AP32" s="78">
        <f t="shared" si="16"/>
        <v>561</v>
      </c>
      <c r="AQ32" s="9">
        <f t="shared" si="1"/>
        <v>7.5708502024291496E-2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85" zoomScaleNormal="100" zoomScaleSheetLayoutView="100" workbookViewId="0">
      <selection activeCell="B80" sqref="B80:I91"/>
    </sheetView>
  </sheetViews>
  <sheetFormatPr defaultColWidth="11.36328125" defaultRowHeight="18.75" customHeight="1" x14ac:dyDescent="0.2"/>
  <cols>
    <col min="1" max="1" width="2.81640625" style="41" customWidth="1"/>
    <col min="2" max="2" width="16.6328125" style="1" customWidth="1"/>
    <col min="3" max="3" width="8.8164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1796875" style="1" customWidth="1"/>
    <col min="10" max="16384" width="11.36328125" style="1"/>
  </cols>
  <sheetData>
    <row r="1" spans="1:9" ht="18.75" customHeight="1" x14ac:dyDescent="0.2">
      <c r="A1" s="41" t="s">
        <v>65</v>
      </c>
      <c r="I1" s="35" t="s">
        <v>106</v>
      </c>
    </row>
    <row r="2" spans="1:9" ht="18.75" customHeight="1" x14ac:dyDescent="0.2">
      <c r="G2" s="35" t="s">
        <v>109</v>
      </c>
      <c r="H2" s="102" t="s">
        <v>127</v>
      </c>
      <c r="I2" s="104"/>
    </row>
    <row r="3" spans="1:9" ht="18.75" customHeight="1" x14ac:dyDescent="0.2">
      <c r="G3" s="35"/>
      <c r="H3" s="10"/>
      <c r="I3" s="10"/>
    </row>
    <row r="4" spans="1:9" ht="18.75" customHeight="1" x14ac:dyDescent="0.2">
      <c r="A4" s="160" t="s">
        <v>36</v>
      </c>
      <c r="B4" s="160"/>
      <c r="C4" s="160"/>
      <c r="D4" s="160"/>
      <c r="E4" s="160"/>
      <c r="F4" s="160"/>
      <c r="G4" s="160"/>
      <c r="H4" s="160"/>
      <c r="I4" s="160"/>
    </row>
    <row r="5" spans="1:9" ht="13.25" customHeight="1" x14ac:dyDescent="0.2">
      <c r="B5" s="3"/>
      <c r="C5" s="3"/>
      <c r="D5" s="3"/>
      <c r="E5" s="3"/>
      <c r="F5" s="3"/>
      <c r="G5" s="3"/>
      <c r="H5" s="3"/>
      <c r="I5" s="3"/>
    </row>
    <row r="6" spans="1:9" ht="18" customHeight="1" x14ac:dyDescent="0.2">
      <c r="A6" s="1" t="s">
        <v>0</v>
      </c>
      <c r="B6" s="10" t="s">
        <v>91</v>
      </c>
      <c r="C6" s="228" t="s">
        <v>92</v>
      </c>
      <c r="D6" s="228"/>
      <c r="E6" s="34">
        <v>412</v>
      </c>
      <c r="F6" s="3" t="s">
        <v>1</v>
      </c>
      <c r="G6" s="3" t="s">
        <v>2</v>
      </c>
      <c r="H6" s="34">
        <v>280</v>
      </c>
      <c r="I6" s="10" t="s">
        <v>1</v>
      </c>
    </row>
    <row r="7" spans="1:9" ht="12" customHeight="1" x14ac:dyDescent="0.2">
      <c r="C7" s="2"/>
      <c r="D7" s="2"/>
      <c r="E7" s="2"/>
      <c r="F7" s="2"/>
      <c r="G7" s="2"/>
      <c r="H7" s="2"/>
      <c r="I7" s="42"/>
    </row>
    <row r="8" spans="1:9" ht="18" customHeight="1" x14ac:dyDescent="0.2">
      <c r="A8" s="1" t="s">
        <v>3</v>
      </c>
      <c r="B8" s="10" t="s">
        <v>93</v>
      </c>
      <c r="E8" s="3"/>
      <c r="F8" s="3"/>
      <c r="G8" s="3"/>
      <c r="H8" s="34">
        <v>9</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10" t="s">
        <v>130</v>
      </c>
      <c r="D11" s="226"/>
      <c r="E11" s="227"/>
      <c r="F11" s="42"/>
      <c r="G11" s="35" t="s">
        <v>10</v>
      </c>
      <c r="H11" s="210" t="s">
        <v>156</v>
      </c>
      <c r="I11" s="227"/>
    </row>
    <row r="12" spans="1:9" ht="10.25"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10" t="s">
        <v>150</v>
      </c>
      <c r="C14" s="211"/>
      <c r="D14" s="211"/>
      <c r="E14" s="211"/>
      <c r="F14" s="211"/>
      <c r="G14" s="211"/>
      <c r="H14" s="211"/>
      <c r="I14" s="212"/>
    </row>
    <row r="15" spans="1:9" ht="9" customHeight="1" x14ac:dyDescent="0.2">
      <c r="B15" s="3"/>
      <c r="C15" s="3"/>
      <c r="D15" s="3"/>
      <c r="E15" s="3"/>
      <c r="F15" s="3"/>
      <c r="G15" s="3"/>
      <c r="H15" s="3"/>
      <c r="I15" s="3"/>
    </row>
    <row r="16" spans="1:9" ht="18" customHeight="1" x14ac:dyDescent="0.2">
      <c r="B16" s="35" t="s">
        <v>43</v>
      </c>
      <c r="C16" s="210" t="s">
        <v>130</v>
      </c>
      <c r="D16" s="226"/>
      <c r="E16" s="227"/>
      <c r="F16" s="42"/>
      <c r="G16" s="35" t="s">
        <v>10</v>
      </c>
      <c r="H16" s="210" t="s">
        <v>131</v>
      </c>
      <c r="I16" s="227"/>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10" t="s">
        <v>147</v>
      </c>
      <c r="C19" s="211"/>
      <c r="D19" s="211"/>
      <c r="E19" s="211"/>
      <c r="F19" s="211"/>
      <c r="G19" s="211"/>
      <c r="H19" s="211"/>
      <c r="I19" s="212"/>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200" t="s">
        <v>154</v>
      </c>
      <c r="C22" s="201"/>
      <c r="D22" s="201"/>
      <c r="E22" s="201"/>
      <c r="F22" s="201"/>
      <c r="G22" s="201"/>
      <c r="H22" s="201"/>
      <c r="I22" s="202"/>
    </row>
    <row r="23" spans="1:9" ht="18.75" customHeight="1" x14ac:dyDescent="0.2">
      <c r="A23" s="15"/>
      <c r="B23" s="213"/>
      <c r="C23" s="214"/>
      <c r="D23" s="214"/>
      <c r="E23" s="214"/>
      <c r="F23" s="214"/>
      <c r="G23" s="214"/>
      <c r="H23" s="214"/>
      <c r="I23" s="205"/>
    </row>
    <row r="24" spans="1:9" ht="18.75" customHeight="1" x14ac:dyDescent="0.2">
      <c r="A24" s="15"/>
      <c r="B24" s="213"/>
      <c r="C24" s="214"/>
      <c r="D24" s="214"/>
      <c r="E24" s="214"/>
      <c r="F24" s="214"/>
      <c r="G24" s="214"/>
      <c r="H24" s="214"/>
      <c r="I24" s="205"/>
    </row>
    <row r="25" spans="1:9" ht="18.75" customHeight="1" x14ac:dyDescent="0.2">
      <c r="A25" s="15"/>
      <c r="B25" s="213"/>
      <c r="C25" s="214"/>
      <c r="D25" s="214"/>
      <c r="E25" s="214"/>
      <c r="F25" s="214"/>
      <c r="G25" s="214"/>
      <c r="H25" s="214"/>
      <c r="I25" s="205"/>
    </row>
    <row r="26" spans="1:9" ht="18.75" customHeight="1" x14ac:dyDescent="0.2">
      <c r="A26" s="15"/>
      <c r="B26" s="213"/>
      <c r="C26" s="214"/>
      <c r="D26" s="214"/>
      <c r="E26" s="214"/>
      <c r="F26" s="214"/>
      <c r="G26" s="214"/>
      <c r="H26" s="214"/>
      <c r="I26" s="205"/>
    </row>
    <row r="27" spans="1:9" ht="18.75" customHeight="1" x14ac:dyDescent="0.2">
      <c r="A27" s="15"/>
      <c r="B27" s="213"/>
      <c r="C27" s="214"/>
      <c r="D27" s="214"/>
      <c r="E27" s="214"/>
      <c r="F27" s="214"/>
      <c r="G27" s="214"/>
      <c r="H27" s="214"/>
      <c r="I27" s="205"/>
    </row>
    <row r="28" spans="1:9" ht="18.75" customHeight="1" x14ac:dyDescent="0.2">
      <c r="A28" s="15"/>
      <c r="B28" s="213"/>
      <c r="C28" s="214"/>
      <c r="D28" s="214"/>
      <c r="E28" s="214"/>
      <c r="F28" s="214"/>
      <c r="G28" s="214"/>
      <c r="H28" s="214"/>
      <c r="I28" s="205"/>
    </row>
    <row r="29" spans="1:9" ht="18.75" customHeight="1" x14ac:dyDescent="0.2">
      <c r="A29" s="15"/>
      <c r="B29" s="213"/>
      <c r="C29" s="214"/>
      <c r="D29" s="214"/>
      <c r="E29" s="214"/>
      <c r="F29" s="214"/>
      <c r="G29" s="214"/>
      <c r="H29" s="214"/>
      <c r="I29" s="205"/>
    </row>
    <row r="30" spans="1:9" ht="18.75" customHeight="1" x14ac:dyDescent="0.2">
      <c r="A30" s="15"/>
      <c r="B30" s="203"/>
      <c r="C30" s="204"/>
      <c r="D30" s="204"/>
      <c r="E30" s="204"/>
      <c r="F30" s="204"/>
      <c r="G30" s="204"/>
      <c r="H30" s="204"/>
      <c r="I30" s="205"/>
    </row>
    <row r="31" spans="1:9" ht="18.75" customHeight="1" x14ac:dyDescent="0.2">
      <c r="A31" s="15"/>
      <c r="B31" s="203"/>
      <c r="C31" s="204"/>
      <c r="D31" s="204"/>
      <c r="E31" s="204"/>
      <c r="F31" s="204"/>
      <c r="G31" s="204"/>
      <c r="H31" s="204"/>
      <c r="I31" s="205"/>
    </row>
    <row r="32" spans="1:9" ht="18.75" customHeight="1" x14ac:dyDescent="0.2">
      <c r="A32" s="15"/>
      <c r="B32" s="206"/>
      <c r="C32" s="207"/>
      <c r="D32" s="207"/>
      <c r="E32" s="207"/>
      <c r="F32" s="207"/>
      <c r="G32" s="207"/>
      <c r="H32" s="207"/>
      <c r="I32" s="208"/>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00" t="s">
        <v>145</v>
      </c>
      <c r="C35" s="215"/>
      <c r="D35" s="215"/>
      <c r="E35" s="215"/>
      <c r="F35" s="215"/>
      <c r="G35" s="215"/>
      <c r="H35" s="215"/>
      <c r="I35" s="216"/>
    </row>
    <row r="36" spans="1:9" ht="18.75" customHeight="1" x14ac:dyDescent="0.2">
      <c r="A36" s="15"/>
      <c r="B36" s="217"/>
      <c r="C36" s="218"/>
      <c r="D36" s="218"/>
      <c r="E36" s="218"/>
      <c r="F36" s="218"/>
      <c r="G36" s="218"/>
      <c r="H36" s="218"/>
      <c r="I36" s="219"/>
    </row>
    <row r="37" spans="1:9" ht="18.75" customHeight="1" x14ac:dyDescent="0.2">
      <c r="A37" s="15"/>
      <c r="B37" s="217"/>
      <c r="C37" s="218"/>
      <c r="D37" s="218"/>
      <c r="E37" s="218"/>
      <c r="F37" s="218"/>
      <c r="G37" s="218"/>
      <c r="H37" s="218"/>
      <c r="I37" s="219"/>
    </row>
    <row r="38" spans="1:9" ht="18.75" customHeight="1" x14ac:dyDescent="0.2">
      <c r="A38" s="15"/>
      <c r="B38" s="217"/>
      <c r="C38" s="218"/>
      <c r="D38" s="218"/>
      <c r="E38" s="218"/>
      <c r="F38" s="218"/>
      <c r="G38" s="218"/>
      <c r="H38" s="218"/>
      <c r="I38" s="219"/>
    </row>
    <row r="39" spans="1:9" ht="18.75" customHeight="1" x14ac:dyDescent="0.2">
      <c r="A39" s="15"/>
      <c r="B39" s="217"/>
      <c r="C39" s="218"/>
      <c r="D39" s="218"/>
      <c r="E39" s="218"/>
      <c r="F39" s="218"/>
      <c r="G39" s="218"/>
      <c r="H39" s="218"/>
      <c r="I39" s="219"/>
    </row>
    <row r="40" spans="1:9" ht="18.75" customHeight="1" x14ac:dyDescent="0.2">
      <c r="A40" s="15"/>
      <c r="B40" s="217"/>
      <c r="C40" s="218"/>
      <c r="D40" s="218"/>
      <c r="E40" s="218"/>
      <c r="F40" s="218"/>
      <c r="G40" s="218"/>
      <c r="H40" s="218"/>
      <c r="I40" s="219"/>
    </row>
    <row r="41" spans="1:9" ht="18.75" customHeight="1" x14ac:dyDescent="0.2">
      <c r="A41" s="15"/>
      <c r="B41" s="217"/>
      <c r="C41" s="218"/>
      <c r="D41" s="218"/>
      <c r="E41" s="218"/>
      <c r="F41" s="218"/>
      <c r="G41" s="218"/>
      <c r="H41" s="218"/>
      <c r="I41" s="219"/>
    </row>
    <row r="42" spans="1:9" ht="18.75" customHeight="1" x14ac:dyDescent="0.2">
      <c r="A42" s="15"/>
      <c r="B42" s="217"/>
      <c r="C42" s="218"/>
      <c r="D42" s="218"/>
      <c r="E42" s="218"/>
      <c r="F42" s="218"/>
      <c r="G42" s="218"/>
      <c r="H42" s="218"/>
      <c r="I42" s="219"/>
    </row>
    <row r="43" spans="1:9" ht="18.75" customHeight="1" x14ac:dyDescent="0.2">
      <c r="A43" s="15"/>
      <c r="B43" s="217"/>
      <c r="C43" s="218"/>
      <c r="D43" s="218"/>
      <c r="E43" s="218"/>
      <c r="F43" s="218"/>
      <c r="G43" s="218"/>
      <c r="H43" s="218"/>
      <c r="I43" s="219"/>
    </row>
    <row r="44" spans="1:9" ht="18.75" customHeight="1" x14ac:dyDescent="0.2">
      <c r="A44" s="15"/>
      <c r="B44" s="217"/>
      <c r="C44" s="218"/>
      <c r="D44" s="218"/>
      <c r="E44" s="218"/>
      <c r="F44" s="218"/>
      <c r="G44" s="218"/>
      <c r="H44" s="218"/>
      <c r="I44" s="219"/>
    </row>
    <row r="45" spans="1:9" ht="18.75" customHeight="1" x14ac:dyDescent="0.2">
      <c r="A45" s="15"/>
      <c r="B45" s="217"/>
      <c r="C45" s="218"/>
      <c r="D45" s="218"/>
      <c r="E45" s="218"/>
      <c r="F45" s="218"/>
      <c r="G45" s="218"/>
      <c r="H45" s="218"/>
      <c r="I45" s="219"/>
    </row>
    <row r="46" spans="1:9" ht="18.75" customHeight="1" x14ac:dyDescent="0.2">
      <c r="A46" s="15"/>
      <c r="B46" s="220"/>
      <c r="C46" s="221"/>
      <c r="D46" s="221"/>
      <c r="E46" s="221"/>
      <c r="F46" s="221"/>
      <c r="G46" s="221"/>
      <c r="H46" s="221"/>
      <c r="I46" s="222"/>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3" t="s">
        <v>89</v>
      </c>
      <c r="C49" s="246">
        <f>'様式２ 履修者等数の実績'!AQ32</f>
        <v>7.5708502024291496E-2</v>
      </c>
      <c r="D49" s="246"/>
      <c r="E49" s="43" t="s">
        <v>66</v>
      </c>
      <c r="F49" s="229">
        <v>0.1</v>
      </c>
      <c r="G49" s="229"/>
      <c r="H49" s="43" t="s">
        <v>67</v>
      </c>
      <c r="I49" s="44">
        <v>0.15</v>
      </c>
      <c r="J49" s="1"/>
      <c r="M49" s="1"/>
      <c r="N49" s="45"/>
    </row>
    <row r="50" spans="1:15" s="3" customFormat="1" ht="18.75" customHeight="1" x14ac:dyDescent="0.2">
      <c r="B50" s="46" t="s">
        <v>68</v>
      </c>
      <c r="C50" s="229">
        <v>0.2</v>
      </c>
      <c r="D50" s="229"/>
      <c r="E50" s="46" t="s">
        <v>90</v>
      </c>
      <c r="F50" s="229">
        <v>0.3</v>
      </c>
      <c r="G50" s="229"/>
      <c r="H50" s="46" t="s">
        <v>69</v>
      </c>
      <c r="I50" s="47">
        <f>'様式２ 履修者等数の実績'!E32</f>
        <v>7410</v>
      </c>
      <c r="J50" s="1"/>
      <c r="M50" s="1"/>
      <c r="N50" s="45"/>
    </row>
    <row r="51" spans="1:15" ht="18.75" customHeight="1" x14ac:dyDescent="0.2">
      <c r="A51" s="1"/>
      <c r="B51" s="223" t="s">
        <v>70</v>
      </c>
      <c r="C51" s="224"/>
      <c r="D51" s="224"/>
      <c r="E51" s="224"/>
      <c r="F51" s="224"/>
      <c r="G51" s="224"/>
      <c r="H51" s="224"/>
      <c r="I51" s="225"/>
      <c r="N51" s="45"/>
      <c r="O51" s="3"/>
    </row>
    <row r="52" spans="1:15" ht="18.75" customHeight="1" x14ac:dyDescent="0.2">
      <c r="A52" s="1"/>
      <c r="B52" s="247" t="s">
        <v>169</v>
      </c>
      <c r="C52" s="248"/>
      <c r="D52" s="248"/>
      <c r="E52" s="248"/>
      <c r="F52" s="248"/>
      <c r="G52" s="248"/>
      <c r="H52" s="248"/>
      <c r="I52" s="249"/>
      <c r="N52" s="45"/>
      <c r="O52" s="3"/>
    </row>
    <row r="53" spans="1:15" ht="18.75" customHeight="1" x14ac:dyDescent="0.2">
      <c r="A53" s="1"/>
      <c r="B53" s="250"/>
      <c r="C53" s="251"/>
      <c r="D53" s="251"/>
      <c r="E53" s="251"/>
      <c r="F53" s="251"/>
      <c r="G53" s="251"/>
      <c r="H53" s="251"/>
      <c r="I53" s="252"/>
      <c r="N53" s="45"/>
      <c r="O53" s="3"/>
    </row>
    <row r="54" spans="1:15" ht="18.75" customHeight="1" x14ac:dyDescent="0.2">
      <c r="A54" s="1"/>
      <c r="B54" s="250"/>
      <c r="C54" s="251"/>
      <c r="D54" s="251"/>
      <c r="E54" s="251"/>
      <c r="F54" s="251"/>
      <c r="G54" s="251"/>
      <c r="H54" s="251"/>
      <c r="I54" s="252"/>
    </row>
    <row r="55" spans="1:15" ht="18.75" customHeight="1" x14ac:dyDescent="0.2">
      <c r="A55" s="1"/>
      <c r="B55" s="250"/>
      <c r="C55" s="251"/>
      <c r="D55" s="251"/>
      <c r="E55" s="251"/>
      <c r="F55" s="251"/>
      <c r="G55" s="251"/>
      <c r="H55" s="251"/>
      <c r="I55" s="252"/>
    </row>
    <row r="56" spans="1:15" ht="18.75" customHeight="1" x14ac:dyDescent="0.2">
      <c r="A56" s="1"/>
      <c r="B56" s="250"/>
      <c r="C56" s="251"/>
      <c r="D56" s="251"/>
      <c r="E56" s="251"/>
      <c r="F56" s="251"/>
      <c r="G56" s="251"/>
      <c r="H56" s="251"/>
      <c r="I56" s="252"/>
    </row>
    <row r="57" spans="1:15" ht="18.75" customHeight="1" x14ac:dyDescent="0.2">
      <c r="A57" s="1"/>
      <c r="B57" s="250"/>
      <c r="C57" s="251"/>
      <c r="D57" s="251"/>
      <c r="E57" s="251"/>
      <c r="F57" s="251"/>
      <c r="G57" s="251"/>
      <c r="H57" s="251"/>
      <c r="I57" s="252"/>
    </row>
    <row r="58" spans="1:15" ht="18.75" customHeight="1" x14ac:dyDescent="0.2">
      <c r="A58" s="1"/>
      <c r="B58" s="250"/>
      <c r="C58" s="251"/>
      <c r="D58" s="251"/>
      <c r="E58" s="251"/>
      <c r="F58" s="251"/>
      <c r="G58" s="251"/>
      <c r="H58" s="251"/>
      <c r="I58" s="252"/>
    </row>
    <row r="59" spans="1:15" ht="18.75" customHeight="1" x14ac:dyDescent="0.2">
      <c r="A59" s="1"/>
      <c r="B59" s="250"/>
      <c r="C59" s="251"/>
      <c r="D59" s="251"/>
      <c r="E59" s="251"/>
      <c r="F59" s="251"/>
      <c r="G59" s="251"/>
      <c r="H59" s="251"/>
      <c r="I59" s="252"/>
    </row>
    <row r="60" spans="1:15" ht="18.75" customHeight="1" x14ac:dyDescent="0.2">
      <c r="A60" s="1"/>
      <c r="B60" s="250"/>
      <c r="C60" s="251"/>
      <c r="D60" s="251"/>
      <c r="E60" s="251"/>
      <c r="F60" s="251"/>
      <c r="G60" s="251"/>
      <c r="H60" s="251"/>
      <c r="I60" s="252"/>
    </row>
    <row r="61" spans="1:15" ht="18.75" customHeight="1" x14ac:dyDescent="0.2">
      <c r="A61" s="1"/>
      <c r="B61" s="250"/>
      <c r="C61" s="251"/>
      <c r="D61" s="251"/>
      <c r="E61" s="251"/>
      <c r="F61" s="251"/>
      <c r="G61" s="251"/>
      <c r="H61" s="251"/>
      <c r="I61" s="252"/>
    </row>
    <row r="62" spans="1:15" ht="18.75" customHeight="1" x14ac:dyDescent="0.2">
      <c r="A62" s="1"/>
      <c r="B62" s="250"/>
      <c r="C62" s="251"/>
      <c r="D62" s="251"/>
      <c r="E62" s="251"/>
      <c r="F62" s="251"/>
      <c r="G62" s="251"/>
      <c r="H62" s="251"/>
      <c r="I62" s="252"/>
    </row>
    <row r="63" spans="1:15" ht="18.75" customHeight="1" x14ac:dyDescent="0.2">
      <c r="A63" s="1"/>
      <c r="B63" s="253"/>
      <c r="C63" s="254"/>
      <c r="D63" s="254"/>
      <c r="E63" s="254"/>
      <c r="F63" s="254"/>
      <c r="G63" s="254"/>
      <c r="H63" s="254"/>
      <c r="I63" s="255"/>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230" t="s">
        <v>167</v>
      </c>
      <c r="C66" s="231"/>
      <c r="D66" s="231"/>
      <c r="E66" s="231"/>
      <c r="F66" s="231"/>
      <c r="G66" s="231"/>
      <c r="H66" s="231"/>
      <c r="I66" s="232"/>
    </row>
    <row r="67" spans="1:9" ht="18.75" customHeight="1" x14ac:dyDescent="0.2">
      <c r="A67" s="4"/>
      <c r="B67" s="233"/>
      <c r="C67" s="234"/>
      <c r="D67" s="234"/>
      <c r="E67" s="234"/>
      <c r="F67" s="234"/>
      <c r="G67" s="234"/>
      <c r="H67" s="234"/>
      <c r="I67" s="235"/>
    </row>
    <row r="68" spans="1:9" ht="18.75" customHeight="1" x14ac:dyDescent="0.2">
      <c r="A68" s="4"/>
      <c r="B68" s="233"/>
      <c r="C68" s="234"/>
      <c r="D68" s="234"/>
      <c r="E68" s="234"/>
      <c r="F68" s="234"/>
      <c r="G68" s="234"/>
      <c r="H68" s="234"/>
      <c r="I68" s="235"/>
    </row>
    <row r="69" spans="1:9" ht="18.75" customHeight="1" x14ac:dyDescent="0.2">
      <c r="A69" s="4"/>
      <c r="B69" s="233"/>
      <c r="C69" s="234"/>
      <c r="D69" s="234"/>
      <c r="E69" s="234"/>
      <c r="F69" s="234"/>
      <c r="G69" s="234"/>
      <c r="H69" s="234"/>
      <c r="I69" s="235"/>
    </row>
    <row r="70" spans="1:9" ht="18.75" customHeight="1" x14ac:dyDescent="0.2">
      <c r="A70" s="4"/>
      <c r="B70" s="233"/>
      <c r="C70" s="234"/>
      <c r="D70" s="234"/>
      <c r="E70" s="234"/>
      <c r="F70" s="234"/>
      <c r="G70" s="234"/>
      <c r="H70" s="234"/>
      <c r="I70" s="235"/>
    </row>
    <row r="71" spans="1:9" ht="18.75" customHeight="1" x14ac:dyDescent="0.2">
      <c r="A71" s="4"/>
      <c r="B71" s="233"/>
      <c r="C71" s="234"/>
      <c r="D71" s="234"/>
      <c r="E71" s="234"/>
      <c r="F71" s="234"/>
      <c r="G71" s="234"/>
      <c r="H71" s="234"/>
      <c r="I71" s="235"/>
    </row>
    <row r="72" spans="1:9" ht="18.75" customHeight="1" x14ac:dyDescent="0.2">
      <c r="A72" s="4"/>
      <c r="B72" s="233"/>
      <c r="C72" s="234"/>
      <c r="D72" s="234"/>
      <c r="E72" s="234"/>
      <c r="F72" s="234"/>
      <c r="G72" s="234"/>
      <c r="H72" s="234"/>
      <c r="I72" s="235"/>
    </row>
    <row r="73" spans="1:9" ht="18.75" customHeight="1" x14ac:dyDescent="0.2">
      <c r="A73" s="4"/>
      <c r="B73" s="233"/>
      <c r="C73" s="234"/>
      <c r="D73" s="234"/>
      <c r="E73" s="234"/>
      <c r="F73" s="234"/>
      <c r="G73" s="234"/>
      <c r="H73" s="234"/>
      <c r="I73" s="235"/>
    </row>
    <row r="74" spans="1:9" ht="18.75" customHeight="1" x14ac:dyDescent="0.2">
      <c r="A74" s="4"/>
      <c r="B74" s="233"/>
      <c r="C74" s="234"/>
      <c r="D74" s="234"/>
      <c r="E74" s="234"/>
      <c r="F74" s="234"/>
      <c r="G74" s="234"/>
      <c r="H74" s="234"/>
      <c r="I74" s="235"/>
    </row>
    <row r="75" spans="1:9" ht="18.75" customHeight="1" x14ac:dyDescent="0.2">
      <c r="A75" s="4"/>
      <c r="B75" s="233"/>
      <c r="C75" s="234"/>
      <c r="D75" s="234"/>
      <c r="E75" s="234"/>
      <c r="F75" s="234"/>
      <c r="G75" s="234"/>
      <c r="H75" s="234"/>
      <c r="I75" s="235"/>
    </row>
    <row r="76" spans="1:9" ht="18.75" customHeight="1" x14ac:dyDescent="0.2">
      <c r="A76" s="4"/>
      <c r="B76" s="233"/>
      <c r="C76" s="234"/>
      <c r="D76" s="234"/>
      <c r="E76" s="234"/>
      <c r="F76" s="234"/>
      <c r="G76" s="234"/>
      <c r="H76" s="234"/>
      <c r="I76" s="235"/>
    </row>
    <row r="77" spans="1:9" ht="18.75" customHeight="1" x14ac:dyDescent="0.2">
      <c r="A77" s="4"/>
      <c r="B77" s="236"/>
      <c r="C77" s="237"/>
      <c r="D77" s="237"/>
      <c r="E77" s="237"/>
      <c r="F77" s="237"/>
      <c r="G77" s="237"/>
      <c r="H77" s="237"/>
      <c r="I77" s="238"/>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230" t="s">
        <v>170</v>
      </c>
      <c r="C80" s="231"/>
      <c r="D80" s="231"/>
      <c r="E80" s="231"/>
      <c r="F80" s="231"/>
      <c r="G80" s="231"/>
      <c r="H80" s="231"/>
      <c r="I80" s="239"/>
    </row>
    <row r="81" spans="1:9" ht="18.75" customHeight="1" x14ac:dyDescent="0.2">
      <c r="A81" s="1"/>
      <c r="B81" s="240"/>
      <c r="C81" s="241"/>
      <c r="D81" s="241"/>
      <c r="E81" s="241"/>
      <c r="F81" s="241"/>
      <c r="G81" s="241"/>
      <c r="H81" s="241"/>
      <c r="I81" s="242"/>
    </row>
    <row r="82" spans="1:9" ht="18.75" customHeight="1" x14ac:dyDescent="0.2">
      <c r="A82" s="1"/>
      <c r="B82" s="240"/>
      <c r="C82" s="241"/>
      <c r="D82" s="241"/>
      <c r="E82" s="241"/>
      <c r="F82" s="241"/>
      <c r="G82" s="241"/>
      <c r="H82" s="241"/>
      <c r="I82" s="242"/>
    </row>
    <row r="83" spans="1:9" ht="18.75" customHeight="1" x14ac:dyDescent="0.2">
      <c r="A83" s="1"/>
      <c r="B83" s="240"/>
      <c r="C83" s="241"/>
      <c r="D83" s="241"/>
      <c r="E83" s="241"/>
      <c r="F83" s="241"/>
      <c r="G83" s="241"/>
      <c r="H83" s="241"/>
      <c r="I83" s="242"/>
    </row>
    <row r="84" spans="1:9" ht="18.75" customHeight="1" x14ac:dyDescent="0.2">
      <c r="A84" s="1"/>
      <c r="B84" s="240"/>
      <c r="C84" s="241"/>
      <c r="D84" s="241"/>
      <c r="E84" s="241"/>
      <c r="F84" s="241"/>
      <c r="G84" s="241"/>
      <c r="H84" s="241"/>
      <c r="I84" s="242"/>
    </row>
    <row r="85" spans="1:9" ht="18.75" customHeight="1" x14ac:dyDescent="0.2">
      <c r="A85" s="1"/>
      <c r="B85" s="240"/>
      <c r="C85" s="241"/>
      <c r="D85" s="241"/>
      <c r="E85" s="241"/>
      <c r="F85" s="241"/>
      <c r="G85" s="241"/>
      <c r="H85" s="241"/>
      <c r="I85" s="242"/>
    </row>
    <row r="86" spans="1:9" ht="18.75" customHeight="1" x14ac:dyDescent="0.2">
      <c r="A86" s="1"/>
      <c r="B86" s="240"/>
      <c r="C86" s="241"/>
      <c r="D86" s="241"/>
      <c r="E86" s="241"/>
      <c r="F86" s="241"/>
      <c r="G86" s="241"/>
      <c r="H86" s="241"/>
      <c r="I86" s="242"/>
    </row>
    <row r="87" spans="1:9" ht="18.75" customHeight="1" x14ac:dyDescent="0.2">
      <c r="A87" s="1"/>
      <c r="B87" s="240"/>
      <c r="C87" s="241"/>
      <c r="D87" s="241"/>
      <c r="E87" s="241"/>
      <c r="F87" s="241"/>
      <c r="G87" s="241"/>
      <c r="H87" s="241"/>
      <c r="I87" s="242"/>
    </row>
    <row r="88" spans="1:9" ht="18.75" customHeight="1" x14ac:dyDescent="0.2">
      <c r="A88" s="1"/>
      <c r="B88" s="240"/>
      <c r="C88" s="241"/>
      <c r="D88" s="241"/>
      <c r="E88" s="241"/>
      <c r="F88" s="241"/>
      <c r="G88" s="241"/>
      <c r="H88" s="241"/>
      <c r="I88" s="242"/>
    </row>
    <row r="89" spans="1:9" ht="18.75" customHeight="1" x14ac:dyDescent="0.2">
      <c r="A89" s="1"/>
      <c r="B89" s="240"/>
      <c r="C89" s="241"/>
      <c r="D89" s="241"/>
      <c r="E89" s="241"/>
      <c r="F89" s="241"/>
      <c r="G89" s="241"/>
      <c r="H89" s="241"/>
      <c r="I89" s="242"/>
    </row>
    <row r="90" spans="1:9" ht="18.75" customHeight="1" x14ac:dyDescent="0.2">
      <c r="A90" s="4"/>
      <c r="B90" s="240"/>
      <c r="C90" s="241"/>
      <c r="D90" s="241"/>
      <c r="E90" s="241"/>
      <c r="F90" s="241"/>
      <c r="G90" s="241"/>
      <c r="H90" s="241"/>
      <c r="I90" s="242"/>
    </row>
    <row r="91" spans="1:9" ht="18.75" customHeight="1" x14ac:dyDescent="0.2">
      <c r="A91" s="4"/>
      <c r="B91" s="243"/>
      <c r="C91" s="244"/>
      <c r="D91" s="244"/>
      <c r="E91" s="244"/>
      <c r="F91" s="244"/>
      <c r="G91" s="244"/>
      <c r="H91" s="244"/>
      <c r="I91" s="245"/>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00" t="s">
        <v>166</v>
      </c>
      <c r="C94" s="201"/>
      <c r="D94" s="201"/>
      <c r="E94" s="201"/>
      <c r="F94" s="201"/>
      <c r="G94" s="201"/>
      <c r="H94" s="201"/>
      <c r="I94" s="202"/>
    </row>
    <row r="95" spans="1:9" ht="18.75" customHeight="1" x14ac:dyDescent="0.2">
      <c r="A95" s="1"/>
      <c r="B95" s="203"/>
      <c r="C95" s="204"/>
      <c r="D95" s="204"/>
      <c r="E95" s="204"/>
      <c r="F95" s="204"/>
      <c r="G95" s="204"/>
      <c r="H95" s="204"/>
      <c r="I95" s="205"/>
    </row>
    <row r="96" spans="1:9" ht="18.75" customHeight="1" x14ac:dyDescent="0.2">
      <c r="A96" s="1"/>
      <c r="B96" s="203"/>
      <c r="C96" s="204"/>
      <c r="D96" s="204"/>
      <c r="E96" s="204"/>
      <c r="F96" s="204"/>
      <c r="G96" s="204"/>
      <c r="H96" s="204"/>
      <c r="I96" s="205"/>
    </row>
    <row r="97" spans="1:9" ht="18.75" customHeight="1" x14ac:dyDescent="0.2">
      <c r="A97" s="1"/>
      <c r="B97" s="203"/>
      <c r="C97" s="204"/>
      <c r="D97" s="204"/>
      <c r="E97" s="204"/>
      <c r="F97" s="204"/>
      <c r="G97" s="204"/>
      <c r="H97" s="204"/>
      <c r="I97" s="205"/>
    </row>
    <row r="98" spans="1:9" ht="18.75" customHeight="1" x14ac:dyDescent="0.2">
      <c r="A98" s="1"/>
      <c r="B98" s="203"/>
      <c r="C98" s="204"/>
      <c r="D98" s="204"/>
      <c r="E98" s="204"/>
      <c r="F98" s="204"/>
      <c r="G98" s="204"/>
      <c r="H98" s="204"/>
      <c r="I98" s="205"/>
    </row>
    <row r="99" spans="1:9" ht="18.75" customHeight="1" x14ac:dyDescent="0.2">
      <c r="A99" s="1"/>
      <c r="B99" s="203"/>
      <c r="C99" s="204"/>
      <c r="D99" s="204"/>
      <c r="E99" s="204"/>
      <c r="F99" s="204"/>
      <c r="G99" s="204"/>
      <c r="H99" s="204"/>
      <c r="I99" s="205"/>
    </row>
    <row r="100" spans="1:9" ht="18.75" customHeight="1" x14ac:dyDescent="0.2">
      <c r="A100" s="1"/>
      <c r="B100" s="203"/>
      <c r="C100" s="204"/>
      <c r="D100" s="204"/>
      <c r="E100" s="204"/>
      <c r="F100" s="204"/>
      <c r="G100" s="204"/>
      <c r="H100" s="204"/>
      <c r="I100" s="205"/>
    </row>
    <row r="101" spans="1:9" ht="18.75" customHeight="1" x14ac:dyDescent="0.2">
      <c r="A101" s="1"/>
      <c r="B101" s="203"/>
      <c r="C101" s="204"/>
      <c r="D101" s="204"/>
      <c r="E101" s="204"/>
      <c r="F101" s="204"/>
      <c r="G101" s="204"/>
      <c r="H101" s="204"/>
      <c r="I101" s="205"/>
    </row>
    <row r="102" spans="1:9" ht="18.75" customHeight="1" x14ac:dyDescent="0.2">
      <c r="A102" s="1"/>
      <c r="B102" s="203"/>
      <c r="C102" s="204"/>
      <c r="D102" s="204"/>
      <c r="E102" s="204"/>
      <c r="F102" s="204"/>
      <c r="G102" s="204"/>
      <c r="H102" s="204"/>
      <c r="I102" s="205"/>
    </row>
    <row r="103" spans="1:9" ht="18.75" customHeight="1" x14ac:dyDescent="0.2">
      <c r="A103" s="1"/>
      <c r="B103" s="203"/>
      <c r="C103" s="204"/>
      <c r="D103" s="204"/>
      <c r="E103" s="204"/>
      <c r="F103" s="204"/>
      <c r="G103" s="204"/>
      <c r="H103" s="204"/>
      <c r="I103" s="205"/>
    </row>
    <row r="104" spans="1:9" ht="18.75" customHeight="1" x14ac:dyDescent="0.2">
      <c r="A104" s="1"/>
      <c r="B104" s="203"/>
      <c r="C104" s="204"/>
      <c r="D104" s="204"/>
      <c r="E104" s="204"/>
      <c r="F104" s="204"/>
      <c r="G104" s="204"/>
      <c r="H104" s="204"/>
      <c r="I104" s="205"/>
    </row>
    <row r="105" spans="1:9" ht="18.75" customHeight="1" x14ac:dyDescent="0.2">
      <c r="A105" s="4"/>
      <c r="B105" s="206"/>
      <c r="C105" s="207"/>
      <c r="D105" s="207"/>
      <c r="E105" s="207"/>
      <c r="F105" s="207"/>
      <c r="G105" s="207"/>
      <c r="H105" s="207"/>
      <c r="I105" s="208"/>
    </row>
    <row r="106" spans="1:9" ht="7.5" customHeight="1" x14ac:dyDescent="0.2">
      <c r="A106" s="4"/>
      <c r="B106" s="4"/>
      <c r="C106" s="4"/>
      <c r="D106" s="4"/>
      <c r="E106" s="4"/>
      <c r="F106" s="4"/>
      <c r="G106" s="4"/>
      <c r="H106" s="4"/>
      <c r="I106" s="4"/>
    </row>
    <row r="107" spans="1:9" ht="18.75" customHeight="1" x14ac:dyDescent="0.2">
      <c r="A107" s="1" t="s">
        <v>30</v>
      </c>
      <c r="B107" s="209" t="s">
        <v>46</v>
      </c>
      <c r="C107" s="209"/>
      <c r="D107" s="209"/>
      <c r="E107" s="209"/>
      <c r="F107" s="209"/>
      <c r="G107" s="209"/>
      <c r="H107" s="209"/>
      <c r="I107" s="209"/>
    </row>
    <row r="108" spans="1:9" ht="18.75" customHeight="1" x14ac:dyDescent="0.2">
      <c r="A108" s="4"/>
      <c r="B108" s="200" t="s">
        <v>168</v>
      </c>
      <c r="C108" s="201"/>
      <c r="D108" s="201"/>
      <c r="E108" s="201"/>
      <c r="F108" s="201"/>
      <c r="G108" s="201"/>
      <c r="H108" s="201"/>
      <c r="I108" s="202"/>
    </row>
    <row r="109" spans="1:9" ht="18.75" customHeight="1" x14ac:dyDescent="0.2">
      <c r="A109" s="4"/>
      <c r="B109" s="203"/>
      <c r="C109" s="204"/>
      <c r="D109" s="204"/>
      <c r="E109" s="204"/>
      <c r="F109" s="204"/>
      <c r="G109" s="204"/>
      <c r="H109" s="204"/>
      <c r="I109" s="205"/>
    </row>
    <row r="110" spans="1:9" ht="18.75" customHeight="1" x14ac:dyDescent="0.2">
      <c r="A110" s="4"/>
      <c r="B110" s="203"/>
      <c r="C110" s="204"/>
      <c r="D110" s="204"/>
      <c r="E110" s="204"/>
      <c r="F110" s="204"/>
      <c r="G110" s="204"/>
      <c r="H110" s="204"/>
      <c r="I110" s="205"/>
    </row>
    <row r="111" spans="1:9" ht="18.75" customHeight="1" x14ac:dyDescent="0.2">
      <c r="A111" s="4"/>
      <c r="B111" s="203"/>
      <c r="C111" s="204"/>
      <c r="D111" s="204"/>
      <c r="E111" s="204"/>
      <c r="F111" s="204"/>
      <c r="G111" s="204"/>
      <c r="H111" s="204"/>
      <c r="I111" s="205"/>
    </row>
    <row r="112" spans="1:9" ht="18.75" customHeight="1" x14ac:dyDescent="0.2">
      <c r="A112" s="4"/>
      <c r="B112" s="203"/>
      <c r="C112" s="204"/>
      <c r="D112" s="204"/>
      <c r="E112" s="204"/>
      <c r="F112" s="204"/>
      <c r="G112" s="204"/>
      <c r="H112" s="204"/>
      <c r="I112" s="205"/>
    </row>
    <row r="113" spans="1:9" ht="18.75" customHeight="1" x14ac:dyDescent="0.2">
      <c r="A113" s="4"/>
      <c r="B113" s="203"/>
      <c r="C113" s="204"/>
      <c r="D113" s="204"/>
      <c r="E113" s="204"/>
      <c r="F113" s="204"/>
      <c r="G113" s="204"/>
      <c r="H113" s="204"/>
      <c r="I113" s="205"/>
    </row>
    <row r="114" spans="1:9" ht="18.75" customHeight="1" x14ac:dyDescent="0.2">
      <c r="A114" s="4"/>
      <c r="B114" s="203"/>
      <c r="C114" s="204"/>
      <c r="D114" s="204"/>
      <c r="E114" s="204"/>
      <c r="F114" s="204"/>
      <c r="G114" s="204"/>
      <c r="H114" s="204"/>
      <c r="I114" s="205"/>
    </row>
    <row r="115" spans="1:9" ht="18.75" customHeight="1" x14ac:dyDescent="0.2">
      <c r="A115" s="4"/>
      <c r="B115" s="203"/>
      <c r="C115" s="204"/>
      <c r="D115" s="204"/>
      <c r="E115" s="204"/>
      <c r="F115" s="204"/>
      <c r="G115" s="204"/>
      <c r="H115" s="204"/>
      <c r="I115" s="205"/>
    </row>
    <row r="116" spans="1:9" ht="18.75" customHeight="1" x14ac:dyDescent="0.2">
      <c r="A116" s="4"/>
      <c r="B116" s="203"/>
      <c r="C116" s="204"/>
      <c r="D116" s="204"/>
      <c r="E116" s="204"/>
      <c r="F116" s="204"/>
      <c r="G116" s="204"/>
      <c r="H116" s="204"/>
      <c r="I116" s="205"/>
    </row>
    <row r="117" spans="1:9" ht="18.75" customHeight="1" x14ac:dyDescent="0.2">
      <c r="A117" s="4"/>
      <c r="B117" s="203"/>
      <c r="C117" s="204"/>
      <c r="D117" s="204"/>
      <c r="E117" s="204"/>
      <c r="F117" s="204"/>
      <c r="G117" s="204"/>
      <c r="H117" s="204"/>
      <c r="I117" s="205"/>
    </row>
    <row r="118" spans="1:9" ht="18.75" customHeight="1" x14ac:dyDescent="0.2">
      <c r="A118" s="4"/>
      <c r="B118" s="203"/>
      <c r="C118" s="204"/>
      <c r="D118" s="204"/>
      <c r="E118" s="204"/>
      <c r="F118" s="204"/>
      <c r="G118" s="204"/>
      <c r="H118" s="204"/>
      <c r="I118" s="205"/>
    </row>
    <row r="119" spans="1:9" ht="18.75" customHeight="1" x14ac:dyDescent="0.2">
      <c r="A119" s="4"/>
      <c r="B119" s="206"/>
      <c r="C119" s="207"/>
      <c r="D119" s="207"/>
      <c r="E119" s="207"/>
      <c r="F119" s="207"/>
      <c r="G119" s="207"/>
      <c r="H119" s="207"/>
      <c r="I119" s="208"/>
    </row>
    <row r="120" spans="1:9" ht="7.5" customHeight="1" x14ac:dyDescent="0.2">
      <c r="A120" s="4"/>
      <c r="B120" s="48"/>
      <c r="C120" s="48"/>
      <c r="D120" s="48"/>
      <c r="E120" s="48"/>
      <c r="F120" s="48"/>
      <c r="G120" s="48"/>
      <c r="H120" s="48"/>
      <c r="I120" s="4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mergeCells count="22">
    <mergeCell ref="B66:I77"/>
    <mergeCell ref="B80:I91"/>
    <mergeCell ref="C49:D49"/>
    <mergeCell ref="C50:D50"/>
    <mergeCell ref="B52:I63"/>
    <mergeCell ref="F50:G50"/>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49:G49"/>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topLeftCell="A4" zoomScaleNormal="100" zoomScaleSheetLayoutView="100" workbookViewId="0">
      <selection activeCell="E14" sqref="E14:I14"/>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1796875" style="1" customWidth="1"/>
    <col min="11" max="16384" width="11.36328125" style="1"/>
  </cols>
  <sheetData>
    <row r="1" spans="1:9" ht="18.75" customHeight="1" x14ac:dyDescent="0.2">
      <c r="A1" s="1" t="s">
        <v>71</v>
      </c>
      <c r="I1" s="35" t="s">
        <v>105</v>
      </c>
    </row>
    <row r="2" spans="1:9" ht="18.75" customHeight="1" x14ac:dyDescent="0.2">
      <c r="H2" s="35" t="s">
        <v>109</v>
      </c>
      <c r="I2" s="34" t="s">
        <v>127</v>
      </c>
    </row>
    <row r="3" spans="1:9" ht="18.75" customHeight="1" x14ac:dyDescent="0.2">
      <c r="A3" s="160" t="s">
        <v>28</v>
      </c>
      <c r="B3" s="160"/>
      <c r="C3" s="160"/>
      <c r="D3" s="160"/>
      <c r="E3" s="160"/>
      <c r="F3" s="160"/>
      <c r="G3" s="160"/>
      <c r="H3" s="160"/>
      <c r="I3" s="160"/>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10" t="s">
        <v>148</v>
      </c>
      <c r="C6" s="263"/>
      <c r="D6" s="263"/>
      <c r="E6" s="263"/>
      <c r="F6" s="263"/>
      <c r="G6" s="263"/>
      <c r="H6" s="264"/>
      <c r="I6" s="3"/>
    </row>
    <row r="7" spans="1:9" ht="9" customHeight="1" x14ac:dyDescent="0.2">
      <c r="A7" s="5"/>
      <c r="B7" s="10"/>
      <c r="C7" s="10"/>
      <c r="D7" s="10"/>
      <c r="E7" s="10"/>
      <c r="F7" s="10"/>
      <c r="G7" s="10"/>
      <c r="H7" s="10"/>
      <c r="I7" s="3"/>
    </row>
    <row r="8" spans="1:9" ht="18.75" customHeight="1" x14ac:dyDescent="0.2">
      <c r="A8" s="5"/>
      <c r="B8" s="3"/>
      <c r="C8" s="3"/>
      <c r="D8" s="35" t="s">
        <v>43</v>
      </c>
      <c r="E8" s="36" t="s">
        <v>128</v>
      </c>
      <c r="F8" s="3"/>
      <c r="G8" s="35" t="s">
        <v>10</v>
      </c>
      <c r="H8" s="36" t="s">
        <v>129</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2" t="s">
        <v>24</v>
      </c>
      <c r="C11" s="103"/>
      <c r="D11" s="104"/>
      <c r="E11" s="103" t="s">
        <v>26</v>
      </c>
      <c r="F11" s="103"/>
      <c r="G11" s="103"/>
      <c r="H11" s="103"/>
      <c r="I11" s="104"/>
    </row>
    <row r="12" spans="1:9" ht="26.25" customHeight="1" x14ac:dyDescent="0.2">
      <c r="B12" s="50" t="s">
        <v>14</v>
      </c>
      <c r="C12" s="57"/>
      <c r="D12" s="51"/>
      <c r="E12" s="58"/>
      <c r="F12" s="58"/>
      <c r="G12" s="58"/>
      <c r="H12" s="58"/>
      <c r="I12" s="51"/>
    </row>
    <row r="13" spans="1:9" ht="210.75" customHeight="1" x14ac:dyDescent="0.2">
      <c r="B13" s="52"/>
      <c r="C13" s="261" t="s">
        <v>15</v>
      </c>
      <c r="D13" s="262"/>
      <c r="E13" s="258" t="s">
        <v>157</v>
      </c>
      <c r="F13" s="259"/>
      <c r="G13" s="259"/>
      <c r="H13" s="259"/>
      <c r="I13" s="260"/>
    </row>
    <row r="14" spans="1:9" ht="210.75" customHeight="1" x14ac:dyDescent="0.2">
      <c r="B14" s="52"/>
      <c r="C14" s="256" t="s">
        <v>16</v>
      </c>
      <c r="D14" s="257"/>
      <c r="E14" s="258" t="s">
        <v>158</v>
      </c>
      <c r="F14" s="259"/>
      <c r="G14" s="259"/>
      <c r="H14" s="259"/>
      <c r="I14" s="260"/>
    </row>
    <row r="15" spans="1:9" ht="210.75" customHeight="1" x14ac:dyDescent="0.2">
      <c r="B15" s="52"/>
      <c r="C15" s="261" t="s">
        <v>17</v>
      </c>
      <c r="D15" s="262"/>
      <c r="E15" s="258" t="s">
        <v>159</v>
      </c>
      <c r="F15" s="259"/>
      <c r="G15" s="259"/>
      <c r="H15" s="259"/>
      <c r="I15" s="260"/>
    </row>
    <row r="16" spans="1:9" ht="210.75" customHeight="1" x14ac:dyDescent="0.2">
      <c r="B16" s="52"/>
      <c r="C16" s="261" t="s">
        <v>18</v>
      </c>
      <c r="D16" s="262"/>
      <c r="E16" s="258" t="s">
        <v>160</v>
      </c>
      <c r="F16" s="259"/>
      <c r="G16" s="259"/>
      <c r="H16" s="259"/>
      <c r="I16" s="260"/>
    </row>
    <row r="17" spans="2:9" ht="210.75" customHeight="1" x14ac:dyDescent="0.2">
      <c r="B17" s="53"/>
      <c r="C17" s="265" t="s">
        <v>19</v>
      </c>
      <c r="D17" s="266"/>
      <c r="E17" s="267" t="s">
        <v>161</v>
      </c>
      <c r="F17" s="268"/>
      <c r="G17" s="268"/>
      <c r="H17" s="268"/>
      <c r="I17" s="269"/>
    </row>
    <row r="18" spans="2:9" ht="24" customHeight="1" x14ac:dyDescent="0.2">
      <c r="B18" s="50" t="s">
        <v>20</v>
      </c>
      <c r="C18" s="54"/>
      <c r="D18" s="55"/>
      <c r="E18" s="56"/>
      <c r="F18" s="56"/>
      <c r="G18" s="56"/>
      <c r="H18" s="56"/>
      <c r="I18" s="59"/>
    </row>
    <row r="19" spans="2:9" ht="218.25" customHeight="1" x14ac:dyDescent="0.2">
      <c r="B19" s="52"/>
      <c r="C19" s="261" t="s">
        <v>21</v>
      </c>
      <c r="D19" s="262"/>
      <c r="E19" s="259" t="s">
        <v>165</v>
      </c>
      <c r="F19" s="259"/>
      <c r="G19" s="259"/>
      <c r="H19" s="259"/>
      <c r="I19" s="260"/>
    </row>
    <row r="20" spans="2:9" ht="218.25" customHeight="1" x14ac:dyDescent="0.2">
      <c r="B20" s="53"/>
      <c r="C20" s="265" t="s">
        <v>22</v>
      </c>
      <c r="D20" s="266"/>
      <c r="E20" s="268" t="s">
        <v>164</v>
      </c>
      <c r="F20" s="268"/>
      <c r="G20" s="268"/>
      <c r="H20" s="268"/>
      <c r="I20" s="269"/>
    </row>
    <row r="21" spans="2:9" ht="218.25" customHeight="1" x14ac:dyDescent="0.2">
      <c r="B21" s="275" t="s">
        <v>23</v>
      </c>
      <c r="C21" s="276"/>
      <c r="D21" s="277"/>
      <c r="E21" s="278" t="s">
        <v>162</v>
      </c>
      <c r="F21" s="278"/>
      <c r="G21" s="278"/>
      <c r="H21" s="278"/>
      <c r="I21" s="279"/>
    </row>
    <row r="22" spans="2:9" ht="218.25" customHeight="1" x14ac:dyDescent="0.2">
      <c r="B22" s="270" t="s">
        <v>38</v>
      </c>
      <c r="C22" s="271"/>
      <c r="D22" s="272"/>
      <c r="E22" s="273" t="s">
        <v>163</v>
      </c>
      <c r="F22" s="273"/>
      <c r="G22" s="273"/>
      <c r="H22" s="273"/>
      <c r="I22" s="274"/>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nakagawa</cp:lastModifiedBy>
  <cp:lastPrinted>2023-06-26T03:43:29Z</cp:lastPrinted>
  <dcterms:created xsi:type="dcterms:W3CDTF">2011-06-14T05:32:50Z</dcterms:created>
  <dcterms:modified xsi:type="dcterms:W3CDTF">2023-06-26T05:52:38Z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